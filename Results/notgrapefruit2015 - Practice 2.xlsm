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2015_16TeamFolders\notgrapefruit\Results\"/>
    </mc:Choice>
  </mc:AlternateContent>
  <bookViews>
    <workbookView xWindow="0" yWindow="456" windowWidth="28800" windowHeight="17460" firstSheet="3" activeTab="5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annual_report" sheetId="20" r:id="rId6"/>
    <sheet name="grove" sheetId="19" r:id="rId7"/>
    <sheet name="P01" sheetId="18" r:id="rId8"/>
    <sheet name="P05" sheetId="17" r:id="rId9"/>
    <sheet name="P07" sheetId="16" r:id="rId10"/>
    <sheet name="S15" sheetId="15" r:id="rId11"/>
    <sheet name="S61" sheetId="14" r:id="rId12"/>
    <sheet name="ORA" sheetId="13" r:id="rId13"/>
    <sheet name="POJ" sheetId="12" r:id="rId14"/>
    <sheet name="ROJ" sheetId="11" r:id="rId15"/>
    <sheet name="FCOJ" sheetId="10" r:id="rId16"/>
    <sheet name="market" sheetId="9" r:id="rId17"/>
  </sheets>
  <definedNames>
    <definedName name="AddColumn1">shipping_manufacturing!$I$4:$I$12</definedName>
    <definedName name="AddColumn2">shipping_manufacturing!$I$16:$I$20</definedName>
    <definedName name="AddColumn3">shipping_manufacturing!$J$24:$J$30</definedName>
    <definedName name="AddRow3">shipping_manufacturing!$B$30</definedName>
    <definedName name="AddRow4">shipping_manufacturing!$B$38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shipping_manufacturing!$B$34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16" i="20" l="1"/>
  <c r="T19" i="20" s="1"/>
  <c r="S15" i="20"/>
  <c r="S14" i="20"/>
  <c r="H40" i="20"/>
  <c r="H39" i="20"/>
  <c r="H38" i="20"/>
  <c r="H35" i="20"/>
  <c r="S42" i="20" s="1"/>
  <c r="H34" i="20"/>
  <c r="H33" i="20"/>
  <c r="S36" i="20" s="1"/>
  <c r="H30" i="20"/>
  <c r="H29" i="20"/>
  <c r="H28" i="20"/>
  <c r="S40" i="20" s="1"/>
  <c r="H27" i="20"/>
  <c r="S37" i="20" s="1"/>
  <c r="H24" i="20"/>
  <c r="H23" i="20"/>
  <c r="H15" i="20"/>
  <c r="H14" i="20"/>
  <c r="H13" i="20"/>
  <c r="AZ170" i="14"/>
  <c r="AZ121" i="14"/>
  <c r="AZ108" i="14"/>
  <c r="AZ99" i="14"/>
  <c r="AZ92" i="14"/>
  <c r="AZ170" i="15"/>
  <c r="AZ121" i="15"/>
  <c r="AZ108" i="15"/>
  <c r="AZ99" i="15"/>
  <c r="AZ92" i="15"/>
  <c r="AZ42" i="16"/>
  <c r="AZ43" i="16"/>
  <c r="AZ53" i="16"/>
  <c r="AZ54" i="16"/>
  <c r="AZ42" i="17"/>
  <c r="AZ43" i="17"/>
  <c r="AZ53" i="17"/>
  <c r="AZ54" i="17"/>
  <c r="AZ42" i="18"/>
  <c r="AZ43" i="18"/>
  <c r="AZ53" i="18"/>
  <c r="AZ54" i="18"/>
  <c r="T25" i="20"/>
  <c r="D109" i="10"/>
  <c r="E109" i="10"/>
  <c r="F109" i="10"/>
  <c r="G109" i="10"/>
  <c r="H109" i="10"/>
  <c r="I109" i="10"/>
  <c r="J109" i="10"/>
  <c r="K109" i="10"/>
  <c r="L109" i="10"/>
  <c r="M109" i="10"/>
  <c r="N109" i="10"/>
  <c r="O109" i="10"/>
  <c r="D110" i="10"/>
  <c r="E110" i="10"/>
  <c r="F110" i="10"/>
  <c r="G110" i="10"/>
  <c r="H110" i="10"/>
  <c r="I110" i="10"/>
  <c r="J110" i="10"/>
  <c r="K110" i="10"/>
  <c r="L110" i="10"/>
  <c r="M110" i="10"/>
  <c r="N110" i="10"/>
  <c r="O110" i="10"/>
  <c r="D111" i="10"/>
  <c r="E111" i="10"/>
  <c r="F111" i="10"/>
  <c r="G111" i="10"/>
  <c r="H111" i="10"/>
  <c r="I111" i="10"/>
  <c r="J111" i="10"/>
  <c r="K111" i="10"/>
  <c r="L111" i="10"/>
  <c r="M111" i="10"/>
  <c r="N111" i="10"/>
  <c r="O111" i="10"/>
  <c r="D112" i="10"/>
  <c r="E112" i="10"/>
  <c r="F112" i="10"/>
  <c r="G112" i="10"/>
  <c r="H112" i="10"/>
  <c r="I112" i="10"/>
  <c r="J112" i="10"/>
  <c r="K112" i="10"/>
  <c r="L112" i="10"/>
  <c r="M112" i="10"/>
  <c r="N112" i="10"/>
  <c r="O112" i="10"/>
  <c r="O116" i="10" s="1"/>
  <c r="D113" i="10"/>
  <c r="E113" i="10"/>
  <c r="F113" i="10"/>
  <c r="G113" i="10"/>
  <c r="H113" i="10"/>
  <c r="I113" i="10"/>
  <c r="J113" i="10"/>
  <c r="K113" i="10"/>
  <c r="L113" i="10"/>
  <c r="M113" i="10"/>
  <c r="N113" i="10"/>
  <c r="O113" i="10"/>
  <c r="D114" i="10"/>
  <c r="E114" i="10"/>
  <c r="F114" i="10"/>
  <c r="G114" i="10"/>
  <c r="G125" i="10" s="1"/>
  <c r="H114" i="10"/>
  <c r="I114" i="10"/>
  <c r="J114" i="10"/>
  <c r="K114" i="10"/>
  <c r="L114" i="10"/>
  <c r="M114" i="10"/>
  <c r="N114" i="10"/>
  <c r="O114" i="10"/>
  <c r="O125" i="10" s="1"/>
  <c r="O127" i="10" s="1"/>
  <c r="D115" i="10"/>
  <c r="E115" i="10"/>
  <c r="F115" i="10"/>
  <c r="G115" i="10"/>
  <c r="H115" i="10"/>
  <c r="I115" i="10"/>
  <c r="J115" i="10"/>
  <c r="K115" i="10"/>
  <c r="K126" i="10" s="1"/>
  <c r="L115" i="10"/>
  <c r="L116" i="10" s="1"/>
  <c r="M115" i="10"/>
  <c r="N115" i="10"/>
  <c r="O115" i="10"/>
  <c r="D116" i="10"/>
  <c r="E116" i="10"/>
  <c r="F116" i="10"/>
  <c r="G116" i="10"/>
  <c r="H116" i="10"/>
  <c r="I116" i="10"/>
  <c r="J116" i="10"/>
  <c r="M116" i="10"/>
  <c r="N116" i="10"/>
  <c r="D120" i="10"/>
  <c r="E120" i="10"/>
  <c r="F120" i="10"/>
  <c r="G120" i="10"/>
  <c r="H120" i="10"/>
  <c r="I120" i="10"/>
  <c r="J120" i="10"/>
  <c r="K120" i="10"/>
  <c r="L120" i="10"/>
  <c r="M120" i="10"/>
  <c r="N120" i="10"/>
  <c r="O120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D122" i="10"/>
  <c r="E122" i="10"/>
  <c r="F122" i="10"/>
  <c r="G122" i="10"/>
  <c r="H122" i="10"/>
  <c r="I122" i="10"/>
  <c r="J122" i="10"/>
  <c r="K122" i="10"/>
  <c r="L122" i="10"/>
  <c r="M122" i="10"/>
  <c r="N122" i="10"/>
  <c r="O122" i="10"/>
  <c r="D123" i="10"/>
  <c r="E123" i="10"/>
  <c r="F123" i="10"/>
  <c r="G123" i="10"/>
  <c r="H123" i="10"/>
  <c r="I123" i="10"/>
  <c r="J123" i="10"/>
  <c r="K123" i="10"/>
  <c r="L123" i="10"/>
  <c r="M123" i="10"/>
  <c r="N123" i="10"/>
  <c r="O123" i="10"/>
  <c r="D124" i="10"/>
  <c r="E124" i="10"/>
  <c r="F124" i="10"/>
  <c r="G124" i="10"/>
  <c r="H124" i="10"/>
  <c r="I124" i="10"/>
  <c r="J124" i="10"/>
  <c r="K124" i="10"/>
  <c r="L124" i="10"/>
  <c r="M124" i="10"/>
  <c r="N124" i="10"/>
  <c r="O124" i="10"/>
  <c r="D125" i="10"/>
  <c r="E125" i="10"/>
  <c r="F125" i="10"/>
  <c r="H125" i="10"/>
  <c r="I125" i="10"/>
  <c r="J125" i="10"/>
  <c r="K125" i="10"/>
  <c r="L125" i="10"/>
  <c r="M125" i="10"/>
  <c r="N125" i="10"/>
  <c r="D126" i="10"/>
  <c r="D127" i="10" s="1"/>
  <c r="E126" i="10"/>
  <c r="E127" i="10" s="1"/>
  <c r="F126" i="10"/>
  <c r="F127" i="10" s="1"/>
  <c r="G126" i="10"/>
  <c r="H126" i="10"/>
  <c r="I126" i="10"/>
  <c r="J126" i="10"/>
  <c r="L126" i="10"/>
  <c r="L127" i="10" s="1"/>
  <c r="M126" i="10"/>
  <c r="N126" i="10"/>
  <c r="N127" i="10" s="1"/>
  <c r="O126" i="10"/>
  <c r="H127" i="10"/>
  <c r="I127" i="10"/>
  <c r="J127" i="10"/>
  <c r="M127" i="10"/>
  <c r="D131" i="10"/>
  <c r="E131" i="10"/>
  <c r="F131" i="10"/>
  <c r="G131" i="10"/>
  <c r="H131" i="10"/>
  <c r="I131" i="10"/>
  <c r="J131" i="10"/>
  <c r="K131" i="10"/>
  <c r="L131" i="10"/>
  <c r="M131" i="10"/>
  <c r="N131" i="10"/>
  <c r="O131" i="10"/>
  <c r="D132" i="10"/>
  <c r="E132" i="10"/>
  <c r="F132" i="10"/>
  <c r="G132" i="10"/>
  <c r="H132" i="10"/>
  <c r="I132" i="10"/>
  <c r="J132" i="10"/>
  <c r="K132" i="10"/>
  <c r="L132" i="10"/>
  <c r="M132" i="10"/>
  <c r="N132" i="10"/>
  <c r="O132" i="10"/>
  <c r="O138" i="10" s="1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L138" i="10" s="1"/>
  <c r="M137" i="10"/>
  <c r="N137" i="10"/>
  <c r="N138" i="10" s="1"/>
  <c r="O137" i="10"/>
  <c r="D138" i="10"/>
  <c r="E138" i="10"/>
  <c r="F138" i="10"/>
  <c r="G138" i="10"/>
  <c r="H138" i="10"/>
  <c r="I138" i="10"/>
  <c r="J138" i="10"/>
  <c r="M138" i="10"/>
  <c r="D109" i="11"/>
  <c r="E109" i="11"/>
  <c r="F109" i="11"/>
  <c r="G109" i="11"/>
  <c r="H109" i="11"/>
  <c r="I109" i="11"/>
  <c r="J109" i="11"/>
  <c r="K109" i="11"/>
  <c r="L109" i="11"/>
  <c r="M109" i="11"/>
  <c r="N109" i="11"/>
  <c r="O109" i="11"/>
  <c r="D110" i="11"/>
  <c r="E110" i="11"/>
  <c r="F110" i="11"/>
  <c r="G110" i="11"/>
  <c r="G121" i="11" s="1"/>
  <c r="H110" i="11"/>
  <c r="I110" i="11"/>
  <c r="J110" i="11"/>
  <c r="K110" i="11"/>
  <c r="L110" i="11"/>
  <c r="M110" i="11"/>
  <c r="N110" i="11"/>
  <c r="O110" i="11"/>
  <c r="O116" i="11" s="1"/>
  <c r="D111" i="11"/>
  <c r="E111" i="11"/>
  <c r="F111" i="11"/>
  <c r="G111" i="11"/>
  <c r="H111" i="11"/>
  <c r="I111" i="11"/>
  <c r="J111" i="11"/>
  <c r="K111" i="11"/>
  <c r="K122" i="11" s="1"/>
  <c r="L111" i="11"/>
  <c r="M111" i="11"/>
  <c r="N111" i="11"/>
  <c r="O111" i="11"/>
  <c r="D112" i="11"/>
  <c r="E112" i="11"/>
  <c r="F112" i="11"/>
  <c r="G112" i="11"/>
  <c r="G123" i="11" s="1"/>
  <c r="H112" i="11"/>
  <c r="I112" i="11"/>
  <c r="J112" i="11"/>
  <c r="K112" i="11"/>
  <c r="L112" i="11"/>
  <c r="M112" i="11"/>
  <c r="N112" i="11"/>
  <c r="O112" i="11"/>
  <c r="O123" i="11" s="1"/>
  <c r="D113" i="11"/>
  <c r="E113" i="11"/>
  <c r="F113" i="11"/>
  <c r="G113" i="11"/>
  <c r="H113" i="11"/>
  <c r="I113" i="11"/>
  <c r="J113" i="11"/>
  <c r="K113" i="11"/>
  <c r="K124" i="11" s="1"/>
  <c r="L113" i="11"/>
  <c r="M113" i="11"/>
  <c r="N113" i="11"/>
  <c r="O113" i="11"/>
  <c r="D114" i="11"/>
  <c r="E114" i="11"/>
  <c r="F114" i="11"/>
  <c r="G114" i="11"/>
  <c r="G125" i="11" s="1"/>
  <c r="H114" i="11"/>
  <c r="I114" i="11"/>
  <c r="J114" i="11"/>
  <c r="K114" i="11"/>
  <c r="L114" i="11"/>
  <c r="M114" i="11"/>
  <c r="N114" i="11"/>
  <c r="O114" i="11"/>
  <c r="O125" i="11" s="1"/>
  <c r="D115" i="11"/>
  <c r="E115" i="11"/>
  <c r="F115" i="11"/>
  <c r="G115" i="11"/>
  <c r="H115" i="11"/>
  <c r="I115" i="11"/>
  <c r="J115" i="11"/>
  <c r="K115" i="11"/>
  <c r="K126" i="11" s="1"/>
  <c r="L115" i="11"/>
  <c r="L116" i="11" s="1"/>
  <c r="M115" i="11"/>
  <c r="N115" i="11"/>
  <c r="O115" i="11"/>
  <c r="D116" i="11"/>
  <c r="E116" i="11"/>
  <c r="F116" i="11"/>
  <c r="G116" i="11"/>
  <c r="H116" i="11"/>
  <c r="I116" i="11"/>
  <c r="J116" i="11"/>
  <c r="M116" i="11"/>
  <c r="N116" i="11"/>
  <c r="D120" i="11"/>
  <c r="E120" i="11"/>
  <c r="F120" i="11"/>
  <c r="G120" i="11"/>
  <c r="H120" i="11"/>
  <c r="I120" i="11"/>
  <c r="J120" i="11"/>
  <c r="L120" i="11"/>
  <c r="M120" i="11"/>
  <c r="N120" i="11"/>
  <c r="O120" i="11"/>
  <c r="D121" i="11"/>
  <c r="E121" i="11"/>
  <c r="F121" i="11"/>
  <c r="H121" i="11"/>
  <c r="I121" i="11"/>
  <c r="J121" i="11"/>
  <c r="K121" i="11"/>
  <c r="L121" i="11"/>
  <c r="M121" i="11"/>
  <c r="N121" i="11"/>
  <c r="D122" i="11"/>
  <c r="E122" i="11"/>
  <c r="F122" i="11"/>
  <c r="G122" i="11"/>
  <c r="H122" i="11"/>
  <c r="I122" i="11"/>
  <c r="J122" i="11"/>
  <c r="L122" i="11"/>
  <c r="M122" i="11"/>
  <c r="N122" i="11"/>
  <c r="O122" i="11"/>
  <c r="D123" i="11"/>
  <c r="E123" i="11"/>
  <c r="F123" i="11"/>
  <c r="H123" i="11"/>
  <c r="I123" i="11"/>
  <c r="J123" i="11"/>
  <c r="K123" i="11"/>
  <c r="L123" i="11"/>
  <c r="M123" i="11"/>
  <c r="N123" i="11"/>
  <c r="D124" i="11"/>
  <c r="E124" i="11"/>
  <c r="F124" i="11"/>
  <c r="G124" i="11"/>
  <c r="H124" i="11"/>
  <c r="I124" i="11"/>
  <c r="J124" i="11"/>
  <c r="L124" i="11"/>
  <c r="M124" i="11"/>
  <c r="N124" i="11"/>
  <c r="O124" i="11"/>
  <c r="D125" i="11"/>
  <c r="E125" i="11"/>
  <c r="F125" i="11"/>
  <c r="H125" i="11"/>
  <c r="I125" i="11"/>
  <c r="J125" i="11"/>
  <c r="K125" i="11"/>
  <c r="L125" i="11"/>
  <c r="M125" i="11"/>
  <c r="N125" i="11"/>
  <c r="D126" i="11"/>
  <c r="E126" i="11"/>
  <c r="E127" i="11" s="1"/>
  <c r="F126" i="11"/>
  <c r="F127" i="11" s="1"/>
  <c r="G126" i="11"/>
  <c r="H126" i="11"/>
  <c r="I126" i="11"/>
  <c r="J126" i="11"/>
  <c r="L126" i="11"/>
  <c r="M126" i="11"/>
  <c r="M127" i="11" s="1"/>
  <c r="N126" i="11"/>
  <c r="N127" i="11" s="1"/>
  <c r="O126" i="11"/>
  <c r="D127" i="11"/>
  <c r="H127" i="11"/>
  <c r="I127" i="11"/>
  <c r="J127" i="11"/>
  <c r="L127" i="11"/>
  <c r="D131" i="11"/>
  <c r="E131" i="11"/>
  <c r="F131" i="11"/>
  <c r="G131" i="11"/>
  <c r="H131" i="11"/>
  <c r="I131" i="11"/>
  <c r="J131" i="11"/>
  <c r="K131" i="11"/>
  <c r="L131" i="11"/>
  <c r="M131" i="11"/>
  <c r="N131" i="11"/>
  <c r="O131" i="11"/>
  <c r="D132" i="11"/>
  <c r="E132" i="11"/>
  <c r="F132" i="11"/>
  <c r="G132" i="11"/>
  <c r="G138" i="11" s="1"/>
  <c r="H132" i="11"/>
  <c r="I132" i="11"/>
  <c r="J132" i="11"/>
  <c r="K132" i="11"/>
  <c r="L132" i="11"/>
  <c r="M132" i="11"/>
  <c r="N132" i="11"/>
  <c r="O132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O138" i="11" s="1"/>
  <c r="D137" i="11"/>
  <c r="D138" i="11" s="1"/>
  <c r="E137" i="11"/>
  <c r="E138" i="11" s="1"/>
  <c r="F137" i="11"/>
  <c r="F138" i="11" s="1"/>
  <c r="G137" i="11"/>
  <c r="H137" i="11"/>
  <c r="I137" i="11"/>
  <c r="J137" i="11"/>
  <c r="K137" i="11"/>
  <c r="L137" i="11"/>
  <c r="L138" i="11" s="1"/>
  <c r="M137" i="11"/>
  <c r="M138" i="11" s="1"/>
  <c r="N137" i="11"/>
  <c r="N138" i="11" s="1"/>
  <c r="O137" i="11"/>
  <c r="H138" i="11"/>
  <c r="I138" i="11"/>
  <c r="J138" i="11"/>
  <c r="D109" i="12"/>
  <c r="E109" i="12"/>
  <c r="F109" i="12"/>
  <c r="G109" i="12"/>
  <c r="H109" i="12"/>
  <c r="I109" i="12"/>
  <c r="J109" i="12"/>
  <c r="K109" i="12"/>
  <c r="K120" i="12" s="1"/>
  <c r="L109" i="12"/>
  <c r="M109" i="12"/>
  <c r="N109" i="12"/>
  <c r="O109" i="12"/>
  <c r="D110" i="12"/>
  <c r="E110" i="12"/>
  <c r="F110" i="12"/>
  <c r="G110" i="12"/>
  <c r="G121" i="12" s="1"/>
  <c r="H110" i="12"/>
  <c r="I110" i="12"/>
  <c r="J110" i="12"/>
  <c r="K110" i="12"/>
  <c r="L110" i="12"/>
  <c r="M110" i="12"/>
  <c r="N110" i="12"/>
  <c r="O110" i="12"/>
  <c r="O116" i="12" s="1"/>
  <c r="D111" i="12"/>
  <c r="E111" i="12"/>
  <c r="F111" i="12"/>
  <c r="G111" i="12"/>
  <c r="H111" i="12"/>
  <c r="I111" i="12"/>
  <c r="J111" i="12"/>
  <c r="K111" i="12"/>
  <c r="K122" i="12" s="1"/>
  <c r="L111" i="12"/>
  <c r="M111" i="12"/>
  <c r="N111" i="12"/>
  <c r="O111" i="12"/>
  <c r="D112" i="12"/>
  <c r="E112" i="12"/>
  <c r="F112" i="12"/>
  <c r="G112" i="12"/>
  <c r="G116" i="12" s="1"/>
  <c r="H112" i="12"/>
  <c r="I112" i="12"/>
  <c r="J112" i="12"/>
  <c r="K112" i="12"/>
  <c r="L112" i="12"/>
  <c r="M112" i="12"/>
  <c r="N112" i="12"/>
  <c r="O112" i="12"/>
  <c r="O123" i="12" s="1"/>
  <c r="D113" i="12"/>
  <c r="E113" i="12"/>
  <c r="F113" i="12"/>
  <c r="G113" i="12"/>
  <c r="H113" i="12"/>
  <c r="I113" i="12"/>
  <c r="J113" i="12"/>
  <c r="K113" i="12"/>
  <c r="K124" i="12" s="1"/>
  <c r="L113" i="12"/>
  <c r="M113" i="12"/>
  <c r="N113" i="12"/>
  <c r="O113" i="12"/>
  <c r="D114" i="12"/>
  <c r="E114" i="12"/>
  <c r="F114" i="12"/>
  <c r="G114" i="12"/>
  <c r="G125" i="12" s="1"/>
  <c r="H114" i="12"/>
  <c r="I114" i="12"/>
  <c r="J114" i="12"/>
  <c r="K114" i="12"/>
  <c r="L114" i="12"/>
  <c r="M114" i="12"/>
  <c r="N114" i="12"/>
  <c r="O114" i="12"/>
  <c r="O125" i="12" s="1"/>
  <c r="D115" i="12"/>
  <c r="D116" i="12" s="1"/>
  <c r="E115" i="12"/>
  <c r="F115" i="12"/>
  <c r="G115" i="12"/>
  <c r="H115" i="12"/>
  <c r="I115" i="12"/>
  <c r="I116" i="12" s="1"/>
  <c r="J115" i="12"/>
  <c r="K115" i="12"/>
  <c r="K126" i="12" s="1"/>
  <c r="L115" i="12"/>
  <c r="L116" i="12" s="1"/>
  <c r="M115" i="12"/>
  <c r="N115" i="12"/>
  <c r="N116" i="12" s="1"/>
  <c r="O115" i="12"/>
  <c r="E116" i="12"/>
  <c r="F116" i="12"/>
  <c r="H116" i="12"/>
  <c r="J116" i="12"/>
  <c r="M116" i="12"/>
  <c r="D120" i="12"/>
  <c r="E120" i="12"/>
  <c r="F120" i="12"/>
  <c r="G120" i="12"/>
  <c r="H120" i="12"/>
  <c r="I120" i="12"/>
  <c r="J120" i="12"/>
  <c r="L120" i="12"/>
  <c r="M120" i="12"/>
  <c r="N120" i="12"/>
  <c r="O120" i="12"/>
  <c r="D121" i="12"/>
  <c r="E121" i="12"/>
  <c r="F121" i="12"/>
  <c r="H121" i="12"/>
  <c r="I121" i="12"/>
  <c r="J121" i="12"/>
  <c r="K121" i="12"/>
  <c r="L121" i="12"/>
  <c r="M121" i="12"/>
  <c r="N121" i="12"/>
  <c r="D122" i="12"/>
  <c r="E122" i="12"/>
  <c r="F122" i="12"/>
  <c r="G122" i="12"/>
  <c r="H122" i="12"/>
  <c r="H127" i="12" s="1"/>
  <c r="I122" i="12"/>
  <c r="J122" i="12"/>
  <c r="L122" i="12"/>
  <c r="M122" i="12"/>
  <c r="N122" i="12"/>
  <c r="O122" i="12"/>
  <c r="D123" i="12"/>
  <c r="E123" i="12"/>
  <c r="F123" i="12"/>
  <c r="H123" i="12"/>
  <c r="I123" i="12"/>
  <c r="J123" i="12"/>
  <c r="K123" i="12"/>
  <c r="L123" i="12"/>
  <c r="M123" i="12"/>
  <c r="N123" i="12"/>
  <c r="D124" i="12"/>
  <c r="E124" i="12"/>
  <c r="F124" i="12"/>
  <c r="G124" i="12"/>
  <c r="H124" i="12"/>
  <c r="I124" i="12"/>
  <c r="I127" i="12" s="1"/>
  <c r="J124" i="12"/>
  <c r="L124" i="12"/>
  <c r="M124" i="12"/>
  <c r="N124" i="12"/>
  <c r="O124" i="12"/>
  <c r="D125" i="12"/>
  <c r="E125" i="12"/>
  <c r="F125" i="12"/>
  <c r="H125" i="12"/>
  <c r="I125" i="12"/>
  <c r="J125" i="12"/>
  <c r="K125" i="12"/>
  <c r="L125" i="12"/>
  <c r="M125" i="12"/>
  <c r="N125" i="12"/>
  <c r="D126" i="12"/>
  <c r="E126" i="12"/>
  <c r="F126" i="12"/>
  <c r="G126" i="12"/>
  <c r="H126" i="12"/>
  <c r="I126" i="12"/>
  <c r="J126" i="12"/>
  <c r="L126" i="12"/>
  <c r="M126" i="12"/>
  <c r="N126" i="12"/>
  <c r="O126" i="12"/>
  <c r="D127" i="12"/>
  <c r="E127" i="12"/>
  <c r="F127" i="12"/>
  <c r="J127" i="12"/>
  <c r="L127" i="12"/>
  <c r="M127" i="12"/>
  <c r="N127" i="12"/>
  <c r="D131" i="12"/>
  <c r="E131" i="12"/>
  <c r="F131" i="12"/>
  <c r="G131" i="12"/>
  <c r="H131" i="12"/>
  <c r="H138" i="12" s="1"/>
  <c r="I131" i="12"/>
  <c r="J131" i="12"/>
  <c r="K131" i="12"/>
  <c r="L131" i="12"/>
  <c r="M131" i="12"/>
  <c r="N131" i="12"/>
  <c r="O131" i="12"/>
  <c r="D132" i="12"/>
  <c r="E132" i="12"/>
  <c r="F132" i="12"/>
  <c r="G132" i="12"/>
  <c r="H132" i="12"/>
  <c r="I132" i="12"/>
  <c r="J132" i="12"/>
  <c r="K132" i="12"/>
  <c r="L132" i="12"/>
  <c r="M132" i="12"/>
  <c r="N132" i="12"/>
  <c r="O132" i="12"/>
  <c r="O138" i="12" s="1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D138" i="12"/>
  <c r="E138" i="12"/>
  <c r="F138" i="12"/>
  <c r="G138" i="12"/>
  <c r="I138" i="12"/>
  <c r="J138" i="12"/>
  <c r="L138" i="12"/>
  <c r="M138" i="12"/>
  <c r="N138" i="12"/>
  <c r="D109" i="13"/>
  <c r="E109" i="13"/>
  <c r="F109" i="13"/>
  <c r="G109" i="13"/>
  <c r="H109" i="13"/>
  <c r="H116" i="13" s="1"/>
  <c r="I109" i="13"/>
  <c r="J109" i="13"/>
  <c r="K109" i="13"/>
  <c r="L109" i="13"/>
  <c r="M109" i="13"/>
  <c r="N109" i="13"/>
  <c r="O109" i="13"/>
  <c r="D110" i="13"/>
  <c r="E110" i="13"/>
  <c r="F110" i="13"/>
  <c r="G110" i="13"/>
  <c r="H110" i="13"/>
  <c r="I110" i="13"/>
  <c r="J110" i="13"/>
  <c r="K110" i="13"/>
  <c r="L110" i="13"/>
  <c r="M110" i="13"/>
  <c r="N110" i="13"/>
  <c r="O110" i="13"/>
  <c r="O116" i="13" s="1"/>
  <c r="D111" i="13"/>
  <c r="E111" i="13"/>
  <c r="F111" i="13"/>
  <c r="G111" i="13"/>
  <c r="H111" i="13"/>
  <c r="I111" i="13"/>
  <c r="J111" i="13"/>
  <c r="K111" i="13"/>
  <c r="K122" i="13" s="1"/>
  <c r="L111" i="13"/>
  <c r="M111" i="13"/>
  <c r="N111" i="13"/>
  <c r="O111" i="13"/>
  <c r="D112" i="13"/>
  <c r="E112" i="13"/>
  <c r="F112" i="13"/>
  <c r="G112" i="13"/>
  <c r="G123" i="13" s="1"/>
  <c r="H112" i="13"/>
  <c r="I112" i="13"/>
  <c r="J112" i="13"/>
  <c r="K112" i="13"/>
  <c r="L112" i="13"/>
  <c r="M112" i="13"/>
  <c r="N112" i="13"/>
  <c r="O112" i="13"/>
  <c r="O123" i="13" s="1"/>
  <c r="D113" i="13"/>
  <c r="E113" i="13"/>
  <c r="F113" i="13"/>
  <c r="G113" i="13"/>
  <c r="H113" i="13"/>
  <c r="I113" i="13"/>
  <c r="J113" i="13"/>
  <c r="K113" i="13"/>
  <c r="K124" i="13" s="1"/>
  <c r="L113" i="13"/>
  <c r="M113" i="13"/>
  <c r="N113" i="13"/>
  <c r="O113" i="13"/>
  <c r="D114" i="13"/>
  <c r="E114" i="13"/>
  <c r="F114" i="13"/>
  <c r="G114" i="13"/>
  <c r="G125" i="13" s="1"/>
  <c r="H114" i="13"/>
  <c r="I114" i="13"/>
  <c r="J114" i="13"/>
  <c r="K114" i="13"/>
  <c r="L114" i="13"/>
  <c r="M114" i="13"/>
  <c r="N114" i="13"/>
  <c r="O114" i="13"/>
  <c r="O125" i="13" s="1"/>
  <c r="D115" i="13"/>
  <c r="E115" i="13"/>
  <c r="F115" i="13"/>
  <c r="G115" i="13"/>
  <c r="H115" i="13"/>
  <c r="I115" i="13"/>
  <c r="J115" i="13"/>
  <c r="K115" i="13"/>
  <c r="K126" i="13" s="1"/>
  <c r="L115" i="13"/>
  <c r="M115" i="13"/>
  <c r="M116" i="13" s="1"/>
  <c r="N115" i="13"/>
  <c r="O115" i="13"/>
  <c r="D116" i="13"/>
  <c r="E116" i="13"/>
  <c r="F116" i="13"/>
  <c r="G116" i="13"/>
  <c r="I116" i="13"/>
  <c r="J116" i="13"/>
  <c r="L116" i="13"/>
  <c r="N116" i="13"/>
  <c r="D120" i="13"/>
  <c r="E120" i="13"/>
  <c r="F120" i="13"/>
  <c r="G120" i="13"/>
  <c r="H120" i="13"/>
  <c r="H127" i="13" s="1"/>
  <c r="I120" i="13"/>
  <c r="J120" i="13"/>
  <c r="K120" i="13"/>
  <c r="L120" i="13"/>
  <c r="M120" i="13"/>
  <c r="N120" i="13"/>
  <c r="O120" i="13"/>
  <c r="D121" i="13"/>
  <c r="E121" i="13"/>
  <c r="F121" i="13"/>
  <c r="G121" i="13"/>
  <c r="H121" i="13"/>
  <c r="I121" i="13"/>
  <c r="J121" i="13"/>
  <c r="K121" i="13"/>
  <c r="L121" i="13"/>
  <c r="M121" i="13"/>
  <c r="N121" i="13"/>
  <c r="O121" i="13"/>
  <c r="D122" i="13"/>
  <c r="E122" i="13"/>
  <c r="F122" i="13"/>
  <c r="G122" i="13"/>
  <c r="H122" i="13"/>
  <c r="I122" i="13"/>
  <c r="J122" i="13"/>
  <c r="L122" i="13"/>
  <c r="M122" i="13"/>
  <c r="N122" i="13"/>
  <c r="O122" i="13"/>
  <c r="D123" i="13"/>
  <c r="E123" i="13"/>
  <c r="F123" i="13"/>
  <c r="H123" i="13"/>
  <c r="I123" i="13"/>
  <c r="J123" i="13"/>
  <c r="K123" i="13"/>
  <c r="L123" i="13"/>
  <c r="M123" i="13"/>
  <c r="N123" i="13"/>
  <c r="D124" i="13"/>
  <c r="E124" i="13"/>
  <c r="F124" i="13"/>
  <c r="G124" i="13"/>
  <c r="H124" i="13"/>
  <c r="I124" i="13"/>
  <c r="J124" i="13"/>
  <c r="L124" i="13"/>
  <c r="M124" i="13"/>
  <c r="N124" i="13"/>
  <c r="O124" i="13"/>
  <c r="D125" i="13"/>
  <c r="E125" i="13"/>
  <c r="F125" i="13"/>
  <c r="H125" i="13"/>
  <c r="I125" i="13"/>
  <c r="J125" i="13"/>
  <c r="K125" i="13"/>
  <c r="L125" i="13"/>
  <c r="M125" i="13"/>
  <c r="N125" i="13"/>
  <c r="D126" i="13"/>
  <c r="E126" i="13"/>
  <c r="E127" i="13" s="1"/>
  <c r="F126" i="13"/>
  <c r="F127" i="13" s="1"/>
  <c r="G126" i="13"/>
  <c r="H126" i="13"/>
  <c r="I126" i="13"/>
  <c r="J126" i="13"/>
  <c r="L126" i="13"/>
  <c r="M126" i="13"/>
  <c r="M127" i="13" s="1"/>
  <c r="N126" i="13"/>
  <c r="N127" i="13" s="1"/>
  <c r="O126" i="13"/>
  <c r="D127" i="13"/>
  <c r="I127" i="13"/>
  <c r="J127" i="13"/>
  <c r="L127" i="13"/>
  <c r="D131" i="13"/>
  <c r="E131" i="13"/>
  <c r="F131" i="13"/>
  <c r="G131" i="13"/>
  <c r="H131" i="13"/>
  <c r="I131" i="13"/>
  <c r="J131" i="13"/>
  <c r="K131" i="13"/>
  <c r="L131" i="13"/>
  <c r="M131" i="13"/>
  <c r="N131" i="13"/>
  <c r="O131" i="13"/>
  <c r="D132" i="13"/>
  <c r="E132" i="13"/>
  <c r="F132" i="13"/>
  <c r="G132" i="13"/>
  <c r="G138" i="13" s="1"/>
  <c r="H132" i="13"/>
  <c r="I132" i="13"/>
  <c r="J132" i="13"/>
  <c r="K132" i="13"/>
  <c r="L132" i="13"/>
  <c r="M132" i="13"/>
  <c r="N132" i="13"/>
  <c r="O132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D136" i="13"/>
  <c r="E136" i="13"/>
  <c r="F136" i="13"/>
  <c r="G136" i="13"/>
  <c r="H136" i="13"/>
  <c r="I136" i="13"/>
  <c r="J136" i="13"/>
  <c r="K136" i="13"/>
  <c r="L136" i="13"/>
  <c r="L138" i="13" s="1"/>
  <c r="M136" i="13"/>
  <c r="N136" i="13"/>
  <c r="O136" i="13"/>
  <c r="D137" i="13"/>
  <c r="E137" i="13"/>
  <c r="E138" i="13" s="1"/>
  <c r="F137" i="13"/>
  <c r="G137" i="13"/>
  <c r="H137" i="13"/>
  <c r="I137" i="13"/>
  <c r="J137" i="13"/>
  <c r="K137" i="13"/>
  <c r="L137" i="13"/>
  <c r="M137" i="13"/>
  <c r="M138" i="13" s="1"/>
  <c r="N137" i="13"/>
  <c r="N138" i="13" s="1"/>
  <c r="O137" i="13"/>
  <c r="D138" i="13"/>
  <c r="F138" i="13"/>
  <c r="I138" i="13"/>
  <c r="J138" i="13"/>
  <c r="O138" i="13"/>
  <c r="AZ14" i="14"/>
  <c r="AY259" i="14" s="1"/>
  <c r="AY181" i="14"/>
  <c r="AY179" i="14"/>
  <c r="AY260" i="14" s="1"/>
  <c r="AY177" i="14"/>
  <c r="AY175" i="14"/>
  <c r="AY14" i="14"/>
  <c r="AX259" i="14" s="1"/>
  <c r="AX181" i="14"/>
  <c r="AX179" i="14"/>
  <c r="AX177" i="14"/>
  <c r="AX260" i="14" s="1"/>
  <c r="AX175" i="14"/>
  <c r="AW259" i="14"/>
  <c r="AX14" i="14"/>
  <c r="AW181" i="14"/>
  <c r="AW179" i="14"/>
  <c r="AW177" i="14"/>
  <c r="AW175" i="14"/>
  <c r="AW260" i="14" s="1"/>
  <c r="AW14" i="14"/>
  <c r="AV259" i="14" s="1"/>
  <c r="AV181" i="14"/>
  <c r="AV179" i="14"/>
  <c r="AV177" i="14"/>
  <c r="AV175" i="14"/>
  <c r="AV260" i="14" s="1"/>
  <c r="AV14" i="14"/>
  <c r="AU259" i="14" s="1"/>
  <c r="AU181" i="14"/>
  <c r="AU260" i="14" s="1"/>
  <c r="AU179" i="14"/>
  <c r="AU177" i="14"/>
  <c r="AU175" i="14"/>
  <c r="AT259" i="14"/>
  <c r="AU14" i="14"/>
  <c r="AT181" i="14"/>
  <c r="AT179" i="14"/>
  <c r="AT177" i="14"/>
  <c r="AT175" i="14"/>
  <c r="AT260" i="14" s="1"/>
  <c r="AT14" i="14"/>
  <c r="AS259" i="14" s="1"/>
  <c r="AS181" i="14"/>
  <c r="AS179" i="14"/>
  <c r="AS177" i="14"/>
  <c r="AS175" i="14"/>
  <c r="AS260" i="14" s="1"/>
  <c r="AS14" i="14"/>
  <c r="AR259" i="14" s="1"/>
  <c r="AR181" i="14"/>
  <c r="AR179" i="14"/>
  <c r="AR177" i="14"/>
  <c r="AR175" i="14"/>
  <c r="AR14" i="14"/>
  <c r="AQ259" i="14" s="1"/>
  <c r="AQ181" i="14"/>
  <c r="AQ179" i="14"/>
  <c r="AQ260" i="14" s="1"/>
  <c r="AQ177" i="14"/>
  <c r="AQ175" i="14"/>
  <c r="AP260" i="14"/>
  <c r="AQ14" i="14"/>
  <c r="AP259" i="14" s="1"/>
  <c r="AP181" i="14"/>
  <c r="AP179" i="14"/>
  <c r="AP177" i="14"/>
  <c r="AP175" i="14"/>
  <c r="AO259" i="14"/>
  <c r="AP14" i="14"/>
  <c r="AO181" i="14"/>
  <c r="AO179" i="14"/>
  <c r="AO177" i="14"/>
  <c r="AO175" i="14"/>
  <c r="AO260" i="14" s="1"/>
  <c r="AO14" i="14"/>
  <c r="AN259" i="14" s="1"/>
  <c r="AN181" i="14"/>
  <c r="AN179" i="14"/>
  <c r="AN177" i="14"/>
  <c r="AN175" i="14"/>
  <c r="AN260" i="14" s="1"/>
  <c r="AN14" i="14"/>
  <c r="AM259" i="14" s="1"/>
  <c r="AM181" i="14"/>
  <c r="AM260" i="14" s="1"/>
  <c r="AM179" i="14"/>
  <c r="AM177" i="14"/>
  <c r="AM175" i="14"/>
  <c r="AL259" i="14"/>
  <c r="AM14" i="14"/>
  <c r="AL181" i="14"/>
  <c r="AL179" i="14"/>
  <c r="AL177" i="14"/>
  <c r="AL175" i="14"/>
  <c r="AL260" i="14" s="1"/>
  <c r="AL14" i="14"/>
  <c r="AK259" i="14" s="1"/>
  <c r="AK181" i="14"/>
  <c r="AK179" i="14"/>
  <c r="AK177" i="14"/>
  <c r="AK175" i="14"/>
  <c r="AK14" i="14"/>
  <c r="AJ259" i="14" s="1"/>
  <c r="AJ181" i="14"/>
  <c r="AJ179" i="14"/>
  <c r="AJ177" i="14"/>
  <c r="AJ175" i="14"/>
  <c r="AJ260" i="14" s="1"/>
  <c r="AJ14" i="14"/>
  <c r="AI259" i="14" s="1"/>
  <c r="AI181" i="14"/>
  <c r="AI179" i="14"/>
  <c r="AI260" i="14" s="1"/>
  <c r="AI177" i="14"/>
  <c r="AI175" i="14"/>
  <c r="AI14" i="14"/>
  <c r="AH259" i="14" s="1"/>
  <c r="AH181" i="14"/>
  <c r="AH179" i="14"/>
  <c r="AH177" i="14"/>
  <c r="AH260" i="14" s="1"/>
  <c r="AH175" i="14"/>
  <c r="AG259" i="14"/>
  <c r="AH14" i="14"/>
  <c r="AG181" i="14"/>
  <c r="AG179" i="14"/>
  <c r="AG177" i="14"/>
  <c r="AG175" i="14"/>
  <c r="AG260" i="14" s="1"/>
  <c r="AG14" i="14"/>
  <c r="AF259" i="14" s="1"/>
  <c r="AF181" i="14"/>
  <c r="AF179" i="14"/>
  <c r="AF177" i="14"/>
  <c r="AF175" i="14"/>
  <c r="AF260" i="14" s="1"/>
  <c r="AF14" i="14"/>
  <c r="AE259" i="14" s="1"/>
  <c r="AE181" i="14"/>
  <c r="AE260" i="14" s="1"/>
  <c r="AE179" i="14"/>
  <c r="AE177" i="14"/>
  <c r="AE175" i="14"/>
  <c r="AD259" i="14"/>
  <c r="AE14" i="14"/>
  <c r="AD181" i="14"/>
  <c r="AD179" i="14"/>
  <c r="AD177" i="14"/>
  <c r="AD175" i="14"/>
  <c r="AD260" i="14" s="1"/>
  <c r="AD14" i="14"/>
  <c r="AC259" i="14" s="1"/>
  <c r="AC181" i="14"/>
  <c r="AC179" i="14"/>
  <c r="AC177" i="14"/>
  <c r="AC175" i="14"/>
  <c r="AC260" i="14" s="1"/>
  <c r="AC14" i="14"/>
  <c r="AB259" i="14" s="1"/>
  <c r="AB181" i="14"/>
  <c r="AB179" i="14"/>
  <c r="AB177" i="14"/>
  <c r="AB175" i="14"/>
  <c r="AB14" i="14"/>
  <c r="AA259" i="14" s="1"/>
  <c r="AA181" i="14"/>
  <c r="AA179" i="14"/>
  <c r="AA260" i="14" s="1"/>
  <c r="AA177" i="14"/>
  <c r="AA175" i="14"/>
  <c r="Z260" i="14"/>
  <c r="Z259" i="14"/>
  <c r="AA14" i="14"/>
  <c r="Z181" i="14"/>
  <c r="Z179" i="14"/>
  <c r="Z177" i="14"/>
  <c r="Z175" i="14"/>
  <c r="Y259" i="14"/>
  <c r="Z14" i="14"/>
  <c r="Y181" i="14"/>
  <c r="Y179" i="14"/>
  <c r="Y177" i="14"/>
  <c r="Y175" i="14"/>
  <c r="Y260" i="14" s="1"/>
  <c r="Y14" i="14"/>
  <c r="X259" i="14" s="1"/>
  <c r="X181" i="14"/>
  <c r="X179" i="14"/>
  <c r="X177" i="14"/>
  <c r="X175" i="14"/>
  <c r="X260" i="14" s="1"/>
  <c r="X14" i="14"/>
  <c r="W259" i="14" s="1"/>
  <c r="W181" i="14"/>
  <c r="W260" i="14" s="1"/>
  <c r="W179" i="14"/>
  <c r="W177" i="14"/>
  <c r="W175" i="14"/>
  <c r="V259" i="14"/>
  <c r="W14" i="14"/>
  <c r="V181" i="14"/>
  <c r="V179" i="14"/>
  <c r="V177" i="14"/>
  <c r="V175" i="14"/>
  <c r="V260" i="14" s="1"/>
  <c r="V14" i="14"/>
  <c r="U259" i="14" s="1"/>
  <c r="U181" i="14"/>
  <c r="U179" i="14"/>
  <c r="U177" i="14"/>
  <c r="U175" i="14"/>
  <c r="U14" i="14"/>
  <c r="T259" i="14" s="1"/>
  <c r="T181" i="14"/>
  <c r="T179" i="14"/>
  <c r="T177" i="14"/>
  <c r="T175" i="14"/>
  <c r="T260" i="14" s="1"/>
  <c r="T14" i="14"/>
  <c r="S259" i="14" s="1"/>
  <c r="S181" i="14"/>
  <c r="S179" i="14"/>
  <c r="S260" i="14" s="1"/>
  <c r="S177" i="14"/>
  <c r="S175" i="14"/>
  <c r="R260" i="14"/>
  <c r="R259" i="14"/>
  <c r="S14" i="14"/>
  <c r="R181" i="14"/>
  <c r="R179" i="14"/>
  <c r="R177" i="14"/>
  <c r="R175" i="14"/>
  <c r="Q259" i="14"/>
  <c r="R14" i="14"/>
  <c r="Q181" i="14"/>
  <c r="Q179" i="14"/>
  <c r="Q177" i="14"/>
  <c r="Q175" i="14"/>
  <c r="Q260" i="14" s="1"/>
  <c r="Q14" i="14"/>
  <c r="P259" i="14" s="1"/>
  <c r="P181" i="14"/>
  <c r="P179" i="14"/>
  <c r="P177" i="14"/>
  <c r="P175" i="14"/>
  <c r="P260" i="14" s="1"/>
  <c r="O260" i="14"/>
  <c r="P14" i="14"/>
  <c r="O259" i="14" s="1"/>
  <c r="O181" i="14"/>
  <c r="O179" i="14"/>
  <c r="O177" i="14"/>
  <c r="O175" i="14"/>
  <c r="N259" i="14"/>
  <c r="O14" i="14"/>
  <c r="N181" i="14"/>
  <c r="N179" i="14"/>
  <c r="N177" i="14"/>
  <c r="N175" i="14"/>
  <c r="N14" i="14"/>
  <c r="M259" i="14" s="1"/>
  <c r="M181" i="14"/>
  <c r="M179" i="14"/>
  <c r="M177" i="14"/>
  <c r="M175" i="14"/>
  <c r="M14" i="14"/>
  <c r="L259" i="14" s="1"/>
  <c r="L181" i="14"/>
  <c r="L179" i="14"/>
  <c r="L177" i="14"/>
  <c r="L175" i="14"/>
  <c r="L260" i="14" s="1"/>
  <c r="L14" i="14"/>
  <c r="K259" i="14" s="1"/>
  <c r="K181" i="14"/>
  <c r="K179" i="14"/>
  <c r="K260" i="14" s="1"/>
  <c r="K177" i="14"/>
  <c r="K175" i="14"/>
  <c r="J259" i="14"/>
  <c r="K14" i="14"/>
  <c r="J181" i="14"/>
  <c r="J179" i="14"/>
  <c r="J177" i="14"/>
  <c r="J260" i="14" s="1"/>
  <c r="J175" i="14"/>
  <c r="I259" i="14"/>
  <c r="J14" i="14"/>
  <c r="I181" i="14"/>
  <c r="I179" i="14"/>
  <c r="I177" i="14"/>
  <c r="I175" i="14"/>
  <c r="I260" i="14" s="1"/>
  <c r="I14" i="14"/>
  <c r="H259" i="14" s="1"/>
  <c r="H181" i="14"/>
  <c r="H179" i="14"/>
  <c r="H177" i="14"/>
  <c r="H175" i="14"/>
  <c r="H260" i="14" s="1"/>
  <c r="H14" i="14"/>
  <c r="G259" i="14" s="1"/>
  <c r="G181" i="14"/>
  <c r="G260" i="14" s="1"/>
  <c r="G179" i="14"/>
  <c r="G177" i="14"/>
  <c r="G175" i="14"/>
  <c r="F259" i="14"/>
  <c r="G14" i="14"/>
  <c r="F181" i="14"/>
  <c r="F179" i="14"/>
  <c r="F177" i="14"/>
  <c r="F175" i="14"/>
  <c r="F260" i="14" s="1"/>
  <c r="F14" i="14"/>
  <c r="E259" i="14" s="1"/>
  <c r="E181" i="14"/>
  <c r="E179" i="14"/>
  <c r="E177" i="14"/>
  <c r="E175" i="14"/>
  <c r="E260" i="14" s="1"/>
  <c r="E14" i="14"/>
  <c r="D259" i="14" s="1"/>
  <c r="D181" i="14"/>
  <c r="D179" i="14"/>
  <c r="D177" i="14"/>
  <c r="D175" i="14"/>
  <c r="AZ14" i="15"/>
  <c r="AY259" i="15" s="1"/>
  <c r="AY181" i="15"/>
  <c r="AY179" i="15"/>
  <c r="AY260" i="15" s="1"/>
  <c r="AY177" i="15"/>
  <c r="AY175" i="15"/>
  <c r="AX260" i="15"/>
  <c r="AX259" i="15"/>
  <c r="AY14" i="15"/>
  <c r="AX181" i="15"/>
  <c r="AX179" i="15"/>
  <c r="AX177" i="15"/>
  <c r="AX175" i="15"/>
  <c r="AW259" i="15"/>
  <c r="AX14" i="15"/>
  <c r="AW181" i="15"/>
  <c r="AW179" i="15"/>
  <c r="AW177" i="15"/>
  <c r="AW175" i="15"/>
  <c r="AW260" i="15" s="1"/>
  <c r="AW14" i="15"/>
  <c r="AV259" i="15" s="1"/>
  <c r="AV181" i="15"/>
  <c r="AV179" i="15"/>
  <c r="AV177" i="15"/>
  <c r="AV175" i="15"/>
  <c r="AV260" i="15" s="1"/>
  <c r="AV14" i="15"/>
  <c r="AU259" i="15" s="1"/>
  <c r="AU181" i="15"/>
  <c r="AU260" i="15" s="1"/>
  <c r="AU179" i="15"/>
  <c r="AU177" i="15"/>
  <c r="AU175" i="15"/>
  <c r="AT259" i="15"/>
  <c r="AU14" i="15"/>
  <c r="AT181" i="15"/>
  <c r="AT179" i="15"/>
  <c r="AT177" i="15"/>
  <c r="AT175" i="15"/>
  <c r="AT260" i="15" s="1"/>
  <c r="AT14" i="15"/>
  <c r="AS259" i="15" s="1"/>
  <c r="AS181" i="15"/>
  <c r="AS179" i="15"/>
  <c r="AS177" i="15"/>
  <c r="AS175" i="15"/>
  <c r="AS14" i="15"/>
  <c r="AR259" i="15" s="1"/>
  <c r="AR181" i="15"/>
  <c r="AR179" i="15"/>
  <c r="AR177" i="15"/>
  <c r="AR175" i="15"/>
  <c r="AR260" i="15" s="1"/>
  <c r="AR14" i="15"/>
  <c r="AQ259" i="15" s="1"/>
  <c r="AQ181" i="15"/>
  <c r="AQ179" i="15"/>
  <c r="AQ260" i="15" s="1"/>
  <c r="AQ177" i="15"/>
  <c r="AQ175" i="15"/>
  <c r="AP260" i="15"/>
  <c r="AP259" i="15"/>
  <c r="AQ14" i="15"/>
  <c r="AP181" i="15"/>
  <c r="AP179" i="15"/>
  <c r="AP177" i="15"/>
  <c r="AP175" i="15"/>
  <c r="AO259" i="15"/>
  <c r="AP14" i="15"/>
  <c r="AO181" i="15"/>
  <c r="AO179" i="15"/>
  <c r="AO177" i="15"/>
  <c r="AO175" i="15"/>
  <c r="AO260" i="15" s="1"/>
  <c r="AO14" i="15"/>
  <c r="AN259" i="15" s="1"/>
  <c r="AN181" i="15"/>
  <c r="AN179" i="15"/>
  <c r="AN177" i="15"/>
  <c r="AN175" i="15"/>
  <c r="AN260" i="15" s="1"/>
  <c r="AM260" i="15"/>
  <c r="AN14" i="15"/>
  <c r="AM259" i="15" s="1"/>
  <c r="AM181" i="15"/>
  <c r="AM179" i="15"/>
  <c r="AM177" i="15"/>
  <c r="AM175" i="15"/>
  <c r="AL259" i="15"/>
  <c r="AM14" i="15"/>
  <c r="AL181" i="15"/>
  <c r="AL179" i="15"/>
  <c r="AL177" i="15"/>
  <c r="AL175" i="15"/>
  <c r="AL14" i="15"/>
  <c r="AK259" i="15" s="1"/>
  <c r="AK181" i="15"/>
  <c r="AK179" i="15"/>
  <c r="AK177" i="15"/>
  <c r="AK175" i="15"/>
  <c r="AK260" i="15" s="1"/>
  <c r="AK14" i="15"/>
  <c r="AJ259" i="15" s="1"/>
  <c r="AJ181" i="15"/>
  <c r="AJ179" i="15"/>
  <c r="AJ177" i="15"/>
  <c r="AJ175" i="15"/>
  <c r="AJ14" i="15"/>
  <c r="AI259" i="15" s="1"/>
  <c r="AI181" i="15"/>
  <c r="AI179" i="15"/>
  <c r="AI260" i="15" s="1"/>
  <c r="AI177" i="15"/>
  <c r="AI175" i="15"/>
  <c r="AH259" i="15"/>
  <c r="AI14" i="15"/>
  <c r="AH181" i="15"/>
  <c r="AH179" i="15"/>
  <c r="AH177" i="15"/>
  <c r="AH260" i="15" s="1"/>
  <c r="AH175" i="15"/>
  <c r="AG259" i="15"/>
  <c r="AH14" i="15"/>
  <c r="AG181" i="15"/>
  <c r="AG179" i="15"/>
  <c r="AG177" i="15"/>
  <c r="AG175" i="15"/>
  <c r="AG260" i="15" s="1"/>
  <c r="AG14" i="15"/>
  <c r="AF259" i="15" s="1"/>
  <c r="AF181" i="15"/>
  <c r="AF179" i="15"/>
  <c r="AF177" i="15"/>
  <c r="AF175" i="15"/>
  <c r="AF260" i="15" s="1"/>
  <c r="AF14" i="15"/>
  <c r="AE259" i="15" s="1"/>
  <c r="AE181" i="15"/>
  <c r="AE260" i="15" s="1"/>
  <c r="AE179" i="15"/>
  <c r="AE177" i="15"/>
  <c r="AE175" i="15"/>
  <c r="AD259" i="15"/>
  <c r="AE14" i="15"/>
  <c r="AD181" i="15"/>
  <c r="AD179" i="15"/>
  <c r="AD177" i="15"/>
  <c r="AD175" i="15"/>
  <c r="AD260" i="15" s="1"/>
  <c r="AD14" i="15"/>
  <c r="AC259" i="15" s="1"/>
  <c r="AC181" i="15"/>
  <c r="AC179" i="15"/>
  <c r="AC177" i="15"/>
  <c r="AC175" i="15"/>
  <c r="AC260" i="15" s="1"/>
  <c r="AC14" i="15"/>
  <c r="AB259" i="15" s="1"/>
  <c r="AB181" i="15"/>
  <c r="AB179" i="15"/>
  <c r="AB177" i="15"/>
  <c r="AB175" i="15"/>
  <c r="AB260" i="15" s="1"/>
  <c r="AB14" i="15"/>
  <c r="AA259" i="15" s="1"/>
  <c r="AA181" i="15"/>
  <c r="AA179" i="15"/>
  <c r="AA260" i="15" s="1"/>
  <c r="AA177" i="15"/>
  <c r="AA175" i="15"/>
  <c r="Z260" i="15"/>
  <c r="Z259" i="15"/>
  <c r="AA14" i="15"/>
  <c r="Z181" i="15"/>
  <c r="Z179" i="15"/>
  <c r="Z177" i="15"/>
  <c r="Z175" i="15"/>
  <c r="Y259" i="15"/>
  <c r="Z14" i="15"/>
  <c r="Y181" i="15"/>
  <c r="Y179" i="15"/>
  <c r="Y177" i="15"/>
  <c r="Y175" i="15"/>
  <c r="Y260" i="15" s="1"/>
  <c r="Y14" i="15"/>
  <c r="X259" i="15" s="1"/>
  <c r="X181" i="15"/>
  <c r="X179" i="15"/>
  <c r="X177" i="15"/>
  <c r="X175" i="15"/>
  <c r="X260" i="15" s="1"/>
  <c r="W260" i="15"/>
  <c r="X14" i="15"/>
  <c r="W259" i="15" s="1"/>
  <c r="W181" i="15"/>
  <c r="W179" i="15"/>
  <c r="W177" i="15"/>
  <c r="W175" i="15"/>
  <c r="V259" i="15"/>
  <c r="W14" i="15"/>
  <c r="V181" i="15"/>
  <c r="V179" i="15"/>
  <c r="V177" i="15"/>
  <c r="V175" i="15"/>
  <c r="V260" i="15" s="1"/>
  <c r="V14" i="15"/>
  <c r="U259" i="15" s="1"/>
  <c r="U181" i="15"/>
  <c r="U179" i="15"/>
  <c r="U177" i="15"/>
  <c r="U175" i="15"/>
  <c r="U260" i="15" s="1"/>
  <c r="U14" i="15"/>
  <c r="T259" i="15" s="1"/>
  <c r="T181" i="15"/>
  <c r="T179" i="15"/>
  <c r="T177" i="15"/>
  <c r="T175" i="15"/>
  <c r="T260" i="15" s="1"/>
  <c r="T14" i="15"/>
  <c r="S259" i="15" s="1"/>
  <c r="S181" i="15"/>
  <c r="S179" i="15"/>
  <c r="S260" i="15" s="1"/>
  <c r="S177" i="15"/>
  <c r="S175" i="15"/>
  <c r="R259" i="15"/>
  <c r="S14" i="15"/>
  <c r="R181" i="15"/>
  <c r="R179" i="15"/>
  <c r="R177" i="15"/>
  <c r="R260" i="15" s="1"/>
  <c r="R175" i="15"/>
  <c r="Q259" i="15"/>
  <c r="R14" i="15"/>
  <c r="Q181" i="15"/>
  <c r="Q179" i="15"/>
  <c r="Q177" i="15"/>
  <c r="Q175" i="15"/>
  <c r="Q260" i="15" s="1"/>
  <c r="Q14" i="15"/>
  <c r="P259" i="15" s="1"/>
  <c r="P181" i="15"/>
  <c r="P179" i="15"/>
  <c r="P177" i="15"/>
  <c r="P175" i="15"/>
  <c r="P260" i="15" s="1"/>
  <c r="P14" i="15"/>
  <c r="O259" i="15" s="1"/>
  <c r="O181" i="15"/>
  <c r="O260" i="15" s="1"/>
  <c r="O179" i="15"/>
  <c r="O177" i="15"/>
  <c r="O175" i="15"/>
  <c r="N259" i="15"/>
  <c r="O14" i="15"/>
  <c r="N181" i="15"/>
  <c r="N179" i="15"/>
  <c r="N177" i="15"/>
  <c r="N175" i="15"/>
  <c r="N260" i="15" s="1"/>
  <c r="N14" i="15"/>
  <c r="M259" i="15" s="1"/>
  <c r="M181" i="15"/>
  <c r="M179" i="15"/>
  <c r="M177" i="15"/>
  <c r="M175" i="15"/>
  <c r="M260" i="15" s="1"/>
  <c r="M14" i="15"/>
  <c r="L259" i="15" s="1"/>
  <c r="L181" i="15"/>
  <c r="L179" i="15"/>
  <c r="L177" i="15"/>
  <c r="L175" i="15"/>
  <c r="L14" i="15"/>
  <c r="K259" i="15" s="1"/>
  <c r="K181" i="15"/>
  <c r="K179" i="15"/>
  <c r="K260" i="15" s="1"/>
  <c r="K177" i="15"/>
  <c r="K175" i="15"/>
  <c r="J260" i="15"/>
  <c r="J259" i="15"/>
  <c r="K14" i="15"/>
  <c r="J181" i="15"/>
  <c r="J179" i="15"/>
  <c r="J177" i="15"/>
  <c r="J175" i="15"/>
  <c r="I259" i="15"/>
  <c r="J14" i="15"/>
  <c r="I181" i="15"/>
  <c r="I179" i="15"/>
  <c r="I177" i="15"/>
  <c r="I175" i="15"/>
  <c r="I260" i="15" s="1"/>
  <c r="I14" i="15"/>
  <c r="H259" i="15" s="1"/>
  <c r="H181" i="15"/>
  <c r="H179" i="15"/>
  <c r="H177" i="15"/>
  <c r="H175" i="15"/>
  <c r="H260" i="15" s="1"/>
  <c r="H14" i="15"/>
  <c r="G259" i="15" s="1"/>
  <c r="G181" i="15"/>
  <c r="G260" i="15" s="1"/>
  <c r="G179" i="15"/>
  <c r="G177" i="15"/>
  <c r="G175" i="15"/>
  <c r="F259" i="15"/>
  <c r="G14" i="15"/>
  <c r="F181" i="15"/>
  <c r="F179" i="15"/>
  <c r="F177" i="15"/>
  <c r="F175" i="15"/>
  <c r="F260" i="15" s="1"/>
  <c r="F14" i="15"/>
  <c r="E259" i="15" s="1"/>
  <c r="E181" i="15"/>
  <c r="E179" i="15"/>
  <c r="E177" i="15"/>
  <c r="E175" i="15"/>
  <c r="E14" i="15"/>
  <c r="D259" i="15" s="1"/>
  <c r="D181" i="15"/>
  <c r="D179" i="15"/>
  <c r="D177" i="15"/>
  <c r="D175" i="15"/>
  <c r="AY14" i="16"/>
  <c r="AY10" i="16" s="1"/>
  <c r="AY13" i="16" s="1"/>
  <c r="AY15" i="16"/>
  <c r="AY16" i="16"/>
  <c r="AY17" i="16"/>
  <c r="AY29" i="16"/>
  <c r="AX21" i="16"/>
  <c r="AX22" i="16"/>
  <c r="AX45" i="16" s="1"/>
  <c r="AX51" i="16" s="1"/>
  <c r="AX23" i="16"/>
  <c r="AX24" i="16"/>
  <c r="AX29" i="16"/>
  <c r="AX33" i="16"/>
  <c r="AX44" i="16"/>
  <c r="AX50" i="16"/>
  <c r="AW15" i="16"/>
  <c r="AX16" i="16" s="1"/>
  <c r="AW21" i="16"/>
  <c r="AW22" i="16"/>
  <c r="AW24" i="16"/>
  <c r="AW29" i="16"/>
  <c r="AW34" i="16"/>
  <c r="AW40" i="16"/>
  <c r="AW45" i="16"/>
  <c r="AW51" i="16"/>
  <c r="AV14" i="16"/>
  <c r="AV15" i="16"/>
  <c r="AW16" i="16" s="1"/>
  <c r="AX17" i="16" s="1"/>
  <c r="AV16" i="16"/>
  <c r="AV17" i="16"/>
  <c r="AV29" i="16"/>
  <c r="AU14" i="16"/>
  <c r="AU10" i="16" s="1"/>
  <c r="AU13" i="16" s="1"/>
  <c r="AU15" i="16"/>
  <c r="AU16" i="16"/>
  <c r="AU17" i="16"/>
  <c r="AU29" i="16"/>
  <c r="AT14" i="16"/>
  <c r="AT10" i="16" s="1"/>
  <c r="AT13" i="16" s="1"/>
  <c r="AT15" i="16"/>
  <c r="AT16" i="16"/>
  <c r="AT17" i="16"/>
  <c r="AT29" i="16"/>
  <c r="AS14" i="16"/>
  <c r="AS15" i="16"/>
  <c r="AS16" i="16"/>
  <c r="AS17" i="16"/>
  <c r="AS29" i="16"/>
  <c r="AR14" i="16"/>
  <c r="AR15" i="16"/>
  <c r="AR16" i="16"/>
  <c r="AR10" i="16"/>
  <c r="AR13" i="16" s="1"/>
  <c r="AR17" i="16"/>
  <c r="AR29" i="16"/>
  <c r="AQ21" i="16"/>
  <c r="AQ22" i="16"/>
  <c r="AQ23" i="16"/>
  <c r="AQ29" i="16"/>
  <c r="AQ33" i="16"/>
  <c r="AQ39" i="16" s="1"/>
  <c r="AQ44" i="16"/>
  <c r="AQ50" i="16" s="1"/>
  <c r="AP14" i="16"/>
  <c r="AP15" i="16"/>
  <c r="AQ16" i="16" s="1"/>
  <c r="AP16" i="16"/>
  <c r="AQ17" i="16" s="1"/>
  <c r="AP17" i="16"/>
  <c r="AP29" i="16"/>
  <c r="AO14" i="16"/>
  <c r="AO15" i="16"/>
  <c r="AO10" i="16" s="1"/>
  <c r="AO13" i="16" s="1"/>
  <c r="AO16" i="16"/>
  <c r="AO17" i="16"/>
  <c r="AO29" i="16"/>
  <c r="AN16" i="16"/>
  <c r="AN21" i="16"/>
  <c r="AN23" i="16" s="1"/>
  <c r="AN22" i="16"/>
  <c r="AN29" i="16"/>
  <c r="AN33" i="16"/>
  <c r="AN39" i="16" s="1"/>
  <c r="AN44" i="16"/>
  <c r="AM14" i="16"/>
  <c r="AN15" i="16" s="1"/>
  <c r="AM15" i="16"/>
  <c r="AM16" i="16"/>
  <c r="AN17" i="16" s="1"/>
  <c r="AM10" i="16"/>
  <c r="AM13" i="16" s="1"/>
  <c r="AN14" i="16" s="1"/>
  <c r="AN10" i="16" s="1"/>
  <c r="AN13" i="16" s="1"/>
  <c r="AM17" i="16"/>
  <c r="AM29" i="16"/>
  <c r="AL15" i="16"/>
  <c r="AL21" i="16"/>
  <c r="AL22" i="16"/>
  <c r="AL23" i="16"/>
  <c r="AL24" i="16"/>
  <c r="AL29" i="16"/>
  <c r="AL33" i="16"/>
  <c r="AL35" i="16" s="1"/>
  <c r="AL34" i="16"/>
  <c r="AL40" i="16"/>
  <c r="AL44" i="16"/>
  <c r="AL45" i="16"/>
  <c r="AL46" i="16"/>
  <c r="AL50" i="16"/>
  <c r="AL51" i="16"/>
  <c r="AK14" i="16"/>
  <c r="AK15" i="16"/>
  <c r="AL16" i="16" s="1"/>
  <c r="AK16" i="16"/>
  <c r="AK17" i="16"/>
  <c r="AK29" i="16"/>
  <c r="AJ14" i="16"/>
  <c r="AJ15" i="16"/>
  <c r="AJ16" i="16"/>
  <c r="AJ10" i="16"/>
  <c r="AJ13" i="16" s="1"/>
  <c r="AJ17" i="16"/>
  <c r="AJ29" i="16"/>
  <c r="AI14" i="16"/>
  <c r="AI10" i="16" s="1"/>
  <c r="AI13" i="16" s="1"/>
  <c r="AI15" i="16"/>
  <c r="AI16" i="16"/>
  <c r="AI17" i="16"/>
  <c r="AI29" i="16"/>
  <c r="AH14" i="16"/>
  <c r="AH10" i="16" s="1"/>
  <c r="AH13" i="16" s="1"/>
  <c r="AH15" i="16"/>
  <c r="AH16" i="16"/>
  <c r="AH17" i="16"/>
  <c r="AH29" i="16"/>
  <c r="AG14" i="16"/>
  <c r="AG15" i="16"/>
  <c r="AG10" i="16" s="1"/>
  <c r="AG13" i="16" s="1"/>
  <c r="AG16" i="16"/>
  <c r="AG17" i="16"/>
  <c r="AG29" i="16"/>
  <c r="AF14" i="16"/>
  <c r="AF15" i="16"/>
  <c r="AF16" i="16"/>
  <c r="AF10" i="16" s="1"/>
  <c r="AF13" i="16" s="1"/>
  <c r="AF17" i="16"/>
  <c r="AF29" i="16"/>
  <c r="AE14" i="16"/>
  <c r="AE15" i="16"/>
  <c r="AE16" i="16"/>
  <c r="AE10" i="16"/>
  <c r="AE13" i="16" s="1"/>
  <c r="AE17" i="16"/>
  <c r="AE29" i="16"/>
  <c r="AD14" i="16"/>
  <c r="AD15" i="16"/>
  <c r="AD16" i="16"/>
  <c r="AD10" i="16"/>
  <c r="AD13" i="16"/>
  <c r="AD17" i="16"/>
  <c r="AD29" i="16"/>
  <c r="AC14" i="16"/>
  <c r="AC10" i="16" s="1"/>
  <c r="AC13" i="16" s="1"/>
  <c r="AC15" i="16"/>
  <c r="AC16" i="16"/>
  <c r="AC17" i="16"/>
  <c r="AC29" i="16"/>
  <c r="AB14" i="16"/>
  <c r="AB10" i="16" s="1"/>
  <c r="AB13" i="16" s="1"/>
  <c r="AB15" i="16"/>
  <c r="AB16" i="16"/>
  <c r="AB17" i="16"/>
  <c r="AB29" i="16"/>
  <c r="AA14" i="16"/>
  <c r="AA15" i="16"/>
  <c r="AA16" i="16"/>
  <c r="AA17" i="16"/>
  <c r="AA29" i="16"/>
  <c r="Z14" i="16"/>
  <c r="Z15" i="16"/>
  <c r="Z10" i="16" s="1"/>
  <c r="Z13" i="16" s="1"/>
  <c r="Z16" i="16"/>
  <c r="Z17" i="16"/>
  <c r="Z29" i="16"/>
  <c r="Y14" i="16"/>
  <c r="Y15" i="16"/>
  <c r="Y16" i="16"/>
  <c r="Y17" i="16"/>
  <c r="Y29" i="16"/>
  <c r="X14" i="16"/>
  <c r="X15" i="16"/>
  <c r="X16" i="16"/>
  <c r="X10" i="16" s="1"/>
  <c r="X13" i="16" s="1"/>
  <c r="X17" i="16"/>
  <c r="X29" i="16"/>
  <c r="W14" i="16"/>
  <c r="W15" i="16"/>
  <c r="W16" i="16"/>
  <c r="W10" i="16"/>
  <c r="W13" i="16"/>
  <c r="W17" i="16"/>
  <c r="W29" i="16"/>
  <c r="V14" i="16"/>
  <c r="V15" i="16"/>
  <c r="V16" i="16"/>
  <c r="V10" i="16"/>
  <c r="V13" i="16" s="1"/>
  <c r="V17" i="16"/>
  <c r="V29" i="16"/>
  <c r="U14" i="16"/>
  <c r="U15" i="16"/>
  <c r="U16" i="16"/>
  <c r="U10" i="16"/>
  <c r="U13" i="16" s="1"/>
  <c r="U17" i="16"/>
  <c r="U29" i="16"/>
  <c r="T14" i="16"/>
  <c r="T10" i="16" s="1"/>
  <c r="T13" i="16" s="1"/>
  <c r="T15" i="16"/>
  <c r="T16" i="16"/>
  <c r="T17" i="16"/>
  <c r="T29" i="16"/>
  <c r="S14" i="16"/>
  <c r="S10" i="16" s="1"/>
  <c r="S13" i="16" s="1"/>
  <c r="S15" i="16"/>
  <c r="S16" i="16"/>
  <c r="S17" i="16"/>
  <c r="S29" i="16"/>
  <c r="R14" i="16"/>
  <c r="R15" i="16"/>
  <c r="R16" i="16"/>
  <c r="R10" i="16"/>
  <c r="R13" i="16" s="1"/>
  <c r="R17" i="16"/>
  <c r="R29" i="16"/>
  <c r="Q14" i="16"/>
  <c r="Q10" i="16" s="1"/>
  <c r="Q13" i="16" s="1"/>
  <c r="Q15" i="16"/>
  <c r="Q16" i="16"/>
  <c r="Q17" i="16"/>
  <c r="Q29" i="16"/>
  <c r="P14" i="16"/>
  <c r="P15" i="16"/>
  <c r="P16" i="16"/>
  <c r="P10" i="16"/>
  <c r="P13" i="16" s="1"/>
  <c r="P17" i="16"/>
  <c r="P29" i="16"/>
  <c r="O14" i="16"/>
  <c r="O15" i="16"/>
  <c r="O10" i="16" s="1"/>
  <c r="O13" i="16" s="1"/>
  <c r="O16" i="16"/>
  <c r="O17" i="16"/>
  <c r="O29" i="16"/>
  <c r="N14" i="16"/>
  <c r="N15" i="16"/>
  <c r="N16" i="16"/>
  <c r="N10" i="16"/>
  <c r="N13" i="16"/>
  <c r="N17" i="16"/>
  <c r="N29" i="16"/>
  <c r="M14" i="16"/>
  <c r="M10" i="16" s="1"/>
  <c r="M15" i="16"/>
  <c r="M16" i="16"/>
  <c r="M13" i="16"/>
  <c r="M17" i="16"/>
  <c r="M29" i="16"/>
  <c r="L14" i="16"/>
  <c r="L15" i="16"/>
  <c r="L16" i="16"/>
  <c r="L17" i="16"/>
  <c r="L29" i="16"/>
  <c r="K14" i="16"/>
  <c r="K10" i="16" s="1"/>
  <c r="K13" i="16" s="1"/>
  <c r="K15" i="16"/>
  <c r="K16" i="16"/>
  <c r="K17" i="16"/>
  <c r="K29" i="16"/>
  <c r="J14" i="16"/>
  <c r="J15" i="16"/>
  <c r="J10" i="16" s="1"/>
  <c r="J13" i="16" s="1"/>
  <c r="J16" i="16"/>
  <c r="J17" i="16"/>
  <c r="J29" i="16"/>
  <c r="I14" i="16"/>
  <c r="I10" i="16" s="1"/>
  <c r="I13" i="16" s="1"/>
  <c r="I15" i="16"/>
  <c r="I16" i="16"/>
  <c r="I17" i="16"/>
  <c r="I29" i="16"/>
  <c r="H14" i="16"/>
  <c r="H15" i="16"/>
  <c r="H10" i="16" s="1"/>
  <c r="H13" i="16" s="1"/>
  <c r="H16" i="16"/>
  <c r="H17" i="16"/>
  <c r="H29" i="16"/>
  <c r="G14" i="16"/>
  <c r="G15" i="16"/>
  <c r="G16" i="16"/>
  <c r="G17" i="16"/>
  <c r="G29" i="16"/>
  <c r="F14" i="16"/>
  <c r="F15" i="16"/>
  <c r="F16" i="16"/>
  <c r="F10" i="16"/>
  <c r="F13" i="16" s="1"/>
  <c r="F17" i="16"/>
  <c r="F29" i="16"/>
  <c r="E14" i="16"/>
  <c r="E15" i="16"/>
  <c r="E10" i="16" s="1"/>
  <c r="E13" i="16" s="1"/>
  <c r="E16" i="16"/>
  <c r="E17" i="16"/>
  <c r="E29" i="16"/>
  <c r="D14" i="16"/>
  <c r="D15" i="16"/>
  <c r="D16" i="16"/>
  <c r="D17" i="16"/>
  <c r="D27" i="16"/>
  <c r="D29" i="16"/>
  <c r="AY14" i="17"/>
  <c r="AY15" i="17"/>
  <c r="AY10" i="17" s="1"/>
  <c r="AY13" i="17" s="1"/>
  <c r="AY16" i="17"/>
  <c r="AY17" i="17"/>
  <c r="AY29" i="17"/>
  <c r="AX14" i="17"/>
  <c r="AX15" i="17"/>
  <c r="AX16" i="17"/>
  <c r="AX17" i="17"/>
  <c r="AX29" i="17"/>
  <c r="AW14" i="17"/>
  <c r="AW15" i="17"/>
  <c r="AW16" i="17"/>
  <c r="AW10" i="17"/>
  <c r="AW13" i="17" s="1"/>
  <c r="AW17" i="17"/>
  <c r="AW29" i="17"/>
  <c r="AV14" i="17"/>
  <c r="AV15" i="17"/>
  <c r="AV10" i="17" s="1"/>
  <c r="AV16" i="17"/>
  <c r="AV13" i="17"/>
  <c r="AV17" i="17"/>
  <c r="AV29" i="17"/>
  <c r="AU14" i="17"/>
  <c r="AU15" i="17"/>
  <c r="AU16" i="17"/>
  <c r="AU17" i="17"/>
  <c r="AU29" i="17"/>
  <c r="AT14" i="17"/>
  <c r="AT15" i="17"/>
  <c r="AT16" i="17"/>
  <c r="AT10" i="17"/>
  <c r="AT13" i="17" s="1"/>
  <c r="AT17" i="17"/>
  <c r="AT29" i="17"/>
  <c r="AS14" i="17"/>
  <c r="AS15" i="17"/>
  <c r="AS10" i="17" s="1"/>
  <c r="AS16" i="17"/>
  <c r="AS13" i="17"/>
  <c r="AS17" i="17"/>
  <c r="AS29" i="17"/>
  <c r="AR14" i="17"/>
  <c r="AR15" i="17"/>
  <c r="AR16" i="17"/>
  <c r="AR17" i="17"/>
  <c r="AR29" i="17"/>
  <c r="AQ15" i="17"/>
  <c r="AQ21" i="17"/>
  <c r="AQ22" i="17"/>
  <c r="AQ24" i="17"/>
  <c r="AQ29" i="17"/>
  <c r="AQ34" i="17"/>
  <c r="AQ40" i="17"/>
  <c r="AQ45" i="17"/>
  <c r="AQ51" i="17"/>
  <c r="AP14" i="17"/>
  <c r="AP15" i="17"/>
  <c r="AQ16" i="17" s="1"/>
  <c r="AP16" i="17"/>
  <c r="AQ17" i="17" s="1"/>
  <c r="AP17" i="17"/>
  <c r="AP29" i="17"/>
  <c r="AO14" i="17"/>
  <c r="AO15" i="17"/>
  <c r="AO16" i="17"/>
  <c r="AO10" i="17"/>
  <c r="AO13" i="17" s="1"/>
  <c r="AO17" i="17"/>
  <c r="AO29" i="17"/>
  <c r="AN14" i="17"/>
  <c r="AN15" i="17"/>
  <c r="AN10" i="17" s="1"/>
  <c r="AN16" i="17"/>
  <c r="AN13" i="17"/>
  <c r="AN17" i="17"/>
  <c r="AN29" i="17"/>
  <c r="AM14" i="17"/>
  <c r="AM15" i="17"/>
  <c r="AM16" i="17"/>
  <c r="AM17" i="17"/>
  <c r="AM29" i="17"/>
  <c r="AL14" i="17"/>
  <c r="AL10" i="17" s="1"/>
  <c r="AL13" i="17" s="1"/>
  <c r="AL15" i="17"/>
  <c r="AL16" i="17"/>
  <c r="AL17" i="17"/>
  <c r="AL29" i="17"/>
  <c r="AK14" i="17"/>
  <c r="AK15" i="17"/>
  <c r="AK16" i="17"/>
  <c r="AK17" i="17"/>
  <c r="AK29" i="17"/>
  <c r="AJ14" i="17"/>
  <c r="AJ15" i="17"/>
  <c r="AJ16" i="17"/>
  <c r="AJ10" i="17" s="1"/>
  <c r="AJ13" i="17" s="1"/>
  <c r="AJ17" i="17"/>
  <c r="AJ29" i="17"/>
  <c r="AI14" i="17"/>
  <c r="AI10" i="17" s="1"/>
  <c r="AI13" i="17" s="1"/>
  <c r="AI15" i="17"/>
  <c r="AI16" i="17"/>
  <c r="AI17" i="17"/>
  <c r="AI29" i="17"/>
  <c r="AH14" i="17"/>
  <c r="AH10" i="17" s="1"/>
  <c r="AH13" i="17" s="1"/>
  <c r="AH15" i="17"/>
  <c r="AH16" i="17"/>
  <c r="AH17" i="17"/>
  <c r="AH29" i="17"/>
  <c r="AG14" i="17"/>
  <c r="AG15" i="17"/>
  <c r="AG10" i="17" s="1"/>
  <c r="AG13" i="17" s="1"/>
  <c r="AG16" i="17"/>
  <c r="AG17" i="17"/>
  <c r="AG29" i="17"/>
  <c r="AF14" i="17"/>
  <c r="AF15" i="17"/>
  <c r="AF16" i="17"/>
  <c r="AF10" i="17"/>
  <c r="AF13" i="17" s="1"/>
  <c r="AF17" i="17"/>
  <c r="AF29" i="17"/>
  <c r="AE14" i="17"/>
  <c r="AE15" i="17"/>
  <c r="AE10" i="17" s="1"/>
  <c r="AE16" i="17"/>
  <c r="AE13" i="17"/>
  <c r="AE17" i="17"/>
  <c r="AE29" i="17"/>
  <c r="AD14" i="17"/>
  <c r="AD10" i="17" s="1"/>
  <c r="AD13" i="17" s="1"/>
  <c r="AD15" i="17"/>
  <c r="AD16" i="17"/>
  <c r="AD17" i="17"/>
  <c r="AD29" i="17"/>
  <c r="AC14" i="17"/>
  <c r="AC15" i="17"/>
  <c r="AC10" i="17" s="1"/>
  <c r="AC13" i="17" s="1"/>
  <c r="AC16" i="17"/>
  <c r="AC17" i="17"/>
  <c r="AC29" i="17"/>
  <c r="AB14" i="17"/>
  <c r="AB15" i="17"/>
  <c r="AB16" i="17"/>
  <c r="AB10" i="17" s="1"/>
  <c r="AB13" i="17" s="1"/>
  <c r="AB17" i="17"/>
  <c r="AB29" i="17"/>
  <c r="AA14" i="17"/>
  <c r="AA10" i="17" s="1"/>
  <c r="AA13" i="17" s="1"/>
  <c r="AA15" i="17"/>
  <c r="AA16" i="17"/>
  <c r="AA17" i="17"/>
  <c r="AA29" i="17"/>
  <c r="Z14" i="17"/>
  <c r="Z15" i="17"/>
  <c r="Z16" i="17"/>
  <c r="Z17" i="17"/>
  <c r="Z29" i="17"/>
  <c r="Y14" i="17"/>
  <c r="Y15" i="17"/>
  <c r="Y16" i="17"/>
  <c r="Y17" i="17"/>
  <c r="Y29" i="17"/>
  <c r="X14" i="17"/>
  <c r="X15" i="17"/>
  <c r="X16" i="17"/>
  <c r="X10" i="17"/>
  <c r="X13" i="17" s="1"/>
  <c r="X17" i="17"/>
  <c r="X29" i="17"/>
  <c r="W14" i="17"/>
  <c r="W10" i="17" s="1"/>
  <c r="W15" i="17"/>
  <c r="W16" i="17"/>
  <c r="W13" i="17"/>
  <c r="W17" i="17"/>
  <c r="W29" i="17"/>
  <c r="V14" i="17"/>
  <c r="V10" i="17" s="1"/>
  <c r="V13" i="17" s="1"/>
  <c r="V15" i="17"/>
  <c r="V16" i="17"/>
  <c r="V17" i="17"/>
  <c r="V29" i="17"/>
  <c r="U14" i="17"/>
  <c r="U15" i="17"/>
  <c r="U10" i="17" s="1"/>
  <c r="U13" i="17" s="1"/>
  <c r="U16" i="17"/>
  <c r="U17" i="17"/>
  <c r="U29" i="17"/>
  <c r="T14" i="17"/>
  <c r="T10" i="17" s="1"/>
  <c r="T13" i="17" s="1"/>
  <c r="T15" i="17"/>
  <c r="T16" i="17"/>
  <c r="T17" i="17"/>
  <c r="T29" i="17"/>
  <c r="S14" i="17"/>
  <c r="S10" i="17" s="1"/>
  <c r="S13" i="17" s="1"/>
  <c r="S15" i="17"/>
  <c r="S16" i="17"/>
  <c r="S17" i="17"/>
  <c r="S29" i="17"/>
  <c r="R14" i="17"/>
  <c r="R10" i="17" s="1"/>
  <c r="R15" i="17"/>
  <c r="R16" i="17"/>
  <c r="R13" i="17"/>
  <c r="R17" i="17"/>
  <c r="R29" i="17"/>
  <c r="Q14" i="17"/>
  <c r="Q15" i="17"/>
  <c r="Q16" i="17"/>
  <c r="Q10" i="17" s="1"/>
  <c r="Q13" i="17" s="1"/>
  <c r="Q17" i="17"/>
  <c r="Q29" i="17"/>
  <c r="P14" i="17"/>
  <c r="P15" i="17"/>
  <c r="P16" i="17"/>
  <c r="P10" i="17"/>
  <c r="P13" i="17" s="1"/>
  <c r="P17" i="17"/>
  <c r="P29" i="17"/>
  <c r="O14" i="17"/>
  <c r="O15" i="17"/>
  <c r="O10" i="17" s="1"/>
  <c r="O16" i="17"/>
  <c r="O13" i="17"/>
  <c r="O17" i="17"/>
  <c r="O29" i="17"/>
  <c r="N14" i="17"/>
  <c r="N15" i="17"/>
  <c r="N16" i="17"/>
  <c r="N17" i="17"/>
  <c r="N29" i="17"/>
  <c r="M14" i="17"/>
  <c r="M15" i="17"/>
  <c r="M10" i="17" s="1"/>
  <c r="M13" i="17" s="1"/>
  <c r="M16" i="17"/>
  <c r="M17" i="17"/>
  <c r="M29" i="17"/>
  <c r="L14" i="17"/>
  <c r="L10" i="17" s="1"/>
  <c r="L13" i="17" s="1"/>
  <c r="L15" i="17"/>
  <c r="L16" i="17"/>
  <c r="L17" i="17"/>
  <c r="L29" i="17"/>
  <c r="K14" i="17"/>
  <c r="K15" i="17"/>
  <c r="K16" i="17"/>
  <c r="K10" i="17"/>
  <c r="K13" i="17" s="1"/>
  <c r="K17" i="17"/>
  <c r="K29" i="17"/>
  <c r="J14" i="17"/>
  <c r="J15" i="17"/>
  <c r="J10" i="17" s="1"/>
  <c r="J13" i="17" s="1"/>
  <c r="J16" i="17"/>
  <c r="J17" i="17"/>
  <c r="J29" i="17"/>
  <c r="I14" i="17"/>
  <c r="I15" i="17"/>
  <c r="I16" i="17"/>
  <c r="I10" i="17" s="1"/>
  <c r="I13" i="17" s="1"/>
  <c r="I17" i="17"/>
  <c r="I29" i="17"/>
  <c r="H15" i="17"/>
  <c r="H21" i="17"/>
  <c r="H22" i="17"/>
  <c r="H24" i="17"/>
  <c r="H29" i="17"/>
  <c r="H34" i="17"/>
  <c r="H40" i="17" s="1"/>
  <c r="H45" i="17"/>
  <c r="H51" i="17"/>
  <c r="G14" i="17"/>
  <c r="G10" i="17" s="1"/>
  <c r="G13" i="17" s="1"/>
  <c r="H14" i="17" s="1"/>
  <c r="G15" i="17"/>
  <c r="H16" i="17" s="1"/>
  <c r="G16" i="17"/>
  <c r="H17" i="17" s="1"/>
  <c r="G17" i="17"/>
  <c r="G29" i="17"/>
  <c r="F14" i="17"/>
  <c r="F10" i="17" s="1"/>
  <c r="F13" i="17" s="1"/>
  <c r="F15" i="17"/>
  <c r="F16" i="17"/>
  <c r="F17" i="17"/>
  <c r="F29" i="17"/>
  <c r="E14" i="17"/>
  <c r="E15" i="17"/>
  <c r="E10" i="17" s="1"/>
  <c r="E13" i="17" s="1"/>
  <c r="E16" i="17"/>
  <c r="E17" i="17"/>
  <c r="E29" i="17"/>
  <c r="D14" i="17"/>
  <c r="D15" i="17"/>
  <c r="D16" i="17"/>
  <c r="D17" i="17"/>
  <c r="D27" i="17"/>
  <c r="D29" i="17"/>
  <c r="AY14" i="18"/>
  <c r="AY15" i="18"/>
  <c r="AY16" i="18"/>
  <c r="AY10" i="18"/>
  <c r="AY13" i="18" s="1"/>
  <c r="AY17" i="18"/>
  <c r="AY29" i="18"/>
  <c r="AX14" i="18"/>
  <c r="AX15" i="18"/>
  <c r="AX10" i="18" s="1"/>
  <c r="AX13" i="18" s="1"/>
  <c r="AX16" i="18"/>
  <c r="AX17" i="18"/>
  <c r="AX29" i="18"/>
  <c r="AW14" i="18"/>
  <c r="AW10" i="18" s="1"/>
  <c r="AW13" i="18" s="1"/>
  <c r="AW15" i="18"/>
  <c r="AW16" i="18"/>
  <c r="AW17" i="18"/>
  <c r="AW29" i="18"/>
  <c r="AV14" i="18"/>
  <c r="AV15" i="18"/>
  <c r="AV10" i="18" s="1"/>
  <c r="AV13" i="18" s="1"/>
  <c r="AV16" i="18"/>
  <c r="AV17" i="18"/>
  <c r="AV29" i="18"/>
  <c r="AU14" i="18"/>
  <c r="AU10" i="18" s="1"/>
  <c r="AU13" i="18" s="1"/>
  <c r="AU15" i="18"/>
  <c r="AU16" i="18"/>
  <c r="AU17" i="18"/>
  <c r="AU29" i="18"/>
  <c r="AT14" i="18"/>
  <c r="AT10" i="18" s="1"/>
  <c r="AT13" i="18" s="1"/>
  <c r="AU21" i="18" s="1"/>
  <c r="AT15" i="18"/>
  <c r="AT16" i="18"/>
  <c r="AT17" i="18"/>
  <c r="AT29" i="18"/>
  <c r="AS14" i="18"/>
  <c r="AS15" i="18"/>
  <c r="AS10" i="18" s="1"/>
  <c r="AS13" i="18" s="1"/>
  <c r="AS16" i="18"/>
  <c r="AS17" i="18"/>
  <c r="AS29" i="18"/>
  <c r="AR16" i="18"/>
  <c r="AR17" i="18"/>
  <c r="AR21" i="18"/>
  <c r="AR22" i="18"/>
  <c r="AR34" i="18" s="1"/>
  <c r="AR40" i="18" s="1"/>
  <c r="AR23" i="18"/>
  <c r="AR29" i="18"/>
  <c r="AR33" i="18"/>
  <c r="AR35" i="18" s="1"/>
  <c r="AR44" i="18"/>
  <c r="AQ14" i="18"/>
  <c r="AR15" i="18" s="1"/>
  <c r="AQ15" i="18"/>
  <c r="AQ16" i="18"/>
  <c r="AQ10" i="18"/>
  <c r="AQ13" i="18" s="1"/>
  <c r="AR14" i="18" s="1"/>
  <c r="AR10" i="18" s="1"/>
  <c r="AR13" i="18" s="1"/>
  <c r="AQ17" i="18"/>
  <c r="AQ29" i="18"/>
  <c r="AP14" i="18"/>
  <c r="AP15" i="18"/>
  <c r="AP10" i="18" s="1"/>
  <c r="AP16" i="18"/>
  <c r="AP13" i="18"/>
  <c r="AP17" i="18"/>
  <c r="AP29" i="18"/>
  <c r="AO17" i="18"/>
  <c r="AO21" i="18"/>
  <c r="AO22" i="18"/>
  <c r="AO24" i="18" s="1"/>
  <c r="AO23" i="18"/>
  <c r="AO29" i="18"/>
  <c r="AO33" i="18"/>
  <c r="AO44" i="18"/>
  <c r="AO50" i="18"/>
  <c r="AN14" i="18"/>
  <c r="AO15" i="18" s="1"/>
  <c r="AN15" i="18"/>
  <c r="AO16" i="18" s="1"/>
  <c r="AN16" i="18"/>
  <c r="AN17" i="18"/>
  <c r="AN29" i="18"/>
  <c r="AM14" i="18"/>
  <c r="AM15" i="18"/>
  <c r="AM16" i="18"/>
  <c r="AM17" i="18"/>
  <c r="AM29" i="18"/>
  <c r="AL14" i="18"/>
  <c r="AL15" i="18"/>
  <c r="AL16" i="18"/>
  <c r="AL10" i="18"/>
  <c r="AL13" i="18" s="1"/>
  <c r="AL17" i="18"/>
  <c r="AL29" i="18"/>
  <c r="AK14" i="18"/>
  <c r="AK15" i="18"/>
  <c r="AK10" i="18" s="1"/>
  <c r="AK13" i="18" s="1"/>
  <c r="AK16" i="18"/>
  <c r="AK17" i="18"/>
  <c r="AK29" i="18"/>
  <c r="AJ14" i="18"/>
  <c r="AJ15" i="18"/>
  <c r="AJ16" i="18"/>
  <c r="AJ17" i="18"/>
  <c r="AJ29" i="18"/>
  <c r="AI14" i="18"/>
  <c r="AI15" i="18"/>
  <c r="AI16" i="18"/>
  <c r="AI10" i="18"/>
  <c r="AI13" i="18" s="1"/>
  <c r="AI17" i="18"/>
  <c r="AI29" i="18"/>
  <c r="AH14" i="18"/>
  <c r="AH15" i="18"/>
  <c r="AH10" i="18" s="1"/>
  <c r="AH16" i="18"/>
  <c r="AH13" i="18"/>
  <c r="AH17" i="18"/>
  <c r="AH29" i="18"/>
  <c r="AG14" i="18"/>
  <c r="AG10" i="18" s="1"/>
  <c r="AG13" i="18" s="1"/>
  <c r="AG15" i="18"/>
  <c r="AG16" i="18"/>
  <c r="AG17" i="18"/>
  <c r="AG29" i="18"/>
  <c r="AF14" i="18"/>
  <c r="AF15" i="18"/>
  <c r="AF16" i="18"/>
  <c r="AF10" i="18"/>
  <c r="AF13" i="18" s="1"/>
  <c r="AF17" i="18"/>
  <c r="AF29" i="18"/>
  <c r="AE14" i="18"/>
  <c r="AE15" i="18"/>
  <c r="AE16" i="18"/>
  <c r="AE17" i="18"/>
  <c r="AE29" i="18"/>
  <c r="AD14" i="18"/>
  <c r="AD15" i="18"/>
  <c r="AD16" i="18"/>
  <c r="AD10" i="18"/>
  <c r="AD13" i="18" s="1"/>
  <c r="AE21" i="18" s="1"/>
  <c r="AD17" i="18"/>
  <c r="AD29" i="18"/>
  <c r="AC14" i="18"/>
  <c r="AC15" i="18"/>
  <c r="AC10" i="18" s="1"/>
  <c r="AC16" i="18"/>
  <c r="AC13" i="18"/>
  <c r="AC17" i="18"/>
  <c r="AC29" i="18"/>
  <c r="AB14" i="18"/>
  <c r="AB10" i="18" s="1"/>
  <c r="AB13" i="18" s="1"/>
  <c r="AB15" i="18"/>
  <c r="AB16" i="18"/>
  <c r="AB17" i="18"/>
  <c r="AB29" i="18"/>
  <c r="AA14" i="18"/>
  <c r="AA10" i="18" s="1"/>
  <c r="AA13" i="18" s="1"/>
  <c r="AA15" i="18"/>
  <c r="AA16" i="18"/>
  <c r="AA17" i="18"/>
  <c r="AA29" i="18"/>
  <c r="Z14" i="18"/>
  <c r="Z15" i="18"/>
  <c r="Z10" i="18" s="1"/>
  <c r="Z13" i="18" s="1"/>
  <c r="Z16" i="18"/>
  <c r="Z17" i="18"/>
  <c r="Z29" i="18"/>
  <c r="Y14" i="18"/>
  <c r="Y10" i="18" s="1"/>
  <c r="Y13" i="18" s="1"/>
  <c r="Y15" i="18"/>
  <c r="Y16" i="18"/>
  <c r="Y17" i="18"/>
  <c r="Y29" i="18"/>
  <c r="X14" i="18"/>
  <c r="X15" i="18"/>
  <c r="X16" i="18"/>
  <c r="X10" i="18"/>
  <c r="X13" i="18" s="1"/>
  <c r="X17" i="18"/>
  <c r="X21" i="18"/>
  <c r="X29" i="18"/>
  <c r="W14" i="18"/>
  <c r="W10" i="18" s="1"/>
  <c r="W15" i="18"/>
  <c r="W16" i="18"/>
  <c r="W13" i="18"/>
  <c r="X22" i="18" s="1"/>
  <c r="W17" i="18"/>
  <c r="W29" i="18"/>
  <c r="V14" i="18"/>
  <c r="V15" i="18"/>
  <c r="V10" i="18" s="1"/>
  <c r="V13" i="18" s="1"/>
  <c r="V16" i="18"/>
  <c r="V17" i="18"/>
  <c r="V29" i="18"/>
  <c r="U14" i="18"/>
  <c r="U15" i="18"/>
  <c r="U10" i="18" s="1"/>
  <c r="U13" i="18" s="1"/>
  <c r="U16" i="18"/>
  <c r="U17" i="18"/>
  <c r="U29" i="18"/>
  <c r="T14" i="18"/>
  <c r="T10" i="18" s="1"/>
  <c r="T13" i="18" s="1"/>
  <c r="T15" i="18"/>
  <c r="T16" i="18"/>
  <c r="T17" i="18"/>
  <c r="T29" i="18"/>
  <c r="S14" i="18"/>
  <c r="S15" i="18"/>
  <c r="S16" i="18"/>
  <c r="S10" i="18"/>
  <c r="S13" i="18" s="1"/>
  <c r="S17" i="18"/>
  <c r="S29" i="18"/>
  <c r="R14" i="18"/>
  <c r="R10" i="18" s="1"/>
  <c r="R13" i="18" s="1"/>
  <c r="R15" i="18"/>
  <c r="R16" i="18"/>
  <c r="R17" i="18"/>
  <c r="R29" i="18"/>
  <c r="Q14" i="18"/>
  <c r="Q10" i="18" s="1"/>
  <c r="Q13" i="18" s="1"/>
  <c r="Q15" i="18"/>
  <c r="Q16" i="18"/>
  <c r="Q17" i="18"/>
  <c r="Q29" i="18"/>
  <c r="P14" i="18"/>
  <c r="P15" i="18"/>
  <c r="P10" i="18" s="1"/>
  <c r="P13" i="18" s="1"/>
  <c r="P16" i="18"/>
  <c r="P17" i="18"/>
  <c r="P29" i="18"/>
  <c r="O14" i="18"/>
  <c r="O10" i="18" s="1"/>
  <c r="O13" i="18" s="1"/>
  <c r="O15" i="18"/>
  <c r="O16" i="18"/>
  <c r="O17" i="18"/>
  <c r="O29" i="18"/>
  <c r="N14" i="18"/>
  <c r="N10" i="18" s="1"/>
  <c r="N13" i="18" s="1"/>
  <c r="N15" i="18"/>
  <c r="N16" i="18"/>
  <c r="N17" i="18"/>
  <c r="N29" i="18"/>
  <c r="M14" i="18"/>
  <c r="M15" i="18"/>
  <c r="M10" i="18" s="1"/>
  <c r="M13" i="18" s="1"/>
  <c r="M16" i="18"/>
  <c r="M17" i="18"/>
  <c r="M29" i="18"/>
  <c r="L14" i="18"/>
  <c r="L15" i="18"/>
  <c r="L16" i="18"/>
  <c r="L10" i="18" s="1"/>
  <c r="L13" i="18" s="1"/>
  <c r="L17" i="18"/>
  <c r="L29" i="18"/>
  <c r="K14" i="18"/>
  <c r="K15" i="18"/>
  <c r="K16" i="18"/>
  <c r="K10" i="18"/>
  <c r="K13" i="18" s="1"/>
  <c r="K17" i="18"/>
  <c r="K29" i="18"/>
  <c r="J14" i="18"/>
  <c r="J15" i="18"/>
  <c r="J10" i="18" s="1"/>
  <c r="J13" i="18" s="1"/>
  <c r="J16" i="18"/>
  <c r="J17" i="18"/>
  <c r="J29" i="18"/>
  <c r="I14" i="18"/>
  <c r="I10" i="18" s="1"/>
  <c r="I13" i="18" s="1"/>
  <c r="I15" i="18"/>
  <c r="I16" i="18"/>
  <c r="I17" i="18"/>
  <c r="I29" i="18"/>
  <c r="H14" i="18"/>
  <c r="H15" i="18"/>
  <c r="H10" i="18" s="1"/>
  <c r="H13" i="18" s="1"/>
  <c r="H16" i="18"/>
  <c r="H17" i="18"/>
  <c r="H29" i="18"/>
  <c r="G14" i="18"/>
  <c r="G10" i="18" s="1"/>
  <c r="G13" i="18" s="1"/>
  <c r="G15" i="18"/>
  <c r="G16" i="18"/>
  <c r="G17" i="18"/>
  <c r="G29" i="18"/>
  <c r="F14" i="18"/>
  <c r="F10" i="18" s="1"/>
  <c r="F13" i="18" s="1"/>
  <c r="F15" i="18"/>
  <c r="F16" i="18"/>
  <c r="F17" i="18"/>
  <c r="F29" i="18"/>
  <c r="E14" i="18"/>
  <c r="E15" i="18"/>
  <c r="E10" i="18" s="1"/>
  <c r="E13" i="18" s="1"/>
  <c r="E16" i="18"/>
  <c r="E17" i="18"/>
  <c r="E29" i="18"/>
  <c r="D14" i="18"/>
  <c r="D15" i="18"/>
  <c r="D16" i="18"/>
  <c r="D10" i="18" s="1"/>
  <c r="D17" i="18"/>
  <c r="D27" i="18"/>
  <c r="D30" i="18" s="1"/>
  <c r="D29" i="18"/>
  <c r="B21" i="16"/>
  <c r="B21" i="17"/>
  <c r="D21" i="17" s="1"/>
  <c r="B21" i="18"/>
  <c r="D21" i="18" s="1"/>
  <c r="D133" i="19"/>
  <c r="E133" i="19"/>
  <c r="F133" i="19"/>
  <c r="G133" i="19"/>
  <c r="H133" i="19"/>
  <c r="I133" i="19"/>
  <c r="J133" i="19"/>
  <c r="K133" i="19"/>
  <c r="L133" i="19"/>
  <c r="M133" i="19"/>
  <c r="N133" i="19"/>
  <c r="O133" i="19"/>
  <c r="P133" i="19"/>
  <c r="Q133" i="19"/>
  <c r="R133" i="19"/>
  <c r="S133" i="19"/>
  <c r="T133" i="19"/>
  <c r="U133" i="19"/>
  <c r="V133" i="19"/>
  <c r="W133" i="19"/>
  <c r="X133" i="19"/>
  <c r="Y133" i="19"/>
  <c r="Z133" i="19"/>
  <c r="AA133" i="19"/>
  <c r="AB133" i="19"/>
  <c r="AC133" i="19"/>
  <c r="AD133" i="19"/>
  <c r="AE133" i="19"/>
  <c r="AF133" i="19"/>
  <c r="AG133" i="19"/>
  <c r="AH133" i="19"/>
  <c r="AI133" i="19"/>
  <c r="AJ133" i="19"/>
  <c r="AK133" i="19"/>
  <c r="AL133" i="19"/>
  <c r="AM133" i="19"/>
  <c r="AN133" i="19"/>
  <c r="AO133" i="19"/>
  <c r="AP133" i="19"/>
  <c r="AQ133" i="19"/>
  <c r="AR133" i="19"/>
  <c r="AS133" i="19"/>
  <c r="AT133" i="19"/>
  <c r="AU133" i="19"/>
  <c r="AV133" i="19"/>
  <c r="AW133" i="19"/>
  <c r="AX133" i="19"/>
  <c r="C133" i="19"/>
  <c r="D127" i="19"/>
  <c r="E127" i="19"/>
  <c r="F127" i="19"/>
  <c r="G127" i="19"/>
  <c r="H127" i="19"/>
  <c r="I127" i="19"/>
  <c r="J127" i="19"/>
  <c r="K127" i="19"/>
  <c r="L127" i="19"/>
  <c r="M127" i="19"/>
  <c r="N127" i="19"/>
  <c r="O127" i="19"/>
  <c r="P127" i="19"/>
  <c r="Q127" i="19"/>
  <c r="R127" i="19"/>
  <c r="S127" i="19"/>
  <c r="T127" i="19"/>
  <c r="U127" i="19"/>
  <c r="V127" i="19"/>
  <c r="W127" i="19"/>
  <c r="X127" i="19"/>
  <c r="Y127" i="19"/>
  <c r="Z127" i="19"/>
  <c r="AA127" i="19"/>
  <c r="AB127" i="19"/>
  <c r="AC127" i="19"/>
  <c r="AD127" i="19"/>
  <c r="AE127" i="19"/>
  <c r="AF127" i="19"/>
  <c r="AG127" i="19"/>
  <c r="AH127" i="19"/>
  <c r="AI127" i="19"/>
  <c r="AJ127" i="19"/>
  <c r="AK127" i="19"/>
  <c r="AL127" i="19"/>
  <c r="AM127" i="19"/>
  <c r="AN127" i="19"/>
  <c r="AO127" i="19"/>
  <c r="AP127" i="19"/>
  <c r="AQ127" i="19"/>
  <c r="AR127" i="19"/>
  <c r="AS127" i="19"/>
  <c r="AT127" i="19"/>
  <c r="AU127" i="19"/>
  <c r="AV127" i="19"/>
  <c r="AW127" i="19"/>
  <c r="AX127" i="19"/>
  <c r="C127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C121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C115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C109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C103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C19" i="19"/>
  <c r="C28" i="19" s="1"/>
  <c r="D19" i="19"/>
  <c r="D28" i="19" s="1"/>
  <c r="E19" i="19"/>
  <c r="E28" i="19" s="1"/>
  <c r="F19" i="19"/>
  <c r="F28" i="19" s="1"/>
  <c r="G19" i="19"/>
  <c r="G28" i="19" s="1"/>
  <c r="H19" i="19"/>
  <c r="H28" i="19" s="1"/>
  <c r="I19" i="19"/>
  <c r="I28" i="19" s="1"/>
  <c r="J19" i="19"/>
  <c r="J28" i="19" s="1"/>
  <c r="K19" i="19"/>
  <c r="K28" i="19" s="1"/>
  <c r="L19" i="19"/>
  <c r="L28" i="19" s="1"/>
  <c r="M19" i="19"/>
  <c r="M28" i="19" s="1"/>
  <c r="N19" i="19"/>
  <c r="N28" i="19" s="1"/>
  <c r="C20" i="19"/>
  <c r="C29" i="19" s="1"/>
  <c r="D20" i="19"/>
  <c r="D29" i="19" s="1"/>
  <c r="E20" i="19"/>
  <c r="E29" i="19" s="1"/>
  <c r="F20" i="19"/>
  <c r="F29" i="19" s="1"/>
  <c r="G20" i="19"/>
  <c r="G29" i="19" s="1"/>
  <c r="H20" i="19"/>
  <c r="H29" i="19" s="1"/>
  <c r="I20" i="19"/>
  <c r="I29" i="19" s="1"/>
  <c r="J20" i="19"/>
  <c r="J29" i="19" s="1"/>
  <c r="K20" i="19"/>
  <c r="K29" i="19" s="1"/>
  <c r="L20" i="19"/>
  <c r="L29" i="19" s="1"/>
  <c r="M20" i="19"/>
  <c r="M29" i="19" s="1"/>
  <c r="N20" i="19"/>
  <c r="N29" i="19" s="1"/>
  <c r="C21" i="19"/>
  <c r="C30" i="19" s="1"/>
  <c r="D21" i="19"/>
  <c r="D30" i="19" s="1"/>
  <c r="E21" i="19"/>
  <c r="E30" i="19" s="1"/>
  <c r="F21" i="19"/>
  <c r="F30" i="19" s="1"/>
  <c r="G21" i="19"/>
  <c r="G30" i="19" s="1"/>
  <c r="H21" i="19"/>
  <c r="H30" i="19" s="1"/>
  <c r="I21" i="19"/>
  <c r="I30" i="19" s="1"/>
  <c r="J21" i="19"/>
  <c r="J30" i="19" s="1"/>
  <c r="K21" i="19"/>
  <c r="K30" i="19" s="1"/>
  <c r="L21" i="19"/>
  <c r="L30" i="19" s="1"/>
  <c r="M21" i="19"/>
  <c r="M30" i="19" s="1"/>
  <c r="N21" i="19"/>
  <c r="N30" i="19" s="1"/>
  <c r="C22" i="19"/>
  <c r="C31" i="19" s="1"/>
  <c r="D22" i="19"/>
  <c r="D31" i="19" s="1"/>
  <c r="E22" i="19"/>
  <c r="E31" i="19" s="1"/>
  <c r="F22" i="19"/>
  <c r="F31" i="19" s="1"/>
  <c r="G22" i="19"/>
  <c r="G31" i="19" s="1"/>
  <c r="H22" i="19"/>
  <c r="H31" i="19" s="1"/>
  <c r="I22" i="19"/>
  <c r="I31" i="19" s="1"/>
  <c r="J22" i="19"/>
  <c r="J31" i="19" s="1"/>
  <c r="K22" i="19"/>
  <c r="K31" i="19" s="1"/>
  <c r="L22" i="19"/>
  <c r="L31" i="19" s="1"/>
  <c r="M22" i="19"/>
  <c r="M31" i="19" s="1"/>
  <c r="N22" i="19"/>
  <c r="N31" i="19" s="1"/>
  <c r="C23" i="19"/>
  <c r="C32" i="19" s="1"/>
  <c r="D23" i="19"/>
  <c r="D32" i="19" s="1"/>
  <c r="E23" i="19"/>
  <c r="E32" i="19" s="1"/>
  <c r="F23" i="19"/>
  <c r="F32" i="19" s="1"/>
  <c r="G23" i="19"/>
  <c r="G32" i="19" s="1"/>
  <c r="H23" i="19"/>
  <c r="H32" i="19" s="1"/>
  <c r="I23" i="19"/>
  <c r="I32" i="19" s="1"/>
  <c r="J23" i="19"/>
  <c r="J32" i="19" s="1"/>
  <c r="K23" i="19"/>
  <c r="K32" i="19" s="1"/>
  <c r="L23" i="19"/>
  <c r="L32" i="19" s="1"/>
  <c r="M23" i="19"/>
  <c r="M32" i="19" s="1"/>
  <c r="N23" i="19"/>
  <c r="N32" i="19" s="1"/>
  <c r="C24" i="19"/>
  <c r="C33" i="19" s="1"/>
  <c r="D24" i="19"/>
  <c r="D33" i="19" s="1"/>
  <c r="E24" i="19"/>
  <c r="E33" i="19" s="1"/>
  <c r="F24" i="19"/>
  <c r="F33" i="19" s="1"/>
  <c r="G24" i="19"/>
  <c r="G33" i="19" s="1"/>
  <c r="H24" i="19"/>
  <c r="H33" i="19" s="1"/>
  <c r="I24" i="19"/>
  <c r="I33" i="19" s="1"/>
  <c r="J24" i="19"/>
  <c r="J33" i="19" s="1"/>
  <c r="K24" i="19"/>
  <c r="K33" i="19" s="1"/>
  <c r="L24" i="19"/>
  <c r="L33" i="19" s="1"/>
  <c r="M24" i="19"/>
  <c r="M33" i="19" s="1"/>
  <c r="N24" i="19"/>
  <c r="N33" i="19" s="1"/>
  <c r="B22" i="18"/>
  <c r="AJ22" i="18" s="1"/>
  <c r="B22" i="17"/>
  <c r="B22" i="16"/>
  <c r="R21" i="18" l="1"/>
  <c r="R22" i="18"/>
  <c r="T21" i="18"/>
  <c r="T22" i="18"/>
  <c r="I22" i="18"/>
  <c r="I21" i="18"/>
  <c r="O22" i="18"/>
  <c r="O21" i="18"/>
  <c r="W21" i="18"/>
  <c r="W22" i="18"/>
  <c r="Q22" i="18"/>
  <c r="Q21" i="18"/>
  <c r="K21" i="18"/>
  <c r="K22" i="18"/>
  <c r="N21" i="18"/>
  <c r="N22" i="18"/>
  <c r="D13" i="18"/>
  <c r="V22" i="18"/>
  <c r="V21" i="18"/>
  <c r="Y21" i="18"/>
  <c r="Y22" i="18"/>
  <c r="Z21" i="18"/>
  <c r="Z22" i="18"/>
  <c r="AL21" i="18"/>
  <c r="AL22" i="18"/>
  <c r="F21" i="18"/>
  <c r="F22" i="18"/>
  <c r="X45" i="18"/>
  <c r="X51" i="18" s="1"/>
  <c r="X24" i="18"/>
  <c r="X34" i="18"/>
  <c r="X40" i="18" s="1"/>
  <c r="AJ34" i="18"/>
  <c r="AJ40" i="18" s="1"/>
  <c r="AJ24" i="18"/>
  <c r="AJ45" i="18"/>
  <c r="AJ51" i="18" s="1"/>
  <c r="H21" i="18"/>
  <c r="H22" i="18"/>
  <c r="M21" i="18"/>
  <c r="M22" i="18"/>
  <c r="S22" i="18"/>
  <c r="S21" i="18"/>
  <c r="D44" i="18"/>
  <c r="D33" i="18"/>
  <c r="D23" i="18"/>
  <c r="P21" i="18"/>
  <c r="P22" i="18"/>
  <c r="AB21" i="18"/>
  <c r="AB22" i="18"/>
  <c r="AY21" i="18"/>
  <c r="AY22" i="18"/>
  <c r="L21" i="18"/>
  <c r="L22" i="18"/>
  <c r="J21" i="18"/>
  <c r="J22" i="18"/>
  <c r="G22" i="18"/>
  <c r="G21" i="18"/>
  <c r="U22" i="18"/>
  <c r="U21" i="18"/>
  <c r="AA22" i="18"/>
  <c r="AA21" i="18"/>
  <c r="AX22" i="17"/>
  <c r="AM22" i="17"/>
  <c r="Q22" i="17"/>
  <c r="D22" i="17"/>
  <c r="E27" i="18"/>
  <c r="AE10" i="18"/>
  <c r="AE13" i="18" s="1"/>
  <c r="AI22" i="18"/>
  <c r="AQ21" i="18"/>
  <c r="AQ22" i="18"/>
  <c r="AV22" i="18"/>
  <c r="L22" i="17"/>
  <c r="AE33" i="18"/>
  <c r="AE23" i="18"/>
  <c r="D30" i="17"/>
  <c r="E27" i="17"/>
  <c r="AI21" i="18"/>
  <c r="AJ10" i="18"/>
  <c r="AJ13" i="18" s="1"/>
  <c r="H10" i="17"/>
  <c r="H13" i="17" s="1"/>
  <c r="AC21" i="17"/>
  <c r="AU44" i="18"/>
  <c r="AU33" i="18"/>
  <c r="AU23" i="18"/>
  <c r="G127" i="11"/>
  <c r="D33" i="17"/>
  <c r="D23" i="17"/>
  <c r="AE22" i="18"/>
  <c r="AM10" i="18"/>
  <c r="AM13" i="18" s="1"/>
  <c r="AR46" i="18"/>
  <c r="AR50" i="18"/>
  <c r="F21" i="17"/>
  <c r="F22" i="17"/>
  <c r="G21" i="17"/>
  <c r="AH21" i="17"/>
  <c r="AH22" i="17"/>
  <c r="AI22" i="17"/>
  <c r="AI21" i="17"/>
  <c r="D21" i="16"/>
  <c r="AC21" i="16"/>
  <c r="O21" i="16"/>
  <c r="AE21" i="16"/>
  <c r="D22" i="18"/>
  <c r="AC22" i="18"/>
  <c r="AC21" i="18"/>
  <c r="AJ21" i="18"/>
  <c r="AU22" i="18"/>
  <c r="AV21" i="18"/>
  <c r="M22" i="17"/>
  <c r="M21" i="17"/>
  <c r="P21" i="17"/>
  <c r="AB22" i="17"/>
  <c r="N22" i="17"/>
  <c r="N21" i="17"/>
  <c r="D10" i="17"/>
  <c r="AT21" i="18"/>
  <c r="AT22" i="18"/>
  <c r="H23" i="17"/>
  <c r="H44" i="17"/>
  <c r="H33" i="17"/>
  <c r="AZ17" i="18"/>
  <c r="AD21" i="18"/>
  <c r="AD22" i="18"/>
  <c r="AE44" i="18"/>
  <c r="AH22" i="18"/>
  <c r="AO35" i="18"/>
  <c r="AO39" i="18"/>
  <c r="G22" i="17"/>
  <c r="J22" i="17"/>
  <c r="J21" i="17"/>
  <c r="K21" i="17"/>
  <c r="K22" i="17"/>
  <c r="AF21" i="17"/>
  <c r="AF22" i="17"/>
  <c r="X44" i="18"/>
  <c r="X33" i="18"/>
  <c r="AG22" i="18"/>
  <c r="AG21" i="18"/>
  <c r="D22" i="16"/>
  <c r="AD22" i="16"/>
  <c r="AA22" i="16"/>
  <c r="X23" i="18"/>
  <c r="AH21" i="18"/>
  <c r="AM21" i="18"/>
  <c r="AM22" i="18"/>
  <c r="AS21" i="18"/>
  <c r="AS22" i="18"/>
  <c r="AW22" i="18"/>
  <c r="AW21" i="18"/>
  <c r="AX21" i="18"/>
  <c r="AX22" i="18"/>
  <c r="D44" i="17"/>
  <c r="S21" i="17"/>
  <c r="S22" i="17"/>
  <c r="AO34" i="18"/>
  <c r="AO40" i="18" s="1"/>
  <c r="AR45" i="18"/>
  <c r="AR51" i="18" s="1"/>
  <c r="AG21" i="17"/>
  <c r="AG22" i="17"/>
  <c r="AT22" i="17"/>
  <c r="AT21" i="17"/>
  <c r="AR24" i="18"/>
  <c r="Q21" i="17"/>
  <c r="V22" i="17"/>
  <c r="V21" i="17"/>
  <c r="W21" i="17"/>
  <c r="W22" i="17"/>
  <c r="E27" i="16"/>
  <c r="D30" i="16"/>
  <c r="Y21" i="16"/>
  <c r="Y22" i="16"/>
  <c r="AO45" i="18"/>
  <c r="AO51" i="18" s="1"/>
  <c r="AR39" i="18"/>
  <c r="U22" i="17"/>
  <c r="AC22" i="17"/>
  <c r="AM21" i="17"/>
  <c r="F22" i="16"/>
  <c r="F21" i="16"/>
  <c r="AN10" i="18"/>
  <c r="AN13" i="18" s="1"/>
  <c r="AO14" i="18" s="1"/>
  <c r="AO10" i="18" s="1"/>
  <c r="AO13" i="18" s="1"/>
  <c r="T21" i="17"/>
  <c r="AD22" i="17"/>
  <c r="AD21" i="17"/>
  <c r="AE21" i="17"/>
  <c r="AE22" i="17"/>
  <c r="AK21" i="17"/>
  <c r="AK22" i="17"/>
  <c r="L21" i="16"/>
  <c r="L22" i="16"/>
  <c r="N10" i="17"/>
  <c r="N13" i="17" s="1"/>
  <c r="W22" i="16"/>
  <c r="W21" i="16"/>
  <c r="AZ17" i="17"/>
  <c r="P22" i="17"/>
  <c r="R21" i="17"/>
  <c r="R22" i="17"/>
  <c r="Y21" i="17"/>
  <c r="Y22" i="17"/>
  <c r="AB21" i="17"/>
  <c r="AO21" i="17"/>
  <c r="AO22" i="17"/>
  <c r="S22" i="16"/>
  <c r="L21" i="17"/>
  <c r="T22" i="17"/>
  <c r="U21" i="17"/>
  <c r="X21" i="17"/>
  <c r="X22" i="17"/>
  <c r="Y10" i="17"/>
  <c r="Y13" i="17" s="1"/>
  <c r="Z10" i="17"/>
  <c r="Z13" i="17" s="1"/>
  <c r="AJ21" i="17"/>
  <c r="AJ22" i="17"/>
  <c r="V22" i="16"/>
  <c r="V21" i="16"/>
  <c r="AR10" i="17"/>
  <c r="AR13" i="17" s="1"/>
  <c r="AX21" i="17"/>
  <c r="AS22" i="16"/>
  <c r="AS21" i="16"/>
  <c r="AK10" i="17"/>
  <c r="AK13" i="17" s="1"/>
  <c r="G21" i="16"/>
  <c r="G22" i="16"/>
  <c r="K21" i="16"/>
  <c r="K22" i="16"/>
  <c r="AP10" i="17"/>
  <c r="AP13" i="17" s="1"/>
  <c r="AQ14" i="17" s="1"/>
  <c r="AQ10" i="17" s="1"/>
  <c r="AQ13" i="17" s="1"/>
  <c r="AQ23" i="17"/>
  <c r="AQ44" i="17"/>
  <c r="AQ33" i="17"/>
  <c r="AU10" i="17"/>
  <c r="AU13" i="17" s="1"/>
  <c r="AC22" i="16"/>
  <c r="AP21" i="17"/>
  <c r="I21" i="16"/>
  <c r="I22" i="16"/>
  <c r="J22" i="16"/>
  <c r="S21" i="16"/>
  <c r="AU21" i="17"/>
  <c r="AW21" i="17"/>
  <c r="AW22" i="17"/>
  <c r="N21" i="16"/>
  <c r="N22" i="16"/>
  <c r="O22" i="16"/>
  <c r="Q21" i="16"/>
  <c r="Q22" i="16"/>
  <c r="U21" i="16"/>
  <c r="U22" i="16"/>
  <c r="AF21" i="16"/>
  <c r="AF22" i="16"/>
  <c r="AU21" i="16"/>
  <c r="AU22" i="16"/>
  <c r="AM10" i="17"/>
  <c r="AM13" i="17" s="1"/>
  <c r="AP22" i="17"/>
  <c r="D10" i="16"/>
  <c r="G10" i="16"/>
  <c r="G13" i="16" s="1"/>
  <c r="T21" i="16"/>
  <c r="AA21" i="16"/>
  <c r="AU22" i="17"/>
  <c r="AX10" i="17"/>
  <c r="AX13" i="17" s="1"/>
  <c r="J21" i="16"/>
  <c r="P22" i="16"/>
  <c r="P21" i="16"/>
  <c r="R21" i="16"/>
  <c r="R22" i="16"/>
  <c r="L10" i="16"/>
  <c r="L13" i="16" s="1"/>
  <c r="O127" i="13"/>
  <c r="G127" i="10"/>
  <c r="S10" i="20" s="1"/>
  <c r="T22" i="16"/>
  <c r="AW17" i="16"/>
  <c r="AV10" i="16"/>
  <c r="AV13" i="16" s="1"/>
  <c r="AW14" i="16" s="1"/>
  <c r="X22" i="16"/>
  <c r="X21" i="16"/>
  <c r="AJ22" i="16"/>
  <c r="AJ21" i="16"/>
  <c r="S31" i="20"/>
  <c r="T32" i="20" s="1"/>
  <c r="H138" i="13"/>
  <c r="AA10" i="16"/>
  <c r="AA13" i="16" s="1"/>
  <c r="AD21" i="16"/>
  <c r="AW33" i="16"/>
  <c r="AW23" i="16"/>
  <c r="AW44" i="16"/>
  <c r="G127" i="12"/>
  <c r="K127" i="12"/>
  <c r="AE22" i="16"/>
  <c r="AG22" i="16"/>
  <c r="AG21" i="16"/>
  <c r="AI21" i="16"/>
  <c r="AI22" i="16"/>
  <c r="G127" i="13"/>
  <c r="Y10" i="16"/>
  <c r="Y13" i="16" s="1"/>
  <c r="AV21" i="16"/>
  <c r="AV22" i="16"/>
  <c r="AN50" i="16"/>
  <c r="AP21" i="16"/>
  <c r="AP22" i="16"/>
  <c r="AL260" i="15"/>
  <c r="AS260" i="15"/>
  <c r="D260" i="14"/>
  <c r="AK260" i="14"/>
  <c r="K127" i="13"/>
  <c r="S7" i="20" s="1"/>
  <c r="T11" i="20" s="1"/>
  <c r="T45" i="20" s="1"/>
  <c r="G123" i="12"/>
  <c r="O121" i="12"/>
  <c r="O127" i="12" s="1"/>
  <c r="H9" i="20"/>
  <c r="S39" i="20"/>
  <c r="AK22" i="16"/>
  <c r="AK21" i="16"/>
  <c r="AQ15" i="16"/>
  <c r="AP10" i="16"/>
  <c r="AP13" i="16" s="1"/>
  <c r="AQ14" i="16" s="1"/>
  <c r="AQ10" i="16" s="1"/>
  <c r="AQ13" i="16" s="1"/>
  <c r="AQ24" i="16"/>
  <c r="AQ45" i="16"/>
  <c r="AQ34" i="16"/>
  <c r="D260" i="15"/>
  <c r="M260" i="14"/>
  <c r="S9" i="20"/>
  <c r="K138" i="10"/>
  <c r="K116" i="10"/>
  <c r="H10" i="20" s="1"/>
  <c r="K138" i="12"/>
  <c r="S8" i="20"/>
  <c r="K116" i="12"/>
  <c r="H8" i="20" s="1"/>
  <c r="AK10" i="16"/>
  <c r="AK13" i="16" s="1"/>
  <c r="AL14" i="16" s="1"/>
  <c r="AL10" i="16" s="1"/>
  <c r="AL13" i="16" s="1"/>
  <c r="AL17" i="16"/>
  <c r="AZ17" i="16" s="1"/>
  <c r="AO22" i="16"/>
  <c r="AZ259" i="14"/>
  <c r="K138" i="11"/>
  <c r="K127" i="10"/>
  <c r="AN34" i="16"/>
  <c r="AN24" i="16"/>
  <c r="AN45" i="16"/>
  <c r="AN51" i="16" s="1"/>
  <c r="AO21" i="16"/>
  <c r="K116" i="13"/>
  <c r="H7" i="20" s="1"/>
  <c r="K116" i="11"/>
  <c r="AX46" i="16"/>
  <c r="AZ259" i="15"/>
  <c r="AJ260" i="15"/>
  <c r="K138" i="13"/>
  <c r="AH21" i="16"/>
  <c r="AH22" i="16"/>
  <c r="AS10" i="16"/>
  <c r="AS13" i="16" s="1"/>
  <c r="AX39" i="16"/>
  <c r="E260" i="15"/>
  <c r="L260" i="15"/>
  <c r="N260" i="14"/>
  <c r="U260" i="14"/>
  <c r="AB260" i="14"/>
  <c r="AR260" i="14"/>
  <c r="O121" i="11"/>
  <c r="O127" i="11" s="1"/>
  <c r="K120" i="11"/>
  <c r="K127" i="11" s="1"/>
  <c r="T43" i="20"/>
  <c r="BA14" i="15"/>
  <c r="BA14" i="14"/>
  <c r="AX34" i="16"/>
  <c r="AX40" i="16" s="1"/>
  <c r="AL39" i="16"/>
  <c r="I29" i="7"/>
  <c r="H29" i="7"/>
  <c r="G29" i="7"/>
  <c r="F29" i="7"/>
  <c r="E29" i="7"/>
  <c r="D29" i="7"/>
  <c r="C29" i="7"/>
  <c r="H19" i="7"/>
  <c r="F19" i="7"/>
  <c r="D19" i="7"/>
  <c r="H11" i="7"/>
  <c r="H10" i="7"/>
  <c r="H9" i="7"/>
  <c r="H8" i="7"/>
  <c r="H7" i="7"/>
  <c r="H6" i="7"/>
  <c r="G12" i="5"/>
  <c r="G9" i="5"/>
  <c r="D16" i="5"/>
  <c r="P36" i="6"/>
  <c r="P30" i="6"/>
  <c r="G21" i="5"/>
  <c r="G6" i="5"/>
  <c r="G16" i="5" s="1"/>
  <c r="G7" i="5"/>
  <c r="H7" i="5"/>
  <c r="G8" i="5"/>
  <c r="H8" i="5"/>
  <c r="H9" i="5"/>
  <c r="G10" i="5"/>
  <c r="H10" i="5" s="1"/>
  <c r="G11" i="5"/>
  <c r="H11" i="5" s="1"/>
  <c r="H12" i="5"/>
  <c r="G13" i="5"/>
  <c r="H13" i="5"/>
  <c r="G14" i="5"/>
  <c r="H14" i="5" s="1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107" i="5"/>
  <c r="G37" i="5"/>
  <c r="H37" i="5" s="1"/>
  <c r="G38" i="5"/>
  <c r="H38" i="5"/>
  <c r="G39" i="5"/>
  <c r="H39" i="5"/>
  <c r="G40" i="5"/>
  <c r="H40" i="5"/>
  <c r="G41" i="5"/>
  <c r="H41" i="5" s="1"/>
  <c r="G42" i="5"/>
  <c r="H42" i="5"/>
  <c r="G43" i="5"/>
  <c r="H43" i="5"/>
  <c r="G44" i="5"/>
  <c r="H44" i="5"/>
  <c r="G45" i="5"/>
  <c r="H45" i="5" s="1"/>
  <c r="G46" i="5"/>
  <c r="H46" i="5"/>
  <c r="G47" i="5"/>
  <c r="H47" i="5"/>
  <c r="G48" i="5"/>
  <c r="H48" i="5"/>
  <c r="G49" i="5"/>
  <c r="H49" i="5" s="1"/>
  <c r="G50" i="5"/>
  <c r="H50" i="5"/>
  <c r="G51" i="5"/>
  <c r="H51" i="5"/>
  <c r="G52" i="5"/>
  <c r="H52" i="5"/>
  <c r="G53" i="5"/>
  <c r="H53" i="5" s="1"/>
  <c r="G54" i="5"/>
  <c r="H54" i="5"/>
  <c r="G55" i="5"/>
  <c r="H55" i="5"/>
  <c r="G56" i="5"/>
  <c r="H56" i="5"/>
  <c r="G57" i="5"/>
  <c r="H57" i="5" s="1"/>
  <c r="G58" i="5"/>
  <c r="H58" i="5"/>
  <c r="G59" i="5"/>
  <c r="H59" i="5"/>
  <c r="G60" i="5"/>
  <c r="H60" i="5"/>
  <c r="G61" i="5"/>
  <c r="H61" i="5" s="1"/>
  <c r="G62" i="5"/>
  <c r="H62" i="5"/>
  <c r="G63" i="5"/>
  <c r="H63" i="5"/>
  <c r="G64" i="5"/>
  <c r="H64" i="5"/>
  <c r="G65" i="5"/>
  <c r="H65" i="5" s="1"/>
  <c r="G66" i="5"/>
  <c r="H66" i="5"/>
  <c r="G67" i="5"/>
  <c r="H67" i="5"/>
  <c r="G68" i="5"/>
  <c r="H68" i="5"/>
  <c r="G69" i="5"/>
  <c r="H69" i="5" s="1"/>
  <c r="G70" i="5"/>
  <c r="H70" i="5"/>
  <c r="G71" i="5"/>
  <c r="H71" i="5"/>
  <c r="G72" i="5"/>
  <c r="H72" i="5"/>
  <c r="G73" i="5"/>
  <c r="H73" i="5" s="1"/>
  <c r="G74" i="5"/>
  <c r="H74" i="5"/>
  <c r="G75" i="5"/>
  <c r="H75" i="5"/>
  <c r="G76" i="5"/>
  <c r="H76" i="5"/>
  <c r="G77" i="5"/>
  <c r="H77" i="5" s="1"/>
  <c r="G78" i="5"/>
  <c r="H78" i="5"/>
  <c r="G79" i="5"/>
  <c r="H79" i="5"/>
  <c r="G80" i="5"/>
  <c r="H80" i="5"/>
  <c r="G81" i="5"/>
  <c r="H81" i="5" s="1"/>
  <c r="G82" i="5"/>
  <c r="H82" i="5"/>
  <c r="G83" i="5"/>
  <c r="H83" i="5"/>
  <c r="G84" i="5"/>
  <c r="H84" i="5"/>
  <c r="G85" i="5"/>
  <c r="H85" i="5" s="1"/>
  <c r="G86" i="5"/>
  <c r="H86" i="5"/>
  <c r="G87" i="5"/>
  <c r="H87" i="5"/>
  <c r="G88" i="5"/>
  <c r="H88" i="5"/>
  <c r="G89" i="5"/>
  <c r="H89" i="5" s="1"/>
  <c r="G90" i="5"/>
  <c r="H90" i="5"/>
  <c r="G91" i="5"/>
  <c r="H91" i="5"/>
  <c r="G92" i="5"/>
  <c r="H92" i="5"/>
  <c r="G93" i="5"/>
  <c r="H93" i="5" s="1"/>
  <c r="G94" i="5"/>
  <c r="H94" i="5"/>
  <c r="G95" i="5"/>
  <c r="H95" i="5"/>
  <c r="G96" i="5"/>
  <c r="H96" i="5"/>
  <c r="G97" i="5"/>
  <c r="H97" i="5" s="1"/>
  <c r="G98" i="5"/>
  <c r="H98" i="5"/>
  <c r="G99" i="5"/>
  <c r="H99" i="5"/>
  <c r="G100" i="5"/>
  <c r="H100" i="5"/>
  <c r="G101" i="5"/>
  <c r="H101" i="5" s="1"/>
  <c r="G102" i="5"/>
  <c r="H102" i="5"/>
  <c r="G103" i="5"/>
  <c r="H103" i="5"/>
  <c r="G104" i="5"/>
  <c r="H104" i="5"/>
  <c r="G105" i="5"/>
  <c r="H105" i="5" s="1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H36" i="5"/>
  <c r="AG24" i="18" l="1"/>
  <c r="AG45" i="18"/>
  <c r="AG51" i="18" s="1"/>
  <c r="AG34" i="18"/>
  <c r="AG40" i="18" s="1"/>
  <c r="AN40" i="16"/>
  <c r="AN35" i="16"/>
  <c r="AZ260" i="15"/>
  <c r="AV33" i="16"/>
  <c r="AV23" i="16"/>
  <c r="AV44" i="16"/>
  <c r="T45" i="16"/>
  <c r="T51" i="16" s="1"/>
  <c r="T34" i="16"/>
  <c r="T40" i="16" s="1"/>
  <c r="T24" i="16"/>
  <c r="J33" i="16"/>
  <c r="J23" i="16"/>
  <c r="J44" i="16"/>
  <c r="AN22" i="17"/>
  <c r="AN21" i="17"/>
  <c r="Q33" i="16"/>
  <c r="Q44" i="16"/>
  <c r="Q23" i="16"/>
  <c r="J24" i="16"/>
  <c r="J45" i="16"/>
  <c r="J51" i="16" s="1"/>
  <c r="J34" i="16"/>
  <c r="J40" i="16" s="1"/>
  <c r="AQ46" i="17"/>
  <c r="AQ50" i="17"/>
  <c r="AS23" i="16"/>
  <c r="AS44" i="16"/>
  <c r="AS33" i="16"/>
  <c r="AA21" i="17"/>
  <c r="AA22" i="17"/>
  <c r="AO34" i="17"/>
  <c r="AO40" i="17" s="1"/>
  <c r="AO24" i="17"/>
  <c r="AO45" i="17"/>
  <c r="AO51" i="17" s="1"/>
  <c r="AE34" i="17"/>
  <c r="AE40" i="17" s="1"/>
  <c r="AE24" i="17"/>
  <c r="AE45" i="17"/>
  <c r="AE51" i="17" s="1"/>
  <c r="AM23" i="17"/>
  <c r="AM33" i="17"/>
  <c r="AM44" i="17"/>
  <c r="F27" i="16"/>
  <c r="E30" i="16"/>
  <c r="AT24" i="17"/>
  <c r="AT45" i="17"/>
  <c r="AT51" i="17" s="1"/>
  <c r="AT34" i="17"/>
  <c r="AT40" i="17" s="1"/>
  <c r="AX34" i="18"/>
  <c r="AX40" i="18" s="1"/>
  <c r="AX24" i="18"/>
  <c r="AX45" i="18"/>
  <c r="AX51" i="18" s="1"/>
  <c r="AH23" i="18"/>
  <c r="AH44" i="18"/>
  <c r="AH33" i="18"/>
  <c r="X50" i="18"/>
  <c r="X46" i="18"/>
  <c r="H46" i="17"/>
  <c r="H50" i="17"/>
  <c r="AB24" i="17"/>
  <c r="AB45" i="17"/>
  <c r="AB51" i="17" s="1"/>
  <c r="AB34" i="17"/>
  <c r="AB40" i="17" s="1"/>
  <c r="AC45" i="18"/>
  <c r="AC51" i="18" s="1"/>
  <c r="AC24" i="18"/>
  <c r="AC34" i="18"/>
  <c r="AC40" i="18" s="1"/>
  <c r="AH45" i="17"/>
  <c r="AH51" i="17" s="1"/>
  <c r="AH34" i="17"/>
  <c r="AH40" i="17" s="1"/>
  <c r="AH24" i="17"/>
  <c r="AE24" i="18"/>
  <c r="AE45" i="18"/>
  <c r="AE51" i="18" s="1"/>
  <c r="AE34" i="18"/>
  <c r="AE40" i="18" s="1"/>
  <c r="AC23" i="17"/>
  <c r="AC44" i="17"/>
  <c r="AC33" i="17"/>
  <c r="L24" i="17"/>
  <c r="L45" i="17"/>
  <c r="L51" i="17" s="1"/>
  <c r="L34" i="17"/>
  <c r="L40" i="17" s="1"/>
  <c r="Q34" i="17"/>
  <c r="Q40" i="17" s="1"/>
  <c r="Q24" i="17"/>
  <c r="Q45" i="17"/>
  <c r="Q51" i="17" s="1"/>
  <c r="G24" i="18"/>
  <c r="G45" i="18"/>
  <c r="G51" i="18" s="1"/>
  <c r="G34" i="18"/>
  <c r="G40" i="18" s="1"/>
  <c r="AB34" i="18"/>
  <c r="AB40" i="18" s="1"/>
  <c r="AB24" i="18"/>
  <c r="AB45" i="18"/>
  <c r="AB51" i="18" s="1"/>
  <c r="S33" i="18"/>
  <c r="S23" i="18"/>
  <c r="S44" i="18"/>
  <c r="Z45" i="18"/>
  <c r="Z51" i="18" s="1"/>
  <c r="Z34" i="18"/>
  <c r="Z40" i="18" s="1"/>
  <c r="Z24" i="18"/>
  <c r="N45" i="18"/>
  <c r="N51" i="18" s="1"/>
  <c r="N34" i="18"/>
  <c r="N40" i="18" s="1"/>
  <c r="N24" i="18"/>
  <c r="O44" i="18"/>
  <c r="O33" i="18"/>
  <c r="O23" i="18"/>
  <c r="O24" i="16"/>
  <c r="O45" i="16"/>
  <c r="O51" i="16" s="1"/>
  <c r="O34" i="16"/>
  <c r="O40" i="16" s="1"/>
  <c r="AS24" i="16"/>
  <c r="AS45" i="16"/>
  <c r="AS51" i="16" s="1"/>
  <c r="AS34" i="16"/>
  <c r="AS40" i="16" s="1"/>
  <c r="W23" i="16"/>
  <c r="W33" i="16"/>
  <c r="W44" i="16"/>
  <c r="AG34" i="17"/>
  <c r="AG40" i="17" s="1"/>
  <c r="AG24" i="17"/>
  <c r="AG45" i="17"/>
  <c r="AG51" i="17" s="1"/>
  <c r="AF34" i="17"/>
  <c r="AF40" i="17" s="1"/>
  <c r="AF24" i="17"/>
  <c r="AF45" i="17"/>
  <c r="AF51" i="17" s="1"/>
  <c r="AM34" i="17"/>
  <c r="AM40" i="17" s="1"/>
  <c r="AM24" i="17"/>
  <c r="AM45" i="17"/>
  <c r="AM51" i="17" s="1"/>
  <c r="S45" i="18"/>
  <c r="S51" i="18" s="1"/>
  <c r="S34" i="18"/>
  <c r="S40" i="18" s="1"/>
  <c r="S24" i="18"/>
  <c r="O24" i="18"/>
  <c r="O45" i="18"/>
  <c r="O51" i="18" s="1"/>
  <c r="O34" i="18"/>
  <c r="O40" i="18" s="1"/>
  <c r="AQ51" i="16"/>
  <c r="AQ46" i="16"/>
  <c r="AX35" i="16"/>
  <c r="AW46" i="16"/>
  <c r="AW50" i="16"/>
  <c r="AJ23" i="16"/>
  <c r="AJ44" i="16"/>
  <c r="AJ33" i="16"/>
  <c r="AU34" i="17"/>
  <c r="AU40" i="17" s="1"/>
  <c r="AU24" i="17"/>
  <c r="AU45" i="17"/>
  <c r="AU51" i="17" s="1"/>
  <c r="AU33" i="16"/>
  <c r="AU44" i="16"/>
  <c r="AU23" i="16"/>
  <c r="N24" i="16"/>
  <c r="N34" i="16"/>
  <c r="N40" i="16" s="1"/>
  <c r="N45" i="16"/>
  <c r="N51" i="16" s="1"/>
  <c r="I44" i="16"/>
  <c r="I33" i="16"/>
  <c r="I23" i="16"/>
  <c r="AR22" i="17"/>
  <c r="AR21" i="17"/>
  <c r="AX33" i="17"/>
  <c r="AX23" i="17"/>
  <c r="AX44" i="17"/>
  <c r="X34" i="17"/>
  <c r="X40" i="17" s="1"/>
  <c r="X24" i="17"/>
  <c r="X45" i="17"/>
  <c r="X51" i="17" s="1"/>
  <c r="AB44" i="17"/>
  <c r="AB33" i="17"/>
  <c r="AB23" i="17"/>
  <c r="W24" i="16"/>
  <c r="W34" i="16"/>
  <c r="W40" i="16" s="1"/>
  <c r="W45" i="16"/>
  <c r="W51" i="16" s="1"/>
  <c r="AD23" i="17"/>
  <c r="AD44" i="17"/>
  <c r="AD33" i="17"/>
  <c r="U24" i="17"/>
  <c r="U45" i="17"/>
  <c r="U51" i="17" s="1"/>
  <c r="U34" i="17"/>
  <c r="U40" i="17" s="1"/>
  <c r="W23" i="17"/>
  <c r="W44" i="17"/>
  <c r="W33" i="17"/>
  <c r="AG33" i="17"/>
  <c r="AG23" i="17"/>
  <c r="AG44" i="17"/>
  <c r="AW23" i="18"/>
  <c r="AW44" i="18"/>
  <c r="AW33" i="18"/>
  <c r="AA34" i="16"/>
  <c r="AA40" i="16" s="1"/>
  <c r="AA24" i="16"/>
  <c r="AA45" i="16"/>
  <c r="AA51" i="16" s="1"/>
  <c r="AF33" i="17"/>
  <c r="AF23" i="17"/>
  <c r="AF44" i="17"/>
  <c r="AH34" i="18"/>
  <c r="AH40" i="18" s="1"/>
  <c r="AH45" i="18"/>
  <c r="AH51" i="18" s="1"/>
  <c r="AH24" i="18"/>
  <c r="AT45" i="18"/>
  <c r="AT51" i="18" s="1"/>
  <c r="AT34" i="18"/>
  <c r="AT40" i="18" s="1"/>
  <c r="AT24" i="18"/>
  <c r="M23" i="17"/>
  <c r="M44" i="17"/>
  <c r="M33" i="17"/>
  <c r="AE23" i="16"/>
  <c r="AE44" i="16"/>
  <c r="AE33" i="16"/>
  <c r="G44" i="17"/>
  <c r="G33" i="17"/>
  <c r="G23" i="17"/>
  <c r="D39" i="17"/>
  <c r="AK22" i="18"/>
  <c r="AK21" i="18"/>
  <c r="AQ34" i="18"/>
  <c r="AQ40" i="18" s="1"/>
  <c r="AQ24" i="18"/>
  <c r="AQ45" i="18"/>
  <c r="AQ51" i="18" s="1"/>
  <c r="AX24" i="17"/>
  <c r="AX45" i="17"/>
  <c r="AX51" i="17" s="1"/>
  <c r="AX34" i="17"/>
  <c r="AX40" i="17" s="1"/>
  <c r="J23" i="18"/>
  <c r="J44" i="18"/>
  <c r="J33" i="18"/>
  <c r="P24" i="18"/>
  <c r="P45" i="18"/>
  <c r="P51" i="18" s="1"/>
  <c r="P34" i="18"/>
  <c r="P40" i="18" s="1"/>
  <c r="M45" i="18"/>
  <c r="M51" i="18" s="1"/>
  <c r="M24" i="18"/>
  <c r="M34" i="18"/>
  <c r="M40" i="18" s="1"/>
  <c r="Y24" i="18"/>
  <c r="Y34" i="18"/>
  <c r="Y40" i="18" s="1"/>
  <c r="Y45" i="18"/>
  <c r="Y51" i="18" s="1"/>
  <c r="K34" i="18"/>
  <c r="K40" i="18" s="1"/>
  <c r="K45" i="18"/>
  <c r="K51" i="18" s="1"/>
  <c r="K24" i="18"/>
  <c r="I23" i="18"/>
  <c r="I44" i="18"/>
  <c r="I33" i="18"/>
  <c r="AQ40" i="16"/>
  <c r="AQ35" i="16"/>
  <c r="Z21" i="16"/>
  <c r="Z22" i="16"/>
  <c r="I45" i="16"/>
  <c r="I51" i="16" s="1"/>
  <c r="I34" i="16"/>
  <c r="I40" i="16" s="1"/>
  <c r="I24" i="16"/>
  <c r="AO44" i="17"/>
  <c r="AO23" i="17"/>
  <c r="AO33" i="17"/>
  <c r="W34" i="17"/>
  <c r="W40" i="17" s="1"/>
  <c r="W24" i="17"/>
  <c r="W45" i="17"/>
  <c r="W51" i="17" s="1"/>
  <c r="P33" i="17"/>
  <c r="P44" i="17"/>
  <c r="P23" i="17"/>
  <c r="AH33" i="17"/>
  <c r="AH23" i="17"/>
  <c r="AH44" i="17"/>
  <c r="AV24" i="18"/>
  <c r="AV45" i="18"/>
  <c r="AV51" i="18" s="1"/>
  <c r="AV34" i="18"/>
  <c r="AV40" i="18" s="1"/>
  <c r="AB23" i="18"/>
  <c r="AB33" i="18"/>
  <c r="AB44" i="18"/>
  <c r="N44" i="18"/>
  <c r="N23" i="18"/>
  <c r="N33" i="18"/>
  <c r="AT21" i="16"/>
  <c r="AT22" i="16"/>
  <c r="AP45" i="16"/>
  <c r="AP51" i="16" s="1"/>
  <c r="AP34" i="16"/>
  <c r="AP40" i="16" s="1"/>
  <c r="AP24" i="16"/>
  <c r="AI24" i="16"/>
  <c r="AI45" i="16"/>
  <c r="AI51" i="16" s="1"/>
  <c r="AI34" i="16"/>
  <c r="AI40" i="16" s="1"/>
  <c r="AJ24" i="16"/>
  <c r="AJ34" i="16"/>
  <c r="AJ40" i="16" s="1"/>
  <c r="AJ45" i="16"/>
  <c r="AJ51" i="16" s="1"/>
  <c r="M21" i="16"/>
  <c r="M22" i="16"/>
  <c r="AA33" i="16"/>
  <c r="AA44" i="16"/>
  <c r="AA23" i="16"/>
  <c r="AF24" i="16"/>
  <c r="AF34" i="16"/>
  <c r="AF40" i="16" s="1"/>
  <c r="AF45" i="16"/>
  <c r="AF51" i="16" s="1"/>
  <c r="N33" i="16"/>
  <c r="N23" i="16"/>
  <c r="N44" i="16"/>
  <c r="AP33" i="17"/>
  <c r="AP23" i="17"/>
  <c r="AP44" i="17"/>
  <c r="K34" i="16"/>
  <c r="K40" i="16" s="1"/>
  <c r="K24" i="16"/>
  <c r="K45" i="16"/>
  <c r="K51" i="16" s="1"/>
  <c r="AS21" i="17"/>
  <c r="AS22" i="17"/>
  <c r="X33" i="17"/>
  <c r="X23" i="17"/>
  <c r="X44" i="17"/>
  <c r="Y34" i="17"/>
  <c r="Y40" i="17" s="1"/>
  <c r="Y24" i="17"/>
  <c r="Y45" i="17"/>
  <c r="Y51" i="17" s="1"/>
  <c r="O21" i="17"/>
  <c r="O22" i="17"/>
  <c r="AD24" i="17"/>
  <c r="AD45" i="17"/>
  <c r="AD51" i="17" s="1"/>
  <c r="AD34" i="17"/>
  <c r="AD40" i="17" s="1"/>
  <c r="V23" i="17"/>
  <c r="V44" i="17"/>
  <c r="V33" i="17"/>
  <c r="AW24" i="18"/>
  <c r="AW45" i="18"/>
  <c r="AW51" i="18" s="1"/>
  <c r="AW34" i="18"/>
  <c r="AW40" i="18" s="1"/>
  <c r="AD24" i="16"/>
  <c r="AD45" i="16"/>
  <c r="AD51" i="16" s="1"/>
  <c r="AD34" i="16"/>
  <c r="AD40" i="16" s="1"/>
  <c r="K34" i="17"/>
  <c r="K40" i="17" s="1"/>
  <c r="K24" i="17"/>
  <c r="K45" i="17"/>
  <c r="K51" i="17" s="1"/>
  <c r="AE50" i="18"/>
  <c r="AE46" i="18"/>
  <c r="AT44" i="18"/>
  <c r="AT33" i="18"/>
  <c r="AT23" i="18"/>
  <c r="M24" i="17"/>
  <c r="M34" i="17"/>
  <c r="M40" i="17" s="1"/>
  <c r="M45" i="17"/>
  <c r="M51" i="17" s="1"/>
  <c r="O23" i="16"/>
  <c r="O44" i="16"/>
  <c r="O33" i="16"/>
  <c r="F45" i="17"/>
  <c r="F51" i="17" s="1"/>
  <c r="F34" i="17"/>
  <c r="F40" i="17" s="1"/>
  <c r="F24" i="17"/>
  <c r="AI33" i="18"/>
  <c r="AI44" i="18"/>
  <c r="AI23" i="18"/>
  <c r="AQ33" i="18"/>
  <c r="AQ23" i="18"/>
  <c r="AQ44" i="18"/>
  <c r="AA44" i="18"/>
  <c r="AA23" i="18"/>
  <c r="AA33" i="18"/>
  <c r="L34" i="18"/>
  <c r="L40" i="18" s="1"/>
  <c r="L24" i="18"/>
  <c r="L45" i="18"/>
  <c r="L51" i="18" s="1"/>
  <c r="P23" i="18"/>
  <c r="P44" i="18"/>
  <c r="P33" i="18"/>
  <c r="M33" i="18"/>
  <c r="M23" i="18"/>
  <c r="M44" i="18"/>
  <c r="Y33" i="18"/>
  <c r="Y44" i="18"/>
  <c r="Y23" i="18"/>
  <c r="K33" i="18"/>
  <c r="K23" i="18"/>
  <c r="K44" i="18"/>
  <c r="I24" i="18"/>
  <c r="I45" i="18"/>
  <c r="I51" i="18" s="1"/>
  <c r="I34" i="18"/>
  <c r="I40" i="18" s="1"/>
  <c r="AU34" i="16"/>
  <c r="AU40" i="16" s="1"/>
  <c r="AU24" i="16"/>
  <c r="AU45" i="16"/>
  <c r="AU51" i="16" s="1"/>
  <c r="AC24" i="17"/>
  <c r="AC45" i="17"/>
  <c r="AC51" i="17" s="1"/>
  <c r="AC34" i="17"/>
  <c r="AC40" i="17" s="1"/>
  <c r="Z23" i="18"/>
  <c r="Z33" i="18"/>
  <c r="Z44" i="18"/>
  <c r="AH45" i="16"/>
  <c r="AH51" i="16" s="1"/>
  <c r="AH34" i="16"/>
  <c r="AH40" i="16" s="1"/>
  <c r="AH24" i="16"/>
  <c r="AO45" i="16"/>
  <c r="AO51" i="16" s="1"/>
  <c r="AO24" i="16"/>
  <c r="AO34" i="16"/>
  <c r="AO40" i="16" s="1"/>
  <c r="AR22" i="16"/>
  <c r="AR21" i="16"/>
  <c r="AP44" i="16"/>
  <c r="AP23" i="16"/>
  <c r="AP33" i="16"/>
  <c r="AI44" i="16"/>
  <c r="AI33" i="16"/>
  <c r="AI23" i="16"/>
  <c r="AW35" i="16"/>
  <c r="AW39" i="16"/>
  <c r="X23" i="16"/>
  <c r="X33" i="16"/>
  <c r="X44" i="16"/>
  <c r="R24" i="16"/>
  <c r="R45" i="16"/>
  <c r="R51" i="16" s="1"/>
  <c r="R34" i="16"/>
  <c r="R40" i="16" s="1"/>
  <c r="T44" i="16"/>
  <c r="T33" i="16"/>
  <c r="T23" i="16"/>
  <c r="AF33" i="16"/>
  <c r="AF23" i="16"/>
  <c r="AF44" i="16"/>
  <c r="AW34" i="17"/>
  <c r="AW40" i="17" s="1"/>
  <c r="AW24" i="17"/>
  <c r="AW45" i="17"/>
  <c r="AW51" i="17" s="1"/>
  <c r="AC45" i="16"/>
  <c r="AC51" i="16" s="1"/>
  <c r="AC24" i="16"/>
  <c r="AC34" i="16"/>
  <c r="AC40" i="16" s="1"/>
  <c r="K23" i="16"/>
  <c r="K44" i="16"/>
  <c r="K33" i="16"/>
  <c r="V23" i="16"/>
  <c r="V33" i="16"/>
  <c r="V44" i="16"/>
  <c r="U23" i="17"/>
  <c r="U44" i="17"/>
  <c r="U33" i="17"/>
  <c r="Y33" i="17"/>
  <c r="Y23" i="17"/>
  <c r="Y44" i="17"/>
  <c r="L45" i="16"/>
  <c r="L51" i="16" s="1"/>
  <c r="L34" i="16"/>
  <c r="L40" i="16" s="1"/>
  <c r="L24" i="16"/>
  <c r="T44" i="17"/>
  <c r="T33" i="17"/>
  <c r="T23" i="17"/>
  <c r="V24" i="17"/>
  <c r="V45" i="17"/>
  <c r="V51" i="17" s="1"/>
  <c r="V34" i="17"/>
  <c r="V40" i="17" s="1"/>
  <c r="AS45" i="18"/>
  <c r="AS51" i="18" s="1"/>
  <c r="AS34" i="18"/>
  <c r="AS40" i="18" s="1"/>
  <c r="AS24" i="18"/>
  <c r="D24" i="16"/>
  <c r="D45" i="16"/>
  <c r="D51" i="16" s="1"/>
  <c r="D34" i="16"/>
  <c r="D40" i="16" s="1"/>
  <c r="K44" i="17"/>
  <c r="K23" i="17"/>
  <c r="K33" i="17"/>
  <c r="AD34" i="18"/>
  <c r="AD40" i="18" s="1"/>
  <c r="AD24" i="18"/>
  <c r="AD45" i="18"/>
  <c r="AD51" i="18" s="1"/>
  <c r="AZ10" i="17"/>
  <c r="D13" i="17"/>
  <c r="AV23" i="18"/>
  <c r="AV44" i="18"/>
  <c r="AV33" i="18"/>
  <c r="AC44" i="16"/>
  <c r="AC33" i="16"/>
  <c r="AC23" i="16"/>
  <c r="F44" i="17"/>
  <c r="F33" i="17"/>
  <c r="F23" i="17"/>
  <c r="F27" i="17"/>
  <c r="E30" i="17"/>
  <c r="AI24" i="18"/>
  <c r="AI34" i="18"/>
  <c r="AI40" i="18" s="1"/>
  <c r="AI45" i="18"/>
  <c r="AI51" i="18" s="1"/>
  <c r="AA24" i="18"/>
  <c r="AA45" i="18"/>
  <c r="AA51" i="18" s="1"/>
  <c r="AA34" i="18"/>
  <c r="AA40" i="18" s="1"/>
  <c r="L33" i="18"/>
  <c r="L44" i="18"/>
  <c r="L23" i="18"/>
  <c r="H34" i="18"/>
  <c r="H40" i="18" s="1"/>
  <c r="H24" i="18"/>
  <c r="H45" i="18"/>
  <c r="H51" i="18" s="1"/>
  <c r="F45" i="18"/>
  <c r="F51" i="18" s="1"/>
  <c r="F34" i="18"/>
  <c r="F40" i="18" s="1"/>
  <c r="F24" i="18"/>
  <c r="V23" i="18"/>
  <c r="V44" i="18"/>
  <c r="V33" i="18"/>
  <c r="Q23" i="18"/>
  <c r="Q33" i="18"/>
  <c r="Q44" i="18"/>
  <c r="T34" i="18"/>
  <c r="T40" i="18" s="1"/>
  <c r="T24" i="18"/>
  <c r="T45" i="18"/>
  <c r="T51" i="18" s="1"/>
  <c r="AY22" i="17"/>
  <c r="AY21" i="17"/>
  <c r="Z21" i="17"/>
  <c r="Z22" i="17"/>
  <c r="AE23" i="17"/>
  <c r="AE44" i="17"/>
  <c r="AE33" i="17"/>
  <c r="AX23" i="18"/>
  <c r="AX44" i="18"/>
  <c r="AX33" i="18"/>
  <c r="D34" i="18"/>
  <c r="D40" i="18" s="1"/>
  <c r="D24" i="18"/>
  <c r="D45" i="18"/>
  <c r="D51" i="18" s="1"/>
  <c r="I21" i="17"/>
  <c r="I22" i="17"/>
  <c r="J34" i="18"/>
  <c r="J40" i="18" s="1"/>
  <c r="J24" i="18"/>
  <c r="J45" i="18"/>
  <c r="J51" i="18" s="1"/>
  <c r="AH44" i="16"/>
  <c r="AH23" i="16"/>
  <c r="AH33" i="16"/>
  <c r="AO33" i="16"/>
  <c r="AO23" i="16"/>
  <c r="AO44" i="16"/>
  <c r="AG33" i="16"/>
  <c r="AG23" i="16"/>
  <c r="AG44" i="16"/>
  <c r="AD44" i="16"/>
  <c r="AD23" i="16"/>
  <c r="AD33" i="16"/>
  <c r="X24" i="16"/>
  <c r="X34" i="16"/>
  <c r="X40" i="16" s="1"/>
  <c r="X45" i="16"/>
  <c r="X51" i="16" s="1"/>
  <c r="R33" i="16"/>
  <c r="R23" i="16"/>
  <c r="R44" i="16"/>
  <c r="H21" i="16"/>
  <c r="H22" i="16"/>
  <c r="U24" i="16"/>
  <c r="U45" i="16"/>
  <c r="U51" i="16" s="1"/>
  <c r="U34" i="16"/>
  <c r="U40" i="16" s="1"/>
  <c r="AW44" i="17"/>
  <c r="AW23" i="17"/>
  <c r="AW33" i="17"/>
  <c r="G34" i="16"/>
  <c r="G40" i="16" s="1"/>
  <c r="G24" i="16"/>
  <c r="G45" i="16"/>
  <c r="G51" i="16" s="1"/>
  <c r="V24" i="16"/>
  <c r="V34" i="16"/>
  <c r="V40" i="16" s="1"/>
  <c r="V45" i="16"/>
  <c r="V51" i="16" s="1"/>
  <c r="T24" i="17"/>
  <c r="T45" i="17"/>
  <c r="T51" i="17" s="1"/>
  <c r="T34" i="17"/>
  <c r="T40" i="17" s="1"/>
  <c r="R45" i="17"/>
  <c r="R51" i="17" s="1"/>
  <c r="R24" i="17"/>
  <c r="R34" i="17"/>
  <c r="R40" i="17" s="1"/>
  <c r="L44" i="16"/>
  <c r="L33" i="16"/>
  <c r="L23" i="16"/>
  <c r="AP21" i="18"/>
  <c r="AP22" i="18"/>
  <c r="Y34" i="16"/>
  <c r="Y40" i="16" s="1"/>
  <c r="Y45" i="16"/>
  <c r="Y51" i="16" s="1"/>
  <c r="Y24" i="16"/>
  <c r="Q23" i="17"/>
  <c r="Q44" i="17"/>
  <c r="Q33" i="17"/>
  <c r="S34" i="17"/>
  <c r="S40" i="17" s="1"/>
  <c r="S24" i="17"/>
  <c r="S45" i="17"/>
  <c r="S51" i="17" s="1"/>
  <c r="AS33" i="18"/>
  <c r="AS23" i="18"/>
  <c r="AS44" i="18"/>
  <c r="AG44" i="18"/>
  <c r="AG23" i="18"/>
  <c r="AG33" i="18"/>
  <c r="J33" i="17"/>
  <c r="J23" i="17"/>
  <c r="J44" i="17"/>
  <c r="AD44" i="18"/>
  <c r="AD23" i="18"/>
  <c r="AD33" i="18"/>
  <c r="AO46" i="18"/>
  <c r="AU24" i="18"/>
  <c r="AU45" i="18"/>
  <c r="AU51" i="18" s="1"/>
  <c r="AU34" i="18"/>
  <c r="AU40" i="18" s="1"/>
  <c r="D33" i="16"/>
  <c r="D44" i="16"/>
  <c r="D23" i="16"/>
  <c r="AF22" i="18"/>
  <c r="AF21" i="18"/>
  <c r="U33" i="18"/>
  <c r="U23" i="18"/>
  <c r="U44" i="18"/>
  <c r="D35" i="18"/>
  <c r="D39" i="18"/>
  <c r="H23" i="18"/>
  <c r="H44" i="18"/>
  <c r="H33" i="18"/>
  <c r="F44" i="18"/>
  <c r="F33" i="18"/>
  <c r="F23" i="18"/>
  <c r="V34" i="18"/>
  <c r="V40" i="18" s="1"/>
  <c r="V24" i="18"/>
  <c r="V45" i="18"/>
  <c r="V51" i="18" s="1"/>
  <c r="Q24" i="18"/>
  <c r="Q45" i="18"/>
  <c r="Q51" i="18" s="1"/>
  <c r="Q34" i="18"/>
  <c r="Q40" i="18" s="1"/>
  <c r="T44" i="18"/>
  <c r="T23" i="18"/>
  <c r="T33" i="18"/>
  <c r="AN46" i="16"/>
  <c r="AG45" i="16"/>
  <c r="AG51" i="16" s="1"/>
  <c r="AG24" i="16"/>
  <c r="AG34" i="16"/>
  <c r="AG40" i="16" s="1"/>
  <c r="AW10" i="16"/>
  <c r="AW13" i="16" s="1"/>
  <c r="AX14" i="16" s="1"/>
  <c r="AX10" i="16" s="1"/>
  <c r="AX13" i="16" s="1"/>
  <c r="AX15" i="16"/>
  <c r="P23" i="16"/>
  <c r="P44" i="16"/>
  <c r="P33" i="16"/>
  <c r="D13" i="16"/>
  <c r="U44" i="16"/>
  <c r="U23" i="16"/>
  <c r="U33" i="16"/>
  <c r="AU23" i="17"/>
  <c r="AU33" i="17"/>
  <c r="AU44" i="17"/>
  <c r="AV22" i="17"/>
  <c r="AV21" i="17"/>
  <c r="G23" i="16"/>
  <c r="G44" i="16"/>
  <c r="G33" i="16"/>
  <c r="AJ24" i="17"/>
  <c r="AJ34" i="17"/>
  <c r="AJ40" i="17" s="1"/>
  <c r="AJ45" i="17"/>
  <c r="AJ51" i="17" s="1"/>
  <c r="L33" i="17"/>
  <c r="L23" i="17"/>
  <c r="L44" i="17"/>
  <c r="R33" i="17"/>
  <c r="R23" i="17"/>
  <c r="R44" i="17"/>
  <c r="AK45" i="17"/>
  <c r="AK51" i="17" s="1"/>
  <c r="AK34" i="17"/>
  <c r="AK40" i="17" s="1"/>
  <c r="AK24" i="17"/>
  <c r="F33" i="16"/>
  <c r="F23" i="16"/>
  <c r="F44" i="16"/>
  <c r="Y23" i="16"/>
  <c r="Y33" i="16"/>
  <c r="Y44" i="16"/>
  <c r="S44" i="17"/>
  <c r="S33" i="17"/>
  <c r="S23" i="17"/>
  <c r="AM24" i="18"/>
  <c r="AM45" i="18"/>
  <c r="AM51" i="18" s="1"/>
  <c r="AM34" i="18"/>
  <c r="AM40" i="18" s="1"/>
  <c r="N33" i="17"/>
  <c r="N44" i="17"/>
  <c r="N23" i="17"/>
  <c r="AJ23" i="18"/>
  <c r="AJ44" i="18"/>
  <c r="AJ33" i="18"/>
  <c r="AI44" i="17"/>
  <c r="AI33" i="17"/>
  <c r="AI23" i="17"/>
  <c r="AU39" i="18"/>
  <c r="AU35" i="18"/>
  <c r="F27" i="18"/>
  <c r="E30" i="18"/>
  <c r="U34" i="18"/>
  <c r="U40" i="18" s="1"/>
  <c r="U24" i="18"/>
  <c r="U45" i="18"/>
  <c r="U51" i="18" s="1"/>
  <c r="AY34" i="18"/>
  <c r="AY40" i="18" s="1"/>
  <c r="AY24" i="18"/>
  <c r="AY45" i="18"/>
  <c r="AY51" i="18" s="1"/>
  <c r="D46" i="18"/>
  <c r="D50" i="18"/>
  <c r="AL34" i="18"/>
  <c r="AL40" i="18" s="1"/>
  <c r="AL24" i="18"/>
  <c r="AL45" i="18"/>
  <c r="AL51" i="18" s="1"/>
  <c r="E21" i="18"/>
  <c r="E22" i="18"/>
  <c r="AZ22" i="18" s="1"/>
  <c r="W45" i="18"/>
  <c r="W51" i="18" s="1"/>
  <c r="W34" i="18"/>
  <c r="W40" i="18" s="1"/>
  <c r="W24" i="18"/>
  <c r="R34" i="18"/>
  <c r="R40" i="18" s="1"/>
  <c r="R24" i="18"/>
  <c r="R45" i="18"/>
  <c r="R51" i="18" s="1"/>
  <c r="AM21" i="16"/>
  <c r="AM22" i="16"/>
  <c r="AK23" i="16"/>
  <c r="AK44" i="16"/>
  <c r="AK33" i="16"/>
  <c r="AB21" i="16"/>
  <c r="AB22" i="16"/>
  <c r="J45" i="17"/>
  <c r="J51" i="17" s="1"/>
  <c r="J34" i="17"/>
  <c r="J40" i="17" s="1"/>
  <c r="J24" i="17"/>
  <c r="AK24" i="16"/>
  <c r="AK45" i="16"/>
  <c r="AK51" i="16" s="1"/>
  <c r="AK34" i="16"/>
  <c r="AK40" i="16" s="1"/>
  <c r="AZ260" i="14"/>
  <c r="AV34" i="16"/>
  <c r="AV40" i="16" s="1"/>
  <c r="AV24" i="16"/>
  <c r="AV45" i="16"/>
  <c r="AV51" i="16" s="1"/>
  <c r="AE24" i="16"/>
  <c r="AE34" i="16"/>
  <c r="AE40" i="16" s="1"/>
  <c r="AE45" i="16"/>
  <c r="AE51" i="16" s="1"/>
  <c r="P34" i="16"/>
  <c r="P40" i="16" s="1"/>
  <c r="P24" i="16"/>
  <c r="P45" i="16"/>
  <c r="P51" i="16" s="1"/>
  <c r="AP24" i="17"/>
  <c r="AP45" i="17"/>
  <c r="AP51" i="17" s="1"/>
  <c r="AP34" i="17"/>
  <c r="AP40" i="17" s="1"/>
  <c r="Q34" i="16"/>
  <c r="Q40" i="16" s="1"/>
  <c r="Q45" i="16"/>
  <c r="Q51" i="16" s="1"/>
  <c r="Q24" i="16"/>
  <c r="S44" i="16"/>
  <c r="S33" i="16"/>
  <c r="S23" i="16"/>
  <c r="AQ39" i="17"/>
  <c r="AQ35" i="17"/>
  <c r="AL22" i="17"/>
  <c r="AL21" i="17"/>
  <c r="AJ33" i="17"/>
  <c r="AJ44" i="17"/>
  <c r="AJ23" i="17"/>
  <c r="S45" i="16"/>
  <c r="S51" i="16" s="1"/>
  <c r="S24" i="16"/>
  <c r="S34" i="16"/>
  <c r="S40" i="16" s="1"/>
  <c r="P24" i="17"/>
  <c r="P34" i="17"/>
  <c r="P40" i="17" s="1"/>
  <c r="P45" i="17"/>
  <c r="P51" i="17" s="1"/>
  <c r="AK23" i="17"/>
  <c r="AK44" i="17"/>
  <c r="AK33" i="17"/>
  <c r="F24" i="16"/>
  <c r="F34" i="16"/>
  <c r="F40" i="16" s="1"/>
  <c r="F45" i="16"/>
  <c r="F51" i="16" s="1"/>
  <c r="AT33" i="17"/>
  <c r="AT44" i="17"/>
  <c r="AT23" i="17"/>
  <c r="D46" i="17"/>
  <c r="D50" i="17"/>
  <c r="AM33" i="18"/>
  <c r="AM23" i="18"/>
  <c r="AM44" i="18"/>
  <c r="X35" i="18"/>
  <c r="X39" i="18"/>
  <c r="G24" i="17"/>
  <c r="G45" i="17"/>
  <c r="G51" i="17" s="1"/>
  <c r="G34" i="17"/>
  <c r="G40" i="17" s="1"/>
  <c r="H39" i="17"/>
  <c r="H35" i="17"/>
  <c r="N24" i="17"/>
  <c r="N45" i="17"/>
  <c r="N51" i="17" s="1"/>
  <c r="N34" i="17"/>
  <c r="N40" i="17" s="1"/>
  <c r="AC33" i="18"/>
  <c r="AC23" i="18"/>
  <c r="AC44" i="18"/>
  <c r="AI45" i="17"/>
  <c r="AI51" i="17" s="1"/>
  <c r="AI24" i="17"/>
  <c r="AI34" i="17"/>
  <c r="AI40" i="17" s="1"/>
  <c r="AN22" i="18"/>
  <c r="AN21" i="18"/>
  <c r="AU46" i="18"/>
  <c r="AU50" i="18"/>
  <c r="AE39" i="18"/>
  <c r="AE35" i="18"/>
  <c r="D34" i="17"/>
  <c r="D40" i="17" s="1"/>
  <c r="D24" i="17"/>
  <c r="D45" i="17"/>
  <c r="D51" i="17" s="1"/>
  <c r="G44" i="18"/>
  <c r="G33" i="18"/>
  <c r="G23" i="18"/>
  <c r="AY33" i="18"/>
  <c r="AY23" i="18"/>
  <c r="AY44" i="18"/>
  <c r="AL44" i="18"/>
  <c r="AL23" i="18"/>
  <c r="AL33" i="18"/>
  <c r="AZ10" i="18"/>
  <c r="W23" i="18"/>
  <c r="W44" i="18"/>
  <c r="W33" i="18"/>
  <c r="R23" i="18"/>
  <c r="R44" i="18"/>
  <c r="R33" i="18"/>
  <c r="H6" i="5"/>
  <c r="W46" i="18" l="1"/>
  <c r="W50" i="18"/>
  <c r="AU39" i="17"/>
  <c r="AU35" i="17"/>
  <c r="AG35" i="16"/>
  <c r="AG39" i="16"/>
  <c r="AF46" i="16"/>
  <c r="AF50" i="16"/>
  <c r="M35" i="18"/>
  <c r="M39" i="18"/>
  <c r="AK45" i="18"/>
  <c r="AK51" i="18" s="1"/>
  <c r="AK34" i="18"/>
  <c r="AK40" i="18" s="1"/>
  <c r="AK24" i="18"/>
  <c r="AM50" i="17"/>
  <c r="AM46" i="17"/>
  <c r="W39" i="18"/>
  <c r="W35" i="18"/>
  <c r="AL45" i="17"/>
  <c r="AL51" i="17" s="1"/>
  <c r="AL24" i="17"/>
  <c r="AL34" i="17"/>
  <c r="AL40" i="17" s="1"/>
  <c r="S46" i="17"/>
  <c r="S50" i="17"/>
  <c r="AU46" i="17"/>
  <c r="AU50" i="17"/>
  <c r="P35" i="16"/>
  <c r="P39" i="16"/>
  <c r="AD35" i="18"/>
  <c r="AD39" i="18"/>
  <c r="AG46" i="18"/>
  <c r="AG50" i="18"/>
  <c r="Q46" i="17"/>
  <c r="Q50" i="17"/>
  <c r="L35" i="16"/>
  <c r="L39" i="16"/>
  <c r="AW46" i="17"/>
  <c r="AW50" i="17"/>
  <c r="R35" i="16"/>
  <c r="R39" i="16"/>
  <c r="Z33" i="17"/>
  <c r="Z23" i="17"/>
  <c r="Z44" i="17"/>
  <c r="F46" i="17"/>
  <c r="F50" i="17"/>
  <c r="K35" i="16"/>
  <c r="K39" i="16"/>
  <c r="AI39" i="16"/>
  <c r="AI35" i="16"/>
  <c r="AA35" i="18"/>
  <c r="AA39" i="18"/>
  <c r="AI35" i="18"/>
  <c r="AI39" i="18"/>
  <c r="V35" i="17"/>
  <c r="V39" i="17"/>
  <c r="N35" i="16"/>
  <c r="N39" i="16"/>
  <c r="M44" i="16"/>
  <c r="M23" i="16"/>
  <c r="M33" i="16"/>
  <c r="AB39" i="18"/>
  <c r="AB35" i="18"/>
  <c r="AO46" i="17"/>
  <c r="AO50" i="17"/>
  <c r="I35" i="18"/>
  <c r="I39" i="18"/>
  <c r="J50" i="18"/>
  <c r="J46" i="18"/>
  <c r="AK33" i="18"/>
  <c r="AK23" i="18"/>
  <c r="AK44" i="18"/>
  <c r="AE50" i="16"/>
  <c r="AE46" i="16"/>
  <c r="W50" i="17"/>
  <c r="W46" i="17"/>
  <c r="I46" i="16"/>
  <c r="I50" i="16"/>
  <c r="F30" i="16"/>
  <c r="G27" i="16"/>
  <c r="AN24" i="17"/>
  <c r="AN34" i="17"/>
  <c r="AN40" i="17" s="1"/>
  <c r="AN45" i="17"/>
  <c r="AN51" i="17" s="1"/>
  <c r="AM34" i="16"/>
  <c r="AM40" i="16" s="1"/>
  <c r="AM24" i="16"/>
  <c r="AM45" i="16"/>
  <c r="AM51" i="16" s="1"/>
  <c r="N46" i="17"/>
  <c r="N50" i="17"/>
  <c r="T35" i="18"/>
  <c r="T39" i="18"/>
  <c r="AI50" i="16"/>
  <c r="AI46" i="16"/>
  <c r="AX50" i="17"/>
  <c r="AX46" i="17"/>
  <c r="J46" i="16"/>
  <c r="J50" i="16"/>
  <c r="AC50" i="18"/>
  <c r="AC46" i="18"/>
  <c r="AM33" i="16"/>
  <c r="AM44" i="16"/>
  <c r="AM23" i="16"/>
  <c r="E33" i="18"/>
  <c r="E23" i="18"/>
  <c r="E44" i="18"/>
  <c r="AZ21" i="18"/>
  <c r="N35" i="17"/>
  <c r="N39" i="17"/>
  <c r="Y35" i="16"/>
  <c r="Y39" i="16"/>
  <c r="R50" i="17"/>
  <c r="R46" i="17"/>
  <c r="U50" i="18"/>
  <c r="U46" i="18"/>
  <c r="D35" i="16"/>
  <c r="D39" i="16"/>
  <c r="AD46" i="18"/>
  <c r="AD50" i="18"/>
  <c r="AO46" i="16"/>
  <c r="AO50" i="16"/>
  <c r="AX50" i="18"/>
  <c r="AX46" i="18"/>
  <c r="AY24" i="17"/>
  <c r="AY34" i="17"/>
  <c r="AY40" i="17" s="1"/>
  <c r="AY45" i="17"/>
  <c r="AY51" i="17" s="1"/>
  <c r="V46" i="18"/>
  <c r="V50" i="18"/>
  <c r="AC35" i="16"/>
  <c r="AC39" i="16"/>
  <c r="T39" i="17"/>
  <c r="T35" i="17"/>
  <c r="U39" i="17"/>
  <c r="U35" i="17"/>
  <c r="X46" i="16"/>
  <c r="X50" i="16"/>
  <c r="AP35" i="16"/>
  <c r="AP39" i="16"/>
  <c r="P39" i="18"/>
  <c r="P35" i="18"/>
  <c r="AA46" i="18"/>
  <c r="AA50" i="18"/>
  <c r="AT34" i="16"/>
  <c r="AT40" i="16" s="1"/>
  <c r="AT45" i="16"/>
  <c r="AT51" i="16" s="1"/>
  <c r="AT24" i="16"/>
  <c r="P35" i="17"/>
  <c r="P39" i="17"/>
  <c r="M39" i="17"/>
  <c r="M35" i="17"/>
  <c r="AW46" i="18"/>
  <c r="AW50" i="18"/>
  <c r="AJ39" i="16"/>
  <c r="AJ35" i="16"/>
  <c r="W46" i="16"/>
  <c r="W50" i="16"/>
  <c r="AM35" i="17"/>
  <c r="AM39" i="17"/>
  <c r="AA45" i="17"/>
  <c r="AA51" i="17" s="1"/>
  <c r="AA34" i="17"/>
  <c r="AA40" i="17" s="1"/>
  <c r="AA24" i="17"/>
  <c r="L46" i="16"/>
  <c r="L50" i="16"/>
  <c r="K50" i="18"/>
  <c r="K46" i="18"/>
  <c r="AV39" i="16"/>
  <c r="AV35" i="16"/>
  <c r="G35" i="18"/>
  <c r="G39" i="18"/>
  <c r="AK39" i="17"/>
  <c r="AK35" i="17"/>
  <c r="AI39" i="17"/>
  <c r="AI35" i="17"/>
  <c r="G35" i="16"/>
  <c r="G39" i="16"/>
  <c r="U35" i="16"/>
  <c r="U39" i="16"/>
  <c r="T46" i="18"/>
  <c r="T50" i="18"/>
  <c r="F39" i="18"/>
  <c r="F35" i="18"/>
  <c r="J50" i="17"/>
  <c r="J46" i="17"/>
  <c r="AS35" i="18"/>
  <c r="AS39" i="18"/>
  <c r="I34" i="17"/>
  <c r="I40" i="17" s="1"/>
  <c r="I24" i="17"/>
  <c r="I45" i="17"/>
  <c r="I51" i="17" s="1"/>
  <c r="AC46" i="16"/>
  <c r="AC50" i="16"/>
  <c r="T46" i="17"/>
  <c r="T50" i="17"/>
  <c r="U46" i="17"/>
  <c r="U50" i="17"/>
  <c r="AF39" i="16"/>
  <c r="AF35" i="16"/>
  <c r="X35" i="16"/>
  <c r="X39" i="16"/>
  <c r="K35" i="18"/>
  <c r="K39" i="18"/>
  <c r="P46" i="18"/>
  <c r="P50" i="18"/>
  <c r="AQ50" i="18"/>
  <c r="AQ46" i="18"/>
  <c r="AT35" i="18"/>
  <c r="AT39" i="18"/>
  <c r="X50" i="17"/>
  <c r="X46" i="17"/>
  <c r="AP50" i="17"/>
  <c r="AP46" i="17"/>
  <c r="AT23" i="16"/>
  <c r="AT44" i="16"/>
  <c r="AT33" i="16"/>
  <c r="D35" i="17"/>
  <c r="M46" i="17"/>
  <c r="M50" i="17"/>
  <c r="AF50" i="17"/>
  <c r="AF46" i="17"/>
  <c r="AX39" i="17"/>
  <c r="AX35" i="17"/>
  <c r="AJ46" i="16"/>
  <c r="AJ50" i="16"/>
  <c r="W39" i="16"/>
  <c r="W35" i="16"/>
  <c r="AC39" i="17"/>
  <c r="AC35" i="17"/>
  <c r="AA44" i="17"/>
  <c r="AA33" i="17"/>
  <c r="AA23" i="17"/>
  <c r="J39" i="16"/>
  <c r="J35" i="16"/>
  <c r="Y50" i="16"/>
  <c r="Y46" i="16"/>
  <c r="V35" i="18"/>
  <c r="V39" i="18"/>
  <c r="Y35" i="17"/>
  <c r="Y39" i="17"/>
  <c r="V46" i="17"/>
  <c r="V50" i="17"/>
  <c r="AL35" i="18"/>
  <c r="AL39" i="18"/>
  <c r="G46" i="18"/>
  <c r="G50" i="18"/>
  <c r="AC35" i="18"/>
  <c r="AC39" i="18"/>
  <c r="AK46" i="17"/>
  <c r="AK50" i="17"/>
  <c r="S35" i="16"/>
  <c r="S39" i="16"/>
  <c r="AB45" i="16"/>
  <c r="AB51" i="16" s="1"/>
  <c r="AB24" i="16"/>
  <c r="AB34" i="16"/>
  <c r="AB40" i="16" s="1"/>
  <c r="AI46" i="17"/>
  <c r="AI50" i="17"/>
  <c r="F50" i="16"/>
  <c r="F46" i="16"/>
  <c r="R35" i="17"/>
  <c r="R39" i="17"/>
  <c r="G46" i="16"/>
  <c r="G50" i="16"/>
  <c r="AY21" i="16"/>
  <c r="AY22" i="16"/>
  <c r="F46" i="18"/>
  <c r="F50" i="18"/>
  <c r="U39" i="18"/>
  <c r="U35" i="18"/>
  <c r="H45" i="16"/>
  <c r="H51" i="16" s="1"/>
  <c r="H34" i="16"/>
  <c r="H40" i="16" s="1"/>
  <c r="H24" i="16"/>
  <c r="AD39" i="16"/>
  <c r="AD35" i="16"/>
  <c r="AO35" i="16"/>
  <c r="AO39" i="16"/>
  <c r="I23" i="17"/>
  <c r="I33" i="17"/>
  <c r="I44" i="17"/>
  <c r="AE35" i="17"/>
  <c r="AE39" i="17"/>
  <c r="L46" i="18"/>
  <c r="L50" i="18"/>
  <c r="AV39" i="18"/>
  <c r="AV35" i="18"/>
  <c r="K35" i="17"/>
  <c r="K39" i="17"/>
  <c r="AP46" i="16"/>
  <c r="AP50" i="16"/>
  <c r="O39" i="16"/>
  <c r="O35" i="16"/>
  <c r="AT46" i="18"/>
  <c r="AT50" i="18"/>
  <c r="N39" i="18"/>
  <c r="N35" i="18"/>
  <c r="Z34" i="16"/>
  <c r="Z40" i="16" s="1"/>
  <c r="Z24" i="16"/>
  <c r="Z45" i="16"/>
  <c r="Z51" i="16" s="1"/>
  <c r="AG46" i="17"/>
  <c r="AG50" i="17"/>
  <c r="AB39" i="17"/>
  <c r="AB35" i="17"/>
  <c r="AR44" i="17"/>
  <c r="AR23" i="17"/>
  <c r="AR33" i="17"/>
  <c r="O35" i="18"/>
  <c r="O39" i="18"/>
  <c r="S50" i="18"/>
  <c r="S46" i="18"/>
  <c r="AC46" i="17"/>
  <c r="AC50" i="17"/>
  <c r="AS35" i="16"/>
  <c r="AS39" i="16"/>
  <c r="AY35" i="18"/>
  <c r="AY39" i="18"/>
  <c r="AM39" i="18"/>
  <c r="AM35" i="18"/>
  <c r="D46" i="16"/>
  <c r="D50" i="16"/>
  <c r="AX35" i="18"/>
  <c r="AX39" i="18"/>
  <c r="R35" i="18"/>
  <c r="R39" i="18"/>
  <c r="AN23" i="18"/>
  <c r="AN44" i="18"/>
  <c r="AN33" i="18"/>
  <c r="AT50" i="17"/>
  <c r="AT46" i="17"/>
  <c r="AJ46" i="17"/>
  <c r="AJ50" i="17"/>
  <c r="S46" i="16"/>
  <c r="S50" i="16"/>
  <c r="AB33" i="16"/>
  <c r="AB23" i="16"/>
  <c r="AB44" i="16"/>
  <c r="AJ39" i="18"/>
  <c r="AJ35" i="18"/>
  <c r="L50" i="17"/>
  <c r="L46" i="17"/>
  <c r="U46" i="16"/>
  <c r="U50" i="16"/>
  <c r="H39" i="18"/>
  <c r="H35" i="18"/>
  <c r="AF23" i="18"/>
  <c r="AF44" i="18"/>
  <c r="AF33" i="18"/>
  <c r="J35" i="17"/>
  <c r="J39" i="17"/>
  <c r="AP34" i="18"/>
  <c r="AP40" i="18" s="1"/>
  <c r="AP24" i="18"/>
  <c r="AP45" i="18"/>
  <c r="AP51" i="18" s="1"/>
  <c r="H33" i="16"/>
  <c r="H23" i="16"/>
  <c r="H44" i="16"/>
  <c r="AH35" i="16"/>
  <c r="AH39" i="16"/>
  <c r="AE50" i="17"/>
  <c r="AE46" i="17"/>
  <c r="L35" i="18"/>
  <c r="L39" i="18"/>
  <c r="G27" i="17"/>
  <c r="F30" i="17"/>
  <c r="AV46" i="18"/>
  <c r="AV50" i="18"/>
  <c r="V46" i="16"/>
  <c r="V50" i="16"/>
  <c r="T35" i="16"/>
  <c r="T39" i="16"/>
  <c r="AR23" i="16"/>
  <c r="AR44" i="16"/>
  <c r="AR33" i="16"/>
  <c r="Z50" i="18"/>
  <c r="Z46" i="18"/>
  <c r="Y46" i="18"/>
  <c r="Y50" i="18"/>
  <c r="AQ35" i="18"/>
  <c r="AQ39" i="18"/>
  <c r="O46" i="16"/>
  <c r="O50" i="16"/>
  <c r="X35" i="17"/>
  <c r="X39" i="17"/>
  <c r="AP39" i="17"/>
  <c r="AP35" i="17"/>
  <c r="AA46" i="16"/>
  <c r="AA50" i="16"/>
  <c r="AH46" i="17"/>
  <c r="AH50" i="17"/>
  <c r="Z33" i="16"/>
  <c r="Z44" i="16"/>
  <c r="Z23" i="16"/>
  <c r="G39" i="17"/>
  <c r="G35" i="17"/>
  <c r="AF35" i="17"/>
  <c r="AF39" i="17"/>
  <c r="AD35" i="17"/>
  <c r="AD39" i="17"/>
  <c r="AB46" i="17"/>
  <c r="AB50" i="17"/>
  <c r="AR24" i="17"/>
  <c r="AR45" i="17"/>
  <c r="AR51" i="17" s="1"/>
  <c r="AR34" i="17"/>
  <c r="AR40" i="17" s="1"/>
  <c r="AU50" i="16"/>
  <c r="AU46" i="16"/>
  <c r="O46" i="18"/>
  <c r="O50" i="18"/>
  <c r="AS46" i="16"/>
  <c r="AS50" i="16"/>
  <c r="Q46" i="16"/>
  <c r="Q50" i="16"/>
  <c r="E45" i="18"/>
  <c r="E51" i="18" s="1"/>
  <c r="E34" i="18"/>
  <c r="E40" i="18" s="1"/>
  <c r="E24" i="18"/>
  <c r="P46" i="16"/>
  <c r="P50" i="16"/>
  <c r="AS46" i="18"/>
  <c r="AS50" i="18"/>
  <c r="P50" i="17"/>
  <c r="P46" i="17"/>
  <c r="AW35" i="18"/>
  <c r="AW39" i="18"/>
  <c r="R46" i="18"/>
  <c r="R50" i="18"/>
  <c r="AL46" i="18"/>
  <c r="AL50" i="18"/>
  <c r="AN24" i="18"/>
  <c r="AN45" i="18"/>
  <c r="AN51" i="18" s="1"/>
  <c r="AN34" i="18"/>
  <c r="AN40" i="18" s="1"/>
  <c r="AT35" i="17"/>
  <c r="AT39" i="17"/>
  <c r="AJ35" i="17"/>
  <c r="AJ39" i="17"/>
  <c r="AK35" i="16"/>
  <c r="AK39" i="16"/>
  <c r="AJ46" i="18"/>
  <c r="AJ50" i="18"/>
  <c r="F35" i="16"/>
  <c r="F39" i="16"/>
  <c r="AV33" i="17"/>
  <c r="AV23" i="17"/>
  <c r="AV44" i="17"/>
  <c r="E21" i="16"/>
  <c r="E22" i="16"/>
  <c r="H46" i="18"/>
  <c r="H50" i="18"/>
  <c r="AF24" i="18"/>
  <c r="AF34" i="18"/>
  <c r="AF40" i="18" s="1"/>
  <c r="AF45" i="18"/>
  <c r="AF51" i="18" s="1"/>
  <c r="AG35" i="18"/>
  <c r="AG39" i="18"/>
  <c r="AP23" i="18"/>
  <c r="AP44" i="18"/>
  <c r="AP33" i="18"/>
  <c r="AW35" i="17"/>
  <c r="AW39" i="17"/>
  <c r="R50" i="16"/>
  <c r="R46" i="16"/>
  <c r="AD46" i="16"/>
  <c r="AD50" i="16"/>
  <c r="AZ24" i="18"/>
  <c r="Q46" i="18"/>
  <c r="Q50" i="18"/>
  <c r="K46" i="17"/>
  <c r="K50" i="17"/>
  <c r="V39" i="16"/>
  <c r="V35" i="16"/>
  <c r="T50" i="16"/>
  <c r="T46" i="16"/>
  <c r="AR24" i="16"/>
  <c r="AR34" i="16"/>
  <c r="AR40" i="16" s="1"/>
  <c r="AR45" i="16"/>
  <c r="AR51" i="16" s="1"/>
  <c r="Z39" i="18"/>
  <c r="Z35" i="18"/>
  <c r="Y35" i="18"/>
  <c r="Y39" i="18"/>
  <c r="O34" i="17"/>
  <c r="O40" i="17" s="1"/>
  <c r="O45" i="17"/>
  <c r="O51" i="17" s="1"/>
  <c r="O24" i="17"/>
  <c r="AS34" i="17"/>
  <c r="AS40" i="17" s="1"/>
  <c r="AS45" i="17"/>
  <c r="AS51" i="17" s="1"/>
  <c r="AS24" i="17"/>
  <c r="N50" i="16"/>
  <c r="N46" i="16"/>
  <c r="AA35" i="16"/>
  <c r="AA39" i="16"/>
  <c r="N46" i="18"/>
  <c r="N50" i="18"/>
  <c r="AO35" i="17"/>
  <c r="AO39" i="17"/>
  <c r="G46" i="17"/>
  <c r="G50" i="17"/>
  <c r="AG35" i="17"/>
  <c r="AG39" i="17"/>
  <c r="AD46" i="17"/>
  <c r="AD50" i="17"/>
  <c r="AU35" i="16"/>
  <c r="AU39" i="16"/>
  <c r="S35" i="18"/>
  <c r="S39" i="18"/>
  <c r="AH39" i="18"/>
  <c r="AH35" i="18"/>
  <c r="Q35" i="16"/>
  <c r="Q39" i="16"/>
  <c r="AY23" i="17"/>
  <c r="AY44" i="17"/>
  <c r="AY33" i="17"/>
  <c r="K46" i="16"/>
  <c r="K50" i="16"/>
  <c r="I50" i="18"/>
  <c r="I46" i="18"/>
  <c r="AY50" i="18"/>
  <c r="AY46" i="18"/>
  <c r="AM46" i="18"/>
  <c r="AM50" i="18"/>
  <c r="AL44" i="17"/>
  <c r="AL23" i="17"/>
  <c r="AL33" i="17"/>
  <c r="AK46" i="16"/>
  <c r="AK50" i="16"/>
  <c r="G27" i="18"/>
  <c r="F30" i="18"/>
  <c r="S35" i="17"/>
  <c r="S39" i="17"/>
  <c r="L39" i="17"/>
  <c r="L35" i="17"/>
  <c r="AV45" i="17"/>
  <c r="AV51" i="17" s="1"/>
  <c r="AV34" i="17"/>
  <c r="AV40" i="17" s="1"/>
  <c r="AV24" i="17"/>
  <c r="AZ10" i="16"/>
  <c r="Q39" i="17"/>
  <c r="Q35" i="17"/>
  <c r="AG46" i="16"/>
  <c r="AG50" i="16"/>
  <c r="AH46" i="16"/>
  <c r="AH50" i="16"/>
  <c r="Z45" i="17"/>
  <c r="Z51" i="17" s="1"/>
  <c r="Z34" i="17"/>
  <c r="Z40" i="17" s="1"/>
  <c r="Z24" i="17"/>
  <c r="Q35" i="18"/>
  <c r="Q39" i="18"/>
  <c r="F35" i="17"/>
  <c r="F39" i="17"/>
  <c r="E21" i="17"/>
  <c r="E22" i="17"/>
  <c r="Y46" i="17"/>
  <c r="Y50" i="17"/>
  <c r="M46" i="18"/>
  <c r="M50" i="18"/>
  <c r="AI50" i="18"/>
  <c r="AI46" i="18"/>
  <c r="O23" i="17"/>
  <c r="O44" i="17"/>
  <c r="O33" i="17"/>
  <c r="AS23" i="17"/>
  <c r="AS44" i="17"/>
  <c r="AS33" i="17"/>
  <c r="M24" i="16"/>
  <c r="M45" i="16"/>
  <c r="M51" i="16" s="1"/>
  <c r="M34" i="16"/>
  <c r="M40" i="16" s="1"/>
  <c r="AB46" i="18"/>
  <c r="AB50" i="18"/>
  <c r="AH35" i="17"/>
  <c r="AH39" i="17"/>
  <c r="J35" i="18"/>
  <c r="J39" i="18"/>
  <c r="AE39" i="16"/>
  <c r="AE35" i="16"/>
  <c r="W35" i="17"/>
  <c r="W39" i="17"/>
  <c r="I35" i="16"/>
  <c r="I39" i="16"/>
  <c r="AH50" i="18"/>
  <c r="AH46" i="18"/>
  <c r="AN33" i="17"/>
  <c r="AN23" i="17"/>
  <c r="AN44" i="17"/>
  <c r="AV46" i="16"/>
  <c r="AV50" i="16"/>
  <c r="AS39" i="17" l="1"/>
  <c r="AS35" i="17"/>
  <c r="AK50" i="18"/>
  <c r="AK46" i="18"/>
  <c r="AL35" i="17"/>
  <c r="AL39" i="17"/>
  <c r="AP35" i="18"/>
  <c r="AP39" i="18"/>
  <c r="AN39" i="18"/>
  <c r="AN35" i="18"/>
  <c r="I35" i="17"/>
  <c r="I39" i="17"/>
  <c r="AA46" i="17"/>
  <c r="AA50" i="17"/>
  <c r="AB39" i="16"/>
  <c r="AB35" i="16"/>
  <c r="E46" i="18"/>
  <c r="E50" i="18"/>
  <c r="G30" i="16"/>
  <c r="H27" i="16"/>
  <c r="AS50" i="17"/>
  <c r="AS46" i="17"/>
  <c r="AL46" i="17"/>
  <c r="AL50" i="17"/>
  <c r="E34" i="16"/>
  <c r="E40" i="16" s="1"/>
  <c r="E45" i="16"/>
  <c r="E51" i="16" s="1"/>
  <c r="E24" i="16"/>
  <c r="AZ22" i="16"/>
  <c r="Z35" i="16"/>
  <c r="Z39" i="16"/>
  <c r="AZ23" i="18"/>
  <c r="AY39" i="17"/>
  <c r="AY35" i="17"/>
  <c r="E23" i="16"/>
  <c r="E44" i="16"/>
  <c r="E33" i="16"/>
  <c r="AZ21" i="16"/>
  <c r="AR39" i="16"/>
  <c r="AR35" i="16"/>
  <c r="E35" i="18"/>
  <c r="E39" i="18"/>
  <c r="AK35" i="18"/>
  <c r="AK39" i="18"/>
  <c r="O39" i="17"/>
  <c r="O35" i="17"/>
  <c r="AY46" i="17"/>
  <c r="AY50" i="17"/>
  <c r="AV50" i="17"/>
  <c r="AV46" i="17"/>
  <c r="AR46" i="16"/>
  <c r="AR50" i="16"/>
  <c r="H46" i="16"/>
  <c r="H50" i="16"/>
  <c r="AF39" i="18"/>
  <c r="AF35" i="18"/>
  <c r="M35" i="16"/>
  <c r="M39" i="16"/>
  <c r="AN50" i="17"/>
  <c r="AN46" i="17"/>
  <c r="O50" i="17"/>
  <c r="O46" i="17"/>
  <c r="E45" i="17"/>
  <c r="E51" i="17" s="1"/>
  <c r="E34" i="17"/>
  <c r="E40" i="17" s="1"/>
  <c r="E24" i="17"/>
  <c r="AZ24" i="17" s="1"/>
  <c r="AZ22" i="17"/>
  <c r="H27" i="18"/>
  <c r="G30" i="18"/>
  <c r="H27" i="17"/>
  <c r="G30" i="17"/>
  <c r="AF46" i="18"/>
  <c r="AF50" i="18"/>
  <c r="AR35" i="17"/>
  <c r="AR39" i="17"/>
  <c r="AY24" i="16"/>
  <c r="AY45" i="16"/>
  <c r="AY51" i="16" s="1"/>
  <c r="AY34" i="16"/>
  <c r="AY40" i="16" s="1"/>
  <c r="AM50" i="16"/>
  <c r="AM46" i="16"/>
  <c r="Z46" i="17"/>
  <c r="Z50" i="17"/>
  <c r="AP50" i="18"/>
  <c r="AP46" i="18"/>
  <c r="E33" i="17"/>
  <c r="E23" i="17"/>
  <c r="AZ23" i="17" s="1"/>
  <c r="E44" i="17"/>
  <c r="AZ21" i="17"/>
  <c r="AV35" i="17"/>
  <c r="AV39" i="17"/>
  <c r="H35" i="16"/>
  <c r="H39" i="16"/>
  <c r="AY44" i="16"/>
  <c r="AY33" i="16"/>
  <c r="AY23" i="16"/>
  <c r="AT35" i="16"/>
  <c r="AT39" i="16"/>
  <c r="AM35" i="16"/>
  <c r="AM39" i="16"/>
  <c r="M46" i="16"/>
  <c r="M50" i="16"/>
  <c r="Z50" i="16"/>
  <c r="Z46" i="16"/>
  <c r="AN46" i="18"/>
  <c r="AN50" i="18"/>
  <c r="AN35" i="17"/>
  <c r="AN39" i="17"/>
  <c r="AB46" i="16"/>
  <c r="AB50" i="16"/>
  <c r="AR46" i="17"/>
  <c r="AR50" i="17"/>
  <c r="I46" i="17"/>
  <c r="I50" i="17"/>
  <c r="AA35" i="17"/>
  <c r="AA39" i="17"/>
  <c r="AT50" i="16"/>
  <c r="AT46" i="16"/>
  <c r="Z35" i="17"/>
  <c r="Z39" i="17"/>
  <c r="E39" i="16" l="1"/>
  <c r="E35" i="16"/>
  <c r="E46" i="17"/>
  <c r="E50" i="17"/>
  <c r="H30" i="17"/>
  <c r="I27" i="17"/>
  <c r="AY50" i="16"/>
  <c r="AY46" i="16"/>
  <c r="E35" i="17"/>
  <c r="E39" i="17"/>
  <c r="E50" i="16"/>
  <c r="E46" i="16"/>
  <c r="I27" i="16"/>
  <c r="H30" i="16"/>
  <c r="I27" i="18"/>
  <c r="H30" i="18"/>
  <c r="AZ23" i="16"/>
  <c r="AZ24" i="16"/>
  <c r="AY39" i="16"/>
  <c r="AY35" i="16"/>
  <c r="J27" i="17" l="1"/>
  <c r="I30" i="17"/>
  <c r="J27" i="16"/>
  <c r="I30" i="16"/>
  <c r="J27" i="18"/>
  <c r="I30" i="18"/>
  <c r="J30" i="18" l="1"/>
  <c r="K27" i="18"/>
  <c r="J30" i="16"/>
  <c r="K27" i="16"/>
  <c r="K27" i="17"/>
  <c r="J30" i="17"/>
  <c r="K30" i="17" l="1"/>
  <c r="L27" i="17"/>
  <c r="K30" i="16"/>
  <c r="L27" i="16"/>
  <c r="L27" i="18"/>
  <c r="K30" i="18"/>
  <c r="L30" i="18" l="1"/>
  <c r="M27" i="18"/>
  <c r="M27" i="16"/>
  <c r="L30" i="16"/>
  <c r="M27" i="17"/>
  <c r="L30" i="17"/>
  <c r="M30" i="17" l="1"/>
  <c r="N27" i="17"/>
  <c r="M30" i="16"/>
  <c r="N27" i="16"/>
  <c r="N27" i="18"/>
  <c r="M30" i="18"/>
  <c r="O27" i="18" l="1"/>
  <c r="N30" i="18"/>
  <c r="N30" i="16"/>
  <c r="O27" i="16"/>
  <c r="O27" i="17"/>
  <c r="N30" i="17"/>
  <c r="P27" i="17" l="1"/>
  <c r="O30" i="17"/>
  <c r="O30" i="16"/>
  <c r="P27" i="16"/>
  <c r="P27" i="18"/>
  <c r="O30" i="18"/>
  <c r="Q27" i="18" l="1"/>
  <c r="P30" i="18"/>
  <c r="Q27" i="16"/>
  <c r="P30" i="16"/>
  <c r="P30" i="17"/>
  <c r="Q27" i="17"/>
  <c r="Q30" i="17" l="1"/>
  <c r="R27" i="17"/>
  <c r="Q30" i="16"/>
  <c r="R27" i="16"/>
  <c r="R27" i="18"/>
  <c r="Q30" i="18"/>
  <c r="S27" i="18" l="1"/>
  <c r="R30" i="18"/>
  <c r="S27" i="16"/>
  <c r="R30" i="16"/>
  <c r="S27" i="17"/>
  <c r="R30" i="17"/>
  <c r="T27" i="17" l="1"/>
  <c r="S30" i="17"/>
  <c r="S30" i="16"/>
  <c r="T27" i="16"/>
  <c r="T27" i="18"/>
  <c r="S30" i="18"/>
  <c r="U27" i="18" l="1"/>
  <c r="T30" i="18"/>
  <c r="U27" i="16"/>
  <c r="T30" i="16"/>
  <c r="U27" i="17"/>
  <c r="T30" i="17"/>
  <c r="U30" i="18" l="1"/>
  <c r="V27" i="18"/>
  <c r="V27" i="17"/>
  <c r="U30" i="17"/>
  <c r="V27" i="16"/>
  <c r="U30" i="16"/>
  <c r="V30" i="16" l="1"/>
  <c r="W27" i="16"/>
  <c r="W27" i="17"/>
  <c r="V30" i="17"/>
  <c r="V30" i="18"/>
  <c r="W27" i="18"/>
  <c r="X27" i="17" l="1"/>
  <c r="W30" i="17"/>
  <c r="X27" i="18"/>
  <c r="W30" i="18"/>
  <c r="W30" i="16"/>
  <c r="X27" i="16"/>
  <c r="X30" i="16" l="1"/>
  <c r="Y27" i="16"/>
  <c r="X30" i="18"/>
  <c r="Y27" i="18"/>
  <c r="X30" i="17"/>
  <c r="Y27" i="17"/>
  <c r="Y30" i="17" l="1"/>
  <c r="Z27" i="17"/>
  <c r="Y30" i="18"/>
  <c r="Z27" i="18"/>
  <c r="Z27" i="16"/>
  <c r="Y30" i="16"/>
  <c r="AA27" i="18" l="1"/>
  <c r="Z30" i="18"/>
  <c r="Z30" i="16"/>
  <c r="AA27" i="16"/>
  <c r="AA27" i="17"/>
  <c r="Z30" i="17"/>
  <c r="AB27" i="17" l="1"/>
  <c r="AA30" i="17"/>
  <c r="AA30" i="16"/>
  <c r="AB27" i="16"/>
  <c r="AA30" i="18"/>
  <c r="AB27" i="18"/>
  <c r="AB30" i="18" l="1"/>
  <c r="AC27" i="18"/>
  <c r="AC27" i="16"/>
  <c r="AB30" i="16"/>
  <c r="AC27" i="17"/>
  <c r="AB30" i="17"/>
  <c r="AD27" i="17" l="1"/>
  <c r="AC30" i="17"/>
  <c r="AD27" i="16"/>
  <c r="AC30" i="16"/>
  <c r="AD27" i="18"/>
  <c r="AC30" i="18"/>
  <c r="AE27" i="17" l="1"/>
  <c r="AD30" i="17"/>
  <c r="AD30" i="18"/>
  <c r="AE27" i="18"/>
  <c r="AE27" i="16"/>
  <c r="AD30" i="16"/>
  <c r="AF27" i="18" l="1"/>
  <c r="AE30" i="18"/>
  <c r="AE30" i="16"/>
  <c r="AF27" i="16"/>
  <c r="AF27" i="17"/>
  <c r="AE30" i="17"/>
  <c r="AF30" i="18" l="1"/>
  <c r="AG27" i="18"/>
  <c r="AF30" i="17"/>
  <c r="AG27" i="17"/>
  <c r="AF30" i="16"/>
  <c r="AG27" i="16"/>
  <c r="AG30" i="17" l="1"/>
  <c r="AH27" i="17"/>
  <c r="AH27" i="16"/>
  <c r="AG30" i="16"/>
  <c r="AH27" i="18"/>
  <c r="AG30" i="18"/>
  <c r="AI27" i="18" l="1"/>
  <c r="AH30" i="18"/>
  <c r="AI27" i="16"/>
  <c r="AH30" i="16"/>
  <c r="AI27" i="17"/>
  <c r="AH30" i="17"/>
  <c r="AI30" i="18" l="1"/>
  <c r="AJ27" i="18"/>
  <c r="AI30" i="17"/>
  <c r="AJ27" i="17"/>
  <c r="AJ27" i="16"/>
  <c r="AI30" i="16"/>
  <c r="AJ30" i="17" l="1"/>
  <c r="AK27" i="17"/>
  <c r="AJ30" i="16"/>
  <c r="AK27" i="16"/>
  <c r="AJ30" i="18"/>
  <c r="AK27" i="18"/>
  <c r="AL27" i="18" l="1"/>
  <c r="AK30" i="18"/>
  <c r="AL27" i="16"/>
  <c r="AK30" i="16"/>
  <c r="AL27" i="17"/>
  <c r="AK30" i="17"/>
  <c r="AL30" i="18" l="1"/>
  <c r="AM27" i="18"/>
  <c r="AM27" i="16"/>
  <c r="AL30" i="16"/>
  <c r="AL30" i="17"/>
  <c r="AM27" i="17"/>
  <c r="AN27" i="17" l="1"/>
  <c r="AM30" i="17"/>
  <c r="AM30" i="16"/>
  <c r="AN27" i="16"/>
  <c r="AN27" i="18"/>
  <c r="AM30" i="18"/>
  <c r="AO27" i="17" l="1"/>
  <c r="AN30" i="17"/>
  <c r="AN30" i="16"/>
  <c r="AO27" i="16"/>
  <c r="AO27" i="18"/>
  <c r="AN30" i="18"/>
  <c r="AO30" i="17" l="1"/>
  <c r="AP27" i="17"/>
  <c r="AP27" i="16"/>
  <c r="AO30" i="16"/>
  <c r="AP27" i="18"/>
  <c r="AO30" i="18"/>
  <c r="AQ27" i="16" l="1"/>
  <c r="AP30" i="16"/>
  <c r="AQ27" i="18"/>
  <c r="AP30" i="18"/>
  <c r="AQ27" i="17"/>
  <c r="AP30" i="17"/>
  <c r="AR27" i="16" l="1"/>
  <c r="AQ30" i="16"/>
  <c r="AQ30" i="18"/>
  <c r="AR27" i="18"/>
  <c r="AQ30" i="17"/>
  <c r="AR27" i="17"/>
  <c r="AR30" i="16" l="1"/>
  <c r="AS27" i="16"/>
  <c r="AR30" i="18"/>
  <c r="AS27" i="18"/>
  <c r="AS27" i="17"/>
  <c r="AR30" i="17"/>
  <c r="AT27" i="18" l="1"/>
  <c r="AS30" i="18"/>
  <c r="AT27" i="17"/>
  <c r="AS30" i="17"/>
  <c r="AT27" i="16"/>
  <c r="AS30" i="16"/>
  <c r="AU27" i="18" l="1"/>
  <c r="AT30" i="18"/>
  <c r="AT30" i="17"/>
  <c r="AU27" i="17"/>
  <c r="AU27" i="16"/>
  <c r="AT30" i="16"/>
  <c r="AV27" i="18" l="1"/>
  <c r="AU30" i="18"/>
  <c r="AU30" i="17"/>
  <c r="AV27" i="17"/>
  <c r="AU30" i="16"/>
  <c r="AV27" i="16"/>
  <c r="AW27" i="18" l="1"/>
  <c r="AV30" i="18"/>
  <c r="AV30" i="16"/>
  <c r="AW27" i="16"/>
  <c r="AW27" i="17"/>
  <c r="AV30" i="17"/>
  <c r="AX27" i="18" l="1"/>
  <c r="AW30" i="18"/>
  <c r="AX27" i="16"/>
  <c r="AW30" i="16"/>
  <c r="AW30" i="17"/>
  <c r="AX27" i="17"/>
  <c r="AY27" i="18" l="1"/>
  <c r="AY30" i="18" s="1"/>
  <c r="AZ30" i="18" s="1"/>
  <c r="AX30" i="18"/>
  <c r="AY27" i="17"/>
  <c r="AY30" i="17" s="1"/>
  <c r="AZ30" i="17" s="1"/>
  <c r="AX30" i="17"/>
  <c r="AY27" i="16"/>
  <c r="AY30" i="16" s="1"/>
  <c r="AZ30" i="16" s="1"/>
  <c r="AX30" i="16"/>
</calcChain>
</file>

<file path=xl/sharedStrings.xml><?xml version="1.0" encoding="utf-8"?>
<sst xmlns="http://schemas.openxmlformats.org/spreadsheetml/2006/main" count="2451" uniqueCount="413">
  <si>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</si>
  <si>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</si>
  <si>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</si>
  <si>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</si>
  <si>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</si>
  <si>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</si>
  <si>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</si>
  <si>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</si>
  <si>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</si>
  <si>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</si>
  <si>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</si>
  <si>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</si>
  <si>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</si>
  <si>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</si>
  <si>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</si>
  <si>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</si>
  <si>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</si>
  <si>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</si>
  <si>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</si>
  <si>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</si>
  <si>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</si>
  <si>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</si>
  <si>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</si>
  <si>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</si>
  <si>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</si>
  <si>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</si>
  <si>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</si>
  <si>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</si>
  <si>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</si>
  <si>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</si>
  <si>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</si>
  <si>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</si>
  <si>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</si>
  <si>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</si>
  <si>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</si>
  <si>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</si>
  <si>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</si>
  <si>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</si>
  <si>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</si>
  <si>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</si>
  <si>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</si>
  <si>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</si>
  <si>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</si>
  <si>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</si>
  <si>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</si>
  <si>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</si>
  <si>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</si>
  <si>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</si>
  <si>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</si>
  <si>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</si>
  <si>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</si>
  <si>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</si>
  <si>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</si>
  <si>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</si>
  <si>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</si>
  <si>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</si>
  <si>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</si>
  <si>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</si>
  <si>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</si>
  <si>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</si>
  <si>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</si>
  <si>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</si>
  <si>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</si>
  <si>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</si>
  <si>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</si>
  <si>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</si>
  <si>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</si>
  <si>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</si>
  <si>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</si>
  <si>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</si>
  <si>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</si>
  <si>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</si>
  <si>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</si>
  <si>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</si>
  <si>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</si>
  <si>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</si>
  <si>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</si>
  <si>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</si>
  <si>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</si>
  <si>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</si>
  <si>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</si>
  <si>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</si>
  <si>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</si>
  <si>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</si>
  <si>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</si>
  <si>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</si>
  <si>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</si>
  <si>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</si>
  <si>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</si>
  <si>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</si>
  <si>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</si>
  <si>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</si>
  <si>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</si>
  <si>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</si>
  <si>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</si>
  <si>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</si>
  <si>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</si>
  <si>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</si>
  <si>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</si>
  <si>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</si>
  <si>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</si>
  <si>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</si>
  <si>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</si>
  <si>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</si>
  <si>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</si>
  <si>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</si>
  <si>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</si>
  <si>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</si>
  <si>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</si>
  <si>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</si>
  <si>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</si>
  <si>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</si>
  <si>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</si>
  <si>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</si>
  <si>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</si>
  <si>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</si>
  <si>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</si>
  <si>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</si>
  <si>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</si>
  <si>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</si>
  <si>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</si>
  <si>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</si>
  <si>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</si>
  <si>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</si>
  <si>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</si>
  <si>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</si>
  <si>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</si>
  <si>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</si>
  <si>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</si>
  <si>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</si>
  <si>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</si>
  <si>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</si>
  <si>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</si>
  <si>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</si>
  <si>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</si>
  <si>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</si>
  <si>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</si>
  <si>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</si>
  <si>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</si>
  <si>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</si>
  <si>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</si>
  <si>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</si>
  <si>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</si>
  <si>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</si>
  <si>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</si>
  <si>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</si>
  <si>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</si>
  <si>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</si>
  <si>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</si>
  <si>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</si>
  <si>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</si>
  <si>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</si>
  <si>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</si>
  <si>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</si>
  <si>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</si>
  <si>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</si>
  <si>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</si>
  <si>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</si>
  <si>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</si>
  <si>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</si>
  <si>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</si>
  <si>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</si>
  <si>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</si>
  <si>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</si>
  <si>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</si>
  <si>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notgrapefruit</t>
  </si>
  <si>
    <t>Region</t>
  </si>
  <si>
    <t>Market</t>
  </si>
  <si>
    <t>Nearest Storage</t>
  </si>
  <si>
    <t>Distance(miles)</t>
  </si>
  <si>
    <t>Transportation Cost($/ton)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</si>
  <si>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</si>
  <si>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</si>
  <si>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</si>
  <si>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</si>
  <si>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</si>
  <si>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</si>
  <si>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</si>
  <si>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</si>
  <si>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</si>
  <si>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</si>
  <si>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</si>
  <si>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</si>
  <si>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</si>
  <si>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</si>
  <si>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</si>
  <si>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</si>
  <si>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</si>
  <si>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</si>
  <si>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</si>
  <si>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</si>
  <si>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</si>
  <si>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</si>
  <si>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</si>
  <si>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</si>
  <si>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</si>
  <si>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</si>
  <si>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</si>
  <si>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</si>
  <si>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</si>
  <si>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</si>
  <si>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</si>
  <si>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</si>
  <si>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</si>
  <si>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</si>
  <si>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</si>
  <si>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</si>
  <si>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</si>
  <si>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</si>
  <si>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</si>
  <si>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</si>
  <si>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</si>
  <si>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</si>
  <si>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</si>
  <si>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</si>
  <si>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</si>
  <si>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</si>
  <si>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</si>
  <si>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</si>
  <si>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</si>
  <si>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</si>
  <si>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</si>
  <si>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</si>
  <si>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</si>
  <si>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</si>
  <si>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</si>
  <si>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</si>
  <si>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</si>
  <si>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</si>
  <si>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</si>
  <si>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</si>
  <si>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</si>
  <si>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</si>
  <si>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</si>
  <si>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</si>
  <si>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</si>
  <si>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</si>
  <si>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</si>
  <si>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</si>
  <si>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</si>
  <si>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</si>
  <si>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</si>
  <si>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</si>
  <si>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</si>
  <si>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</si>
  <si>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</si>
  <si>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</si>
  <si>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</si>
  <si>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</si>
  <si>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</si>
  <si>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</si>
  <si>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</si>
  <si>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</si>
  <si>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</si>
  <si>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</si>
  <si>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</si>
  <si>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</si>
  <si>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</si>
  <si>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</si>
  <si>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</si>
  <si>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</si>
  <si>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</si>
  <si>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</si>
  <si>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</si>
  <si>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</si>
  <si>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</si>
  <si>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</si>
  <si>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</si>
  <si>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</si>
  <si>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</si>
  <si>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</si>
  <si>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</si>
  <si>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</si>
  <si>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</si>
  <si>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</si>
  <si>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</si>
  <si>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</si>
  <si>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</si>
  <si>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</si>
  <si>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</si>
  <si>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</si>
  <si>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</si>
  <si>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</si>
  <si>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</si>
  <si>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</si>
  <si>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</si>
  <si>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</si>
  <si>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</si>
  <si>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</si>
  <si>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</si>
  <si>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</si>
  <si>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</si>
  <si>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</si>
  <si>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</si>
  <si>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</si>
  <si>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</si>
  <si>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</si>
  <si>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</si>
  <si>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</si>
  <si>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</si>
  <si>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</si>
  <si>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</si>
  <si>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Plant:</t>
  </si>
  <si>
    <t>Shipped In</t>
  </si>
  <si>
    <t>Breakdown?</t>
  </si>
  <si>
    <t>(Yes/"")</t>
  </si>
  <si>
    <t>Cost for POJ</t>
  </si>
  <si>
    <t>Cost for FCOJ</t>
  </si>
  <si>
    <t>At home</t>
  </si>
  <si>
    <t>Going out</t>
  </si>
  <si>
    <t>Coming home</t>
  </si>
  <si>
    <t>Hold Cost</t>
  </si>
  <si>
    <t>Grove</t>
  </si>
  <si>
    <r>
      <t xml:space="preserve">Prices of oranges at the Spot Market(Currency/lb) </t>
    </r>
    <r>
      <rPr>
        <i/>
        <u/>
        <sz val="10"/>
        <rFont val="Arial"/>
        <family val="2"/>
      </rPr>
      <t>ORA</t>
    </r>
  </si>
  <si>
    <t>Foreign Exchange Rate: US$ value of 1 BRA Real or 1 SPA Euro ($/BRL)($/EUR)</t>
  </si>
  <si>
    <t>Currency:Month</t>
  </si>
  <si>
    <t>BRA Real</t>
  </si>
  <si>
    <t>SPA Euro</t>
  </si>
  <si>
    <r>
      <t xml:space="preserve">US$ Prices of oranges at the Spot Market($/lb) </t>
    </r>
    <r>
      <rPr>
        <i/>
        <u/>
        <sz val="10"/>
        <rFont val="Arial"/>
        <family val="2"/>
      </rPr>
      <t>ORA</t>
    </r>
  </si>
  <si>
    <t>Actual Quantity Multiplier(unit)</t>
  </si>
  <si>
    <t>Gro:Mon</t>
  </si>
  <si>
    <r>
      <t xml:space="preserve">Amount of oranges harvested(tons) </t>
    </r>
    <r>
      <rPr>
        <i/>
        <u/>
        <sz val="10"/>
        <rFont val="Arial"/>
        <family val="2"/>
      </rPr>
      <t>ORA</t>
    </r>
  </si>
  <si>
    <t>Gro:Week</t>
  </si>
  <si>
    <r>
      <t xml:space="preserve">Actual amount of oranges purchased(tons) </t>
    </r>
    <r>
      <rPr>
        <i/>
        <u/>
        <sz val="10"/>
        <rFont val="Arial"/>
        <family val="2"/>
      </rPr>
      <t>ORA</t>
    </r>
  </si>
  <si>
    <t>Gro:Wk</t>
  </si>
  <si>
    <r>
      <t xml:space="preserve">Purchasing cost of oranges($) </t>
    </r>
    <r>
      <rPr>
        <i/>
        <u/>
        <sz val="10"/>
        <rFont val="Arial"/>
        <family val="2"/>
      </rPr>
      <t>ORA</t>
    </r>
  </si>
  <si>
    <r>
      <t xml:space="preserve">Amount of matured futures products(tons) </t>
    </r>
    <r>
      <rPr>
        <i/>
        <u/>
        <sz val="10"/>
        <rFont val="Arial"/>
        <family val="2"/>
      </rPr>
      <t>ORA Futures, FCOJ Futures</t>
    </r>
  </si>
  <si>
    <t>from FLA:Month</t>
  </si>
  <si>
    <t>ORA Futures</t>
  </si>
  <si>
    <t>FCOJ Futures</t>
  </si>
  <si>
    <r>
      <t xml:space="preserve">Transportation Cost($) for shipping </t>
    </r>
    <r>
      <rPr>
        <i/>
        <u/>
        <sz val="10"/>
        <rFont val="Arial"/>
        <family val="2"/>
      </rPr>
      <t>FCOJ Futures</t>
    </r>
  </si>
  <si>
    <t>Month:Storage</t>
  </si>
  <si>
    <r>
      <t xml:space="preserve">Actual amount of oranges shipped out from groves(tons) </t>
    </r>
    <r>
      <rPr>
        <i/>
        <u/>
        <sz val="10"/>
        <rFont val="Arial"/>
        <family val="2"/>
      </rPr>
      <t>ORA, ORA Futures</t>
    </r>
  </si>
  <si>
    <t>from Grove:Week</t>
  </si>
  <si>
    <r>
      <t xml:space="preserve">Transportation Cost($) for shipping </t>
    </r>
    <r>
      <rPr>
        <i/>
        <u/>
        <sz val="10"/>
        <rFont val="Arial"/>
        <family val="2"/>
      </rPr>
      <t>ORA + ORA Futures</t>
    </r>
  </si>
  <si>
    <t>To</t>
  </si>
  <si>
    <t>plants</t>
  </si>
  <si>
    <t>storages</t>
  </si>
  <si>
    <t>Yes</t>
  </si>
  <si>
    <t>Distance:</t>
  </si>
  <si>
    <t>POJ to ship</t>
  </si>
  <si>
    <t>FCOJ to ship</t>
  </si>
  <si>
    <t>OJ to ship (Sum)</t>
  </si>
  <si>
    <t>POJ by TankCars</t>
  </si>
  <si>
    <t>FCOJ by TankCars</t>
  </si>
  <si>
    <t>No. TankCars</t>
  </si>
  <si>
    <t>POJ by Carrier</t>
  </si>
  <si>
    <t>FCOJ by Carrier</t>
  </si>
  <si>
    <t>No. Weeks</t>
  </si>
  <si>
    <t>Cost by TankCars</t>
  </si>
  <si>
    <t>Cost by Carrier</t>
  </si>
  <si>
    <t>Activities</t>
  </si>
  <si>
    <t>Earnings</t>
  </si>
  <si>
    <t>Sales (tons)</t>
  </si>
  <si>
    <t>Sales Revenue</t>
  </si>
  <si>
    <t>Fresh Oranges (ORA)</t>
  </si>
  <si>
    <t>Premium Orange Juice (POJ)</t>
  </si>
  <si>
    <t>Reconstituted Orange Juice (ROJ)</t>
  </si>
  <si>
    <t>Frozen Concentrated Orange Juice (FCOJ)</t>
  </si>
  <si>
    <t>Total Revenue</t>
  </si>
  <si>
    <t>Materials Acquisitions &amp; Losses (tons)</t>
  </si>
  <si>
    <t>Oranges Harvested</t>
  </si>
  <si>
    <t>Materials Costs</t>
  </si>
  <si>
    <t>ORA Futures Matured</t>
  </si>
  <si>
    <t xml:space="preserve">Orange (ORA) Purchases </t>
  </si>
  <si>
    <t>FCOJ Futures Matured</t>
  </si>
  <si>
    <t>ORA Futures Costs</t>
  </si>
  <si>
    <t>Premium Orange Juice (POJ) Manufactured</t>
  </si>
  <si>
    <t>FCOJ Futures Costs</t>
  </si>
  <si>
    <t>Frozen Concentrated Orange Juice (FCOJ) Manufactured</t>
  </si>
  <si>
    <t>Transportation Costs from Groves (ORA &amp; ORA futures)</t>
  </si>
  <si>
    <t>Reconstituted Orange Juice (ROJ) Manufactured</t>
  </si>
  <si>
    <t>Transportation Costs from Groves (FCOJ futures)</t>
  </si>
  <si>
    <t>Products Lost due to Capacity Shortage</t>
  </si>
  <si>
    <t>Total Materials Costs</t>
  </si>
  <si>
    <t>(</t>
  </si>
  <si>
    <t>)</t>
  </si>
  <si>
    <t>Products Lost due to Spoilage</t>
  </si>
  <si>
    <t>Manufacturing Costs</t>
  </si>
  <si>
    <t>Futures Contracts Purchases (tons)</t>
  </si>
  <si>
    <t>POJ Manufacturing Costs</t>
  </si>
  <si>
    <t>ORA Futures Contracts</t>
  </si>
  <si>
    <t>FCOJ Manufacturing Costs</t>
  </si>
  <si>
    <t>FCOJ Futures Contracts</t>
  </si>
  <si>
    <t>ROJ Reconstitution Costs</t>
  </si>
  <si>
    <t>Total Processing Costs</t>
  </si>
  <si>
    <t>Facilities Adjustment (tons of capacity)</t>
  </si>
  <si>
    <t>Processing Plants Capacity Upgrade</t>
  </si>
  <si>
    <t>Transportation Costs from Plants and Storages &amp; Inventory Hold Costs</t>
  </si>
  <si>
    <t>Storage Centers Capacity Upgrade</t>
  </si>
  <si>
    <t>Transportation Costs from Plants (TankCars)</t>
  </si>
  <si>
    <t>Processing Plants Capacity Downgrade</t>
  </si>
  <si>
    <t>Transportation Costs from Plants (Carriers)</t>
  </si>
  <si>
    <t>Storage Centers Capacity Downgrade</t>
  </si>
  <si>
    <t>Inventory Hold Costs at Storages</t>
  </si>
  <si>
    <t>Transportation Costs from Storages</t>
  </si>
  <si>
    <t>Facilities Acquisitions (unit)</t>
  </si>
  <si>
    <t>Total Transportation and Storage Costs</t>
  </si>
  <si>
    <t>Processing Plants</t>
  </si>
  <si>
    <t>Storage Centers</t>
  </si>
  <si>
    <t>Facilities Adjustment &amp; Maintenance Costs</t>
  </si>
  <si>
    <t>Processing Plant Maintenance Costs</t>
  </si>
  <si>
    <t>Costs(/Gains) of Acquiring(/Selling) Processing Plant</t>
  </si>
  <si>
    <t>Facilities Sold (unit)</t>
  </si>
  <si>
    <t>Processing Plant Capacity Adjustment Costs(/Gains)</t>
  </si>
  <si>
    <t>Storage Center Maintenance Costs</t>
  </si>
  <si>
    <t>Costs(/Gains) of Acquiring(/Selling) Storage Center</t>
  </si>
  <si>
    <t>Storage Center Capacity Adjustment Costs(/Gains)</t>
  </si>
  <si>
    <t>TankCars Hold Costs</t>
  </si>
  <si>
    <t>TankCars Purchase Costs(/Selling Gains)</t>
  </si>
  <si>
    <t>Total Facilities Costs</t>
  </si>
  <si>
    <t>Net Profit</t>
  </si>
  <si>
    <t>Annual Report for the year ending August 31st,  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</si>
</sst>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6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i/>
      <u/>
      <sz val="10"/>
      <name val="Arial"/>
      <family val="2"/>
    </font>
    <font>
      <b/>
      <sz val="12"/>
      <name val="Times New Roman"/>
      <family val="1"/>
    </font>
    <font>
      <u/>
      <sz val="12"/>
      <name val="Times New Roman"/>
      <family val="1"/>
    </font>
    <font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b/>
      <i/>
      <sz val="1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4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4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4" fillId="0" borderId="0"/>
  </cellStyleXfs>
  <cellXfs count="207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0" borderId="14" xfId="0" applyBorder="1" applyProtection="1">
      <protection locked="0"/>
    </xf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4" fillId="5" borderId="0" xfId="3" applyFill="1"/>
    <xf numFmtId="0" fontId="4" fillId="0" borderId="0" xfId="3"/>
    <xf numFmtId="0" fontId="4" fillId="0" borderId="0" xfId="3" applyFill="1"/>
    <xf numFmtId="0" fontId="1" fillId="0" borderId="0" xfId="3" applyFont="1"/>
    <xf numFmtId="0" fontId="2" fillId="0" borderId="0" xfId="3" applyFont="1"/>
    <xf numFmtId="0" fontId="2" fillId="0" borderId="0" xfId="3" applyFont="1" applyFill="1"/>
    <xf numFmtId="0" fontId="4" fillId="6" borderId="0" xfId="3" applyFill="1"/>
    <xf numFmtId="0" fontId="4" fillId="0" borderId="0" xfId="3" applyFill="1" applyBorder="1"/>
    <xf numFmtId="0" fontId="4" fillId="0" borderId="5" xfId="3" applyBorder="1"/>
    <xf numFmtId="0" fontId="4" fillId="0" borderId="11" xfId="3" applyBorder="1"/>
    <xf numFmtId="0" fontId="4" fillId="0" borderId="6" xfId="3" applyBorder="1"/>
    <xf numFmtId="0" fontId="4" fillId="0" borderId="0" xfId="3" applyBorder="1"/>
    <xf numFmtId="0" fontId="4" fillId="0" borderId="0" xfId="3" applyAlignment="1"/>
    <xf numFmtId="0" fontId="4" fillId="0" borderId="0" xfId="3" applyAlignment="1">
      <alignment horizontal="center"/>
    </xf>
    <xf numFmtId="0" fontId="4" fillId="0" borderId="0" xfId="3" applyBorder="1" applyAlignment="1">
      <alignment horizontal="right"/>
    </xf>
    <xf numFmtId="0" fontId="4" fillId="0" borderId="8" xfId="3" applyFill="1" applyBorder="1"/>
    <xf numFmtId="0" fontId="4" fillId="5" borderId="13" xfId="3" applyFill="1" applyBorder="1" applyAlignment="1">
      <alignment horizontal="right"/>
    </xf>
    <xf numFmtId="0" fontId="4" fillId="7" borderId="8" xfId="3" applyFill="1" applyBorder="1"/>
    <xf numFmtId="0" fontId="4" fillId="0" borderId="13" xfId="3" applyBorder="1"/>
    <xf numFmtId="0" fontId="4" fillId="5" borderId="0" xfId="3" applyFill="1" applyAlignment="1">
      <alignment horizontal="right"/>
    </xf>
    <xf numFmtId="0" fontId="4" fillId="7" borderId="0" xfId="3" applyFill="1" applyBorder="1"/>
    <xf numFmtId="0" fontId="4" fillId="2" borderId="0" xfId="3" applyFill="1" applyBorder="1"/>
    <xf numFmtId="0" fontId="4" fillId="7" borderId="13" xfId="3" applyFill="1" applyBorder="1"/>
    <xf numFmtId="0" fontId="4" fillId="5" borderId="9" xfId="3" applyFill="1" applyBorder="1" applyAlignment="1">
      <alignment horizontal="right"/>
    </xf>
    <xf numFmtId="0" fontId="4" fillId="7" borderId="9" xfId="3" applyFill="1" applyBorder="1"/>
    <xf numFmtId="0" fontId="4" fillId="0" borderId="9" xfId="3" applyBorder="1"/>
    <xf numFmtId="0" fontId="4" fillId="0" borderId="8" xfId="3" applyBorder="1"/>
    <xf numFmtId="0" fontId="4" fillId="5" borderId="1" xfId="3" applyFill="1" applyBorder="1" applyAlignment="1">
      <alignment horizontal="right"/>
    </xf>
    <xf numFmtId="0" fontId="4" fillId="3" borderId="0" xfId="3" applyFill="1" applyBorder="1"/>
    <xf numFmtId="0" fontId="4" fillId="0" borderId="3" xfId="3" applyBorder="1"/>
    <xf numFmtId="0" fontId="4" fillId="8" borderId="8" xfId="3" applyFill="1" applyBorder="1"/>
    <xf numFmtId="0" fontId="4" fillId="8" borderId="0" xfId="3" applyFill="1" applyBorder="1"/>
    <xf numFmtId="0" fontId="4" fillId="5" borderId="6" xfId="3" applyFill="1" applyBorder="1" applyAlignment="1">
      <alignment horizontal="right"/>
    </xf>
    <xf numFmtId="0" fontId="4" fillId="9" borderId="8" xfId="3" applyFill="1" applyBorder="1" applyAlignment="1">
      <alignment horizontal="right"/>
    </xf>
    <xf numFmtId="0" fontId="4" fillId="5" borderId="13" xfId="3" applyFill="1" applyBorder="1"/>
    <xf numFmtId="10" fontId="4" fillId="0" borderId="13" xfId="3" applyNumberFormat="1" applyBorder="1"/>
    <xf numFmtId="0" fontId="4" fillId="5" borderId="9" xfId="3" applyFill="1" applyBorder="1"/>
    <xf numFmtId="0" fontId="4" fillId="5" borderId="8" xfId="3" applyFill="1" applyBorder="1"/>
    <xf numFmtId="0" fontId="4" fillId="6" borderId="9" xfId="3" applyFill="1" applyBorder="1"/>
    <xf numFmtId="0" fontId="4" fillId="0" borderId="9" xfId="3" applyFill="1" applyBorder="1"/>
    <xf numFmtId="0" fontId="4" fillId="0" borderId="10" xfId="3" applyFill="1" applyBorder="1"/>
    <xf numFmtId="0" fontId="4" fillId="6" borderId="8" xfId="3" applyFill="1" applyBorder="1"/>
    <xf numFmtId="0" fontId="4" fillId="0" borderId="15" xfId="3" applyFill="1" applyBorder="1"/>
    <xf numFmtId="0" fontId="4" fillId="0" borderId="0" xfId="3" applyFill="1" applyBorder="1" applyAlignment="1">
      <alignment horizontal="left"/>
    </xf>
    <xf numFmtId="0" fontId="4" fillId="7" borderId="13" xfId="3" applyFill="1" applyBorder="1" applyAlignment="1">
      <alignment horizontal="right"/>
    </xf>
    <xf numFmtId="0" fontId="4" fillId="0" borderId="13" xfId="3" applyFill="1" applyBorder="1"/>
    <xf numFmtId="0" fontId="4" fillId="0" borderId="9" xfId="3" applyFont="1" applyFill="1" applyBorder="1"/>
    <xf numFmtId="0" fontId="4" fillId="0" borderId="0" xfId="3" applyFont="1" applyFill="1" applyBorder="1" applyAlignment="1">
      <alignment horizontal="right"/>
    </xf>
    <xf numFmtId="0" fontId="4" fillId="0" borderId="0" xfId="3" applyFont="1" applyFill="1" applyBorder="1"/>
    <xf numFmtId="0" fontId="4" fillId="0" borderId="0" xfId="3" applyFont="1" applyFill="1" applyBorder="1" applyAlignment="1"/>
    <xf numFmtId="0" fontId="4" fillId="5" borderId="13" xfId="3" applyFont="1" applyFill="1" applyBorder="1" applyAlignment="1">
      <alignment horizontal="right"/>
    </xf>
    <xf numFmtId="0" fontId="4" fillId="7" borderId="13" xfId="3" applyFont="1" applyFill="1" applyBorder="1" applyAlignment="1"/>
    <xf numFmtId="0" fontId="4" fillId="0" borderId="5" xfId="3" applyFill="1" applyBorder="1"/>
    <xf numFmtId="0" fontId="1" fillId="0" borderId="0" xfId="3" applyFont="1" applyBorder="1"/>
    <xf numFmtId="0" fontId="4" fillId="0" borderId="9" xfId="3" applyFill="1" applyBorder="1" applyAlignment="1">
      <alignment horizontal="right"/>
    </xf>
    <xf numFmtId="10" fontId="4" fillId="5" borderId="13" xfId="3" applyNumberFormat="1" applyFill="1" applyBorder="1"/>
    <xf numFmtId="0" fontId="4" fillId="5" borderId="0" xfId="3" applyFill="1" applyBorder="1" applyAlignment="1">
      <alignment horizontal="right"/>
    </xf>
    <xf numFmtId="10" fontId="4" fillId="0" borderId="0" xfId="3" applyNumberFormat="1" applyFill="1" applyBorder="1"/>
    <xf numFmtId="0" fontId="4" fillId="0" borderId="12" xfId="3" applyFill="1" applyBorder="1"/>
    <xf numFmtId="0" fontId="4" fillId="5" borderId="8" xfId="3" applyFill="1" applyBorder="1" applyAlignment="1">
      <alignment horizontal="right"/>
    </xf>
    <xf numFmtId="10" fontId="4" fillId="0" borderId="8" xfId="3" applyNumberFormat="1" applyFill="1" applyBorder="1"/>
    <xf numFmtId="0" fontId="4" fillId="6" borderId="9" xfId="3" applyFill="1" applyBorder="1" applyAlignment="1">
      <alignment horizontal="right"/>
    </xf>
    <xf numFmtId="0" fontId="4" fillId="6" borderId="8" xfId="3" applyFill="1" applyBorder="1" applyAlignment="1">
      <alignment horizontal="right"/>
    </xf>
    <xf numFmtId="0" fontId="4" fillId="0" borderId="8" xfId="3" applyNumberFormat="1" applyFill="1" applyBorder="1"/>
    <xf numFmtId="0" fontId="1" fillId="0" borderId="0" xfId="3" applyFont="1" applyFill="1" applyBorder="1" applyAlignment="1"/>
    <xf numFmtId="0" fontId="4" fillId="0" borderId="2" xfId="3" applyBorder="1"/>
    <xf numFmtId="0" fontId="4" fillId="5" borderId="0" xfId="3" applyFill="1" applyBorder="1"/>
    <xf numFmtId="0" fontId="4" fillId="0" borderId="7" xfId="3" applyBorder="1"/>
    <xf numFmtId="0" fontId="4" fillId="0" borderId="4" xfId="3" applyBorder="1"/>
    <xf numFmtId="0" fontId="4" fillId="0" borderId="3" xfId="3" applyFill="1" applyBorder="1"/>
    <xf numFmtId="0" fontId="4" fillId="6" borderId="13" xfId="3" applyFill="1" applyBorder="1" applyAlignment="1">
      <alignment horizontal="right"/>
    </xf>
    <xf numFmtId="0" fontId="4" fillId="10" borderId="0" xfId="3" applyFill="1"/>
    <xf numFmtId="0" fontId="4" fillId="10" borderId="0" xfId="3" applyFont="1" applyFill="1"/>
    <xf numFmtId="0" fontId="4" fillId="0" borderId="0" xfId="3" applyFont="1" applyFill="1"/>
    <xf numFmtId="0" fontId="4" fillId="5" borderId="0" xfId="3" applyFont="1" applyFill="1"/>
    <xf numFmtId="0" fontId="2" fillId="0" borderId="0" xfId="3" applyNumberFormat="1" applyFont="1" applyFill="1" applyAlignment="1"/>
    <xf numFmtId="0" fontId="4" fillId="0" borderId="0" xfId="3" applyNumberFormat="1" applyAlignment="1"/>
    <xf numFmtId="0" fontId="4" fillId="6" borderId="0" xfId="3" applyNumberFormat="1" applyFill="1" applyAlignment="1"/>
    <xf numFmtId="0" fontId="4" fillId="0" borderId="0" xfId="3" applyAlignment="1">
      <alignment horizontal="right"/>
    </xf>
    <xf numFmtId="0" fontId="4" fillId="6" borderId="0" xfId="3" applyFill="1" applyBorder="1"/>
    <xf numFmtId="0" fontId="4" fillId="0" borderId="0" xfId="3" applyNumberFormat="1"/>
    <xf numFmtId="0" fontId="9" fillId="0" borderId="0" xfId="3" applyFont="1" applyAlignment="1">
      <alignment horizontal="center"/>
    </xf>
    <xf numFmtId="0" fontId="9" fillId="0" borderId="0" xfId="3" applyFont="1"/>
    <xf numFmtId="0" fontId="10" fillId="0" borderId="0" xfId="3" applyFont="1"/>
    <xf numFmtId="0" fontId="11" fillId="0" borderId="0" xfId="3" applyFont="1"/>
    <xf numFmtId="0" fontId="12" fillId="0" borderId="0" xfId="3" applyFont="1"/>
    <xf numFmtId="0" fontId="13" fillId="0" borderId="0" xfId="3" applyFont="1"/>
    <xf numFmtId="0" fontId="14" fillId="0" borderId="0" xfId="3" applyNumberFormat="1" applyFont="1" applyAlignment="1">
      <alignment horizontal="left"/>
    </xf>
    <xf numFmtId="1" fontId="4" fillId="0" borderId="10" xfId="3" applyNumberFormat="1" applyBorder="1"/>
    <xf numFmtId="164" fontId="4" fillId="0" borderId="10" xfId="3" applyNumberFormat="1" applyBorder="1"/>
    <xf numFmtId="1" fontId="4" fillId="0" borderId="12" xfId="3" applyNumberFormat="1" applyBorder="1"/>
    <xf numFmtId="164" fontId="4" fillId="0" borderId="12" xfId="3" applyNumberFormat="1" applyBorder="1"/>
    <xf numFmtId="1" fontId="4" fillId="0" borderId="15" xfId="3" applyNumberFormat="1" applyBorder="1"/>
    <xf numFmtId="164" fontId="4" fillId="0" borderId="15" xfId="3" applyNumberFormat="1" applyBorder="1"/>
    <xf numFmtId="164" fontId="4" fillId="0" borderId="13" xfId="3" applyNumberFormat="1" applyBorder="1"/>
    <xf numFmtId="1" fontId="4" fillId="0" borderId="5" xfId="3" applyNumberFormat="1" applyBorder="1"/>
    <xf numFmtId="1" fontId="4" fillId="0" borderId="10" xfId="3" applyNumberFormat="1" applyFill="1" applyBorder="1"/>
    <xf numFmtId="1" fontId="4" fillId="0" borderId="12" xfId="3" applyNumberFormat="1" applyFill="1" applyBorder="1"/>
    <xf numFmtId="1" fontId="4" fillId="0" borderId="15" xfId="3" applyNumberFormat="1" applyFill="1" applyBorder="1"/>
    <xf numFmtId="0" fontId="4" fillId="0" borderId="9" xfId="3" applyBorder="1" applyAlignment="1">
      <alignment horizontal="right"/>
    </xf>
    <xf numFmtId="164" fontId="4" fillId="0" borderId="0" xfId="3" applyNumberFormat="1"/>
    <xf numFmtId="0" fontId="15" fillId="0" borderId="0" xfId="3" applyFont="1"/>
    <xf numFmtId="164" fontId="4" fillId="0" borderId="27" xfId="3" applyNumberFormat="1" applyBorder="1"/>
  </cellXfs>
  <cellStyles count="4">
    <cellStyle name="Followed Hyperlink" xfId="2" builtinId="9" hidden="1"/>
    <cellStyle name="Hyperlink" xfId="1" builtinId="8" hidden="1"/>
    <cellStyle name="Normal" xfId="0" builtinId="0"/>
    <cellStyle name="Normal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F12"/>
  <sheetViews>
    <sheetView showGridLines="0" workbookViewId="0"/>
  </sheetViews>
  <sheetFormatPr defaultColWidth="8.77734375" defaultRowHeight="13.2" x14ac:dyDescent="0.25"/>
  <cols>
    <col min="1" max="1" width="4.6640625" customWidth="1"/>
  </cols>
  <sheetData>
    <row r="2" spans="2:6" x14ac:dyDescent="0.25">
      <c r="B2" s="1" t="s">
        <v>0</v>
      </c>
    </row>
    <row r="3" spans="2:6" x14ac:dyDescent="0.25">
      <c r="B3" s="2"/>
      <c r="C3" s="3"/>
      <c r="D3" s="3"/>
      <c r="E3" s="3"/>
      <c r="F3" s="3"/>
    </row>
    <row r="4" spans="2:6" x14ac:dyDescent="0.25">
      <c r="B4" s="4"/>
      <c r="C4" s="5" t="s">
        <v>1</v>
      </c>
      <c r="D4" s="98" t="s">
        <v>165</v>
      </c>
      <c r="E4" s="99"/>
      <c r="F4" s="100"/>
    </row>
    <row r="5" spans="2:6" x14ac:dyDescent="0.25">
      <c r="B5" s="6"/>
      <c r="C5" s="7" t="s">
        <v>111</v>
      </c>
      <c r="D5" s="101">
        <v>2015</v>
      </c>
      <c r="E5" s="102"/>
      <c r="F5" s="103"/>
    </row>
    <row r="6" spans="2:6" x14ac:dyDescent="0.25">
      <c r="B6" s="3"/>
      <c r="C6" s="3"/>
      <c r="D6" s="3"/>
      <c r="E6" s="3"/>
      <c r="F6" s="3"/>
    </row>
    <row r="8" spans="2:6" x14ac:dyDescent="0.25">
      <c r="B8">
        <v>3</v>
      </c>
      <c r="C8" t="s">
        <v>336</v>
      </c>
      <c r="D8">
        <v>2</v>
      </c>
      <c r="E8" t="s">
        <v>337</v>
      </c>
    </row>
    <row r="10" spans="2:6" x14ac:dyDescent="0.25">
      <c r="C10" t="s">
        <v>5</v>
      </c>
      <c r="E10" t="s">
        <v>22</v>
      </c>
    </row>
    <row r="11" spans="2:6" x14ac:dyDescent="0.25">
      <c r="C11" t="s">
        <v>10</v>
      </c>
      <c r="E11" t="s">
        <v>59</v>
      </c>
    </row>
    <row r="12" spans="2:6" x14ac:dyDescent="0.25">
      <c r="C12" t="s">
        <v>12</v>
      </c>
    </row>
  </sheetData>
  <mergeCells count="2">
    <mergeCell ref="D4:F4"/>
    <mergeCell ref="D5:F5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07"/>
  <sheetViews>
    <sheetView showGridLines="0" topLeftCell="A64" workbookViewId="0"/>
  </sheetViews>
  <sheetFormatPr defaultColWidth="9.109375" defaultRowHeight="13.2" x14ac:dyDescent="0.25"/>
  <cols>
    <col min="1" max="1" width="4.6640625" style="9" customWidth="1"/>
    <col min="2" max="2" width="8" style="9" bestFit="1" customWidth="1"/>
    <col min="3" max="3" width="15.6640625" style="9" bestFit="1" customWidth="1"/>
    <col min="4" max="4" width="8.6640625" style="9" customWidth="1"/>
    <col min="5" max="5" width="4.44140625" style="9" customWidth="1"/>
    <col min="6" max="6" width="3.33203125" style="9" bestFit="1" customWidth="1"/>
    <col min="7" max="7" width="8.6640625" style="9" customWidth="1"/>
    <col min="8" max="8" width="9.44140625" style="9" customWidth="1"/>
    <col min="9" max="16384" width="9.109375" style="9"/>
  </cols>
  <sheetData>
    <row r="2" spans="2:8" x14ac:dyDescent="0.25">
      <c r="B2" s="8" t="s">
        <v>2</v>
      </c>
    </row>
    <row r="3" spans="2:8" x14ac:dyDescent="0.25">
      <c r="B3" s="10" t="s">
        <v>155</v>
      </c>
    </row>
    <row r="4" spans="2:8" x14ac:dyDescent="0.25">
      <c r="B4" s="11"/>
      <c r="C4" s="12"/>
      <c r="D4" s="12"/>
      <c r="E4" s="12"/>
      <c r="F4" s="12"/>
      <c r="G4" s="12"/>
      <c r="H4" s="12"/>
    </row>
    <row r="5" spans="2:8" x14ac:dyDescent="0.25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25">
      <c r="B6" s="14" t="s">
        <v>5</v>
      </c>
      <c r="C6" s="84"/>
      <c r="D6" s="15">
        <v>345</v>
      </c>
      <c r="E6" s="15"/>
      <c r="F6" s="15" t="s">
        <v>6</v>
      </c>
      <c r="G6" s="15">
        <f t="shared" ref="G6:G15" si="0">$D6+$C6</f>
        <v>345</v>
      </c>
      <c r="H6" s="16" t="str">
        <f t="shared" ref="H6:H15" si="1">IF(AND($D6=0, $G6&gt;0),"new", IF(AND($D6&gt;0, $G6=0),"sold",""))</f>
        <v/>
      </c>
    </row>
    <row r="7" spans="2:8" x14ac:dyDescent="0.25">
      <c r="B7" s="14" t="s">
        <v>7</v>
      </c>
      <c r="C7" s="84"/>
      <c r="D7" s="15">
        <v>0</v>
      </c>
      <c r="E7" s="15"/>
      <c r="F7" s="15" t="s">
        <v>6</v>
      </c>
      <c r="G7" s="15">
        <f t="shared" si="0"/>
        <v>0</v>
      </c>
      <c r="H7" s="17" t="str">
        <f t="shared" si="1"/>
        <v/>
      </c>
    </row>
    <row r="8" spans="2:8" x14ac:dyDescent="0.25">
      <c r="B8" s="14" t="s">
        <v>8</v>
      </c>
      <c r="C8" s="84"/>
      <c r="D8" s="15">
        <v>0</v>
      </c>
      <c r="E8" s="15"/>
      <c r="F8" s="15" t="s">
        <v>6</v>
      </c>
      <c r="G8" s="15">
        <f t="shared" si="0"/>
        <v>0</v>
      </c>
      <c r="H8" s="17" t="str">
        <f t="shared" si="1"/>
        <v/>
      </c>
    </row>
    <row r="9" spans="2:8" x14ac:dyDescent="0.25">
      <c r="B9" s="14" t="s">
        <v>9</v>
      </c>
      <c r="C9" s="84"/>
      <c r="D9" s="15">
        <v>0</v>
      </c>
      <c r="E9" s="15"/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25">
      <c r="B10" s="14" t="s">
        <v>10</v>
      </c>
      <c r="C10" s="84"/>
      <c r="D10" s="15">
        <v>500</v>
      </c>
      <c r="E10" s="15"/>
      <c r="F10" s="15" t="s">
        <v>6</v>
      </c>
      <c r="G10" s="15">
        <f t="shared" si="0"/>
        <v>500</v>
      </c>
      <c r="H10" s="17" t="str">
        <f t="shared" si="1"/>
        <v/>
      </c>
    </row>
    <row r="11" spans="2:8" x14ac:dyDescent="0.25">
      <c r="B11" s="14" t="s">
        <v>11</v>
      </c>
      <c r="C11" s="84"/>
      <c r="D11" s="15">
        <v>0</v>
      </c>
      <c r="E11" s="15"/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25">
      <c r="B12" s="14" t="s">
        <v>12</v>
      </c>
      <c r="C12" s="84"/>
      <c r="D12" s="15">
        <v>3589</v>
      </c>
      <c r="E12" s="15"/>
      <c r="F12" s="15" t="s">
        <v>6</v>
      </c>
      <c r="G12" s="15">
        <f t="shared" si="0"/>
        <v>3589</v>
      </c>
      <c r="H12" s="17" t="str">
        <f t="shared" si="1"/>
        <v/>
      </c>
    </row>
    <row r="13" spans="2:8" x14ac:dyDescent="0.25">
      <c r="B13" s="14" t="s">
        <v>13</v>
      </c>
      <c r="C13" s="84"/>
      <c r="D13" s="15">
        <v>0</v>
      </c>
      <c r="E13" s="15"/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25">
      <c r="B14" s="14" t="s">
        <v>14</v>
      </c>
      <c r="C14" s="84"/>
      <c r="D14" s="15">
        <v>0</v>
      </c>
      <c r="E14" s="15"/>
      <c r="F14" s="15" t="s">
        <v>6</v>
      </c>
      <c r="G14" s="15">
        <f t="shared" si="0"/>
        <v>0</v>
      </c>
      <c r="H14" s="17" t="str">
        <f t="shared" si="1"/>
        <v/>
      </c>
    </row>
    <row r="15" spans="2:8" x14ac:dyDescent="0.25">
      <c r="B15" s="18" t="s">
        <v>15</v>
      </c>
      <c r="C15" s="84"/>
      <c r="D15" s="15">
        <v>0</v>
      </c>
      <c r="E15" s="15"/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25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 x14ac:dyDescent="0.25">
      <c r="B18" s="10" t="s">
        <v>148</v>
      </c>
    </row>
    <row r="19" spans="2:8" x14ac:dyDescent="0.25">
      <c r="B19" s="11"/>
      <c r="C19" s="12"/>
      <c r="D19" s="12"/>
      <c r="E19" s="12"/>
      <c r="F19" s="12"/>
      <c r="G19" s="12"/>
      <c r="H19" s="12"/>
    </row>
    <row r="20" spans="2:8" x14ac:dyDescent="0.25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25">
      <c r="B21" s="14" t="s">
        <v>5</v>
      </c>
      <c r="C21" s="85"/>
      <c r="D21" s="15">
        <v>11</v>
      </c>
      <c r="E21" s="15"/>
      <c r="F21" s="15" t="s">
        <v>6</v>
      </c>
      <c r="G21" s="15">
        <f t="shared" ref="G21:G30" si="2">$D21+$C21</f>
        <v>11</v>
      </c>
      <c r="H21" s="17"/>
    </row>
    <row r="22" spans="2:8" x14ac:dyDescent="0.25">
      <c r="B22" s="14" t="s">
        <v>7</v>
      </c>
      <c r="C22" s="85"/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 x14ac:dyDescent="0.25">
      <c r="B23" s="14" t="s">
        <v>8</v>
      </c>
      <c r="C23" s="85"/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 x14ac:dyDescent="0.25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25">
      <c r="B25" s="14" t="s">
        <v>10</v>
      </c>
      <c r="C25" s="85"/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 x14ac:dyDescent="0.25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25">
      <c r="B27" s="14" t="s">
        <v>12</v>
      </c>
      <c r="C27" s="85"/>
      <c r="D27" s="15">
        <v>53</v>
      </c>
      <c r="E27" s="15"/>
      <c r="F27" s="15" t="s">
        <v>6</v>
      </c>
      <c r="G27" s="15">
        <f t="shared" si="2"/>
        <v>53</v>
      </c>
      <c r="H27" s="17"/>
    </row>
    <row r="28" spans="2:8" x14ac:dyDescent="0.25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25">
      <c r="B29" s="14" t="s">
        <v>14</v>
      </c>
      <c r="C29" s="85"/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 x14ac:dyDescent="0.25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25">
      <c r="B31" s="21"/>
      <c r="C31" s="21"/>
      <c r="D31" s="21">
        <f>SUM($D$21:$D$30)</f>
        <v>86</v>
      </c>
      <c r="E31" s="21" t="s">
        <v>18</v>
      </c>
      <c r="F31" s="21"/>
      <c r="G31" s="21"/>
      <c r="H31" s="22"/>
    </row>
    <row r="33" spans="2:8" x14ac:dyDescent="0.25">
      <c r="B33" s="10" t="s">
        <v>156</v>
      </c>
    </row>
    <row r="34" spans="2:8" x14ac:dyDescent="0.25">
      <c r="B34" s="11"/>
      <c r="C34" s="12"/>
      <c r="D34" s="12"/>
      <c r="E34" s="12"/>
      <c r="F34" s="12"/>
      <c r="G34" s="12"/>
      <c r="H34" s="12"/>
    </row>
    <row r="35" spans="2:8" x14ac:dyDescent="0.25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25">
      <c r="B36" s="25" t="s">
        <v>19</v>
      </c>
      <c r="C36" s="84"/>
      <c r="D36" s="25">
        <v>0</v>
      </c>
      <c r="E36" s="26"/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25">
      <c r="B37" s="14" t="s">
        <v>20</v>
      </c>
      <c r="C37" s="84"/>
      <c r="D37" s="14">
        <v>0</v>
      </c>
      <c r="E37" s="15"/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25">
      <c r="B38" s="14" t="s">
        <v>21</v>
      </c>
      <c r="C38" s="84"/>
      <c r="D38" s="14">
        <v>0</v>
      </c>
      <c r="E38" s="15"/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25">
      <c r="B39" s="14" t="s">
        <v>22</v>
      </c>
      <c r="C39" s="84"/>
      <c r="D39" s="14">
        <v>50000</v>
      </c>
      <c r="E39" s="15"/>
      <c r="F39" s="15" t="s">
        <v>6</v>
      </c>
      <c r="G39" s="15">
        <f t="shared" si="3"/>
        <v>50000</v>
      </c>
      <c r="H39" s="17" t="str">
        <f t="shared" si="4"/>
        <v/>
      </c>
    </row>
    <row r="40" spans="2:8" x14ac:dyDescent="0.25">
      <c r="B40" s="14" t="s">
        <v>23</v>
      </c>
      <c r="C40" s="84"/>
      <c r="D40" s="14">
        <v>0</v>
      </c>
      <c r="E40" s="15"/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25">
      <c r="B41" s="14" t="s">
        <v>24</v>
      </c>
      <c r="C41" s="84"/>
      <c r="D41" s="14">
        <v>0</v>
      </c>
      <c r="E41" s="15"/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25">
      <c r="B42" s="14" t="s">
        <v>25</v>
      </c>
      <c r="C42" s="84"/>
      <c r="D42" s="14">
        <v>0</v>
      </c>
      <c r="E42" s="15"/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25">
      <c r="B43" s="14" t="s">
        <v>26</v>
      </c>
      <c r="C43" s="84"/>
      <c r="D43" s="14">
        <v>0</v>
      </c>
      <c r="E43" s="15"/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25">
      <c r="B44" s="14" t="s">
        <v>27</v>
      </c>
      <c r="C44" s="84"/>
      <c r="D44" s="14">
        <v>0</v>
      </c>
      <c r="E44" s="15"/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25">
      <c r="B45" s="14" t="s">
        <v>28</v>
      </c>
      <c r="C45" s="84"/>
      <c r="D45" s="14">
        <v>0</v>
      </c>
      <c r="E45" s="15"/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25">
      <c r="B46" s="14" t="s">
        <v>29</v>
      </c>
      <c r="C46" s="84"/>
      <c r="D46" s="14">
        <v>0</v>
      </c>
      <c r="E46" s="15"/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25">
      <c r="B47" s="14" t="s">
        <v>30</v>
      </c>
      <c r="C47" s="84"/>
      <c r="D47" s="14">
        <v>0</v>
      </c>
      <c r="E47" s="15"/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25">
      <c r="B48" s="14" t="s">
        <v>31</v>
      </c>
      <c r="C48" s="84"/>
      <c r="D48" s="14">
        <v>0</v>
      </c>
      <c r="E48" s="15"/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25">
      <c r="B49" s="14" t="s">
        <v>32</v>
      </c>
      <c r="C49" s="84"/>
      <c r="D49" s="14">
        <v>0</v>
      </c>
      <c r="E49" s="15"/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25">
      <c r="B50" s="14" t="s">
        <v>33</v>
      </c>
      <c r="C50" s="84"/>
      <c r="D50" s="14">
        <v>0</v>
      </c>
      <c r="E50" s="15"/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25">
      <c r="B51" s="14" t="s">
        <v>34</v>
      </c>
      <c r="C51" s="84"/>
      <c r="D51" s="14">
        <v>0</v>
      </c>
      <c r="E51" s="15"/>
      <c r="F51" s="15" t="s">
        <v>6</v>
      </c>
      <c r="G51" s="15">
        <f t="shared" si="3"/>
        <v>0</v>
      </c>
      <c r="H51" s="17" t="str">
        <f t="shared" si="4"/>
        <v/>
      </c>
    </row>
    <row r="52" spans="2:8" x14ac:dyDescent="0.25">
      <c r="B52" s="14" t="s">
        <v>35</v>
      </c>
      <c r="C52" s="84"/>
      <c r="D52" s="14">
        <v>0</v>
      </c>
      <c r="E52" s="15"/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25">
      <c r="B53" s="14" t="s">
        <v>36</v>
      </c>
      <c r="C53" s="84"/>
      <c r="D53" s="14">
        <v>0</v>
      </c>
      <c r="E53" s="15"/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25">
      <c r="B54" s="14" t="s">
        <v>37</v>
      </c>
      <c r="C54" s="84"/>
      <c r="D54" s="14">
        <v>0</v>
      </c>
      <c r="E54" s="15"/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25">
      <c r="B55" s="14" t="s">
        <v>38</v>
      </c>
      <c r="C55" s="84"/>
      <c r="D55" s="14">
        <v>0</v>
      </c>
      <c r="E55" s="15"/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25">
      <c r="B56" s="14" t="s">
        <v>39</v>
      </c>
      <c r="C56" s="84"/>
      <c r="D56" s="14">
        <v>0</v>
      </c>
      <c r="E56" s="15"/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25">
      <c r="B57" s="14" t="s">
        <v>40</v>
      </c>
      <c r="C57" s="84"/>
      <c r="D57" s="14">
        <v>0</v>
      </c>
      <c r="E57" s="15"/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25">
      <c r="B58" s="14" t="s">
        <v>41</v>
      </c>
      <c r="C58" s="84"/>
      <c r="D58" s="14">
        <v>0</v>
      </c>
      <c r="E58" s="15"/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25">
      <c r="B59" s="14" t="s">
        <v>42</v>
      </c>
      <c r="C59" s="84"/>
      <c r="D59" s="14">
        <v>0</v>
      </c>
      <c r="E59" s="15"/>
      <c r="F59" s="15" t="s">
        <v>6</v>
      </c>
      <c r="G59" s="15">
        <f t="shared" si="3"/>
        <v>0</v>
      </c>
      <c r="H59" s="17" t="str">
        <f t="shared" si="4"/>
        <v/>
      </c>
    </row>
    <row r="60" spans="2:8" x14ac:dyDescent="0.25">
      <c r="B60" s="14" t="s">
        <v>43</v>
      </c>
      <c r="C60" s="84"/>
      <c r="D60" s="15">
        <v>0</v>
      </c>
      <c r="E60" s="15"/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25">
      <c r="B61" s="14" t="s">
        <v>44</v>
      </c>
      <c r="C61" s="85"/>
      <c r="D61" s="15">
        <v>0</v>
      </c>
      <c r="E61" s="15"/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25">
      <c r="B62" s="14" t="s">
        <v>45</v>
      </c>
      <c r="C62" s="85"/>
      <c r="D62" s="15">
        <v>0</v>
      </c>
      <c r="E62" s="15"/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25">
      <c r="B63" s="14" t="s">
        <v>46</v>
      </c>
      <c r="C63" s="85"/>
      <c r="D63" s="15">
        <v>0</v>
      </c>
      <c r="E63" s="15"/>
      <c r="F63" s="15" t="s">
        <v>6</v>
      </c>
      <c r="G63" s="15">
        <f t="shared" si="3"/>
        <v>0</v>
      </c>
      <c r="H63" s="17" t="str">
        <f t="shared" si="4"/>
        <v/>
      </c>
    </row>
    <row r="64" spans="2:8" x14ac:dyDescent="0.25">
      <c r="B64" s="14" t="s">
        <v>47</v>
      </c>
      <c r="C64" s="85"/>
      <c r="D64" s="15">
        <v>0</v>
      </c>
      <c r="E64" s="15"/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25">
      <c r="B65" s="14" t="s">
        <v>48</v>
      </c>
      <c r="C65" s="85"/>
      <c r="D65" s="15">
        <v>0</v>
      </c>
      <c r="E65" s="15"/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25">
      <c r="B66" s="14" t="s">
        <v>49</v>
      </c>
      <c r="C66" s="85"/>
      <c r="D66" s="15">
        <v>0</v>
      </c>
      <c r="E66" s="15"/>
      <c r="F66" s="15" t="s">
        <v>6</v>
      </c>
      <c r="G66" s="15">
        <f t="shared" si="3"/>
        <v>0</v>
      </c>
      <c r="H66" s="17" t="str">
        <f t="shared" si="4"/>
        <v/>
      </c>
    </row>
    <row r="67" spans="2:8" x14ac:dyDescent="0.25">
      <c r="B67" s="14" t="s">
        <v>50</v>
      </c>
      <c r="C67" s="85"/>
      <c r="D67" s="15">
        <v>0</v>
      </c>
      <c r="E67" s="15"/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25">
      <c r="B68" s="14" t="s">
        <v>51</v>
      </c>
      <c r="C68" s="85"/>
      <c r="D68" s="15">
        <v>0</v>
      </c>
      <c r="E68" s="15"/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 x14ac:dyDescent="0.25">
      <c r="B69" s="14" t="s">
        <v>52</v>
      </c>
      <c r="C69" s="85"/>
      <c r="D69" s="15">
        <v>0</v>
      </c>
      <c r="E69" s="15"/>
      <c r="F69" s="15" t="s">
        <v>6</v>
      </c>
      <c r="G69" s="15">
        <f t="shared" si="5"/>
        <v>0</v>
      </c>
      <c r="H69" s="17" t="str">
        <f t="shared" si="6"/>
        <v/>
      </c>
    </row>
    <row r="70" spans="2:8" x14ac:dyDescent="0.25">
      <c r="B70" s="14" t="s">
        <v>53</v>
      </c>
      <c r="C70" s="85"/>
      <c r="D70" s="15">
        <v>0</v>
      </c>
      <c r="E70" s="15"/>
      <c r="F70" s="15" t="s">
        <v>6</v>
      </c>
      <c r="G70" s="15">
        <f t="shared" si="5"/>
        <v>0</v>
      </c>
      <c r="H70" s="17" t="str">
        <f t="shared" si="6"/>
        <v/>
      </c>
    </row>
    <row r="71" spans="2:8" x14ac:dyDescent="0.25">
      <c r="B71" s="14" t="s">
        <v>54</v>
      </c>
      <c r="C71" s="85"/>
      <c r="D71" s="15">
        <v>0</v>
      </c>
      <c r="E71" s="15"/>
      <c r="F71" s="15" t="s">
        <v>6</v>
      </c>
      <c r="G71" s="15">
        <f t="shared" si="5"/>
        <v>0</v>
      </c>
      <c r="H71" s="17" t="str">
        <f t="shared" si="6"/>
        <v/>
      </c>
    </row>
    <row r="72" spans="2:8" x14ac:dyDescent="0.25">
      <c r="B72" s="14" t="s">
        <v>55</v>
      </c>
      <c r="C72" s="85"/>
      <c r="D72" s="15">
        <v>0</v>
      </c>
      <c r="E72" s="15"/>
      <c r="F72" s="15" t="s">
        <v>6</v>
      </c>
      <c r="G72" s="15">
        <f t="shared" si="5"/>
        <v>0</v>
      </c>
      <c r="H72" s="17" t="str">
        <f t="shared" si="6"/>
        <v/>
      </c>
    </row>
    <row r="73" spans="2:8" x14ac:dyDescent="0.25">
      <c r="B73" s="14" t="s">
        <v>56</v>
      </c>
      <c r="C73" s="85"/>
      <c r="D73" s="15">
        <v>0</v>
      </c>
      <c r="E73" s="15"/>
      <c r="F73" s="15" t="s">
        <v>6</v>
      </c>
      <c r="G73" s="15">
        <f t="shared" si="5"/>
        <v>0</v>
      </c>
      <c r="H73" s="17" t="str">
        <f t="shared" si="6"/>
        <v/>
      </c>
    </row>
    <row r="74" spans="2:8" x14ac:dyDescent="0.25">
      <c r="B74" s="14" t="s">
        <v>57</v>
      </c>
      <c r="C74" s="85"/>
      <c r="D74" s="15">
        <v>0</v>
      </c>
      <c r="E74" s="15"/>
      <c r="F74" s="15" t="s">
        <v>6</v>
      </c>
      <c r="G74" s="15">
        <f t="shared" si="5"/>
        <v>0</v>
      </c>
      <c r="H74" s="17" t="str">
        <f t="shared" si="6"/>
        <v/>
      </c>
    </row>
    <row r="75" spans="2:8" x14ac:dyDescent="0.25">
      <c r="B75" s="14" t="s">
        <v>58</v>
      </c>
      <c r="C75" s="85"/>
      <c r="D75" s="15">
        <v>0</v>
      </c>
      <c r="E75" s="15"/>
      <c r="F75" s="15" t="s">
        <v>6</v>
      </c>
      <c r="G75" s="15">
        <f t="shared" si="5"/>
        <v>0</v>
      </c>
      <c r="H75" s="17" t="str">
        <f t="shared" si="6"/>
        <v/>
      </c>
    </row>
    <row r="76" spans="2:8" x14ac:dyDescent="0.25">
      <c r="B76" s="14" t="s">
        <v>59</v>
      </c>
      <c r="C76" s="85"/>
      <c r="D76" s="15">
        <v>51000</v>
      </c>
      <c r="E76" s="15"/>
      <c r="F76" s="15" t="s">
        <v>6</v>
      </c>
      <c r="G76" s="15">
        <f t="shared" si="5"/>
        <v>51000</v>
      </c>
      <c r="H76" s="17" t="str">
        <f t="shared" si="6"/>
        <v/>
      </c>
    </row>
    <row r="77" spans="2:8" x14ac:dyDescent="0.25">
      <c r="B77" s="14" t="s">
        <v>60</v>
      </c>
      <c r="C77" s="85"/>
      <c r="D77" s="15">
        <v>0</v>
      </c>
      <c r="E77" s="15"/>
      <c r="F77" s="15" t="s">
        <v>6</v>
      </c>
      <c r="G77" s="15">
        <f t="shared" si="5"/>
        <v>0</v>
      </c>
      <c r="H77" s="17" t="str">
        <f t="shared" si="6"/>
        <v/>
      </c>
    </row>
    <row r="78" spans="2:8" x14ac:dyDescent="0.25">
      <c r="B78" s="14" t="s">
        <v>61</v>
      </c>
      <c r="C78" s="85"/>
      <c r="D78" s="15">
        <v>0</v>
      </c>
      <c r="E78" s="15"/>
      <c r="F78" s="15" t="s">
        <v>6</v>
      </c>
      <c r="G78" s="15">
        <f t="shared" si="5"/>
        <v>0</v>
      </c>
      <c r="H78" s="17" t="str">
        <f t="shared" si="6"/>
        <v/>
      </c>
    </row>
    <row r="79" spans="2:8" x14ac:dyDescent="0.25">
      <c r="B79" s="14" t="s">
        <v>62</v>
      </c>
      <c r="C79" s="85"/>
      <c r="D79" s="15">
        <v>0</v>
      </c>
      <c r="E79" s="15"/>
      <c r="F79" s="15" t="s">
        <v>6</v>
      </c>
      <c r="G79" s="15">
        <f t="shared" si="5"/>
        <v>0</v>
      </c>
      <c r="H79" s="17" t="str">
        <f t="shared" si="6"/>
        <v/>
      </c>
    </row>
    <row r="80" spans="2:8" x14ac:dyDescent="0.25">
      <c r="B80" s="14" t="s">
        <v>63</v>
      </c>
      <c r="C80" s="85"/>
      <c r="D80" s="15">
        <v>0</v>
      </c>
      <c r="E80" s="15"/>
      <c r="F80" s="15" t="s">
        <v>6</v>
      </c>
      <c r="G80" s="15">
        <f t="shared" si="5"/>
        <v>0</v>
      </c>
      <c r="H80" s="17" t="str">
        <f t="shared" si="6"/>
        <v/>
      </c>
    </row>
    <row r="81" spans="2:8" x14ac:dyDescent="0.25">
      <c r="B81" s="14" t="s">
        <v>64</v>
      </c>
      <c r="C81" s="85"/>
      <c r="D81" s="15">
        <v>0</v>
      </c>
      <c r="E81" s="15"/>
      <c r="F81" s="15" t="s">
        <v>6</v>
      </c>
      <c r="G81" s="15">
        <f t="shared" si="5"/>
        <v>0</v>
      </c>
      <c r="H81" s="17" t="str">
        <f t="shared" si="6"/>
        <v/>
      </c>
    </row>
    <row r="82" spans="2:8" x14ac:dyDescent="0.25">
      <c r="B82" s="14" t="s">
        <v>65</v>
      </c>
      <c r="C82" s="85"/>
      <c r="D82" s="15">
        <v>0</v>
      </c>
      <c r="E82" s="15"/>
      <c r="F82" s="15" t="s">
        <v>6</v>
      </c>
      <c r="G82" s="15">
        <f t="shared" si="5"/>
        <v>0</v>
      </c>
      <c r="H82" s="17" t="str">
        <f t="shared" si="6"/>
        <v/>
      </c>
    </row>
    <row r="83" spans="2:8" x14ac:dyDescent="0.25">
      <c r="B83" s="27" t="s">
        <v>66</v>
      </c>
      <c r="C83" s="85"/>
      <c r="D83" s="14">
        <v>0</v>
      </c>
      <c r="E83" s="15"/>
      <c r="F83" s="15" t="s">
        <v>6</v>
      </c>
      <c r="G83" s="15">
        <f t="shared" si="5"/>
        <v>0</v>
      </c>
      <c r="H83" s="17" t="str">
        <f t="shared" si="6"/>
        <v/>
      </c>
    </row>
    <row r="84" spans="2:8" x14ac:dyDescent="0.25">
      <c r="B84" s="14" t="s">
        <v>67</v>
      </c>
      <c r="C84" s="85"/>
      <c r="D84" s="15">
        <v>0</v>
      </c>
      <c r="E84" s="15"/>
      <c r="F84" s="15" t="s">
        <v>6</v>
      </c>
      <c r="G84" s="15">
        <f t="shared" si="5"/>
        <v>0</v>
      </c>
      <c r="H84" s="17" t="str">
        <f t="shared" si="6"/>
        <v/>
      </c>
    </row>
    <row r="85" spans="2:8" x14ac:dyDescent="0.25">
      <c r="B85" s="14" t="s">
        <v>68</v>
      </c>
      <c r="C85" s="85"/>
      <c r="D85" s="15">
        <v>0</v>
      </c>
      <c r="E85" s="15"/>
      <c r="F85" s="15" t="s">
        <v>6</v>
      </c>
      <c r="G85" s="15">
        <f t="shared" si="5"/>
        <v>0</v>
      </c>
      <c r="H85" s="17" t="str">
        <f t="shared" si="6"/>
        <v/>
      </c>
    </row>
    <row r="86" spans="2:8" x14ac:dyDescent="0.25">
      <c r="B86" s="14" t="s">
        <v>69</v>
      </c>
      <c r="C86" s="85"/>
      <c r="D86" s="15">
        <v>0</v>
      </c>
      <c r="E86" s="15"/>
      <c r="F86" s="15" t="s">
        <v>6</v>
      </c>
      <c r="G86" s="15">
        <f t="shared" si="5"/>
        <v>0</v>
      </c>
      <c r="H86" s="17" t="str">
        <f t="shared" si="6"/>
        <v/>
      </c>
    </row>
    <row r="87" spans="2:8" x14ac:dyDescent="0.25">
      <c r="B87" s="14" t="s">
        <v>70</v>
      </c>
      <c r="C87" s="85"/>
      <c r="D87" s="15">
        <v>0</v>
      </c>
      <c r="E87" s="15"/>
      <c r="F87" s="15" t="s">
        <v>6</v>
      </c>
      <c r="G87" s="15">
        <f t="shared" si="5"/>
        <v>0</v>
      </c>
      <c r="H87" s="17" t="str">
        <f t="shared" si="6"/>
        <v/>
      </c>
    </row>
    <row r="88" spans="2:8" x14ac:dyDescent="0.25">
      <c r="B88" s="14" t="s">
        <v>71</v>
      </c>
      <c r="C88" s="85"/>
      <c r="D88" s="15">
        <v>0</v>
      </c>
      <c r="E88" s="15"/>
      <c r="F88" s="15" t="s">
        <v>6</v>
      </c>
      <c r="G88" s="15">
        <f t="shared" si="5"/>
        <v>0</v>
      </c>
      <c r="H88" s="17" t="str">
        <f t="shared" si="6"/>
        <v/>
      </c>
    </row>
    <row r="89" spans="2:8" x14ac:dyDescent="0.25">
      <c r="B89" s="14" t="s">
        <v>72</v>
      </c>
      <c r="C89" s="85"/>
      <c r="D89" s="15">
        <v>0</v>
      </c>
      <c r="E89" s="15"/>
      <c r="F89" s="15" t="s">
        <v>6</v>
      </c>
      <c r="G89" s="15">
        <f t="shared" si="5"/>
        <v>0</v>
      </c>
      <c r="H89" s="17" t="str">
        <f t="shared" si="6"/>
        <v/>
      </c>
    </row>
    <row r="90" spans="2:8" x14ac:dyDescent="0.25">
      <c r="B90" s="14" t="s">
        <v>73</v>
      </c>
      <c r="C90" s="85"/>
      <c r="D90" s="15">
        <v>0</v>
      </c>
      <c r="E90" s="15"/>
      <c r="F90" s="15" t="s">
        <v>6</v>
      </c>
      <c r="G90" s="15">
        <f t="shared" si="5"/>
        <v>0</v>
      </c>
      <c r="H90" s="17" t="str">
        <f t="shared" si="6"/>
        <v/>
      </c>
    </row>
    <row r="91" spans="2:8" x14ac:dyDescent="0.25">
      <c r="B91" s="14" t="s">
        <v>74</v>
      </c>
      <c r="C91" s="85"/>
      <c r="D91" s="15">
        <v>0</v>
      </c>
      <c r="E91" s="15"/>
      <c r="F91" s="15" t="s">
        <v>6</v>
      </c>
      <c r="G91" s="15">
        <f t="shared" si="5"/>
        <v>0</v>
      </c>
      <c r="H91" s="17" t="str">
        <f t="shared" si="6"/>
        <v/>
      </c>
    </row>
    <row r="92" spans="2:8" x14ac:dyDescent="0.25">
      <c r="B92" s="14" t="s">
        <v>75</v>
      </c>
      <c r="C92" s="85"/>
      <c r="D92" s="15">
        <v>0</v>
      </c>
      <c r="E92" s="15"/>
      <c r="F92" s="15" t="s">
        <v>6</v>
      </c>
      <c r="G92" s="15">
        <f t="shared" si="5"/>
        <v>0</v>
      </c>
      <c r="H92" s="17" t="str">
        <f t="shared" si="6"/>
        <v/>
      </c>
    </row>
    <row r="93" spans="2:8" x14ac:dyDescent="0.25">
      <c r="B93" s="14" t="s">
        <v>76</v>
      </c>
      <c r="C93" s="85"/>
      <c r="D93" s="15">
        <v>0</v>
      </c>
      <c r="E93" s="15"/>
      <c r="F93" s="15" t="s">
        <v>6</v>
      </c>
      <c r="G93" s="15">
        <f t="shared" si="5"/>
        <v>0</v>
      </c>
      <c r="H93" s="17" t="str">
        <f t="shared" si="6"/>
        <v/>
      </c>
    </row>
    <row r="94" spans="2:8" x14ac:dyDescent="0.25">
      <c r="B94" s="14" t="s">
        <v>77</v>
      </c>
      <c r="C94" s="85"/>
      <c r="D94" s="15">
        <v>0</v>
      </c>
      <c r="E94" s="15"/>
      <c r="F94" s="15" t="s">
        <v>6</v>
      </c>
      <c r="G94" s="15">
        <f t="shared" si="5"/>
        <v>0</v>
      </c>
      <c r="H94" s="17" t="str">
        <f t="shared" si="6"/>
        <v/>
      </c>
    </row>
    <row r="95" spans="2:8" x14ac:dyDescent="0.25">
      <c r="B95" s="14" t="s">
        <v>78</v>
      </c>
      <c r="C95" s="85"/>
      <c r="D95" s="15">
        <v>0</v>
      </c>
      <c r="E95" s="15"/>
      <c r="F95" s="15" t="s">
        <v>6</v>
      </c>
      <c r="G95" s="15">
        <f t="shared" si="5"/>
        <v>0</v>
      </c>
      <c r="H95" s="17" t="str">
        <f t="shared" si="6"/>
        <v/>
      </c>
    </row>
    <row r="96" spans="2:8" x14ac:dyDescent="0.25">
      <c r="B96" s="14" t="s">
        <v>79</v>
      </c>
      <c r="C96" s="85"/>
      <c r="D96" s="15">
        <v>0</v>
      </c>
      <c r="E96" s="15"/>
      <c r="F96" s="15" t="s">
        <v>6</v>
      </c>
      <c r="G96" s="15">
        <f t="shared" si="5"/>
        <v>0</v>
      </c>
      <c r="H96" s="17" t="str">
        <f t="shared" si="6"/>
        <v/>
      </c>
    </row>
    <row r="97" spans="2:8" x14ac:dyDescent="0.25">
      <c r="B97" s="14" t="s">
        <v>80</v>
      </c>
      <c r="C97" s="85"/>
      <c r="D97" s="15">
        <v>0</v>
      </c>
      <c r="E97" s="15"/>
      <c r="F97" s="15" t="s">
        <v>6</v>
      </c>
      <c r="G97" s="15">
        <f t="shared" si="5"/>
        <v>0</v>
      </c>
      <c r="H97" s="17" t="str">
        <f t="shared" si="6"/>
        <v/>
      </c>
    </row>
    <row r="98" spans="2:8" x14ac:dyDescent="0.25">
      <c r="B98" s="14" t="s">
        <v>81</v>
      </c>
      <c r="C98" s="85"/>
      <c r="D98" s="15">
        <v>0</v>
      </c>
      <c r="E98" s="15"/>
      <c r="F98" s="15" t="s">
        <v>6</v>
      </c>
      <c r="G98" s="15">
        <f t="shared" si="5"/>
        <v>0</v>
      </c>
      <c r="H98" s="17" t="str">
        <f t="shared" si="6"/>
        <v/>
      </c>
    </row>
    <row r="99" spans="2:8" x14ac:dyDescent="0.25">
      <c r="B99" s="14" t="s">
        <v>82</v>
      </c>
      <c r="C99" s="85"/>
      <c r="D99" s="15">
        <v>0</v>
      </c>
      <c r="E99" s="15"/>
      <c r="F99" s="15" t="s">
        <v>6</v>
      </c>
      <c r="G99" s="15">
        <f t="shared" si="5"/>
        <v>0</v>
      </c>
      <c r="H99" s="17" t="str">
        <f t="shared" si="6"/>
        <v/>
      </c>
    </row>
    <row r="100" spans="2:8" x14ac:dyDescent="0.25">
      <c r="B100" s="14" t="s">
        <v>83</v>
      </c>
      <c r="C100" s="85"/>
      <c r="D100" s="15">
        <v>0</v>
      </c>
      <c r="E100" s="15"/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 x14ac:dyDescent="0.25">
      <c r="B101" s="14" t="s">
        <v>84</v>
      </c>
      <c r="C101" s="85"/>
      <c r="D101" s="15">
        <v>0</v>
      </c>
      <c r="E101" s="15"/>
      <c r="F101" s="15" t="s">
        <v>6</v>
      </c>
      <c r="G101" s="15">
        <f t="shared" si="7"/>
        <v>0</v>
      </c>
      <c r="H101" s="17" t="str">
        <f t="shared" si="8"/>
        <v/>
      </c>
    </row>
    <row r="102" spans="2:8" x14ac:dyDescent="0.25">
      <c r="B102" s="14" t="s">
        <v>85</v>
      </c>
      <c r="C102" s="85"/>
      <c r="D102" s="15">
        <v>0</v>
      </c>
      <c r="E102" s="15"/>
      <c r="F102" s="15" t="s">
        <v>6</v>
      </c>
      <c r="G102" s="15">
        <f t="shared" si="7"/>
        <v>0</v>
      </c>
      <c r="H102" s="17" t="str">
        <f t="shared" si="8"/>
        <v/>
      </c>
    </row>
    <row r="103" spans="2:8" x14ac:dyDescent="0.25">
      <c r="B103" s="14" t="s">
        <v>86</v>
      </c>
      <c r="C103" s="85"/>
      <c r="D103" s="15">
        <v>0</v>
      </c>
      <c r="E103" s="15"/>
      <c r="F103" s="15" t="s">
        <v>6</v>
      </c>
      <c r="G103" s="15">
        <f t="shared" si="7"/>
        <v>0</v>
      </c>
      <c r="H103" s="17" t="str">
        <f t="shared" si="8"/>
        <v/>
      </c>
    </row>
    <row r="104" spans="2:8" x14ac:dyDescent="0.25">
      <c r="B104" s="14" t="s">
        <v>87</v>
      </c>
      <c r="C104" s="85"/>
      <c r="D104" s="15">
        <v>0</v>
      </c>
      <c r="E104" s="15"/>
      <c r="F104" s="15" t="s">
        <v>6</v>
      </c>
      <c r="G104" s="15">
        <f t="shared" si="7"/>
        <v>0</v>
      </c>
      <c r="H104" s="17" t="str">
        <f t="shared" si="8"/>
        <v/>
      </c>
    </row>
    <row r="105" spans="2:8" x14ac:dyDescent="0.25">
      <c r="B105" s="14" t="s">
        <v>88</v>
      </c>
      <c r="C105" s="85"/>
      <c r="D105" s="15">
        <v>0</v>
      </c>
      <c r="E105" s="15"/>
      <c r="F105" s="15" t="s">
        <v>6</v>
      </c>
      <c r="G105" s="15">
        <f t="shared" si="7"/>
        <v>0</v>
      </c>
      <c r="H105" s="17" t="str">
        <f t="shared" si="8"/>
        <v/>
      </c>
    </row>
    <row r="106" spans="2:8" x14ac:dyDescent="0.25">
      <c r="B106" s="18" t="s">
        <v>89</v>
      </c>
      <c r="C106" s="85"/>
      <c r="D106" s="19">
        <v>0</v>
      </c>
      <c r="E106" s="19"/>
      <c r="F106" s="19" t="s">
        <v>6</v>
      </c>
      <c r="G106" s="19">
        <f t="shared" si="7"/>
        <v>0</v>
      </c>
      <c r="H106" s="20" t="str">
        <f t="shared" si="8"/>
        <v/>
      </c>
    </row>
    <row r="107" spans="2:8" x14ac:dyDescent="0.25">
      <c r="B107" s="12"/>
      <c r="C107" s="12"/>
      <c r="D107" s="12">
        <f>COUNTIF($D$36:$D$106,"&gt;0")</f>
        <v>2</v>
      </c>
      <c r="E107" s="12" t="s">
        <v>90</v>
      </c>
      <c r="F107" s="12"/>
      <c r="G107" s="12">
        <f>COUNTIF(G36:G106,"&gt;0")</f>
        <v>2</v>
      </c>
      <c r="H107" s="83" t="s">
        <v>90</v>
      </c>
    </row>
  </sheetData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AG49"/>
  <sheetViews>
    <sheetView showGridLines="0" workbookViewId="0">
      <selection activeCell="D8" sqref="D8"/>
    </sheetView>
  </sheetViews>
  <sheetFormatPr defaultColWidth="9.109375" defaultRowHeight="13.2" x14ac:dyDescent="0.25"/>
  <cols>
    <col min="1" max="1" width="4.6640625" style="29" customWidth="1"/>
    <col min="2" max="2" width="16.6640625" style="29" customWidth="1"/>
    <col min="3" max="14" width="8.6640625" style="29" customWidth="1"/>
    <col min="15" max="16384" width="9.109375" style="29"/>
  </cols>
  <sheetData>
    <row r="2" spans="2:14" x14ac:dyDescent="0.25">
      <c r="B2" s="28" t="s">
        <v>140</v>
      </c>
    </row>
    <row r="3" spans="2:14" x14ac:dyDescent="0.25">
      <c r="B3" s="30" t="s">
        <v>164</v>
      </c>
    </row>
    <row r="4" spans="2:14" x14ac:dyDescent="0.25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25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25">
      <c r="B6" s="36" t="s">
        <v>104</v>
      </c>
      <c r="C6" s="86"/>
      <c r="D6" s="87"/>
      <c r="E6" s="87"/>
      <c r="F6" s="87"/>
      <c r="G6" s="87"/>
      <c r="H6" s="87"/>
      <c r="I6" s="87"/>
      <c r="J6" s="87"/>
      <c r="K6" s="87"/>
      <c r="L6" s="87"/>
      <c r="M6" s="87"/>
      <c r="N6" s="87"/>
    </row>
    <row r="7" spans="2:14" x14ac:dyDescent="0.25">
      <c r="B7" s="36" t="s">
        <v>105</v>
      </c>
      <c r="C7" s="97">
        <v>4434</v>
      </c>
      <c r="D7" s="97">
        <v>4434</v>
      </c>
      <c r="E7" s="97">
        <v>4434</v>
      </c>
      <c r="F7" s="97">
        <v>4434</v>
      </c>
      <c r="G7" s="97">
        <v>4434</v>
      </c>
      <c r="H7" s="97">
        <v>4434</v>
      </c>
      <c r="I7" s="97">
        <v>4434</v>
      </c>
      <c r="J7" s="97">
        <v>4434</v>
      </c>
      <c r="K7" s="97">
        <v>4434</v>
      </c>
      <c r="L7" s="97">
        <v>4434</v>
      </c>
      <c r="M7" s="97">
        <v>4434</v>
      </c>
      <c r="N7" s="97">
        <v>4434</v>
      </c>
    </row>
    <row r="8" spans="2:14" x14ac:dyDescent="0.25">
      <c r="B8" s="36" t="s">
        <v>106</v>
      </c>
      <c r="C8" s="88"/>
      <c r="D8" s="89"/>
      <c r="E8" s="89"/>
      <c r="F8" s="89"/>
      <c r="G8" s="89"/>
      <c r="H8" s="89"/>
      <c r="I8" s="89"/>
      <c r="J8" s="89"/>
      <c r="K8" s="89"/>
      <c r="L8" s="89"/>
      <c r="M8" s="89"/>
      <c r="N8" s="89"/>
    </row>
    <row r="9" spans="2:14" x14ac:dyDescent="0.25">
      <c r="B9" s="36" t="s">
        <v>107</v>
      </c>
      <c r="C9" s="88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</row>
    <row r="10" spans="2:14" x14ac:dyDescent="0.25">
      <c r="B10" s="36" t="s">
        <v>108</v>
      </c>
      <c r="C10" s="88">
        <v>4434</v>
      </c>
      <c r="D10" s="88">
        <v>4434</v>
      </c>
      <c r="E10" s="88">
        <v>4434</v>
      </c>
      <c r="F10" s="88">
        <v>4434</v>
      </c>
      <c r="G10" s="88">
        <v>4434</v>
      </c>
      <c r="H10" s="88">
        <v>4434</v>
      </c>
      <c r="I10" s="88">
        <v>4434</v>
      </c>
      <c r="J10" s="88">
        <v>4434</v>
      </c>
      <c r="K10" s="88">
        <v>4434</v>
      </c>
      <c r="L10" s="88">
        <v>4434</v>
      </c>
      <c r="M10" s="88">
        <v>4434</v>
      </c>
      <c r="N10" s="88">
        <v>4434</v>
      </c>
    </row>
    <row r="11" spans="2:14" x14ac:dyDescent="0.25">
      <c r="B11" s="37" t="s">
        <v>109</v>
      </c>
      <c r="C11" s="88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</row>
    <row r="12" spans="2:14" x14ac:dyDescent="0.25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25">
      <c r="B14" s="30" t="s">
        <v>157</v>
      </c>
    </row>
    <row r="15" spans="2:14" x14ac:dyDescent="0.25">
      <c r="B15" s="31"/>
      <c r="C15" s="32"/>
      <c r="D15" s="32"/>
      <c r="E15" s="51"/>
      <c r="F15" s="32"/>
      <c r="G15" s="32"/>
      <c r="H15" s="32"/>
    </row>
    <row r="16" spans="2:14" x14ac:dyDescent="0.25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25">
      <c r="B17" s="41" t="s">
        <v>104</v>
      </c>
      <c r="C17" s="90">
        <v>1</v>
      </c>
      <c r="D17" s="90">
        <v>1000000</v>
      </c>
      <c r="E17" s="90">
        <v>1</v>
      </c>
      <c r="F17" s="90">
        <v>1000000</v>
      </c>
      <c r="G17" s="90">
        <v>1</v>
      </c>
      <c r="H17" s="90">
        <v>1000000</v>
      </c>
      <c r="I17" s="29" t="s">
        <v>110</v>
      </c>
    </row>
    <row r="18" spans="2:33" x14ac:dyDescent="0.25">
      <c r="B18" s="36" t="s">
        <v>105</v>
      </c>
      <c r="C18" s="90">
        <v>1</v>
      </c>
      <c r="D18" s="90">
        <v>1000000</v>
      </c>
      <c r="E18" s="90">
        <v>1</v>
      </c>
      <c r="F18" s="90">
        <v>1000000</v>
      </c>
      <c r="G18" s="90">
        <v>1</v>
      </c>
      <c r="H18" s="90">
        <v>1000000</v>
      </c>
      <c r="I18" s="29" t="s">
        <v>110</v>
      </c>
    </row>
    <row r="19" spans="2:33" x14ac:dyDescent="0.25">
      <c r="B19" s="36" t="s">
        <v>106</v>
      </c>
      <c r="C19" s="90">
        <v>1</v>
      </c>
      <c r="D19" s="90">
        <v>1000000</v>
      </c>
      <c r="E19" s="90">
        <v>1</v>
      </c>
      <c r="F19" s="90">
        <v>1000000</v>
      </c>
      <c r="G19" s="90">
        <v>1</v>
      </c>
      <c r="H19" s="90">
        <v>1000000</v>
      </c>
      <c r="I19" s="29" t="s">
        <v>110</v>
      </c>
    </row>
    <row r="20" spans="2:33" x14ac:dyDescent="0.25">
      <c r="B20" s="36" t="s">
        <v>107</v>
      </c>
      <c r="C20" s="90">
        <v>1</v>
      </c>
      <c r="D20" s="90">
        <v>1000000</v>
      </c>
      <c r="E20" s="90">
        <v>1</v>
      </c>
      <c r="F20" s="90">
        <v>1000000</v>
      </c>
      <c r="G20" s="90">
        <v>1</v>
      </c>
      <c r="H20" s="90">
        <v>1000000</v>
      </c>
    </row>
    <row r="21" spans="2:33" x14ac:dyDescent="0.25">
      <c r="B21" s="36" t="s">
        <v>108</v>
      </c>
      <c r="C21" s="90">
        <v>1</v>
      </c>
      <c r="D21" s="90">
        <v>1000000</v>
      </c>
      <c r="E21" s="90">
        <v>1</v>
      </c>
      <c r="F21" s="90">
        <v>1000000</v>
      </c>
      <c r="G21" s="90">
        <v>1</v>
      </c>
      <c r="H21" s="90">
        <v>1000000</v>
      </c>
    </row>
    <row r="22" spans="2:33" x14ac:dyDescent="0.25">
      <c r="B22" s="37" t="s">
        <v>109</v>
      </c>
      <c r="C22" s="90">
        <v>1</v>
      </c>
      <c r="D22" s="90">
        <v>1000000</v>
      </c>
      <c r="E22" s="90">
        <v>1</v>
      </c>
      <c r="F22" s="90">
        <v>1000000</v>
      </c>
      <c r="G22" s="90">
        <v>1</v>
      </c>
      <c r="H22" s="90">
        <v>1000000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25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25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25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25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25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25">
      <c r="D28" s="45">
        <f>basic_info!$D$5-5</f>
        <v>2010</v>
      </c>
      <c r="E28" s="49"/>
      <c r="F28" s="45">
        <f>basic_info!$D$5-4</f>
        <v>2011</v>
      </c>
      <c r="G28" s="49"/>
      <c r="H28" s="45">
        <f>basic_info!$D$5-3</f>
        <v>2012</v>
      </c>
      <c r="I28" s="49"/>
      <c r="J28" s="45">
        <f>basic_info!$D$5-2</f>
        <v>2013</v>
      </c>
      <c r="K28" s="49"/>
      <c r="L28" s="45">
        <f>basic_info!$D$5-1</f>
        <v>2014</v>
      </c>
      <c r="N28" s="45">
        <f>basic_info!$D$5</f>
        <v>2015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25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25">
      <c r="B30" s="41" t="s">
        <v>112</v>
      </c>
      <c r="C30" s="36">
        <f>basic_info!$D$5</f>
        <v>2015</v>
      </c>
      <c r="D30" s="44">
        <v>0.71606841632270113</v>
      </c>
      <c r="E30" s="35">
        <v>0</v>
      </c>
      <c r="F30" s="47">
        <v>0.72887055332178219</v>
      </c>
      <c r="G30" s="46">
        <v>0</v>
      </c>
      <c r="H30" s="47">
        <v>0.83662811576897178</v>
      </c>
      <c r="I30" s="46">
        <v>0</v>
      </c>
      <c r="J30" s="47">
        <v>0.81866788858339068</v>
      </c>
      <c r="K30" s="46">
        <v>0</v>
      </c>
      <c r="L30" s="47">
        <v>0.66383864317884189</v>
      </c>
      <c r="M30" s="46">
        <v>0</v>
      </c>
      <c r="N30" s="60"/>
      <c r="O30" s="71" t="s">
        <v>162</v>
      </c>
      <c r="P30" s="41">
        <f>M30+K30+I30+E30+G30</f>
        <v>0</v>
      </c>
      <c r="Q30" s="70"/>
    </row>
    <row r="31" spans="2:33" x14ac:dyDescent="0.25">
      <c r="B31" s="36"/>
      <c r="C31" s="47">
        <f>basic_info!$D$5+1</f>
        <v>2016</v>
      </c>
      <c r="D31" s="76"/>
      <c r="E31" s="75"/>
      <c r="F31" s="69">
        <v>0.67862145488531522</v>
      </c>
      <c r="G31" s="79">
        <v>0</v>
      </c>
      <c r="H31" s="61">
        <v>0.77144919455166439</v>
      </c>
      <c r="I31" s="62">
        <v>0</v>
      </c>
      <c r="J31" s="61">
        <v>0.74927989201390566</v>
      </c>
      <c r="K31" s="62">
        <v>0</v>
      </c>
      <c r="L31" s="61">
        <v>0.67403456532264949</v>
      </c>
      <c r="M31" s="62">
        <v>0</v>
      </c>
      <c r="N31" s="63">
        <v>0.9094305994382329</v>
      </c>
      <c r="O31" s="89"/>
      <c r="P31" s="63">
        <f>O31+M31+K31+I31+G31</f>
        <v>0</v>
      </c>
    </row>
    <row r="32" spans="2:33" x14ac:dyDescent="0.25">
      <c r="B32" s="36"/>
      <c r="C32" s="47">
        <f>basic_info!$D$5+2</f>
        <v>2017</v>
      </c>
      <c r="D32" s="76"/>
      <c r="E32" s="75"/>
      <c r="F32" s="75"/>
      <c r="G32" s="75"/>
      <c r="H32" s="69">
        <v>0.71662753591933626</v>
      </c>
      <c r="I32" s="79">
        <v>0</v>
      </c>
      <c r="J32" s="61">
        <v>0.7118064307683698</v>
      </c>
      <c r="K32" s="62">
        <v>0</v>
      </c>
      <c r="L32" s="61">
        <v>0.65742258166301204</v>
      </c>
      <c r="M32" s="62">
        <v>0</v>
      </c>
      <c r="N32" s="63">
        <v>0.8608485705892801</v>
      </c>
      <c r="O32" s="89"/>
      <c r="P32" s="63">
        <f>O32+M32+K32+I32</f>
        <v>0</v>
      </c>
    </row>
    <row r="33" spans="2:17" x14ac:dyDescent="0.25">
      <c r="B33" s="36"/>
      <c r="C33" s="47">
        <f>basic_info!$D$5+3</f>
        <v>2018</v>
      </c>
      <c r="D33" s="76"/>
      <c r="E33" s="75"/>
      <c r="F33" s="75"/>
      <c r="G33" s="75"/>
      <c r="H33" s="75"/>
      <c r="I33" s="75"/>
      <c r="J33" s="69">
        <v>0.68616087553988669</v>
      </c>
      <c r="K33" s="79">
        <v>0</v>
      </c>
      <c r="L33" s="61">
        <v>0.64171751702829749</v>
      </c>
      <c r="M33" s="62">
        <v>0</v>
      </c>
      <c r="N33" s="63">
        <v>0.8295043288750632</v>
      </c>
      <c r="O33" s="89"/>
      <c r="P33" s="63">
        <f>O33+M33+K33</f>
        <v>0</v>
      </c>
    </row>
    <row r="34" spans="2:17" x14ac:dyDescent="0.25">
      <c r="B34" s="36"/>
      <c r="C34" s="47">
        <f>basic_info!$D$5+4</f>
        <v>2019</v>
      </c>
      <c r="D34" s="76"/>
      <c r="E34" s="75"/>
      <c r="F34" s="75"/>
      <c r="G34" s="75"/>
      <c r="H34" s="75"/>
      <c r="I34" s="75"/>
      <c r="J34" s="75"/>
      <c r="K34" s="75"/>
      <c r="L34" s="69">
        <v>0.65376248745918275</v>
      </c>
      <c r="M34" s="79">
        <v>0</v>
      </c>
      <c r="N34" s="63">
        <v>0.84540928358710421</v>
      </c>
      <c r="O34" s="89"/>
      <c r="P34" s="63">
        <f>O34+M34</f>
        <v>0</v>
      </c>
    </row>
    <row r="35" spans="2:17" x14ac:dyDescent="0.25">
      <c r="B35" s="37"/>
      <c r="C35" s="72">
        <f>basic_info!$D$5+5</f>
        <v>2020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0.76962524616122252</v>
      </c>
      <c r="O35" s="89"/>
      <c r="P35" s="65">
        <f>O35</f>
        <v>0</v>
      </c>
    </row>
    <row r="36" spans="2:17" x14ac:dyDescent="0.25">
      <c r="B36" s="41" t="s">
        <v>113</v>
      </c>
      <c r="C36" s="36">
        <f>basic_info!$D$5</f>
        <v>2015</v>
      </c>
      <c r="D36" s="44">
        <v>1.1250861635625817</v>
      </c>
      <c r="E36" s="35">
        <v>0</v>
      </c>
      <c r="F36" s="73">
        <v>1.3053357330394562</v>
      </c>
      <c r="G36" s="74">
        <v>0</v>
      </c>
      <c r="H36" s="73">
        <v>1.1125214549937747</v>
      </c>
      <c r="I36" s="74">
        <v>0</v>
      </c>
      <c r="J36" s="73">
        <v>1.2057521205584205</v>
      </c>
      <c r="K36" s="74">
        <v>0</v>
      </c>
      <c r="L36" s="66">
        <v>1.201165752532078</v>
      </c>
      <c r="M36" s="67">
        <v>0</v>
      </c>
      <c r="N36" s="68"/>
      <c r="O36" s="71" t="s">
        <v>162</v>
      </c>
      <c r="P36" s="41">
        <f>M36+K36+I36+E36+G36</f>
        <v>0</v>
      </c>
      <c r="Q36" s="70"/>
    </row>
    <row r="37" spans="2:17" x14ac:dyDescent="0.25">
      <c r="B37" s="36"/>
      <c r="C37" s="47">
        <f>basic_info!$D$5+1</f>
        <v>2016</v>
      </c>
      <c r="D37" s="76"/>
      <c r="E37" s="75"/>
      <c r="F37" s="69">
        <v>1.2381058075672227</v>
      </c>
      <c r="G37" s="79">
        <v>0</v>
      </c>
      <c r="H37" s="61">
        <v>1.0896456341169221</v>
      </c>
      <c r="I37" s="62">
        <v>0</v>
      </c>
      <c r="J37" s="61">
        <v>1.1880059380028796</v>
      </c>
      <c r="K37" s="62">
        <v>0</v>
      </c>
      <c r="L37" s="61">
        <v>1.1979988746751256</v>
      </c>
      <c r="M37" s="62">
        <v>0</v>
      </c>
      <c r="N37" s="61">
        <v>1.1284743819827652</v>
      </c>
      <c r="O37" s="89"/>
      <c r="P37" s="63">
        <f>O37+M37+K37+I37+G37</f>
        <v>0</v>
      </c>
    </row>
    <row r="38" spans="2:17" x14ac:dyDescent="0.25">
      <c r="B38" s="36"/>
      <c r="C38" s="47">
        <f>basic_info!$D$5+2</f>
        <v>2017</v>
      </c>
      <c r="D38" s="76"/>
      <c r="E38" s="75"/>
      <c r="F38" s="75"/>
      <c r="G38" s="75"/>
      <c r="H38" s="69">
        <v>1.0587453955633634</v>
      </c>
      <c r="I38" s="79">
        <v>0</v>
      </c>
      <c r="J38" s="61">
        <v>1.0938135695671274</v>
      </c>
      <c r="K38" s="62">
        <v>0</v>
      </c>
      <c r="L38" s="61">
        <v>1.1014713588815135</v>
      </c>
      <c r="M38" s="62">
        <v>0</v>
      </c>
      <c r="N38" s="61">
        <v>1.042842908637313</v>
      </c>
      <c r="O38" s="89"/>
      <c r="P38" s="63">
        <f>O38+M38+K38+I38</f>
        <v>0</v>
      </c>
    </row>
    <row r="39" spans="2:17" x14ac:dyDescent="0.25">
      <c r="B39" s="36"/>
      <c r="C39" s="47">
        <f>basic_info!$D$5+3</f>
        <v>2018</v>
      </c>
      <c r="D39" s="76"/>
      <c r="E39" s="75"/>
      <c r="F39" s="75"/>
      <c r="G39" s="75"/>
      <c r="H39" s="75"/>
      <c r="I39" s="75"/>
      <c r="J39" s="69">
        <v>1.0288140534879155</v>
      </c>
      <c r="K39" s="79">
        <v>0</v>
      </c>
      <c r="L39" s="61">
        <v>1.0108999284690923</v>
      </c>
      <c r="M39" s="62">
        <v>0</v>
      </c>
      <c r="N39" s="61">
        <v>1.0032828986441651</v>
      </c>
      <c r="O39" s="89"/>
      <c r="P39" s="63">
        <f>O39+M39+K39</f>
        <v>0</v>
      </c>
    </row>
    <row r="40" spans="2:17" x14ac:dyDescent="0.25">
      <c r="B40" s="36"/>
      <c r="C40" s="47">
        <f>basic_info!$D$5+4</f>
        <v>2019</v>
      </c>
      <c r="D40" s="76"/>
      <c r="E40" s="75"/>
      <c r="F40" s="75"/>
      <c r="G40" s="75"/>
      <c r="H40" s="75"/>
      <c r="I40" s="75"/>
      <c r="J40" s="75"/>
      <c r="K40" s="75"/>
      <c r="L40" s="69">
        <v>0.98955166281759732</v>
      </c>
      <c r="M40" s="79">
        <v>0</v>
      </c>
      <c r="N40" s="61">
        <v>0.95103433990902408</v>
      </c>
      <c r="O40" s="89"/>
      <c r="P40" s="63">
        <f>O40+M40</f>
        <v>0</v>
      </c>
    </row>
    <row r="41" spans="2:17" x14ac:dyDescent="0.25">
      <c r="B41" s="37"/>
      <c r="C41" s="72">
        <f>basic_info!$D$5+5</f>
        <v>2020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0.9180320969671012</v>
      </c>
      <c r="O41" s="89"/>
      <c r="P41" s="64">
        <f>O41</f>
        <v>0</v>
      </c>
    </row>
    <row r="42" spans="2:17" x14ac:dyDescent="0.25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25">
      <c r="B44" s="30" t="s">
        <v>153</v>
      </c>
    </row>
    <row r="45" spans="2:17" x14ac:dyDescent="0.25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25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25">
      <c r="B47" s="41" t="s">
        <v>112</v>
      </c>
      <c r="C47" s="91">
        <v>100</v>
      </c>
      <c r="D47" s="91">
        <v>0</v>
      </c>
      <c r="E47" s="91">
        <v>0</v>
      </c>
      <c r="F47" s="91">
        <v>0</v>
      </c>
      <c r="G47" s="91">
        <v>0</v>
      </c>
      <c r="H47" s="91">
        <v>0</v>
      </c>
      <c r="I47" s="91">
        <v>0</v>
      </c>
      <c r="J47" s="91">
        <v>0</v>
      </c>
      <c r="K47" s="91">
        <v>0</v>
      </c>
      <c r="L47" s="91">
        <v>0</v>
      </c>
      <c r="M47" s="91">
        <v>0</v>
      </c>
      <c r="N47" s="91">
        <v>0</v>
      </c>
      <c r="O47" s="33">
        <f>SUM(C47:N47)</f>
        <v>100</v>
      </c>
    </row>
    <row r="48" spans="2:17" x14ac:dyDescent="0.25">
      <c r="B48" s="37" t="s">
        <v>113</v>
      </c>
      <c r="C48" s="91">
        <v>100</v>
      </c>
      <c r="D48" s="91">
        <v>0</v>
      </c>
      <c r="E48" s="91">
        <v>0</v>
      </c>
      <c r="F48" s="91">
        <v>0</v>
      </c>
      <c r="G48" s="91">
        <v>0</v>
      </c>
      <c r="H48" s="91">
        <v>0</v>
      </c>
      <c r="I48" s="91">
        <v>0</v>
      </c>
      <c r="J48" s="91">
        <v>0</v>
      </c>
      <c r="K48" s="91">
        <v>0</v>
      </c>
      <c r="L48" s="91">
        <v>0</v>
      </c>
      <c r="M48" s="91">
        <v>0</v>
      </c>
      <c r="N48" s="91">
        <v>0</v>
      </c>
      <c r="O48" s="33">
        <f>SUM(C48:N48)</f>
        <v>100</v>
      </c>
    </row>
    <row r="49" spans="2:15" x14ac:dyDescent="0.2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6 C8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X63"/>
  <sheetViews>
    <sheetView showGridLines="0" workbookViewId="0">
      <selection activeCell="B34" sqref="B34"/>
    </sheetView>
  </sheetViews>
  <sheetFormatPr defaultColWidth="9.109375" defaultRowHeight="13.2" x14ac:dyDescent="0.25"/>
  <cols>
    <col min="1" max="1" width="4.6640625" style="29" customWidth="1"/>
    <col min="2" max="2" width="17.33203125" style="29" customWidth="1"/>
    <col min="3" max="16384" width="9.109375" style="29"/>
  </cols>
  <sheetData>
    <row r="2" spans="2:17" x14ac:dyDescent="0.25">
      <c r="B2" s="28" t="s">
        <v>114</v>
      </c>
    </row>
    <row r="3" spans="2:17" x14ac:dyDescent="0.25">
      <c r="B3" s="30" t="s">
        <v>144</v>
      </c>
    </row>
    <row r="4" spans="2:17" x14ac:dyDescent="0.25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 x14ac:dyDescent="0.25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 x14ac:dyDescent="0.25">
      <c r="B6" s="45" t="s">
        <v>163</v>
      </c>
      <c r="C6" s="92">
        <v>7.7807849999999998</v>
      </c>
      <c r="D6" s="92">
        <v>11.2765</v>
      </c>
      <c r="E6" s="92">
        <v>80.942714999999993</v>
      </c>
      <c r="F6" s="92">
        <v>0</v>
      </c>
      <c r="G6" s="92">
        <v>0</v>
      </c>
      <c r="H6" s="95">
        <f>SUM($C$6:$G$6)</f>
        <v>100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 x14ac:dyDescent="0.25">
      <c r="B7" s="45" t="s">
        <v>105</v>
      </c>
      <c r="C7" s="92">
        <v>7.7807849999999998</v>
      </c>
      <c r="D7" s="92">
        <v>11.2765</v>
      </c>
      <c r="E7" s="92">
        <v>80.942714999999993</v>
      </c>
      <c r="F7" s="92">
        <v>0</v>
      </c>
      <c r="G7" s="92">
        <v>0</v>
      </c>
      <c r="H7" s="95">
        <f>SUM($C$7:$G$7)</f>
        <v>100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 x14ac:dyDescent="0.25">
      <c r="B8" s="45" t="s">
        <v>106</v>
      </c>
      <c r="C8" s="92">
        <v>7.7807849999999998</v>
      </c>
      <c r="D8" s="92">
        <v>11.2765</v>
      </c>
      <c r="E8" s="92">
        <v>80.942714999999993</v>
      </c>
      <c r="F8" s="92">
        <v>0</v>
      </c>
      <c r="G8" s="92">
        <v>0</v>
      </c>
      <c r="H8" s="95">
        <f>SUM($C$8:$G$8)</f>
        <v>100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 x14ac:dyDescent="0.25">
      <c r="B9" s="45" t="s">
        <v>107</v>
      </c>
      <c r="C9" s="92">
        <v>7.7807849999999998</v>
      </c>
      <c r="D9" s="92">
        <v>11.2765</v>
      </c>
      <c r="E9" s="92">
        <v>80.942714999999993</v>
      </c>
      <c r="F9" s="92">
        <v>0</v>
      </c>
      <c r="G9" s="92">
        <v>0</v>
      </c>
      <c r="H9" s="95">
        <f>SUM($C$9:$G$9)</f>
        <v>100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 x14ac:dyDescent="0.25">
      <c r="B10" s="45" t="s">
        <v>108</v>
      </c>
      <c r="C10" s="92">
        <v>7.7807849999999998</v>
      </c>
      <c r="D10" s="92">
        <v>11.2765</v>
      </c>
      <c r="E10" s="92">
        <v>80.942714999999993</v>
      </c>
      <c r="F10" s="92">
        <v>0</v>
      </c>
      <c r="G10" s="92">
        <v>0</v>
      </c>
      <c r="H10" s="95">
        <f>SUM($C$10:$G$10)</f>
        <v>100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 x14ac:dyDescent="0.25">
      <c r="B11" s="45" t="s">
        <v>109</v>
      </c>
      <c r="C11" s="92">
        <v>7.7807849999999998</v>
      </c>
      <c r="D11" s="92">
        <v>11.2765</v>
      </c>
      <c r="E11" s="92">
        <v>80.942714999999993</v>
      </c>
      <c r="F11" s="93">
        <v>0</v>
      </c>
      <c r="G11" s="93">
        <v>0</v>
      </c>
      <c r="H11" s="94">
        <f>SUM($C$11:$G$11)</f>
        <v>100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 x14ac:dyDescent="0.25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 x14ac:dyDescent="0.25">
      <c r="C13" s="49"/>
      <c r="D13" s="49"/>
      <c r="E13" s="49"/>
      <c r="F13" s="49"/>
      <c r="G13" s="49"/>
      <c r="H13" s="49"/>
      <c r="I13" s="50"/>
      <c r="J13" s="50"/>
      <c r="K13" s="50"/>
    </row>
    <row r="14" spans="2:17" x14ac:dyDescent="0.25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 x14ac:dyDescent="0.25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 x14ac:dyDescent="0.25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 x14ac:dyDescent="0.25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 x14ac:dyDescent="0.25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 x14ac:dyDescent="0.25">
      <c r="B19" s="45" t="s">
        <v>120</v>
      </c>
      <c r="C19" s="93">
        <v>45</v>
      </c>
      <c r="D19" s="44">
        <f>100-$C$19</f>
        <v>55</v>
      </c>
      <c r="E19" s="93">
        <v>45</v>
      </c>
      <c r="F19" s="44">
        <f>100-$E$19</f>
        <v>55</v>
      </c>
      <c r="G19" s="93">
        <v>45</v>
      </c>
      <c r="H19" s="33">
        <f>100-$G$19</f>
        <v>55</v>
      </c>
      <c r="O19" s="50"/>
      <c r="P19" s="50"/>
      <c r="Q19" s="50"/>
    </row>
    <row r="20" spans="2:18" x14ac:dyDescent="0.25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 x14ac:dyDescent="0.25">
      <c r="I21" s="50"/>
      <c r="J21" s="50"/>
      <c r="K21" s="50"/>
    </row>
    <row r="22" spans="2:18" x14ac:dyDescent="0.25">
      <c r="B22" s="52" t="s">
        <v>114</v>
      </c>
      <c r="I22" s="50"/>
      <c r="J22" s="50"/>
      <c r="K22" s="50"/>
    </row>
    <row r="23" spans="2:18" x14ac:dyDescent="0.25">
      <c r="B23" s="55" t="s">
        <v>145</v>
      </c>
      <c r="I23" s="50"/>
      <c r="J23" s="50"/>
      <c r="K23" s="50"/>
    </row>
    <row r="24" spans="2:18" x14ac:dyDescent="0.25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 x14ac:dyDescent="0.25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 x14ac:dyDescent="0.25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 x14ac:dyDescent="0.25">
      <c r="B27" s="45" t="s">
        <v>22</v>
      </c>
      <c r="C27" s="92">
        <v>100</v>
      </c>
      <c r="D27" s="92">
        <v>37.5</v>
      </c>
      <c r="E27" s="92">
        <v>30</v>
      </c>
      <c r="F27" s="92">
        <v>37.5</v>
      </c>
      <c r="G27" s="92">
        <v>30</v>
      </c>
      <c r="H27" s="92">
        <v>37.5</v>
      </c>
      <c r="I27" s="92">
        <v>30</v>
      </c>
      <c r="P27" s="50"/>
      <c r="Q27" s="50"/>
      <c r="R27" s="50"/>
    </row>
    <row r="28" spans="2:18" x14ac:dyDescent="0.25">
      <c r="B28" s="45" t="s">
        <v>59</v>
      </c>
      <c r="C28" s="92">
        <v>0</v>
      </c>
      <c r="D28" s="92">
        <v>62.5</v>
      </c>
      <c r="E28" s="92">
        <v>70</v>
      </c>
      <c r="F28" s="92">
        <v>62.5</v>
      </c>
      <c r="G28" s="92">
        <v>70</v>
      </c>
      <c r="H28" s="92">
        <v>62.5</v>
      </c>
      <c r="I28" s="92">
        <v>70</v>
      </c>
      <c r="P28" s="50"/>
      <c r="Q28" s="50"/>
      <c r="R28" s="50"/>
    </row>
    <row r="29" spans="2:18" x14ac:dyDescent="0.25">
      <c r="B29" s="45" t="s">
        <v>150</v>
      </c>
      <c r="C29" s="96">
        <f>SUM($C$27:$C$28)</f>
        <v>100</v>
      </c>
      <c r="D29" s="96">
        <f>SUM($D$27:$D$28)</f>
        <v>100</v>
      </c>
      <c r="E29" s="96">
        <f>SUM($E$27:$E$28)</f>
        <v>100</v>
      </c>
      <c r="F29" s="96">
        <f>SUM($F$27:$F$28)</f>
        <v>100</v>
      </c>
      <c r="G29" s="96">
        <f>SUM($G$27:$G$28)</f>
        <v>100</v>
      </c>
      <c r="H29" s="96">
        <f>SUM($H$27:$H$28)</f>
        <v>100</v>
      </c>
      <c r="I29" s="94">
        <f>SUM($I$27:$I$28)</f>
        <v>100</v>
      </c>
      <c r="P29" s="50"/>
      <c r="Q29" s="50"/>
      <c r="R29" s="50"/>
    </row>
    <row r="30" spans="2:18" x14ac:dyDescent="0.25">
      <c r="B30" s="54"/>
      <c r="C30" s="54"/>
      <c r="D30" s="54"/>
      <c r="E30" s="54"/>
      <c r="F30" s="54"/>
      <c r="G30" s="54"/>
      <c r="H30" s="54"/>
      <c r="I30" s="54"/>
      <c r="P30" s="50"/>
      <c r="Q30" s="50"/>
      <c r="R30" s="50"/>
    </row>
    <row r="31" spans="2:18" x14ac:dyDescent="0.25">
      <c r="I31" s="50"/>
      <c r="J31" s="50"/>
      <c r="K31" s="50"/>
    </row>
    <row r="32" spans="2:18" x14ac:dyDescent="0.25">
      <c r="B32" s="52" t="s">
        <v>124</v>
      </c>
      <c r="C32" s="50"/>
      <c r="D32" s="50"/>
      <c r="E32" s="50"/>
      <c r="F32" s="50"/>
      <c r="G32" s="50"/>
      <c r="H32" s="50"/>
      <c r="I32" s="50"/>
      <c r="J32" s="50"/>
      <c r="K32" s="50"/>
    </row>
    <row r="33" spans="2:14" x14ac:dyDescent="0.25">
      <c r="B33" s="53" t="s">
        <v>143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 x14ac:dyDescent="0.25"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</row>
    <row r="35" spans="2:14" x14ac:dyDescent="0.25">
      <c r="B35" s="45" t="s">
        <v>147</v>
      </c>
      <c r="C35" s="45" t="s">
        <v>92</v>
      </c>
      <c r="D35" s="45" t="s">
        <v>93</v>
      </c>
      <c r="E35" s="45" t="s">
        <v>94</v>
      </c>
      <c r="F35" s="45" t="s">
        <v>95</v>
      </c>
      <c r="G35" s="45" t="s">
        <v>96</v>
      </c>
      <c r="H35" s="45" t="s">
        <v>97</v>
      </c>
      <c r="I35" s="45" t="s">
        <v>98</v>
      </c>
      <c r="J35" s="45" t="s">
        <v>99</v>
      </c>
      <c r="K35" s="45" t="s">
        <v>100</v>
      </c>
      <c r="L35" s="45" t="s">
        <v>101</v>
      </c>
      <c r="M35" s="45" t="s">
        <v>102</v>
      </c>
      <c r="N35" s="45" t="s">
        <v>103</v>
      </c>
    </row>
    <row r="36" spans="2:14" x14ac:dyDescent="0.25">
      <c r="B36" s="45" t="s">
        <v>22</v>
      </c>
      <c r="C36" s="92">
        <v>35</v>
      </c>
      <c r="D36" s="92">
        <v>35</v>
      </c>
      <c r="E36" s="92">
        <v>35</v>
      </c>
      <c r="F36" s="92">
        <v>35</v>
      </c>
      <c r="G36" s="92">
        <v>35</v>
      </c>
      <c r="H36" s="92">
        <v>35</v>
      </c>
      <c r="I36" s="92">
        <v>35</v>
      </c>
      <c r="J36" s="92">
        <v>35</v>
      </c>
      <c r="K36" s="92">
        <v>35</v>
      </c>
      <c r="L36" s="92">
        <v>35</v>
      </c>
      <c r="M36" s="92">
        <v>35</v>
      </c>
      <c r="N36" s="92">
        <v>35</v>
      </c>
    </row>
    <row r="37" spans="2:14" x14ac:dyDescent="0.25">
      <c r="B37" s="45" t="s">
        <v>59</v>
      </c>
      <c r="C37" s="92">
        <v>35</v>
      </c>
      <c r="D37" s="92">
        <v>35</v>
      </c>
      <c r="E37" s="92">
        <v>35</v>
      </c>
      <c r="F37" s="92">
        <v>35</v>
      </c>
      <c r="G37" s="92">
        <v>35</v>
      </c>
      <c r="H37" s="92">
        <v>35</v>
      </c>
      <c r="I37" s="92">
        <v>35</v>
      </c>
      <c r="J37" s="92">
        <v>35</v>
      </c>
      <c r="K37" s="92">
        <v>35</v>
      </c>
      <c r="L37" s="92">
        <v>35</v>
      </c>
      <c r="M37" s="92">
        <v>35</v>
      </c>
      <c r="N37" s="92">
        <v>35</v>
      </c>
    </row>
    <row r="38" spans="2:14" x14ac:dyDescent="0.25"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</row>
    <row r="39" spans="2:14" x14ac:dyDescent="0.25">
      <c r="I39" s="50"/>
      <c r="J39" s="50"/>
      <c r="K39" s="50"/>
    </row>
    <row r="40" spans="2:14" x14ac:dyDescent="0.25"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</row>
    <row r="41" spans="2:14" x14ac:dyDescent="0.25"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</row>
    <row r="42" spans="2:14" x14ac:dyDescent="0.25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 x14ac:dyDescent="0.25">
      <c r="B43" s="56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 x14ac:dyDescent="0.25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25"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25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25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9" spans="9:24" x14ac:dyDescent="0.25">
      <c r="P49" s="50"/>
      <c r="Q49" s="50"/>
      <c r="R49" s="50"/>
      <c r="S49" s="50"/>
      <c r="T49" s="50"/>
      <c r="U49" s="50"/>
      <c r="V49" s="50"/>
      <c r="W49" s="50"/>
      <c r="X49" s="50"/>
    </row>
    <row r="61" spans="9:24" x14ac:dyDescent="0.25">
      <c r="I61" s="50"/>
      <c r="J61" s="50"/>
    </row>
    <row r="62" spans="9:24" x14ac:dyDescent="0.25">
      <c r="I62" s="50"/>
      <c r="J62" s="50"/>
    </row>
    <row r="63" spans="9:24" x14ac:dyDescent="0.25">
      <c r="I63" s="50"/>
      <c r="J63" s="50"/>
    </row>
  </sheetData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G19 C27:I28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6:N37">
      <formula1>0</formula1>
      <formula2>100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O41"/>
  <sheetViews>
    <sheetView showGridLines="0" workbookViewId="0">
      <selection activeCell="I36" sqref="I36"/>
    </sheetView>
  </sheetViews>
  <sheetFormatPr defaultColWidth="9.109375" defaultRowHeight="13.2" x14ac:dyDescent="0.25"/>
  <cols>
    <col min="1" max="2" width="4.6640625" style="29" customWidth="1"/>
    <col min="3" max="3" width="12.6640625" style="29" customWidth="1"/>
    <col min="4" max="15" width="8.6640625" style="29" customWidth="1"/>
    <col min="16" max="16384" width="9.109375" style="29"/>
  </cols>
  <sheetData>
    <row r="2" spans="2:15" x14ac:dyDescent="0.25">
      <c r="C2" s="28" t="s">
        <v>158</v>
      </c>
    </row>
    <row r="3" spans="2:15" x14ac:dyDescent="0.25">
      <c r="C3" s="30" t="s">
        <v>138</v>
      </c>
    </row>
    <row r="4" spans="2:15" x14ac:dyDescent="0.2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2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25">
      <c r="C6" s="41" t="s">
        <v>126</v>
      </c>
      <c r="D6" s="89">
        <v>4</v>
      </c>
      <c r="E6" s="89">
        <v>3.7272727272727275</v>
      </c>
      <c r="F6" s="89">
        <v>3.454545454545455</v>
      </c>
      <c r="G6" s="89">
        <v>3.1818181818181825</v>
      </c>
      <c r="H6" s="89">
        <v>2.9090909090909101</v>
      </c>
      <c r="I6" s="89">
        <v>2.6363636363636376</v>
      </c>
      <c r="J6" s="89">
        <v>2.3636363636363651</v>
      </c>
      <c r="K6" s="89">
        <v>2.0909090909090926</v>
      </c>
      <c r="L6" s="89">
        <v>1.8181818181818199</v>
      </c>
      <c r="M6" s="89">
        <v>1.5454545454545472</v>
      </c>
      <c r="N6" s="89">
        <v>1.2727272727272745</v>
      </c>
      <c r="O6" s="89">
        <v>1.0000000000000018</v>
      </c>
    </row>
    <row r="7" spans="2:15" x14ac:dyDescent="0.25">
      <c r="C7" s="36" t="s">
        <v>127</v>
      </c>
      <c r="D7" s="89">
        <v>4</v>
      </c>
      <c r="E7" s="89">
        <v>3.7272727272727275</v>
      </c>
      <c r="F7" s="89">
        <v>3.454545454545455</v>
      </c>
      <c r="G7" s="89">
        <v>3.1818181818181825</v>
      </c>
      <c r="H7" s="89">
        <v>2.9090909090909101</v>
      </c>
      <c r="I7" s="89">
        <v>2.6363636363636376</v>
      </c>
      <c r="J7" s="89">
        <v>2.3636363636363651</v>
      </c>
      <c r="K7" s="89">
        <v>2.0909090909090926</v>
      </c>
      <c r="L7" s="89">
        <v>1.8181818181818199</v>
      </c>
      <c r="M7" s="89">
        <v>1.5454545454545472</v>
      </c>
      <c r="N7" s="89">
        <v>1.2727272727272745</v>
      </c>
      <c r="O7" s="89">
        <v>1.0000000000000018</v>
      </c>
    </row>
    <row r="8" spans="2:15" x14ac:dyDescent="0.25">
      <c r="C8" s="36" t="s">
        <v>128</v>
      </c>
      <c r="D8" s="89">
        <v>4</v>
      </c>
      <c r="E8" s="89">
        <v>3.7272727272727275</v>
      </c>
      <c r="F8" s="89">
        <v>3.454545454545455</v>
      </c>
      <c r="G8" s="89">
        <v>3.1818181818181825</v>
      </c>
      <c r="H8" s="89">
        <v>2.9090909090909101</v>
      </c>
      <c r="I8" s="89">
        <v>2.6363636363636376</v>
      </c>
      <c r="J8" s="89">
        <v>2.3636363636363651</v>
      </c>
      <c r="K8" s="89">
        <v>2.0909090909090926</v>
      </c>
      <c r="L8" s="89">
        <v>1.8181818181818199</v>
      </c>
      <c r="M8" s="89">
        <v>1.5454545454545472</v>
      </c>
      <c r="N8" s="89">
        <v>1.2727272727272745</v>
      </c>
      <c r="O8" s="89">
        <v>1.0000000000000018</v>
      </c>
    </row>
    <row r="9" spans="2:15" x14ac:dyDescent="0.25">
      <c r="C9" s="36" t="s">
        <v>129</v>
      </c>
      <c r="D9" s="89">
        <v>4</v>
      </c>
      <c r="E9" s="89">
        <v>3.7272727272727275</v>
      </c>
      <c r="F9" s="89">
        <v>3.454545454545455</v>
      </c>
      <c r="G9" s="89">
        <v>3.1818181818181825</v>
      </c>
      <c r="H9" s="89">
        <v>2.9090909090909101</v>
      </c>
      <c r="I9" s="89">
        <v>2.6363636363636376</v>
      </c>
      <c r="J9" s="89">
        <v>2.3636363636363651</v>
      </c>
      <c r="K9" s="89">
        <v>2.0909090909090926</v>
      </c>
      <c r="L9" s="89">
        <v>1.8181818181818199</v>
      </c>
      <c r="M9" s="89">
        <v>1.5454545454545472</v>
      </c>
      <c r="N9" s="89">
        <v>1.2727272727272745</v>
      </c>
      <c r="O9" s="89">
        <v>1.0000000000000018</v>
      </c>
    </row>
    <row r="10" spans="2:15" x14ac:dyDescent="0.25">
      <c r="C10" s="36" t="s">
        <v>130</v>
      </c>
      <c r="D10" s="89">
        <v>4</v>
      </c>
      <c r="E10" s="89">
        <v>3.7272727272727275</v>
      </c>
      <c r="F10" s="89">
        <v>3.454545454545455</v>
      </c>
      <c r="G10" s="89">
        <v>3.1818181818181825</v>
      </c>
      <c r="H10" s="89">
        <v>2.9090909090909101</v>
      </c>
      <c r="I10" s="89">
        <v>2.6363636363636376</v>
      </c>
      <c r="J10" s="89">
        <v>2.3636363636363651</v>
      </c>
      <c r="K10" s="89">
        <v>2.0909090909090926</v>
      </c>
      <c r="L10" s="89">
        <v>1.8181818181818199</v>
      </c>
      <c r="M10" s="89">
        <v>1.5454545454545472</v>
      </c>
      <c r="N10" s="89">
        <v>1.2727272727272745</v>
      </c>
      <c r="O10" s="89">
        <v>1.0000000000000018</v>
      </c>
    </row>
    <row r="11" spans="2:15" x14ac:dyDescent="0.25">
      <c r="C11" s="36" t="s">
        <v>131</v>
      </c>
      <c r="D11" s="89">
        <v>4</v>
      </c>
      <c r="E11" s="89">
        <v>3.7272727272727275</v>
      </c>
      <c r="F11" s="89">
        <v>3.454545454545455</v>
      </c>
      <c r="G11" s="89">
        <v>3.1818181818181825</v>
      </c>
      <c r="H11" s="89">
        <v>2.9090909090909101</v>
      </c>
      <c r="I11" s="89">
        <v>2.6363636363636376</v>
      </c>
      <c r="J11" s="89">
        <v>2.3636363636363651</v>
      </c>
      <c r="K11" s="89">
        <v>2.0909090909090926</v>
      </c>
      <c r="L11" s="89">
        <v>1.8181818181818199</v>
      </c>
      <c r="M11" s="89">
        <v>1.5454545454545472</v>
      </c>
      <c r="N11" s="89">
        <v>1.2727272727272745</v>
      </c>
      <c r="O11" s="89">
        <v>1.0000000000000018</v>
      </c>
    </row>
    <row r="12" spans="2:15" x14ac:dyDescent="0.25">
      <c r="C12" s="37" t="s">
        <v>132</v>
      </c>
      <c r="D12" s="89">
        <v>4</v>
      </c>
      <c r="E12" s="89">
        <v>3.7272727272727275</v>
      </c>
      <c r="F12" s="89">
        <v>3.454545454545455</v>
      </c>
      <c r="G12" s="89">
        <v>3.1818181818181825</v>
      </c>
      <c r="H12" s="89">
        <v>2.9090909090909101</v>
      </c>
      <c r="I12" s="89">
        <v>2.6363636363636376</v>
      </c>
      <c r="J12" s="89">
        <v>2.3636363636363651</v>
      </c>
      <c r="K12" s="89">
        <v>2.0909090909090926</v>
      </c>
      <c r="L12" s="89">
        <v>1.8181818181818199</v>
      </c>
      <c r="M12" s="89">
        <v>1.5454545454545472</v>
      </c>
      <c r="N12" s="89">
        <v>1.2727272727272745</v>
      </c>
      <c r="O12" s="89">
        <v>1.0000000000000018</v>
      </c>
    </row>
    <row r="13" spans="2:15" x14ac:dyDescent="0.2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2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25">
      <c r="C15" s="41" t="s">
        <v>126</v>
      </c>
      <c r="D15" s="89">
        <v>4</v>
      </c>
      <c r="E15" s="89">
        <v>3.7272727272727275</v>
      </c>
      <c r="F15" s="89">
        <v>3.454545454545455</v>
      </c>
      <c r="G15" s="89">
        <v>3.1818181818181825</v>
      </c>
      <c r="H15" s="89">
        <v>2.9090909090909101</v>
      </c>
      <c r="I15" s="89">
        <v>2.6363636363636376</v>
      </c>
      <c r="J15" s="89">
        <v>2.3636363636363651</v>
      </c>
      <c r="K15" s="89">
        <v>2.0909090909090926</v>
      </c>
      <c r="L15" s="89">
        <v>1.8181818181818199</v>
      </c>
      <c r="M15" s="89">
        <v>1.5454545454545472</v>
      </c>
      <c r="N15" s="89">
        <v>1.2727272727272745</v>
      </c>
      <c r="O15" s="89">
        <v>1.0000000000000018</v>
      </c>
    </row>
    <row r="16" spans="2:15" x14ac:dyDescent="0.25">
      <c r="C16" s="36" t="s">
        <v>127</v>
      </c>
      <c r="D16" s="89">
        <v>4</v>
      </c>
      <c r="E16" s="89">
        <v>3.7272727272727275</v>
      </c>
      <c r="F16" s="89">
        <v>3.454545454545455</v>
      </c>
      <c r="G16" s="89">
        <v>3.1818181818181825</v>
      </c>
      <c r="H16" s="89">
        <v>2.9090909090909101</v>
      </c>
      <c r="I16" s="89">
        <v>2.6363636363636376</v>
      </c>
      <c r="J16" s="89">
        <v>2.3636363636363651</v>
      </c>
      <c r="K16" s="89">
        <v>2.0909090909090926</v>
      </c>
      <c r="L16" s="89">
        <v>1.8181818181818199</v>
      </c>
      <c r="M16" s="89">
        <v>1.5454545454545472</v>
      </c>
      <c r="N16" s="89">
        <v>1.2727272727272745</v>
      </c>
      <c r="O16" s="89">
        <v>1.0000000000000018</v>
      </c>
    </row>
    <row r="17" spans="2:15" x14ac:dyDescent="0.25">
      <c r="C17" s="36" t="s">
        <v>128</v>
      </c>
      <c r="D17" s="89">
        <v>4</v>
      </c>
      <c r="E17" s="89">
        <v>3.7272727272727275</v>
      </c>
      <c r="F17" s="89">
        <v>3.454545454545455</v>
      </c>
      <c r="G17" s="89">
        <v>3.1818181818181825</v>
      </c>
      <c r="H17" s="89">
        <v>2.9090909090909101</v>
      </c>
      <c r="I17" s="89">
        <v>2.6363636363636376</v>
      </c>
      <c r="J17" s="89">
        <v>2.3636363636363651</v>
      </c>
      <c r="K17" s="89">
        <v>2.0909090909090926</v>
      </c>
      <c r="L17" s="89">
        <v>1.8181818181818199</v>
      </c>
      <c r="M17" s="89">
        <v>1.5454545454545472</v>
      </c>
      <c r="N17" s="89">
        <v>1.2727272727272745</v>
      </c>
      <c r="O17" s="89">
        <v>1.0000000000000018</v>
      </c>
    </row>
    <row r="18" spans="2:15" x14ac:dyDescent="0.25">
      <c r="C18" s="36" t="s">
        <v>129</v>
      </c>
      <c r="D18" s="89">
        <v>4</v>
      </c>
      <c r="E18" s="89">
        <v>3.7272727272727275</v>
      </c>
      <c r="F18" s="89">
        <v>3.454545454545455</v>
      </c>
      <c r="G18" s="89">
        <v>3.1818181818181825</v>
      </c>
      <c r="H18" s="89">
        <v>2.9090909090909101</v>
      </c>
      <c r="I18" s="89">
        <v>2.6363636363636376</v>
      </c>
      <c r="J18" s="89">
        <v>2.3636363636363651</v>
      </c>
      <c r="K18" s="89">
        <v>2.0909090909090926</v>
      </c>
      <c r="L18" s="89">
        <v>1.8181818181818199</v>
      </c>
      <c r="M18" s="89">
        <v>1.5454545454545472</v>
      </c>
      <c r="N18" s="89">
        <v>1.2727272727272745</v>
      </c>
      <c r="O18" s="89">
        <v>1.0000000000000018</v>
      </c>
    </row>
    <row r="19" spans="2:15" x14ac:dyDescent="0.25">
      <c r="C19" s="36" t="s">
        <v>130</v>
      </c>
      <c r="D19" s="89">
        <v>4</v>
      </c>
      <c r="E19" s="89">
        <v>3.7272727272727275</v>
      </c>
      <c r="F19" s="89">
        <v>3.454545454545455</v>
      </c>
      <c r="G19" s="89">
        <v>3.1818181818181825</v>
      </c>
      <c r="H19" s="89">
        <v>2.9090909090909101</v>
      </c>
      <c r="I19" s="89">
        <v>2.6363636363636376</v>
      </c>
      <c r="J19" s="89">
        <v>2.3636363636363651</v>
      </c>
      <c r="K19" s="89">
        <v>2.0909090909090926</v>
      </c>
      <c r="L19" s="89">
        <v>1.8181818181818199</v>
      </c>
      <c r="M19" s="89">
        <v>1.5454545454545472</v>
      </c>
      <c r="N19" s="89">
        <v>1.2727272727272745</v>
      </c>
      <c r="O19" s="89">
        <v>1.0000000000000018</v>
      </c>
    </row>
    <row r="20" spans="2:15" x14ac:dyDescent="0.25">
      <c r="C20" s="36" t="s">
        <v>131</v>
      </c>
      <c r="D20" s="89">
        <v>4</v>
      </c>
      <c r="E20" s="89">
        <v>3.7272727272727275</v>
      </c>
      <c r="F20" s="89">
        <v>3.454545454545455</v>
      </c>
      <c r="G20" s="89">
        <v>3.1818181818181825</v>
      </c>
      <c r="H20" s="89">
        <v>2.9090909090909101</v>
      </c>
      <c r="I20" s="89">
        <v>2.6363636363636376</v>
      </c>
      <c r="J20" s="89">
        <v>2.3636363636363651</v>
      </c>
      <c r="K20" s="89">
        <v>2.0909090909090926</v>
      </c>
      <c r="L20" s="89">
        <v>1.8181818181818199</v>
      </c>
      <c r="M20" s="89">
        <v>1.5454545454545472</v>
      </c>
      <c r="N20" s="89">
        <v>1.2727272727272745</v>
      </c>
      <c r="O20" s="89">
        <v>1.0000000000000018</v>
      </c>
    </row>
    <row r="21" spans="2:15" x14ac:dyDescent="0.25">
      <c r="C21" s="37" t="s">
        <v>132</v>
      </c>
      <c r="D21" s="89">
        <v>4</v>
      </c>
      <c r="E21" s="89">
        <v>3.7272727272727275</v>
      </c>
      <c r="F21" s="89">
        <v>3.454545454545455</v>
      </c>
      <c r="G21" s="89">
        <v>3.1818181818181825</v>
      </c>
      <c r="H21" s="89">
        <v>2.9090909090909101</v>
      </c>
      <c r="I21" s="89">
        <v>2.6363636363636376</v>
      </c>
      <c r="J21" s="89">
        <v>2.3636363636363651</v>
      </c>
      <c r="K21" s="89">
        <v>2.0909090909090926</v>
      </c>
      <c r="L21" s="89">
        <v>1.8181818181818199</v>
      </c>
      <c r="M21" s="89">
        <v>1.5454545454545472</v>
      </c>
      <c r="N21" s="89">
        <v>1.2727272727272745</v>
      </c>
      <c r="O21" s="89">
        <v>1.0000000000000018</v>
      </c>
    </row>
    <row r="22" spans="2:15" x14ac:dyDescent="0.2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2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25">
      <c r="C24" s="41" t="s">
        <v>126</v>
      </c>
      <c r="D24" s="89">
        <v>4</v>
      </c>
      <c r="E24" s="89">
        <v>3.7272727272727275</v>
      </c>
      <c r="F24" s="89">
        <v>3.454545454545455</v>
      </c>
      <c r="G24" s="89">
        <v>3.1818181818181825</v>
      </c>
      <c r="H24" s="89">
        <v>2.9090909090909101</v>
      </c>
      <c r="I24" s="89">
        <v>2.6363636363636376</v>
      </c>
      <c r="J24" s="89">
        <v>2.3636363636363651</v>
      </c>
      <c r="K24" s="89">
        <v>2.0909090909090926</v>
      </c>
      <c r="L24" s="89">
        <v>1.8181818181818199</v>
      </c>
      <c r="M24" s="89">
        <v>1.5454545454545472</v>
      </c>
      <c r="N24" s="89">
        <v>1.2727272727272745</v>
      </c>
      <c r="O24" s="89">
        <v>1.0000000000000018</v>
      </c>
    </row>
    <row r="25" spans="2:15" x14ac:dyDescent="0.25">
      <c r="C25" s="36" t="s">
        <v>127</v>
      </c>
      <c r="D25" s="89">
        <v>4</v>
      </c>
      <c r="E25" s="89">
        <v>3.7272727272727275</v>
      </c>
      <c r="F25" s="89">
        <v>3.454545454545455</v>
      </c>
      <c r="G25" s="89">
        <v>3.1818181818181825</v>
      </c>
      <c r="H25" s="89">
        <v>2.9090909090909101</v>
      </c>
      <c r="I25" s="89">
        <v>2.6363636363636376</v>
      </c>
      <c r="J25" s="89">
        <v>2.3636363636363651</v>
      </c>
      <c r="K25" s="89">
        <v>2.0909090909090926</v>
      </c>
      <c r="L25" s="89">
        <v>1.8181818181818199</v>
      </c>
      <c r="M25" s="89">
        <v>1.5454545454545472</v>
      </c>
      <c r="N25" s="89">
        <v>1.2727272727272745</v>
      </c>
      <c r="O25" s="89">
        <v>1.0000000000000018</v>
      </c>
    </row>
    <row r="26" spans="2:15" x14ac:dyDescent="0.25">
      <c r="C26" s="36" t="s">
        <v>128</v>
      </c>
      <c r="D26" s="89">
        <v>4</v>
      </c>
      <c r="E26" s="89">
        <v>3.7272727272727275</v>
      </c>
      <c r="F26" s="89">
        <v>3.454545454545455</v>
      </c>
      <c r="G26" s="89">
        <v>3.1818181818181825</v>
      </c>
      <c r="H26" s="89">
        <v>2.9090909090909101</v>
      </c>
      <c r="I26" s="89">
        <v>2.6363636363636376</v>
      </c>
      <c r="J26" s="89">
        <v>2.3636363636363651</v>
      </c>
      <c r="K26" s="89">
        <v>2.0909090909090926</v>
      </c>
      <c r="L26" s="89">
        <v>1.8181818181818199</v>
      </c>
      <c r="M26" s="89">
        <v>1.5454545454545472</v>
      </c>
      <c r="N26" s="89">
        <v>1.2727272727272745</v>
      </c>
      <c r="O26" s="89">
        <v>1.0000000000000018</v>
      </c>
    </row>
    <row r="27" spans="2:15" x14ac:dyDescent="0.25">
      <c r="C27" s="36" t="s">
        <v>129</v>
      </c>
      <c r="D27" s="89">
        <v>4</v>
      </c>
      <c r="E27" s="89">
        <v>3.7272727272727275</v>
      </c>
      <c r="F27" s="89">
        <v>3.454545454545455</v>
      </c>
      <c r="G27" s="89">
        <v>3.1818181818181825</v>
      </c>
      <c r="H27" s="89">
        <v>2.9090909090909101</v>
      </c>
      <c r="I27" s="89">
        <v>2.6363636363636376</v>
      </c>
      <c r="J27" s="89">
        <v>2.3636363636363651</v>
      </c>
      <c r="K27" s="89">
        <v>2.0909090909090926</v>
      </c>
      <c r="L27" s="89">
        <v>1.8181818181818199</v>
      </c>
      <c r="M27" s="89">
        <v>1.5454545454545472</v>
      </c>
      <c r="N27" s="89">
        <v>1.2727272727272745</v>
      </c>
      <c r="O27" s="89">
        <v>1.0000000000000018</v>
      </c>
    </row>
    <row r="28" spans="2:15" x14ac:dyDescent="0.25">
      <c r="C28" s="36" t="s">
        <v>130</v>
      </c>
      <c r="D28" s="89">
        <v>4</v>
      </c>
      <c r="E28" s="89">
        <v>3.7272727272727275</v>
      </c>
      <c r="F28" s="89">
        <v>3.454545454545455</v>
      </c>
      <c r="G28" s="89">
        <v>3.1818181818181825</v>
      </c>
      <c r="H28" s="89">
        <v>2.9090909090909101</v>
      </c>
      <c r="I28" s="89">
        <v>2.6363636363636376</v>
      </c>
      <c r="J28" s="89">
        <v>2.3636363636363651</v>
      </c>
      <c r="K28" s="89">
        <v>2.0909090909090926</v>
      </c>
      <c r="L28" s="89">
        <v>1.8181818181818199</v>
      </c>
      <c r="M28" s="89">
        <v>1.5454545454545472</v>
      </c>
      <c r="N28" s="89">
        <v>1.2727272727272745</v>
      </c>
      <c r="O28" s="89">
        <v>1.0000000000000018</v>
      </c>
    </row>
    <row r="29" spans="2:15" x14ac:dyDescent="0.25">
      <c r="C29" s="36" t="s">
        <v>131</v>
      </c>
      <c r="D29" s="89">
        <v>4</v>
      </c>
      <c r="E29" s="89">
        <v>3.7272727272727275</v>
      </c>
      <c r="F29" s="89">
        <v>3.454545454545455</v>
      </c>
      <c r="G29" s="89">
        <v>3.1818181818181825</v>
      </c>
      <c r="H29" s="89">
        <v>2.9090909090909101</v>
      </c>
      <c r="I29" s="89">
        <v>2.6363636363636376</v>
      </c>
      <c r="J29" s="89">
        <v>2.3636363636363651</v>
      </c>
      <c r="K29" s="89">
        <v>2.0909090909090926</v>
      </c>
      <c r="L29" s="89">
        <v>1.8181818181818199</v>
      </c>
      <c r="M29" s="89">
        <v>1.5454545454545472</v>
      </c>
      <c r="N29" s="89">
        <v>1.2727272727272745</v>
      </c>
      <c r="O29" s="89">
        <v>1.0000000000000018</v>
      </c>
    </row>
    <row r="30" spans="2:15" x14ac:dyDescent="0.25">
      <c r="C30" s="37" t="s">
        <v>132</v>
      </c>
      <c r="D30" s="89">
        <v>4</v>
      </c>
      <c r="E30" s="89">
        <v>3.7272727272727275</v>
      </c>
      <c r="F30" s="89">
        <v>3.454545454545455</v>
      </c>
      <c r="G30" s="89">
        <v>3.1818181818181825</v>
      </c>
      <c r="H30" s="89">
        <v>2.9090909090909101</v>
      </c>
      <c r="I30" s="89">
        <v>2.6363636363636376</v>
      </c>
      <c r="J30" s="89">
        <v>2.3636363636363651</v>
      </c>
      <c r="K30" s="89">
        <v>2.0909090909090926</v>
      </c>
      <c r="L30" s="89">
        <v>1.8181818181818199</v>
      </c>
      <c r="M30" s="89">
        <v>1.5454545454545472</v>
      </c>
      <c r="N30" s="89">
        <v>1.2727272727272745</v>
      </c>
      <c r="O30" s="89">
        <v>1.0000000000000018</v>
      </c>
    </row>
    <row r="31" spans="2:15" x14ac:dyDescent="0.2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2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25">
      <c r="C33" s="41" t="s">
        <v>126</v>
      </c>
      <c r="D33" s="89">
        <v>4</v>
      </c>
      <c r="E33" s="89">
        <v>3.7272727272727275</v>
      </c>
      <c r="F33" s="89">
        <v>3.454545454545455</v>
      </c>
      <c r="G33" s="89">
        <v>3.1818181818181825</v>
      </c>
      <c r="H33" s="89">
        <v>2.9090909090909101</v>
      </c>
      <c r="I33" s="89">
        <v>2.6363636363636376</v>
      </c>
      <c r="J33" s="89">
        <v>2.3636363636363651</v>
      </c>
      <c r="K33" s="89">
        <v>2.0909090909090926</v>
      </c>
      <c r="L33" s="89">
        <v>1.8181818181818199</v>
      </c>
      <c r="M33" s="89">
        <v>1.5454545454545472</v>
      </c>
      <c r="N33" s="89">
        <v>1.2727272727272745</v>
      </c>
      <c r="O33" s="89">
        <v>1.0000000000000018</v>
      </c>
    </row>
    <row r="34" spans="3:15" x14ac:dyDescent="0.25">
      <c r="C34" s="36" t="s">
        <v>127</v>
      </c>
      <c r="D34" s="89">
        <v>4</v>
      </c>
      <c r="E34" s="89">
        <v>3.7272727272727275</v>
      </c>
      <c r="F34" s="89">
        <v>3.454545454545455</v>
      </c>
      <c r="G34" s="89">
        <v>3.1818181818181825</v>
      </c>
      <c r="H34" s="89">
        <v>2.9090909090909101</v>
      </c>
      <c r="I34" s="89">
        <v>2.6363636363636376</v>
      </c>
      <c r="J34" s="89">
        <v>2.3636363636363651</v>
      </c>
      <c r="K34" s="89">
        <v>2.0909090909090926</v>
      </c>
      <c r="L34" s="89">
        <v>1.8181818181818199</v>
      </c>
      <c r="M34" s="89">
        <v>1.5454545454545472</v>
      </c>
      <c r="N34" s="89">
        <v>1.2727272727272745</v>
      </c>
      <c r="O34" s="89">
        <v>1.0000000000000018</v>
      </c>
    </row>
    <row r="35" spans="3:15" x14ac:dyDescent="0.25">
      <c r="C35" s="36" t="s">
        <v>128</v>
      </c>
      <c r="D35" s="89">
        <v>4</v>
      </c>
      <c r="E35" s="89">
        <v>3.7272727272727275</v>
      </c>
      <c r="F35" s="89">
        <v>3.454545454545455</v>
      </c>
      <c r="G35" s="89">
        <v>3.1818181818181825</v>
      </c>
      <c r="H35" s="89">
        <v>2.9090909090909101</v>
      </c>
      <c r="I35" s="89">
        <v>2.6363636363636376</v>
      </c>
      <c r="J35" s="89">
        <v>2.3636363636363651</v>
      </c>
      <c r="K35" s="89">
        <v>2.0909090909090926</v>
      </c>
      <c r="L35" s="89">
        <v>1.8181818181818199</v>
      </c>
      <c r="M35" s="89">
        <v>1.5454545454545472</v>
      </c>
      <c r="N35" s="89">
        <v>1.2727272727272745</v>
      </c>
      <c r="O35" s="89">
        <v>1.0000000000000018</v>
      </c>
    </row>
    <row r="36" spans="3:15" x14ac:dyDescent="0.25">
      <c r="C36" s="36" t="s">
        <v>129</v>
      </c>
      <c r="D36" s="89">
        <v>4</v>
      </c>
      <c r="E36" s="89">
        <v>3.7272727272727275</v>
      </c>
      <c r="F36" s="89">
        <v>3.454545454545455</v>
      </c>
      <c r="G36" s="89">
        <v>3.1818181818181825</v>
      </c>
      <c r="H36" s="89">
        <v>2.9090909090909101</v>
      </c>
      <c r="I36" s="89">
        <v>2.6363636363636376</v>
      </c>
      <c r="J36" s="89">
        <v>2.3636363636363651</v>
      </c>
      <c r="K36" s="89">
        <v>2.0909090909090926</v>
      </c>
      <c r="L36" s="89">
        <v>1.8181818181818199</v>
      </c>
      <c r="M36" s="89">
        <v>1.5454545454545472</v>
      </c>
      <c r="N36" s="89">
        <v>1.2727272727272745</v>
      </c>
      <c r="O36" s="89">
        <v>1.0000000000000018</v>
      </c>
    </row>
    <row r="37" spans="3:15" x14ac:dyDescent="0.25">
      <c r="C37" s="36" t="s">
        <v>130</v>
      </c>
      <c r="D37" s="89">
        <v>4</v>
      </c>
      <c r="E37" s="89">
        <v>3.7272727272727275</v>
      </c>
      <c r="F37" s="89">
        <v>3.454545454545455</v>
      </c>
      <c r="G37" s="89">
        <v>3.1818181818181825</v>
      </c>
      <c r="H37" s="89">
        <v>2.9090909090909101</v>
      </c>
      <c r="I37" s="89">
        <v>2.6363636363636376</v>
      </c>
      <c r="J37" s="89">
        <v>2.3636363636363651</v>
      </c>
      <c r="K37" s="89">
        <v>2.0909090909090926</v>
      </c>
      <c r="L37" s="89">
        <v>1.8181818181818199</v>
      </c>
      <c r="M37" s="89">
        <v>1.5454545454545472</v>
      </c>
      <c r="N37" s="89">
        <v>1.2727272727272745</v>
      </c>
      <c r="O37" s="89">
        <v>1.0000000000000018</v>
      </c>
    </row>
    <row r="38" spans="3:15" x14ac:dyDescent="0.25">
      <c r="C38" s="36" t="s">
        <v>131</v>
      </c>
      <c r="D38" s="89">
        <v>4</v>
      </c>
      <c r="E38" s="89">
        <v>3.7272727272727275</v>
      </c>
      <c r="F38" s="89">
        <v>3.454545454545455</v>
      </c>
      <c r="G38" s="89">
        <v>3.1818181818181825</v>
      </c>
      <c r="H38" s="89">
        <v>2.9090909090909101</v>
      </c>
      <c r="I38" s="89">
        <v>2.6363636363636376</v>
      </c>
      <c r="J38" s="89">
        <v>2.3636363636363651</v>
      </c>
      <c r="K38" s="89">
        <v>2.0909090909090926</v>
      </c>
      <c r="L38" s="89">
        <v>1.8181818181818199</v>
      </c>
      <c r="M38" s="89">
        <v>1.5454545454545472</v>
      </c>
      <c r="N38" s="89">
        <v>1.2727272727272745</v>
      </c>
      <c r="O38" s="89">
        <v>1.0000000000000018</v>
      </c>
    </row>
    <row r="39" spans="3:15" x14ac:dyDescent="0.25">
      <c r="C39" s="37" t="s">
        <v>132</v>
      </c>
      <c r="D39" s="89">
        <v>4</v>
      </c>
      <c r="E39" s="89">
        <v>3.7272727272727275</v>
      </c>
      <c r="F39" s="89">
        <v>3.454545454545455</v>
      </c>
      <c r="G39" s="89">
        <v>3.1818181818181825</v>
      </c>
      <c r="H39" s="89">
        <v>2.9090909090909101</v>
      </c>
      <c r="I39" s="89">
        <v>2.6363636363636376</v>
      </c>
      <c r="J39" s="89">
        <v>2.3636363636363651</v>
      </c>
      <c r="K39" s="89">
        <v>2.0909090909090926</v>
      </c>
      <c r="L39" s="89">
        <v>1.8181818181818199</v>
      </c>
      <c r="M39" s="89">
        <v>1.5454545454545472</v>
      </c>
      <c r="N39" s="89">
        <v>1.2727272727272745</v>
      </c>
      <c r="O39" s="89">
        <v>1.0000000000000018</v>
      </c>
    </row>
    <row r="40" spans="3:15" x14ac:dyDescent="0.2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2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0"/>
  <sheetViews>
    <sheetView showGridLines="0" tabSelected="1" workbookViewId="0"/>
  </sheetViews>
  <sheetFormatPr defaultRowHeight="13.2" x14ac:dyDescent="0.25"/>
  <cols>
    <col min="1" max="1" width="4.6640625" style="105" customWidth="1"/>
    <col min="2" max="6" width="8.88671875" style="105"/>
    <col min="7" max="7" width="2.6640625" style="105" customWidth="1"/>
    <col min="8" max="8" width="11.109375" style="105" customWidth="1"/>
    <col min="9" max="10" width="8.88671875" style="105"/>
    <col min="11" max="12" width="4.6640625" style="105" customWidth="1"/>
    <col min="13" max="17" width="8.88671875" style="105"/>
    <col min="18" max="18" width="2.6640625" style="105" customWidth="1"/>
    <col min="19" max="19" width="14.6640625" style="105" customWidth="1"/>
    <col min="20" max="20" width="16.6640625" style="105" customWidth="1"/>
    <col min="21" max="21" width="4.6640625" style="105" customWidth="1"/>
    <col min="22" max="16384" width="8.88671875" style="105"/>
  </cols>
  <sheetData>
    <row r="1" spans="1:20" x14ac:dyDescent="0.25">
      <c r="A1" s="184"/>
    </row>
    <row r="2" spans="1:20" ht="15.6" x14ac:dyDescent="0.3">
      <c r="C2" s="185" t="s">
        <v>165</v>
      </c>
      <c r="D2" s="185"/>
      <c r="E2" s="185"/>
      <c r="F2" s="185"/>
      <c r="G2" s="185"/>
      <c r="H2" s="185"/>
    </row>
    <row r="3" spans="1:20" ht="18" x14ac:dyDescent="0.3">
      <c r="C3" s="186" t="s">
        <v>412</v>
      </c>
      <c r="D3" s="186"/>
      <c r="E3" s="186"/>
      <c r="F3" s="186"/>
      <c r="G3" s="186"/>
    </row>
    <row r="5" spans="1:20" ht="15.6" x14ac:dyDescent="0.3">
      <c r="A5" s="187" t="s">
        <v>351</v>
      </c>
      <c r="B5" s="188"/>
      <c r="G5" s="189"/>
      <c r="L5" s="187" t="s">
        <v>352</v>
      </c>
      <c r="M5" s="188"/>
      <c r="R5" s="189"/>
    </row>
    <row r="6" spans="1:20" x14ac:dyDescent="0.25">
      <c r="A6" s="190" t="s">
        <v>353</v>
      </c>
      <c r="B6" s="188"/>
      <c r="G6" s="191"/>
      <c r="H6" s="115"/>
      <c r="L6" s="190" t="s">
        <v>354</v>
      </c>
      <c r="M6" s="188"/>
      <c r="S6" s="130"/>
    </row>
    <row r="7" spans="1:20" x14ac:dyDescent="0.25">
      <c r="A7" s="188"/>
      <c r="B7" s="188" t="s">
        <v>355</v>
      </c>
      <c r="G7" s="191"/>
      <c r="H7" s="192">
        <f>SUM(ORA!$D$116:$O$116)</f>
        <v>0</v>
      </c>
      <c r="L7" s="188"/>
      <c r="M7" s="188" t="s">
        <v>355</v>
      </c>
      <c r="S7" s="193">
        <f>SUM(ORA!$D$127:$O$127)</f>
        <v>0</v>
      </c>
    </row>
    <row r="8" spans="1:20" x14ac:dyDescent="0.25">
      <c r="A8" s="188"/>
      <c r="B8" s="188" t="s">
        <v>356</v>
      </c>
      <c r="G8" s="191"/>
      <c r="H8" s="194">
        <f>SUM(POJ!$D$116:$O$116)</f>
        <v>74087.350410412764</v>
      </c>
      <c r="L8" s="188"/>
      <c r="M8" s="188" t="s">
        <v>356</v>
      </c>
      <c r="S8" s="195">
        <f>SUM(POJ!$D$127:$O$127)</f>
        <v>319235222.63559628</v>
      </c>
    </row>
    <row r="9" spans="1:20" x14ac:dyDescent="0.25">
      <c r="A9" s="188"/>
      <c r="B9" s="188" t="s">
        <v>357</v>
      </c>
      <c r="G9" s="191"/>
      <c r="H9" s="194">
        <f>SUM(ROJ!$D$116:$O$116)</f>
        <v>55777.923381361135</v>
      </c>
      <c r="L9" s="188"/>
      <c r="M9" s="188" t="s">
        <v>357</v>
      </c>
      <c r="S9" s="195">
        <f>SUM(ROJ!$D$127:$O$127)</f>
        <v>239678794.23861977</v>
      </c>
    </row>
    <row r="10" spans="1:20" x14ac:dyDescent="0.25">
      <c r="A10" s="188"/>
      <c r="B10" s="188" t="s">
        <v>358</v>
      </c>
      <c r="G10" s="191"/>
      <c r="H10" s="196">
        <f>SUM(FCOJ!$D$116:$O$116)</f>
        <v>42427.352120958363</v>
      </c>
      <c r="L10" s="188"/>
      <c r="M10" s="188" t="s">
        <v>358</v>
      </c>
      <c r="S10" s="197">
        <f>SUM(FCOJ!$D$127:$O$127)</f>
        <v>182280978.71515134</v>
      </c>
    </row>
    <row r="11" spans="1:20" x14ac:dyDescent="0.25">
      <c r="A11" s="188"/>
      <c r="B11" s="188"/>
      <c r="G11" s="191"/>
      <c r="M11" s="188" t="s">
        <v>359</v>
      </c>
      <c r="T11" s="198">
        <f>SUM($S$7:$S$10)</f>
        <v>741194995.58936739</v>
      </c>
    </row>
    <row r="12" spans="1:20" x14ac:dyDescent="0.25">
      <c r="A12" s="190" t="s">
        <v>360</v>
      </c>
      <c r="B12" s="188"/>
      <c r="G12" s="191"/>
    </row>
    <row r="13" spans="1:20" x14ac:dyDescent="0.25">
      <c r="A13" s="188"/>
      <c r="B13" s="188" t="s">
        <v>361</v>
      </c>
      <c r="G13" s="191"/>
      <c r="H13" s="199">
        <f>SUM(grove!$C$48:$AX$53)</f>
        <v>414198.79633356549</v>
      </c>
      <c r="L13" s="190" t="s">
        <v>362</v>
      </c>
      <c r="M13" s="188"/>
    </row>
    <row r="14" spans="1:20" x14ac:dyDescent="0.25">
      <c r="A14" s="188"/>
      <c r="B14" s="188" t="s">
        <v>363</v>
      </c>
      <c r="G14" s="191"/>
      <c r="H14" s="192">
        <f>raw_materials!$P$30</f>
        <v>0</v>
      </c>
      <c r="L14" s="188"/>
      <c r="M14" s="188" t="s">
        <v>364</v>
      </c>
      <c r="S14" s="193">
        <f>SUM(grove!$C$58:$AX$63)</f>
        <v>599475277.09703088</v>
      </c>
    </row>
    <row r="15" spans="1:20" x14ac:dyDescent="0.25">
      <c r="A15" s="188"/>
      <c r="B15" s="188" t="s">
        <v>365</v>
      </c>
      <c r="G15" s="191"/>
      <c r="H15" s="196">
        <f>raw_materials!$P$36</f>
        <v>0</v>
      </c>
      <c r="L15" s="188"/>
      <c r="M15" s="188" t="s">
        <v>366</v>
      </c>
      <c r="S15" s="195">
        <f>(raw_materials!D30*raw_materials!E30+raw_materials!F30*raw_materials!G30+raw_materials!H30*raw_materials!I30+raw_materials!J30*raw_materials!K30+raw_materials!L30*raw_materials!M30)*2000</f>
        <v>0</v>
      </c>
    </row>
    <row r="16" spans="1:20" x14ac:dyDescent="0.25">
      <c r="A16" s="188"/>
      <c r="B16" s="188" t="s">
        <v>367</v>
      </c>
      <c r="G16" s="191"/>
      <c r="H16" s="200">
        <v>84943.350000000049</v>
      </c>
      <c r="L16" s="188"/>
      <c r="M16" s="188" t="s">
        <v>368</v>
      </c>
      <c r="S16" s="195">
        <f>(raw_materials!D36*raw_materials!E36+raw_materials!F36*raw_materials!G36+raw_materials!H36*raw_materials!I36+raw_materials!J36*raw_materials!K36+raw_materials!L36*raw_materials!M36)*2000</f>
        <v>0</v>
      </c>
    </row>
    <row r="17" spans="1:21" x14ac:dyDescent="0.25">
      <c r="A17" s="188"/>
      <c r="B17" s="188" t="s">
        <v>369</v>
      </c>
      <c r="G17" s="191"/>
      <c r="H17" s="201">
        <v>103819.64999999994</v>
      </c>
      <c r="L17" s="188"/>
      <c r="M17" s="188" t="s">
        <v>370</v>
      </c>
      <c r="S17" s="195">
        <v>148808405.40115491</v>
      </c>
    </row>
    <row r="18" spans="1:21" x14ac:dyDescent="0.25">
      <c r="A18" s="188"/>
      <c r="B18" s="188" t="s">
        <v>371</v>
      </c>
      <c r="G18" s="191"/>
      <c r="H18" s="202">
        <v>58697.616218628893</v>
      </c>
      <c r="L18" s="188"/>
      <c r="M18" s="188" t="s">
        <v>372</v>
      </c>
      <c r="S18" s="197">
        <v>0</v>
      </c>
    </row>
    <row r="19" spans="1:21" x14ac:dyDescent="0.25">
      <c r="A19" s="188"/>
      <c r="B19" s="188" t="s">
        <v>373</v>
      </c>
      <c r="G19" s="191"/>
      <c r="H19" s="201">
        <v>221001.79633356549</v>
      </c>
      <c r="L19" s="188"/>
      <c r="M19" s="188" t="s">
        <v>374</v>
      </c>
      <c r="S19" s="203" t="s">
        <v>375</v>
      </c>
      <c r="T19" s="204">
        <f>SUM($S$14:$S$18)</f>
        <v>748283682.49818575</v>
      </c>
      <c r="U19" s="105" t="s">
        <v>376</v>
      </c>
    </row>
    <row r="20" spans="1:21" x14ac:dyDescent="0.25">
      <c r="A20" s="188"/>
      <c r="B20" s="188" t="s">
        <v>377</v>
      </c>
      <c r="G20" s="191"/>
      <c r="H20" s="196">
        <v>11229.603447961947</v>
      </c>
      <c r="L20" s="188"/>
      <c r="M20" s="188"/>
    </row>
    <row r="21" spans="1:21" x14ac:dyDescent="0.25">
      <c r="A21" s="188"/>
      <c r="B21" s="188"/>
      <c r="G21" s="191"/>
      <c r="L21" s="190" t="s">
        <v>378</v>
      </c>
      <c r="M21" s="188"/>
      <c r="S21" s="130"/>
    </row>
    <row r="22" spans="1:21" x14ac:dyDescent="0.25">
      <c r="A22" s="190" t="s">
        <v>379</v>
      </c>
      <c r="B22" s="188"/>
      <c r="G22" s="191"/>
      <c r="L22" s="188"/>
      <c r="M22" s="188" t="s">
        <v>380</v>
      </c>
      <c r="S22" s="195">
        <v>169886700</v>
      </c>
    </row>
    <row r="23" spans="1:21" x14ac:dyDescent="0.25">
      <c r="A23" s="188"/>
      <c r="B23" s="188" t="s">
        <v>381</v>
      </c>
      <c r="G23" s="191"/>
      <c r="H23" s="192">
        <f>SUM(raw_materials!$O$31:$O$35)</f>
        <v>0</v>
      </c>
      <c r="L23" s="188"/>
      <c r="M23" s="188" t="s">
        <v>382</v>
      </c>
      <c r="S23" s="195">
        <v>103819650.00000001</v>
      </c>
    </row>
    <row r="24" spans="1:21" x14ac:dyDescent="0.25">
      <c r="A24" s="188"/>
      <c r="B24" s="188" t="s">
        <v>383</v>
      </c>
      <c r="G24" s="191"/>
      <c r="H24" s="196">
        <f>SUM(raw_materials!$O$37:$O$41)</f>
        <v>0</v>
      </c>
      <c r="L24" s="188"/>
      <c r="M24" s="188" t="s">
        <v>384</v>
      </c>
      <c r="S24" s="197">
        <v>38153450.542108804</v>
      </c>
    </row>
    <row r="25" spans="1:21" x14ac:dyDescent="0.25">
      <c r="A25" s="188"/>
      <c r="B25" s="188"/>
      <c r="G25" s="191"/>
      <c r="L25" s="188"/>
      <c r="M25" s="188" t="s">
        <v>385</v>
      </c>
      <c r="S25" s="203" t="s">
        <v>375</v>
      </c>
      <c r="T25" s="204">
        <f>SUM($S$22:$S$24)</f>
        <v>311859800.54210877</v>
      </c>
      <c r="U25" s="105" t="s">
        <v>376</v>
      </c>
    </row>
    <row r="26" spans="1:21" x14ac:dyDescent="0.25">
      <c r="A26" s="190" t="s">
        <v>386</v>
      </c>
      <c r="B26" s="188"/>
      <c r="G26" s="191"/>
      <c r="L26" s="188"/>
      <c r="M26" s="188"/>
    </row>
    <row r="27" spans="1:21" x14ac:dyDescent="0.25">
      <c r="A27" s="188"/>
      <c r="B27" s="188" t="s">
        <v>387</v>
      </c>
      <c r="G27" s="191"/>
      <c r="H27" s="192">
        <f>SUMIF(facilities!$C$6:$C$15,"&gt;0",facilities!$C$6:$C$15)</f>
        <v>0</v>
      </c>
      <c r="L27" s="190" t="s">
        <v>388</v>
      </c>
      <c r="M27" s="188"/>
    </row>
    <row r="28" spans="1:21" x14ac:dyDescent="0.25">
      <c r="A28" s="188"/>
      <c r="B28" s="188" t="s">
        <v>389</v>
      </c>
      <c r="G28" s="191"/>
      <c r="H28" s="194">
        <f>SUMIF(facilities!$C$36:$C$106,"&gt;0",facilities!$C$36:$C$106)</f>
        <v>0</v>
      </c>
      <c r="L28" s="188"/>
      <c r="M28" s="188" t="s">
        <v>390</v>
      </c>
      <c r="S28" s="193">
        <v>71388684</v>
      </c>
    </row>
    <row r="29" spans="1:21" x14ac:dyDescent="0.25">
      <c r="A29" s="188"/>
      <c r="B29" s="188" t="s">
        <v>391</v>
      </c>
      <c r="G29" s="191"/>
      <c r="H29" s="194">
        <f>SUMIF(facilities!$C$6:$C$15,"&lt;0",facilities!$C$6:$C$15)</f>
        <v>0</v>
      </c>
      <c r="L29" s="188"/>
      <c r="M29" s="188" t="s">
        <v>392</v>
      </c>
      <c r="S29" s="195">
        <v>73727563.325000048</v>
      </c>
    </row>
    <row r="30" spans="1:21" x14ac:dyDescent="0.25">
      <c r="A30" s="188"/>
      <c r="B30" s="188" t="s">
        <v>393</v>
      </c>
      <c r="G30" s="191"/>
      <c r="H30" s="196">
        <f>SUMIF(facilities!$C$36:$C$106,"&lt;0",facilities!$C$36:$C$106)</f>
        <v>0</v>
      </c>
      <c r="L30" s="188"/>
      <c r="M30" s="188" t="s">
        <v>394</v>
      </c>
      <c r="S30" s="195">
        <v>51394676.6069116</v>
      </c>
    </row>
    <row r="31" spans="1:21" x14ac:dyDescent="0.25">
      <c r="L31" s="188"/>
      <c r="M31" s="188" t="s">
        <v>395</v>
      </c>
      <c r="S31" s="197">
        <f>SUM(ORA!D138:O138)+SUM(POJ!D138:O138)+SUM(ROJ!D138:O138)+SUM(FCOJ!D138:O138)</f>
        <v>146709788.5834558</v>
      </c>
    </row>
    <row r="32" spans="1:21" x14ac:dyDescent="0.25">
      <c r="A32" s="190" t="s">
        <v>396</v>
      </c>
      <c r="B32" s="188"/>
      <c r="G32" s="191"/>
      <c r="L32" s="188"/>
      <c r="M32" s="188" t="s">
        <v>397</v>
      </c>
      <c r="S32" s="118" t="s">
        <v>375</v>
      </c>
      <c r="T32" s="204">
        <f>SUM($S$28:$S$31)</f>
        <v>343220712.51536745</v>
      </c>
      <c r="U32" s="105" t="s">
        <v>376</v>
      </c>
    </row>
    <row r="33" spans="1:21" x14ac:dyDescent="0.25">
      <c r="A33" s="188"/>
      <c r="B33" s="188" t="s">
        <v>398</v>
      </c>
      <c r="G33" s="191"/>
      <c r="H33" s="192">
        <f>COUNTIF(facilities!$H$6:$H$15,"=new")</f>
        <v>0</v>
      </c>
      <c r="M33" s="188"/>
    </row>
    <row r="34" spans="1:21" x14ac:dyDescent="0.25">
      <c r="A34" s="188"/>
      <c r="B34" s="188" t="s">
        <v>399</v>
      </c>
      <c r="G34" s="191"/>
      <c r="H34" s="194">
        <f>COUNTIF(facilities!$H$36:$H$106,"=new")</f>
        <v>0</v>
      </c>
      <c r="L34" s="190" t="s">
        <v>400</v>
      </c>
      <c r="M34" s="188"/>
    </row>
    <row r="35" spans="1:21" x14ac:dyDescent="0.25">
      <c r="B35" s="188" t="s">
        <v>18</v>
      </c>
      <c r="H35" s="196">
        <f>SUMIF(facilities!$C$21:$C$30,"&gt;0",facilities!$C$21:$C$30)</f>
        <v>0</v>
      </c>
      <c r="L35" s="188"/>
      <c r="M35" s="188" t="s">
        <v>401</v>
      </c>
      <c r="S35" s="193">
        <v>35085000</v>
      </c>
    </row>
    <row r="36" spans="1:21" x14ac:dyDescent="0.25">
      <c r="L36" s="188"/>
      <c r="M36" s="188" t="s">
        <v>402</v>
      </c>
      <c r="S36" s="195">
        <f>H33*12000000-H38*70/100*12000000</f>
        <v>0</v>
      </c>
    </row>
    <row r="37" spans="1:21" x14ac:dyDescent="0.25">
      <c r="A37" s="190" t="s">
        <v>403</v>
      </c>
      <c r="L37" s="188"/>
      <c r="M37" s="188" t="s">
        <v>404</v>
      </c>
      <c r="S37" s="195">
        <f>H27*8000+H29*70/100*8000</f>
        <v>0</v>
      </c>
    </row>
    <row r="38" spans="1:21" x14ac:dyDescent="0.25">
      <c r="B38" s="188" t="s">
        <v>398</v>
      </c>
      <c r="H38" s="192">
        <f>COUNTIF(facilities!$H$6:$H$15,"=sold")</f>
        <v>0</v>
      </c>
      <c r="L38" s="188"/>
      <c r="M38" s="188" t="s">
        <v>405</v>
      </c>
      <c r="S38" s="195">
        <v>80650000</v>
      </c>
    </row>
    <row r="39" spans="1:21" x14ac:dyDescent="0.25">
      <c r="B39" s="188" t="s">
        <v>399</v>
      </c>
      <c r="H39" s="194">
        <f>COUNTIF(facilities!$H$36:$H$106,"=sold")</f>
        <v>0</v>
      </c>
      <c r="L39" s="188"/>
      <c r="M39" s="188" t="s">
        <v>406</v>
      </c>
      <c r="S39" s="195">
        <f>H34*9000000-H39*80/100*9000000</f>
        <v>0</v>
      </c>
    </row>
    <row r="40" spans="1:21" x14ac:dyDescent="0.25">
      <c r="B40" s="188" t="s">
        <v>18</v>
      </c>
      <c r="H40" s="196">
        <f>-SUMIF(facilities!$C$21:$C$30,"&lt;0",facilities!$C$21:$C$30)</f>
        <v>0</v>
      </c>
      <c r="L40" s="188"/>
      <c r="M40" s="188" t="s">
        <v>407</v>
      </c>
      <c r="S40" s="195">
        <f>H28*6000+H30*80/100*6000</f>
        <v>0</v>
      </c>
    </row>
    <row r="41" spans="1:21" x14ac:dyDescent="0.25">
      <c r="L41" s="188"/>
      <c r="M41" s="188" t="s">
        <v>408</v>
      </c>
      <c r="S41" s="195">
        <v>22220</v>
      </c>
    </row>
    <row r="42" spans="1:21" x14ac:dyDescent="0.25">
      <c r="L42" s="188"/>
      <c r="M42" s="188" t="s">
        <v>409</v>
      </c>
      <c r="S42" s="197">
        <f>H35*100000-H40*60/100*100000</f>
        <v>0</v>
      </c>
    </row>
    <row r="43" spans="1:21" x14ac:dyDescent="0.25">
      <c r="L43" s="188"/>
      <c r="M43" s="188" t="s">
        <v>410</v>
      </c>
      <c r="S43" s="182" t="s">
        <v>375</v>
      </c>
      <c r="T43" s="204">
        <f>SUM($S$35:$S$42)</f>
        <v>115757220</v>
      </c>
      <c r="U43" s="105" t="s">
        <v>376</v>
      </c>
    </row>
    <row r="44" spans="1:21" x14ac:dyDescent="0.25">
      <c r="L44" s="188"/>
      <c r="S44" s="115"/>
    </row>
    <row r="45" spans="1:21" ht="14.4" thickBot="1" x14ac:dyDescent="0.35">
      <c r="L45" s="205" t="s">
        <v>411</v>
      </c>
      <c r="M45" s="188"/>
      <c r="T45" s="206">
        <f>$T$11-$T$19-$T$25-$T$32-$T$43</f>
        <v>-777926419.96629453</v>
      </c>
    </row>
    <row r="46" spans="1:21" ht="13.8" thickTop="1" x14ac:dyDescent="0.25">
      <c r="M46" s="188"/>
    </row>
    <row r="316" spans="1:1" x14ac:dyDescent="0.25">
      <c r="A316" s="184"/>
    </row>
    <row r="317" spans="1:1" x14ac:dyDescent="0.25">
      <c r="A317" s="184"/>
    </row>
    <row r="318" spans="1:1" x14ac:dyDescent="0.25">
      <c r="A318" s="184"/>
    </row>
    <row r="319" spans="1:1" x14ac:dyDescent="0.25">
      <c r="A319" s="184"/>
    </row>
    <row r="320" spans="1:1" x14ac:dyDescent="0.25">
      <c r="A320" s="184"/>
    </row>
    <row r="321" spans="1:1" x14ac:dyDescent="0.25">
      <c r="A321" s="184"/>
    </row>
    <row r="322" spans="1:1" x14ac:dyDescent="0.25">
      <c r="A322" s="184"/>
    </row>
    <row r="323" spans="1:1" x14ac:dyDescent="0.25">
      <c r="A323" s="184"/>
    </row>
    <row r="325" spans="1:1" x14ac:dyDescent="0.25">
      <c r="A325" s="184"/>
    </row>
    <row r="326" spans="1:1" x14ac:dyDescent="0.25">
      <c r="A326" s="184"/>
    </row>
    <row r="327" spans="1:1" x14ac:dyDescent="0.25">
      <c r="A327" s="184"/>
    </row>
    <row r="328" spans="1:1" x14ac:dyDescent="0.25">
      <c r="A328" s="184"/>
    </row>
    <row r="329" spans="1:1" x14ac:dyDescent="0.25">
      <c r="A329" s="184"/>
    </row>
    <row r="330" spans="1:1" x14ac:dyDescent="0.25">
      <c r="A330" s="184"/>
    </row>
    <row r="331" spans="1:1" x14ac:dyDescent="0.25">
      <c r="A331" s="184"/>
    </row>
    <row r="332" spans="1:1" x14ac:dyDescent="0.25">
      <c r="A332" s="184"/>
    </row>
    <row r="334" spans="1:1" x14ac:dyDescent="0.25">
      <c r="A334" s="184"/>
    </row>
    <row r="335" spans="1:1" x14ac:dyDescent="0.25">
      <c r="A335" s="184"/>
    </row>
    <row r="336" spans="1:1" x14ac:dyDescent="0.25">
      <c r="A336" s="184"/>
    </row>
    <row r="337" spans="1:1" x14ac:dyDescent="0.25">
      <c r="A337" s="184"/>
    </row>
    <row r="338" spans="1:1" x14ac:dyDescent="0.25">
      <c r="A338" s="184"/>
    </row>
    <row r="339" spans="1:1" x14ac:dyDescent="0.25">
      <c r="A339" s="184"/>
    </row>
    <row r="340" spans="1:1" x14ac:dyDescent="0.25">
      <c r="A340" s="184"/>
    </row>
    <row r="341" spans="1:1" x14ac:dyDescent="0.25">
      <c r="A341" s="184"/>
    </row>
    <row r="343" spans="1:1" x14ac:dyDescent="0.25">
      <c r="A343" s="184"/>
    </row>
    <row r="344" spans="1:1" x14ac:dyDescent="0.25">
      <c r="A344" s="184"/>
    </row>
    <row r="345" spans="1:1" x14ac:dyDescent="0.25">
      <c r="A345" s="184"/>
    </row>
    <row r="346" spans="1:1" x14ac:dyDescent="0.25">
      <c r="A346" s="184"/>
    </row>
    <row r="347" spans="1:1" x14ac:dyDescent="0.25">
      <c r="A347" s="184"/>
    </row>
    <row r="348" spans="1:1" x14ac:dyDescent="0.25">
      <c r="A348" s="184"/>
    </row>
    <row r="349" spans="1:1" x14ac:dyDescent="0.25">
      <c r="A349" s="184"/>
    </row>
    <row r="350" spans="1:1" x14ac:dyDescent="0.25">
      <c r="A350" s="184"/>
    </row>
  </sheetData>
  <mergeCells count="1">
    <mergeCell ref="C2:H2"/>
  </mergeCells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Y133"/>
  <sheetViews>
    <sheetView workbookViewId="0">
      <selection activeCell="C38" sqref="C38:AX43"/>
    </sheetView>
  </sheetViews>
  <sheetFormatPr defaultRowHeight="13.2" x14ac:dyDescent="0.25"/>
  <cols>
    <col min="1" max="1" width="4.6640625" style="105" customWidth="1"/>
    <col min="2" max="2" width="15.6640625" style="105" customWidth="1"/>
    <col min="3" max="16384" width="8.88671875" style="105"/>
  </cols>
  <sheetData>
    <row r="2" spans="2:14" x14ac:dyDescent="0.25">
      <c r="B2" s="107" t="s">
        <v>312</v>
      </c>
    </row>
    <row r="3" spans="2:14" x14ac:dyDescent="0.25">
      <c r="B3" s="108" t="s">
        <v>313</v>
      </c>
    </row>
    <row r="4" spans="2:14" x14ac:dyDescent="0.25">
      <c r="B4" s="175" t="s">
        <v>91</v>
      </c>
      <c r="C4" s="175" t="s">
        <v>92</v>
      </c>
      <c r="D4" s="175" t="s">
        <v>93</v>
      </c>
      <c r="E4" s="175" t="s">
        <v>94</v>
      </c>
      <c r="F4" s="175" t="s">
        <v>95</v>
      </c>
      <c r="G4" s="175" t="s">
        <v>96</v>
      </c>
      <c r="H4" s="175" t="s">
        <v>97</v>
      </c>
      <c r="I4" s="175" t="s">
        <v>98</v>
      </c>
      <c r="J4" s="175" t="s">
        <v>99</v>
      </c>
      <c r="K4" s="175" t="s">
        <v>100</v>
      </c>
      <c r="L4" s="175" t="s">
        <v>101</v>
      </c>
      <c r="M4" s="175" t="s">
        <v>102</v>
      </c>
      <c r="N4" s="175" t="s">
        <v>103</v>
      </c>
    </row>
    <row r="5" spans="2:14" x14ac:dyDescent="0.25">
      <c r="B5" s="176" t="s">
        <v>104</v>
      </c>
      <c r="C5" s="105">
        <v>0.67741335649818157</v>
      </c>
      <c r="D5" s="105">
        <v>0.67306361198030706</v>
      </c>
      <c r="E5" s="105">
        <v>0.63429629856453007</v>
      </c>
      <c r="F5" s="105">
        <v>0.69808639721708632</v>
      </c>
      <c r="G5" s="105">
        <v>0.70724112769495295</v>
      </c>
      <c r="H5" s="105">
        <v>0.5980741799547814</v>
      </c>
      <c r="I5" s="105">
        <v>0.64506078081390494</v>
      </c>
      <c r="J5" s="105">
        <v>0.61950430111258814</v>
      </c>
      <c r="K5" s="105">
        <v>0.56488458101668704</v>
      </c>
      <c r="L5" s="105">
        <v>0.71102622222764644</v>
      </c>
      <c r="M5" s="105">
        <v>0.7237409010704714</v>
      </c>
      <c r="N5" s="105">
        <v>0.60245694919618742</v>
      </c>
    </row>
    <row r="6" spans="2:14" x14ac:dyDescent="0.25">
      <c r="B6" s="176" t="s">
        <v>105</v>
      </c>
      <c r="C6" s="105">
        <v>0.691208702247601</v>
      </c>
      <c r="D6" s="105">
        <v>0.70639888532671125</v>
      </c>
      <c r="E6" s="105">
        <v>0.76501668382618615</v>
      </c>
      <c r="F6" s="105">
        <v>0.72298609822691973</v>
      </c>
      <c r="G6" s="105">
        <v>1.1000000000000001</v>
      </c>
      <c r="H6" s="105">
        <v>0.64659236005882259</v>
      </c>
      <c r="I6" s="105">
        <v>0.68560090947596286</v>
      </c>
      <c r="J6" s="105">
        <v>0.75559927261542148</v>
      </c>
      <c r="K6" s="105">
        <v>0.68375421684460724</v>
      </c>
      <c r="L6" s="105">
        <v>0.64755122745263294</v>
      </c>
      <c r="M6" s="105">
        <v>0.63517291777709128</v>
      </c>
      <c r="N6" s="105">
        <v>0.63837736899357989</v>
      </c>
    </row>
    <row r="7" spans="2:14" x14ac:dyDescent="0.25">
      <c r="B7" s="176" t="s">
        <v>106</v>
      </c>
      <c r="C7" s="105">
        <v>0.74760657902859307</v>
      </c>
      <c r="D7" s="105">
        <v>0.74080361230218661</v>
      </c>
      <c r="E7" s="105">
        <v>0.8298758235733199</v>
      </c>
      <c r="F7" s="105">
        <v>0.77506638069977385</v>
      </c>
      <c r="G7" s="105">
        <v>0.76779382237498128</v>
      </c>
      <c r="H7" s="105">
        <v>0.74768532912835473</v>
      </c>
      <c r="I7" s="105">
        <v>0.82467407343282673</v>
      </c>
      <c r="J7" s="105">
        <v>0.71140085518471019</v>
      </c>
      <c r="K7" s="105">
        <v>0.759502607055347</v>
      </c>
      <c r="L7" s="105">
        <v>0.72680293984924138</v>
      </c>
      <c r="M7" s="105">
        <v>0.71092183472043169</v>
      </c>
      <c r="N7" s="105">
        <v>0.73518345285574338</v>
      </c>
    </row>
    <row r="8" spans="2:14" x14ac:dyDescent="0.25">
      <c r="B8" s="176" t="s">
        <v>107</v>
      </c>
      <c r="C8" s="105">
        <v>0.74188668678311898</v>
      </c>
      <c r="D8" s="105">
        <v>0.74118622729628425</v>
      </c>
      <c r="E8" s="105">
        <v>0.7788210606208763</v>
      </c>
      <c r="F8" s="105">
        <v>0.69670912194501333</v>
      </c>
      <c r="G8" s="105">
        <v>0.73675634680278757</v>
      </c>
      <c r="H8" s="105">
        <v>0.68704235712703154</v>
      </c>
      <c r="I8" s="105">
        <v>0.72054500128757304</v>
      </c>
      <c r="J8" s="105">
        <v>0.73222811197822635</v>
      </c>
      <c r="K8" s="105">
        <v>0.70228298792888555</v>
      </c>
      <c r="L8" s="105">
        <v>0.71493581395385453</v>
      </c>
      <c r="M8" s="105">
        <v>0.68316600733067545</v>
      </c>
      <c r="N8" s="105">
        <v>0.67111377312283682</v>
      </c>
    </row>
    <row r="9" spans="2:14" x14ac:dyDescent="0.25">
      <c r="B9" s="176" t="s">
        <v>108</v>
      </c>
      <c r="C9" s="105">
        <v>2.0939883327484132</v>
      </c>
      <c r="D9" s="105">
        <v>2.0252206122875216</v>
      </c>
      <c r="E9" s="105">
        <v>2.1070303654670717</v>
      </c>
      <c r="F9" s="105">
        <v>2.053831330537796</v>
      </c>
      <c r="G9" s="105">
        <v>2.0804877614974977</v>
      </c>
      <c r="H9" s="105">
        <v>2.0680904901027679</v>
      </c>
      <c r="I9" s="105">
        <v>2.0963162398338318</v>
      </c>
      <c r="J9" s="105">
        <v>2.0572871840000153</v>
      </c>
      <c r="K9" s="105">
        <v>2.08117977142334</v>
      </c>
      <c r="L9" s="105">
        <v>2.0578357493877411</v>
      </c>
      <c r="M9" s="105">
        <v>2.0766165947914126</v>
      </c>
      <c r="N9" s="105">
        <v>2.0927777206897735</v>
      </c>
    </row>
    <row r="10" spans="2:14" x14ac:dyDescent="0.25">
      <c r="B10" s="176" t="s">
        <v>109</v>
      </c>
      <c r="C10" s="105">
        <v>0.66053335666656499</v>
      </c>
      <c r="D10" s="105">
        <v>0.6172994077205658</v>
      </c>
      <c r="E10" s="105">
        <v>0.67065237760543828</v>
      </c>
      <c r="F10" s="105">
        <v>0.65839009881019595</v>
      </c>
      <c r="G10" s="105">
        <v>0.69553704261779792</v>
      </c>
      <c r="H10" s="105">
        <v>0.65176588892936704</v>
      </c>
      <c r="I10" s="105">
        <v>0.67382031679153442</v>
      </c>
      <c r="J10" s="105">
        <v>0.65418413281440735</v>
      </c>
      <c r="K10" s="105">
        <v>0.61726138591766355</v>
      </c>
      <c r="L10" s="105">
        <v>0.68427352309226996</v>
      </c>
      <c r="M10" s="105">
        <v>0.60825542211532591</v>
      </c>
      <c r="N10" s="105">
        <v>0.68000479340553288</v>
      </c>
    </row>
    <row r="11" spans="2:14" x14ac:dyDescent="0.25">
      <c r="B11" s="177"/>
      <c r="C11" s="106"/>
      <c r="D11" s="106"/>
      <c r="E11" s="106"/>
      <c r="F11" s="106"/>
      <c r="G11" s="106"/>
    </row>
    <row r="12" spans="2:14" x14ac:dyDescent="0.25">
      <c r="B12" s="109" t="s">
        <v>314</v>
      </c>
      <c r="C12" s="106"/>
      <c r="D12" s="106"/>
      <c r="E12" s="106"/>
      <c r="F12" s="106"/>
      <c r="G12" s="106"/>
    </row>
    <row r="13" spans="2:14" x14ac:dyDescent="0.25">
      <c r="B13" s="176" t="s">
        <v>315</v>
      </c>
      <c r="C13" s="176" t="s">
        <v>92</v>
      </c>
      <c r="D13" s="176" t="s">
        <v>93</v>
      </c>
      <c r="E13" s="175" t="s">
        <v>94</v>
      </c>
      <c r="F13" s="175" t="s">
        <v>95</v>
      </c>
      <c r="G13" s="175" t="s">
        <v>96</v>
      </c>
      <c r="H13" s="175" t="s">
        <v>97</v>
      </c>
      <c r="I13" s="175" t="s">
        <v>98</v>
      </c>
      <c r="J13" s="175" t="s">
        <v>99</v>
      </c>
      <c r="K13" s="175" t="s">
        <v>100</v>
      </c>
      <c r="L13" s="175" t="s">
        <v>101</v>
      </c>
      <c r="M13" s="175" t="s">
        <v>102</v>
      </c>
      <c r="N13" s="175" t="s">
        <v>103</v>
      </c>
    </row>
    <row r="14" spans="2:14" x14ac:dyDescent="0.25">
      <c r="B14" s="175" t="s">
        <v>316</v>
      </c>
      <c r="C14" s="106">
        <v>0.34973536705607911</v>
      </c>
      <c r="D14" s="106">
        <v>0.3510335405330573</v>
      </c>
      <c r="E14" s="106">
        <v>0.3523280611870756</v>
      </c>
      <c r="F14" s="106">
        <v>0.35361528647355034</v>
      </c>
      <c r="G14" s="106">
        <v>0.35489159437572926</v>
      </c>
      <c r="H14" s="105">
        <v>0.35615339359638459</v>
      </c>
      <c r="I14" s="105">
        <v>0.3573971336630673</v>
      </c>
      <c r="J14" s="105">
        <v>0.35861931491848792</v>
      </c>
      <c r="K14" s="105">
        <v>0.35981649836791257</v>
      </c>
      <c r="L14" s="105">
        <v>0.36098531535586564</v>
      </c>
      <c r="M14" s="105">
        <v>0.3621224770449113</v>
      </c>
      <c r="N14" s="105">
        <v>0.36322478366984046</v>
      </c>
    </row>
    <row r="15" spans="2:14" x14ac:dyDescent="0.25">
      <c r="B15" s="175" t="s">
        <v>317</v>
      </c>
      <c r="C15" s="105">
        <v>1.1972566932870639</v>
      </c>
      <c r="D15" s="105">
        <v>1.2004310257982889</v>
      </c>
      <c r="E15" s="105">
        <v>1.2035964263178465</v>
      </c>
      <c r="F15" s="105">
        <v>1.2067439879870612</v>
      </c>
      <c r="G15" s="105">
        <v>1.2098648541425234</v>
      </c>
      <c r="H15" s="105">
        <v>1.2129502432371213</v>
      </c>
      <c r="I15" s="105">
        <v>1.2159914735497097</v>
      </c>
      <c r="J15" s="105">
        <v>1.2189799876138872</v>
      </c>
      <c r="K15" s="105">
        <v>1.2219073762971431</v>
      </c>
      <c r="L15" s="105">
        <v>1.2247654024626202</v>
      </c>
      <c r="M15" s="105">
        <v>1.2275460241469112</v>
      </c>
      <c r="N15" s="105">
        <v>1.2302414171886766</v>
      </c>
    </row>
    <row r="16" spans="2:14" x14ac:dyDescent="0.25">
      <c r="B16" s="106"/>
    </row>
    <row r="17" spans="2:14" x14ac:dyDescent="0.25">
      <c r="B17" s="108" t="s">
        <v>318</v>
      </c>
    </row>
    <row r="18" spans="2:14" x14ac:dyDescent="0.25">
      <c r="B18" s="104" t="s">
        <v>91</v>
      </c>
      <c r="C18" s="104" t="s">
        <v>92</v>
      </c>
      <c r="D18" s="104" t="s">
        <v>93</v>
      </c>
      <c r="E18" s="104" t="s">
        <v>94</v>
      </c>
      <c r="F18" s="104" t="s">
        <v>95</v>
      </c>
      <c r="G18" s="104" t="s">
        <v>96</v>
      </c>
      <c r="H18" s="104" t="s">
        <v>97</v>
      </c>
      <c r="I18" s="104" t="s">
        <v>98</v>
      </c>
      <c r="J18" s="104" t="s">
        <v>99</v>
      </c>
      <c r="K18" s="104" t="s">
        <v>100</v>
      </c>
      <c r="L18" s="104" t="s">
        <v>101</v>
      </c>
      <c r="M18" s="104" t="s">
        <v>102</v>
      </c>
      <c r="N18" s="104" t="s">
        <v>103</v>
      </c>
    </row>
    <row r="19" spans="2:14" x14ac:dyDescent="0.25">
      <c r="B19" s="178" t="s">
        <v>104</v>
      </c>
      <c r="C19" s="105">
        <f>C5</f>
        <v>0.67741335649818157</v>
      </c>
      <c r="D19" s="105">
        <f t="shared" ref="D19:N20" si="0">D5</f>
        <v>0.67306361198030706</v>
      </c>
      <c r="E19" s="105">
        <f t="shared" si="0"/>
        <v>0.63429629856453007</v>
      </c>
      <c r="F19" s="105">
        <f t="shared" si="0"/>
        <v>0.69808639721708632</v>
      </c>
      <c r="G19" s="105">
        <f t="shared" si="0"/>
        <v>0.70724112769495295</v>
      </c>
      <c r="H19" s="105">
        <f t="shared" si="0"/>
        <v>0.5980741799547814</v>
      </c>
      <c r="I19" s="105">
        <f t="shared" si="0"/>
        <v>0.64506078081390494</v>
      </c>
      <c r="J19" s="105">
        <f t="shared" si="0"/>
        <v>0.61950430111258814</v>
      </c>
      <c r="K19" s="105">
        <f t="shared" si="0"/>
        <v>0.56488458101668704</v>
      </c>
      <c r="L19" s="105">
        <f t="shared" si="0"/>
        <v>0.71102622222764644</v>
      </c>
      <c r="M19" s="105">
        <f t="shared" si="0"/>
        <v>0.7237409010704714</v>
      </c>
      <c r="N19" s="105">
        <f t="shared" si="0"/>
        <v>0.60245694919618742</v>
      </c>
    </row>
    <row r="20" spans="2:14" x14ac:dyDescent="0.25">
      <c r="B20" s="178" t="s">
        <v>105</v>
      </c>
      <c r="C20" s="105">
        <f>C6</f>
        <v>0.691208702247601</v>
      </c>
      <c r="D20" s="105">
        <f t="shared" si="0"/>
        <v>0.70639888532671125</v>
      </c>
      <c r="E20" s="105">
        <f t="shared" si="0"/>
        <v>0.76501668382618615</v>
      </c>
      <c r="F20" s="105">
        <f t="shared" si="0"/>
        <v>0.72298609822691973</v>
      </c>
      <c r="G20" s="105">
        <f t="shared" si="0"/>
        <v>1.1000000000000001</v>
      </c>
      <c r="H20" s="105">
        <f t="shared" si="0"/>
        <v>0.64659236005882259</v>
      </c>
      <c r="I20" s="105">
        <f t="shared" si="0"/>
        <v>0.68560090947596286</v>
      </c>
      <c r="J20" s="105">
        <f t="shared" si="0"/>
        <v>0.75559927261542148</v>
      </c>
      <c r="K20" s="105">
        <f t="shared" si="0"/>
        <v>0.68375421684460724</v>
      </c>
      <c r="L20" s="105">
        <f t="shared" si="0"/>
        <v>0.64755122745263294</v>
      </c>
      <c r="M20" s="105">
        <f t="shared" si="0"/>
        <v>0.63517291777709128</v>
      </c>
      <c r="N20" s="105">
        <f t="shared" si="0"/>
        <v>0.63837736899357989</v>
      </c>
    </row>
    <row r="21" spans="2:14" x14ac:dyDescent="0.25">
      <c r="B21" s="178" t="s">
        <v>106</v>
      </c>
      <c r="C21" s="105">
        <f t="shared" ref="C21:N22" si="1">C7</f>
        <v>0.74760657902859307</v>
      </c>
      <c r="D21" s="105">
        <f t="shared" si="1"/>
        <v>0.74080361230218661</v>
      </c>
      <c r="E21" s="105">
        <f t="shared" si="1"/>
        <v>0.8298758235733199</v>
      </c>
      <c r="F21" s="105">
        <f t="shared" si="1"/>
        <v>0.77506638069977385</v>
      </c>
      <c r="G21" s="105">
        <f t="shared" si="1"/>
        <v>0.76779382237498128</v>
      </c>
      <c r="H21" s="105">
        <f t="shared" si="1"/>
        <v>0.74768532912835473</v>
      </c>
      <c r="I21" s="105">
        <f t="shared" si="1"/>
        <v>0.82467407343282673</v>
      </c>
      <c r="J21" s="105">
        <f t="shared" si="1"/>
        <v>0.71140085518471019</v>
      </c>
      <c r="K21" s="105">
        <f t="shared" si="1"/>
        <v>0.759502607055347</v>
      </c>
      <c r="L21" s="105">
        <f t="shared" si="1"/>
        <v>0.72680293984924138</v>
      </c>
      <c r="M21" s="105">
        <f t="shared" si="1"/>
        <v>0.71092183472043169</v>
      </c>
      <c r="N21" s="105">
        <f t="shared" si="1"/>
        <v>0.73518345285574338</v>
      </c>
    </row>
    <row r="22" spans="2:14" x14ac:dyDescent="0.25">
      <c r="B22" s="178" t="s">
        <v>107</v>
      </c>
      <c r="C22" s="105">
        <f t="shared" si="1"/>
        <v>0.74188668678311898</v>
      </c>
      <c r="D22" s="105">
        <f t="shared" si="1"/>
        <v>0.74118622729628425</v>
      </c>
      <c r="E22" s="105">
        <f t="shared" si="1"/>
        <v>0.7788210606208763</v>
      </c>
      <c r="F22" s="105">
        <f t="shared" si="1"/>
        <v>0.69670912194501333</v>
      </c>
      <c r="G22" s="105">
        <f t="shared" si="1"/>
        <v>0.73675634680278757</v>
      </c>
      <c r="H22" s="105">
        <f t="shared" si="1"/>
        <v>0.68704235712703154</v>
      </c>
      <c r="I22" s="105">
        <f t="shared" si="1"/>
        <v>0.72054500128757304</v>
      </c>
      <c r="J22" s="105">
        <f t="shared" si="1"/>
        <v>0.73222811197822635</v>
      </c>
      <c r="K22" s="105">
        <f t="shared" si="1"/>
        <v>0.70228298792888555</v>
      </c>
      <c r="L22" s="105">
        <f t="shared" si="1"/>
        <v>0.71493581395385453</v>
      </c>
      <c r="M22" s="105">
        <f t="shared" si="1"/>
        <v>0.68316600733067545</v>
      </c>
      <c r="N22" s="105">
        <f t="shared" si="1"/>
        <v>0.67111377312283682</v>
      </c>
    </row>
    <row r="23" spans="2:14" x14ac:dyDescent="0.25">
      <c r="B23" s="178" t="s">
        <v>108</v>
      </c>
      <c r="C23" s="105">
        <f>C9*C14</f>
        <v>0.73234177816491342</v>
      </c>
      <c r="D23" s="105">
        <f t="shared" ref="D23:N24" si="2">D9*D14</f>
        <v>0.71092036189181484</v>
      </c>
      <c r="E23" s="105">
        <f t="shared" si="2"/>
        <v>0.74236592352730868</v>
      </c>
      <c r="F23" s="105">
        <f t="shared" si="2"/>
        <v>0.72626615431647579</v>
      </c>
      <c r="G23" s="105">
        <f t="shared" si="2"/>
        <v>0.73834761875703891</v>
      </c>
      <c r="H23" s="105">
        <f t="shared" si="2"/>
        <v>0.73655744631451103</v>
      </c>
      <c r="I23" s="105">
        <f t="shared" si="2"/>
        <v>0.74921741536795061</v>
      </c>
      <c r="J23" s="105">
        <f t="shared" si="2"/>
        <v>0.73778292051667071</v>
      </c>
      <c r="K23" s="105">
        <f t="shared" si="2"/>
        <v>0.74884281782767892</v>
      </c>
      <c r="L23" s="105">
        <f t="shared" si="2"/>
        <v>0.74284848694330785</v>
      </c>
      <c r="M23" s="105">
        <f t="shared" si="2"/>
        <v>0.75198954517843519</v>
      </c>
      <c r="N23" s="105">
        <f t="shared" si="2"/>
        <v>0.76014873486660484</v>
      </c>
    </row>
    <row r="24" spans="2:14" x14ac:dyDescent="0.25">
      <c r="B24" s="178" t="s">
        <v>109</v>
      </c>
      <c r="C24" s="105">
        <f>C10*C15</f>
        <v>0.79082798240841634</v>
      </c>
      <c r="D24" s="105">
        <f t="shared" si="2"/>
        <v>0.741025361234675</v>
      </c>
      <c r="E24" s="105">
        <f t="shared" si="2"/>
        <v>0.80719480498747243</v>
      </c>
      <c r="F24" s="105">
        <f t="shared" si="2"/>
        <v>0.7945082934894111</v>
      </c>
      <c r="G24" s="105">
        <f t="shared" si="2"/>
        <v>0.84150582261750417</v>
      </c>
      <c r="H24" s="105">
        <f t="shared" si="2"/>
        <v>0.7905595935105344</v>
      </c>
      <c r="I24" s="105">
        <f t="shared" si="2"/>
        <v>0.8193597599230702</v>
      </c>
      <c r="J24" s="105">
        <f t="shared" si="2"/>
        <v>0.7974373661153078</v>
      </c>
      <c r="K24" s="105">
        <f t="shared" si="2"/>
        <v>0.75423624055619054</v>
      </c>
      <c r="L24" s="105">
        <f t="shared" si="2"/>
        <v>0.83807453690461908</v>
      </c>
      <c r="M24" s="105">
        <f t="shared" si="2"/>
        <v>0.7466615250834695</v>
      </c>
      <c r="N24" s="105">
        <f t="shared" si="2"/>
        <v>0.83657006073431606</v>
      </c>
    </row>
    <row r="25" spans="2:14" x14ac:dyDescent="0.25">
      <c r="B25" s="177"/>
    </row>
    <row r="26" spans="2:14" x14ac:dyDescent="0.25">
      <c r="B26" s="109" t="s">
        <v>319</v>
      </c>
    </row>
    <row r="27" spans="2:14" x14ac:dyDescent="0.25">
      <c r="B27" s="104" t="s">
        <v>320</v>
      </c>
      <c r="C27" s="104" t="s">
        <v>92</v>
      </c>
      <c r="D27" s="104" t="s">
        <v>93</v>
      </c>
      <c r="E27" s="104" t="s">
        <v>94</v>
      </c>
      <c r="F27" s="104" t="s">
        <v>95</v>
      </c>
      <c r="G27" s="104" t="s">
        <v>96</v>
      </c>
      <c r="H27" s="104" t="s">
        <v>97</v>
      </c>
      <c r="I27" s="104" t="s">
        <v>98</v>
      </c>
      <c r="J27" s="104" t="s">
        <v>99</v>
      </c>
      <c r="K27" s="104" t="s">
        <v>100</v>
      </c>
      <c r="L27" s="104" t="s">
        <v>101</v>
      </c>
      <c r="M27" s="104" t="s">
        <v>102</v>
      </c>
      <c r="N27" s="104" t="s">
        <v>103</v>
      </c>
    </row>
    <row r="28" spans="2:14" x14ac:dyDescent="0.25">
      <c r="B28" s="104" t="s">
        <v>104</v>
      </c>
      <c r="C28" s="105">
        <f>IF(C19&lt;=raw_materials!$D17,raw_materials!$C17,IF(C19&lt;=raw_materials!$F17,raw_materials!$E17,IF(C19&lt;=raw_materials!$H17,raw_materials!$G17,0)))</f>
        <v>1</v>
      </c>
      <c r="D28" s="105">
        <f>IF(D19&lt;=raw_materials!$D17,raw_materials!$C17,IF(D19&lt;=raw_materials!$F17,raw_materials!$E17,IF(D19&lt;=raw_materials!$H17,raw_materials!$G17,0)))</f>
        <v>1</v>
      </c>
      <c r="E28" s="105">
        <f>IF(E19&lt;=raw_materials!$D17,raw_materials!$C17,IF(E19&lt;=raw_materials!$F17,raw_materials!$E17,IF(E19&lt;=raw_materials!$H17,raw_materials!$G17,0)))</f>
        <v>1</v>
      </c>
      <c r="F28" s="105">
        <f>IF(F19&lt;=raw_materials!$D17,raw_materials!$C17,IF(F19&lt;=raw_materials!$F17,raw_materials!$E17,IF(F19&lt;=raw_materials!$H17,raw_materials!$G17,0)))</f>
        <v>1</v>
      </c>
      <c r="G28" s="105">
        <f>IF(G19&lt;=raw_materials!$D17,raw_materials!$C17,IF(G19&lt;=raw_materials!$F17,raw_materials!$E17,IF(G19&lt;=raw_materials!$H17,raw_materials!$G17,0)))</f>
        <v>1</v>
      </c>
      <c r="H28" s="105">
        <f>IF(H19&lt;=raw_materials!$D17,raw_materials!$C17,IF(H19&lt;=raw_materials!$F17,raw_materials!$E17,IF(H19&lt;=raw_materials!$H17,raw_materials!$G17,0)))</f>
        <v>1</v>
      </c>
      <c r="I28" s="105">
        <f>IF(I19&lt;=raw_materials!$D17,raw_materials!$C17,IF(I19&lt;=raw_materials!$F17,raw_materials!$E17,IF(I19&lt;=raw_materials!$H17,raw_materials!$G17,0)))</f>
        <v>1</v>
      </c>
      <c r="J28" s="105">
        <f>IF(J19&lt;=raw_materials!$D17,raw_materials!$C17,IF(J19&lt;=raw_materials!$F17,raw_materials!$E17,IF(J19&lt;=raw_materials!$H17,raw_materials!$G17,0)))</f>
        <v>1</v>
      </c>
      <c r="K28" s="105">
        <f>IF(K19&lt;=raw_materials!$D17,raw_materials!$C17,IF(K19&lt;=raw_materials!$F17,raw_materials!$E17,IF(K19&lt;=raw_materials!$H17,raw_materials!$G17,0)))</f>
        <v>1</v>
      </c>
      <c r="L28" s="105">
        <f>IF(L19&lt;=raw_materials!$D17,raw_materials!$C17,IF(L19&lt;=raw_materials!$F17,raw_materials!$E17,IF(L19&lt;=raw_materials!$H17,raw_materials!$G17,0)))</f>
        <v>1</v>
      </c>
      <c r="M28" s="105">
        <f>IF(M19&lt;=raw_materials!$D17,raw_materials!$C17,IF(M19&lt;=raw_materials!$F17,raw_materials!$E17,IF(M19&lt;=raw_materials!$H17,raw_materials!$G17,0)))</f>
        <v>1</v>
      </c>
      <c r="N28" s="105">
        <f>IF(N19&lt;=raw_materials!$D17,raw_materials!$C17,IF(N19&lt;=raw_materials!$F17,raw_materials!$E17,IF(N19&lt;=raw_materials!$H17,raw_materials!$G17,0)))</f>
        <v>1</v>
      </c>
    </row>
    <row r="29" spans="2:14" x14ac:dyDescent="0.25">
      <c r="B29" s="104" t="s">
        <v>105</v>
      </c>
      <c r="C29" s="105">
        <f>IF(C20&lt;=raw_materials!$D18,raw_materials!$C18,IF(C20&lt;=raw_materials!$F18,raw_materials!$E18,IF(C20&lt;=raw_materials!$H18,raw_materials!$G18,0)))</f>
        <v>1</v>
      </c>
      <c r="D29" s="105">
        <f>IF(D20&lt;=raw_materials!$D18,raw_materials!$C18,IF(D20&lt;=raw_materials!$F18,raw_materials!$E18,IF(D20&lt;=raw_materials!$H18,raw_materials!$G18,0)))</f>
        <v>1</v>
      </c>
      <c r="E29" s="105">
        <f>IF(E20&lt;=raw_materials!$D18,raw_materials!$C18,IF(E20&lt;=raw_materials!$F18,raw_materials!$E18,IF(E20&lt;=raw_materials!$H18,raw_materials!$G18,0)))</f>
        <v>1</v>
      </c>
      <c r="F29" s="105">
        <f>IF(F20&lt;=raw_materials!$D18,raw_materials!$C18,IF(F20&lt;=raw_materials!$F18,raw_materials!$E18,IF(F20&lt;=raw_materials!$H18,raw_materials!$G18,0)))</f>
        <v>1</v>
      </c>
      <c r="G29" s="105">
        <f>IF(G20&lt;=raw_materials!$D18,raw_materials!$C18,IF(G20&lt;=raw_materials!$F18,raw_materials!$E18,IF(G20&lt;=raw_materials!$H18,raw_materials!$G18,0)))</f>
        <v>1</v>
      </c>
      <c r="H29" s="105">
        <f>IF(H20&lt;=raw_materials!$D18,raw_materials!$C18,IF(H20&lt;=raw_materials!$F18,raw_materials!$E18,IF(H20&lt;=raw_materials!$H18,raw_materials!$G18,0)))</f>
        <v>1</v>
      </c>
      <c r="I29" s="105">
        <f>IF(I20&lt;=raw_materials!$D18,raw_materials!$C18,IF(I20&lt;=raw_materials!$F18,raw_materials!$E18,IF(I20&lt;=raw_materials!$H18,raw_materials!$G18,0)))</f>
        <v>1</v>
      </c>
      <c r="J29" s="105">
        <f>IF(J20&lt;=raw_materials!$D18,raw_materials!$C18,IF(J20&lt;=raw_materials!$F18,raw_materials!$E18,IF(J20&lt;=raw_materials!$H18,raw_materials!$G18,0)))</f>
        <v>1</v>
      </c>
      <c r="K29" s="105">
        <f>IF(K20&lt;=raw_materials!$D18,raw_materials!$C18,IF(K20&lt;=raw_materials!$F18,raw_materials!$E18,IF(K20&lt;=raw_materials!$H18,raw_materials!$G18,0)))</f>
        <v>1</v>
      </c>
      <c r="L29" s="105">
        <f>IF(L20&lt;=raw_materials!$D18,raw_materials!$C18,IF(L20&lt;=raw_materials!$F18,raw_materials!$E18,IF(L20&lt;=raw_materials!$H18,raw_materials!$G18,0)))</f>
        <v>1</v>
      </c>
      <c r="M29" s="105">
        <f>IF(M20&lt;=raw_materials!$D18,raw_materials!$C18,IF(M20&lt;=raw_materials!$F18,raw_materials!$E18,IF(M20&lt;=raw_materials!$H18,raw_materials!$G18,0)))</f>
        <v>1</v>
      </c>
      <c r="N29" s="105">
        <f>IF(N20&lt;=raw_materials!$D18,raw_materials!$C18,IF(N20&lt;=raw_materials!$F18,raw_materials!$E18,IF(N20&lt;=raw_materials!$H18,raw_materials!$G18,0)))</f>
        <v>1</v>
      </c>
    </row>
    <row r="30" spans="2:14" x14ac:dyDescent="0.25">
      <c r="B30" s="104" t="s">
        <v>106</v>
      </c>
      <c r="C30" s="105">
        <f>IF(C21&lt;=raw_materials!$D19,raw_materials!$C19,IF(C21&lt;=raw_materials!$F19,raw_materials!$E19,IF(C21&lt;=raw_materials!$H19,raw_materials!$G19,0)))</f>
        <v>1</v>
      </c>
      <c r="D30" s="105">
        <f>IF(D21&lt;=raw_materials!$D19,raw_materials!$C19,IF(D21&lt;=raw_materials!$F19,raw_materials!$E19,IF(D21&lt;=raw_materials!$H19,raw_materials!$G19,0)))</f>
        <v>1</v>
      </c>
      <c r="E30" s="105">
        <f>IF(E21&lt;=raw_materials!$D19,raw_materials!$C19,IF(E21&lt;=raw_materials!$F19,raw_materials!$E19,IF(E21&lt;=raw_materials!$H19,raw_materials!$G19,0)))</f>
        <v>1</v>
      </c>
      <c r="F30" s="105">
        <f>IF(F21&lt;=raw_materials!$D19,raw_materials!$C19,IF(F21&lt;=raw_materials!$F19,raw_materials!$E19,IF(F21&lt;=raw_materials!$H19,raw_materials!$G19,0)))</f>
        <v>1</v>
      </c>
      <c r="G30" s="105">
        <f>IF(G21&lt;=raw_materials!$D19,raw_materials!$C19,IF(G21&lt;=raw_materials!$F19,raw_materials!$E19,IF(G21&lt;=raw_materials!$H19,raw_materials!$G19,0)))</f>
        <v>1</v>
      </c>
      <c r="H30" s="105">
        <f>IF(H21&lt;=raw_materials!$D19,raw_materials!$C19,IF(H21&lt;=raw_materials!$F19,raw_materials!$E19,IF(H21&lt;=raw_materials!$H19,raw_materials!$G19,0)))</f>
        <v>1</v>
      </c>
      <c r="I30" s="105">
        <f>IF(I21&lt;=raw_materials!$D19,raw_materials!$C19,IF(I21&lt;=raw_materials!$F19,raw_materials!$E19,IF(I21&lt;=raw_materials!$H19,raw_materials!$G19,0)))</f>
        <v>1</v>
      </c>
      <c r="J30" s="105">
        <f>IF(J21&lt;=raw_materials!$D19,raw_materials!$C19,IF(J21&lt;=raw_materials!$F19,raw_materials!$E19,IF(J21&lt;=raw_materials!$H19,raw_materials!$G19,0)))</f>
        <v>1</v>
      </c>
      <c r="K30" s="105">
        <f>IF(K21&lt;=raw_materials!$D19,raw_materials!$C19,IF(K21&lt;=raw_materials!$F19,raw_materials!$E19,IF(K21&lt;=raw_materials!$H19,raw_materials!$G19,0)))</f>
        <v>1</v>
      </c>
      <c r="L30" s="105">
        <f>IF(L21&lt;=raw_materials!$D19,raw_materials!$C19,IF(L21&lt;=raw_materials!$F19,raw_materials!$E19,IF(L21&lt;=raw_materials!$H19,raw_materials!$G19,0)))</f>
        <v>1</v>
      </c>
      <c r="M30" s="105">
        <f>IF(M21&lt;=raw_materials!$D19,raw_materials!$C19,IF(M21&lt;=raw_materials!$F19,raw_materials!$E19,IF(M21&lt;=raw_materials!$H19,raw_materials!$G19,0)))</f>
        <v>1</v>
      </c>
      <c r="N30" s="105">
        <f>IF(N21&lt;=raw_materials!$D19,raw_materials!$C19,IF(N21&lt;=raw_materials!$F19,raw_materials!$E19,IF(N21&lt;=raw_materials!$H19,raw_materials!$G19,0)))</f>
        <v>1</v>
      </c>
    </row>
    <row r="31" spans="2:14" x14ac:dyDescent="0.25">
      <c r="B31" s="104" t="s">
        <v>107</v>
      </c>
      <c r="C31" s="105">
        <f>IF(C22&lt;=raw_materials!$D20,raw_materials!$C20,IF(C22&lt;=raw_materials!$F20,raw_materials!$E20,IF(C22&lt;=raw_materials!$H20,raw_materials!$G20,0)))</f>
        <v>1</v>
      </c>
      <c r="D31" s="105">
        <f>IF(D22&lt;=raw_materials!$D20,raw_materials!$C20,IF(D22&lt;=raw_materials!$F20,raw_materials!$E20,IF(D22&lt;=raw_materials!$H20,raw_materials!$G20,0)))</f>
        <v>1</v>
      </c>
      <c r="E31" s="105">
        <f>IF(E22&lt;=raw_materials!$D20,raw_materials!$C20,IF(E22&lt;=raw_materials!$F20,raw_materials!$E20,IF(E22&lt;=raw_materials!$H20,raw_materials!$G20,0)))</f>
        <v>1</v>
      </c>
      <c r="F31" s="105">
        <f>IF(F22&lt;=raw_materials!$D20,raw_materials!$C20,IF(F22&lt;=raw_materials!$F20,raw_materials!$E20,IF(F22&lt;=raw_materials!$H20,raw_materials!$G20,0)))</f>
        <v>1</v>
      </c>
      <c r="G31" s="105">
        <f>IF(G22&lt;=raw_materials!$D20,raw_materials!$C20,IF(G22&lt;=raw_materials!$F20,raw_materials!$E20,IF(G22&lt;=raw_materials!$H20,raw_materials!$G20,0)))</f>
        <v>1</v>
      </c>
      <c r="H31" s="105">
        <f>IF(H22&lt;=raw_materials!$D20,raw_materials!$C20,IF(H22&lt;=raw_materials!$F20,raw_materials!$E20,IF(H22&lt;=raw_materials!$H20,raw_materials!$G20,0)))</f>
        <v>1</v>
      </c>
      <c r="I31" s="105">
        <f>IF(I22&lt;=raw_materials!$D20,raw_materials!$C20,IF(I22&lt;=raw_materials!$F20,raw_materials!$E20,IF(I22&lt;=raw_materials!$H20,raw_materials!$G20,0)))</f>
        <v>1</v>
      </c>
      <c r="J31" s="105">
        <f>IF(J22&lt;=raw_materials!$D20,raw_materials!$C20,IF(J22&lt;=raw_materials!$F20,raw_materials!$E20,IF(J22&lt;=raw_materials!$H20,raw_materials!$G20,0)))</f>
        <v>1</v>
      </c>
      <c r="K31" s="105">
        <f>IF(K22&lt;=raw_materials!$D20,raw_materials!$C20,IF(K22&lt;=raw_materials!$F20,raw_materials!$E20,IF(K22&lt;=raw_materials!$H20,raw_materials!$G20,0)))</f>
        <v>1</v>
      </c>
      <c r="L31" s="105">
        <f>IF(L22&lt;=raw_materials!$D20,raw_materials!$C20,IF(L22&lt;=raw_materials!$F20,raw_materials!$E20,IF(L22&lt;=raw_materials!$H20,raw_materials!$G20,0)))</f>
        <v>1</v>
      </c>
      <c r="M31" s="105">
        <f>IF(M22&lt;=raw_materials!$D20,raw_materials!$C20,IF(M22&lt;=raw_materials!$F20,raw_materials!$E20,IF(M22&lt;=raw_materials!$H20,raw_materials!$G20,0)))</f>
        <v>1</v>
      </c>
      <c r="N31" s="105">
        <f>IF(N22&lt;=raw_materials!$D20,raw_materials!$C20,IF(N22&lt;=raw_materials!$F20,raw_materials!$E20,IF(N22&lt;=raw_materials!$H20,raw_materials!$G20,0)))</f>
        <v>1</v>
      </c>
    </row>
    <row r="32" spans="2:14" x14ac:dyDescent="0.25">
      <c r="B32" s="104" t="s">
        <v>108</v>
      </c>
      <c r="C32" s="105">
        <f>IF(C23&lt;=raw_materials!$D21,raw_materials!$C21,IF(C23&lt;=raw_materials!$F21,raw_materials!$E21,IF(C23&lt;=raw_materials!$H21,raw_materials!$G21,0)))</f>
        <v>1</v>
      </c>
      <c r="D32" s="105">
        <f>IF(D23&lt;=raw_materials!$D21,raw_materials!$C21,IF(D23&lt;=raw_materials!$F21,raw_materials!$E21,IF(D23&lt;=raw_materials!$H21,raw_materials!$G21,0)))</f>
        <v>1</v>
      </c>
      <c r="E32" s="105">
        <f>IF(E23&lt;=raw_materials!$D21,raw_materials!$C21,IF(E23&lt;=raw_materials!$F21,raw_materials!$E21,IF(E23&lt;=raw_materials!$H21,raw_materials!$G21,0)))</f>
        <v>1</v>
      </c>
      <c r="F32" s="105">
        <f>IF(F23&lt;=raw_materials!$D21,raw_materials!$C21,IF(F23&lt;=raw_materials!$F21,raw_materials!$E21,IF(F23&lt;=raw_materials!$H21,raw_materials!$G21,0)))</f>
        <v>1</v>
      </c>
      <c r="G32" s="105">
        <f>IF(G23&lt;=raw_materials!$D21,raw_materials!$C21,IF(G23&lt;=raw_materials!$F21,raw_materials!$E21,IF(G23&lt;=raw_materials!$H21,raw_materials!$G21,0)))</f>
        <v>1</v>
      </c>
      <c r="H32" s="105">
        <f>IF(H23&lt;=raw_materials!$D21,raw_materials!$C21,IF(H23&lt;=raw_materials!$F21,raw_materials!$E21,IF(H23&lt;=raw_materials!$H21,raw_materials!$G21,0)))</f>
        <v>1</v>
      </c>
      <c r="I32" s="105">
        <f>IF(I23&lt;=raw_materials!$D21,raw_materials!$C21,IF(I23&lt;=raw_materials!$F21,raw_materials!$E21,IF(I23&lt;=raw_materials!$H21,raw_materials!$G21,0)))</f>
        <v>1</v>
      </c>
      <c r="J32" s="105">
        <f>IF(J23&lt;=raw_materials!$D21,raw_materials!$C21,IF(J23&lt;=raw_materials!$F21,raw_materials!$E21,IF(J23&lt;=raw_materials!$H21,raw_materials!$G21,0)))</f>
        <v>1</v>
      </c>
      <c r="K32" s="105">
        <f>IF(K23&lt;=raw_materials!$D21,raw_materials!$C21,IF(K23&lt;=raw_materials!$F21,raw_materials!$E21,IF(K23&lt;=raw_materials!$H21,raw_materials!$G21,0)))</f>
        <v>1</v>
      </c>
      <c r="L32" s="105">
        <f>IF(L23&lt;=raw_materials!$D21,raw_materials!$C21,IF(L23&lt;=raw_materials!$F21,raw_materials!$E21,IF(L23&lt;=raw_materials!$H21,raw_materials!$G21,0)))</f>
        <v>1</v>
      </c>
      <c r="M32" s="105">
        <f>IF(M23&lt;=raw_materials!$D21,raw_materials!$C21,IF(M23&lt;=raw_materials!$F21,raw_materials!$E21,IF(M23&lt;=raw_materials!$H21,raw_materials!$G21,0)))</f>
        <v>1</v>
      </c>
      <c r="N32" s="105">
        <f>IF(N23&lt;=raw_materials!$D21,raw_materials!$C21,IF(N23&lt;=raw_materials!$F21,raw_materials!$E21,IF(N23&lt;=raw_materials!$H21,raw_materials!$G21,0)))</f>
        <v>1</v>
      </c>
    </row>
    <row r="33" spans="2:50" x14ac:dyDescent="0.25">
      <c r="B33" s="104" t="s">
        <v>109</v>
      </c>
      <c r="C33" s="105">
        <f>IF(C24&lt;=raw_materials!$D22,raw_materials!$C22,IF(C24&lt;=raw_materials!$F22,raw_materials!$E22,IF(C24&lt;=raw_materials!$H22,raw_materials!$G22,0)))</f>
        <v>1</v>
      </c>
      <c r="D33" s="105">
        <f>IF(D24&lt;=raw_materials!$D22,raw_materials!$C22,IF(D24&lt;=raw_materials!$F22,raw_materials!$E22,IF(D24&lt;=raw_materials!$H22,raw_materials!$G22,0)))</f>
        <v>1</v>
      </c>
      <c r="E33" s="105">
        <f>IF(E24&lt;=raw_materials!$D22,raw_materials!$C22,IF(E24&lt;=raw_materials!$F22,raw_materials!$E22,IF(E24&lt;=raw_materials!$H22,raw_materials!$G22,0)))</f>
        <v>1</v>
      </c>
      <c r="F33" s="105">
        <f>IF(F24&lt;=raw_materials!$D22,raw_materials!$C22,IF(F24&lt;=raw_materials!$F22,raw_materials!$E22,IF(F24&lt;=raw_materials!$H22,raw_materials!$G22,0)))</f>
        <v>1</v>
      </c>
      <c r="G33" s="105">
        <f>IF(G24&lt;=raw_materials!$D22,raw_materials!$C22,IF(G24&lt;=raw_materials!$F22,raw_materials!$E22,IF(G24&lt;=raw_materials!$H22,raw_materials!$G22,0)))</f>
        <v>1</v>
      </c>
      <c r="H33" s="105">
        <f>IF(H24&lt;=raw_materials!$D22,raw_materials!$C22,IF(H24&lt;=raw_materials!$F22,raw_materials!$E22,IF(H24&lt;=raw_materials!$H22,raw_materials!$G22,0)))</f>
        <v>1</v>
      </c>
      <c r="I33" s="105">
        <f>IF(I24&lt;=raw_materials!$D22,raw_materials!$C22,IF(I24&lt;=raw_materials!$F22,raw_materials!$E22,IF(I24&lt;=raw_materials!$H22,raw_materials!$G22,0)))</f>
        <v>1</v>
      </c>
      <c r="J33" s="105">
        <f>IF(J24&lt;=raw_materials!$D22,raw_materials!$C22,IF(J24&lt;=raw_materials!$F22,raw_materials!$E22,IF(J24&lt;=raw_materials!$H22,raw_materials!$G22,0)))</f>
        <v>1</v>
      </c>
      <c r="K33" s="105">
        <f>IF(K24&lt;=raw_materials!$D22,raw_materials!$C22,IF(K24&lt;=raw_materials!$F22,raw_materials!$E22,IF(K24&lt;=raw_materials!$H22,raw_materials!$G22,0)))</f>
        <v>1</v>
      </c>
      <c r="L33" s="105">
        <f>IF(L24&lt;=raw_materials!$D22,raw_materials!$C22,IF(L24&lt;=raw_materials!$F22,raw_materials!$E22,IF(L24&lt;=raw_materials!$H22,raw_materials!$G22,0)))</f>
        <v>1</v>
      </c>
      <c r="M33" s="105">
        <f>IF(M24&lt;=raw_materials!$D22,raw_materials!$C22,IF(M24&lt;=raw_materials!$F22,raw_materials!$E22,IF(M24&lt;=raw_materials!$H22,raw_materials!$G22,0)))</f>
        <v>1</v>
      </c>
      <c r="N33" s="105">
        <f>IF(N24&lt;=raw_materials!$D22,raw_materials!$C22,IF(N24&lt;=raw_materials!$F22,raw_materials!$E22,IF(N24&lt;=raw_materials!$H22,raw_materials!$G22,0)))</f>
        <v>1</v>
      </c>
    </row>
    <row r="35" spans="2:50" x14ac:dyDescent="0.25">
      <c r="B35" s="108" t="s">
        <v>321</v>
      </c>
    </row>
    <row r="36" spans="2:50" x14ac:dyDescent="0.25">
      <c r="B36" s="175" t="s">
        <v>273</v>
      </c>
      <c r="C36" s="175" t="s">
        <v>92</v>
      </c>
      <c r="D36" s="106"/>
      <c r="E36" s="106"/>
      <c r="F36" s="106"/>
      <c r="G36" s="175" t="s">
        <v>93</v>
      </c>
      <c r="H36" s="106"/>
      <c r="I36" s="106"/>
      <c r="J36" s="106"/>
      <c r="K36" s="175" t="s">
        <v>94</v>
      </c>
      <c r="L36" s="106"/>
      <c r="M36" s="106"/>
      <c r="N36" s="106"/>
      <c r="O36" s="175" t="s">
        <v>95</v>
      </c>
      <c r="P36" s="106"/>
      <c r="Q36" s="106"/>
      <c r="R36" s="106"/>
      <c r="S36" s="175" t="s">
        <v>96</v>
      </c>
      <c r="T36" s="106"/>
      <c r="U36" s="106"/>
      <c r="V36" s="106"/>
      <c r="W36" s="175" t="s">
        <v>97</v>
      </c>
      <c r="X36" s="106"/>
      <c r="Y36" s="106"/>
      <c r="Z36" s="106"/>
      <c r="AA36" s="175" t="s">
        <v>98</v>
      </c>
      <c r="AB36" s="106"/>
      <c r="AC36" s="106"/>
      <c r="AD36" s="106"/>
      <c r="AE36" s="175" t="s">
        <v>99</v>
      </c>
      <c r="AF36" s="106"/>
      <c r="AG36" s="106"/>
      <c r="AH36" s="106"/>
      <c r="AI36" s="175" t="s">
        <v>100</v>
      </c>
      <c r="AJ36" s="106"/>
      <c r="AK36" s="106"/>
      <c r="AL36" s="106"/>
      <c r="AM36" s="175" t="s">
        <v>101</v>
      </c>
      <c r="AN36" s="106"/>
      <c r="AO36" s="106"/>
      <c r="AP36" s="106"/>
      <c r="AQ36" s="175" t="s">
        <v>102</v>
      </c>
      <c r="AR36" s="106"/>
      <c r="AS36" s="106"/>
      <c r="AT36" s="106"/>
      <c r="AU36" s="175" t="s">
        <v>103</v>
      </c>
      <c r="AV36" s="106"/>
      <c r="AW36" s="106"/>
      <c r="AX36" s="106"/>
    </row>
    <row r="37" spans="2:50" x14ac:dyDescent="0.25">
      <c r="B37" s="175" t="s">
        <v>322</v>
      </c>
      <c r="C37" s="175">
        <v>1</v>
      </c>
      <c r="D37" s="175">
        <v>2</v>
      </c>
      <c r="E37" s="175">
        <v>3</v>
      </c>
      <c r="F37" s="175">
        <v>4</v>
      </c>
      <c r="G37" s="175">
        <v>1</v>
      </c>
      <c r="H37" s="175">
        <v>2</v>
      </c>
      <c r="I37" s="175">
        <v>3</v>
      </c>
      <c r="J37" s="175">
        <v>4</v>
      </c>
      <c r="K37" s="175">
        <v>1</v>
      </c>
      <c r="L37" s="175">
        <v>2</v>
      </c>
      <c r="M37" s="175">
        <v>3</v>
      </c>
      <c r="N37" s="175">
        <v>4</v>
      </c>
      <c r="O37" s="175">
        <v>1</v>
      </c>
      <c r="P37" s="175">
        <v>2</v>
      </c>
      <c r="Q37" s="175">
        <v>3</v>
      </c>
      <c r="R37" s="175">
        <v>4</v>
      </c>
      <c r="S37" s="175">
        <v>1</v>
      </c>
      <c r="T37" s="175">
        <v>2</v>
      </c>
      <c r="U37" s="175">
        <v>3</v>
      </c>
      <c r="V37" s="175">
        <v>4</v>
      </c>
      <c r="W37" s="175">
        <v>1</v>
      </c>
      <c r="X37" s="175">
        <v>2</v>
      </c>
      <c r="Y37" s="175">
        <v>3</v>
      </c>
      <c r="Z37" s="175">
        <v>4</v>
      </c>
      <c r="AA37" s="175">
        <v>1</v>
      </c>
      <c r="AB37" s="175">
        <v>2</v>
      </c>
      <c r="AC37" s="175">
        <v>3</v>
      </c>
      <c r="AD37" s="175">
        <v>4</v>
      </c>
      <c r="AE37" s="175">
        <v>1</v>
      </c>
      <c r="AF37" s="175">
        <v>2</v>
      </c>
      <c r="AG37" s="175">
        <v>3</v>
      </c>
      <c r="AH37" s="175">
        <v>4</v>
      </c>
      <c r="AI37" s="175">
        <v>1</v>
      </c>
      <c r="AJ37" s="175">
        <v>2</v>
      </c>
      <c r="AK37" s="175">
        <v>3</v>
      </c>
      <c r="AL37" s="175">
        <v>4</v>
      </c>
      <c r="AM37" s="175">
        <v>1</v>
      </c>
      <c r="AN37" s="175">
        <v>2</v>
      </c>
      <c r="AO37" s="175">
        <v>3</v>
      </c>
      <c r="AP37" s="175">
        <v>4</v>
      </c>
      <c r="AQ37" s="175">
        <v>1</v>
      </c>
      <c r="AR37" s="175">
        <v>2</v>
      </c>
      <c r="AS37" s="175">
        <v>3</v>
      </c>
      <c r="AT37" s="175">
        <v>4</v>
      </c>
      <c r="AU37" s="175">
        <v>1</v>
      </c>
      <c r="AV37" s="175">
        <v>2</v>
      </c>
      <c r="AW37" s="175">
        <v>3</v>
      </c>
      <c r="AX37" s="175">
        <v>4</v>
      </c>
    </row>
    <row r="38" spans="2:50" x14ac:dyDescent="0.25">
      <c r="B38" s="175" t="s">
        <v>104</v>
      </c>
      <c r="C38" s="105">
        <v>25054.902514011505</v>
      </c>
      <c r="D38" s="105">
        <v>25109.81675262624</v>
      </c>
      <c r="E38" s="105">
        <v>25164.733912812586</v>
      </c>
      <c r="F38" s="105">
        <v>25219.64518704552</v>
      </c>
      <c r="G38" s="105">
        <v>25274.541764850626</v>
      </c>
      <c r="H38" s="105">
        <v>25329.41483434946</v>
      </c>
      <c r="I38" s="105">
        <v>25384.255583806131</v>
      </c>
      <c r="J38" s="105">
        <v>25439.055203174696</v>
      </c>
      <c r="K38" s="105">
        <v>25493.804885647136</v>
      </c>
      <c r="L38" s="105">
        <v>25548.495829201689</v>
      </c>
      <c r="M38" s="105">
        <v>25603.119238151201</v>
      </c>
      <c r="N38" s="105">
        <v>25657.666324691218</v>
      </c>
      <c r="O38" s="105">
        <v>25712.128310447646</v>
      </c>
      <c r="P38" s="105">
        <v>25766.496428023554</v>
      </c>
      <c r="Q38" s="105">
        <v>25820.761922544945</v>
      </c>
      <c r="R38" s="105">
        <v>25874.916053205223</v>
      </c>
      <c r="S38" s="105">
        <v>25928.950094808049</v>
      </c>
      <c r="T38" s="105">
        <v>25982.855339308269</v>
      </c>
      <c r="U38" s="105">
        <v>26036.623097350748</v>
      </c>
      <c r="V38" s="105">
        <v>26090.24469980675</v>
      </c>
      <c r="W38" s="105">
        <v>26143.711499307632</v>
      </c>
      <c r="X38" s="105">
        <v>26197.014871775551</v>
      </c>
      <c r="Y38" s="105">
        <v>26250.146217950878</v>
      </c>
      <c r="Z38" s="105">
        <v>18412.167875441355</v>
      </c>
      <c r="AA38" s="105">
        <v>26355.858567616488</v>
      </c>
      <c r="AB38" s="105">
        <v>26408.422510375025</v>
      </c>
      <c r="AC38" s="105">
        <v>26460.780308405316</v>
      </c>
      <c r="AD38" s="105">
        <v>26512.923509318131</v>
      </c>
      <c r="AE38" s="105">
        <v>26564.8436946238</v>
      </c>
      <c r="AF38" s="105">
        <v>26616.532481229282</v>
      </c>
      <c r="AG38" s="105">
        <v>26667.981522929855</v>
      </c>
      <c r="AH38" s="105">
        <v>26719.182511895149</v>
      </c>
      <c r="AI38" s="105">
        <v>26770.127180149142</v>
      </c>
      <c r="AJ38" s="105">
        <v>26820.807301044035</v>
      </c>
      <c r="AK38" s="105">
        <v>26871.21469072756</v>
      </c>
      <c r="AL38" s="105">
        <v>26921.341209603564</v>
      </c>
      <c r="AM38" s="105">
        <v>26971.178763785614</v>
      </c>
      <c r="AN38" s="105">
        <v>18914.503514580269</v>
      </c>
      <c r="AO38" s="105">
        <v>18948.968387818528</v>
      </c>
      <c r="AP38" s="105">
        <v>18983.2141906877</v>
      </c>
      <c r="AQ38" s="105">
        <v>27167.47913646403</v>
      </c>
      <c r="AR38" s="105">
        <v>27215.752159530173</v>
      </c>
      <c r="AS38" s="105">
        <v>27263.688694937566</v>
      </c>
      <c r="AT38" s="105">
        <v>27311.281008823513</v>
      </c>
      <c r="AU38" s="105">
        <v>27358.521424379818</v>
      </c>
      <c r="AV38" s="105">
        <v>27405.40232323145</v>
      </c>
      <c r="AW38" s="105">
        <v>27451.916146805794</v>
      </c>
      <c r="AX38" s="105">
        <v>27498.055397691911</v>
      </c>
    </row>
    <row r="39" spans="2:50" x14ac:dyDescent="0.25">
      <c r="B39" s="175" t="s">
        <v>105</v>
      </c>
      <c r="C39" s="105">
        <v>15032.941508406904</v>
      </c>
      <c r="D39" s="105">
        <v>15065.890051575743</v>
      </c>
      <c r="E39" s="105">
        <v>15098.84034768755</v>
      </c>
      <c r="F39" s="105">
        <v>15131.787112227312</v>
      </c>
      <c r="G39" s="105">
        <v>15164.725058910377</v>
      </c>
      <c r="H39" s="105">
        <v>15197.648900609674</v>
      </c>
      <c r="I39" s="105">
        <v>15230.553350283679</v>
      </c>
      <c r="J39" s="105">
        <v>15263.433121904818</v>
      </c>
      <c r="K39" s="105">
        <v>15296.282931388283</v>
      </c>
      <c r="L39" s="105">
        <v>10730.368248264709</v>
      </c>
      <c r="M39" s="105">
        <v>15361.87154289072</v>
      </c>
      <c r="N39" s="105">
        <v>10776.21985637031</v>
      </c>
      <c r="O39" s="105">
        <v>10799.093890388011</v>
      </c>
      <c r="P39" s="105">
        <v>10821.928499769892</v>
      </c>
      <c r="Q39" s="105">
        <v>10844.720007468877</v>
      </c>
      <c r="R39" s="105">
        <v>15524.949631923135</v>
      </c>
      <c r="S39" s="105">
        <v>1555.7370056884831</v>
      </c>
      <c r="T39" s="105">
        <v>1558.9713203584963</v>
      </c>
      <c r="U39" s="105">
        <v>1562.1973858410449</v>
      </c>
      <c r="V39" s="105">
        <v>15654.14681988405</v>
      </c>
      <c r="W39" s="105">
        <v>15686.226899584581</v>
      </c>
      <c r="X39" s="105">
        <v>15718.208923065331</v>
      </c>
      <c r="Y39" s="105">
        <v>15750.087730770527</v>
      </c>
      <c r="Z39" s="105">
        <v>15781.858178949733</v>
      </c>
      <c r="AA39" s="105">
        <v>15813.515140569893</v>
      </c>
      <c r="AB39" s="105">
        <v>15845.053506225015</v>
      </c>
      <c r="AC39" s="105">
        <v>15876.468185043188</v>
      </c>
      <c r="AD39" s="105">
        <v>15907.754105590879</v>
      </c>
      <c r="AE39" s="105">
        <v>1593.890621677428</v>
      </c>
      <c r="AF39" s="105">
        <v>15969.919488737569</v>
      </c>
      <c r="AG39" s="105">
        <v>16000.788913757913</v>
      </c>
      <c r="AH39" s="105">
        <v>16031.509507137089</v>
      </c>
      <c r="AI39" s="105">
        <v>16062.076308089485</v>
      </c>
      <c r="AJ39" s="105">
        <v>11264.739066438493</v>
      </c>
      <c r="AK39" s="105">
        <v>11285.910170105573</v>
      </c>
      <c r="AL39" s="105">
        <v>16152.80472576214</v>
      </c>
      <c r="AM39" s="105">
        <v>16182.707258271368</v>
      </c>
      <c r="AN39" s="105">
        <v>16212.431583925947</v>
      </c>
      <c r="AO39" s="105">
        <v>16241.972903844453</v>
      </c>
      <c r="AP39" s="105">
        <v>16271.326449160888</v>
      </c>
      <c r="AQ39" s="105">
        <v>16300.487481878417</v>
      </c>
      <c r="AR39" s="105">
        <v>16329.451295718105</v>
      </c>
      <c r="AS39" s="105">
        <v>16358.213216962538</v>
      </c>
      <c r="AT39" s="105">
        <v>16386.768605294106</v>
      </c>
      <c r="AU39" s="105">
        <v>16415.112854627889</v>
      </c>
      <c r="AV39" s="105">
        <v>16443.241393938872</v>
      </c>
      <c r="AW39" s="105">
        <v>16471.149688083475</v>
      </c>
      <c r="AX39" s="105">
        <v>16498.833238615145</v>
      </c>
    </row>
    <row r="40" spans="2:50" x14ac:dyDescent="0.25">
      <c r="B40" s="175" t="s">
        <v>106</v>
      </c>
      <c r="C40" s="105">
        <v>5010.9805028023011</v>
      </c>
      <c r="D40" s="105">
        <v>5021.9633505252477</v>
      </c>
      <c r="E40" s="105">
        <v>5032.946782562517</v>
      </c>
      <c r="F40" s="105">
        <v>5043.9290374091042</v>
      </c>
      <c r="G40" s="105">
        <v>5054.9083529701256</v>
      </c>
      <c r="H40" s="105">
        <v>5065.8829668698918</v>
      </c>
      <c r="I40" s="105">
        <v>5076.851116761226</v>
      </c>
      <c r="J40" s="105">
        <v>5087.8110406349388</v>
      </c>
      <c r="K40" s="105">
        <v>3569.1326839905992</v>
      </c>
      <c r="L40" s="105">
        <v>3576.7894160882365</v>
      </c>
      <c r="M40" s="105">
        <v>3584.4366933411679</v>
      </c>
      <c r="N40" s="105">
        <v>5131.5332649382435</v>
      </c>
      <c r="O40" s="105">
        <v>5142.4256620895294</v>
      </c>
      <c r="P40" s="105">
        <v>5153.2992856047113</v>
      </c>
      <c r="Q40" s="105">
        <v>5164.1523845089887</v>
      </c>
      <c r="R40" s="105">
        <v>5174.9832106410449</v>
      </c>
      <c r="S40" s="105">
        <v>5185.7900189616103</v>
      </c>
      <c r="T40" s="105">
        <v>5196.5710678616542</v>
      </c>
      <c r="U40" s="105">
        <v>5207.3246194701496</v>
      </c>
      <c r="V40" s="105">
        <v>5218.0489399613498</v>
      </c>
      <c r="W40" s="105">
        <v>5228.7422998615266</v>
      </c>
      <c r="X40" s="105">
        <v>5239.40297435511</v>
      </c>
      <c r="Y40" s="105">
        <v>5250.0292435901756</v>
      </c>
      <c r="Z40" s="105">
        <v>5260.6193929832443</v>
      </c>
      <c r="AA40" s="105">
        <v>5271.1717135232975</v>
      </c>
      <c r="AB40" s="105">
        <v>5281.6845020750052</v>
      </c>
      <c r="AC40" s="105">
        <v>2116.8624246724253</v>
      </c>
      <c r="AD40" s="105">
        <v>3711.8092913045384</v>
      </c>
      <c r="AE40" s="105">
        <v>5312.9687389247601</v>
      </c>
      <c r="AF40" s="105">
        <v>5323.3064962458566</v>
      </c>
      <c r="AG40" s="105">
        <v>5333.5963045859717</v>
      </c>
      <c r="AH40" s="105">
        <v>5343.8365023790293</v>
      </c>
      <c r="AI40" s="105">
        <v>5354.0254360298286</v>
      </c>
      <c r="AJ40" s="105">
        <v>5364.1614602088066</v>
      </c>
      <c r="AK40" s="105">
        <v>5374.2429381455113</v>
      </c>
      <c r="AL40" s="105">
        <v>5384.2682419207131</v>
      </c>
      <c r="AM40" s="105">
        <v>5394.2357527571221</v>
      </c>
      <c r="AN40" s="105">
        <v>5404.1438613086484</v>
      </c>
      <c r="AO40" s="105">
        <v>5413.9909679481507</v>
      </c>
      <c r="AP40" s="105">
        <v>5423.7754830536296</v>
      </c>
      <c r="AQ40" s="105">
        <v>5433.4958272928061</v>
      </c>
      <c r="AR40" s="105">
        <v>3810.2053023342241</v>
      </c>
      <c r="AS40" s="105">
        <v>5452.7377389875128</v>
      </c>
      <c r="AT40" s="105">
        <v>5462.2562017647024</v>
      </c>
      <c r="AU40" s="105">
        <v>5471.7042848759638</v>
      </c>
      <c r="AV40" s="105">
        <v>5481.0804646462902</v>
      </c>
      <c r="AW40" s="105">
        <v>5490.3832293611586</v>
      </c>
      <c r="AX40" s="105">
        <v>5499.611079538382</v>
      </c>
    </row>
    <row r="41" spans="2:50" x14ac:dyDescent="0.25">
      <c r="B41" s="175" t="s">
        <v>107</v>
      </c>
      <c r="C41" s="105">
        <v>3006.5883016813805</v>
      </c>
      <c r="D41" s="105">
        <v>3013.1780103151486</v>
      </c>
      <c r="E41" s="105">
        <v>3019.7680695375102</v>
      </c>
      <c r="F41" s="105">
        <v>3026.3574224454624</v>
      </c>
      <c r="G41" s="105">
        <v>3032.9450117820752</v>
      </c>
      <c r="H41" s="105">
        <v>3039.5297801219349</v>
      </c>
      <c r="I41" s="105">
        <v>2132.277469039715</v>
      </c>
      <c r="J41" s="105">
        <v>3052.6866243809636</v>
      </c>
      <c r="K41" s="105">
        <v>3059.2565862776564</v>
      </c>
      <c r="L41" s="105">
        <v>3065.8194995042027</v>
      </c>
      <c r="M41" s="105">
        <v>2150.6620160047005</v>
      </c>
      <c r="N41" s="105">
        <v>3078.9199589629461</v>
      </c>
      <c r="O41" s="105">
        <v>3085.4553972537178</v>
      </c>
      <c r="P41" s="105">
        <v>3091.9795713628264</v>
      </c>
      <c r="Q41" s="105">
        <v>3098.4914307053937</v>
      </c>
      <c r="R41" s="105">
        <v>3104.9899263846269</v>
      </c>
      <c r="S41" s="105">
        <v>2178.031807963876</v>
      </c>
      <c r="T41" s="105">
        <v>3117.9426407169926</v>
      </c>
      <c r="U41" s="105">
        <v>3124.3947716820899</v>
      </c>
      <c r="V41" s="105">
        <v>3130.8293639768099</v>
      </c>
      <c r="W41" s="105">
        <v>3137.2453799169161</v>
      </c>
      <c r="X41" s="105">
        <v>3143.6417846130662</v>
      </c>
      <c r="Y41" s="105">
        <v>3150.0175461541053</v>
      </c>
      <c r="Z41" s="105">
        <v>3156.3716357899466</v>
      </c>
      <c r="AA41" s="105">
        <v>3162.7030281139782</v>
      </c>
      <c r="AB41" s="105">
        <v>3169.010701245003</v>
      </c>
      <c r="AC41" s="105">
        <v>3175.2936370086377</v>
      </c>
      <c r="AD41" s="105">
        <v>3181.5508211181759</v>
      </c>
      <c r="AE41" s="105">
        <v>3187.7812433548561</v>
      </c>
      <c r="AF41" s="105">
        <v>3193.9838977475138</v>
      </c>
      <c r="AG41" s="105">
        <v>3200.1577827515825</v>
      </c>
      <c r="AH41" s="105">
        <v>3206.3019014274178</v>
      </c>
      <c r="AI41" s="105">
        <v>3212.4152616178967</v>
      </c>
      <c r="AJ41" s="105">
        <v>3218.496876125284</v>
      </c>
      <c r="AK41" s="105">
        <v>3224.5457628873069</v>
      </c>
      <c r="AL41" s="105">
        <v>3230.5609451524278</v>
      </c>
      <c r="AM41" s="105">
        <v>3236.5414516542737</v>
      </c>
      <c r="AN41" s="105">
        <v>3242.486316785189</v>
      </c>
      <c r="AO41" s="105">
        <v>3248.3945807688906</v>
      </c>
      <c r="AP41" s="105">
        <v>3254.2652898321776</v>
      </c>
      <c r="AQ41" s="105">
        <v>3260.0974963756835</v>
      </c>
      <c r="AR41" s="105">
        <v>3265.8902591436208</v>
      </c>
      <c r="AS41" s="105">
        <v>3271.6426433925076</v>
      </c>
      <c r="AT41" s="105">
        <v>3277.3537210588215</v>
      </c>
      <c r="AU41" s="105">
        <v>3283.0225709255783</v>
      </c>
      <c r="AV41" s="105">
        <v>3288.648278787774</v>
      </c>
      <c r="AW41" s="105">
        <v>3294.2299376166952</v>
      </c>
      <c r="AX41" s="105">
        <v>3299.7666477230291</v>
      </c>
    </row>
    <row r="42" spans="2:50" x14ac:dyDescent="0.25">
      <c r="B42" s="175" t="s">
        <v>108</v>
      </c>
      <c r="C42" s="105">
        <v>10000000</v>
      </c>
      <c r="D42" s="105">
        <v>10000000</v>
      </c>
      <c r="E42" s="105">
        <v>10000000</v>
      </c>
      <c r="F42" s="105">
        <v>10000000</v>
      </c>
      <c r="G42" s="105">
        <v>10000000</v>
      </c>
      <c r="H42" s="105">
        <v>10000000</v>
      </c>
      <c r="I42" s="105">
        <v>10000000</v>
      </c>
      <c r="J42" s="105">
        <v>10000000</v>
      </c>
      <c r="K42" s="105">
        <v>10000000</v>
      </c>
      <c r="L42" s="105">
        <v>10000000</v>
      </c>
      <c r="M42" s="105">
        <v>10000000</v>
      </c>
      <c r="N42" s="105">
        <v>10000000</v>
      </c>
      <c r="O42" s="105">
        <v>10000000</v>
      </c>
      <c r="P42" s="105">
        <v>10000000</v>
      </c>
      <c r="Q42" s="105">
        <v>10000000</v>
      </c>
      <c r="R42" s="105">
        <v>10000000</v>
      </c>
      <c r="S42" s="105">
        <v>10000000</v>
      </c>
      <c r="T42" s="105">
        <v>10000000</v>
      </c>
      <c r="U42" s="105">
        <v>10000000</v>
      </c>
      <c r="V42" s="105">
        <v>10000000</v>
      </c>
      <c r="W42" s="105">
        <v>10000000</v>
      </c>
      <c r="X42" s="105">
        <v>10000000</v>
      </c>
      <c r="Y42" s="105">
        <v>10000000</v>
      </c>
      <c r="Z42" s="105">
        <v>10000000</v>
      </c>
      <c r="AA42" s="105">
        <v>10000000</v>
      </c>
      <c r="AB42" s="105">
        <v>10000000</v>
      </c>
      <c r="AC42" s="105">
        <v>10000000</v>
      </c>
      <c r="AD42" s="105">
        <v>10000000</v>
      </c>
      <c r="AE42" s="105">
        <v>10000000</v>
      </c>
      <c r="AF42" s="105">
        <v>10000000</v>
      </c>
      <c r="AG42" s="105">
        <v>10000000</v>
      </c>
      <c r="AH42" s="105">
        <v>10000000</v>
      </c>
      <c r="AI42" s="105">
        <v>10000000</v>
      </c>
      <c r="AJ42" s="105">
        <v>10000000</v>
      </c>
      <c r="AK42" s="105">
        <v>10000000</v>
      </c>
      <c r="AL42" s="105">
        <v>10000000</v>
      </c>
      <c r="AM42" s="105">
        <v>10000000</v>
      </c>
      <c r="AN42" s="105">
        <v>10000000</v>
      </c>
      <c r="AO42" s="105">
        <v>10000000</v>
      </c>
      <c r="AP42" s="105">
        <v>10000000</v>
      </c>
      <c r="AQ42" s="105">
        <v>10000000</v>
      </c>
      <c r="AR42" s="105">
        <v>10000000</v>
      </c>
      <c r="AS42" s="105">
        <v>10000000</v>
      </c>
      <c r="AT42" s="105">
        <v>10000000</v>
      </c>
      <c r="AU42" s="105">
        <v>10000000</v>
      </c>
      <c r="AV42" s="105">
        <v>10000000</v>
      </c>
      <c r="AW42" s="105">
        <v>10000000</v>
      </c>
      <c r="AX42" s="105">
        <v>10000000</v>
      </c>
    </row>
    <row r="43" spans="2:50" x14ac:dyDescent="0.25">
      <c r="B43" s="175" t="s">
        <v>109</v>
      </c>
      <c r="C43" s="105">
        <v>10000000</v>
      </c>
      <c r="D43" s="105">
        <v>10000000</v>
      </c>
      <c r="E43" s="105">
        <v>10000000</v>
      </c>
      <c r="F43" s="105">
        <v>10000000</v>
      </c>
      <c r="G43" s="105">
        <v>10000000</v>
      </c>
      <c r="H43" s="105">
        <v>10000000</v>
      </c>
      <c r="I43" s="105">
        <v>10000000</v>
      </c>
      <c r="J43" s="105">
        <v>10000000</v>
      </c>
      <c r="K43" s="105">
        <v>10000000</v>
      </c>
      <c r="L43" s="105">
        <v>10000000</v>
      </c>
      <c r="M43" s="105">
        <v>10000000</v>
      </c>
      <c r="N43" s="105">
        <v>10000000</v>
      </c>
      <c r="O43" s="105">
        <v>10000000</v>
      </c>
      <c r="P43" s="105">
        <v>10000000</v>
      </c>
      <c r="Q43" s="105">
        <v>10000000</v>
      </c>
      <c r="R43" s="105">
        <v>10000000</v>
      </c>
      <c r="S43" s="105">
        <v>10000000</v>
      </c>
      <c r="T43" s="105">
        <v>10000000</v>
      </c>
      <c r="U43" s="105">
        <v>10000000</v>
      </c>
      <c r="V43" s="105">
        <v>10000000</v>
      </c>
      <c r="W43" s="105">
        <v>10000000</v>
      </c>
      <c r="X43" s="105">
        <v>10000000</v>
      </c>
      <c r="Y43" s="105">
        <v>10000000</v>
      </c>
      <c r="Z43" s="105">
        <v>10000000</v>
      </c>
      <c r="AA43" s="105">
        <v>10000000</v>
      </c>
      <c r="AB43" s="105">
        <v>10000000</v>
      </c>
      <c r="AC43" s="105">
        <v>10000000</v>
      </c>
      <c r="AD43" s="105">
        <v>10000000</v>
      </c>
      <c r="AE43" s="105">
        <v>10000000</v>
      </c>
      <c r="AF43" s="105">
        <v>10000000</v>
      </c>
      <c r="AG43" s="105">
        <v>10000000</v>
      </c>
      <c r="AH43" s="105">
        <v>10000000</v>
      </c>
      <c r="AI43" s="105">
        <v>10000000</v>
      </c>
      <c r="AJ43" s="105">
        <v>10000000</v>
      </c>
      <c r="AK43" s="105">
        <v>10000000</v>
      </c>
      <c r="AL43" s="105">
        <v>10000000</v>
      </c>
      <c r="AM43" s="105">
        <v>10000000</v>
      </c>
      <c r="AN43" s="105">
        <v>10000000</v>
      </c>
      <c r="AO43" s="105">
        <v>10000000</v>
      </c>
      <c r="AP43" s="105">
        <v>10000000</v>
      </c>
      <c r="AQ43" s="105">
        <v>10000000</v>
      </c>
      <c r="AR43" s="105">
        <v>10000000</v>
      </c>
      <c r="AS43" s="105">
        <v>10000000</v>
      </c>
      <c r="AT43" s="105">
        <v>10000000</v>
      </c>
      <c r="AU43" s="105">
        <v>10000000</v>
      </c>
      <c r="AV43" s="105">
        <v>10000000</v>
      </c>
      <c r="AW43" s="105">
        <v>10000000</v>
      </c>
      <c r="AX43" s="105">
        <v>10000000</v>
      </c>
    </row>
    <row r="45" spans="2:50" x14ac:dyDescent="0.25">
      <c r="B45" s="108" t="s">
        <v>323</v>
      </c>
    </row>
    <row r="46" spans="2:50" x14ac:dyDescent="0.25">
      <c r="B46" s="104" t="s">
        <v>273</v>
      </c>
      <c r="C46" s="104" t="s">
        <v>92</v>
      </c>
      <c r="D46" s="106"/>
      <c r="E46" s="106"/>
      <c r="F46" s="106"/>
      <c r="G46" s="104" t="s">
        <v>93</v>
      </c>
      <c r="H46" s="106"/>
      <c r="I46" s="106"/>
      <c r="J46" s="106"/>
      <c r="K46" s="104" t="s">
        <v>94</v>
      </c>
      <c r="L46" s="106"/>
      <c r="M46" s="106"/>
      <c r="N46" s="106"/>
      <c r="O46" s="104" t="s">
        <v>95</v>
      </c>
      <c r="P46" s="106"/>
      <c r="Q46" s="106"/>
      <c r="R46" s="106"/>
      <c r="S46" s="104" t="s">
        <v>96</v>
      </c>
      <c r="T46" s="106"/>
      <c r="U46" s="106"/>
      <c r="V46" s="106"/>
      <c r="W46" s="104" t="s">
        <v>97</v>
      </c>
      <c r="X46" s="106"/>
      <c r="Y46" s="106"/>
      <c r="Z46" s="106"/>
      <c r="AA46" s="104" t="s">
        <v>98</v>
      </c>
      <c r="AB46" s="106"/>
      <c r="AC46" s="106"/>
      <c r="AD46" s="106"/>
      <c r="AE46" s="104" t="s">
        <v>99</v>
      </c>
      <c r="AF46" s="106"/>
      <c r="AG46" s="106"/>
      <c r="AH46" s="106"/>
      <c r="AI46" s="104" t="s">
        <v>100</v>
      </c>
      <c r="AJ46" s="106"/>
      <c r="AK46" s="106"/>
      <c r="AL46" s="106"/>
      <c r="AM46" s="104" t="s">
        <v>101</v>
      </c>
      <c r="AN46" s="106"/>
      <c r="AO46" s="106"/>
      <c r="AP46" s="106"/>
      <c r="AQ46" s="104" t="s">
        <v>102</v>
      </c>
      <c r="AR46" s="106"/>
      <c r="AS46" s="106"/>
      <c r="AT46" s="106"/>
      <c r="AU46" s="104" t="s">
        <v>103</v>
      </c>
      <c r="AV46" s="106"/>
      <c r="AW46" s="106"/>
    </row>
    <row r="47" spans="2:50" x14ac:dyDescent="0.25">
      <c r="B47" s="104" t="s">
        <v>324</v>
      </c>
      <c r="C47" s="104">
        <v>1</v>
      </c>
      <c r="D47" s="104">
        <v>2</v>
      </c>
      <c r="E47" s="104">
        <v>3</v>
      </c>
      <c r="F47" s="104">
        <v>4</v>
      </c>
      <c r="G47" s="104">
        <v>1</v>
      </c>
      <c r="H47" s="104">
        <v>2</v>
      </c>
      <c r="I47" s="104">
        <v>3</v>
      </c>
      <c r="J47" s="104">
        <v>4</v>
      </c>
      <c r="K47" s="104">
        <v>1</v>
      </c>
      <c r="L47" s="104">
        <v>2</v>
      </c>
      <c r="M47" s="104">
        <v>3</v>
      </c>
      <c r="N47" s="104">
        <v>4</v>
      </c>
      <c r="O47" s="104">
        <v>1</v>
      </c>
      <c r="P47" s="104">
        <v>2</v>
      </c>
      <c r="Q47" s="104">
        <v>3</v>
      </c>
      <c r="R47" s="104">
        <v>4</v>
      </c>
      <c r="S47" s="104">
        <v>1</v>
      </c>
      <c r="T47" s="104">
        <v>2</v>
      </c>
      <c r="U47" s="104">
        <v>3</v>
      </c>
      <c r="V47" s="104">
        <v>4</v>
      </c>
      <c r="W47" s="104">
        <v>1</v>
      </c>
      <c r="X47" s="104">
        <v>2</v>
      </c>
      <c r="Y47" s="104">
        <v>3</v>
      </c>
      <c r="Z47" s="104">
        <v>4</v>
      </c>
      <c r="AA47" s="104">
        <v>1</v>
      </c>
      <c r="AB47" s="104">
        <v>2</v>
      </c>
      <c r="AC47" s="104">
        <v>3</v>
      </c>
      <c r="AD47" s="104">
        <v>4</v>
      </c>
      <c r="AE47" s="104">
        <v>1</v>
      </c>
      <c r="AF47" s="104">
        <v>2</v>
      </c>
      <c r="AG47" s="104">
        <v>3</v>
      </c>
      <c r="AH47" s="104">
        <v>4</v>
      </c>
      <c r="AI47" s="104">
        <v>1</v>
      </c>
      <c r="AJ47" s="104">
        <v>2</v>
      </c>
      <c r="AK47" s="104">
        <v>3</v>
      </c>
      <c r="AL47" s="104">
        <v>4</v>
      </c>
      <c r="AM47" s="104">
        <v>1</v>
      </c>
      <c r="AN47" s="104">
        <v>2</v>
      </c>
      <c r="AO47" s="104">
        <v>3</v>
      </c>
      <c r="AP47" s="104">
        <v>4</v>
      </c>
      <c r="AQ47" s="104">
        <v>1</v>
      </c>
      <c r="AR47" s="104">
        <v>2</v>
      </c>
      <c r="AS47" s="104">
        <v>3</v>
      </c>
      <c r="AT47" s="104">
        <v>4</v>
      </c>
      <c r="AU47" s="104">
        <v>1</v>
      </c>
      <c r="AV47" s="104">
        <v>2</v>
      </c>
      <c r="AW47" s="104">
        <v>3</v>
      </c>
      <c r="AX47" s="104">
        <v>4</v>
      </c>
    </row>
    <row r="48" spans="2:50" x14ac:dyDescent="0.25">
      <c r="B48" s="104" t="s">
        <v>104</v>
      </c>
      <c r="C48" s="105">
        <v>0</v>
      </c>
      <c r="D48" s="105">
        <v>0</v>
      </c>
      <c r="E48" s="105">
        <v>0</v>
      </c>
      <c r="F48" s="105">
        <v>0</v>
      </c>
      <c r="G48" s="105">
        <v>0</v>
      </c>
      <c r="H48" s="105">
        <v>0</v>
      </c>
      <c r="I48" s="105">
        <v>0</v>
      </c>
      <c r="J48" s="105">
        <v>0</v>
      </c>
      <c r="K48" s="105">
        <v>0</v>
      </c>
      <c r="L48" s="105">
        <v>0</v>
      </c>
      <c r="M48" s="105">
        <v>0</v>
      </c>
      <c r="N48" s="105">
        <v>0</v>
      </c>
      <c r="O48" s="105">
        <v>0</v>
      </c>
      <c r="P48" s="105">
        <v>0</v>
      </c>
      <c r="Q48" s="105">
        <v>0</v>
      </c>
      <c r="R48" s="105">
        <v>0</v>
      </c>
      <c r="S48" s="105">
        <v>0</v>
      </c>
      <c r="T48" s="105">
        <v>0</v>
      </c>
      <c r="U48" s="105">
        <v>0</v>
      </c>
      <c r="V48" s="105">
        <v>0</v>
      </c>
      <c r="W48" s="105">
        <v>0</v>
      </c>
      <c r="X48" s="105">
        <v>0</v>
      </c>
      <c r="Y48" s="105">
        <v>0</v>
      </c>
      <c r="Z48" s="105">
        <v>0</v>
      </c>
      <c r="AA48" s="105">
        <v>0</v>
      </c>
      <c r="AB48" s="105">
        <v>0</v>
      </c>
      <c r="AC48" s="105">
        <v>0</v>
      </c>
      <c r="AD48" s="105">
        <v>0</v>
      </c>
      <c r="AE48" s="105">
        <v>0</v>
      </c>
      <c r="AF48" s="105">
        <v>0</v>
      </c>
      <c r="AG48" s="105">
        <v>0</v>
      </c>
      <c r="AH48" s="105">
        <v>0</v>
      </c>
      <c r="AI48" s="105">
        <v>0</v>
      </c>
      <c r="AJ48" s="105">
        <v>0</v>
      </c>
      <c r="AK48" s="105">
        <v>0</v>
      </c>
      <c r="AL48" s="105">
        <v>0</v>
      </c>
      <c r="AM48" s="105">
        <v>0</v>
      </c>
      <c r="AN48" s="105">
        <v>0</v>
      </c>
      <c r="AO48" s="105">
        <v>0</v>
      </c>
      <c r="AP48" s="105">
        <v>0</v>
      </c>
      <c r="AQ48" s="105">
        <v>0</v>
      </c>
      <c r="AR48" s="105">
        <v>0</v>
      </c>
      <c r="AS48" s="105">
        <v>0</v>
      </c>
      <c r="AT48" s="105">
        <v>0</v>
      </c>
      <c r="AU48" s="105">
        <v>0</v>
      </c>
      <c r="AV48" s="105">
        <v>0</v>
      </c>
      <c r="AW48" s="105">
        <v>0</v>
      </c>
      <c r="AX48" s="105">
        <v>0</v>
      </c>
    </row>
    <row r="49" spans="2:51" x14ac:dyDescent="0.25">
      <c r="B49" s="104" t="s">
        <v>105</v>
      </c>
      <c r="C49" s="105">
        <v>4434</v>
      </c>
      <c r="D49" s="105">
        <v>4434</v>
      </c>
      <c r="E49" s="105">
        <v>4434</v>
      </c>
      <c r="F49" s="105">
        <v>4434</v>
      </c>
      <c r="G49" s="105">
        <v>4434</v>
      </c>
      <c r="H49" s="105">
        <v>4434</v>
      </c>
      <c r="I49" s="105">
        <v>4434</v>
      </c>
      <c r="J49" s="105">
        <v>4434</v>
      </c>
      <c r="K49" s="105">
        <v>4434</v>
      </c>
      <c r="L49" s="105">
        <v>4434</v>
      </c>
      <c r="M49" s="105">
        <v>4434</v>
      </c>
      <c r="N49" s="105">
        <v>4434</v>
      </c>
      <c r="O49" s="105">
        <v>4434</v>
      </c>
      <c r="P49" s="105">
        <v>4434</v>
      </c>
      <c r="Q49" s="105">
        <v>4434</v>
      </c>
      <c r="R49" s="105">
        <v>4434</v>
      </c>
      <c r="S49" s="105">
        <v>1555.7370056884831</v>
      </c>
      <c r="T49" s="105">
        <v>1558.9713203584963</v>
      </c>
      <c r="U49" s="105">
        <v>1562.1973858410449</v>
      </c>
      <c r="V49" s="105">
        <v>4434</v>
      </c>
      <c r="W49" s="105">
        <v>4434</v>
      </c>
      <c r="X49" s="105">
        <v>4434</v>
      </c>
      <c r="Y49" s="105">
        <v>4434</v>
      </c>
      <c r="Z49" s="105">
        <v>4434</v>
      </c>
      <c r="AA49" s="105">
        <v>4434</v>
      </c>
      <c r="AB49" s="105">
        <v>4434</v>
      </c>
      <c r="AC49" s="105">
        <v>4434</v>
      </c>
      <c r="AD49" s="105">
        <v>4434</v>
      </c>
      <c r="AE49" s="105">
        <v>1593.890621677428</v>
      </c>
      <c r="AF49" s="105">
        <v>4434</v>
      </c>
      <c r="AG49" s="105">
        <v>4434</v>
      </c>
      <c r="AH49" s="105">
        <v>4434</v>
      </c>
      <c r="AI49" s="105">
        <v>4434</v>
      </c>
      <c r="AJ49" s="105">
        <v>4434</v>
      </c>
      <c r="AK49" s="105">
        <v>4434</v>
      </c>
      <c r="AL49" s="105">
        <v>4434</v>
      </c>
      <c r="AM49" s="105">
        <v>4434</v>
      </c>
      <c r="AN49" s="105">
        <v>4434</v>
      </c>
      <c r="AO49" s="105">
        <v>4434</v>
      </c>
      <c r="AP49" s="105">
        <v>4434</v>
      </c>
      <c r="AQ49" s="105">
        <v>4434</v>
      </c>
      <c r="AR49" s="105">
        <v>4434</v>
      </c>
      <c r="AS49" s="105">
        <v>4434</v>
      </c>
      <c r="AT49" s="105">
        <v>4434</v>
      </c>
      <c r="AU49" s="105">
        <v>4434</v>
      </c>
      <c r="AV49" s="105">
        <v>4434</v>
      </c>
      <c r="AW49" s="105">
        <v>4434</v>
      </c>
      <c r="AX49" s="105">
        <v>4434</v>
      </c>
    </row>
    <row r="50" spans="2:51" x14ac:dyDescent="0.25">
      <c r="B50" s="104" t="s">
        <v>106</v>
      </c>
      <c r="C50" s="105">
        <v>0</v>
      </c>
      <c r="D50" s="105">
        <v>0</v>
      </c>
      <c r="E50" s="105">
        <v>0</v>
      </c>
      <c r="F50" s="105">
        <v>0</v>
      </c>
      <c r="G50" s="105">
        <v>0</v>
      </c>
      <c r="H50" s="105">
        <v>0</v>
      </c>
      <c r="I50" s="105">
        <v>0</v>
      </c>
      <c r="J50" s="105">
        <v>0</v>
      </c>
      <c r="K50" s="105">
        <v>0</v>
      </c>
      <c r="L50" s="105">
        <v>0</v>
      </c>
      <c r="M50" s="105">
        <v>0</v>
      </c>
      <c r="N50" s="105">
        <v>0</v>
      </c>
      <c r="O50" s="105">
        <v>0</v>
      </c>
      <c r="P50" s="105">
        <v>0</v>
      </c>
      <c r="Q50" s="105">
        <v>0</v>
      </c>
      <c r="R50" s="105">
        <v>0</v>
      </c>
      <c r="S50" s="105">
        <v>0</v>
      </c>
      <c r="T50" s="105">
        <v>0</v>
      </c>
      <c r="U50" s="105">
        <v>0</v>
      </c>
      <c r="V50" s="105">
        <v>0</v>
      </c>
      <c r="W50" s="105">
        <v>0</v>
      </c>
      <c r="X50" s="105">
        <v>0</v>
      </c>
      <c r="Y50" s="105">
        <v>0</v>
      </c>
      <c r="Z50" s="105">
        <v>0</v>
      </c>
      <c r="AA50" s="105">
        <v>0</v>
      </c>
      <c r="AB50" s="105">
        <v>0</v>
      </c>
      <c r="AC50" s="105">
        <v>0</v>
      </c>
      <c r="AD50" s="105">
        <v>0</v>
      </c>
      <c r="AE50" s="105">
        <v>0</v>
      </c>
      <c r="AF50" s="105">
        <v>0</v>
      </c>
      <c r="AG50" s="105">
        <v>0</v>
      </c>
      <c r="AH50" s="105">
        <v>0</v>
      </c>
      <c r="AI50" s="105">
        <v>0</v>
      </c>
      <c r="AJ50" s="105">
        <v>0</v>
      </c>
      <c r="AK50" s="105">
        <v>0</v>
      </c>
      <c r="AL50" s="105">
        <v>0</v>
      </c>
      <c r="AM50" s="105">
        <v>0</v>
      </c>
      <c r="AN50" s="105">
        <v>0</v>
      </c>
      <c r="AO50" s="105">
        <v>0</v>
      </c>
      <c r="AP50" s="105">
        <v>0</v>
      </c>
      <c r="AQ50" s="105">
        <v>0</v>
      </c>
      <c r="AR50" s="105">
        <v>0</v>
      </c>
      <c r="AS50" s="105">
        <v>0</v>
      </c>
      <c r="AT50" s="105">
        <v>0</v>
      </c>
      <c r="AU50" s="105">
        <v>0</v>
      </c>
      <c r="AV50" s="105">
        <v>0</v>
      </c>
      <c r="AW50" s="105">
        <v>0</v>
      </c>
      <c r="AX50" s="105">
        <v>0</v>
      </c>
      <c r="AY50" s="117"/>
    </row>
    <row r="51" spans="2:51" x14ac:dyDescent="0.25">
      <c r="B51" s="104" t="s">
        <v>107</v>
      </c>
      <c r="C51" s="105">
        <v>0</v>
      </c>
      <c r="D51" s="105">
        <v>0</v>
      </c>
      <c r="E51" s="105">
        <v>0</v>
      </c>
      <c r="F51" s="105">
        <v>0</v>
      </c>
      <c r="G51" s="105">
        <v>0</v>
      </c>
      <c r="H51" s="105">
        <v>0</v>
      </c>
      <c r="I51" s="105">
        <v>0</v>
      </c>
      <c r="J51" s="105">
        <v>0</v>
      </c>
      <c r="K51" s="105">
        <v>0</v>
      </c>
      <c r="L51" s="105">
        <v>0</v>
      </c>
      <c r="M51" s="105">
        <v>0</v>
      </c>
      <c r="N51" s="105">
        <v>0</v>
      </c>
      <c r="O51" s="105">
        <v>0</v>
      </c>
      <c r="P51" s="105">
        <v>0</v>
      </c>
      <c r="Q51" s="105">
        <v>0</v>
      </c>
      <c r="R51" s="105">
        <v>0</v>
      </c>
      <c r="S51" s="105">
        <v>0</v>
      </c>
      <c r="T51" s="105">
        <v>0</v>
      </c>
      <c r="U51" s="105">
        <v>0</v>
      </c>
      <c r="V51" s="105">
        <v>0</v>
      </c>
      <c r="W51" s="105">
        <v>0</v>
      </c>
      <c r="X51" s="105">
        <v>0</v>
      </c>
      <c r="Y51" s="105">
        <v>0</v>
      </c>
      <c r="Z51" s="105">
        <v>0</v>
      </c>
      <c r="AA51" s="105">
        <v>0</v>
      </c>
      <c r="AB51" s="105">
        <v>0</v>
      </c>
      <c r="AC51" s="105">
        <v>0</v>
      </c>
      <c r="AD51" s="105">
        <v>0</v>
      </c>
      <c r="AE51" s="105">
        <v>0</v>
      </c>
      <c r="AF51" s="105">
        <v>0</v>
      </c>
      <c r="AG51" s="105">
        <v>0</v>
      </c>
      <c r="AH51" s="105">
        <v>0</v>
      </c>
      <c r="AI51" s="105">
        <v>0</v>
      </c>
      <c r="AJ51" s="105">
        <v>0</v>
      </c>
      <c r="AK51" s="105">
        <v>0</v>
      </c>
      <c r="AL51" s="105">
        <v>0</v>
      </c>
      <c r="AM51" s="105">
        <v>0</v>
      </c>
      <c r="AN51" s="105">
        <v>0</v>
      </c>
      <c r="AO51" s="105">
        <v>0</v>
      </c>
      <c r="AP51" s="105">
        <v>0</v>
      </c>
      <c r="AQ51" s="105">
        <v>0</v>
      </c>
      <c r="AR51" s="105">
        <v>0</v>
      </c>
      <c r="AS51" s="105">
        <v>0</v>
      </c>
      <c r="AT51" s="105">
        <v>0</v>
      </c>
      <c r="AU51" s="105">
        <v>0</v>
      </c>
      <c r="AV51" s="105">
        <v>0</v>
      </c>
      <c r="AW51" s="105">
        <v>0</v>
      </c>
      <c r="AX51" s="105">
        <v>0</v>
      </c>
      <c r="AY51" s="116"/>
    </row>
    <row r="52" spans="2:51" x14ac:dyDescent="0.25">
      <c r="B52" s="104" t="s">
        <v>108</v>
      </c>
      <c r="C52" s="105">
        <v>4434</v>
      </c>
      <c r="D52" s="105">
        <v>4434</v>
      </c>
      <c r="E52" s="105">
        <v>4434</v>
      </c>
      <c r="F52" s="105">
        <v>4434</v>
      </c>
      <c r="G52" s="105">
        <v>4434</v>
      </c>
      <c r="H52" s="105">
        <v>4434</v>
      </c>
      <c r="I52" s="105">
        <v>4434</v>
      </c>
      <c r="J52" s="105">
        <v>4434</v>
      </c>
      <c r="K52" s="105">
        <v>4434</v>
      </c>
      <c r="L52" s="105">
        <v>4434</v>
      </c>
      <c r="M52" s="105">
        <v>4434</v>
      </c>
      <c r="N52" s="105">
        <v>4434</v>
      </c>
      <c r="O52" s="105">
        <v>4434</v>
      </c>
      <c r="P52" s="105">
        <v>4434</v>
      </c>
      <c r="Q52" s="105">
        <v>4434</v>
      </c>
      <c r="R52" s="105">
        <v>4434</v>
      </c>
      <c r="S52" s="105">
        <v>4434</v>
      </c>
      <c r="T52" s="105">
        <v>4434</v>
      </c>
      <c r="U52" s="105">
        <v>4434</v>
      </c>
      <c r="V52" s="105">
        <v>4434</v>
      </c>
      <c r="W52" s="105">
        <v>4434</v>
      </c>
      <c r="X52" s="105">
        <v>4434</v>
      </c>
      <c r="Y52" s="105">
        <v>4434</v>
      </c>
      <c r="Z52" s="105">
        <v>4434</v>
      </c>
      <c r="AA52" s="105">
        <v>4434</v>
      </c>
      <c r="AB52" s="105">
        <v>4434</v>
      </c>
      <c r="AC52" s="105">
        <v>4434</v>
      </c>
      <c r="AD52" s="105">
        <v>4434</v>
      </c>
      <c r="AE52" s="105">
        <v>4434</v>
      </c>
      <c r="AF52" s="105">
        <v>4434</v>
      </c>
      <c r="AG52" s="105">
        <v>4434</v>
      </c>
      <c r="AH52" s="105">
        <v>4434</v>
      </c>
      <c r="AI52" s="105">
        <v>4434</v>
      </c>
      <c r="AJ52" s="105">
        <v>4434</v>
      </c>
      <c r="AK52" s="105">
        <v>4434</v>
      </c>
      <c r="AL52" s="105">
        <v>4434</v>
      </c>
      <c r="AM52" s="105">
        <v>4434</v>
      </c>
      <c r="AN52" s="105">
        <v>4434</v>
      </c>
      <c r="AO52" s="105">
        <v>4434</v>
      </c>
      <c r="AP52" s="105">
        <v>4434</v>
      </c>
      <c r="AQ52" s="105">
        <v>4434</v>
      </c>
      <c r="AR52" s="105">
        <v>4434</v>
      </c>
      <c r="AS52" s="105">
        <v>4434</v>
      </c>
      <c r="AT52" s="105">
        <v>4434</v>
      </c>
      <c r="AU52" s="105">
        <v>4434</v>
      </c>
      <c r="AV52" s="105">
        <v>4434</v>
      </c>
      <c r="AW52" s="105">
        <v>4434</v>
      </c>
      <c r="AX52" s="105">
        <v>4434</v>
      </c>
    </row>
    <row r="53" spans="2:51" x14ac:dyDescent="0.25">
      <c r="B53" s="104" t="s">
        <v>109</v>
      </c>
      <c r="C53" s="105">
        <v>0</v>
      </c>
      <c r="D53" s="105">
        <v>0</v>
      </c>
      <c r="E53" s="105">
        <v>0</v>
      </c>
      <c r="F53" s="105">
        <v>0</v>
      </c>
      <c r="G53" s="105">
        <v>0</v>
      </c>
      <c r="H53" s="105">
        <v>0</v>
      </c>
      <c r="I53" s="105">
        <v>0</v>
      </c>
      <c r="J53" s="105">
        <v>0</v>
      </c>
      <c r="K53" s="105">
        <v>0</v>
      </c>
      <c r="L53" s="105">
        <v>0</v>
      </c>
      <c r="M53" s="105">
        <v>0</v>
      </c>
      <c r="N53" s="105">
        <v>0</v>
      </c>
      <c r="O53" s="105">
        <v>0</v>
      </c>
      <c r="P53" s="105">
        <v>0</v>
      </c>
      <c r="Q53" s="105">
        <v>0</v>
      </c>
      <c r="R53" s="105">
        <v>0</v>
      </c>
      <c r="S53" s="105">
        <v>0</v>
      </c>
      <c r="T53" s="105">
        <v>0</v>
      </c>
      <c r="U53" s="105">
        <v>0</v>
      </c>
      <c r="V53" s="105">
        <v>0</v>
      </c>
      <c r="W53" s="105">
        <v>0</v>
      </c>
      <c r="X53" s="105">
        <v>0</v>
      </c>
      <c r="Y53" s="105">
        <v>0</v>
      </c>
      <c r="Z53" s="105">
        <v>0</v>
      </c>
      <c r="AA53" s="105">
        <v>0</v>
      </c>
      <c r="AB53" s="105">
        <v>0</v>
      </c>
      <c r="AC53" s="105">
        <v>0</v>
      </c>
      <c r="AD53" s="105">
        <v>0</v>
      </c>
      <c r="AE53" s="105">
        <v>0</v>
      </c>
      <c r="AF53" s="105">
        <v>0</v>
      </c>
      <c r="AG53" s="105">
        <v>0</v>
      </c>
      <c r="AH53" s="105">
        <v>0</v>
      </c>
      <c r="AI53" s="105">
        <v>0</v>
      </c>
      <c r="AJ53" s="105">
        <v>0</v>
      </c>
      <c r="AK53" s="105">
        <v>0</v>
      </c>
      <c r="AL53" s="105">
        <v>0</v>
      </c>
      <c r="AM53" s="105">
        <v>0</v>
      </c>
      <c r="AN53" s="105">
        <v>0</v>
      </c>
      <c r="AO53" s="105">
        <v>0</v>
      </c>
      <c r="AP53" s="105">
        <v>0</v>
      </c>
      <c r="AQ53" s="105">
        <v>0</v>
      </c>
      <c r="AR53" s="105">
        <v>0</v>
      </c>
      <c r="AS53" s="105">
        <v>0</v>
      </c>
      <c r="AT53" s="105">
        <v>0</v>
      </c>
      <c r="AU53" s="105">
        <v>0</v>
      </c>
      <c r="AV53" s="105">
        <v>0</v>
      </c>
      <c r="AW53" s="105">
        <v>0</v>
      </c>
      <c r="AX53" s="105">
        <v>0</v>
      </c>
    </row>
    <row r="55" spans="2:51" x14ac:dyDescent="0.25">
      <c r="B55" s="179" t="s">
        <v>325</v>
      </c>
      <c r="C55" s="180"/>
      <c r="D55" s="180"/>
      <c r="E55" s="180"/>
      <c r="F55" s="180"/>
      <c r="G55" s="180"/>
      <c r="H55" s="180"/>
      <c r="I55" s="180"/>
      <c r="J55" s="180"/>
      <c r="K55" s="180"/>
      <c r="L55" s="180"/>
      <c r="M55" s="180"/>
      <c r="N55" s="180"/>
      <c r="O55" s="180"/>
      <c r="P55" s="180"/>
      <c r="Q55" s="180"/>
      <c r="R55" s="180"/>
      <c r="S55" s="180"/>
      <c r="T55" s="180"/>
      <c r="U55" s="180"/>
      <c r="V55" s="180"/>
      <c r="W55" s="180"/>
      <c r="X55" s="180"/>
      <c r="Y55" s="180"/>
      <c r="Z55" s="180"/>
      <c r="AA55" s="180"/>
      <c r="AB55" s="180"/>
      <c r="AC55" s="180"/>
      <c r="AD55" s="180"/>
      <c r="AE55" s="180"/>
      <c r="AF55" s="180"/>
      <c r="AG55" s="180"/>
      <c r="AH55" s="180"/>
      <c r="AI55" s="180"/>
      <c r="AJ55" s="180"/>
      <c r="AK55" s="180"/>
      <c r="AL55" s="180"/>
      <c r="AM55" s="180"/>
      <c r="AN55" s="180"/>
      <c r="AO55" s="180"/>
      <c r="AP55" s="180"/>
      <c r="AQ55" s="180"/>
      <c r="AR55" s="180"/>
      <c r="AS55" s="180"/>
      <c r="AT55" s="180"/>
      <c r="AU55" s="180"/>
      <c r="AV55" s="180"/>
      <c r="AW55" s="180"/>
      <c r="AX55" s="180"/>
    </row>
    <row r="56" spans="2:51" x14ac:dyDescent="0.25">
      <c r="B56" s="110" t="s">
        <v>273</v>
      </c>
      <c r="C56" s="110" t="s">
        <v>92</v>
      </c>
      <c r="D56" s="106"/>
      <c r="E56" s="106"/>
      <c r="F56" s="106"/>
      <c r="G56" s="110" t="s">
        <v>93</v>
      </c>
      <c r="H56" s="106"/>
      <c r="I56" s="106"/>
      <c r="J56" s="106"/>
      <c r="K56" s="110" t="s">
        <v>94</v>
      </c>
      <c r="L56" s="106"/>
      <c r="M56" s="106"/>
      <c r="N56" s="106"/>
      <c r="O56" s="110" t="s">
        <v>95</v>
      </c>
      <c r="P56" s="106"/>
      <c r="Q56" s="106"/>
      <c r="R56" s="106"/>
      <c r="S56" s="110" t="s">
        <v>96</v>
      </c>
      <c r="T56" s="106"/>
      <c r="U56" s="106"/>
      <c r="V56" s="106"/>
      <c r="W56" s="110" t="s">
        <v>97</v>
      </c>
      <c r="X56" s="106"/>
      <c r="Y56" s="106"/>
      <c r="Z56" s="106"/>
      <c r="AA56" s="110" t="s">
        <v>98</v>
      </c>
      <c r="AB56" s="106"/>
      <c r="AC56" s="106"/>
      <c r="AD56" s="106"/>
      <c r="AE56" s="110" t="s">
        <v>99</v>
      </c>
      <c r="AF56" s="106"/>
      <c r="AG56" s="106"/>
      <c r="AH56" s="106"/>
      <c r="AI56" s="110" t="s">
        <v>100</v>
      </c>
      <c r="AJ56" s="106"/>
      <c r="AK56" s="106"/>
      <c r="AL56" s="106"/>
      <c r="AM56" s="110" t="s">
        <v>101</v>
      </c>
      <c r="AN56" s="106"/>
      <c r="AO56" s="106"/>
      <c r="AP56" s="106"/>
      <c r="AQ56" s="110" t="s">
        <v>102</v>
      </c>
      <c r="AR56" s="106"/>
      <c r="AS56" s="106"/>
      <c r="AT56" s="106"/>
      <c r="AU56" s="110" t="s">
        <v>103</v>
      </c>
      <c r="AV56" s="106"/>
      <c r="AW56" s="106"/>
    </row>
    <row r="57" spans="2:51" x14ac:dyDescent="0.25">
      <c r="B57" s="110" t="s">
        <v>324</v>
      </c>
      <c r="C57" s="110">
        <v>1</v>
      </c>
      <c r="D57" s="110">
        <v>2</v>
      </c>
      <c r="E57" s="110">
        <v>3</v>
      </c>
      <c r="F57" s="110">
        <v>4</v>
      </c>
      <c r="G57" s="110">
        <v>1</v>
      </c>
      <c r="H57" s="110">
        <v>2</v>
      </c>
      <c r="I57" s="110">
        <v>3</v>
      </c>
      <c r="J57" s="110">
        <v>4</v>
      </c>
      <c r="K57" s="110">
        <v>1</v>
      </c>
      <c r="L57" s="110">
        <v>2</v>
      </c>
      <c r="M57" s="110">
        <v>3</v>
      </c>
      <c r="N57" s="110">
        <v>4</v>
      </c>
      <c r="O57" s="110">
        <v>1</v>
      </c>
      <c r="P57" s="110">
        <v>2</v>
      </c>
      <c r="Q57" s="110">
        <v>3</v>
      </c>
      <c r="R57" s="110">
        <v>4</v>
      </c>
      <c r="S57" s="110">
        <v>1</v>
      </c>
      <c r="T57" s="110">
        <v>2</v>
      </c>
      <c r="U57" s="110">
        <v>3</v>
      </c>
      <c r="V57" s="110">
        <v>4</v>
      </c>
      <c r="W57" s="110">
        <v>1</v>
      </c>
      <c r="X57" s="110">
        <v>2</v>
      </c>
      <c r="Y57" s="110">
        <v>3</v>
      </c>
      <c r="Z57" s="110">
        <v>4</v>
      </c>
      <c r="AA57" s="110">
        <v>1</v>
      </c>
      <c r="AB57" s="110">
        <v>2</v>
      </c>
      <c r="AC57" s="110">
        <v>3</v>
      </c>
      <c r="AD57" s="110">
        <v>4</v>
      </c>
      <c r="AE57" s="110">
        <v>1</v>
      </c>
      <c r="AF57" s="110">
        <v>2</v>
      </c>
      <c r="AG57" s="110">
        <v>3</v>
      </c>
      <c r="AH57" s="110">
        <v>4</v>
      </c>
      <c r="AI57" s="110">
        <v>1</v>
      </c>
      <c r="AJ57" s="110">
        <v>2</v>
      </c>
      <c r="AK57" s="110">
        <v>3</v>
      </c>
      <c r="AL57" s="110">
        <v>4</v>
      </c>
      <c r="AM57" s="110">
        <v>1</v>
      </c>
      <c r="AN57" s="110">
        <v>2</v>
      </c>
      <c r="AO57" s="110">
        <v>3</v>
      </c>
      <c r="AP57" s="110">
        <v>4</v>
      </c>
      <c r="AQ57" s="110">
        <v>1</v>
      </c>
      <c r="AR57" s="110">
        <v>2</v>
      </c>
      <c r="AS57" s="110">
        <v>3</v>
      </c>
      <c r="AT57" s="110">
        <v>4</v>
      </c>
      <c r="AU57" s="110">
        <v>1</v>
      </c>
      <c r="AV57" s="110">
        <v>2</v>
      </c>
      <c r="AW57" s="110">
        <v>3</v>
      </c>
      <c r="AX57" s="110">
        <v>4</v>
      </c>
    </row>
    <row r="58" spans="2:51" x14ac:dyDescent="0.25">
      <c r="B58" s="110" t="s">
        <v>104</v>
      </c>
      <c r="C58" s="105">
        <v>0</v>
      </c>
      <c r="D58" s="105">
        <v>0</v>
      </c>
      <c r="E58" s="105">
        <v>0</v>
      </c>
      <c r="F58" s="105">
        <v>0</v>
      </c>
      <c r="G58" s="105">
        <v>0</v>
      </c>
      <c r="H58" s="105">
        <v>0</v>
      </c>
      <c r="I58" s="105">
        <v>0</v>
      </c>
      <c r="J58" s="105">
        <v>0</v>
      </c>
      <c r="K58" s="105">
        <v>0</v>
      </c>
      <c r="L58" s="105">
        <v>0</v>
      </c>
      <c r="M58" s="105">
        <v>0</v>
      </c>
      <c r="N58" s="105">
        <v>0</v>
      </c>
      <c r="O58" s="105">
        <v>0</v>
      </c>
      <c r="P58" s="105">
        <v>0</v>
      </c>
      <c r="Q58" s="105">
        <v>0</v>
      </c>
      <c r="R58" s="105">
        <v>0</v>
      </c>
      <c r="S58" s="105">
        <v>0</v>
      </c>
      <c r="T58" s="105">
        <v>0</v>
      </c>
      <c r="U58" s="105">
        <v>0</v>
      </c>
      <c r="V58" s="105">
        <v>0</v>
      </c>
      <c r="W58" s="105">
        <v>0</v>
      </c>
      <c r="X58" s="105">
        <v>0</v>
      </c>
      <c r="Y58" s="105">
        <v>0</v>
      </c>
      <c r="Z58" s="105">
        <v>0</v>
      </c>
      <c r="AA58" s="105">
        <v>0</v>
      </c>
      <c r="AB58" s="105">
        <v>0</v>
      </c>
      <c r="AC58" s="105">
        <v>0</v>
      </c>
      <c r="AD58" s="105">
        <v>0</v>
      </c>
      <c r="AE58" s="105">
        <v>0</v>
      </c>
      <c r="AF58" s="105">
        <v>0</v>
      </c>
      <c r="AG58" s="105">
        <v>0</v>
      </c>
      <c r="AH58" s="105">
        <v>0</v>
      </c>
      <c r="AI58" s="105">
        <v>0</v>
      </c>
      <c r="AJ58" s="105">
        <v>0</v>
      </c>
      <c r="AK58" s="105">
        <v>0</v>
      </c>
      <c r="AL58" s="105">
        <v>0</v>
      </c>
      <c r="AM58" s="105">
        <v>0</v>
      </c>
      <c r="AN58" s="105">
        <v>0</v>
      </c>
      <c r="AO58" s="105">
        <v>0</v>
      </c>
      <c r="AP58" s="105">
        <v>0</v>
      </c>
      <c r="AQ58" s="105">
        <v>0</v>
      </c>
      <c r="AR58" s="105">
        <v>0</v>
      </c>
      <c r="AS58" s="105">
        <v>0</v>
      </c>
      <c r="AT58" s="105">
        <v>0</v>
      </c>
      <c r="AU58" s="105">
        <v>0</v>
      </c>
      <c r="AV58" s="105">
        <v>0</v>
      </c>
      <c r="AW58" s="105">
        <v>0</v>
      </c>
      <c r="AX58" s="105">
        <v>0</v>
      </c>
    </row>
    <row r="59" spans="2:51" x14ac:dyDescent="0.25">
      <c r="B59" s="110" t="s">
        <v>105</v>
      </c>
      <c r="C59" s="105">
        <v>6129638.7715317262</v>
      </c>
      <c r="D59" s="105">
        <v>6129638.7715317262</v>
      </c>
      <c r="E59" s="105">
        <v>6129638.7715317262</v>
      </c>
      <c r="F59" s="105">
        <v>6129638.7715317262</v>
      </c>
      <c r="G59" s="105">
        <v>6264345.315077276</v>
      </c>
      <c r="H59" s="105">
        <v>6264345.315077276</v>
      </c>
      <c r="I59" s="105">
        <v>6264345.315077276</v>
      </c>
      <c r="J59" s="105">
        <v>6264345.315077276</v>
      </c>
      <c r="K59" s="105">
        <v>6784167.9521706188</v>
      </c>
      <c r="L59" s="105">
        <v>6784167.9521706188</v>
      </c>
      <c r="M59" s="105">
        <v>6784167.9521706188</v>
      </c>
      <c r="N59" s="105">
        <v>6784167.9521706188</v>
      </c>
      <c r="O59" s="105">
        <v>6411440.7190763243</v>
      </c>
      <c r="P59" s="105">
        <v>6411440.7190763243</v>
      </c>
      <c r="Q59" s="105">
        <v>6411440.7190763243</v>
      </c>
      <c r="R59" s="105">
        <v>6411440.7190763243</v>
      </c>
      <c r="S59" s="105">
        <v>3422621.4125146628</v>
      </c>
      <c r="T59" s="105">
        <v>3429736.9047886925</v>
      </c>
      <c r="U59" s="105">
        <v>3436834.248850299</v>
      </c>
      <c r="V59" s="105">
        <v>9754800.0000000019</v>
      </c>
      <c r="W59" s="105">
        <v>5733981.0490016388</v>
      </c>
      <c r="X59" s="105">
        <v>5733981.0490016388</v>
      </c>
      <c r="Y59" s="105">
        <v>5733981.0490016388</v>
      </c>
      <c r="Z59" s="105">
        <v>5733981.0490016388</v>
      </c>
      <c r="AA59" s="105">
        <v>6079908.8652328383</v>
      </c>
      <c r="AB59" s="105">
        <v>6079908.8652328383</v>
      </c>
      <c r="AC59" s="105">
        <v>6079908.8652328383</v>
      </c>
      <c r="AD59" s="105">
        <v>6079908.8652328383</v>
      </c>
      <c r="AE59" s="105">
        <v>2408685.1887360131</v>
      </c>
      <c r="AF59" s="105">
        <v>6700654.349553558</v>
      </c>
      <c r="AG59" s="105">
        <v>6700654.349553558</v>
      </c>
      <c r="AH59" s="105">
        <v>6700654.349553558</v>
      </c>
      <c r="AI59" s="105">
        <v>6063532.3949779766</v>
      </c>
      <c r="AJ59" s="105">
        <v>6063532.3949779766</v>
      </c>
      <c r="AK59" s="105">
        <v>6063532.3949779766</v>
      </c>
      <c r="AL59" s="105">
        <v>6063532.3949779766</v>
      </c>
      <c r="AM59" s="105">
        <v>5742484.2850499488</v>
      </c>
      <c r="AN59" s="105">
        <v>5742484.2850499488</v>
      </c>
      <c r="AO59" s="105">
        <v>5742484.2850499488</v>
      </c>
      <c r="AP59" s="105">
        <v>5742484.2850499488</v>
      </c>
      <c r="AQ59" s="105">
        <v>5632713.4348472459</v>
      </c>
      <c r="AR59" s="105">
        <v>5632713.4348472459</v>
      </c>
      <c r="AS59" s="105">
        <v>5632713.4348472459</v>
      </c>
      <c r="AT59" s="105">
        <v>5632713.4348472459</v>
      </c>
      <c r="AU59" s="105">
        <v>5661130.5082350662</v>
      </c>
      <c r="AV59" s="105">
        <v>5661130.5082350662</v>
      </c>
      <c r="AW59" s="105">
        <v>5661130.5082350662</v>
      </c>
      <c r="AX59" s="105">
        <v>5661130.5082350662</v>
      </c>
    </row>
    <row r="60" spans="2:51" x14ac:dyDescent="0.25">
      <c r="B60" s="110" t="s">
        <v>106</v>
      </c>
      <c r="C60" s="105">
        <v>0</v>
      </c>
      <c r="D60" s="105">
        <v>0</v>
      </c>
      <c r="E60" s="105">
        <v>0</v>
      </c>
      <c r="F60" s="105">
        <v>0</v>
      </c>
      <c r="G60" s="105">
        <v>0</v>
      </c>
      <c r="H60" s="105">
        <v>0</v>
      </c>
      <c r="I60" s="105">
        <v>0</v>
      </c>
      <c r="J60" s="105">
        <v>0</v>
      </c>
      <c r="K60" s="105">
        <v>0</v>
      </c>
      <c r="L60" s="105">
        <v>0</v>
      </c>
      <c r="M60" s="105">
        <v>0</v>
      </c>
      <c r="N60" s="105">
        <v>0</v>
      </c>
      <c r="O60" s="105">
        <v>0</v>
      </c>
      <c r="P60" s="105">
        <v>0</v>
      </c>
      <c r="Q60" s="105">
        <v>0</v>
      </c>
      <c r="R60" s="105">
        <v>0</v>
      </c>
      <c r="S60" s="105">
        <v>0</v>
      </c>
      <c r="T60" s="105">
        <v>0</v>
      </c>
      <c r="U60" s="105">
        <v>0</v>
      </c>
      <c r="V60" s="105">
        <v>0</v>
      </c>
      <c r="W60" s="105">
        <v>0</v>
      </c>
      <c r="X60" s="105">
        <v>0</v>
      </c>
      <c r="Y60" s="105">
        <v>0</v>
      </c>
      <c r="Z60" s="105">
        <v>0</v>
      </c>
      <c r="AA60" s="105">
        <v>0</v>
      </c>
      <c r="AB60" s="105">
        <v>0</v>
      </c>
      <c r="AC60" s="105">
        <v>0</v>
      </c>
      <c r="AD60" s="105">
        <v>0</v>
      </c>
      <c r="AE60" s="105">
        <v>0</v>
      </c>
      <c r="AF60" s="105">
        <v>0</v>
      </c>
      <c r="AG60" s="105">
        <v>0</v>
      </c>
      <c r="AH60" s="105">
        <v>0</v>
      </c>
      <c r="AI60" s="105">
        <v>0</v>
      </c>
      <c r="AJ60" s="105">
        <v>0</v>
      </c>
      <c r="AK60" s="105">
        <v>0</v>
      </c>
      <c r="AL60" s="105">
        <v>0</v>
      </c>
      <c r="AM60" s="105">
        <v>0</v>
      </c>
      <c r="AN60" s="105">
        <v>0</v>
      </c>
      <c r="AO60" s="105">
        <v>0</v>
      </c>
      <c r="AP60" s="105">
        <v>0</v>
      </c>
      <c r="AQ60" s="105">
        <v>0</v>
      </c>
      <c r="AR60" s="105">
        <v>0</v>
      </c>
      <c r="AS60" s="105">
        <v>0</v>
      </c>
      <c r="AT60" s="105">
        <v>0</v>
      </c>
      <c r="AU60" s="105">
        <v>0</v>
      </c>
      <c r="AV60" s="105">
        <v>0</v>
      </c>
      <c r="AW60" s="105">
        <v>0</v>
      </c>
      <c r="AX60" s="105">
        <v>0</v>
      </c>
    </row>
    <row r="61" spans="2:51" x14ac:dyDescent="0.25">
      <c r="B61" s="110" t="s">
        <v>107</v>
      </c>
      <c r="C61" s="105">
        <v>0</v>
      </c>
      <c r="D61" s="105">
        <v>0</v>
      </c>
      <c r="E61" s="105">
        <v>0</v>
      </c>
      <c r="F61" s="105">
        <v>0</v>
      </c>
      <c r="G61" s="105">
        <v>0</v>
      </c>
      <c r="H61" s="105">
        <v>0</v>
      </c>
      <c r="I61" s="105">
        <v>0</v>
      </c>
      <c r="J61" s="105">
        <v>0</v>
      </c>
      <c r="K61" s="105">
        <v>0</v>
      </c>
      <c r="L61" s="105">
        <v>0</v>
      </c>
      <c r="M61" s="105">
        <v>0</v>
      </c>
      <c r="N61" s="105">
        <v>0</v>
      </c>
      <c r="O61" s="105">
        <v>0</v>
      </c>
      <c r="P61" s="105">
        <v>0</v>
      </c>
      <c r="Q61" s="105">
        <v>0</v>
      </c>
      <c r="R61" s="105">
        <v>0</v>
      </c>
      <c r="S61" s="105">
        <v>0</v>
      </c>
      <c r="T61" s="105">
        <v>0</v>
      </c>
      <c r="U61" s="105">
        <v>0</v>
      </c>
      <c r="V61" s="105">
        <v>0</v>
      </c>
      <c r="W61" s="105">
        <v>0</v>
      </c>
      <c r="X61" s="105">
        <v>0</v>
      </c>
      <c r="Y61" s="105">
        <v>0</v>
      </c>
      <c r="Z61" s="105">
        <v>0</v>
      </c>
      <c r="AA61" s="105">
        <v>0</v>
      </c>
      <c r="AB61" s="105">
        <v>0</v>
      </c>
      <c r="AC61" s="105">
        <v>0</v>
      </c>
      <c r="AD61" s="105">
        <v>0</v>
      </c>
      <c r="AE61" s="105">
        <v>0</v>
      </c>
      <c r="AF61" s="105">
        <v>0</v>
      </c>
      <c r="AG61" s="105">
        <v>0</v>
      </c>
      <c r="AH61" s="105">
        <v>0</v>
      </c>
      <c r="AI61" s="105">
        <v>0</v>
      </c>
      <c r="AJ61" s="105">
        <v>0</v>
      </c>
      <c r="AK61" s="105">
        <v>0</v>
      </c>
      <c r="AL61" s="105">
        <v>0</v>
      </c>
      <c r="AM61" s="105">
        <v>0</v>
      </c>
      <c r="AN61" s="105">
        <v>0</v>
      </c>
      <c r="AO61" s="105">
        <v>0</v>
      </c>
      <c r="AP61" s="105">
        <v>0</v>
      </c>
      <c r="AQ61" s="105">
        <v>0</v>
      </c>
      <c r="AR61" s="105">
        <v>0</v>
      </c>
      <c r="AS61" s="105">
        <v>0</v>
      </c>
      <c r="AT61" s="105">
        <v>0</v>
      </c>
      <c r="AU61" s="105">
        <v>0</v>
      </c>
      <c r="AV61" s="105">
        <v>0</v>
      </c>
      <c r="AW61" s="105">
        <v>0</v>
      </c>
      <c r="AX61" s="105">
        <v>0</v>
      </c>
    </row>
    <row r="62" spans="2:51" x14ac:dyDescent="0.25">
      <c r="B62" s="110" t="s">
        <v>108</v>
      </c>
      <c r="C62" s="105">
        <v>6494406.8887664527</v>
      </c>
      <c r="D62" s="105">
        <v>6494406.8887664527</v>
      </c>
      <c r="E62" s="105">
        <v>6494406.8887664527</v>
      </c>
      <c r="F62" s="105">
        <v>6494406.8887664527</v>
      </c>
      <c r="G62" s="105">
        <v>6304441.7692566141</v>
      </c>
      <c r="H62" s="105">
        <v>6304441.7692566141</v>
      </c>
      <c r="I62" s="105">
        <v>6304441.7692566141</v>
      </c>
      <c r="J62" s="105">
        <v>6304441.7692566141</v>
      </c>
      <c r="K62" s="105">
        <v>6583301.0098401736</v>
      </c>
      <c r="L62" s="105">
        <v>6583301.0098401736</v>
      </c>
      <c r="M62" s="105">
        <v>6583301.0098401736</v>
      </c>
      <c r="N62" s="105">
        <v>6583301.0098401736</v>
      </c>
      <c r="O62" s="105">
        <v>6440528.2564785071</v>
      </c>
      <c r="P62" s="105">
        <v>6440528.2564785071</v>
      </c>
      <c r="Q62" s="105">
        <v>6440528.2564785071</v>
      </c>
      <c r="R62" s="105">
        <v>6440528.2564785071</v>
      </c>
      <c r="S62" s="105">
        <v>6547666.6831374215</v>
      </c>
      <c r="T62" s="105">
        <v>6547666.6831374215</v>
      </c>
      <c r="U62" s="105">
        <v>6547666.6831374215</v>
      </c>
      <c r="V62" s="105">
        <v>6547666.6831374215</v>
      </c>
      <c r="W62" s="105">
        <v>6531791.4339170838</v>
      </c>
      <c r="X62" s="105">
        <v>6531791.4339170838</v>
      </c>
      <c r="Y62" s="105">
        <v>6531791.4339170838</v>
      </c>
      <c r="Z62" s="105">
        <v>6531791.4339170838</v>
      </c>
      <c r="AA62" s="105">
        <v>6644060.0394829866</v>
      </c>
      <c r="AB62" s="105">
        <v>6644060.0394829866</v>
      </c>
      <c r="AC62" s="105">
        <v>6644060.0394829866</v>
      </c>
      <c r="AD62" s="105">
        <v>6644060.0394829866</v>
      </c>
      <c r="AE62" s="105">
        <v>6542658.939141836</v>
      </c>
      <c r="AF62" s="105">
        <v>6542658.939141836</v>
      </c>
      <c r="AG62" s="105">
        <v>6542658.939141836</v>
      </c>
      <c r="AH62" s="105">
        <v>6542658.939141836</v>
      </c>
      <c r="AI62" s="105">
        <v>6640738.1084958566</v>
      </c>
      <c r="AJ62" s="105">
        <v>6640738.1084958566</v>
      </c>
      <c r="AK62" s="105">
        <v>6640738.1084958566</v>
      </c>
      <c r="AL62" s="105">
        <v>6640738.1084958566</v>
      </c>
      <c r="AM62" s="105">
        <v>6587580.3822132535</v>
      </c>
      <c r="AN62" s="105">
        <v>6587580.3822132535</v>
      </c>
      <c r="AO62" s="105">
        <v>6587580.3822132535</v>
      </c>
      <c r="AP62" s="105">
        <v>6587580.3822132535</v>
      </c>
      <c r="AQ62" s="105">
        <v>6668643.2866423633</v>
      </c>
      <c r="AR62" s="105">
        <v>6668643.2866423633</v>
      </c>
      <c r="AS62" s="105">
        <v>6668643.2866423633</v>
      </c>
      <c r="AT62" s="105">
        <v>6668643.2866423633</v>
      </c>
      <c r="AU62" s="105">
        <v>6740998.9807970515</v>
      </c>
      <c r="AV62" s="105">
        <v>6740998.9807970515</v>
      </c>
      <c r="AW62" s="105">
        <v>6740998.9807970515</v>
      </c>
      <c r="AX62" s="105">
        <v>6740998.9807970515</v>
      </c>
    </row>
    <row r="63" spans="2:51" x14ac:dyDescent="0.25">
      <c r="B63" s="110" t="s">
        <v>109</v>
      </c>
      <c r="C63" s="105">
        <v>0</v>
      </c>
      <c r="D63" s="105">
        <v>0</v>
      </c>
      <c r="E63" s="105">
        <v>0</v>
      </c>
      <c r="F63" s="105">
        <v>0</v>
      </c>
      <c r="G63" s="105">
        <v>0</v>
      </c>
      <c r="H63" s="105">
        <v>0</v>
      </c>
      <c r="I63" s="105">
        <v>0</v>
      </c>
      <c r="J63" s="105">
        <v>0</v>
      </c>
      <c r="K63" s="105">
        <v>0</v>
      </c>
      <c r="L63" s="105">
        <v>0</v>
      </c>
      <c r="M63" s="105">
        <v>0</v>
      </c>
      <c r="N63" s="105">
        <v>0</v>
      </c>
      <c r="O63" s="105">
        <v>0</v>
      </c>
      <c r="P63" s="105">
        <v>0</v>
      </c>
      <c r="Q63" s="105">
        <v>0</v>
      </c>
      <c r="R63" s="105">
        <v>0</v>
      </c>
      <c r="S63" s="105">
        <v>0</v>
      </c>
      <c r="T63" s="105">
        <v>0</v>
      </c>
      <c r="U63" s="105">
        <v>0</v>
      </c>
      <c r="V63" s="105">
        <v>0</v>
      </c>
      <c r="W63" s="105">
        <v>0</v>
      </c>
      <c r="X63" s="105">
        <v>0</v>
      </c>
      <c r="Y63" s="105">
        <v>0</v>
      </c>
      <c r="Z63" s="105">
        <v>0</v>
      </c>
      <c r="AA63" s="105">
        <v>0</v>
      </c>
      <c r="AB63" s="105">
        <v>0</v>
      </c>
      <c r="AC63" s="105">
        <v>0</v>
      </c>
      <c r="AD63" s="105">
        <v>0</v>
      </c>
      <c r="AE63" s="105">
        <v>0</v>
      </c>
      <c r="AF63" s="105">
        <v>0</v>
      </c>
      <c r="AG63" s="105">
        <v>0</v>
      </c>
      <c r="AH63" s="105">
        <v>0</v>
      </c>
      <c r="AI63" s="105">
        <v>0</v>
      </c>
      <c r="AJ63" s="105">
        <v>0</v>
      </c>
      <c r="AK63" s="105">
        <v>0</v>
      </c>
      <c r="AL63" s="105">
        <v>0</v>
      </c>
      <c r="AM63" s="105">
        <v>0</v>
      </c>
      <c r="AN63" s="105">
        <v>0</v>
      </c>
      <c r="AO63" s="105">
        <v>0</v>
      </c>
      <c r="AP63" s="105">
        <v>0</v>
      </c>
      <c r="AQ63" s="105">
        <v>0</v>
      </c>
      <c r="AR63" s="105">
        <v>0</v>
      </c>
      <c r="AS63" s="105">
        <v>0</v>
      </c>
      <c r="AT63" s="105">
        <v>0</v>
      </c>
      <c r="AU63" s="105">
        <v>0</v>
      </c>
      <c r="AV63" s="105">
        <v>0</v>
      </c>
      <c r="AW63" s="105">
        <v>0</v>
      </c>
      <c r="AX63" s="105">
        <v>0</v>
      </c>
    </row>
    <row r="64" spans="2:51" x14ac:dyDescent="0.25">
      <c r="B64" s="106"/>
    </row>
    <row r="65" spans="1:14" x14ac:dyDescent="0.25">
      <c r="B65" s="109" t="s">
        <v>326</v>
      </c>
    </row>
    <row r="66" spans="1:14" x14ac:dyDescent="0.25">
      <c r="B66" s="104" t="s">
        <v>327</v>
      </c>
      <c r="C66" s="104" t="s">
        <v>92</v>
      </c>
      <c r="D66" s="104" t="s">
        <v>93</v>
      </c>
      <c r="E66" s="104" t="s">
        <v>94</v>
      </c>
      <c r="F66" s="104" t="s">
        <v>95</v>
      </c>
      <c r="G66" s="104" t="s">
        <v>96</v>
      </c>
      <c r="H66" s="104" t="s">
        <v>97</v>
      </c>
      <c r="I66" s="104" t="s">
        <v>98</v>
      </c>
      <c r="J66" s="104" t="s">
        <v>99</v>
      </c>
      <c r="K66" s="104" t="s">
        <v>100</v>
      </c>
      <c r="L66" s="104" t="s">
        <v>101</v>
      </c>
      <c r="M66" s="104" t="s">
        <v>102</v>
      </c>
      <c r="N66" s="104" t="s">
        <v>103</v>
      </c>
    </row>
    <row r="67" spans="1:14" x14ac:dyDescent="0.25">
      <c r="B67" s="104" t="s">
        <v>328</v>
      </c>
      <c r="C67" s="105">
        <v>0</v>
      </c>
      <c r="D67" s="105">
        <v>0</v>
      </c>
      <c r="E67" s="105">
        <v>0</v>
      </c>
      <c r="F67" s="105">
        <v>0</v>
      </c>
      <c r="G67" s="105">
        <v>0</v>
      </c>
      <c r="H67" s="105">
        <v>0</v>
      </c>
      <c r="I67" s="105">
        <v>0</v>
      </c>
      <c r="J67" s="105">
        <v>0</v>
      </c>
      <c r="K67" s="105">
        <v>0</v>
      </c>
      <c r="L67" s="105">
        <v>0</v>
      </c>
      <c r="M67" s="105">
        <v>0</v>
      </c>
      <c r="N67" s="105">
        <v>0</v>
      </c>
    </row>
    <row r="68" spans="1:14" x14ac:dyDescent="0.25">
      <c r="B68" s="104" t="s">
        <v>329</v>
      </c>
      <c r="C68" s="105">
        <v>0</v>
      </c>
      <c r="D68" s="105">
        <v>0</v>
      </c>
      <c r="E68" s="105">
        <v>0</v>
      </c>
      <c r="F68" s="105">
        <v>0</v>
      </c>
      <c r="G68" s="105">
        <v>0</v>
      </c>
      <c r="H68" s="105">
        <v>0</v>
      </c>
      <c r="I68" s="105">
        <v>0</v>
      </c>
      <c r="J68" s="105">
        <v>0</v>
      </c>
      <c r="K68" s="105">
        <v>0</v>
      </c>
      <c r="L68" s="105">
        <v>0</v>
      </c>
      <c r="M68" s="105">
        <v>0</v>
      </c>
      <c r="N68" s="105">
        <v>0</v>
      </c>
    </row>
    <row r="70" spans="1:14" x14ac:dyDescent="0.25">
      <c r="B70" s="109" t="s">
        <v>330</v>
      </c>
    </row>
    <row r="71" spans="1:14" x14ac:dyDescent="0.25">
      <c r="A71" s="110" t="s">
        <v>121</v>
      </c>
      <c r="B71" s="110" t="s">
        <v>331</v>
      </c>
      <c r="C71" s="110" t="s">
        <v>22</v>
      </c>
      <c r="D71" s="110" t="s">
        <v>59</v>
      </c>
    </row>
    <row r="72" spans="1:14" x14ac:dyDescent="0.25">
      <c r="A72" s="110" t="s">
        <v>104</v>
      </c>
      <c r="B72" s="110" t="s">
        <v>92</v>
      </c>
      <c r="C72" s="105">
        <v>0</v>
      </c>
      <c r="D72" s="105">
        <v>0</v>
      </c>
    </row>
    <row r="73" spans="1:14" x14ac:dyDescent="0.25">
      <c r="B73" s="110" t="s">
        <v>93</v>
      </c>
      <c r="C73" s="105">
        <v>0</v>
      </c>
      <c r="D73" s="105">
        <v>0</v>
      </c>
    </row>
    <row r="74" spans="1:14" x14ac:dyDescent="0.25">
      <c r="B74" s="110" t="s">
        <v>94</v>
      </c>
      <c r="C74" s="105">
        <v>0</v>
      </c>
      <c r="D74" s="105">
        <v>0</v>
      </c>
    </row>
    <row r="75" spans="1:14" x14ac:dyDescent="0.25">
      <c r="B75" s="110" t="s">
        <v>95</v>
      </c>
      <c r="C75" s="105">
        <v>0</v>
      </c>
      <c r="D75" s="105">
        <v>0</v>
      </c>
    </row>
    <row r="76" spans="1:14" x14ac:dyDescent="0.25">
      <c r="B76" s="110" t="s">
        <v>96</v>
      </c>
      <c r="C76" s="105">
        <v>0</v>
      </c>
      <c r="D76" s="105">
        <v>0</v>
      </c>
    </row>
    <row r="77" spans="1:14" x14ac:dyDescent="0.25">
      <c r="B77" s="110" t="s">
        <v>97</v>
      </c>
      <c r="C77" s="105">
        <v>0</v>
      </c>
      <c r="D77" s="105">
        <v>0</v>
      </c>
    </row>
    <row r="78" spans="1:14" x14ac:dyDescent="0.25">
      <c r="B78" s="110" t="s">
        <v>98</v>
      </c>
      <c r="C78" s="105">
        <v>0</v>
      </c>
      <c r="D78" s="105">
        <v>0</v>
      </c>
    </row>
    <row r="79" spans="1:14" x14ac:dyDescent="0.25">
      <c r="B79" s="110" t="s">
        <v>99</v>
      </c>
      <c r="C79" s="105">
        <v>0</v>
      </c>
      <c r="D79" s="105">
        <v>0</v>
      </c>
    </row>
    <row r="80" spans="1:14" x14ac:dyDescent="0.25">
      <c r="B80" s="110" t="s">
        <v>100</v>
      </c>
      <c r="C80" s="105">
        <v>0</v>
      </c>
      <c r="D80" s="105">
        <v>0</v>
      </c>
    </row>
    <row r="81" spans="2:50" x14ac:dyDescent="0.25">
      <c r="B81" s="110" t="s">
        <v>101</v>
      </c>
      <c r="C81" s="105">
        <v>0</v>
      </c>
      <c r="D81" s="105">
        <v>0</v>
      </c>
    </row>
    <row r="82" spans="2:50" x14ac:dyDescent="0.25">
      <c r="B82" s="110" t="s">
        <v>102</v>
      </c>
      <c r="C82" s="105">
        <v>0</v>
      </c>
      <c r="D82" s="105">
        <v>0</v>
      </c>
    </row>
    <row r="83" spans="2:50" x14ac:dyDescent="0.25">
      <c r="B83" s="110" t="s">
        <v>103</v>
      </c>
      <c r="C83" s="105">
        <v>0</v>
      </c>
      <c r="D83" s="105">
        <v>0</v>
      </c>
    </row>
    <row r="85" spans="2:50" x14ac:dyDescent="0.25">
      <c r="B85" s="108" t="s">
        <v>332</v>
      </c>
    </row>
    <row r="86" spans="2:50" x14ac:dyDescent="0.25">
      <c r="B86" s="104" t="s">
        <v>273</v>
      </c>
      <c r="C86" s="104" t="s">
        <v>92</v>
      </c>
      <c r="D86" s="106"/>
      <c r="E86" s="106"/>
      <c r="F86" s="106"/>
      <c r="G86" s="104" t="s">
        <v>93</v>
      </c>
      <c r="H86" s="106"/>
      <c r="I86" s="106"/>
      <c r="J86" s="106"/>
      <c r="K86" s="104" t="s">
        <v>94</v>
      </c>
      <c r="L86" s="106"/>
      <c r="M86" s="106"/>
      <c r="N86" s="106"/>
      <c r="O86" s="104" t="s">
        <v>95</v>
      </c>
      <c r="P86" s="106"/>
      <c r="Q86" s="106"/>
      <c r="R86" s="106"/>
      <c r="S86" s="104" t="s">
        <v>96</v>
      </c>
      <c r="T86" s="106"/>
      <c r="U86" s="106"/>
      <c r="V86" s="106"/>
      <c r="W86" s="104" t="s">
        <v>97</v>
      </c>
      <c r="X86" s="106"/>
      <c r="Y86" s="106"/>
      <c r="Z86" s="106"/>
      <c r="AA86" s="104" t="s">
        <v>98</v>
      </c>
      <c r="AB86" s="106"/>
      <c r="AC86" s="106"/>
      <c r="AD86" s="106"/>
      <c r="AE86" s="104" t="s">
        <v>99</v>
      </c>
      <c r="AF86" s="106"/>
      <c r="AG86" s="106"/>
      <c r="AH86" s="106"/>
      <c r="AI86" s="104" t="s">
        <v>100</v>
      </c>
      <c r="AJ86" s="106"/>
      <c r="AK86" s="106"/>
      <c r="AL86" s="106"/>
      <c r="AM86" s="104" t="s">
        <v>101</v>
      </c>
      <c r="AN86" s="106"/>
      <c r="AO86" s="106"/>
      <c r="AP86" s="106"/>
      <c r="AQ86" s="104" t="s">
        <v>102</v>
      </c>
      <c r="AR86" s="106"/>
      <c r="AS86" s="106"/>
      <c r="AT86" s="106"/>
      <c r="AU86" s="104" t="s">
        <v>103</v>
      </c>
      <c r="AV86" s="106"/>
      <c r="AW86" s="106"/>
    </row>
    <row r="87" spans="2:50" x14ac:dyDescent="0.25">
      <c r="B87" s="104" t="s">
        <v>333</v>
      </c>
      <c r="C87" s="104">
        <v>1</v>
      </c>
      <c r="D87" s="104">
        <v>2</v>
      </c>
      <c r="E87" s="104">
        <v>3</v>
      </c>
      <c r="F87" s="104">
        <v>4</v>
      </c>
      <c r="G87" s="104">
        <v>1</v>
      </c>
      <c r="H87" s="104">
        <v>2</v>
      </c>
      <c r="I87" s="104">
        <v>3</v>
      </c>
      <c r="J87" s="104">
        <v>4</v>
      </c>
      <c r="K87" s="104">
        <v>1</v>
      </c>
      <c r="L87" s="104">
        <v>2</v>
      </c>
      <c r="M87" s="104">
        <v>3</v>
      </c>
      <c r="N87" s="104">
        <v>4</v>
      </c>
      <c r="O87" s="104">
        <v>1</v>
      </c>
      <c r="P87" s="104">
        <v>2</v>
      </c>
      <c r="Q87" s="104">
        <v>3</v>
      </c>
      <c r="R87" s="104">
        <v>4</v>
      </c>
      <c r="S87" s="104">
        <v>1</v>
      </c>
      <c r="T87" s="104">
        <v>2</v>
      </c>
      <c r="U87" s="104">
        <v>3</v>
      </c>
      <c r="V87" s="104">
        <v>4</v>
      </c>
      <c r="W87" s="104">
        <v>1</v>
      </c>
      <c r="X87" s="104">
        <v>2</v>
      </c>
      <c r="Y87" s="104">
        <v>3</v>
      </c>
      <c r="Z87" s="104">
        <v>4</v>
      </c>
      <c r="AA87" s="104">
        <v>1</v>
      </c>
      <c r="AB87" s="104">
        <v>2</v>
      </c>
      <c r="AC87" s="104">
        <v>3</v>
      </c>
      <c r="AD87" s="104">
        <v>4</v>
      </c>
      <c r="AE87" s="104">
        <v>1</v>
      </c>
      <c r="AF87" s="104">
        <v>2</v>
      </c>
      <c r="AG87" s="104">
        <v>3</v>
      </c>
      <c r="AH87" s="104">
        <v>4</v>
      </c>
      <c r="AI87" s="104">
        <v>1</v>
      </c>
      <c r="AJ87" s="104">
        <v>2</v>
      </c>
      <c r="AK87" s="104">
        <v>3</v>
      </c>
      <c r="AL87" s="104">
        <v>4</v>
      </c>
      <c r="AM87" s="104">
        <v>1</v>
      </c>
      <c r="AN87" s="104">
        <v>2</v>
      </c>
      <c r="AO87" s="104">
        <v>3</v>
      </c>
      <c r="AP87" s="104">
        <v>4</v>
      </c>
      <c r="AQ87" s="104">
        <v>1</v>
      </c>
      <c r="AR87" s="104">
        <v>2</v>
      </c>
      <c r="AS87" s="104">
        <v>3</v>
      </c>
      <c r="AT87" s="104">
        <v>4</v>
      </c>
      <c r="AU87" s="104">
        <v>1</v>
      </c>
      <c r="AV87" s="104">
        <v>2</v>
      </c>
      <c r="AW87" s="104">
        <v>3</v>
      </c>
      <c r="AX87" s="104">
        <v>4</v>
      </c>
    </row>
    <row r="88" spans="2:50" x14ac:dyDescent="0.25">
      <c r="B88" s="104" t="s">
        <v>104</v>
      </c>
      <c r="C88" s="105">
        <f>C48+$C$67/4</f>
        <v>0</v>
      </c>
      <c r="D88" s="105">
        <f>D48+$C$67/4</f>
        <v>0</v>
      </c>
      <c r="E88" s="105">
        <f>E48+$C$67/4</f>
        <v>0</v>
      </c>
      <c r="F88" s="105">
        <f>F48+$C$67/4</f>
        <v>0</v>
      </c>
      <c r="G88" s="105">
        <f>G48+$D$67/4</f>
        <v>0</v>
      </c>
      <c r="H88" s="105">
        <f>H48+$D$67/4</f>
        <v>0</v>
      </c>
      <c r="I88" s="105">
        <f>I48+$D$67/4</f>
        <v>0</v>
      </c>
      <c r="J88" s="105">
        <f>J48+$D$67/4</f>
        <v>0</v>
      </c>
      <c r="K88" s="105">
        <f>K48+$E$67/4</f>
        <v>0</v>
      </c>
      <c r="L88" s="105">
        <f>L48+$E$67/4</f>
        <v>0</v>
      </c>
      <c r="M88" s="105">
        <f>M48+$E$67/4</f>
        <v>0</v>
      </c>
      <c r="N88" s="105">
        <f>N48+$E$67/4</f>
        <v>0</v>
      </c>
      <c r="O88" s="105">
        <f>O48+$F$67/4</f>
        <v>0</v>
      </c>
      <c r="P88" s="105">
        <f>P48+$F$67/4</f>
        <v>0</v>
      </c>
      <c r="Q88" s="105">
        <f>Q48+$F$67/4</f>
        <v>0</v>
      </c>
      <c r="R88" s="105">
        <f>R48+$F$67/4</f>
        <v>0</v>
      </c>
      <c r="S88" s="105">
        <f>S48+$G$67/4</f>
        <v>0</v>
      </c>
      <c r="T88" s="105">
        <f>T48+$G$67/4</f>
        <v>0</v>
      </c>
      <c r="U88" s="105">
        <f>U48+$G$67/4</f>
        <v>0</v>
      </c>
      <c r="V88" s="105">
        <f>V48+$G$67/4</f>
        <v>0</v>
      </c>
      <c r="W88" s="105">
        <f>W48+$H$67/4</f>
        <v>0</v>
      </c>
      <c r="X88" s="105">
        <f>X48+$H$67/4</f>
        <v>0</v>
      </c>
      <c r="Y88" s="105">
        <f>Y48+$H$67/4</f>
        <v>0</v>
      </c>
      <c r="Z88" s="105">
        <f>Z48+$H$67/4</f>
        <v>0</v>
      </c>
      <c r="AA88" s="105">
        <f>AA48+$I$67/4</f>
        <v>0</v>
      </c>
      <c r="AB88" s="105">
        <f>AB48+$I$67/4</f>
        <v>0</v>
      </c>
      <c r="AC88" s="105">
        <f>AC48+$I$67/4</f>
        <v>0</v>
      </c>
      <c r="AD88" s="105">
        <f>AD48+$I$67/4</f>
        <v>0</v>
      </c>
      <c r="AE88" s="105">
        <f>AE48+$J$67/4</f>
        <v>0</v>
      </c>
      <c r="AF88" s="105">
        <f>AF48+$J$67/4</f>
        <v>0</v>
      </c>
      <c r="AG88" s="105">
        <f>AG48+$J$67/4</f>
        <v>0</v>
      </c>
      <c r="AH88" s="105">
        <f>AH48+$J$67/4</f>
        <v>0</v>
      </c>
      <c r="AI88" s="105">
        <f>AI48+$K$67/4</f>
        <v>0</v>
      </c>
      <c r="AJ88" s="105">
        <f>AJ48+$K$67/4</f>
        <v>0</v>
      </c>
      <c r="AK88" s="105">
        <f>AK48+$K$67/4</f>
        <v>0</v>
      </c>
      <c r="AL88" s="105">
        <f>AL48+$K$67/4</f>
        <v>0</v>
      </c>
      <c r="AM88" s="105">
        <f>AM48+$L$67/4</f>
        <v>0</v>
      </c>
      <c r="AN88" s="105">
        <f>AN48+$L$67/4</f>
        <v>0</v>
      </c>
      <c r="AO88" s="105">
        <f>AO48+$L$67/4</f>
        <v>0</v>
      </c>
      <c r="AP88" s="105">
        <f>AP48+$L$67/4</f>
        <v>0</v>
      </c>
      <c r="AQ88" s="105">
        <f>AQ48+$M$67/4</f>
        <v>0</v>
      </c>
      <c r="AR88" s="105">
        <f>AR48+$M$67/4</f>
        <v>0</v>
      </c>
      <c r="AS88" s="105">
        <f>AS48+$M$67/4</f>
        <v>0</v>
      </c>
      <c r="AT88" s="105">
        <f>AT48+$M$67/4</f>
        <v>0</v>
      </c>
      <c r="AU88" s="105">
        <f>AU48+$N$67/4</f>
        <v>0</v>
      </c>
      <c r="AV88" s="105">
        <f>AV48+$N$67/4</f>
        <v>0</v>
      </c>
      <c r="AW88" s="105">
        <f>AW48+$N$67/4</f>
        <v>0</v>
      </c>
      <c r="AX88" s="105">
        <f>AX48+$N$67/4</f>
        <v>0</v>
      </c>
    </row>
    <row r="89" spans="2:50" x14ac:dyDescent="0.25">
      <c r="B89" s="104" t="s">
        <v>105</v>
      </c>
      <c r="C89" s="105">
        <f>C49</f>
        <v>4434</v>
      </c>
      <c r="D89" s="105">
        <f t="shared" ref="D89:AX93" si="3">D49</f>
        <v>4434</v>
      </c>
      <c r="E89" s="105">
        <f t="shared" si="3"/>
        <v>4434</v>
      </c>
      <c r="F89" s="105">
        <f t="shared" si="3"/>
        <v>4434</v>
      </c>
      <c r="G89" s="105">
        <f t="shared" si="3"/>
        <v>4434</v>
      </c>
      <c r="H89" s="105">
        <f t="shared" si="3"/>
        <v>4434</v>
      </c>
      <c r="I89" s="105">
        <f t="shared" si="3"/>
        <v>4434</v>
      </c>
      <c r="J89" s="105">
        <f t="shared" si="3"/>
        <v>4434</v>
      </c>
      <c r="K89" s="105">
        <f t="shared" si="3"/>
        <v>4434</v>
      </c>
      <c r="L89" s="105">
        <f t="shared" si="3"/>
        <v>4434</v>
      </c>
      <c r="M89" s="105">
        <f t="shared" si="3"/>
        <v>4434</v>
      </c>
      <c r="N89" s="105">
        <f t="shared" si="3"/>
        <v>4434</v>
      </c>
      <c r="O89" s="105">
        <f t="shared" si="3"/>
        <v>4434</v>
      </c>
      <c r="P89" s="105">
        <f t="shared" si="3"/>
        <v>4434</v>
      </c>
      <c r="Q89" s="105">
        <f t="shared" si="3"/>
        <v>4434</v>
      </c>
      <c r="R89" s="105">
        <f t="shared" si="3"/>
        <v>4434</v>
      </c>
      <c r="S89" s="105">
        <f t="shared" si="3"/>
        <v>1555.7370056884831</v>
      </c>
      <c r="T89" s="105">
        <f t="shared" si="3"/>
        <v>1558.9713203584963</v>
      </c>
      <c r="U89" s="105">
        <f t="shared" si="3"/>
        <v>1562.1973858410449</v>
      </c>
      <c r="V89" s="105">
        <f t="shared" si="3"/>
        <v>4434</v>
      </c>
      <c r="W89" s="105">
        <f t="shared" si="3"/>
        <v>4434</v>
      </c>
      <c r="X89" s="105">
        <f t="shared" si="3"/>
        <v>4434</v>
      </c>
      <c r="Y89" s="105">
        <f t="shared" si="3"/>
        <v>4434</v>
      </c>
      <c r="Z89" s="105">
        <f t="shared" si="3"/>
        <v>4434</v>
      </c>
      <c r="AA89" s="105">
        <f t="shared" si="3"/>
        <v>4434</v>
      </c>
      <c r="AB89" s="105">
        <f t="shared" si="3"/>
        <v>4434</v>
      </c>
      <c r="AC89" s="105">
        <f t="shared" si="3"/>
        <v>4434</v>
      </c>
      <c r="AD89" s="105">
        <f t="shared" si="3"/>
        <v>4434</v>
      </c>
      <c r="AE89" s="105">
        <f t="shared" si="3"/>
        <v>1593.890621677428</v>
      </c>
      <c r="AF89" s="105">
        <f t="shared" si="3"/>
        <v>4434</v>
      </c>
      <c r="AG89" s="105">
        <f t="shared" si="3"/>
        <v>4434</v>
      </c>
      <c r="AH89" s="105">
        <f t="shared" si="3"/>
        <v>4434</v>
      </c>
      <c r="AI89" s="105">
        <f t="shared" si="3"/>
        <v>4434</v>
      </c>
      <c r="AJ89" s="105">
        <f t="shared" si="3"/>
        <v>4434</v>
      </c>
      <c r="AK89" s="105">
        <f t="shared" si="3"/>
        <v>4434</v>
      </c>
      <c r="AL89" s="105">
        <f t="shared" si="3"/>
        <v>4434</v>
      </c>
      <c r="AM89" s="105">
        <f t="shared" si="3"/>
        <v>4434</v>
      </c>
      <c r="AN89" s="105">
        <f t="shared" si="3"/>
        <v>4434</v>
      </c>
      <c r="AO89" s="105">
        <f t="shared" si="3"/>
        <v>4434</v>
      </c>
      <c r="AP89" s="105">
        <f t="shared" si="3"/>
        <v>4434</v>
      </c>
      <c r="AQ89" s="105">
        <f t="shared" si="3"/>
        <v>4434</v>
      </c>
      <c r="AR89" s="105">
        <f t="shared" si="3"/>
        <v>4434</v>
      </c>
      <c r="AS89" s="105">
        <f t="shared" si="3"/>
        <v>4434</v>
      </c>
      <c r="AT89" s="105">
        <f t="shared" si="3"/>
        <v>4434</v>
      </c>
      <c r="AU89" s="105">
        <f t="shared" si="3"/>
        <v>4434</v>
      </c>
      <c r="AV89" s="105">
        <f t="shared" si="3"/>
        <v>4434</v>
      </c>
      <c r="AW89" s="105">
        <f t="shared" si="3"/>
        <v>4434</v>
      </c>
      <c r="AX89" s="105">
        <f t="shared" si="3"/>
        <v>4434</v>
      </c>
    </row>
    <row r="90" spans="2:50" x14ac:dyDescent="0.25">
      <c r="B90" s="104" t="s">
        <v>106</v>
      </c>
      <c r="C90" s="105">
        <f t="shared" ref="C90:R93" si="4">C50</f>
        <v>0</v>
      </c>
      <c r="D90" s="105">
        <f t="shared" si="4"/>
        <v>0</v>
      </c>
      <c r="E90" s="105">
        <f t="shared" si="4"/>
        <v>0</v>
      </c>
      <c r="F90" s="105">
        <f t="shared" si="4"/>
        <v>0</v>
      </c>
      <c r="G90" s="105">
        <f t="shared" si="4"/>
        <v>0</v>
      </c>
      <c r="H90" s="105">
        <f t="shared" si="4"/>
        <v>0</v>
      </c>
      <c r="I90" s="105">
        <f t="shared" si="4"/>
        <v>0</v>
      </c>
      <c r="J90" s="105">
        <f t="shared" si="4"/>
        <v>0</v>
      </c>
      <c r="K90" s="105">
        <f t="shared" si="4"/>
        <v>0</v>
      </c>
      <c r="L90" s="105">
        <f t="shared" si="4"/>
        <v>0</v>
      </c>
      <c r="M90" s="105">
        <f t="shared" si="4"/>
        <v>0</v>
      </c>
      <c r="N90" s="105">
        <f t="shared" si="4"/>
        <v>0</v>
      </c>
      <c r="O90" s="105">
        <f t="shared" si="4"/>
        <v>0</v>
      </c>
      <c r="P90" s="105">
        <f t="shared" si="4"/>
        <v>0</v>
      </c>
      <c r="Q90" s="105">
        <f t="shared" si="4"/>
        <v>0</v>
      </c>
      <c r="R90" s="105">
        <f t="shared" si="4"/>
        <v>0</v>
      </c>
      <c r="S90" s="105">
        <f t="shared" si="3"/>
        <v>0</v>
      </c>
      <c r="T90" s="105">
        <f t="shared" si="3"/>
        <v>0</v>
      </c>
      <c r="U90" s="105">
        <f t="shared" si="3"/>
        <v>0</v>
      </c>
      <c r="V90" s="105">
        <f t="shared" si="3"/>
        <v>0</v>
      </c>
      <c r="W90" s="105">
        <f t="shared" si="3"/>
        <v>0</v>
      </c>
      <c r="X90" s="105">
        <f t="shared" si="3"/>
        <v>0</v>
      </c>
      <c r="Y90" s="105">
        <f t="shared" si="3"/>
        <v>0</v>
      </c>
      <c r="Z90" s="105">
        <f t="shared" si="3"/>
        <v>0</v>
      </c>
      <c r="AA90" s="105">
        <f t="shared" si="3"/>
        <v>0</v>
      </c>
      <c r="AB90" s="105">
        <f t="shared" si="3"/>
        <v>0</v>
      </c>
      <c r="AC90" s="105">
        <f t="shared" si="3"/>
        <v>0</v>
      </c>
      <c r="AD90" s="105">
        <f t="shared" si="3"/>
        <v>0</v>
      </c>
      <c r="AE90" s="105">
        <f t="shared" si="3"/>
        <v>0</v>
      </c>
      <c r="AF90" s="105">
        <f t="shared" si="3"/>
        <v>0</v>
      </c>
      <c r="AG90" s="105">
        <f t="shared" si="3"/>
        <v>0</v>
      </c>
      <c r="AH90" s="105">
        <f t="shared" si="3"/>
        <v>0</v>
      </c>
      <c r="AI90" s="105">
        <f t="shared" si="3"/>
        <v>0</v>
      </c>
      <c r="AJ90" s="105">
        <f t="shared" si="3"/>
        <v>0</v>
      </c>
      <c r="AK90" s="105">
        <f t="shared" si="3"/>
        <v>0</v>
      </c>
      <c r="AL90" s="105">
        <f t="shared" si="3"/>
        <v>0</v>
      </c>
      <c r="AM90" s="105">
        <f t="shared" si="3"/>
        <v>0</v>
      </c>
      <c r="AN90" s="105">
        <f t="shared" si="3"/>
        <v>0</v>
      </c>
      <c r="AO90" s="105">
        <f t="shared" si="3"/>
        <v>0</v>
      </c>
      <c r="AP90" s="105">
        <f t="shared" si="3"/>
        <v>0</v>
      </c>
      <c r="AQ90" s="105">
        <f t="shared" si="3"/>
        <v>0</v>
      </c>
      <c r="AR90" s="105">
        <f t="shared" si="3"/>
        <v>0</v>
      </c>
      <c r="AS90" s="105">
        <f t="shared" si="3"/>
        <v>0</v>
      </c>
      <c r="AT90" s="105">
        <f t="shared" si="3"/>
        <v>0</v>
      </c>
      <c r="AU90" s="105">
        <f t="shared" si="3"/>
        <v>0</v>
      </c>
      <c r="AV90" s="105">
        <f t="shared" si="3"/>
        <v>0</v>
      </c>
      <c r="AW90" s="105">
        <f t="shared" si="3"/>
        <v>0</v>
      </c>
      <c r="AX90" s="105">
        <f t="shared" si="3"/>
        <v>0</v>
      </c>
    </row>
    <row r="91" spans="2:50" x14ac:dyDescent="0.25">
      <c r="B91" s="104" t="s">
        <v>107</v>
      </c>
      <c r="C91" s="105">
        <f t="shared" si="4"/>
        <v>0</v>
      </c>
      <c r="D91" s="105">
        <f t="shared" si="3"/>
        <v>0</v>
      </c>
      <c r="E91" s="105">
        <f t="shared" si="3"/>
        <v>0</v>
      </c>
      <c r="F91" s="105">
        <f t="shared" si="3"/>
        <v>0</v>
      </c>
      <c r="G91" s="105">
        <f t="shared" si="3"/>
        <v>0</v>
      </c>
      <c r="H91" s="105">
        <f t="shared" si="3"/>
        <v>0</v>
      </c>
      <c r="I91" s="105">
        <f t="shared" si="3"/>
        <v>0</v>
      </c>
      <c r="J91" s="105">
        <f t="shared" si="3"/>
        <v>0</v>
      </c>
      <c r="K91" s="105">
        <f t="shared" si="3"/>
        <v>0</v>
      </c>
      <c r="L91" s="105">
        <f t="shared" si="3"/>
        <v>0</v>
      </c>
      <c r="M91" s="105">
        <f t="shared" si="3"/>
        <v>0</v>
      </c>
      <c r="N91" s="105">
        <f t="shared" si="3"/>
        <v>0</v>
      </c>
      <c r="O91" s="105">
        <f t="shared" si="3"/>
        <v>0</v>
      </c>
      <c r="P91" s="105">
        <f t="shared" si="3"/>
        <v>0</v>
      </c>
      <c r="Q91" s="105">
        <f t="shared" si="3"/>
        <v>0</v>
      </c>
      <c r="R91" s="105">
        <f t="shared" si="3"/>
        <v>0</v>
      </c>
      <c r="S91" s="105">
        <f t="shared" si="3"/>
        <v>0</v>
      </c>
      <c r="T91" s="105">
        <f t="shared" si="3"/>
        <v>0</v>
      </c>
      <c r="U91" s="105">
        <f t="shared" si="3"/>
        <v>0</v>
      </c>
      <c r="V91" s="105">
        <f t="shared" si="3"/>
        <v>0</v>
      </c>
      <c r="W91" s="105">
        <f t="shared" si="3"/>
        <v>0</v>
      </c>
      <c r="X91" s="105">
        <f t="shared" si="3"/>
        <v>0</v>
      </c>
      <c r="Y91" s="105">
        <f t="shared" si="3"/>
        <v>0</v>
      </c>
      <c r="Z91" s="105">
        <f t="shared" si="3"/>
        <v>0</v>
      </c>
      <c r="AA91" s="105">
        <f t="shared" si="3"/>
        <v>0</v>
      </c>
      <c r="AB91" s="105">
        <f t="shared" si="3"/>
        <v>0</v>
      </c>
      <c r="AC91" s="105">
        <f t="shared" si="3"/>
        <v>0</v>
      </c>
      <c r="AD91" s="105">
        <f t="shared" si="3"/>
        <v>0</v>
      </c>
      <c r="AE91" s="105">
        <f t="shared" si="3"/>
        <v>0</v>
      </c>
      <c r="AF91" s="105">
        <f t="shared" si="3"/>
        <v>0</v>
      </c>
      <c r="AG91" s="105">
        <f t="shared" si="3"/>
        <v>0</v>
      </c>
      <c r="AH91" s="105">
        <f t="shared" si="3"/>
        <v>0</v>
      </c>
      <c r="AI91" s="105">
        <f t="shared" si="3"/>
        <v>0</v>
      </c>
      <c r="AJ91" s="105">
        <f t="shared" si="3"/>
        <v>0</v>
      </c>
      <c r="AK91" s="105">
        <f t="shared" si="3"/>
        <v>0</v>
      </c>
      <c r="AL91" s="105">
        <f t="shared" si="3"/>
        <v>0</v>
      </c>
      <c r="AM91" s="105">
        <f t="shared" si="3"/>
        <v>0</v>
      </c>
      <c r="AN91" s="105">
        <f t="shared" si="3"/>
        <v>0</v>
      </c>
      <c r="AO91" s="105">
        <f t="shared" si="3"/>
        <v>0</v>
      </c>
      <c r="AP91" s="105">
        <f t="shared" si="3"/>
        <v>0</v>
      </c>
      <c r="AQ91" s="105">
        <f t="shared" si="3"/>
        <v>0</v>
      </c>
      <c r="AR91" s="105">
        <f t="shared" si="3"/>
        <v>0</v>
      </c>
      <c r="AS91" s="105">
        <f t="shared" si="3"/>
        <v>0</v>
      </c>
      <c r="AT91" s="105">
        <f t="shared" si="3"/>
        <v>0</v>
      </c>
      <c r="AU91" s="105">
        <f t="shared" si="3"/>
        <v>0</v>
      </c>
      <c r="AV91" s="105">
        <f t="shared" si="3"/>
        <v>0</v>
      </c>
      <c r="AW91" s="105">
        <f t="shared" si="3"/>
        <v>0</v>
      </c>
      <c r="AX91" s="105">
        <f t="shared" si="3"/>
        <v>0</v>
      </c>
    </row>
    <row r="92" spans="2:50" x14ac:dyDescent="0.25">
      <c r="B92" s="104" t="s">
        <v>108</v>
      </c>
      <c r="C92" s="105">
        <f t="shared" si="4"/>
        <v>4434</v>
      </c>
      <c r="D92" s="105">
        <f t="shared" si="4"/>
        <v>4434</v>
      </c>
      <c r="E92" s="105">
        <f t="shared" si="4"/>
        <v>4434</v>
      </c>
      <c r="F92" s="105">
        <f t="shared" si="4"/>
        <v>4434</v>
      </c>
      <c r="G92" s="105">
        <f t="shared" si="4"/>
        <v>4434</v>
      </c>
      <c r="H92" s="105">
        <f t="shared" si="4"/>
        <v>4434</v>
      </c>
      <c r="I92" s="105">
        <f t="shared" si="4"/>
        <v>4434</v>
      </c>
      <c r="J92" s="105">
        <f t="shared" si="4"/>
        <v>4434</v>
      </c>
      <c r="K92" s="105">
        <f t="shared" si="4"/>
        <v>4434</v>
      </c>
      <c r="L92" s="105">
        <f t="shared" si="4"/>
        <v>4434</v>
      </c>
      <c r="M92" s="105">
        <f t="shared" si="4"/>
        <v>4434</v>
      </c>
      <c r="N92" s="105">
        <f t="shared" si="4"/>
        <v>4434</v>
      </c>
      <c r="O92" s="105">
        <f t="shared" si="4"/>
        <v>4434</v>
      </c>
      <c r="P92" s="105">
        <f t="shared" si="4"/>
        <v>4434</v>
      </c>
      <c r="Q92" s="105">
        <f t="shared" si="4"/>
        <v>4434</v>
      </c>
      <c r="R92" s="105">
        <f t="shared" si="4"/>
        <v>4434</v>
      </c>
      <c r="S92" s="105">
        <f t="shared" si="3"/>
        <v>4434</v>
      </c>
      <c r="T92" s="105">
        <f t="shared" si="3"/>
        <v>4434</v>
      </c>
      <c r="U92" s="105">
        <f t="shared" si="3"/>
        <v>4434</v>
      </c>
      <c r="V92" s="105">
        <f t="shared" si="3"/>
        <v>4434</v>
      </c>
      <c r="W92" s="105">
        <f t="shared" si="3"/>
        <v>4434</v>
      </c>
      <c r="X92" s="105">
        <f t="shared" si="3"/>
        <v>4434</v>
      </c>
      <c r="Y92" s="105">
        <f t="shared" si="3"/>
        <v>4434</v>
      </c>
      <c r="Z92" s="105">
        <f t="shared" si="3"/>
        <v>4434</v>
      </c>
      <c r="AA92" s="105">
        <f t="shared" si="3"/>
        <v>4434</v>
      </c>
      <c r="AB92" s="105">
        <f t="shared" si="3"/>
        <v>4434</v>
      </c>
      <c r="AC92" s="105">
        <f t="shared" si="3"/>
        <v>4434</v>
      </c>
      <c r="AD92" s="105">
        <f t="shared" si="3"/>
        <v>4434</v>
      </c>
      <c r="AE92" s="105">
        <f t="shared" si="3"/>
        <v>4434</v>
      </c>
      <c r="AF92" s="105">
        <f t="shared" si="3"/>
        <v>4434</v>
      </c>
      <c r="AG92" s="105">
        <f t="shared" si="3"/>
        <v>4434</v>
      </c>
      <c r="AH92" s="105">
        <f t="shared" si="3"/>
        <v>4434</v>
      </c>
      <c r="AI92" s="105">
        <f t="shared" si="3"/>
        <v>4434</v>
      </c>
      <c r="AJ92" s="105">
        <f t="shared" si="3"/>
        <v>4434</v>
      </c>
      <c r="AK92" s="105">
        <f t="shared" si="3"/>
        <v>4434</v>
      </c>
      <c r="AL92" s="105">
        <f t="shared" si="3"/>
        <v>4434</v>
      </c>
      <c r="AM92" s="105">
        <f t="shared" si="3"/>
        <v>4434</v>
      </c>
      <c r="AN92" s="105">
        <f t="shared" si="3"/>
        <v>4434</v>
      </c>
      <c r="AO92" s="105">
        <f t="shared" si="3"/>
        <v>4434</v>
      </c>
      <c r="AP92" s="105">
        <f t="shared" si="3"/>
        <v>4434</v>
      </c>
      <c r="AQ92" s="105">
        <f t="shared" si="3"/>
        <v>4434</v>
      </c>
      <c r="AR92" s="105">
        <f t="shared" si="3"/>
        <v>4434</v>
      </c>
      <c r="AS92" s="105">
        <f t="shared" si="3"/>
        <v>4434</v>
      </c>
      <c r="AT92" s="105">
        <f t="shared" si="3"/>
        <v>4434</v>
      </c>
      <c r="AU92" s="105">
        <f t="shared" si="3"/>
        <v>4434</v>
      </c>
      <c r="AV92" s="105">
        <f t="shared" si="3"/>
        <v>4434</v>
      </c>
      <c r="AW92" s="105">
        <f t="shared" si="3"/>
        <v>4434</v>
      </c>
      <c r="AX92" s="105">
        <f t="shared" si="3"/>
        <v>4434</v>
      </c>
    </row>
    <row r="93" spans="2:50" x14ac:dyDescent="0.25">
      <c r="B93" s="104" t="s">
        <v>109</v>
      </c>
      <c r="C93" s="105">
        <f t="shared" si="4"/>
        <v>0</v>
      </c>
      <c r="D93" s="105">
        <f t="shared" si="4"/>
        <v>0</v>
      </c>
      <c r="E93" s="105">
        <f t="shared" si="4"/>
        <v>0</v>
      </c>
      <c r="F93" s="105">
        <f t="shared" si="4"/>
        <v>0</v>
      </c>
      <c r="G93" s="105">
        <f t="shared" si="4"/>
        <v>0</v>
      </c>
      <c r="H93" s="105">
        <f t="shared" si="4"/>
        <v>0</v>
      </c>
      <c r="I93" s="105">
        <f t="shared" si="4"/>
        <v>0</v>
      </c>
      <c r="J93" s="105">
        <f t="shared" si="4"/>
        <v>0</v>
      </c>
      <c r="K93" s="105">
        <f t="shared" si="4"/>
        <v>0</v>
      </c>
      <c r="L93" s="105">
        <f t="shared" si="4"/>
        <v>0</v>
      </c>
      <c r="M93" s="105">
        <f t="shared" si="4"/>
        <v>0</v>
      </c>
      <c r="N93" s="105">
        <f t="shared" si="4"/>
        <v>0</v>
      </c>
      <c r="O93" s="105">
        <f t="shared" si="4"/>
        <v>0</v>
      </c>
      <c r="P93" s="105">
        <f t="shared" si="4"/>
        <v>0</v>
      </c>
      <c r="Q93" s="105">
        <f t="shared" si="4"/>
        <v>0</v>
      </c>
      <c r="R93" s="105">
        <f t="shared" si="4"/>
        <v>0</v>
      </c>
      <c r="S93" s="105">
        <f t="shared" si="3"/>
        <v>0</v>
      </c>
      <c r="T93" s="105">
        <f t="shared" si="3"/>
        <v>0</v>
      </c>
      <c r="U93" s="105">
        <f t="shared" si="3"/>
        <v>0</v>
      </c>
      <c r="V93" s="105">
        <f t="shared" si="3"/>
        <v>0</v>
      </c>
      <c r="W93" s="105">
        <f t="shared" si="3"/>
        <v>0</v>
      </c>
      <c r="X93" s="105">
        <f t="shared" si="3"/>
        <v>0</v>
      </c>
      <c r="Y93" s="105">
        <f t="shared" si="3"/>
        <v>0</v>
      </c>
      <c r="Z93" s="105">
        <f t="shared" si="3"/>
        <v>0</v>
      </c>
      <c r="AA93" s="105">
        <f t="shared" si="3"/>
        <v>0</v>
      </c>
      <c r="AB93" s="105">
        <f t="shared" si="3"/>
        <v>0</v>
      </c>
      <c r="AC93" s="105">
        <f t="shared" si="3"/>
        <v>0</v>
      </c>
      <c r="AD93" s="105">
        <f t="shared" si="3"/>
        <v>0</v>
      </c>
      <c r="AE93" s="105">
        <f t="shared" si="3"/>
        <v>0</v>
      </c>
      <c r="AF93" s="105">
        <f t="shared" si="3"/>
        <v>0</v>
      </c>
      <c r="AG93" s="105">
        <f t="shared" si="3"/>
        <v>0</v>
      </c>
      <c r="AH93" s="105">
        <f t="shared" si="3"/>
        <v>0</v>
      </c>
      <c r="AI93" s="105">
        <f t="shared" si="3"/>
        <v>0</v>
      </c>
      <c r="AJ93" s="105">
        <f t="shared" si="3"/>
        <v>0</v>
      </c>
      <c r="AK93" s="105">
        <f t="shared" si="3"/>
        <v>0</v>
      </c>
      <c r="AL93" s="105">
        <f t="shared" si="3"/>
        <v>0</v>
      </c>
      <c r="AM93" s="105">
        <f t="shared" si="3"/>
        <v>0</v>
      </c>
      <c r="AN93" s="105">
        <f t="shared" si="3"/>
        <v>0</v>
      </c>
      <c r="AO93" s="105">
        <f t="shared" si="3"/>
        <v>0</v>
      </c>
      <c r="AP93" s="105">
        <f t="shared" si="3"/>
        <v>0</v>
      </c>
      <c r="AQ93" s="105">
        <f t="shared" si="3"/>
        <v>0</v>
      </c>
      <c r="AR93" s="105">
        <f t="shared" si="3"/>
        <v>0</v>
      </c>
      <c r="AS93" s="105">
        <f t="shared" si="3"/>
        <v>0</v>
      </c>
      <c r="AT93" s="105">
        <f t="shared" si="3"/>
        <v>0</v>
      </c>
      <c r="AU93" s="105">
        <f t="shared" si="3"/>
        <v>0</v>
      </c>
      <c r="AV93" s="105">
        <f t="shared" si="3"/>
        <v>0</v>
      </c>
      <c r="AW93" s="105">
        <f t="shared" si="3"/>
        <v>0</v>
      </c>
      <c r="AX93" s="105">
        <f t="shared" si="3"/>
        <v>0</v>
      </c>
    </row>
    <row r="94" spans="2:50" x14ac:dyDescent="0.25">
      <c r="B94" s="106"/>
    </row>
    <row r="95" spans="2:50" x14ac:dyDescent="0.25">
      <c r="B95" s="179" t="s">
        <v>334</v>
      </c>
    </row>
    <row r="96" spans="2:50" x14ac:dyDescent="0.25">
      <c r="B96" s="180"/>
      <c r="C96" s="110" t="s">
        <v>92</v>
      </c>
      <c r="D96" s="106"/>
      <c r="E96" s="106"/>
      <c r="F96" s="106"/>
      <c r="G96" s="110" t="s">
        <v>93</v>
      </c>
      <c r="H96" s="106"/>
      <c r="I96" s="106"/>
      <c r="J96" s="106"/>
      <c r="K96" s="110" t="s">
        <v>94</v>
      </c>
      <c r="L96" s="106"/>
      <c r="M96" s="106"/>
      <c r="N96" s="106"/>
      <c r="O96" s="110" t="s">
        <v>95</v>
      </c>
      <c r="P96" s="106"/>
      <c r="Q96" s="106"/>
      <c r="R96" s="106"/>
      <c r="S96" s="110" t="s">
        <v>96</v>
      </c>
      <c r="T96" s="106"/>
      <c r="U96" s="106"/>
      <c r="V96" s="106"/>
      <c r="W96" s="110" t="s">
        <v>97</v>
      </c>
      <c r="X96" s="106"/>
      <c r="Y96" s="106"/>
      <c r="Z96" s="106"/>
      <c r="AA96" s="110" t="s">
        <v>98</v>
      </c>
      <c r="AB96" s="106"/>
      <c r="AC96" s="106"/>
      <c r="AD96" s="106"/>
      <c r="AE96" s="110" t="s">
        <v>99</v>
      </c>
      <c r="AF96" s="106"/>
      <c r="AG96" s="106"/>
      <c r="AH96" s="106"/>
      <c r="AI96" s="110" t="s">
        <v>100</v>
      </c>
      <c r="AJ96" s="106"/>
      <c r="AK96" s="106"/>
      <c r="AL96" s="106"/>
      <c r="AM96" s="110" t="s">
        <v>101</v>
      </c>
      <c r="AN96" s="106"/>
      <c r="AO96" s="106"/>
      <c r="AP96" s="106"/>
      <c r="AQ96" s="110" t="s">
        <v>102</v>
      </c>
      <c r="AR96" s="106"/>
      <c r="AS96" s="106"/>
      <c r="AT96" s="106"/>
      <c r="AU96" s="110" t="s">
        <v>103</v>
      </c>
      <c r="AV96" s="106"/>
      <c r="AW96" s="106"/>
    </row>
    <row r="97" spans="1:50" x14ac:dyDescent="0.25">
      <c r="A97" s="181" t="s">
        <v>121</v>
      </c>
      <c r="B97" s="181" t="s">
        <v>335</v>
      </c>
      <c r="C97" s="110">
        <v>1</v>
      </c>
      <c r="D97" s="110">
        <v>2</v>
      </c>
      <c r="E97" s="110">
        <v>3</v>
      </c>
      <c r="F97" s="110">
        <v>4</v>
      </c>
      <c r="G97" s="110">
        <v>1</v>
      </c>
      <c r="H97" s="110">
        <v>2</v>
      </c>
      <c r="I97" s="110">
        <v>3</v>
      </c>
      <c r="J97" s="110">
        <v>4</v>
      </c>
      <c r="K97" s="110">
        <v>1</v>
      </c>
      <c r="L97" s="110">
        <v>2</v>
      </c>
      <c r="M97" s="110">
        <v>3</v>
      </c>
      <c r="N97" s="110">
        <v>4</v>
      </c>
      <c r="O97" s="110">
        <v>1</v>
      </c>
      <c r="P97" s="110">
        <v>2</v>
      </c>
      <c r="Q97" s="110">
        <v>3</v>
      </c>
      <c r="R97" s="110">
        <v>4</v>
      </c>
      <c r="S97" s="110">
        <v>1</v>
      </c>
      <c r="T97" s="110">
        <v>2</v>
      </c>
      <c r="U97" s="110">
        <v>3</v>
      </c>
      <c r="V97" s="110">
        <v>4</v>
      </c>
      <c r="W97" s="110">
        <v>1</v>
      </c>
      <c r="X97" s="110">
        <v>2</v>
      </c>
      <c r="Y97" s="110">
        <v>3</v>
      </c>
      <c r="Z97" s="110">
        <v>4</v>
      </c>
      <c r="AA97" s="110">
        <v>1</v>
      </c>
      <c r="AB97" s="110">
        <v>2</v>
      </c>
      <c r="AC97" s="110">
        <v>3</v>
      </c>
      <c r="AD97" s="110">
        <v>4</v>
      </c>
      <c r="AE97" s="110">
        <v>1</v>
      </c>
      <c r="AF97" s="110">
        <v>2</v>
      </c>
      <c r="AG97" s="110">
        <v>3</v>
      </c>
      <c r="AH97" s="110">
        <v>4</v>
      </c>
      <c r="AI97" s="110">
        <v>1</v>
      </c>
      <c r="AJ97" s="110">
        <v>2</v>
      </c>
      <c r="AK97" s="110">
        <v>3</v>
      </c>
      <c r="AL97" s="110">
        <v>4</v>
      </c>
      <c r="AM97" s="110">
        <v>1</v>
      </c>
      <c r="AN97" s="110">
        <v>2</v>
      </c>
      <c r="AO97" s="110">
        <v>3</v>
      </c>
      <c r="AP97" s="110">
        <v>4</v>
      </c>
      <c r="AQ97" s="110">
        <v>1</v>
      </c>
      <c r="AR97" s="110">
        <v>2</v>
      </c>
      <c r="AS97" s="110">
        <v>3</v>
      </c>
      <c r="AT97" s="110">
        <v>4</v>
      </c>
      <c r="AU97" s="110">
        <v>1</v>
      </c>
      <c r="AV97" s="110">
        <v>2</v>
      </c>
      <c r="AW97" s="110">
        <v>3</v>
      </c>
      <c r="AX97" s="110">
        <v>4</v>
      </c>
    </row>
    <row r="98" spans="1:50" x14ac:dyDescent="0.25">
      <c r="A98" s="110" t="s">
        <v>104</v>
      </c>
      <c r="B98" s="110" t="s">
        <v>5</v>
      </c>
      <c r="C98" s="105">
        <v>0</v>
      </c>
      <c r="D98" s="105">
        <v>0</v>
      </c>
      <c r="E98" s="105">
        <v>0</v>
      </c>
      <c r="F98" s="105">
        <v>0</v>
      </c>
      <c r="G98" s="105">
        <v>0</v>
      </c>
      <c r="H98" s="105">
        <v>0</v>
      </c>
      <c r="I98" s="105">
        <v>0</v>
      </c>
      <c r="J98" s="105">
        <v>0</v>
      </c>
      <c r="K98" s="105">
        <v>0</v>
      </c>
      <c r="L98" s="105">
        <v>0</v>
      </c>
      <c r="M98" s="105">
        <v>0</v>
      </c>
      <c r="N98" s="105">
        <v>0</v>
      </c>
      <c r="O98" s="105">
        <v>0</v>
      </c>
      <c r="P98" s="105">
        <v>0</v>
      </c>
      <c r="Q98" s="105">
        <v>0</v>
      </c>
      <c r="R98" s="105">
        <v>0</v>
      </c>
      <c r="S98" s="105">
        <v>0</v>
      </c>
      <c r="T98" s="105">
        <v>0</v>
      </c>
      <c r="U98" s="105">
        <v>0</v>
      </c>
      <c r="V98" s="105">
        <v>0</v>
      </c>
      <c r="W98" s="105">
        <v>0</v>
      </c>
      <c r="X98" s="105">
        <v>0</v>
      </c>
      <c r="Y98" s="105">
        <v>0</v>
      </c>
      <c r="Z98" s="105">
        <v>0</v>
      </c>
      <c r="AA98" s="105">
        <v>0</v>
      </c>
      <c r="AB98" s="105">
        <v>0</v>
      </c>
      <c r="AC98" s="105">
        <v>0</v>
      </c>
      <c r="AD98" s="105">
        <v>0</v>
      </c>
      <c r="AE98" s="105">
        <v>0</v>
      </c>
      <c r="AF98" s="105">
        <v>0</v>
      </c>
      <c r="AG98" s="105">
        <v>0</v>
      </c>
      <c r="AH98" s="105">
        <v>0</v>
      </c>
      <c r="AI98" s="105">
        <v>0</v>
      </c>
      <c r="AJ98" s="105">
        <v>0</v>
      </c>
      <c r="AK98" s="105">
        <v>0</v>
      </c>
      <c r="AL98" s="105">
        <v>0</v>
      </c>
      <c r="AM98" s="105">
        <v>0</v>
      </c>
      <c r="AN98" s="105">
        <v>0</v>
      </c>
      <c r="AO98" s="105">
        <v>0</v>
      </c>
      <c r="AP98" s="105">
        <v>0</v>
      </c>
      <c r="AQ98" s="105">
        <v>0</v>
      </c>
      <c r="AR98" s="105">
        <v>0</v>
      </c>
      <c r="AS98" s="105">
        <v>0</v>
      </c>
      <c r="AT98" s="105">
        <v>0</v>
      </c>
      <c r="AU98" s="105">
        <v>0</v>
      </c>
      <c r="AV98" s="105">
        <v>0</v>
      </c>
      <c r="AW98" s="105">
        <v>0</v>
      </c>
      <c r="AX98" s="105">
        <v>0</v>
      </c>
    </row>
    <row r="99" spans="1:50" x14ac:dyDescent="0.25">
      <c r="B99" s="110" t="s">
        <v>10</v>
      </c>
      <c r="C99" s="105">
        <v>0</v>
      </c>
      <c r="D99" s="105">
        <v>0</v>
      </c>
      <c r="E99" s="105">
        <v>0</v>
      </c>
      <c r="F99" s="105">
        <v>0</v>
      </c>
      <c r="G99" s="105">
        <v>0</v>
      </c>
      <c r="H99" s="105">
        <v>0</v>
      </c>
      <c r="I99" s="105">
        <v>0</v>
      </c>
      <c r="J99" s="105">
        <v>0</v>
      </c>
      <c r="K99" s="105">
        <v>0</v>
      </c>
      <c r="L99" s="105">
        <v>0</v>
      </c>
      <c r="M99" s="105">
        <v>0</v>
      </c>
      <c r="N99" s="105">
        <v>0</v>
      </c>
      <c r="O99" s="105">
        <v>0</v>
      </c>
      <c r="P99" s="105">
        <v>0</v>
      </c>
      <c r="Q99" s="105">
        <v>0</v>
      </c>
      <c r="R99" s="105">
        <v>0</v>
      </c>
      <c r="S99" s="105">
        <v>0</v>
      </c>
      <c r="T99" s="105">
        <v>0</v>
      </c>
      <c r="U99" s="105">
        <v>0</v>
      </c>
      <c r="V99" s="105">
        <v>0</v>
      </c>
      <c r="W99" s="105">
        <v>0</v>
      </c>
      <c r="X99" s="105">
        <v>0</v>
      </c>
      <c r="Y99" s="105">
        <v>0</v>
      </c>
      <c r="Z99" s="105">
        <v>0</v>
      </c>
      <c r="AA99" s="105">
        <v>0</v>
      </c>
      <c r="AB99" s="105">
        <v>0</v>
      </c>
      <c r="AC99" s="105">
        <v>0</v>
      </c>
      <c r="AD99" s="105">
        <v>0</v>
      </c>
      <c r="AE99" s="105">
        <v>0</v>
      </c>
      <c r="AF99" s="105">
        <v>0</v>
      </c>
      <c r="AG99" s="105">
        <v>0</v>
      </c>
      <c r="AH99" s="105">
        <v>0</v>
      </c>
      <c r="AI99" s="105">
        <v>0</v>
      </c>
      <c r="AJ99" s="105">
        <v>0</v>
      </c>
      <c r="AK99" s="105">
        <v>0</v>
      </c>
      <c r="AL99" s="105">
        <v>0</v>
      </c>
      <c r="AM99" s="105">
        <v>0</v>
      </c>
      <c r="AN99" s="105">
        <v>0</v>
      </c>
      <c r="AO99" s="105">
        <v>0</v>
      </c>
      <c r="AP99" s="105">
        <v>0</v>
      </c>
      <c r="AQ99" s="105">
        <v>0</v>
      </c>
      <c r="AR99" s="105">
        <v>0</v>
      </c>
      <c r="AS99" s="105">
        <v>0</v>
      </c>
      <c r="AT99" s="105">
        <v>0</v>
      </c>
      <c r="AU99" s="105">
        <v>0</v>
      </c>
      <c r="AV99" s="105">
        <v>0</v>
      </c>
      <c r="AW99" s="105">
        <v>0</v>
      </c>
      <c r="AX99" s="105">
        <v>0</v>
      </c>
    </row>
    <row r="100" spans="1:50" x14ac:dyDescent="0.25">
      <c r="B100" s="110" t="s">
        <v>12</v>
      </c>
      <c r="C100" s="105">
        <v>0</v>
      </c>
      <c r="D100" s="105">
        <v>0</v>
      </c>
      <c r="E100" s="105">
        <v>0</v>
      </c>
      <c r="F100" s="105">
        <v>0</v>
      </c>
      <c r="G100" s="105">
        <v>0</v>
      </c>
      <c r="H100" s="105">
        <v>0</v>
      </c>
      <c r="I100" s="105">
        <v>0</v>
      </c>
      <c r="J100" s="105">
        <v>0</v>
      </c>
      <c r="K100" s="105">
        <v>0</v>
      </c>
      <c r="L100" s="105">
        <v>0</v>
      </c>
      <c r="M100" s="105">
        <v>0</v>
      </c>
      <c r="N100" s="105">
        <v>0</v>
      </c>
      <c r="O100" s="105">
        <v>0</v>
      </c>
      <c r="P100" s="105">
        <v>0</v>
      </c>
      <c r="Q100" s="105">
        <v>0</v>
      </c>
      <c r="R100" s="105">
        <v>0</v>
      </c>
      <c r="S100" s="105">
        <v>0</v>
      </c>
      <c r="T100" s="105">
        <v>0</v>
      </c>
      <c r="U100" s="105">
        <v>0</v>
      </c>
      <c r="V100" s="105">
        <v>0</v>
      </c>
      <c r="W100" s="105">
        <v>0</v>
      </c>
      <c r="X100" s="105">
        <v>0</v>
      </c>
      <c r="Y100" s="105">
        <v>0</v>
      </c>
      <c r="Z100" s="105">
        <v>0</v>
      </c>
      <c r="AA100" s="105">
        <v>0</v>
      </c>
      <c r="AB100" s="105">
        <v>0</v>
      </c>
      <c r="AC100" s="105">
        <v>0</v>
      </c>
      <c r="AD100" s="105">
        <v>0</v>
      </c>
      <c r="AE100" s="105">
        <v>0</v>
      </c>
      <c r="AF100" s="105">
        <v>0</v>
      </c>
      <c r="AG100" s="105">
        <v>0</v>
      </c>
      <c r="AH100" s="105">
        <v>0</v>
      </c>
      <c r="AI100" s="105">
        <v>0</v>
      </c>
      <c r="AJ100" s="105">
        <v>0</v>
      </c>
      <c r="AK100" s="105">
        <v>0</v>
      </c>
      <c r="AL100" s="105">
        <v>0</v>
      </c>
      <c r="AM100" s="105">
        <v>0</v>
      </c>
      <c r="AN100" s="105">
        <v>0</v>
      </c>
      <c r="AO100" s="105">
        <v>0</v>
      </c>
      <c r="AP100" s="105">
        <v>0</v>
      </c>
      <c r="AQ100" s="105">
        <v>0</v>
      </c>
      <c r="AR100" s="105">
        <v>0</v>
      </c>
      <c r="AS100" s="105">
        <v>0</v>
      </c>
      <c r="AT100" s="105">
        <v>0</v>
      </c>
      <c r="AU100" s="105">
        <v>0</v>
      </c>
      <c r="AV100" s="105">
        <v>0</v>
      </c>
      <c r="AW100" s="105">
        <v>0</v>
      </c>
      <c r="AX100" s="105">
        <v>0</v>
      </c>
    </row>
    <row r="101" spans="1:50" x14ac:dyDescent="0.25">
      <c r="B101" s="110" t="s">
        <v>22</v>
      </c>
      <c r="C101" s="105">
        <v>0</v>
      </c>
      <c r="D101" s="105">
        <v>0</v>
      </c>
      <c r="E101" s="105">
        <v>0</v>
      </c>
      <c r="F101" s="105">
        <v>0</v>
      </c>
      <c r="G101" s="105">
        <v>0</v>
      </c>
      <c r="H101" s="105">
        <v>0</v>
      </c>
      <c r="I101" s="105">
        <v>0</v>
      </c>
      <c r="J101" s="105">
        <v>0</v>
      </c>
      <c r="K101" s="105">
        <v>0</v>
      </c>
      <c r="L101" s="105">
        <v>0</v>
      </c>
      <c r="M101" s="105">
        <v>0</v>
      </c>
      <c r="N101" s="105">
        <v>0</v>
      </c>
      <c r="O101" s="105">
        <v>0</v>
      </c>
      <c r="P101" s="105">
        <v>0</v>
      </c>
      <c r="Q101" s="105">
        <v>0</v>
      </c>
      <c r="R101" s="105">
        <v>0</v>
      </c>
      <c r="S101" s="105">
        <v>0</v>
      </c>
      <c r="T101" s="105">
        <v>0</v>
      </c>
      <c r="U101" s="105">
        <v>0</v>
      </c>
      <c r="V101" s="105">
        <v>0</v>
      </c>
      <c r="W101" s="105">
        <v>0</v>
      </c>
      <c r="X101" s="105">
        <v>0</v>
      </c>
      <c r="Y101" s="105">
        <v>0</v>
      </c>
      <c r="Z101" s="105">
        <v>0</v>
      </c>
      <c r="AA101" s="105">
        <v>0</v>
      </c>
      <c r="AB101" s="105">
        <v>0</v>
      </c>
      <c r="AC101" s="105">
        <v>0</v>
      </c>
      <c r="AD101" s="105">
        <v>0</v>
      </c>
      <c r="AE101" s="105">
        <v>0</v>
      </c>
      <c r="AF101" s="105">
        <v>0</v>
      </c>
      <c r="AG101" s="105">
        <v>0</v>
      </c>
      <c r="AH101" s="105">
        <v>0</v>
      </c>
      <c r="AI101" s="105">
        <v>0</v>
      </c>
      <c r="AJ101" s="105">
        <v>0</v>
      </c>
      <c r="AK101" s="105">
        <v>0</v>
      </c>
      <c r="AL101" s="105">
        <v>0</v>
      </c>
      <c r="AM101" s="105">
        <v>0</v>
      </c>
      <c r="AN101" s="105">
        <v>0</v>
      </c>
      <c r="AO101" s="105">
        <v>0</v>
      </c>
      <c r="AP101" s="105">
        <v>0</v>
      </c>
      <c r="AQ101" s="105">
        <v>0</v>
      </c>
      <c r="AR101" s="105">
        <v>0</v>
      </c>
      <c r="AS101" s="105">
        <v>0</v>
      </c>
      <c r="AT101" s="105">
        <v>0</v>
      </c>
      <c r="AU101" s="105">
        <v>0</v>
      </c>
      <c r="AV101" s="105">
        <v>0</v>
      </c>
      <c r="AW101" s="105">
        <v>0</v>
      </c>
      <c r="AX101" s="105">
        <v>0</v>
      </c>
    </row>
    <row r="102" spans="1:50" x14ac:dyDescent="0.25">
      <c r="B102" s="110" t="s">
        <v>59</v>
      </c>
      <c r="C102" s="105">
        <v>0</v>
      </c>
      <c r="D102" s="105">
        <v>0</v>
      </c>
      <c r="E102" s="105">
        <v>0</v>
      </c>
      <c r="F102" s="105">
        <v>0</v>
      </c>
      <c r="G102" s="105">
        <v>0</v>
      </c>
      <c r="H102" s="105">
        <v>0</v>
      </c>
      <c r="I102" s="105">
        <v>0</v>
      </c>
      <c r="J102" s="105">
        <v>0</v>
      </c>
      <c r="K102" s="105">
        <v>0</v>
      </c>
      <c r="L102" s="105">
        <v>0</v>
      </c>
      <c r="M102" s="105">
        <v>0</v>
      </c>
      <c r="N102" s="105">
        <v>0</v>
      </c>
      <c r="O102" s="105">
        <v>0</v>
      </c>
      <c r="P102" s="105">
        <v>0</v>
      </c>
      <c r="Q102" s="105">
        <v>0</v>
      </c>
      <c r="R102" s="105">
        <v>0</v>
      </c>
      <c r="S102" s="105">
        <v>0</v>
      </c>
      <c r="T102" s="105">
        <v>0</v>
      </c>
      <c r="U102" s="105">
        <v>0</v>
      </c>
      <c r="V102" s="105">
        <v>0</v>
      </c>
      <c r="W102" s="105">
        <v>0</v>
      </c>
      <c r="X102" s="105">
        <v>0</v>
      </c>
      <c r="Y102" s="105">
        <v>0</v>
      </c>
      <c r="Z102" s="105">
        <v>0</v>
      </c>
      <c r="AA102" s="105">
        <v>0</v>
      </c>
      <c r="AB102" s="105">
        <v>0</v>
      </c>
      <c r="AC102" s="105">
        <v>0</v>
      </c>
      <c r="AD102" s="105">
        <v>0</v>
      </c>
      <c r="AE102" s="105">
        <v>0</v>
      </c>
      <c r="AF102" s="105">
        <v>0</v>
      </c>
      <c r="AG102" s="105">
        <v>0</v>
      </c>
      <c r="AH102" s="105">
        <v>0</v>
      </c>
      <c r="AI102" s="105">
        <v>0</v>
      </c>
      <c r="AJ102" s="105">
        <v>0</v>
      </c>
      <c r="AK102" s="105">
        <v>0</v>
      </c>
      <c r="AL102" s="105">
        <v>0</v>
      </c>
      <c r="AM102" s="105">
        <v>0</v>
      </c>
      <c r="AN102" s="105">
        <v>0</v>
      </c>
      <c r="AO102" s="105">
        <v>0</v>
      </c>
      <c r="AP102" s="105">
        <v>0</v>
      </c>
      <c r="AQ102" s="105">
        <v>0</v>
      </c>
      <c r="AR102" s="105">
        <v>0</v>
      </c>
      <c r="AS102" s="105">
        <v>0</v>
      </c>
      <c r="AT102" s="105">
        <v>0</v>
      </c>
      <c r="AU102" s="105">
        <v>0</v>
      </c>
      <c r="AV102" s="105">
        <v>0</v>
      </c>
      <c r="AW102" s="105">
        <v>0</v>
      </c>
      <c r="AX102" s="105">
        <v>0</v>
      </c>
    </row>
    <row r="103" spans="1:50" x14ac:dyDescent="0.25">
      <c r="B103" s="105" t="s">
        <v>277</v>
      </c>
      <c r="C103" s="110">
        <f>SUM(C$98:C$102)</f>
        <v>0</v>
      </c>
      <c r="D103" s="110">
        <f t="shared" ref="D103:AX103" si="5">SUM(D$98:D$102)</f>
        <v>0</v>
      </c>
      <c r="E103" s="110">
        <f t="shared" si="5"/>
        <v>0</v>
      </c>
      <c r="F103" s="110">
        <f t="shared" si="5"/>
        <v>0</v>
      </c>
      <c r="G103" s="110">
        <f t="shared" si="5"/>
        <v>0</v>
      </c>
      <c r="H103" s="110">
        <f t="shared" si="5"/>
        <v>0</v>
      </c>
      <c r="I103" s="110">
        <f t="shared" si="5"/>
        <v>0</v>
      </c>
      <c r="J103" s="110">
        <f t="shared" si="5"/>
        <v>0</v>
      </c>
      <c r="K103" s="110">
        <f t="shared" si="5"/>
        <v>0</v>
      </c>
      <c r="L103" s="110">
        <f t="shared" si="5"/>
        <v>0</v>
      </c>
      <c r="M103" s="110">
        <f t="shared" si="5"/>
        <v>0</v>
      </c>
      <c r="N103" s="110">
        <f t="shared" si="5"/>
        <v>0</v>
      </c>
      <c r="O103" s="110">
        <f t="shared" si="5"/>
        <v>0</v>
      </c>
      <c r="P103" s="110">
        <f t="shared" si="5"/>
        <v>0</v>
      </c>
      <c r="Q103" s="110">
        <f t="shared" si="5"/>
        <v>0</v>
      </c>
      <c r="R103" s="110">
        <f t="shared" si="5"/>
        <v>0</v>
      </c>
      <c r="S103" s="110">
        <f t="shared" si="5"/>
        <v>0</v>
      </c>
      <c r="T103" s="110">
        <f t="shared" si="5"/>
        <v>0</v>
      </c>
      <c r="U103" s="110">
        <f t="shared" si="5"/>
        <v>0</v>
      </c>
      <c r="V103" s="110">
        <f t="shared" si="5"/>
        <v>0</v>
      </c>
      <c r="W103" s="110">
        <f t="shared" si="5"/>
        <v>0</v>
      </c>
      <c r="X103" s="110">
        <f t="shared" si="5"/>
        <v>0</v>
      </c>
      <c r="Y103" s="110">
        <f t="shared" si="5"/>
        <v>0</v>
      </c>
      <c r="Z103" s="110">
        <f t="shared" si="5"/>
        <v>0</v>
      </c>
      <c r="AA103" s="110">
        <f t="shared" si="5"/>
        <v>0</v>
      </c>
      <c r="AB103" s="110">
        <f t="shared" si="5"/>
        <v>0</v>
      </c>
      <c r="AC103" s="110">
        <f t="shared" si="5"/>
        <v>0</v>
      </c>
      <c r="AD103" s="110">
        <f t="shared" si="5"/>
        <v>0</v>
      </c>
      <c r="AE103" s="110">
        <f t="shared" si="5"/>
        <v>0</v>
      </c>
      <c r="AF103" s="110">
        <f t="shared" si="5"/>
        <v>0</v>
      </c>
      <c r="AG103" s="110">
        <f t="shared" si="5"/>
        <v>0</v>
      </c>
      <c r="AH103" s="110">
        <f t="shared" si="5"/>
        <v>0</v>
      </c>
      <c r="AI103" s="110">
        <f t="shared" si="5"/>
        <v>0</v>
      </c>
      <c r="AJ103" s="110">
        <f t="shared" si="5"/>
        <v>0</v>
      </c>
      <c r="AK103" s="110">
        <f t="shared" si="5"/>
        <v>0</v>
      </c>
      <c r="AL103" s="110">
        <f t="shared" si="5"/>
        <v>0</v>
      </c>
      <c r="AM103" s="110">
        <f t="shared" si="5"/>
        <v>0</v>
      </c>
      <c r="AN103" s="110">
        <f t="shared" si="5"/>
        <v>0</v>
      </c>
      <c r="AO103" s="110">
        <f t="shared" si="5"/>
        <v>0</v>
      </c>
      <c r="AP103" s="110">
        <f t="shared" si="5"/>
        <v>0</v>
      </c>
      <c r="AQ103" s="110">
        <f t="shared" si="5"/>
        <v>0</v>
      </c>
      <c r="AR103" s="110">
        <f t="shared" si="5"/>
        <v>0</v>
      </c>
      <c r="AS103" s="110">
        <f t="shared" si="5"/>
        <v>0</v>
      </c>
      <c r="AT103" s="110">
        <f t="shared" si="5"/>
        <v>0</v>
      </c>
      <c r="AU103" s="110">
        <f t="shared" si="5"/>
        <v>0</v>
      </c>
      <c r="AV103" s="110">
        <f t="shared" si="5"/>
        <v>0</v>
      </c>
      <c r="AW103" s="110">
        <f t="shared" si="5"/>
        <v>0</v>
      </c>
      <c r="AX103" s="110">
        <f t="shared" si="5"/>
        <v>0</v>
      </c>
    </row>
    <row r="104" spans="1:50" x14ac:dyDescent="0.25">
      <c r="A104" s="110" t="s">
        <v>105</v>
      </c>
      <c r="B104" s="110" t="s">
        <v>5</v>
      </c>
      <c r="C104" s="105">
        <v>202577.104051542</v>
      </c>
      <c r="D104" s="105">
        <v>202577.104051542</v>
      </c>
      <c r="E104" s="105">
        <v>202577.104051542</v>
      </c>
      <c r="F104" s="105">
        <v>202577.104051542</v>
      </c>
      <c r="G104" s="105">
        <v>202577.104051542</v>
      </c>
      <c r="H104" s="105">
        <v>202577.104051542</v>
      </c>
      <c r="I104" s="105">
        <v>202577.104051542</v>
      </c>
      <c r="J104" s="105">
        <v>202577.104051542</v>
      </c>
      <c r="K104" s="105">
        <v>202577.104051542</v>
      </c>
      <c r="L104" s="105">
        <v>202577.104051542</v>
      </c>
      <c r="M104" s="105">
        <v>202577.104051542</v>
      </c>
      <c r="N104" s="105">
        <v>202577.104051542</v>
      </c>
      <c r="O104" s="105">
        <v>202577.104051542</v>
      </c>
      <c r="P104" s="105">
        <v>202577.104051542</v>
      </c>
      <c r="Q104" s="105">
        <v>202577.104051542</v>
      </c>
      <c r="R104" s="105">
        <v>202577.104051542</v>
      </c>
      <c r="S104" s="105">
        <v>71077.288515604479</v>
      </c>
      <c r="T104" s="105">
        <v>71225.05534001645</v>
      </c>
      <c r="U104" s="105">
        <v>71372.445282040644</v>
      </c>
      <c r="V104" s="105">
        <v>202577.104051542</v>
      </c>
      <c r="W104" s="105">
        <v>202577.104051542</v>
      </c>
      <c r="X104" s="105">
        <v>202577.104051542</v>
      </c>
      <c r="Y104" s="105">
        <v>202577.104051542</v>
      </c>
      <c r="Z104" s="105">
        <v>202577.104051542</v>
      </c>
      <c r="AA104" s="105">
        <v>202577.104051542</v>
      </c>
      <c r="AB104" s="105">
        <v>202577.104051542</v>
      </c>
      <c r="AC104" s="105">
        <v>202577.104051542</v>
      </c>
      <c r="AD104" s="105">
        <v>202577.104051542</v>
      </c>
      <c r="AE104" s="105">
        <v>72820.420909861365</v>
      </c>
      <c r="AF104" s="105">
        <v>202577.104051542</v>
      </c>
      <c r="AG104" s="105">
        <v>202577.104051542</v>
      </c>
      <c r="AH104" s="105">
        <v>202577.104051542</v>
      </c>
      <c r="AI104" s="105">
        <v>202577.104051542</v>
      </c>
      <c r="AJ104" s="105">
        <v>202577.104051542</v>
      </c>
      <c r="AK104" s="105">
        <v>202577.104051542</v>
      </c>
      <c r="AL104" s="105">
        <v>202577.104051542</v>
      </c>
      <c r="AM104" s="105">
        <v>202577.104051542</v>
      </c>
      <c r="AN104" s="105">
        <v>202577.104051542</v>
      </c>
      <c r="AO104" s="105">
        <v>202577.104051542</v>
      </c>
      <c r="AP104" s="105">
        <v>202577.104051542</v>
      </c>
      <c r="AQ104" s="105">
        <v>202577.104051542</v>
      </c>
      <c r="AR104" s="105">
        <v>202577.104051542</v>
      </c>
      <c r="AS104" s="105">
        <v>202577.104051542</v>
      </c>
      <c r="AT104" s="105">
        <v>202577.104051542</v>
      </c>
      <c r="AU104" s="105">
        <v>202577.104051542</v>
      </c>
      <c r="AV104" s="105">
        <v>202577.104051542</v>
      </c>
      <c r="AW104" s="105">
        <v>202577.104051542</v>
      </c>
      <c r="AX104" s="105">
        <v>202577.104051542</v>
      </c>
    </row>
    <row r="105" spans="1:50" x14ac:dyDescent="0.25">
      <c r="B105" s="110" t="s">
        <v>10</v>
      </c>
      <c r="C105" s="105">
        <v>38610.000772200001</v>
      </c>
      <c r="D105" s="105">
        <v>38610.000772200001</v>
      </c>
      <c r="E105" s="105">
        <v>38610.000772200001</v>
      </c>
      <c r="F105" s="105">
        <v>38610.000772200001</v>
      </c>
      <c r="G105" s="105">
        <v>38610.000772200001</v>
      </c>
      <c r="H105" s="105">
        <v>38610.000772200001</v>
      </c>
      <c r="I105" s="105">
        <v>38610.000772200001</v>
      </c>
      <c r="J105" s="105">
        <v>38610.000772200001</v>
      </c>
      <c r="K105" s="105">
        <v>38610.000772200001</v>
      </c>
      <c r="L105" s="105">
        <v>38610.000772200001</v>
      </c>
      <c r="M105" s="105">
        <v>38610.000772200001</v>
      </c>
      <c r="N105" s="105">
        <v>38610.000772200001</v>
      </c>
      <c r="O105" s="105">
        <v>38610.000772200001</v>
      </c>
      <c r="P105" s="105">
        <v>38610.000772200001</v>
      </c>
      <c r="Q105" s="105">
        <v>38610.000772200001</v>
      </c>
      <c r="R105" s="105">
        <v>38610.000772200001</v>
      </c>
      <c r="S105" s="105">
        <v>13546.911815735781</v>
      </c>
      <c r="T105" s="105">
        <v>13575.075300604241</v>
      </c>
      <c r="U105" s="105">
        <v>13603.1669539133</v>
      </c>
      <c r="V105" s="105">
        <v>38610.000772200001</v>
      </c>
      <c r="W105" s="105">
        <v>38610.000772200001</v>
      </c>
      <c r="X105" s="105">
        <v>38610.000772200001</v>
      </c>
      <c r="Y105" s="105">
        <v>38610.000772200001</v>
      </c>
      <c r="Z105" s="105">
        <v>38610.000772200001</v>
      </c>
      <c r="AA105" s="105">
        <v>38610.000772200001</v>
      </c>
      <c r="AB105" s="105">
        <v>38610.000772200001</v>
      </c>
      <c r="AC105" s="105">
        <v>38610.000772200001</v>
      </c>
      <c r="AD105" s="105">
        <v>38610.000772200001</v>
      </c>
      <c r="AE105" s="105">
        <v>13879.142565125809</v>
      </c>
      <c r="AF105" s="105">
        <v>38610.000772200001</v>
      </c>
      <c r="AG105" s="105">
        <v>38610.000772200001</v>
      </c>
      <c r="AH105" s="105">
        <v>38610.000772200001</v>
      </c>
      <c r="AI105" s="105">
        <v>38610.000772200001</v>
      </c>
      <c r="AJ105" s="105">
        <v>38610.000772200001</v>
      </c>
      <c r="AK105" s="105">
        <v>38610.000772200001</v>
      </c>
      <c r="AL105" s="105">
        <v>38610.000772200001</v>
      </c>
      <c r="AM105" s="105">
        <v>38610.000772200001</v>
      </c>
      <c r="AN105" s="105">
        <v>38610.000772200001</v>
      </c>
      <c r="AO105" s="105">
        <v>38610.000772200001</v>
      </c>
      <c r="AP105" s="105">
        <v>38610.000772200001</v>
      </c>
      <c r="AQ105" s="105">
        <v>38610.000772200001</v>
      </c>
      <c r="AR105" s="105">
        <v>38610.000772200001</v>
      </c>
      <c r="AS105" s="105">
        <v>38610.000772200001</v>
      </c>
      <c r="AT105" s="105">
        <v>38610.000772200001</v>
      </c>
      <c r="AU105" s="105">
        <v>38610.000772200001</v>
      </c>
      <c r="AV105" s="105">
        <v>38610.000772200001</v>
      </c>
      <c r="AW105" s="105">
        <v>38610.000772200001</v>
      </c>
      <c r="AX105" s="105">
        <v>38610.000772200001</v>
      </c>
    </row>
    <row r="106" spans="1:50" x14ac:dyDescent="0.25">
      <c r="B106" s="110" t="s">
        <v>12</v>
      </c>
      <c r="C106" s="105">
        <v>1729180.1918575796</v>
      </c>
      <c r="D106" s="105">
        <v>1729180.1918575796</v>
      </c>
      <c r="E106" s="105">
        <v>1729180.1918575796</v>
      </c>
      <c r="F106" s="105">
        <v>1729180.1918575796</v>
      </c>
      <c r="G106" s="105">
        <v>1729180.1918575796</v>
      </c>
      <c r="H106" s="105">
        <v>1729180.1918575796</v>
      </c>
      <c r="I106" s="105">
        <v>1729180.1918575796</v>
      </c>
      <c r="J106" s="105">
        <v>1729180.1918575796</v>
      </c>
      <c r="K106" s="105">
        <v>1729180.1918575796</v>
      </c>
      <c r="L106" s="105">
        <v>1729180.1918575796</v>
      </c>
      <c r="M106" s="105">
        <v>1729180.1918575796</v>
      </c>
      <c r="N106" s="105">
        <v>1729180.1918575796</v>
      </c>
      <c r="O106" s="105">
        <v>1729180.1918575796</v>
      </c>
      <c r="P106" s="105">
        <v>1729180.1918575796</v>
      </c>
      <c r="Q106" s="105">
        <v>1729180.1918575796</v>
      </c>
      <c r="R106" s="105">
        <v>1729180.1918575796</v>
      </c>
      <c r="S106" s="105">
        <v>606709.43030589714</v>
      </c>
      <c r="T106" s="105">
        <v>607970.75481235213</v>
      </c>
      <c r="U106" s="105">
        <v>609228.86228417407</v>
      </c>
      <c r="V106" s="105">
        <v>1729180.1918575796</v>
      </c>
      <c r="W106" s="105">
        <v>1729180.1918575796</v>
      </c>
      <c r="X106" s="105">
        <v>1729180.1918575796</v>
      </c>
      <c r="Y106" s="105">
        <v>1729180.1918575796</v>
      </c>
      <c r="Z106" s="105">
        <v>1729180.1918575796</v>
      </c>
      <c r="AA106" s="105">
        <v>1729180.1918575796</v>
      </c>
      <c r="AB106" s="105">
        <v>1729180.1918575796</v>
      </c>
      <c r="AC106" s="105">
        <v>1729180.1918575796</v>
      </c>
      <c r="AD106" s="105">
        <v>1729180.1918575796</v>
      </c>
      <c r="AE106" s="105">
        <v>621588.65380969155</v>
      </c>
      <c r="AF106" s="105">
        <v>1729180.1918575796</v>
      </c>
      <c r="AG106" s="105">
        <v>1729180.1918575796</v>
      </c>
      <c r="AH106" s="105">
        <v>1729180.1918575796</v>
      </c>
      <c r="AI106" s="105">
        <v>1729180.1918575796</v>
      </c>
      <c r="AJ106" s="105">
        <v>1729180.1918575796</v>
      </c>
      <c r="AK106" s="105">
        <v>1729180.1918575796</v>
      </c>
      <c r="AL106" s="105">
        <v>1729180.1918575796</v>
      </c>
      <c r="AM106" s="105">
        <v>1729180.1918575796</v>
      </c>
      <c r="AN106" s="105">
        <v>1729180.1918575796</v>
      </c>
      <c r="AO106" s="105">
        <v>1729180.1918575796</v>
      </c>
      <c r="AP106" s="105">
        <v>1729180.1918575796</v>
      </c>
      <c r="AQ106" s="105">
        <v>1729180.1918575796</v>
      </c>
      <c r="AR106" s="105">
        <v>1729180.1918575796</v>
      </c>
      <c r="AS106" s="105">
        <v>1729180.1918575796</v>
      </c>
      <c r="AT106" s="105">
        <v>1729180.1918575796</v>
      </c>
      <c r="AU106" s="105">
        <v>1729180.1918575796</v>
      </c>
      <c r="AV106" s="105">
        <v>1729180.1918575796</v>
      </c>
      <c r="AW106" s="105">
        <v>1729180.1918575796</v>
      </c>
      <c r="AX106" s="105">
        <v>1729180.1918575796</v>
      </c>
    </row>
    <row r="107" spans="1:50" x14ac:dyDescent="0.25">
      <c r="B107" s="110" t="s">
        <v>22</v>
      </c>
      <c r="C107" s="105">
        <v>0</v>
      </c>
      <c r="D107" s="105">
        <v>0</v>
      </c>
      <c r="E107" s="105">
        <v>0</v>
      </c>
      <c r="F107" s="105">
        <v>0</v>
      </c>
      <c r="G107" s="105">
        <v>0</v>
      </c>
      <c r="H107" s="105">
        <v>0</v>
      </c>
      <c r="I107" s="105">
        <v>0</v>
      </c>
      <c r="J107" s="105">
        <v>0</v>
      </c>
      <c r="K107" s="105">
        <v>0</v>
      </c>
      <c r="L107" s="105">
        <v>0</v>
      </c>
      <c r="M107" s="105">
        <v>0</v>
      </c>
      <c r="N107" s="105">
        <v>0</v>
      </c>
      <c r="O107" s="105">
        <v>0</v>
      </c>
      <c r="P107" s="105">
        <v>0</v>
      </c>
      <c r="Q107" s="105">
        <v>0</v>
      </c>
      <c r="R107" s="105">
        <v>0</v>
      </c>
      <c r="S107" s="105">
        <v>0</v>
      </c>
      <c r="T107" s="105">
        <v>0</v>
      </c>
      <c r="U107" s="105">
        <v>0</v>
      </c>
      <c r="V107" s="105">
        <v>0</v>
      </c>
      <c r="W107" s="105">
        <v>0</v>
      </c>
      <c r="X107" s="105">
        <v>0</v>
      </c>
      <c r="Y107" s="105">
        <v>0</v>
      </c>
      <c r="Z107" s="105">
        <v>0</v>
      </c>
      <c r="AA107" s="105">
        <v>0</v>
      </c>
      <c r="AB107" s="105">
        <v>0</v>
      </c>
      <c r="AC107" s="105">
        <v>0</v>
      </c>
      <c r="AD107" s="105">
        <v>0</v>
      </c>
      <c r="AE107" s="105">
        <v>0</v>
      </c>
      <c r="AF107" s="105">
        <v>0</v>
      </c>
      <c r="AG107" s="105">
        <v>0</v>
      </c>
      <c r="AH107" s="105">
        <v>0</v>
      </c>
      <c r="AI107" s="105">
        <v>0</v>
      </c>
      <c r="AJ107" s="105">
        <v>0</v>
      </c>
      <c r="AK107" s="105">
        <v>0</v>
      </c>
      <c r="AL107" s="105">
        <v>0</v>
      </c>
      <c r="AM107" s="105">
        <v>0</v>
      </c>
      <c r="AN107" s="105">
        <v>0</v>
      </c>
      <c r="AO107" s="105">
        <v>0</v>
      </c>
      <c r="AP107" s="105">
        <v>0</v>
      </c>
      <c r="AQ107" s="105">
        <v>0</v>
      </c>
      <c r="AR107" s="105">
        <v>0</v>
      </c>
      <c r="AS107" s="105">
        <v>0</v>
      </c>
      <c r="AT107" s="105">
        <v>0</v>
      </c>
      <c r="AU107" s="105">
        <v>0</v>
      </c>
      <c r="AV107" s="105">
        <v>0</v>
      </c>
      <c r="AW107" s="105">
        <v>0</v>
      </c>
      <c r="AX107" s="105">
        <v>0</v>
      </c>
    </row>
    <row r="108" spans="1:50" x14ac:dyDescent="0.25">
      <c r="B108" s="110" t="s">
        <v>59</v>
      </c>
      <c r="C108" s="105">
        <v>0</v>
      </c>
      <c r="D108" s="105">
        <v>0</v>
      </c>
      <c r="E108" s="105">
        <v>0</v>
      </c>
      <c r="F108" s="105">
        <v>0</v>
      </c>
      <c r="G108" s="105">
        <v>0</v>
      </c>
      <c r="H108" s="105">
        <v>0</v>
      </c>
      <c r="I108" s="105">
        <v>0</v>
      </c>
      <c r="J108" s="105">
        <v>0</v>
      </c>
      <c r="K108" s="105">
        <v>0</v>
      </c>
      <c r="L108" s="105">
        <v>0</v>
      </c>
      <c r="M108" s="105">
        <v>0</v>
      </c>
      <c r="N108" s="105">
        <v>0</v>
      </c>
      <c r="O108" s="105">
        <v>0</v>
      </c>
      <c r="P108" s="105">
        <v>0</v>
      </c>
      <c r="Q108" s="105">
        <v>0</v>
      </c>
      <c r="R108" s="105">
        <v>0</v>
      </c>
      <c r="S108" s="105">
        <v>0</v>
      </c>
      <c r="T108" s="105">
        <v>0</v>
      </c>
      <c r="U108" s="105">
        <v>0</v>
      </c>
      <c r="V108" s="105">
        <v>0</v>
      </c>
      <c r="W108" s="105">
        <v>0</v>
      </c>
      <c r="X108" s="105">
        <v>0</v>
      </c>
      <c r="Y108" s="105">
        <v>0</v>
      </c>
      <c r="Z108" s="105">
        <v>0</v>
      </c>
      <c r="AA108" s="105">
        <v>0</v>
      </c>
      <c r="AB108" s="105">
        <v>0</v>
      </c>
      <c r="AC108" s="105">
        <v>0</v>
      </c>
      <c r="AD108" s="105">
        <v>0</v>
      </c>
      <c r="AE108" s="105">
        <v>0</v>
      </c>
      <c r="AF108" s="105">
        <v>0</v>
      </c>
      <c r="AG108" s="105">
        <v>0</v>
      </c>
      <c r="AH108" s="105">
        <v>0</v>
      </c>
      <c r="AI108" s="105">
        <v>0</v>
      </c>
      <c r="AJ108" s="105">
        <v>0</v>
      </c>
      <c r="AK108" s="105">
        <v>0</v>
      </c>
      <c r="AL108" s="105">
        <v>0</v>
      </c>
      <c r="AM108" s="105">
        <v>0</v>
      </c>
      <c r="AN108" s="105">
        <v>0</v>
      </c>
      <c r="AO108" s="105">
        <v>0</v>
      </c>
      <c r="AP108" s="105">
        <v>0</v>
      </c>
      <c r="AQ108" s="105">
        <v>0</v>
      </c>
      <c r="AR108" s="105">
        <v>0</v>
      </c>
      <c r="AS108" s="105">
        <v>0</v>
      </c>
      <c r="AT108" s="105">
        <v>0</v>
      </c>
      <c r="AU108" s="105">
        <v>0</v>
      </c>
      <c r="AV108" s="105">
        <v>0</v>
      </c>
      <c r="AW108" s="105">
        <v>0</v>
      </c>
      <c r="AX108" s="105">
        <v>0</v>
      </c>
    </row>
    <row r="109" spans="1:50" x14ac:dyDescent="0.25">
      <c r="B109" s="106" t="s">
        <v>277</v>
      </c>
      <c r="C109" s="110">
        <f>SUM(C$104:C$108)</f>
        <v>1970367.2966813217</v>
      </c>
      <c r="D109" s="110">
        <f t="shared" ref="D109:AX109" si="6">SUM(D$104:D$108)</f>
        <v>1970367.2966813217</v>
      </c>
      <c r="E109" s="110">
        <f t="shared" si="6"/>
        <v>1970367.2966813217</v>
      </c>
      <c r="F109" s="110">
        <f t="shared" si="6"/>
        <v>1970367.2966813217</v>
      </c>
      <c r="G109" s="110">
        <f t="shared" si="6"/>
        <v>1970367.2966813217</v>
      </c>
      <c r="H109" s="110">
        <f t="shared" si="6"/>
        <v>1970367.2966813217</v>
      </c>
      <c r="I109" s="110">
        <f t="shared" si="6"/>
        <v>1970367.2966813217</v>
      </c>
      <c r="J109" s="110">
        <f t="shared" si="6"/>
        <v>1970367.2966813217</v>
      </c>
      <c r="K109" s="110">
        <f t="shared" si="6"/>
        <v>1970367.2966813217</v>
      </c>
      <c r="L109" s="110">
        <f t="shared" si="6"/>
        <v>1970367.2966813217</v>
      </c>
      <c r="M109" s="110">
        <f t="shared" si="6"/>
        <v>1970367.2966813217</v>
      </c>
      <c r="N109" s="110">
        <f t="shared" si="6"/>
        <v>1970367.2966813217</v>
      </c>
      <c r="O109" s="110">
        <f t="shared" si="6"/>
        <v>1970367.2966813217</v>
      </c>
      <c r="P109" s="110">
        <f t="shared" si="6"/>
        <v>1970367.2966813217</v>
      </c>
      <c r="Q109" s="110">
        <f t="shared" si="6"/>
        <v>1970367.2966813217</v>
      </c>
      <c r="R109" s="110">
        <f t="shared" si="6"/>
        <v>1970367.2966813217</v>
      </c>
      <c r="S109" s="110">
        <f t="shared" si="6"/>
        <v>691333.63063723734</v>
      </c>
      <c r="T109" s="110">
        <f t="shared" si="6"/>
        <v>692770.88545297284</v>
      </c>
      <c r="U109" s="110">
        <f t="shared" si="6"/>
        <v>694204.47452012799</v>
      </c>
      <c r="V109" s="110">
        <f t="shared" si="6"/>
        <v>1970367.2966813217</v>
      </c>
      <c r="W109" s="110">
        <f t="shared" si="6"/>
        <v>1970367.2966813217</v>
      </c>
      <c r="X109" s="110">
        <f t="shared" si="6"/>
        <v>1970367.2966813217</v>
      </c>
      <c r="Y109" s="110">
        <f t="shared" si="6"/>
        <v>1970367.2966813217</v>
      </c>
      <c r="Z109" s="110">
        <f t="shared" si="6"/>
        <v>1970367.2966813217</v>
      </c>
      <c r="AA109" s="110">
        <f t="shared" si="6"/>
        <v>1970367.2966813217</v>
      </c>
      <c r="AB109" s="110">
        <f t="shared" si="6"/>
        <v>1970367.2966813217</v>
      </c>
      <c r="AC109" s="110">
        <f t="shared" si="6"/>
        <v>1970367.2966813217</v>
      </c>
      <c r="AD109" s="110">
        <f t="shared" si="6"/>
        <v>1970367.2966813217</v>
      </c>
      <c r="AE109" s="110">
        <f t="shared" si="6"/>
        <v>708288.21728467871</v>
      </c>
      <c r="AF109" s="110">
        <f t="shared" si="6"/>
        <v>1970367.2966813217</v>
      </c>
      <c r="AG109" s="110">
        <f t="shared" si="6"/>
        <v>1970367.2966813217</v>
      </c>
      <c r="AH109" s="110">
        <f t="shared" si="6"/>
        <v>1970367.2966813217</v>
      </c>
      <c r="AI109" s="110">
        <f t="shared" si="6"/>
        <v>1970367.2966813217</v>
      </c>
      <c r="AJ109" s="110">
        <f t="shared" si="6"/>
        <v>1970367.2966813217</v>
      </c>
      <c r="AK109" s="110">
        <f t="shared" si="6"/>
        <v>1970367.2966813217</v>
      </c>
      <c r="AL109" s="110">
        <f t="shared" si="6"/>
        <v>1970367.2966813217</v>
      </c>
      <c r="AM109" s="110">
        <f t="shared" si="6"/>
        <v>1970367.2966813217</v>
      </c>
      <c r="AN109" s="110">
        <f t="shared" si="6"/>
        <v>1970367.2966813217</v>
      </c>
      <c r="AO109" s="110">
        <f t="shared" si="6"/>
        <v>1970367.2966813217</v>
      </c>
      <c r="AP109" s="110">
        <f t="shared" si="6"/>
        <v>1970367.2966813217</v>
      </c>
      <c r="AQ109" s="110">
        <f t="shared" si="6"/>
        <v>1970367.2966813217</v>
      </c>
      <c r="AR109" s="110">
        <f t="shared" si="6"/>
        <v>1970367.2966813217</v>
      </c>
      <c r="AS109" s="110">
        <f t="shared" si="6"/>
        <v>1970367.2966813217</v>
      </c>
      <c r="AT109" s="110">
        <f t="shared" si="6"/>
        <v>1970367.2966813217</v>
      </c>
      <c r="AU109" s="110">
        <f t="shared" si="6"/>
        <v>1970367.2966813217</v>
      </c>
      <c r="AV109" s="110">
        <f t="shared" si="6"/>
        <v>1970367.2966813217</v>
      </c>
      <c r="AW109" s="110">
        <f t="shared" si="6"/>
        <v>1970367.2966813217</v>
      </c>
      <c r="AX109" s="110">
        <f t="shared" si="6"/>
        <v>1970367.2966813217</v>
      </c>
    </row>
    <row r="110" spans="1:50" x14ac:dyDescent="0.25">
      <c r="A110" s="110" t="s">
        <v>106</v>
      </c>
      <c r="B110" s="110" t="s">
        <v>5</v>
      </c>
      <c r="C110" s="105">
        <v>0</v>
      </c>
      <c r="D110" s="105">
        <v>0</v>
      </c>
      <c r="E110" s="105">
        <v>0</v>
      </c>
      <c r="F110" s="105">
        <v>0</v>
      </c>
      <c r="G110" s="105">
        <v>0</v>
      </c>
      <c r="H110" s="105">
        <v>0</v>
      </c>
      <c r="I110" s="105">
        <v>0</v>
      </c>
      <c r="J110" s="105">
        <v>0</v>
      </c>
      <c r="K110" s="105">
        <v>0</v>
      </c>
      <c r="L110" s="105">
        <v>0</v>
      </c>
      <c r="M110" s="105">
        <v>0</v>
      </c>
      <c r="N110" s="105">
        <v>0</v>
      </c>
      <c r="O110" s="105">
        <v>0</v>
      </c>
      <c r="P110" s="105">
        <v>0</v>
      </c>
      <c r="Q110" s="105">
        <v>0</v>
      </c>
      <c r="R110" s="105">
        <v>0</v>
      </c>
      <c r="S110" s="105">
        <v>0</v>
      </c>
      <c r="T110" s="105">
        <v>0</v>
      </c>
      <c r="U110" s="105">
        <v>0</v>
      </c>
      <c r="V110" s="105">
        <v>0</v>
      </c>
      <c r="W110" s="105">
        <v>0</v>
      </c>
      <c r="X110" s="105">
        <v>0</v>
      </c>
      <c r="Y110" s="105">
        <v>0</v>
      </c>
      <c r="Z110" s="105">
        <v>0</v>
      </c>
      <c r="AA110" s="105">
        <v>0</v>
      </c>
      <c r="AB110" s="105">
        <v>0</v>
      </c>
      <c r="AC110" s="105">
        <v>0</v>
      </c>
      <c r="AD110" s="105">
        <v>0</v>
      </c>
      <c r="AE110" s="105">
        <v>0</v>
      </c>
      <c r="AF110" s="105">
        <v>0</v>
      </c>
      <c r="AG110" s="105">
        <v>0</v>
      </c>
      <c r="AH110" s="105">
        <v>0</v>
      </c>
      <c r="AI110" s="105">
        <v>0</v>
      </c>
      <c r="AJ110" s="105">
        <v>0</v>
      </c>
      <c r="AK110" s="105">
        <v>0</v>
      </c>
      <c r="AL110" s="105">
        <v>0</v>
      </c>
      <c r="AM110" s="105">
        <v>0</v>
      </c>
      <c r="AN110" s="105">
        <v>0</v>
      </c>
      <c r="AO110" s="105">
        <v>0</v>
      </c>
      <c r="AP110" s="105">
        <v>0</v>
      </c>
      <c r="AQ110" s="105">
        <v>0</v>
      </c>
      <c r="AR110" s="105">
        <v>0</v>
      </c>
      <c r="AS110" s="105">
        <v>0</v>
      </c>
      <c r="AT110" s="105">
        <v>0</v>
      </c>
      <c r="AU110" s="105">
        <v>0</v>
      </c>
      <c r="AV110" s="105">
        <v>0</v>
      </c>
      <c r="AW110" s="105">
        <v>0</v>
      </c>
      <c r="AX110" s="105">
        <v>0</v>
      </c>
    </row>
    <row r="111" spans="1:50" x14ac:dyDescent="0.25">
      <c r="B111" s="110" t="s">
        <v>10</v>
      </c>
      <c r="C111" s="105">
        <v>0</v>
      </c>
      <c r="D111" s="105">
        <v>0</v>
      </c>
      <c r="E111" s="105">
        <v>0</v>
      </c>
      <c r="F111" s="105">
        <v>0</v>
      </c>
      <c r="G111" s="105">
        <v>0</v>
      </c>
      <c r="H111" s="105">
        <v>0</v>
      </c>
      <c r="I111" s="105">
        <v>0</v>
      </c>
      <c r="J111" s="105">
        <v>0</v>
      </c>
      <c r="K111" s="105">
        <v>0</v>
      </c>
      <c r="L111" s="105">
        <v>0</v>
      </c>
      <c r="M111" s="105">
        <v>0</v>
      </c>
      <c r="N111" s="105">
        <v>0</v>
      </c>
      <c r="O111" s="105">
        <v>0</v>
      </c>
      <c r="P111" s="105">
        <v>0</v>
      </c>
      <c r="Q111" s="105">
        <v>0</v>
      </c>
      <c r="R111" s="105">
        <v>0</v>
      </c>
      <c r="S111" s="105">
        <v>0</v>
      </c>
      <c r="T111" s="105">
        <v>0</v>
      </c>
      <c r="U111" s="105">
        <v>0</v>
      </c>
      <c r="V111" s="105">
        <v>0</v>
      </c>
      <c r="W111" s="105">
        <v>0</v>
      </c>
      <c r="X111" s="105">
        <v>0</v>
      </c>
      <c r="Y111" s="105">
        <v>0</v>
      </c>
      <c r="Z111" s="105">
        <v>0</v>
      </c>
      <c r="AA111" s="105">
        <v>0</v>
      </c>
      <c r="AB111" s="105">
        <v>0</v>
      </c>
      <c r="AC111" s="105">
        <v>0</v>
      </c>
      <c r="AD111" s="105">
        <v>0</v>
      </c>
      <c r="AE111" s="105">
        <v>0</v>
      </c>
      <c r="AF111" s="105">
        <v>0</v>
      </c>
      <c r="AG111" s="105">
        <v>0</v>
      </c>
      <c r="AH111" s="105">
        <v>0</v>
      </c>
      <c r="AI111" s="105">
        <v>0</v>
      </c>
      <c r="AJ111" s="105">
        <v>0</v>
      </c>
      <c r="AK111" s="105">
        <v>0</v>
      </c>
      <c r="AL111" s="105">
        <v>0</v>
      </c>
      <c r="AM111" s="105">
        <v>0</v>
      </c>
      <c r="AN111" s="105">
        <v>0</v>
      </c>
      <c r="AO111" s="105">
        <v>0</v>
      </c>
      <c r="AP111" s="105">
        <v>0</v>
      </c>
      <c r="AQ111" s="105">
        <v>0</v>
      </c>
      <c r="AR111" s="105">
        <v>0</v>
      </c>
      <c r="AS111" s="105">
        <v>0</v>
      </c>
      <c r="AT111" s="105">
        <v>0</v>
      </c>
      <c r="AU111" s="105">
        <v>0</v>
      </c>
      <c r="AV111" s="105">
        <v>0</v>
      </c>
      <c r="AW111" s="105">
        <v>0</v>
      </c>
      <c r="AX111" s="105">
        <v>0</v>
      </c>
    </row>
    <row r="112" spans="1:50" x14ac:dyDescent="0.25">
      <c r="B112" s="110" t="s">
        <v>12</v>
      </c>
      <c r="C112" s="105">
        <v>0</v>
      </c>
      <c r="D112" s="105">
        <v>0</v>
      </c>
      <c r="E112" s="105">
        <v>0</v>
      </c>
      <c r="F112" s="105">
        <v>0</v>
      </c>
      <c r="G112" s="105">
        <v>0</v>
      </c>
      <c r="H112" s="105">
        <v>0</v>
      </c>
      <c r="I112" s="105">
        <v>0</v>
      </c>
      <c r="J112" s="105">
        <v>0</v>
      </c>
      <c r="K112" s="105">
        <v>0</v>
      </c>
      <c r="L112" s="105">
        <v>0</v>
      </c>
      <c r="M112" s="105">
        <v>0</v>
      </c>
      <c r="N112" s="105">
        <v>0</v>
      </c>
      <c r="O112" s="105">
        <v>0</v>
      </c>
      <c r="P112" s="105">
        <v>0</v>
      </c>
      <c r="Q112" s="105">
        <v>0</v>
      </c>
      <c r="R112" s="105">
        <v>0</v>
      </c>
      <c r="S112" s="105">
        <v>0</v>
      </c>
      <c r="T112" s="105">
        <v>0</v>
      </c>
      <c r="U112" s="105">
        <v>0</v>
      </c>
      <c r="V112" s="105">
        <v>0</v>
      </c>
      <c r="W112" s="105">
        <v>0</v>
      </c>
      <c r="X112" s="105">
        <v>0</v>
      </c>
      <c r="Y112" s="105">
        <v>0</v>
      </c>
      <c r="Z112" s="105">
        <v>0</v>
      </c>
      <c r="AA112" s="105">
        <v>0</v>
      </c>
      <c r="AB112" s="105">
        <v>0</v>
      </c>
      <c r="AC112" s="105">
        <v>0</v>
      </c>
      <c r="AD112" s="105">
        <v>0</v>
      </c>
      <c r="AE112" s="105">
        <v>0</v>
      </c>
      <c r="AF112" s="105">
        <v>0</v>
      </c>
      <c r="AG112" s="105">
        <v>0</v>
      </c>
      <c r="AH112" s="105">
        <v>0</v>
      </c>
      <c r="AI112" s="105">
        <v>0</v>
      </c>
      <c r="AJ112" s="105">
        <v>0</v>
      </c>
      <c r="AK112" s="105">
        <v>0</v>
      </c>
      <c r="AL112" s="105">
        <v>0</v>
      </c>
      <c r="AM112" s="105">
        <v>0</v>
      </c>
      <c r="AN112" s="105">
        <v>0</v>
      </c>
      <c r="AO112" s="105">
        <v>0</v>
      </c>
      <c r="AP112" s="105">
        <v>0</v>
      </c>
      <c r="AQ112" s="105">
        <v>0</v>
      </c>
      <c r="AR112" s="105">
        <v>0</v>
      </c>
      <c r="AS112" s="105">
        <v>0</v>
      </c>
      <c r="AT112" s="105">
        <v>0</v>
      </c>
      <c r="AU112" s="105">
        <v>0</v>
      </c>
      <c r="AV112" s="105">
        <v>0</v>
      </c>
      <c r="AW112" s="105">
        <v>0</v>
      </c>
      <c r="AX112" s="105">
        <v>0</v>
      </c>
    </row>
    <row r="113" spans="1:50" x14ac:dyDescent="0.25">
      <c r="B113" s="110" t="s">
        <v>22</v>
      </c>
      <c r="C113" s="105">
        <v>0</v>
      </c>
      <c r="D113" s="105">
        <v>0</v>
      </c>
      <c r="E113" s="105">
        <v>0</v>
      </c>
      <c r="F113" s="105">
        <v>0</v>
      </c>
      <c r="G113" s="105">
        <v>0</v>
      </c>
      <c r="H113" s="105">
        <v>0</v>
      </c>
      <c r="I113" s="105">
        <v>0</v>
      </c>
      <c r="J113" s="105">
        <v>0</v>
      </c>
      <c r="K113" s="105">
        <v>0</v>
      </c>
      <c r="L113" s="105">
        <v>0</v>
      </c>
      <c r="M113" s="105">
        <v>0</v>
      </c>
      <c r="N113" s="105">
        <v>0</v>
      </c>
      <c r="O113" s="105">
        <v>0</v>
      </c>
      <c r="P113" s="105">
        <v>0</v>
      </c>
      <c r="Q113" s="105">
        <v>0</v>
      </c>
      <c r="R113" s="105">
        <v>0</v>
      </c>
      <c r="S113" s="105">
        <v>0</v>
      </c>
      <c r="T113" s="105">
        <v>0</v>
      </c>
      <c r="U113" s="105">
        <v>0</v>
      </c>
      <c r="V113" s="105">
        <v>0</v>
      </c>
      <c r="W113" s="105">
        <v>0</v>
      </c>
      <c r="X113" s="105">
        <v>0</v>
      </c>
      <c r="Y113" s="105">
        <v>0</v>
      </c>
      <c r="Z113" s="105">
        <v>0</v>
      </c>
      <c r="AA113" s="105">
        <v>0</v>
      </c>
      <c r="AB113" s="105">
        <v>0</v>
      </c>
      <c r="AC113" s="105">
        <v>0</v>
      </c>
      <c r="AD113" s="105">
        <v>0</v>
      </c>
      <c r="AE113" s="105">
        <v>0</v>
      </c>
      <c r="AF113" s="105">
        <v>0</v>
      </c>
      <c r="AG113" s="105">
        <v>0</v>
      </c>
      <c r="AH113" s="105">
        <v>0</v>
      </c>
      <c r="AI113" s="105">
        <v>0</v>
      </c>
      <c r="AJ113" s="105">
        <v>0</v>
      </c>
      <c r="AK113" s="105">
        <v>0</v>
      </c>
      <c r="AL113" s="105">
        <v>0</v>
      </c>
      <c r="AM113" s="105">
        <v>0</v>
      </c>
      <c r="AN113" s="105">
        <v>0</v>
      </c>
      <c r="AO113" s="105">
        <v>0</v>
      </c>
      <c r="AP113" s="105">
        <v>0</v>
      </c>
      <c r="AQ113" s="105">
        <v>0</v>
      </c>
      <c r="AR113" s="105">
        <v>0</v>
      </c>
      <c r="AS113" s="105">
        <v>0</v>
      </c>
      <c r="AT113" s="105">
        <v>0</v>
      </c>
      <c r="AU113" s="105">
        <v>0</v>
      </c>
      <c r="AV113" s="105">
        <v>0</v>
      </c>
      <c r="AW113" s="105">
        <v>0</v>
      </c>
      <c r="AX113" s="105">
        <v>0</v>
      </c>
    </row>
    <row r="114" spans="1:50" x14ac:dyDescent="0.25">
      <c r="B114" s="110" t="s">
        <v>59</v>
      </c>
      <c r="C114" s="105">
        <v>0</v>
      </c>
      <c r="D114" s="105">
        <v>0</v>
      </c>
      <c r="E114" s="105">
        <v>0</v>
      </c>
      <c r="F114" s="105">
        <v>0</v>
      </c>
      <c r="G114" s="105">
        <v>0</v>
      </c>
      <c r="H114" s="105">
        <v>0</v>
      </c>
      <c r="I114" s="105">
        <v>0</v>
      </c>
      <c r="J114" s="105">
        <v>0</v>
      </c>
      <c r="K114" s="105">
        <v>0</v>
      </c>
      <c r="L114" s="105">
        <v>0</v>
      </c>
      <c r="M114" s="105">
        <v>0</v>
      </c>
      <c r="N114" s="105">
        <v>0</v>
      </c>
      <c r="O114" s="105">
        <v>0</v>
      </c>
      <c r="P114" s="105">
        <v>0</v>
      </c>
      <c r="Q114" s="105">
        <v>0</v>
      </c>
      <c r="R114" s="105">
        <v>0</v>
      </c>
      <c r="S114" s="105">
        <v>0</v>
      </c>
      <c r="T114" s="105">
        <v>0</v>
      </c>
      <c r="U114" s="105">
        <v>0</v>
      </c>
      <c r="V114" s="105">
        <v>0</v>
      </c>
      <c r="W114" s="105">
        <v>0</v>
      </c>
      <c r="X114" s="105">
        <v>0</v>
      </c>
      <c r="Y114" s="105">
        <v>0</v>
      </c>
      <c r="Z114" s="105">
        <v>0</v>
      </c>
      <c r="AA114" s="105">
        <v>0</v>
      </c>
      <c r="AB114" s="105">
        <v>0</v>
      </c>
      <c r="AC114" s="105">
        <v>0</v>
      </c>
      <c r="AD114" s="105">
        <v>0</v>
      </c>
      <c r="AE114" s="105">
        <v>0</v>
      </c>
      <c r="AF114" s="105">
        <v>0</v>
      </c>
      <c r="AG114" s="105">
        <v>0</v>
      </c>
      <c r="AH114" s="105">
        <v>0</v>
      </c>
      <c r="AI114" s="105">
        <v>0</v>
      </c>
      <c r="AJ114" s="105">
        <v>0</v>
      </c>
      <c r="AK114" s="105">
        <v>0</v>
      </c>
      <c r="AL114" s="105">
        <v>0</v>
      </c>
      <c r="AM114" s="105">
        <v>0</v>
      </c>
      <c r="AN114" s="105">
        <v>0</v>
      </c>
      <c r="AO114" s="105">
        <v>0</v>
      </c>
      <c r="AP114" s="105">
        <v>0</v>
      </c>
      <c r="AQ114" s="105">
        <v>0</v>
      </c>
      <c r="AR114" s="105">
        <v>0</v>
      </c>
      <c r="AS114" s="105">
        <v>0</v>
      </c>
      <c r="AT114" s="105">
        <v>0</v>
      </c>
      <c r="AU114" s="105">
        <v>0</v>
      </c>
      <c r="AV114" s="105">
        <v>0</v>
      </c>
      <c r="AW114" s="105">
        <v>0</v>
      </c>
      <c r="AX114" s="105">
        <v>0</v>
      </c>
    </row>
    <row r="115" spans="1:50" x14ac:dyDescent="0.25">
      <c r="B115" s="105" t="s">
        <v>277</v>
      </c>
      <c r="C115" s="110">
        <f>SUM(C$110:C$114)</f>
        <v>0</v>
      </c>
      <c r="D115" s="110">
        <f t="shared" ref="D115:AX115" si="7">SUM(D$110:D$114)</f>
        <v>0</v>
      </c>
      <c r="E115" s="110">
        <f t="shared" si="7"/>
        <v>0</v>
      </c>
      <c r="F115" s="110">
        <f t="shared" si="7"/>
        <v>0</v>
      </c>
      <c r="G115" s="110">
        <f t="shared" si="7"/>
        <v>0</v>
      </c>
      <c r="H115" s="110">
        <f t="shared" si="7"/>
        <v>0</v>
      </c>
      <c r="I115" s="110">
        <f t="shared" si="7"/>
        <v>0</v>
      </c>
      <c r="J115" s="110">
        <f t="shared" si="7"/>
        <v>0</v>
      </c>
      <c r="K115" s="110">
        <f t="shared" si="7"/>
        <v>0</v>
      </c>
      <c r="L115" s="110">
        <f t="shared" si="7"/>
        <v>0</v>
      </c>
      <c r="M115" s="110">
        <f t="shared" si="7"/>
        <v>0</v>
      </c>
      <c r="N115" s="110">
        <f t="shared" si="7"/>
        <v>0</v>
      </c>
      <c r="O115" s="110">
        <f t="shared" si="7"/>
        <v>0</v>
      </c>
      <c r="P115" s="110">
        <f t="shared" si="7"/>
        <v>0</v>
      </c>
      <c r="Q115" s="110">
        <f t="shared" si="7"/>
        <v>0</v>
      </c>
      <c r="R115" s="110">
        <f t="shared" si="7"/>
        <v>0</v>
      </c>
      <c r="S115" s="110">
        <f t="shared" si="7"/>
        <v>0</v>
      </c>
      <c r="T115" s="110">
        <f t="shared" si="7"/>
        <v>0</v>
      </c>
      <c r="U115" s="110">
        <f t="shared" si="7"/>
        <v>0</v>
      </c>
      <c r="V115" s="110">
        <f t="shared" si="7"/>
        <v>0</v>
      </c>
      <c r="W115" s="110">
        <f t="shared" si="7"/>
        <v>0</v>
      </c>
      <c r="X115" s="110">
        <f t="shared" si="7"/>
        <v>0</v>
      </c>
      <c r="Y115" s="110">
        <f t="shared" si="7"/>
        <v>0</v>
      </c>
      <c r="Z115" s="110">
        <f t="shared" si="7"/>
        <v>0</v>
      </c>
      <c r="AA115" s="110">
        <f t="shared" si="7"/>
        <v>0</v>
      </c>
      <c r="AB115" s="110">
        <f t="shared" si="7"/>
        <v>0</v>
      </c>
      <c r="AC115" s="110">
        <f t="shared" si="7"/>
        <v>0</v>
      </c>
      <c r="AD115" s="110">
        <f t="shared" si="7"/>
        <v>0</v>
      </c>
      <c r="AE115" s="110">
        <f t="shared" si="7"/>
        <v>0</v>
      </c>
      <c r="AF115" s="110">
        <f t="shared" si="7"/>
        <v>0</v>
      </c>
      <c r="AG115" s="110">
        <f t="shared" si="7"/>
        <v>0</v>
      </c>
      <c r="AH115" s="110">
        <f t="shared" si="7"/>
        <v>0</v>
      </c>
      <c r="AI115" s="110">
        <f t="shared" si="7"/>
        <v>0</v>
      </c>
      <c r="AJ115" s="110">
        <f t="shared" si="7"/>
        <v>0</v>
      </c>
      <c r="AK115" s="110">
        <f t="shared" si="7"/>
        <v>0</v>
      </c>
      <c r="AL115" s="110">
        <f t="shared" si="7"/>
        <v>0</v>
      </c>
      <c r="AM115" s="110">
        <f t="shared" si="7"/>
        <v>0</v>
      </c>
      <c r="AN115" s="110">
        <f t="shared" si="7"/>
        <v>0</v>
      </c>
      <c r="AO115" s="110">
        <f t="shared" si="7"/>
        <v>0</v>
      </c>
      <c r="AP115" s="110">
        <f t="shared" si="7"/>
        <v>0</v>
      </c>
      <c r="AQ115" s="110">
        <f t="shared" si="7"/>
        <v>0</v>
      </c>
      <c r="AR115" s="110">
        <f t="shared" si="7"/>
        <v>0</v>
      </c>
      <c r="AS115" s="110">
        <f t="shared" si="7"/>
        <v>0</v>
      </c>
      <c r="AT115" s="110">
        <f t="shared" si="7"/>
        <v>0</v>
      </c>
      <c r="AU115" s="110">
        <f t="shared" si="7"/>
        <v>0</v>
      </c>
      <c r="AV115" s="110">
        <f t="shared" si="7"/>
        <v>0</v>
      </c>
      <c r="AW115" s="110">
        <f t="shared" si="7"/>
        <v>0</v>
      </c>
      <c r="AX115" s="110">
        <f t="shared" si="7"/>
        <v>0</v>
      </c>
    </row>
    <row r="116" spans="1:50" x14ac:dyDescent="0.25">
      <c r="A116" s="110" t="s">
        <v>107</v>
      </c>
      <c r="B116" s="110" t="s">
        <v>5</v>
      </c>
      <c r="C116" s="105">
        <v>0</v>
      </c>
      <c r="D116" s="105">
        <v>0</v>
      </c>
      <c r="E116" s="105">
        <v>0</v>
      </c>
      <c r="F116" s="105">
        <v>0</v>
      </c>
      <c r="G116" s="105">
        <v>0</v>
      </c>
      <c r="H116" s="105">
        <v>0</v>
      </c>
      <c r="I116" s="105">
        <v>0</v>
      </c>
      <c r="J116" s="105">
        <v>0</v>
      </c>
      <c r="K116" s="105">
        <v>0</v>
      </c>
      <c r="L116" s="105">
        <v>0</v>
      </c>
      <c r="M116" s="105">
        <v>0</v>
      </c>
      <c r="N116" s="105">
        <v>0</v>
      </c>
      <c r="O116" s="105">
        <v>0</v>
      </c>
      <c r="P116" s="105">
        <v>0</v>
      </c>
      <c r="Q116" s="105">
        <v>0</v>
      </c>
      <c r="R116" s="105">
        <v>0</v>
      </c>
      <c r="S116" s="105">
        <v>0</v>
      </c>
      <c r="T116" s="105">
        <v>0</v>
      </c>
      <c r="U116" s="105">
        <v>0</v>
      </c>
      <c r="V116" s="105">
        <v>0</v>
      </c>
      <c r="W116" s="105">
        <v>0</v>
      </c>
      <c r="X116" s="105">
        <v>0</v>
      </c>
      <c r="Y116" s="105">
        <v>0</v>
      </c>
      <c r="Z116" s="105">
        <v>0</v>
      </c>
      <c r="AA116" s="105">
        <v>0</v>
      </c>
      <c r="AB116" s="105">
        <v>0</v>
      </c>
      <c r="AC116" s="105">
        <v>0</v>
      </c>
      <c r="AD116" s="105">
        <v>0</v>
      </c>
      <c r="AE116" s="105">
        <v>0</v>
      </c>
      <c r="AF116" s="105">
        <v>0</v>
      </c>
      <c r="AG116" s="105">
        <v>0</v>
      </c>
      <c r="AH116" s="105">
        <v>0</v>
      </c>
      <c r="AI116" s="105">
        <v>0</v>
      </c>
      <c r="AJ116" s="105">
        <v>0</v>
      </c>
      <c r="AK116" s="105">
        <v>0</v>
      </c>
      <c r="AL116" s="105">
        <v>0</v>
      </c>
      <c r="AM116" s="105">
        <v>0</v>
      </c>
      <c r="AN116" s="105">
        <v>0</v>
      </c>
      <c r="AO116" s="105">
        <v>0</v>
      </c>
      <c r="AP116" s="105">
        <v>0</v>
      </c>
      <c r="AQ116" s="105">
        <v>0</v>
      </c>
      <c r="AR116" s="105">
        <v>0</v>
      </c>
      <c r="AS116" s="105">
        <v>0</v>
      </c>
      <c r="AT116" s="105">
        <v>0</v>
      </c>
      <c r="AU116" s="105">
        <v>0</v>
      </c>
      <c r="AV116" s="105">
        <v>0</v>
      </c>
      <c r="AW116" s="105">
        <v>0</v>
      </c>
      <c r="AX116" s="105">
        <v>0</v>
      </c>
    </row>
    <row r="117" spans="1:50" x14ac:dyDescent="0.25">
      <c r="B117" s="110" t="s">
        <v>10</v>
      </c>
      <c r="C117" s="105">
        <v>0</v>
      </c>
      <c r="D117" s="105">
        <v>0</v>
      </c>
      <c r="E117" s="105">
        <v>0</v>
      </c>
      <c r="F117" s="105">
        <v>0</v>
      </c>
      <c r="G117" s="105">
        <v>0</v>
      </c>
      <c r="H117" s="105">
        <v>0</v>
      </c>
      <c r="I117" s="105">
        <v>0</v>
      </c>
      <c r="J117" s="105">
        <v>0</v>
      </c>
      <c r="K117" s="105">
        <v>0</v>
      </c>
      <c r="L117" s="105">
        <v>0</v>
      </c>
      <c r="M117" s="105">
        <v>0</v>
      </c>
      <c r="N117" s="105">
        <v>0</v>
      </c>
      <c r="O117" s="105">
        <v>0</v>
      </c>
      <c r="P117" s="105">
        <v>0</v>
      </c>
      <c r="Q117" s="105">
        <v>0</v>
      </c>
      <c r="R117" s="105">
        <v>0</v>
      </c>
      <c r="S117" s="105">
        <v>0</v>
      </c>
      <c r="T117" s="105">
        <v>0</v>
      </c>
      <c r="U117" s="105">
        <v>0</v>
      </c>
      <c r="V117" s="105">
        <v>0</v>
      </c>
      <c r="W117" s="105">
        <v>0</v>
      </c>
      <c r="X117" s="105">
        <v>0</v>
      </c>
      <c r="Y117" s="105">
        <v>0</v>
      </c>
      <c r="Z117" s="105">
        <v>0</v>
      </c>
      <c r="AA117" s="105">
        <v>0</v>
      </c>
      <c r="AB117" s="105">
        <v>0</v>
      </c>
      <c r="AC117" s="105">
        <v>0</v>
      </c>
      <c r="AD117" s="105">
        <v>0</v>
      </c>
      <c r="AE117" s="105">
        <v>0</v>
      </c>
      <c r="AF117" s="105">
        <v>0</v>
      </c>
      <c r="AG117" s="105">
        <v>0</v>
      </c>
      <c r="AH117" s="105">
        <v>0</v>
      </c>
      <c r="AI117" s="105">
        <v>0</v>
      </c>
      <c r="AJ117" s="105">
        <v>0</v>
      </c>
      <c r="AK117" s="105">
        <v>0</v>
      </c>
      <c r="AL117" s="105">
        <v>0</v>
      </c>
      <c r="AM117" s="105">
        <v>0</v>
      </c>
      <c r="AN117" s="105">
        <v>0</v>
      </c>
      <c r="AO117" s="105">
        <v>0</v>
      </c>
      <c r="AP117" s="105">
        <v>0</v>
      </c>
      <c r="AQ117" s="105">
        <v>0</v>
      </c>
      <c r="AR117" s="105">
        <v>0</v>
      </c>
      <c r="AS117" s="105">
        <v>0</v>
      </c>
      <c r="AT117" s="105">
        <v>0</v>
      </c>
      <c r="AU117" s="105">
        <v>0</v>
      </c>
      <c r="AV117" s="105">
        <v>0</v>
      </c>
      <c r="AW117" s="105">
        <v>0</v>
      </c>
      <c r="AX117" s="105">
        <v>0</v>
      </c>
    </row>
    <row r="118" spans="1:50" x14ac:dyDescent="0.25">
      <c r="B118" s="110" t="s">
        <v>12</v>
      </c>
      <c r="C118" s="105">
        <v>0</v>
      </c>
      <c r="D118" s="105">
        <v>0</v>
      </c>
      <c r="E118" s="105">
        <v>0</v>
      </c>
      <c r="F118" s="105">
        <v>0</v>
      </c>
      <c r="G118" s="105">
        <v>0</v>
      </c>
      <c r="H118" s="105">
        <v>0</v>
      </c>
      <c r="I118" s="105">
        <v>0</v>
      </c>
      <c r="J118" s="105">
        <v>0</v>
      </c>
      <c r="K118" s="105">
        <v>0</v>
      </c>
      <c r="L118" s="105">
        <v>0</v>
      </c>
      <c r="M118" s="105">
        <v>0</v>
      </c>
      <c r="N118" s="105">
        <v>0</v>
      </c>
      <c r="O118" s="105">
        <v>0</v>
      </c>
      <c r="P118" s="105">
        <v>0</v>
      </c>
      <c r="Q118" s="105">
        <v>0</v>
      </c>
      <c r="R118" s="105">
        <v>0</v>
      </c>
      <c r="S118" s="105">
        <v>0</v>
      </c>
      <c r="T118" s="105">
        <v>0</v>
      </c>
      <c r="U118" s="105">
        <v>0</v>
      </c>
      <c r="V118" s="105">
        <v>0</v>
      </c>
      <c r="W118" s="105">
        <v>0</v>
      </c>
      <c r="X118" s="105">
        <v>0</v>
      </c>
      <c r="Y118" s="105">
        <v>0</v>
      </c>
      <c r="Z118" s="105">
        <v>0</v>
      </c>
      <c r="AA118" s="105">
        <v>0</v>
      </c>
      <c r="AB118" s="105">
        <v>0</v>
      </c>
      <c r="AC118" s="105">
        <v>0</v>
      </c>
      <c r="AD118" s="105">
        <v>0</v>
      </c>
      <c r="AE118" s="105">
        <v>0</v>
      </c>
      <c r="AF118" s="105">
        <v>0</v>
      </c>
      <c r="AG118" s="105">
        <v>0</v>
      </c>
      <c r="AH118" s="105">
        <v>0</v>
      </c>
      <c r="AI118" s="105">
        <v>0</v>
      </c>
      <c r="AJ118" s="105">
        <v>0</v>
      </c>
      <c r="AK118" s="105">
        <v>0</v>
      </c>
      <c r="AL118" s="105">
        <v>0</v>
      </c>
      <c r="AM118" s="105">
        <v>0</v>
      </c>
      <c r="AN118" s="105">
        <v>0</v>
      </c>
      <c r="AO118" s="105">
        <v>0</v>
      </c>
      <c r="AP118" s="105">
        <v>0</v>
      </c>
      <c r="AQ118" s="105">
        <v>0</v>
      </c>
      <c r="AR118" s="105">
        <v>0</v>
      </c>
      <c r="AS118" s="105">
        <v>0</v>
      </c>
      <c r="AT118" s="105">
        <v>0</v>
      </c>
      <c r="AU118" s="105">
        <v>0</v>
      </c>
      <c r="AV118" s="105">
        <v>0</v>
      </c>
      <c r="AW118" s="105">
        <v>0</v>
      </c>
      <c r="AX118" s="105">
        <v>0</v>
      </c>
    </row>
    <row r="119" spans="1:50" x14ac:dyDescent="0.25">
      <c r="B119" s="110" t="s">
        <v>22</v>
      </c>
      <c r="C119" s="105">
        <v>0</v>
      </c>
      <c r="D119" s="105">
        <v>0</v>
      </c>
      <c r="E119" s="105">
        <v>0</v>
      </c>
      <c r="F119" s="105">
        <v>0</v>
      </c>
      <c r="G119" s="105">
        <v>0</v>
      </c>
      <c r="H119" s="105">
        <v>0</v>
      </c>
      <c r="I119" s="105">
        <v>0</v>
      </c>
      <c r="J119" s="105">
        <v>0</v>
      </c>
      <c r="K119" s="105">
        <v>0</v>
      </c>
      <c r="L119" s="105">
        <v>0</v>
      </c>
      <c r="M119" s="105">
        <v>0</v>
      </c>
      <c r="N119" s="105">
        <v>0</v>
      </c>
      <c r="O119" s="105">
        <v>0</v>
      </c>
      <c r="P119" s="105">
        <v>0</v>
      </c>
      <c r="Q119" s="105">
        <v>0</v>
      </c>
      <c r="R119" s="105">
        <v>0</v>
      </c>
      <c r="S119" s="105">
        <v>0</v>
      </c>
      <c r="T119" s="105">
        <v>0</v>
      </c>
      <c r="U119" s="105">
        <v>0</v>
      </c>
      <c r="V119" s="105">
        <v>0</v>
      </c>
      <c r="W119" s="105">
        <v>0</v>
      </c>
      <c r="X119" s="105">
        <v>0</v>
      </c>
      <c r="Y119" s="105">
        <v>0</v>
      </c>
      <c r="Z119" s="105">
        <v>0</v>
      </c>
      <c r="AA119" s="105">
        <v>0</v>
      </c>
      <c r="AB119" s="105">
        <v>0</v>
      </c>
      <c r="AC119" s="105">
        <v>0</v>
      </c>
      <c r="AD119" s="105">
        <v>0</v>
      </c>
      <c r="AE119" s="105">
        <v>0</v>
      </c>
      <c r="AF119" s="105">
        <v>0</v>
      </c>
      <c r="AG119" s="105">
        <v>0</v>
      </c>
      <c r="AH119" s="105">
        <v>0</v>
      </c>
      <c r="AI119" s="105">
        <v>0</v>
      </c>
      <c r="AJ119" s="105">
        <v>0</v>
      </c>
      <c r="AK119" s="105">
        <v>0</v>
      </c>
      <c r="AL119" s="105">
        <v>0</v>
      </c>
      <c r="AM119" s="105">
        <v>0</v>
      </c>
      <c r="AN119" s="105">
        <v>0</v>
      </c>
      <c r="AO119" s="105">
        <v>0</v>
      </c>
      <c r="AP119" s="105">
        <v>0</v>
      </c>
      <c r="AQ119" s="105">
        <v>0</v>
      </c>
      <c r="AR119" s="105">
        <v>0</v>
      </c>
      <c r="AS119" s="105">
        <v>0</v>
      </c>
      <c r="AT119" s="105">
        <v>0</v>
      </c>
      <c r="AU119" s="105">
        <v>0</v>
      </c>
      <c r="AV119" s="105">
        <v>0</v>
      </c>
      <c r="AW119" s="105">
        <v>0</v>
      </c>
      <c r="AX119" s="105">
        <v>0</v>
      </c>
    </row>
    <row r="120" spans="1:50" x14ac:dyDescent="0.25">
      <c r="B120" s="110" t="s">
        <v>59</v>
      </c>
      <c r="C120" s="105">
        <v>0</v>
      </c>
      <c r="D120" s="105">
        <v>0</v>
      </c>
      <c r="E120" s="105">
        <v>0</v>
      </c>
      <c r="F120" s="105">
        <v>0</v>
      </c>
      <c r="G120" s="105">
        <v>0</v>
      </c>
      <c r="H120" s="105">
        <v>0</v>
      </c>
      <c r="I120" s="105">
        <v>0</v>
      </c>
      <c r="J120" s="105">
        <v>0</v>
      </c>
      <c r="K120" s="105">
        <v>0</v>
      </c>
      <c r="L120" s="105">
        <v>0</v>
      </c>
      <c r="M120" s="105">
        <v>0</v>
      </c>
      <c r="N120" s="105">
        <v>0</v>
      </c>
      <c r="O120" s="105">
        <v>0</v>
      </c>
      <c r="P120" s="105">
        <v>0</v>
      </c>
      <c r="Q120" s="105">
        <v>0</v>
      </c>
      <c r="R120" s="105">
        <v>0</v>
      </c>
      <c r="S120" s="105">
        <v>0</v>
      </c>
      <c r="T120" s="105">
        <v>0</v>
      </c>
      <c r="U120" s="105">
        <v>0</v>
      </c>
      <c r="V120" s="105">
        <v>0</v>
      </c>
      <c r="W120" s="105">
        <v>0</v>
      </c>
      <c r="X120" s="105">
        <v>0</v>
      </c>
      <c r="Y120" s="105">
        <v>0</v>
      </c>
      <c r="Z120" s="105">
        <v>0</v>
      </c>
      <c r="AA120" s="105">
        <v>0</v>
      </c>
      <c r="AB120" s="105">
        <v>0</v>
      </c>
      <c r="AC120" s="105">
        <v>0</v>
      </c>
      <c r="AD120" s="105">
        <v>0</v>
      </c>
      <c r="AE120" s="105">
        <v>0</v>
      </c>
      <c r="AF120" s="105">
        <v>0</v>
      </c>
      <c r="AG120" s="105">
        <v>0</v>
      </c>
      <c r="AH120" s="105">
        <v>0</v>
      </c>
      <c r="AI120" s="105">
        <v>0</v>
      </c>
      <c r="AJ120" s="105">
        <v>0</v>
      </c>
      <c r="AK120" s="105">
        <v>0</v>
      </c>
      <c r="AL120" s="105">
        <v>0</v>
      </c>
      <c r="AM120" s="105">
        <v>0</v>
      </c>
      <c r="AN120" s="105">
        <v>0</v>
      </c>
      <c r="AO120" s="105">
        <v>0</v>
      </c>
      <c r="AP120" s="105">
        <v>0</v>
      </c>
      <c r="AQ120" s="105">
        <v>0</v>
      </c>
      <c r="AR120" s="105">
        <v>0</v>
      </c>
      <c r="AS120" s="105">
        <v>0</v>
      </c>
      <c r="AT120" s="105">
        <v>0</v>
      </c>
      <c r="AU120" s="105">
        <v>0</v>
      </c>
      <c r="AV120" s="105">
        <v>0</v>
      </c>
      <c r="AW120" s="105">
        <v>0</v>
      </c>
      <c r="AX120" s="105">
        <v>0</v>
      </c>
    </row>
    <row r="121" spans="1:50" x14ac:dyDescent="0.25">
      <c r="B121" s="105" t="s">
        <v>277</v>
      </c>
      <c r="C121" s="110">
        <f>SUM(C$116:C$120)</f>
        <v>0</v>
      </c>
      <c r="D121" s="110">
        <f t="shared" ref="D121:AX121" si="8">SUM(D$116:D$120)</f>
        <v>0</v>
      </c>
      <c r="E121" s="110">
        <f t="shared" si="8"/>
        <v>0</v>
      </c>
      <c r="F121" s="110">
        <f t="shared" si="8"/>
        <v>0</v>
      </c>
      <c r="G121" s="110">
        <f t="shared" si="8"/>
        <v>0</v>
      </c>
      <c r="H121" s="110">
        <f t="shared" si="8"/>
        <v>0</v>
      </c>
      <c r="I121" s="110">
        <f t="shared" si="8"/>
        <v>0</v>
      </c>
      <c r="J121" s="110">
        <f t="shared" si="8"/>
        <v>0</v>
      </c>
      <c r="K121" s="110">
        <f t="shared" si="8"/>
        <v>0</v>
      </c>
      <c r="L121" s="110">
        <f t="shared" si="8"/>
        <v>0</v>
      </c>
      <c r="M121" s="110">
        <f t="shared" si="8"/>
        <v>0</v>
      </c>
      <c r="N121" s="110">
        <f t="shared" si="8"/>
        <v>0</v>
      </c>
      <c r="O121" s="110">
        <f t="shared" si="8"/>
        <v>0</v>
      </c>
      <c r="P121" s="110">
        <f t="shared" si="8"/>
        <v>0</v>
      </c>
      <c r="Q121" s="110">
        <f t="shared" si="8"/>
        <v>0</v>
      </c>
      <c r="R121" s="110">
        <f t="shared" si="8"/>
        <v>0</v>
      </c>
      <c r="S121" s="110">
        <f t="shared" si="8"/>
        <v>0</v>
      </c>
      <c r="T121" s="110">
        <f t="shared" si="8"/>
        <v>0</v>
      </c>
      <c r="U121" s="110">
        <f t="shared" si="8"/>
        <v>0</v>
      </c>
      <c r="V121" s="110">
        <f t="shared" si="8"/>
        <v>0</v>
      </c>
      <c r="W121" s="110">
        <f t="shared" si="8"/>
        <v>0</v>
      </c>
      <c r="X121" s="110">
        <f t="shared" si="8"/>
        <v>0</v>
      </c>
      <c r="Y121" s="110">
        <f t="shared" si="8"/>
        <v>0</v>
      </c>
      <c r="Z121" s="110">
        <f t="shared" si="8"/>
        <v>0</v>
      </c>
      <c r="AA121" s="110">
        <f t="shared" si="8"/>
        <v>0</v>
      </c>
      <c r="AB121" s="110">
        <f t="shared" si="8"/>
        <v>0</v>
      </c>
      <c r="AC121" s="110">
        <f t="shared" si="8"/>
        <v>0</v>
      </c>
      <c r="AD121" s="110">
        <f t="shared" si="8"/>
        <v>0</v>
      </c>
      <c r="AE121" s="110">
        <f t="shared" si="8"/>
        <v>0</v>
      </c>
      <c r="AF121" s="110">
        <f t="shared" si="8"/>
        <v>0</v>
      </c>
      <c r="AG121" s="110">
        <f t="shared" si="8"/>
        <v>0</v>
      </c>
      <c r="AH121" s="110">
        <f t="shared" si="8"/>
        <v>0</v>
      </c>
      <c r="AI121" s="110">
        <f t="shared" si="8"/>
        <v>0</v>
      </c>
      <c r="AJ121" s="110">
        <f t="shared" si="8"/>
        <v>0</v>
      </c>
      <c r="AK121" s="110">
        <f t="shared" si="8"/>
        <v>0</v>
      </c>
      <c r="AL121" s="110">
        <f t="shared" si="8"/>
        <v>0</v>
      </c>
      <c r="AM121" s="110">
        <f t="shared" si="8"/>
        <v>0</v>
      </c>
      <c r="AN121" s="110">
        <f t="shared" si="8"/>
        <v>0</v>
      </c>
      <c r="AO121" s="110">
        <f t="shared" si="8"/>
        <v>0</v>
      </c>
      <c r="AP121" s="110">
        <f t="shared" si="8"/>
        <v>0</v>
      </c>
      <c r="AQ121" s="110">
        <f t="shared" si="8"/>
        <v>0</v>
      </c>
      <c r="AR121" s="110">
        <f t="shared" si="8"/>
        <v>0</v>
      </c>
      <c r="AS121" s="110">
        <f t="shared" si="8"/>
        <v>0</v>
      </c>
      <c r="AT121" s="110">
        <f t="shared" si="8"/>
        <v>0</v>
      </c>
      <c r="AU121" s="110">
        <f t="shared" si="8"/>
        <v>0</v>
      </c>
      <c r="AV121" s="110">
        <f t="shared" si="8"/>
        <v>0</v>
      </c>
      <c r="AW121" s="110">
        <f t="shared" si="8"/>
        <v>0</v>
      </c>
      <c r="AX121" s="110">
        <f t="shared" si="8"/>
        <v>0</v>
      </c>
    </row>
    <row r="122" spans="1:50" x14ac:dyDescent="0.25">
      <c r="A122" s="110" t="s">
        <v>108</v>
      </c>
      <c r="B122" s="110" t="s">
        <v>5</v>
      </c>
      <c r="C122" s="105">
        <v>34458.600689172003</v>
      </c>
      <c r="D122" s="105">
        <v>34458.600689172003</v>
      </c>
      <c r="E122" s="105">
        <v>34458.600689172003</v>
      </c>
      <c r="F122" s="105">
        <v>34458.600689172003</v>
      </c>
      <c r="G122" s="105">
        <v>34458.600689172003</v>
      </c>
      <c r="H122" s="105">
        <v>34458.600689172003</v>
      </c>
      <c r="I122" s="105">
        <v>34458.600689172003</v>
      </c>
      <c r="J122" s="105">
        <v>34458.600689172003</v>
      </c>
      <c r="K122" s="105">
        <v>34458.600689172003</v>
      </c>
      <c r="L122" s="105">
        <v>34458.600689172003</v>
      </c>
      <c r="M122" s="105">
        <v>34458.600689172003</v>
      </c>
      <c r="N122" s="105">
        <v>34458.600689172003</v>
      </c>
      <c r="O122" s="105">
        <v>34458.600689172003</v>
      </c>
      <c r="P122" s="105">
        <v>34458.600689172003</v>
      </c>
      <c r="Q122" s="105">
        <v>34458.600689172003</v>
      </c>
      <c r="R122" s="105">
        <v>34458.600689172003</v>
      </c>
      <c r="S122" s="105">
        <v>34458.600689172003</v>
      </c>
      <c r="T122" s="105">
        <v>34458.600689172003</v>
      </c>
      <c r="U122" s="105">
        <v>34458.600689172003</v>
      </c>
      <c r="V122" s="105">
        <v>34458.600689172003</v>
      </c>
      <c r="W122" s="105">
        <v>34458.600689172003</v>
      </c>
      <c r="X122" s="105">
        <v>34458.600689172003</v>
      </c>
      <c r="Y122" s="105">
        <v>34458.600689172003</v>
      </c>
      <c r="Z122" s="105">
        <v>34458.600689172003</v>
      </c>
      <c r="AA122" s="105">
        <v>34458.600689172003</v>
      </c>
      <c r="AB122" s="105">
        <v>34458.600689172003</v>
      </c>
      <c r="AC122" s="105">
        <v>34458.600689172003</v>
      </c>
      <c r="AD122" s="105">
        <v>34458.600689172003</v>
      </c>
      <c r="AE122" s="105">
        <v>34458.600689172003</v>
      </c>
      <c r="AF122" s="105">
        <v>34458.600689172003</v>
      </c>
      <c r="AG122" s="105">
        <v>34458.600689172003</v>
      </c>
      <c r="AH122" s="105">
        <v>34458.600689172003</v>
      </c>
      <c r="AI122" s="105">
        <v>34458.600689172003</v>
      </c>
      <c r="AJ122" s="105">
        <v>34458.600689172003</v>
      </c>
      <c r="AK122" s="105">
        <v>34458.600689172003</v>
      </c>
      <c r="AL122" s="105">
        <v>34458.600689172003</v>
      </c>
      <c r="AM122" s="105">
        <v>34458.600689172003</v>
      </c>
      <c r="AN122" s="105">
        <v>34458.600689172003</v>
      </c>
      <c r="AO122" s="105">
        <v>34458.600689172003</v>
      </c>
      <c r="AP122" s="105">
        <v>34458.600689172003</v>
      </c>
      <c r="AQ122" s="105">
        <v>34458.600689172003</v>
      </c>
      <c r="AR122" s="105">
        <v>34458.600689172003</v>
      </c>
      <c r="AS122" s="105">
        <v>34458.600689172003</v>
      </c>
      <c r="AT122" s="105">
        <v>34458.600689172003</v>
      </c>
      <c r="AU122" s="105">
        <v>34458.600689172003</v>
      </c>
      <c r="AV122" s="105">
        <v>34458.600689172003</v>
      </c>
      <c r="AW122" s="105">
        <v>34458.600689172003</v>
      </c>
      <c r="AX122" s="105">
        <v>34458.600689172003</v>
      </c>
    </row>
    <row r="123" spans="1:50" x14ac:dyDescent="0.25">
      <c r="B123" s="110" t="s">
        <v>10</v>
      </c>
      <c r="C123" s="105">
        <v>284790.00569580006</v>
      </c>
      <c r="D123" s="105">
        <v>284790.00569580006</v>
      </c>
      <c r="E123" s="105">
        <v>284790.00569580006</v>
      </c>
      <c r="F123" s="105">
        <v>284790.00569580006</v>
      </c>
      <c r="G123" s="105">
        <v>284790.00569580006</v>
      </c>
      <c r="H123" s="105">
        <v>284790.00569580006</v>
      </c>
      <c r="I123" s="105">
        <v>284790.00569580006</v>
      </c>
      <c r="J123" s="105">
        <v>284790.00569580006</v>
      </c>
      <c r="K123" s="105">
        <v>284790.00569580006</v>
      </c>
      <c r="L123" s="105">
        <v>284790.00569580006</v>
      </c>
      <c r="M123" s="105">
        <v>284790.00569580006</v>
      </c>
      <c r="N123" s="105">
        <v>284790.00569580006</v>
      </c>
      <c r="O123" s="105">
        <v>284790.00569580006</v>
      </c>
      <c r="P123" s="105">
        <v>284790.00569580006</v>
      </c>
      <c r="Q123" s="105">
        <v>284790.00569580006</v>
      </c>
      <c r="R123" s="105">
        <v>284790.00569580006</v>
      </c>
      <c r="S123" s="105">
        <v>284790.00569580006</v>
      </c>
      <c r="T123" s="105">
        <v>284790.00569580006</v>
      </c>
      <c r="U123" s="105">
        <v>284790.00569580006</v>
      </c>
      <c r="V123" s="105">
        <v>284790.00569580006</v>
      </c>
      <c r="W123" s="105">
        <v>284790.00569580006</v>
      </c>
      <c r="X123" s="105">
        <v>284790.00569580006</v>
      </c>
      <c r="Y123" s="105">
        <v>284790.00569580006</v>
      </c>
      <c r="Z123" s="105">
        <v>284790.00569580006</v>
      </c>
      <c r="AA123" s="105">
        <v>284790.00569580006</v>
      </c>
      <c r="AB123" s="105">
        <v>284790.00569580006</v>
      </c>
      <c r="AC123" s="105">
        <v>284790.00569580006</v>
      </c>
      <c r="AD123" s="105">
        <v>284790.00569580006</v>
      </c>
      <c r="AE123" s="105">
        <v>284790.00569580006</v>
      </c>
      <c r="AF123" s="105">
        <v>284790.00569580006</v>
      </c>
      <c r="AG123" s="105">
        <v>284790.00569580006</v>
      </c>
      <c r="AH123" s="105">
        <v>284790.00569580006</v>
      </c>
      <c r="AI123" s="105">
        <v>284790.00569580006</v>
      </c>
      <c r="AJ123" s="105">
        <v>284790.00569580006</v>
      </c>
      <c r="AK123" s="105">
        <v>284790.00569580006</v>
      </c>
      <c r="AL123" s="105">
        <v>284790.00569580006</v>
      </c>
      <c r="AM123" s="105">
        <v>284790.00569580006</v>
      </c>
      <c r="AN123" s="105">
        <v>284790.00569580006</v>
      </c>
      <c r="AO123" s="105">
        <v>284790.00569580006</v>
      </c>
      <c r="AP123" s="105">
        <v>284790.00569580006</v>
      </c>
      <c r="AQ123" s="105">
        <v>284790.00569580006</v>
      </c>
      <c r="AR123" s="105">
        <v>284790.00569580006</v>
      </c>
      <c r="AS123" s="105">
        <v>284790.00569580006</v>
      </c>
      <c r="AT123" s="105">
        <v>284790.00569580006</v>
      </c>
      <c r="AU123" s="105">
        <v>284790.00569580006</v>
      </c>
      <c r="AV123" s="105">
        <v>284790.00569580006</v>
      </c>
      <c r="AW123" s="105">
        <v>284790.00569580006</v>
      </c>
      <c r="AX123" s="105">
        <v>284790.00569580006</v>
      </c>
    </row>
    <row r="124" spans="1:50" x14ac:dyDescent="0.25">
      <c r="B124" s="110" t="s">
        <v>12</v>
      </c>
      <c r="C124" s="105">
        <v>916702.37568340194</v>
      </c>
      <c r="D124" s="105">
        <v>916702.37568340194</v>
      </c>
      <c r="E124" s="105">
        <v>916702.37568340194</v>
      </c>
      <c r="F124" s="105">
        <v>916702.37568340194</v>
      </c>
      <c r="G124" s="105">
        <v>916702.37568340194</v>
      </c>
      <c r="H124" s="105">
        <v>916702.37568340194</v>
      </c>
      <c r="I124" s="105">
        <v>916702.37568340194</v>
      </c>
      <c r="J124" s="105">
        <v>916702.37568340194</v>
      </c>
      <c r="K124" s="105">
        <v>916702.37568340194</v>
      </c>
      <c r="L124" s="105">
        <v>916702.37568340194</v>
      </c>
      <c r="M124" s="105">
        <v>916702.37568340194</v>
      </c>
      <c r="N124" s="105">
        <v>916702.37568340194</v>
      </c>
      <c r="O124" s="105">
        <v>916702.37568340194</v>
      </c>
      <c r="P124" s="105">
        <v>916702.37568340194</v>
      </c>
      <c r="Q124" s="105">
        <v>916702.37568340194</v>
      </c>
      <c r="R124" s="105">
        <v>916702.37568340194</v>
      </c>
      <c r="S124" s="105">
        <v>916702.37568340194</v>
      </c>
      <c r="T124" s="105">
        <v>916702.37568340194</v>
      </c>
      <c r="U124" s="105">
        <v>916702.37568340194</v>
      </c>
      <c r="V124" s="105">
        <v>916702.37568340194</v>
      </c>
      <c r="W124" s="105">
        <v>916702.37568340194</v>
      </c>
      <c r="X124" s="105">
        <v>916702.37568340194</v>
      </c>
      <c r="Y124" s="105">
        <v>916702.37568340194</v>
      </c>
      <c r="Z124" s="105">
        <v>916702.37568340194</v>
      </c>
      <c r="AA124" s="105">
        <v>916702.37568340194</v>
      </c>
      <c r="AB124" s="105">
        <v>916702.37568340194</v>
      </c>
      <c r="AC124" s="105">
        <v>916702.37568340194</v>
      </c>
      <c r="AD124" s="105">
        <v>916702.37568340194</v>
      </c>
      <c r="AE124" s="105">
        <v>916702.37568340194</v>
      </c>
      <c r="AF124" s="105">
        <v>916702.37568340194</v>
      </c>
      <c r="AG124" s="105">
        <v>916702.37568340194</v>
      </c>
      <c r="AH124" s="105">
        <v>916702.37568340194</v>
      </c>
      <c r="AI124" s="105">
        <v>916702.37568340194</v>
      </c>
      <c r="AJ124" s="105">
        <v>916702.37568340194</v>
      </c>
      <c r="AK124" s="105">
        <v>916702.37568340194</v>
      </c>
      <c r="AL124" s="105">
        <v>916702.37568340194</v>
      </c>
      <c r="AM124" s="105">
        <v>916702.37568340194</v>
      </c>
      <c r="AN124" s="105">
        <v>916702.37568340194</v>
      </c>
      <c r="AO124" s="105">
        <v>916702.37568340194</v>
      </c>
      <c r="AP124" s="105">
        <v>916702.37568340194</v>
      </c>
      <c r="AQ124" s="105">
        <v>916702.37568340194</v>
      </c>
      <c r="AR124" s="105">
        <v>916702.37568340194</v>
      </c>
      <c r="AS124" s="105">
        <v>916702.37568340194</v>
      </c>
      <c r="AT124" s="105">
        <v>916702.37568340194</v>
      </c>
      <c r="AU124" s="105">
        <v>916702.37568340194</v>
      </c>
      <c r="AV124" s="105">
        <v>916702.37568340194</v>
      </c>
      <c r="AW124" s="105">
        <v>916702.37568340194</v>
      </c>
      <c r="AX124" s="105">
        <v>916702.37568340194</v>
      </c>
    </row>
    <row r="125" spans="1:50" x14ac:dyDescent="0.25">
      <c r="B125" s="110" t="s">
        <v>22</v>
      </c>
      <c r="C125" s="105">
        <v>0</v>
      </c>
      <c r="D125" s="105">
        <v>0</v>
      </c>
      <c r="E125" s="105">
        <v>0</v>
      </c>
      <c r="F125" s="105">
        <v>0</v>
      </c>
      <c r="G125" s="105">
        <v>0</v>
      </c>
      <c r="H125" s="105">
        <v>0</v>
      </c>
      <c r="I125" s="105">
        <v>0</v>
      </c>
      <c r="J125" s="105">
        <v>0</v>
      </c>
      <c r="K125" s="105">
        <v>0</v>
      </c>
      <c r="L125" s="105">
        <v>0</v>
      </c>
      <c r="M125" s="105">
        <v>0</v>
      </c>
      <c r="N125" s="105">
        <v>0</v>
      </c>
      <c r="O125" s="105">
        <v>0</v>
      </c>
      <c r="P125" s="105">
        <v>0</v>
      </c>
      <c r="Q125" s="105">
        <v>0</v>
      </c>
      <c r="R125" s="105">
        <v>0</v>
      </c>
      <c r="S125" s="105">
        <v>0</v>
      </c>
      <c r="T125" s="105">
        <v>0</v>
      </c>
      <c r="U125" s="105">
        <v>0</v>
      </c>
      <c r="V125" s="105">
        <v>0</v>
      </c>
      <c r="W125" s="105">
        <v>0</v>
      </c>
      <c r="X125" s="105">
        <v>0</v>
      </c>
      <c r="Y125" s="105">
        <v>0</v>
      </c>
      <c r="Z125" s="105">
        <v>0</v>
      </c>
      <c r="AA125" s="105">
        <v>0</v>
      </c>
      <c r="AB125" s="105">
        <v>0</v>
      </c>
      <c r="AC125" s="105">
        <v>0</v>
      </c>
      <c r="AD125" s="105">
        <v>0</v>
      </c>
      <c r="AE125" s="105">
        <v>0</v>
      </c>
      <c r="AF125" s="105">
        <v>0</v>
      </c>
      <c r="AG125" s="105">
        <v>0</v>
      </c>
      <c r="AH125" s="105">
        <v>0</v>
      </c>
      <c r="AI125" s="105">
        <v>0</v>
      </c>
      <c r="AJ125" s="105">
        <v>0</v>
      </c>
      <c r="AK125" s="105">
        <v>0</v>
      </c>
      <c r="AL125" s="105">
        <v>0</v>
      </c>
      <c r="AM125" s="105">
        <v>0</v>
      </c>
      <c r="AN125" s="105">
        <v>0</v>
      </c>
      <c r="AO125" s="105">
        <v>0</v>
      </c>
      <c r="AP125" s="105">
        <v>0</v>
      </c>
      <c r="AQ125" s="105">
        <v>0</v>
      </c>
      <c r="AR125" s="105">
        <v>0</v>
      </c>
      <c r="AS125" s="105">
        <v>0</v>
      </c>
      <c r="AT125" s="105">
        <v>0</v>
      </c>
      <c r="AU125" s="105">
        <v>0</v>
      </c>
      <c r="AV125" s="105">
        <v>0</v>
      </c>
      <c r="AW125" s="105">
        <v>0</v>
      </c>
      <c r="AX125" s="105">
        <v>0</v>
      </c>
    </row>
    <row r="126" spans="1:50" x14ac:dyDescent="0.25">
      <c r="B126" s="110" t="s">
        <v>59</v>
      </c>
      <c r="C126" s="105">
        <v>0</v>
      </c>
      <c r="D126" s="105">
        <v>0</v>
      </c>
      <c r="E126" s="105">
        <v>0</v>
      </c>
      <c r="F126" s="105">
        <v>0</v>
      </c>
      <c r="G126" s="105">
        <v>0</v>
      </c>
      <c r="H126" s="105">
        <v>0</v>
      </c>
      <c r="I126" s="105">
        <v>0</v>
      </c>
      <c r="J126" s="105">
        <v>0</v>
      </c>
      <c r="K126" s="105">
        <v>0</v>
      </c>
      <c r="L126" s="105">
        <v>0</v>
      </c>
      <c r="M126" s="105">
        <v>0</v>
      </c>
      <c r="N126" s="105">
        <v>0</v>
      </c>
      <c r="O126" s="105">
        <v>0</v>
      </c>
      <c r="P126" s="105">
        <v>0</v>
      </c>
      <c r="Q126" s="105">
        <v>0</v>
      </c>
      <c r="R126" s="105">
        <v>0</v>
      </c>
      <c r="S126" s="105">
        <v>0</v>
      </c>
      <c r="T126" s="105">
        <v>0</v>
      </c>
      <c r="U126" s="105">
        <v>0</v>
      </c>
      <c r="V126" s="105">
        <v>0</v>
      </c>
      <c r="W126" s="105">
        <v>0</v>
      </c>
      <c r="X126" s="105">
        <v>0</v>
      </c>
      <c r="Y126" s="105">
        <v>0</v>
      </c>
      <c r="Z126" s="105">
        <v>0</v>
      </c>
      <c r="AA126" s="105">
        <v>0</v>
      </c>
      <c r="AB126" s="105">
        <v>0</v>
      </c>
      <c r="AC126" s="105">
        <v>0</v>
      </c>
      <c r="AD126" s="105">
        <v>0</v>
      </c>
      <c r="AE126" s="105">
        <v>0</v>
      </c>
      <c r="AF126" s="105">
        <v>0</v>
      </c>
      <c r="AG126" s="105">
        <v>0</v>
      </c>
      <c r="AH126" s="105">
        <v>0</v>
      </c>
      <c r="AI126" s="105">
        <v>0</v>
      </c>
      <c r="AJ126" s="105">
        <v>0</v>
      </c>
      <c r="AK126" s="105">
        <v>0</v>
      </c>
      <c r="AL126" s="105">
        <v>0</v>
      </c>
      <c r="AM126" s="105">
        <v>0</v>
      </c>
      <c r="AN126" s="105">
        <v>0</v>
      </c>
      <c r="AO126" s="105">
        <v>0</v>
      </c>
      <c r="AP126" s="105">
        <v>0</v>
      </c>
      <c r="AQ126" s="105">
        <v>0</v>
      </c>
      <c r="AR126" s="105">
        <v>0</v>
      </c>
      <c r="AS126" s="105">
        <v>0</v>
      </c>
      <c r="AT126" s="105">
        <v>0</v>
      </c>
      <c r="AU126" s="105">
        <v>0</v>
      </c>
      <c r="AV126" s="105">
        <v>0</v>
      </c>
      <c r="AW126" s="105">
        <v>0</v>
      </c>
      <c r="AX126" s="105">
        <v>0</v>
      </c>
    </row>
    <row r="127" spans="1:50" x14ac:dyDescent="0.25">
      <c r="B127" s="105" t="s">
        <v>277</v>
      </c>
      <c r="C127" s="110">
        <f>SUM(C$122:C$126)</f>
        <v>1235950.9820683741</v>
      </c>
      <c r="D127" s="110">
        <f t="shared" ref="D127:AX127" si="9">SUM(D$122:D$126)</f>
        <v>1235950.9820683741</v>
      </c>
      <c r="E127" s="110">
        <f t="shared" si="9"/>
        <v>1235950.9820683741</v>
      </c>
      <c r="F127" s="110">
        <f t="shared" si="9"/>
        <v>1235950.9820683741</v>
      </c>
      <c r="G127" s="110">
        <f t="shared" si="9"/>
        <v>1235950.9820683741</v>
      </c>
      <c r="H127" s="110">
        <f t="shared" si="9"/>
        <v>1235950.9820683741</v>
      </c>
      <c r="I127" s="110">
        <f t="shared" si="9"/>
        <v>1235950.9820683741</v>
      </c>
      <c r="J127" s="110">
        <f t="shared" si="9"/>
        <v>1235950.9820683741</v>
      </c>
      <c r="K127" s="110">
        <f t="shared" si="9"/>
        <v>1235950.9820683741</v>
      </c>
      <c r="L127" s="110">
        <f t="shared" si="9"/>
        <v>1235950.9820683741</v>
      </c>
      <c r="M127" s="110">
        <f t="shared" si="9"/>
        <v>1235950.9820683741</v>
      </c>
      <c r="N127" s="110">
        <f t="shared" si="9"/>
        <v>1235950.9820683741</v>
      </c>
      <c r="O127" s="110">
        <f t="shared" si="9"/>
        <v>1235950.9820683741</v>
      </c>
      <c r="P127" s="110">
        <f t="shared" si="9"/>
        <v>1235950.9820683741</v>
      </c>
      <c r="Q127" s="110">
        <f t="shared" si="9"/>
        <v>1235950.9820683741</v>
      </c>
      <c r="R127" s="110">
        <f t="shared" si="9"/>
        <v>1235950.9820683741</v>
      </c>
      <c r="S127" s="110">
        <f t="shared" si="9"/>
        <v>1235950.9820683741</v>
      </c>
      <c r="T127" s="110">
        <f t="shared" si="9"/>
        <v>1235950.9820683741</v>
      </c>
      <c r="U127" s="110">
        <f t="shared" si="9"/>
        <v>1235950.9820683741</v>
      </c>
      <c r="V127" s="110">
        <f t="shared" si="9"/>
        <v>1235950.9820683741</v>
      </c>
      <c r="W127" s="110">
        <f t="shared" si="9"/>
        <v>1235950.9820683741</v>
      </c>
      <c r="X127" s="110">
        <f t="shared" si="9"/>
        <v>1235950.9820683741</v>
      </c>
      <c r="Y127" s="110">
        <f t="shared" si="9"/>
        <v>1235950.9820683741</v>
      </c>
      <c r="Z127" s="110">
        <f t="shared" si="9"/>
        <v>1235950.9820683741</v>
      </c>
      <c r="AA127" s="110">
        <f t="shared" si="9"/>
        <v>1235950.9820683741</v>
      </c>
      <c r="AB127" s="110">
        <f t="shared" si="9"/>
        <v>1235950.9820683741</v>
      </c>
      <c r="AC127" s="110">
        <f t="shared" si="9"/>
        <v>1235950.9820683741</v>
      </c>
      <c r="AD127" s="110">
        <f t="shared" si="9"/>
        <v>1235950.9820683741</v>
      </c>
      <c r="AE127" s="110">
        <f t="shared" si="9"/>
        <v>1235950.9820683741</v>
      </c>
      <c r="AF127" s="110">
        <f t="shared" si="9"/>
        <v>1235950.9820683741</v>
      </c>
      <c r="AG127" s="110">
        <f t="shared" si="9"/>
        <v>1235950.9820683741</v>
      </c>
      <c r="AH127" s="110">
        <f t="shared" si="9"/>
        <v>1235950.9820683741</v>
      </c>
      <c r="AI127" s="110">
        <f t="shared" si="9"/>
        <v>1235950.9820683741</v>
      </c>
      <c r="AJ127" s="110">
        <f t="shared" si="9"/>
        <v>1235950.9820683741</v>
      </c>
      <c r="AK127" s="110">
        <f t="shared" si="9"/>
        <v>1235950.9820683741</v>
      </c>
      <c r="AL127" s="110">
        <f t="shared" si="9"/>
        <v>1235950.9820683741</v>
      </c>
      <c r="AM127" s="110">
        <f t="shared" si="9"/>
        <v>1235950.9820683741</v>
      </c>
      <c r="AN127" s="110">
        <f t="shared" si="9"/>
        <v>1235950.9820683741</v>
      </c>
      <c r="AO127" s="110">
        <f t="shared" si="9"/>
        <v>1235950.9820683741</v>
      </c>
      <c r="AP127" s="110">
        <f t="shared" si="9"/>
        <v>1235950.9820683741</v>
      </c>
      <c r="AQ127" s="110">
        <f t="shared" si="9"/>
        <v>1235950.9820683741</v>
      </c>
      <c r="AR127" s="110">
        <f t="shared" si="9"/>
        <v>1235950.9820683741</v>
      </c>
      <c r="AS127" s="110">
        <f t="shared" si="9"/>
        <v>1235950.9820683741</v>
      </c>
      <c r="AT127" s="110">
        <f t="shared" si="9"/>
        <v>1235950.9820683741</v>
      </c>
      <c r="AU127" s="110">
        <f t="shared" si="9"/>
        <v>1235950.9820683741</v>
      </c>
      <c r="AV127" s="110">
        <f t="shared" si="9"/>
        <v>1235950.9820683741</v>
      </c>
      <c r="AW127" s="110">
        <f t="shared" si="9"/>
        <v>1235950.9820683741</v>
      </c>
      <c r="AX127" s="110">
        <f t="shared" si="9"/>
        <v>1235950.9820683741</v>
      </c>
    </row>
    <row r="128" spans="1:50" x14ac:dyDescent="0.25">
      <c r="A128" s="110" t="s">
        <v>109</v>
      </c>
      <c r="B128" s="110" t="s">
        <v>5</v>
      </c>
      <c r="C128" s="105">
        <v>0</v>
      </c>
      <c r="D128" s="105">
        <v>0</v>
      </c>
      <c r="E128" s="105">
        <v>0</v>
      </c>
      <c r="F128" s="105">
        <v>0</v>
      </c>
      <c r="G128" s="105">
        <v>0</v>
      </c>
      <c r="H128" s="105">
        <v>0</v>
      </c>
      <c r="I128" s="105">
        <v>0</v>
      </c>
      <c r="J128" s="105">
        <v>0</v>
      </c>
      <c r="K128" s="105">
        <v>0</v>
      </c>
      <c r="L128" s="105">
        <v>0</v>
      </c>
      <c r="M128" s="105">
        <v>0</v>
      </c>
      <c r="N128" s="105">
        <v>0</v>
      </c>
      <c r="O128" s="105">
        <v>0</v>
      </c>
      <c r="P128" s="105">
        <v>0</v>
      </c>
      <c r="Q128" s="105">
        <v>0</v>
      </c>
      <c r="R128" s="105">
        <v>0</v>
      </c>
      <c r="S128" s="105">
        <v>0</v>
      </c>
      <c r="T128" s="105">
        <v>0</v>
      </c>
      <c r="U128" s="105">
        <v>0</v>
      </c>
      <c r="V128" s="105">
        <v>0</v>
      </c>
      <c r="W128" s="105">
        <v>0</v>
      </c>
      <c r="X128" s="105">
        <v>0</v>
      </c>
      <c r="Y128" s="105">
        <v>0</v>
      </c>
      <c r="Z128" s="105">
        <v>0</v>
      </c>
      <c r="AA128" s="105">
        <v>0</v>
      </c>
      <c r="AB128" s="105">
        <v>0</v>
      </c>
      <c r="AC128" s="105">
        <v>0</v>
      </c>
      <c r="AD128" s="105">
        <v>0</v>
      </c>
      <c r="AE128" s="105">
        <v>0</v>
      </c>
      <c r="AF128" s="105">
        <v>0</v>
      </c>
      <c r="AG128" s="105">
        <v>0</v>
      </c>
      <c r="AH128" s="105">
        <v>0</v>
      </c>
      <c r="AI128" s="105">
        <v>0</v>
      </c>
      <c r="AJ128" s="105">
        <v>0</v>
      </c>
      <c r="AK128" s="105">
        <v>0</v>
      </c>
      <c r="AL128" s="105">
        <v>0</v>
      </c>
      <c r="AM128" s="105">
        <v>0</v>
      </c>
      <c r="AN128" s="105">
        <v>0</v>
      </c>
      <c r="AO128" s="105">
        <v>0</v>
      </c>
      <c r="AP128" s="105">
        <v>0</v>
      </c>
      <c r="AQ128" s="105">
        <v>0</v>
      </c>
      <c r="AR128" s="105">
        <v>0</v>
      </c>
      <c r="AS128" s="105">
        <v>0</v>
      </c>
      <c r="AT128" s="105">
        <v>0</v>
      </c>
      <c r="AU128" s="105">
        <v>0</v>
      </c>
      <c r="AV128" s="105">
        <v>0</v>
      </c>
      <c r="AW128" s="105">
        <v>0</v>
      </c>
      <c r="AX128" s="105">
        <v>0</v>
      </c>
    </row>
    <row r="129" spans="2:50" x14ac:dyDescent="0.25">
      <c r="B129" s="110" t="s">
        <v>10</v>
      </c>
      <c r="C129" s="105">
        <v>0</v>
      </c>
      <c r="D129" s="105">
        <v>0</v>
      </c>
      <c r="E129" s="105">
        <v>0</v>
      </c>
      <c r="F129" s="105">
        <v>0</v>
      </c>
      <c r="G129" s="105">
        <v>0</v>
      </c>
      <c r="H129" s="105">
        <v>0</v>
      </c>
      <c r="I129" s="105">
        <v>0</v>
      </c>
      <c r="J129" s="105">
        <v>0</v>
      </c>
      <c r="K129" s="105">
        <v>0</v>
      </c>
      <c r="L129" s="105">
        <v>0</v>
      </c>
      <c r="M129" s="105">
        <v>0</v>
      </c>
      <c r="N129" s="105">
        <v>0</v>
      </c>
      <c r="O129" s="105">
        <v>0</v>
      </c>
      <c r="P129" s="105">
        <v>0</v>
      </c>
      <c r="Q129" s="105">
        <v>0</v>
      </c>
      <c r="R129" s="105">
        <v>0</v>
      </c>
      <c r="S129" s="105">
        <v>0</v>
      </c>
      <c r="T129" s="105">
        <v>0</v>
      </c>
      <c r="U129" s="105">
        <v>0</v>
      </c>
      <c r="V129" s="105">
        <v>0</v>
      </c>
      <c r="W129" s="105">
        <v>0</v>
      </c>
      <c r="X129" s="105">
        <v>0</v>
      </c>
      <c r="Y129" s="105">
        <v>0</v>
      </c>
      <c r="Z129" s="105">
        <v>0</v>
      </c>
      <c r="AA129" s="105">
        <v>0</v>
      </c>
      <c r="AB129" s="105">
        <v>0</v>
      </c>
      <c r="AC129" s="105">
        <v>0</v>
      </c>
      <c r="AD129" s="105">
        <v>0</v>
      </c>
      <c r="AE129" s="105">
        <v>0</v>
      </c>
      <c r="AF129" s="105">
        <v>0</v>
      </c>
      <c r="AG129" s="105">
        <v>0</v>
      </c>
      <c r="AH129" s="105">
        <v>0</v>
      </c>
      <c r="AI129" s="105">
        <v>0</v>
      </c>
      <c r="AJ129" s="105">
        <v>0</v>
      </c>
      <c r="AK129" s="105">
        <v>0</v>
      </c>
      <c r="AL129" s="105">
        <v>0</v>
      </c>
      <c r="AM129" s="105">
        <v>0</v>
      </c>
      <c r="AN129" s="105">
        <v>0</v>
      </c>
      <c r="AO129" s="105">
        <v>0</v>
      </c>
      <c r="AP129" s="105">
        <v>0</v>
      </c>
      <c r="AQ129" s="105">
        <v>0</v>
      </c>
      <c r="AR129" s="105">
        <v>0</v>
      </c>
      <c r="AS129" s="105">
        <v>0</v>
      </c>
      <c r="AT129" s="105">
        <v>0</v>
      </c>
      <c r="AU129" s="105">
        <v>0</v>
      </c>
      <c r="AV129" s="105">
        <v>0</v>
      </c>
      <c r="AW129" s="105">
        <v>0</v>
      </c>
      <c r="AX129" s="105">
        <v>0</v>
      </c>
    </row>
    <row r="130" spans="2:50" x14ac:dyDescent="0.25">
      <c r="B130" s="110" t="s">
        <v>12</v>
      </c>
      <c r="C130" s="105">
        <v>0</v>
      </c>
      <c r="D130" s="105">
        <v>0</v>
      </c>
      <c r="E130" s="105">
        <v>0</v>
      </c>
      <c r="F130" s="105">
        <v>0</v>
      </c>
      <c r="G130" s="105">
        <v>0</v>
      </c>
      <c r="H130" s="105">
        <v>0</v>
      </c>
      <c r="I130" s="105">
        <v>0</v>
      </c>
      <c r="J130" s="105">
        <v>0</v>
      </c>
      <c r="K130" s="105">
        <v>0</v>
      </c>
      <c r="L130" s="105">
        <v>0</v>
      </c>
      <c r="M130" s="105">
        <v>0</v>
      </c>
      <c r="N130" s="105">
        <v>0</v>
      </c>
      <c r="O130" s="105">
        <v>0</v>
      </c>
      <c r="P130" s="105">
        <v>0</v>
      </c>
      <c r="Q130" s="105">
        <v>0</v>
      </c>
      <c r="R130" s="105">
        <v>0</v>
      </c>
      <c r="S130" s="105">
        <v>0</v>
      </c>
      <c r="T130" s="105">
        <v>0</v>
      </c>
      <c r="U130" s="105">
        <v>0</v>
      </c>
      <c r="V130" s="105">
        <v>0</v>
      </c>
      <c r="W130" s="105">
        <v>0</v>
      </c>
      <c r="X130" s="105">
        <v>0</v>
      </c>
      <c r="Y130" s="105">
        <v>0</v>
      </c>
      <c r="Z130" s="105">
        <v>0</v>
      </c>
      <c r="AA130" s="105">
        <v>0</v>
      </c>
      <c r="AB130" s="105">
        <v>0</v>
      </c>
      <c r="AC130" s="105">
        <v>0</v>
      </c>
      <c r="AD130" s="105">
        <v>0</v>
      </c>
      <c r="AE130" s="105">
        <v>0</v>
      </c>
      <c r="AF130" s="105">
        <v>0</v>
      </c>
      <c r="AG130" s="105">
        <v>0</v>
      </c>
      <c r="AH130" s="105">
        <v>0</v>
      </c>
      <c r="AI130" s="105">
        <v>0</v>
      </c>
      <c r="AJ130" s="105">
        <v>0</v>
      </c>
      <c r="AK130" s="105">
        <v>0</v>
      </c>
      <c r="AL130" s="105">
        <v>0</v>
      </c>
      <c r="AM130" s="105">
        <v>0</v>
      </c>
      <c r="AN130" s="105">
        <v>0</v>
      </c>
      <c r="AO130" s="105">
        <v>0</v>
      </c>
      <c r="AP130" s="105">
        <v>0</v>
      </c>
      <c r="AQ130" s="105">
        <v>0</v>
      </c>
      <c r="AR130" s="105">
        <v>0</v>
      </c>
      <c r="AS130" s="105">
        <v>0</v>
      </c>
      <c r="AT130" s="105">
        <v>0</v>
      </c>
      <c r="AU130" s="105">
        <v>0</v>
      </c>
      <c r="AV130" s="105">
        <v>0</v>
      </c>
      <c r="AW130" s="105">
        <v>0</v>
      </c>
      <c r="AX130" s="105">
        <v>0</v>
      </c>
    </row>
    <row r="131" spans="2:50" x14ac:dyDescent="0.25">
      <c r="B131" s="110" t="s">
        <v>22</v>
      </c>
      <c r="C131" s="105">
        <v>0</v>
      </c>
      <c r="D131" s="105">
        <v>0</v>
      </c>
      <c r="E131" s="105">
        <v>0</v>
      </c>
      <c r="F131" s="105">
        <v>0</v>
      </c>
      <c r="G131" s="105">
        <v>0</v>
      </c>
      <c r="H131" s="105">
        <v>0</v>
      </c>
      <c r="I131" s="105">
        <v>0</v>
      </c>
      <c r="J131" s="105">
        <v>0</v>
      </c>
      <c r="K131" s="105">
        <v>0</v>
      </c>
      <c r="L131" s="105">
        <v>0</v>
      </c>
      <c r="M131" s="105">
        <v>0</v>
      </c>
      <c r="N131" s="105">
        <v>0</v>
      </c>
      <c r="O131" s="105">
        <v>0</v>
      </c>
      <c r="P131" s="105">
        <v>0</v>
      </c>
      <c r="Q131" s="105">
        <v>0</v>
      </c>
      <c r="R131" s="105">
        <v>0</v>
      </c>
      <c r="S131" s="105">
        <v>0</v>
      </c>
      <c r="T131" s="105">
        <v>0</v>
      </c>
      <c r="U131" s="105">
        <v>0</v>
      </c>
      <c r="V131" s="105">
        <v>0</v>
      </c>
      <c r="W131" s="105">
        <v>0</v>
      </c>
      <c r="X131" s="105">
        <v>0</v>
      </c>
      <c r="Y131" s="105">
        <v>0</v>
      </c>
      <c r="Z131" s="105">
        <v>0</v>
      </c>
      <c r="AA131" s="105">
        <v>0</v>
      </c>
      <c r="AB131" s="105">
        <v>0</v>
      </c>
      <c r="AC131" s="105">
        <v>0</v>
      </c>
      <c r="AD131" s="105">
        <v>0</v>
      </c>
      <c r="AE131" s="105">
        <v>0</v>
      </c>
      <c r="AF131" s="105">
        <v>0</v>
      </c>
      <c r="AG131" s="105">
        <v>0</v>
      </c>
      <c r="AH131" s="105">
        <v>0</v>
      </c>
      <c r="AI131" s="105">
        <v>0</v>
      </c>
      <c r="AJ131" s="105">
        <v>0</v>
      </c>
      <c r="AK131" s="105">
        <v>0</v>
      </c>
      <c r="AL131" s="105">
        <v>0</v>
      </c>
      <c r="AM131" s="105">
        <v>0</v>
      </c>
      <c r="AN131" s="105">
        <v>0</v>
      </c>
      <c r="AO131" s="105">
        <v>0</v>
      </c>
      <c r="AP131" s="105">
        <v>0</v>
      </c>
      <c r="AQ131" s="105">
        <v>0</v>
      </c>
      <c r="AR131" s="105">
        <v>0</v>
      </c>
      <c r="AS131" s="105">
        <v>0</v>
      </c>
      <c r="AT131" s="105">
        <v>0</v>
      </c>
      <c r="AU131" s="105">
        <v>0</v>
      </c>
      <c r="AV131" s="105">
        <v>0</v>
      </c>
      <c r="AW131" s="105">
        <v>0</v>
      </c>
      <c r="AX131" s="105">
        <v>0</v>
      </c>
    </row>
    <row r="132" spans="2:50" x14ac:dyDescent="0.25">
      <c r="B132" s="110" t="s">
        <v>59</v>
      </c>
      <c r="C132" s="105">
        <v>0</v>
      </c>
      <c r="D132" s="105">
        <v>0</v>
      </c>
      <c r="E132" s="105">
        <v>0</v>
      </c>
      <c r="F132" s="105">
        <v>0</v>
      </c>
      <c r="G132" s="105">
        <v>0</v>
      </c>
      <c r="H132" s="105">
        <v>0</v>
      </c>
      <c r="I132" s="105">
        <v>0</v>
      </c>
      <c r="J132" s="105">
        <v>0</v>
      </c>
      <c r="K132" s="105">
        <v>0</v>
      </c>
      <c r="L132" s="105">
        <v>0</v>
      </c>
      <c r="M132" s="105">
        <v>0</v>
      </c>
      <c r="N132" s="105">
        <v>0</v>
      </c>
      <c r="O132" s="105">
        <v>0</v>
      </c>
      <c r="P132" s="105">
        <v>0</v>
      </c>
      <c r="Q132" s="105">
        <v>0</v>
      </c>
      <c r="R132" s="105">
        <v>0</v>
      </c>
      <c r="S132" s="105">
        <v>0</v>
      </c>
      <c r="T132" s="105">
        <v>0</v>
      </c>
      <c r="U132" s="105">
        <v>0</v>
      </c>
      <c r="V132" s="105">
        <v>0</v>
      </c>
      <c r="W132" s="105">
        <v>0</v>
      </c>
      <c r="X132" s="105">
        <v>0</v>
      </c>
      <c r="Y132" s="105">
        <v>0</v>
      </c>
      <c r="Z132" s="105">
        <v>0</v>
      </c>
      <c r="AA132" s="105">
        <v>0</v>
      </c>
      <c r="AB132" s="105">
        <v>0</v>
      </c>
      <c r="AC132" s="105">
        <v>0</v>
      </c>
      <c r="AD132" s="105">
        <v>0</v>
      </c>
      <c r="AE132" s="105">
        <v>0</v>
      </c>
      <c r="AF132" s="105">
        <v>0</v>
      </c>
      <c r="AG132" s="105">
        <v>0</v>
      </c>
      <c r="AH132" s="105">
        <v>0</v>
      </c>
      <c r="AI132" s="105">
        <v>0</v>
      </c>
      <c r="AJ132" s="105">
        <v>0</v>
      </c>
      <c r="AK132" s="105">
        <v>0</v>
      </c>
      <c r="AL132" s="105">
        <v>0</v>
      </c>
      <c r="AM132" s="105">
        <v>0</v>
      </c>
      <c r="AN132" s="105">
        <v>0</v>
      </c>
      <c r="AO132" s="105">
        <v>0</v>
      </c>
      <c r="AP132" s="105">
        <v>0</v>
      </c>
      <c r="AQ132" s="105">
        <v>0</v>
      </c>
      <c r="AR132" s="105">
        <v>0</v>
      </c>
      <c r="AS132" s="105">
        <v>0</v>
      </c>
      <c r="AT132" s="105">
        <v>0</v>
      </c>
      <c r="AU132" s="105">
        <v>0</v>
      </c>
      <c r="AV132" s="105">
        <v>0</v>
      </c>
      <c r="AW132" s="105">
        <v>0</v>
      </c>
      <c r="AX132" s="105">
        <v>0</v>
      </c>
    </row>
    <row r="133" spans="2:50" x14ac:dyDescent="0.25">
      <c r="B133" s="105" t="s">
        <v>277</v>
      </c>
      <c r="C133" s="110">
        <f>SUM(C$128:C$132)</f>
        <v>0</v>
      </c>
      <c r="D133" s="110">
        <f t="shared" ref="D133:AX133" si="10">SUM(D$128:D$132)</f>
        <v>0</v>
      </c>
      <c r="E133" s="110">
        <f t="shared" si="10"/>
        <v>0</v>
      </c>
      <c r="F133" s="110">
        <f t="shared" si="10"/>
        <v>0</v>
      </c>
      <c r="G133" s="110">
        <f t="shared" si="10"/>
        <v>0</v>
      </c>
      <c r="H133" s="110">
        <f t="shared" si="10"/>
        <v>0</v>
      </c>
      <c r="I133" s="110">
        <f t="shared" si="10"/>
        <v>0</v>
      </c>
      <c r="J133" s="110">
        <f t="shared" si="10"/>
        <v>0</v>
      </c>
      <c r="K133" s="110">
        <f t="shared" si="10"/>
        <v>0</v>
      </c>
      <c r="L133" s="110">
        <f t="shared" si="10"/>
        <v>0</v>
      </c>
      <c r="M133" s="110">
        <f t="shared" si="10"/>
        <v>0</v>
      </c>
      <c r="N133" s="110">
        <f t="shared" si="10"/>
        <v>0</v>
      </c>
      <c r="O133" s="110">
        <f t="shared" si="10"/>
        <v>0</v>
      </c>
      <c r="P133" s="110">
        <f t="shared" si="10"/>
        <v>0</v>
      </c>
      <c r="Q133" s="110">
        <f t="shared" si="10"/>
        <v>0</v>
      </c>
      <c r="R133" s="110">
        <f t="shared" si="10"/>
        <v>0</v>
      </c>
      <c r="S133" s="110">
        <f t="shared" si="10"/>
        <v>0</v>
      </c>
      <c r="T133" s="110">
        <f t="shared" si="10"/>
        <v>0</v>
      </c>
      <c r="U133" s="110">
        <f t="shared" si="10"/>
        <v>0</v>
      </c>
      <c r="V133" s="110">
        <f t="shared" si="10"/>
        <v>0</v>
      </c>
      <c r="W133" s="110">
        <f t="shared" si="10"/>
        <v>0</v>
      </c>
      <c r="X133" s="110">
        <f t="shared" si="10"/>
        <v>0</v>
      </c>
      <c r="Y133" s="110">
        <f t="shared" si="10"/>
        <v>0</v>
      </c>
      <c r="Z133" s="110">
        <f t="shared" si="10"/>
        <v>0</v>
      </c>
      <c r="AA133" s="110">
        <f t="shared" si="10"/>
        <v>0</v>
      </c>
      <c r="AB133" s="110">
        <f t="shared" si="10"/>
        <v>0</v>
      </c>
      <c r="AC133" s="110">
        <f t="shared" si="10"/>
        <v>0</v>
      </c>
      <c r="AD133" s="110">
        <f t="shared" si="10"/>
        <v>0</v>
      </c>
      <c r="AE133" s="110">
        <f t="shared" si="10"/>
        <v>0</v>
      </c>
      <c r="AF133" s="110">
        <f t="shared" si="10"/>
        <v>0</v>
      </c>
      <c r="AG133" s="110">
        <f t="shared" si="10"/>
        <v>0</v>
      </c>
      <c r="AH133" s="110">
        <f t="shared" si="10"/>
        <v>0</v>
      </c>
      <c r="AI133" s="110">
        <f t="shared" si="10"/>
        <v>0</v>
      </c>
      <c r="AJ133" s="110">
        <f t="shared" si="10"/>
        <v>0</v>
      </c>
      <c r="AK133" s="110">
        <f t="shared" si="10"/>
        <v>0</v>
      </c>
      <c r="AL133" s="110">
        <f t="shared" si="10"/>
        <v>0</v>
      </c>
      <c r="AM133" s="110">
        <f t="shared" si="10"/>
        <v>0</v>
      </c>
      <c r="AN133" s="110">
        <f t="shared" si="10"/>
        <v>0</v>
      </c>
      <c r="AO133" s="110">
        <f t="shared" si="10"/>
        <v>0</v>
      </c>
      <c r="AP133" s="110">
        <f t="shared" si="10"/>
        <v>0</v>
      </c>
      <c r="AQ133" s="110">
        <f t="shared" si="10"/>
        <v>0</v>
      </c>
      <c r="AR133" s="110">
        <f t="shared" si="10"/>
        <v>0</v>
      </c>
      <c r="AS133" s="110">
        <f t="shared" si="10"/>
        <v>0</v>
      </c>
      <c r="AT133" s="110">
        <f t="shared" si="10"/>
        <v>0</v>
      </c>
      <c r="AU133" s="110">
        <f t="shared" si="10"/>
        <v>0</v>
      </c>
      <c r="AV133" s="110">
        <f t="shared" si="10"/>
        <v>0</v>
      </c>
      <c r="AW133" s="110">
        <f t="shared" si="10"/>
        <v>0</v>
      </c>
      <c r="AX133" s="110">
        <f t="shared" si="10"/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D14" sqref="D14"/>
    </sheetView>
  </sheetViews>
  <sheetFormatPr defaultRowHeight="13.2" x14ac:dyDescent="0.25"/>
  <cols>
    <col min="1" max="1" width="14.6640625" style="105" customWidth="1"/>
    <col min="2" max="2" width="17.6640625" style="105" customWidth="1"/>
    <col min="3" max="51" width="8.88671875" style="105"/>
    <col min="52" max="52" width="10.6640625" style="105" customWidth="1"/>
    <col min="53" max="16384" width="8.88671875" style="105"/>
  </cols>
  <sheetData>
    <row r="1" spans="1:52" x14ac:dyDescent="0.25">
      <c r="A1" s="107" t="s">
        <v>118</v>
      </c>
    </row>
    <row r="2" spans="1:52" x14ac:dyDescent="0.25">
      <c r="A2" s="105" t="s">
        <v>302</v>
      </c>
      <c r="B2" s="112" t="s">
        <v>5</v>
      </c>
      <c r="E2" s="115"/>
    </row>
    <row r="3" spans="1:52" x14ac:dyDescent="0.25">
      <c r="A3" s="105" t="s">
        <v>285</v>
      </c>
      <c r="B3" s="112">
        <v>345</v>
      </c>
      <c r="E3" s="115"/>
    </row>
    <row r="4" spans="1:52" x14ac:dyDescent="0.25">
      <c r="A4" s="107"/>
      <c r="C4" s="116" t="s">
        <v>286</v>
      </c>
    </row>
    <row r="5" spans="1:52" x14ac:dyDescent="0.25">
      <c r="B5" s="111"/>
      <c r="C5" s="117">
        <v>0</v>
      </c>
      <c r="D5" s="117">
        <v>1</v>
      </c>
      <c r="E5" s="117">
        <v>2</v>
      </c>
      <c r="F5" s="117">
        <v>3</v>
      </c>
      <c r="G5" s="117">
        <v>4</v>
      </c>
      <c r="H5" s="117">
        <v>5</v>
      </c>
      <c r="I5" s="117">
        <v>6</v>
      </c>
      <c r="J5" s="117">
        <v>7</v>
      </c>
      <c r="K5" s="117">
        <v>8</v>
      </c>
      <c r="L5" s="117">
        <v>9</v>
      </c>
      <c r="M5" s="117">
        <v>10</v>
      </c>
      <c r="N5" s="117">
        <v>11</v>
      </c>
      <c r="O5" s="117">
        <v>12</v>
      </c>
      <c r="P5" s="117">
        <v>13</v>
      </c>
      <c r="Q5" s="117">
        <v>14</v>
      </c>
      <c r="R5" s="117">
        <v>15</v>
      </c>
      <c r="S5" s="117">
        <v>16</v>
      </c>
      <c r="T5" s="117">
        <v>17</v>
      </c>
      <c r="U5" s="117">
        <v>18</v>
      </c>
      <c r="V5" s="117">
        <v>19</v>
      </c>
      <c r="W5" s="117">
        <v>20</v>
      </c>
      <c r="X5" s="117">
        <v>21</v>
      </c>
      <c r="Y5" s="117">
        <v>22</v>
      </c>
      <c r="Z5" s="117">
        <v>23</v>
      </c>
      <c r="AA5" s="117">
        <v>24</v>
      </c>
      <c r="AB5" s="117">
        <v>25</v>
      </c>
      <c r="AC5" s="117">
        <v>26</v>
      </c>
      <c r="AD5" s="117">
        <v>27</v>
      </c>
      <c r="AE5" s="117">
        <v>28</v>
      </c>
      <c r="AF5" s="117">
        <v>29</v>
      </c>
      <c r="AG5" s="117">
        <v>30</v>
      </c>
      <c r="AH5" s="117">
        <v>31</v>
      </c>
      <c r="AI5" s="117">
        <v>32</v>
      </c>
      <c r="AJ5" s="117">
        <v>33</v>
      </c>
      <c r="AK5" s="117">
        <v>34</v>
      </c>
      <c r="AL5" s="117">
        <v>35</v>
      </c>
      <c r="AM5" s="117">
        <v>36</v>
      </c>
      <c r="AN5" s="117">
        <v>37</v>
      </c>
      <c r="AO5" s="117">
        <v>38</v>
      </c>
      <c r="AP5" s="117">
        <v>39</v>
      </c>
      <c r="AQ5" s="117">
        <v>40</v>
      </c>
      <c r="AR5" s="117">
        <v>41</v>
      </c>
      <c r="AS5" s="117">
        <v>42</v>
      </c>
      <c r="AT5" s="117">
        <v>43</v>
      </c>
      <c r="AU5" s="117">
        <v>44</v>
      </c>
      <c r="AV5" s="117">
        <v>45</v>
      </c>
      <c r="AW5" s="117">
        <v>46</v>
      </c>
      <c r="AX5" s="117">
        <v>47</v>
      </c>
      <c r="AY5" s="117">
        <v>48</v>
      </c>
    </row>
    <row r="6" spans="1:52" x14ac:dyDescent="0.25">
      <c r="A6" s="107" t="s">
        <v>303</v>
      </c>
      <c r="B6" s="119"/>
      <c r="C6" s="118" t="s">
        <v>287</v>
      </c>
      <c r="D6" s="117" t="s">
        <v>288</v>
      </c>
      <c r="E6" s="117" t="s">
        <v>288</v>
      </c>
      <c r="F6" s="117" t="s">
        <v>288</v>
      </c>
      <c r="G6" s="117" t="s">
        <v>288</v>
      </c>
      <c r="H6" s="117" t="s">
        <v>288</v>
      </c>
      <c r="I6" s="117" t="s">
        <v>288</v>
      </c>
      <c r="J6" s="117" t="s">
        <v>288</v>
      </c>
      <c r="K6" s="117" t="s">
        <v>288</v>
      </c>
      <c r="L6" s="117" t="s">
        <v>288</v>
      </c>
      <c r="M6" s="117" t="s">
        <v>288</v>
      </c>
      <c r="N6" s="117" t="s">
        <v>288</v>
      </c>
      <c r="O6" s="117" t="s">
        <v>288</v>
      </c>
      <c r="P6" s="117" t="s">
        <v>288</v>
      </c>
      <c r="Q6" s="117" t="s">
        <v>288</v>
      </c>
      <c r="R6" s="117" t="s">
        <v>288</v>
      </c>
      <c r="S6" s="117" t="s">
        <v>288</v>
      </c>
      <c r="T6" s="117" t="s">
        <v>288</v>
      </c>
      <c r="U6" s="117" t="s">
        <v>288</v>
      </c>
      <c r="V6" s="117" t="s">
        <v>288</v>
      </c>
      <c r="W6" s="117" t="s">
        <v>288</v>
      </c>
      <c r="X6" s="117" t="s">
        <v>288</v>
      </c>
      <c r="Y6" s="117" t="s">
        <v>288</v>
      </c>
      <c r="Z6" s="117" t="s">
        <v>288</v>
      </c>
      <c r="AA6" s="117" t="s">
        <v>288</v>
      </c>
      <c r="AB6" s="117" t="s">
        <v>288</v>
      </c>
      <c r="AC6" s="117" t="s">
        <v>288</v>
      </c>
      <c r="AD6" s="117" t="s">
        <v>288</v>
      </c>
      <c r="AE6" s="117" t="s">
        <v>288</v>
      </c>
      <c r="AF6" s="117" t="s">
        <v>288</v>
      </c>
      <c r="AG6" s="117" t="s">
        <v>288</v>
      </c>
      <c r="AH6" s="117" t="s">
        <v>288</v>
      </c>
      <c r="AI6" s="117" t="s">
        <v>288</v>
      </c>
      <c r="AJ6" s="117" t="s">
        <v>288</v>
      </c>
      <c r="AK6" s="117" t="s">
        <v>288</v>
      </c>
      <c r="AL6" s="117" t="s">
        <v>288</v>
      </c>
      <c r="AM6" s="117" t="s">
        <v>288</v>
      </c>
      <c r="AN6" s="117" t="s">
        <v>288</v>
      </c>
      <c r="AO6" s="117" t="s">
        <v>288</v>
      </c>
      <c r="AP6" s="117" t="s">
        <v>288</v>
      </c>
      <c r="AQ6" s="117" t="s">
        <v>288</v>
      </c>
      <c r="AR6" s="117" t="s">
        <v>288</v>
      </c>
      <c r="AS6" s="117" t="s">
        <v>288</v>
      </c>
      <c r="AT6" s="117" t="s">
        <v>288</v>
      </c>
      <c r="AU6" s="117" t="s">
        <v>288</v>
      </c>
      <c r="AV6" s="117" t="s">
        <v>288</v>
      </c>
      <c r="AW6" s="117" t="s">
        <v>288</v>
      </c>
      <c r="AX6" s="117" t="s">
        <v>288</v>
      </c>
      <c r="AY6" s="116" t="s">
        <v>289</v>
      </c>
      <c r="AZ6" s="147" t="s">
        <v>150</v>
      </c>
    </row>
    <row r="7" spans="1:52" x14ac:dyDescent="0.25">
      <c r="A7" s="120" t="s">
        <v>125</v>
      </c>
      <c r="B7" s="148">
        <v>1</v>
      </c>
      <c r="C7" s="149" t="s">
        <v>292</v>
      </c>
      <c r="D7" s="149">
        <v>690.00001380000003</v>
      </c>
      <c r="E7" s="149">
        <v>690.00001380000003</v>
      </c>
      <c r="F7" s="149">
        <v>690.00001380000003</v>
      </c>
      <c r="G7" s="149">
        <v>690.00001380000003</v>
      </c>
      <c r="H7" s="149">
        <v>690.00001380000003</v>
      </c>
      <c r="I7" s="149">
        <v>690.00001380000003</v>
      </c>
      <c r="J7" s="149">
        <v>690.00001380000003</v>
      </c>
      <c r="K7" s="149">
        <v>690.00001380000003</v>
      </c>
      <c r="L7" s="149">
        <v>690.00001380000003</v>
      </c>
      <c r="M7" s="149">
        <v>690.00001380000003</v>
      </c>
      <c r="N7" s="149">
        <v>690.00001380000003</v>
      </c>
      <c r="O7" s="149">
        <v>690.00001380000003</v>
      </c>
      <c r="P7" s="149">
        <v>690.00001380000003</v>
      </c>
      <c r="Q7" s="149">
        <v>690.00001380000003</v>
      </c>
      <c r="R7" s="149">
        <v>690.00001380000003</v>
      </c>
      <c r="S7" s="149">
        <v>690.00001380000003</v>
      </c>
      <c r="T7" s="149">
        <v>466.04855847805868</v>
      </c>
      <c r="U7" s="149">
        <v>466.30021354875583</v>
      </c>
      <c r="V7" s="149">
        <v>466.55122676791217</v>
      </c>
      <c r="W7" s="149">
        <v>690.00001380000003</v>
      </c>
      <c r="X7" s="149">
        <v>690.00001380000003</v>
      </c>
      <c r="Y7" s="149">
        <v>690.00001380000003</v>
      </c>
      <c r="Z7" s="149">
        <v>690.00001380000003</v>
      </c>
      <c r="AA7" s="149">
        <v>690.00001380000003</v>
      </c>
      <c r="AB7" s="149">
        <v>690.00001380000003</v>
      </c>
      <c r="AC7" s="149">
        <v>690.00001380000003</v>
      </c>
      <c r="AD7" s="149">
        <v>690.00001380000003</v>
      </c>
      <c r="AE7" s="149">
        <v>690.00001380000003</v>
      </c>
      <c r="AF7" s="149">
        <v>469.01720930788406</v>
      </c>
      <c r="AG7" s="149">
        <v>690.00001380000003</v>
      </c>
      <c r="AH7" s="149">
        <v>690.00001380000003</v>
      </c>
      <c r="AI7" s="149">
        <v>690.00001380000003</v>
      </c>
      <c r="AJ7" s="149">
        <v>690.00001380000003</v>
      </c>
      <c r="AK7" s="149">
        <v>690.00001380000003</v>
      </c>
      <c r="AL7" s="149">
        <v>690.00001380000003</v>
      </c>
      <c r="AM7" s="149">
        <v>690.00001380000003</v>
      </c>
      <c r="AN7" s="149">
        <v>690.00001380000003</v>
      </c>
      <c r="AO7" s="149">
        <v>690.00001380000003</v>
      </c>
      <c r="AP7" s="149">
        <v>690.00001380000003</v>
      </c>
      <c r="AQ7" s="149">
        <v>690.00001380000003</v>
      </c>
      <c r="AR7" s="149">
        <v>690.00001380000003</v>
      </c>
      <c r="AS7" s="149">
        <v>690.00001380000003</v>
      </c>
      <c r="AT7" s="149">
        <v>690.00001380000003</v>
      </c>
      <c r="AU7" s="149">
        <v>690.00001380000003</v>
      </c>
      <c r="AV7" s="149">
        <v>690.00001380000003</v>
      </c>
      <c r="AW7" s="149">
        <v>690.00001380000003</v>
      </c>
      <c r="AX7" s="149">
        <v>690.00001380000003</v>
      </c>
      <c r="AY7" s="149">
        <v>690.00001380000003</v>
      </c>
      <c r="AZ7" s="111"/>
    </row>
    <row r="8" spans="1:52" x14ac:dyDescent="0.25">
      <c r="A8" s="150"/>
      <c r="B8" s="151"/>
      <c r="C8" s="150"/>
      <c r="D8" s="150"/>
      <c r="E8" s="150"/>
      <c r="F8" s="150"/>
      <c r="G8" s="150"/>
      <c r="H8" s="150"/>
      <c r="I8" s="150"/>
      <c r="J8" s="150"/>
      <c r="K8" s="150"/>
      <c r="L8" s="150"/>
      <c r="M8" s="150"/>
      <c r="N8" s="150"/>
      <c r="O8" s="150"/>
      <c r="P8" s="150"/>
      <c r="Q8" s="150"/>
      <c r="R8" s="150"/>
      <c r="S8" s="150"/>
      <c r="T8" s="150"/>
      <c r="U8" s="150"/>
      <c r="V8" s="150"/>
      <c r="W8" s="150"/>
      <c r="X8" s="150"/>
      <c r="Y8" s="150"/>
      <c r="Z8" s="150"/>
      <c r="AA8" s="150"/>
      <c r="AB8" s="150"/>
      <c r="AC8" s="150"/>
      <c r="AD8" s="150"/>
      <c r="AE8" s="150"/>
      <c r="AF8" s="150"/>
      <c r="AG8" s="150"/>
      <c r="AH8" s="150"/>
      <c r="AI8" s="150"/>
      <c r="AJ8" s="150"/>
      <c r="AK8" s="150"/>
      <c r="AL8" s="150"/>
      <c r="AM8" s="150"/>
      <c r="AN8" s="150"/>
      <c r="AO8" s="150"/>
      <c r="AP8" s="150"/>
      <c r="AQ8" s="150"/>
      <c r="AR8" s="150"/>
      <c r="AS8" s="150"/>
      <c r="AT8" s="150"/>
      <c r="AU8" s="150"/>
      <c r="AV8" s="150"/>
      <c r="AW8" s="150"/>
      <c r="AX8" s="150"/>
      <c r="AY8" s="150"/>
      <c r="AZ8" s="152"/>
    </row>
    <row r="9" spans="1:52" x14ac:dyDescent="0.25">
      <c r="A9" s="107" t="s">
        <v>293</v>
      </c>
      <c r="B9" s="153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11"/>
      <c r="N9" s="111"/>
      <c r="O9" s="111"/>
      <c r="P9" s="111"/>
      <c r="Q9" s="111"/>
      <c r="R9" s="111"/>
      <c r="S9" s="111"/>
      <c r="T9" s="111"/>
      <c r="U9" s="111"/>
      <c r="V9" s="111"/>
      <c r="W9" s="111"/>
      <c r="X9" s="111"/>
      <c r="Y9" s="111"/>
      <c r="Z9" s="111"/>
      <c r="AA9" s="111"/>
      <c r="AB9" s="111"/>
      <c r="AC9" s="111"/>
      <c r="AD9" s="111"/>
      <c r="AE9" s="111"/>
      <c r="AF9" s="111"/>
      <c r="AG9" s="111"/>
      <c r="AH9" s="111"/>
      <c r="AI9" s="111"/>
      <c r="AJ9" s="111"/>
      <c r="AK9" s="111"/>
      <c r="AL9" s="111"/>
      <c r="AM9" s="111"/>
      <c r="AN9" s="111"/>
      <c r="AO9" s="111"/>
      <c r="AP9" s="111"/>
      <c r="AQ9" s="111"/>
      <c r="AR9" s="111"/>
      <c r="AS9" s="111"/>
      <c r="AT9" s="111"/>
      <c r="AU9" s="111"/>
      <c r="AV9" s="111"/>
      <c r="AW9" s="111"/>
      <c r="AX9" s="111"/>
      <c r="AY9" s="111"/>
      <c r="AZ9" s="111"/>
    </row>
    <row r="10" spans="1:52" x14ac:dyDescent="0.25">
      <c r="A10" s="154" t="s">
        <v>125</v>
      </c>
      <c r="B10" s="155">
        <v>1</v>
      </c>
      <c r="C10" s="149" t="s">
        <v>292</v>
      </c>
      <c r="D10" s="149">
        <f t="shared" ref="D10:AY10" si="0">MAX(SUM(D$14:D$16)+D$7-$B$3,0)</f>
        <v>345.00001380000003</v>
      </c>
      <c r="E10" s="149">
        <f t="shared" si="0"/>
        <v>345.00001380000003</v>
      </c>
      <c r="F10" s="149">
        <f t="shared" si="0"/>
        <v>345.00001380000003</v>
      </c>
      <c r="G10" s="149">
        <f t="shared" si="0"/>
        <v>345.00001380000003</v>
      </c>
      <c r="H10" s="149">
        <f t="shared" si="0"/>
        <v>345.00001380000003</v>
      </c>
      <c r="I10" s="149">
        <f t="shared" si="0"/>
        <v>345.00001380000003</v>
      </c>
      <c r="J10" s="149">
        <f t="shared" si="0"/>
        <v>345.00001380000003</v>
      </c>
      <c r="K10" s="149">
        <f t="shared" si="0"/>
        <v>345.00001380000003</v>
      </c>
      <c r="L10" s="149">
        <f t="shared" si="0"/>
        <v>345.00001380000003</v>
      </c>
      <c r="M10" s="149">
        <f t="shared" si="0"/>
        <v>345.00001380000003</v>
      </c>
      <c r="N10" s="149">
        <f t="shared" si="0"/>
        <v>345.00001380000003</v>
      </c>
      <c r="O10" s="149">
        <f t="shared" si="0"/>
        <v>345.00001380000003</v>
      </c>
      <c r="P10" s="149">
        <f t="shared" si="0"/>
        <v>345.00001380000003</v>
      </c>
      <c r="Q10" s="149">
        <f t="shared" si="0"/>
        <v>345.00001380000003</v>
      </c>
      <c r="R10" s="149">
        <f t="shared" si="0"/>
        <v>345.00001380000003</v>
      </c>
      <c r="S10" s="149">
        <f t="shared" si="0"/>
        <v>345.00001380000003</v>
      </c>
      <c r="T10" s="149">
        <f t="shared" si="0"/>
        <v>121.04855847805868</v>
      </c>
      <c r="U10" s="149">
        <f t="shared" si="0"/>
        <v>121.30021354875583</v>
      </c>
      <c r="V10" s="149">
        <f t="shared" si="0"/>
        <v>121.55122676791217</v>
      </c>
      <c r="W10" s="149">
        <f t="shared" si="0"/>
        <v>345.00001380000003</v>
      </c>
      <c r="X10" s="149">
        <f t="shared" si="0"/>
        <v>345.00001380000003</v>
      </c>
      <c r="Y10" s="149">
        <f t="shared" si="0"/>
        <v>345.00001380000003</v>
      </c>
      <c r="Z10" s="149">
        <f t="shared" si="0"/>
        <v>345.00001380000003</v>
      </c>
      <c r="AA10" s="149">
        <f t="shared" si="0"/>
        <v>345.00001380000003</v>
      </c>
      <c r="AB10" s="149">
        <f t="shared" si="0"/>
        <v>345.00001380000003</v>
      </c>
      <c r="AC10" s="149">
        <f t="shared" si="0"/>
        <v>345.00001380000003</v>
      </c>
      <c r="AD10" s="149">
        <f t="shared" si="0"/>
        <v>345.00001380000003</v>
      </c>
      <c r="AE10" s="149">
        <f t="shared" si="0"/>
        <v>345.00001380000003</v>
      </c>
      <c r="AF10" s="149">
        <f t="shared" si="0"/>
        <v>124.01720930788406</v>
      </c>
      <c r="AG10" s="149">
        <f t="shared" si="0"/>
        <v>345.00001380000003</v>
      </c>
      <c r="AH10" s="149">
        <f t="shared" si="0"/>
        <v>345.00001380000003</v>
      </c>
      <c r="AI10" s="149">
        <f t="shared" si="0"/>
        <v>345.00001380000003</v>
      </c>
      <c r="AJ10" s="149">
        <f t="shared" si="0"/>
        <v>345.00001380000003</v>
      </c>
      <c r="AK10" s="149">
        <f t="shared" si="0"/>
        <v>345.00001380000003</v>
      </c>
      <c r="AL10" s="149">
        <f t="shared" si="0"/>
        <v>345.00001380000003</v>
      </c>
      <c r="AM10" s="149">
        <f t="shared" si="0"/>
        <v>345.00001380000003</v>
      </c>
      <c r="AN10" s="149">
        <f t="shared" si="0"/>
        <v>345.00001380000003</v>
      </c>
      <c r="AO10" s="149">
        <f t="shared" si="0"/>
        <v>690.00001380000003</v>
      </c>
      <c r="AP10" s="149">
        <f t="shared" si="0"/>
        <v>345.00001380000003</v>
      </c>
      <c r="AQ10" s="149">
        <f t="shared" si="0"/>
        <v>345.00001380000003</v>
      </c>
      <c r="AR10" s="149">
        <f t="shared" si="0"/>
        <v>690.00001380000003</v>
      </c>
      <c r="AS10" s="149">
        <f t="shared" si="0"/>
        <v>345.00001380000003</v>
      </c>
      <c r="AT10" s="149">
        <f t="shared" si="0"/>
        <v>345.00001380000003</v>
      </c>
      <c r="AU10" s="149">
        <f t="shared" si="0"/>
        <v>345.00001380000003</v>
      </c>
      <c r="AV10" s="149">
        <f t="shared" si="0"/>
        <v>345.00001380000003</v>
      </c>
      <c r="AW10" s="149">
        <f t="shared" si="0"/>
        <v>345.00001380000003</v>
      </c>
      <c r="AX10" s="149">
        <f t="shared" si="0"/>
        <v>345.00001380000003</v>
      </c>
      <c r="AY10" s="149">
        <f t="shared" si="0"/>
        <v>345.00001380000003</v>
      </c>
      <c r="AZ10" s="156">
        <f>SUM($D10:$AY10)</f>
        <v>16357.917815302599</v>
      </c>
    </row>
    <row r="11" spans="1:52" x14ac:dyDescent="0.25">
      <c r="C11" s="115"/>
    </row>
    <row r="12" spans="1:52" x14ac:dyDescent="0.25">
      <c r="A12" s="157" t="s">
        <v>294</v>
      </c>
      <c r="B12" s="151"/>
      <c r="C12" s="115"/>
    </row>
    <row r="13" spans="1:52" x14ac:dyDescent="0.25">
      <c r="A13" s="127" t="s">
        <v>125</v>
      </c>
      <c r="B13" s="128">
        <v>1</v>
      </c>
      <c r="C13" s="129"/>
      <c r="D13" s="143">
        <f t="shared" ref="D13:AY13" si="1">D$7-D$10</f>
        <v>345</v>
      </c>
      <c r="E13" s="143">
        <f t="shared" si="1"/>
        <v>345</v>
      </c>
      <c r="F13" s="143">
        <f t="shared" si="1"/>
        <v>345</v>
      </c>
      <c r="G13" s="143">
        <f t="shared" si="1"/>
        <v>345</v>
      </c>
      <c r="H13" s="143">
        <f t="shared" si="1"/>
        <v>345</v>
      </c>
      <c r="I13" s="143">
        <f t="shared" si="1"/>
        <v>345</v>
      </c>
      <c r="J13" s="143">
        <f t="shared" si="1"/>
        <v>345</v>
      </c>
      <c r="K13" s="143">
        <f t="shared" si="1"/>
        <v>345</v>
      </c>
      <c r="L13" s="143">
        <f t="shared" si="1"/>
        <v>345</v>
      </c>
      <c r="M13" s="143">
        <f t="shared" si="1"/>
        <v>345</v>
      </c>
      <c r="N13" s="143">
        <f t="shared" si="1"/>
        <v>345</v>
      </c>
      <c r="O13" s="143">
        <f t="shared" si="1"/>
        <v>345</v>
      </c>
      <c r="P13" s="143">
        <f t="shared" si="1"/>
        <v>345</v>
      </c>
      <c r="Q13" s="143">
        <f t="shared" si="1"/>
        <v>345</v>
      </c>
      <c r="R13" s="143">
        <f t="shared" si="1"/>
        <v>345</v>
      </c>
      <c r="S13" s="143">
        <f t="shared" si="1"/>
        <v>345</v>
      </c>
      <c r="T13" s="143">
        <f t="shared" si="1"/>
        <v>345</v>
      </c>
      <c r="U13" s="143">
        <f t="shared" si="1"/>
        <v>345</v>
      </c>
      <c r="V13" s="143">
        <f t="shared" si="1"/>
        <v>345</v>
      </c>
      <c r="W13" s="143">
        <f t="shared" si="1"/>
        <v>345</v>
      </c>
      <c r="X13" s="143">
        <f t="shared" si="1"/>
        <v>345</v>
      </c>
      <c r="Y13" s="143">
        <f t="shared" si="1"/>
        <v>345</v>
      </c>
      <c r="Z13" s="143">
        <f t="shared" si="1"/>
        <v>345</v>
      </c>
      <c r="AA13" s="143">
        <f t="shared" si="1"/>
        <v>345</v>
      </c>
      <c r="AB13" s="143">
        <f t="shared" si="1"/>
        <v>345</v>
      </c>
      <c r="AC13" s="143">
        <f t="shared" si="1"/>
        <v>345</v>
      </c>
      <c r="AD13" s="143">
        <f t="shared" si="1"/>
        <v>345</v>
      </c>
      <c r="AE13" s="143">
        <f t="shared" si="1"/>
        <v>345</v>
      </c>
      <c r="AF13" s="143">
        <f t="shared" si="1"/>
        <v>345</v>
      </c>
      <c r="AG13" s="143">
        <f t="shared" si="1"/>
        <v>345</v>
      </c>
      <c r="AH13" s="143">
        <f t="shared" si="1"/>
        <v>345</v>
      </c>
      <c r="AI13" s="143">
        <f t="shared" si="1"/>
        <v>345</v>
      </c>
      <c r="AJ13" s="143">
        <f t="shared" si="1"/>
        <v>345</v>
      </c>
      <c r="AK13" s="143">
        <f t="shared" si="1"/>
        <v>345</v>
      </c>
      <c r="AL13" s="143">
        <f t="shared" si="1"/>
        <v>345</v>
      </c>
      <c r="AM13" s="143">
        <f t="shared" si="1"/>
        <v>345</v>
      </c>
      <c r="AN13" s="143">
        <f t="shared" si="1"/>
        <v>345</v>
      </c>
      <c r="AO13" s="143">
        <f t="shared" si="1"/>
        <v>0</v>
      </c>
      <c r="AP13" s="143">
        <f t="shared" si="1"/>
        <v>345</v>
      </c>
      <c r="AQ13" s="143">
        <f t="shared" si="1"/>
        <v>345</v>
      </c>
      <c r="AR13" s="143">
        <f t="shared" si="1"/>
        <v>0</v>
      </c>
      <c r="AS13" s="143">
        <f t="shared" si="1"/>
        <v>345</v>
      </c>
      <c r="AT13" s="143">
        <f t="shared" si="1"/>
        <v>345</v>
      </c>
      <c r="AU13" s="143">
        <f t="shared" si="1"/>
        <v>345</v>
      </c>
      <c r="AV13" s="143">
        <f t="shared" si="1"/>
        <v>345</v>
      </c>
      <c r="AW13" s="143">
        <f t="shared" si="1"/>
        <v>345</v>
      </c>
      <c r="AX13" s="143">
        <f t="shared" si="1"/>
        <v>345</v>
      </c>
      <c r="AY13" s="143">
        <f t="shared" si="1"/>
        <v>345</v>
      </c>
      <c r="AZ13" s="114"/>
    </row>
    <row r="14" spans="1:52" x14ac:dyDescent="0.25">
      <c r="A14" s="115"/>
      <c r="B14" s="125">
        <v>2</v>
      </c>
      <c r="C14" s="115"/>
      <c r="D14" s="111">
        <f>IF(C$20="Yes",C13,0)</f>
        <v>0</v>
      </c>
      <c r="E14" s="111">
        <f t="shared" ref="E14:AY17" si="2">IF(D$20="Yes",D13,0)</f>
        <v>0</v>
      </c>
      <c r="F14" s="111">
        <f t="shared" si="2"/>
        <v>0</v>
      </c>
      <c r="G14" s="111">
        <f t="shared" si="2"/>
        <v>0</v>
      </c>
      <c r="H14" s="111">
        <f t="shared" si="2"/>
        <v>0</v>
      </c>
      <c r="I14" s="111">
        <f t="shared" si="2"/>
        <v>0</v>
      </c>
      <c r="J14" s="111">
        <f t="shared" si="2"/>
        <v>0</v>
      </c>
      <c r="K14" s="111">
        <f t="shared" si="2"/>
        <v>0</v>
      </c>
      <c r="L14" s="111">
        <f t="shared" si="2"/>
        <v>0</v>
      </c>
      <c r="M14" s="111">
        <f t="shared" si="2"/>
        <v>0</v>
      </c>
      <c r="N14" s="111">
        <f t="shared" si="2"/>
        <v>0</v>
      </c>
      <c r="O14" s="111">
        <f t="shared" si="2"/>
        <v>0</v>
      </c>
      <c r="P14" s="111">
        <f t="shared" si="2"/>
        <v>0</v>
      </c>
      <c r="Q14" s="111">
        <f t="shared" si="2"/>
        <v>0</v>
      </c>
      <c r="R14" s="111">
        <f t="shared" si="2"/>
        <v>0</v>
      </c>
      <c r="S14" s="111">
        <f t="shared" si="2"/>
        <v>0</v>
      </c>
      <c r="T14" s="111">
        <f t="shared" si="2"/>
        <v>0</v>
      </c>
      <c r="U14" s="111">
        <f t="shared" si="2"/>
        <v>0</v>
      </c>
      <c r="V14" s="111">
        <f t="shared" si="2"/>
        <v>0</v>
      </c>
      <c r="W14" s="111">
        <f t="shared" si="2"/>
        <v>0</v>
      </c>
      <c r="X14" s="111">
        <f t="shared" si="2"/>
        <v>0</v>
      </c>
      <c r="Y14" s="111">
        <f t="shared" si="2"/>
        <v>0</v>
      </c>
      <c r="Z14" s="111">
        <f t="shared" si="2"/>
        <v>0</v>
      </c>
      <c r="AA14" s="111">
        <f t="shared" si="2"/>
        <v>0</v>
      </c>
      <c r="AB14" s="111">
        <f t="shared" si="2"/>
        <v>0</v>
      </c>
      <c r="AC14" s="111">
        <f t="shared" si="2"/>
        <v>0</v>
      </c>
      <c r="AD14" s="111">
        <f t="shared" si="2"/>
        <v>0</v>
      </c>
      <c r="AE14" s="111">
        <f t="shared" si="2"/>
        <v>0</v>
      </c>
      <c r="AF14" s="111">
        <f t="shared" si="2"/>
        <v>0</v>
      </c>
      <c r="AG14" s="111">
        <f t="shared" si="2"/>
        <v>0</v>
      </c>
      <c r="AH14" s="111">
        <f t="shared" si="2"/>
        <v>0</v>
      </c>
      <c r="AI14" s="111">
        <f t="shared" si="2"/>
        <v>0</v>
      </c>
      <c r="AJ14" s="111">
        <f t="shared" si="2"/>
        <v>0</v>
      </c>
      <c r="AK14" s="111">
        <f t="shared" si="2"/>
        <v>0</v>
      </c>
      <c r="AL14" s="111">
        <f t="shared" si="2"/>
        <v>0</v>
      </c>
      <c r="AM14" s="111">
        <f t="shared" si="2"/>
        <v>0</v>
      </c>
      <c r="AN14" s="111">
        <f t="shared" si="2"/>
        <v>0</v>
      </c>
      <c r="AO14" s="111">
        <f t="shared" si="2"/>
        <v>345</v>
      </c>
      <c r="AP14" s="111">
        <f t="shared" si="2"/>
        <v>0</v>
      </c>
      <c r="AQ14" s="111">
        <f t="shared" si="2"/>
        <v>0</v>
      </c>
      <c r="AR14" s="111">
        <f t="shared" si="2"/>
        <v>345</v>
      </c>
      <c r="AS14" s="111">
        <f t="shared" si="2"/>
        <v>0</v>
      </c>
      <c r="AT14" s="111">
        <f t="shared" si="2"/>
        <v>0</v>
      </c>
      <c r="AU14" s="111">
        <f t="shared" si="2"/>
        <v>0</v>
      </c>
      <c r="AV14" s="111">
        <f t="shared" si="2"/>
        <v>0</v>
      </c>
      <c r="AW14" s="111">
        <f t="shared" si="2"/>
        <v>0</v>
      </c>
      <c r="AX14" s="111">
        <f t="shared" si="2"/>
        <v>0</v>
      </c>
      <c r="AY14" s="111">
        <f t="shared" si="2"/>
        <v>0</v>
      </c>
      <c r="AZ14" s="114"/>
    </row>
    <row r="15" spans="1:52" x14ac:dyDescent="0.25">
      <c r="A15" s="115"/>
      <c r="B15" s="132">
        <v>3</v>
      </c>
      <c r="C15" s="115"/>
      <c r="D15" s="111">
        <f>IF(C$20="Yes",C14,0)</f>
        <v>0</v>
      </c>
      <c r="E15" s="111">
        <f t="shared" si="2"/>
        <v>0</v>
      </c>
      <c r="F15" s="111">
        <f t="shared" si="2"/>
        <v>0</v>
      </c>
      <c r="G15" s="111">
        <f t="shared" si="2"/>
        <v>0</v>
      </c>
      <c r="H15" s="111">
        <f t="shared" si="2"/>
        <v>0</v>
      </c>
      <c r="I15" s="111">
        <f t="shared" si="2"/>
        <v>0</v>
      </c>
      <c r="J15" s="111">
        <f t="shared" si="2"/>
        <v>0</v>
      </c>
      <c r="K15" s="111">
        <f t="shared" si="2"/>
        <v>0</v>
      </c>
      <c r="L15" s="111">
        <f t="shared" si="2"/>
        <v>0</v>
      </c>
      <c r="M15" s="111">
        <f t="shared" si="2"/>
        <v>0</v>
      </c>
      <c r="N15" s="111">
        <f t="shared" si="2"/>
        <v>0</v>
      </c>
      <c r="O15" s="111">
        <f t="shared" si="2"/>
        <v>0</v>
      </c>
      <c r="P15" s="111">
        <f t="shared" si="2"/>
        <v>0</v>
      </c>
      <c r="Q15" s="111">
        <f t="shared" si="2"/>
        <v>0</v>
      </c>
      <c r="R15" s="111">
        <f t="shared" si="2"/>
        <v>0</v>
      </c>
      <c r="S15" s="111">
        <f t="shared" si="2"/>
        <v>0</v>
      </c>
      <c r="T15" s="111">
        <f t="shared" si="2"/>
        <v>0</v>
      </c>
      <c r="U15" s="111">
        <f t="shared" si="2"/>
        <v>0</v>
      </c>
      <c r="V15" s="111">
        <f t="shared" si="2"/>
        <v>0</v>
      </c>
      <c r="W15" s="111">
        <f t="shared" si="2"/>
        <v>0</v>
      </c>
      <c r="X15" s="111">
        <f t="shared" si="2"/>
        <v>0</v>
      </c>
      <c r="Y15" s="111">
        <f t="shared" si="2"/>
        <v>0</v>
      </c>
      <c r="Z15" s="111">
        <f t="shared" si="2"/>
        <v>0</v>
      </c>
      <c r="AA15" s="111">
        <f t="shared" si="2"/>
        <v>0</v>
      </c>
      <c r="AB15" s="111">
        <f t="shared" si="2"/>
        <v>0</v>
      </c>
      <c r="AC15" s="111">
        <f t="shared" si="2"/>
        <v>0</v>
      </c>
      <c r="AD15" s="111">
        <f t="shared" si="2"/>
        <v>0</v>
      </c>
      <c r="AE15" s="111">
        <f t="shared" si="2"/>
        <v>0</v>
      </c>
      <c r="AF15" s="111">
        <f t="shared" si="2"/>
        <v>0</v>
      </c>
      <c r="AG15" s="111">
        <f t="shared" si="2"/>
        <v>0</v>
      </c>
      <c r="AH15" s="111">
        <f t="shared" si="2"/>
        <v>0</v>
      </c>
      <c r="AI15" s="111">
        <f t="shared" si="2"/>
        <v>0</v>
      </c>
      <c r="AJ15" s="111">
        <f t="shared" si="2"/>
        <v>0</v>
      </c>
      <c r="AK15" s="111">
        <f t="shared" si="2"/>
        <v>0</v>
      </c>
      <c r="AL15" s="111">
        <f t="shared" si="2"/>
        <v>0</v>
      </c>
      <c r="AM15" s="111">
        <f t="shared" si="2"/>
        <v>0</v>
      </c>
      <c r="AN15" s="111">
        <f t="shared" si="2"/>
        <v>0</v>
      </c>
      <c r="AO15" s="111">
        <f t="shared" si="2"/>
        <v>0</v>
      </c>
      <c r="AP15" s="111">
        <f t="shared" si="2"/>
        <v>0</v>
      </c>
      <c r="AQ15" s="111">
        <f t="shared" si="2"/>
        <v>0</v>
      </c>
      <c r="AR15" s="111">
        <f t="shared" si="2"/>
        <v>0</v>
      </c>
      <c r="AS15" s="111">
        <f t="shared" si="2"/>
        <v>0</v>
      </c>
      <c r="AT15" s="111">
        <f t="shared" si="2"/>
        <v>0</v>
      </c>
      <c r="AU15" s="111">
        <f t="shared" si="2"/>
        <v>0</v>
      </c>
      <c r="AV15" s="111">
        <f t="shared" si="2"/>
        <v>0</v>
      </c>
      <c r="AW15" s="111">
        <f t="shared" si="2"/>
        <v>0</v>
      </c>
      <c r="AX15" s="111">
        <f t="shared" si="2"/>
        <v>0</v>
      </c>
      <c r="AY15" s="111">
        <f t="shared" si="2"/>
        <v>0</v>
      </c>
      <c r="AZ15" s="114"/>
    </row>
    <row r="16" spans="1:52" x14ac:dyDescent="0.25">
      <c r="A16" s="115"/>
      <c r="B16" s="135">
        <v>4</v>
      </c>
      <c r="C16" s="115"/>
      <c r="D16" s="111">
        <f>IF(C$20="Yes",C15,0)</f>
        <v>0</v>
      </c>
      <c r="E16" s="111">
        <f t="shared" si="2"/>
        <v>0</v>
      </c>
      <c r="F16" s="111">
        <f t="shared" si="2"/>
        <v>0</v>
      </c>
      <c r="G16" s="111">
        <f t="shared" si="2"/>
        <v>0</v>
      </c>
      <c r="H16" s="111">
        <f t="shared" si="2"/>
        <v>0</v>
      </c>
      <c r="I16" s="111">
        <f t="shared" si="2"/>
        <v>0</v>
      </c>
      <c r="J16" s="111">
        <f t="shared" si="2"/>
        <v>0</v>
      </c>
      <c r="K16" s="111">
        <f t="shared" si="2"/>
        <v>0</v>
      </c>
      <c r="L16" s="111">
        <f t="shared" si="2"/>
        <v>0</v>
      </c>
      <c r="M16" s="111">
        <f t="shared" si="2"/>
        <v>0</v>
      </c>
      <c r="N16" s="111">
        <f t="shared" si="2"/>
        <v>0</v>
      </c>
      <c r="O16" s="111">
        <f t="shared" si="2"/>
        <v>0</v>
      </c>
      <c r="P16" s="111">
        <f t="shared" si="2"/>
        <v>0</v>
      </c>
      <c r="Q16" s="111">
        <f t="shared" si="2"/>
        <v>0</v>
      </c>
      <c r="R16" s="111">
        <f t="shared" si="2"/>
        <v>0</v>
      </c>
      <c r="S16" s="111">
        <f t="shared" si="2"/>
        <v>0</v>
      </c>
      <c r="T16" s="111">
        <f t="shared" si="2"/>
        <v>0</v>
      </c>
      <c r="U16" s="111">
        <f t="shared" si="2"/>
        <v>0</v>
      </c>
      <c r="V16" s="111">
        <f t="shared" si="2"/>
        <v>0</v>
      </c>
      <c r="W16" s="111">
        <f t="shared" si="2"/>
        <v>0</v>
      </c>
      <c r="X16" s="111">
        <f t="shared" si="2"/>
        <v>0</v>
      </c>
      <c r="Y16" s="111">
        <f t="shared" si="2"/>
        <v>0</v>
      </c>
      <c r="Z16" s="111">
        <f t="shared" si="2"/>
        <v>0</v>
      </c>
      <c r="AA16" s="111">
        <f t="shared" si="2"/>
        <v>0</v>
      </c>
      <c r="AB16" s="111">
        <f t="shared" si="2"/>
        <v>0</v>
      </c>
      <c r="AC16" s="111">
        <f t="shared" si="2"/>
        <v>0</v>
      </c>
      <c r="AD16" s="111">
        <f t="shared" si="2"/>
        <v>0</v>
      </c>
      <c r="AE16" s="111">
        <f t="shared" si="2"/>
        <v>0</v>
      </c>
      <c r="AF16" s="111">
        <f t="shared" si="2"/>
        <v>0</v>
      </c>
      <c r="AG16" s="111">
        <f t="shared" si="2"/>
        <v>0</v>
      </c>
      <c r="AH16" s="111">
        <f t="shared" si="2"/>
        <v>0</v>
      </c>
      <c r="AI16" s="111">
        <f t="shared" si="2"/>
        <v>0</v>
      </c>
      <c r="AJ16" s="111">
        <f t="shared" si="2"/>
        <v>0</v>
      </c>
      <c r="AK16" s="111">
        <f t="shared" si="2"/>
        <v>0</v>
      </c>
      <c r="AL16" s="111">
        <f t="shared" si="2"/>
        <v>0</v>
      </c>
      <c r="AM16" s="111">
        <f t="shared" si="2"/>
        <v>0</v>
      </c>
      <c r="AN16" s="111">
        <f t="shared" si="2"/>
        <v>0</v>
      </c>
      <c r="AO16" s="111">
        <f t="shared" si="2"/>
        <v>0</v>
      </c>
      <c r="AP16" s="111">
        <f t="shared" si="2"/>
        <v>0</v>
      </c>
      <c r="AQ16" s="111">
        <f t="shared" si="2"/>
        <v>0</v>
      </c>
      <c r="AR16" s="111">
        <f t="shared" si="2"/>
        <v>0</v>
      </c>
      <c r="AS16" s="111">
        <f t="shared" si="2"/>
        <v>0</v>
      </c>
      <c r="AT16" s="111">
        <f t="shared" si="2"/>
        <v>0</v>
      </c>
      <c r="AU16" s="111">
        <f t="shared" si="2"/>
        <v>0</v>
      </c>
      <c r="AV16" s="111">
        <f t="shared" si="2"/>
        <v>0</v>
      </c>
      <c r="AW16" s="111">
        <f t="shared" si="2"/>
        <v>0</v>
      </c>
      <c r="AX16" s="111">
        <f t="shared" si="2"/>
        <v>0</v>
      </c>
      <c r="AY16" s="111">
        <f t="shared" si="2"/>
        <v>0</v>
      </c>
      <c r="AZ16" s="133"/>
    </row>
    <row r="17" spans="1:52" x14ac:dyDescent="0.25">
      <c r="A17" s="130"/>
      <c r="B17" s="137" t="s">
        <v>295</v>
      </c>
      <c r="C17" s="130"/>
      <c r="D17" s="119">
        <f>IF(C$20="Yes",C16,0)</f>
        <v>0</v>
      </c>
      <c r="E17" s="119">
        <f t="shared" si="2"/>
        <v>0</v>
      </c>
      <c r="F17" s="119">
        <f t="shared" si="2"/>
        <v>0</v>
      </c>
      <c r="G17" s="119">
        <f t="shared" si="2"/>
        <v>0</v>
      </c>
      <c r="H17" s="119">
        <f t="shared" si="2"/>
        <v>0</v>
      </c>
      <c r="I17" s="119">
        <f t="shared" si="2"/>
        <v>0</v>
      </c>
      <c r="J17" s="119">
        <f t="shared" si="2"/>
        <v>0</v>
      </c>
      <c r="K17" s="119">
        <f t="shared" si="2"/>
        <v>0</v>
      </c>
      <c r="L17" s="119">
        <f t="shared" si="2"/>
        <v>0</v>
      </c>
      <c r="M17" s="119">
        <f t="shared" si="2"/>
        <v>0</v>
      </c>
      <c r="N17" s="119">
        <f t="shared" si="2"/>
        <v>0</v>
      </c>
      <c r="O17" s="119">
        <f t="shared" si="2"/>
        <v>0</v>
      </c>
      <c r="P17" s="119">
        <f t="shared" si="2"/>
        <v>0</v>
      </c>
      <c r="Q17" s="119">
        <f t="shared" si="2"/>
        <v>0</v>
      </c>
      <c r="R17" s="119">
        <f t="shared" si="2"/>
        <v>0</v>
      </c>
      <c r="S17" s="119">
        <f t="shared" si="2"/>
        <v>0</v>
      </c>
      <c r="T17" s="119">
        <f t="shared" si="2"/>
        <v>0</v>
      </c>
      <c r="U17" s="119">
        <f t="shared" si="2"/>
        <v>0</v>
      </c>
      <c r="V17" s="119">
        <f t="shared" si="2"/>
        <v>0</v>
      </c>
      <c r="W17" s="119">
        <f t="shared" si="2"/>
        <v>0</v>
      </c>
      <c r="X17" s="119">
        <f t="shared" si="2"/>
        <v>0</v>
      </c>
      <c r="Y17" s="119">
        <f t="shared" si="2"/>
        <v>0</v>
      </c>
      <c r="Z17" s="119">
        <f t="shared" si="2"/>
        <v>0</v>
      </c>
      <c r="AA17" s="119">
        <f t="shared" si="2"/>
        <v>0</v>
      </c>
      <c r="AB17" s="119">
        <f t="shared" si="2"/>
        <v>0</v>
      </c>
      <c r="AC17" s="119">
        <f t="shared" si="2"/>
        <v>0</v>
      </c>
      <c r="AD17" s="119">
        <f t="shared" si="2"/>
        <v>0</v>
      </c>
      <c r="AE17" s="119">
        <f t="shared" si="2"/>
        <v>0</v>
      </c>
      <c r="AF17" s="119">
        <f t="shared" si="2"/>
        <v>0</v>
      </c>
      <c r="AG17" s="119">
        <f t="shared" si="2"/>
        <v>0</v>
      </c>
      <c r="AH17" s="119">
        <f t="shared" si="2"/>
        <v>0</v>
      </c>
      <c r="AI17" s="119">
        <f t="shared" si="2"/>
        <v>0</v>
      </c>
      <c r="AJ17" s="119">
        <f t="shared" si="2"/>
        <v>0</v>
      </c>
      <c r="AK17" s="119">
        <f t="shared" si="2"/>
        <v>0</v>
      </c>
      <c r="AL17" s="119">
        <f t="shared" si="2"/>
        <v>0</v>
      </c>
      <c r="AM17" s="119">
        <f t="shared" si="2"/>
        <v>0</v>
      </c>
      <c r="AN17" s="119">
        <f t="shared" si="2"/>
        <v>0</v>
      </c>
      <c r="AO17" s="119">
        <f t="shared" si="2"/>
        <v>0</v>
      </c>
      <c r="AP17" s="119">
        <f t="shared" si="2"/>
        <v>0</v>
      </c>
      <c r="AQ17" s="119">
        <f t="shared" si="2"/>
        <v>0</v>
      </c>
      <c r="AR17" s="119">
        <f t="shared" si="2"/>
        <v>0</v>
      </c>
      <c r="AS17" s="119">
        <f t="shared" si="2"/>
        <v>0</v>
      </c>
      <c r="AT17" s="119">
        <f t="shared" si="2"/>
        <v>0</v>
      </c>
      <c r="AU17" s="119">
        <f t="shared" si="2"/>
        <v>0</v>
      </c>
      <c r="AV17" s="119">
        <f t="shared" si="2"/>
        <v>0</v>
      </c>
      <c r="AW17" s="119">
        <f t="shared" si="2"/>
        <v>0</v>
      </c>
      <c r="AX17" s="119">
        <f t="shared" si="2"/>
        <v>0</v>
      </c>
      <c r="AY17" s="119">
        <f t="shared" si="2"/>
        <v>0</v>
      </c>
      <c r="AZ17" s="156">
        <f>SUM($D$17:$AY$17)</f>
        <v>0</v>
      </c>
    </row>
    <row r="18" spans="1:52" x14ac:dyDescent="0.25">
      <c r="A18" s="111"/>
      <c r="B18" s="158"/>
      <c r="C18" s="143"/>
      <c r="D18" s="143"/>
      <c r="E18" s="143"/>
      <c r="F18" s="143"/>
      <c r="G18" s="143"/>
      <c r="H18" s="143"/>
      <c r="I18" s="143"/>
      <c r="J18" s="143"/>
      <c r="K18" s="143"/>
      <c r="L18" s="143"/>
      <c r="M18" s="143"/>
      <c r="N18" s="143"/>
      <c r="O18" s="143"/>
      <c r="P18" s="143"/>
      <c r="Q18" s="143"/>
      <c r="R18" s="143"/>
      <c r="S18" s="143"/>
      <c r="T18" s="143"/>
      <c r="U18" s="143"/>
      <c r="V18" s="143"/>
      <c r="W18" s="143"/>
      <c r="X18" s="143"/>
      <c r="Y18" s="143"/>
      <c r="Z18" s="143"/>
      <c r="AA18" s="143"/>
      <c r="AB18" s="143"/>
      <c r="AC18" s="143"/>
      <c r="AD18" s="143"/>
      <c r="AE18" s="143"/>
      <c r="AF18" s="143"/>
      <c r="AG18" s="143"/>
      <c r="AH18" s="143"/>
      <c r="AI18" s="143"/>
      <c r="AJ18" s="143"/>
      <c r="AK18" s="143"/>
      <c r="AL18" s="143"/>
      <c r="AM18" s="143"/>
      <c r="AN18" s="143"/>
      <c r="AO18" s="143"/>
      <c r="AP18" s="143"/>
      <c r="AQ18" s="143"/>
      <c r="AR18" s="143"/>
      <c r="AS18" s="143"/>
      <c r="AT18" s="143"/>
      <c r="AU18" s="143"/>
      <c r="AV18" s="143"/>
      <c r="AW18" s="143"/>
      <c r="AX18" s="143"/>
      <c r="AY18" s="143"/>
      <c r="AZ18" s="111"/>
    </row>
    <row r="19" spans="1:52" x14ac:dyDescent="0.25">
      <c r="A19" s="107" t="s">
        <v>116</v>
      </c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1"/>
      <c r="O19" s="111"/>
      <c r="P19" s="111"/>
      <c r="Q19" s="111"/>
      <c r="R19" s="111"/>
      <c r="S19" s="111"/>
      <c r="T19" s="111"/>
      <c r="U19" s="111"/>
      <c r="V19" s="111"/>
      <c r="W19" s="111"/>
      <c r="X19" s="111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11"/>
      <c r="AJ19" s="111"/>
      <c r="AK19" s="111"/>
      <c r="AL19" s="111"/>
      <c r="AM19" s="111"/>
      <c r="AN19" s="111"/>
      <c r="AO19" s="111"/>
      <c r="AP19" s="111"/>
      <c r="AQ19" s="111"/>
      <c r="AR19" s="111"/>
      <c r="AS19" s="111"/>
      <c r="AT19" s="111"/>
      <c r="AU19" s="111"/>
      <c r="AV19" s="111"/>
      <c r="AW19" s="111"/>
      <c r="AX19" s="111"/>
      <c r="AY19" s="111"/>
    </row>
    <row r="20" spans="1:52" s="115" customFormat="1" x14ac:dyDescent="0.25">
      <c r="A20" s="120" t="s">
        <v>304</v>
      </c>
      <c r="B20" s="159" t="s">
        <v>305</v>
      </c>
      <c r="C20" s="122"/>
      <c r="D20" s="122"/>
      <c r="E20" s="122"/>
      <c r="F20" s="122"/>
      <c r="G20" s="122"/>
      <c r="H20" s="122"/>
      <c r="I20" s="122"/>
      <c r="J20" s="122"/>
      <c r="K20" s="122"/>
      <c r="L20" s="122"/>
      <c r="M20" s="122"/>
      <c r="N20" s="122"/>
      <c r="O20" s="122"/>
      <c r="P20" s="122"/>
      <c r="Q20" s="122"/>
      <c r="R20" s="122"/>
      <c r="S20" s="122"/>
      <c r="T20" s="122"/>
      <c r="U20" s="122"/>
      <c r="V20" s="122"/>
      <c r="W20" s="122"/>
      <c r="X20" s="122"/>
      <c r="Y20" s="122"/>
      <c r="Z20" s="122"/>
      <c r="AA20" s="122"/>
      <c r="AB20" s="122"/>
      <c r="AC20" s="122"/>
      <c r="AD20" s="122"/>
      <c r="AE20" s="122"/>
      <c r="AF20" s="122"/>
      <c r="AG20" s="122"/>
      <c r="AH20" s="122"/>
      <c r="AI20" s="122"/>
      <c r="AJ20" s="122"/>
      <c r="AK20" s="122"/>
      <c r="AL20" s="122"/>
      <c r="AM20" s="122"/>
      <c r="AN20" s="122" t="s">
        <v>338</v>
      </c>
      <c r="AO20" s="122"/>
      <c r="AP20" s="122"/>
      <c r="AQ20" s="122" t="s">
        <v>338</v>
      </c>
      <c r="AR20" s="122"/>
      <c r="AS20" s="122"/>
      <c r="AT20" s="122"/>
      <c r="AU20" s="122"/>
      <c r="AV20" s="122"/>
      <c r="AW20" s="122"/>
      <c r="AX20" s="122"/>
      <c r="AY20" s="122"/>
      <c r="AZ20" s="112"/>
    </row>
    <row r="21" spans="1:52" s="115" customFormat="1" x14ac:dyDescent="0.25">
      <c r="A21" s="160" t="s">
        <v>133</v>
      </c>
      <c r="B21" s="161">
        <f>shipping_manufacturing!$C$19/100</f>
        <v>0.45</v>
      </c>
      <c r="C21" s="161" t="s">
        <v>292</v>
      </c>
      <c r="D21" s="111">
        <f>IF(C$20="Yes",0,SUM(C$13:C$16)*$B$21)</f>
        <v>0</v>
      </c>
      <c r="E21" s="111">
        <f t="shared" ref="E21:AY21" si="3">IF(D$20="Yes",0,SUM(D$13:D$16)*$B$21)</f>
        <v>155.25</v>
      </c>
      <c r="F21" s="111">
        <f t="shared" si="3"/>
        <v>155.25</v>
      </c>
      <c r="G21" s="111">
        <f t="shared" si="3"/>
        <v>155.25</v>
      </c>
      <c r="H21" s="111">
        <f t="shared" si="3"/>
        <v>155.25</v>
      </c>
      <c r="I21" s="111">
        <f t="shared" si="3"/>
        <v>155.25</v>
      </c>
      <c r="J21" s="111">
        <f t="shared" si="3"/>
        <v>155.25</v>
      </c>
      <c r="K21" s="111">
        <f t="shared" si="3"/>
        <v>155.25</v>
      </c>
      <c r="L21" s="111">
        <f t="shared" si="3"/>
        <v>155.25</v>
      </c>
      <c r="M21" s="111">
        <f t="shared" si="3"/>
        <v>155.25</v>
      </c>
      <c r="N21" s="111">
        <f t="shared" si="3"/>
        <v>155.25</v>
      </c>
      <c r="O21" s="111">
        <f t="shared" si="3"/>
        <v>155.25</v>
      </c>
      <c r="P21" s="111">
        <f t="shared" si="3"/>
        <v>155.25</v>
      </c>
      <c r="Q21" s="111">
        <f t="shared" si="3"/>
        <v>155.25</v>
      </c>
      <c r="R21" s="111">
        <f t="shared" si="3"/>
        <v>155.25</v>
      </c>
      <c r="S21" s="111">
        <f t="shared" si="3"/>
        <v>155.25</v>
      </c>
      <c r="T21" s="111">
        <f t="shared" si="3"/>
        <v>155.25</v>
      </c>
      <c r="U21" s="111">
        <f t="shared" si="3"/>
        <v>155.25</v>
      </c>
      <c r="V21" s="111">
        <f t="shared" si="3"/>
        <v>155.25</v>
      </c>
      <c r="W21" s="111">
        <f t="shared" si="3"/>
        <v>155.25</v>
      </c>
      <c r="X21" s="111">
        <f t="shared" si="3"/>
        <v>155.25</v>
      </c>
      <c r="Y21" s="111">
        <f t="shared" si="3"/>
        <v>155.25</v>
      </c>
      <c r="Z21" s="111">
        <f t="shared" si="3"/>
        <v>155.25</v>
      </c>
      <c r="AA21" s="111">
        <f t="shared" si="3"/>
        <v>155.25</v>
      </c>
      <c r="AB21" s="111">
        <f t="shared" si="3"/>
        <v>155.25</v>
      </c>
      <c r="AC21" s="111">
        <f t="shared" si="3"/>
        <v>155.25</v>
      </c>
      <c r="AD21" s="111">
        <f t="shared" si="3"/>
        <v>155.25</v>
      </c>
      <c r="AE21" s="111">
        <f t="shared" si="3"/>
        <v>155.25</v>
      </c>
      <c r="AF21" s="111">
        <f t="shared" si="3"/>
        <v>155.25</v>
      </c>
      <c r="AG21" s="111">
        <f t="shared" si="3"/>
        <v>155.25</v>
      </c>
      <c r="AH21" s="111">
        <f t="shared" si="3"/>
        <v>155.25</v>
      </c>
      <c r="AI21" s="111">
        <f t="shared" si="3"/>
        <v>155.25</v>
      </c>
      <c r="AJ21" s="111">
        <f t="shared" si="3"/>
        <v>155.25</v>
      </c>
      <c r="AK21" s="111">
        <f t="shared" si="3"/>
        <v>155.25</v>
      </c>
      <c r="AL21" s="111">
        <f t="shared" si="3"/>
        <v>155.25</v>
      </c>
      <c r="AM21" s="111">
        <f t="shared" si="3"/>
        <v>155.25</v>
      </c>
      <c r="AN21" s="111">
        <f t="shared" si="3"/>
        <v>155.25</v>
      </c>
      <c r="AO21" s="111">
        <f t="shared" si="3"/>
        <v>0</v>
      </c>
      <c r="AP21" s="111">
        <f t="shared" si="3"/>
        <v>155.25</v>
      </c>
      <c r="AQ21" s="111">
        <f t="shared" si="3"/>
        <v>155.25</v>
      </c>
      <c r="AR21" s="111">
        <f t="shared" si="3"/>
        <v>0</v>
      </c>
      <c r="AS21" s="111">
        <f t="shared" si="3"/>
        <v>155.25</v>
      </c>
      <c r="AT21" s="111">
        <f t="shared" si="3"/>
        <v>155.25</v>
      </c>
      <c r="AU21" s="111">
        <f t="shared" si="3"/>
        <v>155.25</v>
      </c>
      <c r="AV21" s="111">
        <f t="shared" si="3"/>
        <v>155.25</v>
      </c>
      <c r="AW21" s="111">
        <f t="shared" si="3"/>
        <v>155.25</v>
      </c>
      <c r="AX21" s="111">
        <f t="shared" si="3"/>
        <v>155.25</v>
      </c>
      <c r="AY21" s="111">
        <f t="shared" si="3"/>
        <v>155.25</v>
      </c>
      <c r="AZ21" s="162">
        <f>SUM($D21:$AY21)</f>
        <v>6986.25</v>
      </c>
    </row>
    <row r="22" spans="1:52" s="115" customFormat="1" x14ac:dyDescent="0.25">
      <c r="A22" s="163" t="s">
        <v>123</v>
      </c>
      <c r="B22" s="164">
        <f>1-$B$21</f>
        <v>0.55000000000000004</v>
      </c>
      <c r="C22" s="164" t="s">
        <v>292</v>
      </c>
      <c r="D22" s="119">
        <f>IF(C$20="Yes",0,SUM(C$13:C$16)*$B$22)</f>
        <v>0</v>
      </c>
      <c r="E22" s="119">
        <f t="shared" ref="E22:AY22" si="4">IF(D$20="Yes",0,SUM(D$13:D$16)*$B$22)</f>
        <v>189.75000000000003</v>
      </c>
      <c r="F22" s="119">
        <f t="shared" si="4"/>
        <v>189.75000000000003</v>
      </c>
      <c r="G22" s="119">
        <f t="shared" si="4"/>
        <v>189.75000000000003</v>
      </c>
      <c r="H22" s="119">
        <f t="shared" si="4"/>
        <v>189.75000000000003</v>
      </c>
      <c r="I22" s="119">
        <f t="shared" si="4"/>
        <v>189.75000000000003</v>
      </c>
      <c r="J22" s="119">
        <f t="shared" si="4"/>
        <v>189.75000000000003</v>
      </c>
      <c r="K22" s="119">
        <f t="shared" si="4"/>
        <v>189.75000000000003</v>
      </c>
      <c r="L22" s="119">
        <f t="shared" si="4"/>
        <v>189.75000000000003</v>
      </c>
      <c r="M22" s="119">
        <f t="shared" si="4"/>
        <v>189.75000000000003</v>
      </c>
      <c r="N22" s="119">
        <f t="shared" si="4"/>
        <v>189.75000000000003</v>
      </c>
      <c r="O22" s="119">
        <f t="shared" si="4"/>
        <v>189.75000000000003</v>
      </c>
      <c r="P22" s="119">
        <f t="shared" si="4"/>
        <v>189.75000000000003</v>
      </c>
      <c r="Q22" s="119">
        <f t="shared" si="4"/>
        <v>189.75000000000003</v>
      </c>
      <c r="R22" s="119">
        <f t="shared" si="4"/>
        <v>189.75000000000003</v>
      </c>
      <c r="S22" s="119">
        <f t="shared" si="4"/>
        <v>189.75000000000003</v>
      </c>
      <c r="T22" s="119">
        <f t="shared" si="4"/>
        <v>189.75000000000003</v>
      </c>
      <c r="U22" s="119">
        <f t="shared" si="4"/>
        <v>189.75000000000003</v>
      </c>
      <c r="V22" s="119">
        <f t="shared" si="4"/>
        <v>189.75000000000003</v>
      </c>
      <c r="W22" s="119">
        <f t="shared" si="4"/>
        <v>189.75000000000003</v>
      </c>
      <c r="X22" s="119">
        <f t="shared" si="4"/>
        <v>189.75000000000003</v>
      </c>
      <c r="Y22" s="119">
        <f t="shared" si="4"/>
        <v>189.75000000000003</v>
      </c>
      <c r="Z22" s="119">
        <f t="shared" si="4"/>
        <v>189.75000000000003</v>
      </c>
      <c r="AA22" s="119">
        <f t="shared" si="4"/>
        <v>189.75000000000003</v>
      </c>
      <c r="AB22" s="119">
        <f t="shared" si="4"/>
        <v>189.75000000000003</v>
      </c>
      <c r="AC22" s="119">
        <f t="shared" si="4"/>
        <v>189.75000000000003</v>
      </c>
      <c r="AD22" s="119">
        <f t="shared" si="4"/>
        <v>189.75000000000003</v>
      </c>
      <c r="AE22" s="119">
        <f t="shared" si="4"/>
        <v>189.75000000000003</v>
      </c>
      <c r="AF22" s="119">
        <f t="shared" si="4"/>
        <v>189.75000000000003</v>
      </c>
      <c r="AG22" s="119">
        <f t="shared" si="4"/>
        <v>189.75000000000003</v>
      </c>
      <c r="AH22" s="119">
        <f t="shared" si="4"/>
        <v>189.75000000000003</v>
      </c>
      <c r="AI22" s="119">
        <f t="shared" si="4"/>
        <v>189.75000000000003</v>
      </c>
      <c r="AJ22" s="119">
        <f t="shared" si="4"/>
        <v>189.75000000000003</v>
      </c>
      <c r="AK22" s="119">
        <f t="shared" si="4"/>
        <v>189.75000000000003</v>
      </c>
      <c r="AL22" s="119">
        <f t="shared" si="4"/>
        <v>189.75000000000003</v>
      </c>
      <c r="AM22" s="119">
        <f t="shared" si="4"/>
        <v>189.75000000000003</v>
      </c>
      <c r="AN22" s="119">
        <f t="shared" si="4"/>
        <v>189.75000000000003</v>
      </c>
      <c r="AO22" s="119">
        <f t="shared" si="4"/>
        <v>0</v>
      </c>
      <c r="AP22" s="119">
        <f t="shared" si="4"/>
        <v>189.75000000000003</v>
      </c>
      <c r="AQ22" s="119">
        <f t="shared" si="4"/>
        <v>189.75000000000003</v>
      </c>
      <c r="AR22" s="119">
        <f t="shared" si="4"/>
        <v>0</v>
      </c>
      <c r="AS22" s="119">
        <f t="shared" si="4"/>
        <v>189.75000000000003</v>
      </c>
      <c r="AT22" s="119">
        <f t="shared" si="4"/>
        <v>189.75000000000003</v>
      </c>
      <c r="AU22" s="119">
        <f t="shared" si="4"/>
        <v>189.75000000000003</v>
      </c>
      <c r="AV22" s="119">
        <f t="shared" si="4"/>
        <v>189.75000000000003</v>
      </c>
      <c r="AW22" s="119">
        <f t="shared" si="4"/>
        <v>189.75000000000003</v>
      </c>
      <c r="AX22" s="119">
        <f t="shared" si="4"/>
        <v>189.75000000000003</v>
      </c>
      <c r="AY22" s="119">
        <f t="shared" si="4"/>
        <v>189.75000000000003</v>
      </c>
      <c r="AZ22" s="146">
        <f t="shared" ref="AZ22:AZ30" si="5">SUM($D22:$AY22)</f>
        <v>8538.7500000000018</v>
      </c>
    </row>
    <row r="23" spans="1:52" x14ac:dyDescent="0.25">
      <c r="A23" s="165" t="s">
        <v>306</v>
      </c>
      <c r="B23" s="129">
        <v>2000</v>
      </c>
      <c r="C23" s="105" t="s">
        <v>292</v>
      </c>
      <c r="D23" s="105">
        <f>D$21*$B$23</f>
        <v>0</v>
      </c>
      <c r="E23" s="105">
        <f t="shared" ref="E23:AY23" si="6">E$21*$B$23</f>
        <v>310500</v>
      </c>
      <c r="F23" s="105">
        <f t="shared" si="6"/>
        <v>310500</v>
      </c>
      <c r="G23" s="105">
        <f t="shared" si="6"/>
        <v>310500</v>
      </c>
      <c r="H23" s="105">
        <f t="shared" si="6"/>
        <v>310500</v>
      </c>
      <c r="I23" s="105">
        <f t="shared" si="6"/>
        <v>310500</v>
      </c>
      <c r="J23" s="105">
        <f t="shared" si="6"/>
        <v>310500</v>
      </c>
      <c r="K23" s="105">
        <f t="shared" si="6"/>
        <v>310500</v>
      </c>
      <c r="L23" s="105">
        <f t="shared" si="6"/>
        <v>310500</v>
      </c>
      <c r="M23" s="105">
        <f t="shared" si="6"/>
        <v>310500</v>
      </c>
      <c r="N23" s="105">
        <f t="shared" si="6"/>
        <v>310500</v>
      </c>
      <c r="O23" s="105">
        <f t="shared" si="6"/>
        <v>310500</v>
      </c>
      <c r="P23" s="105">
        <f t="shared" si="6"/>
        <v>310500</v>
      </c>
      <c r="Q23" s="105">
        <f t="shared" si="6"/>
        <v>310500</v>
      </c>
      <c r="R23" s="105">
        <f t="shared" si="6"/>
        <v>310500</v>
      </c>
      <c r="S23" s="105">
        <f t="shared" si="6"/>
        <v>310500</v>
      </c>
      <c r="T23" s="105">
        <f t="shared" si="6"/>
        <v>310500</v>
      </c>
      <c r="U23" s="105">
        <f t="shared" si="6"/>
        <v>310500</v>
      </c>
      <c r="V23" s="105">
        <f t="shared" si="6"/>
        <v>310500</v>
      </c>
      <c r="W23" s="105">
        <f t="shared" si="6"/>
        <v>310500</v>
      </c>
      <c r="X23" s="105">
        <f t="shared" si="6"/>
        <v>310500</v>
      </c>
      <c r="Y23" s="105">
        <f t="shared" si="6"/>
        <v>310500</v>
      </c>
      <c r="Z23" s="105">
        <f t="shared" si="6"/>
        <v>310500</v>
      </c>
      <c r="AA23" s="105">
        <f t="shared" si="6"/>
        <v>310500</v>
      </c>
      <c r="AB23" s="105">
        <f t="shared" si="6"/>
        <v>310500</v>
      </c>
      <c r="AC23" s="105">
        <f t="shared" si="6"/>
        <v>310500</v>
      </c>
      <c r="AD23" s="105">
        <f t="shared" si="6"/>
        <v>310500</v>
      </c>
      <c r="AE23" s="105">
        <f t="shared" si="6"/>
        <v>310500</v>
      </c>
      <c r="AF23" s="105">
        <f t="shared" si="6"/>
        <v>310500</v>
      </c>
      <c r="AG23" s="105">
        <f t="shared" si="6"/>
        <v>310500</v>
      </c>
      <c r="AH23" s="105">
        <f t="shared" si="6"/>
        <v>310500</v>
      </c>
      <c r="AI23" s="105">
        <f t="shared" si="6"/>
        <v>310500</v>
      </c>
      <c r="AJ23" s="105">
        <f t="shared" si="6"/>
        <v>310500</v>
      </c>
      <c r="AK23" s="105">
        <f t="shared" si="6"/>
        <v>310500</v>
      </c>
      <c r="AL23" s="105">
        <f t="shared" si="6"/>
        <v>310500</v>
      </c>
      <c r="AM23" s="105">
        <f t="shared" si="6"/>
        <v>310500</v>
      </c>
      <c r="AN23" s="105">
        <f t="shared" si="6"/>
        <v>310500</v>
      </c>
      <c r="AO23" s="105">
        <f t="shared" si="6"/>
        <v>0</v>
      </c>
      <c r="AP23" s="105">
        <f t="shared" si="6"/>
        <v>310500</v>
      </c>
      <c r="AQ23" s="105">
        <f t="shared" si="6"/>
        <v>310500</v>
      </c>
      <c r="AR23" s="105">
        <f t="shared" si="6"/>
        <v>0</v>
      </c>
      <c r="AS23" s="105">
        <f t="shared" si="6"/>
        <v>310500</v>
      </c>
      <c r="AT23" s="105">
        <f t="shared" si="6"/>
        <v>310500</v>
      </c>
      <c r="AU23" s="105">
        <f t="shared" si="6"/>
        <v>310500</v>
      </c>
      <c r="AV23" s="105">
        <f t="shared" si="6"/>
        <v>310500</v>
      </c>
      <c r="AW23" s="105">
        <f t="shared" si="6"/>
        <v>310500</v>
      </c>
      <c r="AX23" s="105">
        <f t="shared" si="6"/>
        <v>310500</v>
      </c>
      <c r="AY23" s="105">
        <f t="shared" si="6"/>
        <v>310500</v>
      </c>
      <c r="AZ23" s="144">
        <f t="shared" si="5"/>
        <v>13972500</v>
      </c>
    </row>
    <row r="24" spans="1:52" s="115" customFormat="1" x14ac:dyDescent="0.25">
      <c r="A24" s="166" t="s">
        <v>307</v>
      </c>
      <c r="B24" s="167">
        <v>1000</v>
      </c>
      <c r="C24" s="161" t="s">
        <v>292</v>
      </c>
      <c r="D24" s="111">
        <f>D$22*$B$24</f>
        <v>0</v>
      </c>
      <c r="E24" s="111">
        <f t="shared" ref="E24:AY24" si="7">E$22*$B$24</f>
        <v>189750.00000000003</v>
      </c>
      <c r="F24" s="111">
        <f t="shared" si="7"/>
        <v>189750.00000000003</v>
      </c>
      <c r="G24" s="111">
        <f t="shared" si="7"/>
        <v>189750.00000000003</v>
      </c>
      <c r="H24" s="111">
        <f t="shared" si="7"/>
        <v>189750.00000000003</v>
      </c>
      <c r="I24" s="111">
        <f t="shared" si="7"/>
        <v>189750.00000000003</v>
      </c>
      <c r="J24" s="111">
        <f t="shared" si="7"/>
        <v>189750.00000000003</v>
      </c>
      <c r="K24" s="111">
        <f t="shared" si="7"/>
        <v>189750.00000000003</v>
      </c>
      <c r="L24" s="111">
        <f t="shared" si="7"/>
        <v>189750.00000000003</v>
      </c>
      <c r="M24" s="111">
        <f t="shared" si="7"/>
        <v>189750.00000000003</v>
      </c>
      <c r="N24" s="111">
        <f t="shared" si="7"/>
        <v>189750.00000000003</v>
      </c>
      <c r="O24" s="111">
        <f t="shared" si="7"/>
        <v>189750.00000000003</v>
      </c>
      <c r="P24" s="111">
        <f t="shared" si="7"/>
        <v>189750.00000000003</v>
      </c>
      <c r="Q24" s="111">
        <f t="shared" si="7"/>
        <v>189750.00000000003</v>
      </c>
      <c r="R24" s="111">
        <f t="shared" si="7"/>
        <v>189750.00000000003</v>
      </c>
      <c r="S24" s="111">
        <f t="shared" si="7"/>
        <v>189750.00000000003</v>
      </c>
      <c r="T24" s="111">
        <f t="shared" si="7"/>
        <v>189750.00000000003</v>
      </c>
      <c r="U24" s="111">
        <f t="shared" si="7"/>
        <v>189750.00000000003</v>
      </c>
      <c r="V24" s="111">
        <f t="shared" si="7"/>
        <v>189750.00000000003</v>
      </c>
      <c r="W24" s="111">
        <f t="shared" si="7"/>
        <v>189750.00000000003</v>
      </c>
      <c r="X24" s="111">
        <f t="shared" si="7"/>
        <v>189750.00000000003</v>
      </c>
      <c r="Y24" s="111">
        <f t="shared" si="7"/>
        <v>189750.00000000003</v>
      </c>
      <c r="Z24" s="111">
        <f t="shared" si="7"/>
        <v>189750.00000000003</v>
      </c>
      <c r="AA24" s="111">
        <f t="shared" si="7"/>
        <v>189750.00000000003</v>
      </c>
      <c r="AB24" s="111">
        <f t="shared" si="7"/>
        <v>189750.00000000003</v>
      </c>
      <c r="AC24" s="111">
        <f t="shared" si="7"/>
        <v>189750.00000000003</v>
      </c>
      <c r="AD24" s="111">
        <f t="shared" si="7"/>
        <v>189750.00000000003</v>
      </c>
      <c r="AE24" s="111">
        <f t="shared" si="7"/>
        <v>189750.00000000003</v>
      </c>
      <c r="AF24" s="111">
        <f t="shared" si="7"/>
        <v>189750.00000000003</v>
      </c>
      <c r="AG24" s="111">
        <f t="shared" si="7"/>
        <v>189750.00000000003</v>
      </c>
      <c r="AH24" s="111">
        <f t="shared" si="7"/>
        <v>189750.00000000003</v>
      </c>
      <c r="AI24" s="111">
        <f t="shared" si="7"/>
        <v>189750.00000000003</v>
      </c>
      <c r="AJ24" s="111">
        <f t="shared" si="7"/>
        <v>189750.00000000003</v>
      </c>
      <c r="AK24" s="111">
        <f t="shared" si="7"/>
        <v>189750.00000000003</v>
      </c>
      <c r="AL24" s="111">
        <f t="shared" si="7"/>
        <v>189750.00000000003</v>
      </c>
      <c r="AM24" s="111">
        <f t="shared" si="7"/>
        <v>189750.00000000003</v>
      </c>
      <c r="AN24" s="111">
        <f t="shared" si="7"/>
        <v>189750.00000000003</v>
      </c>
      <c r="AO24" s="111">
        <f t="shared" si="7"/>
        <v>0</v>
      </c>
      <c r="AP24" s="111">
        <f t="shared" si="7"/>
        <v>189750.00000000003</v>
      </c>
      <c r="AQ24" s="111">
        <f t="shared" si="7"/>
        <v>189750.00000000003</v>
      </c>
      <c r="AR24" s="111">
        <f t="shared" si="7"/>
        <v>0</v>
      </c>
      <c r="AS24" s="111">
        <f t="shared" si="7"/>
        <v>189750.00000000003</v>
      </c>
      <c r="AT24" s="111">
        <f t="shared" si="7"/>
        <v>189750.00000000003</v>
      </c>
      <c r="AU24" s="111">
        <f t="shared" si="7"/>
        <v>189750.00000000003</v>
      </c>
      <c r="AV24" s="111">
        <f t="shared" si="7"/>
        <v>189750.00000000003</v>
      </c>
      <c r="AW24" s="111">
        <f t="shared" si="7"/>
        <v>189750.00000000003</v>
      </c>
      <c r="AX24" s="111">
        <f t="shared" si="7"/>
        <v>189750.00000000003</v>
      </c>
      <c r="AY24" s="111">
        <f t="shared" si="7"/>
        <v>189750.00000000003</v>
      </c>
      <c r="AZ24" s="146">
        <f t="shared" si="5"/>
        <v>8538750.0000000019</v>
      </c>
    </row>
    <row r="25" spans="1:52" x14ac:dyDescent="0.25">
      <c r="C25" s="143"/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3"/>
      <c r="Q25" s="143"/>
      <c r="R25" s="143"/>
      <c r="S25" s="143"/>
      <c r="T25" s="143"/>
      <c r="U25" s="143"/>
      <c r="V25" s="143"/>
      <c r="W25" s="143"/>
      <c r="X25" s="143"/>
      <c r="Y25" s="143"/>
      <c r="Z25" s="143"/>
      <c r="AA25" s="143"/>
      <c r="AB25" s="143"/>
      <c r="AC25" s="143"/>
      <c r="AD25" s="143"/>
      <c r="AE25" s="143"/>
      <c r="AF25" s="143"/>
      <c r="AG25" s="143"/>
      <c r="AH25" s="143"/>
      <c r="AI25" s="143"/>
      <c r="AJ25" s="143"/>
      <c r="AK25" s="143"/>
      <c r="AL25" s="143"/>
      <c r="AM25" s="143"/>
      <c r="AN25" s="143"/>
      <c r="AO25" s="143"/>
      <c r="AP25" s="143"/>
      <c r="AQ25" s="143"/>
      <c r="AR25" s="143"/>
      <c r="AS25" s="143"/>
      <c r="AT25" s="143"/>
      <c r="AU25" s="143"/>
      <c r="AV25" s="143"/>
      <c r="AW25" s="143"/>
      <c r="AX25" s="143"/>
      <c r="AY25" s="143"/>
      <c r="AZ25" s="111"/>
    </row>
    <row r="26" spans="1:52" x14ac:dyDescent="0.25">
      <c r="A26" s="168" t="s">
        <v>18</v>
      </c>
      <c r="C26" s="111"/>
      <c r="D26" s="111"/>
      <c r="E26" s="111"/>
      <c r="F26" s="111"/>
      <c r="G26" s="111"/>
      <c r="H26" s="111"/>
      <c r="I26" s="111"/>
      <c r="J26" s="111"/>
      <c r="K26" s="111"/>
      <c r="L26" s="111"/>
      <c r="M26" s="111"/>
      <c r="N26" s="111"/>
      <c r="O26" s="111"/>
      <c r="P26" s="111"/>
      <c r="Q26" s="111"/>
      <c r="R26" s="111"/>
      <c r="S26" s="111"/>
      <c r="T26" s="111"/>
      <c r="U26" s="111"/>
      <c r="V26" s="111"/>
      <c r="W26" s="111"/>
      <c r="X26" s="111"/>
      <c r="Y26" s="111"/>
      <c r="Z26" s="111"/>
      <c r="AA26" s="111"/>
      <c r="AB26" s="111"/>
      <c r="AC26" s="111"/>
      <c r="AD26" s="111"/>
      <c r="AE26" s="111"/>
      <c r="AF26" s="111"/>
      <c r="AG26" s="111"/>
      <c r="AH26" s="111"/>
      <c r="AI26" s="111"/>
      <c r="AJ26" s="111"/>
      <c r="AK26" s="111"/>
      <c r="AL26" s="111"/>
      <c r="AM26" s="111"/>
      <c r="AN26" s="111"/>
      <c r="AO26" s="111"/>
      <c r="AP26" s="111"/>
      <c r="AQ26" s="111"/>
      <c r="AR26" s="111"/>
      <c r="AS26" s="111"/>
      <c r="AT26" s="111"/>
      <c r="AU26" s="111"/>
      <c r="AV26" s="111"/>
      <c r="AW26" s="111"/>
      <c r="AX26" s="111"/>
      <c r="AY26" s="111"/>
      <c r="AZ26" s="111"/>
    </row>
    <row r="27" spans="1:52" x14ac:dyDescent="0.25">
      <c r="B27" s="140" t="s">
        <v>308</v>
      </c>
      <c r="C27" s="129">
        <v>11</v>
      </c>
      <c r="D27" s="129">
        <f>C$27-C$28+C$29</f>
        <v>11</v>
      </c>
      <c r="E27" s="129">
        <f t="shared" ref="E27:AY27" si="8">D27-D28+D29</f>
        <v>11</v>
      </c>
      <c r="F27" s="129">
        <f t="shared" si="8"/>
        <v>0</v>
      </c>
      <c r="G27" s="129">
        <f t="shared" si="8"/>
        <v>11</v>
      </c>
      <c r="H27" s="129">
        <f t="shared" si="8"/>
        <v>0</v>
      </c>
      <c r="I27" s="129">
        <f t="shared" si="8"/>
        <v>11</v>
      </c>
      <c r="J27" s="129">
        <f t="shared" si="8"/>
        <v>0</v>
      </c>
      <c r="K27" s="129">
        <f t="shared" si="8"/>
        <v>11</v>
      </c>
      <c r="L27" s="129">
        <f t="shared" si="8"/>
        <v>0</v>
      </c>
      <c r="M27" s="129">
        <f t="shared" si="8"/>
        <v>11</v>
      </c>
      <c r="N27" s="129">
        <f t="shared" si="8"/>
        <v>0</v>
      </c>
      <c r="O27" s="129">
        <f t="shared" si="8"/>
        <v>11</v>
      </c>
      <c r="P27" s="129">
        <f t="shared" si="8"/>
        <v>0</v>
      </c>
      <c r="Q27" s="129">
        <f t="shared" si="8"/>
        <v>11</v>
      </c>
      <c r="R27" s="129">
        <f t="shared" si="8"/>
        <v>0</v>
      </c>
      <c r="S27" s="129">
        <f t="shared" si="8"/>
        <v>11</v>
      </c>
      <c r="T27" s="129">
        <f t="shared" si="8"/>
        <v>0</v>
      </c>
      <c r="U27" s="129">
        <f t="shared" si="8"/>
        <v>11</v>
      </c>
      <c r="V27" s="129">
        <f t="shared" si="8"/>
        <v>0</v>
      </c>
      <c r="W27" s="129">
        <f t="shared" si="8"/>
        <v>11</v>
      </c>
      <c r="X27" s="129">
        <f t="shared" si="8"/>
        <v>0</v>
      </c>
      <c r="Y27" s="129">
        <f t="shared" si="8"/>
        <v>11</v>
      </c>
      <c r="Z27" s="129">
        <f t="shared" si="8"/>
        <v>0</v>
      </c>
      <c r="AA27" s="129">
        <f t="shared" si="8"/>
        <v>11</v>
      </c>
      <c r="AB27" s="129">
        <f t="shared" si="8"/>
        <v>0</v>
      </c>
      <c r="AC27" s="129">
        <f t="shared" si="8"/>
        <v>11</v>
      </c>
      <c r="AD27" s="129">
        <f t="shared" si="8"/>
        <v>0</v>
      </c>
      <c r="AE27" s="129">
        <f t="shared" si="8"/>
        <v>11</v>
      </c>
      <c r="AF27" s="129">
        <f t="shared" si="8"/>
        <v>0</v>
      </c>
      <c r="AG27" s="129">
        <f t="shared" si="8"/>
        <v>11</v>
      </c>
      <c r="AH27" s="129">
        <f t="shared" si="8"/>
        <v>0</v>
      </c>
      <c r="AI27" s="129">
        <f t="shared" si="8"/>
        <v>11</v>
      </c>
      <c r="AJ27" s="129">
        <f t="shared" si="8"/>
        <v>0</v>
      </c>
      <c r="AK27" s="129">
        <f t="shared" si="8"/>
        <v>11</v>
      </c>
      <c r="AL27" s="129">
        <f t="shared" si="8"/>
        <v>0</v>
      </c>
      <c r="AM27" s="129">
        <f t="shared" si="8"/>
        <v>11</v>
      </c>
      <c r="AN27" s="129">
        <f t="shared" si="8"/>
        <v>0</v>
      </c>
      <c r="AO27" s="129">
        <f t="shared" si="8"/>
        <v>11</v>
      </c>
      <c r="AP27" s="129">
        <f t="shared" si="8"/>
        <v>11</v>
      </c>
      <c r="AQ27" s="129">
        <f t="shared" si="8"/>
        <v>0</v>
      </c>
      <c r="AR27" s="129">
        <f t="shared" si="8"/>
        <v>11</v>
      </c>
      <c r="AS27" s="129">
        <f t="shared" si="8"/>
        <v>11</v>
      </c>
      <c r="AT27" s="129">
        <f t="shared" si="8"/>
        <v>0</v>
      </c>
      <c r="AU27" s="129">
        <f t="shared" si="8"/>
        <v>11</v>
      </c>
      <c r="AV27" s="129">
        <f t="shared" si="8"/>
        <v>0</v>
      </c>
      <c r="AW27" s="129">
        <f t="shared" si="8"/>
        <v>11</v>
      </c>
      <c r="AX27" s="129">
        <f t="shared" si="8"/>
        <v>0</v>
      </c>
      <c r="AY27" s="169">
        <f t="shared" si="8"/>
        <v>11</v>
      </c>
      <c r="AZ27" s="111"/>
    </row>
    <row r="28" spans="1:52" x14ac:dyDescent="0.25">
      <c r="B28" s="170" t="s">
        <v>309</v>
      </c>
      <c r="C28" s="115"/>
      <c r="D28" s="115">
        <v>0</v>
      </c>
      <c r="E28" s="115">
        <v>11</v>
      </c>
      <c r="F28" s="115">
        <v>0</v>
      </c>
      <c r="G28" s="115">
        <v>11</v>
      </c>
      <c r="H28" s="115">
        <v>0</v>
      </c>
      <c r="I28" s="115">
        <v>11</v>
      </c>
      <c r="J28" s="115">
        <v>0</v>
      </c>
      <c r="K28" s="115">
        <v>11</v>
      </c>
      <c r="L28" s="115">
        <v>0</v>
      </c>
      <c r="M28" s="115">
        <v>11</v>
      </c>
      <c r="N28" s="115">
        <v>0</v>
      </c>
      <c r="O28" s="115">
        <v>11</v>
      </c>
      <c r="P28" s="115">
        <v>0</v>
      </c>
      <c r="Q28" s="115">
        <v>11</v>
      </c>
      <c r="R28" s="115">
        <v>0</v>
      </c>
      <c r="S28" s="115">
        <v>11</v>
      </c>
      <c r="T28" s="115">
        <v>0</v>
      </c>
      <c r="U28" s="115">
        <v>11</v>
      </c>
      <c r="V28" s="115">
        <v>0</v>
      </c>
      <c r="W28" s="115">
        <v>11</v>
      </c>
      <c r="X28" s="115">
        <v>0</v>
      </c>
      <c r="Y28" s="115">
        <v>11</v>
      </c>
      <c r="Z28" s="115">
        <v>0</v>
      </c>
      <c r="AA28" s="115">
        <v>11</v>
      </c>
      <c r="AB28" s="115">
        <v>0</v>
      </c>
      <c r="AC28" s="115">
        <v>11</v>
      </c>
      <c r="AD28" s="115">
        <v>0</v>
      </c>
      <c r="AE28" s="115">
        <v>11</v>
      </c>
      <c r="AF28" s="115">
        <v>0</v>
      </c>
      <c r="AG28" s="115">
        <v>11</v>
      </c>
      <c r="AH28" s="115">
        <v>0</v>
      </c>
      <c r="AI28" s="115">
        <v>11</v>
      </c>
      <c r="AJ28" s="115">
        <v>0</v>
      </c>
      <c r="AK28" s="115">
        <v>11</v>
      </c>
      <c r="AL28" s="115">
        <v>0</v>
      </c>
      <c r="AM28" s="115">
        <v>11</v>
      </c>
      <c r="AN28" s="115">
        <v>0</v>
      </c>
      <c r="AO28" s="115">
        <v>0</v>
      </c>
      <c r="AP28" s="115">
        <v>11</v>
      </c>
      <c r="AQ28" s="115">
        <v>0</v>
      </c>
      <c r="AR28" s="115">
        <v>0</v>
      </c>
      <c r="AS28" s="115">
        <v>11</v>
      </c>
      <c r="AT28" s="115">
        <v>0</v>
      </c>
      <c r="AU28" s="115">
        <v>11</v>
      </c>
      <c r="AV28" s="115">
        <v>0</v>
      </c>
      <c r="AW28" s="115">
        <v>11</v>
      </c>
      <c r="AX28" s="115">
        <v>0</v>
      </c>
      <c r="AY28" s="171">
        <v>11</v>
      </c>
      <c r="AZ28" s="111"/>
    </row>
    <row r="29" spans="1:52" x14ac:dyDescent="0.25">
      <c r="B29" s="141" t="s">
        <v>310</v>
      </c>
      <c r="C29" s="130"/>
      <c r="D29" s="130">
        <f>C$28</f>
        <v>0</v>
      </c>
      <c r="E29" s="130">
        <f t="shared" ref="E29:AY29" si="9">D$28</f>
        <v>0</v>
      </c>
      <c r="F29" s="130">
        <f t="shared" si="9"/>
        <v>11</v>
      </c>
      <c r="G29" s="130">
        <f t="shared" si="9"/>
        <v>0</v>
      </c>
      <c r="H29" s="130">
        <f t="shared" si="9"/>
        <v>11</v>
      </c>
      <c r="I29" s="130">
        <f t="shared" si="9"/>
        <v>0</v>
      </c>
      <c r="J29" s="130">
        <f t="shared" si="9"/>
        <v>11</v>
      </c>
      <c r="K29" s="130">
        <f t="shared" si="9"/>
        <v>0</v>
      </c>
      <c r="L29" s="130">
        <f t="shared" si="9"/>
        <v>11</v>
      </c>
      <c r="M29" s="130">
        <f t="shared" si="9"/>
        <v>0</v>
      </c>
      <c r="N29" s="130">
        <f t="shared" si="9"/>
        <v>11</v>
      </c>
      <c r="O29" s="130">
        <f t="shared" si="9"/>
        <v>0</v>
      </c>
      <c r="P29" s="130">
        <f t="shared" si="9"/>
        <v>11</v>
      </c>
      <c r="Q29" s="130">
        <f t="shared" si="9"/>
        <v>0</v>
      </c>
      <c r="R29" s="130">
        <f t="shared" si="9"/>
        <v>11</v>
      </c>
      <c r="S29" s="130">
        <f t="shared" si="9"/>
        <v>0</v>
      </c>
      <c r="T29" s="130">
        <f t="shared" si="9"/>
        <v>11</v>
      </c>
      <c r="U29" s="130">
        <f t="shared" si="9"/>
        <v>0</v>
      </c>
      <c r="V29" s="130">
        <f t="shared" si="9"/>
        <v>11</v>
      </c>
      <c r="W29" s="130">
        <f t="shared" si="9"/>
        <v>0</v>
      </c>
      <c r="X29" s="130">
        <f t="shared" si="9"/>
        <v>11</v>
      </c>
      <c r="Y29" s="130">
        <f t="shared" si="9"/>
        <v>0</v>
      </c>
      <c r="Z29" s="130">
        <f t="shared" si="9"/>
        <v>11</v>
      </c>
      <c r="AA29" s="130">
        <f t="shared" si="9"/>
        <v>0</v>
      </c>
      <c r="AB29" s="130">
        <f t="shared" si="9"/>
        <v>11</v>
      </c>
      <c r="AC29" s="130">
        <f t="shared" si="9"/>
        <v>0</v>
      </c>
      <c r="AD29" s="130">
        <f t="shared" si="9"/>
        <v>11</v>
      </c>
      <c r="AE29" s="130">
        <f t="shared" si="9"/>
        <v>0</v>
      </c>
      <c r="AF29" s="130">
        <f t="shared" si="9"/>
        <v>11</v>
      </c>
      <c r="AG29" s="130">
        <f t="shared" si="9"/>
        <v>0</v>
      </c>
      <c r="AH29" s="130">
        <f t="shared" si="9"/>
        <v>11</v>
      </c>
      <c r="AI29" s="130">
        <f t="shared" si="9"/>
        <v>0</v>
      </c>
      <c r="AJ29" s="130">
        <f t="shared" si="9"/>
        <v>11</v>
      </c>
      <c r="AK29" s="130">
        <f t="shared" si="9"/>
        <v>0</v>
      </c>
      <c r="AL29" s="130">
        <f t="shared" si="9"/>
        <v>11</v>
      </c>
      <c r="AM29" s="130">
        <f t="shared" si="9"/>
        <v>0</v>
      </c>
      <c r="AN29" s="130">
        <f t="shared" si="9"/>
        <v>11</v>
      </c>
      <c r="AO29" s="130">
        <f t="shared" si="9"/>
        <v>0</v>
      </c>
      <c r="AP29" s="130">
        <f t="shared" si="9"/>
        <v>0</v>
      </c>
      <c r="AQ29" s="130">
        <f t="shared" si="9"/>
        <v>11</v>
      </c>
      <c r="AR29" s="130">
        <f t="shared" si="9"/>
        <v>0</v>
      </c>
      <c r="AS29" s="130">
        <f t="shared" si="9"/>
        <v>0</v>
      </c>
      <c r="AT29" s="130">
        <f t="shared" si="9"/>
        <v>11</v>
      </c>
      <c r="AU29" s="130">
        <f t="shared" si="9"/>
        <v>0</v>
      </c>
      <c r="AV29" s="130">
        <f t="shared" si="9"/>
        <v>11</v>
      </c>
      <c r="AW29" s="130">
        <f t="shared" si="9"/>
        <v>0</v>
      </c>
      <c r="AX29" s="130">
        <f t="shared" si="9"/>
        <v>11</v>
      </c>
      <c r="AY29" s="172">
        <f t="shared" si="9"/>
        <v>0</v>
      </c>
      <c r="AZ29" s="173"/>
    </row>
    <row r="30" spans="1:52" x14ac:dyDescent="0.25">
      <c r="A30" s="174" t="s">
        <v>311</v>
      </c>
      <c r="B30" s="149">
        <v>10</v>
      </c>
      <c r="C30" s="122" t="s">
        <v>292</v>
      </c>
      <c r="D30" s="122">
        <f>D$27*$B$30</f>
        <v>110</v>
      </c>
      <c r="E30" s="122">
        <f t="shared" ref="E30:AY30" si="10">E$27*$B$30</f>
        <v>110</v>
      </c>
      <c r="F30" s="122">
        <f t="shared" si="10"/>
        <v>0</v>
      </c>
      <c r="G30" s="122">
        <f t="shared" si="10"/>
        <v>110</v>
      </c>
      <c r="H30" s="122">
        <f t="shared" si="10"/>
        <v>0</v>
      </c>
      <c r="I30" s="122">
        <f t="shared" si="10"/>
        <v>110</v>
      </c>
      <c r="J30" s="122">
        <f t="shared" si="10"/>
        <v>0</v>
      </c>
      <c r="K30" s="122">
        <f t="shared" si="10"/>
        <v>110</v>
      </c>
      <c r="L30" s="122">
        <f t="shared" si="10"/>
        <v>0</v>
      </c>
      <c r="M30" s="122">
        <f t="shared" si="10"/>
        <v>110</v>
      </c>
      <c r="N30" s="122">
        <f t="shared" si="10"/>
        <v>0</v>
      </c>
      <c r="O30" s="122">
        <f t="shared" si="10"/>
        <v>110</v>
      </c>
      <c r="P30" s="122">
        <f t="shared" si="10"/>
        <v>0</v>
      </c>
      <c r="Q30" s="122">
        <f t="shared" si="10"/>
        <v>110</v>
      </c>
      <c r="R30" s="122">
        <f>R$27*$B$30</f>
        <v>0</v>
      </c>
      <c r="S30" s="122">
        <f t="shared" si="10"/>
        <v>110</v>
      </c>
      <c r="T30" s="122">
        <f t="shared" si="10"/>
        <v>0</v>
      </c>
      <c r="U30" s="122">
        <f t="shared" si="10"/>
        <v>110</v>
      </c>
      <c r="V30" s="122">
        <f t="shared" si="10"/>
        <v>0</v>
      </c>
      <c r="W30" s="122">
        <f t="shared" si="10"/>
        <v>110</v>
      </c>
      <c r="X30" s="122">
        <f t="shared" si="10"/>
        <v>0</v>
      </c>
      <c r="Y30" s="122">
        <f t="shared" si="10"/>
        <v>110</v>
      </c>
      <c r="Z30" s="122">
        <f t="shared" si="10"/>
        <v>0</v>
      </c>
      <c r="AA30" s="122">
        <f t="shared" si="10"/>
        <v>110</v>
      </c>
      <c r="AB30" s="122">
        <f t="shared" si="10"/>
        <v>0</v>
      </c>
      <c r="AC30" s="122">
        <f t="shared" si="10"/>
        <v>110</v>
      </c>
      <c r="AD30" s="122">
        <f t="shared" si="10"/>
        <v>0</v>
      </c>
      <c r="AE30" s="122">
        <f>AE$27*$B$30</f>
        <v>110</v>
      </c>
      <c r="AF30" s="122">
        <f t="shared" si="10"/>
        <v>0</v>
      </c>
      <c r="AG30" s="122">
        <f t="shared" si="10"/>
        <v>110</v>
      </c>
      <c r="AH30" s="122">
        <f t="shared" si="10"/>
        <v>0</v>
      </c>
      <c r="AI30" s="122">
        <f t="shared" si="10"/>
        <v>110</v>
      </c>
      <c r="AJ30" s="122">
        <f t="shared" si="10"/>
        <v>0</v>
      </c>
      <c r="AK30" s="122">
        <f t="shared" si="10"/>
        <v>110</v>
      </c>
      <c r="AL30" s="122">
        <f t="shared" si="10"/>
        <v>0</v>
      </c>
      <c r="AM30" s="122">
        <f t="shared" si="10"/>
        <v>110</v>
      </c>
      <c r="AN30" s="122">
        <f t="shared" si="10"/>
        <v>0</v>
      </c>
      <c r="AO30" s="122">
        <f t="shared" si="10"/>
        <v>110</v>
      </c>
      <c r="AP30" s="122">
        <f t="shared" si="10"/>
        <v>110</v>
      </c>
      <c r="AQ30" s="122">
        <f t="shared" si="10"/>
        <v>0</v>
      </c>
      <c r="AR30" s="122">
        <f t="shared" si="10"/>
        <v>110</v>
      </c>
      <c r="AS30" s="122">
        <f t="shared" si="10"/>
        <v>110</v>
      </c>
      <c r="AT30" s="122">
        <f t="shared" si="10"/>
        <v>0</v>
      </c>
      <c r="AU30" s="122">
        <f t="shared" si="10"/>
        <v>110</v>
      </c>
      <c r="AV30" s="122">
        <f t="shared" si="10"/>
        <v>0</v>
      </c>
      <c r="AW30" s="122">
        <f t="shared" si="10"/>
        <v>110</v>
      </c>
      <c r="AX30" s="122">
        <f t="shared" si="10"/>
        <v>0</v>
      </c>
      <c r="AY30" s="122">
        <f t="shared" si="10"/>
        <v>110</v>
      </c>
      <c r="AZ30" s="146">
        <f t="shared" si="5"/>
        <v>2860</v>
      </c>
    </row>
    <row r="32" spans="1:52" x14ac:dyDescent="0.25">
      <c r="A32" s="107" t="s">
        <v>299</v>
      </c>
    </row>
    <row r="33" spans="1:52" x14ac:dyDescent="0.25">
      <c r="A33" s="140" t="s">
        <v>22</v>
      </c>
      <c r="B33" s="140" t="s">
        <v>340</v>
      </c>
      <c r="C33" s="129"/>
      <c r="D33" s="129">
        <f>D$21*shipping_manufacturing!$D$27/100</f>
        <v>0</v>
      </c>
      <c r="E33" s="129">
        <f>E$21*shipping_manufacturing!$D$27/100</f>
        <v>58.21875</v>
      </c>
      <c r="F33" s="129">
        <f>F$21*shipping_manufacturing!$D$27/100</f>
        <v>58.21875</v>
      </c>
      <c r="G33" s="129">
        <f>G$21*shipping_manufacturing!$D$27/100</f>
        <v>58.21875</v>
      </c>
      <c r="H33" s="129">
        <f>H$21*shipping_manufacturing!$D$27/100</f>
        <v>58.21875</v>
      </c>
      <c r="I33" s="129">
        <f>I$21*shipping_manufacturing!$D$27/100</f>
        <v>58.21875</v>
      </c>
      <c r="J33" s="129">
        <f>J$21*shipping_manufacturing!$D$27/100</f>
        <v>58.21875</v>
      </c>
      <c r="K33" s="129">
        <f>K$21*shipping_manufacturing!$D$27/100</f>
        <v>58.21875</v>
      </c>
      <c r="L33" s="129">
        <f>L$21*shipping_manufacturing!$D$27/100</f>
        <v>58.21875</v>
      </c>
      <c r="M33" s="129">
        <f>M$21*shipping_manufacturing!$D$27/100</f>
        <v>58.21875</v>
      </c>
      <c r="N33" s="129">
        <f>N$21*shipping_manufacturing!$D$27/100</f>
        <v>58.21875</v>
      </c>
      <c r="O33" s="129">
        <f>O$21*shipping_manufacturing!$D$27/100</f>
        <v>58.21875</v>
      </c>
      <c r="P33" s="129">
        <f>P$21*shipping_manufacturing!$D$27/100</f>
        <v>58.21875</v>
      </c>
      <c r="Q33" s="129">
        <f>Q$21*shipping_manufacturing!$D$27/100</f>
        <v>58.21875</v>
      </c>
      <c r="R33" s="129">
        <f>R$21*shipping_manufacturing!$D$27/100</f>
        <v>58.21875</v>
      </c>
      <c r="S33" s="129">
        <f>S$21*shipping_manufacturing!$D$27/100</f>
        <v>58.21875</v>
      </c>
      <c r="T33" s="129">
        <f>T$21*shipping_manufacturing!$D$27/100</f>
        <v>58.21875</v>
      </c>
      <c r="U33" s="129">
        <f>U$21*shipping_manufacturing!$D$27/100</f>
        <v>58.21875</v>
      </c>
      <c r="V33" s="129">
        <f>V$21*shipping_manufacturing!$D$27/100</f>
        <v>58.21875</v>
      </c>
      <c r="W33" s="129">
        <f>W$21*shipping_manufacturing!$D$27/100</f>
        <v>58.21875</v>
      </c>
      <c r="X33" s="129">
        <f>X$21*shipping_manufacturing!$D$27/100</f>
        <v>58.21875</v>
      </c>
      <c r="Y33" s="129">
        <f>Y$21*shipping_manufacturing!$D$27/100</f>
        <v>58.21875</v>
      </c>
      <c r="Z33" s="129">
        <f>Z$21*shipping_manufacturing!$D$27/100</f>
        <v>58.21875</v>
      </c>
      <c r="AA33" s="129">
        <f>AA$21*shipping_manufacturing!$D$27/100</f>
        <v>58.21875</v>
      </c>
      <c r="AB33" s="129">
        <f>AB$21*shipping_manufacturing!$D$27/100</f>
        <v>58.21875</v>
      </c>
      <c r="AC33" s="129">
        <f>AC$21*shipping_manufacturing!$D$27/100</f>
        <v>58.21875</v>
      </c>
      <c r="AD33" s="129">
        <f>AD$21*shipping_manufacturing!$D$27/100</f>
        <v>58.21875</v>
      </c>
      <c r="AE33" s="129">
        <f>AE$21*shipping_manufacturing!$D$27/100</f>
        <v>58.21875</v>
      </c>
      <c r="AF33" s="129">
        <f>AF$21*shipping_manufacturing!$D$27/100</f>
        <v>58.21875</v>
      </c>
      <c r="AG33" s="129">
        <f>AG$21*shipping_manufacturing!$D$27/100</f>
        <v>58.21875</v>
      </c>
      <c r="AH33" s="129">
        <f>AH$21*shipping_manufacturing!$D$27/100</f>
        <v>58.21875</v>
      </c>
      <c r="AI33" s="129">
        <f>AI$21*shipping_manufacturing!$D$27/100</f>
        <v>58.21875</v>
      </c>
      <c r="AJ33" s="129">
        <f>AJ$21*shipping_manufacturing!$D$27/100</f>
        <v>58.21875</v>
      </c>
      <c r="AK33" s="129">
        <f>AK$21*shipping_manufacturing!$D$27/100</f>
        <v>58.21875</v>
      </c>
      <c r="AL33" s="129">
        <f>AL$21*shipping_manufacturing!$D$27/100</f>
        <v>58.21875</v>
      </c>
      <c r="AM33" s="129">
        <f>AM$21*shipping_manufacturing!$D$27/100</f>
        <v>58.21875</v>
      </c>
      <c r="AN33" s="129">
        <f>AN$21*shipping_manufacturing!$D$27/100</f>
        <v>58.21875</v>
      </c>
      <c r="AO33" s="129">
        <f>AO$21*shipping_manufacturing!$D$27/100</f>
        <v>0</v>
      </c>
      <c r="AP33" s="129">
        <f>AP$21*shipping_manufacturing!$D$27/100</f>
        <v>58.21875</v>
      </c>
      <c r="AQ33" s="129">
        <f>AQ$21*shipping_manufacturing!$D$27/100</f>
        <v>58.21875</v>
      </c>
      <c r="AR33" s="129">
        <f>AR$21*shipping_manufacturing!$D$27/100</f>
        <v>0</v>
      </c>
      <c r="AS33" s="129">
        <f>AS$21*shipping_manufacturing!$D$27/100</f>
        <v>58.21875</v>
      </c>
      <c r="AT33" s="129">
        <f>AT$21*shipping_manufacturing!$D$27/100</f>
        <v>58.21875</v>
      </c>
      <c r="AU33" s="129">
        <f>AU$21*shipping_manufacturing!$D$27/100</f>
        <v>58.21875</v>
      </c>
      <c r="AV33" s="129">
        <f>AV$21*shipping_manufacturing!$D$27/100</f>
        <v>58.21875</v>
      </c>
      <c r="AW33" s="129">
        <f>AW$21*shipping_manufacturing!$D$27/100</f>
        <v>58.21875</v>
      </c>
      <c r="AX33" s="129">
        <f>AX$21*shipping_manufacturing!$D$27/100</f>
        <v>58.21875</v>
      </c>
      <c r="AY33" s="129">
        <f>AY$21*shipping_manufacturing!$D$27/100</f>
        <v>58.21875</v>
      </c>
    </row>
    <row r="34" spans="1:52" x14ac:dyDescent="0.25">
      <c r="A34" s="118" t="s">
        <v>339</v>
      </c>
      <c r="B34" s="170" t="s">
        <v>341</v>
      </c>
      <c r="C34" s="115"/>
      <c r="D34" s="115">
        <f>D$22*shipping_manufacturing!$E$27/100</f>
        <v>0</v>
      </c>
      <c r="E34" s="115">
        <f>E$22*shipping_manufacturing!$E$27/100</f>
        <v>56.925000000000011</v>
      </c>
      <c r="F34" s="115">
        <f>F$22*shipping_manufacturing!$E$27/100</f>
        <v>56.925000000000011</v>
      </c>
      <c r="G34" s="115">
        <f>G$22*shipping_manufacturing!$E$27/100</f>
        <v>56.925000000000011</v>
      </c>
      <c r="H34" s="115">
        <f>H$22*shipping_manufacturing!$E$27/100</f>
        <v>56.925000000000011</v>
      </c>
      <c r="I34" s="115">
        <f>I$22*shipping_manufacturing!$E$27/100</f>
        <v>56.925000000000011</v>
      </c>
      <c r="J34" s="115">
        <f>J$22*shipping_manufacturing!$E$27/100</f>
        <v>56.925000000000011</v>
      </c>
      <c r="K34" s="115">
        <f>K$22*shipping_manufacturing!$E$27/100</f>
        <v>56.925000000000011</v>
      </c>
      <c r="L34" s="115">
        <f>L$22*shipping_manufacturing!$E$27/100</f>
        <v>56.925000000000011</v>
      </c>
      <c r="M34" s="115">
        <f>M$22*shipping_manufacturing!$E$27/100</f>
        <v>56.925000000000011</v>
      </c>
      <c r="N34" s="115">
        <f>N$22*shipping_manufacturing!$E$27/100</f>
        <v>56.925000000000011</v>
      </c>
      <c r="O34" s="115">
        <f>O$22*shipping_manufacturing!$E$27/100</f>
        <v>56.925000000000011</v>
      </c>
      <c r="P34" s="115">
        <f>P$22*shipping_manufacturing!$E$27/100</f>
        <v>56.925000000000011</v>
      </c>
      <c r="Q34" s="115">
        <f>Q$22*shipping_manufacturing!$E$27/100</f>
        <v>56.925000000000011</v>
      </c>
      <c r="R34" s="115">
        <f>R$22*shipping_manufacturing!$E$27/100</f>
        <v>56.925000000000011</v>
      </c>
      <c r="S34" s="115">
        <f>S$22*shipping_manufacturing!$E$27/100</f>
        <v>56.925000000000011</v>
      </c>
      <c r="T34" s="115">
        <f>T$22*shipping_manufacturing!$E$27/100</f>
        <v>56.925000000000011</v>
      </c>
      <c r="U34" s="115">
        <f>U$22*shipping_manufacturing!$E$27/100</f>
        <v>56.925000000000011</v>
      </c>
      <c r="V34" s="115">
        <f>V$22*shipping_manufacturing!$E$27/100</f>
        <v>56.925000000000011</v>
      </c>
      <c r="W34" s="115">
        <f>W$22*shipping_manufacturing!$E$27/100</f>
        <v>56.925000000000011</v>
      </c>
      <c r="X34" s="115">
        <f>X$22*shipping_manufacturing!$E$27/100</f>
        <v>56.925000000000011</v>
      </c>
      <c r="Y34" s="115">
        <f>Y$22*shipping_manufacturing!$E$27/100</f>
        <v>56.925000000000011</v>
      </c>
      <c r="Z34" s="115">
        <f>Z$22*shipping_manufacturing!$E$27/100</f>
        <v>56.925000000000011</v>
      </c>
      <c r="AA34" s="115">
        <f>AA$22*shipping_manufacturing!$E$27/100</f>
        <v>56.925000000000011</v>
      </c>
      <c r="AB34" s="115">
        <f>AB$22*shipping_manufacturing!$E$27/100</f>
        <v>56.925000000000011</v>
      </c>
      <c r="AC34" s="115">
        <f>AC$22*shipping_manufacturing!$E$27/100</f>
        <v>56.925000000000011</v>
      </c>
      <c r="AD34" s="115">
        <f>AD$22*shipping_manufacturing!$E$27/100</f>
        <v>56.925000000000011</v>
      </c>
      <c r="AE34" s="115">
        <f>AE$22*shipping_manufacturing!$E$27/100</f>
        <v>56.925000000000011</v>
      </c>
      <c r="AF34" s="115">
        <f>AF$22*shipping_manufacturing!$E$27/100</f>
        <v>56.925000000000011</v>
      </c>
      <c r="AG34" s="115">
        <f>AG$22*shipping_manufacturing!$E$27/100</f>
        <v>56.925000000000011</v>
      </c>
      <c r="AH34" s="115">
        <f>AH$22*shipping_manufacturing!$E$27/100</f>
        <v>56.925000000000011</v>
      </c>
      <c r="AI34" s="115">
        <f>AI$22*shipping_manufacturing!$E$27/100</f>
        <v>56.925000000000011</v>
      </c>
      <c r="AJ34" s="115">
        <f>AJ$22*shipping_manufacturing!$E$27/100</f>
        <v>56.925000000000011</v>
      </c>
      <c r="AK34" s="115">
        <f>AK$22*shipping_manufacturing!$E$27/100</f>
        <v>56.925000000000011</v>
      </c>
      <c r="AL34" s="115">
        <f>AL$22*shipping_manufacturing!$E$27/100</f>
        <v>56.925000000000011</v>
      </c>
      <c r="AM34" s="115">
        <f>AM$22*shipping_manufacturing!$E$27/100</f>
        <v>56.925000000000011</v>
      </c>
      <c r="AN34" s="115">
        <f>AN$22*shipping_manufacturing!$E$27/100</f>
        <v>56.925000000000011</v>
      </c>
      <c r="AO34" s="115">
        <f>AO$22*shipping_manufacturing!$E$27/100</f>
        <v>0</v>
      </c>
      <c r="AP34" s="115">
        <f>AP$22*shipping_manufacturing!$E$27/100</f>
        <v>56.925000000000011</v>
      </c>
      <c r="AQ34" s="115">
        <f>AQ$22*shipping_manufacturing!$E$27/100</f>
        <v>56.925000000000011</v>
      </c>
      <c r="AR34" s="115">
        <f>AR$22*shipping_manufacturing!$E$27/100</f>
        <v>0</v>
      </c>
      <c r="AS34" s="115">
        <f>AS$22*shipping_manufacturing!$E$27/100</f>
        <v>56.925000000000011</v>
      </c>
      <c r="AT34" s="115">
        <f>AT$22*shipping_manufacturing!$E$27/100</f>
        <v>56.925000000000011</v>
      </c>
      <c r="AU34" s="115">
        <f>AU$22*shipping_manufacturing!$E$27/100</f>
        <v>56.925000000000011</v>
      </c>
      <c r="AV34" s="115">
        <f>AV$22*shipping_manufacturing!$E$27/100</f>
        <v>56.925000000000011</v>
      </c>
      <c r="AW34" s="115">
        <f>AW$22*shipping_manufacturing!$E$27/100</f>
        <v>56.925000000000011</v>
      </c>
      <c r="AX34" s="115">
        <f>AX$22*shipping_manufacturing!$E$27/100</f>
        <v>56.925000000000011</v>
      </c>
      <c r="AY34" s="115">
        <f>AY$22*shipping_manufacturing!$E$27/100</f>
        <v>56.925000000000011</v>
      </c>
    </row>
    <row r="35" spans="1:52" x14ac:dyDescent="0.25">
      <c r="A35" s="115">
        <v>1335</v>
      </c>
      <c r="B35" s="170" t="s">
        <v>342</v>
      </c>
      <c r="C35" s="115"/>
      <c r="D35" s="115">
        <f>SUM(D33:D34)</f>
        <v>0</v>
      </c>
      <c r="E35" s="115">
        <f t="shared" ref="E35:AY35" si="11">SUM(E33:E34)</f>
        <v>115.14375000000001</v>
      </c>
      <c r="F35" s="115">
        <f t="shared" si="11"/>
        <v>115.14375000000001</v>
      </c>
      <c r="G35" s="115">
        <f t="shared" si="11"/>
        <v>115.14375000000001</v>
      </c>
      <c r="H35" s="115">
        <f t="shared" si="11"/>
        <v>115.14375000000001</v>
      </c>
      <c r="I35" s="115">
        <f t="shared" si="11"/>
        <v>115.14375000000001</v>
      </c>
      <c r="J35" s="115">
        <f t="shared" si="11"/>
        <v>115.14375000000001</v>
      </c>
      <c r="K35" s="115">
        <f t="shared" si="11"/>
        <v>115.14375000000001</v>
      </c>
      <c r="L35" s="115">
        <f t="shared" si="11"/>
        <v>115.14375000000001</v>
      </c>
      <c r="M35" s="115">
        <f t="shared" si="11"/>
        <v>115.14375000000001</v>
      </c>
      <c r="N35" s="115">
        <f t="shared" si="11"/>
        <v>115.14375000000001</v>
      </c>
      <c r="O35" s="115">
        <f t="shared" si="11"/>
        <v>115.14375000000001</v>
      </c>
      <c r="P35" s="115">
        <f t="shared" si="11"/>
        <v>115.14375000000001</v>
      </c>
      <c r="Q35" s="115">
        <f t="shared" si="11"/>
        <v>115.14375000000001</v>
      </c>
      <c r="R35" s="115">
        <f t="shared" si="11"/>
        <v>115.14375000000001</v>
      </c>
      <c r="S35" s="115">
        <f t="shared" si="11"/>
        <v>115.14375000000001</v>
      </c>
      <c r="T35" s="115">
        <f t="shared" si="11"/>
        <v>115.14375000000001</v>
      </c>
      <c r="U35" s="115">
        <f t="shared" si="11"/>
        <v>115.14375000000001</v>
      </c>
      <c r="V35" s="115">
        <f t="shared" si="11"/>
        <v>115.14375000000001</v>
      </c>
      <c r="W35" s="115">
        <f t="shared" si="11"/>
        <v>115.14375000000001</v>
      </c>
      <c r="X35" s="115">
        <f t="shared" si="11"/>
        <v>115.14375000000001</v>
      </c>
      <c r="Y35" s="115">
        <f t="shared" si="11"/>
        <v>115.14375000000001</v>
      </c>
      <c r="Z35" s="115">
        <f t="shared" si="11"/>
        <v>115.14375000000001</v>
      </c>
      <c r="AA35" s="115">
        <f t="shared" si="11"/>
        <v>115.14375000000001</v>
      </c>
      <c r="AB35" s="115">
        <f t="shared" si="11"/>
        <v>115.14375000000001</v>
      </c>
      <c r="AC35" s="115">
        <f t="shared" si="11"/>
        <v>115.14375000000001</v>
      </c>
      <c r="AD35" s="115">
        <f t="shared" si="11"/>
        <v>115.14375000000001</v>
      </c>
      <c r="AE35" s="115">
        <f t="shared" si="11"/>
        <v>115.14375000000001</v>
      </c>
      <c r="AF35" s="115">
        <f t="shared" si="11"/>
        <v>115.14375000000001</v>
      </c>
      <c r="AG35" s="115">
        <f t="shared" si="11"/>
        <v>115.14375000000001</v>
      </c>
      <c r="AH35" s="115">
        <f t="shared" si="11"/>
        <v>115.14375000000001</v>
      </c>
      <c r="AI35" s="115">
        <f t="shared" si="11"/>
        <v>115.14375000000001</v>
      </c>
      <c r="AJ35" s="115">
        <f t="shared" si="11"/>
        <v>115.14375000000001</v>
      </c>
      <c r="AK35" s="115">
        <f t="shared" si="11"/>
        <v>115.14375000000001</v>
      </c>
      <c r="AL35" s="115">
        <f t="shared" si="11"/>
        <v>115.14375000000001</v>
      </c>
      <c r="AM35" s="115">
        <f t="shared" si="11"/>
        <v>115.14375000000001</v>
      </c>
      <c r="AN35" s="115">
        <f t="shared" si="11"/>
        <v>115.14375000000001</v>
      </c>
      <c r="AO35" s="115">
        <f t="shared" si="11"/>
        <v>0</v>
      </c>
      <c r="AP35" s="115">
        <f t="shared" si="11"/>
        <v>115.14375000000001</v>
      </c>
      <c r="AQ35" s="115">
        <f t="shared" si="11"/>
        <v>115.14375000000001</v>
      </c>
      <c r="AR35" s="115">
        <f t="shared" si="11"/>
        <v>0</v>
      </c>
      <c r="AS35" s="115">
        <f t="shared" si="11"/>
        <v>115.14375000000001</v>
      </c>
      <c r="AT35" s="115">
        <f t="shared" si="11"/>
        <v>115.14375000000001</v>
      </c>
      <c r="AU35" s="115">
        <f t="shared" si="11"/>
        <v>115.14375000000001</v>
      </c>
      <c r="AV35" s="115">
        <f t="shared" si="11"/>
        <v>115.14375000000001</v>
      </c>
      <c r="AW35" s="115">
        <f t="shared" si="11"/>
        <v>115.14375000000001</v>
      </c>
      <c r="AX35" s="115">
        <f t="shared" si="11"/>
        <v>115.14375000000001</v>
      </c>
      <c r="AY35" s="115">
        <f t="shared" si="11"/>
        <v>115.14375000000001</v>
      </c>
    </row>
    <row r="36" spans="1:52" x14ac:dyDescent="0.25">
      <c r="A36" s="115"/>
      <c r="B36" s="170" t="s">
        <v>343</v>
      </c>
      <c r="C36" s="115"/>
      <c r="D36" s="115"/>
      <c r="E36" s="115">
        <v>58.218750000000007</v>
      </c>
      <c r="F36" s="115"/>
      <c r="G36" s="115">
        <v>58.218750000000007</v>
      </c>
      <c r="H36" s="115"/>
      <c r="I36" s="115">
        <v>58.218750000000007</v>
      </c>
      <c r="J36" s="115"/>
      <c r="K36" s="115">
        <v>58.218750000000007</v>
      </c>
      <c r="L36" s="115"/>
      <c r="M36" s="115">
        <v>58.218750000000007</v>
      </c>
      <c r="N36" s="115"/>
      <c r="O36" s="115">
        <v>58.218750000000007</v>
      </c>
      <c r="P36" s="115"/>
      <c r="Q36" s="115">
        <v>58.218750000000007</v>
      </c>
      <c r="R36" s="115"/>
      <c r="S36" s="115">
        <v>58.218750000000007</v>
      </c>
      <c r="T36" s="115"/>
      <c r="U36" s="115">
        <v>58.218750000000007</v>
      </c>
      <c r="V36" s="115"/>
      <c r="W36" s="115">
        <v>58.218750000000007</v>
      </c>
      <c r="X36" s="115"/>
      <c r="Y36" s="115">
        <v>58.218750000000007</v>
      </c>
      <c r="Z36" s="115"/>
      <c r="AA36" s="115">
        <v>58.218750000000007</v>
      </c>
      <c r="AB36" s="115"/>
      <c r="AC36" s="115">
        <v>58.218750000000007</v>
      </c>
      <c r="AD36" s="115"/>
      <c r="AE36" s="115">
        <v>58.218750000000007</v>
      </c>
      <c r="AF36" s="115"/>
      <c r="AG36" s="115">
        <v>58.218750000000007</v>
      </c>
      <c r="AH36" s="115"/>
      <c r="AI36" s="115">
        <v>58.218750000000007</v>
      </c>
      <c r="AJ36" s="115"/>
      <c r="AK36" s="115">
        <v>58.218750000000007</v>
      </c>
      <c r="AL36" s="115"/>
      <c r="AM36" s="115">
        <v>58.218750000000007</v>
      </c>
      <c r="AN36" s="115"/>
      <c r="AO36" s="115"/>
      <c r="AP36" s="115">
        <v>58.218750000000007</v>
      </c>
      <c r="AQ36" s="115"/>
      <c r="AR36" s="115"/>
      <c r="AS36" s="115">
        <v>58.218750000000007</v>
      </c>
      <c r="AT36" s="115"/>
      <c r="AU36" s="115">
        <v>58.218750000000007</v>
      </c>
      <c r="AV36" s="115"/>
      <c r="AW36" s="115">
        <v>58.218750000000007</v>
      </c>
      <c r="AX36" s="115"/>
      <c r="AY36" s="115">
        <v>58.218750000000007</v>
      </c>
    </row>
    <row r="37" spans="1:52" x14ac:dyDescent="0.25">
      <c r="A37" s="115"/>
      <c r="B37" s="170" t="s">
        <v>344</v>
      </c>
      <c r="C37" s="115"/>
      <c r="D37" s="115"/>
      <c r="E37" s="115">
        <v>56.925000000000004</v>
      </c>
      <c r="F37" s="115"/>
      <c r="G37" s="115">
        <v>56.925000000000004</v>
      </c>
      <c r="H37" s="115"/>
      <c r="I37" s="115">
        <v>56.925000000000004</v>
      </c>
      <c r="J37" s="115"/>
      <c r="K37" s="115">
        <v>56.925000000000004</v>
      </c>
      <c r="L37" s="115"/>
      <c r="M37" s="115">
        <v>56.925000000000004</v>
      </c>
      <c r="N37" s="115"/>
      <c r="O37" s="115">
        <v>56.925000000000004</v>
      </c>
      <c r="P37" s="115"/>
      <c r="Q37" s="115">
        <v>56.925000000000004</v>
      </c>
      <c r="R37" s="115"/>
      <c r="S37" s="115">
        <v>56.925000000000004</v>
      </c>
      <c r="T37" s="115"/>
      <c r="U37" s="115">
        <v>56.925000000000004</v>
      </c>
      <c r="V37" s="115"/>
      <c r="W37" s="115">
        <v>56.925000000000004</v>
      </c>
      <c r="X37" s="115"/>
      <c r="Y37" s="115">
        <v>56.925000000000004</v>
      </c>
      <c r="Z37" s="115"/>
      <c r="AA37" s="115">
        <v>56.925000000000004</v>
      </c>
      <c r="AB37" s="115"/>
      <c r="AC37" s="115">
        <v>56.925000000000004</v>
      </c>
      <c r="AD37" s="115"/>
      <c r="AE37" s="115">
        <v>56.925000000000004</v>
      </c>
      <c r="AF37" s="115"/>
      <c r="AG37" s="115">
        <v>56.925000000000004</v>
      </c>
      <c r="AH37" s="115"/>
      <c r="AI37" s="115">
        <v>56.925000000000004</v>
      </c>
      <c r="AJ37" s="115"/>
      <c r="AK37" s="115">
        <v>56.925000000000004</v>
      </c>
      <c r="AL37" s="115"/>
      <c r="AM37" s="115">
        <v>56.925000000000004</v>
      </c>
      <c r="AN37" s="115"/>
      <c r="AO37" s="115"/>
      <c r="AP37" s="115">
        <v>56.925000000000004</v>
      </c>
      <c r="AQ37" s="115"/>
      <c r="AR37" s="115"/>
      <c r="AS37" s="115">
        <v>56.925000000000004</v>
      </c>
      <c r="AT37" s="115"/>
      <c r="AU37" s="115">
        <v>56.925000000000004</v>
      </c>
      <c r="AV37" s="115"/>
      <c r="AW37" s="115">
        <v>56.925000000000004</v>
      </c>
      <c r="AX37" s="115"/>
      <c r="AY37" s="115">
        <v>56.925000000000004</v>
      </c>
    </row>
    <row r="38" spans="1:52" x14ac:dyDescent="0.25">
      <c r="A38" s="115"/>
      <c r="B38" s="170" t="s">
        <v>345</v>
      </c>
      <c r="C38" s="115"/>
      <c r="D38" s="115"/>
      <c r="E38" s="115">
        <v>4</v>
      </c>
      <c r="F38" s="115"/>
      <c r="G38" s="115">
        <v>4</v>
      </c>
      <c r="H38" s="115"/>
      <c r="I38" s="115">
        <v>4</v>
      </c>
      <c r="J38" s="115"/>
      <c r="K38" s="115">
        <v>4</v>
      </c>
      <c r="L38" s="115"/>
      <c r="M38" s="115">
        <v>4</v>
      </c>
      <c r="N38" s="115"/>
      <c r="O38" s="115">
        <v>4</v>
      </c>
      <c r="P38" s="115"/>
      <c r="Q38" s="115">
        <v>4</v>
      </c>
      <c r="R38" s="115"/>
      <c r="S38" s="115">
        <v>4</v>
      </c>
      <c r="T38" s="115"/>
      <c r="U38" s="115">
        <v>4</v>
      </c>
      <c r="V38" s="115"/>
      <c r="W38" s="115">
        <v>4</v>
      </c>
      <c r="X38" s="115"/>
      <c r="Y38" s="115">
        <v>4</v>
      </c>
      <c r="Z38" s="115"/>
      <c r="AA38" s="115">
        <v>4</v>
      </c>
      <c r="AB38" s="115"/>
      <c r="AC38" s="115">
        <v>4</v>
      </c>
      <c r="AD38" s="115"/>
      <c r="AE38" s="115">
        <v>4</v>
      </c>
      <c r="AF38" s="115"/>
      <c r="AG38" s="115">
        <v>4</v>
      </c>
      <c r="AH38" s="115"/>
      <c r="AI38" s="115">
        <v>4</v>
      </c>
      <c r="AJ38" s="115"/>
      <c r="AK38" s="115">
        <v>4</v>
      </c>
      <c r="AL38" s="115"/>
      <c r="AM38" s="115">
        <v>4</v>
      </c>
      <c r="AN38" s="115"/>
      <c r="AO38" s="115"/>
      <c r="AP38" s="115">
        <v>4</v>
      </c>
      <c r="AQ38" s="115"/>
      <c r="AR38" s="115"/>
      <c r="AS38" s="115">
        <v>4</v>
      </c>
      <c r="AT38" s="115"/>
      <c r="AU38" s="115">
        <v>4</v>
      </c>
      <c r="AV38" s="115"/>
      <c r="AW38" s="115">
        <v>4</v>
      </c>
      <c r="AX38" s="115"/>
      <c r="AY38" s="115">
        <v>4</v>
      </c>
    </row>
    <row r="39" spans="1:52" x14ac:dyDescent="0.25">
      <c r="A39" s="115"/>
      <c r="B39" s="170" t="s">
        <v>346</v>
      </c>
      <c r="C39" s="115"/>
      <c r="D39" s="115">
        <f>D33-D36</f>
        <v>0</v>
      </c>
      <c r="E39" s="115">
        <f t="shared" ref="E39:AY39" si="12">E33-E36</f>
        <v>0</v>
      </c>
      <c r="F39" s="115">
        <f t="shared" si="12"/>
        <v>58.21875</v>
      </c>
      <c r="G39" s="115">
        <f t="shared" si="12"/>
        <v>0</v>
      </c>
      <c r="H39" s="115">
        <f t="shared" si="12"/>
        <v>58.21875</v>
      </c>
      <c r="I39" s="115">
        <f t="shared" si="12"/>
        <v>0</v>
      </c>
      <c r="J39" s="115">
        <f t="shared" si="12"/>
        <v>58.21875</v>
      </c>
      <c r="K39" s="115">
        <f t="shared" si="12"/>
        <v>0</v>
      </c>
      <c r="L39" s="115">
        <f t="shared" si="12"/>
        <v>58.21875</v>
      </c>
      <c r="M39" s="115">
        <f t="shared" si="12"/>
        <v>0</v>
      </c>
      <c r="N39" s="115">
        <f t="shared" si="12"/>
        <v>58.21875</v>
      </c>
      <c r="O39" s="115">
        <f t="shared" si="12"/>
        <v>0</v>
      </c>
      <c r="P39" s="115">
        <f t="shared" si="12"/>
        <v>58.21875</v>
      </c>
      <c r="Q39" s="115">
        <f t="shared" si="12"/>
        <v>0</v>
      </c>
      <c r="R39" s="115">
        <f t="shared" si="12"/>
        <v>58.21875</v>
      </c>
      <c r="S39" s="115">
        <f t="shared" si="12"/>
        <v>0</v>
      </c>
      <c r="T39" s="115">
        <f t="shared" si="12"/>
        <v>58.21875</v>
      </c>
      <c r="U39" s="115">
        <f t="shared" si="12"/>
        <v>0</v>
      </c>
      <c r="V39" s="115">
        <f t="shared" si="12"/>
        <v>58.21875</v>
      </c>
      <c r="W39" s="115">
        <f t="shared" si="12"/>
        <v>0</v>
      </c>
      <c r="X39" s="115">
        <f t="shared" si="12"/>
        <v>58.21875</v>
      </c>
      <c r="Y39" s="115">
        <f t="shared" si="12"/>
        <v>0</v>
      </c>
      <c r="Z39" s="115">
        <f t="shared" si="12"/>
        <v>58.21875</v>
      </c>
      <c r="AA39" s="115">
        <f t="shared" si="12"/>
        <v>0</v>
      </c>
      <c r="AB39" s="115">
        <f t="shared" si="12"/>
        <v>58.21875</v>
      </c>
      <c r="AC39" s="115">
        <f t="shared" si="12"/>
        <v>0</v>
      </c>
      <c r="AD39" s="115">
        <f t="shared" si="12"/>
        <v>58.21875</v>
      </c>
      <c r="AE39" s="115">
        <f t="shared" si="12"/>
        <v>0</v>
      </c>
      <c r="AF39" s="115">
        <f t="shared" si="12"/>
        <v>58.21875</v>
      </c>
      <c r="AG39" s="115">
        <f t="shared" si="12"/>
        <v>0</v>
      </c>
      <c r="AH39" s="115">
        <f t="shared" si="12"/>
        <v>58.21875</v>
      </c>
      <c r="AI39" s="115">
        <f t="shared" si="12"/>
        <v>0</v>
      </c>
      <c r="AJ39" s="115">
        <f t="shared" si="12"/>
        <v>58.21875</v>
      </c>
      <c r="AK39" s="115">
        <f t="shared" si="12"/>
        <v>0</v>
      </c>
      <c r="AL39" s="115">
        <f t="shared" si="12"/>
        <v>58.21875</v>
      </c>
      <c r="AM39" s="115">
        <f t="shared" si="12"/>
        <v>0</v>
      </c>
      <c r="AN39" s="115">
        <f t="shared" si="12"/>
        <v>58.21875</v>
      </c>
      <c r="AO39" s="115">
        <f t="shared" si="12"/>
        <v>0</v>
      </c>
      <c r="AP39" s="115">
        <f t="shared" si="12"/>
        <v>0</v>
      </c>
      <c r="AQ39" s="115">
        <f t="shared" si="12"/>
        <v>58.21875</v>
      </c>
      <c r="AR39" s="115">
        <f t="shared" si="12"/>
        <v>0</v>
      </c>
      <c r="AS39" s="115">
        <f t="shared" si="12"/>
        <v>0</v>
      </c>
      <c r="AT39" s="115">
        <f t="shared" si="12"/>
        <v>58.21875</v>
      </c>
      <c r="AU39" s="115">
        <f t="shared" si="12"/>
        <v>0</v>
      </c>
      <c r="AV39" s="115">
        <f t="shared" si="12"/>
        <v>58.21875</v>
      </c>
      <c r="AW39" s="115">
        <f t="shared" si="12"/>
        <v>0</v>
      </c>
      <c r="AX39" s="115">
        <f t="shared" si="12"/>
        <v>58.21875</v>
      </c>
      <c r="AY39" s="115">
        <f t="shared" si="12"/>
        <v>0</v>
      </c>
    </row>
    <row r="40" spans="1:52" x14ac:dyDescent="0.25">
      <c r="A40" s="115"/>
      <c r="B40" s="170" t="s">
        <v>347</v>
      </c>
      <c r="C40" s="115"/>
      <c r="D40" s="115">
        <f>D34-D37</f>
        <v>0</v>
      </c>
      <c r="E40" s="115">
        <f t="shared" ref="E40:AY40" si="13">E34-E37</f>
        <v>0</v>
      </c>
      <c r="F40" s="115">
        <f t="shared" si="13"/>
        <v>56.925000000000011</v>
      </c>
      <c r="G40" s="115">
        <f t="shared" si="13"/>
        <v>0</v>
      </c>
      <c r="H40" s="115">
        <f t="shared" si="13"/>
        <v>56.925000000000011</v>
      </c>
      <c r="I40" s="115">
        <f t="shared" si="13"/>
        <v>0</v>
      </c>
      <c r="J40" s="115">
        <f t="shared" si="13"/>
        <v>56.925000000000011</v>
      </c>
      <c r="K40" s="115">
        <f t="shared" si="13"/>
        <v>0</v>
      </c>
      <c r="L40" s="115">
        <f t="shared" si="13"/>
        <v>56.925000000000011</v>
      </c>
      <c r="M40" s="115">
        <f t="shared" si="13"/>
        <v>0</v>
      </c>
      <c r="N40" s="115">
        <f t="shared" si="13"/>
        <v>56.925000000000011</v>
      </c>
      <c r="O40" s="115">
        <f t="shared" si="13"/>
        <v>0</v>
      </c>
      <c r="P40" s="115">
        <f t="shared" si="13"/>
        <v>56.925000000000011</v>
      </c>
      <c r="Q40" s="115">
        <f t="shared" si="13"/>
        <v>0</v>
      </c>
      <c r="R40" s="115">
        <f t="shared" si="13"/>
        <v>56.925000000000011</v>
      </c>
      <c r="S40" s="115">
        <f t="shared" si="13"/>
        <v>0</v>
      </c>
      <c r="T40" s="115">
        <f t="shared" si="13"/>
        <v>56.925000000000011</v>
      </c>
      <c r="U40" s="115">
        <f t="shared" si="13"/>
        <v>0</v>
      </c>
      <c r="V40" s="115">
        <f t="shared" si="13"/>
        <v>56.925000000000011</v>
      </c>
      <c r="W40" s="115">
        <f t="shared" si="13"/>
        <v>0</v>
      </c>
      <c r="X40" s="115">
        <f t="shared" si="13"/>
        <v>56.925000000000011</v>
      </c>
      <c r="Y40" s="115">
        <f t="shared" si="13"/>
        <v>0</v>
      </c>
      <c r="Z40" s="115">
        <f t="shared" si="13"/>
        <v>56.925000000000011</v>
      </c>
      <c r="AA40" s="115">
        <f t="shared" si="13"/>
        <v>0</v>
      </c>
      <c r="AB40" s="115">
        <f t="shared" si="13"/>
        <v>56.925000000000011</v>
      </c>
      <c r="AC40" s="115">
        <f t="shared" si="13"/>
        <v>0</v>
      </c>
      <c r="AD40" s="115">
        <f t="shared" si="13"/>
        <v>56.925000000000011</v>
      </c>
      <c r="AE40" s="115">
        <f t="shared" si="13"/>
        <v>0</v>
      </c>
      <c r="AF40" s="115">
        <f t="shared" si="13"/>
        <v>56.925000000000011</v>
      </c>
      <c r="AG40" s="115">
        <f t="shared" si="13"/>
        <v>0</v>
      </c>
      <c r="AH40" s="115">
        <f t="shared" si="13"/>
        <v>56.925000000000011</v>
      </c>
      <c r="AI40" s="115">
        <f t="shared" si="13"/>
        <v>0</v>
      </c>
      <c r="AJ40" s="115">
        <f t="shared" si="13"/>
        <v>56.925000000000011</v>
      </c>
      <c r="AK40" s="115">
        <f t="shared" si="13"/>
        <v>0</v>
      </c>
      <c r="AL40" s="115">
        <f t="shared" si="13"/>
        <v>56.925000000000011</v>
      </c>
      <c r="AM40" s="115">
        <f t="shared" si="13"/>
        <v>0</v>
      </c>
      <c r="AN40" s="115">
        <f t="shared" si="13"/>
        <v>56.925000000000011</v>
      </c>
      <c r="AO40" s="115">
        <f t="shared" si="13"/>
        <v>0</v>
      </c>
      <c r="AP40" s="115">
        <f t="shared" si="13"/>
        <v>0</v>
      </c>
      <c r="AQ40" s="115">
        <f t="shared" si="13"/>
        <v>56.925000000000011</v>
      </c>
      <c r="AR40" s="115">
        <f t="shared" si="13"/>
        <v>0</v>
      </c>
      <c r="AS40" s="115">
        <f t="shared" si="13"/>
        <v>0</v>
      </c>
      <c r="AT40" s="115">
        <f t="shared" si="13"/>
        <v>56.925000000000011</v>
      </c>
      <c r="AU40" s="115">
        <f t="shared" si="13"/>
        <v>0</v>
      </c>
      <c r="AV40" s="115">
        <f t="shared" si="13"/>
        <v>56.925000000000011</v>
      </c>
      <c r="AW40" s="115">
        <f t="shared" si="13"/>
        <v>0</v>
      </c>
      <c r="AX40" s="115">
        <f t="shared" si="13"/>
        <v>56.925000000000011</v>
      </c>
      <c r="AY40" s="115">
        <f t="shared" si="13"/>
        <v>0</v>
      </c>
    </row>
    <row r="41" spans="1:52" x14ac:dyDescent="0.25">
      <c r="A41" s="115"/>
      <c r="B41" s="170" t="s">
        <v>348</v>
      </c>
      <c r="C41" s="115"/>
      <c r="D41" s="115">
        <v>1</v>
      </c>
      <c r="E41" s="115">
        <v>1</v>
      </c>
      <c r="F41" s="115">
        <v>1</v>
      </c>
      <c r="G41" s="115">
        <v>2</v>
      </c>
      <c r="H41" s="115">
        <v>2</v>
      </c>
      <c r="I41" s="115">
        <v>1</v>
      </c>
      <c r="J41" s="115">
        <v>1</v>
      </c>
      <c r="K41" s="115">
        <v>2</v>
      </c>
      <c r="L41" s="115">
        <v>2</v>
      </c>
      <c r="M41" s="115">
        <v>1</v>
      </c>
      <c r="N41" s="115">
        <v>2</v>
      </c>
      <c r="O41" s="115">
        <v>1</v>
      </c>
      <c r="P41" s="115">
        <v>1</v>
      </c>
      <c r="Q41" s="115">
        <v>2</v>
      </c>
      <c r="R41" s="115">
        <v>1</v>
      </c>
      <c r="S41" s="115">
        <v>2</v>
      </c>
      <c r="T41" s="115">
        <v>1</v>
      </c>
      <c r="U41" s="115">
        <v>1</v>
      </c>
      <c r="V41" s="115">
        <v>2</v>
      </c>
      <c r="W41" s="115">
        <v>1</v>
      </c>
      <c r="X41" s="115">
        <v>1</v>
      </c>
      <c r="Y41" s="115">
        <v>2</v>
      </c>
      <c r="Z41" s="115">
        <v>1</v>
      </c>
      <c r="AA41" s="115">
        <v>1</v>
      </c>
      <c r="AB41" s="115">
        <v>2</v>
      </c>
      <c r="AC41" s="115">
        <v>3</v>
      </c>
      <c r="AD41" s="115">
        <v>1</v>
      </c>
      <c r="AE41" s="115">
        <v>2</v>
      </c>
      <c r="AF41" s="115">
        <v>1</v>
      </c>
      <c r="AG41" s="115">
        <v>2</v>
      </c>
      <c r="AH41" s="115">
        <v>3</v>
      </c>
      <c r="AI41" s="115">
        <v>1</v>
      </c>
      <c r="AJ41" s="115">
        <v>2</v>
      </c>
      <c r="AK41" s="115">
        <v>3</v>
      </c>
      <c r="AL41" s="115">
        <v>2</v>
      </c>
      <c r="AM41" s="115">
        <v>1</v>
      </c>
      <c r="AN41" s="115">
        <v>2</v>
      </c>
      <c r="AO41" s="115">
        <v>2</v>
      </c>
      <c r="AP41" s="115">
        <v>3</v>
      </c>
      <c r="AQ41" s="115">
        <v>1</v>
      </c>
      <c r="AR41" s="115">
        <v>2</v>
      </c>
      <c r="AS41" s="115">
        <v>1</v>
      </c>
      <c r="AT41" s="115">
        <v>1</v>
      </c>
      <c r="AU41" s="115">
        <v>2</v>
      </c>
      <c r="AV41" s="115">
        <v>2</v>
      </c>
      <c r="AW41" s="115">
        <v>1</v>
      </c>
      <c r="AX41" s="115">
        <v>1</v>
      </c>
      <c r="AY41" s="115">
        <v>1</v>
      </c>
    </row>
    <row r="42" spans="1:52" x14ac:dyDescent="0.25">
      <c r="A42" s="115"/>
      <c r="B42" s="183" t="s">
        <v>349</v>
      </c>
      <c r="C42" s="115"/>
      <c r="D42" s="115">
        <v>0</v>
      </c>
      <c r="E42" s="115">
        <v>192240</v>
      </c>
      <c r="F42" s="115">
        <v>0</v>
      </c>
      <c r="G42" s="115">
        <v>192240</v>
      </c>
      <c r="H42" s="115">
        <v>0</v>
      </c>
      <c r="I42" s="115">
        <v>192240</v>
      </c>
      <c r="J42" s="115">
        <v>0</v>
      </c>
      <c r="K42" s="115">
        <v>192240</v>
      </c>
      <c r="L42" s="115">
        <v>0</v>
      </c>
      <c r="M42" s="115">
        <v>192240</v>
      </c>
      <c r="N42" s="115">
        <v>0</v>
      </c>
      <c r="O42" s="115">
        <v>192240</v>
      </c>
      <c r="P42" s="115">
        <v>0</v>
      </c>
      <c r="Q42" s="115">
        <v>192240</v>
      </c>
      <c r="R42" s="115">
        <v>0</v>
      </c>
      <c r="S42" s="115">
        <v>192240</v>
      </c>
      <c r="T42" s="115">
        <v>0</v>
      </c>
      <c r="U42" s="115">
        <v>192240</v>
      </c>
      <c r="V42" s="115">
        <v>0</v>
      </c>
      <c r="W42" s="115">
        <v>192240</v>
      </c>
      <c r="X42" s="115">
        <v>0</v>
      </c>
      <c r="Y42" s="115">
        <v>192240</v>
      </c>
      <c r="Z42" s="115">
        <v>0</v>
      </c>
      <c r="AA42" s="115">
        <v>192240</v>
      </c>
      <c r="AB42" s="115">
        <v>0</v>
      </c>
      <c r="AC42" s="115">
        <v>192240</v>
      </c>
      <c r="AD42" s="115">
        <v>0</v>
      </c>
      <c r="AE42" s="115">
        <v>192240</v>
      </c>
      <c r="AF42" s="115">
        <v>0</v>
      </c>
      <c r="AG42" s="115">
        <v>192240</v>
      </c>
      <c r="AH42" s="115">
        <v>0</v>
      </c>
      <c r="AI42" s="115">
        <v>192240</v>
      </c>
      <c r="AJ42" s="115">
        <v>0</v>
      </c>
      <c r="AK42" s="115">
        <v>192240</v>
      </c>
      <c r="AL42" s="115">
        <v>0</v>
      </c>
      <c r="AM42" s="115">
        <v>192240</v>
      </c>
      <c r="AN42" s="115">
        <v>0</v>
      </c>
      <c r="AO42" s="115">
        <v>0</v>
      </c>
      <c r="AP42" s="115">
        <v>192240</v>
      </c>
      <c r="AQ42" s="115">
        <v>0</v>
      </c>
      <c r="AR42" s="115">
        <v>0</v>
      </c>
      <c r="AS42" s="115">
        <v>192240</v>
      </c>
      <c r="AT42" s="115">
        <v>0</v>
      </c>
      <c r="AU42" s="115">
        <v>192240</v>
      </c>
      <c r="AV42" s="115">
        <v>0</v>
      </c>
      <c r="AW42" s="115">
        <v>192240</v>
      </c>
      <c r="AX42" s="115">
        <v>0</v>
      </c>
      <c r="AY42" s="115">
        <v>192240</v>
      </c>
      <c r="AZ42" s="105">
        <f>SUM($D$42:$AY$42)</f>
        <v>4421520</v>
      </c>
    </row>
    <row r="43" spans="1:52" x14ac:dyDescent="0.25">
      <c r="A43" s="115"/>
      <c r="B43" s="183" t="s">
        <v>350</v>
      </c>
      <c r="C43" s="115"/>
      <c r="D43" s="115">
        <v>0</v>
      </c>
      <c r="E43" s="115">
        <v>0</v>
      </c>
      <c r="F43" s="115">
        <v>99915.989062500026</v>
      </c>
      <c r="G43" s="115">
        <v>0</v>
      </c>
      <c r="H43" s="115">
        <v>99915.989062500026</v>
      </c>
      <c r="I43" s="115">
        <v>0</v>
      </c>
      <c r="J43" s="115">
        <v>99915.989062500026</v>
      </c>
      <c r="K43" s="115">
        <v>0</v>
      </c>
      <c r="L43" s="115">
        <v>99915.989062500026</v>
      </c>
      <c r="M43" s="115">
        <v>0</v>
      </c>
      <c r="N43" s="115">
        <v>99915.989062500026</v>
      </c>
      <c r="O43" s="115">
        <v>0</v>
      </c>
      <c r="P43" s="115">
        <v>99915.989062500026</v>
      </c>
      <c r="Q43" s="115">
        <v>0</v>
      </c>
      <c r="R43" s="115">
        <v>99915.989062500026</v>
      </c>
      <c r="S43" s="115">
        <v>0</v>
      </c>
      <c r="T43" s="115">
        <v>99915.989062500026</v>
      </c>
      <c r="U43" s="115">
        <v>0</v>
      </c>
      <c r="V43" s="115">
        <v>99915.989062500026</v>
      </c>
      <c r="W43" s="115">
        <v>0</v>
      </c>
      <c r="X43" s="115">
        <v>99915.989062500026</v>
      </c>
      <c r="Y43" s="115">
        <v>0</v>
      </c>
      <c r="Z43" s="115">
        <v>99915.989062500026</v>
      </c>
      <c r="AA43" s="115">
        <v>0</v>
      </c>
      <c r="AB43" s="115">
        <v>99915.989062500026</v>
      </c>
      <c r="AC43" s="115">
        <v>0</v>
      </c>
      <c r="AD43" s="115">
        <v>99915.989062500026</v>
      </c>
      <c r="AE43" s="115">
        <v>0</v>
      </c>
      <c r="AF43" s="115">
        <v>99915.989062500026</v>
      </c>
      <c r="AG43" s="115">
        <v>0</v>
      </c>
      <c r="AH43" s="115">
        <v>99915.989062500026</v>
      </c>
      <c r="AI43" s="115">
        <v>0</v>
      </c>
      <c r="AJ43" s="115">
        <v>99915.989062500026</v>
      </c>
      <c r="AK43" s="115">
        <v>0</v>
      </c>
      <c r="AL43" s="115">
        <v>99915.989062500026</v>
      </c>
      <c r="AM43" s="115">
        <v>0</v>
      </c>
      <c r="AN43" s="115">
        <v>99915.989062500026</v>
      </c>
      <c r="AO43" s="115">
        <v>0</v>
      </c>
      <c r="AP43" s="115">
        <v>0</v>
      </c>
      <c r="AQ43" s="115">
        <v>99915.989062500026</v>
      </c>
      <c r="AR43" s="115">
        <v>0</v>
      </c>
      <c r="AS43" s="115">
        <v>0</v>
      </c>
      <c r="AT43" s="115">
        <v>99915.989062500026</v>
      </c>
      <c r="AU43" s="115">
        <v>0</v>
      </c>
      <c r="AV43" s="115">
        <v>99915.989062500026</v>
      </c>
      <c r="AW43" s="115">
        <v>0</v>
      </c>
      <c r="AX43" s="115">
        <v>99915.989062500026</v>
      </c>
      <c r="AY43" s="115">
        <v>0</v>
      </c>
      <c r="AZ43" s="105">
        <f>SUM($D$43:$AY$43)</f>
        <v>2198151.7593750004</v>
      </c>
    </row>
    <row r="44" spans="1:52" x14ac:dyDescent="0.25">
      <c r="A44" s="140" t="s">
        <v>59</v>
      </c>
      <c r="B44" s="140" t="s">
        <v>340</v>
      </c>
      <c r="C44" s="129"/>
      <c r="D44" s="129">
        <f>D$21*shipping_manufacturing!$D$28/100</f>
        <v>0</v>
      </c>
      <c r="E44" s="129">
        <f>E$21*shipping_manufacturing!$D$28/100</f>
        <v>97.03125</v>
      </c>
      <c r="F44" s="129">
        <f>F$21*shipping_manufacturing!$D$28/100</f>
        <v>97.03125</v>
      </c>
      <c r="G44" s="129">
        <f>G$21*shipping_manufacturing!$D$28/100</f>
        <v>97.03125</v>
      </c>
      <c r="H44" s="129">
        <f>H$21*shipping_manufacturing!$D$28/100</f>
        <v>97.03125</v>
      </c>
      <c r="I44" s="129">
        <f>I$21*shipping_manufacturing!$D$28/100</f>
        <v>97.03125</v>
      </c>
      <c r="J44" s="129">
        <f>J$21*shipping_manufacturing!$D$28/100</f>
        <v>97.03125</v>
      </c>
      <c r="K44" s="129">
        <f>K$21*shipping_manufacturing!$D$28/100</f>
        <v>97.03125</v>
      </c>
      <c r="L44" s="129">
        <f>L$21*shipping_manufacturing!$D$28/100</f>
        <v>97.03125</v>
      </c>
      <c r="M44" s="129">
        <f>M$21*shipping_manufacturing!$D$28/100</f>
        <v>97.03125</v>
      </c>
      <c r="N44" s="129">
        <f>N$21*shipping_manufacturing!$D$28/100</f>
        <v>97.03125</v>
      </c>
      <c r="O44" s="129">
        <f>O$21*shipping_manufacturing!$D$28/100</f>
        <v>97.03125</v>
      </c>
      <c r="P44" s="129">
        <f>P$21*shipping_manufacturing!$D$28/100</f>
        <v>97.03125</v>
      </c>
      <c r="Q44" s="129">
        <f>Q$21*shipping_manufacturing!$D$28/100</f>
        <v>97.03125</v>
      </c>
      <c r="R44" s="129">
        <f>R$21*shipping_manufacturing!$D$28/100</f>
        <v>97.03125</v>
      </c>
      <c r="S44" s="129">
        <f>S$21*shipping_manufacturing!$D$28/100</f>
        <v>97.03125</v>
      </c>
      <c r="T44" s="129">
        <f>T$21*shipping_manufacturing!$D$28/100</f>
        <v>97.03125</v>
      </c>
      <c r="U44" s="129">
        <f>U$21*shipping_manufacturing!$D$28/100</f>
        <v>97.03125</v>
      </c>
      <c r="V44" s="129">
        <f>V$21*shipping_manufacturing!$D$28/100</f>
        <v>97.03125</v>
      </c>
      <c r="W44" s="129">
        <f>W$21*shipping_manufacturing!$D$28/100</f>
        <v>97.03125</v>
      </c>
      <c r="X44" s="129">
        <f>X$21*shipping_manufacturing!$D$28/100</f>
        <v>97.03125</v>
      </c>
      <c r="Y44" s="129">
        <f>Y$21*shipping_manufacturing!$D$28/100</f>
        <v>97.03125</v>
      </c>
      <c r="Z44" s="129">
        <f>Z$21*shipping_manufacturing!$D$28/100</f>
        <v>97.03125</v>
      </c>
      <c r="AA44" s="129">
        <f>AA$21*shipping_manufacturing!$D$28/100</f>
        <v>97.03125</v>
      </c>
      <c r="AB44" s="129">
        <f>AB$21*shipping_manufacturing!$D$28/100</f>
        <v>97.03125</v>
      </c>
      <c r="AC44" s="129">
        <f>AC$21*shipping_manufacturing!$D$28/100</f>
        <v>97.03125</v>
      </c>
      <c r="AD44" s="129">
        <f>AD$21*shipping_manufacturing!$D$28/100</f>
        <v>97.03125</v>
      </c>
      <c r="AE44" s="129">
        <f>AE$21*shipping_manufacturing!$D$28/100</f>
        <v>97.03125</v>
      </c>
      <c r="AF44" s="129">
        <f>AF$21*shipping_manufacturing!$D$28/100</f>
        <v>97.03125</v>
      </c>
      <c r="AG44" s="129">
        <f>AG$21*shipping_manufacturing!$D$28/100</f>
        <v>97.03125</v>
      </c>
      <c r="AH44" s="129">
        <f>AH$21*shipping_manufacturing!$D$28/100</f>
        <v>97.03125</v>
      </c>
      <c r="AI44" s="129">
        <f>AI$21*shipping_manufacturing!$D$28/100</f>
        <v>97.03125</v>
      </c>
      <c r="AJ44" s="129">
        <f>AJ$21*shipping_manufacturing!$D$28/100</f>
        <v>97.03125</v>
      </c>
      <c r="AK44" s="129">
        <f>AK$21*shipping_manufacturing!$D$28/100</f>
        <v>97.03125</v>
      </c>
      <c r="AL44" s="129">
        <f>AL$21*shipping_manufacturing!$D$28/100</f>
        <v>97.03125</v>
      </c>
      <c r="AM44" s="129">
        <f>AM$21*shipping_manufacturing!$D$28/100</f>
        <v>97.03125</v>
      </c>
      <c r="AN44" s="129">
        <f>AN$21*shipping_manufacturing!$D$28/100</f>
        <v>97.03125</v>
      </c>
      <c r="AO44" s="129">
        <f>AO$21*shipping_manufacturing!$D$28/100</f>
        <v>0</v>
      </c>
      <c r="AP44" s="129">
        <f>AP$21*shipping_manufacturing!$D$28/100</f>
        <v>97.03125</v>
      </c>
      <c r="AQ44" s="129">
        <f>AQ$21*shipping_manufacturing!$D$28/100</f>
        <v>97.03125</v>
      </c>
      <c r="AR44" s="129">
        <f>AR$21*shipping_manufacturing!$D$28/100</f>
        <v>0</v>
      </c>
      <c r="AS44" s="129">
        <f>AS$21*shipping_manufacturing!$D$28/100</f>
        <v>97.03125</v>
      </c>
      <c r="AT44" s="129">
        <f>AT$21*shipping_manufacturing!$D$28/100</f>
        <v>97.03125</v>
      </c>
      <c r="AU44" s="129">
        <f>AU$21*shipping_manufacturing!$D$28/100</f>
        <v>97.03125</v>
      </c>
      <c r="AV44" s="129">
        <f>AV$21*shipping_manufacturing!$D$28/100</f>
        <v>97.03125</v>
      </c>
      <c r="AW44" s="129">
        <f>AW$21*shipping_manufacturing!$D$28/100</f>
        <v>97.03125</v>
      </c>
      <c r="AX44" s="129">
        <f>AX$21*shipping_manufacturing!$D$28/100</f>
        <v>97.03125</v>
      </c>
      <c r="AY44" s="129">
        <f>AY$21*shipping_manufacturing!$D$28/100</f>
        <v>97.03125</v>
      </c>
    </row>
    <row r="45" spans="1:52" x14ac:dyDescent="0.25">
      <c r="A45" s="118" t="s">
        <v>339</v>
      </c>
      <c r="B45" s="170" t="s">
        <v>341</v>
      </c>
      <c r="C45" s="115"/>
      <c r="D45" s="115">
        <f>D$22*shipping_manufacturing!$E$28/100</f>
        <v>0</v>
      </c>
      <c r="E45" s="115">
        <f>E$22*shipping_manufacturing!$E$28/100</f>
        <v>132.82500000000002</v>
      </c>
      <c r="F45" s="115">
        <f>F$22*shipping_manufacturing!$E$28/100</f>
        <v>132.82500000000002</v>
      </c>
      <c r="G45" s="115">
        <f>G$22*shipping_manufacturing!$E$28/100</f>
        <v>132.82500000000002</v>
      </c>
      <c r="H45" s="115">
        <f>H$22*shipping_manufacturing!$E$28/100</f>
        <v>132.82500000000002</v>
      </c>
      <c r="I45" s="115">
        <f>I$22*shipping_manufacturing!$E$28/100</f>
        <v>132.82500000000002</v>
      </c>
      <c r="J45" s="115">
        <f>J$22*shipping_manufacturing!$E$28/100</f>
        <v>132.82500000000002</v>
      </c>
      <c r="K45" s="115">
        <f>K$22*shipping_manufacturing!$E$28/100</f>
        <v>132.82500000000002</v>
      </c>
      <c r="L45" s="115">
        <f>L$22*shipping_manufacturing!$E$28/100</f>
        <v>132.82500000000002</v>
      </c>
      <c r="M45" s="115">
        <f>M$22*shipping_manufacturing!$E$28/100</f>
        <v>132.82500000000002</v>
      </c>
      <c r="N45" s="115">
        <f>N$22*shipping_manufacturing!$E$28/100</f>
        <v>132.82500000000002</v>
      </c>
      <c r="O45" s="115">
        <f>O$22*shipping_manufacturing!$E$28/100</f>
        <v>132.82500000000002</v>
      </c>
      <c r="P45" s="115">
        <f>P$22*shipping_manufacturing!$E$28/100</f>
        <v>132.82500000000002</v>
      </c>
      <c r="Q45" s="115">
        <f>Q$22*shipping_manufacturing!$E$28/100</f>
        <v>132.82500000000002</v>
      </c>
      <c r="R45" s="115">
        <f>R$22*shipping_manufacturing!$E$28/100</f>
        <v>132.82500000000002</v>
      </c>
      <c r="S45" s="115">
        <f>S$22*shipping_manufacturing!$E$28/100</f>
        <v>132.82500000000002</v>
      </c>
      <c r="T45" s="115">
        <f>T$22*shipping_manufacturing!$E$28/100</f>
        <v>132.82500000000002</v>
      </c>
      <c r="U45" s="115">
        <f>U$22*shipping_manufacturing!$E$28/100</f>
        <v>132.82500000000002</v>
      </c>
      <c r="V45" s="115">
        <f>V$22*shipping_manufacturing!$E$28/100</f>
        <v>132.82500000000002</v>
      </c>
      <c r="W45" s="115">
        <f>W$22*shipping_manufacturing!$E$28/100</f>
        <v>132.82500000000002</v>
      </c>
      <c r="X45" s="115">
        <f>X$22*shipping_manufacturing!$E$28/100</f>
        <v>132.82500000000002</v>
      </c>
      <c r="Y45" s="115">
        <f>Y$22*shipping_manufacturing!$E$28/100</f>
        <v>132.82500000000002</v>
      </c>
      <c r="Z45" s="115">
        <f>Z$22*shipping_manufacturing!$E$28/100</f>
        <v>132.82500000000002</v>
      </c>
      <c r="AA45" s="115">
        <f>AA$22*shipping_manufacturing!$E$28/100</f>
        <v>132.82500000000002</v>
      </c>
      <c r="AB45" s="115">
        <f>AB$22*shipping_manufacturing!$E$28/100</f>
        <v>132.82500000000002</v>
      </c>
      <c r="AC45" s="115">
        <f>AC$22*shipping_manufacturing!$E$28/100</f>
        <v>132.82500000000002</v>
      </c>
      <c r="AD45" s="115">
        <f>AD$22*shipping_manufacturing!$E$28/100</f>
        <v>132.82500000000002</v>
      </c>
      <c r="AE45" s="115">
        <f>AE$22*shipping_manufacturing!$E$28/100</f>
        <v>132.82500000000002</v>
      </c>
      <c r="AF45" s="115">
        <f>AF$22*shipping_manufacturing!$E$28/100</f>
        <v>132.82500000000002</v>
      </c>
      <c r="AG45" s="115">
        <f>AG$22*shipping_manufacturing!$E$28/100</f>
        <v>132.82500000000002</v>
      </c>
      <c r="AH45" s="115">
        <f>AH$22*shipping_manufacturing!$E$28/100</f>
        <v>132.82500000000002</v>
      </c>
      <c r="AI45" s="115">
        <f>AI$22*shipping_manufacturing!$E$28/100</f>
        <v>132.82500000000002</v>
      </c>
      <c r="AJ45" s="115">
        <f>AJ$22*shipping_manufacturing!$E$28/100</f>
        <v>132.82500000000002</v>
      </c>
      <c r="AK45" s="115">
        <f>AK$22*shipping_manufacturing!$E$28/100</f>
        <v>132.82500000000002</v>
      </c>
      <c r="AL45" s="115">
        <f>AL$22*shipping_manufacturing!$E$28/100</f>
        <v>132.82500000000002</v>
      </c>
      <c r="AM45" s="115">
        <f>AM$22*shipping_manufacturing!$E$28/100</f>
        <v>132.82500000000002</v>
      </c>
      <c r="AN45" s="115">
        <f>AN$22*shipping_manufacturing!$E$28/100</f>
        <v>132.82500000000002</v>
      </c>
      <c r="AO45" s="115">
        <f>AO$22*shipping_manufacturing!$E$28/100</f>
        <v>0</v>
      </c>
      <c r="AP45" s="115">
        <f>AP$22*shipping_manufacturing!$E$28/100</f>
        <v>132.82500000000002</v>
      </c>
      <c r="AQ45" s="115">
        <f>AQ$22*shipping_manufacturing!$E$28/100</f>
        <v>132.82500000000002</v>
      </c>
      <c r="AR45" s="115">
        <f>AR$22*shipping_manufacturing!$E$28/100</f>
        <v>0</v>
      </c>
      <c r="AS45" s="115">
        <f>AS$22*shipping_manufacturing!$E$28/100</f>
        <v>132.82500000000002</v>
      </c>
      <c r="AT45" s="115">
        <f>AT$22*shipping_manufacturing!$E$28/100</f>
        <v>132.82500000000002</v>
      </c>
      <c r="AU45" s="115">
        <f>AU$22*shipping_manufacturing!$E$28/100</f>
        <v>132.82500000000002</v>
      </c>
      <c r="AV45" s="115">
        <f>AV$22*shipping_manufacturing!$E$28/100</f>
        <v>132.82500000000002</v>
      </c>
      <c r="AW45" s="115">
        <f>AW$22*shipping_manufacturing!$E$28/100</f>
        <v>132.82500000000002</v>
      </c>
      <c r="AX45" s="115">
        <f>AX$22*shipping_manufacturing!$E$28/100</f>
        <v>132.82500000000002</v>
      </c>
      <c r="AY45" s="115">
        <f>AY$22*shipping_manufacturing!$E$28/100</f>
        <v>132.82500000000002</v>
      </c>
    </row>
    <row r="46" spans="1:52" x14ac:dyDescent="0.25">
      <c r="A46" s="115">
        <v>718</v>
      </c>
      <c r="B46" s="170" t="s">
        <v>342</v>
      </c>
      <c r="C46" s="115"/>
      <c r="D46" s="115">
        <f>SUM(D44:D45)</f>
        <v>0</v>
      </c>
      <c r="E46" s="115">
        <f t="shared" ref="E46:AY46" si="14">SUM(E44:E45)</f>
        <v>229.85625000000002</v>
      </c>
      <c r="F46" s="115">
        <f t="shared" si="14"/>
        <v>229.85625000000002</v>
      </c>
      <c r="G46" s="115">
        <f t="shared" si="14"/>
        <v>229.85625000000002</v>
      </c>
      <c r="H46" s="115">
        <f t="shared" si="14"/>
        <v>229.85625000000002</v>
      </c>
      <c r="I46" s="115">
        <f t="shared" si="14"/>
        <v>229.85625000000002</v>
      </c>
      <c r="J46" s="115">
        <f t="shared" si="14"/>
        <v>229.85625000000002</v>
      </c>
      <c r="K46" s="115">
        <f t="shared" si="14"/>
        <v>229.85625000000002</v>
      </c>
      <c r="L46" s="115">
        <f t="shared" si="14"/>
        <v>229.85625000000002</v>
      </c>
      <c r="M46" s="115">
        <f t="shared" si="14"/>
        <v>229.85625000000002</v>
      </c>
      <c r="N46" s="115">
        <f t="shared" si="14"/>
        <v>229.85625000000002</v>
      </c>
      <c r="O46" s="115">
        <f t="shared" si="14"/>
        <v>229.85625000000002</v>
      </c>
      <c r="P46" s="115">
        <f t="shared" si="14"/>
        <v>229.85625000000002</v>
      </c>
      <c r="Q46" s="115">
        <f t="shared" si="14"/>
        <v>229.85625000000002</v>
      </c>
      <c r="R46" s="115">
        <f t="shared" si="14"/>
        <v>229.85625000000002</v>
      </c>
      <c r="S46" s="115">
        <f t="shared" si="14"/>
        <v>229.85625000000002</v>
      </c>
      <c r="T46" s="115">
        <f t="shared" si="14"/>
        <v>229.85625000000002</v>
      </c>
      <c r="U46" s="115">
        <f t="shared" si="14"/>
        <v>229.85625000000002</v>
      </c>
      <c r="V46" s="115">
        <f t="shared" si="14"/>
        <v>229.85625000000002</v>
      </c>
      <c r="W46" s="115">
        <f t="shared" si="14"/>
        <v>229.85625000000002</v>
      </c>
      <c r="X46" s="115">
        <f t="shared" si="14"/>
        <v>229.85625000000002</v>
      </c>
      <c r="Y46" s="115">
        <f t="shared" si="14"/>
        <v>229.85625000000002</v>
      </c>
      <c r="Z46" s="115">
        <f t="shared" si="14"/>
        <v>229.85625000000002</v>
      </c>
      <c r="AA46" s="115">
        <f t="shared" si="14"/>
        <v>229.85625000000002</v>
      </c>
      <c r="AB46" s="115">
        <f t="shared" si="14"/>
        <v>229.85625000000002</v>
      </c>
      <c r="AC46" s="115">
        <f t="shared" si="14"/>
        <v>229.85625000000002</v>
      </c>
      <c r="AD46" s="115">
        <f t="shared" si="14"/>
        <v>229.85625000000002</v>
      </c>
      <c r="AE46" s="115">
        <f t="shared" si="14"/>
        <v>229.85625000000002</v>
      </c>
      <c r="AF46" s="115">
        <f t="shared" si="14"/>
        <v>229.85625000000002</v>
      </c>
      <c r="AG46" s="115">
        <f t="shared" si="14"/>
        <v>229.85625000000002</v>
      </c>
      <c r="AH46" s="115">
        <f t="shared" si="14"/>
        <v>229.85625000000002</v>
      </c>
      <c r="AI46" s="115">
        <f t="shared" si="14"/>
        <v>229.85625000000002</v>
      </c>
      <c r="AJ46" s="115">
        <f t="shared" si="14"/>
        <v>229.85625000000002</v>
      </c>
      <c r="AK46" s="115">
        <f t="shared" si="14"/>
        <v>229.85625000000002</v>
      </c>
      <c r="AL46" s="115">
        <f t="shared" si="14"/>
        <v>229.85625000000002</v>
      </c>
      <c r="AM46" s="115">
        <f t="shared" si="14"/>
        <v>229.85625000000002</v>
      </c>
      <c r="AN46" s="115">
        <f t="shared" si="14"/>
        <v>229.85625000000002</v>
      </c>
      <c r="AO46" s="115">
        <f t="shared" si="14"/>
        <v>0</v>
      </c>
      <c r="AP46" s="115">
        <f t="shared" si="14"/>
        <v>229.85625000000002</v>
      </c>
      <c r="AQ46" s="115">
        <f t="shared" si="14"/>
        <v>229.85625000000002</v>
      </c>
      <c r="AR46" s="115">
        <f t="shared" si="14"/>
        <v>0</v>
      </c>
      <c r="AS46" s="115">
        <f t="shared" si="14"/>
        <v>229.85625000000002</v>
      </c>
      <c r="AT46" s="115">
        <f t="shared" si="14"/>
        <v>229.85625000000002</v>
      </c>
      <c r="AU46" s="115">
        <f t="shared" si="14"/>
        <v>229.85625000000002</v>
      </c>
      <c r="AV46" s="115">
        <f t="shared" si="14"/>
        <v>229.85625000000002</v>
      </c>
      <c r="AW46" s="115">
        <f t="shared" si="14"/>
        <v>229.85625000000002</v>
      </c>
      <c r="AX46" s="115">
        <f t="shared" si="14"/>
        <v>229.85625000000002</v>
      </c>
      <c r="AY46" s="115">
        <f t="shared" si="14"/>
        <v>229.85625000000002</v>
      </c>
    </row>
    <row r="47" spans="1:52" x14ac:dyDescent="0.25">
      <c r="A47" s="115"/>
      <c r="B47" s="170" t="s">
        <v>343</v>
      </c>
      <c r="C47" s="115"/>
      <c r="D47" s="115"/>
      <c r="E47" s="115">
        <v>88.649155722326441</v>
      </c>
      <c r="F47" s="115"/>
      <c r="G47" s="115">
        <v>88.649155722326441</v>
      </c>
      <c r="H47" s="115"/>
      <c r="I47" s="115">
        <v>88.649155722326441</v>
      </c>
      <c r="J47" s="115"/>
      <c r="K47" s="115">
        <v>88.649155722326441</v>
      </c>
      <c r="L47" s="115"/>
      <c r="M47" s="115">
        <v>88.649155722326441</v>
      </c>
      <c r="N47" s="115"/>
      <c r="O47" s="115">
        <v>88.649155722326441</v>
      </c>
      <c r="P47" s="115"/>
      <c r="Q47" s="115">
        <v>88.649155722326441</v>
      </c>
      <c r="R47" s="115"/>
      <c r="S47" s="115">
        <v>88.649155722326441</v>
      </c>
      <c r="T47" s="115"/>
      <c r="U47" s="115">
        <v>88.649155722326441</v>
      </c>
      <c r="V47" s="115"/>
      <c r="W47" s="115">
        <v>88.649155722326441</v>
      </c>
      <c r="X47" s="115"/>
      <c r="Y47" s="115">
        <v>88.649155722326441</v>
      </c>
      <c r="Z47" s="115"/>
      <c r="AA47" s="115">
        <v>88.649155722326441</v>
      </c>
      <c r="AB47" s="115"/>
      <c r="AC47" s="115">
        <v>88.649155722326441</v>
      </c>
      <c r="AD47" s="115"/>
      <c r="AE47" s="115">
        <v>88.649155722326441</v>
      </c>
      <c r="AF47" s="115"/>
      <c r="AG47" s="115">
        <v>88.649155722326441</v>
      </c>
      <c r="AH47" s="115"/>
      <c r="AI47" s="115">
        <v>88.649155722326441</v>
      </c>
      <c r="AJ47" s="115"/>
      <c r="AK47" s="115">
        <v>88.649155722326441</v>
      </c>
      <c r="AL47" s="115"/>
      <c r="AM47" s="115">
        <v>88.649155722326441</v>
      </c>
      <c r="AN47" s="115"/>
      <c r="AO47" s="115"/>
      <c r="AP47" s="115">
        <v>88.649155722326441</v>
      </c>
      <c r="AQ47" s="115"/>
      <c r="AR47" s="115"/>
      <c r="AS47" s="115">
        <v>88.649155722326441</v>
      </c>
      <c r="AT47" s="115"/>
      <c r="AU47" s="115">
        <v>88.649155722326441</v>
      </c>
      <c r="AV47" s="115"/>
      <c r="AW47" s="115">
        <v>88.649155722326441</v>
      </c>
      <c r="AX47" s="115"/>
      <c r="AY47" s="115">
        <v>88.649155722326441</v>
      </c>
    </row>
    <row r="48" spans="1:52" x14ac:dyDescent="0.25">
      <c r="A48" s="115"/>
      <c r="B48" s="170" t="s">
        <v>344</v>
      </c>
      <c r="C48" s="115"/>
      <c r="D48" s="115"/>
      <c r="E48" s="115">
        <v>121.35084427767356</v>
      </c>
      <c r="F48" s="115"/>
      <c r="G48" s="115">
        <v>121.35084427767356</v>
      </c>
      <c r="H48" s="115"/>
      <c r="I48" s="115">
        <v>121.35084427767356</v>
      </c>
      <c r="J48" s="115"/>
      <c r="K48" s="115">
        <v>121.35084427767356</v>
      </c>
      <c r="L48" s="115"/>
      <c r="M48" s="115">
        <v>121.35084427767356</v>
      </c>
      <c r="N48" s="115"/>
      <c r="O48" s="115">
        <v>121.35084427767356</v>
      </c>
      <c r="P48" s="115"/>
      <c r="Q48" s="115">
        <v>121.35084427767356</v>
      </c>
      <c r="R48" s="115"/>
      <c r="S48" s="115">
        <v>121.35084427767356</v>
      </c>
      <c r="T48" s="115"/>
      <c r="U48" s="115">
        <v>121.35084427767356</v>
      </c>
      <c r="V48" s="115"/>
      <c r="W48" s="115">
        <v>121.35084427767356</v>
      </c>
      <c r="X48" s="115"/>
      <c r="Y48" s="115">
        <v>121.35084427767356</v>
      </c>
      <c r="Z48" s="115"/>
      <c r="AA48" s="115">
        <v>121.35084427767356</v>
      </c>
      <c r="AB48" s="115"/>
      <c r="AC48" s="115">
        <v>121.35084427767356</v>
      </c>
      <c r="AD48" s="115"/>
      <c r="AE48" s="115">
        <v>121.35084427767356</v>
      </c>
      <c r="AF48" s="115"/>
      <c r="AG48" s="115">
        <v>121.35084427767356</v>
      </c>
      <c r="AH48" s="115"/>
      <c r="AI48" s="115">
        <v>121.35084427767356</v>
      </c>
      <c r="AJ48" s="115"/>
      <c r="AK48" s="115">
        <v>121.35084427767356</v>
      </c>
      <c r="AL48" s="115"/>
      <c r="AM48" s="115">
        <v>121.35084427767356</v>
      </c>
      <c r="AN48" s="115"/>
      <c r="AO48" s="115"/>
      <c r="AP48" s="115">
        <v>121.35084427767356</v>
      </c>
      <c r="AQ48" s="115"/>
      <c r="AR48" s="115"/>
      <c r="AS48" s="115">
        <v>121.35084427767356</v>
      </c>
      <c r="AT48" s="115"/>
      <c r="AU48" s="115">
        <v>121.35084427767356</v>
      </c>
      <c r="AV48" s="115"/>
      <c r="AW48" s="115">
        <v>121.35084427767356</v>
      </c>
      <c r="AX48" s="115"/>
      <c r="AY48" s="115">
        <v>121.35084427767356</v>
      </c>
    </row>
    <row r="49" spans="1:52" x14ac:dyDescent="0.25">
      <c r="A49" s="115"/>
      <c r="B49" s="170" t="s">
        <v>345</v>
      </c>
      <c r="C49" s="115"/>
      <c r="D49" s="115"/>
      <c r="E49" s="115">
        <v>7</v>
      </c>
      <c r="F49" s="115"/>
      <c r="G49" s="115">
        <v>7</v>
      </c>
      <c r="H49" s="115"/>
      <c r="I49" s="115">
        <v>7</v>
      </c>
      <c r="J49" s="115"/>
      <c r="K49" s="115">
        <v>7</v>
      </c>
      <c r="L49" s="115"/>
      <c r="M49" s="115">
        <v>7</v>
      </c>
      <c r="N49" s="115"/>
      <c r="O49" s="115">
        <v>7</v>
      </c>
      <c r="P49" s="115"/>
      <c r="Q49" s="115">
        <v>7</v>
      </c>
      <c r="R49" s="115"/>
      <c r="S49" s="115">
        <v>7</v>
      </c>
      <c r="T49" s="115"/>
      <c r="U49" s="115">
        <v>7</v>
      </c>
      <c r="V49" s="115"/>
      <c r="W49" s="115">
        <v>7</v>
      </c>
      <c r="X49" s="115"/>
      <c r="Y49" s="115">
        <v>7</v>
      </c>
      <c r="Z49" s="115"/>
      <c r="AA49" s="115">
        <v>7</v>
      </c>
      <c r="AB49" s="115"/>
      <c r="AC49" s="115">
        <v>7</v>
      </c>
      <c r="AD49" s="115"/>
      <c r="AE49" s="115">
        <v>7</v>
      </c>
      <c r="AF49" s="115"/>
      <c r="AG49" s="115">
        <v>7</v>
      </c>
      <c r="AH49" s="115"/>
      <c r="AI49" s="115">
        <v>7</v>
      </c>
      <c r="AJ49" s="115"/>
      <c r="AK49" s="115">
        <v>7</v>
      </c>
      <c r="AL49" s="115"/>
      <c r="AM49" s="115">
        <v>7</v>
      </c>
      <c r="AN49" s="115"/>
      <c r="AO49" s="115"/>
      <c r="AP49" s="115">
        <v>7</v>
      </c>
      <c r="AQ49" s="115"/>
      <c r="AR49" s="115"/>
      <c r="AS49" s="115">
        <v>7</v>
      </c>
      <c r="AT49" s="115"/>
      <c r="AU49" s="115">
        <v>7</v>
      </c>
      <c r="AV49" s="115"/>
      <c r="AW49" s="115">
        <v>7</v>
      </c>
      <c r="AX49" s="115"/>
      <c r="AY49" s="115">
        <v>7</v>
      </c>
    </row>
    <row r="50" spans="1:52" x14ac:dyDescent="0.25">
      <c r="A50" s="115"/>
      <c r="B50" s="170" t="s">
        <v>346</v>
      </c>
      <c r="C50" s="115"/>
      <c r="D50" s="115">
        <f>D44-D47</f>
        <v>0</v>
      </c>
      <c r="E50" s="115">
        <f t="shared" ref="E50:AY50" si="15">E44-E47</f>
        <v>8.3820942776735592</v>
      </c>
      <c r="F50" s="115">
        <f t="shared" si="15"/>
        <v>97.03125</v>
      </c>
      <c r="G50" s="115">
        <f t="shared" si="15"/>
        <v>8.3820942776735592</v>
      </c>
      <c r="H50" s="115">
        <f t="shared" si="15"/>
        <v>97.03125</v>
      </c>
      <c r="I50" s="115">
        <f t="shared" si="15"/>
        <v>8.3820942776735592</v>
      </c>
      <c r="J50" s="115">
        <f t="shared" si="15"/>
        <v>97.03125</v>
      </c>
      <c r="K50" s="115">
        <f t="shared" si="15"/>
        <v>8.3820942776735592</v>
      </c>
      <c r="L50" s="115">
        <f t="shared" si="15"/>
        <v>97.03125</v>
      </c>
      <c r="M50" s="115">
        <f t="shared" si="15"/>
        <v>8.3820942776735592</v>
      </c>
      <c r="N50" s="115">
        <f t="shared" si="15"/>
        <v>97.03125</v>
      </c>
      <c r="O50" s="115">
        <f t="shared" si="15"/>
        <v>8.3820942776735592</v>
      </c>
      <c r="P50" s="115">
        <f t="shared" si="15"/>
        <v>97.03125</v>
      </c>
      <c r="Q50" s="115">
        <f t="shared" si="15"/>
        <v>8.3820942776735592</v>
      </c>
      <c r="R50" s="115">
        <f t="shared" si="15"/>
        <v>97.03125</v>
      </c>
      <c r="S50" s="115">
        <f t="shared" si="15"/>
        <v>8.3820942776735592</v>
      </c>
      <c r="T50" s="115">
        <f t="shared" si="15"/>
        <v>97.03125</v>
      </c>
      <c r="U50" s="115">
        <f t="shared" si="15"/>
        <v>8.3820942776735592</v>
      </c>
      <c r="V50" s="115">
        <f t="shared" si="15"/>
        <v>97.03125</v>
      </c>
      <c r="W50" s="115">
        <f t="shared" si="15"/>
        <v>8.3820942776735592</v>
      </c>
      <c r="X50" s="115">
        <f t="shared" si="15"/>
        <v>97.03125</v>
      </c>
      <c r="Y50" s="115">
        <f t="shared" si="15"/>
        <v>8.3820942776735592</v>
      </c>
      <c r="Z50" s="115">
        <f t="shared" si="15"/>
        <v>97.03125</v>
      </c>
      <c r="AA50" s="115">
        <f t="shared" si="15"/>
        <v>8.3820942776735592</v>
      </c>
      <c r="AB50" s="115">
        <f t="shared" si="15"/>
        <v>97.03125</v>
      </c>
      <c r="AC50" s="115">
        <f t="shared" si="15"/>
        <v>8.3820942776735592</v>
      </c>
      <c r="AD50" s="115">
        <f t="shared" si="15"/>
        <v>97.03125</v>
      </c>
      <c r="AE50" s="115">
        <f t="shared" si="15"/>
        <v>8.3820942776735592</v>
      </c>
      <c r="AF50" s="115">
        <f t="shared" si="15"/>
        <v>97.03125</v>
      </c>
      <c r="AG50" s="115">
        <f t="shared" si="15"/>
        <v>8.3820942776735592</v>
      </c>
      <c r="AH50" s="115">
        <f t="shared" si="15"/>
        <v>97.03125</v>
      </c>
      <c r="AI50" s="115">
        <f t="shared" si="15"/>
        <v>8.3820942776735592</v>
      </c>
      <c r="AJ50" s="115">
        <f t="shared" si="15"/>
        <v>97.03125</v>
      </c>
      <c r="AK50" s="115">
        <f t="shared" si="15"/>
        <v>8.3820942776735592</v>
      </c>
      <c r="AL50" s="115">
        <f t="shared" si="15"/>
        <v>97.03125</v>
      </c>
      <c r="AM50" s="115">
        <f t="shared" si="15"/>
        <v>8.3820942776735592</v>
      </c>
      <c r="AN50" s="115">
        <f t="shared" si="15"/>
        <v>97.03125</v>
      </c>
      <c r="AO50" s="115">
        <f t="shared" si="15"/>
        <v>0</v>
      </c>
      <c r="AP50" s="115">
        <f t="shared" si="15"/>
        <v>8.3820942776735592</v>
      </c>
      <c r="AQ50" s="115">
        <f t="shared" si="15"/>
        <v>97.03125</v>
      </c>
      <c r="AR50" s="115">
        <f t="shared" si="15"/>
        <v>0</v>
      </c>
      <c r="AS50" s="115">
        <f t="shared" si="15"/>
        <v>8.3820942776735592</v>
      </c>
      <c r="AT50" s="115">
        <f t="shared" si="15"/>
        <v>97.03125</v>
      </c>
      <c r="AU50" s="115">
        <f t="shared" si="15"/>
        <v>8.3820942776735592</v>
      </c>
      <c r="AV50" s="115">
        <f t="shared" si="15"/>
        <v>97.03125</v>
      </c>
      <c r="AW50" s="115">
        <f t="shared" si="15"/>
        <v>8.3820942776735592</v>
      </c>
      <c r="AX50" s="115">
        <f t="shared" si="15"/>
        <v>97.03125</v>
      </c>
      <c r="AY50" s="115">
        <f t="shared" si="15"/>
        <v>8.3820942776735592</v>
      </c>
    </row>
    <row r="51" spans="1:52" x14ac:dyDescent="0.25">
      <c r="A51" s="115"/>
      <c r="B51" s="170" t="s">
        <v>347</v>
      </c>
      <c r="C51" s="115"/>
      <c r="D51" s="115">
        <f>D45-D48</f>
        <v>0</v>
      </c>
      <c r="E51" s="115">
        <f t="shared" ref="E51:AY51" si="16">E45-E48</f>
        <v>11.474155722326458</v>
      </c>
      <c r="F51" s="115">
        <f t="shared" si="16"/>
        <v>132.82500000000002</v>
      </c>
      <c r="G51" s="115">
        <f t="shared" si="16"/>
        <v>11.474155722326458</v>
      </c>
      <c r="H51" s="115">
        <f t="shared" si="16"/>
        <v>132.82500000000002</v>
      </c>
      <c r="I51" s="115">
        <f t="shared" si="16"/>
        <v>11.474155722326458</v>
      </c>
      <c r="J51" s="115">
        <f t="shared" si="16"/>
        <v>132.82500000000002</v>
      </c>
      <c r="K51" s="115">
        <f t="shared" si="16"/>
        <v>11.474155722326458</v>
      </c>
      <c r="L51" s="115">
        <f t="shared" si="16"/>
        <v>132.82500000000002</v>
      </c>
      <c r="M51" s="115">
        <f t="shared" si="16"/>
        <v>11.474155722326458</v>
      </c>
      <c r="N51" s="115">
        <f t="shared" si="16"/>
        <v>132.82500000000002</v>
      </c>
      <c r="O51" s="115">
        <f t="shared" si="16"/>
        <v>11.474155722326458</v>
      </c>
      <c r="P51" s="115">
        <f t="shared" si="16"/>
        <v>132.82500000000002</v>
      </c>
      <c r="Q51" s="115">
        <f t="shared" si="16"/>
        <v>11.474155722326458</v>
      </c>
      <c r="R51" s="115">
        <f t="shared" si="16"/>
        <v>132.82500000000002</v>
      </c>
      <c r="S51" s="115">
        <f t="shared" si="16"/>
        <v>11.474155722326458</v>
      </c>
      <c r="T51" s="115">
        <f t="shared" si="16"/>
        <v>132.82500000000002</v>
      </c>
      <c r="U51" s="115">
        <f t="shared" si="16"/>
        <v>11.474155722326458</v>
      </c>
      <c r="V51" s="115">
        <f t="shared" si="16"/>
        <v>132.82500000000002</v>
      </c>
      <c r="W51" s="115">
        <f t="shared" si="16"/>
        <v>11.474155722326458</v>
      </c>
      <c r="X51" s="115">
        <f t="shared" si="16"/>
        <v>132.82500000000002</v>
      </c>
      <c r="Y51" s="115">
        <f t="shared" si="16"/>
        <v>11.474155722326458</v>
      </c>
      <c r="Z51" s="115">
        <f t="shared" si="16"/>
        <v>132.82500000000002</v>
      </c>
      <c r="AA51" s="115">
        <f t="shared" si="16"/>
        <v>11.474155722326458</v>
      </c>
      <c r="AB51" s="115">
        <f t="shared" si="16"/>
        <v>132.82500000000002</v>
      </c>
      <c r="AC51" s="115">
        <f t="shared" si="16"/>
        <v>11.474155722326458</v>
      </c>
      <c r="AD51" s="115">
        <f t="shared" si="16"/>
        <v>132.82500000000002</v>
      </c>
      <c r="AE51" s="115">
        <f t="shared" si="16"/>
        <v>11.474155722326458</v>
      </c>
      <c r="AF51" s="115">
        <f t="shared" si="16"/>
        <v>132.82500000000002</v>
      </c>
      <c r="AG51" s="115">
        <f t="shared" si="16"/>
        <v>11.474155722326458</v>
      </c>
      <c r="AH51" s="115">
        <f t="shared" si="16"/>
        <v>132.82500000000002</v>
      </c>
      <c r="AI51" s="115">
        <f t="shared" si="16"/>
        <v>11.474155722326458</v>
      </c>
      <c r="AJ51" s="115">
        <f t="shared" si="16"/>
        <v>132.82500000000002</v>
      </c>
      <c r="AK51" s="115">
        <f t="shared" si="16"/>
        <v>11.474155722326458</v>
      </c>
      <c r="AL51" s="115">
        <f t="shared" si="16"/>
        <v>132.82500000000002</v>
      </c>
      <c r="AM51" s="115">
        <f t="shared" si="16"/>
        <v>11.474155722326458</v>
      </c>
      <c r="AN51" s="115">
        <f t="shared" si="16"/>
        <v>132.82500000000002</v>
      </c>
      <c r="AO51" s="115">
        <f t="shared" si="16"/>
        <v>0</v>
      </c>
      <c r="AP51" s="115">
        <f t="shared" si="16"/>
        <v>11.474155722326458</v>
      </c>
      <c r="AQ51" s="115">
        <f t="shared" si="16"/>
        <v>132.82500000000002</v>
      </c>
      <c r="AR51" s="115">
        <f t="shared" si="16"/>
        <v>0</v>
      </c>
      <c r="AS51" s="115">
        <f t="shared" si="16"/>
        <v>11.474155722326458</v>
      </c>
      <c r="AT51" s="115">
        <f t="shared" si="16"/>
        <v>132.82500000000002</v>
      </c>
      <c r="AU51" s="115">
        <f t="shared" si="16"/>
        <v>11.474155722326458</v>
      </c>
      <c r="AV51" s="115">
        <f t="shared" si="16"/>
        <v>132.82500000000002</v>
      </c>
      <c r="AW51" s="115">
        <f t="shared" si="16"/>
        <v>11.474155722326458</v>
      </c>
      <c r="AX51" s="115">
        <f t="shared" si="16"/>
        <v>132.82500000000002</v>
      </c>
      <c r="AY51" s="115">
        <f t="shared" si="16"/>
        <v>11.474155722326458</v>
      </c>
    </row>
    <row r="52" spans="1:52" x14ac:dyDescent="0.25">
      <c r="A52" s="115"/>
      <c r="B52" s="170" t="s">
        <v>348</v>
      </c>
      <c r="C52" s="115"/>
      <c r="D52" s="115">
        <v>1</v>
      </c>
      <c r="E52" s="115">
        <v>1</v>
      </c>
      <c r="F52" s="115">
        <v>1</v>
      </c>
      <c r="G52" s="115">
        <v>1</v>
      </c>
      <c r="H52" s="115">
        <v>1</v>
      </c>
      <c r="I52" s="115">
        <v>1</v>
      </c>
      <c r="J52" s="115">
        <v>1</v>
      </c>
      <c r="K52" s="115">
        <v>2</v>
      </c>
      <c r="L52" s="115">
        <v>2</v>
      </c>
      <c r="M52" s="115">
        <v>2</v>
      </c>
      <c r="N52" s="115">
        <v>2</v>
      </c>
      <c r="O52" s="115">
        <v>1</v>
      </c>
      <c r="P52" s="115">
        <v>2</v>
      </c>
      <c r="Q52" s="115">
        <v>2</v>
      </c>
      <c r="R52" s="115">
        <v>1</v>
      </c>
      <c r="S52" s="115">
        <v>3</v>
      </c>
      <c r="T52" s="115">
        <v>1</v>
      </c>
      <c r="U52" s="115">
        <v>3</v>
      </c>
      <c r="V52" s="115">
        <v>1</v>
      </c>
      <c r="W52" s="115">
        <v>3</v>
      </c>
      <c r="X52" s="115">
        <v>1</v>
      </c>
      <c r="Y52" s="115">
        <v>1</v>
      </c>
      <c r="Z52" s="115">
        <v>2</v>
      </c>
      <c r="AA52" s="115">
        <v>2</v>
      </c>
      <c r="AB52" s="115">
        <v>1</v>
      </c>
      <c r="AC52" s="115">
        <v>1</v>
      </c>
      <c r="AD52" s="115">
        <v>2</v>
      </c>
      <c r="AE52" s="115">
        <v>1</v>
      </c>
      <c r="AF52" s="115">
        <v>1</v>
      </c>
      <c r="AG52" s="115">
        <v>1</v>
      </c>
      <c r="AH52" s="115">
        <v>2</v>
      </c>
      <c r="AI52" s="115">
        <v>2</v>
      </c>
      <c r="AJ52" s="115">
        <v>1</v>
      </c>
      <c r="AK52" s="115">
        <v>2</v>
      </c>
      <c r="AL52" s="115">
        <v>1</v>
      </c>
      <c r="AM52" s="115">
        <v>2</v>
      </c>
      <c r="AN52" s="115">
        <v>1</v>
      </c>
      <c r="AO52" s="115">
        <v>1</v>
      </c>
      <c r="AP52" s="115">
        <v>1</v>
      </c>
      <c r="AQ52" s="115">
        <v>1</v>
      </c>
      <c r="AR52" s="115">
        <v>1</v>
      </c>
      <c r="AS52" s="115">
        <v>1</v>
      </c>
      <c r="AT52" s="115">
        <v>2</v>
      </c>
      <c r="AU52" s="115">
        <v>1</v>
      </c>
      <c r="AV52" s="115">
        <v>1</v>
      </c>
      <c r="AW52" s="115">
        <v>1</v>
      </c>
      <c r="AX52" s="115">
        <v>2</v>
      </c>
      <c r="AY52" s="115">
        <v>2</v>
      </c>
    </row>
    <row r="53" spans="1:52" x14ac:dyDescent="0.25">
      <c r="A53" s="115"/>
      <c r="B53" s="183" t="s">
        <v>349</v>
      </c>
      <c r="C53" s="115"/>
      <c r="D53" s="115">
        <v>0</v>
      </c>
      <c r="E53" s="115">
        <v>180936</v>
      </c>
      <c r="F53" s="115">
        <v>0</v>
      </c>
      <c r="G53" s="115">
        <v>180936</v>
      </c>
      <c r="H53" s="115">
        <v>0</v>
      </c>
      <c r="I53" s="115">
        <v>180936</v>
      </c>
      <c r="J53" s="115">
        <v>0</v>
      </c>
      <c r="K53" s="115">
        <v>180936</v>
      </c>
      <c r="L53" s="115">
        <v>0</v>
      </c>
      <c r="M53" s="115">
        <v>180936</v>
      </c>
      <c r="N53" s="115">
        <v>0</v>
      </c>
      <c r="O53" s="115">
        <v>180936</v>
      </c>
      <c r="P53" s="115">
        <v>0</v>
      </c>
      <c r="Q53" s="115">
        <v>180936</v>
      </c>
      <c r="R53" s="115">
        <v>0</v>
      </c>
      <c r="S53" s="115">
        <v>180936</v>
      </c>
      <c r="T53" s="115">
        <v>0</v>
      </c>
      <c r="U53" s="115">
        <v>180936</v>
      </c>
      <c r="V53" s="115">
        <v>0</v>
      </c>
      <c r="W53" s="115">
        <v>180936</v>
      </c>
      <c r="X53" s="115">
        <v>0</v>
      </c>
      <c r="Y53" s="115">
        <v>180936</v>
      </c>
      <c r="Z53" s="115">
        <v>0</v>
      </c>
      <c r="AA53" s="115">
        <v>180936</v>
      </c>
      <c r="AB53" s="115">
        <v>0</v>
      </c>
      <c r="AC53" s="115">
        <v>180936</v>
      </c>
      <c r="AD53" s="115">
        <v>0</v>
      </c>
      <c r="AE53" s="115">
        <v>180936</v>
      </c>
      <c r="AF53" s="115">
        <v>0</v>
      </c>
      <c r="AG53" s="115">
        <v>180936</v>
      </c>
      <c r="AH53" s="115">
        <v>0</v>
      </c>
      <c r="AI53" s="115">
        <v>180936</v>
      </c>
      <c r="AJ53" s="115">
        <v>0</v>
      </c>
      <c r="AK53" s="115">
        <v>180936</v>
      </c>
      <c r="AL53" s="115">
        <v>0</v>
      </c>
      <c r="AM53" s="115">
        <v>180936</v>
      </c>
      <c r="AN53" s="115">
        <v>0</v>
      </c>
      <c r="AO53" s="115">
        <v>0</v>
      </c>
      <c r="AP53" s="115">
        <v>180936</v>
      </c>
      <c r="AQ53" s="115">
        <v>0</v>
      </c>
      <c r="AR53" s="115">
        <v>0</v>
      </c>
      <c r="AS53" s="115">
        <v>180936</v>
      </c>
      <c r="AT53" s="115">
        <v>0</v>
      </c>
      <c r="AU53" s="115">
        <v>180936</v>
      </c>
      <c r="AV53" s="115">
        <v>0</v>
      </c>
      <c r="AW53" s="115">
        <v>180936</v>
      </c>
      <c r="AX53" s="115">
        <v>0</v>
      </c>
      <c r="AY53" s="115">
        <v>180936</v>
      </c>
      <c r="AZ53" s="105">
        <f>SUM($D$53:$AY$53)</f>
        <v>4161528</v>
      </c>
    </row>
    <row r="54" spans="1:52" x14ac:dyDescent="0.25">
      <c r="A54" s="130"/>
      <c r="B54" s="145" t="s">
        <v>350</v>
      </c>
      <c r="C54" s="130"/>
      <c r="D54" s="130">
        <v>0</v>
      </c>
      <c r="E54" s="130">
        <v>9266.9118750000089</v>
      </c>
      <c r="F54" s="130">
        <v>107273.91187500001</v>
      </c>
      <c r="G54" s="130">
        <v>9266.9118750000089</v>
      </c>
      <c r="H54" s="130">
        <v>107273.91187500001</v>
      </c>
      <c r="I54" s="130">
        <v>9266.9118750000089</v>
      </c>
      <c r="J54" s="130">
        <v>107273.91187500001</v>
      </c>
      <c r="K54" s="130">
        <v>9266.9118750000089</v>
      </c>
      <c r="L54" s="130">
        <v>107273.91187500001</v>
      </c>
      <c r="M54" s="130">
        <v>9266.9118750000089</v>
      </c>
      <c r="N54" s="130">
        <v>107273.91187500001</v>
      </c>
      <c r="O54" s="130">
        <v>9266.9118750000089</v>
      </c>
      <c r="P54" s="130">
        <v>107273.91187500001</v>
      </c>
      <c r="Q54" s="130">
        <v>9266.9118750000089</v>
      </c>
      <c r="R54" s="130">
        <v>107273.91187500001</v>
      </c>
      <c r="S54" s="130">
        <v>9266.9118750000089</v>
      </c>
      <c r="T54" s="130">
        <v>107273.91187500001</v>
      </c>
      <c r="U54" s="130">
        <v>9266.9118750000089</v>
      </c>
      <c r="V54" s="130">
        <v>107273.91187500001</v>
      </c>
      <c r="W54" s="130">
        <v>9266.9118750000089</v>
      </c>
      <c r="X54" s="130">
        <v>107273.91187500001</v>
      </c>
      <c r="Y54" s="130">
        <v>9266.9118750000089</v>
      </c>
      <c r="Z54" s="130">
        <v>107273.91187500001</v>
      </c>
      <c r="AA54" s="130">
        <v>9266.9118750000089</v>
      </c>
      <c r="AB54" s="130">
        <v>107273.91187500001</v>
      </c>
      <c r="AC54" s="130">
        <v>9266.9118750000089</v>
      </c>
      <c r="AD54" s="130">
        <v>107273.91187500001</v>
      </c>
      <c r="AE54" s="130">
        <v>9266.9118750000089</v>
      </c>
      <c r="AF54" s="130">
        <v>107273.91187500001</v>
      </c>
      <c r="AG54" s="130">
        <v>9266.9118750000089</v>
      </c>
      <c r="AH54" s="130">
        <v>107273.91187500001</v>
      </c>
      <c r="AI54" s="130">
        <v>9266.9118750000089</v>
      </c>
      <c r="AJ54" s="130">
        <v>107273.91187500001</v>
      </c>
      <c r="AK54" s="130">
        <v>9266.9118750000089</v>
      </c>
      <c r="AL54" s="130">
        <v>107273.91187500001</v>
      </c>
      <c r="AM54" s="130">
        <v>9266.9118750000089</v>
      </c>
      <c r="AN54" s="130">
        <v>107273.91187500001</v>
      </c>
      <c r="AO54" s="130">
        <v>0</v>
      </c>
      <c r="AP54" s="130">
        <v>9266.9118750000089</v>
      </c>
      <c r="AQ54" s="130">
        <v>107273.91187500001</v>
      </c>
      <c r="AR54" s="130">
        <v>0</v>
      </c>
      <c r="AS54" s="130">
        <v>9266.9118750000089</v>
      </c>
      <c r="AT54" s="130">
        <v>107273.91187500001</v>
      </c>
      <c r="AU54" s="130">
        <v>9266.9118750000089</v>
      </c>
      <c r="AV54" s="130">
        <v>107273.91187500001</v>
      </c>
      <c r="AW54" s="130">
        <v>9266.9118750000089</v>
      </c>
      <c r="AX54" s="130">
        <v>107273.91187500001</v>
      </c>
      <c r="AY54" s="130">
        <v>9266.9118750000089</v>
      </c>
      <c r="AZ54" s="105">
        <f>SUM($D$54:$AY$54)</f>
        <v>2573165.0343750021</v>
      </c>
    </row>
  </sheetData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D14" sqref="D14"/>
    </sheetView>
  </sheetViews>
  <sheetFormatPr defaultRowHeight="13.2" x14ac:dyDescent="0.25"/>
  <cols>
    <col min="1" max="1" width="14.6640625" style="105" customWidth="1"/>
    <col min="2" max="2" width="17.6640625" style="105" customWidth="1"/>
    <col min="3" max="51" width="8.88671875" style="105"/>
    <col min="52" max="52" width="10.6640625" style="105" customWidth="1"/>
    <col min="53" max="16384" width="8.88671875" style="105"/>
  </cols>
  <sheetData>
    <row r="1" spans="1:52" x14ac:dyDescent="0.25">
      <c r="A1" s="107" t="s">
        <v>118</v>
      </c>
    </row>
    <row r="2" spans="1:52" x14ac:dyDescent="0.25">
      <c r="A2" s="105" t="s">
        <v>302</v>
      </c>
      <c r="B2" s="112" t="s">
        <v>10</v>
      </c>
      <c r="E2" s="115"/>
    </row>
    <row r="3" spans="1:52" x14ac:dyDescent="0.25">
      <c r="A3" s="105" t="s">
        <v>285</v>
      </c>
      <c r="B3" s="112">
        <v>500</v>
      </c>
      <c r="E3" s="115"/>
    </row>
    <row r="4" spans="1:52" x14ac:dyDescent="0.25">
      <c r="A4" s="107"/>
      <c r="C4" s="116" t="s">
        <v>286</v>
      </c>
    </row>
    <row r="5" spans="1:52" x14ac:dyDescent="0.25">
      <c r="B5" s="111"/>
      <c r="C5" s="117">
        <v>0</v>
      </c>
      <c r="D5" s="117">
        <v>1</v>
      </c>
      <c r="E5" s="117">
        <v>2</v>
      </c>
      <c r="F5" s="117">
        <v>3</v>
      </c>
      <c r="G5" s="117">
        <v>4</v>
      </c>
      <c r="H5" s="117">
        <v>5</v>
      </c>
      <c r="I5" s="117">
        <v>6</v>
      </c>
      <c r="J5" s="117">
        <v>7</v>
      </c>
      <c r="K5" s="117">
        <v>8</v>
      </c>
      <c r="L5" s="117">
        <v>9</v>
      </c>
      <c r="M5" s="117">
        <v>10</v>
      </c>
      <c r="N5" s="117">
        <v>11</v>
      </c>
      <c r="O5" s="117">
        <v>12</v>
      </c>
      <c r="P5" s="117">
        <v>13</v>
      </c>
      <c r="Q5" s="117">
        <v>14</v>
      </c>
      <c r="R5" s="117">
        <v>15</v>
      </c>
      <c r="S5" s="117">
        <v>16</v>
      </c>
      <c r="T5" s="117">
        <v>17</v>
      </c>
      <c r="U5" s="117">
        <v>18</v>
      </c>
      <c r="V5" s="117">
        <v>19</v>
      </c>
      <c r="W5" s="117">
        <v>20</v>
      </c>
      <c r="X5" s="117">
        <v>21</v>
      </c>
      <c r="Y5" s="117">
        <v>22</v>
      </c>
      <c r="Z5" s="117">
        <v>23</v>
      </c>
      <c r="AA5" s="117">
        <v>24</v>
      </c>
      <c r="AB5" s="117">
        <v>25</v>
      </c>
      <c r="AC5" s="117">
        <v>26</v>
      </c>
      <c r="AD5" s="117">
        <v>27</v>
      </c>
      <c r="AE5" s="117">
        <v>28</v>
      </c>
      <c r="AF5" s="117">
        <v>29</v>
      </c>
      <c r="AG5" s="117">
        <v>30</v>
      </c>
      <c r="AH5" s="117">
        <v>31</v>
      </c>
      <c r="AI5" s="117">
        <v>32</v>
      </c>
      <c r="AJ5" s="117">
        <v>33</v>
      </c>
      <c r="AK5" s="117">
        <v>34</v>
      </c>
      <c r="AL5" s="117">
        <v>35</v>
      </c>
      <c r="AM5" s="117">
        <v>36</v>
      </c>
      <c r="AN5" s="117">
        <v>37</v>
      </c>
      <c r="AO5" s="117">
        <v>38</v>
      </c>
      <c r="AP5" s="117">
        <v>39</v>
      </c>
      <c r="AQ5" s="117">
        <v>40</v>
      </c>
      <c r="AR5" s="117">
        <v>41</v>
      </c>
      <c r="AS5" s="117">
        <v>42</v>
      </c>
      <c r="AT5" s="117">
        <v>43</v>
      </c>
      <c r="AU5" s="117">
        <v>44</v>
      </c>
      <c r="AV5" s="117">
        <v>45</v>
      </c>
      <c r="AW5" s="117">
        <v>46</v>
      </c>
      <c r="AX5" s="117">
        <v>47</v>
      </c>
      <c r="AY5" s="117">
        <v>48</v>
      </c>
    </row>
    <row r="6" spans="1:52" x14ac:dyDescent="0.25">
      <c r="A6" s="107" t="s">
        <v>303</v>
      </c>
      <c r="B6" s="119"/>
      <c r="C6" s="118" t="s">
        <v>287</v>
      </c>
      <c r="D6" s="117" t="s">
        <v>288</v>
      </c>
      <c r="E6" s="117" t="s">
        <v>288</v>
      </c>
      <c r="F6" s="117" t="s">
        <v>288</v>
      </c>
      <c r="G6" s="117" t="s">
        <v>288</v>
      </c>
      <c r="H6" s="117" t="s">
        <v>288</v>
      </c>
      <c r="I6" s="117" t="s">
        <v>288</v>
      </c>
      <c r="J6" s="117" t="s">
        <v>288</v>
      </c>
      <c r="K6" s="117" t="s">
        <v>288</v>
      </c>
      <c r="L6" s="117" t="s">
        <v>288</v>
      </c>
      <c r="M6" s="117" t="s">
        <v>288</v>
      </c>
      <c r="N6" s="117" t="s">
        <v>288</v>
      </c>
      <c r="O6" s="117" t="s">
        <v>288</v>
      </c>
      <c r="P6" s="117" t="s">
        <v>288</v>
      </c>
      <c r="Q6" s="117" t="s">
        <v>288</v>
      </c>
      <c r="R6" s="117" t="s">
        <v>288</v>
      </c>
      <c r="S6" s="117" t="s">
        <v>288</v>
      </c>
      <c r="T6" s="117" t="s">
        <v>288</v>
      </c>
      <c r="U6" s="117" t="s">
        <v>288</v>
      </c>
      <c r="V6" s="117" t="s">
        <v>288</v>
      </c>
      <c r="W6" s="117" t="s">
        <v>288</v>
      </c>
      <c r="X6" s="117" t="s">
        <v>288</v>
      </c>
      <c r="Y6" s="117" t="s">
        <v>288</v>
      </c>
      <c r="Z6" s="117" t="s">
        <v>288</v>
      </c>
      <c r="AA6" s="117" t="s">
        <v>288</v>
      </c>
      <c r="AB6" s="117" t="s">
        <v>288</v>
      </c>
      <c r="AC6" s="117" t="s">
        <v>288</v>
      </c>
      <c r="AD6" s="117" t="s">
        <v>288</v>
      </c>
      <c r="AE6" s="117" t="s">
        <v>288</v>
      </c>
      <c r="AF6" s="117" t="s">
        <v>288</v>
      </c>
      <c r="AG6" s="117" t="s">
        <v>288</v>
      </c>
      <c r="AH6" s="117" t="s">
        <v>288</v>
      </c>
      <c r="AI6" s="117" t="s">
        <v>288</v>
      </c>
      <c r="AJ6" s="117" t="s">
        <v>288</v>
      </c>
      <c r="AK6" s="117" t="s">
        <v>288</v>
      </c>
      <c r="AL6" s="117" t="s">
        <v>288</v>
      </c>
      <c r="AM6" s="117" t="s">
        <v>288</v>
      </c>
      <c r="AN6" s="117" t="s">
        <v>288</v>
      </c>
      <c r="AO6" s="117" t="s">
        <v>288</v>
      </c>
      <c r="AP6" s="117" t="s">
        <v>288</v>
      </c>
      <c r="AQ6" s="117" t="s">
        <v>288</v>
      </c>
      <c r="AR6" s="117" t="s">
        <v>288</v>
      </c>
      <c r="AS6" s="117" t="s">
        <v>288</v>
      </c>
      <c r="AT6" s="117" t="s">
        <v>288</v>
      </c>
      <c r="AU6" s="117" t="s">
        <v>288</v>
      </c>
      <c r="AV6" s="117" t="s">
        <v>288</v>
      </c>
      <c r="AW6" s="117" t="s">
        <v>288</v>
      </c>
      <c r="AX6" s="117" t="s">
        <v>288</v>
      </c>
      <c r="AY6" s="116" t="s">
        <v>289</v>
      </c>
      <c r="AZ6" s="147" t="s">
        <v>150</v>
      </c>
    </row>
    <row r="7" spans="1:52" x14ac:dyDescent="0.25">
      <c r="A7" s="120" t="s">
        <v>125</v>
      </c>
      <c r="B7" s="148">
        <v>1</v>
      </c>
      <c r="C7" s="149" t="s">
        <v>292</v>
      </c>
      <c r="D7" s="149">
        <v>1000.0000200000001</v>
      </c>
      <c r="E7" s="149">
        <v>1000.0000200000001</v>
      </c>
      <c r="F7" s="149">
        <v>1000.0000200000001</v>
      </c>
      <c r="G7" s="149">
        <v>1000.0000200000001</v>
      </c>
      <c r="H7" s="149">
        <v>1000.0000200000001</v>
      </c>
      <c r="I7" s="149">
        <v>1000.0000200000001</v>
      </c>
      <c r="J7" s="149">
        <v>1000.0000200000001</v>
      </c>
      <c r="K7" s="149">
        <v>1000.0000200000001</v>
      </c>
      <c r="L7" s="149">
        <v>1000.0000200000001</v>
      </c>
      <c r="M7" s="149">
        <v>1000.0000200000001</v>
      </c>
      <c r="N7" s="149">
        <v>1000.0000200000001</v>
      </c>
      <c r="O7" s="149">
        <v>1000.0000200000001</v>
      </c>
      <c r="P7" s="149">
        <v>1000.0000200000001</v>
      </c>
      <c r="Q7" s="149">
        <v>1000.0000200000001</v>
      </c>
      <c r="R7" s="149">
        <v>1000.0000200000001</v>
      </c>
      <c r="S7" s="149">
        <v>1000.0000200000001</v>
      </c>
      <c r="T7" s="149">
        <v>675.43269344646183</v>
      </c>
      <c r="U7" s="149">
        <v>675.79741094022586</v>
      </c>
      <c r="V7" s="149">
        <v>676.16119821436541</v>
      </c>
      <c r="W7" s="149">
        <v>1000.0000200000001</v>
      </c>
      <c r="X7" s="149">
        <v>1000.0000200000001</v>
      </c>
      <c r="Y7" s="149">
        <v>1000.0000200000001</v>
      </c>
      <c r="Z7" s="149">
        <v>1000.0000200000001</v>
      </c>
      <c r="AA7" s="149">
        <v>1000.0000200000001</v>
      </c>
      <c r="AB7" s="149">
        <v>1000.0000200000001</v>
      </c>
      <c r="AC7" s="149">
        <v>1000.0000200000001</v>
      </c>
      <c r="AD7" s="149">
        <v>1000.0000200000001</v>
      </c>
      <c r="AE7" s="149">
        <v>1000.0000200000001</v>
      </c>
      <c r="AF7" s="149">
        <v>679.73508595345515</v>
      </c>
      <c r="AG7" s="149">
        <v>1000.0000200000001</v>
      </c>
      <c r="AH7" s="149">
        <v>1000.0000200000001</v>
      </c>
      <c r="AI7" s="149">
        <v>1000.0000200000001</v>
      </c>
      <c r="AJ7" s="149">
        <v>1000.0000200000001</v>
      </c>
      <c r="AK7" s="149">
        <v>1000.0000200000001</v>
      </c>
      <c r="AL7" s="149">
        <v>1000.0000200000001</v>
      </c>
      <c r="AM7" s="149">
        <v>1000.0000200000001</v>
      </c>
      <c r="AN7" s="149">
        <v>1000.0000200000001</v>
      </c>
      <c r="AO7" s="149">
        <v>1000.0000200000001</v>
      </c>
      <c r="AP7" s="149">
        <v>1000.0000200000001</v>
      </c>
      <c r="AQ7" s="149">
        <v>1000.0000200000001</v>
      </c>
      <c r="AR7" s="149">
        <v>1000.0000200000001</v>
      </c>
      <c r="AS7" s="149">
        <v>1000.0000200000001</v>
      </c>
      <c r="AT7" s="149">
        <v>1000.0000200000001</v>
      </c>
      <c r="AU7" s="149">
        <v>1000.0000200000001</v>
      </c>
      <c r="AV7" s="149">
        <v>1000.0000200000001</v>
      </c>
      <c r="AW7" s="149">
        <v>1000.0000200000001</v>
      </c>
      <c r="AX7" s="149">
        <v>1000.0000200000001</v>
      </c>
      <c r="AY7" s="149">
        <v>1000.0000200000001</v>
      </c>
      <c r="AZ7" s="111"/>
    </row>
    <row r="8" spans="1:52" x14ac:dyDescent="0.25">
      <c r="A8" s="150"/>
      <c r="B8" s="151"/>
      <c r="C8" s="150"/>
      <c r="D8" s="150"/>
      <c r="E8" s="150"/>
      <c r="F8" s="150"/>
      <c r="G8" s="150"/>
      <c r="H8" s="150"/>
      <c r="I8" s="150"/>
      <c r="J8" s="150"/>
      <c r="K8" s="150"/>
      <c r="L8" s="150"/>
      <c r="M8" s="150"/>
      <c r="N8" s="150"/>
      <c r="O8" s="150"/>
      <c r="P8" s="150"/>
      <c r="Q8" s="150"/>
      <c r="R8" s="150"/>
      <c r="S8" s="150"/>
      <c r="T8" s="150"/>
      <c r="U8" s="150"/>
      <c r="V8" s="150"/>
      <c r="W8" s="150"/>
      <c r="X8" s="150"/>
      <c r="Y8" s="150"/>
      <c r="Z8" s="150"/>
      <c r="AA8" s="150"/>
      <c r="AB8" s="150"/>
      <c r="AC8" s="150"/>
      <c r="AD8" s="150"/>
      <c r="AE8" s="150"/>
      <c r="AF8" s="150"/>
      <c r="AG8" s="150"/>
      <c r="AH8" s="150"/>
      <c r="AI8" s="150"/>
      <c r="AJ8" s="150"/>
      <c r="AK8" s="150"/>
      <c r="AL8" s="150"/>
      <c r="AM8" s="150"/>
      <c r="AN8" s="150"/>
      <c r="AO8" s="150"/>
      <c r="AP8" s="150"/>
      <c r="AQ8" s="150"/>
      <c r="AR8" s="150"/>
      <c r="AS8" s="150"/>
      <c r="AT8" s="150"/>
      <c r="AU8" s="150"/>
      <c r="AV8" s="150"/>
      <c r="AW8" s="150"/>
      <c r="AX8" s="150"/>
      <c r="AY8" s="150"/>
      <c r="AZ8" s="152"/>
    </row>
    <row r="9" spans="1:52" x14ac:dyDescent="0.25">
      <c r="A9" s="107" t="s">
        <v>293</v>
      </c>
      <c r="B9" s="153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11"/>
      <c r="N9" s="111"/>
      <c r="O9" s="111"/>
      <c r="P9" s="111"/>
      <c r="Q9" s="111"/>
      <c r="R9" s="111"/>
      <c r="S9" s="111"/>
      <c r="T9" s="111"/>
      <c r="U9" s="111"/>
      <c r="V9" s="111"/>
      <c r="W9" s="111"/>
      <c r="X9" s="111"/>
      <c r="Y9" s="111"/>
      <c r="Z9" s="111"/>
      <c r="AA9" s="111"/>
      <c r="AB9" s="111"/>
      <c r="AC9" s="111"/>
      <c r="AD9" s="111"/>
      <c r="AE9" s="111"/>
      <c r="AF9" s="111"/>
      <c r="AG9" s="111"/>
      <c r="AH9" s="111"/>
      <c r="AI9" s="111"/>
      <c r="AJ9" s="111"/>
      <c r="AK9" s="111"/>
      <c r="AL9" s="111"/>
      <c r="AM9" s="111"/>
      <c r="AN9" s="111"/>
      <c r="AO9" s="111"/>
      <c r="AP9" s="111"/>
      <c r="AQ9" s="111"/>
      <c r="AR9" s="111"/>
      <c r="AS9" s="111"/>
      <c r="AT9" s="111"/>
      <c r="AU9" s="111"/>
      <c r="AV9" s="111"/>
      <c r="AW9" s="111"/>
      <c r="AX9" s="111"/>
      <c r="AY9" s="111"/>
      <c r="AZ9" s="111"/>
    </row>
    <row r="10" spans="1:52" x14ac:dyDescent="0.25">
      <c r="A10" s="154" t="s">
        <v>125</v>
      </c>
      <c r="B10" s="155">
        <v>1</v>
      </c>
      <c r="C10" s="149" t="s">
        <v>292</v>
      </c>
      <c r="D10" s="149">
        <f t="shared" ref="D10:AY10" si="0">MAX(SUM(D$14:D$16)+D$7-$B$3,0)</f>
        <v>500.00002000000006</v>
      </c>
      <c r="E10" s="149">
        <f t="shared" si="0"/>
        <v>500.00002000000006</v>
      </c>
      <c r="F10" s="149">
        <f t="shared" si="0"/>
        <v>500.00002000000006</v>
      </c>
      <c r="G10" s="149">
        <f t="shared" si="0"/>
        <v>500.00002000000006</v>
      </c>
      <c r="H10" s="149">
        <f t="shared" si="0"/>
        <v>1000.0000199999999</v>
      </c>
      <c r="I10" s="149">
        <f t="shared" si="0"/>
        <v>500.00002000000006</v>
      </c>
      <c r="J10" s="149">
        <f t="shared" si="0"/>
        <v>500.00002000000006</v>
      </c>
      <c r="K10" s="149">
        <f t="shared" si="0"/>
        <v>500.00002000000006</v>
      </c>
      <c r="L10" s="149">
        <f t="shared" si="0"/>
        <v>500.00002000000006</v>
      </c>
      <c r="M10" s="149">
        <f t="shared" si="0"/>
        <v>500.00002000000006</v>
      </c>
      <c r="N10" s="149">
        <f t="shared" si="0"/>
        <v>500.00002000000006</v>
      </c>
      <c r="O10" s="149">
        <f t="shared" si="0"/>
        <v>500.00002000000006</v>
      </c>
      <c r="P10" s="149">
        <f t="shared" si="0"/>
        <v>500.00002000000006</v>
      </c>
      <c r="Q10" s="149">
        <f t="shared" si="0"/>
        <v>500.00002000000006</v>
      </c>
      <c r="R10" s="149">
        <f t="shared" si="0"/>
        <v>500.00002000000006</v>
      </c>
      <c r="S10" s="149">
        <f t="shared" si="0"/>
        <v>500.00002000000006</v>
      </c>
      <c r="T10" s="149">
        <f t="shared" si="0"/>
        <v>175.43269344646183</v>
      </c>
      <c r="U10" s="149">
        <f t="shared" si="0"/>
        <v>175.79741094022586</v>
      </c>
      <c r="V10" s="149">
        <f t="shared" si="0"/>
        <v>176.16119821436541</v>
      </c>
      <c r="W10" s="149">
        <f t="shared" si="0"/>
        <v>500.00002000000006</v>
      </c>
      <c r="X10" s="149">
        <f t="shared" si="0"/>
        <v>500.00002000000006</v>
      </c>
      <c r="Y10" s="149">
        <f t="shared" si="0"/>
        <v>500.00002000000006</v>
      </c>
      <c r="Z10" s="149">
        <f t="shared" si="0"/>
        <v>500.00002000000006</v>
      </c>
      <c r="AA10" s="149">
        <f t="shared" si="0"/>
        <v>500.00002000000006</v>
      </c>
      <c r="AB10" s="149">
        <f t="shared" si="0"/>
        <v>500.00002000000006</v>
      </c>
      <c r="AC10" s="149">
        <f t="shared" si="0"/>
        <v>500.00002000000006</v>
      </c>
      <c r="AD10" s="149">
        <f t="shared" si="0"/>
        <v>500.00002000000006</v>
      </c>
      <c r="AE10" s="149">
        <f t="shared" si="0"/>
        <v>500.00002000000006</v>
      </c>
      <c r="AF10" s="149">
        <f t="shared" si="0"/>
        <v>179.73508595345515</v>
      </c>
      <c r="AG10" s="149">
        <f t="shared" si="0"/>
        <v>500.00002000000006</v>
      </c>
      <c r="AH10" s="149">
        <f t="shared" si="0"/>
        <v>500.00002000000006</v>
      </c>
      <c r="AI10" s="149">
        <f t="shared" si="0"/>
        <v>500.00002000000006</v>
      </c>
      <c r="AJ10" s="149">
        <f t="shared" si="0"/>
        <v>500.00002000000006</v>
      </c>
      <c r="AK10" s="149">
        <f t="shared" si="0"/>
        <v>500.00002000000006</v>
      </c>
      <c r="AL10" s="149">
        <f t="shared" si="0"/>
        <v>500.00002000000006</v>
      </c>
      <c r="AM10" s="149">
        <f t="shared" si="0"/>
        <v>500.00002000000006</v>
      </c>
      <c r="AN10" s="149">
        <f t="shared" si="0"/>
        <v>500.00002000000006</v>
      </c>
      <c r="AO10" s="149">
        <f t="shared" si="0"/>
        <v>500.00002000000006</v>
      </c>
      <c r="AP10" s="149">
        <f t="shared" si="0"/>
        <v>500.00002000000006</v>
      </c>
      <c r="AQ10" s="149">
        <f t="shared" si="0"/>
        <v>1000.0000199999999</v>
      </c>
      <c r="AR10" s="149">
        <f t="shared" si="0"/>
        <v>500.00002000000006</v>
      </c>
      <c r="AS10" s="149">
        <f t="shared" si="0"/>
        <v>500.00002000000006</v>
      </c>
      <c r="AT10" s="149">
        <f t="shared" si="0"/>
        <v>500.00002000000006</v>
      </c>
      <c r="AU10" s="149">
        <f t="shared" si="0"/>
        <v>500.00002000000006</v>
      </c>
      <c r="AV10" s="149">
        <f t="shared" si="0"/>
        <v>500.00002000000006</v>
      </c>
      <c r="AW10" s="149">
        <f t="shared" si="0"/>
        <v>500.00002000000006</v>
      </c>
      <c r="AX10" s="149">
        <f t="shared" si="0"/>
        <v>500.00002000000006</v>
      </c>
      <c r="AY10" s="149">
        <f t="shared" si="0"/>
        <v>500.00002000000006</v>
      </c>
      <c r="AZ10" s="156">
        <f>SUM($D10:$AY10)</f>
        <v>23707.127268554497</v>
      </c>
    </row>
    <row r="11" spans="1:52" x14ac:dyDescent="0.25">
      <c r="C11" s="115"/>
    </row>
    <row r="12" spans="1:52" x14ac:dyDescent="0.25">
      <c r="A12" s="157" t="s">
        <v>294</v>
      </c>
      <c r="B12" s="151"/>
      <c r="C12" s="115"/>
    </row>
    <row r="13" spans="1:52" x14ac:dyDescent="0.25">
      <c r="A13" s="127" t="s">
        <v>125</v>
      </c>
      <c r="B13" s="128">
        <v>1</v>
      </c>
      <c r="C13" s="129"/>
      <c r="D13" s="143">
        <f t="shared" ref="D13:AY13" si="1">D$7-D$10</f>
        <v>500</v>
      </c>
      <c r="E13" s="143">
        <f t="shared" si="1"/>
        <v>500</v>
      </c>
      <c r="F13" s="143">
        <f t="shared" si="1"/>
        <v>500</v>
      </c>
      <c r="G13" s="143">
        <f t="shared" si="1"/>
        <v>500</v>
      </c>
      <c r="H13" s="143">
        <f t="shared" si="1"/>
        <v>0</v>
      </c>
      <c r="I13" s="143">
        <f t="shared" si="1"/>
        <v>500</v>
      </c>
      <c r="J13" s="143">
        <f t="shared" si="1"/>
        <v>500</v>
      </c>
      <c r="K13" s="143">
        <f t="shared" si="1"/>
        <v>500</v>
      </c>
      <c r="L13" s="143">
        <f t="shared" si="1"/>
        <v>500</v>
      </c>
      <c r="M13" s="143">
        <f t="shared" si="1"/>
        <v>500</v>
      </c>
      <c r="N13" s="143">
        <f t="shared" si="1"/>
        <v>500</v>
      </c>
      <c r="O13" s="143">
        <f t="shared" si="1"/>
        <v>500</v>
      </c>
      <c r="P13" s="143">
        <f t="shared" si="1"/>
        <v>500</v>
      </c>
      <c r="Q13" s="143">
        <f t="shared" si="1"/>
        <v>500</v>
      </c>
      <c r="R13" s="143">
        <f t="shared" si="1"/>
        <v>500</v>
      </c>
      <c r="S13" s="143">
        <f t="shared" si="1"/>
        <v>500</v>
      </c>
      <c r="T13" s="143">
        <f t="shared" si="1"/>
        <v>500</v>
      </c>
      <c r="U13" s="143">
        <f t="shared" si="1"/>
        <v>500</v>
      </c>
      <c r="V13" s="143">
        <f t="shared" si="1"/>
        <v>500</v>
      </c>
      <c r="W13" s="143">
        <f t="shared" si="1"/>
        <v>500</v>
      </c>
      <c r="X13" s="143">
        <f t="shared" si="1"/>
        <v>500</v>
      </c>
      <c r="Y13" s="143">
        <f t="shared" si="1"/>
        <v>500</v>
      </c>
      <c r="Z13" s="143">
        <f t="shared" si="1"/>
        <v>500</v>
      </c>
      <c r="AA13" s="143">
        <f t="shared" si="1"/>
        <v>500</v>
      </c>
      <c r="AB13" s="143">
        <f t="shared" si="1"/>
        <v>500</v>
      </c>
      <c r="AC13" s="143">
        <f t="shared" si="1"/>
        <v>500</v>
      </c>
      <c r="AD13" s="143">
        <f t="shared" si="1"/>
        <v>500</v>
      </c>
      <c r="AE13" s="143">
        <f t="shared" si="1"/>
        <v>500</v>
      </c>
      <c r="AF13" s="143">
        <f t="shared" si="1"/>
        <v>500</v>
      </c>
      <c r="AG13" s="143">
        <f t="shared" si="1"/>
        <v>500</v>
      </c>
      <c r="AH13" s="143">
        <f t="shared" si="1"/>
        <v>500</v>
      </c>
      <c r="AI13" s="143">
        <f t="shared" si="1"/>
        <v>500</v>
      </c>
      <c r="AJ13" s="143">
        <f t="shared" si="1"/>
        <v>500</v>
      </c>
      <c r="AK13" s="143">
        <f t="shared" si="1"/>
        <v>500</v>
      </c>
      <c r="AL13" s="143">
        <f t="shared" si="1"/>
        <v>500</v>
      </c>
      <c r="AM13" s="143">
        <f t="shared" si="1"/>
        <v>500</v>
      </c>
      <c r="AN13" s="143">
        <f t="shared" si="1"/>
        <v>500</v>
      </c>
      <c r="AO13" s="143">
        <f t="shared" si="1"/>
        <v>500</v>
      </c>
      <c r="AP13" s="143">
        <f t="shared" si="1"/>
        <v>500</v>
      </c>
      <c r="AQ13" s="143">
        <f t="shared" si="1"/>
        <v>0</v>
      </c>
      <c r="AR13" s="143">
        <f t="shared" si="1"/>
        <v>500</v>
      </c>
      <c r="AS13" s="143">
        <f t="shared" si="1"/>
        <v>500</v>
      </c>
      <c r="AT13" s="143">
        <f t="shared" si="1"/>
        <v>500</v>
      </c>
      <c r="AU13" s="143">
        <f t="shared" si="1"/>
        <v>500</v>
      </c>
      <c r="AV13" s="143">
        <f t="shared" si="1"/>
        <v>500</v>
      </c>
      <c r="AW13" s="143">
        <f t="shared" si="1"/>
        <v>500</v>
      </c>
      <c r="AX13" s="143">
        <f t="shared" si="1"/>
        <v>500</v>
      </c>
      <c r="AY13" s="143">
        <f t="shared" si="1"/>
        <v>500</v>
      </c>
      <c r="AZ13" s="114"/>
    </row>
    <row r="14" spans="1:52" x14ac:dyDescent="0.25">
      <c r="A14" s="115"/>
      <c r="B14" s="125">
        <v>2</v>
      </c>
      <c r="C14" s="115"/>
      <c r="D14" s="111">
        <f>IF(C$20="Yes",C13,0)</f>
        <v>0</v>
      </c>
      <c r="E14" s="111">
        <f t="shared" ref="E14:AY17" si="2">IF(D$20="Yes",D13,0)</f>
        <v>0</v>
      </c>
      <c r="F14" s="111">
        <f t="shared" si="2"/>
        <v>0</v>
      </c>
      <c r="G14" s="111">
        <f t="shared" si="2"/>
        <v>0</v>
      </c>
      <c r="H14" s="111">
        <f t="shared" si="2"/>
        <v>500</v>
      </c>
      <c r="I14" s="111">
        <f t="shared" si="2"/>
        <v>0</v>
      </c>
      <c r="J14" s="111">
        <f t="shared" si="2"/>
        <v>0</v>
      </c>
      <c r="K14" s="111">
        <f t="shared" si="2"/>
        <v>0</v>
      </c>
      <c r="L14" s="111">
        <f t="shared" si="2"/>
        <v>0</v>
      </c>
      <c r="M14" s="111">
        <f t="shared" si="2"/>
        <v>0</v>
      </c>
      <c r="N14" s="111">
        <f t="shared" si="2"/>
        <v>0</v>
      </c>
      <c r="O14" s="111">
        <f t="shared" si="2"/>
        <v>0</v>
      </c>
      <c r="P14" s="111">
        <f t="shared" si="2"/>
        <v>0</v>
      </c>
      <c r="Q14" s="111">
        <f t="shared" si="2"/>
        <v>0</v>
      </c>
      <c r="R14" s="111">
        <f t="shared" si="2"/>
        <v>0</v>
      </c>
      <c r="S14" s="111">
        <f t="shared" si="2"/>
        <v>0</v>
      </c>
      <c r="T14" s="111">
        <f t="shared" si="2"/>
        <v>0</v>
      </c>
      <c r="U14" s="111">
        <f t="shared" si="2"/>
        <v>0</v>
      </c>
      <c r="V14" s="111">
        <f t="shared" si="2"/>
        <v>0</v>
      </c>
      <c r="W14" s="111">
        <f t="shared" si="2"/>
        <v>0</v>
      </c>
      <c r="X14" s="111">
        <f t="shared" si="2"/>
        <v>0</v>
      </c>
      <c r="Y14" s="111">
        <f t="shared" si="2"/>
        <v>0</v>
      </c>
      <c r="Z14" s="111">
        <f t="shared" si="2"/>
        <v>0</v>
      </c>
      <c r="AA14" s="111">
        <f t="shared" si="2"/>
        <v>0</v>
      </c>
      <c r="AB14" s="111">
        <f t="shared" si="2"/>
        <v>0</v>
      </c>
      <c r="AC14" s="111">
        <f t="shared" si="2"/>
        <v>0</v>
      </c>
      <c r="AD14" s="111">
        <f t="shared" si="2"/>
        <v>0</v>
      </c>
      <c r="AE14" s="111">
        <f t="shared" si="2"/>
        <v>0</v>
      </c>
      <c r="AF14" s="111">
        <f t="shared" si="2"/>
        <v>0</v>
      </c>
      <c r="AG14" s="111">
        <f t="shared" si="2"/>
        <v>0</v>
      </c>
      <c r="AH14" s="111">
        <f t="shared" si="2"/>
        <v>0</v>
      </c>
      <c r="AI14" s="111">
        <f t="shared" si="2"/>
        <v>0</v>
      </c>
      <c r="AJ14" s="111">
        <f t="shared" si="2"/>
        <v>0</v>
      </c>
      <c r="AK14" s="111">
        <f t="shared" si="2"/>
        <v>0</v>
      </c>
      <c r="AL14" s="111">
        <f t="shared" si="2"/>
        <v>0</v>
      </c>
      <c r="AM14" s="111">
        <f t="shared" si="2"/>
        <v>0</v>
      </c>
      <c r="AN14" s="111">
        <f t="shared" si="2"/>
        <v>0</v>
      </c>
      <c r="AO14" s="111">
        <f t="shared" si="2"/>
        <v>0</v>
      </c>
      <c r="AP14" s="111">
        <f t="shared" si="2"/>
        <v>0</v>
      </c>
      <c r="AQ14" s="111">
        <f t="shared" si="2"/>
        <v>500</v>
      </c>
      <c r="AR14" s="111">
        <f t="shared" si="2"/>
        <v>0</v>
      </c>
      <c r="AS14" s="111">
        <f t="shared" si="2"/>
        <v>0</v>
      </c>
      <c r="AT14" s="111">
        <f t="shared" si="2"/>
        <v>0</v>
      </c>
      <c r="AU14" s="111">
        <f t="shared" si="2"/>
        <v>0</v>
      </c>
      <c r="AV14" s="111">
        <f t="shared" si="2"/>
        <v>0</v>
      </c>
      <c r="AW14" s="111">
        <f t="shared" si="2"/>
        <v>0</v>
      </c>
      <c r="AX14" s="111">
        <f t="shared" si="2"/>
        <v>0</v>
      </c>
      <c r="AY14" s="111">
        <f t="shared" si="2"/>
        <v>0</v>
      </c>
      <c r="AZ14" s="114"/>
    </row>
    <row r="15" spans="1:52" x14ac:dyDescent="0.25">
      <c r="A15" s="115"/>
      <c r="B15" s="132">
        <v>3</v>
      </c>
      <c r="C15" s="115"/>
      <c r="D15" s="111">
        <f>IF(C$20="Yes",C14,0)</f>
        <v>0</v>
      </c>
      <c r="E15" s="111">
        <f t="shared" si="2"/>
        <v>0</v>
      </c>
      <c r="F15" s="111">
        <f t="shared" si="2"/>
        <v>0</v>
      </c>
      <c r="G15" s="111">
        <f t="shared" si="2"/>
        <v>0</v>
      </c>
      <c r="H15" s="111">
        <f t="shared" si="2"/>
        <v>0</v>
      </c>
      <c r="I15" s="111">
        <f t="shared" si="2"/>
        <v>0</v>
      </c>
      <c r="J15" s="111">
        <f t="shared" si="2"/>
        <v>0</v>
      </c>
      <c r="K15" s="111">
        <f t="shared" si="2"/>
        <v>0</v>
      </c>
      <c r="L15" s="111">
        <f t="shared" si="2"/>
        <v>0</v>
      </c>
      <c r="M15" s="111">
        <f t="shared" si="2"/>
        <v>0</v>
      </c>
      <c r="N15" s="111">
        <f t="shared" si="2"/>
        <v>0</v>
      </c>
      <c r="O15" s="111">
        <f t="shared" si="2"/>
        <v>0</v>
      </c>
      <c r="P15" s="111">
        <f t="shared" si="2"/>
        <v>0</v>
      </c>
      <c r="Q15" s="111">
        <f t="shared" si="2"/>
        <v>0</v>
      </c>
      <c r="R15" s="111">
        <f t="shared" si="2"/>
        <v>0</v>
      </c>
      <c r="S15" s="111">
        <f t="shared" si="2"/>
        <v>0</v>
      </c>
      <c r="T15" s="111">
        <f t="shared" si="2"/>
        <v>0</v>
      </c>
      <c r="U15" s="111">
        <f t="shared" si="2"/>
        <v>0</v>
      </c>
      <c r="V15" s="111">
        <f t="shared" si="2"/>
        <v>0</v>
      </c>
      <c r="W15" s="111">
        <f t="shared" si="2"/>
        <v>0</v>
      </c>
      <c r="X15" s="111">
        <f t="shared" si="2"/>
        <v>0</v>
      </c>
      <c r="Y15" s="111">
        <f t="shared" si="2"/>
        <v>0</v>
      </c>
      <c r="Z15" s="111">
        <f t="shared" si="2"/>
        <v>0</v>
      </c>
      <c r="AA15" s="111">
        <f t="shared" si="2"/>
        <v>0</v>
      </c>
      <c r="AB15" s="111">
        <f t="shared" si="2"/>
        <v>0</v>
      </c>
      <c r="AC15" s="111">
        <f t="shared" si="2"/>
        <v>0</v>
      </c>
      <c r="AD15" s="111">
        <f t="shared" si="2"/>
        <v>0</v>
      </c>
      <c r="AE15" s="111">
        <f t="shared" si="2"/>
        <v>0</v>
      </c>
      <c r="AF15" s="111">
        <f t="shared" si="2"/>
        <v>0</v>
      </c>
      <c r="AG15" s="111">
        <f t="shared" si="2"/>
        <v>0</v>
      </c>
      <c r="AH15" s="111">
        <f t="shared" si="2"/>
        <v>0</v>
      </c>
      <c r="AI15" s="111">
        <f t="shared" si="2"/>
        <v>0</v>
      </c>
      <c r="AJ15" s="111">
        <f t="shared" si="2"/>
        <v>0</v>
      </c>
      <c r="AK15" s="111">
        <f t="shared" si="2"/>
        <v>0</v>
      </c>
      <c r="AL15" s="111">
        <f t="shared" si="2"/>
        <v>0</v>
      </c>
      <c r="AM15" s="111">
        <f t="shared" si="2"/>
        <v>0</v>
      </c>
      <c r="AN15" s="111">
        <f t="shared" si="2"/>
        <v>0</v>
      </c>
      <c r="AO15" s="111">
        <f t="shared" si="2"/>
        <v>0</v>
      </c>
      <c r="AP15" s="111">
        <f t="shared" si="2"/>
        <v>0</v>
      </c>
      <c r="AQ15" s="111">
        <f t="shared" si="2"/>
        <v>0</v>
      </c>
      <c r="AR15" s="111">
        <f t="shared" si="2"/>
        <v>0</v>
      </c>
      <c r="AS15" s="111">
        <f t="shared" si="2"/>
        <v>0</v>
      </c>
      <c r="AT15" s="111">
        <f t="shared" si="2"/>
        <v>0</v>
      </c>
      <c r="AU15" s="111">
        <f t="shared" si="2"/>
        <v>0</v>
      </c>
      <c r="AV15" s="111">
        <f t="shared" si="2"/>
        <v>0</v>
      </c>
      <c r="AW15" s="111">
        <f t="shared" si="2"/>
        <v>0</v>
      </c>
      <c r="AX15" s="111">
        <f t="shared" si="2"/>
        <v>0</v>
      </c>
      <c r="AY15" s="111">
        <f t="shared" si="2"/>
        <v>0</v>
      </c>
      <c r="AZ15" s="114"/>
    </row>
    <row r="16" spans="1:52" x14ac:dyDescent="0.25">
      <c r="A16" s="115"/>
      <c r="B16" s="135">
        <v>4</v>
      </c>
      <c r="C16" s="115"/>
      <c r="D16" s="111">
        <f>IF(C$20="Yes",C15,0)</f>
        <v>0</v>
      </c>
      <c r="E16" s="111">
        <f t="shared" si="2"/>
        <v>0</v>
      </c>
      <c r="F16" s="111">
        <f t="shared" si="2"/>
        <v>0</v>
      </c>
      <c r="G16" s="111">
        <f t="shared" si="2"/>
        <v>0</v>
      </c>
      <c r="H16" s="111">
        <f t="shared" si="2"/>
        <v>0</v>
      </c>
      <c r="I16" s="111">
        <f t="shared" si="2"/>
        <v>0</v>
      </c>
      <c r="J16" s="111">
        <f t="shared" si="2"/>
        <v>0</v>
      </c>
      <c r="K16" s="111">
        <f t="shared" si="2"/>
        <v>0</v>
      </c>
      <c r="L16" s="111">
        <f t="shared" si="2"/>
        <v>0</v>
      </c>
      <c r="M16" s="111">
        <f t="shared" si="2"/>
        <v>0</v>
      </c>
      <c r="N16" s="111">
        <f t="shared" si="2"/>
        <v>0</v>
      </c>
      <c r="O16" s="111">
        <f t="shared" si="2"/>
        <v>0</v>
      </c>
      <c r="P16" s="111">
        <f t="shared" si="2"/>
        <v>0</v>
      </c>
      <c r="Q16" s="111">
        <f t="shared" si="2"/>
        <v>0</v>
      </c>
      <c r="R16" s="111">
        <f t="shared" si="2"/>
        <v>0</v>
      </c>
      <c r="S16" s="111">
        <f t="shared" si="2"/>
        <v>0</v>
      </c>
      <c r="T16" s="111">
        <f t="shared" si="2"/>
        <v>0</v>
      </c>
      <c r="U16" s="111">
        <f t="shared" si="2"/>
        <v>0</v>
      </c>
      <c r="V16" s="111">
        <f t="shared" si="2"/>
        <v>0</v>
      </c>
      <c r="W16" s="111">
        <f t="shared" si="2"/>
        <v>0</v>
      </c>
      <c r="X16" s="111">
        <f t="shared" si="2"/>
        <v>0</v>
      </c>
      <c r="Y16" s="111">
        <f t="shared" si="2"/>
        <v>0</v>
      </c>
      <c r="Z16" s="111">
        <f t="shared" si="2"/>
        <v>0</v>
      </c>
      <c r="AA16" s="111">
        <f t="shared" si="2"/>
        <v>0</v>
      </c>
      <c r="AB16" s="111">
        <f t="shared" si="2"/>
        <v>0</v>
      </c>
      <c r="AC16" s="111">
        <f t="shared" si="2"/>
        <v>0</v>
      </c>
      <c r="AD16" s="111">
        <f t="shared" si="2"/>
        <v>0</v>
      </c>
      <c r="AE16" s="111">
        <f t="shared" si="2"/>
        <v>0</v>
      </c>
      <c r="AF16" s="111">
        <f t="shared" si="2"/>
        <v>0</v>
      </c>
      <c r="AG16" s="111">
        <f t="shared" si="2"/>
        <v>0</v>
      </c>
      <c r="AH16" s="111">
        <f t="shared" si="2"/>
        <v>0</v>
      </c>
      <c r="AI16" s="111">
        <f t="shared" si="2"/>
        <v>0</v>
      </c>
      <c r="AJ16" s="111">
        <f t="shared" si="2"/>
        <v>0</v>
      </c>
      <c r="AK16" s="111">
        <f t="shared" si="2"/>
        <v>0</v>
      </c>
      <c r="AL16" s="111">
        <f t="shared" si="2"/>
        <v>0</v>
      </c>
      <c r="AM16" s="111">
        <f t="shared" si="2"/>
        <v>0</v>
      </c>
      <c r="AN16" s="111">
        <f t="shared" si="2"/>
        <v>0</v>
      </c>
      <c r="AO16" s="111">
        <f t="shared" si="2"/>
        <v>0</v>
      </c>
      <c r="AP16" s="111">
        <f t="shared" si="2"/>
        <v>0</v>
      </c>
      <c r="AQ16" s="111">
        <f t="shared" si="2"/>
        <v>0</v>
      </c>
      <c r="AR16" s="111">
        <f t="shared" si="2"/>
        <v>0</v>
      </c>
      <c r="AS16" s="111">
        <f t="shared" si="2"/>
        <v>0</v>
      </c>
      <c r="AT16" s="111">
        <f t="shared" si="2"/>
        <v>0</v>
      </c>
      <c r="AU16" s="111">
        <f t="shared" si="2"/>
        <v>0</v>
      </c>
      <c r="AV16" s="111">
        <f t="shared" si="2"/>
        <v>0</v>
      </c>
      <c r="AW16" s="111">
        <f t="shared" si="2"/>
        <v>0</v>
      </c>
      <c r="AX16" s="111">
        <f t="shared" si="2"/>
        <v>0</v>
      </c>
      <c r="AY16" s="111">
        <f t="shared" si="2"/>
        <v>0</v>
      </c>
      <c r="AZ16" s="133"/>
    </row>
    <row r="17" spans="1:52" x14ac:dyDescent="0.25">
      <c r="A17" s="130"/>
      <c r="B17" s="137" t="s">
        <v>295</v>
      </c>
      <c r="C17" s="130"/>
      <c r="D17" s="119">
        <f>IF(C$20="Yes",C16,0)</f>
        <v>0</v>
      </c>
      <c r="E17" s="119">
        <f t="shared" si="2"/>
        <v>0</v>
      </c>
      <c r="F17" s="119">
        <f t="shared" si="2"/>
        <v>0</v>
      </c>
      <c r="G17" s="119">
        <f t="shared" si="2"/>
        <v>0</v>
      </c>
      <c r="H17" s="119">
        <f t="shared" si="2"/>
        <v>0</v>
      </c>
      <c r="I17" s="119">
        <f t="shared" si="2"/>
        <v>0</v>
      </c>
      <c r="J17" s="119">
        <f t="shared" si="2"/>
        <v>0</v>
      </c>
      <c r="K17" s="119">
        <f t="shared" si="2"/>
        <v>0</v>
      </c>
      <c r="L17" s="119">
        <f t="shared" si="2"/>
        <v>0</v>
      </c>
      <c r="M17" s="119">
        <f t="shared" si="2"/>
        <v>0</v>
      </c>
      <c r="N17" s="119">
        <f t="shared" si="2"/>
        <v>0</v>
      </c>
      <c r="O17" s="119">
        <f t="shared" si="2"/>
        <v>0</v>
      </c>
      <c r="P17" s="119">
        <f t="shared" si="2"/>
        <v>0</v>
      </c>
      <c r="Q17" s="119">
        <f t="shared" si="2"/>
        <v>0</v>
      </c>
      <c r="R17" s="119">
        <f t="shared" si="2"/>
        <v>0</v>
      </c>
      <c r="S17" s="119">
        <f t="shared" si="2"/>
        <v>0</v>
      </c>
      <c r="T17" s="119">
        <f t="shared" si="2"/>
        <v>0</v>
      </c>
      <c r="U17" s="119">
        <f t="shared" si="2"/>
        <v>0</v>
      </c>
      <c r="V17" s="119">
        <f t="shared" si="2"/>
        <v>0</v>
      </c>
      <c r="W17" s="119">
        <f t="shared" si="2"/>
        <v>0</v>
      </c>
      <c r="X17" s="119">
        <f t="shared" si="2"/>
        <v>0</v>
      </c>
      <c r="Y17" s="119">
        <f t="shared" si="2"/>
        <v>0</v>
      </c>
      <c r="Z17" s="119">
        <f t="shared" si="2"/>
        <v>0</v>
      </c>
      <c r="AA17" s="119">
        <f t="shared" si="2"/>
        <v>0</v>
      </c>
      <c r="AB17" s="119">
        <f t="shared" si="2"/>
        <v>0</v>
      </c>
      <c r="AC17" s="119">
        <f t="shared" si="2"/>
        <v>0</v>
      </c>
      <c r="AD17" s="119">
        <f t="shared" si="2"/>
        <v>0</v>
      </c>
      <c r="AE17" s="119">
        <f t="shared" si="2"/>
        <v>0</v>
      </c>
      <c r="AF17" s="119">
        <f t="shared" si="2"/>
        <v>0</v>
      </c>
      <c r="AG17" s="119">
        <f t="shared" si="2"/>
        <v>0</v>
      </c>
      <c r="AH17" s="119">
        <f t="shared" si="2"/>
        <v>0</v>
      </c>
      <c r="AI17" s="119">
        <f t="shared" si="2"/>
        <v>0</v>
      </c>
      <c r="AJ17" s="119">
        <f t="shared" si="2"/>
        <v>0</v>
      </c>
      <c r="AK17" s="119">
        <f t="shared" si="2"/>
        <v>0</v>
      </c>
      <c r="AL17" s="119">
        <f t="shared" si="2"/>
        <v>0</v>
      </c>
      <c r="AM17" s="119">
        <f t="shared" si="2"/>
        <v>0</v>
      </c>
      <c r="AN17" s="119">
        <f t="shared" si="2"/>
        <v>0</v>
      </c>
      <c r="AO17" s="119">
        <f t="shared" si="2"/>
        <v>0</v>
      </c>
      <c r="AP17" s="119">
        <f t="shared" si="2"/>
        <v>0</v>
      </c>
      <c r="AQ17" s="119">
        <f t="shared" si="2"/>
        <v>0</v>
      </c>
      <c r="AR17" s="119">
        <f t="shared" si="2"/>
        <v>0</v>
      </c>
      <c r="AS17" s="119">
        <f t="shared" si="2"/>
        <v>0</v>
      </c>
      <c r="AT17" s="119">
        <f t="shared" si="2"/>
        <v>0</v>
      </c>
      <c r="AU17" s="119">
        <f t="shared" si="2"/>
        <v>0</v>
      </c>
      <c r="AV17" s="119">
        <f t="shared" si="2"/>
        <v>0</v>
      </c>
      <c r="AW17" s="119">
        <f t="shared" si="2"/>
        <v>0</v>
      </c>
      <c r="AX17" s="119">
        <f t="shared" si="2"/>
        <v>0</v>
      </c>
      <c r="AY17" s="119">
        <f t="shared" si="2"/>
        <v>0</v>
      </c>
      <c r="AZ17" s="156">
        <f>SUM($D$17:$AY$17)</f>
        <v>0</v>
      </c>
    </row>
    <row r="18" spans="1:52" x14ac:dyDescent="0.25">
      <c r="A18" s="111"/>
      <c r="B18" s="158"/>
      <c r="C18" s="143"/>
      <c r="D18" s="143"/>
      <c r="E18" s="143"/>
      <c r="F18" s="143"/>
      <c r="G18" s="143"/>
      <c r="H18" s="143"/>
      <c r="I18" s="143"/>
      <c r="J18" s="143"/>
      <c r="K18" s="143"/>
      <c r="L18" s="143"/>
      <c r="M18" s="143"/>
      <c r="N18" s="143"/>
      <c r="O18" s="143"/>
      <c r="P18" s="143"/>
      <c r="Q18" s="143"/>
      <c r="R18" s="143"/>
      <c r="S18" s="143"/>
      <c r="T18" s="143"/>
      <c r="U18" s="143"/>
      <c r="V18" s="143"/>
      <c r="W18" s="143"/>
      <c r="X18" s="143"/>
      <c r="Y18" s="143"/>
      <c r="Z18" s="143"/>
      <c r="AA18" s="143"/>
      <c r="AB18" s="143"/>
      <c r="AC18" s="143"/>
      <c r="AD18" s="143"/>
      <c r="AE18" s="143"/>
      <c r="AF18" s="143"/>
      <c r="AG18" s="143"/>
      <c r="AH18" s="143"/>
      <c r="AI18" s="143"/>
      <c r="AJ18" s="143"/>
      <c r="AK18" s="143"/>
      <c r="AL18" s="143"/>
      <c r="AM18" s="143"/>
      <c r="AN18" s="143"/>
      <c r="AO18" s="143"/>
      <c r="AP18" s="143"/>
      <c r="AQ18" s="143"/>
      <c r="AR18" s="143"/>
      <c r="AS18" s="143"/>
      <c r="AT18" s="143"/>
      <c r="AU18" s="143"/>
      <c r="AV18" s="143"/>
      <c r="AW18" s="143"/>
      <c r="AX18" s="143"/>
      <c r="AY18" s="143"/>
      <c r="AZ18" s="111"/>
    </row>
    <row r="19" spans="1:52" x14ac:dyDescent="0.25">
      <c r="A19" s="107" t="s">
        <v>116</v>
      </c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1"/>
      <c r="O19" s="111"/>
      <c r="P19" s="111"/>
      <c r="Q19" s="111"/>
      <c r="R19" s="111"/>
      <c r="S19" s="111"/>
      <c r="T19" s="111"/>
      <c r="U19" s="111"/>
      <c r="V19" s="111"/>
      <c r="W19" s="111"/>
      <c r="X19" s="111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11"/>
      <c r="AJ19" s="111"/>
      <c r="AK19" s="111"/>
      <c r="AL19" s="111"/>
      <c r="AM19" s="111"/>
      <c r="AN19" s="111"/>
      <c r="AO19" s="111"/>
      <c r="AP19" s="111"/>
      <c r="AQ19" s="111"/>
      <c r="AR19" s="111"/>
      <c r="AS19" s="111"/>
      <c r="AT19" s="111"/>
      <c r="AU19" s="111"/>
      <c r="AV19" s="111"/>
      <c r="AW19" s="111"/>
      <c r="AX19" s="111"/>
      <c r="AY19" s="111"/>
    </row>
    <row r="20" spans="1:52" s="115" customFormat="1" x14ac:dyDescent="0.25">
      <c r="A20" s="120" t="s">
        <v>304</v>
      </c>
      <c r="B20" s="159" t="s">
        <v>305</v>
      </c>
      <c r="C20" s="122"/>
      <c r="D20" s="122"/>
      <c r="E20" s="122"/>
      <c r="F20" s="122"/>
      <c r="G20" s="122" t="s">
        <v>338</v>
      </c>
      <c r="H20" s="122"/>
      <c r="I20" s="122"/>
      <c r="J20" s="122"/>
      <c r="K20" s="122"/>
      <c r="L20" s="122"/>
      <c r="M20" s="122"/>
      <c r="N20" s="122"/>
      <c r="O20" s="122"/>
      <c r="P20" s="122"/>
      <c r="Q20" s="122"/>
      <c r="R20" s="122"/>
      <c r="S20" s="122"/>
      <c r="T20" s="122"/>
      <c r="U20" s="122"/>
      <c r="V20" s="122"/>
      <c r="W20" s="122"/>
      <c r="X20" s="122"/>
      <c r="Y20" s="122"/>
      <c r="Z20" s="122"/>
      <c r="AA20" s="122"/>
      <c r="AB20" s="122"/>
      <c r="AC20" s="122"/>
      <c r="AD20" s="122"/>
      <c r="AE20" s="122"/>
      <c r="AF20" s="122"/>
      <c r="AG20" s="122"/>
      <c r="AH20" s="122"/>
      <c r="AI20" s="122"/>
      <c r="AJ20" s="122"/>
      <c r="AK20" s="122"/>
      <c r="AL20" s="122"/>
      <c r="AM20" s="122"/>
      <c r="AN20" s="122"/>
      <c r="AO20" s="122"/>
      <c r="AP20" s="122" t="s">
        <v>338</v>
      </c>
      <c r="AQ20" s="122"/>
      <c r="AR20" s="122"/>
      <c r="AS20" s="122"/>
      <c r="AT20" s="122"/>
      <c r="AU20" s="122"/>
      <c r="AV20" s="122"/>
      <c r="AW20" s="122"/>
      <c r="AX20" s="122"/>
      <c r="AY20" s="122"/>
      <c r="AZ20" s="112"/>
    </row>
    <row r="21" spans="1:52" s="115" customFormat="1" x14ac:dyDescent="0.25">
      <c r="A21" s="160" t="s">
        <v>133</v>
      </c>
      <c r="B21" s="161">
        <f>shipping_manufacturing!$E$19/100</f>
        <v>0.45</v>
      </c>
      <c r="C21" s="161" t="s">
        <v>292</v>
      </c>
      <c r="D21" s="111">
        <f>IF(C$20="Yes",0,SUM(C$13:C$16)*$B$21)</f>
        <v>0</v>
      </c>
      <c r="E21" s="111">
        <f t="shared" ref="E21:AY21" si="3">IF(D$20="Yes",0,SUM(D$13:D$16)*$B$21)</f>
        <v>225</v>
      </c>
      <c r="F21" s="111">
        <f t="shared" si="3"/>
        <v>225</v>
      </c>
      <c r="G21" s="111">
        <f t="shared" si="3"/>
        <v>225</v>
      </c>
      <c r="H21" s="111">
        <f t="shared" si="3"/>
        <v>0</v>
      </c>
      <c r="I21" s="111">
        <f t="shared" si="3"/>
        <v>225</v>
      </c>
      <c r="J21" s="111">
        <f t="shared" si="3"/>
        <v>225</v>
      </c>
      <c r="K21" s="111">
        <f t="shared" si="3"/>
        <v>225</v>
      </c>
      <c r="L21" s="111">
        <f t="shared" si="3"/>
        <v>225</v>
      </c>
      <c r="M21" s="111">
        <f t="shared" si="3"/>
        <v>225</v>
      </c>
      <c r="N21" s="111">
        <f t="shared" si="3"/>
        <v>225</v>
      </c>
      <c r="O21" s="111">
        <f t="shared" si="3"/>
        <v>225</v>
      </c>
      <c r="P21" s="111">
        <f t="shared" si="3"/>
        <v>225</v>
      </c>
      <c r="Q21" s="111">
        <f t="shared" si="3"/>
        <v>225</v>
      </c>
      <c r="R21" s="111">
        <f t="shared" si="3"/>
        <v>225</v>
      </c>
      <c r="S21" s="111">
        <f t="shared" si="3"/>
        <v>225</v>
      </c>
      <c r="T21" s="111">
        <f t="shared" si="3"/>
        <v>225</v>
      </c>
      <c r="U21" s="111">
        <f t="shared" si="3"/>
        <v>225</v>
      </c>
      <c r="V21" s="111">
        <f t="shared" si="3"/>
        <v>225</v>
      </c>
      <c r="W21" s="111">
        <f t="shared" si="3"/>
        <v>225</v>
      </c>
      <c r="X21" s="111">
        <f t="shared" si="3"/>
        <v>225</v>
      </c>
      <c r="Y21" s="111">
        <f t="shared" si="3"/>
        <v>225</v>
      </c>
      <c r="Z21" s="111">
        <f t="shared" si="3"/>
        <v>225</v>
      </c>
      <c r="AA21" s="111">
        <f t="shared" si="3"/>
        <v>225</v>
      </c>
      <c r="AB21" s="111">
        <f t="shared" si="3"/>
        <v>225</v>
      </c>
      <c r="AC21" s="111">
        <f t="shared" si="3"/>
        <v>225</v>
      </c>
      <c r="AD21" s="111">
        <f t="shared" si="3"/>
        <v>225</v>
      </c>
      <c r="AE21" s="111">
        <f t="shared" si="3"/>
        <v>225</v>
      </c>
      <c r="AF21" s="111">
        <f t="shared" si="3"/>
        <v>225</v>
      </c>
      <c r="AG21" s="111">
        <f t="shared" si="3"/>
        <v>225</v>
      </c>
      <c r="AH21" s="111">
        <f t="shared" si="3"/>
        <v>225</v>
      </c>
      <c r="AI21" s="111">
        <f t="shared" si="3"/>
        <v>225</v>
      </c>
      <c r="AJ21" s="111">
        <f t="shared" si="3"/>
        <v>225</v>
      </c>
      <c r="AK21" s="111">
        <f t="shared" si="3"/>
        <v>225</v>
      </c>
      <c r="AL21" s="111">
        <f t="shared" si="3"/>
        <v>225</v>
      </c>
      <c r="AM21" s="111">
        <f t="shared" si="3"/>
        <v>225</v>
      </c>
      <c r="AN21" s="111">
        <f t="shared" si="3"/>
        <v>225</v>
      </c>
      <c r="AO21" s="111">
        <f t="shared" si="3"/>
        <v>225</v>
      </c>
      <c r="AP21" s="111">
        <f t="shared" si="3"/>
        <v>225</v>
      </c>
      <c r="AQ21" s="111">
        <f t="shared" si="3"/>
        <v>0</v>
      </c>
      <c r="AR21" s="111">
        <f t="shared" si="3"/>
        <v>225</v>
      </c>
      <c r="AS21" s="111">
        <f t="shared" si="3"/>
        <v>225</v>
      </c>
      <c r="AT21" s="111">
        <f t="shared" si="3"/>
        <v>225</v>
      </c>
      <c r="AU21" s="111">
        <f t="shared" si="3"/>
        <v>225</v>
      </c>
      <c r="AV21" s="111">
        <f t="shared" si="3"/>
        <v>225</v>
      </c>
      <c r="AW21" s="111">
        <f t="shared" si="3"/>
        <v>225</v>
      </c>
      <c r="AX21" s="111">
        <f t="shared" si="3"/>
        <v>225</v>
      </c>
      <c r="AY21" s="111">
        <f t="shared" si="3"/>
        <v>225</v>
      </c>
      <c r="AZ21" s="162">
        <f>SUM($D21:$AY21)</f>
        <v>10125</v>
      </c>
    </row>
    <row r="22" spans="1:52" s="115" customFormat="1" x14ac:dyDescent="0.25">
      <c r="A22" s="163" t="s">
        <v>123</v>
      </c>
      <c r="B22" s="164">
        <f>1-$B$21</f>
        <v>0.55000000000000004</v>
      </c>
      <c r="C22" s="164" t="s">
        <v>292</v>
      </c>
      <c r="D22" s="119">
        <f>IF(C$20="Yes",0,SUM(C$13:C$16)*$B$22)</f>
        <v>0</v>
      </c>
      <c r="E22" s="119">
        <f t="shared" ref="E22:AY22" si="4">IF(D$20="Yes",0,SUM(D$13:D$16)*$B$22)</f>
        <v>275</v>
      </c>
      <c r="F22" s="119">
        <f t="shared" si="4"/>
        <v>275</v>
      </c>
      <c r="G22" s="119">
        <f t="shared" si="4"/>
        <v>275</v>
      </c>
      <c r="H22" s="119">
        <f t="shared" si="4"/>
        <v>0</v>
      </c>
      <c r="I22" s="119">
        <f t="shared" si="4"/>
        <v>275</v>
      </c>
      <c r="J22" s="119">
        <f t="shared" si="4"/>
        <v>275</v>
      </c>
      <c r="K22" s="119">
        <f t="shared" si="4"/>
        <v>275</v>
      </c>
      <c r="L22" s="119">
        <f t="shared" si="4"/>
        <v>275</v>
      </c>
      <c r="M22" s="119">
        <f t="shared" si="4"/>
        <v>275</v>
      </c>
      <c r="N22" s="119">
        <f t="shared" si="4"/>
        <v>275</v>
      </c>
      <c r="O22" s="119">
        <f t="shared" si="4"/>
        <v>275</v>
      </c>
      <c r="P22" s="119">
        <f t="shared" si="4"/>
        <v>275</v>
      </c>
      <c r="Q22" s="119">
        <f t="shared" si="4"/>
        <v>275</v>
      </c>
      <c r="R22" s="119">
        <f t="shared" si="4"/>
        <v>275</v>
      </c>
      <c r="S22" s="119">
        <f t="shared" si="4"/>
        <v>275</v>
      </c>
      <c r="T22" s="119">
        <f t="shared" si="4"/>
        <v>275</v>
      </c>
      <c r="U22" s="119">
        <f t="shared" si="4"/>
        <v>275</v>
      </c>
      <c r="V22" s="119">
        <f t="shared" si="4"/>
        <v>275</v>
      </c>
      <c r="W22" s="119">
        <f t="shared" si="4"/>
        <v>275</v>
      </c>
      <c r="X22" s="119">
        <f t="shared" si="4"/>
        <v>275</v>
      </c>
      <c r="Y22" s="119">
        <f t="shared" si="4"/>
        <v>275</v>
      </c>
      <c r="Z22" s="119">
        <f t="shared" si="4"/>
        <v>275</v>
      </c>
      <c r="AA22" s="119">
        <f t="shared" si="4"/>
        <v>275</v>
      </c>
      <c r="AB22" s="119">
        <f t="shared" si="4"/>
        <v>275</v>
      </c>
      <c r="AC22" s="119">
        <f t="shared" si="4"/>
        <v>275</v>
      </c>
      <c r="AD22" s="119">
        <f t="shared" si="4"/>
        <v>275</v>
      </c>
      <c r="AE22" s="119">
        <f t="shared" si="4"/>
        <v>275</v>
      </c>
      <c r="AF22" s="119">
        <f t="shared" si="4"/>
        <v>275</v>
      </c>
      <c r="AG22" s="119">
        <f t="shared" si="4"/>
        <v>275</v>
      </c>
      <c r="AH22" s="119">
        <f t="shared" si="4"/>
        <v>275</v>
      </c>
      <c r="AI22" s="119">
        <f t="shared" si="4"/>
        <v>275</v>
      </c>
      <c r="AJ22" s="119">
        <f t="shared" si="4"/>
        <v>275</v>
      </c>
      <c r="AK22" s="119">
        <f t="shared" si="4"/>
        <v>275</v>
      </c>
      <c r="AL22" s="119">
        <f t="shared" si="4"/>
        <v>275</v>
      </c>
      <c r="AM22" s="119">
        <f t="shared" si="4"/>
        <v>275</v>
      </c>
      <c r="AN22" s="119">
        <f t="shared" si="4"/>
        <v>275</v>
      </c>
      <c r="AO22" s="119">
        <f t="shared" si="4"/>
        <v>275</v>
      </c>
      <c r="AP22" s="119">
        <f t="shared" si="4"/>
        <v>275</v>
      </c>
      <c r="AQ22" s="119">
        <f t="shared" si="4"/>
        <v>0</v>
      </c>
      <c r="AR22" s="119">
        <f t="shared" si="4"/>
        <v>275</v>
      </c>
      <c r="AS22" s="119">
        <f t="shared" si="4"/>
        <v>275</v>
      </c>
      <c r="AT22" s="119">
        <f t="shared" si="4"/>
        <v>275</v>
      </c>
      <c r="AU22" s="119">
        <f t="shared" si="4"/>
        <v>275</v>
      </c>
      <c r="AV22" s="119">
        <f t="shared" si="4"/>
        <v>275</v>
      </c>
      <c r="AW22" s="119">
        <f t="shared" si="4"/>
        <v>275</v>
      </c>
      <c r="AX22" s="119">
        <f t="shared" si="4"/>
        <v>275</v>
      </c>
      <c r="AY22" s="119">
        <f t="shared" si="4"/>
        <v>275</v>
      </c>
      <c r="AZ22" s="146">
        <f t="shared" ref="AZ22:AZ30" si="5">SUM($D22:$AY22)</f>
        <v>12375</v>
      </c>
    </row>
    <row r="23" spans="1:52" x14ac:dyDescent="0.25">
      <c r="A23" s="165" t="s">
        <v>306</v>
      </c>
      <c r="B23" s="129">
        <v>2000</v>
      </c>
      <c r="C23" s="105" t="s">
        <v>292</v>
      </c>
      <c r="D23" s="105">
        <f>D$21*$B$23</f>
        <v>0</v>
      </c>
      <c r="E23" s="105">
        <f t="shared" ref="E23:AY23" si="6">E$21*$B$23</f>
        <v>450000</v>
      </c>
      <c r="F23" s="105">
        <f t="shared" si="6"/>
        <v>450000</v>
      </c>
      <c r="G23" s="105">
        <f t="shared" si="6"/>
        <v>450000</v>
      </c>
      <c r="H23" s="105">
        <f t="shared" si="6"/>
        <v>0</v>
      </c>
      <c r="I23" s="105">
        <f t="shared" si="6"/>
        <v>450000</v>
      </c>
      <c r="J23" s="105">
        <f t="shared" si="6"/>
        <v>450000</v>
      </c>
      <c r="K23" s="105">
        <f t="shared" si="6"/>
        <v>450000</v>
      </c>
      <c r="L23" s="105">
        <f t="shared" si="6"/>
        <v>450000</v>
      </c>
      <c r="M23" s="105">
        <f t="shared" si="6"/>
        <v>450000</v>
      </c>
      <c r="N23" s="105">
        <f t="shared" si="6"/>
        <v>450000</v>
      </c>
      <c r="O23" s="105">
        <f t="shared" si="6"/>
        <v>450000</v>
      </c>
      <c r="P23" s="105">
        <f t="shared" si="6"/>
        <v>450000</v>
      </c>
      <c r="Q23" s="105">
        <f t="shared" si="6"/>
        <v>450000</v>
      </c>
      <c r="R23" s="105">
        <f t="shared" si="6"/>
        <v>450000</v>
      </c>
      <c r="S23" s="105">
        <f t="shared" si="6"/>
        <v>450000</v>
      </c>
      <c r="T23" s="105">
        <f t="shared" si="6"/>
        <v>450000</v>
      </c>
      <c r="U23" s="105">
        <f t="shared" si="6"/>
        <v>450000</v>
      </c>
      <c r="V23" s="105">
        <f t="shared" si="6"/>
        <v>450000</v>
      </c>
      <c r="W23" s="105">
        <f t="shared" si="6"/>
        <v>450000</v>
      </c>
      <c r="X23" s="105">
        <f t="shared" si="6"/>
        <v>450000</v>
      </c>
      <c r="Y23" s="105">
        <f t="shared" si="6"/>
        <v>450000</v>
      </c>
      <c r="Z23" s="105">
        <f t="shared" si="6"/>
        <v>450000</v>
      </c>
      <c r="AA23" s="105">
        <f t="shared" si="6"/>
        <v>450000</v>
      </c>
      <c r="AB23" s="105">
        <f t="shared" si="6"/>
        <v>450000</v>
      </c>
      <c r="AC23" s="105">
        <f t="shared" si="6"/>
        <v>450000</v>
      </c>
      <c r="AD23" s="105">
        <f t="shared" si="6"/>
        <v>450000</v>
      </c>
      <c r="AE23" s="105">
        <f t="shared" si="6"/>
        <v>450000</v>
      </c>
      <c r="AF23" s="105">
        <f t="shared" si="6"/>
        <v>450000</v>
      </c>
      <c r="AG23" s="105">
        <f t="shared" si="6"/>
        <v>450000</v>
      </c>
      <c r="AH23" s="105">
        <f t="shared" si="6"/>
        <v>450000</v>
      </c>
      <c r="AI23" s="105">
        <f t="shared" si="6"/>
        <v>450000</v>
      </c>
      <c r="AJ23" s="105">
        <f t="shared" si="6"/>
        <v>450000</v>
      </c>
      <c r="AK23" s="105">
        <f t="shared" si="6"/>
        <v>450000</v>
      </c>
      <c r="AL23" s="105">
        <f t="shared" si="6"/>
        <v>450000</v>
      </c>
      <c r="AM23" s="105">
        <f t="shared" si="6"/>
        <v>450000</v>
      </c>
      <c r="AN23" s="105">
        <f t="shared" si="6"/>
        <v>450000</v>
      </c>
      <c r="AO23" s="105">
        <f t="shared" si="6"/>
        <v>450000</v>
      </c>
      <c r="AP23" s="105">
        <f t="shared" si="6"/>
        <v>450000</v>
      </c>
      <c r="AQ23" s="105">
        <f t="shared" si="6"/>
        <v>0</v>
      </c>
      <c r="AR23" s="105">
        <f t="shared" si="6"/>
        <v>450000</v>
      </c>
      <c r="AS23" s="105">
        <f t="shared" si="6"/>
        <v>450000</v>
      </c>
      <c r="AT23" s="105">
        <f t="shared" si="6"/>
        <v>450000</v>
      </c>
      <c r="AU23" s="105">
        <f t="shared" si="6"/>
        <v>450000</v>
      </c>
      <c r="AV23" s="105">
        <f t="shared" si="6"/>
        <v>450000</v>
      </c>
      <c r="AW23" s="105">
        <f t="shared" si="6"/>
        <v>450000</v>
      </c>
      <c r="AX23" s="105">
        <f t="shared" si="6"/>
        <v>450000</v>
      </c>
      <c r="AY23" s="105">
        <f t="shared" si="6"/>
        <v>450000</v>
      </c>
      <c r="AZ23" s="144">
        <f t="shared" si="5"/>
        <v>20250000</v>
      </c>
    </row>
    <row r="24" spans="1:52" s="115" customFormat="1" x14ac:dyDescent="0.25">
      <c r="A24" s="166" t="s">
        <v>307</v>
      </c>
      <c r="B24" s="167">
        <v>1000</v>
      </c>
      <c r="C24" s="161" t="s">
        <v>292</v>
      </c>
      <c r="D24" s="111">
        <f>D$22*$B$24</f>
        <v>0</v>
      </c>
      <c r="E24" s="111">
        <f t="shared" ref="E24:AY24" si="7">E$22*$B$24</f>
        <v>275000</v>
      </c>
      <c r="F24" s="111">
        <f t="shared" si="7"/>
        <v>275000</v>
      </c>
      <c r="G24" s="111">
        <f t="shared" si="7"/>
        <v>275000</v>
      </c>
      <c r="H24" s="111">
        <f t="shared" si="7"/>
        <v>0</v>
      </c>
      <c r="I24" s="111">
        <f t="shared" si="7"/>
        <v>275000</v>
      </c>
      <c r="J24" s="111">
        <f t="shared" si="7"/>
        <v>275000</v>
      </c>
      <c r="K24" s="111">
        <f t="shared" si="7"/>
        <v>275000</v>
      </c>
      <c r="L24" s="111">
        <f t="shared" si="7"/>
        <v>275000</v>
      </c>
      <c r="M24" s="111">
        <f t="shared" si="7"/>
        <v>275000</v>
      </c>
      <c r="N24" s="111">
        <f t="shared" si="7"/>
        <v>275000</v>
      </c>
      <c r="O24" s="111">
        <f t="shared" si="7"/>
        <v>275000</v>
      </c>
      <c r="P24" s="111">
        <f t="shared" si="7"/>
        <v>275000</v>
      </c>
      <c r="Q24" s="111">
        <f t="shared" si="7"/>
        <v>275000</v>
      </c>
      <c r="R24" s="111">
        <f t="shared" si="7"/>
        <v>275000</v>
      </c>
      <c r="S24" s="111">
        <f t="shared" si="7"/>
        <v>275000</v>
      </c>
      <c r="T24" s="111">
        <f t="shared" si="7"/>
        <v>275000</v>
      </c>
      <c r="U24" s="111">
        <f t="shared" si="7"/>
        <v>275000</v>
      </c>
      <c r="V24" s="111">
        <f t="shared" si="7"/>
        <v>275000</v>
      </c>
      <c r="W24" s="111">
        <f t="shared" si="7"/>
        <v>275000</v>
      </c>
      <c r="X24" s="111">
        <f t="shared" si="7"/>
        <v>275000</v>
      </c>
      <c r="Y24" s="111">
        <f t="shared" si="7"/>
        <v>275000</v>
      </c>
      <c r="Z24" s="111">
        <f t="shared" si="7"/>
        <v>275000</v>
      </c>
      <c r="AA24" s="111">
        <f t="shared" si="7"/>
        <v>275000</v>
      </c>
      <c r="AB24" s="111">
        <f t="shared" si="7"/>
        <v>275000</v>
      </c>
      <c r="AC24" s="111">
        <f t="shared" si="7"/>
        <v>275000</v>
      </c>
      <c r="AD24" s="111">
        <f t="shared" si="7"/>
        <v>275000</v>
      </c>
      <c r="AE24" s="111">
        <f t="shared" si="7"/>
        <v>275000</v>
      </c>
      <c r="AF24" s="111">
        <f t="shared" si="7"/>
        <v>275000</v>
      </c>
      <c r="AG24" s="111">
        <f t="shared" si="7"/>
        <v>275000</v>
      </c>
      <c r="AH24" s="111">
        <f t="shared" si="7"/>
        <v>275000</v>
      </c>
      <c r="AI24" s="111">
        <f t="shared" si="7"/>
        <v>275000</v>
      </c>
      <c r="AJ24" s="111">
        <f t="shared" si="7"/>
        <v>275000</v>
      </c>
      <c r="AK24" s="111">
        <f t="shared" si="7"/>
        <v>275000</v>
      </c>
      <c r="AL24" s="111">
        <f t="shared" si="7"/>
        <v>275000</v>
      </c>
      <c r="AM24" s="111">
        <f t="shared" si="7"/>
        <v>275000</v>
      </c>
      <c r="AN24" s="111">
        <f t="shared" si="7"/>
        <v>275000</v>
      </c>
      <c r="AO24" s="111">
        <f t="shared" si="7"/>
        <v>275000</v>
      </c>
      <c r="AP24" s="111">
        <f t="shared" si="7"/>
        <v>275000</v>
      </c>
      <c r="AQ24" s="111">
        <f t="shared" si="7"/>
        <v>0</v>
      </c>
      <c r="AR24" s="111">
        <f t="shared" si="7"/>
        <v>275000</v>
      </c>
      <c r="AS24" s="111">
        <f t="shared" si="7"/>
        <v>275000</v>
      </c>
      <c r="AT24" s="111">
        <f t="shared" si="7"/>
        <v>275000</v>
      </c>
      <c r="AU24" s="111">
        <f t="shared" si="7"/>
        <v>275000</v>
      </c>
      <c r="AV24" s="111">
        <f t="shared" si="7"/>
        <v>275000</v>
      </c>
      <c r="AW24" s="111">
        <f t="shared" si="7"/>
        <v>275000</v>
      </c>
      <c r="AX24" s="111">
        <f t="shared" si="7"/>
        <v>275000</v>
      </c>
      <c r="AY24" s="111">
        <f t="shared" si="7"/>
        <v>275000</v>
      </c>
      <c r="AZ24" s="146">
        <f t="shared" si="5"/>
        <v>12375000</v>
      </c>
    </row>
    <row r="25" spans="1:52" x14ac:dyDescent="0.25">
      <c r="C25" s="143"/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3"/>
      <c r="Q25" s="143"/>
      <c r="R25" s="143"/>
      <c r="S25" s="143"/>
      <c r="T25" s="143"/>
      <c r="U25" s="143"/>
      <c r="V25" s="143"/>
      <c r="W25" s="143"/>
      <c r="X25" s="143"/>
      <c r="Y25" s="143"/>
      <c r="Z25" s="143"/>
      <c r="AA25" s="143"/>
      <c r="AB25" s="143"/>
      <c r="AC25" s="143"/>
      <c r="AD25" s="143"/>
      <c r="AE25" s="143"/>
      <c r="AF25" s="143"/>
      <c r="AG25" s="143"/>
      <c r="AH25" s="143"/>
      <c r="AI25" s="143"/>
      <c r="AJ25" s="143"/>
      <c r="AK25" s="143"/>
      <c r="AL25" s="143"/>
      <c r="AM25" s="143"/>
      <c r="AN25" s="143"/>
      <c r="AO25" s="143"/>
      <c r="AP25" s="143"/>
      <c r="AQ25" s="143"/>
      <c r="AR25" s="143"/>
      <c r="AS25" s="143"/>
      <c r="AT25" s="143"/>
      <c r="AU25" s="143"/>
      <c r="AV25" s="143"/>
      <c r="AW25" s="143"/>
      <c r="AX25" s="143"/>
      <c r="AY25" s="143"/>
      <c r="AZ25" s="111"/>
    </row>
    <row r="26" spans="1:52" x14ac:dyDescent="0.25">
      <c r="A26" s="168" t="s">
        <v>18</v>
      </c>
      <c r="C26" s="111"/>
      <c r="D26" s="111"/>
      <c r="E26" s="111"/>
      <c r="F26" s="111"/>
      <c r="G26" s="111"/>
      <c r="H26" s="111"/>
      <c r="I26" s="111"/>
      <c r="J26" s="111"/>
      <c r="K26" s="111"/>
      <c r="L26" s="111"/>
      <c r="M26" s="111"/>
      <c r="N26" s="111"/>
      <c r="O26" s="111"/>
      <c r="P26" s="111"/>
      <c r="Q26" s="111"/>
      <c r="R26" s="111"/>
      <c r="S26" s="111"/>
      <c r="T26" s="111"/>
      <c r="U26" s="111"/>
      <c r="V26" s="111"/>
      <c r="W26" s="111"/>
      <c r="X26" s="111"/>
      <c r="Y26" s="111"/>
      <c r="Z26" s="111"/>
      <c r="AA26" s="111"/>
      <c r="AB26" s="111"/>
      <c r="AC26" s="111"/>
      <c r="AD26" s="111"/>
      <c r="AE26" s="111"/>
      <c r="AF26" s="111"/>
      <c r="AG26" s="111"/>
      <c r="AH26" s="111"/>
      <c r="AI26" s="111"/>
      <c r="AJ26" s="111"/>
      <c r="AK26" s="111"/>
      <c r="AL26" s="111"/>
      <c r="AM26" s="111"/>
      <c r="AN26" s="111"/>
      <c r="AO26" s="111"/>
      <c r="AP26" s="111"/>
      <c r="AQ26" s="111"/>
      <c r="AR26" s="111"/>
      <c r="AS26" s="111"/>
      <c r="AT26" s="111"/>
      <c r="AU26" s="111"/>
      <c r="AV26" s="111"/>
      <c r="AW26" s="111"/>
      <c r="AX26" s="111"/>
      <c r="AY26" s="111"/>
      <c r="AZ26" s="111"/>
    </row>
    <row r="27" spans="1:52" x14ac:dyDescent="0.25">
      <c r="B27" s="140" t="s">
        <v>308</v>
      </c>
      <c r="C27" s="129">
        <v>22</v>
      </c>
      <c r="D27" s="129">
        <f>C$27-C$28+C$29</f>
        <v>22</v>
      </c>
      <c r="E27" s="129">
        <f t="shared" ref="E27:AY27" si="8">D27-D28+D29</f>
        <v>22</v>
      </c>
      <c r="F27" s="129">
        <f t="shared" si="8"/>
        <v>4</v>
      </c>
      <c r="G27" s="129">
        <f t="shared" si="8"/>
        <v>18</v>
      </c>
      <c r="H27" s="129">
        <f t="shared" si="8"/>
        <v>4</v>
      </c>
      <c r="I27" s="129">
        <f t="shared" si="8"/>
        <v>22</v>
      </c>
      <c r="J27" s="129">
        <f t="shared" si="8"/>
        <v>4</v>
      </c>
      <c r="K27" s="129">
        <f t="shared" si="8"/>
        <v>18</v>
      </c>
      <c r="L27" s="129">
        <f t="shared" si="8"/>
        <v>4</v>
      </c>
      <c r="M27" s="129">
        <f t="shared" si="8"/>
        <v>18</v>
      </c>
      <c r="N27" s="129">
        <f t="shared" si="8"/>
        <v>4</v>
      </c>
      <c r="O27" s="129">
        <f t="shared" si="8"/>
        <v>18</v>
      </c>
      <c r="P27" s="129">
        <f t="shared" si="8"/>
        <v>4</v>
      </c>
      <c r="Q27" s="129">
        <f t="shared" si="8"/>
        <v>18</v>
      </c>
      <c r="R27" s="129">
        <f t="shared" si="8"/>
        <v>4</v>
      </c>
      <c r="S27" s="129">
        <f t="shared" si="8"/>
        <v>18</v>
      </c>
      <c r="T27" s="129">
        <f t="shared" si="8"/>
        <v>4</v>
      </c>
      <c r="U27" s="129">
        <f t="shared" si="8"/>
        <v>18</v>
      </c>
      <c r="V27" s="129">
        <f t="shared" si="8"/>
        <v>4</v>
      </c>
      <c r="W27" s="129">
        <f t="shared" si="8"/>
        <v>18</v>
      </c>
      <c r="X27" s="129">
        <f t="shared" si="8"/>
        <v>4</v>
      </c>
      <c r="Y27" s="129">
        <f t="shared" si="8"/>
        <v>18</v>
      </c>
      <c r="Z27" s="129">
        <f t="shared" si="8"/>
        <v>4</v>
      </c>
      <c r="AA27" s="129">
        <f t="shared" si="8"/>
        <v>18</v>
      </c>
      <c r="AB27" s="129">
        <f t="shared" si="8"/>
        <v>4</v>
      </c>
      <c r="AC27" s="129">
        <f t="shared" si="8"/>
        <v>18</v>
      </c>
      <c r="AD27" s="129">
        <f t="shared" si="8"/>
        <v>4</v>
      </c>
      <c r="AE27" s="129">
        <f t="shared" si="8"/>
        <v>18</v>
      </c>
      <c r="AF27" s="129">
        <f t="shared" si="8"/>
        <v>4</v>
      </c>
      <c r="AG27" s="129">
        <f t="shared" si="8"/>
        <v>18</v>
      </c>
      <c r="AH27" s="129">
        <f t="shared" si="8"/>
        <v>4</v>
      </c>
      <c r="AI27" s="129">
        <f t="shared" si="8"/>
        <v>18</v>
      </c>
      <c r="AJ27" s="129">
        <f t="shared" si="8"/>
        <v>4</v>
      </c>
      <c r="AK27" s="129">
        <f t="shared" si="8"/>
        <v>18</v>
      </c>
      <c r="AL27" s="129">
        <f t="shared" si="8"/>
        <v>4</v>
      </c>
      <c r="AM27" s="129">
        <f t="shared" si="8"/>
        <v>18</v>
      </c>
      <c r="AN27" s="129">
        <f t="shared" si="8"/>
        <v>4</v>
      </c>
      <c r="AO27" s="129">
        <f t="shared" si="8"/>
        <v>18</v>
      </c>
      <c r="AP27" s="129">
        <f t="shared" si="8"/>
        <v>4</v>
      </c>
      <c r="AQ27" s="129">
        <f t="shared" si="8"/>
        <v>18</v>
      </c>
      <c r="AR27" s="129">
        <f t="shared" si="8"/>
        <v>22</v>
      </c>
      <c r="AS27" s="129">
        <f t="shared" si="8"/>
        <v>4</v>
      </c>
      <c r="AT27" s="129">
        <f t="shared" si="8"/>
        <v>18</v>
      </c>
      <c r="AU27" s="129">
        <f t="shared" si="8"/>
        <v>4</v>
      </c>
      <c r="AV27" s="129">
        <f t="shared" si="8"/>
        <v>18</v>
      </c>
      <c r="AW27" s="129">
        <f t="shared" si="8"/>
        <v>4</v>
      </c>
      <c r="AX27" s="129">
        <f t="shared" si="8"/>
        <v>18</v>
      </c>
      <c r="AY27" s="169">
        <f t="shared" si="8"/>
        <v>4</v>
      </c>
      <c r="AZ27" s="111"/>
    </row>
    <row r="28" spans="1:52" x14ac:dyDescent="0.25">
      <c r="B28" s="170" t="s">
        <v>309</v>
      </c>
      <c r="C28" s="115"/>
      <c r="D28" s="115">
        <v>0</v>
      </c>
      <c r="E28" s="115">
        <v>18</v>
      </c>
      <c r="F28" s="115">
        <v>4</v>
      </c>
      <c r="G28" s="115">
        <v>18</v>
      </c>
      <c r="H28" s="115">
        <v>0</v>
      </c>
      <c r="I28" s="115">
        <v>18</v>
      </c>
      <c r="J28" s="115">
        <v>4</v>
      </c>
      <c r="K28" s="115">
        <v>18</v>
      </c>
      <c r="L28" s="115">
        <v>4</v>
      </c>
      <c r="M28" s="115">
        <v>18</v>
      </c>
      <c r="N28" s="115">
        <v>4</v>
      </c>
      <c r="O28" s="115">
        <v>18</v>
      </c>
      <c r="P28" s="115">
        <v>4</v>
      </c>
      <c r="Q28" s="115">
        <v>18</v>
      </c>
      <c r="R28" s="115">
        <v>4</v>
      </c>
      <c r="S28" s="115">
        <v>18</v>
      </c>
      <c r="T28" s="115">
        <v>4</v>
      </c>
      <c r="U28" s="115">
        <v>18</v>
      </c>
      <c r="V28" s="115">
        <v>4</v>
      </c>
      <c r="W28" s="115">
        <v>18</v>
      </c>
      <c r="X28" s="115">
        <v>4</v>
      </c>
      <c r="Y28" s="115">
        <v>18</v>
      </c>
      <c r="Z28" s="115">
        <v>4</v>
      </c>
      <c r="AA28" s="115">
        <v>18</v>
      </c>
      <c r="AB28" s="115">
        <v>4</v>
      </c>
      <c r="AC28" s="115">
        <v>18</v>
      </c>
      <c r="AD28" s="115">
        <v>4</v>
      </c>
      <c r="AE28" s="115">
        <v>18</v>
      </c>
      <c r="AF28" s="115">
        <v>4</v>
      </c>
      <c r="AG28" s="115">
        <v>18</v>
      </c>
      <c r="AH28" s="115">
        <v>4</v>
      </c>
      <c r="AI28" s="115">
        <v>18</v>
      </c>
      <c r="AJ28" s="115">
        <v>4</v>
      </c>
      <c r="AK28" s="115">
        <v>18</v>
      </c>
      <c r="AL28" s="115">
        <v>4</v>
      </c>
      <c r="AM28" s="115">
        <v>18</v>
      </c>
      <c r="AN28" s="115">
        <v>4</v>
      </c>
      <c r="AO28" s="115">
        <v>18</v>
      </c>
      <c r="AP28" s="115">
        <v>4</v>
      </c>
      <c r="AQ28" s="115">
        <v>0</v>
      </c>
      <c r="AR28" s="115">
        <v>18</v>
      </c>
      <c r="AS28" s="115">
        <v>4</v>
      </c>
      <c r="AT28" s="115">
        <v>18</v>
      </c>
      <c r="AU28" s="115">
        <v>4</v>
      </c>
      <c r="AV28" s="115">
        <v>18</v>
      </c>
      <c r="AW28" s="115">
        <v>4</v>
      </c>
      <c r="AX28" s="115">
        <v>18</v>
      </c>
      <c r="AY28" s="171">
        <v>4</v>
      </c>
      <c r="AZ28" s="111"/>
    </row>
    <row r="29" spans="1:52" x14ac:dyDescent="0.25">
      <c r="B29" s="141" t="s">
        <v>310</v>
      </c>
      <c r="C29" s="130"/>
      <c r="D29" s="130">
        <f>C$28</f>
        <v>0</v>
      </c>
      <c r="E29" s="130">
        <f t="shared" ref="E29:AY29" si="9">D$28</f>
        <v>0</v>
      </c>
      <c r="F29" s="130">
        <f t="shared" si="9"/>
        <v>18</v>
      </c>
      <c r="G29" s="130">
        <f t="shared" si="9"/>
        <v>4</v>
      </c>
      <c r="H29" s="130">
        <f t="shared" si="9"/>
        <v>18</v>
      </c>
      <c r="I29" s="130">
        <f t="shared" si="9"/>
        <v>0</v>
      </c>
      <c r="J29" s="130">
        <f t="shared" si="9"/>
        <v>18</v>
      </c>
      <c r="K29" s="130">
        <f t="shared" si="9"/>
        <v>4</v>
      </c>
      <c r="L29" s="130">
        <f t="shared" si="9"/>
        <v>18</v>
      </c>
      <c r="M29" s="130">
        <f t="shared" si="9"/>
        <v>4</v>
      </c>
      <c r="N29" s="130">
        <f t="shared" si="9"/>
        <v>18</v>
      </c>
      <c r="O29" s="130">
        <f t="shared" si="9"/>
        <v>4</v>
      </c>
      <c r="P29" s="130">
        <f t="shared" si="9"/>
        <v>18</v>
      </c>
      <c r="Q29" s="130">
        <f t="shared" si="9"/>
        <v>4</v>
      </c>
      <c r="R29" s="130">
        <f t="shared" si="9"/>
        <v>18</v>
      </c>
      <c r="S29" s="130">
        <f t="shared" si="9"/>
        <v>4</v>
      </c>
      <c r="T29" s="130">
        <f t="shared" si="9"/>
        <v>18</v>
      </c>
      <c r="U29" s="130">
        <f t="shared" si="9"/>
        <v>4</v>
      </c>
      <c r="V29" s="130">
        <f t="shared" si="9"/>
        <v>18</v>
      </c>
      <c r="W29" s="130">
        <f t="shared" si="9"/>
        <v>4</v>
      </c>
      <c r="X29" s="130">
        <f t="shared" si="9"/>
        <v>18</v>
      </c>
      <c r="Y29" s="130">
        <f t="shared" si="9"/>
        <v>4</v>
      </c>
      <c r="Z29" s="130">
        <f t="shared" si="9"/>
        <v>18</v>
      </c>
      <c r="AA29" s="130">
        <f t="shared" si="9"/>
        <v>4</v>
      </c>
      <c r="AB29" s="130">
        <f t="shared" si="9"/>
        <v>18</v>
      </c>
      <c r="AC29" s="130">
        <f t="shared" si="9"/>
        <v>4</v>
      </c>
      <c r="AD29" s="130">
        <f t="shared" si="9"/>
        <v>18</v>
      </c>
      <c r="AE29" s="130">
        <f t="shared" si="9"/>
        <v>4</v>
      </c>
      <c r="AF29" s="130">
        <f t="shared" si="9"/>
        <v>18</v>
      </c>
      <c r="AG29" s="130">
        <f t="shared" si="9"/>
        <v>4</v>
      </c>
      <c r="AH29" s="130">
        <f t="shared" si="9"/>
        <v>18</v>
      </c>
      <c r="AI29" s="130">
        <f t="shared" si="9"/>
        <v>4</v>
      </c>
      <c r="AJ29" s="130">
        <f t="shared" si="9"/>
        <v>18</v>
      </c>
      <c r="AK29" s="130">
        <f t="shared" si="9"/>
        <v>4</v>
      </c>
      <c r="AL29" s="130">
        <f t="shared" si="9"/>
        <v>18</v>
      </c>
      <c r="AM29" s="130">
        <f t="shared" si="9"/>
        <v>4</v>
      </c>
      <c r="AN29" s="130">
        <f t="shared" si="9"/>
        <v>18</v>
      </c>
      <c r="AO29" s="130">
        <f t="shared" si="9"/>
        <v>4</v>
      </c>
      <c r="AP29" s="130">
        <f t="shared" si="9"/>
        <v>18</v>
      </c>
      <c r="AQ29" s="130">
        <f t="shared" si="9"/>
        <v>4</v>
      </c>
      <c r="AR29" s="130">
        <f t="shared" si="9"/>
        <v>0</v>
      </c>
      <c r="AS29" s="130">
        <f t="shared" si="9"/>
        <v>18</v>
      </c>
      <c r="AT29" s="130">
        <f t="shared" si="9"/>
        <v>4</v>
      </c>
      <c r="AU29" s="130">
        <f t="shared" si="9"/>
        <v>18</v>
      </c>
      <c r="AV29" s="130">
        <f t="shared" si="9"/>
        <v>4</v>
      </c>
      <c r="AW29" s="130">
        <f t="shared" si="9"/>
        <v>18</v>
      </c>
      <c r="AX29" s="130">
        <f t="shared" si="9"/>
        <v>4</v>
      </c>
      <c r="AY29" s="172">
        <f t="shared" si="9"/>
        <v>18</v>
      </c>
      <c r="AZ29" s="173"/>
    </row>
    <row r="30" spans="1:52" x14ac:dyDescent="0.25">
      <c r="A30" s="174" t="s">
        <v>311</v>
      </c>
      <c r="B30" s="149">
        <v>10</v>
      </c>
      <c r="C30" s="122" t="s">
        <v>292</v>
      </c>
      <c r="D30" s="122">
        <f>D$27*$B$30</f>
        <v>220</v>
      </c>
      <c r="E30" s="122">
        <f t="shared" ref="E30:AY30" si="10">E$27*$B$30</f>
        <v>220</v>
      </c>
      <c r="F30" s="122">
        <f t="shared" si="10"/>
        <v>40</v>
      </c>
      <c r="G30" s="122">
        <f t="shared" si="10"/>
        <v>180</v>
      </c>
      <c r="H30" s="122">
        <f t="shared" si="10"/>
        <v>40</v>
      </c>
      <c r="I30" s="122">
        <f t="shared" si="10"/>
        <v>220</v>
      </c>
      <c r="J30" s="122">
        <f t="shared" si="10"/>
        <v>40</v>
      </c>
      <c r="K30" s="122">
        <f t="shared" si="10"/>
        <v>180</v>
      </c>
      <c r="L30" s="122">
        <f t="shared" si="10"/>
        <v>40</v>
      </c>
      <c r="M30" s="122">
        <f t="shared" si="10"/>
        <v>180</v>
      </c>
      <c r="N30" s="122">
        <f t="shared" si="10"/>
        <v>40</v>
      </c>
      <c r="O30" s="122">
        <f t="shared" si="10"/>
        <v>180</v>
      </c>
      <c r="P30" s="122">
        <f t="shared" si="10"/>
        <v>40</v>
      </c>
      <c r="Q30" s="122">
        <f t="shared" si="10"/>
        <v>180</v>
      </c>
      <c r="R30" s="122">
        <f>R$27*$B$30</f>
        <v>40</v>
      </c>
      <c r="S30" s="122">
        <f t="shared" si="10"/>
        <v>180</v>
      </c>
      <c r="T30" s="122">
        <f t="shared" si="10"/>
        <v>40</v>
      </c>
      <c r="U30" s="122">
        <f t="shared" si="10"/>
        <v>180</v>
      </c>
      <c r="V30" s="122">
        <f t="shared" si="10"/>
        <v>40</v>
      </c>
      <c r="W30" s="122">
        <f t="shared" si="10"/>
        <v>180</v>
      </c>
      <c r="X30" s="122">
        <f t="shared" si="10"/>
        <v>40</v>
      </c>
      <c r="Y30" s="122">
        <f t="shared" si="10"/>
        <v>180</v>
      </c>
      <c r="Z30" s="122">
        <f t="shared" si="10"/>
        <v>40</v>
      </c>
      <c r="AA30" s="122">
        <f t="shared" si="10"/>
        <v>180</v>
      </c>
      <c r="AB30" s="122">
        <f t="shared" si="10"/>
        <v>40</v>
      </c>
      <c r="AC30" s="122">
        <f t="shared" si="10"/>
        <v>180</v>
      </c>
      <c r="AD30" s="122">
        <f t="shared" si="10"/>
        <v>40</v>
      </c>
      <c r="AE30" s="122">
        <f>AE$27*$B$30</f>
        <v>180</v>
      </c>
      <c r="AF30" s="122">
        <f t="shared" si="10"/>
        <v>40</v>
      </c>
      <c r="AG30" s="122">
        <f t="shared" si="10"/>
        <v>180</v>
      </c>
      <c r="AH30" s="122">
        <f t="shared" si="10"/>
        <v>40</v>
      </c>
      <c r="AI30" s="122">
        <f t="shared" si="10"/>
        <v>180</v>
      </c>
      <c r="AJ30" s="122">
        <f t="shared" si="10"/>
        <v>40</v>
      </c>
      <c r="AK30" s="122">
        <f t="shared" si="10"/>
        <v>180</v>
      </c>
      <c r="AL30" s="122">
        <f t="shared" si="10"/>
        <v>40</v>
      </c>
      <c r="AM30" s="122">
        <f t="shared" si="10"/>
        <v>180</v>
      </c>
      <c r="AN30" s="122">
        <f t="shared" si="10"/>
        <v>40</v>
      </c>
      <c r="AO30" s="122">
        <f t="shared" si="10"/>
        <v>180</v>
      </c>
      <c r="AP30" s="122">
        <f t="shared" si="10"/>
        <v>40</v>
      </c>
      <c r="AQ30" s="122">
        <f t="shared" si="10"/>
        <v>180</v>
      </c>
      <c r="AR30" s="122">
        <f t="shared" si="10"/>
        <v>220</v>
      </c>
      <c r="AS30" s="122">
        <f t="shared" si="10"/>
        <v>40</v>
      </c>
      <c r="AT30" s="122">
        <f t="shared" si="10"/>
        <v>180</v>
      </c>
      <c r="AU30" s="122">
        <f t="shared" si="10"/>
        <v>40</v>
      </c>
      <c r="AV30" s="122">
        <f t="shared" si="10"/>
        <v>180</v>
      </c>
      <c r="AW30" s="122">
        <f t="shared" si="10"/>
        <v>40</v>
      </c>
      <c r="AX30" s="122">
        <f t="shared" si="10"/>
        <v>180</v>
      </c>
      <c r="AY30" s="122">
        <f t="shared" si="10"/>
        <v>40</v>
      </c>
      <c r="AZ30" s="146">
        <f t="shared" si="5"/>
        <v>5580</v>
      </c>
    </row>
    <row r="32" spans="1:52" x14ac:dyDescent="0.25">
      <c r="A32" s="107" t="s">
        <v>299</v>
      </c>
    </row>
    <row r="33" spans="1:52" x14ac:dyDescent="0.25">
      <c r="A33" s="140" t="s">
        <v>22</v>
      </c>
      <c r="B33" s="140" t="s">
        <v>340</v>
      </c>
      <c r="C33" s="129"/>
      <c r="D33" s="129">
        <f>D$21*shipping_manufacturing!$F$27/100</f>
        <v>0</v>
      </c>
      <c r="E33" s="129">
        <f>E$21*shipping_manufacturing!$F$27/100</f>
        <v>84.375</v>
      </c>
      <c r="F33" s="129">
        <f>F$21*shipping_manufacturing!$F$27/100</f>
        <v>84.375</v>
      </c>
      <c r="G33" s="129">
        <f>G$21*shipping_manufacturing!$F$27/100</f>
        <v>84.375</v>
      </c>
      <c r="H33" s="129">
        <f>H$21*shipping_manufacturing!$F$27/100</f>
        <v>0</v>
      </c>
      <c r="I33" s="129">
        <f>I$21*shipping_manufacturing!$F$27/100</f>
        <v>84.375</v>
      </c>
      <c r="J33" s="129">
        <f>J$21*shipping_manufacturing!$F$27/100</f>
        <v>84.375</v>
      </c>
      <c r="K33" s="129">
        <f>K$21*shipping_manufacturing!$F$27/100</f>
        <v>84.375</v>
      </c>
      <c r="L33" s="129">
        <f>L$21*shipping_manufacturing!$F$27/100</f>
        <v>84.375</v>
      </c>
      <c r="M33" s="129">
        <f>M$21*shipping_manufacturing!$F$27/100</f>
        <v>84.375</v>
      </c>
      <c r="N33" s="129">
        <f>N$21*shipping_manufacturing!$F$27/100</f>
        <v>84.375</v>
      </c>
      <c r="O33" s="129">
        <f>O$21*shipping_manufacturing!$F$27/100</f>
        <v>84.375</v>
      </c>
      <c r="P33" s="129">
        <f>P$21*shipping_manufacturing!$F$27/100</f>
        <v>84.375</v>
      </c>
      <c r="Q33" s="129">
        <f>Q$21*shipping_manufacturing!$F$27/100</f>
        <v>84.375</v>
      </c>
      <c r="R33" s="129">
        <f>R$21*shipping_manufacturing!$F$27/100</f>
        <v>84.375</v>
      </c>
      <c r="S33" s="129">
        <f>S$21*shipping_manufacturing!$F$27/100</f>
        <v>84.375</v>
      </c>
      <c r="T33" s="129">
        <f>T$21*shipping_manufacturing!$F$27/100</f>
        <v>84.375</v>
      </c>
      <c r="U33" s="129">
        <f>U$21*shipping_manufacturing!$F$27/100</f>
        <v>84.375</v>
      </c>
      <c r="V33" s="129">
        <f>V$21*shipping_manufacturing!$F$27/100</f>
        <v>84.375</v>
      </c>
      <c r="W33" s="129">
        <f>W$21*shipping_manufacturing!$F$27/100</f>
        <v>84.375</v>
      </c>
      <c r="X33" s="129">
        <f>X$21*shipping_manufacturing!$F$27/100</f>
        <v>84.375</v>
      </c>
      <c r="Y33" s="129">
        <f>Y$21*shipping_manufacturing!$F$27/100</f>
        <v>84.375</v>
      </c>
      <c r="Z33" s="129">
        <f>Z$21*shipping_manufacturing!$F$27/100</f>
        <v>84.375</v>
      </c>
      <c r="AA33" s="129">
        <f>AA$21*shipping_manufacturing!$F$27/100</f>
        <v>84.375</v>
      </c>
      <c r="AB33" s="129">
        <f>AB$21*shipping_manufacturing!$F$27/100</f>
        <v>84.375</v>
      </c>
      <c r="AC33" s="129">
        <f>AC$21*shipping_manufacturing!$F$27/100</f>
        <v>84.375</v>
      </c>
      <c r="AD33" s="129">
        <f>AD$21*shipping_manufacturing!$F$27/100</f>
        <v>84.375</v>
      </c>
      <c r="AE33" s="129">
        <f>AE$21*shipping_manufacturing!$F$27/100</f>
        <v>84.375</v>
      </c>
      <c r="AF33" s="129">
        <f>AF$21*shipping_manufacturing!$F$27/100</f>
        <v>84.375</v>
      </c>
      <c r="AG33" s="129">
        <f>AG$21*shipping_manufacturing!$F$27/100</f>
        <v>84.375</v>
      </c>
      <c r="AH33" s="129">
        <f>AH$21*shipping_manufacturing!$F$27/100</f>
        <v>84.375</v>
      </c>
      <c r="AI33" s="129">
        <f>AI$21*shipping_manufacturing!$F$27/100</f>
        <v>84.375</v>
      </c>
      <c r="AJ33" s="129">
        <f>AJ$21*shipping_manufacturing!$F$27/100</f>
        <v>84.375</v>
      </c>
      <c r="AK33" s="129">
        <f>AK$21*shipping_manufacturing!$F$27/100</f>
        <v>84.375</v>
      </c>
      <c r="AL33" s="129">
        <f>AL$21*shipping_manufacturing!$F$27/100</f>
        <v>84.375</v>
      </c>
      <c r="AM33" s="129">
        <f>AM$21*shipping_manufacturing!$F$27/100</f>
        <v>84.375</v>
      </c>
      <c r="AN33" s="129">
        <f>AN$21*shipping_manufacturing!$F$27/100</f>
        <v>84.375</v>
      </c>
      <c r="AO33" s="129">
        <f>AO$21*shipping_manufacturing!$F$27/100</f>
        <v>84.375</v>
      </c>
      <c r="AP33" s="129">
        <f>AP$21*shipping_manufacturing!$F$27/100</f>
        <v>84.375</v>
      </c>
      <c r="AQ33" s="129">
        <f>AQ$21*shipping_manufacturing!$F$27/100</f>
        <v>0</v>
      </c>
      <c r="AR33" s="129">
        <f>AR$21*shipping_manufacturing!$F$27/100</f>
        <v>84.375</v>
      </c>
      <c r="AS33" s="129">
        <f>AS$21*shipping_manufacturing!$F$27/100</f>
        <v>84.375</v>
      </c>
      <c r="AT33" s="129">
        <f>AT$21*shipping_manufacturing!$F$27/100</f>
        <v>84.375</v>
      </c>
      <c r="AU33" s="129">
        <f>AU$21*shipping_manufacturing!$F$27/100</f>
        <v>84.375</v>
      </c>
      <c r="AV33" s="129">
        <f>AV$21*shipping_manufacturing!$F$27/100</f>
        <v>84.375</v>
      </c>
      <c r="AW33" s="129">
        <f>AW$21*shipping_manufacturing!$F$27/100</f>
        <v>84.375</v>
      </c>
      <c r="AX33" s="129">
        <f>AX$21*shipping_manufacturing!$F$27/100</f>
        <v>84.375</v>
      </c>
      <c r="AY33" s="129">
        <f>AY$21*shipping_manufacturing!$F$27/100</f>
        <v>84.375</v>
      </c>
    </row>
    <row r="34" spans="1:52" x14ac:dyDescent="0.25">
      <c r="A34" s="118" t="s">
        <v>339</v>
      </c>
      <c r="B34" s="170" t="s">
        <v>341</v>
      </c>
      <c r="C34" s="115"/>
      <c r="D34" s="115">
        <f>D$22*shipping_manufacturing!$G$27/100</f>
        <v>0</v>
      </c>
      <c r="E34" s="115">
        <f>E$22*shipping_manufacturing!$G$27/100</f>
        <v>82.5</v>
      </c>
      <c r="F34" s="115">
        <f>F$22*shipping_manufacturing!$G$27/100</f>
        <v>82.5</v>
      </c>
      <c r="G34" s="115">
        <f>G$22*shipping_manufacturing!$G$27/100</f>
        <v>82.5</v>
      </c>
      <c r="H34" s="115">
        <f>H$22*shipping_manufacturing!$G$27/100</f>
        <v>0</v>
      </c>
      <c r="I34" s="115">
        <f>I$22*shipping_manufacturing!$G$27/100</f>
        <v>82.5</v>
      </c>
      <c r="J34" s="115">
        <f>J$22*shipping_manufacturing!$G$27/100</f>
        <v>82.5</v>
      </c>
      <c r="K34" s="115">
        <f>K$22*shipping_manufacturing!$G$27/100</f>
        <v>82.5</v>
      </c>
      <c r="L34" s="115">
        <f>L$22*shipping_manufacturing!$G$27/100</f>
        <v>82.5</v>
      </c>
      <c r="M34" s="115">
        <f>M$22*shipping_manufacturing!$G$27/100</f>
        <v>82.5</v>
      </c>
      <c r="N34" s="115">
        <f>N$22*shipping_manufacturing!$G$27/100</f>
        <v>82.5</v>
      </c>
      <c r="O34" s="115">
        <f>O$22*shipping_manufacturing!$G$27/100</f>
        <v>82.5</v>
      </c>
      <c r="P34" s="115">
        <f>P$22*shipping_manufacturing!$G$27/100</f>
        <v>82.5</v>
      </c>
      <c r="Q34" s="115">
        <f>Q$22*shipping_manufacturing!$G$27/100</f>
        <v>82.5</v>
      </c>
      <c r="R34" s="115">
        <f>R$22*shipping_manufacturing!$G$27/100</f>
        <v>82.5</v>
      </c>
      <c r="S34" s="115">
        <f>S$22*shipping_manufacturing!$G$27/100</f>
        <v>82.5</v>
      </c>
      <c r="T34" s="115">
        <f>T$22*shipping_manufacturing!$G$27/100</f>
        <v>82.5</v>
      </c>
      <c r="U34" s="115">
        <f>U$22*shipping_manufacturing!$G$27/100</f>
        <v>82.5</v>
      </c>
      <c r="V34" s="115">
        <f>V$22*shipping_manufacturing!$G$27/100</f>
        <v>82.5</v>
      </c>
      <c r="W34" s="115">
        <f>W$22*shipping_manufacturing!$G$27/100</f>
        <v>82.5</v>
      </c>
      <c r="X34" s="115">
        <f>X$22*shipping_manufacturing!$G$27/100</f>
        <v>82.5</v>
      </c>
      <c r="Y34" s="115">
        <f>Y$22*shipping_manufacturing!$G$27/100</f>
        <v>82.5</v>
      </c>
      <c r="Z34" s="115">
        <f>Z$22*shipping_manufacturing!$G$27/100</f>
        <v>82.5</v>
      </c>
      <c r="AA34" s="115">
        <f>AA$22*shipping_manufacturing!$G$27/100</f>
        <v>82.5</v>
      </c>
      <c r="AB34" s="115">
        <f>AB$22*shipping_manufacturing!$G$27/100</f>
        <v>82.5</v>
      </c>
      <c r="AC34" s="115">
        <f>AC$22*shipping_manufacturing!$G$27/100</f>
        <v>82.5</v>
      </c>
      <c r="AD34" s="115">
        <f>AD$22*shipping_manufacturing!$G$27/100</f>
        <v>82.5</v>
      </c>
      <c r="AE34" s="115">
        <f>AE$22*shipping_manufacturing!$G$27/100</f>
        <v>82.5</v>
      </c>
      <c r="AF34" s="115">
        <f>AF$22*shipping_manufacturing!$G$27/100</f>
        <v>82.5</v>
      </c>
      <c r="AG34" s="115">
        <f>AG$22*shipping_manufacturing!$G$27/100</f>
        <v>82.5</v>
      </c>
      <c r="AH34" s="115">
        <f>AH$22*shipping_manufacturing!$G$27/100</f>
        <v>82.5</v>
      </c>
      <c r="AI34" s="115">
        <f>AI$22*shipping_manufacturing!$G$27/100</f>
        <v>82.5</v>
      </c>
      <c r="AJ34" s="115">
        <f>AJ$22*shipping_manufacturing!$G$27/100</f>
        <v>82.5</v>
      </c>
      <c r="AK34" s="115">
        <f>AK$22*shipping_manufacturing!$G$27/100</f>
        <v>82.5</v>
      </c>
      <c r="AL34" s="115">
        <f>AL$22*shipping_manufacturing!$G$27/100</f>
        <v>82.5</v>
      </c>
      <c r="AM34" s="115">
        <f>AM$22*shipping_manufacturing!$G$27/100</f>
        <v>82.5</v>
      </c>
      <c r="AN34" s="115">
        <f>AN$22*shipping_manufacturing!$G$27/100</f>
        <v>82.5</v>
      </c>
      <c r="AO34" s="115">
        <f>AO$22*shipping_manufacturing!$G$27/100</f>
        <v>82.5</v>
      </c>
      <c r="AP34" s="115">
        <f>AP$22*shipping_manufacturing!$G$27/100</f>
        <v>82.5</v>
      </c>
      <c r="AQ34" s="115">
        <f>AQ$22*shipping_manufacturing!$G$27/100</f>
        <v>0</v>
      </c>
      <c r="AR34" s="115">
        <f>AR$22*shipping_manufacturing!$G$27/100</f>
        <v>82.5</v>
      </c>
      <c r="AS34" s="115">
        <f>AS$22*shipping_manufacturing!$G$27/100</f>
        <v>82.5</v>
      </c>
      <c r="AT34" s="115">
        <f>AT$22*shipping_manufacturing!$G$27/100</f>
        <v>82.5</v>
      </c>
      <c r="AU34" s="115">
        <f>AU$22*shipping_manufacturing!$G$27/100</f>
        <v>82.5</v>
      </c>
      <c r="AV34" s="115">
        <f>AV$22*shipping_manufacturing!$G$27/100</f>
        <v>82.5</v>
      </c>
      <c r="AW34" s="115">
        <f>AW$22*shipping_manufacturing!$G$27/100</f>
        <v>82.5</v>
      </c>
      <c r="AX34" s="115">
        <f>AX$22*shipping_manufacturing!$G$27/100</f>
        <v>82.5</v>
      </c>
      <c r="AY34" s="115">
        <f>AY$22*shipping_manufacturing!$G$27/100</f>
        <v>82.5</v>
      </c>
    </row>
    <row r="35" spans="1:52" x14ac:dyDescent="0.25">
      <c r="A35" s="115">
        <v>1225</v>
      </c>
      <c r="B35" s="170" t="s">
        <v>342</v>
      </c>
      <c r="C35" s="115"/>
      <c r="D35" s="115">
        <f>SUM(D33:D34)</f>
        <v>0</v>
      </c>
      <c r="E35" s="115">
        <f t="shared" ref="E35:AY35" si="11">SUM(E33:E34)</f>
        <v>166.875</v>
      </c>
      <c r="F35" s="115">
        <f t="shared" si="11"/>
        <v>166.875</v>
      </c>
      <c r="G35" s="115">
        <f t="shared" si="11"/>
        <v>166.875</v>
      </c>
      <c r="H35" s="115">
        <f t="shared" si="11"/>
        <v>0</v>
      </c>
      <c r="I35" s="115">
        <f t="shared" si="11"/>
        <v>166.875</v>
      </c>
      <c r="J35" s="115">
        <f t="shared" si="11"/>
        <v>166.875</v>
      </c>
      <c r="K35" s="115">
        <f t="shared" si="11"/>
        <v>166.875</v>
      </c>
      <c r="L35" s="115">
        <f t="shared" si="11"/>
        <v>166.875</v>
      </c>
      <c r="M35" s="115">
        <f t="shared" si="11"/>
        <v>166.875</v>
      </c>
      <c r="N35" s="115">
        <f t="shared" si="11"/>
        <v>166.875</v>
      </c>
      <c r="O35" s="115">
        <f t="shared" si="11"/>
        <v>166.875</v>
      </c>
      <c r="P35" s="115">
        <f t="shared" si="11"/>
        <v>166.875</v>
      </c>
      <c r="Q35" s="115">
        <f t="shared" si="11"/>
        <v>166.875</v>
      </c>
      <c r="R35" s="115">
        <f t="shared" si="11"/>
        <v>166.875</v>
      </c>
      <c r="S35" s="115">
        <f t="shared" si="11"/>
        <v>166.875</v>
      </c>
      <c r="T35" s="115">
        <f t="shared" si="11"/>
        <v>166.875</v>
      </c>
      <c r="U35" s="115">
        <f t="shared" si="11"/>
        <v>166.875</v>
      </c>
      <c r="V35" s="115">
        <f t="shared" si="11"/>
        <v>166.875</v>
      </c>
      <c r="W35" s="115">
        <f t="shared" si="11"/>
        <v>166.875</v>
      </c>
      <c r="X35" s="115">
        <f t="shared" si="11"/>
        <v>166.875</v>
      </c>
      <c r="Y35" s="115">
        <f t="shared" si="11"/>
        <v>166.875</v>
      </c>
      <c r="Z35" s="115">
        <f t="shared" si="11"/>
        <v>166.875</v>
      </c>
      <c r="AA35" s="115">
        <f t="shared" si="11"/>
        <v>166.875</v>
      </c>
      <c r="AB35" s="115">
        <f t="shared" si="11"/>
        <v>166.875</v>
      </c>
      <c r="AC35" s="115">
        <f t="shared" si="11"/>
        <v>166.875</v>
      </c>
      <c r="AD35" s="115">
        <f t="shared" si="11"/>
        <v>166.875</v>
      </c>
      <c r="AE35" s="115">
        <f t="shared" si="11"/>
        <v>166.875</v>
      </c>
      <c r="AF35" s="115">
        <f t="shared" si="11"/>
        <v>166.875</v>
      </c>
      <c r="AG35" s="115">
        <f t="shared" si="11"/>
        <v>166.875</v>
      </c>
      <c r="AH35" s="115">
        <f t="shared" si="11"/>
        <v>166.875</v>
      </c>
      <c r="AI35" s="115">
        <f t="shared" si="11"/>
        <v>166.875</v>
      </c>
      <c r="AJ35" s="115">
        <f t="shared" si="11"/>
        <v>166.875</v>
      </c>
      <c r="AK35" s="115">
        <f t="shared" si="11"/>
        <v>166.875</v>
      </c>
      <c r="AL35" s="115">
        <f t="shared" si="11"/>
        <v>166.875</v>
      </c>
      <c r="AM35" s="115">
        <f t="shared" si="11"/>
        <v>166.875</v>
      </c>
      <c r="AN35" s="115">
        <f t="shared" si="11"/>
        <v>166.875</v>
      </c>
      <c r="AO35" s="115">
        <f t="shared" si="11"/>
        <v>166.875</v>
      </c>
      <c r="AP35" s="115">
        <f t="shared" si="11"/>
        <v>166.875</v>
      </c>
      <c r="AQ35" s="115">
        <f t="shared" si="11"/>
        <v>0</v>
      </c>
      <c r="AR35" s="115">
        <f t="shared" si="11"/>
        <v>166.875</v>
      </c>
      <c r="AS35" s="115">
        <f t="shared" si="11"/>
        <v>166.875</v>
      </c>
      <c r="AT35" s="115">
        <f t="shared" si="11"/>
        <v>166.875</v>
      </c>
      <c r="AU35" s="115">
        <f t="shared" si="11"/>
        <v>166.875</v>
      </c>
      <c r="AV35" s="115">
        <f t="shared" si="11"/>
        <v>166.875</v>
      </c>
      <c r="AW35" s="115">
        <f t="shared" si="11"/>
        <v>166.875</v>
      </c>
      <c r="AX35" s="115">
        <f t="shared" si="11"/>
        <v>166.875</v>
      </c>
      <c r="AY35" s="115">
        <f t="shared" si="11"/>
        <v>166.875</v>
      </c>
    </row>
    <row r="36" spans="1:52" x14ac:dyDescent="0.25">
      <c r="A36" s="115"/>
      <c r="B36" s="170" t="s">
        <v>343</v>
      </c>
      <c r="C36" s="115"/>
      <c r="D36" s="115"/>
      <c r="E36" s="115">
        <v>84.375</v>
      </c>
      <c r="F36" s="115"/>
      <c r="G36" s="115">
        <v>84.375</v>
      </c>
      <c r="H36" s="115"/>
      <c r="I36" s="115">
        <v>84.375</v>
      </c>
      <c r="J36" s="115"/>
      <c r="K36" s="115">
        <v>84.375</v>
      </c>
      <c r="L36" s="115"/>
      <c r="M36" s="115">
        <v>84.375</v>
      </c>
      <c r="N36" s="115"/>
      <c r="O36" s="115">
        <v>84.375</v>
      </c>
      <c r="P36" s="115"/>
      <c r="Q36" s="115">
        <v>84.375</v>
      </c>
      <c r="R36" s="115"/>
      <c r="S36" s="115">
        <v>84.375</v>
      </c>
      <c r="T36" s="115"/>
      <c r="U36" s="115">
        <v>84.375</v>
      </c>
      <c r="V36" s="115"/>
      <c r="W36" s="115">
        <v>84.375</v>
      </c>
      <c r="X36" s="115"/>
      <c r="Y36" s="115">
        <v>84.375</v>
      </c>
      <c r="Z36" s="115"/>
      <c r="AA36" s="115">
        <v>84.375</v>
      </c>
      <c r="AB36" s="115"/>
      <c r="AC36" s="115">
        <v>84.375</v>
      </c>
      <c r="AD36" s="115"/>
      <c r="AE36" s="115">
        <v>84.375</v>
      </c>
      <c r="AF36" s="115"/>
      <c r="AG36" s="115">
        <v>84.375</v>
      </c>
      <c r="AH36" s="115"/>
      <c r="AI36" s="115">
        <v>84.375</v>
      </c>
      <c r="AJ36" s="115"/>
      <c r="AK36" s="115">
        <v>84.375</v>
      </c>
      <c r="AL36" s="115"/>
      <c r="AM36" s="115">
        <v>84.375</v>
      </c>
      <c r="AN36" s="115"/>
      <c r="AO36" s="115">
        <v>84.375</v>
      </c>
      <c r="AP36" s="115"/>
      <c r="AQ36" s="115"/>
      <c r="AR36" s="115">
        <v>84.375</v>
      </c>
      <c r="AS36" s="115"/>
      <c r="AT36" s="115">
        <v>84.375</v>
      </c>
      <c r="AU36" s="115"/>
      <c r="AV36" s="115">
        <v>84.375</v>
      </c>
      <c r="AW36" s="115"/>
      <c r="AX36" s="115">
        <v>84.375</v>
      </c>
      <c r="AY36" s="115"/>
    </row>
    <row r="37" spans="1:52" x14ac:dyDescent="0.25">
      <c r="A37" s="115"/>
      <c r="B37" s="170" t="s">
        <v>344</v>
      </c>
      <c r="C37" s="115"/>
      <c r="D37" s="115"/>
      <c r="E37" s="115">
        <v>82.5</v>
      </c>
      <c r="F37" s="115"/>
      <c r="G37" s="115">
        <v>82.5</v>
      </c>
      <c r="H37" s="115"/>
      <c r="I37" s="115">
        <v>82.5</v>
      </c>
      <c r="J37" s="115"/>
      <c r="K37" s="115">
        <v>82.5</v>
      </c>
      <c r="L37" s="115"/>
      <c r="M37" s="115">
        <v>82.5</v>
      </c>
      <c r="N37" s="115"/>
      <c r="O37" s="115">
        <v>82.5</v>
      </c>
      <c r="P37" s="115"/>
      <c r="Q37" s="115">
        <v>82.5</v>
      </c>
      <c r="R37" s="115"/>
      <c r="S37" s="115">
        <v>82.5</v>
      </c>
      <c r="T37" s="115"/>
      <c r="U37" s="115">
        <v>82.5</v>
      </c>
      <c r="V37" s="115"/>
      <c r="W37" s="115">
        <v>82.5</v>
      </c>
      <c r="X37" s="115"/>
      <c r="Y37" s="115">
        <v>82.5</v>
      </c>
      <c r="Z37" s="115"/>
      <c r="AA37" s="115">
        <v>82.5</v>
      </c>
      <c r="AB37" s="115"/>
      <c r="AC37" s="115">
        <v>82.5</v>
      </c>
      <c r="AD37" s="115"/>
      <c r="AE37" s="115">
        <v>82.5</v>
      </c>
      <c r="AF37" s="115"/>
      <c r="AG37" s="115">
        <v>82.5</v>
      </c>
      <c r="AH37" s="115"/>
      <c r="AI37" s="115">
        <v>82.5</v>
      </c>
      <c r="AJ37" s="115"/>
      <c r="AK37" s="115">
        <v>82.5</v>
      </c>
      <c r="AL37" s="115"/>
      <c r="AM37" s="115">
        <v>82.5</v>
      </c>
      <c r="AN37" s="115"/>
      <c r="AO37" s="115">
        <v>82.5</v>
      </c>
      <c r="AP37" s="115"/>
      <c r="AQ37" s="115"/>
      <c r="AR37" s="115">
        <v>82.5</v>
      </c>
      <c r="AS37" s="115"/>
      <c r="AT37" s="115">
        <v>82.5</v>
      </c>
      <c r="AU37" s="115"/>
      <c r="AV37" s="115">
        <v>82.5</v>
      </c>
      <c r="AW37" s="115"/>
      <c r="AX37" s="115">
        <v>82.5</v>
      </c>
      <c r="AY37" s="115"/>
    </row>
    <row r="38" spans="1:52" x14ac:dyDescent="0.25">
      <c r="A38" s="115"/>
      <c r="B38" s="170" t="s">
        <v>345</v>
      </c>
      <c r="C38" s="115"/>
      <c r="D38" s="115"/>
      <c r="E38" s="115">
        <v>6</v>
      </c>
      <c r="F38" s="115"/>
      <c r="G38" s="115">
        <v>6</v>
      </c>
      <c r="H38" s="115"/>
      <c r="I38" s="115">
        <v>6</v>
      </c>
      <c r="J38" s="115"/>
      <c r="K38" s="115">
        <v>6</v>
      </c>
      <c r="L38" s="115"/>
      <c r="M38" s="115">
        <v>6</v>
      </c>
      <c r="N38" s="115"/>
      <c r="O38" s="115">
        <v>6</v>
      </c>
      <c r="P38" s="115"/>
      <c r="Q38" s="115">
        <v>6</v>
      </c>
      <c r="R38" s="115"/>
      <c r="S38" s="115">
        <v>6</v>
      </c>
      <c r="T38" s="115"/>
      <c r="U38" s="115">
        <v>6</v>
      </c>
      <c r="V38" s="115"/>
      <c r="W38" s="115">
        <v>6</v>
      </c>
      <c r="X38" s="115"/>
      <c r="Y38" s="115">
        <v>6</v>
      </c>
      <c r="Z38" s="115"/>
      <c r="AA38" s="115">
        <v>6</v>
      </c>
      <c r="AB38" s="115"/>
      <c r="AC38" s="115">
        <v>6</v>
      </c>
      <c r="AD38" s="115"/>
      <c r="AE38" s="115">
        <v>6</v>
      </c>
      <c r="AF38" s="115"/>
      <c r="AG38" s="115">
        <v>6</v>
      </c>
      <c r="AH38" s="115"/>
      <c r="AI38" s="115">
        <v>6</v>
      </c>
      <c r="AJ38" s="115"/>
      <c r="AK38" s="115">
        <v>6</v>
      </c>
      <c r="AL38" s="115"/>
      <c r="AM38" s="115">
        <v>6</v>
      </c>
      <c r="AN38" s="115"/>
      <c r="AO38" s="115">
        <v>6</v>
      </c>
      <c r="AP38" s="115"/>
      <c r="AQ38" s="115"/>
      <c r="AR38" s="115">
        <v>6</v>
      </c>
      <c r="AS38" s="115"/>
      <c r="AT38" s="115">
        <v>6</v>
      </c>
      <c r="AU38" s="115"/>
      <c r="AV38" s="115">
        <v>6</v>
      </c>
      <c r="AW38" s="115"/>
      <c r="AX38" s="115">
        <v>6</v>
      </c>
      <c r="AY38" s="115"/>
    </row>
    <row r="39" spans="1:52" x14ac:dyDescent="0.25">
      <c r="A39" s="115"/>
      <c r="B39" s="170" t="s">
        <v>346</v>
      </c>
      <c r="C39" s="115"/>
      <c r="D39" s="115">
        <f>D33-D36</f>
        <v>0</v>
      </c>
      <c r="E39" s="115">
        <f t="shared" ref="E39:AY39" si="12">E33-E36</f>
        <v>0</v>
      </c>
      <c r="F39" s="115">
        <f t="shared" si="12"/>
        <v>84.375</v>
      </c>
      <c r="G39" s="115">
        <f t="shared" si="12"/>
        <v>0</v>
      </c>
      <c r="H39" s="115">
        <f t="shared" si="12"/>
        <v>0</v>
      </c>
      <c r="I39" s="115">
        <f t="shared" si="12"/>
        <v>0</v>
      </c>
      <c r="J39" s="115">
        <f t="shared" si="12"/>
        <v>84.375</v>
      </c>
      <c r="K39" s="115">
        <f t="shared" si="12"/>
        <v>0</v>
      </c>
      <c r="L39" s="115">
        <f t="shared" si="12"/>
        <v>84.375</v>
      </c>
      <c r="M39" s="115">
        <f t="shared" si="12"/>
        <v>0</v>
      </c>
      <c r="N39" s="115">
        <f t="shared" si="12"/>
        <v>84.375</v>
      </c>
      <c r="O39" s="115">
        <f t="shared" si="12"/>
        <v>0</v>
      </c>
      <c r="P39" s="115">
        <f t="shared" si="12"/>
        <v>84.375</v>
      </c>
      <c r="Q39" s="115">
        <f t="shared" si="12"/>
        <v>0</v>
      </c>
      <c r="R39" s="115">
        <f t="shared" si="12"/>
        <v>84.375</v>
      </c>
      <c r="S39" s="115">
        <f t="shared" si="12"/>
        <v>0</v>
      </c>
      <c r="T39" s="115">
        <f t="shared" si="12"/>
        <v>84.375</v>
      </c>
      <c r="U39" s="115">
        <f t="shared" si="12"/>
        <v>0</v>
      </c>
      <c r="V39" s="115">
        <f t="shared" si="12"/>
        <v>84.375</v>
      </c>
      <c r="W39" s="115">
        <f t="shared" si="12"/>
        <v>0</v>
      </c>
      <c r="X39" s="115">
        <f t="shared" si="12"/>
        <v>84.375</v>
      </c>
      <c r="Y39" s="115">
        <f t="shared" si="12"/>
        <v>0</v>
      </c>
      <c r="Z39" s="115">
        <f t="shared" si="12"/>
        <v>84.375</v>
      </c>
      <c r="AA39" s="115">
        <f t="shared" si="12"/>
        <v>0</v>
      </c>
      <c r="AB39" s="115">
        <f t="shared" si="12"/>
        <v>84.375</v>
      </c>
      <c r="AC39" s="115">
        <f t="shared" si="12"/>
        <v>0</v>
      </c>
      <c r="AD39" s="115">
        <f t="shared" si="12"/>
        <v>84.375</v>
      </c>
      <c r="AE39" s="115">
        <f t="shared" si="12"/>
        <v>0</v>
      </c>
      <c r="AF39" s="115">
        <f t="shared" si="12"/>
        <v>84.375</v>
      </c>
      <c r="AG39" s="115">
        <f t="shared" si="12"/>
        <v>0</v>
      </c>
      <c r="AH39" s="115">
        <f t="shared" si="12"/>
        <v>84.375</v>
      </c>
      <c r="AI39" s="115">
        <f t="shared" si="12"/>
        <v>0</v>
      </c>
      <c r="AJ39" s="115">
        <f t="shared" si="12"/>
        <v>84.375</v>
      </c>
      <c r="AK39" s="115">
        <f t="shared" si="12"/>
        <v>0</v>
      </c>
      <c r="AL39" s="115">
        <f t="shared" si="12"/>
        <v>84.375</v>
      </c>
      <c r="AM39" s="115">
        <f t="shared" si="12"/>
        <v>0</v>
      </c>
      <c r="AN39" s="115">
        <f t="shared" si="12"/>
        <v>84.375</v>
      </c>
      <c r="AO39" s="115">
        <f t="shared" si="12"/>
        <v>0</v>
      </c>
      <c r="AP39" s="115">
        <f t="shared" si="12"/>
        <v>84.375</v>
      </c>
      <c r="AQ39" s="115">
        <f t="shared" si="12"/>
        <v>0</v>
      </c>
      <c r="AR39" s="115">
        <f t="shared" si="12"/>
        <v>0</v>
      </c>
      <c r="AS39" s="115">
        <f t="shared" si="12"/>
        <v>84.375</v>
      </c>
      <c r="AT39" s="115">
        <f t="shared" si="12"/>
        <v>0</v>
      </c>
      <c r="AU39" s="115">
        <f t="shared" si="12"/>
        <v>84.375</v>
      </c>
      <c r="AV39" s="115">
        <f t="shared" si="12"/>
        <v>0</v>
      </c>
      <c r="AW39" s="115">
        <f t="shared" si="12"/>
        <v>84.375</v>
      </c>
      <c r="AX39" s="115">
        <f t="shared" si="12"/>
        <v>0</v>
      </c>
      <c r="AY39" s="115">
        <f t="shared" si="12"/>
        <v>84.375</v>
      </c>
    </row>
    <row r="40" spans="1:52" x14ac:dyDescent="0.25">
      <c r="A40" s="115"/>
      <c r="B40" s="170" t="s">
        <v>347</v>
      </c>
      <c r="C40" s="115"/>
      <c r="D40" s="115">
        <f>D34-D37</f>
        <v>0</v>
      </c>
      <c r="E40" s="115">
        <f t="shared" ref="E40:AY40" si="13">E34-E37</f>
        <v>0</v>
      </c>
      <c r="F40" s="115">
        <f t="shared" si="13"/>
        <v>82.5</v>
      </c>
      <c r="G40" s="115">
        <f t="shared" si="13"/>
        <v>0</v>
      </c>
      <c r="H40" s="115">
        <f t="shared" si="13"/>
        <v>0</v>
      </c>
      <c r="I40" s="115">
        <f t="shared" si="13"/>
        <v>0</v>
      </c>
      <c r="J40" s="115">
        <f t="shared" si="13"/>
        <v>82.5</v>
      </c>
      <c r="K40" s="115">
        <f t="shared" si="13"/>
        <v>0</v>
      </c>
      <c r="L40" s="115">
        <f t="shared" si="13"/>
        <v>82.5</v>
      </c>
      <c r="M40" s="115">
        <f t="shared" si="13"/>
        <v>0</v>
      </c>
      <c r="N40" s="115">
        <f t="shared" si="13"/>
        <v>82.5</v>
      </c>
      <c r="O40" s="115">
        <f t="shared" si="13"/>
        <v>0</v>
      </c>
      <c r="P40" s="115">
        <f t="shared" si="13"/>
        <v>82.5</v>
      </c>
      <c r="Q40" s="115">
        <f t="shared" si="13"/>
        <v>0</v>
      </c>
      <c r="R40" s="115">
        <f t="shared" si="13"/>
        <v>82.5</v>
      </c>
      <c r="S40" s="115">
        <f t="shared" si="13"/>
        <v>0</v>
      </c>
      <c r="T40" s="115">
        <f t="shared" si="13"/>
        <v>82.5</v>
      </c>
      <c r="U40" s="115">
        <f t="shared" si="13"/>
        <v>0</v>
      </c>
      <c r="V40" s="115">
        <f t="shared" si="13"/>
        <v>82.5</v>
      </c>
      <c r="W40" s="115">
        <f t="shared" si="13"/>
        <v>0</v>
      </c>
      <c r="X40" s="115">
        <f t="shared" si="13"/>
        <v>82.5</v>
      </c>
      <c r="Y40" s="115">
        <f t="shared" si="13"/>
        <v>0</v>
      </c>
      <c r="Z40" s="115">
        <f t="shared" si="13"/>
        <v>82.5</v>
      </c>
      <c r="AA40" s="115">
        <f t="shared" si="13"/>
        <v>0</v>
      </c>
      <c r="AB40" s="115">
        <f t="shared" si="13"/>
        <v>82.5</v>
      </c>
      <c r="AC40" s="115">
        <f t="shared" si="13"/>
        <v>0</v>
      </c>
      <c r="AD40" s="115">
        <f t="shared" si="13"/>
        <v>82.5</v>
      </c>
      <c r="AE40" s="115">
        <f t="shared" si="13"/>
        <v>0</v>
      </c>
      <c r="AF40" s="115">
        <f t="shared" si="13"/>
        <v>82.5</v>
      </c>
      <c r="AG40" s="115">
        <f t="shared" si="13"/>
        <v>0</v>
      </c>
      <c r="AH40" s="115">
        <f t="shared" si="13"/>
        <v>82.5</v>
      </c>
      <c r="AI40" s="115">
        <f t="shared" si="13"/>
        <v>0</v>
      </c>
      <c r="AJ40" s="115">
        <f t="shared" si="13"/>
        <v>82.5</v>
      </c>
      <c r="AK40" s="115">
        <f t="shared" si="13"/>
        <v>0</v>
      </c>
      <c r="AL40" s="115">
        <f t="shared" si="13"/>
        <v>82.5</v>
      </c>
      <c r="AM40" s="115">
        <f t="shared" si="13"/>
        <v>0</v>
      </c>
      <c r="AN40" s="115">
        <f t="shared" si="13"/>
        <v>82.5</v>
      </c>
      <c r="AO40" s="115">
        <f t="shared" si="13"/>
        <v>0</v>
      </c>
      <c r="AP40" s="115">
        <f t="shared" si="13"/>
        <v>82.5</v>
      </c>
      <c r="AQ40" s="115">
        <f t="shared" si="13"/>
        <v>0</v>
      </c>
      <c r="AR40" s="115">
        <f t="shared" si="13"/>
        <v>0</v>
      </c>
      <c r="AS40" s="115">
        <f t="shared" si="13"/>
        <v>82.5</v>
      </c>
      <c r="AT40" s="115">
        <f t="shared" si="13"/>
        <v>0</v>
      </c>
      <c r="AU40" s="115">
        <f t="shared" si="13"/>
        <v>82.5</v>
      </c>
      <c r="AV40" s="115">
        <f t="shared" si="13"/>
        <v>0</v>
      </c>
      <c r="AW40" s="115">
        <f t="shared" si="13"/>
        <v>82.5</v>
      </c>
      <c r="AX40" s="115">
        <f t="shared" si="13"/>
        <v>0</v>
      </c>
      <c r="AY40" s="115">
        <f t="shared" si="13"/>
        <v>82.5</v>
      </c>
    </row>
    <row r="41" spans="1:52" x14ac:dyDescent="0.25">
      <c r="A41" s="115"/>
      <c r="B41" s="170" t="s">
        <v>348</v>
      </c>
      <c r="C41" s="115"/>
      <c r="D41" s="115">
        <v>2</v>
      </c>
      <c r="E41" s="115">
        <v>2</v>
      </c>
      <c r="F41" s="115">
        <v>2</v>
      </c>
      <c r="G41" s="115">
        <v>1</v>
      </c>
      <c r="H41" s="115">
        <v>2</v>
      </c>
      <c r="I41" s="115">
        <v>2</v>
      </c>
      <c r="J41" s="115">
        <v>2</v>
      </c>
      <c r="K41" s="115">
        <v>1</v>
      </c>
      <c r="L41" s="115">
        <v>1</v>
      </c>
      <c r="M41" s="115">
        <v>2</v>
      </c>
      <c r="N41" s="115">
        <v>1</v>
      </c>
      <c r="O41" s="115">
        <v>2</v>
      </c>
      <c r="P41" s="115">
        <v>3</v>
      </c>
      <c r="Q41" s="115">
        <v>1</v>
      </c>
      <c r="R41" s="115">
        <v>1</v>
      </c>
      <c r="S41" s="115">
        <v>2</v>
      </c>
      <c r="T41" s="115">
        <v>1</v>
      </c>
      <c r="U41" s="115">
        <v>1</v>
      </c>
      <c r="V41" s="115">
        <v>1</v>
      </c>
      <c r="W41" s="115">
        <v>1</v>
      </c>
      <c r="X41" s="115">
        <v>3</v>
      </c>
      <c r="Y41" s="115">
        <v>2</v>
      </c>
      <c r="Z41" s="115">
        <v>1</v>
      </c>
      <c r="AA41" s="115">
        <v>2</v>
      </c>
      <c r="AB41" s="115">
        <v>1</v>
      </c>
      <c r="AC41" s="115">
        <v>2</v>
      </c>
      <c r="AD41" s="115">
        <v>1</v>
      </c>
      <c r="AE41" s="115">
        <v>2</v>
      </c>
      <c r="AF41" s="115">
        <v>1</v>
      </c>
      <c r="AG41" s="115">
        <v>1</v>
      </c>
      <c r="AH41" s="115">
        <v>2</v>
      </c>
      <c r="AI41" s="115">
        <v>1</v>
      </c>
      <c r="AJ41" s="115">
        <v>2</v>
      </c>
      <c r="AK41" s="115">
        <v>1</v>
      </c>
      <c r="AL41" s="115">
        <v>1</v>
      </c>
      <c r="AM41" s="115">
        <v>3</v>
      </c>
      <c r="AN41" s="115">
        <v>1</v>
      </c>
      <c r="AO41" s="115">
        <v>1</v>
      </c>
      <c r="AP41" s="115">
        <v>1</v>
      </c>
      <c r="AQ41" s="115">
        <v>1</v>
      </c>
      <c r="AR41" s="115">
        <v>1</v>
      </c>
      <c r="AS41" s="115">
        <v>1</v>
      </c>
      <c r="AT41" s="115">
        <v>1</v>
      </c>
      <c r="AU41" s="115">
        <v>1</v>
      </c>
      <c r="AV41" s="115">
        <v>2</v>
      </c>
      <c r="AW41" s="115">
        <v>1</v>
      </c>
      <c r="AX41" s="115">
        <v>1</v>
      </c>
      <c r="AY41" s="115">
        <v>1</v>
      </c>
    </row>
    <row r="42" spans="1:52" x14ac:dyDescent="0.25">
      <c r="A42" s="115"/>
      <c r="B42" s="183" t="s">
        <v>349</v>
      </c>
      <c r="C42" s="115"/>
      <c r="D42" s="115">
        <v>0</v>
      </c>
      <c r="E42" s="115">
        <v>264600</v>
      </c>
      <c r="F42" s="115">
        <v>0</v>
      </c>
      <c r="G42" s="115">
        <v>264600</v>
      </c>
      <c r="H42" s="115">
        <v>0</v>
      </c>
      <c r="I42" s="115">
        <v>264600</v>
      </c>
      <c r="J42" s="115">
        <v>0</v>
      </c>
      <c r="K42" s="115">
        <v>264600</v>
      </c>
      <c r="L42" s="115">
        <v>0</v>
      </c>
      <c r="M42" s="115">
        <v>264600</v>
      </c>
      <c r="N42" s="115">
        <v>0</v>
      </c>
      <c r="O42" s="115">
        <v>264600</v>
      </c>
      <c r="P42" s="115">
        <v>0</v>
      </c>
      <c r="Q42" s="115">
        <v>264600</v>
      </c>
      <c r="R42" s="115">
        <v>0</v>
      </c>
      <c r="S42" s="115">
        <v>264600</v>
      </c>
      <c r="T42" s="115">
        <v>0</v>
      </c>
      <c r="U42" s="115">
        <v>264600</v>
      </c>
      <c r="V42" s="115">
        <v>0</v>
      </c>
      <c r="W42" s="115">
        <v>264600</v>
      </c>
      <c r="X42" s="115">
        <v>0</v>
      </c>
      <c r="Y42" s="115">
        <v>264600</v>
      </c>
      <c r="Z42" s="115">
        <v>0</v>
      </c>
      <c r="AA42" s="115">
        <v>264600</v>
      </c>
      <c r="AB42" s="115">
        <v>0</v>
      </c>
      <c r="AC42" s="115">
        <v>264600</v>
      </c>
      <c r="AD42" s="115">
        <v>0</v>
      </c>
      <c r="AE42" s="115">
        <v>264600</v>
      </c>
      <c r="AF42" s="115">
        <v>0</v>
      </c>
      <c r="AG42" s="115">
        <v>264600</v>
      </c>
      <c r="AH42" s="115">
        <v>0</v>
      </c>
      <c r="AI42" s="115">
        <v>264600</v>
      </c>
      <c r="AJ42" s="115">
        <v>0</v>
      </c>
      <c r="AK42" s="115">
        <v>264600</v>
      </c>
      <c r="AL42" s="115">
        <v>0</v>
      </c>
      <c r="AM42" s="115">
        <v>264600</v>
      </c>
      <c r="AN42" s="115">
        <v>0</v>
      </c>
      <c r="AO42" s="115">
        <v>264600</v>
      </c>
      <c r="AP42" s="115">
        <v>0</v>
      </c>
      <c r="AQ42" s="115">
        <v>0</v>
      </c>
      <c r="AR42" s="115">
        <v>264600</v>
      </c>
      <c r="AS42" s="115">
        <v>0</v>
      </c>
      <c r="AT42" s="115">
        <v>264600</v>
      </c>
      <c r="AU42" s="115">
        <v>0</v>
      </c>
      <c r="AV42" s="115">
        <v>264600</v>
      </c>
      <c r="AW42" s="115">
        <v>0</v>
      </c>
      <c r="AX42" s="115">
        <v>264600</v>
      </c>
      <c r="AY42" s="115">
        <v>0</v>
      </c>
      <c r="AZ42" s="105">
        <f>SUM($D$42:$AY$42)</f>
        <v>6085800</v>
      </c>
    </row>
    <row r="43" spans="1:52" x14ac:dyDescent="0.25">
      <c r="A43" s="115"/>
      <c r="B43" s="183" t="s">
        <v>350</v>
      </c>
      <c r="C43" s="115"/>
      <c r="D43" s="115">
        <v>0</v>
      </c>
      <c r="E43" s="115">
        <v>0</v>
      </c>
      <c r="F43" s="115">
        <v>132874.21875</v>
      </c>
      <c r="G43" s="115">
        <v>0</v>
      </c>
      <c r="H43" s="115">
        <v>0</v>
      </c>
      <c r="I43" s="115">
        <v>0</v>
      </c>
      <c r="J43" s="115">
        <v>132874.21875</v>
      </c>
      <c r="K43" s="115">
        <v>0</v>
      </c>
      <c r="L43" s="115">
        <v>132874.21875</v>
      </c>
      <c r="M43" s="115">
        <v>0</v>
      </c>
      <c r="N43" s="115">
        <v>132874.21875</v>
      </c>
      <c r="O43" s="115">
        <v>0</v>
      </c>
      <c r="P43" s="115">
        <v>132874.21875</v>
      </c>
      <c r="Q43" s="115">
        <v>0</v>
      </c>
      <c r="R43" s="115">
        <v>132874.21875</v>
      </c>
      <c r="S43" s="115">
        <v>0</v>
      </c>
      <c r="T43" s="115">
        <v>132874.21875</v>
      </c>
      <c r="U43" s="115">
        <v>0</v>
      </c>
      <c r="V43" s="115">
        <v>132874.21875</v>
      </c>
      <c r="W43" s="115">
        <v>0</v>
      </c>
      <c r="X43" s="115">
        <v>132874.21875</v>
      </c>
      <c r="Y43" s="115">
        <v>0</v>
      </c>
      <c r="Z43" s="115">
        <v>132874.21875</v>
      </c>
      <c r="AA43" s="115">
        <v>0</v>
      </c>
      <c r="AB43" s="115">
        <v>132874.21875</v>
      </c>
      <c r="AC43" s="115">
        <v>0</v>
      </c>
      <c r="AD43" s="115">
        <v>132874.21875</v>
      </c>
      <c r="AE43" s="115">
        <v>0</v>
      </c>
      <c r="AF43" s="115">
        <v>132874.21875</v>
      </c>
      <c r="AG43" s="115">
        <v>0</v>
      </c>
      <c r="AH43" s="115">
        <v>132874.21875</v>
      </c>
      <c r="AI43" s="115">
        <v>0</v>
      </c>
      <c r="AJ43" s="115">
        <v>132874.21875</v>
      </c>
      <c r="AK43" s="115">
        <v>0</v>
      </c>
      <c r="AL43" s="115">
        <v>132874.21875</v>
      </c>
      <c r="AM43" s="115">
        <v>0</v>
      </c>
      <c r="AN43" s="115">
        <v>132874.21875</v>
      </c>
      <c r="AO43" s="115">
        <v>0</v>
      </c>
      <c r="AP43" s="115">
        <v>132874.21875</v>
      </c>
      <c r="AQ43" s="115">
        <v>0</v>
      </c>
      <c r="AR43" s="115">
        <v>0</v>
      </c>
      <c r="AS43" s="115">
        <v>132874.21875</v>
      </c>
      <c r="AT43" s="115">
        <v>0</v>
      </c>
      <c r="AU43" s="115">
        <v>132874.21875</v>
      </c>
      <c r="AV43" s="115">
        <v>0</v>
      </c>
      <c r="AW43" s="115">
        <v>132874.21875</v>
      </c>
      <c r="AX43" s="115">
        <v>0</v>
      </c>
      <c r="AY43" s="115">
        <v>132874.21875</v>
      </c>
      <c r="AZ43" s="105">
        <f>SUM($D$43:$AY$43)</f>
        <v>2923232.8125</v>
      </c>
    </row>
    <row r="44" spans="1:52" x14ac:dyDescent="0.25">
      <c r="A44" s="140" t="s">
        <v>59</v>
      </c>
      <c r="B44" s="140" t="s">
        <v>340</v>
      </c>
      <c r="C44" s="129"/>
      <c r="D44" s="129">
        <f>D$21*shipping_manufacturing!$F$28/100</f>
        <v>0</v>
      </c>
      <c r="E44" s="129">
        <f>E$21*shipping_manufacturing!$F$28/100</f>
        <v>140.625</v>
      </c>
      <c r="F44" s="129">
        <f>F$21*shipping_manufacturing!$F$28/100</f>
        <v>140.625</v>
      </c>
      <c r="G44" s="129">
        <f>G$21*shipping_manufacturing!$F$28/100</f>
        <v>140.625</v>
      </c>
      <c r="H44" s="129">
        <f>H$21*shipping_manufacturing!$F$28/100</f>
        <v>0</v>
      </c>
      <c r="I44" s="129">
        <f>I$21*shipping_manufacturing!$F$28/100</f>
        <v>140.625</v>
      </c>
      <c r="J44" s="129">
        <f>J$21*shipping_manufacturing!$F$28/100</f>
        <v>140.625</v>
      </c>
      <c r="K44" s="129">
        <f>K$21*shipping_manufacturing!$F$28/100</f>
        <v>140.625</v>
      </c>
      <c r="L44" s="129">
        <f>L$21*shipping_manufacturing!$F$28/100</f>
        <v>140.625</v>
      </c>
      <c r="M44" s="129">
        <f>M$21*shipping_manufacturing!$F$28/100</f>
        <v>140.625</v>
      </c>
      <c r="N44" s="129">
        <f>N$21*shipping_manufacturing!$F$28/100</f>
        <v>140.625</v>
      </c>
      <c r="O44" s="129">
        <f>O$21*shipping_manufacturing!$F$28/100</f>
        <v>140.625</v>
      </c>
      <c r="P44" s="129">
        <f>P$21*shipping_manufacturing!$F$28/100</f>
        <v>140.625</v>
      </c>
      <c r="Q44" s="129">
        <f>Q$21*shipping_manufacturing!$F$28/100</f>
        <v>140.625</v>
      </c>
      <c r="R44" s="129">
        <f>R$21*shipping_manufacturing!$F$28/100</f>
        <v>140.625</v>
      </c>
      <c r="S44" s="129">
        <f>S$21*shipping_manufacturing!$F$28/100</f>
        <v>140.625</v>
      </c>
      <c r="T44" s="129">
        <f>T$21*shipping_manufacturing!$F$28/100</f>
        <v>140.625</v>
      </c>
      <c r="U44" s="129">
        <f>U$21*shipping_manufacturing!$F$28/100</f>
        <v>140.625</v>
      </c>
      <c r="V44" s="129">
        <f>V$21*shipping_manufacturing!$F$28/100</f>
        <v>140.625</v>
      </c>
      <c r="W44" s="129">
        <f>W$21*shipping_manufacturing!$F$28/100</f>
        <v>140.625</v>
      </c>
      <c r="X44" s="129">
        <f>X$21*shipping_manufacturing!$F$28/100</f>
        <v>140.625</v>
      </c>
      <c r="Y44" s="129">
        <f>Y$21*shipping_manufacturing!$F$28/100</f>
        <v>140.625</v>
      </c>
      <c r="Z44" s="129">
        <f>Z$21*shipping_manufacturing!$F$28/100</f>
        <v>140.625</v>
      </c>
      <c r="AA44" s="129">
        <f>AA$21*shipping_manufacturing!$F$28/100</f>
        <v>140.625</v>
      </c>
      <c r="AB44" s="129">
        <f>AB$21*shipping_manufacturing!$F$28/100</f>
        <v>140.625</v>
      </c>
      <c r="AC44" s="129">
        <f>AC$21*shipping_manufacturing!$F$28/100</f>
        <v>140.625</v>
      </c>
      <c r="AD44" s="129">
        <f>AD$21*shipping_manufacturing!$F$28/100</f>
        <v>140.625</v>
      </c>
      <c r="AE44" s="129">
        <f>AE$21*shipping_manufacturing!$F$28/100</f>
        <v>140.625</v>
      </c>
      <c r="AF44" s="129">
        <f>AF$21*shipping_manufacturing!$F$28/100</f>
        <v>140.625</v>
      </c>
      <c r="AG44" s="129">
        <f>AG$21*shipping_manufacturing!$F$28/100</f>
        <v>140.625</v>
      </c>
      <c r="AH44" s="129">
        <f>AH$21*shipping_manufacturing!$F$28/100</f>
        <v>140.625</v>
      </c>
      <c r="AI44" s="129">
        <f>AI$21*shipping_manufacturing!$F$28/100</f>
        <v>140.625</v>
      </c>
      <c r="AJ44" s="129">
        <f>AJ$21*shipping_manufacturing!$F$28/100</f>
        <v>140.625</v>
      </c>
      <c r="AK44" s="129">
        <f>AK$21*shipping_manufacturing!$F$28/100</f>
        <v>140.625</v>
      </c>
      <c r="AL44" s="129">
        <f>AL$21*shipping_manufacturing!$F$28/100</f>
        <v>140.625</v>
      </c>
      <c r="AM44" s="129">
        <f>AM$21*shipping_manufacturing!$F$28/100</f>
        <v>140.625</v>
      </c>
      <c r="AN44" s="129">
        <f>AN$21*shipping_manufacturing!$F$28/100</f>
        <v>140.625</v>
      </c>
      <c r="AO44" s="129">
        <f>AO$21*shipping_manufacturing!$F$28/100</f>
        <v>140.625</v>
      </c>
      <c r="AP44" s="129">
        <f>AP$21*shipping_manufacturing!$F$28/100</f>
        <v>140.625</v>
      </c>
      <c r="AQ44" s="129">
        <f>AQ$21*shipping_manufacturing!$F$28/100</f>
        <v>0</v>
      </c>
      <c r="AR44" s="129">
        <f>AR$21*shipping_manufacturing!$F$28/100</f>
        <v>140.625</v>
      </c>
      <c r="AS44" s="129">
        <f>AS$21*shipping_manufacturing!$F$28/100</f>
        <v>140.625</v>
      </c>
      <c r="AT44" s="129">
        <f>AT$21*shipping_manufacturing!$F$28/100</f>
        <v>140.625</v>
      </c>
      <c r="AU44" s="129">
        <f>AU$21*shipping_manufacturing!$F$28/100</f>
        <v>140.625</v>
      </c>
      <c r="AV44" s="129">
        <f>AV$21*shipping_manufacturing!$F$28/100</f>
        <v>140.625</v>
      </c>
      <c r="AW44" s="129">
        <f>AW$21*shipping_manufacturing!$F$28/100</f>
        <v>140.625</v>
      </c>
      <c r="AX44" s="129">
        <f>AX$21*shipping_manufacturing!$F$28/100</f>
        <v>140.625</v>
      </c>
      <c r="AY44" s="129">
        <f>AY$21*shipping_manufacturing!$F$28/100</f>
        <v>140.625</v>
      </c>
    </row>
    <row r="45" spans="1:52" x14ac:dyDescent="0.25">
      <c r="A45" s="118" t="s">
        <v>339</v>
      </c>
      <c r="B45" s="170" t="s">
        <v>341</v>
      </c>
      <c r="C45" s="115"/>
      <c r="D45" s="115">
        <f>D$22*shipping_manufacturing!$G$28/100</f>
        <v>0</v>
      </c>
      <c r="E45" s="115">
        <f>E$22*shipping_manufacturing!$G$28/100</f>
        <v>192.5</v>
      </c>
      <c r="F45" s="115">
        <f>F$22*shipping_manufacturing!$G$28/100</f>
        <v>192.5</v>
      </c>
      <c r="G45" s="115">
        <f>G$22*shipping_manufacturing!$G$28/100</f>
        <v>192.5</v>
      </c>
      <c r="H45" s="115">
        <f>H$22*shipping_manufacturing!$G$28/100</f>
        <v>0</v>
      </c>
      <c r="I45" s="115">
        <f>I$22*shipping_manufacturing!$G$28/100</f>
        <v>192.5</v>
      </c>
      <c r="J45" s="115">
        <f>J$22*shipping_manufacturing!$G$28/100</f>
        <v>192.5</v>
      </c>
      <c r="K45" s="115">
        <f>K$22*shipping_manufacturing!$G$28/100</f>
        <v>192.5</v>
      </c>
      <c r="L45" s="115">
        <f>L$22*shipping_manufacturing!$G$28/100</f>
        <v>192.5</v>
      </c>
      <c r="M45" s="115">
        <f>M$22*shipping_manufacturing!$G$28/100</f>
        <v>192.5</v>
      </c>
      <c r="N45" s="115">
        <f>N$22*shipping_manufacturing!$G$28/100</f>
        <v>192.5</v>
      </c>
      <c r="O45" s="115">
        <f>O$22*shipping_manufacturing!$G$28/100</f>
        <v>192.5</v>
      </c>
      <c r="P45" s="115">
        <f>P$22*shipping_manufacturing!$G$28/100</f>
        <v>192.5</v>
      </c>
      <c r="Q45" s="115">
        <f>Q$22*shipping_manufacturing!$G$28/100</f>
        <v>192.5</v>
      </c>
      <c r="R45" s="115">
        <f>R$22*shipping_manufacturing!$G$28/100</f>
        <v>192.5</v>
      </c>
      <c r="S45" s="115">
        <f>S$22*shipping_manufacturing!$G$28/100</f>
        <v>192.5</v>
      </c>
      <c r="T45" s="115">
        <f>T$22*shipping_manufacturing!$G$28/100</f>
        <v>192.5</v>
      </c>
      <c r="U45" s="115">
        <f>U$22*shipping_manufacturing!$G$28/100</f>
        <v>192.5</v>
      </c>
      <c r="V45" s="115">
        <f>V$22*shipping_manufacturing!$G$28/100</f>
        <v>192.5</v>
      </c>
      <c r="W45" s="115">
        <f>W$22*shipping_manufacturing!$G$28/100</f>
        <v>192.5</v>
      </c>
      <c r="X45" s="115">
        <f>X$22*shipping_manufacturing!$G$28/100</f>
        <v>192.5</v>
      </c>
      <c r="Y45" s="115">
        <f>Y$22*shipping_manufacturing!$G$28/100</f>
        <v>192.5</v>
      </c>
      <c r="Z45" s="115">
        <f>Z$22*shipping_manufacturing!$G$28/100</f>
        <v>192.5</v>
      </c>
      <c r="AA45" s="115">
        <f>AA$22*shipping_manufacturing!$G$28/100</f>
        <v>192.5</v>
      </c>
      <c r="AB45" s="115">
        <f>AB$22*shipping_manufacturing!$G$28/100</f>
        <v>192.5</v>
      </c>
      <c r="AC45" s="115">
        <f>AC$22*shipping_manufacturing!$G$28/100</f>
        <v>192.5</v>
      </c>
      <c r="AD45" s="115">
        <f>AD$22*shipping_manufacturing!$G$28/100</f>
        <v>192.5</v>
      </c>
      <c r="AE45" s="115">
        <f>AE$22*shipping_manufacturing!$G$28/100</f>
        <v>192.5</v>
      </c>
      <c r="AF45" s="115">
        <f>AF$22*shipping_manufacturing!$G$28/100</f>
        <v>192.5</v>
      </c>
      <c r="AG45" s="115">
        <f>AG$22*shipping_manufacturing!$G$28/100</f>
        <v>192.5</v>
      </c>
      <c r="AH45" s="115">
        <f>AH$22*shipping_manufacturing!$G$28/100</f>
        <v>192.5</v>
      </c>
      <c r="AI45" s="115">
        <f>AI$22*shipping_manufacturing!$G$28/100</f>
        <v>192.5</v>
      </c>
      <c r="AJ45" s="115">
        <f>AJ$22*shipping_manufacturing!$G$28/100</f>
        <v>192.5</v>
      </c>
      <c r="AK45" s="115">
        <f>AK$22*shipping_manufacturing!$G$28/100</f>
        <v>192.5</v>
      </c>
      <c r="AL45" s="115">
        <f>AL$22*shipping_manufacturing!$G$28/100</f>
        <v>192.5</v>
      </c>
      <c r="AM45" s="115">
        <f>AM$22*shipping_manufacturing!$G$28/100</f>
        <v>192.5</v>
      </c>
      <c r="AN45" s="115">
        <f>AN$22*shipping_manufacturing!$G$28/100</f>
        <v>192.5</v>
      </c>
      <c r="AO45" s="115">
        <f>AO$22*shipping_manufacturing!$G$28/100</f>
        <v>192.5</v>
      </c>
      <c r="AP45" s="115">
        <f>AP$22*shipping_manufacturing!$G$28/100</f>
        <v>192.5</v>
      </c>
      <c r="AQ45" s="115">
        <f>AQ$22*shipping_manufacturing!$G$28/100</f>
        <v>0</v>
      </c>
      <c r="AR45" s="115">
        <f>AR$22*shipping_manufacturing!$G$28/100</f>
        <v>192.5</v>
      </c>
      <c r="AS45" s="115">
        <f>AS$22*shipping_manufacturing!$G$28/100</f>
        <v>192.5</v>
      </c>
      <c r="AT45" s="115">
        <f>AT$22*shipping_manufacturing!$G$28/100</f>
        <v>192.5</v>
      </c>
      <c r="AU45" s="115">
        <f>AU$22*shipping_manufacturing!$G$28/100</f>
        <v>192.5</v>
      </c>
      <c r="AV45" s="115">
        <f>AV$22*shipping_manufacturing!$G$28/100</f>
        <v>192.5</v>
      </c>
      <c r="AW45" s="115">
        <f>AW$22*shipping_manufacturing!$G$28/100</f>
        <v>192.5</v>
      </c>
      <c r="AX45" s="115">
        <f>AX$22*shipping_manufacturing!$G$28/100</f>
        <v>192.5</v>
      </c>
      <c r="AY45" s="115">
        <f>AY$22*shipping_manufacturing!$G$28/100</f>
        <v>192.5</v>
      </c>
    </row>
    <row r="46" spans="1:52" x14ac:dyDescent="0.25">
      <c r="A46" s="115">
        <v>2339</v>
      </c>
      <c r="B46" s="170" t="s">
        <v>342</v>
      </c>
      <c r="C46" s="115"/>
      <c r="D46" s="115">
        <f>SUM(D44:D45)</f>
        <v>0</v>
      </c>
      <c r="E46" s="115">
        <f t="shared" ref="E46:AY46" si="14">SUM(E44:E45)</f>
        <v>333.125</v>
      </c>
      <c r="F46" s="115">
        <f t="shared" si="14"/>
        <v>333.125</v>
      </c>
      <c r="G46" s="115">
        <f t="shared" si="14"/>
        <v>333.125</v>
      </c>
      <c r="H46" s="115">
        <f t="shared" si="14"/>
        <v>0</v>
      </c>
      <c r="I46" s="115">
        <f t="shared" si="14"/>
        <v>333.125</v>
      </c>
      <c r="J46" s="115">
        <f t="shared" si="14"/>
        <v>333.125</v>
      </c>
      <c r="K46" s="115">
        <f t="shared" si="14"/>
        <v>333.125</v>
      </c>
      <c r="L46" s="115">
        <f t="shared" si="14"/>
        <v>333.125</v>
      </c>
      <c r="M46" s="115">
        <f t="shared" si="14"/>
        <v>333.125</v>
      </c>
      <c r="N46" s="115">
        <f t="shared" si="14"/>
        <v>333.125</v>
      </c>
      <c r="O46" s="115">
        <f t="shared" si="14"/>
        <v>333.125</v>
      </c>
      <c r="P46" s="115">
        <f t="shared" si="14"/>
        <v>333.125</v>
      </c>
      <c r="Q46" s="115">
        <f t="shared" si="14"/>
        <v>333.125</v>
      </c>
      <c r="R46" s="115">
        <f t="shared" si="14"/>
        <v>333.125</v>
      </c>
      <c r="S46" s="115">
        <f t="shared" si="14"/>
        <v>333.125</v>
      </c>
      <c r="T46" s="115">
        <f t="shared" si="14"/>
        <v>333.125</v>
      </c>
      <c r="U46" s="115">
        <f t="shared" si="14"/>
        <v>333.125</v>
      </c>
      <c r="V46" s="115">
        <f t="shared" si="14"/>
        <v>333.125</v>
      </c>
      <c r="W46" s="115">
        <f t="shared" si="14"/>
        <v>333.125</v>
      </c>
      <c r="X46" s="115">
        <f t="shared" si="14"/>
        <v>333.125</v>
      </c>
      <c r="Y46" s="115">
        <f t="shared" si="14"/>
        <v>333.125</v>
      </c>
      <c r="Z46" s="115">
        <f t="shared" si="14"/>
        <v>333.125</v>
      </c>
      <c r="AA46" s="115">
        <f t="shared" si="14"/>
        <v>333.125</v>
      </c>
      <c r="AB46" s="115">
        <f t="shared" si="14"/>
        <v>333.125</v>
      </c>
      <c r="AC46" s="115">
        <f t="shared" si="14"/>
        <v>333.125</v>
      </c>
      <c r="AD46" s="115">
        <f t="shared" si="14"/>
        <v>333.125</v>
      </c>
      <c r="AE46" s="115">
        <f t="shared" si="14"/>
        <v>333.125</v>
      </c>
      <c r="AF46" s="115">
        <f t="shared" si="14"/>
        <v>333.125</v>
      </c>
      <c r="AG46" s="115">
        <f t="shared" si="14"/>
        <v>333.125</v>
      </c>
      <c r="AH46" s="115">
        <f t="shared" si="14"/>
        <v>333.125</v>
      </c>
      <c r="AI46" s="115">
        <f t="shared" si="14"/>
        <v>333.125</v>
      </c>
      <c r="AJ46" s="115">
        <f t="shared" si="14"/>
        <v>333.125</v>
      </c>
      <c r="AK46" s="115">
        <f t="shared" si="14"/>
        <v>333.125</v>
      </c>
      <c r="AL46" s="115">
        <f t="shared" si="14"/>
        <v>333.125</v>
      </c>
      <c r="AM46" s="115">
        <f t="shared" si="14"/>
        <v>333.125</v>
      </c>
      <c r="AN46" s="115">
        <f t="shared" si="14"/>
        <v>333.125</v>
      </c>
      <c r="AO46" s="115">
        <f t="shared" si="14"/>
        <v>333.125</v>
      </c>
      <c r="AP46" s="115">
        <f t="shared" si="14"/>
        <v>333.125</v>
      </c>
      <c r="AQ46" s="115">
        <f t="shared" si="14"/>
        <v>0</v>
      </c>
      <c r="AR46" s="115">
        <f t="shared" si="14"/>
        <v>333.125</v>
      </c>
      <c r="AS46" s="115">
        <f t="shared" si="14"/>
        <v>333.125</v>
      </c>
      <c r="AT46" s="115">
        <f t="shared" si="14"/>
        <v>333.125</v>
      </c>
      <c r="AU46" s="115">
        <f t="shared" si="14"/>
        <v>333.125</v>
      </c>
      <c r="AV46" s="115">
        <f t="shared" si="14"/>
        <v>333.125</v>
      </c>
      <c r="AW46" s="115">
        <f t="shared" si="14"/>
        <v>333.125</v>
      </c>
      <c r="AX46" s="115">
        <f t="shared" si="14"/>
        <v>333.125</v>
      </c>
      <c r="AY46" s="115">
        <f t="shared" si="14"/>
        <v>333.125</v>
      </c>
    </row>
    <row r="47" spans="1:52" x14ac:dyDescent="0.25">
      <c r="A47" s="115"/>
      <c r="B47" s="170" t="s">
        <v>343</v>
      </c>
      <c r="C47" s="115"/>
      <c r="D47" s="115"/>
      <c r="E47" s="115">
        <v>140.625</v>
      </c>
      <c r="F47" s="115">
        <v>50.656660412757979</v>
      </c>
      <c r="G47" s="115">
        <v>140.625</v>
      </c>
      <c r="H47" s="115"/>
      <c r="I47" s="115">
        <v>140.625</v>
      </c>
      <c r="J47" s="115">
        <v>50.656660412757979</v>
      </c>
      <c r="K47" s="115">
        <v>140.625</v>
      </c>
      <c r="L47" s="115">
        <v>50.656660412757979</v>
      </c>
      <c r="M47" s="115">
        <v>140.625</v>
      </c>
      <c r="N47" s="115">
        <v>50.656660412757979</v>
      </c>
      <c r="O47" s="115">
        <v>140.625</v>
      </c>
      <c r="P47" s="115">
        <v>50.656660412757979</v>
      </c>
      <c r="Q47" s="115">
        <v>140.625</v>
      </c>
      <c r="R47" s="115">
        <v>50.656660412757979</v>
      </c>
      <c r="S47" s="115">
        <v>140.625</v>
      </c>
      <c r="T47" s="115">
        <v>50.656660412757979</v>
      </c>
      <c r="U47" s="115">
        <v>140.625</v>
      </c>
      <c r="V47" s="115">
        <v>50.656660412757979</v>
      </c>
      <c r="W47" s="115">
        <v>140.625</v>
      </c>
      <c r="X47" s="115">
        <v>50.656660412757979</v>
      </c>
      <c r="Y47" s="115">
        <v>140.625</v>
      </c>
      <c r="Z47" s="115">
        <v>50.656660412757979</v>
      </c>
      <c r="AA47" s="115">
        <v>140.625</v>
      </c>
      <c r="AB47" s="115">
        <v>50.656660412757979</v>
      </c>
      <c r="AC47" s="115">
        <v>140.625</v>
      </c>
      <c r="AD47" s="115">
        <v>50.656660412757979</v>
      </c>
      <c r="AE47" s="115">
        <v>140.625</v>
      </c>
      <c r="AF47" s="115">
        <v>50.656660412757979</v>
      </c>
      <c r="AG47" s="115">
        <v>140.625</v>
      </c>
      <c r="AH47" s="115">
        <v>50.656660412757979</v>
      </c>
      <c r="AI47" s="115">
        <v>140.625</v>
      </c>
      <c r="AJ47" s="115">
        <v>50.656660412757979</v>
      </c>
      <c r="AK47" s="115">
        <v>140.625</v>
      </c>
      <c r="AL47" s="115">
        <v>50.656660412757979</v>
      </c>
      <c r="AM47" s="115">
        <v>140.625</v>
      </c>
      <c r="AN47" s="115">
        <v>50.656660412757979</v>
      </c>
      <c r="AO47" s="115">
        <v>140.625</v>
      </c>
      <c r="AP47" s="115">
        <v>50.656660412757979</v>
      </c>
      <c r="AQ47" s="115"/>
      <c r="AR47" s="115">
        <v>140.625</v>
      </c>
      <c r="AS47" s="115">
        <v>50.656660412757979</v>
      </c>
      <c r="AT47" s="115">
        <v>140.625</v>
      </c>
      <c r="AU47" s="115">
        <v>50.656660412757979</v>
      </c>
      <c r="AV47" s="115">
        <v>140.625</v>
      </c>
      <c r="AW47" s="115">
        <v>50.656660412757979</v>
      </c>
      <c r="AX47" s="115">
        <v>140.625</v>
      </c>
      <c r="AY47" s="115">
        <v>50.656660412757979</v>
      </c>
    </row>
    <row r="48" spans="1:52" x14ac:dyDescent="0.25">
      <c r="A48" s="115"/>
      <c r="B48" s="170" t="s">
        <v>344</v>
      </c>
      <c r="C48" s="115"/>
      <c r="D48" s="115"/>
      <c r="E48" s="115">
        <v>192.50000000000009</v>
      </c>
      <c r="F48" s="115">
        <v>69.343339587242042</v>
      </c>
      <c r="G48" s="115">
        <v>192.50000000000009</v>
      </c>
      <c r="H48" s="115"/>
      <c r="I48" s="115">
        <v>192.50000000000009</v>
      </c>
      <c r="J48" s="115">
        <v>69.343339587242042</v>
      </c>
      <c r="K48" s="115">
        <v>192.50000000000009</v>
      </c>
      <c r="L48" s="115">
        <v>69.343339587242042</v>
      </c>
      <c r="M48" s="115">
        <v>192.50000000000009</v>
      </c>
      <c r="N48" s="115">
        <v>69.343339587242042</v>
      </c>
      <c r="O48" s="115">
        <v>192.50000000000009</v>
      </c>
      <c r="P48" s="115">
        <v>69.343339587242042</v>
      </c>
      <c r="Q48" s="115">
        <v>192.50000000000009</v>
      </c>
      <c r="R48" s="115">
        <v>69.343339587242042</v>
      </c>
      <c r="S48" s="115">
        <v>192.50000000000009</v>
      </c>
      <c r="T48" s="115">
        <v>69.343339587242042</v>
      </c>
      <c r="U48" s="115">
        <v>192.50000000000009</v>
      </c>
      <c r="V48" s="115">
        <v>69.343339587242042</v>
      </c>
      <c r="W48" s="115">
        <v>192.50000000000009</v>
      </c>
      <c r="X48" s="115">
        <v>69.343339587242042</v>
      </c>
      <c r="Y48" s="115">
        <v>192.50000000000009</v>
      </c>
      <c r="Z48" s="115">
        <v>69.343339587242042</v>
      </c>
      <c r="AA48" s="115">
        <v>192.50000000000009</v>
      </c>
      <c r="AB48" s="115">
        <v>69.343339587242042</v>
      </c>
      <c r="AC48" s="115">
        <v>192.50000000000009</v>
      </c>
      <c r="AD48" s="115">
        <v>69.343339587242042</v>
      </c>
      <c r="AE48" s="115">
        <v>192.50000000000009</v>
      </c>
      <c r="AF48" s="115">
        <v>69.343339587242042</v>
      </c>
      <c r="AG48" s="115">
        <v>192.50000000000009</v>
      </c>
      <c r="AH48" s="115">
        <v>69.343339587242042</v>
      </c>
      <c r="AI48" s="115">
        <v>192.50000000000009</v>
      </c>
      <c r="AJ48" s="115">
        <v>69.343339587242042</v>
      </c>
      <c r="AK48" s="115">
        <v>192.50000000000009</v>
      </c>
      <c r="AL48" s="115">
        <v>69.343339587242042</v>
      </c>
      <c r="AM48" s="115">
        <v>192.50000000000009</v>
      </c>
      <c r="AN48" s="115">
        <v>69.343339587242042</v>
      </c>
      <c r="AO48" s="115">
        <v>192.50000000000009</v>
      </c>
      <c r="AP48" s="115">
        <v>69.343339587242042</v>
      </c>
      <c r="AQ48" s="115"/>
      <c r="AR48" s="115">
        <v>192.50000000000009</v>
      </c>
      <c r="AS48" s="115">
        <v>69.343339587242042</v>
      </c>
      <c r="AT48" s="115">
        <v>192.50000000000009</v>
      </c>
      <c r="AU48" s="115">
        <v>69.343339587242042</v>
      </c>
      <c r="AV48" s="115">
        <v>192.50000000000009</v>
      </c>
      <c r="AW48" s="115">
        <v>69.343339587242042</v>
      </c>
      <c r="AX48" s="115">
        <v>192.50000000000009</v>
      </c>
      <c r="AY48" s="115">
        <v>69.343339587242042</v>
      </c>
    </row>
    <row r="49" spans="1:52" x14ac:dyDescent="0.25">
      <c r="A49" s="115"/>
      <c r="B49" s="170" t="s">
        <v>345</v>
      </c>
      <c r="C49" s="115"/>
      <c r="D49" s="115"/>
      <c r="E49" s="115">
        <v>12</v>
      </c>
      <c r="F49" s="115">
        <v>4</v>
      </c>
      <c r="G49" s="115">
        <v>12</v>
      </c>
      <c r="H49" s="115"/>
      <c r="I49" s="115">
        <v>12</v>
      </c>
      <c r="J49" s="115">
        <v>4</v>
      </c>
      <c r="K49" s="115">
        <v>12</v>
      </c>
      <c r="L49" s="115">
        <v>4</v>
      </c>
      <c r="M49" s="115">
        <v>12</v>
      </c>
      <c r="N49" s="115">
        <v>4</v>
      </c>
      <c r="O49" s="115">
        <v>12</v>
      </c>
      <c r="P49" s="115">
        <v>4</v>
      </c>
      <c r="Q49" s="115">
        <v>12</v>
      </c>
      <c r="R49" s="115">
        <v>4</v>
      </c>
      <c r="S49" s="115">
        <v>12</v>
      </c>
      <c r="T49" s="115">
        <v>4</v>
      </c>
      <c r="U49" s="115">
        <v>12</v>
      </c>
      <c r="V49" s="115">
        <v>4</v>
      </c>
      <c r="W49" s="115">
        <v>12</v>
      </c>
      <c r="X49" s="115">
        <v>4</v>
      </c>
      <c r="Y49" s="115">
        <v>12</v>
      </c>
      <c r="Z49" s="115">
        <v>4</v>
      </c>
      <c r="AA49" s="115">
        <v>12</v>
      </c>
      <c r="AB49" s="115">
        <v>4</v>
      </c>
      <c r="AC49" s="115">
        <v>12</v>
      </c>
      <c r="AD49" s="115">
        <v>4</v>
      </c>
      <c r="AE49" s="115">
        <v>12</v>
      </c>
      <c r="AF49" s="115">
        <v>4</v>
      </c>
      <c r="AG49" s="115">
        <v>12</v>
      </c>
      <c r="AH49" s="115">
        <v>4</v>
      </c>
      <c r="AI49" s="115">
        <v>12</v>
      </c>
      <c r="AJ49" s="115">
        <v>4</v>
      </c>
      <c r="AK49" s="115">
        <v>12</v>
      </c>
      <c r="AL49" s="115">
        <v>4</v>
      </c>
      <c r="AM49" s="115">
        <v>12</v>
      </c>
      <c r="AN49" s="115">
        <v>4</v>
      </c>
      <c r="AO49" s="115">
        <v>12</v>
      </c>
      <c r="AP49" s="115">
        <v>4</v>
      </c>
      <c r="AQ49" s="115"/>
      <c r="AR49" s="115">
        <v>12</v>
      </c>
      <c r="AS49" s="115">
        <v>4</v>
      </c>
      <c r="AT49" s="115">
        <v>12</v>
      </c>
      <c r="AU49" s="115">
        <v>4</v>
      </c>
      <c r="AV49" s="115">
        <v>12</v>
      </c>
      <c r="AW49" s="115">
        <v>4</v>
      </c>
      <c r="AX49" s="115">
        <v>12</v>
      </c>
      <c r="AY49" s="115">
        <v>4</v>
      </c>
    </row>
    <row r="50" spans="1:52" x14ac:dyDescent="0.25">
      <c r="A50" s="115"/>
      <c r="B50" s="170" t="s">
        <v>346</v>
      </c>
      <c r="C50" s="115"/>
      <c r="D50" s="115">
        <f>D44-D47</f>
        <v>0</v>
      </c>
      <c r="E50" s="115">
        <f t="shared" ref="E50:AY50" si="15">E44-E47</f>
        <v>0</v>
      </c>
      <c r="F50" s="115">
        <f t="shared" si="15"/>
        <v>89.968339587242014</v>
      </c>
      <c r="G50" s="115">
        <f t="shared" si="15"/>
        <v>0</v>
      </c>
      <c r="H50" s="115">
        <f t="shared" si="15"/>
        <v>0</v>
      </c>
      <c r="I50" s="115">
        <f t="shared" si="15"/>
        <v>0</v>
      </c>
      <c r="J50" s="115">
        <f t="shared" si="15"/>
        <v>89.968339587242014</v>
      </c>
      <c r="K50" s="115">
        <f t="shared" si="15"/>
        <v>0</v>
      </c>
      <c r="L50" s="115">
        <f t="shared" si="15"/>
        <v>89.968339587242014</v>
      </c>
      <c r="M50" s="115">
        <f t="shared" si="15"/>
        <v>0</v>
      </c>
      <c r="N50" s="115">
        <f t="shared" si="15"/>
        <v>89.968339587242014</v>
      </c>
      <c r="O50" s="115">
        <f t="shared" si="15"/>
        <v>0</v>
      </c>
      <c r="P50" s="115">
        <f t="shared" si="15"/>
        <v>89.968339587242014</v>
      </c>
      <c r="Q50" s="115">
        <f t="shared" si="15"/>
        <v>0</v>
      </c>
      <c r="R50" s="115">
        <f t="shared" si="15"/>
        <v>89.968339587242014</v>
      </c>
      <c r="S50" s="115">
        <f t="shared" si="15"/>
        <v>0</v>
      </c>
      <c r="T50" s="115">
        <f t="shared" si="15"/>
        <v>89.968339587242014</v>
      </c>
      <c r="U50" s="115">
        <f t="shared" si="15"/>
        <v>0</v>
      </c>
      <c r="V50" s="115">
        <f t="shared" si="15"/>
        <v>89.968339587242014</v>
      </c>
      <c r="W50" s="115">
        <f t="shared" si="15"/>
        <v>0</v>
      </c>
      <c r="X50" s="115">
        <f t="shared" si="15"/>
        <v>89.968339587242014</v>
      </c>
      <c r="Y50" s="115">
        <f t="shared" si="15"/>
        <v>0</v>
      </c>
      <c r="Z50" s="115">
        <f t="shared" si="15"/>
        <v>89.968339587242014</v>
      </c>
      <c r="AA50" s="115">
        <f t="shared" si="15"/>
        <v>0</v>
      </c>
      <c r="AB50" s="115">
        <f t="shared" si="15"/>
        <v>89.968339587242014</v>
      </c>
      <c r="AC50" s="115">
        <f t="shared" si="15"/>
        <v>0</v>
      </c>
      <c r="AD50" s="115">
        <f t="shared" si="15"/>
        <v>89.968339587242014</v>
      </c>
      <c r="AE50" s="115">
        <f t="shared" si="15"/>
        <v>0</v>
      </c>
      <c r="AF50" s="115">
        <f t="shared" si="15"/>
        <v>89.968339587242014</v>
      </c>
      <c r="AG50" s="115">
        <f t="shared" si="15"/>
        <v>0</v>
      </c>
      <c r="AH50" s="115">
        <f t="shared" si="15"/>
        <v>89.968339587242014</v>
      </c>
      <c r="AI50" s="115">
        <f t="shared" si="15"/>
        <v>0</v>
      </c>
      <c r="AJ50" s="115">
        <f t="shared" si="15"/>
        <v>89.968339587242014</v>
      </c>
      <c r="AK50" s="115">
        <f t="shared" si="15"/>
        <v>0</v>
      </c>
      <c r="AL50" s="115">
        <f t="shared" si="15"/>
        <v>89.968339587242014</v>
      </c>
      <c r="AM50" s="115">
        <f t="shared" si="15"/>
        <v>0</v>
      </c>
      <c r="AN50" s="115">
        <f t="shared" si="15"/>
        <v>89.968339587242014</v>
      </c>
      <c r="AO50" s="115">
        <f t="shared" si="15"/>
        <v>0</v>
      </c>
      <c r="AP50" s="115">
        <f t="shared" si="15"/>
        <v>89.968339587242014</v>
      </c>
      <c r="AQ50" s="115">
        <f t="shared" si="15"/>
        <v>0</v>
      </c>
      <c r="AR50" s="115">
        <f t="shared" si="15"/>
        <v>0</v>
      </c>
      <c r="AS50" s="115">
        <f t="shared" si="15"/>
        <v>89.968339587242014</v>
      </c>
      <c r="AT50" s="115">
        <f t="shared" si="15"/>
        <v>0</v>
      </c>
      <c r="AU50" s="115">
        <f t="shared" si="15"/>
        <v>89.968339587242014</v>
      </c>
      <c r="AV50" s="115">
        <f t="shared" si="15"/>
        <v>0</v>
      </c>
      <c r="AW50" s="115">
        <f t="shared" si="15"/>
        <v>89.968339587242014</v>
      </c>
      <c r="AX50" s="115">
        <f t="shared" si="15"/>
        <v>0</v>
      </c>
      <c r="AY50" s="115">
        <f t="shared" si="15"/>
        <v>89.968339587242014</v>
      </c>
    </row>
    <row r="51" spans="1:52" x14ac:dyDescent="0.25">
      <c r="A51" s="115"/>
      <c r="B51" s="170" t="s">
        <v>347</v>
      </c>
      <c r="C51" s="115"/>
      <c r="D51" s="115">
        <f>D45-D48</f>
        <v>0</v>
      </c>
      <c r="E51" s="115">
        <f t="shared" ref="E51:AY51" si="16">E45-E48</f>
        <v>0</v>
      </c>
      <c r="F51" s="115">
        <f t="shared" si="16"/>
        <v>123.15666041275796</v>
      </c>
      <c r="G51" s="115">
        <f t="shared" si="16"/>
        <v>0</v>
      </c>
      <c r="H51" s="115">
        <f t="shared" si="16"/>
        <v>0</v>
      </c>
      <c r="I51" s="115">
        <f t="shared" si="16"/>
        <v>0</v>
      </c>
      <c r="J51" s="115">
        <f t="shared" si="16"/>
        <v>123.15666041275796</v>
      </c>
      <c r="K51" s="115">
        <f t="shared" si="16"/>
        <v>0</v>
      </c>
      <c r="L51" s="115">
        <f t="shared" si="16"/>
        <v>123.15666041275796</v>
      </c>
      <c r="M51" s="115">
        <f t="shared" si="16"/>
        <v>0</v>
      </c>
      <c r="N51" s="115">
        <f t="shared" si="16"/>
        <v>123.15666041275796</v>
      </c>
      <c r="O51" s="115">
        <f t="shared" si="16"/>
        <v>0</v>
      </c>
      <c r="P51" s="115">
        <f t="shared" si="16"/>
        <v>123.15666041275796</v>
      </c>
      <c r="Q51" s="115">
        <f t="shared" si="16"/>
        <v>0</v>
      </c>
      <c r="R51" s="115">
        <f t="shared" si="16"/>
        <v>123.15666041275796</v>
      </c>
      <c r="S51" s="115">
        <f t="shared" si="16"/>
        <v>0</v>
      </c>
      <c r="T51" s="115">
        <f t="shared" si="16"/>
        <v>123.15666041275796</v>
      </c>
      <c r="U51" s="115">
        <f t="shared" si="16"/>
        <v>0</v>
      </c>
      <c r="V51" s="115">
        <f t="shared" si="16"/>
        <v>123.15666041275796</v>
      </c>
      <c r="W51" s="115">
        <f t="shared" si="16"/>
        <v>0</v>
      </c>
      <c r="X51" s="115">
        <f t="shared" si="16"/>
        <v>123.15666041275796</v>
      </c>
      <c r="Y51" s="115">
        <f t="shared" si="16"/>
        <v>0</v>
      </c>
      <c r="Z51" s="115">
        <f t="shared" si="16"/>
        <v>123.15666041275796</v>
      </c>
      <c r="AA51" s="115">
        <f t="shared" si="16"/>
        <v>0</v>
      </c>
      <c r="AB51" s="115">
        <f t="shared" si="16"/>
        <v>123.15666041275796</v>
      </c>
      <c r="AC51" s="115">
        <f t="shared" si="16"/>
        <v>0</v>
      </c>
      <c r="AD51" s="115">
        <f t="shared" si="16"/>
        <v>123.15666041275796</v>
      </c>
      <c r="AE51" s="115">
        <f t="shared" si="16"/>
        <v>0</v>
      </c>
      <c r="AF51" s="115">
        <f t="shared" si="16"/>
        <v>123.15666041275796</v>
      </c>
      <c r="AG51" s="115">
        <f t="shared" si="16"/>
        <v>0</v>
      </c>
      <c r="AH51" s="115">
        <f t="shared" si="16"/>
        <v>123.15666041275796</v>
      </c>
      <c r="AI51" s="115">
        <f t="shared" si="16"/>
        <v>0</v>
      </c>
      <c r="AJ51" s="115">
        <f t="shared" si="16"/>
        <v>123.15666041275796</v>
      </c>
      <c r="AK51" s="115">
        <f t="shared" si="16"/>
        <v>0</v>
      </c>
      <c r="AL51" s="115">
        <f t="shared" si="16"/>
        <v>123.15666041275796</v>
      </c>
      <c r="AM51" s="115">
        <f t="shared" si="16"/>
        <v>0</v>
      </c>
      <c r="AN51" s="115">
        <f t="shared" si="16"/>
        <v>123.15666041275796</v>
      </c>
      <c r="AO51" s="115">
        <f t="shared" si="16"/>
        <v>0</v>
      </c>
      <c r="AP51" s="115">
        <f t="shared" si="16"/>
        <v>123.15666041275796</v>
      </c>
      <c r="AQ51" s="115">
        <f t="shared" si="16"/>
        <v>0</v>
      </c>
      <c r="AR51" s="115">
        <f t="shared" si="16"/>
        <v>0</v>
      </c>
      <c r="AS51" s="115">
        <f t="shared" si="16"/>
        <v>123.15666041275796</v>
      </c>
      <c r="AT51" s="115">
        <f t="shared" si="16"/>
        <v>0</v>
      </c>
      <c r="AU51" s="115">
        <f t="shared" si="16"/>
        <v>123.15666041275796</v>
      </c>
      <c r="AV51" s="115">
        <f t="shared" si="16"/>
        <v>0</v>
      </c>
      <c r="AW51" s="115">
        <f t="shared" si="16"/>
        <v>123.15666041275796</v>
      </c>
      <c r="AX51" s="115">
        <f t="shared" si="16"/>
        <v>0</v>
      </c>
      <c r="AY51" s="115">
        <f t="shared" si="16"/>
        <v>123.15666041275796</v>
      </c>
    </row>
    <row r="52" spans="1:52" x14ac:dyDescent="0.25">
      <c r="A52" s="115"/>
      <c r="B52" s="170" t="s">
        <v>348</v>
      </c>
      <c r="C52" s="115"/>
      <c r="D52" s="115">
        <v>4</v>
      </c>
      <c r="E52" s="115">
        <v>2</v>
      </c>
      <c r="F52" s="115">
        <v>3</v>
      </c>
      <c r="G52" s="115">
        <v>2</v>
      </c>
      <c r="H52" s="115">
        <v>3</v>
      </c>
      <c r="I52" s="115">
        <v>2</v>
      </c>
      <c r="J52" s="115">
        <v>3</v>
      </c>
      <c r="K52" s="115">
        <v>2</v>
      </c>
      <c r="L52" s="115">
        <v>2</v>
      </c>
      <c r="M52" s="115">
        <v>4</v>
      </c>
      <c r="N52" s="115">
        <v>3</v>
      </c>
      <c r="O52" s="115">
        <v>3</v>
      </c>
      <c r="P52" s="115">
        <v>2</v>
      </c>
      <c r="Q52" s="115">
        <v>2</v>
      </c>
      <c r="R52" s="115">
        <v>3</v>
      </c>
      <c r="S52" s="115">
        <v>3</v>
      </c>
      <c r="T52" s="115">
        <v>2</v>
      </c>
      <c r="U52" s="115">
        <v>2</v>
      </c>
      <c r="V52" s="115">
        <v>3</v>
      </c>
      <c r="W52" s="115">
        <v>2</v>
      </c>
      <c r="X52" s="115">
        <v>3</v>
      </c>
      <c r="Y52" s="115">
        <v>2</v>
      </c>
      <c r="Z52" s="115">
        <v>3</v>
      </c>
      <c r="AA52" s="115">
        <v>2</v>
      </c>
      <c r="AB52" s="115">
        <v>2</v>
      </c>
      <c r="AC52" s="115">
        <v>4</v>
      </c>
      <c r="AD52" s="115">
        <v>2</v>
      </c>
      <c r="AE52" s="115">
        <v>2</v>
      </c>
      <c r="AF52" s="115">
        <v>2</v>
      </c>
      <c r="AG52" s="115">
        <v>3</v>
      </c>
      <c r="AH52" s="115">
        <v>2</v>
      </c>
      <c r="AI52" s="115">
        <v>2</v>
      </c>
      <c r="AJ52" s="115">
        <v>3</v>
      </c>
      <c r="AK52" s="115">
        <v>2</v>
      </c>
      <c r="AL52" s="115">
        <v>2</v>
      </c>
      <c r="AM52" s="115">
        <v>3</v>
      </c>
      <c r="AN52" s="115">
        <v>2</v>
      </c>
      <c r="AO52" s="115">
        <v>3</v>
      </c>
      <c r="AP52" s="115">
        <v>3</v>
      </c>
      <c r="AQ52" s="115">
        <v>3</v>
      </c>
      <c r="AR52" s="115">
        <v>2</v>
      </c>
      <c r="AS52" s="115">
        <v>2</v>
      </c>
      <c r="AT52" s="115">
        <v>2</v>
      </c>
      <c r="AU52" s="115">
        <v>4</v>
      </c>
      <c r="AV52" s="115">
        <v>3</v>
      </c>
      <c r="AW52" s="115">
        <v>4</v>
      </c>
      <c r="AX52" s="115">
        <v>2</v>
      </c>
      <c r="AY52" s="115">
        <v>3</v>
      </c>
    </row>
    <row r="53" spans="1:52" x14ac:dyDescent="0.25">
      <c r="A53" s="115"/>
      <c r="B53" s="183" t="s">
        <v>349</v>
      </c>
      <c r="C53" s="115"/>
      <c r="D53" s="115">
        <v>0</v>
      </c>
      <c r="E53" s="115">
        <v>1010448</v>
      </c>
      <c r="F53" s="115">
        <v>336816</v>
      </c>
      <c r="G53" s="115">
        <v>1010448</v>
      </c>
      <c r="H53" s="115">
        <v>0</v>
      </c>
      <c r="I53" s="115">
        <v>1010448</v>
      </c>
      <c r="J53" s="115">
        <v>336816</v>
      </c>
      <c r="K53" s="115">
        <v>1010448</v>
      </c>
      <c r="L53" s="115">
        <v>336816</v>
      </c>
      <c r="M53" s="115">
        <v>1010448</v>
      </c>
      <c r="N53" s="115">
        <v>336816</v>
      </c>
      <c r="O53" s="115">
        <v>1010448</v>
      </c>
      <c r="P53" s="115">
        <v>336816</v>
      </c>
      <c r="Q53" s="115">
        <v>1010448</v>
      </c>
      <c r="R53" s="115">
        <v>336816</v>
      </c>
      <c r="S53" s="115">
        <v>1010448</v>
      </c>
      <c r="T53" s="115">
        <v>336816</v>
      </c>
      <c r="U53" s="115">
        <v>1010448</v>
      </c>
      <c r="V53" s="115">
        <v>336816</v>
      </c>
      <c r="W53" s="115">
        <v>1010448</v>
      </c>
      <c r="X53" s="115">
        <v>336816</v>
      </c>
      <c r="Y53" s="115">
        <v>1010448</v>
      </c>
      <c r="Z53" s="115">
        <v>336816</v>
      </c>
      <c r="AA53" s="115">
        <v>1010448</v>
      </c>
      <c r="AB53" s="115">
        <v>336816</v>
      </c>
      <c r="AC53" s="115">
        <v>1010448</v>
      </c>
      <c r="AD53" s="115">
        <v>336816</v>
      </c>
      <c r="AE53" s="115">
        <v>1010448</v>
      </c>
      <c r="AF53" s="115">
        <v>336816</v>
      </c>
      <c r="AG53" s="115">
        <v>1010448</v>
      </c>
      <c r="AH53" s="115">
        <v>336816</v>
      </c>
      <c r="AI53" s="115">
        <v>1010448</v>
      </c>
      <c r="AJ53" s="115">
        <v>336816</v>
      </c>
      <c r="AK53" s="115">
        <v>1010448</v>
      </c>
      <c r="AL53" s="115">
        <v>336816</v>
      </c>
      <c r="AM53" s="115">
        <v>1010448</v>
      </c>
      <c r="AN53" s="115">
        <v>336816</v>
      </c>
      <c r="AO53" s="115">
        <v>1010448</v>
      </c>
      <c r="AP53" s="115">
        <v>336816</v>
      </c>
      <c r="AQ53" s="115">
        <v>0</v>
      </c>
      <c r="AR53" s="115">
        <v>1010448</v>
      </c>
      <c r="AS53" s="115">
        <v>336816</v>
      </c>
      <c r="AT53" s="115">
        <v>1010448</v>
      </c>
      <c r="AU53" s="115">
        <v>336816</v>
      </c>
      <c r="AV53" s="115">
        <v>1010448</v>
      </c>
      <c r="AW53" s="115">
        <v>336816</v>
      </c>
      <c r="AX53" s="115">
        <v>1010448</v>
      </c>
      <c r="AY53" s="115">
        <v>336816</v>
      </c>
      <c r="AZ53" s="105">
        <f>SUM($D$53:$AY$53)</f>
        <v>30650256</v>
      </c>
    </row>
    <row r="54" spans="1:52" x14ac:dyDescent="0.25">
      <c r="A54" s="130"/>
      <c r="B54" s="145" t="s">
        <v>350</v>
      </c>
      <c r="C54" s="130"/>
      <c r="D54" s="130">
        <v>0</v>
      </c>
      <c r="E54" s="130">
        <v>0</v>
      </c>
      <c r="F54" s="130">
        <v>324024.59375</v>
      </c>
      <c r="G54" s="130">
        <v>0</v>
      </c>
      <c r="H54" s="130">
        <v>0</v>
      </c>
      <c r="I54" s="130">
        <v>0</v>
      </c>
      <c r="J54" s="130">
        <v>324024.59375</v>
      </c>
      <c r="K54" s="130">
        <v>0</v>
      </c>
      <c r="L54" s="130">
        <v>324024.59375</v>
      </c>
      <c r="M54" s="130">
        <v>0</v>
      </c>
      <c r="N54" s="130">
        <v>324024.59375</v>
      </c>
      <c r="O54" s="130">
        <v>0</v>
      </c>
      <c r="P54" s="130">
        <v>324024.59375</v>
      </c>
      <c r="Q54" s="130">
        <v>0</v>
      </c>
      <c r="R54" s="130">
        <v>324024.59375</v>
      </c>
      <c r="S54" s="130">
        <v>0</v>
      </c>
      <c r="T54" s="130">
        <v>324024.59375</v>
      </c>
      <c r="U54" s="130">
        <v>0</v>
      </c>
      <c r="V54" s="130">
        <v>324024.59375</v>
      </c>
      <c r="W54" s="130">
        <v>0</v>
      </c>
      <c r="X54" s="130">
        <v>324024.59375</v>
      </c>
      <c r="Y54" s="130">
        <v>0</v>
      </c>
      <c r="Z54" s="130">
        <v>324024.59375</v>
      </c>
      <c r="AA54" s="130">
        <v>0</v>
      </c>
      <c r="AB54" s="130">
        <v>324024.59375</v>
      </c>
      <c r="AC54" s="130">
        <v>0</v>
      </c>
      <c r="AD54" s="130">
        <v>324024.59375</v>
      </c>
      <c r="AE54" s="130">
        <v>0</v>
      </c>
      <c r="AF54" s="130">
        <v>324024.59375</v>
      </c>
      <c r="AG54" s="130">
        <v>0</v>
      </c>
      <c r="AH54" s="130">
        <v>324024.59375</v>
      </c>
      <c r="AI54" s="130">
        <v>0</v>
      </c>
      <c r="AJ54" s="130">
        <v>324024.59375</v>
      </c>
      <c r="AK54" s="130">
        <v>0</v>
      </c>
      <c r="AL54" s="130">
        <v>324024.59375</v>
      </c>
      <c r="AM54" s="130">
        <v>0</v>
      </c>
      <c r="AN54" s="130">
        <v>324024.59375</v>
      </c>
      <c r="AO54" s="130">
        <v>0</v>
      </c>
      <c r="AP54" s="130">
        <v>324024.59375</v>
      </c>
      <c r="AQ54" s="130">
        <v>0</v>
      </c>
      <c r="AR54" s="130">
        <v>0</v>
      </c>
      <c r="AS54" s="130">
        <v>324024.59375</v>
      </c>
      <c r="AT54" s="130">
        <v>0</v>
      </c>
      <c r="AU54" s="130">
        <v>324024.59375</v>
      </c>
      <c r="AV54" s="130">
        <v>0</v>
      </c>
      <c r="AW54" s="130">
        <v>324024.59375</v>
      </c>
      <c r="AX54" s="130">
        <v>0</v>
      </c>
      <c r="AY54" s="130">
        <v>324024.59375</v>
      </c>
      <c r="AZ54" s="105">
        <f>SUM($D$54:$AY$54)</f>
        <v>7128541.0625</v>
      </c>
    </row>
  </sheetData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D14" sqref="D14"/>
    </sheetView>
  </sheetViews>
  <sheetFormatPr defaultRowHeight="13.2" x14ac:dyDescent="0.25"/>
  <cols>
    <col min="1" max="1" width="14.6640625" style="105" customWidth="1"/>
    <col min="2" max="2" width="17.6640625" style="105" customWidth="1"/>
    <col min="3" max="51" width="8.88671875" style="105"/>
    <col min="52" max="52" width="10.6640625" style="105" customWidth="1"/>
    <col min="53" max="16384" width="8.88671875" style="105"/>
  </cols>
  <sheetData>
    <row r="1" spans="1:52" x14ac:dyDescent="0.25">
      <c r="A1" s="107" t="s">
        <v>118</v>
      </c>
    </row>
    <row r="2" spans="1:52" x14ac:dyDescent="0.25">
      <c r="A2" s="105" t="s">
        <v>302</v>
      </c>
      <c r="B2" s="112" t="s">
        <v>12</v>
      </c>
      <c r="E2" s="115"/>
    </row>
    <row r="3" spans="1:52" x14ac:dyDescent="0.25">
      <c r="A3" s="105" t="s">
        <v>285</v>
      </c>
      <c r="B3" s="112">
        <v>3589</v>
      </c>
      <c r="E3" s="115"/>
    </row>
    <row r="4" spans="1:52" x14ac:dyDescent="0.25">
      <c r="A4" s="107"/>
      <c r="C4" s="116" t="s">
        <v>286</v>
      </c>
    </row>
    <row r="5" spans="1:52" x14ac:dyDescent="0.25">
      <c r="B5" s="111"/>
      <c r="C5" s="117">
        <v>0</v>
      </c>
      <c r="D5" s="117">
        <v>1</v>
      </c>
      <c r="E5" s="117">
        <v>2</v>
      </c>
      <c r="F5" s="117">
        <v>3</v>
      </c>
      <c r="G5" s="117">
        <v>4</v>
      </c>
      <c r="H5" s="117">
        <v>5</v>
      </c>
      <c r="I5" s="117">
        <v>6</v>
      </c>
      <c r="J5" s="117">
        <v>7</v>
      </c>
      <c r="K5" s="117">
        <v>8</v>
      </c>
      <c r="L5" s="117">
        <v>9</v>
      </c>
      <c r="M5" s="117">
        <v>10</v>
      </c>
      <c r="N5" s="117">
        <v>11</v>
      </c>
      <c r="O5" s="117">
        <v>12</v>
      </c>
      <c r="P5" s="117">
        <v>13</v>
      </c>
      <c r="Q5" s="117">
        <v>14</v>
      </c>
      <c r="R5" s="117">
        <v>15</v>
      </c>
      <c r="S5" s="117">
        <v>16</v>
      </c>
      <c r="T5" s="117">
        <v>17</v>
      </c>
      <c r="U5" s="117">
        <v>18</v>
      </c>
      <c r="V5" s="117">
        <v>19</v>
      </c>
      <c r="W5" s="117">
        <v>20</v>
      </c>
      <c r="X5" s="117">
        <v>21</v>
      </c>
      <c r="Y5" s="117">
        <v>22</v>
      </c>
      <c r="Z5" s="117">
        <v>23</v>
      </c>
      <c r="AA5" s="117">
        <v>24</v>
      </c>
      <c r="AB5" s="117">
        <v>25</v>
      </c>
      <c r="AC5" s="117">
        <v>26</v>
      </c>
      <c r="AD5" s="117">
        <v>27</v>
      </c>
      <c r="AE5" s="117">
        <v>28</v>
      </c>
      <c r="AF5" s="117">
        <v>29</v>
      </c>
      <c r="AG5" s="117">
        <v>30</v>
      </c>
      <c r="AH5" s="117">
        <v>31</v>
      </c>
      <c r="AI5" s="117">
        <v>32</v>
      </c>
      <c r="AJ5" s="117">
        <v>33</v>
      </c>
      <c r="AK5" s="117">
        <v>34</v>
      </c>
      <c r="AL5" s="117">
        <v>35</v>
      </c>
      <c r="AM5" s="117">
        <v>36</v>
      </c>
      <c r="AN5" s="117">
        <v>37</v>
      </c>
      <c r="AO5" s="117">
        <v>38</v>
      </c>
      <c r="AP5" s="117">
        <v>39</v>
      </c>
      <c r="AQ5" s="117">
        <v>40</v>
      </c>
      <c r="AR5" s="117">
        <v>41</v>
      </c>
      <c r="AS5" s="117">
        <v>42</v>
      </c>
      <c r="AT5" s="117">
        <v>43</v>
      </c>
      <c r="AU5" s="117">
        <v>44</v>
      </c>
      <c r="AV5" s="117">
        <v>45</v>
      </c>
      <c r="AW5" s="117">
        <v>46</v>
      </c>
      <c r="AX5" s="117">
        <v>47</v>
      </c>
      <c r="AY5" s="117">
        <v>48</v>
      </c>
    </row>
    <row r="6" spans="1:52" x14ac:dyDescent="0.25">
      <c r="A6" s="107" t="s">
        <v>303</v>
      </c>
      <c r="B6" s="119"/>
      <c r="C6" s="118" t="s">
        <v>287</v>
      </c>
      <c r="D6" s="117" t="s">
        <v>288</v>
      </c>
      <c r="E6" s="117" t="s">
        <v>288</v>
      </c>
      <c r="F6" s="117" t="s">
        <v>288</v>
      </c>
      <c r="G6" s="117" t="s">
        <v>288</v>
      </c>
      <c r="H6" s="117" t="s">
        <v>288</v>
      </c>
      <c r="I6" s="117" t="s">
        <v>288</v>
      </c>
      <c r="J6" s="117" t="s">
        <v>288</v>
      </c>
      <c r="K6" s="117" t="s">
        <v>288</v>
      </c>
      <c r="L6" s="117" t="s">
        <v>288</v>
      </c>
      <c r="M6" s="117" t="s">
        <v>288</v>
      </c>
      <c r="N6" s="117" t="s">
        <v>288</v>
      </c>
      <c r="O6" s="117" t="s">
        <v>288</v>
      </c>
      <c r="P6" s="117" t="s">
        <v>288</v>
      </c>
      <c r="Q6" s="117" t="s">
        <v>288</v>
      </c>
      <c r="R6" s="117" t="s">
        <v>288</v>
      </c>
      <c r="S6" s="117" t="s">
        <v>288</v>
      </c>
      <c r="T6" s="117" t="s">
        <v>288</v>
      </c>
      <c r="U6" s="117" t="s">
        <v>288</v>
      </c>
      <c r="V6" s="117" t="s">
        <v>288</v>
      </c>
      <c r="W6" s="117" t="s">
        <v>288</v>
      </c>
      <c r="X6" s="117" t="s">
        <v>288</v>
      </c>
      <c r="Y6" s="117" t="s">
        <v>288</v>
      </c>
      <c r="Z6" s="117" t="s">
        <v>288</v>
      </c>
      <c r="AA6" s="117" t="s">
        <v>288</v>
      </c>
      <c r="AB6" s="117" t="s">
        <v>288</v>
      </c>
      <c r="AC6" s="117" t="s">
        <v>288</v>
      </c>
      <c r="AD6" s="117" t="s">
        <v>288</v>
      </c>
      <c r="AE6" s="117" t="s">
        <v>288</v>
      </c>
      <c r="AF6" s="117" t="s">
        <v>288</v>
      </c>
      <c r="AG6" s="117" t="s">
        <v>288</v>
      </c>
      <c r="AH6" s="117" t="s">
        <v>288</v>
      </c>
      <c r="AI6" s="117" t="s">
        <v>288</v>
      </c>
      <c r="AJ6" s="117" t="s">
        <v>288</v>
      </c>
      <c r="AK6" s="117" t="s">
        <v>288</v>
      </c>
      <c r="AL6" s="117" t="s">
        <v>288</v>
      </c>
      <c r="AM6" s="117" t="s">
        <v>288</v>
      </c>
      <c r="AN6" s="117" t="s">
        <v>288</v>
      </c>
      <c r="AO6" s="117" t="s">
        <v>288</v>
      </c>
      <c r="AP6" s="117" t="s">
        <v>288</v>
      </c>
      <c r="AQ6" s="117" t="s">
        <v>288</v>
      </c>
      <c r="AR6" s="117" t="s">
        <v>288</v>
      </c>
      <c r="AS6" s="117" t="s">
        <v>288</v>
      </c>
      <c r="AT6" s="117" t="s">
        <v>288</v>
      </c>
      <c r="AU6" s="117" t="s">
        <v>288</v>
      </c>
      <c r="AV6" s="117" t="s">
        <v>288</v>
      </c>
      <c r="AW6" s="117" t="s">
        <v>288</v>
      </c>
      <c r="AX6" s="117" t="s">
        <v>288</v>
      </c>
      <c r="AY6" s="116" t="s">
        <v>289</v>
      </c>
      <c r="AZ6" s="147" t="s">
        <v>150</v>
      </c>
    </row>
    <row r="7" spans="1:52" x14ac:dyDescent="0.25">
      <c r="A7" s="120" t="s">
        <v>125</v>
      </c>
      <c r="B7" s="148">
        <v>1</v>
      </c>
      <c r="C7" s="149" t="s">
        <v>292</v>
      </c>
      <c r="D7" s="149">
        <v>7177.9999661999991</v>
      </c>
      <c r="E7" s="149">
        <v>7177.9999661999991</v>
      </c>
      <c r="F7" s="149">
        <v>7177.9999661999991</v>
      </c>
      <c r="G7" s="149">
        <v>7177.9999661999991</v>
      </c>
      <c r="H7" s="149">
        <v>7177.9999661999991</v>
      </c>
      <c r="I7" s="149">
        <v>7177.9999661999991</v>
      </c>
      <c r="J7" s="149">
        <v>7177.9999661999991</v>
      </c>
      <c r="K7" s="149">
        <v>7177.9999661999991</v>
      </c>
      <c r="L7" s="149">
        <v>7177.9999661999991</v>
      </c>
      <c r="M7" s="149">
        <v>7177.9999661999991</v>
      </c>
      <c r="N7" s="149">
        <v>7177.9999661999991</v>
      </c>
      <c r="O7" s="149">
        <v>7177.9999661999991</v>
      </c>
      <c r="P7" s="149">
        <v>7177.9999661999991</v>
      </c>
      <c r="Q7" s="149">
        <v>7177.9999661999991</v>
      </c>
      <c r="R7" s="149">
        <v>7177.9999661999991</v>
      </c>
      <c r="S7" s="149">
        <v>7177.9999661999991</v>
      </c>
      <c r="T7" s="149">
        <v>4848.2557537639623</v>
      </c>
      <c r="U7" s="149">
        <v>4850.8736958695135</v>
      </c>
      <c r="V7" s="149">
        <v>4853.4849608587665</v>
      </c>
      <c r="W7" s="149">
        <v>7177.9999661999991</v>
      </c>
      <c r="X7" s="149">
        <v>7177.9999661999991</v>
      </c>
      <c r="Y7" s="149">
        <v>7177.9999661999991</v>
      </c>
      <c r="Z7" s="149">
        <v>7177.9999661999991</v>
      </c>
      <c r="AA7" s="149">
        <v>7177.9999661999991</v>
      </c>
      <c r="AB7" s="149">
        <v>7177.9999661999991</v>
      </c>
      <c r="AC7" s="149">
        <v>7177.9999661999991</v>
      </c>
      <c r="AD7" s="149">
        <v>7177.9999661999991</v>
      </c>
      <c r="AE7" s="149">
        <v>7177.9999661999991</v>
      </c>
      <c r="AF7" s="149">
        <v>4879.1383264160886</v>
      </c>
      <c r="AG7" s="149">
        <v>7177.9999661999991</v>
      </c>
      <c r="AH7" s="149">
        <v>7177.9999661999991</v>
      </c>
      <c r="AI7" s="149">
        <v>7177.9999661999991</v>
      </c>
      <c r="AJ7" s="149">
        <v>7177.9999661999991</v>
      </c>
      <c r="AK7" s="149">
        <v>7177.9999661999991</v>
      </c>
      <c r="AL7" s="149">
        <v>7177.9999661999991</v>
      </c>
      <c r="AM7" s="149">
        <v>7177.9999661999991</v>
      </c>
      <c r="AN7" s="149">
        <v>7177.9999661999991</v>
      </c>
      <c r="AO7" s="149">
        <v>7177.9999661999991</v>
      </c>
      <c r="AP7" s="149">
        <v>7177.9999661999991</v>
      </c>
      <c r="AQ7" s="149">
        <v>7177.9999661999991</v>
      </c>
      <c r="AR7" s="149">
        <v>7177.9999661999991</v>
      </c>
      <c r="AS7" s="149">
        <v>7177.9999661999991</v>
      </c>
      <c r="AT7" s="149">
        <v>7177.9999661999991</v>
      </c>
      <c r="AU7" s="149">
        <v>7177.9999661999991</v>
      </c>
      <c r="AV7" s="149">
        <v>7177.9999661999991</v>
      </c>
      <c r="AW7" s="149">
        <v>7177.9999661999991</v>
      </c>
      <c r="AX7" s="149">
        <v>7177.9999661999991</v>
      </c>
      <c r="AY7" s="149">
        <v>7177.9999661999991</v>
      </c>
      <c r="AZ7" s="111"/>
    </row>
    <row r="8" spans="1:52" x14ac:dyDescent="0.25">
      <c r="A8" s="150"/>
      <c r="B8" s="151"/>
      <c r="C8" s="150"/>
      <c r="D8" s="150"/>
      <c r="E8" s="150"/>
      <c r="F8" s="150"/>
      <c r="G8" s="150"/>
      <c r="H8" s="150"/>
      <c r="I8" s="150"/>
      <c r="J8" s="150"/>
      <c r="K8" s="150"/>
      <c r="L8" s="150"/>
      <c r="M8" s="150"/>
      <c r="N8" s="150"/>
      <c r="O8" s="150"/>
      <c r="P8" s="150"/>
      <c r="Q8" s="150"/>
      <c r="R8" s="150"/>
      <c r="S8" s="150"/>
      <c r="T8" s="150"/>
      <c r="U8" s="150"/>
      <c r="V8" s="150"/>
      <c r="W8" s="150"/>
      <c r="X8" s="150"/>
      <c r="Y8" s="150"/>
      <c r="Z8" s="150"/>
      <c r="AA8" s="150"/>
      <c r="AB8" s="150"/>
      <c r="AC8" s="150"/>
      <c r="AD8" s="150"/>
      <c r="AE8" s="150"/>
      <c r="AF8" s="150"/>
      <c r="AG8" s="150"/>
      <c r="AH8" s="150"/>
      <c r="AI8" s="150"/>
      <c r="AJ8" s="150"/>
      <c r="AK8" s="150"/>
      <c r="AL8" s="150"/>
      <c r="AM8" s="150"/>
      <c r="AN8" s="150"/>
      <c r="AO8" s="150"/>
      <c r="AP8" s="150"/>
      <c r="AQ8" s="150"/>
      <c r="AR8" s="150"/>
      <c r="AS8" s="150"/>
      <c r="AT8" s="150"/>
      <c r="AU8" s="150"/>
      <c r="AV8" s="150"/>
      <c r="AW8" s="150"/>
      <c r="AX8" s="150"/>
      <c r="AY8" s="150"/>
      <c r="AZ8" s="152"/>
    </row>
    <row r="9" spans="1:52" x14ac:dyDescent="0.25">
      <c r="A9" s="107" t="s">
        <v>293</v>
      </c>
      <c r="B9" s="153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11"/>
      <c r="N9" s="111"/>
      <c r="O9" s="111"/>
      <c r="P9" s="111"/>
      <c r="Q9" s="111"/>
      <c r="R9" s="111"/>
      <c r="S9" s="111"/>
      <c r="T9" s="111"/>
      <c r="U9" s="111"/>
      <c r="V9" s="111"/>
      <c r="W9" s="111"/>
      <c r="X9" s="111"/>
      <c r="Y9" s="111"/>
      <c r="Z9" s="111"/>
      <c r="AA9" s="111"/>
      <c r="AB9" s="111"/>
      <c r="AC9" s="111"/>
      <c r="AD9" s="111"/>
      <c r="AE9" s="111"/>
      <c r="AF9" s="111"/>
      <c r="AG9" s="111"/>
      <c r="AH9" s="111"/>
      <c r="AI9" s="111"/>
      <c r="AJ9" s="111"/>
      <c r="AK9" s="111"/>
      <c r="AL9" s="111"/>
      <c r="AM9" s="111"/>
      <c r="AN9" s="111"/>
      <c r="AO9" s="111"/>
      <c r="AP9" s="111"/>
      <c r="AQ9" s="111"/>
      <c r="AR9" s="111"/>
      <c r="AS9" s="111"/>
      <c r="AT9" s="111"/>
      <c r="AU9" s="111"/>
      <c r="AV9" s="111"/>
      <c r="AW9" s="111"/>
      <c r="AX9" s="111"/>
      <c r="AY9" s="111"/>
      <c r="AZ9" s="111"/>
    </row>
    <row r="10" spans="1:52" x14ac:dyDescent="0.25">
      <c r="A10" s="154" t="s">
        <v>125</v>
      </c>
      <c r="B10" s="155">
        <v>1</v>
      </c>
      <c r="C10" s="149" t="s">
        <v>292</v>
      </c>
      <c r="D10" s="149">
        <f t="shared" ref="D10:AY10" si="0">MAX(SUM(D$14:D$16)+D$7-$B$3,0)</f>
        <v>3588.9999661999991</v>
      </c>
      <c r="E10" s="149">
        <f t="shared" si="0"/>
        <v>3588.9999661999991</v>
      </c>
      <c r="F10" s="149">
        <f t="shared" si="0"/>
        <v>3588.9999661999991</v>
      </c>
      <c r="G10" s="149">
        <f t="shared" si="0"/>
        <v>3588.9999661999991</v>
      </c>
      <c r="H10" s="149">
        <f t="shared" si="0"/>
        <v>3588.9999661999991</v>
      </c>
      <c r="I10" s="149">
        <f t="shared" si="0"/>
        <v>3588.9999661999991</v>
      </c>
      <c r="J10" s="149">
        <f t="shared" si="0"/>
        <v>3588.9999661999991</v>
      </c>
      <c r="K10" s="149">
        <f t="shared" si="0"/>
        <v>3588.9999661999991</v>
      </c>
      <c r="L10" s="149">
        <f t="shared" si="0"/>
        <v>3588.9999661999991</v>
      </c>
      <c r="M10" s="149">
        <f t="shared" si="0"/>
        <v>3588.9999661999991</v>
      </c>
      <c r="N10" s="149">
        <f t="shared" si="0"/>
        <v>3588.9999661999991</v>
      </c>
      <c r="O10" s="149">
        <f t="shared" si="0"/>
        <v>3588.9999661999991</v>
      </c>
      <c r="P10" s="149">
        <f t="shared" si="0"/>
        <v>3588.9999661999991</v>
      </c>
      <c r="Q10" s="149">
        <f t="shared" si="0"/>
        <v>3588.9999661999991</v>
      </c>
      <c r="R10" s="149">
        <f t="shared" si="0"/>
        <v>3588.9999661999991</v>
      </c>
      <c r="S10" s="149">
        <f t="shared" si="0"/>
        <v>3588.9999661999991</v>
      </c>
      <c r="T10" s="149">
        <f t="shared" si="0"/>
        <v>1259.2557537639623</v>
      </c>
      <c r="U10" s="149">
        <f t="shared" si="0"/>
        <v>1261.8736958695135</v>
      </c>
      <c r="V10" s="149">
        <f t="shared" si="0"/>
        <v>1264.4849608587665</v>
      </c>
      <c r="W10" s="149">
        <f t="shared" si="0"/>
        <v>3588.9999661999991</v>
      </c>
      <c r="X10" s="149">
        <f t="shared" si="0"/>
        <v>3588.9999661999991</v>
      </c>
      <c r="Y10" s="149">
        <f t="shared" si="0"/>
        <v>3588.9999661999991</v>
      </c>
      <c r="Z10" s="149">
        <f t="shared" si="0"/>
        <v>3588.9999661999991</v>
      </c>
      <c r="AA10" s="149">
        <f t="shared" si="0"/>
        <v>3588.9999661999991</v>
      </c>
      <c r="AB10" s="149">
        <f t="shared" si="0"/>
        <v>3588.9999661999991</v>
      </c>
      <c r="AC10" s="149">
        <f t="shared" si="0"/>
        <v>3588.9999661999991</v>
      </c>
      <c r="AD10" s="149">
        <f t="shared" si="0"/>
        <v>3588.9999661999991</v>
      </c>
      <c r="AE10" s="149">
        <f t="shared" si="0"/>
        <v>3588.9999661999991</v>
      </c>
      <c r="AF10" s="149">
        <f t="shared" si="0"/>
        <v>1290.1383264160886</v>
      </c>
      <c r="AG10" s="149">
        <f t="shared" si="0"/>
        <v>3588.9999661999991</v>
      </c>
      <c r="AH10" s="149">
        <f t="shared" si="0"/>
        <v>3588.9999661999991</v>
      </c>
      <c r="AI10" s="149">
        <f t="shared" si="0"/>
        <v>3588.9999661999991</v>
      </c>
      <c r="AJ10" s="149">
        <f t="shared" si="0"/>
        <v>3588.9999661999991</v>
      </c>
      <c r="AK10" s="149">
        <f t="shared" si="0"/>
        <v>3588.9999661999991</v>
      </c>
      <c r="AL10" s="149">
        <f t="shared" si="0"/>
        <v>7177.9999661999991</v>
      </c>
      <c r="AM10" s="149">
        <f t="shared" si="0"/>
        <v>3588.9999661999991</v>
      </c>
      <c r="AN10" s="149">
        <f t="shared" si="0"/>
        <v>7177.9999661999991</v>
      </c>
      <c r="AO10" s="149">
        <f t="shared" si="0"/>
        <v>3588.9999661999991</v>
      </c>
      <c r="AP10" s="149">
        <f t="shared" si="0"/>
        <v>3588.9999661999991</v>
      </c>
      <c r="AQ10" s="149">
        <f t="shared" si="0"/>
        <v>7177.9999661999991</v>
      </c>
      <c r="AR10" s="149">
        <f t="shared" si="0"/>
        <v>3588.9999661999991</v>
      </c>
      <c r="AS10" s="149">
        <f t="shared" si="0"/>
        <v>3588.9999661999991</v>
      </c>
      <c r="AT10" s="149">
        <f t="shared" si="0"/>
        <v>3588.9999661999991</v>
      </c>
      <c r="AU10" s="149">
        <f t="shared" si="0"/>
        <v>3588.9999661999991</v>
      </c>
      <c r="AV10" s="149">
        <f t="shared" si="0"/>
        <v>3588.9999661999991</v>
      </c>
      <c r="AW10" s="149">
        <f t="shared" si="0"/>
        <v>7177.9999661999991</v>
      </c>
      <c r="AX10" s="149">
        <f t="shared" si="0"/>
        <v>7177.9999661999991</v>
      </c>
      <c r="AY10" s="149">
        <f t="shared" si="0"/>
        <v>3588.9999661999991</v>
      </c>
      <c r="AZ10" s="156">
        <f>SUM($D10:$AY10)</f>
        <v>180936.75124970841</v>
      </c>
    </row>
    <row r="11" spans="1:52" x14ac:dyDescent="0.25">
      <c r="C11" s="115"/>
    </row>
    <row r="12" spans="1:52" x14ac:dyDescent="0.25">
      <c r="A12" s="157" t="s">
        <v>294</v>
      </c>
      <c r="B12" s="151"/>
      <c r="C12" s="115"/>
    </row>
    <row r="13" spans="1:52" x14ac:dyDescent="0.25">
      <c r="A13" s="127" t="s">
        <v>125</v>
      </c>
      <c r="B13" s="128">
        <v>1</v>
      </c>
      <c r="C13" s="129"/>
      <c r="D13" s="143">
        <f t="shared" ref="D13:AY13" si="1">D$7-D$10</f>
        <v>3589</v>
      </c>
      <c r="E13" s="143">
        <f t="shared" si="1"/>
        <v>3589</v>
      </c>
      <c r="F13" s="143">
        <f t="shared" si="1"/>
        <v>3589</v>
      </c>
      <c r="G13" s="143">
        <f t="shared" si="1"/>
        <v>3589</v>
      </c>
      <c r="H13" s="143">
        <f t="shared" si="1"/>
        <v>3589</v>
      </c>
      <c r="I13" s="143">
        <f t="shared" si="1"/>
        <v>3589</v>
      </c>
      <c r="J13" s="143">
        <f t="shared" si="1"/>
        <v>3589</v>
      </c>
      <c r="K13" s="143">
        <f t="shared" si="1"/>
        <v>3589</v>
      </c>
      <c r="L13" s="143">
        <f t="shared" si="1"/>
        <v>3589</v>
      </c>
      <c r="M13" s="143">
        <f t="shared" si="1"/>
        <v>3589</v>
      </c>
      <c r="N13" s="143">
        <f t="shared" si="1"/>
        <v>3589</v>
      </c>
      <c r="O13" s="143">
        <f t="shared" si="1"/>
        <v>3589</v>
      </c>
      <c r="P13" s="143">
        <f t="shared" si="1"/>
        <v>3589</v>
      </c>
      <c r="Q13" s="143">
        <f t="shared" si="1"/>
        <v>3589</v>
      </c>
      <c r="R13" s="143">
        <f t="shared" si="1"/>
        <v>3589</v>
      </c>
      <c r="S13" s="143">
        <f t="shared" si="1"/>
        <v>3589</v>
      </c>
      <c r="T13" s="143">
        <f t="shared" si="1"/>
        <v>3589</v>
      </c>
      <c r="U13" s="143">
        <f t="shared" si="1"/>
        <v>3589</v>
      </c>
      <c r="V13" s="143">
        <f t="shared" si="1"/>
        <v>3589</v>
      </c>
      <c r="W13" s="143">
        <f t="shared" si="1"/>
        <v>3589</v>
      </c>
      <c r="X13" s="143">
        <f t="shared" si="1"/>
        <v>3589</v>
      </c>
      <c r="Y13" s="143">
        <f t="shared" si="1"/>
        <v>3589</v>
      </c>
      <c r="Z13" s="143">
        <f t="shared" si="1"/>
        <v>3589</v>
      </c>
      <c r="AA13" s="143">
        <f t="shared" si="1"/>
        <v>3589</v>
      </c>
      <c r="AB13" s="143">
        <f t="shared" si="1"/>
        <v>3589</v>
      </c>
      <c r="AC13" s="143">
        <f t="shared" si="1"/>
        <v>3589</v>
      </c>
      <c r="AD13" s="143">
        <f t="shared" si="1"/>
        <v>3589</v>
      </c>
      <c r="AE13" s="143">
        <f t="shared" si="1"/>
        <v>3589</v>
      </c>
      <c r="AF13" s="143">
        <f t="shared" si="1"/>
        <v>3589</v>
      </c>
      <c r="AG13" s="143">
        <f t="shared" si="1"/>
        <v>3589</v>
      </c>
      <c r="AH13" s="143">
        <f t="shared" si="1"/>
        <v>3589</v>
      </c>
      <c r="AI13" s="143">
        <f t="shared" si="1"/>
        <v>3589</v>
      </c>
      <c r="AJ13" s="143">
        <f t="shared" si="1"/>
        <v>3589</v>
      </c>
      <c r="AK13" s="143">
        <f t="shared" si="1"/>
        <v>3589</v>
      </c>
      <c r="AL13" s="143">
        <f t="shared" si="1"/>
        <v>0</v>
      </c>
      <c r="AM13" s="143">
        <f t="shared" si="1"/>
        <v>3589</v>
      </c>
      <c r="AN13" s="143">
        <f t="shared" si="1"/>
        <v>0</v>
      </c>
      <c r="AO13" s="143">
        <f t="shared" si="1"/>
        <v>3589</v>
      </c>
      <c r="AP13" s="143">
        <f t="shared" si="1"/>
        <v>3589</v>
      </c>
      <c r="AQ13" s="143">
        <f t="shared" si="1"/>
        <v>0</v>
      </c>
      <c r="AR13" s="143">
        <f t="shared" si="1"/>
        <v>3589</v>
      </c>
      <c r="AS13" s="143">
        <f t="shared" si="1"/>
        <v>3589</v>
      </c>
      <c r="AT13" s="143">
        <f t="shared" si="1"/>
        <v>3589</v>
      </c>
      <c r="AU13" s="143">
        <f t="shared" si="1"/>
        <v>3589</v>
      </c>
      <c r="AV13" s="143">
        <f t="shared" si="1"/>
        <v>3589</v>
      </c>
      <c r="AW13" s="143">
        <f t="shared" si="1"/>
        <v>0</v>
      </c>
      <c r="AX13" s="143">
        <f t="shared" si="1"/>
        <v>0</v>
      </c>
      <c r="AY13" s="143">
        <f t="shared" si="1"/>
        <v>3589</v>
      </c>
      <c r="AZ13" s="114"/>
    </row>
    <row r="14" spans="1:52" x14ac:dyDescent="0.25">
      <c r="A14" s="115"/>
      <c r="B14" s="125">
        <v>2</v>
      </c>
      <c r="C14" s="115"/>
      <c r="D14" s="111">
        <f>IF(C$20="Yes",C13,0)</f>
        <v>0</v>
      </c>
      <c r="E14" s="111">
        <f t="shared" ref="E14:AY17" si="2">IF(D$20="Yes",D13,0)</f>
        <v>0</v>
      </c>
      <c r="F14" s="111">
        <f t="shared" si="2"/>
        <v>0</v>
      </c>
      <c r="G14" s="111">
        <f t="shared" si="2"/>
        <v>0</v>
      </c>
      <c r="H14" s="111">
        <f t="shared" si="2"/>
        <v>0</v>
      </c>
      <c r="I14" s="111">
        <f t="shared" si="2"/>
        <v>0</v>
      </c>
      <c r="J14" s="111">
        <f t="shared" si="2"/>
        <v>0</v>
      </c>
      <c r="K14" s="111">
        <f t="shared" si="2"/>
        <v>0</v>
      </c>
      <c r="L14" s="111">
        <f t="shared" si="2"/>
        <v>0</v>
      </c>
      <c r="M14" s="111">
        <f t="shared" si="2"/>
        <v>0</v>
      </c>
      <c r="N14" s="111">
        <f t="shared" si="2"/>
        <v>0</v>
      </c>
      <c r="O14" s="111">
        <f t="shared" si="2"/>
        <v>0</v>
      </c>
      <c r="P14" s="111">
        <f t="shared" si="2"/>
        <v>0</v>
      </c>
      <c r="Q14" s="111">
        <f t="shared" si="2"/>
        <v>0</v>
      </c>
      <c r="R14" s="111">
        <f t="shared" si="2"/>
        <v>0</v>
      </c>
      <c r="S14" s="111">
        <f t="shared" si="2"/>
        <v>0</v>
      </c>
      <c r="T14" s="111">
        <f t="shared" si="2"/>
        <v>0</v>
      </c>
      <c r="U14" s="111">
        <f t="shared" si="2"/>
        <v>0</v>
      </c>
      <c r="V14" s="111">
        <f t="shared" si="2"/>
        <v>0</v>
      </c>
      <c r="W14" s="111">
        <f t="shared" si="2"/>
        <v>0</v>
      </c>
      <c r="X14" s="111">
        <f t="shared" si="2"/>
        <v>0</v>
      </c>
      <c r="Y14" s="111">
        <f t="shared" si="2"/>
        <v>0</v>
      </c>
      <c r="Z14" s="111">
        <f t="shared" si="2"/>
        <v>0</v>
      </c>
      <c r="AA14" s="111">
        <f t="shared" si="2"/>
        <v>0</v>
      </c>
      <c r="AB14" s="111">
        <f t="shared" si="2"/>
        <v>0</v>
      </c>
      <c r="AC14" s="111">
        <f t="shared" si="2"/>
        <v>0</v>
      </c>
      <c r="AD14" s="111">
        <f t="shared" si="2"/>
        <v>0</v>
      </c>
      <c r="AE14" s="111">
        <f t="shared" si="2"/>
        <v>0</v>
      </c>
      <c r="AF14" s="111">
        <f t="shared" si="2"/>
        <v>0</v>
      </c>
      <c r="AG14" s="111">
        <f t="shared" si="2"/>
        <v>0</v>
      </c>
      <c r="AH14" s="111">
        <f t="shared" si="2"/>
        <v>0</v>
      </c>
      <c r="AI14" s="111">
        <f t="shared" si="2"/>
        <v>0</v>
      </c>
      <c r="AJ14" s="111">
        <f t="shared" si="2"/>
        <v>0</v>
      </c>
      <c r="AK14" s="111">
        <f t="shared" si="2"/>
        <v>0</v>
      </c>
      <c r="AL14" s="111">
        <f t="shared" si="2"/>
        <v>3589</v>
      </c>
      <c r="AM14" s="111">
        <f t="shared" si="2"/>
        <v>0</v>
      </c>
      <c r="AN14" s="111">
        <f t="shared" si="2"/>
        <v>3589</v>
      </c>
      <c r="AO14" s="111">
        <f t="shared" si="2"/>
        <v>0</v>
      </c>
      <c r="AP14" s="111">
        <f t="shared" si="2"/>
        <v>0</v>
      </c>
      <c r="AQ14" s="111">
        <f t="shared" si="2"/>
        <v>3589</v>
      </c>
      <c r="AR14" s="111">
        <f t="shared" si="2"/>
        <v>0</v>
      </c>
      <c r="AS14" s="111">
        <f t="shared" si="2"/>
        <v>0</v>
      </c>
      <c r="AT14" s="111">
        <f t="shared" si="2"/>
        <v>0</v>
      </c>
      <c r="AU14" s="111">
        <f t="shared" si="2"/>
        <v>0</v>
      </c>
      <c r="AV14" s="111">
        <f t="shared" si="2"/>
        <v>0</v>
      </c>
      <c r="AW14" s="111">
        <f t="shared" si="2"/>
        <v>3589</v>
      </c>
      <c r="AX14" s="111">
        <f t="shared" si="2"/>
        <v>0</v>
      </c>
      <c r="AY14" s="111">
        <f t="shared" si="2"/>
        <v>0</v>
      </c>
      <c r="AZ14" s="114"/>
    </row>
    <row r="15" spans="1:52" x14ac:dyDescent="0.25">
      <c r="A15" s="115"/>
      <c r="B15" s="132">
        <v>3</v>
      </c>
      <c r="C15" s="115"/>
      <c r="D15" s="111">
        <f>IF(C$20="Yes",C14,0)</f>
        <v>0</v>
      </c>
      <c r="E15" s="111">
        <f t="shared" si="2"/>
        <v>0</v>
      </c>
      <c r="F15" s="111">
        <f t="shared" si="2"/>
        <v>0</v>
      </c>
      <c r="G15" s="111">
        <f t="shared" si="2"/>
        <v>0</v>
      </c>
      <c r="H15" s="111">
        <f t="shared" si="2"/>
        <v>0</v>
      </c>
      <c r="I15" s="111">
        <f t="shared" si="2"/>
        <v>0</v>
      </c>
      <c r="J15" s="111">
        <f t="shared" si="2"/>
        <v>0</v>
      </c>
      <c r="K15" s="111">
        <f t="shared" si="2"/>
        <v>0</v>
      </c>
      <c r="L15" s="111">
        <f t="shared" si="2"/>
        <v>0</v>
      </c>
      <c r="M15" s="111">
        <f t="shared" si="2"/>
        <v>0</v>
      </c>
      <c r="N15" s="111">
        <f t="shared" si="2"/>
        <v>0</v>
      </c>
      <c r="O15" s="111">
        <f t="shared" si="2"/>
        <v>0</v>
      </c>
      <c r="P15" s="111">
        <f t="shared" si="2"/>
        <v>0</v>
      </c>
      <c r="Q15" s="111">
        <f t="shared" si="2"/>
        <v>0</v>
      </c>
      <c r="R15" s="111">
        <f t="shared" si="2"/>
        <v>0</v>
      </c>
      <c r="S15" s="111">
        <f t="shared" si="2"/>
        <v>0</v>
      </c>
      <c r="T15" s="111">
        <f t="shared" si="2"/>
        <v>0</v>
      </c>
      <c r="U15" s="111">
        <f t="shared" si="2"/>
        <v>0</v>
      </c>
      <c r="V15" s="111">
        <f t="shared" si="2"/>
        <v>0</v>
      </c>
      <c r="W15" s="111">
        <f t="shared" si="2"/>
        <v>0</v>
      </c>
      <c r="X15" s="111">
        <f t="shared" si="2"/>
        <v>0</v>
      </c>
      <c r="Y15" s="111">
        <f t="shared" si="2"/>
        <v>0</v>
      </c>
      <c r="Z15" s="111">
        <f t="shared" si="2"/>
        <v>0</v>
      </c>
      <c r="AA15" s="111">
        <f t="shared" si="2"/>
        <v>0</v>
      </c>
      <c r="AB15" s="111">
        <f t="shared" si="2"/>
        <v>0</v>
      </c>
      <c r="AC15" s="111">
        <f t="shared" si="2"/>
        <v>0</v>
      </c>
      <c r="AD15" s="111">
        <f t="shared" si="2"/>
        <v>0</v>
      </c>
      <c r="AE15" s="111">
        <f t="shared" si="2"/>
        <v>0</v>
      </c>
      <c r="AF15" s="111">
        <f t="shared" si="2"/>
        <v>0</v>
      </c>
      <c r="AG15" s="111">
        <f t="shared" si="2"/>
        <v>0</v>
      </c>
      <c r="AH15" s="111">
        <f t="shared" si="2"/>
        <v>0</v>
      </c>
      <c r="AI15" s="111">
        <f t="shared" si="2"/>
        <v>0</v>
      </c>
      <c r="AJ15" s="111">
        <f t="shared" si="2"/>
        <v>0</v>
      </c>
      <c r="AK15" s="111">
        <f t="shared" si="2"/>
        <v>0</v>
      </c>
      <c r="AL15" s="111">
        <f t="shared" si="2"/>
        <v>0</v>
      </c>
      <c r="AM15" s="111">
        <f t="shared" si="2"/>
        <v>0</v>
      </c>
      <c r="AN15" s="111">
        <f t="shared" si="2"/>
        <v>0</v>
      </c>
      <c r="AO15" s="111">
        <f t="shared" si="2"/>
        <v>0</v>
      </c>
      <c r="AP15" s="111">
        <f t="shared" si="2"/>
        <v>0</v>
      </c>
      <c r="AQ15" s="111">
        <f t="shared" si="2"/>
        <v>0</v>
      </c>
      <c r="AR15" s="111">
        <f t="shared" si="2"/>
        <v>0</v>
      </c>
      <c r="AS15" s="111">
        <f t="shared" si="2"/>
        <v>0</v>
      </c>
      <c r="AT15" s="111">
        <f t="shared" si="2"/>
        <v>0</v>
      </c>
      <c r="AU15" s="111">
        <f t="shared" si="2"/>
        <v>0</v>
      </c>
      <c r="AV15" s="111">
        <f t="shared" si="2"/>
        <v>0</v>
      </c>
      <c r="AW15" s="111">
        <f t="shared" si="2"/>
        <v>0</v>
      </c>
      <c r="AX15" s="111">
        <f t="shared" si="2"/>
        <v>3589</v>
      </c>
      <c r="AY15" s="111">
        <f t="shared" si="2"/>
        <v>0</v>
      </c>
      <c r="AZ15" s="114"/>
    </row>
    <row r="16" spans="1:52" x14ac:dyDescent="0.25">
      <c r="A16" s="115"/>
      <c r="B16" s="135">
        <v>4</v>
      </c>
      <c r="C16" s="115"/>
      <c r="D16" s="111">
        <f>IF(C$20="Yes",C15,0)</f>
        <v>0</v>
      </c>
      <c r="E16" s="111">
        <f t="shared" si="2"/>
        <v>0</v>
      </c>
      <c r="F16" s="111">
        <f t="shared" si="2"/>
        <v>0</v>
      </c>
      <c r="G16" s="111">
        <f t="shared" si="2"/>
        <v>0</v>
      </c>
      <c r="H16" s="111">
        <f t="shared" si="2"/>
        <v>0</v>
      </c>
      <c r="I16" s="111">
        <f t="shared" si="2"/>
        <v>0</v>
      </c>
      <c r="J16" s="111">
        <f t="shared" si="2"/>
        <v>0</v>
      </c>
      <c r="K16" s="111">
        <f t="shared" si="2"/>
        <v>0</v>
      </c>
      <c r="L16" s="111">
        <f t="shared" si="2"/>
        <v>0</v>
      </c>
      <c r="M16" s="111">
        <f t="shared" si="2"/>
        <v>0</v>
      </c>
      <c r="N16" s="111">
        <f t="shared" si="2"/>
        <v>0</v>
      </c>
      <c r="O16" s="111">
        <f t="shared" si="2"/>
        <v>0</v>
      </c>
      <c r="P16" s="111">
        <f t="shared" si="2"/>
        <v>0</v>
      </c>
      <c r="Q16" s="111">
        <f t="shared" si="2"/>
        <v>0</v>
      </c>
      <c r="R16" s="111">
        <f t="shared" si="2"/>
        <v>0</v>
      </c>
      <c r="S16" s="111">
        <f t="shared" si="2"/>
        <v>0</v>
      </c>
      <c r="T16" s="111">
        <f t="shared" si="2"/>
        <v>0</v>
      </c>
      <c r="U16" s="111">
        <f t="shared" si="2"/>
        <v>0</v>
      </c>
      <c r="V16" s="111">
        <f t="shared" si="2"/>
        <v>0</v>
      </c>
      <c r="W16" s="111">
        <f t="shared" si="2"/>
        <v>0</v>
      </c>
      <c r="X16" s="111">
        <f t="shared" si="2"/>
        <v>0</v>
      </c>
      <c r="Y16" s="111">
        <f t="shared" si="2"/>
        <v>0</v>
      </c>
      <c r="Z16" s="111">
        <f t="shared" si="2"/>
        <v>0</v>
      </c>
      <c r="AA16" s="111">
        <f t="shared" si="2"/>
        <v>0</v>
      </c>
      <c r="AB16" s="111">
        <f t="shared" si="2"/>
        <v>0</v>
      </c>
      <c r="AC16" s="111">
        <f t="shared" si="2"/>
        <v>0</v>
      </c>
      <c r="AD16" s="111">
        <f t="shared" si="2"/>
        <v>0</v>
      </c>
      <c r="AE16" s="111">
        <f t="shared" si="2"/>
        <v>0</v>
      </c>
      <c r="AF16" s="111">
        <f t="shared" si="2"/>
        <v>0</v>
      </c>
      <c r="AG16" s="111">
        <f t="shared" si="2"/>
        <v>0</v>
      </c>
      <c r="AH16" s="111">
        <f t="shared" si="2"/>
        <v>0</v>
      </c>
      <c r="AI16" s="111">
        <f t="shared" si="2"/>
        <v>0</v>
      </c>
      <c r="AJ16" s="111">
        <f t="shared" si="2"/>
        <v>0</v>
      </c>
      <c r="AK16" s="111">
        <f t="shared" si="2"/>
        <v>0</v>
      </c>
      <c r="AL16" s="111">
        <f t="shared" si="2"/>
        <v>0</v>
      </c>
      <c r="AM16" s="111">
        <f t="shared" si="2"/>
        <v>0</v>
      </c>
      <c r="AN16" s="111">
        <f t="shared" si="2"/>
        <v>0</v>
      </c>
      <c r="AO16" s="111">
        <f t="shared" si="2"/>
        <v>0</v>
      </c>
      <c r="AP16" s="111">
        <f t="shared" si="2"/>
        <v>0</v>
      </c>
      <c r="AQ16" s="111">
        <f t="shared" si="2"/>
        <v>0</v>
      </c>
      <c r="AR16" s="111">
        <f t="shared" si="2"/>
        <v>0</v>
      </c>
      <c r="AS16" s="111">
        <f t="shared" si="2"/>
        <v>0</v>
      </c>
      <c r="AT16" s="111">
        <f t="shared" si="2"/>
        <v>0</v>
      </c>
      <c r="AU16" s="111">
        <f t="shared" si="2"/>
        <v>0</v>
      </c>
      <c r="AV16" s="111">
        <f t="shared" si="2"/>
        <v>0</v>
      </c>
      <c r="AW16" s="111">
        <f t="shared" si="2"/>
        <v>0</v>
      </c>
      <c r="AX16" s="111">
        <f t="shared" si="2"/>
        <v>0</v>
      </c>
      <c r="AY16" s="111">
        <f t="shared" si="2"/>
        <v>0</v>
      </c>
      <c r="AZ16" s="133"/>
    </row>
    <row r="17" spans="1:52" x14ac:dyDescent="0.25">
      <c r="A17" s="130"/>
      <c r="B17" s="137" t="s">
        <v>295</v>
      </c>
      <c r="C17" s="130"/>
      <c r="D17" s="119">
        <f>IF(C$20="Yes",C16,0)</f>
        <v>0</v>
      </c>
      <c r="E17" s="119">
        <f t="shared" si="2"/>
        <v>0</v>
      </c>
      <c r="F17" s="119">
        <f t="shared" si="2"/>
        <v>0</v>
      </c>
      <c r="G17" s="119">
        <f t="shared" si="2"/>
        <v>0</v>
      </c>
      <c r="H17" s="119">
        <f t="shared" si="2"/>
        <v>0</v>
      </c>
      <c r="I17" s="119">
        <f t="shared" si="2"/>
        <v>0</v>
      </c>
      <c r="J17" s="119">
        <f t="shared" si="2"/>
        <v>0</v>
      </c>
      <c r="K17" s="119">
        <f t="shared" si="2"/>
        <v>0</v>
      </c>
      <c r="L17" s="119">
        <f t="shared" si="2"/>
        <v>0</v>
      </c>
      <c r="M17" s="119">
        <f t="shared" si="2"/>
        <v>0</v>
      </c>
      <c r="N17" s="119">
        <f t="shared" si="2"/>
        <v>0</v>
      </c>
      <c r="O17" s="119">
        <f t="shared" si="2"/>
        <v>0</v>
      </c>
      <c r="P17" s="119">
        <f t="shared" si="2"/>
        <v>0</v>
      </c>
      <c r="Q17" s="119">
        <f t="shared" si="2"/>
        <v>0</v>
      </c>
      <c r="R17" s="119">
        <f t="shared" si="2"/>
        <v>0</v>
      </c>
      <c r="S17" s="119">
        <f t="shared" si="2"/>
        <v>0</v>
      </c>
      <c r="T17" s="119">
        <f t="shared" si="2"/>
        <v>0</v>
      </c>
      <c r="U17" s="119">
        <f t="shared" si="2"/>
        <v>0</v>
      </c>
      <c r="V17" s="119">
        <f t="shared" si="2"/>
        <v>0</v>
      </c>
      <c r="W17" s="119">
        <f t="shared" si="2"/>
        <v>0</v>
      </c>
      <c r="X17" s="119">
        <f t="shared" si="2"/>
        <v>0</v>
      </c>
      <c r="Y17" s="119">
        <f t="shared" si="2"/>
        <v>0</v>
      </c>
      <c r="Z17" s="119">
        <f t="shared" si="2"/>
        <v>0</v>
      </c>
      <c r="AA17" s="119">
        <f t="shared" si="2"/>
        <v>0</v>
      </c>
      <c r="AB17" s="119">
        <f t="shared" si="2"/>
        <v>0</v>
      </c>
      <c r="AC17" s="119">
        <f t="shared" si="2"/>
        <v>0</v>
      </c>
      <c r="AD17" s="119">
        <f t="shared" si="2"/>
        <v>0</v>
      </c>
      <c r="AE17" s="119">
        <f t="shared" si="2"/>
        <v>0</v>
      </c>
      <c r="AF17" s="119">
        <f t="shared" si="2"/>
        <v>0</v>
      </c>
      <c r="AG17" s="119">
        <f t="shared" si="2"/>
        <v>0</v>
      </c>
      <c r="AH17" s="119">
        <f t="shared" si="2"/>
        <v>0</v>
      </c>
      <c r="AI17" s="119">
        <f t="shared" si="2"/>
        <v>0</v>
      </c>
      <c r="AJ17" s="119">
        <f t="shared" si="2"/>
        <v>0</v>
      </c>
      <c r="AK17" s="119">
        <f t="shared" si="2"/>
        <v>0</v>
      </c>
      <c r="AL17" s="119">
        <f t="shared" si="2"/>
        <v>0</v>
      </c>
      <c r="AM17" s="119">
        <f t="shared" si="2"/>
        <v>0</v>
      </c>
      <c r="AN17" s="119">
        <f t="shared" si="2"/>
        <v>0</v>
      </c>
      <c r="AO17" s="119">
        <f t="shared" si="2"/>
        <v>0</v>
      </c>
      <c r="AP17" s="119">
        <f t="shared" si="2"/>
        <v>0</v>
      </c>
      <c r="AQ17" s="119">
        <f t="shared" si="2"/>
        <v>0</v>
      </c>
      <c r="AR17" s="119">
        <f t="shared" si="2"/>
        <v>0</v>
      </c>
      <c r="AS17" s="119">
        <f t="shared" si="2"/>
        <v>0</v>
      </c>
      <c r="AT17" s="119">
        <f t="shared" si="2"/>
        <v>0</v>
      </c>
      <c r="AU17" s="119">
        <f t="shared" si="2"/>
        <v>0</v>
      </c>
      <c r="AV17" s="119">
        <f t="shared" si="2"/>
        <v>0</v>
      </c>
      <c r="AW17" s="119">
        <f t="shared" si="2"/>
        <v>0</v>
      </c>
      <c r="AX17" s="119">
        <f t="shared" si="2"/>
        <v>0</v>
      </c>
      <c r="AY17" s="119">
        <f t="shared" si="2"/>
        <v>0</v>
      </c>
      <c r="AZ17" s="156">
        <f>SUM($D$17:$AY$17)</f>
        <v>0</v>
      </c>
    </row>
    <row r="18" spans="1:52" x14ac:dyDescent="0.25">
      <c r="A18" s="111"/>
      <c r="B18" s="158"/>
      <c r="C18" s="143"/>
      <c r="D18" s="143"/>
      <c r="E18" s="143"/>
      <c r="F18" s="143"/>
      <c r="G18" s="143"/>
      <c r="H18" s="143"/>
      <c r="I18" s="143"/>
      <c r="J18" s="143"/>
      <c r="K18" s="143"/>
      <c r="L18" s="143"/>
      <c r="M18" s="143"/>
      <c r="N18" s="143"/>
      <c r="O18" s="143"/>
      <c r="P18" s="143"/>
      <c r="Q18" s="143"/>
      <c r="R18" s="143"/>
      <c r="S18" s="143"/>
      <c r="T18" s="143"/>
      <c r="U18" s="143"/>
      <c r="V18" s="143"/>
      <c r="W18" s="143"/>
      <c r="X18" s="143"/>
      <c r="Y18" s="143"/>
      <c r="Z18" s="143"/>
      <c r="AA18" s="143"/>
      <c r="AB18" s="143"/>
      <c r="AC18" s="143"/>
      <c r="AD18" s="143"/>
      <c r="AE18" s="143"/>
      <c r="AF18" s="143"/>
      <c r="AG18" s="143"/>
      <c r="AH18" s="143"/>
      <c r="AI18" s="143"/>
      <c r="AJ18" s="143"/>
      <c r="AK18" s="143"/>
      <c r="AL18" s="143"/>
      <c r="AM18" s="143"/>
      <c r="AN18" s="143"/>
      <c r="AO18" s="143"/>
      <c r="AP18" s="143"/>
      <c r="AQ18" s="143"/>
      <c r="AR18" s="143"/>
      <c r="AS18" s="143"/>
      <c r="AT18" s="143"/>
      <c r="AU18" s="143"/>
      <c r="AV18" s="143"/>
      <c r="AW18" s="143"/>
      <c r="AX18" s="143"/>
      <c r="AY18" s="143"/>
      <c r="AZ18" s="111"/>
    </row>
    <row r="19" spans="1:52" x14ac:dyDescent="0.25">
      <c r="A19" s="107" t="s">
        <v>116</v>
      </c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1"/>
      <c r="O19" s="111"/>
      <c r="P19" s="111"/>
      <c r="Q19" s="111"/>
      <c r="R19" s="111"/>
      <c r="S19" s="111"/>
      <c r="T19" s="111"/>
      <c r="U19" s="111"/>
      <c r="V19" s="111"/>
      <c r="W19" s="111"/>
      <c r="X19" s="111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11"/>
      <c r="AJ19" s="111"/>
      <c r="AK19" s="111"/>
      <c r="AL19" s="111"/>
      <c r="AM19" s="111"/>
      <c r="AN19" s="111"/>
      <c r="AO19" s="111"/>
      <c r="AP19" s="111"/>
      <c r="AQ19" s="111"/>
      <c r="AR19" s="111"/>
      <c r="AS19" s="111"/>
      <c r="AT19" s="111"/>
      <c r="AU19" s="111"/>
      <c r="AV19" s="111"/>
      <c r="AW19" s="111"/>
      <c r="AX19" s="111"/>
      <c r="AY19" s="111"/>
    </row>
    <row r="20" spans="1:52" s="115" customFormat="1" x14ac:dyDescent="0.25">
      <c r="A20" s="120" t="s">
        <v>304</v>
      </c>
      <c r="B20" s="159" t="s">
        <v>305</v>
      </c>
      <c r="C20" s="122"/>
      <c r="D20" s="122"/>
      <c r="E20" s="122"/>
      <c r="F20" s="122"/>
      <c r="G20" s="122"/>
      <c r="H20" s="122"/>
      <c r="I20" s="122"/>
      <c r="J20" s="122"/>
      <c r="K20" s="122"/>
      <c r="L20" s="122"/>
      <c r="M20" s="122"/>
      <c r="N20" s="122"/>
      <c r="O20" s="122"/>
      <c r="P20" s="122"/>
      <c r="Q20" s="122"/>
      <c r="R20" s="122"/>
      <c r="S20" s="122"/>
      <c r="T20" s="122"/>
      <c r="U20" s="122"/>
      <c r="V20" s="122"/>
      <c r="W20" s="122"/>
      <c r="X20" s="122"/>
      <c r="Y20" s="122"/>
      <c r="Z20" s="122"/>
      <c r="AA20" s="122"/>
      <c r="AB20" s="122"/>
      <c r="AC20" s="122"/>
      <c r="AD20" s="122"/>
      <c r="AE20" s="122"/>
      <c r="AF20" s="122"/>
      <c r="AG20" s="122"/>
      <c r="AH20" s="122"/>
      <c r="AI20" s="122"/>
      <c r="AJ20" s="122"/>
      <c r="AK20" s="122" t="s">
        <v>338</v>
      </c>
      <c r="AL20" s="122"/>
      <c r="AM20" s="122" t="s">
        <v>338</v>
      </c>
      <c r="AN20" s="122"/>
      <c r="AO20" s="122"/>
      <c r="AP20" s="122" t="s">
        <v>338</v>
      </c>
      <c r="AQ20" s="122"/>
      <c r="AR20" s="122"/>
      <c r="AS20" s="122"/>
      <c r="AT20" s="122"/>
      <c r="AU20" s="122"/>
      <c r="AV20" s="122" t="s">
        <v>338</v>
      </c>
      <c r="AW20" s="122" t="s">
        <v>338</v>
      </c>
      <c r="AX20" s="122"/>
      <c r="AY20" s="122"/>
      <c r="AZ20" s="112"/>
    </row>
    <row r="21" spans="1:52" s="115" customFormat="1" x14ac:dyDescent="0.25">
      <c r="A21" s="160" t="s">
        <v>133</v>
      </c>
      <c r="B21" s="161">
        <f>shipping_manufacturing!$G$19/100</f>
        <v>0.45</v>
      </c>
      <c r="C21" s="161" t="s">
        <v>292</v>
      </c>
      <c r="D21" s="111">
        <f>IF(C$20="Yes",0,SUM(C$13:C$16)*$B$21)</f>
        <v>0</v>
      </c>
      <c r="E21" s="111">
        <f t="shared" ref="E21:AY21" si="3">IF(D$20="Yes",0,SUM(D$13:D$16)*$B$21)</f>
        <v>1615.05</v>
      </c>
      <c r="F21" s="111">
        <f t="shared" si="3"/>
        <v>1615.05</v>
      </c>
      <c r="G21" s="111">
        <f t="shared" si="3"/>
        <v>1615.05</v>
      </c>
      <c r="H21" s="111">
        <f t="shared" si="3"/>
        <v>1615.05</v>
      </c>
      <c r="I21" s="111">
        <f t="shared" si="3"/>
        <v>1615.05</v>
      </c>
      <c r="J21" s="111">
        <f t="shared" si="3"/>
        <v>1615.05</v>
      </c>
      <c r="K21" s="111">
        <f t="shared" si="3"/>
        <v>1615.05</v>
      </c>
      <c r="L21" s="111">
        <f t="shared" si="3"/>
        <v>1615.05</v>
      </c>
      <c r="M21" s="111">
        <f t="shared" si="3"/>
        <v>1615.05</v>
      </c>
      <c r="N21" s="111">
        <f t="shared" si="3"/>
        <v>1615.05</v>
      </c>
      <c r="O21" s="111">
        <f t="shared" si="3"/>
        <v>1615.05</v>
      </c>
      <c r="P21" s="111">
        <f t="shared" si="3"/>
        <v>1615.05</v>
      </c>
      <c r="Q21" s="111">
        <f t="shared" si="3"/>
        <v>1615.05</v>
      </c>
      <c r="R21" s="111">
        <f t="shared" si="3"/>
        <v>1615.05</v>
      </c>
      <c r="S21" s="111">
        <f t="shared" si="3"/>
        <v>1615.05</v>
      </c>
      <c r="T21" s="111">
        <f t="shared" si="3"/>
        <v>1615.05</v>
      </c>
      <c r="U21" s="111">
        <f t="shared" si="3"/>
        <v>1615.05</v>
      </c>
      <c r="V21" s="111">
        <f t="shared" si="3"/>
        <v>1615.05</v>
      </c>
      <c r="W21" s="111">
        <f t="shared" si="3"/>
        <v>1615.05</v>
      </c>
      <c r="X21" s="111">
        <f t="shared" si="3"/>
        <v>1615.05</v>
      </c>
      <c r="Y21" s="111">
        <f t="shared" si="3"/>
        <v>1615.05</v>
      </c>
      <c r="Z21" s="111">
        <f t="shared" si="3"/>
        <v>1615.05</v>
      </c>
      <c r="AA21" s="111">
        <f t="shared" si="3"/>
        <v>1615.05</v>
      </c>
      <c r="AB21" s="111">
        <f t="shared" si="3"/>
        <v>1615.05</v>
      </c>
      <c r="AC21" s="111">
        <f t="shared" si="3"/>
        <v>1615.05</v>
      </c>
      <c r="AD21" s="111">
        <f t="shared" si="3"/>
        <v>1615.05</v>
      </c>
      <c r="AE21" s="111">
        <f t="shared" si="3"/>
        <v>1615.05</v>
      </c>
      <c r="AF21" s="111">
        <f t="shared" si="3"/>
        <v>1615.05</v>
      </c>
      <c r="AG21" s="111">
        <f t="shared" si="3"/>
        <v>1615.05</v>
      </c>
      <c r="AH21" s="111">
        <f t="shared" si="3"/>
        <v>1615.05</v>
      </c>
      <c r="AI21" s="111">
        <f t="shared" si="3"/>
        <v>1615.05</v>
      </c>
      <c r="AJ21" s="111">
        <f t="shared" si="3"/>
        <v>1615.05</v>
      </c>
      <c r="AK21" s="111">
        <f t="shared" si="3"/>
        <v>1615.05</v>
      </c>
      <c r="AL21" s="111">
        <f t="shared" si="3"/>
        <v>0</v>
      </c>
      <c r="AM21" s="111">
        <f t="shared" si="3"/>
        <v>1615.05</v>
      </c>
      <c r="AN21" s="111">
        <f t="shared" si="3"/>
        <v>0</v>
      </c>
      <c r="AO21" s="111">
        <f t="shared" si="3"/>
        <v>1615.05</v>
      </c>
      <c r="AP21" s="111">
        <f t="shared" si="3"/>
        <v>1615.05</v>
      </c>
      <c r="AQ21" s="111">
        <f t="shared" si="3"/>
        <v>0</v>
      </c>
      <c r="AR21" s="111">
        <f t="shared" si="3"/>
        <v>1615.05</v>
      </c>
      <c r="AS21" s="111">
        <f t="shared" si="3"/>
        <v>1615.05</v>
      </c>
      <c r="AT21" s="111">
        <f t="shared" si="3"/>
        <v>1615.05</v>
      </c>
      <c r="AU21" s="111">
        <f t="shared" si="3"/>
        <v>1615.05</v>
      </c>
      <c r="AV21" s="111">
        <f t="shared" si="3"/>
        <v>1615.05</v>
      </c>
      <c r="AW21" s="111">
        <f t="shared" si="3"/>
        <v>0</v>
      </c>
      <c r="AX21" s="111">
        <f t="shared" si="3"/>
        <v>0</v>
      </c>
      <c r="AY21" s="111">
        <f t="shared" si="3"/>
        <v>1615.05</v>
      </c>
      <c r="AZ21" s="162">
        <f>SUM($D21:$AY21)</f>
        <v>67832.100000000049</v>
      </c>
    </row>
    <row r="22" spans="1:52" s="115" customFormat="1" x14ac:dyDescent="0.25">
      <c r="A22" s="163" t="s">
        <v>123</v>
      </c>
      <c r="B22" s="164">
        <f>1-$B$21</f>
        <v>0.55000000000000004</v>
      </c>
      <c r="C22" s="164" t="s">
        <v>292</v>
      </c>
      <c r="D22" s="119">
        <f>IF(C$20="Yes",0,SUM(C$13:C$16)*$B$22)</f>
        <v>0</v>
      </c>
      <c r="E22" s="119">
        <f t="shared" ref="E22:AY22" si="4">IF(D$20="Yes",0,SUM(D$13:D$16)*$B$22)</f>
        <v>1973.9500000000003</v>
      </c>
      <c r="F22" s="119">
        <f t="shared" si="4"/>
        <v>1973.9500000000003</v>
      </c>
      <c r="G22" s="119">
        <f t="shared" si="4"/>
        <v>1973.9500000000003</v>
      </c>
      <c r="H22" s="119">
        <f t="shared" si="4"/>
        <v>1973.9500000000003</v>
      </c>
      <c r="I22" s="119">
        <f t="shared" si="4"/>
        <v>1973.9500000000003</v>
      </c>
      <c r="J22" s="119">
        <f t="shared" si="4"/>
        <v>1973.9500000000003</v>
      </c>
      <c r="K22" s="119">
        <f t="shared" si="4"/>
        <v>1973.9500000000003</v>
      </c>
      <c r="L22" s="119">
        <f t="shared" si="4"/>
        <v>1973.9500000000003</v>
      </c>
      <c r="M22" s="119">
        <f t="shared" si="4"/>
        <v>1973.9500000000003</v>
      </c>
      <c r="N22" s="119">
        <f t="shared" si="4"/>
        <v>1973.9500000000003</v>
      </c>
      <c r="O22" s="119">
        <f t="shared" si="4"/>
        <v>1973.9500000000003</v>
      </c>
      <c r="P22" s="119">
        <f t="shared" si="4"/>
        <v>1973.9500000000003</v>
      </c>
      <c r="Q22" s="119">
        <f t="shared" si="4"/>
        <v>1973.9500000000003</v>
      </c>
      <c r="R22" s="119">
        <f t="shared" si="4"/>
        <v>1973.9500000000003</v>
      </c>
      <c r="S22" s="119">
        <f t="shared" si="4"/>
        <v>1973.9500000000003</v>
      </c>
      <c r="T22" s="119">
        <f t="shared" si="4"/>
        <v>1973.9500000000003</v>
      </c>
      <c r="U22" s="119">
        <f t="shared" si="4"/>
        <v>1973.9500000000003</v>
      </c>
      <c r="V22" s="119">
        <f t="shared" si="4"/>
        <v>1973.9500000000003</v>
      </c>
      <c r="W22" s="119">
        <f t="shared" si="4"/>
        <v>1973.9500000000003</v>
      </c>
      <c r="X22" s="119">
        <f t="shared" si="4"/>
        <v>1973.9500000000003</v>
      </c>
      <c r="Y22" s="119">
        <f t="shared" si="4"/>
        <v>1973.9500000000003</v>
      </c>
      <c r="Z22" s="119">
        <f t="shared" si="4"/>
        <v>1973.9500000000003</v>
      </c>
      <c r="AA22" s="119">
        <f t="shared" si="4"/>
        <v>1973.9500000000003</v>
      </c>
      <c r="AB22" s="119">
        <f t="shared" si="4"/>
        <v>1973.9500000000003</v>
      </c>
      <c r="AC22" s="119">
        <f t="shared" si="4"/>
        <v>1973.9500000000003</v>
      </c>
      <c r="AD22" s="119">
        <f t="shared" si="4"/>
        <v>1973.9500000000003</v>
      </c>
      <c r="AE22" s="119">
        <f t="shared" si="4"/>
        <v>1973.9500000000003</v>
      </c>
      <c r="AF22" s="119">
        <f t="shared" si="4"/>
        <v>1973.9500000000003</v>
      </c>
      <c r="AG22" s="119">
        <f t="shared" si="4"/>
        <v>1973.9500000000003</v>
      </c>
      <c r="AH22" s="119">
        <f t="shared" si="4"/>
        <v>1973.9500000000003</v>
      </c>
      <c r="AI22" s="119">
        <f t="shared" si="4"/>
        <v>1973.9500000000003</v>
      </c>
      <c r="AJ22" s="119">
        <f t="shared" si="4"/>
        <v>1973.9500000000003</v>
      </c>
      <c r="AK22" s="119">
        <f t="shared" si="4"/>
        <v>1973.9500000000003</v>
      </c>
      <c r="AL22" s="119">
        <f t="shared" si="4"/>
        <v>0</v>
      </c>
      <c r="AM22" s="119">
        <f t="shared" si="4"/>
        <v>1973.9500000000003</v>
      </c>
      <c r="AN22" s="119">
        <f t="shared" si="4"/>
        <v>0</v>
      </c>
      <c r="AO22" s="119">
        <f t="shared" si="4"/>
        <v>1973.9500000000003</v>
      </c>
      <c r="AP22" s="119">
        <f t="shared" si="4"/>
        <v>1973.9500000000003</v>
      </c>
      <c r="AQ22" s="119">
        <f t="shared" si="4"/>
        <v>0</v>
      </c>
      <c r="AR22" s="119">
        <f t="shared" si="4"/>
        <v>1973.9500000000003</v>
      </c>
      <c r="AS22" s="119">
        <f t="shared" si="4"/>
        <v>1973.9500000000003</v>
      </c>
      <c r="AT22" s="119">
        <f t="shared" si="4"/>
        <v>1973.9500000000003</v>
      </c>
      <c r="AU22" s="119">
        <f t="shared" si="4"/>
        <v>1973.9500000000003</v>
      </c>
      <c r="AV22" s="119">
        <f t="shared" si="4"/>
        <v>1973.9500000000003</v>
      </c>
      <c r="AW22" s="119">
        <f t="shared" si="4"/>
        <v>0</v>
      </c>
      <c r="AX22" s="119">
        <f t="shared" si="4"/>
        <v>0</v>
      </c>
      <c r="AY22" s="119">
        <f t="shared" si="4"/>
        <v>1973.9500000000003</v>
      </c>
      <c r="AZ22" s="146">
        <f t="shared" ref="AZ22:AZ30" si="5">SUM($D22:$AY22)</f>
        <v>82905.899999999936</v>
      </c>
    </row>
    <row r="23" spans="1:52" x14ac:dyDescent="0.25">
      <c r="A23" s="165" t="s">
        <v>306</v>
      </c>
      <c r="B23" s="129">
        <v>2000</v>
      </c>
      <c r="C23" s="105" t="s">
        <v>292</v>
      </c>
      <c r="D23" s="105">
        <f>D$21*$B$23</f>
        <v>0</v>
      </c>
      <c r="E23" s="105">
        <f t="shared" ref="E23:AY23" si="6">E$21*$B$23</f>
        <v>3230100</v>
      </c>
      <c r="F23" s="105">
        <f t="shared" si="6"/>
        <v>3230100</v>
      </c>
      <c r="G23" s="105">
        <f t="shared" si="6"/>
        <v>3230100</v>
      </c>
      <c r="H23" s="105">
        <f t="shared" si="6"/>
        <v>3230100</v>
      </c>
      <c r="I23" s="105">
        <f t="shared" si="6"/>
        <v>3230100</v>
      </c>
      <c r="J23" s="105">
        <f t="shared" si="6"/>
        <v>3230100</v>
      </c>
      <c r="K23" s="105">
        <f t="shared" si="6"/>
        <v>3230100</v>
      </c>
      <c r="L23" s="105">
        <f t="shared" si="6"/>
        <v>3230100</v>
      </c>
      <c r="M23" s="105">
        <f t="shared" si="6"/>
        <v>3230100</v>
      </c>
      <c r="N23" s="105">
        <f t="shared" si="6"/>
        <v>3230100</v>
      </c>
      <c r="O23" s="105">
        <f t="shared" si="6"/>
        <v>3230100</v>
      </c>
      <c r="P23" s="105">
        <f t="shared" si="6"/>
        <v>3230100</v>
      </c>
      <c r="Q23" s="105">
        <f t="shared" si="6"/>
        <v>3230100</v>
      </c>
      <c r="R23" s="105">
        <f t="shared" si="6"/>
        <v>3230100</v>
      </c>
      <c r="S23" s="105">
        <f t="shared" si="6"/>
        <v>3230100</v>
      </c>
      <c r="T23" s="105">
        <f t="shared" si="6"/>
        <v>3230100</v>
      </c>
      <c r="U23" s="105">
        <f t="shared" si="6"/>
        <v>3230100</v>
      </c>
      <c r="V23" s="105">
        <f t="shared" si="6"/>
        <v>3230100</v>
      </c>
      <c r="W23" s="105">
        <f t="shared" si="6"/>
        <v>3230100</v>
      </c>
      <c r="X23" s="105">
        <f t="shared" si="6"/>
        <v>3230100</v>
      </c>
      <c r="Y23" s="105">
        <f t="shared" si="6"/>
        <v>3230100</v>
      </c>
      <c r="Z23" s="105">
        <f t="shared" si="6"/>
        <v>3230100</v>
      </c>
      <c r="AA23" s="105">
        <f t="shared" si="6"/>
        <v>3230100</v>
      </c>
      <c r="AB23" s="105">
        <f t="shared" si="6"/>
        <v>3230100</v>
      </c>
      <c r="AC23" s="105">
        <f t="shared" si="6"/>
        <v>3230100</v>
      </c>
      <c r="AD23" s="105">
        <f t="shared" si="6"/>
        <v>3230100</v>
      </c>
      <c r="AE23" s="105">
        <f t="shared" si="6"/>
        <v>3230100</v>
      </c>
      <c r="AF23" s="105">
        <f t="shared" si="6"/>
        <v>3230100</v>
      </c>
      <c r="AG23" s="105">
        <f t="shared" si="6"/>
        <v>3230100</v>
      </c>
      <c r="AH23" s="105">
        <f t="shared" si="6"/>
        <v>3230100</v>
      </c>
      <c r="AI23" s="105">
        <f t="shared" si="6"/>
        <v>3230100</v>
      </c>
      <c r="AJ23" s="105">
        <f t="shared" si="6"/>
        <v>3230100</v>
      </c>
      <c r="AK23" s="105">
        <f t="shared" si="6"/>
        <v>3230100</v>
      </c>
      <c r="AL23" s="105">
        <f t="shared" si="6"/>
        <v>0</v>
      </c>
      <c r="AM23" s="105">
        <f t="shared" si="6"/>
        <v>3230100</v>
      </c>
      <c r="AN23" s="105">
        <f t="shared" si="6"/>
        <v>0</v>
      </c>
      <c r="AO23" s="105">
        <f t="shared" si="6"/>
        <v>3230100</v>
      </c>
      <c r="AP23" s="105">
        <f t="shared" si="6"/>
        <v>3230100</v>
      </c>
      <c r="AQ23" s="105">
        <f t="shared" si="6"/>
        <v>0</v>
      </c>
      <c r="AR23" s="105">
        <f t="shared" si="6"/>
        <v>3230100</v>
      </c>
      <c r="AS23" s="105">
        <f t="shared" si="6"/>
        <v>3230100</v>
      </c>
      <c r="AT23" s="105">
        <f t="shared" si="6"/>
        <v>3230100</v>
      </c>
      <c r="AU23" s="105">
        <f t="shared" si="6"/>
        <v>3230100</v>
      </c>
      <c r="AV23" s="105">
        <f t="shared" si="6"/>
        <v>3230100</v>
      </c>
      <c r="AW23" s="105">
        <f t="shared" si="6"/>
        <v>0</v>
      </c>
      <c r="AX23" s="105">
        <f t="shared" si="6"/>
        <v>0</v>
      </c>
      <c r="AY23" s="105">
        <f t="shared" si="6"/>
        <v>3230100</v>
      </c>
      <c r="AZ23" s="144">
        <f t="shared" si="5"/>
        <v>135664200</v>
      </c>
    </row>
    <row r="24" spans="1:52" s="115" customFormat="1" x14ac:dyDescent="0.25">
      <c r="A24" s="166" t="s">
        <v>307</v>
      </c>
      <c r="B24" s="167">
        <v>1000</v>
      </c>
      <c r="C24" s="161" t="s">
        <v>292</v>
      </c>
      <c r="D24" s="111">
        <f>D$22*$B$24</f>
        <v>0</v>
      </c>
      <c r="E24" s="111">
        <f t="shared" ref="E24:AY24" si="7">E$22*$B$24</f>
        <v>1973950.0000000002</v>
      </c>
      <c r="F24" s="111">
        <f t="shared" si="7"/>
        <v>1973950.0000000002</v>
      </c>
      <c r="G24" s="111">
        <f t="shared" si="7"/>
        <v>1973950.0000000002</v>
      </c>
      <c r="H24" s="111">
        <f t="shared" si="7"/>
        <v>1973950.0000000002</v>
      </c>
      <c r="I24" s="111">
        <f t="shared" si="7"/>
        <v>1973950.0000000002</v>
      </c>
      <c r="J24" s="111">
        <f t="shared" si="7"/>
        <v>1973950.0000000002</v>
      </c>
      <c r="K24" s="111">
        <f t="shared" si="7"/>
        <v>1973950.0000000002</v>
      </c>
      <c r="L24" s="111">
        <f t="shared" si="7"/>
        <v>1973950.0000000002</v>
      </c>
      <c r="M24" s="111">
        <f t="shared" si="7"/>
        <v>1973950.0000000002</v>
      </c>
      <c r="N24" s="111">
        <f t="shared" si="7"/>
        <v>1973950.0000000002</v>
      </c>
      <c r="O24" s="111">
        <f t="shared" si="7"/>
        <v>1973950.0000000002</v>
      </c>
      <c r="P24" s="111">
        <f t="shared" si="7"/>
        <v>1973950.0000000002</v>
      </c>
      <c r="Q24" s="111">
        <f t="shared" si="7"/>
        <v>1973950.0000000002</v>
      </c>
      <c r="R24" s="111">
        <f t="shared" si="7"/>
        <v>1973950.0000000002</v>
      </c>
      <c r="S24" s="111">
        <f t="shared" si="7"/>
        <v>1973950.0000000002</v>
      </c>
      <c r="T24" s="111">
        <f t="shared" si="7"/>
        <v>1973950.0000000002</v>
      </c>
      <c r="U24" s="111">
        <f t="shared" si="7"/>
        <v>1973950.0000000002</v>
      </c>
      <c r="V24" s="111">
        <f t="shared" si="7"/>
        <v>1973950.0000000002</v>
      </c>
      <c r="W24" s="111">
        <f t="shared" si="7"/>
        <v>1973950.0000000002</v>
      </c>
      <c r="X24" s="111">
        <f t="shared" si="7"/>
        <v>1973950.0000000002</v>
      </c>
      <c r="Y24" s="111">
        <f t="shared" si="7"/>
        <v>1973950.0000000002</v>
      </c>
      <c r="Z24" s="111">
        <f t="shared" si="7"/>
        <v>1973950.0000000002</v>
      </c>
      <c r="AA24" s="111">
        <f t="shared" si="7"/>
        <v>1973950.0000000002</v>
      </c>
      <c r="AB24" s="111">
        <f t="shared" si="7"/>
        <v>1973950.0000000002</v>
      </c>
      <c r="AC24" s="111">
        <f t="shared" si="7"/>
        <v>1973950.0000000002</v>
      </c>
      <c r="AD24" s="111">
        <f t="shared" si="7"/>
        <v>1973950.0000000002</v>
      </c>
      <c r="AE24" s="111">
        <f t="shared" si="7"/>
        <v>1973950.0000000002</v>
      </c>
      <c r="AF24" s="111">
        <f t="shared" si="7"/>
        <v>1973950.0000000002</v>
      </c>
      <c r="AG24" s="111">
        <f t="shared" si="7"/>
        <v>1973950.0000000002</v>
      </c>
      <c r="AH24" s="111">
        <f t="shared" si="7"/>
        <v>1973950.0000000002</v>
      </c>
      <c r="AI24" s="111">
        <f t="shared" si="7"/>
        <v>1973950.0000000002</v>
      </c>
      <c r="AJ24" s="111">
        <f t="shared" si="7"/>
        <v>1973950.0000000002</v>
      </c>
      <c r="AK24" s="111">
        <f t="shared" si="7"/>
        <v>1973950.0000000002</v>
      </c>
      <c r="AL24" s="111">
        <f t="shared" si="7"/>
        <v>0</v>
      </c>
      <c r="AM24" s="111">
        <f t="shared" si="7"/>
        <v>1973950.0000000002</v>
      </c>
      <c r="AN24" s="111">
        <f t="shared" si="7"/>
        <v>0</v>
      </c>
      <c r="AO24" s="111">
        <f t="shared" si="7"/>
        <v>1973950.0000000002</v>
      </c>
      <c r="AP24" s="111">
        <f t="shared" si="7"/>
        <v>1973950.0000000002</v>
      </c>
      <c r="AQ24" s="111">
        <f t="shared" si="7"/>
        <v>0</v>
      </c>
      <c r="AR24" s="111">
        <f t="shared" si="7"/>
        <v>1973950.0000000002</v>
      </c>
      <c r="AS24" s="111">
        <f t="shared" si="7"/>
        <v>1973950.0000000002</v>
      </c>
      <c r="AT24" s="111">
        <f t="shared" si="7"/>
        <v>1973950.0000000002</v>
      </c>
      <c r="AU24" s="111">
        <f t="shared" si="7"/>
        <v>1973950.0000000002</v>
      </c>
      <c r="AV24" s="111">
        <f t="shared" si="7"/>
        <v>1973950.0000000002</v>
      </c>
      <c r="AW24" s="111">
        <f t="shared" si="7"/>
        <v>0</v>
      </c>
      <c r="AX24" s="111">
        <f t="shared" si="7"/>
        <v>0</v>
      </c>
      <c r="AY24" s="111">
        <f t="shared" si="7"/>
        <v>1973950.0000000002</v>
      </c>
      <c r="AZ24" s="146">
        <f t="shared" si="5"/>
        <v>82905900.000000015</v>
      </c>
    </row>
    <row r="25" spans="1:52" x14ac:dyDescent="0.25">
      <c r="C25" s="143"/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3"/>
      <c r="Q25" s="143"/>
      <c r="R25" s="143"/>
      <c r="S25" s="143"/>
      <c r="T25" s="143"/>
      <c r="U25" s="143"/>
      <c r="V25" s="143"/>
      <c r="W25" s="143"/>
      <c r="X25" s="143"/>
      <c r="Y25" s="143"/>
      <c r="Z25" s="143"/>
      <c r="AA25" s="143"/>
      <c r="AB25" s="143"/>
      <c r="AC25" s="143"/>
      <c r="AD25" s="143"/>
      <c r="AE25" s="143"/>
      <c r="AF25" s="143"/>
      <c r="AG25" s="143"/>
      <c r="AH25" s="143"/>
      <c r="AI25" s="143"/>
      <c r="AJ25" s="143"/>
      <c r="AK25" s="143"/>
      <c r="AL25" s="143"/>
      <c r="AM25" s="143"/>
      <c r="AN25" s="143"/>
      <c r="AO25" s="143"/>
      <c r="AP25" s="143"/>
      <c r="AQ25" s="143"/>
      <c r="AR25" s="143"/>
      <c r="AS25" s="143"/>
      <c r="AT25" s="143"/>
      <c r="AU25" s="143"/>
      <c r="AV25" s="143"/>
      <c r="AW25" s="143"/>
      <c r="AX25" s="143"/>
      <c r="AY25" s="143"/>
      <c r="AZ25" s="111"/>
    </row>
    <row r="26" spans="1:52" x14ac:dyDescent="0.25">
      <c r="A26" s="168" t="s">
        <v>18</v>
      </c>
      <c r="C26" s="111"/>
      <c r="D26" s="111"/>
      <c r="E26" s="111"/>
      <c r="F26" s="111"/>
      <c r="G26" s="111"/>
      <c r="H26" s="111"/>
      <c r="I26" s="111"/>
      <c r="J26" s="111"/>
      <c r="K26" s="111"/>
      <c r="L26" s="111"/>
      <c r="M26" s="111"/>
      <c r="N26" s="111"/>
      <c r="O26" s="111"/>
      <c r="P26" s="111"/>
      <c r="Q26" s="111"/>
      <c r="R26" s="111"/>
      <c r="S26" s="111"/>
      <c r="T26" s="111"/>
      <c r="U26" s="111"/>
      <c r="V26" s="111"/>
      <c r="W26" s="111"/>
      <c r="X26" s="111"/>
      <c r="Y26" s="111"/>
      <c r="Z26" s="111"/>
      <c r="AA26" s="111"/>
      <c r="AB26" s="111"/>
      <c r="AC26" s="111"/>
      <c r="AD26" s="111"/>
      <c r="AE26" s="111"/>
      <c r="AF26" s="111"/>
      <c r="AG26" s="111"/>
      <c r="AH26" s="111"/>
      <c r="AI26" s="111"/>
      <c r="AJ26" s="111"/>
      <c r="AK26" s="111"/>
      <c r="AL26" s="111"/>
      <c r="AM26" s="111"/>
      <c r="AN26" s="111"/>
      <c r="AO26" s="111"/>
      <c r="AP26" s="111"/>
      <c r="AQ26" s="111"/>
      <c r="AR26" s="111"/>
      <c r="AS26" s="111"/>
      <c r="AT26" s="111"/>
      <c r="AU26" s="111"/>
      <c r="AV26" s="111"/>
      <c r="AW26" s="111"/>
      <c r="AX26" s="111"/>
      <c r="AY26" s="111"/>
      <c r="AZ26" s="111"/>
    </row>
    <row r="27" spans="1:52" x14ac:dyDescent="0.25">
      <c r="B27" s="140" t="s">
        <v>308</v>
      </c>
      <c r="C27" s="129">
        <v>53</v>
      </c>
      <c r="D27" s="129">
        <f>C$27-C$28+C$29</f>
        <v>53</v>
      </c>
      <c r="E27" s="129">
        <f t="shared" ref="E27:AY27" si="8">D27-D28+D29</f>
        <v>53</v>
      </c>
      <c r="F27" s="129">
        <f t="shared" si="8"/>
        <v>0</v>
      </c>
      <c r="G27" s="129">
        <f t="shared" si="8"/>
        <v>53</v>
      </c>
      <c r="H27" s="129">
        <f t="shared" si="8"/>
        <v>0</v>
      </c>
      <c r="I27" s="129">
        <f t="shared" si="8"/>
        <v>53</v>
      </c>
      <c r="J27" s="129">
        <f t="shared" si="8"/>
        <v>0</v>
      </c>
      <c r="K27" s="129">
        <f t="shared" si="8"/>
        <v>53</v>
      </c>
      <c r="L27" s="129">
        <f t="shared" si="8"/>
        <v>0</v>
      </c>
      <c r="M27" s="129">
        <f t="shared" si="8"/>
        <v>53</v>
      </c>
      <c r="N27" s="129">
        <f t="shared" si="8"/>
        <v>0</v>
      </c>
      <c r="O27" s="129">
        <f t="shared" si="8"/>
        <v>53</v>
      </c>
      <c r="P27" s="129">
        <f t="shared" si="8"/>
        <v>0</v>
      </c>
      <c r="Q27" s="129">
        <f t="shared" si="8"/>
        <v>53</v>
      </c>
      <c r="R27" s="129">
        <f t="shared" si="8"/>
        <v>0</v>
      </c>
      <c r="S27" s="129">
        <f t="shared" si="8"/>
        <v>53</v>
      </c>
      <c r="T27" s="129">
        <f t="shared" si="8"/>
        <v>0</v>
      </c>
      <c r="U27" s="129">
        <f t="shared" si="8"/>
        <v>53</v>
      </c>
      <c r="V27" s="129">
        <f t="shared" si="8"/>
        <v>0</v>
      </c>
      <c r="W27" s="129">
        <f t="shared" si="8"/>
        <v>53</v>
      </c>
      <c r="X27" s="129">
        <f t="shared" si="8"/>
        <v>0</v>
      </c>
      <c r="Y27" s="129">
        <f t="shared" si="8"/>
        <v>53</v>
      </c>
      <c r="Z27" s="129">
        <f t="shared" si="8"/>
        <v>0</v>
      </c>
      <c r="AA27" s="129">
        <f t="shared" si="8"/>
        <v>53</v>
      </c>
      <c r="AB27" s="129">
        <f t="shared" si="8"/>
        <v>0</v>
      </c>
      <c r="AC27" s="129">
        <f t="shared" si="8"/>
        <v>53</v>
      </c>
      <c r="AD27" s="129">
        <f t="shared" si="8"/>
        <v>0</v>
      </c>
      <c r="AE27" s="129">
        <f t="shared" si="8"/>
        <v>53</v>
      </c>
      <c r="AF27" s="129">
        <f t="shared" si="8"/>
        <v>0</v>
      </c>
      <c r="AG27" s="129">
        <f t="shared" si="8"/>
        <v>53</v>
      </c>
      <c r="AH27" s="129">
        <f t="shared" si="8"/>
        <v>0</v>
      </c>
      <c r="AI27" s="129">
        <f t="shared" si="8"/>
        <v>53</v>
      </c>
      <c r="AJ27" s="129">
        <f t="shared" si="8"/>
        <v>0</v>
      </c>
      <c r="AK27" s="129">
        <f t="shared" si="8"/>
        <v>53</v>
      </c>
      <c r="AL27" s="129">
        <f t="shared" si="8"/>
        <v>0</v>
      </c>
      <c r="AM27" s="129">
        <f t="shared" si="8"/>
        <v>53</v>
      </c>
      <c r="AN27" s="129">
        <f t="shared" si="8"/>
        <v>0</v>
      </c>
      <c r="AO27" s="129">
        <f t="shared" si="8"/>
        <v>53</v>
      </c>
      <c r="AP27" s="129">
        <f t="shared" si="8"/>
        <v>0</v>
      </c>
      <c r="AQ27" s="129">
        <f t="shared" si="8"/>
        <v>53</v>
      </c>
      <c r="AR27" s="129">
        <f t="shared" si="8"/>
        <v>53</v>
      </c>
      <c r="AS27" s="129">
        <f t="shared" si="8"/>
        <v>0</v>
      </c>
      <c r="AT27" s="129">
        <f t="shared" si="8"/>
        <v>53</v>
      </c>
      <c r="AU27" s="129">
        <f t="shared" si="8"/>
        <v>0</v>
      </c>
      <c r="AV27" s="129">
        <f t="shared" si="8"/>
        <v>53</v>
      </c>
      <c r="AW27" s="129">
        <f t="shared" si="8"/>
        <v>0</v>
      </c>
      <c r="AX27" s="129">
        <f t="shared" si="8"/>
        <v>53</v>
      </c>
      <c r="AY27" s="169">
        <f t="shared" si="8"/>
        <v>53</v>
      </c>
      <c r="AZ27" s="111"/>
    </row>
    <row r="28" spans="1:52" x14ac:dyDescent="0.25">
      <c r="B28" s="170" t="s">
        <v>309</v>
      </c>
      <c r="C28" s="115"/>
      <c r="D28" s="115">
        <v>0</v>
      </c>
      <c r="E28" s="115">
        <v>53</v>
      </c>
      <c r="F28" s="115">
        <v>0</v>
      </c>
      <c r="G28" s="115">
        <v>53</v>
      </c>
      <c r="H28" s="115">
        <v>0</v>
      </c>
      <c r="I28" s="115">
        <v>53</v>
      </c>
      <c r="J28" s="115">
        <v>0</v>
      </c>
      <c r="K28" s="115">
        <v>53</v>
      </c>
      <c r="L28" s="115">
        <v>0</v>
      </c>
      <c r="M28" s="115">
        <v>53</v>
      </c>
      <c r="N28" s="115">
        <v>0</v>
      </c>
      <c r="O28" s="115">
        <v>53</v>
      </c>
      <c r="P28" s="115">
        <v>0</v>
      </c>
      <c r="Q28" s="115">
        <v>53</v>
      </c>
      <c r="R28" s="115">
        <v>0</v>
      </c>
      <c r="S28" s="115">
        <v>53</v>
      </c>
      <c r="T28" s="115">
        <v>0</v>
      </c>
      <c r="U28" s="115">
        <v>53</v>
      </c>
      <c r="V28" s="115">
        <v>0</v>
      </c>
      <c r="W28" s="115">
        <v>53</v>
      </c>
      <c r="X28" s="115">
        <v>0</v>
      </c>
      <c r="Y28" s="115">
        <v>53</v>
      </c>
      <c r="Z28" s="115">
        <v>0</v>
      </c>
      <c r="AA28" s="115">
        <v>53</v>
      </c>
      <c r="AB28" s="115">
        <v>0</v>
      </c>
      <c r="AC28" s="115">
        <v>53</v>
      </c>
      <c r="AD28" s="115">
        <v>0</v>
      </c>
      <c r="AE28" s="115">
        <v>53</v>
      </c>
      <c r="AF28" s="115">
        <v>0</v>
      </c>
      <c r="AG28" s="115">
        <v>53</v>
      </c>
      <c r="AH28" s="115">
        <v>0</v>
      </c>
      <c r="AI28" s="115">
        <v>53</v>
      </c>
      <c r="AJ28" s="115">
        <v>0</v>
      </c>
      <c r="AK28" s="115">
        <v>53</v>
      </c>
      <c r="AL28" s="115">
        <v>0</v>
      </c>
      <c r="AM28" s="115">
        <v>53</v>
      </c>
      <c r="AN28" s="115">
        <v>0</v>
      </c>
      <c r="AO28" s="115">
        <v>53</v>
      </c>
      <c r="AP28" s="115">
        <v>0</v>
      </c>
      <c r="AQ28" s="115">
        <v>0</v>
      </c>
      <c r="AR28" s="115">
        <v>53</v>
      </c>
      <c r="AS28" s="115">
        <v>0</v>
      </c>
      <c r="AT28" s="115">
        <v>53</v>
      </c>
      <c r="AU28" s="115">
        <v>0</v>
      </c>
      <c r="AV28" s="115">
        <v>53</v>
      </c>
      <c r="AW28" s="115">
        <v>0</v>
      </c>
      <c r="AX28" s="115">
        <v>0</v>
      </c>
      <c r="AY28" s="171">
        <v>53</v>
      </c>
      <c r="AZ28" s="111"/>
    </row>
    <row r="29" spans="1:52" x14ac:dyDescent="0.25">
      <c r="B29" s="141" t="s">
        <v>310</v>
      </c>
      <c r="C29" s="130"/>
      <c r="D29" s="130">
        <f>C$28</f>
        <v>0</v>
      </c>
      <c r="E29" s="130">
        <f t="shared" ref="E29:AY29" si="9">D$28</f>
        <v>0</v>
      </c>
      <c r="F29" s="130">
        <f t="shared" si="9"/>
        <v>53</v>
      </c>
      <c r="G29" s="130">
        <f t="shared" si="9"/>
        <v>0</v>
      </c>
      <c r="H29" s="130">
        <f t="shared" si="9"/>
        <v>53</v>
      </c>
      <c r="I29" s="130">
        <f t="shared" si="9"/>
        <v>0</v>
      </c>
      <c r="J29" s="130">
        <f t="shared" si="9"/>
        <v>53</v>
      </c>
      <c r="K29" s="130">
        <f t="shared" si="9"/>
        <v>0</v>
      </c>
      <c r="L29" s="130">
        <f t="shared" si="9"/>
        <v>53</v>
      </c>
      <c r="M29" s="130">
        <f t="shared" si="9"/>
        <v>0</v>
      </c>
      <c r="N29" s="130">
        <f t="shared" si="9"/>
        <v>53</v>
      </c>
      <c r="O29" s="130">
        <f t="shared" si="9"/>
        <v>0</v>
      </c>
      <c r="P29" s="130">
        <f t="shared" si="9"/>
        <v>53</v>
      </c>
      <c r="Q29" s="130">
        <f t="shared" si="9"/>
        <v>0</v>
      </c>
      <c r="R29" s="130">
        <f t="shared" si="9"/>
        <v>53</v>
      </c>
      <c r="S29" s="130">
        <f t="shared" si="9"/>
        <v>0</v>
      </c>
      <c r="T29" s="130">
        <f t="shared" si="9"/>
        <v>53</v>
      </c>
      <c r="U29" s="130">
        <f t="shared" si="9"/>
        <v>0</v>
      </c>
      <c r="V29" s="130">
        <f t="shared" si="9"/>
        <v>53</v>
      </c>
      <c r="W29" s="130">
        <f t="shared" si="9"/>
        <v>0</v>
      </c>
      <c r="X29" s="130">
        <f t="shared" si="9"/>
        <v>53</v>
      </c>
      <c r="Y29" s="130">
        <f t="shared" si="9"/>
        <v>0</v>
      </c>
      <c r="Z29" s="130">
        <f t="shared" si="9"/>
        <v>53</v>
      </c>
      <c r="AA29" s="130">
        <f t="shared" si="9"/>
        <v>0</v>
      </c>
      <c r="AB29" s="130">
        <f t="shared" si="9"/>
        <v>53</v>
      </c>
      <c r="AC29" s="130">
        <f t="shared" si="9"/>
        <v>0</v>
      </c>
      <c r="AD29" s="130">
        <f t="shared" si="9"/>
        <v>53</v>
      </c>
      <c r="AE29" s="130">
        <f t="shared" si="9"/>
        <v>0</v>
      </c>
      <c r="AF29" s="130">
        <f t="shared" si="9"/>
        <v>53</v>
      </c>
      <c r="AG29" s="130">
        <f t="shared" si="9"/>
        <v>0</v>
      </c>
      <c r="AH29" s="130">
        <f t="shared" si="9"/>
        <v>53</v>
      </c>
      <c r="AI29" s="130">
        <f t="shared" si="9"/>
        <v>0</v>
      </c>
      <c r="AJ29" s="130">
        <f t="shared" si="9"/>
        <v>53</v>
      </c>
      <c r="AK29" s="130">
        <f t="shared" si="9"/>
        <v>0</v>
      </c>
      <c r="AL29" s="130">
        <f t="shared" si="9"/>
        <v>53</v>
      </c>
      <c r="AM29" s="130">
        <f t="shared" si="9"/>
        <v>0</v>
      </c>
      <c r="AN29" s="130">
        <f t="shared" si="9"/>
        <v>53</v>
      </c>
      <c r="AO29" s="130">
        <f t="shared" si="9"/>
        <v>0</v>
      </c>
      <c r="AP29" s="130">
        <f t="shared" si="9"/>
        <v>53</v>
      </c>
      <c r="AQ29" s="130">
        <f t="shared" si="9"/>
        <v>0</v>
      </c>
      <c r="AR29" s="130">
        <f t="shared" si="9"/>
        <v>0</v>
      </c>
      <c r="AS29" s="130">
        <f t="shared" si="9"/>
        <v>53</v>
      </c>
      <c r="AT29" s="130">
        <f t="shared" si="9"/>
        <v>0</v>
      </c>
      <c r="AU29" s="130">
        <f t="shared" si="9"/>
        <v>53</v>
      </c>
      <c r="AV29" s="130">
        <f t="shared" si="9"/>
        <v>0</v>
      </c>
      <c r="AW29" s="130">
        <f t="shared" si="9"/>
        <v>53</v>
      </c>
      <c r="AX29" s="130">
        <f t="shared" si="9"/>
        <v>0</v>
      </c>
      <c r="AY29" s="172">
        <f t="shared" si="9"/>
        <v>0</v>
      </c>
      <c r="AZ29" s="173"/>
    </row>
    <row r="30" spans="1:52" x14ac:dyDescent="0.25">
      <c r="A30" s="174" t="s">
        <v>311</v>
      </c>
      <c r="B30" s="149">
        <v>10</v>
      </c>
      <c r="C30" s="122" t="s">
        <v>292</v>
      </c>
      <c r="D30" s="122">
        <f>D$27*$B$30</f>
        <v>530</v>
      </c>
      <c r="E30" s="122">
        <f t="shared" ref="E30:AY30" si="10">E$27*$B$30</f>
        <v>530</v>
      </c>
      <c r="F30" s="122">
        <f t="shared" si="10"/>
        <v>0</v>
      </c>
      <c r="G30" s="122">
        <f t="shared" si="10"/>
        <v>530</v>
      </c>
      <c r="H30" s="122">
        <f t="shared" si="10"/>
        <v>0</v>
      </c>
      <c r="I30" s="122">
        <f t="shared" si="10"/>
        <v>530</v>
      </c>
      <c r="J30" s="122">
        <f t="shared" si="10"/>
        <v>0</v>
      </c>
      <c r="K30" s="122">
        <f t="shared" si="10"/>
        <v>530</v>
      </c>
      <c r="L30" s="122">
        <f t="shared" si="10"/>
        <v>0</v>
      </c>
      <c r="M30" s="122">
        <f t="shared" si="10"/>
        <v>530</v>
      </c>
      <c r="N30" s="122">
        <f t="shared" si="10"/>
        <v>0</v>
      </c>
      <c r="O30" s="122">
        <f t="shared" si="10"/>
        <v>530</v>
      </c>
      <c r="P30" s="122">
        <f t="shared" si="10"/>
        <v>0</v>
      </c>
      <c r="Q30" s="122">
        <f t="shared" si="10"/>
        <v>530</v>
      </c>
      <c r="R30" s="122">
        <f>R$27*$B$30</f>
        <v>0</v>
      </c>
      <c r="S30" s="122">
        <f t="shared" si="10"/>
        <v>530</v>
      </c>
      <c r="T30" s="122">
        <f t="shared" si="10"/>
        <v>0</v>
      </c>
      <c r="U30" s="122">
        <f t="shared" si="10"/>
        <v>530</v>
      </c>
      <c r="V30" s="122">
        <f t="shared" si="10"/>
        <v>0</v>
      </c>
      <c r="W30" s="122">
        <f t="shared" si="10"/>
        <v>530</v>
      </c>
      <c r="X30" s="122">
        <f t="shared" si="10"/>
        <v>0</v>
      </c>
      <c r="Y30" s="122">
        <f t="shared" si="10"/>
        <v>530</v>
      </c>
      <c r="Z30" s="122">
        <f t="shared" si="10"/>
        <v>0</v>
      </c>
      <c r="AA30" s="122">
        <f t="shared" si="10"/>
        <v>530</v>
      </c>
      <c r="AB30" s="122">
        <f t="shared" si="10"/>
        <v>0</v>
      </c>
      <c r="AC30" s="122">
        <f t="shared" si="10"/>
        <v>530</v>
      </c>
      <c r="AD30" s="122">
        <f t="shared" si="10"/>
        <v>0</v>
      </c>
      <c r="AE30" s="122">
        <f>AE$27*$B$30</f>
        <v>530</v>
      </c>
      <c r="AF30" s="122">
        <f t="shared" si="10"/>
        <v>0</v>
      </c>
      <c r="AG30" s="122">
        <f t="shared" si="10"/>
        <v>530</v>
      </c>
      <c r="AH30" s="122">
        <f t="shared" si="10"/>
        <v>0</v>
      </c>
      <c r="AI30" s="122">
        <f t="shared" si="10"/>
        <v>530</v>
      </c>
      <c r="AJ30" s="122">
        <f t="shared" si="10"/>
        <v>0</v>
      </c>
      <c r="AK30" s="122">
        <f t="shared" si="10"/>
        <v>530</v>
      </c>
      <c r="AL30" s="122">
        <f t="shared" si="10"/>
        <v>0</v>
      </c>
      <c r="AM30" s="122">
        <f t="shared" si="10"/>
        <v>530</v>
      </c>
      <c r="AN30" s="122">
        <f t="shared" si="10"/>
        <v>0</v>
      </c>
      <c r="AO30" s="122">
        <f t="shared" si="10"/>
        <v>530</v>
      </c>
      <c r="AP30" s="122">
        <f t="shared" si="10"/>
        <v>0</v>
      </c>
      <c r="AQ30" s="122">
        <f t="shared" si="10"/>
        <v>530</v>
      </c>
      <c r="AR30" s="122">
        <f t="shared" si="10"/>
        <v>530</v>
      </c>
      <c r="AS30" s="122">
        <f t="shared" si="10"/>
        <v>0</v>
      </c>
      <c r="AT30" s="122">
        <f t="shared" si="10"/>
        <v>530</v>
      </c>
      <c r="AU30" s="122">
        <f t="shared" si="10"/>
        <v>0</v>
      </c>
      <c r="AV30" s="122">
        <f t="shared" si="10"/>
        <v>530</v>
      </c>
      <c r="AW30" s="122">
        <f t="shared" si="10"/>
        <v>0</v>
      </c>
      <c r="AX30" s="122">
        <f t="shared" si="10"/>
        <v>530</v>
      </c>
      <c r="AY30" s="122">
        <f t="shared" si="10"/>
        <v>530</v>
      </c>
      <c r="AZ30" s="146">
        <f t="shared" si="5"/>
        <v>13780</v>
      </c>
    </row>
    <row r="32" spans="1:52" x14ac:dyDescent="0.25">
      <c r="A32" s="107" t="s">
        <v>299</v>
      </c>
    </row>
    <row r="33" spans="1:52" x14ac:dyDescent="0.25">
      <c r="A33" s="140" t="s">
        <v>22</v>
      </c>
      <c r="B33" s="140" t="s">
        <v>340</v>
      </c>
      <c r="C33" s="129"/>
      <c r="D33" s="129">
        <f>D$21*shipping_manufacturing!$H$27/100</f>
        <v>0</v>
      </c>
      <c r="E33" s="129">
        <f>E$21*shipping_manufacturing!$H$27/100</f>
        <v>605.64374999999995</v>
      </c>
      <c r="F33" s="129">
        <f>F$21*shipping_manufacturing!$H$27/100</f>
        <v>605.64374999999995</v>
      </c>
      <c r="G33" s="129">
        <f>G$21*shipping_manufacturing!$H$27/100</f>
        <v>605.64374999999995</v>
      </c>
      <c r="H33" s="129">
        <f>H$21*shipping_manufacturing!$H$27/100</f>
        <v>605.64374999999995</v>
      </c>
      <c r="I33" s="129">
        <f>I$21*shipping_manufacturing!$H$27/100</f>
        <v>605.64374999999995</v>
      </c>
      <c r="J33" s="129">
        <f>J$21*shipping_manufacturing!$H$27/100</f>
        <v>605.64374999999995</v>
      </c>
      <c r="K33" s="129">
        <f>K$21*shipping_manufacturing!$H$27/100</f>
        <v>605.64374999999995</v>
      </c>
      <c r="L33" s="129">
        <f>L$21*shipping_manufacturing!$H$27/100</f>
        <v>605.64374999999995</v>
      </c>
      <c r="M33" s="129">
        <f>M$21*shipping_manufacturing!$H$27/100</f>
        <v>605.64374999999995</v>
      </c>
      <c r="N33" s="129">
        <f>N$21*shipping_manufacturing!$H$27/100</f>
        <v>605.64374999999995</v>
      </c>
      <c r="O33" s="129">
        <f>O$21*shipping_manufacturing!$H$27/100</f>
        <v>605.64374999999995</v>
      </c>
      <c r="P33" s="129">
        <f>P$21*shipping_manufacturing!$H$27/100</f>
        <v>605.64374999999995</v>
      </c>
      <c r="Q33" s="129">
        <f>Q$21*shipping_manufacturing!$H$27/100</f>
        <v>605.64374999999995</v>
      </c>
      <c r="R33" s="129">
        <f>R$21*shipping_manufacturing!$H$27/100</f>
        <v>605.64374999999995</v>
      </c>
      <c r="S33" s="129">
        <f>S$21*shipping_manufacturing!$H$27/100</f>
        <v>605.64374999999995</v>
      </c>
      <c r="T33" s="129">
        <f>T$21*shipping_manufacturing!$H$27/100</f>
        <v>605.64374999999995</v>
      </c>
      <c r="U33" s="129">
        <f>U$21*shipping_manufacturing!$H$27/100</f>
        <v>605.64374999999995</v>
      </c>
      <c r="V33" s="129">
        <f>V$21*shipping_manufacturing!$H$27/100</f>
        <v>605.64374999999995</v>
      </c>
      <c r="W33" s="129">
        <f>W$21*shipping_manufacturing!$H$27/100</f>
        <v>605.64374999999995</v>
      </c>
      <c r="X33" s="129">
        <f>X$21*shipping_manufacturing!$H$27/100</f>
        <v>605.64374999999995</v>
      </c>
      <c r="Y33" s="129">
        <f>Y$21*shipping_manufacturing!$H$27/100</f>
        <v>605.64374999999995</v>
      </c>
      <c r="Z33" s="129">
        <f>Z$21*shipping_manufacturing!$H$27/100</f>
        <v>605.64374999999995</v>
      </c>
      <c r="AA33" s="129">
        <f>AA$21*shipping_manufacturing!$H$27/100</f>
        <v>605.64374999999995</v>
      </c>
      <c r="AB33" s="129">
        <f>AB$21*shipping_manufacturing!$H$27/100</f>
        <v>605.64374999999995</v>
      </c>
      <c r="AC33" s="129">
        <f>AC$21*shipping_manufacturing!$H$27/100</f>
        <v>605.64374999999995</v>
      </c>
      <c r="AD33" s="129">
        <f>AD$21*shipping_manufacturing!$H$27/100</f>
        <v>605.64374999999995</v>
      </c>
      <c r="AE33" s="129">
        <f>AE$21*shipping_manufacturing!$H$27/100</f>
        <v>605.64374999999995</v>
      </c>
      <c r="AF33" s="129">
        <f>AF$21*shipping_manufacturing!$H$27/100</f>
        <v>605.64374999999995</v>
      </c>
      <c r="AG33" s="129">
        <f>AG$21*shipping_manufacturing!$H$27/100</f>
        <v>605.64374999999995</v>
      </c>
      <c r="AH33" s="129">
        <f>AH$21*shipping_manufacturing!$H$27/100</f>
        <v>605.64374999999995</v>
      </c>
      <c r="AI33" s="129">
        <f>AI$21*shipping_manufacturing!$H$27/100</f>
        <v>605.64374999999995</v>
      </c>
      <c r="AJ33" s="129">
        <f>AJ$21*shipping_manufacturing!$H$27/100</f>
        <v>605.64374999999995</v>
      </c>
      <c r="AK33" s="129">
        <f>AK$21*shipping_manufacturing!$H$27/100</f>
        <v>605.64374999999995</v>
      </c>
      <c r="AL33" s="129">
        <f>AL$21*shipping_manufacturing!$H$27/100</f>
        <v>0</v>
      </c>
      <c r="AM33" s="129">
        <f>AM$21*shipping_manufacturing!$H$27/100</f>
        <v>605.64374999999995</v>
      </c>
      <c r="AN33" s="129">
        <f>AN$21*shipping_manufacturing!$H$27/100</f>
        <v>0</v>
      </c>
      <c r="AO33" s="129">
        <f>AO$21*shipping_manufacturing!$H$27/100</f>
        <v>605.64374999999995</v>
      </c>
      <c r="AP33" s="129">
        <f>AP$21*shipping_manufacturing!$H$27/100</f>
        <v>605.64374999999995</v>
      </c>
      <c r="AQ33" s="129">
        <f>AQ$21*shipping_manufacturing!$H$27/100</f>
        <v>0</v>
      </c>
      <c r="AR33" s="129">
        <f>AR$21*shipping_manufacturing!$H$27/100</f>
        <v>605.64374999999995</v>
      </c>
      <c r="AS33" s="129">
        <f>AS$21*shipping_manufacturing!$H$27/100</f>
        <v>605.64374999999995</v>
      </c>
      <c r="AT33" s="129">
        <f>AT$21*shipping_manufacturing!$H$27/100</f>
        <v>605.64374999999995</v>
      </c>
      <c r="AU33" s="129">
        <f>AU$21*shipping_manufacturing!$H$27/100</f>
        <v>605.64374999999995</v>
      </c>
      <c r="AV33" s="129">
        <f>AV$21*shipping_manufacturing!$H$27/100</f>
        <v>605.64374999999995</v>
      </c>
      <c r="AW33" s="129">
        <f>AW$21*shipping_manufacturing!$H$27/100</f>
        <v>0</v>
      </c>
      <c r="AX33" s="129">
        <f>AX$21*shipping_manufacturing!$H$27/100</f>
        <v>0</v>
      </c>
      <c r="AY33" s="129">
        <f>AY$21*shipping_manufacturing!$H$27/100</f>
        <v>605.64374999999995</v>
      </c>
    </row>
    <row r="34" spans="1:52" x14ac:dyDescent="0.25">
      <c r="A34" s="118" t="s">
        <v>339</v>
      </c>
      <c r="B34" s="170" t="s">
        <v>341</v>
      </c>
      <c r="C34" s="115"/>
      <c r="D34" s="115">
        <f>D$22*shipping_manufacturing!$I$27/100</f>
        <v>0</v>
      </c>
      <c r="E34" s="115">
        <f>E$22*shipping_manufacturing!$I$27/100</f>
        <v>592.18500000000006</v>
      </c>
      <c r="F34" s="115">
        <f>F$22*shipping_manufacturing!$I$27/100</f>
        <v>592.18500000000006</v>
      </c>
      <c r="G34" s="115">
        <f>G$22*shipping_manufacturing!$I$27/100</f>
        <v>592.18500000000006</v>
      </c>
      <c r="H34" s="115">
        <f>H$22*shipping_manufacturing!$I$27/100</f>
        <v>592.18500000000006</v>
      </c>
      <c r="I34" s="115">
        <f>I$22*shipping_manufacturing!$I$27/100</f>
        <v>592.18500000000006</v>
      </c>
      <c r="J34" s="115">
        <f>J$22*shipping_manufacturing!$I$27/100</f>
        <v>592.18500000000006</v>
      </c>
      <c r="K34" s="115">
        <f>K$22*shipping_manufacturing!$I$27/100</f>
        <v>592.18500000000006</v>
      </c>
      <c r="L34" s="115">
        <f>L$22*shipping_manufacturing!$I$27/100</f>
        <v>592.18500000000006</v>
      </c>
      <c r="M34" s="115">
        <f>M$22*shipping_manufacturing!$I$27/100</f>
        <v>592.18500000000006</v>
      </c>
      <c r="N34" s="115">
        <f>N$22*shipping_manufacturing!$I$27/100</f>
        <v>592.18500000000006</v>
      </c>
      <c r="O34" s="115">
        <f>O$22*shipping_manufacturing!$I$27/100</f>
        <v>592.18500000000006</v>
      </c>
      <c r="P34" s="115">
        <f>P$22*shipping_manufacturing!$I$27/100</f>
        <v>592.18500000000006</v>
      </c>
      <c r="Q34" s="115">
        <f>Q$22*shipping_manufacturing!$I$27/100</f>
        <v>592.18500000000006</v>
      </c>
      <c r="R34" s="115">
        <f>R$22*shipping_manufacturing!$I$27/100</f>
        <v>592.18500000000006</v>
      </c>
      <c r="S34" s="115">
        <f>S$22*shipping_manufacturing!$I$27/100</f>
        <v>592.18500000000006</v>
      </c>
      <c r="T34" s="115">
        <f>T$22*shipping_manufacturing!$I$27/100</f>
        <v>592.18500000000006</v>
      </c>
      <c r="U34" s="115">
        <f>U$22*shipping_manufacturing!$I$27/100</f>
        <v>592.18500000000006</v>
      </c>
      <c r="V34" s="115">
        <f>V$22*shipping_manufacturing!$I$27/100</f>
        <v>592.18500000000006</v>
      </c>
      <c r="W34" s="115">
        <f>W$22*shipping_manufacturing!$I$27/100</f>
        <v>592.18500000000006</v>
      </c>
      <c r="X34" s="115">
        <f>X$22*shipping_manufacturing!$I$27/100</f>
        <v>592.18500000000006</v>
      </c>
      <c r="Y34" s="115">
        <f>Y$22*shipping_manufacturing!$I$27/100</f>
        <v>592.18500000000006</v>
      </c>
      <c r="Z34" s="115">
        <f>Z$22*shipping_manufacturing!$I$27/100</f>
        <v>592.18500000000006</v>
      </c>
      <c r="AA34" s="115">
        <f>AA$22*shipping_manufacturing!$I$27/100</f>
        <v>592.18500000000006</v>
      </c>
      <c r="AB34" s="115">
        <f>AB$22*shipping_manufacturing!$I$27/100</f>
        <v>592.18500000000006</v>
      </c>
      <c r="AC34" s="115">
        <f>AC$22*shipping_manufacturing!$I$27/100</f>
        <v>592.18500000000006</v>
      </c>
      <c r="AD34" s="115">
        <f>AD$22*shipping_manufacturing!$I$27/100</f>
        <v>592.18500000000006</v>
      </c>
      <c r="AE34" s="115">
        <f>AE$22*shipping_manufacturing!$I$27/100</f>
        <v>592.18500000000006</v>
      </c>
      <c r="AF34" s="115">
        <f>AF$22*shipping_manufacturing!$I$27/100</f>
        <v>592.18500000000006</v>
      </c>
      <c r="AG34" s="115">
        <f>AG$22*shipping_manufacturing!$I$27/100</f>
        <v>592.18500000000006</v>
      </c>
      <c r="AH34" s="115">
        <f>AH$22*shipping_manufacturing!$I$27/100</f>
        <v>592.18500000000006</v>
      </c>
      <c r="AI34" s="115">
        <f>AI$22*shipping_manufacturing!$I$27/100</f>
        <v>592.18500000000006</v>
      </c>
      <c r="AJ34" s="115">
        <f>AJ$22*shipping_manufacturing!$I$27/100</f>
        <v>592.18500000000006</v>
      </c>
      <c r="AK34" s="115">
        <f>AK$22*shipping_manufacturing!$I$27/100</f>
        <v>592.18500000000006</v>
      </c>
      <c r="AL34" s="115">
        <f>AL$22*shipping_manufacturing!$I$27/100</f>
        <v>0</v>
      </c>
      <c r="AM34" s="115">
        <f>AM$22*shipping_manufacturing!$I$27/100</f>
        <v>592.18500000000006</v>
      </c>
      <c r="AN34" s="115">
        <f>AN$22*shipping_manufacturing!$I$27/100</f>
        <v>0</v>
      </c>
      <c r="AO34" s="115">
        <f>AO$22*shipping_manufacturing!$I$27/100</f>
        <v>592.18500000000006</v>
      </c>
      <c r="AP34" s="115">
        <f>AP$22*shipping_manufacturing!$I$27/100</f>
        <v>592.18500000000006</v>
      </c>
      <c r="AQ34" s="115">
        <f>AQ$22*shipping_manufacturing!$I$27/100</f>
        <v>0</v>
      </c>
      <c r="AR34" s="115">
        <f>AR$22*shipping_manufacturing!$I$27/100</f>
        <v>592.18500000000006</v>
      </c>
      <c r="AS34" s="115">
        <f>AS$22*shipping_manufacturing!$I$27/100</f>
        <v>592.18500000000006</v>
      </c>
      <c r="AT34" s="115">
        <f>AT$22*shipping_manufacturing!$I$27/100</f>
        <v>592.18500000000006</v>
      </c>
      <c r="AU34" s="115">
        <f>AU$22*shipping_manufacturing!$I$27/100</f>
        <v>592.18500000000006</v>
      </c>
      <c r="AV34" s="115">
        <f>AV$22*shipping_manufacturing!$I$27/100</f>
        <v>592.18500000000006</v>
      </c>
      <c r="AW34" s="115">
        <f>AW$22*shipping_manufacturing!$I$27/100</f>
        <v>0</v>
      </c>
      <c r="AX34" s="115">
        <f>AX$22*shipping_manufacturing!$I$27/100</f>
        <v>0</v>
      </c>
      <c r="AY34" s="115">
        <f>AY$22*shipping_manufacturing!$I$27/100</f>
        <v>592.18500000000006</v>
      </c>
    </row>
    <row r="35" spans="1:52" x14ac:dyDescent="0.25">
      <c r="A35" s="115">
        <v>1245</v>
      </c>
      <c r="B35" s="170" t="s">
        <v>342</v>
      </c>
      <c r="C35" s="115"/>
      <c r="D35" s="115">
        <f>SUM(D33:D34)</f>
        <v>0</v>
      </c>
      <c r="E35" s="115">
        <f t="shared" ref="E35:AY35" si="11">SUM(E33:E34)</f>
        <v>1197.8287500000001</v>
      </c>
      <c r="F35" s="115">
        <f t="shared" si="11"/>
        <v>1197.8287500000001</v>
      </c>
      <c r="G35" s="115">
        <f t="shared" si="11"/>
        <v>1197.8287500000001</v>
      </c>
      <c r="H35" s="115">
        <f t="shared" si="11"/>
        <v>1197.8287500000001</v>
      </c>
      <c r="I35" s="115">
        <f t="shared" si="11"/>
        <v>1197.8287500000001</v>
      </c>
      <c r="J35" s="115">
        <f t="shared" si="11"/>
        <v>1197.8287500000001</v>
      </c>
      <c r="K35" s="115">
        <f t="shared" si="11"/>
        <v>1197.8287500000001</v>
      </c>
      <c r="L35" s="115">
        <f t="shared" si="11"/>
        <v>1197.8287500000001</v>
      </c>
      <c r="M35" s="115">
        <f t="shared" si="11"/>
        <v>1197.8287500000001</v>
      </c>
      <c r="N35" s="115">
        <f t="shared" si="11"/>
        <v>1197.8287500000001</v>
      </c>
      <c r="O35" s="115">
        <f t="shared" si="11"/>
        <v>1197.8287500000001</v>
      </c>
      <c r="P35" s="115">
        <f t="shared" si="11"/>
        <v>1197.8287500000001</v>
      </c>
      <c r="Q35" s="115">
        <f t="shared" si="11"/>
        <v>1197.8287500000001</v>
      </c>
      <c r="R35" s="115">
        <f t="shared" si="11"/>
        <v>1197.8287500000001</v>
      </c>
      <c r="S35" s="115">
        <f t="shared" si="11"/>
        <v>1197.8287500000001</v>
      </c>
      <c r="T35" s="115">
        <f t="shared" si="11"/>
        <v>1197.8287500000001</v>
      </c>
      <c r="U35" s="115">
        <f t="shared" si="11"/>
        <v>1197.8287500000001</v>
      </c>
      <c r="V35" s="115">
        <f t="shared" si="11"/>
        <v>1197.8287500000001</v>
      </c>
      <c r="W35" s="115">
        <f t="shared" si="11"/>
        <v>1197.8287500000001</v>
      </c>
      <c r="X35" s="115">
        <f t="shared" si="11"/>
        <v>1197.8287500000001</v>
      </c>
      <c r="Y35" s="115">
        <f t="shared" si="11"/>
        <v>1197.8287500000001</v>
      </c>
      <c r="Z35" s="115">
        <f t="shared" si="11"/>
        <v>1197.8287500000001</v>
      </c>
      <c r="AA35" s="115">
        <f t="shared" si="11"/>
        <v>1197.8287500000001</v>
      </c>
      <c r="AB35" s="115">
        <f t="shared" si="11"/>
        <v>1197.8287500000001</v>
      </c>
      <c r="AC35" s="115">
        <f t="shared" si="11"/>
        <v>1197.8287500000001</v>
      </c>
      <c r="AD35" s="115">
        <f t="shared" si="11"/>
        <v>1197.8287500000001</v>
      </c>
      <c r="AE35" s="115">
        <f t="shared" si="11"/>
        <v>1197.8287500000001</v>
      </c>
      <c r="AF35" s="115">
        <f t="shared" si="11"/>
        <v>1197.8287500000001</v>
      </c>
      <c r="AG35" s="115">
        <f t="shared" si="11"/>
        <v>1197.8287500000001</v>
      </c>
      <c r="AH35" s="115">
        <f t="shared" si="11"/>
        <v>1197.8287500000001</v>
      </c>
      <c r="AI35" s="115">
        <f t="shared" si="11"/>
        <v>1197.8287500000001</v>
      </c>
      <c r="AJ35" s="115">
        <f t="shared" si="11"/>
        <v>1197.8287500000001</v>
      </c>
      <c r="AK35" s="115">
        <f t="shared" si="11"/>
        <v>1197.8287500000001</v>
      </c>
      <c r="AL35" s="115">
        <f t="shared" si="11"/>
        <v>0</v>
      </c>
      <c r="AM35" s="115">
        <f t="shared" si="11"/>
        <v>1197.8287500000001</v>
      </c>
      <c r="AN35" s="115">
        <f t="shared" si="11"/>
        <v>0</v>
      </c>
      <c r="AO35" s="115">
        <f t="shared" si="11"/>
        <v>1197.8287500000001</v>
      </c>
      <c r="AP35" s="115">
        <f t="shared" si="11"/>
        <v>1197.8287500000001</v>
      </c>
      <c r="AQ35" s="115">
        <f t="shared" si="11"/>
        <v>0</v>
      </c>
      <c r="AR35" s="115">
        <f t="shared" si="11"/>
        <v>1197.8287500000001</v>
      </c>
      <c r="AS35" s="115">
        <f t="shared" si="11"/>
        <v>1197.8287500000001</v>
      </c>
      <c r="AT35" s="115">
        <f t="shared" si="11"/>
        <v>1197.8287500000001</v>
      </c>
      <c r="AU35" s="115">
        <f t="shared" si="11"/>
        <v>1197.8287500000001</v>
      </c>
      <c r="AV35" s="115">
        <f t="shared" si="11"/>
        <v>1197.8287500000001</v>
      </c>
      <c r="AW35" s="115">
        <f t="shared" si="11"/>
        <v>0</v>
      </c>
      <c r="AX35" s="115">
        <f t="shared" si="11"/>
        <v>0</v>
      </c>
      <c r="AY35" s="115">
        <f t="shared" si="11"/>
        <v>1197.8287500000001</v>
      </c>
    </row>
    <row r="36" spans="1:52" x14ac:dyDescent="0.25">
      <c r="A36" s="115"/>
      <c r="B36" s="170" t="s">
        <v>343</v>
      </c>
      <c r="C36" s="115"/>
      <c r="D36" s="115"/>
      <c r="E36" s="115">
        <v>106.17977528089882</v>
      </c>
      <c r="F36" s="115"/>
      <c r="G36" s="115">
        <v>106.17977528089882</v>
      </c>
      <c r="H36" s="115"/>
      <c r="I36" s="115">
        <v>106.17977528089882</v>
      </c>
      <c r="J36" s="115"/>
      <c r="K36" s="115">
        <v>106.17977528089882</v>
      </c>
      <c r="L36" s="115"/>
      <c r="M36" s="115">
        <v>106.17977528089882</v>
      </c>
      <c r="N36" s="115"/>
      <c r="O36" s="115">
        <v>106.17977528089882</v>
      </c>
      <c r="P36" s="115"/>
      <c r="Q36" s="115">
        <v>106.17977528089882</v>
      </c>
      <c r="R36" s="115"/>
      <c r="S36" s="115">
        <v>106.17977528089882</v>
      </c>
      <c r="T36" s="115"/>
      <c r="U36" s="115">
        <v>106.17977528089882</v>
      </c>
      <c r="V36" s="115"/>
      <c r="W36" s="115">
        <v>106.17977528089882</v>
      </c>
      <c r="X36" s="115"/>
      <c r="Y36" s="115">
        <v>106.17977528089882</v>
      </c>
      <c r="Z36" s="115"/>
      <c r="AA36" s="115">
        <v>106.17977528089882</v>
      </c>
      <c r="AB36" s="115"/>
      <c r="AC36" s="115">
        <v>106.17977528089882</v>
      </c>
      <c r="AD36" s="115"/>
      <c r="AE36" s="115">
        <v>106.17977528089882</v>
      </c>
      <c r="AF36" s="115"/>
      <c r="AG36" s="115">
        <v>106.17977528089882</v>
      </c>
      <c r="AH36" s="115"/>
      <c r="AI36" s="115">
        <v>106.17977528089882</v>
      </c>
      <c r="AJ36" s="115"/>
      <c r="AK36" s="115">
        <v>106.17977528089882</v>
      </c>
      <c r="AL36" s="115"/>
      <c r="AM36" s="115">
        <v>106.17977528089882</v>
      </c>
      <c r="AN36" s="115"/>
      <c r="AO36" s="115">
        <v>106.17977528089882</v>
      </c>
      <c r="AP36" s="115"/>
      <c r="AQ36" s="115"/>
      <c r="AR36" s="115">
        <v>106.17977528089882</v>
      </c>
      <c r="AS36" s="115"/>
      <c r="AT36" s="115">
        <v>106.17977528089882</v>
      </c>
      <c r="AU36" s="115"/>
      <c r="AV36" s="115">
        <v>106.17977528089882</v>
      </c>
      <c r="AW36" s="115"/>
      <c r="AX36" s="115"/>
      <c r="AY36" s="115">
        <v>106.17977528089882</v>
      </c>
    </row>
    <row r="37" spans="1:52" x14ac:dyDescent="0.25">
      <c r="A37" s="115"/>
      <c r="B37" s="170" t="s">
        <v>344</v>
      </c>
      <c r="C37" s="115"/>
      <c r="D37" s="115"/>
      <c r="E37" s="115">
        <v>103.82022471910115</v>
      </c>
      <c r="F37" s="115"/>
      <c r="G37" s="115">
        <v>103.82022471910115</v>
      </c>
      <c r="H37" s="115"/>
      <c r="I37" s="115">
        <v>103.82022471910115</v>
      </c>
      <c r="J37" s="115"/>
      <c r="K37" s="115">
        <v>103.82022471910115</v>
      </c>
      <c r="L37" s="115"/>
      <c r="M37" s="115">
        <v>103.82022471910115</v>
      </c>
      <c r="N37" s="115"/>
      <c r="O37" s="115">
        <v>103.82022471910115</v>
      </c>
      <c r="P37" s="115"/>
      <c r="Q37" s="115">
        <v>103.82022471910115</v>
      </c>
      <c r="R37" s="115"/>
      <c r="S37" s="115">
        <v>103.82022471910115</v>
      </c>
      <c r="T37" s="115"/>
      <c r="U37" s="115">
        <v>103.82022471910115</v>
      </c>
      <c r="V37" s="115"/>
      <c r="W37" s="115">
        <v>103.82022471910115</v>
      </c>
      <c r="X37" s="115"/>
      <c r="Y37" s="115">
        <v>103.82022471910115</v>
      </c>
      <c r="Z37" s="115"/>
      <c r="AA37" s="115">
        <v>103.82022471910115</v>
      </c>
      <c r="AB37" s="115"/>
      <c r="AC37" s="115">
        <v>103.82022471910115</v>
      </c>
      <c r="AD37" s="115"/>
      <c r="AE37" s="115">
        <v>103.82022471910115</v>
      </c>
      <c r="AF37" s="115"/>
      <c r="AG37" s="115">
        <v>103.82022471910115</v>
      </c>
      <c r="AH37" s="115"/>
      <c r="AI37" s="115">
        <v>103.82022471910115</v>
      </c>
      <c r="AJ37" s="115"/>
      <c r="AK37" s="115">
        <v>103.82022471910115</v>
      </c>
      <c r="AL37" s="115"/>
      <c r="AM37" s="115">
        <v>103.82022471910115</v>
      </c>
      <c r="AN37" s="115"/>
      <c r="AO37" s="115">
        <v>103.82022471910115</v>
      </c>
      <c r="AP37" s="115"/>
      <c r="AQ37" s="115"/>
      <c r="AR37" s="115">
        <v>103.82022471910115</v>
      </c>
      <c r="AS37" s="115"/>
      <c r="AT37" s="115">
        <v>103.82022471910115</v>
      </c>
      <c r="AU37" s="115"/>
      <c r="AV37" s="115">
        <v>103.82022471910115</v>
      </c>
      <c r="AW37" s="115"/>
      <c r="AX37" s="115"/>
      <c r="AY37" s="115">
        <v>103.82022471910115</v>
      </c>
    </row>
    <row r="38" spans="1:52" x14ac:dyDescent="0.25">
      <c r="A38" s="115"/>
      <c r="B38" s="170" t="s">
        <v>345</v>
      </c>
      <c r="C38" s="115"/>
      <c r="D38" s="115"/>
      <c r="E38" s="115">
        <v>7</v>
      </c>
      <c r="F38" s="115"/>
      <c r="G38" s="115">
        <v>7</v>
      </c>
      <c r="H38" s="115"/>
      <c r="I38" s="115">
        <v>7</v>
      </c>
      <c r="J38" s="115"/>
      <c r="K38" s="115">
        <v>7</v>
      </c>
      <c r="L38" s="115"/>
      <c r="M38" s="115">
        <v>7</v>
      </c>
      <c r="N38" s="115"/>
      <c r="O38" s="115">
        <v>7</v>
      </c>
      <c r="P38" s="115"/>
      <c r="Q38" s="115">
        <v>7</v>
      </c>
      <c r="R38" s="115"/>
      <c r="S38" s="115">
        <v>7</v>
      </c>
      <c r="T38" s="115"/>
      <c r="U38" s="115">
        <v>7</v>
      </c>
      <c r="V38" s="115"/>
      <c r="W38" s="115">
        <v>7</v>
      </c>
      <c r="X38" s="115"/>
      <c r="Y38" s="115">
        <v>7</v>
      </c>
      <c r="Z38" s="115"/>
      <c r="AA38" s="115">
        <v>7</v>
      </c>
      <c r="AB38" s="115"/>
      <c r="AC38" s="115">
        <v>7</v>
      </c>
      <c r="AD38" s="115"/>
      <c r="AE38" s="115">
        <v>7</v>
      </c>
      <c r="AF38" s="115"/>
      <c r="AG38" s="115">
        <v>7</v>
      </c>
      <c r="AH38" s="115"/>
      <c r="AI38" s="115">
        <v>7</v>
      </c>
      <c r="AJ38" s="115"/>
      <c r="AK38" s="115">
        <v>7</v>
      </c>
      <c r="AL38" s="115"/>
      <c r="AM38" s="115">
        <v>7</v>
      </c>
      <c r="AN38" s="115"/>
      <c r="AO38" s="115">
        <v>7</v>
      </c>
      <c r="AP38" s="115"/>
      <c r="AQ38" s="115"/>
      <c r="AR38" s="115">
        <v>7</v>
      </c>
      <c r="AS38" s="115"/>
      <c r="AT38" s="115">
        <v>7</v>
      </c>
      <c r="AU38" s="115"/>
      <c r="AV38" s="115">
        <v>7</v>
      </c>
      <c r="AW38" s="115"/>
      <c r="AX38" s="115"/>
      <c r="AY38" s="115">
        <v>7</v>
      </c>
    </row>
    <row r="39" spans="1:52" x14ac:dyDescent="0.25">
      <c r="A39" s="115"/>
      <c r="B39" s="170" t="s">
        <v>346</v>
      </c>
      <c r="C39" s="115"/>
      <c r="D39" s="115">
        <f>D33-D36</f>
        <v>0</v>
      </c>
      <c r="E39" s="115">
        <f t="shared" ref="E39:AY39" si="12">E33-E36</f>
        <v>499.46397471910115</v>
      </c>
      <c r="F39" s="115">
        <f t="shared" si="12"/>
        <v>605.64374999999995</v>
      </c>
      <c r="G39" s="115">
        <f t="shared" si="12"/>
        <v>499.46397471910115</v>
      </c>
      <c r="H39" s="115">
        <f t="shared" si="12"/>
        <v>605.64374999999995</v>
      </c>
      <c r="I39" s="115">
        <f t="shared" si="12"/>
        <v>499.46397471910115</v>
      </c>
      <c r="J39" s="115">
        <f t="shared" si="12"/>
        <v>605.64374999999995</v>
      </c>
      <c r="K39" s="115">
        <f t="shared" si="12"/>
        <v>499.46397471910115</v>
      </c>
      <c r="L39" s="115">
        <f t="shared" si="12"/>
        <v>605.64374999999995</v>
      </c>
      <c r="M39" s="115">
        <f t="shared" si="12"/>
        <v>499.46397471910115</v>
      </c>
      <c r="N39" s="115">
        <f t="shared" si="12"/>
        <v>605.64374999999995</v>
      </c>
      <c r="O39" s="115">
        <f t="shared" si="12"/>
        <v>499.46397471910115</v>
      </c>
      <c r="P39" s="115">
        <f t="shared" si="12"/>
        <v>605.64374999999995</v>
      </c>
      <c r="Q39" s="115">
        <f t="shared" si="12"/>
        <v>499.46397471910115</v>
      </c>
      <c r="R39" s="115">
        <f t="shared" si="12"/>
        <v>605.64374999999995</v>
      </c>
      <c r="S39" s="115">
        <f t="shared" si="12"/>
        <v>499.46397471910115</v>
      </c>
      <c r="T39" s="115">
        <f t="shared" si="12"/>
        <v>605.64374999999995</v>
      </c>
      <c r="U39" s="115">
        <f t="shared" si="12"/>
        <v>499.46397471910115</v>
      </c>
      <c r="V39" s="115">
        <f t="shared" si="12"/>
        <v>605.64374999999995</v>
      </c>
      <c r="W39" s="115">
        <f t="shared" si="12"/>
        <v>499.46397471910115</v>
      </c>
      <c r="X39" s="115">
        <f t="shared" si="12"/>
        <v>605.64374999999995</v>
      </c>
      <c r="Y39" s="115">
        <f t="shared" si="12"/>
        <v>499.46397471910115</v>
      </c>
      <c r="Z39" s="115">
        <f t="shared" si="12"/>
        <v>605.64374999999995</v>
      </c>
      <c r="AA39" s="115">
        <f t="shared" si="12"/>
        <v>499.46397471910115</v>
      </c>
      <c r="AB39" s="115">
        <f t="shared" si="12"/>
        <v>605.64374999999995</v>
      </c>
      <c r="AC39" s="115">
        <f t="shared" si="12"/>
        <v>499.46397471910115</v>
      </c>
      <c r="AD39" s="115">
        <f t="shared" si="12"/>
        <v>605.64374999999995</v>
      </c>
      <c r="AE39" s="115">
        <f t="shared" si="12"/>
        <v>499.46397471910115</v>
      </c>
      <c r="AF39" s="115">
        <f t="shared" si="12"/>
        <v>605.64374999999995</v>
      </c>
      <c r="AG39" s="115">
        <f t="shared" si="12"/>
        <v>499.46397471910115</v>
      </c>
      <c r="AH39" s="115">
        <f t="shared" si="12"/>
        <v>605.64374999999995</v>
      </c>
      <c r="AI39" s="115">
        <f t="shared" si="12"/>
        <v>499.46397471910115</v>
      </c>
      <c r="AJ39" s="115">
        <f t="shared" si="12"/>
        <v>605.64374999999995</v>
      </c>
      <c r="AK39" s="115">
        <f t="shared" si="12"/>
        <v>499.46397471910115</v>
      </c>
      <c r="AL39" s="115">
        <f t="shared" si="12"/>
        <v>0</v>
      </c>
      <c r="AM39" s="115">
        <f t="shared" si="12"/>
        <v>499.46397471910115</v>
      </c>
      <c r="AN39" s="115">
        <f t="shared" si="12"/>
        <v>0</v>
      </c>
      <c r="AO39" s="115">
        <f t="shared" si="12"/>
        <v>499.46397471910115</v>
      </c>
      <c r="AP39" s="115">
        <f t="shared" si="12"/>
        <v>605.64374999999995</v>
      </c>
      <c r="AQ39" s="115">
        <f t="shared" si="12"/>
        <v>0</v>
      </c>
      <c r="AR39" s="115">
        <f t="shared" si="12"/>
        <v>499.46397471910115</v>
      </c>
      <c r="AS39" s="115">
        <f t="shared" si="12"/>
        <v>605.64374999999995</v>
      </c>
      <c r="AT39" s="115">
        <f t="shared" si="12"/>
        <v>499.46397471910115</v>
      </c>
      <c r="AU39" s="115">
        <f t="shared" si="12"/>
        <v>605.64374999999995</v>
      </c>
      <c r="AV39" s="115">
        <f t="shared" si="12"/>
        <v>499.46397471910115</v>
      </c>
      <c r="AW39" s="115">
        <f t="shared" si="12"/>
        <v>0</v>
      </c>
      <c r="AX39" s="115">
        <f t="shared" si="12"/>
        <v>0</v>
      </c>
      <c r="AY39" s="115">
        <f t="shared" si="12"/>
        <v>499.46397471910115</v>
      </c>
    </row>
    <row r="40" spans="1:52" x14ac:dyDescent="0.25">
      <c r="A40" s="115"/>
      <c r="B40" s="170" t="s">
        <v>347</v>
      </c>
      <c r="C40" s="115"/>
      <c r="D40" s="115">
        <f>D34-D37</f>
        <v>0</v>
      </c>
      <c r="E40" s="115">
        <f t="shared" ref="E40:AY40" si="13">E34-E37</f>
        <v>488.36477528089893</v>
      </c>
      <c r="F40" s="115">
        <f t="shared" si="13"/>
        <v>592.18500000000006</v>
      </c>
      <c r="G40" s="115">
        <f t="shared" si="13"/>
        <v>488.36477528089893</v>
      </c>
      <c r="H40" s="115">
        <f t="shared" si="13"/>
        <v>592.18500000000006</v>
      </c>
      <c r="I40" s="115">
        <f t="shared" si="13"/>
        <v>488.36477528089893</v>
      </c>
      <c r="J40" s="115">
        <f t="shared" si="13"/>
        <v>592.18500000000006</v>
      </c>
      <c r="K40" s="115">
        <f t="shared" si="13"/>
        <v>488.36477528089893</v>
      </c>
      <c r="L40" s="115">
        <f t="shared" si="13"/>
        <v>592.18500000000006</v>
      </c>
      <c r="M40" s="115">
        <f t="shared" si="13"/>
        <v>488.36477528089893</v>
      </c>
      <c r="N40" s="115">
        <f t="shared" si="13"/>
        <v>592.18500000000006</v>
      </c>
      <c r="O40" s="115">
        <f t="shared" si="13"/>
        <v>488.36477528089893</v>
      </c>
      <c r="P40" s="115">
        <f t="shared" si="13"/>
        <v>592.18500000000006</v>
      </c>
      <c r="Q40" s="115">
        <f t="shared" si="13"/>
        <v>488.36477528089893</v>
      </c>
      <c r="R40" s="115">
        <f t="shared" si="13"/>
        <v>592.18500000000006</v>
      </c>
      <c r="S40" s="115">
        <f t="shared" si="13"/>
        <v>488.36477528089893</v>
      </c>
      <c r="T40" s="115">
        <f t="shared" si="13"/>
        <v>592.18500000000006</v>
      </c>
      <c r="U40" s="115">
        <f t="shared" si="13"/>
        <v>488.36477528089893</v>
      </c>
      <c r="V40" s="115">
        <f t="shared" si="13"/>
        <v>592.18500000000006</v>
      </c>
      <c r="W40" s="115">
        <f t="shared" si="13"/>
        <v>488.36477528089893</v>
      </c>
      <c r="X40" s="115">
        <f t="shared" si="13"/>
        <v>592.18500000000006</v>
      </c>
      <c r="Y40" s="115">
        <f t="shared" si="13"/>
        <v>488.36477528089893</v>
      </c>
      <c r="Z40" s="115">
        <f t="shared" si="13"/>
        <v>592.18500000000006</v>
      </c>
      <c r="AA40" s="115">
        <f t="shared" si="13"/>
        <v>488.36477528089893</v>
      </c>
      <c r="AB40" s="115">
        <f t="shared" si="13"/>
        <v>592.18500000000006</v>
      </c>
      <c r="AC40" s="115">
        <f t="shared" si="13"/>
        <v>488.36477528089893</v>
      </c>
      <c r="AD40" s="115">
        <f t="shared" si="13"/>
        <v>592.18500000000006</v>
      </c>
      <c r="AE40" s="115">
        <f t="shared" si="13"/>
        <v>488.36477528089893</v>
      </c>
      <c r="AF40" s="115">
        <f t="shared" si="13"/>
        <v>592.18500000000006</v>
      </c>
      <c r="AG40" s="115">
        <f t="shared" si="13"/>
        <v>488.36477528089893</v>
      </c>
      <c r="AH40" s="115">
        <f t="shared" si="13"/>
        <v>592.18500000000006</v>
      </c>
      <c r="AI40" s="115">
        <f t="shared" si="13"/>
        <v>488.36477528089893</v>
      </c>
      <c r="AJ40" s="115">
        <f t="shared" si="13"/>
        <v>592.18500000000006</v>
      </c>
      <c r="AK40" s="115">
        <f t="shared" si="13"/>
        <v>488.36477528089893</v>
      </c>
      <c r="AL40" s="115">
        <f t="shared" si="13"/>
        <v>0</v>
      </c>
      <c r="AM40" s="115">
        <f t="shared" si="13"/>
        <v>488.36477528089893</v>
      </c>
      <c r="AN40" s="115">
        <f t="shared" si="13"/>
        <v>0</v>
      </c>
      <c r="AO40" s="115">
        <f t="shared" si="13"/>
        <v>488.36477528089893</v>
      </c>
      <c r="AP40" s="115">
        <f t="shared" si="13"/>
        <v>592.18500000000006</v>
      </c>
      <c r="AQ40" s="115">
        <f t="shared" si="13"/>
        <v>0</v>
      </c>
      <c r="AR40" s="115">
        <f t="shared" si="13"/>
        <v>488.36477528089893</v>
      </c>
      <c r="AS40" s="115">
        <f t="shared" si="13"/>
        <v>592.18500000000006</v>
      </c>
      <c r="AT40" s="115">
        <f t="shared" si="13"/>
        <v>488.36477528089893</v>
      </c>
      <c r="AU40" s="115">
        <f t="shared" si="13"/>
        <v>592.18500000000006</v>
      </c>
      <c r="AV40" s="115">
        <f t="shared" si="13"/>
        <v>488.36477528089893</v>
      </c>
      <c r="AW40" s="115">
        <f t="shared" si="13"/>
        <v>0</v>
      </c>
      <c r="AX40" s="115">
        <f t="shared" si="13"/>
        <v>0</v>
      </c>
      <c r="AY40" s="115">
        <f t="shared" si="13"/>
        <v>488.36477528089893</v>
      </c>
    </row>
    <row r="41" spans="1:52" x14ac:dyDescent="0.25">
      <c r="A41" s="115"/>
      <c r="B41" s="170" t="s">
        <v>348</v>
      </c>
      <c r="C41" s="115"/>
      <c r="D41" s="115">
        <v>1</v>
      </c>
      <c r="E41" s="115">
        <v>1</v>
      </c>
      <c r="F41" s="115">
        <v>2</v>
      </c>
      <c r="G41" s="115">
        <v>1</v>
      </c>
      <c r="H41" s="115">
        <v>1</v>
      </c>
      <c r="I41" s="115">
        <v>3</v>
      </c>
      <c r="J41" s="115">
        <v>1</v>
      </c>
      <c r="K41" s="115">
        <v>3</v>
      </c>
      <c r="L41" s="115">
        <v>1</v>
      </c>
      <c r="M41" s="115">
        <v>1</v>
      </c>
      <c r="N41" s="115">
        <v>2</v>
      </c>
      <c r="O41" s="115">
        <v>3</v>
      </c>
      <c r="P41" s="115">
        <v>1</v>
      </c>
      <c r="Q41" s="115">
        <v>1</v>
      </c>
      <c r="R41" s="115">
        <v>2</v>
      </c>
      <c r="S41" s="115">
        <v>2</v>
      </c>
      <c r="T41" s="115">
        <v>1</v>
      </c>
      <c r="U41" s="115">
        <v>2</v>
      </c>
      <c r="V41" s="115">
        <v>2</v>
      </c>
      <c r="W41" s="115">
        <v>1</v>
      </c>
      <c r="X41" s="115">
        <v>2</v>
      </c>
      <c r="Y41" s="115">
        <v>2</v>
      </c>
      <c r="Z41" s="115">
        <v>2</v>
      </c>
      <c r="AA41" s="115">
        <v>1</v>
      </c>
      <c r="AB41" s="115">
        <v>1</v>
      </c>
      <c r="AC41" s="115">
        <v>2</v>
      </c>
      <c r="AD41" s="115">
        <v>3</v>
      </c>
      <c r="AE41" s="115">
        <v>2</v>
      </c>
      <c r="AF41" s="115">
        <v>1</v>
      </c>
      <c r="AG41" s="115">
        <v>3</v>
      </c>
      <c r="AH41" s="115">
        <v>1</v>
      </c>
      <c r="AI41" s="115">
        <v>1</v>
      </c>
      <c r="AJ41" s="115">
        <v>2</v>
      </c>
      <c r="AK41" s="115">
        <v>2</v>
      </c>
      <c r="AL41" s="115">
        <v>1</v>
      </c>
      <c r="AM41" s="115">
        <v>1</v>
      </c>
      <c r="AN41" s="115">
        <v>2</v>
      </c>
      <c r="AO41" s="115">
        <v>1</v>
      </c>
      <c r="AP41" s="115">
        <v>3</v>
      </c>
      <c r="AQ41" s="115">
        <v>2</v>
      </c>
      <c r="AR41" s="115">
        <v>2</v>
      </c>
      <c r="AS41" s="115">
        <v>2</v>
      </c>
      <c r="AT41" s="115">
        <v>1</v>
      </c>
      <c r="AU41" s="115">
        <v>3</v>
      </c>
      <c r="AV41" s="115">
        <v>1</v>
      </c>
      <c r="AW41" s="115">
        <v>1</v>
      </c>
      <c r="AX41" s="115">
        <v>2</v>
      </c>
      <c r="AY41" s="115">
        <v>1</v>
      </c>
    </row>
    <row r="42" spans="1:52" x14ac:dyDescent="0.25">
      <c r="A42" s="115"/>
      <c r="B42" s="183" t="s">
        <v>349</v>
      </c>
      <c r="C42" s="115"/>
      <c r="D42" s="115">
        <v>0</v>
      </c>
      <c r="E42" s="115">
        <v>313740</v>
      </c>
      <c r="F42" s="115">
        <v>0</v>
      </c>
      <c r="G42" s="115">
        <v>313740</v>
      </c>
      <c r="H42" s="115">
        <v>0</v>
      </c>
      <c r="I42" s="115">
        <v>313740</v>
      </c>
      <c r="J42" s="115">
        <v>0</v>
      </c>
      <c r="K42" s="115">
        <v>313740</v>
      </c>
      <c r="L42" s="115">
        <v>0</v>
      </c>
      <c r="M42" s="115">
        <v>313740</v>
      </c>
      <c r="N42" s="115">
        <v>0</v>
      </c>
      <c r="O42" s="115">
        <v>313740</v>
      </c>
      <c r="P42" s="115">
        <v>0</v>
      </c>
      <c r="Q42" s="115">
        <v>313740</v>
      </c>
      <c r="R42" s="115">
        <v>0</v>
      </c>
      <c r="S42" s="115">
        <v>313740</v>
      </c>
      <c r="T42" s="115">
        <v>0</v>
      </c>
      <c r="U42" s="115">
        <v>313740</v>
      </c>
      <c r="V42" s="115">
        <v>0</v>
      </c>
      <c r="W42" s="115">
        <v>313740</v>
      </c>
      <c r="X42" s="115">
        <v>0</v>
      </c>
      <c r="Y42" s="115">
        <v>313740</v>
      </c>
      <c r="Z42" s="115">
        <v>0</v>
      </c>
      <c r="AA42" s="115">
        <v>313740</v>
      </c>
      <c r="AB42" s="115">
        <v>0</v>
      </c>
      <c r="AC42" s="115">
        <v>313740</v>
      </c>
      <c r="AD42" s="115">
        <v>0</v>
      </c>
      <c r="AE42" s="115">
        <v>313740</v>
      </c>
      <c r="AF42" s="115">
        <v>0</v>
      </c>
      <c r="AG42" s="115">
        <v>313740</v>
      </c>
      <c r="AH42" s="115">
        <v>0</v>
      </c>
      <c r="AI42" s="115">
        <v>313740</v>
      </c>
      <c r="AJ42" s="115">
        <v>0</v>
      </c>
      <c r="AK42" s="115">
        <v>313740</v>
      </c>
      <c r="AL42" s="115">
        <v>0</v>
      </c>
      <c r="AM42" s="115">
        <v>313740</v>
      </c>
      <c r="AN42" s="115">
        <v>0</v>
      </c>
      <c r="AO42" s="115">
        <v>313740</v>
      </c>
      <c r="AP42" s="115">
        <v>0</v>
      </c>
      <c r="AQ42" s="115">
        <v>0</v>
      </c>
      <c r="AR42" s="115">
        <v>313740</v>
      </c>
      <c r="AS42" s="115">
        <v>0</v>
      </c>
      <c r="AT42" s="115">
        <v>313740</v>
      </c>
      <c r="AU42" s="115">
        <v>0</v>
      </c>
      <c r="AV42" s="115">
        <v>313740</v>
      </c>
      <c r="AW42" s="115">
        <v>0</v>
      </c>
      <c r="AX42" s="115">
        <v>0</v>
      </c>
      <c r="AY42" s="115">
        <v>313740</v>
      </c>
      <c r="AZ42" s="105">
        <f>SUM($D$42:$AY$42)</f>
        <v>7216020</v>
      </c>
    </row>
    <row r="43" spans="1:52" x14ac:dyDescent="0.25">
      <c r="A43" s="115"/>
      <c r="B43" s="183" t="s">
        <v>350</v>
      </c>
      <c r="C43" s="115"/>
      <c r="D43" s="115">
        <v>0</v>
      </c>
      <c r="E43" s="115">
        <v>799400.41593750019</v>
      </c>
      <c r="F43" s="115">
        <v>969342.91593750019</v>
      </c>
      <c r="G43" s="115">
        <v>799400.41593750019</v>
      </c>
      <c r="H43" s="115">
        <v>969342.91593750019</v>
      </c>
      <c r="I43" s="115">
        <v>799400.41593750019</v>
      </c>
      <c r="J43" s="115">
        <v>969342.91593750019</v>
      </c>
      <c r="K43" s="115">
        <v>799400.41593750019</v>
      </c>
      <c r="L43" s="115">
        <v>969342.91593750019</v>
      </c>
      <c r="M43" s="115">
        <v>799400.41593750019</v>
      </c>
      <c r="N43" s="115">
        <v>969342.91593750019</v>
      </c>
      <c r="O43" s="115">
        <v>799400.41593750019</v>
      </c>
      <c r="P43" s="115">
        <v>969342.91593750019</v>
      </c>
      <c r="Q43" s="115">
        <v>799400.41593750019</v>
      </c>
      <c r="R43" s="115">
        <v>969342.91593750019</v>
      </c>
      <c r="S43" s="115">
        <v>799400.41593750019</v>
      </c>
      <c r="T43" s="115">
        <v>969342.91593750019</v>
      </c>
      <c r="U43" s="115">
        <v>799400.41593750019</v>
      </c>
      <c r="V43" s="115">
        <v>969342.91593750019</v>
      </c>
      <c r="W43" s="115">
        <v>799400.41593750019</v>
      </c>
      <c r="X43" s="115">
        <v>969342.91593750019</v>
      </c>
      <c r="Y43" s="115">
        <v>799400.41593750019</v>
      </c>
      <c r="Z43" s="115">
        <v>969342.91593750019</v>
      </c>
      <c r="AA43" s="115">
        <v>799400.41593750019</v>
      </c>
      <c r="AB43" s="115">
        <v>969342.91593750019</v>
      </c>
      <c r="AC43" s="115">
        <v>799400.41593750019</v>
      </c>
      <c r="AD43" s="115">
        <v>969342.91593750019</v>
      </c>
      <c r="AE43" s="115">
        <v>799400.41593750019</v>
      </c>
      <c r="AF43" s="115">
        <v>969342.91593750019</v>
      </c>
      <c r="AG43" s="115">
        <v>799400.41593750019</v>
      </c>
      <c r="AH43" s="115">
        <v>969342.91593750019</v>
      </c>
      <c r="AI43" s="115">
        <v>799400.41593750019</v>
      </c>
      <c r="AJ43" s="115">
        <v>969342.91593750019</v>
      </c>
      <c r="AK43" s="115">
        <v>799400.41593750019</v>
      </c>
      <c r="AL43" s="115">
        <v>0</v>
      </c>
      <c r="AM43" s="115">
        <v>799400.41593750019</v>
      </c>
      <c r="AN43" s="115">
        <v>0</v>
      </c>
      <c r="AO43" s="115">
        <v>799400.41593750019</v>
      </c>
      <c r="AP43" s="115">
        <v>969342.91593750019</v>
      </c>
      <c r="AQ43" s="115">
        <v>0</v>
      </c>
      <c r="AR43" s="115">
        <v>799400.41593750019</v>
      </c>
      <c r="AS43" s="115">
        <v>969342.91593750019</v>
      </c>
      <c r="AT43" s="115">
        <v>799400.41593750019</v>
      </c>
      <c r="AU43" s="115">
        <v>969342.91593750019</v>
      </c>
      <c r="AV43" s="115">
        <v>799400.41593750019</v>
      </c>
      <c r="AW43" s="115">
        <v>0</v>
      </c>
      <c r="AX43" s="115">
        <v>0</v>
      </c>
      <c r="AY43" s="115">
        <v>799400.41593750019</v>
      </c>
      <c r="AZ43" s="105">
        <f>SUM($D$43:$AY$43)</f>
        <v>36803724.969375037</v>
      </c>
    </row>
    <row r="44" spans="1:52" x14ac:dyDescent="0.25">
      <c r="A44" s="140" t="s">
        <v>59</v>
      </c>
      <c r="B44" s="140" t="s">
        <v>340</v>
      </c>
      <c r="C44" s="129"/>
      <c r="D44" s="129">
        <f>D$21*shipping_manufacturing!$H$28/100</f>
        <v>0</v>
      </c>
      <c r="E44" s="129">
        <f>E$21*shipping_manufacturing!$H$28/100</f>
        <v>1009.40625</v>
      </c>
      <c r="F44" s="129">
        <f>F$21*shipping_manufacturing!$H$28/100</f>
        <v>1009.40625</v>
      </c>
      <c r="G44" s="129">
        <f>G$21*shipping_manufacturing!$H$28/100</f>
        <v>1009.40625</v>
      </c>
      <c r="H44" s="129">
        <f>H$21*shipping_manufacturing!$H$28/100</f>
        <v>1009.40625</v>
      </c>
      <c r="I44" s="129">
        <f>I$21*shipping_manufacturing!$H$28/100</f>
        <v>1009.40625</v>
      </c>
      <c r="J44" s="129">
        <f>J$21*shipping_manufacturing!$H$28/100</f>
        <v>1009.40625</v>
      </c>
      <c r="K44" s="129">
        <f>K$21*shipping_manufacturing!$H$28/100</f>
        <v>1009.40625</v>
      </c>
      <c r="L44" s="129">
        <f>L$21*shipping_manufacturing!$H$28/100</f>
        <v>1009.40625</v>
      </c>
      <c r="M44" s="129">
        <f>M$21*shipping_manufacturing!$H$28/100</f>
        <v>1009.40625</v>
      </c>
      <c r="N44" s="129">
        <f>N$21*shipping_manufacturing!$H$28/100</f>
        <v>1009.40625</v>
      </c>
      <c r="O44" s="129">
        <f>O$21*shipping_manufacturing!$H$28/100</f>
        <v>1009.40625</v>
      </c>
      <c r="P44" s="129">
        <f>P$21*shipping_manufacturing!$H$28/100</f>
        <v>1009.40625</v>
      </c>
      <c r="Q44" s="129">
        <f>Q$21*shipping_manufacturing!$H$28/100</f>
        <v>1009.40625</v>
      </c>
      <c r="R44" s="129">
        <f>R$21*shipping_manufacturing!$H$28/100</f>
        <v>1009.40625</v>
      </c>
      <c r="S44" s="129">
        <f>S$21*shipping_manufacturing!$H$28/100</f>
        <v>1009.40625</v>
      </c>
      <c r="T44" s="129">
        <f>T$21*shipping_manufacturing!$H$28/100</f>
        <v>1009.40625</v>
      </c>
      <c r="U44" s="129">
        <f>U$21*shipping_manufacturing!$H$28/100</f>
        <v>1009.40625</v>
      </c>
      <c r="V44" s="129">
        <f>V$21*shipping_manufacturing!$H$28/100</f>
        <v>1009.40625</v>
      </c>
      <c r="W44" s="129">
        <f>W$21*shipping_manufacturing!$H$28/100</f>
        <v>1009.40625</v>
      </c>
      <c r="X44" s="129">
        <f>X$21*shipping_manufacturing!$H$28/100</f>
        <v>1009.40625</v>
      </c>
      <c r="Y44" s="129">
        <f>Y$21*shipping_manufacturing!$H$28/100</f>
        <v>1009.40625</v>
      </c>
      <c r="Z44" s="129">
        <f>Z$21*shipping_manufacturing!$H$28/100</f>
        <v>1009.40625</v>
      </c>
      <c r="AA44" s="129">
        <f>AA$21*shipping_manufacturing!$H$28/100</f>
        <v>1009.40625</v>
      </c>
      <c r="AB44" s="129">
        <f>AB$21*shipping_manufacturing!$H$28/100</f>
        <v>1009.40625</v>
      </c>
      <c r="AC44" s="129">
        <f>AC$21*shipping_manufacturing!$H$28/100</f>
        <v>1009.40625</v>
      </c>
      <c r="AD44" s="129">
        <f>AD$21*shipping_manufacturing!$H$28/100</f>
        <v>1009.40625</v>
      </c>
      <c r="AE44" s="129">
        <f>AE$21*shipping_manufacturing!$H$28/100</f>
        <v>1009.40625</v>
      </c>
      <c r="AF44" s="129">
        <f>AF$21*shipping_manufacturing!$H$28/100</f>
        <v>1009.40625</v>
      </c>
      <c r="AG44" s="129">
        <f>AG$21*shipping_manufacturing!$H$28/100</f>
        <v>1009.40625</v>
      </c>
      <c r="AH44" s="129">
        <f>AH$21*shipping_manufacturing!$H$28/100</f>
        <v>1009.40625</v>
      </c>
      <c r="AI44" s="129">
        <f>AI$21*shipping_manufacturing!$H$28/100</f>
        <v>1009.40625</v>
      </c>
      <c r="AJ44" s="129">
        <f>AJ$21*shipping_manufacturing!$H$28/100</f>
        <v>1009.40625</v>
      </c>
      <c r="AK44" s="129">
        <f>AK$21*shipping_manufacturing!$H$28/100</f>
        <v>1009.40625</v>
      </c>
      <c r="AL44" s="129">
        <f>AL$21*shipping_manufacturing!$H$28/100</f>
        <v>0</v>
      </c>
      <c r="AM44" s="129">
        <f>AM$21*shipping_manufacturing!$H$28/100</f>
        <v>1009.40625</v>
      </c>
      <c r="AN44" s="129">
        <f>AN$21*shipping_manufacturing!$H$28/100</f>
        <v>0</v>
      </c>
      <c r="AO44" s="129">
        <f>AO$21*shipping_manufacturing!$H$28/100</f>
        <v>1009.40625</v>
      </c>
      <c r="AP44" s="129">
        <f>AP$21*shipping_manufacturing!$H$28/100</f>
        <v>1009.40625</v>
      </c>
      <c r="AQ44" s="129">
        <f>AQ$21*shipping_manufacturing!$H$28/100</f>
        <v>0</v>
      </c>
      <c r="AR44" s="129">
        <f>AR$21*shipping_manufacturing!$H$28/100</f>
        <v>1009.40625</v>
      </c>
      <c r="AS44" s="129">
        <f>AS$21*shipping_manufacturing!$H$28/100</f>
        <v>1009.40625</v>
      </c>
      <c r="AT44" s="129">
        <f>AT$21*shipping_manufacturing!$H$28/100</f>
        <v>1009.40625</v>
      </c>
      <c r="AU44" s="129">
        <f>AU$21*shipping_manufacturing!$H$28/100</f>
        <v>1009.40625</v>
      </c>
      <c r="AV44" s="129">
        <f>AV$21*shipping_manufacturing!$H$28/100</f>
        <v>1009.40625</v>
      </c>
      <c r="AW44" s="129">
        <f>AW$21*shipping_manufacturing!$H$28/100</f>
        <v>0</v>
      </c>
      <c r="AX44" s="129">
        <f>AX$21*shipping_manufacturing!$H$28/100</f>
        <v>0</v>
      </c>
      <c r="AY44" s="129">
        <f>AY$21*shipping_manufacturing!$H$28/100</f>
        <v>1009.40625</v>
      </c>
    </row>
    <row r="45" spans="1:52" x14ac:dyDescent="0.25">
      <c r="A45" s="118" t="s">
        <v>339</v>
      </c>
      <c r="B45" s="170" t="s">
        <v>341</v>
      </c>
      <c r="C45" s="115"/>
      <c r="D45" s="115">
        <f>D$22*shipping_manufacturing!$I$28/100</f>
        <v>0</v>
      </c>
      <c r="E45" s="115">
        <f>E$22*shipping_manufacturing!$I$28/100</f>
        <v>1381.7650000000003</v>
      </c>
      <c r="F45" s="115">
        <f>F$22*shipping_manufacturing!$I$28/100</f>
        <v>1381.7650000000003</v>
      </c>
      <c r="G45" s="115">
        <f>G$22*shipping_manufacturing!$I$28/100</f>
        <v>1381.7650000000003</v>
      </c>
      <c r="H45" s="115">
        <f>H$22*shipping_manufacturing!$I$28/100</f>
        <v>1381.7650000000003</v>
      </c>
      <c r="I45" s="115">
        <f>I$22*shipping_manufacturing!$I$28/100</f>
        <v>1381.7650000000003</v>
      </c>
      <c r="J45" s="115">
        <f>J$22*shipping_manufacturing!$I$28/100</f>
        <v>1381.7650000000003</v>
      </c>
      <c r="K45" s="115">
        <f>K$22*shipping_manufacturing!$I$28/100</f>
        <v>1381.7650000000003</v>
      </c>
      <c r="L45" s="115">
        <f>L$22*shipping_manufacturing!$I$28/100</f>
        <v>1381.7650000000003</v>
      </c>
      <c r="M45" s="115">
        <f>M$22*shipping_manufacturing!$I$28/100</f>
        <v>1381.7650000000003</v>
      </c>
      <c r="N45" s="115">
        <f>N$22*shipping_manufacturing!$I$28/100</f>
        <v>1381.7650000000003</v>
      </c>
      <c r="O45" s="115">
        <f>O$22*shipping_manufacturing!$I$28/100</f>
        <v>1381.7650000000003</v>
      </c>
      <c r="P45" s="115">
        <f>P$22*shipping_manufacturing!$I$28/100</f>
        <v>1381.7650000000003</v>
      </c>
      <c r="Q45" s="115">
        <f>Q$22*shipping_manufacturing!$I$28/100</f>
        <v>1381.7650000000003</v>
      </c>
      <c r="R45" s="115">
        <f>R$22*shipping_manufacturing!$I$28/100</f>
        <v>1381.7650000000003</v>
      </c>
      <c r="S45" s="115">
        <f>S$22*shipping_manufacturing!$I$28/100</f>
        <v>1381.7650000000003</v>
      </c>
      <c r="T45" s="115">
        <f>T$22*shipping_manufacturing!$I$28/100</f>
        <v>1381.7650000000003</v>
      </c>
      <c r="U45" s="115">
        <f>U$22*shipping_manufacturing!$I$28/100</f>
        <v>1381.7650000000003</v>
      </c>
      <c r="V45" s="115">
        <f>V$22*shipping_manufacturing!$I$28/100</f>
        <v>1381.7650000000003</v>
      </c>
      <c r="W45" s="115">
        <f>W$22*shipping_manufacturing!$I$28/100</f>
        <v>1381.7650000000003</v>
      </c>
      <c r="X45" s="115">
        <f>X$22*shipping_manufacturing!$I$28/100</f>
        <v>1381.7650000000003</v>
      </c>
      <c r="Y45" s="115">
        <f>Y$22*shipping_manufacturing!$I$28/100</f>
        <v>1381.7650000000003</v>
      </c>
      <c r="Z45" s="115">
        <f>Z$22*shipping_manufacturing!$I$28/100</f>
        <v>1381.7650000000003</v>
      </c>
      <c r="AA45" s="115">
        <f>AA$22*shipping_manufacturing!$I$28/100</f>
        <v>1381.7650000000003</v>
      </c>
      <c r="AB45" s="115">
        <f>AB$22*shipping_manufacturing!$I$28/100</f>
        <v>1381.7650000000003</v>
      </c>
      <c r="AC45" s="115">
        <f>AC$22*shipping_manufacturing!$I$28/100</f>
        <v>1381.7650000000003</v>
      </c>
      <c r="AD45" s="115">
        <f>AD$22*shipping_manufacturing!$I$28/100</f>
        <v>1381.7650000000003</v>
      </c>
      <c r="AE45" s="115">
        <f>AE$22*shipping_manufacturing!$I$28/100</f>
        <v>1381.7650000000003</v>
      </c>
      <c r="AF45" s="115">
        <f>AF$22*shipping_manufacturing!$I$28/100</f>
        <v>1381.7650000000003</v>
      </c>
      <c r="AG45" s="115">
        <f>AG$22*shipping_manufacturing!$I$28/100</f>
        <v>1381.7650000000003</v>
      </c>
      <c r="AH45" s="115">
        <f>AH$22*shipping_manufacturing!$I$28/100</f>
        <v>1381.7650000000003</v>
      </c>
      <c r="AI45" s="115">
        <f>AI$22*shipping_manufacturing!$I$28/100</f>
        <v>1381.7650000000003</v>
      </c>
      <c r="AJ45" s="115">
        <f>AJ$22*shipping_manufacturing!$I$28/100</f>
        <v>1381.7650000000003</v>
      </c>
      <c r="AK45" s="115">
        <f>AK$22*shipping_manufacturing!$I$28/100</f>
        <v>1381.7650000000003</v>
      </c>
      <c r="AL45" s="115">
        <f>AL$22*shipping_manufacturing!$I$28/100</f>
        <v>0</v>
      </c>
      <c r="AM45" s="115">
        <f>AM$22*shipping_manufacturing!$I$28/100</f>
        <v>1381.7650000000003</v>
      </c>
      <c r="AN45" s="115">
        <f>AN$22*shipping_manufacturing!$I$28/100</f>
        <v>0</v>
      </c>
      <c r="AO45" s="115">
        <f>AO$22*shipping_manufacturing!$I$28/100</f>
        <v>1381.7650000000003</v>
      </c>
      <c r="AP45" s="115">
        <f>AP$22*shipping_manufacturing!$I$28/100</f>
        <v>1381.7650000000003</v>
      </c>
      <c r="AQ45" s="115">
        <f>AQ$22*shipping_manufacturing!$I$28/100</f>
        <v>0</v>
      </c>
      <c r="AR45" s="115">
        <f>AR$22*shipping_manufacturing!$I$28/100</f>
        <v>1381.7650000000003</v>
      </c>
      <c r="AS45" s="115">
        <f>AS$22*shipping_manufacturing!$I$28/100</f>
        <v>1381.7650000000003</v>
      </c>
      <c r="AT45" s="115">
        <f>AT$22*shipping_manufacturing!$I$28/100</f>
        <v>1381.7650000000003</v>
      </c>
      <c r="AU45" s="115">
        <f>AU$22*shipping_manufacturing!$I$28/100</f>
        <v>1381.7650000000003</v>
      </c>
      <c r="AV45" s="115">
        <f>AV$22*shipping_manufacturing!$I$28/100</f>
        <v>1381.7650000000003</v>
      </c>
      <c r="AW45" s="115">
        <f>AW$22*shipping_manufacturing!$I$28/100</f>
        <v>0</v>
      </c>
      <c r="AX45" s="115">
        <f>AX$22*shipping_manufacturing!$I$28/100</f>
        <v>0</v>
      </c>
      <c r="AY45" s="115">
        <f>AY$22*shipping_manufacturing!$I$28/100</f>
        <v>1381.7650000000003</v>
      </c>
    </row>
    <row r="46" spans="1:52" x14ac:dyDescent="0.25">
      <c r="A46" s="115">
        <v>495</v>
      </c>
      <c r="B46" s="170" t="s">
        <v>342</v>
      </c>
      <c r="C46" s="115"/>
      <c r="D46" s="115">
        <f>SUM(D44:D45)</f>
        <v>0</v>
      </c>
      <c r="E46" s="115">
        <f t="shared" ref="E46:AY46" si="14">SUM(E44:E45)</f>
        <v>2391.1712500000003</v>
      </c>
      <c r="F46" s="115">
        <f t="shared" si="14"/>
        <v>2391.1712500000003</v>
      </c>
      <c r="G46" s="115">
        <f t="shared" si="14"/>
        <v>2391.1712500000003</v>
      </c>
      <c r="H46" s="115">
        <f t="shared" si="14"/>
        <v>2391.1712500000003</v>
      </c>
      <c r="I46" s="115">
        <f t="shared" si="14"/>
        <v>2391.1712500000003</v>
      </c>
      <c r="J46" s="115">
        <f t="shared" si="14"/>
        <v>2391.1712500000003</v>
      </c>
      <c r="K46" s="115">
        <f t="shared" si="14"/>
        <v>2391.1712500000003</v>
      </c>
      <c r="L46" s="115">
        <f t="shared" si="14"/>
        <v>2391.1712500000003</v>
      </c>
      <c r="M46" s="115">
        <f t="shared" si="14"/>
        <v>2391.1712500000003</v>
      </c>
      <c r="N46" s="115">
        <f t="shared" si="14"/>
        <v>2391.1712500000003</v>
      </c>
      <c r="O46" s="115">
        <f t="shared" si="14"/>
        <v>2391.1712500000003</v>
      </c>
      <c r="P46" s="115">
        <f t="shared" si="14"/>
        <v>2391.1712500000003</v>
      </c>
      <c r="Q46" s="115">
        <f t="shared" si="14"/>
        <v>2391.1712500000003</v>
      </c>
      <c r="R46" s="115">
        <f t="shared" si="14"/>
        <v>2391.1712500000003</v>
      </c>
      <c r="S46" s="115">
        <f t="shared" si="14"/>
        <v>2391.1712500000003</v>
      </c>
      <c r="T46" s="115">
        <f t="shared" si="14"/>
        <v>2391.1712500000003</v>
      </c>
      <c r="U46" s="115">
        <f t="shared" si="14"/>
        <v>2391.1712500000003</v>
      </c>
      <c r="V46" s="115">
        <f t="shared" si="14"/>
        <v>2391.1712500000003</v>
      </c>
      <c r="W46" s="115">
        <f t="shared" si="14"/>
        <v>2391.1712500000003</v>
      </c>
      <c r="X46" s="115">
        <f t="shared" si="14"/>
        <v>2391.1712500000003</v>
      </c>
      <c r="Y46" s="115">
        <f t="shared" si="14"/>
        <v>2391.1712500000003</v>
      </c>
      <c r="Z46" s="115">
        <f t="shared" si="14"/>
        <v>2391.1712500000003</v>
      </c>
      <c r="AA46" s="115">
        <f t="shared" si="14"/>
        <v>2391.1712500000003</v>
      </c>
      <c r="AB46" s="115">
        <f t="shared" si="14"/>
        <v>2391.1712500000003</v>
      </c>
      <c r="AC46" s="115">
        <f t="shared" si="14"/>
        <v>2391.1712500000003</v>
      </c>
      <c r="AD46" s="115">
        <f t="shared" si="14"/>
        <v>2391.1712500000003</v>
      </c>
      <c r="AE46" s="115">
        <f t="shared" si="14"/>
        <v>2391.1712500000003</v>
      </c>
      <c r="AF46" s="115">
        <f t="shared" si="14"/>
        <v>2391.1712500000003</v>
      </c>
      <c r="AG46" s="115">
        <f t="shared" si="14"/>
        <v>2391.1712500000003</v>
      </c>
      <c r="AH46" s="115">
        <f t="shared" si="14"/>
        <v>2391.1712500000003</v>
      </c>
      <c r="AI46" s="115">
        <f t="shared" si="14"/>
        <v>2391.1712500000003</v>
      </c>
      <c r="AJ46" s="115">
        <f t="shared" si="14"/>
        <v>2391.1712500000003</v>
      </c>
      <c r="AK46" s="115">
        <f t="shared" si="14"/>
        <v>2391.1712500000003</v>
      </c>
      <c r="AL46" s="115">
        <f t="shared" si="14"/>
        <v>0</v>
      </c>
      <c r="AM46" s="115">
        <f t="shared" si="14"/>
        <v>2391.1712500000003</v>
      </c>
      <c r="AN46" s="115">
        <f t="shared" si="14"/>
        <v>0</v>
      </c>
      <c r="AO46" s="115">
        <f t="shared" si="14"/>
        <v>2391.1712500000003</v>
      </c>
      <c r="AP46" s="115">
        <f t="shared" si="14"/>
        <v>2391.1712500000003</v>
      </c>
      <c r="AQ46" s="115">
        <f t="shared" si="14"/>
        <v>0</v>
      </c>
      <c r="AR46" s="115">
        <f t="shared" si="14"/>
        <v>2391.1712500000003</v>
      </c>
      <c r="AS46" s="115">
        <f t="shared" si="14"/>
        <v>2391.1712500000003</v>
      </c>
      <c r="AT46" s="115">
        <f t="shared" si="14"/>
        <v>2391.1712500000003</v>
      </c>
      <c r="AU46" s="115">
        <f t="shared" si="14"/>
        <v>2391.1712500000003</v>
      </c>
      <c r="AV46" s="115">
        <f t="shared" si="14"/>
        <v>2391.1712500000003</v>
      </c>
      <c r="AW46" s="115">
        <f t="shared" si="14"/>
        <v>0</v>
      </c>
      <c r="AX46" s="115">
        <f t="shared" si="14"/>
        <v>0</v>
      </c>
      <c r="AY46" s="115">
        <f t="shared" si="14"/>
        <v>2391.1712500000003</v>
      </c>
    </row>
    <row r="47" spans="1:52" x14ac:dyDescent="0.25">
      <c r="A47" s="115"/>
      <c r="B47" s="170" t="s">
        <v>343</v>
      </c>
      <c r="C47" s="115"/>
      <c r="D47" s="115"/>
      <c r="E47" s="115">
        <v>582.55159474671655</v>
      </c>
      <c r="F47" s="115"/>
      <c r="G47" s="115">
        <v>582.55159474671655</v>
      </c>
      <c r="H47" s="115"/>
      <c r="I47" s="115">
        <v>582.55159474671655</v>
      </c>
      <c r="J47" s="115"/>
      <c r="K47" s="115">
        <v>582.55159474671655</v>
      </c>
      <c r="L47" s="115"/>
      <c r="M47" s="115">
        <v>582.55159474671655</v>
      </c>
      <c r="N47" s="115"/>
      <c r="O47" s="115">
        <v>582.55159474671655</v>
      </c>
      <c r="P47" s="115"/>
      <c r="Q47" s="115">
        <v>582.55159474671655</v>
      </c>
      <c r="R47" s="115"/>
      <c r="S47" s="115">
        <v>582.55159474671655</v>
      </c>
      <c r="T47" s="115"/>
      <c r="U47" s="115">
        <v>582.55159474671655</v>
      </c>
      <c r="V47" s="115"/>
      <c r="W47" s="115">
        <v>582.55159474671655</v>
      </c>
      <c r="X47" s="115"/>
      <c r="Y47" s="115">
        <v>582.55159474671655</v>
      </c>
      <c r="Z47" s="115"/>
      <c r="AA47" s="115">
        <v>582.55159474671655</v>
      </c>
      <c r="AB47" s="115"/>
      <c r="AC47" s="115">
        <v>582.55159474671655</v>
      </c>
      <c r="AD47" s="115"/>
      <c r="AE47" s="115">
        <v>582.55159474671655</v>
      </c>
      <c r="AF47" s="115"/>
      <c r="AG47" s="115">
        <v>582.55159474671655</v>
      </c>
      <c r="AH47" s="115"/>
      <c r="AI47" s="115">
        <v>582.55159474671655</v>
      </c>
      <c r="AJ47" s="115"/>
      <c r="AK47" s="115">
        <v>582.55159474671655</v>
      </c>
      <c r="AL47" s="115"/>
      <c r="AM47" s="115">
        <v>582.55159474671655</v>
      </c>
      <c r="AN47" s="115"/>
      <c r="AO47" s="115">
        <v>582.55159474671655</v>
      </c>
      <c r="AP47" s="115"/>
      <c r="AQ47" s="115"/>
      <c r="AR47" s="115">
        <v>582.55159474671655</v>
      </c>
      <c r="AS47" s="115"/>
      <c r="AT47" s="115">
        <v>582.55159474671655</v>
      </c>
      <c r="AU47" s="115"/>
      <c r="AV47" s="115">
        <v>582.55159474671655</v>
      </c>
      <c r="AW47" s="115"/>
      <c r="AX47" s="115"/>
      <c r="AY47" s="115">
        <v>582.55159474671655</v>
      </c>
    </row>
    <row r="48" spans="1:52" x14ac:dyDescent="0.25">
      <c r="A48" s="115"/>
      <c r="B48" s="170" t="s">
        <v>344</v>
      </c>
      <c r="C48" s="115"/>
      <c r="D48" s="115"/>
      <c r="E48" s="115">
        <v>797.44840525328402</v>
      </c>
      <c r="F48" s="115"/>
      <c r="G48" s="115">
        <v>797.44840525328402</v>
      </c>
      <c r="H48" s="115"/>
      <c r="I48" s="115">
        <v>797.44840525328402</v>
      </c>
      <c r="J48" s="115"/>
      <c r="K48" s="115">
        <v>797.44840525328402</v>
      </c>
      <c r="L48" s="115"/>
      <c r="M48" s="115">
        <v>797.44840525328402</v>
      </c>
      <c r="N48" s="115"/>
      <c r="O48" s="115">
        <v>797.44840525328402</v>
      </c>
      <c r="P48" s="115"/>
      <c r="Q48" s="115">
        <v>797.44840525328402</v>
      </c>
      <c r="R48" s="115"/>
      <c r="S48" s="115">
        <v>797.44840525328402</v>
      </c>
      <c r="T48" s="115"/>
      <c r="U48" s="115">
        <v>797.44840525328402</v>
      </c>
      <c r="V48" s="115"/>
      <c r="W48" s="115">
        <v>797.44840525328402</v>
      </c>
      <c r="X48" s="115"/>
      <c r="Y48" s="115">
        <v>797.44840525328402</v>
      </c>
      <c r="Z48" s="115"/>
      <c r="AA48" s="115">
        <v>797.44840525328402</v>
      </c>
      <c r="AB48" s="115"/>
      <c r="AC48" s="115">
        <v>797.44840525328402</v>
      </c>
      <c r="AD48" s="115"/>
      <c r="AE48" s="115">
        <v>797.44840525328402</v>
      </c>
      <c r="AF48" s="115"/>
      <c r="AG48" s="115">
        <v>797.44840525328402</v>
      </c>
      <c r="AH48" s="115"/>
      <c r="AI48" s="115">
        <v>797.44840525328402</v>
      </c>
      <c r="AJ48" s="115"/>
      <c r="AK48" s="115">
        <v>797.44840525328402</v>
      </c>
      <c r="AL48" s="115"/>
      <c r="AM48" s="115">
        <v>797.44840525328402</v>
      </c>
      <c r="AN48" s="115"/>
      <c r="AO48" s="115">
        <v>797.44840525328402</v>
      </c>
      <c r="AP48" s="115"/>
      <c r="AQ48" s="115"/>
      <c r="AR48" s="115">
        <v>797.44840525328402</v>
      </c>
      <c r="AS48" s="115"/>
      <c r="AT48" s="115">
        <v>797.44840525328402</v>
      </c>
      <c r="AU48" s="115"/>
      <c r="AV48" s="115">
        <v>797.44840525328402</v>
      </c>
      <c r="AW48" s="115"/>
      <c r="AX48" s="115"/>
      <c r="AY48" s="115">
        <v>797.44840525328402</v>
      </c>
    </row>
    <row r="49" spans="1:52" x14ac:dyDescent="0.25">
      <c r="A49" s="115"/>
      <c r="B49" s="170" t="s">
        <v>345</v>
      </c>
      <c r="C49" s="115"/>
      <c r="D49" s="115"/>
      <c r="E49" s="115">
        <v>46</v>
      </c>
      <c r="F49" s="115"/>
      <c r="G49" s="115">
        <v>46</v>
      </c>
      <c r="H49" s="115"/>
      <c r="I49" s="115">
        <v>46</v>
      </c>
      <c r="J49" s="115"/>
      <c r="K49" s="115">
        <v>46</v>
      </c>
      <c r="L49" s="115"/>
      <c r="M49" s="115">
        <v>46</v>
      </c>
      <c r="N49" s="115"/>
      <c r="O49" s="115">
        <v>46</v>
      </c>
      <c r="P49" s="115"/>
      <c r="Q49" s="115">
        <v>46</v>
      </c>
      <c r="R49" s="115"/>
      <c r="S49" s="115">
        <v>46</v>
      </c>
      <c r="T49" s="115"/>
      <c r="U49" s="115">
        <v>46</v>
      </c>
      <c r="V49" s="115"/>
      <c r="W49" s="115">
        <v>46</v>
      </c>
      <c r="X49" s="115"/>
      <c r="Y49" s="115">
        <v>46</v>
      </c>
      <c r="Z49" s="115"/>
      <c r="AA49" s="115">
        <v>46</v>
      </c>
      <c r="AB49" s="115"/>
      <c r="AC49" s="115">
        <v>46</v>
      </c>
      <c r="AD49" s="115"/>
      <c r="AE49" s="115">
        <v>46</v>
      </c>
      <c r="AF49" s="115"/>
      <c r="AG49" s="115">
        <v>46</v>
      </c>
      <c r="AH49" s="115"/>
      <c r="AI49" s="115">
        <v>46</v>
      </c>
      <c r="AJ49" s="115"/>
      <c r="AK49" s="115">
        <v>46</v>
      </c>
      <c r="AL49" s="115"/>
      <c r="AM49" s="115">
        <v>46</v>
      </c>
      <c r="AN49" s="115"/>
      <c r="AO49" s="115">
        <v>46</v>
      </c>
      <c r="AP49" s="115"/>
      <c r="AQ49" s="115"/>
      <c r="AR49" s="115">
        <v>46</v>
      </c>
      <c r="AS49" s="115"/>
      <c r="AT49" s="115">
        <v>46</v>
      </c>
      <c r="AU49" s="115"/>
      <c r="AV49" s="115">
        <v>46</v>
      </c>
      <c r="AW49" s="115"/>
      <c r="AX49" s="115"/>
      <c r="AY49" s="115">
        <v>46</v>
      </c>
    </row>
    <row r="50" spans="1:52" x14ac:dyDescent="0.25">
      <c r="A50" s="115"/>
      <c r="B50" s="170" t="s">
        <v>346</v>
      </c>
      <c r="C50" s="115"/>
      <c r="D50" s="115">
        <f>D44-D47</f>
        <v>0</v>
      </c>
      <c r="E50" s="115">
        <f t="shared" ref="E50:AY50" si="15">E44-E47</f>
        <v>426.85465525328345</v>
      </c>
      <c r="F50" s="115">
        <f t="shared" si="15"/>
        <v>1009.40625</v>
      </c>
      <c r="G50" s="115">
        <f t="shared" si="15"/>
        <v>426.85465525328345</v>
      </c>
      <c r="H50" s="115">
        <f t="shared" si="15"/>
        <v>1009.40625</v>
      </c>
      <c r="I50" s="115">
        <f t="shared" si="15"/>
        <v>426.85465525328345</v>
      </c>
      <c r="J50" s="115">
        <f t="shared" si="15"/>
        <v>1009.40625</v>
      </c>
      <c r="K50" s="115">
        <f t="shared" si="15"/>
        <v>426.85465525328345</v>
      </c>
      <c r="L50" s="115">
        <f t="shared" si="15"/>
        <v>1009.40625</v>
      </c>
      <c r="M50" s="115">
        <f t="shared" si="15"/>
        <v>426.85465525328345</v>
      </c>
      <c r="N50" s="115">
        <f t="shared" si="15"/>
        <v>1009.40625</v>
      </c>
      <c r="O50" s="115">
        <f t="shared" si="15"/>
        <v>426.85465525328345</v>
      </c>
      <c r="P50" s="115">
        <f t="shared" si="15"/>
        <v>1009.40625</v>
      </c>
      <c r="Q50" s="115">
        <f t="shared" si="15"/>
        <v>426.85465525328345</v>
      </c>
      <c r="R50" s="115">
        <f t="shared" si="15"/>
        <v>1009.40625</v>
      </c>
      <c r="S50" s="115">
        <f t="shared" si="15"/>
        <v>426.85465525328345</v>
      </c>
      <c r="T50" s="115">
        <f t="shared" si="15"/>
        <v>1009.40625</v>
      </c>
      <c r="U50" s="115">
        <f t="shared" si="15"/>
        <v>426.85465525328345</v>
      </c>
      <c r="V50" s="115">
        <f t="shared" si="15"/>
        <v>1009.40625</v>
      </c>
      <c r="W50" s="115">
        <f t="shared" si="15"/>
        <v>426.85465525328345</v>
      </c>
      <c r="X50" s="115">
        <f t="shared" si="15"/>
        <v>1009.40625</v>
      </c>
      <c r="Y50" s="115">
        <f t="shared" si="15"/>
        <v>426.85465525328345</v>
      </c>
      <c r="Z50" s="115">
        <f t="shared" si="15"/>
        <v>1009.40625</v>
      </c>
      <c r="AA50" s="115">
        <f t="shared" si="15"/>
        <v>426.85465525328345</v>
      </c>
      <c r="AB50" s="115">
        <f t="shared" si="15"/>
        <v>1009.40625</v>
      </c>
      <c r="AC50" s="115">
        <f t="shared" si="15"/>
        <v>426.85465525328345</v>
      </c>
      <c r="AD50" s="115">
        <f t="shared" si="15"/>
        <v>1009.40625</v>
      </c>
      <c r="AE50" s="115">
        <f t="shared" si="15"/>
        <v>426.85465525328345</v>
      </c>
      <c r="AF50" s="115">
        <f t="shared" si="15"/>
        <v>1009.40625</v>
      </c>
      <c r="AG50" s="115">
        <f t="shared" si="15"/>
        <v>426.85465525328345</v>
      </c>
      <c r="AH50" s="115">
        <f t="shared" si="15"/>
        <v>1009.40625</v>
      </c>
      <c r="AI50" s="115">
        <f t="shared" si="15"/>
        <v>426.85465525328345</v>
      </c>
      <c r="AJ50" s="115">
        <f t="shared" si="15"/>
        <v>1009.40625</v>
      </c>
      <c r="AK50" s="115">
        <f t="shared" si="15"/>
        <v>426.85465525328345</v>
      </c>
      <c r="AL50" s="115">
        <f t="shared" si="15"/>
        <v>0</v>
      </c>
      <c r="AM50" s="115">
        <f t="shared" si="15"/>
        <v>426.85465525328345</v>
      </c>
      <c r="AN50" s="115">
        <f t="shared" si="15"/>
        <v>0</v>
      </c>
      <c r="AO50" s="115">
        <f t="shared" si="15"/>
        <v>426.85465525328345</v>
      </c>
      <c r="AP50" s="115">
        <f t="shared" si="15"/>
        <v>1009.40625</v>
      </c>
      <c r="AQ50" s="115">
        <f t="shared" si="15"/>
        <v>0</v>
      </c>
      <c r="AR50" s="115">
        <f t="shared" si="15"/>
        <v>426.85465525328345</v>
      </c>
      <c r="AS50" s="115">
        <f t="shared" si="15"/>
        <v>1009.40625</v>
      </c>
      <c r="AT50" s="115">
        <f t="shared" si="15"/>
        <v>426.85465525328345</v>
      </c>
      <c r="AU50" s="115">
        <f t="shared" si="15"/>
        <v>1009.40625</v>
      </c>
      <c r="AV50" s="115">
        <f t="shared" si="15"/>
        <v>426.85465525328345</v>
      </c>
      <c r="AW50" s="115">
        <f t="shared" si="15"/>
        <v>0</v>
      </c>
      <c r="AX50" s="115">
        <f t="shared" si="15"/>
        <v>0</v>
      </c>
      <c r="AY50" s="115">
        <f t="shared" si="15"/>
        <v>426.85465525328345</v>
      </c>
    </row>
    <row r="51" spans="1:52" x14ac:dyDescent="0.25">
      <c r="A51" s="115"/>
      <c r="B51" s="170" t="s">
        <v>347</v>
      </c>
      <c r="C51" s="115"/>
      <c r="D51" s="115">
        <f>D45-D48</f>
        <v>0</v>
      </c>
      <c r="E51" s="115">
        <f t="shared" ref="E51:AY51" si="16">E45-E48</f>
        <v>584.31659474671631</v>
      </c>
      <c r="F51" s="115">
        <f t="shared" si="16"/>
        <v>1381.7650000000003</v>
      </c>
      <c r="G51" s="115">
        <f t="shared" si="16"/>
        <v>584.31659474671631</v>
      </c>
      <c r="H51" s="115">
        <f t="shared" si="16"/>
        <v>1381.7650000000003</v>
      </c>
      <c r="I51" s="115">
        <f t="shared" si="16"/>
        <v>584.31659474671631</v>
      </c>
      <c r="J51" s="115">
        <f t="shared" si="16"/>
        <v>1381.7650000000003</v>
      </c>
      <c r="K51" s="115">
        <f t="shared" si="16"/>
        <v>584.31659474671631</v>
      </c>
      <c r="L51" s="115">
        <f t="shared" si="16"/>
        <v>1381.7650000000003</v>
      </c>
      <c r="M51" s="115">
        <f t="shared" si="16"/>
        <v>584.31659474671631</v>
      </c>
      <c r="N51" s="115">
        <f t="shared" si="16"/>
        <v>1381.7650000000003</v>
      </c>
      <c r="O51" s="115">
        <f t="shared" si="16"/>
        <v>584.31659474671631</v>
      </c>
      <c r="P51" s="115">
        <f t="shared" si="16"/>
        <v>1381.7650000000003</v>
      </c>
      <c r="Q51" s="115">
        <f t="shared" si="16"/>
        <v>584.31659474671631</v>
      </c>
      <c r="R51" s="115">
        <f t="shared" si="16"/>
        <v>1381.7650000000003</v>
      </c>
      <c r="S51" s="115">
        <f t="shared" si="16"/>
        <v>584.31659474671631</v>
      </c>
      <c r="T51" s="115">
        <f t="shared" si="16"/>
        <v>1381.7650000000003</v>
      </c>
      <c r="U51" s="115">
        <f t="shared" si="16"/>
        <v>584.31659474671631</v>
      </c>
      <c r="V51" s="115">
        <f t="shared" si="16"/>
        <v>1381.7650000000003</v>
      </c>
      <c r="W51" s="115">
        <f t="shared" si="16"/>
        <v>584.31659474671631</v>
      </c>
      <c r="X51" s="115">
        <f t="shared" si="16"/>
        <v>1381.7650000000003</v>
      </c>
      <c r="Y51" s="115">
        <f t="shared" si="16"/>
        <v>584.31659474671631</v>
      </c>
      <c r="Z51" s="115">
        <f t="shared" si="16"/>
        <v>1381.7650000000003</v>
      </c>
      <c r="AA51" s="115">
        <f t="shared" si="16"/>
        <v>584.31659474671631</v>
      </c>
      <c r="AB51" s="115">
        <f t="shared" si="16"/>
        <v>1381.7650000000003</v>
      </c>
      <c r="AC51" s="115">
        <f t="shared" si="16"/>
        <v>584.31659474671631</v>
      </c>
      <c r="AD51" s="115">
        <f t="shared" si="16"/>
        <v>1381.7650000000003</v>
      </c>
      <c r="AE51" s="115">
        <f t="shared" si="16"/>
        <v>584.31659474671631</v>
      </c>
      <c r="AF51" s="115">
        <f t="shared" si="16"/>
        <v>1381.7650000000003</v>
      </c>
      <c r="AG51" s="115">
        <f t="shared" si="16"/>
        <v>584.31659474671631</v>
      </c>
      <c r="AH51" s="115">
        <f t="shared" si="16"/>
        <v>1381.7650000000003</v>
      </c>
      <c r="AI51" s="115">
        <f t="shared" si="16"/>
        <v>584.31659474671631</v>
      </c>
      <c r="AJ51" s="115">
        <f t="shared" si="16"/>
        <v>1381.7650000000003</v>
      </c>
      <c r="AK51" s="115">
        <f t="shared" si="16"/>
        <v>584.31659474671631</v>
      </c>
      <c r="AL51" s="115">
        <f t="shared" si="16"/>
        <v>0</v>
      </c>
      <c r="AM51" s="115">
        <f t="shared" si="16"/>
        <v>584.31659474671631</v>
      </c>
      <c r="AN51" s="115">
        <f t="shared" si="16"/>
        <v>0</v>
      </c>
      <c r="AO51" s="115">
        <f t="shared" si="16"/>
        <v>584.31659474671631</v>
      </c>
      <c r="AP51" s="115">
        <f t="shared" si="16"/>
        <v>1381.7650000000003</v>
      </c>
      <c r="AQ51" s="115">
        <f t="shared" si="16"/>
        <v>0</v>
      </c>
      <c r="AR51" s="115">
        <f t="shared" si="16"/>
        <v>584.31659474671631</v>
      </c>
      <c r="AS51" s="115">
        <f t="shared" si="16"/>
        <v>1381.7650000000003</v>
      </c>
      <c r="AT51" s="115">
        <f t="shared" si="16"/>
        <v>584.31659474671631</v>
      </c>
      <c r="AU51" s="115">
        <f t="shared" si="16"/>
        <v>1381.7650000000003</v>
      </c>
      <c r="AV51" s="115">
        <f t="shared" si="16"/>
        <v>584.31659474671631</v>
      </c>
      <c r="AW51" s="115">
        <f t="shared" si="16"/>
        <v>0</v>
      </c>
      <c r="AX51" s="115">
        <f t="shared" si="16"/>
        <v>0</v>
      </c>
      <c r="AY51" s="115">
        <f t="shared" si="16"/>
        <v>584.31659474671631</v>
      </c>
    </row>
    <row r="52" spans="1:52" x14ac:dyDescent="0.25">
      <c r="A52" s="115"/>
      <c r="B52" s="170" t="s">
        <v>348</v>
      </c>
      <c r="C52" s="115"/>
      <c r="D52" s="115">
        <v>2</v>
      </c>
      <c r="E52" s="115">
        <v>1</v>
      </c>
      <c r="F52" s="115">
        <v>2</v>
      </c>
      <c r="G52" s="115">
        <v>1</v>
      </c>
      <c r="H52" s="115">
        <v>3</v>
      </c>
      <c r="I52" s="115">
        <v>2</v>
      </c>
      <c r="J52" s="115">
        <v>1</v>
      </c>
      <c r="K52" s="115">
        <v>1</v>
      </c>
      <c r="L52" s="115">
        <v>1</v>
      </c>
      <c r="M52" s="115">
        <v>1</v>
      </c>
      <c r="N52" s="115">
        <v>1</v>
      </c>
      <c r="O52" s="115">
        <v>1</v>
      </c>
      <c r="P52" s="115">
        <v>1</v>
      </c>
      <c r="Q52" s="115">
        <v>2</v>
      </c>
      <c r="R52" s="115">
        <v>1</v>
      </c>
      <c r="S52" s="115">
        <v>1</v>
      </c>
      <c r="T52" s="115">
        <v>1</v>
      </c>
      <c r="U52" s="115">
        <v>1</v>
      </c>
      <c r="V52" s="115">
        <v>1</v>
      </c>
      <c r="W52" s="115">
        <v>2</v>
      </c>
      <c r="X52" s="115">
        <v>2</v>
      </c>
      <c r="Y52" s="115">
        <v>1</v>
      </c>
      <c r="Z52" s="115">
        <v>2</v>
      </c>
      <c r="AA52" s="115">
        <v>1</v>
      </c>
      <c r="AB52" s="115">
        <v>1</v>
      </c>
      <c r="AC52" s="115">
        <v>1</v>
      </c>
      <c r="AD52" s="115">
        <v>1</v>
      </c>
      <c r="AE52" s="115">
        <v>1</v>
      </c>
      <c r="AF52" s="115">
        <v>1</v>
      </c>
      <c r="AG52" s="115">
        <v>2</v>
      </c>
      <c r="AH52" s="115">
        <v>1</v>
      </c>
      <c r="AI52" s="115">
        <v>1</v>
      </c>
      <c r="AJ52" s="115">
        <v>3</v>
      </c>
      <c r="AK52" s="115">
        <v>2</v>
      </c>
      <c r="AL52" s="115">
        <v>1</v>
      </c>
      <c r="AM52" s="115">
        <v>3</v>
      </c>
      <c r="AN52" s="115">
        <v>1</v>
      </c>
      <c r="AO52" s="115">
        <v>1</v>
      </c>
      <c r="AP52" s="115">
        <v>1</v>
      </c>
      <c r="AQ52" s="115">
        <v>2</v>
      </c>
      <c r="AR52" s="115">
        <v>2</v>
      </c>
      <c r="AS52" s="115">
        <v>2</v>
      </c>
      <c r="AT52" s="115">
        <v>1</v>
      </c>
      <c r="AU52" s="115">
        <v>1</v>
      </c>
      <c r="AV52" s="115">
        <v>3</v>
      </c>
      <c r="AW52" s="115">
        <v>1</v>
      </c>
      <c r="AX52" s="115">
        <v>1</v>
      </c>
      <c r="AY52" s="115">
        <v>2</v>
      </c>
    </row>
    <row r="53" spans="1:52" x14ac:dyDescent="0.25">
      <c r="A53" s="115"/>
      <c r="B53" s="183" t="s">
        <v>349</v>
      </c>
      <c r="C53" s="115"/>
      <c r="D53" s="115">
        <v>0</v>
      </c>
      <c r="E53" s="115">
        <v>819720</v>
      </c>
      <c r="F53" s="115">
        <v>0</v>
      </c>
      <c r="G53" s="115">
        <v>819720</v>
      </c>
      <c r="H53" s="115">
        <v>0</v>
      </c>
      <c r="I53" s="115">
        <v>819720</v>
      </c>
      <c r="J53" s="115">
        <v>0</v>
      </c>
      <c r="K53" s="115">
        <v>819720</v>
      </c>
      <c r="L53" s="115">
        <v>0</v>
      </c>
      <c r="M53" s="115">
        <v>819720</v>
      </c>
      <c r="N53" s="115">
        <v>0</v>
      </c>
      <c r="O53" s="115">
        <v>819720</v>
      </c>
      <c r="P53" s="115">
        <v>0</v>
      </c>
      <c r="Q53" s="115">
        <v>819720</v>
      </c>
      <c r="R53" s="115">
        <v>0</v>
      </c>
      <c r="S53" s="115">
        <v>819720</v>
      </c>
      <c r="T53" s="115">
        <v>0</v>
      </c>
      <c r="U53" s="115">
        <v>819720</v>
      </c>
      <c r="V53" s="115">
        <v>0</v>
      </c>
      <c r="W53" s="115">
        <v>819720</v>
      </c>
      <c r="X53" s="115">
        <v>0</v>
      </c>
      <c r="Y53" s="115">
        <v>819720</v>
      </c>
      <c r="Z53" s="115">
        <v>0</v>
      </c>
      <c r="AA53" s="115">
        <v>819720</v>
      </c>
      <c r="AB53" s="115">
        <v>0</v>
      </c>
      <c r="AC53" s="115">
        <v>819720</v>
      </c>
      <c r="AD53" s="115">
        <v>0</v>
      </c>
      <c r="AE53" s="115">
        <v>819720</v>
      </c>
      <c r="AF53" s="115">
        <v>0</v>
      </c>
      <c r="AG53" s="115">
        <v>819720</v>
      </c>
      <c r="AH53" s="115">
        <v>0</v>
      </c>
      <c r="AI53" s="115">
        <v>819720</v>
      </c>
      <c r="AJ53" s="115">
        <v>0</v>
      </c>
      <c r="AK53" s="115">
        <v>819720</v>
      </c>
      <c r="AL53" s="115">
        <v>0</v>
      </c>
      <c r="AM53" s="115">
        <v>819720</v>
      </c>
      <c r="AN53" s="115">
        <v>0</v>
      </c>
      <c r="AO53" s="115">
        <v>819720</v>
      </c>
      <c r="AP53" s="115">
        <v>0</v>
      </c>
      <c r="AQ53" s="115">
        <v>0</v>
      </c>
      <c r="AR53" s="115">
        <v>819720</v>
      </c>
      <c r="AS53" s="115">
        <v>0</v>
      </c>
      <c r="AT53" s="115">
        <v>819720</v>
      </c>
      <c r="AU53" s="115">
        <v>0</v>
      </c>
      <c r="AV53" s="115">
        <v>819720</v>
      </c>
      <c r="AW53" s="115">
        <v>0</v>
      </c>
      <c r="AX53" s="115">
        <v>0</v>
      </c>
      <c r="AY53" s="115">
        <v>819720</v>
      </c>
      <c r="AZ53" s="105">
        <f>SUM($D$53:$AY$53)</f>
        <v>18853560</v>
      </c>
    </row>
    <row r="54" spans="1:52" x14ac:dyDescent="0.25">
      <c r="A54" s="130"/>
      <c r="B54" s="145" t="s">
        <v>350</v>
      </c>
      <c r="C54" s="130"/>
      <c r="D54" s="130">
        <v>0</v>
      </c>
      <c r="E54" s="130">
        <v>325344.34968749993</v>
      </c>
      <c r="F54" s="130">
        <v>769359.34968750004</v>
      </c>
      <c r="G54" s="130">
        <v>325344.34968749993</v>
      </c>
      <c r="H54" s="130">
        <v>769359.34968750004</v>
      </c>
      <c r="I54" s="130">
        <v>325344.34968749993</v>
      </c>
      <c r="J54" s="130">
        <v>769359.34968750004</v>
      </c>
      <c r="K54" s="130">
        <v>325344.34968749993</v>
      </c>
      <c r="L54" s="130">
        <v>769359.34968750004</v>
      </c>
      <c r="M54" s="130">
        <v>325344.34968749993</v>
      </c>
      <c r="N54" s="130">
        <v>769359.34968750004</v>
      </c>
      <c r="O54" s="130">
        <v>325344.34968749993</v>
      </c>
      <c r="P54" s="130">
        <v>769359.34968750004</v>
      </c>
      <c r="Q54" s="130">
        <v>325344.34968749993</v>
      </c>
      <c r="R54" s="130">
        <v>769359.34968750004</v>
      </c>
      <c r="S54" s="130">
        <v>325344.34968749993</v>
      </c>
      <c r="T54" s="130">
        <v>769359.34968750004</v>
      </c>
      <c r="U54" s="130">
        <v>325344.34968749993</v>
      </c>
      <c r="V54" s="130">
        <v>769359.34968750004</v>
      </c>
      <c r="W54" s="130">
        <v>325344.34968749993</v>
      </c>
      <c r="X54" s="130">
        <v>769359.34968750004</v>
      </c>
      <c r="Y54" s="130">
        <v>325344.34968749993</v>
      </c>
      <c r="Z54" s="130">
        <v>769359.34968750004</v>
      </c>
      <c r="AA54" s="130">
        <v>325344.34968749993</v>
      </c>
      <c r="AB54" s="130">
        <v>769359.34968750004</v>
      </c>
      <c r="AC54" s="130">
        <v>325344.34968749993</v>
      </c>
      <c r="AD54" s="130">
        <v>769359.34968750004</v>
      </c>
      <c r="AE54" s="130">
        <v>325344.34968749993</v>
      </c>
      <c r="AF54" s="130">
        <v>769359.34968750004</v>
      </c>
      <c r="AG54" s="130">
        <v>325344.34968749993</v>
      </c>
      <c r="AH54" s="130">
        <v>769359.34968750004</v>
      </c>
      <c r="AI54" s="130">
        <v>325344.34968749993</v>
      </c>
      <c r="AJ54" s="130">
        <v>769359.34968750004</v>
      </c>
      <c r="AK54" s="130">
        <v>325344.34968749993</v>
      </c>
      <c r="AL54" s="130">
        <v>0</v>
      </c>
      <c r="AM54" s="130">
        <v>325344.34968749993</v>
      </c>
      <c r="AN54" s="130">
        <v>0</v>
      </c>
      <c r="AO54" s="130">
        <v>325344.34968749993</v>
      </c>
      <c r="AP54" s="130">
        <v>769359.34968750004</v>
      </c>
      <c r="AQ54" s="130">
        <v>0</v>
      </c>
      <c r="AR54" s="130">
        <v>325344.34968749993</v>
      </c>
      <c r="AS54" s="130">
        <v>769359.34968750004</v>
      </c>
      <c r="AT54" s="130">
        <v>325344.34968749993</v>
      </c>
      <c r="AU54" s="130">
        <v>769359.34968750004</v>
      </c>
      <c r="AV54" s="130">
        <v>325344.34968749993</v>
      </c>
      <c r="AW54" s="130">
        <v>0</v>
      </c>
      <c r="AX54" s="130">
        <v>0</v>
      </c>
      <c r="AY54" s="130">
        <v>325344.34968749993</v>
      </c>
      <c r="AZ54" s="105">
        <f>SUM($D$54:$AY$54)</f>
        <v>22100747.686875015</v>
      </c>
    </row>
  </sheetData>
  <pageMargins left="0.75" right="0.75" top="1" bottom="1" header="0.5" footer="0.5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8" activePane="bottomRight" state="frozen"/>
      <selection pane="topRight"/>
      <selection pane="bottomLeft"/>
      <selection pane="bottomRight"/>
    </sheetView>
  </sheetViews>
  <sheetFormatPr defaultRowHeight="13.2" x14ac:dyDescent="0.25"/>
  <cols>
    <col min="1" max="1" width="14.6640625" style="105" customWidth="1"/>
    <col min="2" max="2" width="12.6640625" style="105" customWidth="1"/>
    <col min="3" max="16384" width="8.88671875" style="105"/>
  </cols>
  <sheetData>
    <row r="1" spans="1:53" x14ac:dyDescent="0.25">
      <c r="A1" s="107" t="s">
        <v>283</v>
      </c>
    </row>
    <row r="2" spans="1:53" x14ac:dyDescent="0.25">
      <c r="A2" s="105" t="s">
        <v>284</v>
      </c>
      <c r="B2" s="112" t="s">
        <v>22</v>
      </c>
    </row>
    <row r="3" spans="1:53" x14ac:dyDescent="0.25">
      <c r="A3" s="105" t="s">
        <v>285</v>
      </c>
      <c r="B3" s="113">
        <v>50000</v>
      </c>
      <c r="C3" s="114"/>
    </row>
    <row r="4" spans="1:53" x14ac:dyDescent="0.25">
      <c r="B4" s="115"/>
      <c r="C4" s="115"/>
    </row>
    <row r="5" spans="1:53" x14ac:dyDescent="0.25">
      <c r="C5" s="116" t="s">
        <v>286</v>
      </c>
    </row>
    <row r="6" spans="1:53" x14ac:dyDescent="0.25">
      <c r="C6" s="117">
        <v>0</v>
      </c>
      <c r="D6" s="117">
        <v>1</v>
      </c>
      <c r="E6" s="117">
        <v>2</v>
      </c>
      <c r="F6" s="117">
        <v>3</v>
      </c>
      <c r="G6" s="117">
        <v>4</v>
      </c>
      <c r="H6" s="117">
        <v>5</v>
      </c>
      <c r="I6" s="117">
        <v>6</v>
      </c>
      <c r="J6" s="117">
        <v>7</v>
      </c>
      <c r="K6" s="117">
        <v>8</v>
      </c>
      <c r="L6" s="117">
        <v>9</v>
      </c>
      <c r="M6" s="117">
        <v>10</v>
      </c>
      <c r="N6" s="117">
        <v>11</v>
      </c>
      <c r="O6" s="117">
        <v>12</v>
      </c>
      <c r="P6" s="117">
        <v>13</v>
      </c>
      <c r="Q6" s="117">
        <v>14</v>
      </c>
      <c r="R6" s="117">
        <v>15</v>
      </c>
      <c r="S6" s="117">
        <v>16</v>
      </c>
      <c r="T6" s="117">
        <v>17</v>
      </c>
      <c r="U6" s="117">
        <v>18</v>
      </c>
      <c r="V6" s="117">
        <v>19</v>
      </c>
      <c r="W6" s="117">
        <v>20</v>
      </c>
      <c r="X6" s="117">
        <v>21</v>
      </c>
      <c r="Y6" s="117">
        <v>22</v>
      </c>
      <c r="Z6" s="117">
        <v>23</v>
      </c>
      <c r="AA6" s="117">
        <v>24</v>
      </c>
      <c r="AB6" s="117">
        <v>25</v>
      </c>
      <c r="AC6" s="117">
        <v>26</v>
      </c>
      <c r="AD6" s="117">
        <v>27</v>
      </c>
      <c r="AE6" s="117">
        <v>28</v>
      </c>
      <c r="AF6" s="117">
        <v>29</v>
      </c>
      <c r="AG6" s="117">
        <v>30</v>
      </c>
      <c r="AH6" s="117">
        <v>31</v>
      </c>
      <c r="AI6" s="117">
        <v>32</v>
      </c>
      <c r="AJ6" s="117">
        <v>33</v>
      </c>
      <c r="AK6" s="117">
        <v>34</v>
      </c>
      <c r="AL6" s="117">
        <v>35</v>
      </c>
      <c r="AM6" s="117">
        <v>36</v>
      </c>
      <c r="AN6" s="117">
        <v>37</v>
      </c>
      <c r="AO6" s="117">
        <v>38</v>
      </c>
      <c r="AP6" s="117">
        <v>39</v>
      </c>
      <c r="AQ6" s="117">
        <v>40</v>
      </c>
      <c r="AR6" s="117">
        <v>41</v>
      </c>
      <c r="AS6" s="117">
        <v>42</v>
      </c>
      <c r="AT6" s="117">
        <v>43</v>
      </c>
      <c r="AU6" s="117">
        <v>44</v>
      </c>
      <c r="AV6" s="117">
        <v>45</v>
      </c>
      <c r="AW6" s="117">
        <v>46</v>
      </c>
      <c r="AX6" s="117">
        <v>47</v>
      </c>
      <c r="AY6" s="117">
        <v>48</v>
      </c>
    </row>
    <row r="7" spans="1:53" x14ac:dyDescent="0.25">
      <c r="B7" s="115"/>
      <c r="C7" s="118" t="s">
        <v>287</v>
      </c>
      <c r="D7" s="117" t="s">
        <v>288</v>
      </c>
      <c r="E7" s="117" t="s">
        <v>288</v>
      </c>
      <c r="F7" s="117" t="s">
        <v>288</v>
      </c>
      <c r="G7" s="117" t="s">
        <v>288</v>
      </c>
      <c r="H7" s="117" t="s">
        <v>288</v>
      </c>
      <c r="I7" s="117" t="s">
        <v>288</v>
      </c>
      <c r="J7" s="117" t="s">
        <v>288</v>
      </c>
      <c r="K7" s="117" t="s">
        <v>288</v>
      </c>
      <c r="L7" s="117" t="s">
        <v>288</v>
      </c>
      <c r="M7" s="117" t="s">
        <v>288</v>
      </c>
      <c r="N7" s="117" t="s">
        <v>288</v>
      </c>
      <c r="O7" s="117" t="s">
        <v>288</v>
      </c>
      <c r="P7" s="117" t="s">
        <v>288</v>
      </c>
      <c r="Q7" s="117" t="s">
        <v>288</v>
      </c>
      <c r="R7" s="117" t="s">
        <v>288</v>
      </c>
      <c r="S7" s="117" t="s">
        <v>288</v>
      </c>
      <c r="T7" s="117" t="s">
        <v>288</v>
      </c>
      <c r="U7" s="117" t="s">
        <v>288</v>
      </c>
      <c r="V7" s="117" t="s">
        <v>288</v>
      </c>
      <c r="W7" s="117" t="s">
        <v>288</v>
      </c>
      <c r="X7" s="117" t="s">
        <v>288</v>
      </c>
      <c r="Y7" s="117" t="s">
        <v>288</v>
      </c>
      <c r="Z7" s="117" t="s">
        <v>288</v>
      </c>
      <c r="AA7" s="117" t="s">
        <v>288</v>
      </c>
      <c r="AB7" s="117" t="s">
        <v>288</v>
      </c>
      <c r="AC7" s="117" t="s">
        <v>288</v>
      </c>
      <c r="AD7" s="117" t="s">
        <v>288</v>
      </c>
      <c r="AE7" s="117" t="s">
        <v>288</v>
      </c>
      <c r="AF7" s="117" t="s">
        <v>288</v>
      </c>
      <c r="AG7" s="117" t="s">
        <v>288</v>
      </c>
      <c r="AH7" s="117" t="s">
        <v>288</v>
      </c>
      <c r="AI7" s="117" t="s">
        <v>288</v>
      </c>
      <c r="AJ7" s="117" t="s">
        <v>288</v>
      </c>
      <c r="AK7" s="117" t="s">
        <v>288</v>
      </c>
      <c r="AL7" s="117" t="s">
        <v>288</v>
      </c>
      <c r="AM7" s="117" t="s">
        <v>288</v>
      </c>
      <c r="AN7" s="117" t="s">
        <v>288</v>
      </c>
      <c r="AO7" s="117" t="s">
        <v>288</v>
      </c>
      <c r="AP7" s="117" t="s">
        <v>288</v>
      </c>
      <c r="AQ7" s="117" t="s">
        <v>288</v>
      </c>
      <c r="AR7" s="117" t="s">
        <v>288</v>
      </c>
      <c r="AS7" s="117" t="s">
        <v>288</v>
      </c>
      <c r="AT7" s="117" t="s">
        <v>288</v>
      </c>
      <c r="AU7" s="117" t="s">
        <v>288</v>
      </c>
      <c r="AV7" s="117" t="s">
        <v>288</v>
      </c>
      <c r="AW7" s="117" t="s">
        <v>288</v>
      </c>
      <c r="AX7" s="117" t="s">
        <v>288</v>
      </c>
      <c r="AY7" s="116" t="s">
        <v>289</v>
      </c>
      <c r="AZ7" s="116" t="s">
        <v>290</v>
      </c>
    </row>
    <row r="8" spans="1:53" x14ac:dyDescent="0.25">
      <c r="A8" s="107" t="s">
        <v>291</v>
      </c>
      <c r="B8" s="119"/>
      <c r="AY8" s="115"/>
    </row>
    <row r="9" spans="1:53" x14ac:dyDescent="0.25">
      <c r="A9" s="120" t="s">
        <v>125</v>
      </c>
      <c r="B9" s="121">
        <v>1</v>
      </c>
      <c r="C9" s="122" t="s">
        <v>292</v>
      </c>
      <c r="D9" s="122">
        <v>0</v>
      </c>
      <c r="E9" s="122">
        <v>0</v>
      </c>
      <c r="F9" s="122">
        <v>0</v>
      </c>
      <c r="G9" s="122">
        <v>0</v>
      </c>
      <c r="H9" s="122">
        <v>0</v>
      </c>
      <c r="I9" s="122">
        <v>0</v>
      </c>
      <c r="J9" s="122">
        <v>0</v>
      </c>
      <c r="K9" s="122">
        <v>0</v>
      </c>
      <c r="L9" s="122">
        <v>0</v>
      </c>
      <c r="M9" s="122">
        <v>0</v>
      </c>
      <c r="N9" s="122">
        <v>0</v>
      </c>
      <c r="O9" s="122">
        <v>0</v>
      </c>
      <c r="P9" s="122">
        <v>0</v>
      </c>
      <c r="Q9" s="122">
        <v>0</v>
      </c>
      <c r="R9" s="122">
        <v>0</v>
      </c>
      <c r="S9" s="122">
        <v>0</v>
      </c>
      <c r="T9" s="122">
        <v>0</v>
      </c>
      <c r="U9" s="122">
        <v>0</v>
      </c>
      <c r="V9" s="122">
        <v>0</v>
      </c>
      <c r="W9" s="122">
        <v>0</v>
      </c>
      <c r="X9" s="122">
        <v>0</v>
      </c>
      <c r="Y9" s="122">
        <v>0</v>
      </c>
      <c r="Z9" s="122">
        <v>0</v>
      </c>
      <c r="AA9" s="122">
        <v>0</v>
      </c>
      <c r="AB9" s="122">
        <v>0</v>
      </c>
      <c r="AC9" s="122">
        <v>0</v>
      </c>
      <c r="AD9" s="122">
        <v>0</v>
      </c>
      <c r="AE9" s="122">
        <v>0</v>
      </c>
      <c r="AF9" s="122">
        <v>0</v>
      </c>
      <c r="AG9" s="122">
        <v>0</v>
      </c>
      <c r="AH9" s="122">
        <v>0</v>
      </c>
      <c r="AI9" s="122">
        <v>0</v>
      </c>
      <c r="AJ9" s="122">
        <v>0</v>
      </c>
      <c r="AK9" s="122">
        <v>0</v>
      </c>
      <c r="AL9" s="122">
        <v>0</v>
      </c>
      <c r="AM9" s="122">
        <v>0</v>
      </c>
      <c r="AN9" s="122">
        <v>0</v>
      </c>
      <c r="AO9" s="122">
        <v>0</v>
      </c>
      <c r="AP9" s="122">
        <v>0</v>
      </c>
      <c r="AQ9" s="122">
        <v>0</v>
      </c>
      <c r="AR9" s="122">
        <v>0</v>
      </c>
      <c r="AS9" s="122">
        <v>0</v>
      </c>
      <c r="AT9" s="122">
        <v>0</v>
      </c>
      <c r="AU9" s="122">
        <v>0</v>
      </c>
      <c r="AV9" s="122">
        <v>0</v>
      </c>
      <c r="AW9" s="122">
        <v>0</v>
      </c>
      <c r="AX9" s="122">
        <v>0</v>
      </c>
      <c r="AY9" s="122">
        <v>0</v>
      </c>
    </row>
    <row r="10" spans="1:53" x14ac:dyDescent="0.25">
      <c r="A10" s="123" t="s">
        <v>133</v>
      </c>
      <c r="B10" s="124">
        <v>1</v>
      </c>
      <c r="C10" s="111" t="s">
        <v>292</v>
      </c>
      <c r="E10" s="105">
        <v>0</v>
      </c>
      <c r="F10" s="105">
        <v>748.23749999999995</v>
      </c>
      <c r="G10" s="105">
        <v>58.21875</v>
      </c>
      <c r="H10" s="105">
        <v>748.23749999999995</v>
      </c>
      <c r="I10" s="105">
        <v>605.64374999999995</v>
      </c>
      <c r="J10" s="105">
        <v>248.77352528089881</v>
      </c>
      <c r="K10" s="105">
        <v>663.86249999999995</v>
      </c>
      <c r="L10" s="105">
        <v>248.77352528089881</v>
      </c>
      <c r="M10" s="105">
        <v>690.01874999999995</v>
      </c>
      <c r="N10" s="105">
        <v>748.23749999999995</v>
      </c>
      <c r="O10" s="105">
        <v>84.375</v>
      </c>
      <c r="P10" s="105">
        <v>248.77352528089881</v>
      </c>
      <c r="Q10" s="105">
        <v>663.86249999999995</v>
      </c>
      <c r="R10" s="105">
        <v>748.23749999999995</v>
      </c>
      <c r="S10" s="105">
        <v>142.59375</v>
      </c>
      <c r="T10" s="105">
        <v>248.77352528089881</v>
      </c>
      <c r="U10" s="105">
        <v>748.23749999999995</v>
      </c>
      <c r="V10" s="105">
        <v>248.77352528089881</v>
      </c>
      <c r="W10" s="105">
        <v>84.375</v>
      </c>
      <c r="X10" s="105">
        <v>748.23749999999995</v>
      </c>
      <c r="Y10" s="105">
        <v>58.21875</v>
      </c>
      <c r="Z10" s="105">
        <v>248.77352528089881</v>
      </c>
      <c r="AA10" s="105">
        <v>142.59375</v>
      </c>
      <c r="AB10" s="105">
        <v>748.23749999999995</v>
      </c>
      <c r="AC10" s="105">
        <v>690.01874999999995</v>
      </c>
      <c r="AD10" s="105">
        <v>248.77352528089881</v>
      </c>
      <c r="AE10" s="105">
        <v>142.59375</v>
      </c>
      <c r="AF10" s="105">
        <v>248.77352528089881</v>
      </c>
      <c r="AG10" s="105">
        <v>748.23749999999995</v>
      </c>
      <c r="AH10" s="105">
        <v>248.77352528089881</v>
      </c>
      <c r="AI10" s="105">
        <v>605.64374999999995</v>
      </c>
      <c r="AJ10" s="105">
        <v>748.23749999999995</v>
      </c>
      <c r="AK10" s="105">
        <v>0</v>
      </c>
      <c r="AL10" s="105">
        <v>248.77352528089881</v>
      </c>
      <c r="AM10" s="105">
        <v>84.375</v>
      </c>
      <c r="AN10" s="105">
        <v>748.23749999999995</v>
      </c>
      <c r="AO10" s="105">
        <v>84.375</v>
      </c>
      <c r="AP10" s="105">
        <v>690.01874999999995</v>
      </c>
      <c r="AQ10" s="105">
        <v>142.59375</v>
      </c>
      <c r="AR10" s="105">
        <v>58.21875</v>
      </c>
      <c r="AS10" s="105">
        <v>190.55477528089881</v>
      </c>
      <c r="AT10" s="105">
        <v>142.59375</v>
      </c>
      <c r="AU10" s="105">
        <v>748.23749999999995</v>
      </c>
      <c r="AV10" s="105">
        <v>142.59375</v>
      </c>
      <c r="AW10" s="105">
        <v>690.01874999999995</v>
      </c>
      <c r="AX10" s="105">
        <v>142.59375</v>
      </c>
      <c r="AY10" s="105">
        <v>142.59375</v>
      </c>
      <c r="AZ10" s="105">
        <v>748.23749999999995</v>
      </c>
    </row>
    <row r="11" spans="1:53" x14ac:dyDescent="0.25">
      <c r="B11" s="124">
        <v>2</v>
      </c>
      <c r="C11" s="111" t="s">
        <v>292</v>
      </c>
      <c r="F11" s="105">
        <v>0</v>
      </c>
      <c r="G11" s="105">
        <v>0</v>
      </c>
      <c r="H11" s="105">
        <v>690.01874999999995</v>
      </c>
      <c r="I11" s="105">
        <v>0</v>
      </c>
      <c r="J11" s="105">
        <v>58.21875</v>
      </c>
      <c r="K11" s="105">
        <v>0</v>
      </c>
      <c r="L11" s="105">
        <v>84.375</v>
      </c>
      <c r="M11" s="105">
        <v>0</v>
      </c>
      <c r="N11" s="105">
        <v>58.21875</v>
      </c>
      <c r="O11" s="105">
        <v>0</v>
      </c>
      <c r="P11" s="105">
        <v>663.86249999999995</v>
      </c>
      <c r="Q11" s="105">
        <v>0</v>
      </c>
      <c r="S11" s="105">
        <v>0</v>
      </c>
      <c r="T11" s="105">
        <v>605.64374999999995</v>
      </c>
      <c r="U11" s="105">
        <v>499.46397471910115</v>
      </c>
      <c r="W11" s="105">
        <v>499.46397471910115</v>
      </c>
      <c r="X11" s="105">
        <v>663.86249999999995</v>
      </c>
      <c r="Z11" s="105">
        <v>605.64374999999995</v>
      </c>
      <c r="AA11" s="105">
        <v>499.46397471910115</v>
      </c>
      <c r="AB11" s="105">
        <v>605.64374999999995</v>
      </c>
      <c r="AC11" s="105">
        <v>0</v>
      </c>
      <c r="AD11" s="105">
        <v>58.21875</v>
      </c>
      <c r="AE11" s="105">
        <v>499.46397471910115</v>
      </c>
      <c r="AG11" s="105">
        <v>499.46397471910115</v>
      </c>
      <c r="AI11" s="105">
        <v>0</v>
      </c>
      <c r="AJ11" s="105">
        <v>84.375</v>
      </c>
      <c r="AL11" s="105">
        <v>748.23749999999995</v>
      </c>
      <c r="AM11" s="105">
        <v>499.46397471910115</v>
      </c>
      <c r="AN11" s="105">
        <v>58.21875</v>
      </c>
      <c r="AP11" s="105">
        <v>58.21875</v>
      </c>
      <c r="AQ11" s="105">
        <v>0</v>
      </c>
      <c r="AS11" s="105">
        <v>0</v>
      </c>
      <c r="AT11" s="105">
        <v>499.46397471910115</v>
      </c>
      <c r="AU11" s="105">
        <v>605.64374999999995</v>
      </c>
      <c r="AW11" s="105">
        <v>0</v>
      </c>
      <c r="AX11" s="105">
        <v>58.21875</v>
      </c>
      <c r="AZ11" s="105">
        <v>0</v>
      </c>
    </row>
    <row r="12" spans="1:53" x14ac:dyDescent="0.25">
      <c r="B12" s="125">
        <v>3</v>
      </c>
      <c r="C12" s="111" t="s">
        <v>292</v>
      </c>
      <c r="L12" s="105">
        <v>499.46397471910115</v>
      </c>
      <c r="N12" s="105">
        <v>499.46397471910115</v>
      </c>
      <c r="R12" s="105">
        <v>499.46397471910115</v>
      </c>
      <c r="S12" s="105">
        <v>84.375</v>
      </c>
      <c r="AA12" s="105">
        <v>84.375</v>
      </c>
      <c r="AF12" s="105">
        <v>0</v>
      </c>
      <c r="AG12" s="105">
        <v>605.64374999999995</v>
      </c>
      <c r="AJ12" s="105">
        <v>499.46397471910115</v>
      </c>
      <c r="AK12" s="105">
        <v>58.21875</v>
      </c>
      <c r="AN12" s="105">
        <v>0</v>
      </c>
      <c r="AP12" s="105">
        <v>0</v>
      </c>
      <c r="AS12" s="105">
        <v>605.64374999999995</v>
      </c>
      <c r="AX12" s="105">
        <v>605.64374999999995</v>
      </c>
    </row>
    <row r="13" spans="1:53" x14ac:dyDescent="0.25">
      <c r="B13" s="125">
        <v>4</v>
      </c>
      <c r="C13" s="111" t="s">
        <v>292</v>
      </c>
    </row>
    <row r="14" spans="1:53" x14ac:dyDescent="0.25">
      <c r="A14" s="120" t="s">
        <v>134</v>
      </c>
      <c r="B14" s="126">
        <v>1</v>
      </c>
      <c r="C14" s="122" t="s">
        <v>292</v>
      </c>
      <c r="D14" s="122"/>
      <c r="E14" s="122">
        <f t="shared" ref="E14:AZ14" si="0">D$172*SUM(D$122:D$169)</f>
        <v>0</v>
      </c>
      <c r="F14" s="122">
        <f t="shared" si="0"/>
        <v>0</v>
      </c>
      <c r="G14" s="122">
        <f t="shared" si="0"/>
        <v>256.06350000000003</v>
      </c>
      <c r="H14" s="122">
        <f t="shared" si="0"/>
        <v>135.61502500000003</v>
      </c>
      <c r="I14" s="122">
        <f t="shared" si="0"/>
        <v>535.90301625000006</v>
      </c>
      <c r="J14" s="122">
        <f t="shared" si="0"/>
        <v>500.30171056250003</v>
      </c>
      <c r="K14" s="122">
        <f t="shared" si="0"/>
        <v>377.05569051731044</v>
      </c>
      <c r="L14" s="122">
        <f t="shared" si="0"/>
        <v>427.8246988362518</v>
      </c>
      <c r="M14" s="122">
        <f t="shared" si="0"/>
        <v>516.12455424356369</v>
      </c>
      <c r="N14" s="122">
        <f t="shared" si="0"/>
        <v>508.9707102583165</v>
      </c>
      <c r="O14" s="122">
        <f t="shared" si="0"/>
        <v>723.84588301622045</v>
      </c>
      <c r="P14" s="122">
        <f t="shared" si="0"/>
        <v>444.07482396054331</v>
      </c>
      <c r="Q14" s="122">
        <f t="shared" si="0"/>
        <v>548.12296422603856</v>
      </c>
      <c r="R14" s="122">
        <f t="shared" si="0"/>
        <v>506.81842674692513</v>
      </c>
      <c r="S14" s="122">
        <f t="shared" si="0"/>
        <v>679.42314873381599</v>
      </c>
      <c r="T14" s="122">
        <f t="shared" si="0"/>
        <v>455.24879667698036</v>
      </c>
      <c r="U14" s="122">
        <f t="shared" si="0"/>
        <v>512.71229649172267</v>
      </c>
      <c r="V14" s="122">
        <f t="shared" si="0"/>
        <v>667.1541640679344</v>
      </c>
      <c r="W14" s="122">
        <f t="shared" si="0"/>
        <v>438.28603529584274</v>
      </c>
      <c r="X14" s="122">
        <f t="shared" si="0"/>
        <v>410.83859429061243</v>
      </c>
      <c r="Y14" s="122">
        <f t="shared" si="0"/>
        <v>656.49708628889812</v>
      </c>
      <c r="Z14" s="122">
        <f t="shared" si="0"/>
        <v>325.19685608778383</v>
      </c>
      <c r="AA14" s="122">
        <f t="shared" si="0"/>
        <v>389.32853510874497</v>
      </c>
      <c r="AB14" s="122">
        <f t="shared" si="0"/>
        <v>374.26496916899879</v>
      </c>
      <c r="AC14" s="122">
        <f t="shared" si="0"/>
        <v>575.7004799598493</v>
      </c>
      <c r="AD14" s="122">
        <f t="shared" si="0"/>
        <v>485.39506197390205</v>
      </c>
      <c r="AE14" s="122">
        <f t="shared" si="0"/>
        <v>298.06636893472177</v>
      </c>
      <c r="AF14" s="122">
        <f t="shared" si="0"/>
        <v>243.71956115588375</v>
      </c>
      <c r="AG14" s="122">
        <f t="shared" si="0"/>
        <v>110.55354340300988</v>
      </c>
      <c r="AH14" s="122">
        <f t="shared" si="0"/>
        <v>634.25592134831459</v>
      </c>
      <c r="AI14" s="122">
        <f t="shared" si="0"/>
        <v>311.90217752808996</v>
      </c>
      <c r="AJ14" s="122">
        <f t="shared" si="0"/>
        <v>207.70116539325849</v>
      </c>
      <c r="AK14" s="122">
        <f t="shared" si="0"/>
        <v>455.86617134831459</v>
      </c>
      <c r="AL14" s="122">
        <f t="shared" si="0"/>
        <v>20.836761376404525</v>
      </c>
      <c r="AM14" s="122">
        <f t="shared" si="0"/>
        <v>341.19932865168539</v>
      </c>
      <c r="AN14" s="122">
        <f t="shared" si="0"/>
        <v>199.80267134831465</v>
      </c>
      <c r="AO14" s="122">
        <f t="shared" si="0"/>
        <v>275.98725000000002</v>
      </c>
      <c r="AP14" s="122">
        <f t="shared" si="0"/>
        <v>28.875000000000018</v>
      </c>
      <c r="AQ14" s="122">
        <f t="shared" si="0"/>
        <v>256.06350000000003</v>
      </c>
      <c r="AR14" s="122">
        <f t="shared" si="0"/>
        <v>48.798749999999998</v>
      </c>
      <c r="AS14" s="122">
        <f t="shared" si="0"/>
        <v>19.923750000000002</v>
      </c>
      <c r="AT14" s="122">
        <f t="shared" si="0"/>
        <v>272.47682865168542</v>
      </c>
      <c r="AU14" s="122">
        <f t="shared" si="0"/>
        <v>219.72642134831463</v>
      </c>
      <c r="AV14" s="122">
        <f t="shared" si="0"/>
        <v>463.32825000000008</v>
      </c>
      <c r="AW14" s="122">
        <f t="shared" si="0"/>
        <v>48.798749999999998</v>
      </c>
      <c r="AX14" s="122">
        <f t="shared" si="0"/>
        <v>236.13974999999999</v>
      </c>
      <c r="AY14" s="122">
        <f t="shared" si="0"/>
        <v>275.98725000000002</v>
      </c>
      <c r="AZ14" s="115">
        <f t="shared" si="0"/>
        <v>48.798749999999998</v>
      </c>
      <c r="BA14" s="112">
        <f>SUM($E14:$AZ14)</f>
        <v>16469.574948250753</v>
      </c>
    </row>
    <row r="15" spans="1:53" x14ac:dyDescent="0.25">
      <c r="A15" s="127" t="s">
        <v>123</v>
      </c>
      <c r="B15" s="128">
        <v>1</v>
      </c>
      <c r="C15" s="129" t="s">
        <v>292</v>
      </c>
      <c r="D15" s="129">
        <v>0</v>
      </c>
      <c r="E15" s="129">
        <v>0</v>
      </c>
      <c r="F15" s="129">
        <v>731.61000000000013</v>
      </c>
      <c r="G15" s="129">
        <v>56.925000000000011</v>
      </c>
      <c r="H15" s="129">
        <v>731.61000000000013</v>
      </c>
      <c r="I15" s="129">
        <v>592.18500000000006</v>
      </c>
      <c r="J15" s="129">
        <v>243.24522471910115</v>
      </c>
      <c r="K15" s="129">
        <v>649.11000000000013</v>
      </c>
      <c r="L15" s="129">
        <v>243.24522471910115</v>
      </c>
      <c r="M15" s="129">
        <v>674.68500000000006</v>
      </c>
      <c r="N15" s="129">
        <v>731.61000000000013</v>
      </c>
      <c r="O15" s="129">
        <v>82.5</v>
      </c>
      <c r="P15" s="129">
        <v>243.24522471910115</v>
      </c>
      <c r="Q15" s="129">
        <v>649.11000000000013</v>
      </c>
      <c r="R15" s="129">
        <v>731.61000000000013</v>
      </c>
      <c r="S15" s="129">
        <v>139.42500000000001</v>
      </c>
      <c r="T15" s="129">
        <v>243.24522471910115</v>
      </c>
      <c r="U15" s="129">
        <v>731.61000000000013</v>
      </c>
      <c r="V15" s="129">
        <v>243.24522471910115</v>
      </c>
      <c r="W15" s="129">
        <v>82.5</v>
      </c>
      <c r="X15" s="129">
        <v>731.61000000000013</v>
      </c>
      <c r="Y15" s="129">
        <v>56.925000000000011</v>
      </c>
      <c r="Z15" s="129">
        <v>243.24522471910115</v>
      </c>
      <c r="AA15" s="129">
        <v>139.42500000000001</v>
      </c>
      <c r="AB15" s="129">
        <v>731.61000000000013</v>
      </c>
      <c r="AC15" s="129">
        <v>674.68500000000006</v>
      </c>
      <c r="AD15" s="129">
        <v>243.24522471910115</v>
      </c>
      <c r="AE15" s="129">
        <v>139.42500000000001</v>
      </c>
      <c r="AF15" s="129">
        <v>243.24522471910115</v>
      </c>
      <c r="AG15" s="129">
        <v>731.61000000000013</v>
      </c>
      <c r="AH15" s="129">
        <v>243.24522471910115</v>
      </c>
      <c r="AI15" s="129">
        <v>592.18500000000006</v>
      </c>
      <c r="AJ15" s="129">
        <v>731.61000000000013</v>
      </c>
      <c r="AK15" s="129">
        <v>0</v>
      </c>
      <c r="AL15" s="129">
        <v>243.24522471910115</v>
      </c>
      <c r="AM15" s="129">
        <v>82.5</v>
      </c>
      <c r="AN15" s="129">
        <v>731.61000000000013</v>
      </c>
      <c r="AO15" s="129">
        <v>82.5</v>
      </c>
      <c r="AP15" s="129">
        <v>674.68500000000006</v>
      </c>
      <c r="AQ15" s="129">
        <v>139.42500000000001</v>
      </c>
      <c r="AR15" s="129">
        <v>56.925000000000011</v>
      </c>
      <c r="AS15" s="129">
        <v>186.32022471910113</v>
      </c>
      <c r="AT15" s="129">
        <v>139.42500000000001</v>
      </c>
      <c r="AU15" s="129">
        <v>731.61000000000013</v>
      </c>
      <c r="AV15" s="129">
        <v>139.42500000000001</v>
      </c>
      <c r="AW15" s="129">
        <v>674.68500000000006</v>
      </c>
      <c r="AX15" s="129">
        <v>139.42500000000001</v>
      </c>
      <c r="AY15" s="129">
        <v>139.42500000000001</v>
      </c>
      <c r="AZ15" s="105">
        <v>731.61000000000013</v>
      </c>
    </row>
    <row r="16" spans="1:53" x14ac:dyDescent="0.25">
      <c r="A16" s="115"/>
      <c r="B16" s="124">
        <v>2</v>
      </c>
      <c r="C16" s="114" t="s">
        <v>292</v>
      </c>
      <c r="D16" s="111"/>
      <c r="E16" s="115"/>
      <c r="F16" s="115">
        <v>0</v>
      </c>
      <c r="G16" s="115">
        <v>0</v>
      </c>
      <c r="H16" s="115">
        <v>674.68500000000006</v>
      </c>
      <c r="I16" s="115">
        <v>0</v>
      </c>
      <c r="J16" s="115">
        <v>56.925000000000011</v>
      </c>
      <c r="K16" s="115">
        <v>0</v>
      </c>
      <c r="L16" s="115">
        <v>82.5</v>
      </c>
      <c r="M16" s="115">
        <v>0</v>
      </c>
      <c r="N16" s="115">
        <v>56.925000000000011</v>
      </c>
      <c r="O16" s="115">
        <v>0</v>
      </c>
      <c r="P16" s="115">
        <v>649.11000000000013</v>
      </c>
      <c r="Q16" s="115">
        <v>0</v>
      </c>
      <c r="R16" s="115"/>
      <c r="S16" s="115">
        <v>0</v>
      </c>
      <c r="T16" s="115">
        <v>592.18500000000006</v>
      </c>
      <c r="U16" s="115">
        <v>488.36477528089893</v>
      </c>
      <c r="V16" s="115"/>
      <c r="W16" s="115">
        <v>488.36477528089893</v>
      </c>
      <c r="X16" s="115">
        <v>649.11000000000013</v>
      </c>
      <c r="Y16" s="115"/>
      <c r="Z16" s="115">
        <v>592.18500000000006</v>
      </c>
      <c r="AA16" s="115">
        <v>488.36477528089893</v>
      </c>
      <c r="AB16" s="115">
        <v>592.18500000000006</v>
      </c>
      <c r="AC16" s="115">
        <v>0</v>
      </c>
      <c r="AD16" s="115">
        <v>56.925000000000011</v>
      </c>
      <c r="AE16" s="115">
        <v>488.36477528089893</v>
      </c>
      <c r="AF16" s="115"/>
      <c r="AG16" s="115">
        <v>488.36477528089893</v>
      </c>
      <c r="AH16" s="115"/>
      <c r="AI16" s="115">
        <v>0</v>
      </c>
      <c r="AJ16" s="115">
        <v>82.5</v>
      </c>
      <c r="AK16" s="115"/>
      <c r="AL16" s="115">
        <v>731.61000000000013</v>
      </c>
      <c r="AM16" s="115">
        <v>488.36477528089893</v>
      </c>
      <c r="AN16" s="115">
        <v>56.925000000000011</v>
      </c>
      <c r="AO16" s="115"/>
      <c r="AP16" s="115">
        <v>56.925000000000011</v>
      </c>
      <c r="AQ16" s="115">
        <v>0</v>
      </c>
      <c r="AR16" s="115"/>
      <c r="AS16" s="115">
        <v>0</v>
      </c>
      <c r="AT16" s="115">
        <v>488.36477528089893</v>
      </c>
      <c r="AU16" s="115">
        <v>592.18500000000006</v>
      </c>
      <c r="AV16" s="115"/>
      <c r="AW16" s="115">
        <v>0</v>
      </c>
      <c r="AX16" s="115">
        <v>56.925000000000011</v>
      </c>
      <c r="AY16" s="115"/>
      <c r="AZ16" s="105">
        <v>0</v>
      </c>
    </row>
    <row r="17" spans="1:51" x14ac:dyDescent="0.25">
      <c r="A17" s="115"/>
      <c r="B17" s="124">
        <v>3</v>
      </c>
      <c r="C17" s="114" t="s">
        <v>292</v>
      </c>
      <c r="D17" s="111"/>
      <c r="E17" s="115"/>
      <c r="F17" s="115"/>
      <c r="G17" s="115"/>
      <c r="H17" s="115"/>
      <c r="I17" s="115"/>
      <c r="J17" s="115"/>
      <c r="K17" s="115"/>
      <c r="L17" s="115">
        <v>488.36477528089893</v>
      </c>
      <c r="M17" s="115"/>
      <c r="N17" s="115">
        <v>488.36477528089893</v>
      </c>
      <c r="O17" s="115"/>
      <c r="P17" s="115"/>
      <c r="Q17" s="115"/>
      <c r="R17" s="115">
        <v>488.36477528089893</v>
      </c>
      <c r="S17" s="115">
        <v>82.5</v>
      </c>
      <c r="T17" s="115"/>
      <c r="U17" s="115"/>
      <c r="V17" s="115"/>
      <c r="W17" s="115"/>
      <c r="X17" s="115"/>
      <c r="Y17" s="115"/>
      <c r="Z17" s="115"/>
      <c r="AA17" s="115">
        <v>82.5</v>
      </c>
      <c r="AB17" s="115"/>
      <c r="AC17" s="115"/>
      <c r="AD17" s="115"/>
      <c r="AE17" s="115"/>
      <c r="AF17" s="115">
        <v>0</v>
      </c>
      <c r="AG17" s="115">
        <v>592.18500000000006</v>
      </c>
      <c r="AH17" s="115"/>
      <c r="AI17" s="115"/>
      <c r="AJ17" s="115">
        <v>488.36477528089893</v>
      </c>
      <c r="AK17" s="115">
        <v>56.925000000000011</v>
      </c>
      <c r="AL17" s="115"/>
      <c r="AM17" s="115"/>
      <c r="AN17" s="115">
        <v>0</v>
      </c>
      <c r="AO17" s="115"/>
      <c r="AP17" s="115">
        <v>0</v>
      </c>
      <c r="AQ17" s="115"/>
      <c r="AR17" s="115"/>
      <c r="AS17" s="115">
        <v>592.18500000000006</v>
      </c>
      <c r="AT17" s="115"/>
      <c r="AU17" s="115"/>
      <c r="AV17" s="115"/>
      <c r="AW17" s="115"/>
      <c r="AX17" s="115">
        <v>592.18500000000006</v>
      </c>
      <c r="AY17" s="115"/>
    </row>
    <row r="18" spans="1:51" x14ac:dyDescent="0.25">
      <c r="A18" s="130"/>
      <c r="B18" s="121">
        <v>4</v>
      </c>
      <c r="C18" s="130" t="s">
        <v>292</v>
      </c>
      <c r="D18" s="130"/>
      <c r="E18" s="130"/>
      <c r="F18" s="130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  <c r="T18" s="130"/>
      <c r="U18" s="130"/>
      <c r="V18" s="130"/>
      <c r="W18" s="130"/>
      <c r="X18" s="130"/>
      <c r="Y18" s="130"/>
      <c r="Z18" s="130"/>
      <c r="AA18" s="130"/>
      <c r="AB18" s="130"/>
      <c r="AC18" s="130"/>
      <c r="AD18" s="130"/>
      <c r="AE18" s="130"/>
      <c r="AF18" s="130"/>
      <c r="AG18" s="130"/>
      <c r="AH18" s="130"/>
      <c r="AI18" s="130"/>
      <c r="AJ18" s="130"/>
      <c r="AK18" s="130"/>
      <c r="AL18" s="130"/>
      <c r="AM18" s="130"/>
      <c r="AN18" s="130"/>
      <c r="AO18" s="130"/>
      <c r="AP18" s="130"/>
      <c r="AQ18" s="130"/>
      <c r="AR18" s="130"/>
      <c r="AS18" s="130"/>
      <c r="AT18" s="130"/>
      <c r="AU18" s="130"/>
      <c r="AV18" s="130"/>
      <c r="AW18" s="130"/>
      <c r="AX18" s="130"/>
      <c r="AY18" s="130"/>
    </row>
    <row r="20" spans="1:51" x14ac:dyDescent="0.25">
      <c r="A20" s="107" t="s">
        <v>293</v>
      </c>
    </row>
    <row r="21" spans="1:51" x14ac:dyDescent="0.25">
      <c r="A21" s="131" t="s">
        <v>125</v>
      </c>
      <c r="B21" s="128">
        <v>1</v>
      </c>
      <c r="C21" s="129" t="s">
        <v>292</v>
      </c>
      <c r="D21" s="129"/>
      <c r="E21" s="129"/>
      <c r="F21" s="129"/>
      <c r="G21" s="129"/>
      <c r="H21" s="129"/>
      <c r="I21" s="129"/>
      <c r="J21" s="129"/>
      <c r="K21" s="129"/>
      <c r="L21" s="129"/>
      <c r="M21" s="129"/>
      <c r="N21" s="129"/>
      <c r="O21" s="129"/>
      <c r="P21" s="129"/>
      <c r="Q21" s="129"/>
      <c r="R21" s="129"/>
      <c r="S21" s="129"/>
      <c r="T21" s="129"/>
      <c r="U21" s="129"/>
      <c r="V21" s="129"/>
      <c r="W21" s="129"/>
      <c r="X21" s="129"/>
      <c r="Y21" s="129"/>
      <c r="Z21" s="129"/>
      <c r="AA21" s="129"/>
      <c r="AB21" s="129"/>
      <c r="AC21" s="129"/>
      <c r="AD21" s="129"/>
      <c r="AE21" s="129"/>
      <c r="AF21" s="129"/>
      <c r="AG21" s="129"/>
      <c r="AH21" s="129"/>
      <c r="AI21" s="129"/>
      <c r="AJ21" s="129"/>
      <c r="AK21" s="129"/>
      <c r="AL21" s="129"/>
      <c r="AM21" s="129"/>
      <c r="AN21" s="129"/>
      <c r="AO21" s="129"/>
      <c r="AP21" s="129"/>
      <c r="AQ21" s="129"/>
      <c r="AR21" s="129"/>
      <c r="AS21" s="129"/>
      <c r="AT21" s="129"/>
      <c r="AU21" s="129"/>
      <c r="AV21" s="129"/>
      <c r="AW21" s="129"/>
      <c r="AX21" s="129"/>
      <c r="AY21" s="129"/>
    </row>
    <row r="22" spans="1:51" x14ac:dyDescent="0.25">
      <c r="A22" s="114"/>
      <c r="B22" s="125">
        <v>2</v>
      </c>
      <c r="C22" s="115" t="s">
        <v>292</v>
      </c>
      <c r="D22" s="115"/>
      <c r="E22" s="115"/>
      <c r="F22" s="115"/>
      <c r="G22" s="115"/>
      <c r="H22" s="115"/>
      <c r="I22" s="115"/>
      <c r="J22" s="115"/>
      <c r="K22" s="115"/>
      <c r="L22" s="115"/>
      <c r="M22" s="115"/>
      <c r="N22" s="115"/>
      <c r="O22" s="115"/>
      <c r="P22" s="115"/>
      <c r="Q22" s="115"/>
      <c r="R22" s="115"/>
      <c r="S22" s="115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115"/>
      <c r="AG22" s="115"/>
      <c r="AH22" s="115"/>
      <c r="AI22" s="115"/>
      <c r="AJ22" s="115"/>
      <c r="AK22" s="115"/>
      <c r="AL22" s="115"/>
      <c r="AM22" s="115"/>
      <c r="AN22" s="115"/>
      <c r="AO22" s="115"/>
      <c r="AP22" s="115"/>
      <c r="AQ22" s="115"/>
      <c r="AR22" s="115"/>
      <c r="AS22" s="115"/>
      <c r="AT22" s="115"/>
      <c r="AU22" s="115"/>
      <c r="AV22" s="115"/>
      <c r="AW22" s="115"/>
      <c r="AX22" s="115"/>
      <c r="AY22" s="115"/>
    </row>
    <row r="23" spans="1:51" x14ac:dyDescent="0.25">
      <c r="A23" s="114"/>
      <c r="B23" s="132">
        <v>3</v>
      </c>
      <c r="C23" s="115" t="s">
        <v>292</v>
      </c>
      <c r="D23" s="115"/>
      <c r="E23" s="115"/>
      <c r="F23" s="115"/>
      <c r="G23" s="115"/>
      <c r="H23" s="115"/>
      <c r="I23" s="115"/>
      <c r="J23" s="115"/>
      <c r="K23" s="115"/>
      <c r="L23" s="115"/>
      <c r="M23" s="115"/>
      <c r="N23" s="115"/>
      <c r="O23" s="115"/>
      <c r="P23" s="115"/>
      <c r="Q23" s="115"/>
      <c r="R23" s="115"/>
      <c r="S23" s="115"/>
      <c r="T23" s="115"/>
      <c r="U23" s="115"/>
      <c r="V23" s="115"/>
      <c r="W23" s="115"/>
      <c r="X23" s="115"/>
      <c r="Y23" s="115"/>
      <c r="Z23" s="115"/>
      <c r="AA23" s="115"/>
      <c r="AB23" s="115"/>
      <c r="AC23" s="115"/>
      <c r="AD23" s="115"/>
      <c r="AE23" s="115"/>
      <c r="AF23" s="115"/>
      <c r="AG23" s="115"/>
      <c r="AH23" s="115"/>
      <c r="AI23" s="115"/>
      <c r="AJ23" s="115"/>
      <c r="AK23" s="115"/>
      <c r="AL23" s="115"/>
      <c r="AM23" s="115"/>
      <c r="AN23" s="115"/>
      <c r="AO23" s="115"/>
      <c r="AP23" s="115"/>
      <c r="AQ23" s="115"/>
      <c r="AR23" s="115"/>
      <c r="AS23" s="115"/>
      <c r="AT23" s="115"/>
      <c r="AU23" s="115"/>
      <c r="AV23" s="115"/>
      <c r="AW23" s="115"/>
      <c r="AX23" s="115"/>
      <c r="AY23" s="115"/>
    </row>
    <row r="24" spans="1:51" x14ac:dyDescent="0.25">
      <c r="A24" s="133"/>
      <c r="B24" s="134">
        <v>4</v>
      </c>
      <c r="C24" s="133" t="s">
        <v>292</v>
      </c>
      <c r="D24" s="130">
        <v>0</v>
      </c>
      <c r="E24" s="130">
        <v>0</v>
      </c>
      <c r="F24" s="130">
        <v>0</v>
      </c>
      <c r="G24" s="130">
        <v>0</v>
      </c>
      <c r="H24" s="130">
        <v>0</v>
      </c>
      <c r="I24" s="130">
        <v>0</v>
      </c>
      <c r="J24" s="130">
        <v>0</v>
      </c>
      <c r="K24" s="130">
        <v>0</v>
      </c>
      <c r="L24" s="130">
        <v>0</v>
      </c>
      <c r="M24" s="130">
        <v>0</v>
      </c>
      <c r="N24" s="130">
        <v>0</v>
      </c>
      <c r="O24" s="130">
        <v>0</v>
      </c>
      <c r="P24" s="130">
        <v>0</v>
      </c>
      <c r="Q24" s="130">
        <v>0</v>
      </c>
      <c r="R24" s="130">
        <v>0</v>
      </c>
      <c r="S24" s="130">
        <v>0</v>
      </c>
      <c r="T24" s="130">
        <v>0</v>
      </c>
      <c r="U24" s="130">
        <v>0</v>
      </c>
      <c r="V24" s="130">
        <v>0</v>
      </c>
      <c r="W24" s="130">
        <v>0</v>
      </c>
      <c r="X24" s="130">
        <v>0</v>
      </c>
      <c r="Y24" s="130">
        <v>0</v>
      </c>
      <c r="Z24" s="130">
        <v>0</v>
      </c>
      <c r="AA24" s="130">
        <v>0</v>
      </c>
      <c r="AB24" s="130">
        <v>0</v>
      </c>
      <c r="AC24" s="130">
        <v>0</v>
      </c>
      <c r="AD24" s="130">
        <v>0</v>
      </c>
      <c r="AE24" s="130">
        <v>0</v>
      </c>
      <c r="AF24" s="130">
        <v>0</v>
      </c>
      <c r="AG24" s="130">
        <v>0</v>
      </c>
      <c r="AH24" s="130">
        <v>0</v>
      </c>
      <c r="AI24" s="130">
        <v>0</v>
      </c>
      <c r="AJ24" s="130">
        <v>0</v>
      </c>
      <c r="AK24" s="130">
        <v>0</v>
      </c>
      <c r="AL24" s="130">
        <v>0</v>
      </c>
      <c r="AM24" s="130">
        <v>0</v>
      </c>
      <c r="AN24" s="130">
        <v>0</v>
      </c>
      <c r="AO24" s="130">
        <v>0</v>
      </c>
      <c r="AP24" s="130">
        <v>0</v>
      </c>
      <c r="AQ24" s="130">
        <v>0</v>
      </c>
      <c r="AR24" s="130">
        <v>0</v>
      </c>
      <c r="AS24" s="130">
        <v>0</v>
      </c>
      <c r="AT24" s="130">
        <v>0</v>
      </c>
      <c r="AU24" s="130">
        <v>0</v>
      </c>
      <c r="AV24" s="130">
        <v>0</v>
      </c>
      <c r="AW24" s="130">
        <v>0</v>
      </c>
      <c r="AX24" s="130">
        <v>0</v>
      </c>
      <c r="AY24" s="130">
        <v>0</v>
      </c>
    </row>
    <row r="25" spans="1:51" x14ac:dyDescent="0.25">
      <c r="A25" s="131" t="s">
        <v>133</v>
      </c>
      <c r="B25" s="128">
        <v>1</v>
      </c>
      <c r="C25" s="114" t="s">
        <v>292</v>
      </c>
      <c r="D25" s="115"/>
      <c r="E25" s="115"/>
      <c r="F25" s="115"/>
      <c r="G25" s="115"/>
      <c r="H25" s="115"/>
      <c r="I25" s="115"/>
      <c r="J25" s="115"/>
      <c r="K25" s="115"/>
      <c r="L25" s="115"/>
      <c r="M25" s="115"/>
      <c r="N25" s="115"/>
      <c r="O25" s="115"/>
      <c r="P25" s="115"/>
      <c r="Q25" s="115"/>
      <c r="R25" s="115"/>
      <c r="S25" s="115"/>
      <c r="T25" s="115"/>
      <c r="U25" s="115"/>
      <c r="V25" s="115"/>
      <c r="W25" s="115"/>
      <c r="X25" s="115"/>
      <c r="Y25" s="115"/>
      <c r="Z25" s="115"/>
      <c r="AA25" s="115"/>
      <c r="AB25" s="115"/>
      <c r="AC25" s="115"/>
      <c r="AD25" s="115"/>
      <c r="AE25" s="115"/>
      <c r="AF25" s="115"/>
      <c r="AG25" s="115"/>
      <c r="AH25" s="115"/>
      <c r="AI25" s="115"/>
      <c r="AJ25" s="115"/>
      <c r="AK25" s="115"/>
      <c r="AL25" s="115"/>
      <c r="AM25" s="115"/>
      <c r="AN25" s="115"/>
      <c r="AO25" s="115"/>
      <c r="AP25" s="115"/>
      <c r="AQ25" s="115"/>
      <c r="AR25" s="115"/>
      <c r="AS25" s="115"/>
      <c r="AT25" s="115"/>
      <c r="AU25" s="115"/>
      <c r="AV25" s="115"/>
      <c r="AW25" s="115"/>
      <c r="AX25" s="115"/>
      <c r="AY25" s="115"/>
    </row>
    <row r="26" spans="1:51" x14ac:dyDescent="0.25">
      <c r="A26" s="114"/>
      <c r="B26" s="124">
        <v>2</v>
      </c>
      <c r="C26" s="114" t="s">
        <v>292</v>
      </c>
      <c r="D26" s="115"/>
      <c r="E26" s="115"/>
      <c r="F26" s="115"/>
      <c r="G26" s="115"/>
      <c r="H26" s="115"/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  <c r="AA26" s="115"/>
      <c r="AB26" s="115"/>
      <c r="AC26" s="115"/>
      <c r="AD26" s="115"/>
      <c r="AE26" s="115"/>
      <c r="AF26" s="115"/>
      <c r="AG26" s="115"/>
      <c r="AH26" s="115"/>
      <c r="AI26" s="115"/>
      <c r="AJ26" s="115"/>
      <c r="AK26" s="115"/>
      <c r="AL26" s="115"/>
      <c r="AM26" s="115"/>
      <c r="AN26" s="115"/>
      <c r="AO26" s="115"/>
      <c r="AP26" s="115"/>
      <c r="AQ26" s="115"/>
      <c r="AR26" s="115"/>
      <c r="AS26" s="115"/>
      <c r="AT26" s="115"/>
      <c r="AU26" s="115"/>
      <c r="AV26" s="115"/>
      <c r="AW26" s="115"/>
      <c r="AX26" s="115"/>
      <c r="AY26" s="115"/>
    </row>
    <row r="27" spans="1:51" x14ac:dyDescent="0.25">
      <c r="A27" s="114"/>
      <c r="B27" s="125">
        <v>3</v>
      </c>
      <c r="C27" s="114" t="s">
        <v>292</v>
      </c>
      <c r="D27" s="115"/>
      <c r="E27" s="115"/>
      <c r="F27" s="115"/>
      <c r="G27" s="115"/>
      <c r="H27" s="115"/>
      <c r="I27" s="115"/>
      <c r="J27" s="115"/>
      <c r="K27" s="115"/>
      <c r="L27" s="115"/>
      <c r="M27" s="115"/>
      <c r="N27" s="115"/>
      <c r="O27" s="115"/>
      <c r="P27" s="115"/>
      <c r="Q27" s="115"/>
      <c r="R27" s="115"/>
      <c r="S27" s="115"/>
      <c r="T27" s="115"/>
      <c r="U27" s="115"/>
      <c r="V27" s="115"/>
      <c r="W27" s="115"/>
      <c r="X27" s="115"/>
      <c r="Y27" s="115"/>
      <c r="Z27" s="115"/>
      <c r="AA27" s="115"/>
      <c r="AB27" s="115"/>
      <c r="AC27" s="115"/>
      <c r="AD27" s="115"/>
      <c r="AE27" s="115"/>
      <c r="AF27" s="115"/>
      <c r="AG27" s="115"/>
      <c r="AH27" s="115"/>
      <c r="AI27" s="115"/>
      <c r="AJ27" s="115"/>
      <c r="AK27" s="115"/>
      <c r="AL27" s="115"/>
      <c r="AM27" s="115"/>
      <c r="AN27" s="115"/>
      <c r="AO27" s="115"/>
      <c r="AP27" s="115"/>
      <c r="AQ27" s="115"/>
      <c r="AR27" s="115"/>
      <c r="AS27" s="115"/>
      <c r="AT27" s="115"/>
      <c r="AU27" s="115"/>
      <c r="AV27" s="115"/>
      <c r="AW27" s="115"/>
      <c r="AX27" s="115"/>
      <c r="AY27" s="115"/>
    </row>
    <row r="28" spans="1:51" x14ac:dyDescent="0.25">
      <c r="A28" s="114"/>
      <c r="B28" s="125">
        <v>4</v>
      </c>
      <c r="C28" s="114" t="s">
        <v>292</v>
      </c>
      <c r="D28" s="115"/>
      <c r="E28" s="115"/>
      <c r="F28" s="115"/>
      <c r="G28" s="115"/>
      <c r="H28" s="115"/>
      <c r="I28" s="115"/>
      <c r="J28" s="115"/>
      <c r="K28" s="115"/>
      <c r="L28" s="115"/>
      <c r="M28" s="115"/>
      <c r="N28" s="115"/>
      <c r="O28" s="115"/>
      <c r="P28" s="115"/>
      <c r="Q28" s="115"/>
      <c r="R28" s="115"/>
      <c r="S28" s="115"/>
      <c r="T28" s="115"/>
      <c r="U28" s="115"/>
      <c r="V28" s="115"/>
      <c r="W28" s="115"/>
      <c r="X28" s="115"/>
      <c r="Y28" s="115"/>
      <c r="Z28" s="115"/>
      <c r="AA28" s="115"/>
      <c r="AB28" s="115"/>
      <c r="AC28" s="115"/>
      <c r="AD28" s="115"/>
      <c r="AE28" s="115"/>
      <c r="AF28" s="115"/>
      <c r="AG28" s="115"/>
      <c r="AH28" s="115"/>
      <c r="AI28" s="115"/>
      <c r="AJ28" s="115"/>
      <c r="AK28" s="115"/>
      <c r="AL28" s="115"/>
      <c r="AM28" s="115"/>
      <c r="AN28" s="115"/>
      <c r="AO28" s="115"/>
      <c r="AP28" s="115"/>
      <c r="AQ28" s="115"/>
      <c r="AR28" s="115"/>
      <c r="AS28" s="115"/>
      <c r="AT28" s="115"/>
      <c r="AU28" s="115"/>
      <c r="AV28" s="115"/>
      <c r="AW28" s="115"/>
      <c r="AX28" s="115"/>
      <c r="AY28" s="115"/>
    </row>
    <row r="29" spans="1:51" x14ac:dyDescent="0.25">
      <c r="A29" s="114"/>
      <c r="B29" s="132">
        <v>5</v>
      </c>
      <c r="C29" s="114" t="s">
        <v>292</v>
      </c>
      <c r="D29" s="115"/>
      <c r="E29" s="115"/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  <c r="AA29" s="115"/>
      <c r="AB29" s="115"/>
      <c r="AC29" s="115"/>
      <c r="AD29" s="115"/>
      <c r="AE29" s="115"/>
      <c r="AF29" s="115"/>
      <c r="AG29" s="115"/>
      <c r="AH29" s="115"/>
      <c r="AI29" s="115"/>
      <c r="AJ29" s="115"/>
      <c r="AK29" s="115"/>
      <c r="AL29" s="115"/>
      <c r="AM29" s="115"/>
      <c r="AN29" s="115"/>
      <c r="AO29" s="115"/>
      <c r="AP29" s="115"/>
      <c r="AQ29" s="115"/>
      <c r="AR29" s="115"/>
      <c r="AS29" s="115"/>
      <c r="AT29" s="115"/>
      <c r="AU29" s="115"/>
      <c r="AV29" s="115"/>
      <c r="AW29" s="115"/>
      <c r="AX29" s="115"/>
      <c r="AY29" s="115"/>
    </row>
    <row r="30" spans="1:51" x14ac:dyDescent="0.25">
      <c r="A30" s="114"/>
      <c r="B30" s="132">
        <v>6</v>
      </c>
      <c r="C30" s="114" t="s">
        <v>292</v>
      </c>
      <c r="D30" s="115"/>
      <c r="E30" s="115"/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  <c r="AA30" s="115"/>
      <c r="AB30" s="115"/>
      <c r="AC30" s="115"/>
      <c r="AD30" s="115"/>
      <c r="AE30" s="115"/>
      <c r="AF30" s="115"/>
      <c r="AG30" s="115"/>
      <c r="AH30" s="115"/>
      <c r="AI30" s="115"/>
      <c r="AJ30" s="115"/>
      <c r="AK30" s="115"/>
      <c r="AL30" s="115"/>
      <c r="AM30" s="115"/>
      <c r="AN30" s="115"/>
      <c r="AO30" s="115"/>
      <c r="AP30" s="115"/>
      <c r="AQ30" s="115"/>
      <c r="AR30" s="115"/>
      <c r="AS30" s="115"/>
      <c r="AT30" s="115"/>
      <c r="AU30" s="115"/>
      <c r="AV30" s="115"/>
      <c r="AW30" s="115"/>
      <c r="AX30" s="115"/>
      <c r="AY30" s="115"/>
    </row>
    <row r="31" spans="1:51" x14ac:dyDescent="0.25">
      <c r="A31" s="114"/>
      <c r="B31" s="135">
        <v>7</v>
      </c>
      <c r="C31" s="114" t="s">
        <v>292</v>
      </c>
      <c r="D31" s="115"/>
      <c r="E31" s="115"/>
      <c r="F31" s="115"/>
      <c r="G31" s="115"/>
      <c r="H31" s="115"/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  <c r="AA31" s="115"/>
      <c r="AB31" s="115"/>
      <c r="AC31" s="115"/>
      <c r="AD31" s="115"/>
      <c r="AE31" s="115"/>
      <c r="AF31" s="115"/>
      <c r="AG31" s="115"/>
      <c r="AH31" s="115"/>
      <c r="AI31" s="115"/>
      <c r="AJ31" s="115"/>
      <c r="AK31" s="115"/>
      <c r="AL31" s="115"/>
      <c r="AM31" s="115"/>
      <c r="AN31" s="115"/>
      <c r="AO31" s="115"/>
      <c r="AP31" s="115"/>
      <c r="AQ31" s="115"/>
      <c r="AR31" s="115"/>
      <c r="AS31" s="115"/>
      <c r="AT31" s="115"/>
      <c r="AU31" s="115"/>
      <c r="AV31" s="115"/>
      <c r="AW31" s="115"/>
      <c r="AX31" s="115"/>
      <c r="AY31" s="115"/>
    </row>
    <row r="32" spans="1:51" x14ac:dyDescent="0.25">
      <c r="A32" s="133"/>
      <c r="B32" s="134">
        <v>8</v>
      </c>
      <c r="C32" s="133" t="s">
        <v>292</v>
      </c>
      <c r="D32" s="130">
        <v>0</v>
      </c>
      <c r="E32" s="130">
        <v>0</v>
      </c>
      <c r="F32" s="130">
        <v>0</v>
      </c>
      <c r="G32" s="130">
        <v>0</v>
      </c>
      <c r="H32" s="130">
        <v>0</v>
      </c>
      <c r="I32" s="130">
        <v>0</v>
      </c>
      <c r="J32" s="130">
        <v>0</v>
      </c>
      <c r="K32" s="130">
        <v>0</v>
      </c>
      <c r="L32" s="130">
        <v>0</v>
      </c>
      <c r="M32" s="130">
        <v>0</v>
      </c>
      <c r="N32" s="130">
        <v>0</v>
      </c>
      <c r="O32" s="130">
        <v>0</v>
      </c>
      <c r="P32" s="130">
        <v>0</v>
      </c>
      <c r="Q32" s="130">
        <v>0</v>
      </c>
      <c r="R32" s="130">
        <v>0</v>
      </c>
      <c r="S32" s="130">
        <v>0</v>
      </c>
      <c r="T32" s="130">
        <v>0</v>
      </c>
      <c r="U32" s="130">
        <v>0</v>
      </c>
      <c r="V32" s="130">
        <v>0</v>
      </c>
      <c r="W32" s="130">
        <v>0</v>
      </c>
      <c r="X32" s="130">
        <v>0</v>
      </c>
      <c r="Y32" s="130">
        <v>0</v>
      </c>
      <c r="Z32" s="130">
        <v>0</v>
      </c>
      <c r="AA32" s="130">
        <v>0</v>
      </c>
      <c r="AB32" s="130">
        <v>0</v>
      </c>
      <c r="AC32" s="130">
        <v>0</v>
      </c>
      <c r="AD32" s="130">
        <v>0</v>
      </c>
      <c r="AE32" s="130">
        <v>0</v>
      </c>
      <c r="AF32" s="130">
        <v>0</v>
      </c>
      <c r="AG32" s="130">
        <v>0</v>
      </c>
      <c r="AH32" s="130">
        <v>0</v>
      </c>
      <c r="AI32" s="130">
        <v>0</v>
      </c>
      <c r="AJ32" s="130">
        <v>0</v>
      </c>
      <c r="AK32" s="130">
        <v>0</v>
      </c>
      <c r="AL32" s="130">
        <v>0</v>
      </c>
      <c r="AM32" s="130">
        <v>0</v>
      </c>
      <c r="AN32" s="130">
        <v>0</v>
      </c>
      <c r="AO32" s="130">
        <v>0</v>
      </c>
      <c r="AP32" s="130">
        <v>0</v>
      </c>
      <c r="AQ32" s="130">
        <v>0</v>
      </c>
      <c r="AR32" s="130">
        <v>0</v>
      </c>
      <c r="AS32" s="130">
        <v>0</v>
      </c>
      <c r="AT32" s="130">
        <v>0</v>
      </c>
      <c r="AU32" s="130">
        <v>0</v>
      </c>
      <c r="AV32" s="130">
        <v>0</v>
      </c>
      <c r="AW32" s="130">
        <v>0</v>
      </c>
      <c r="AX32" s="130">
        <v>0</v>
      </c>
      <c r="AY32" s="130">
        <v>0</v>
      </c>
    </row>
    <row r="33" spans="1:51" x14ac:dyDescent="0.25">
      <c r="A33" s="136" t="s">
        <v>134</v>
      </c>
      <c r="B33" s="124">
        <v>1</v>
      </c>
      <c r="C33" s="114" t="s">
        <v>292</v>
      </c>
      <c r="D33" s="111"/>
      <c r="E33" s="111"/>
      <c r="F33" s="111"/>
      <c r="G33" s="111"/>
      <c r="H33" s="111"/>
      <c r="I33" s="111"/>
      <c r="J33" s="111"/>
      <c r="K33" s="111"/>
      <c r="L33" s="111"/>
      <c r="M33" s="111"/>
      <c r="N33" s="111"/>
      <c r="O33" s="111"/>
      <c r="P33" s="111"/>
      <c r="Q33" s="111"/>
      <c r="R33" s="111"/>
      <c r="S33" s="111"/>
      <c r="T33" s="111"/>
      <c r="U33" s="111"/>
      <c r="V33" s="111"/>
      <c r="W33" s="111"/>
      <c r="X33" s="111"/>
      <c r="Y33" s="111"/>
      <c r="Z33" s="111"/>
      <c r="AA33" s="111"/>
      <c r="AB33" s="111"/>
      <c r="AC33" s="111"/>
      <c r="AD33" s="111"/>
      <c r="AE33" s="111"/>
      <c r="AF33" s="111"/>
      <c r="AG33" s="111"/>
      <c r="AH33" s="111"/>
      <c r="AI33" s="111"/>
      <c r="AJ33" s="111"/>
      <c r="AK33" s="111"/>
      <c r="AL33" s="111"/>
      <c r="AM33" s="111"/>
      <c r="AN33" s="111"/>
      <c r="AO33" s="111"/>
      <c r="AP33" s="111"/>
      <c r="AQ33" s="111"/>
      <c r="AR33" s="111"/>
      <c r="AS33" s="111"/>
      <c r="AT33" s="111"/>
      <c r="AU33" s="111"/>
      <c r="AV33" s="111"/>
      <c r="AW33" s="111"/>
      <c r="AX33" s="111"/>
      <c r="AY33" s="111"/>
    </row>
    <row r="34" spans="1:51" x14ac:dyDescent="0.25">
      <c r="A34" s="114"/>
      <c r="B34" s="124">
        <v>2</v>
      </c>
      <c r="C34" s="114" t="s">
        <v>292</v>
      </c>
      <c r="D34" s="111"/>
      <c r="E34" s="111"/>
      <c r="F34" s="111"/>
      <c r="G34" s="111"/>
      <c r="H34" s="111"/>
      <c r="I34" s="111"/>
      <c r="J34" s="111"/>
      <c r="K34" s="111"/>
      <c r="L34" s="111"/>
      <c r="M34" s="111"/>
      <c r="N34" s="111"/>
      <c r="O34" s="111"/>
      <c r="P34" s="111"/>
      <c r="Q34" s="111"/>
      <c r="R34" s="111"/>
      <c r="S34" s="111"/>
      <c r="T34" s="111"/>
      <c r="U34" s="111"/>
      <c r="V34" s="111"/>
      <c r="W34" s="111"/>
      <c r="X34" s="111"/>
      <c r="Y34" s="111"/>
      <c r="Z34" s="111"/>
      <c r="AA34" s="111"/>
      <c r="AB34" s="111"/>
      <c r="AC34" s="111"/>
      <c r="AD34" s="111"/>
      <c r="AE34" s="111"/>
      <c r="AF34" s="111"/>
      <c r="AG34" s="111"/>
      <c r="AH34" s="111"/>
      <c r="AI34" s="111"/>
      <c r="AJ34" s="111"/>
      <c r="AK34" s="111"/>
      <c r="AL34" s="111"/>
      <c r="AM34" s="111"/>
      <c r="AN34" s="111"/>
      <c r="AO34" s="111"/>
      <c r="AP34" s="111"/>
      <c r="AQ34" s="111"/>
      <c r="AR34" s="111"/>
      <c r="AS34" s="111"/>
      <c r="AT34" s="111"/>
      <c r="AU34" s="111"/>
      <c r="AV34" s="111"/>
      <c r="AW34" s="111"/>
      <c r="AX34" s="111"/>
      <c r="AY34" s="111"/>
    </row>
    <row r="35" spans="1:51" x14ac:dyDescent="0.25">
      <c r="A35" s="114"/>
      <c r="B35" s="124">
        <v>3</v>
      </c>
      <c r="C35" s="114" t="s">
        <v>292</v>
      </c>
      <c r="D35" s="111"/>
      <c r="E35" s="111"/>
      <c r="F35" s="111"/>
      <c r="G35" s="111"/>
      <c r="H35" s="111"/>
      <c r="I35" s="111"/>
      <c r="J35" s="111"/>
      <c r="K35" s="111"/>
      <c r="L35" s="111"/>
      <c r="M35" s="111"/>
      <c r="N35" s="111"/>
      <c r="O35" s="111"/>
      <c r="P35" s="111"/>
      <c r="Q35" s="111"/>
      <c r="R35" s="111"/>
      <c r="S35" s="111"/>
      <c r="T35" s="111"/>
      <c r="U35" s="111"/>
      <c r="V35" s="111"/>
      <c r="W35" s="111"/>
      <c r="X35" s="111"/>
      <c r="Y35" s="111"/>
      <c r="Z35" s="111"/>
      <c r="AA35" s="111"/>
      <c r="AB35" s="111"/>
      <c r="AC35" s="111"/>
      <c r="AD35" s="111"/>
      <c r="AE35" s="111"/>
      <c r="AF35" s="111"/>
      <c r="AG35" s="111"/>
      <c r="AH35" s="111"/>
      <c r="AI35" s="111"/>
      <c r="AJ35" s="111"/>
      <c r="AK35" s="111"/>
      <c r="AL35" s="111"/>
      <c r="AM35" s="111"/>
      <c r="AN35" s="111"/>
      <c r="AO35" s="111"/>
      <c r="AP35" s="111"/>
      <c r="AQ35" s="111"/>
      <c r="AR35" s="111"/>
      <c r="AS35" s="111"/>
      <c r="AT35" s="111"/>
      <c r="AU35" s="111"/>
      <c r="AV35" s="111"/>
      <c r="AW35" s="111"/>
      <c r="AX35" s="111"/>
      <c r="AY35" s="111"/>
    </row>
    <row r="36" spans="1:51" x14ac:dyDescent="0.25">
      <c r="A36" s="114"/>
      <c r="B36" s="125">
        <v>4</v>
      </c>
      <c r="C36" s="114" t="s">
        <v>292</v>
      </c>
      <c r="D36" s="111"/>
      <c r="E36" s="111"/>
      <c r="F36" s="111"/>
      <c r="G36" s="111"/>
      <c r="H36" s="111"/>
      <c r="I36" s="111"/>
      <c r="J36" s="111"/>
      <c r="K36" s="111"/>
      <c r="L36" s="111"/>
      <c r="M36" s="111"/>
      <c r="N36" s="111"/>
      <c r="O36" s="111"/>
      <c r="P36" s="111"/>
      <c r="Q36" s="111"/>
      <c r="R36" s="111"/>
      <c r="S36" s="111"/>
      <c r="T36" s="111"/>
      <c r="U36" s="111"/>
      <c r="V36" s="111"/>
      <c r="W36" s="111"/>
      <c r="X36" s="111"/>
      <c r="Y36" s="111"/>
      <c r="Z36" s="111"/>
      <c r="AA36" s="111"/>
      <c r="AB36" s="111"/>
      <c r="AC36" s="111"/>
      <c r="AD36" s="111"/>
      <c r="AE36" s="111"/>
      <c r="AF36" s="111"/>
      <c r="AG36" s="111"/>
      <c r="AH36" s="111"/>
      <c r="AI36" s="111"/>
      <c r="AJ36" s="111"/>
      <c r="AK36" s="111"/>
      <c r="AL36" s="111"/>
      <c r="AM36" s="111"/>
      <c r="AN36" s="111"/>
      <c r="AO36" s="111"/>
      <c r="AP36" s="111"/>
      <c r="AQ36" s="111"/>
      <c r="AR36" s="111"/>
      <c r="AS36" s="111"/>
      <c r="AT36" s="111"/>
      <c r="AU36" s="111"/>
      <c r="AV36" s="111"/>
      <c r="AW36" s="111"/>
      <c r="AX36" s="111"/>
      <c r="AY36" s="111"/>
    </row>
    <row r="37" spans="1:51" x14ac:dyDescent="0.25">
      <c r="A37" s="114"/>
      <c r="B37" s="125">
        <v>5</v>
      </c>
      <c r="C37" s="114" t="s">
        <v>292</v>
      </c>
      <c r="D37" s="111"/>
      <c r="E37" s="111"/>
      <c r="F37" s="111"/>
      <c r="G37" s="111"/>
      <c r="H37" s="111"/>
      <c r="I37" s="111"/>
      <c r="J37" s="111"/>
      <c r="K37" s="111"/>
      <c r="L37" s="111"/>
      <c r="M37" s="111"/>
      <c r="N37" s="111"/>
      <c r="O37" s="111"/>
      <c r="P37" s="111"/>
      <c r="Q37" s="111"/>
      <c r="R37" s="111"/>
      <c r="S37" s="111"/>
      <c r="T37" s="111"/>
      <c r="U37" s="111"/>
      <c r="V37" s="111"/>
      <c r="W37" s="111"/>
      <c r="X37" s="111"/>
      <c r="Y37" s="111"/>
      <c r="Z37" s="111"/>
      <c r="AA37" s="111"/>
      <c r="AB37" s="111"/>
      <c r="AC37" s="111"/>
      <c r="AD37" s="111"/>
      <c r="AE37" s="111"/>
      <c r="AF37" s="111"/>
      <c r="AG37" s="111"/>
      <c r="AH37" s="111"/>
      <c r="AI37" s="111"/>
      <c r="AJ37" s="111"/>
      <c r="AK37" s="111"/>
      <c r="AL37" s="111"/>
      <c r="AM37" s="111"/>
      <c r="AN37" s="111"/>
      <c r="AO37" s="111"/>
      <c r="AP37" s="111"/>
      <c r="AQ37" s="111"/>
      <c r="AR37" s="111"/>
      <c r="AS37" s="111"/>
      <c r="AT37" s="111"/>
      <c r="AU37" s="111"/>
      <c r="AV37" s="111"/>
      <c r="AW37" s="111"/>
      <c r="AX37" s="111"/>
      <c r="AY37" s="111"/>
    </row>
    <row r="38" spans="1:51" x14ac:dyDescent="0.25">
      <c r="A38" s="114"/>
      <c r="B38" s="125">
        <v>6</v>
      </c>
      <c r="C38" s="114" t="s">
        <v>292</v>
      </c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1"/>
      <c r="O38" s="111"/>
      <c r="P38" s="111"/>
      <c r="Q38" s="111"/>
      <c r="R38" s="111"/>
      <c r="S38" s="111"/>
      <c r="T38" s="111"/>
      <c r="U38" s="111"/>
      <c r="V38" s="111"/>
      <c r="W38" s="111"/>
      <c r="X38" s="111"/>
      <c r="Y38" s="111"/>
      <c r="Z38" s="111"/>
      <c r="AA38" s="111"/>
      <c r="AB38" s="111"/>
      <c r="AC38" s="111"/>
      <c r="AD38" s="111"/>
      <c r="AE38" s="111"/>
      <c r="AF38" s="111"/>
      <c r="AG38" s="111"/>
      <c r="AH38" s="111"/>
      <c r="AI38" s="111"/>
      <c r="AJ38" s="111"/>
      <c r="AK38" s="111"/>
      <c r="AL38" s="111"/>
      <c r="AM38" s="111"/>
      <c r="AN38" s="111"/>
      <c r="AO38" s="111"/>
      <c r="AP38" s="111"/>
      <c r="AQ38" s="111"/>
      <c r="AR38" s="111"/>
      <c r="AS38" s="111"/>
      <c r="AT38" s="111"/>
      <c r="AU38" s="111"/>
      <c r="AV38" s="111"/>
      <c r="AW38" s="111"/>
      <c r="AX38" s="111"/>
      <c r="AY38" s="111"/>
    </row>
    <row r="39" spans="1:51" x14ac:dyDescent="0.25">
      <c r="A39" s="114"/>
      <c r="B39" s="132">
        <v>7</v>
      </c>
      <c r="C39" s="114" t="s">
        <v>292</v>
      </c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1"/>
      <c r="O39" s="111"/>
      <c r="P39" s="111"/>
      <c r="Q39" s="111"/>
      <c r="R39" s="111"/>
      <c r="S39" s="111"/>
      <c r="T39" s="111"/>
      <c r="U39" s="111"/>
      <c r="V39" s="111"/>
      <c r="W39" s="111"/>
      <c r="X39" s="111"/>
      <c r="Y39" s="111"/>
      <c r="Z39" s="111"/>
      <c r="AA39" s="111"/>
      <c r="AB39" s="111"/>
      <c r="AC39" s="111"/>
      <c r="AD39" s="111"/>
      <c r="AE39" s="111"/>
      <c r="AF39" s="111"/>
      <c r="AG39" s="111"/>
      <c r="AH39" s="111"/>
      <c r="AI39" s="111"/>
      <c r="AJ39" s="111"/>
      <c r="AK39" s="111"/>
      <c r="AL39" s="111"/>
      <c r="AM39" s="111"/>
      <c r="AN39" s="111"/>
      <c r="AO39" s="111"/>
      <c r="AP39" s="111"/>
      <c r="AQ39" s="111"/>
      <c r="AR39" s="111"/>
      <c r="AS39" s="111"/>
      <c r="AT39" s="111"/>
      <c r="AU39" s="111"/>
      <c r="AV39" s="111"/>
      <c r="AW39" s="111"/>
      <c r="AX39" s="111"/>
      <c r="AY39" s="111"/>
    </row>
    <row r="40" spans="1:51" x14ac:dyDescent="0.25">
      <c r="A40" s="114"/>
      <c r="B40" s="132">
        <v>8</v>
      </c>
      <c r="C40" s="114" t="s">
        <v>292</v>
      </c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1"/>
      <c r="O40" s="111"/>
      <c r="P40" s="111"/>
      <c r="Q40" s="111"/>
      <c r="R40" s="111"/>
      <c r="S40" s="111"/>
      <c r="T40" s="111"/>
      <c r="U40" s="111"/>
      <c r="V40" s="111"/>
      <c r="W40" s="111"/>
      <c r="X40" s="111"/>
      <c r="Y40" s="111"/>
      <c r="Z40" s="111"/>
      <c r="AA40" s="111"/>
      <c r="AB40" s="111"/>
      <c r="AC40" s="111"/>
      <c r="AD40" s="111"/>
      <c r="AE40" s="111"/>
      <c r="AF40" s="111"/>
      <c r="AG40" s="111"/>
      <c r="AH40" s="111"/>
      <c r="AI40" s="111"/>
      <c r="AJ40" s="111"/>
      <c r="AK40" s="111"/>
      <c r="AL40" s="111"/>
      <c r="AM40" s="111"/>
      <c r="AN40" s="111"/>
      <c r="AO40" s="111"/>
      <c r="AP40" s="111"/>
      <c r="AQ40" s="111"/>
      <c r="AR40" s="111"/>
      <c r="AS40" s="111"/>
      <c r="AT40" s="111"/>
      <c r="AU40" s="111"/>
      <c r="AV40" s="111"/>
      <c r="AW40" s="111"/>
      <c r="AX40" s="111"/>
      <c r="AY40" s="111"/>
    </row>
    <row r="41" spans="1:51" x14ac:dyDescent="0.25">
      <c r="A41" s="114"/>
      <c r="B41" s="132">
        <v>9</v>
      </c>
      <c r="C41" s="114" t="s">
        <v>292</v>
      </c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1"/>
      <c r="O41" s="111"/>
      <c r="P41" s="111"/>
      <c r="Q41" s="111"/>
      <c r="R41" s="111"/>
      <c r="S41" s="111"/>
      <c r="T41" s="111"/>
      <c r="U41" s="111"/>
      <c r="V41" s="111"/>
      <c r="W41" s="111"/>
      <c r="X41" s="111"/>
      <c r="Y41" s="111"/>
      <c r="Z41" s="111"/>
      <c r="AA41" s="111"/>
      <c r="AB41" s="111"/>
      <c r="AC41" s="111"/>
      <c r="AD41" s="111"/>
      <c r="AE41" s="111"/>
      <c r="AF41" s="111"/>
      <c r="AG41" s="111"/>
      <c r="AH41" s="111"/>
      <c r="AI41" s="111"/>
      <c r="AJ41" s="111"/>
      <c r="AK41" s="111"/>
      <c r="AL41" s="111"/>
      <c r="AM41" s="111"/>
      <c r="AN41" s="111"/>
      <c r="AO41" s="111"/>
      <c r="AP41" s="111"/>
      <c r="AQ41" s="111"/>
      <c r="AR41" s="111"/>
      <c r="AS41" s="111"/>
      <c r="AT41" s="111"/>
      <c r="AU41" s="111"/>
      <c r="AV41" s="111"/>
      <c r="AW41" s="111"/>
      <c r="AX41" s="111"/>
      <c r="AY41" s="111"/>
    </row>
    <row r="42" spans="1:51" x14ac:dyDescent="0.25">
      <c r="A42" s="114"/>
      <c r="B42" s="135">
        <v>10</v>
      </c>
      <c r="C42" s="114" t="s">
        <v>292</v>
      </c>
      <c r="D42" s="111"/>
      <c r="E42" s="111"/>
      <c r="F42" s="111"/>
      <c r="G42" s="111"/>
      <c r="H42" s="111"/>
      <c r="I42" s="111"/>
      <c r="J42" s="111"/>
      <c r="K42" s="111"/>
      <c r="L42" s="111"/>
      <c r="M42" s="111"/>
      <c r="N42" s="111"/>
      <c r="O42" s="111"/>
      <c r="P42" s="111"/>
      <c r="Q42" s="111"/>
      <c r="R42" s="111"/>
      <c r="S42" s="111"/>
      <c r="T42" s="111"/>
      <c r="U42" s="111"/>
      <c r="V42" s="111"/>
      <c r="W42" s="111"/>
      <c r="X42" s="111"/>
      <c r="Y42" s="111"/>
      <c r="Z42" s="111"/>
      <c r="AA42" s="111"/>
      <c r="AB42" s="111"/>
      <c r="AC42" s="111"/>
      <c r="AD42" s="111"/>
      <c r="AE42" s="111"/>
      <c r="AF42" s="111"/>
      <c r="AG42" s="111"/>
      <c r="AH42" s="111"/>
      <c r="AI42" s="111"/>
      <c r="AJ42" s="111"/>
      <c r="AK42" s="111"/>
      <c r="AL42" s="111"/>
      <c r="AM42" s="111"/>
      <c r="AN42" s="111"/>
      <c r="AO42" s="111"/>
      <c r="AP42" s="111"/>
      <c r="AQ42" s="111"/>
      <c r="AR42" s="111"/>
      <c r="AS42" s="111"/>
      <c r="AT42" s="111"/>
      <c r="AU42" s="111"/>
      <c r="AV42" s="111"/>
      <c r="AW42" s="111"/>
      <c r="AX42" s="111"/>
      <c r="AY42" s="111"/>
    </row>
    <row r="43" spans="1:51" x14ac:dyDescent="0.25">
      <c r="A43" s="114"/>
      <c r="B43" s="135">
        <v>11</v>
      </c>
      <c r="C43" s="114" t="s">
        <v>292</v>
      </c>
      <c r="D43" s="111"/>
      <c r="E43" s="111"/>
      <c r="F43" s="111"/>
      <c r="G43" s="111"/>
      <c r="H43" s="111"/>
      <c r="I43" s="111"/>
      <c r="J43" s="111"/>
      <c r="K43" s="111"/>
      <c r="L43" s="111"/>
      <c r="M43" s="111"/>
      <c r="N43" s="111"/>
      <c r="O43" s="111"/>
      <c r="P43" s="111"/>
      <c r="Q43" s="111"/>
      <c r="R43" s="111"/>
      <c r="S43" s="111"/>
      <c r="T43" s="111"/>
      <c r="U43" s="111"/>
      <c r="V43" s="111"/>
      <c r="W43" s="111"/>
      <c r="X43" s="111"/>
      <c r="Y43" s="111"/>
      <c r="Z43" s="111"/>
      <c r="AA43" s="111"/>
      <c r="AB43" s="111"/>
      <c r="AC43" s="111"/>
      <c r="AD43" s="111"/>
      <c r="AE43" s="111"/>
      <c r="AF43" s="111"/>
      <c r="AG43" s="111"/>
      <c r="AH43" s="111"/>
      <c r="AI43" s="111"/>
      <c r="AJ43" s="111"/>
      <c r="AK43" s="111"/>
      <c r="AL43" s="111"/>
      <c r="AM43" s="111"/>
      <c r="AN43" s="111"/>
      <c r="AO43" s="111"/>
      <c r="AP43" s="111"/>
      <c r="AQ43" s="111"/>
      <c r="AR43" s="111"/>
      <c r="AS43" s="111"/>
      <c r="AT43" s="111"/>
      <c r="AU43" s="111"/>
      <c r="AV43" s="111"/>
      <c r="AW43" s="111"/>
      <c r="AX43" s="111"/>
      <c r="AY43" s="111"/>
    </row>
    <row r="44" spans="1:51" x14ac:dyDescent="0.25">
      <c r="A44" s="114"/>
      <c r="B44" s="135">
        <v>12</v>
      </c>
      <c r="C44" s="133" t="s">
        <v>292</v>
      </c>
      <c r="D44" s="111">
        <v>0</v>
      </c>
      <c r="E44" s="111">
        <v>0</v>
      </c>
      <c r="F44" s="111">
        <v>0</v>
      </c>
      <c r="G44" s="111">
        <v>0</v>
      </c>
      <c r="H44" s="111">
        <v>0</v>
      </c>
      <c r="I44" s="111">
        <v>0</v>
      </c>
      <c r="J44" s="111">
        <v>0</v>
      </c>
      <c r="K44" s="111">
        <v>0</v>
      </c>
      <c r="L44" s="111">
        <v>0</v>
      </c>
      <c r="M44" s="111">
        <v>0</v>
      </c>
      <c r="N44" s="111">
        <v>0</v>
      </c>
      <c r="O44" s="111">
        <v>0</v>
      </c>
      <c r="P44" s="111">
        <v>0</v>
      </c>
      <c r="Q44" s="111">
        <v>0</v>
      </c>
      <c r="R44" s="111">
        <v>0</v>
      </c>
      <c r="S44" s="111">
        <v>0</v>
      </c>
      <c r="T44" s="111">
        <v>0</v>
      </c>
      <c r="U44" s="111">
        <v>0</v>
      </c>
      <c r="V44" s="111">
        <v>0</v>
      </c>
      <c r="W44" s="111">
        <v>0</v>
      </c>
      <c r="X44" s="111">
        <v>0</v>
      </c>
      <c r="Y44" s="111">
        <v>0</v>
      </c>
      <c r="Z44" s="111">
        <v>0</v>
      </c>
      <c r="AA44" s="111">
        <v>0</v>
      </c>
      <c r="AB44" s="111">
        <v>0</v>
      </c>
      <c r="AC44" s="111">
        <v>0</v>
      </c>
      <c r="AD44" s="111">
        <v>0</v>
      </c>
      <c r="AE44" s="111">
        <v>0</v>
      </c>
      <c r="AF44" s="111">
        <v>0</v>
      </c>
      <c r="AG44" s="111">
        <v>0</v>
      </c>
      <c r="AH44" s="111">
        <v>0</v>
      </c>
      <c r="AI44" s="111">
        <v>0</v>
      </c>
      <c r="AJ44" s="111">
        <v>0</v>
      </c>
      <c r="AK44" s="111">
        <v>0</v>
      </c>
      <c r="AL44" s="111">
        <v>0</v>
      </c>
      <c r="AM44" s="111">
        <v>0</v>
      </c>
      <c r="AN44" s="111">
        <v>0</v>
      </c>
      <c r="AO44" s="111">
        <v>0</v>
      </c>
      <c r="AP44" s="111">
        <v>0</v>
      </c>
      <c r="AQ44" s="111">
        <v>0</v>
      </c>
      <c r="AR44" s="111">
        <v>0</v>
      </c>
      <c r="AS44" s="111">
        <v>0</v>
      </c>
      <c r="AT44" s="111">
        <v>0</v>
      </c>
      <c r="AU44" s="111">
        <v>0</v>
      </c>
      <c r="AV44" s="111">
        <v>0</v>
      </c>
      <c r="AW44" s="111">
        <v>0</v>
      </c>
      <c r="AX44" s="111">
        <v>0</v>
      </c>
      <c r="AY44" s="111">
        <v>0</v>
      </c>
    </row>
    <row r="45" spans="1:51" x14ac:dyDescent="0.25">
      <c r="A45" s="131" t="s">
        <v>123</v>
      </c>
      <c r="B45" s="128">
        <v>1</v>
      </c>
      <c r="C45" s="114" t="s">
        <v>292</v>
      </c>
      <c r="D45" s="129"/>
      <c r="E45" s="129"/>
      <c r="F45" s="129"/>
      <c r="G45" s="129"/>
      <c r="H45" s="129"/>
      <c r="I45" s="129"/>
      <c r="J45" s="129"/>
      <c r="K45" s="129"/>
      <c r="L45" s="129"/>
      <c r="M45" s="129"/>
      <c r="N45" s="129"/>
      <c r="O45" s="129"/>
      <c r="P45" s="129"/>
      <c r="Q45" s="129"/>
      <c r="R45" s="129"/>
      <c r="S45" s="129"/>
      <c r="T45" s="129"/>
      <c r="U45" s="129"/>
      <c r="V45" s="129"/>
      <c r="W45" s="129"/>
      <c r="X45" s="129"/>
      <c r="Y45" s="129"/>
      <c r="Z45" s="129"/>
      <c r="AA45" s="129"/>
      <c r="AB45" s="129"/>
      <c r="AC45" s="129"/>
      <c r="AD45" s="129"/>
      <c r="AE45" s="129"/>
      <c r="AF45" s="129"/>
      <c r="AG45" s="129"/>
      <c r="AH45" s="129"/>
      <c r="AI45" s="129"/>
      <c r="AJ45" s="129"/>
      <c r="AK45" s="129"/>
      <c r="AL45" s="129"/>
      <c r="AM45" s="129"/>
      <c r="AN45" s="129"/>
      <c r="AO45" s="129"/>
      <c r="AP45" s="129"/>
      <c r="AQ45" s="129"/>
      <c r="AR45" s="129"/>
      <c r="AS45" s="129"/>
      <c r="AT45" s="129"/>
      <c r="AU45" s="129"/>
      <c r="AV45" s="129"/>
      <c r="AW45" s="129"/>
      <c r="AX45" s="129"/>
      <c r="AY45" s="129"/>
    </row>
    <row r="46" spans="1:51" x14ac:dyDescent="0.25">
      <c r="A46" s="114"/>
      <c r="B46" s="124">
        <v>2</v>
      </c>
      <c r="C46" s="114" t="s">
        <v>292</v>
      </c>
      <c r="D46" s="115"/>
      <c r="E46" s="115"/>
      <c r="F46" s="115"/>
      <c r="G46" s="115"/>
      <c r="H46" s="115"/>
      <c r="I46" s="115"/>
      <c r="J46" s="115"/>
      <c r="K46" s="115"/>
      <c r="L46" s="115"/>
      <c r="M46" s="115"/>
      <c r="N46" s="115"/>
      <c r="O46" s="115"/>
      <c r="P46" s="115"/>
      <c r="Q46" s="115"/>
      <c r="R46" s="115"/>
      <c r="S46" s="115"/>
      <c r="T46" s="115"/>
      <c r="U46" s="115"/>
      <c r="V46" s="115"/>
      <c r="W46" s="115"/>
      <c r="X46" s="115"/>
      <c r="Y46" s="115"/>
      <c r="Z46" s="115"/>
      <c r="AA46" s="115"/>
      <c r="AB46" s="115"/>
      <c r="AC46" s="115"/>
      <c r="AD46" s="115"/>
      <c r="AE46" s="115"/>
      <c r="AF46" s="115"/>
      <c r="AG46" s="115"/>
      <c r="AH46" s="115"/>
      <c r="AI46" s="115"/>
      <c r="AJ46" s="115"/>
      <c r="AK46" s="115"/>
      <c r="AL46" s="115"/>
      <c r="AM46" s="115"/>
      <c r="AN46" s="115"/>
      <c r="AO46" s="115"/>
      <c r="AP46" s="115"/>
      <c r="AQ46" s="115"/>
      <c r="AR46" s="115"/>
      <c r="AS46" s="115"/>
      <c r="AT46" s="115"/>
      <c r="AU46" s="115"/>
      <c r="AV46" s="115"/>
      <c r="AW46" s="115"/>
      <c r="AX46" s="115"/>
      <c r="AY46" s="115"/>
    </row>
    <row r="47" spans="1:51" x14ac:dyDescent="0.25">
      <c r="A47" s="114"/>
      <c r="B47" s="124">
        <v>3</v>
      </c>
      <c r="C47" s="114" t="s">
        <v>292</v>
      </c>
      <c r="D47" s="115"/>
      <c r="E47" s="115"/>
      <c r="F47" s="115"/>
      <c r="G47" s="115"/>
      <c r="H47" s="115"/>
      <c r="I47" s="115"/>
      <c r="J47" s="115"/>
      <c r="K47" s="115"/>
      <c r="L47" s="115"/>
      <c r="M47" s="115"/>
      <c r="N47" s="115"/>
      <c r="O47" s="115"/>
      <c r="P47" s="115"/>
      <c r="Q47" s="115"/>
      <c r="R47" s="115"/>
      <c r="S47" s="115"/>
      <c r="T47" s="115"/>
      <c r="U47" s="115"/>
      <c r="V47" s="115"/>
      <c r="W47" s="115"/>
      <c r="X47" s="115"/>
      <c r="Y47" s="115"/>
      <c r="Z47" s="115"/>
      <c r="AA47" s="115"/>
      <c r="AB47" s="115"/>
      <c r="AC47" s="115"/>
      <c r="AD47" s="115"/>
      <c r="AE47" s="115"/>
      <c r="AF47" s="115"/>
      <c r="AG47" s="115"/>
      <c r="AH47" s="115"/>
      <c r="AI47" s="115"/>
      <c r="AJ47" s="115"/>
      <c r="AK47" s="115"/>
      <c r="AL47" s="115"/>
      <c r="AM47" s="115"/>
      <c r="AN47" s="115"/>
      <c r="AO47" s="115"/>
      <c r="AP47" s="115"/>
      <c r="AQ47" s="115"/>
      <c r="AR47" s="115"/>
      <c r="AS47" s="115"/>
      <c r="AT47" s="115"/>
      <c r="AU47" s="115"/>
      <c r="AV47" s="115"/>
      <c r="AW47" s="115"/>
      <c r="AX47" s="115"/>
      <c r="AY47" s="115"/>
    </row>
    <row r="48" spans="1:51" x14ac:dyDescent="0.25">
      <c r="A48" s="114"/>
      <c r="B48" s="124">
        <v>4</v>
      </c>
      <c r="C48" s="114" t="s">
        <v>292</v>
      </c>
      <c r="D48" s="115"/>
      <c r="E48" s="115"/>
      <c r="F48" s="115"/>
      <c r="G48" s="115"/>
      <c r="H48" s="115"/>
      <c r="I48" s="115"/>
      <c r="J48" s="115"/>
      <c r="K48" s="115"/>
      <c r="L48" s="115"/>
      <c r="M48" s="115"/>
      <c r="N48" s="115"/>
      <c r="O48" s="115"/>
      <c r="P48" s="115"/>
      <c r="Q48" s="115"/>
      <c r="R48" s="115"/>
      <c r="S48" s="115"/>
      <c r="T48" s="115"/>
      <c r="U48" s="115"/>
      <c r="V48" s="115"/>
      <c r="W48" s="115"/>
      <c r="X48" s="115"/>
      <c r="Y48" s="115"/>
      <c r="Z48" s="115"/>
      <c r="AA48" s="115"/>
      <c r="AB48" s="115"/>
      <c r="AC48" s="115"/>
      <c r="AD48" s="115"/>
      <c r="AE48" s="115"/>
      <c r="AF48" s="115"/>
      <c r="AG48" s="115"/>
      <c r="AH48" s="115"/>
      <c r="AI48" s="115"/>
      <c r="AJ48" s="115"/>
      <c r="AK48" s="115"/>
      <c r="AL48" s="115"/>
      <c r="AM48" s="115"/>
      <c r="AN48" s="115"/>
      <c r="AO48" s="115"/>
      <c r="AP48" s="115"/>
      <c r="AQ48" s="115"/>
      <c r="AR48" s="115"/>
      <c r="AS48" s="115"/>
      <c r="AT48" s="115"/>
      <c r="AU48" s="115"/>
      <c r="AV48" s="115"/>
      <c r="AW48" s="115"/>
      <c r="AX48" s="115"/>
      <c r="AY48" s="115"/>
    </row>
    <row r="49" spans="1:51" x14ac:dyDescent="0.25">
      <c r="A49" s="114"/>
      <c r="B49" s="124">
        <v>5</v>
      </c>
      <c r="C49" s="114" t="s">
        <v>292</v>
      </c>
      <c r="D49" s="115"/>
      <c r="E49" s="115"/>
      <c r="F49" s="115"/>
      <c r="G49" s="115"/>
      <c r="H49" s="115"/>
      <c r="I49" s="115"/>
      <c r="J49" s="115"/>
      <c r="K49" s="115"/>
      <c r="L49" s="115"/>
      <c r="M49" s="115"/>
      <c r="N49" s="115"/>
      <c r="O49" s="115"/>
      <c r="P49" s="115"/>
      <c r="Q49" s="115"/>
      <c r="R49" s="115"/>
      <c r="S49" s="115"/>
      <c r="T49" s="115"/>
      <c r="U49" s="115"/>
      <c r="V49" s="115"/>
      <c r="W49" s="115"/>
      <c r="X49" s="115"/>
      <c r="Y49" s="115"/>
      <c r="Z49" s="115"/>
      <c r="AA49" s="115"/>
      <c r="AB49" s="115"/>
      <c r="AC49" s="115"/>
      <c r="AD49" s="115"/>
      <c r="AE49" s="115"/>
      <c r="AF49" s="115"/>
      <c r="AG49" s="115"/>
      <c r="AH49" s="115"/>
      <c r="AI49" s="115"/>
      <c r="AJ49" s="115"/>
      <c r="AK49" s="115"/>
      <c r="AL49" s="115"/>
      <c r="AM49" s="115"/>
      <c r="AN49" s="115"/>
      <c r="AO49" s="115"/>
      <c r="AP49" s="115"/>
      <c r="AQ49" s="115"/>
      <c r="AR49" s="115"/>
      <c r="AS49" s="115"/>
      <c r="AT49" s="115"/>
      <c r="AU49" s="115"/>
      <c r="AV49" s="115"/>
      <c r="AW49" s="115"/>
      <c r="AX49" s="115"/>
      <c r="AY49" s="115"/>
    </row>
    <row r="50" spans="1:51" x14ac:dyDescent="0.25">
      <c r="A50" s="114"/>
      <c r="B50" s="124">
        <v>6</v>
      </c>
      <c r="C50" s="114" t="s">
        <v>292</v>
      </c>
      <c r="D50" s="115"/>
      <c r="E50" s="115"/>
      <c r="F50" s="115"/>
      <c r="G50" s="115"/>
      <c r="H50" s="115"/>
      <c r="I50" s="115"/>
      <c r="J50" s="115"/>
      <c r="K50" s="115"/>
      <c r="L50" s="115"/>
      <c r="M50" s="115"/>
      <c r="N50" s="115"/>
      <c r="O50" s="115"/>
      <c r="P50" s="115"/>
      <c r="Q50" s="115"/>
      <c r="R50" s="115"/>
      <c r="S50" s="115"/>
      <c r="T50" s="115"/>
      <c r="U50" s="115"/>
      <c r="V50" s="115"/>
      <c r="W50" s="115"/>
      <c r="X50" s="115"/>
      <c r="Y50" s="115"/>
      <c r="Z50" s="115"/>
      <c r="AA50" s="115"/>
      <c r="AB50" s="115"/>
      <c r="AC50" s="115"/>
      <c r="AD50" s="115"/>
      <c r="AE50" s="115"/>
      <c r="AF50" s="115"/>
      <c r="AG50" s="115"/>
      <c r="AH50" s="115"/>
      <c r="AI50" s="115"/>
      <c r="AJ50" s="115"/>
      <c r="AK50" s="115"/>
      <c r="AL50" s="115"/>
      <c r="AM50" s="115"/>
      <c r="AN50" s="115"/>
      <c r="AO50" s="115"/>
      <c r="AP50" s="115"/>
      <c r="AQ50" s="115"/>
      <c r="AR50" s="115"/>
      <c r="AS50" s="115"/>
      <c r="AT50" s="115"/>
      <c r="AU50" s="115"/>
      <c r="AV50" s="115"/>
      <c r="AW50" s="115"/>
      <c r="AX50" s="115"/>
      <c r="AY50" s="115"/>
    </row>
    <row r="51" spans="1:51" x14ac:dyDescent="0.25">
      <c r="A51" s="114"/>
      <c r="B51" s="124">
        <v>7</v>
      </c>
      <c r="C51" s="114" t="s">
        <v>292</v>
      </c>
      <c r="D51" s="115"/>
      <c r="E51" s="115"/>
      <c r="F51" s="115"/>
      <c r="G51" s="115"/>
      <c r="H51" s="115"/>
      <c r="I51" s="115"/>
      <c r="J51" s="115"/>
      <c r="K51" s="115"/>
      <c r="L51" s="115"/>
      <c r="M51" s="115"/>
      <c r="N51" s="115"/>
      <c r="O51" s="115"/>
      <c r="P51" s="115"/>
      <c r="Q51" s="115"/>
      <c r="R51" s="115"/>
      <c r="S51" s="115"/>
      <c r="T51" s="115"/>
      <c r="U51" s="115"/>
      <c r="V51" s="115"/>
      <c r="W51" s="115"/>
      <c r="X51" s="115"/>
      <c r="Y51" s="115"/>
      <c r="Z51" s="115"/>
      <c r="AA51" s="115"/>
      <c r="AB51" s="115"/>
      <c r="AC51" s="115"/>
      <c r="AD51" s="115"/>
      <c r="AE51" s="115"/>
      <c r="AF51" s="115"/>
      <c r="AG51" s="115"/>
      <c r="AH51" s="115"/>
      <c r="AI51" s="115"/>
      <c r="AJ51" s="115"/>
      <c r="AK51" s="115"/>
      <c r="AL51" s="115"/>
      <c r="AM51" s="115"/>
      <c r="AN51" s="115"/>
      <c r="AO51" s="115"/>
      <c r="AP51" s="115"/>
      <c r="AQ51" s="115"/>
      <c r="AR51" s="115"/>
      <c r="AS51" s="115"/>
      <c r="AT51" s="115"/>
      <c r="AU51" s="115"/>
      <c r="AV51" s="115"/>
      <c r="AW51" s="115"/>
      <c r="AX51" s="115"/>
      <c r="AY51" s="115"/>
    </row>
    <row r="52" spans="1:51" x14ac:dyDescent="0.25">
      <c r="A52" s="114"/>
      <c r="B52" s="124">
        <v>8</v>
      </c>
      <c r="C52" s="114" t="s">
        <v>292</v>
      </c>
      <c r="D52" s="115"/>
      <c r="E52" s="115"/>
      <c r="F52" s="115"/>
      <c r="G52" s="115"/>
      <c r="H52" s="115"/>
      <c r="I52" s="115"/>
      <c r="J52" s="115"/>
      <c r="K52" s="115"/>
      <c r="L52" s="115"/>
      <c r="M52" s="115"/>
      <c r="N52" s="115"/>
      <c r="O52" s="115"/>
      <c r="P52" s="115"/>
      <c r="Q52" s="115"/>
      <c r="R52" s="115"/>
      <c r="S52" s="115"/>
      <c r="T52" s="115"/>
      <c r="U52" s="115"/>
      <c r="V52" s="115"/>
      <c r="W52" s="115"/>
      <c r="X52" s="115"/>
      <c r="Y52" s="115"/>
      <c r="Z52" s="115"/>
      <c r="AA52" s="115"/>
      <c r="AB52" s="115"/>
      <c r="AC52" s="115"/>
      <c r="AD52" s="115"/>
      <c r="AE52" s="115"/>
      <c r="AF52" s="115"/>
      <c r="AG52" s="115"/>
      <c r="AH52" s="115"/>
      <c r="AI52" s="115"/>
      <c r="AJ52" s="115"/>
      <c r="AK52" s="115"/>
      <c r="AL52" s="115"/>
      <c r="AM52" s="115"/>
      <c r="AN52" s="115"/>
      <c r="AO52" s="115"/>
      <c r="AP52" s="115"/>
      <c r="AQ52" s="115"/>
      <c r="AR52" s="115"/>
      <c r="AS52" s="115"/>
      <c r="AT52" s="115"/>
      <c r="AU52" s="115"/>
      <c r="AV52" s="115"/>
      <c r="AW52" s="115"/>
      <c r="AX52" s="115"/>
      <c r="AY52" s="115"/>
    </row>
    <row r="53" spans="1:51" x14ac:dyDescent="0.25">
      <c r="A53" s="114"/>
      <c r="B53" s="124">
        <v>9</v>
      </c>
      <c r="C53" s="114" t="s">
        <v>292</v>
      </c>
      <c r="D53" s="115"/>
      <c r="E53" s="115"/>
      <c r="F53" s="115"/>
      <c r="G53" s="115"/>
      <c r="H53" s="115"/>
      <c r="I53" s="115"/>
      <c r="J53" s="115"/>
      <c r="K53" s="115"/>
      <c r="L53" s="115"/>
      <c r="M53" s="115"/>
      <c r="N53" s="115"/>
      <c r="O53" s="115"/>
      <c r="P53" s="115"/>
      <c r="Q53" s="115"/>
      <c r="R53" s="115"/>
      <c r="S53" s="115"/>
      <c r="T53" s="115"/>
      <c r="U53" s="115"/>
      <c r="V53" s="115"/>
      <c r="W53" s="115"/>
      <c r="X53" s="115"/>
      <c r="Y53" s="115"/>
      <c r="Z53" s="115"/>
      <c r="AA53" s="115"/>
      <c r="AB53" s="115"/>
      <c r="AC53" s="115"/>
      <c r="AD53" s="115"/>
      <c r="AE53" s="115"/>
      <c r="AF53" s="115"/>
      <c r="AG53" s="115"/>
      <c r="AH53" s="115"/>
      <c r="AI53" s="115"/>
      <c r="AJ53" s="115"/>
      <c r="AK53" s="115"/>
      <c r="AL53" s="115"/>
      <c r="AM53" s="115"/>
      <c r="AN53" s="115"/>
      <c r="AO53" s="115"/>
      <c r="AP53" s="115"/>
      <c r="AQ53" s="115"/>
      <c r="AR53" s="115"/>
      <c r="AS53" s="115"/>
      <c r="AT53" s="115"/>
      <c r="AU53" s="115"/>
      <c r="AV53" s="115"/>
      <c r="AW53" s="115"/>
      <c r="AX53" s="115"/>
      <c r="AY53" s="115"/>
    </row>
    <row r="54" spans="1:51" x14ac:dyDescent="0.25">
      <c r="A54" s="114"/>
      <c r="B54" s="124">
        <v>10</v>
      </c>
      <c r="C54" s="114" t="s">
        <v>292</v>
      </c>
      <c r="D54" s="115"/>
      <c r="E54" s="115"/>
      <c r="F54" s="115"/>
      <c r="G54" s="115"/>
      <c r="H54" s="115"/>
      <c r="I54" s="115"/>
      <c r="J54" s="115"/>
      <c r="K54" s="115"/>
      <c r="L54" s="115"/>
      <c r="M54" s="115"/>
      <c r="N54" s="115"/>
      <c r="O54" s="115"/>
      <c r="P54" s="115"/>
      <c r="Q54" s="115"/>
      <c r="R54" s="115"/>
      <c r="S54" s="115"/>
      <c r="T54" s="115"/>
      <c r="U54" s="115"/>
      <c r="V54" s="115"/>
      <c r="W54" s="115"/>
      <c r="X54" s="115"/>
      <c r="Y54" s="115"/>
      <c r="Z54" s="115"/>
      <c r="AA54" s="115"/>
      <c r="AB54" s="115"/>
      <c r="AC54" s="115"/>
      <c r="AD54" s="115"/>
      <c r="AE54" s="115"/>
      <c r="AF54" s="115"/>
      <c r="AG54" s="115"/>
      <c r="AH54" s="115"/>
      <c r="AI54" s="115"/>
      <c r="AJ54" s="115"/>
      <c r="AK54" s="115"/>
      <c r="AL54" s="115"/>
      <c r="AM54" s="115"/>
      <c r="AN54" s="115"/>
      <c r="AO54" s="115"/>
      <c r="AP54" s="115"/>
      <c r="AQ54" s="115"/>
      <c r="AR54" s="115"/>
      <c r="AS54" s="115"/>
      <c r="AT54" s="115"/>
      <c r="AU54" s="115"/>
      <c r="AV54" s="115"/>
      <c r="AW54" s="115"/>
      <c r="AX54" s="115"/>
      <c r="AY54" s="115"/>
    </row>
    <row r="55" spans="1:51" x14ac:dyDescent="0.25">
      <c r="A55" s="114"/>
      <c r="B55" s="124">
        <v>11</v>
      </c>
      <c r="C55" s="114" t="s">
        <v>292</v>
      </c>
      <c r="D55" s="115"/>
      <c r="E55" s="115"/>
      <c r="F55" s="115"/>
      <c r="G55" s="115"/>
      <c r="H55" s="115"/>
      <c r="I55" s="115"/>
      <c r="J55" s="115"/>
      <c r="K55" s="115"/>
      <c r="L55" s="115"/>
      <c r="M55" s="115"/>
      <c r="N55" s="115"/>
      <c r="O55" s="115"/>
      <c r="P55" s="115"/>
      <c r="Q55" s="115"/>
      <c r="R55" s="115"/>
      <c r="S55" s="115"/>
      <c r="T55" s="115"/>
      <c r="U55" s="115"/>
      <c r="V55" s="115"/>
      <c r="W55" s="115"/>
      <c r="X55" s="115"/>
      <c r="Y55" s="115"/>
      <c r="Z55" s="115"/>
      <c r="AA55" s="115"/>
      <c r="AB55" s="115"/>
      <c r="AC55" s="115"/>
      <c r="AD55" s="115"/>
      <c r="AE55" s="115"/>
      <c r="AF55" s="115"/>
      <c r="AG55" s="115"/>
      <c r="AH55" s="115"/>
      <c r="AI55" s="115"/>
      <c r="AJ55" s="115"/>
      <c r="AK55" s="115"/>
      <c r="AL55" s="115"/>
      <c r="AM55" s="115"/>
      <c r="AN55" s="115"/>
      <c r="AO55" s="115"/>
      <c r="AP55" s="115"/>
      <c r="AQ55" s="115"/>
      <c r="AR55" s="115"/>
      <c r="AS55" s="115"/>
      <c r="AT55" s="115"/>
      <c r="AU55" s="115"/>
      <c r="AV55" s="115"/>
      <c r="AW55" s="115"/>
      <c r="AX55" s="115"/>
      <c r="AY55" s="115"/>
    </row>
    <row r="56" spans="1:51" x14ac:dyDescent="0.25">
      <c r="A56" s="114"/>
      <c r="B56" s="124">
        <v>12</v>
      </c>
      <c r="C56" s="114" t="s">
        <v>292</v>
      </c>
      <c r="D56" s="115"/>
      <c r="E56" s="115"/>
      <c r="F56" s="115"/>
      <c r="G56" s="115"/>
      <c r="H56" s="115"/>
      <c r="I56" s="115"/>
      <c r="J56" s="115"/>
      <c r="K56" s="115"/>
      <c r="L56" s="115"/>
      <c r="M56" s="115"/>
      <c r="N56" s="115"/>
      <c r="O56" s="115"/>
      <c r="P56" s="115"/>
      <c r="Q56" s="115"/>
      <c r="R56" s="115"/>
      <c r="S56" s="115"/>
      <c r="T56" s="115"/>
      <c r="U56" s="115"/>
      <c r="V56" s="115"/>
      <c r="W56" s="115"/>
      <c r="X56" s="115"/>
      <c r="Y56" s="115"/>
      <c r="Z56" s="115"/>
      <c r="AA56" s="115"/>
      <c r="AB56" s="115"/>
      <c r="AC56" s="115"/>
      <c r="AD56" s="115"/>
      <c r="AE56" s="115"/>
      <c r="AF56" s="115"/>
      <c r="AG56" s="115"/>
      <c r="AH56" s="115"/>
      <c r="AI56" s="115"/>
      <c r="AJ56" s="115"/>
      <c r="AK56" s="115"/>
      <c r="AL56" s="115"/>
      <c r="AM56" s="115"/>
      <c r="AN56" s="115"/>
      <c r="AO56" s="115"/>
      <c r="AP56" s="115"/>
      <c r="AQ56" s="115"/>
      <c r="AR56" s="115"/>
      <c r="AS56" s="115"/>
      <c r="AT56" s="115"/>
      <c r="AU56" s="115"/>
      <c r="AV56" s="115"/>
      <c r="AW56" s="115"/>
      <c r="AX56" s="115"/>
      <c r="AY56" s="115"/>
    </row>
    <row r="57" spans="1:51" x14ac:dyDescent="0.25">
      <c r="A57" s="114"/>
      <c r="B57" s="125">
        <v>13</v>
      </c>
      <c r="C57" s="114" t="s">
        <v>292</v>
      </c>
      <c r="D57" s="115"/>
      <c r="E57" s="115"/>
      <c r="F57" s="115"/>
      <c r="G57" s="115"/>
      <c r="H57" s="115"/>
      <c r="I57" s="115"/>
      <c r="J57" s="115"/>
      <c r="K57" s="115"/>
      <c r="L57" s="115"/>
      <c r="M57" s="115"/>
      <c r="N57" s="115"/>
      <c r="O57" s="115"/>
      <c r="P57" s="115"/>
      <c r="Q57" s="115"/>
      <c r="R57" s="115"/>
      <c r="S57" s="115"/>
      <c r="T57" s="115"/>
      <c r="U57" s="115"/>
      <c r="V57" s="115"/>
      <c r="W57" s="115"/>
      <c r="X57" s="115"/>
      <c r="Y57" s="115"/>
      <c r="Z57" s="115"/>
      <c r="AA57" s="115"/>
      <c r="AB57" s="115"/>
      <c r="AC57" s="115"/>
      <c r="AD57" s="115"/>
      <c r="AE57" s="115"/>
      <c r="AF57" s="115"/>
      <c r="AG57" s="115"/>
      <c r="AH57" s="115"/>
      <c r="AI57" s="115"/>
      <c r="AJ57" s="115"/>
      <c r="AK57" s="115"/>
      <c r="AL57" s="115"/>
      <c r="AM57" s="115"/>
      <c r="AN57" s="115"/>
      <c r="AO57" s="115"/>
      <c r="AP57" s="115"/>
      <c r="AQ57" s="115"/>
      <c r="AR57" s="115"/>
      <c r="AS57" s="115"/>
      <c r="AT57" s="115"/>
      <c r="AU57" s="115"/>
      <c r="AV57" s="115"/>
      <c r="AW57" s="115"/>
      <c r="AX57" s="115"/>
      <c r="AY57" s="115"/>
    </row>
    <row r="58" spans="1:51" x14ac:dyDescent="0.25">
      <c r="A58" s="114"/>
      <c r="B58" s="125">
        <v>14</v>
      </c>
      <c r="C58" s="114" t="s">
        <v>292</v>
      </c>
      <c r="D58" s="115"/>
      <c r="E58" s="115"/>
      <c r="F58" s="115"/>
      <c r="G58" s="115"/>
      <c r="H58" s="115"/>
      <c r="I58" s="115"/>
      <c r="J58" s="115"/>
      <c r="K58" s="115"/>
      <c r="L58" s="115"/>
      <c r="M58" s="115"/>
      <c r="N58" s="115"/>
      <c r="O58" s="115"/>
      <c r="P58" s="115"/>
      <c r="Q58" s="115"/>
      <c r="R58" s="115"/>
      <c r="S58" s="115"/>
      <c r="T58" s="115"/>
      <c r="U58" s="115"/>
      <c r="V58" s="115"/>
      <c r="W58" s="115"/>
      <c r="X58" s="115"/>
      <c r="Y58" s="115"/>
      <c r="Z58" s="115"/>
      <c r="AA58" s="115"/>
      <c r="AB58" s="115"/>
      <c r="AC58" s="115"/>
      <c r="AD58" s="115"/>
      <c r="AE58" s="115"/>
      <c r="AF58" s="115"/>
      <c r="AG58" s="115"/>
      <c r="AH58" s="115"/>
      <c r="AI58" s="115"/>
      <c r="AJ58" s="115"/>
      <c r="AK58" s="115"/>
      <c r="AL58" s="115"/>
      <c r="AM58" s="115"/>
      <c r="AN58" s="115"/>
      <c r="AO58" s="115"/>
      <c r="AP58" s="115"/>
      <c r="AQ58" s="115"/>
      <c r="AR58" s="115"/>
      <c r="AS58" s="115"/>
      <c r="AT58" s="115"/>
      <c r="AU58" s="115"/>
      <c r="AV58" s="115"/>
      <c r="AW58" s="115"/>
      <c r="AX58" s="115"/>
      <c r="AY58" s="115"/>
    </row>
    <row r="59" spans="1:51" x14ac:dyDescent="0.25">
      <c r="A59" s="114"/>
      <c r="B59" s="125">
        <v>15</v>
      </c>
      <c r="C59" s="114" t="s">
        <v>292</v>
      </c>
      <c r="D59" s="115"/>
      <c r="E59" s="115"/>
      <c r="F59" s="115"/>
      <c r="G59" s="115"/>
      <c r="H59" s="115"/>
      <c r="I59" s="115"/>
      <c r="J59" s="115"/>
      <c r="K59" s="115"/>
      <c r="L59" s="115"/>
      <c r="M59" s="115"/>
      <c r="N59" s="115"/>
      <c r="O59" s="115"/>
      <c r="P59" s="115"/>
      <c r="Q59" s="115"/>
      <c r="R59" s="115"/>
      <c r="S59" s="115"/>
      <c r="T59" s="115"/>
      <c r="U59" s="115"/>
      <c r="V59" s="115"/>
      <c r="W59" s="115"/>
      <c r="X59" s="115"/>
      <c r="Y59" s="115"/>
      <c r="Z59" s="115"/>
      <c r="AA59" s="115"/>
      <c r="AB59" s="115"/>
      <c r="AC59" s="115"/>
      <c r="AD59" s="115"/>
      <c r="AE59" s="115"/>
      <c r="AF59" s="115"/>
      <c r="AG59" s="115"/>
      <c r="AH59" s="115"/>
      <c r="AI59" s="115"/>
      <c r="AJ59" s="115"/>
      <c r="AK59" s="115"/>
      <c r="AL59" s="115"/>
      <c r="AM59" s="115"/>
      <c r="AN59" s="115"/>
      <c r="AO59" s="115"/>
      <c r="AP59" s="115"/>
      <c r="AQ59" s="115"/>
      <c r="AR59" s="115"/>
      <c r="AS59" s="115"/>
      <c r="AT59" s="115"/>
      <c r="AU59" s="115"/>
      <c r="AV59" s="115"/>
      <c r="AW59" s="115"/>
      <c r="AX59" s="115"/>
      <c r="AY59" s="115"/>
    </row>
    <row r="60" spans="1:51" x14ac:dyDescent="0.25">
      <c r="A60" s="114"/>
      <c r="B60" s="125">
        <v>16</v>
      </c>
      <c r="C60" s="114" t="s">
        <v>292</v>
      </c>
      <c r="D60" s="115"/>
      <c r="E60" s="115"/>
      <c r="F60" s="115"/>
      <c r="G60" s="115"/>
      <c r="H60" s="115"/>
      <c r="I60" s="115"/>
      <c r="J60" s="115"/>
      <c r="K60" s="115"/>
      <c r="L60" s="115"/>
      <c r="M60" s="115"/>
      <c r="N60" s="115"/>
      <c r="O60" s="115"/>
      <c r="P60" s="115"/>
      <c r="Q60" s="115"/>
      <c r="R60" s="115"/>
      <c r="S60" s="115"/>
      <c r="T60" s="115"/>
      <c r="U60" s="115"/>
      <c r="V60" s="115"/>
      <c r="W60" s="115"/>
      <c r="X60" s="115"/>
      <c r="Y60" s="115"/>
      <c r="Z60" s="115"/>
      <c r="AA60" s="115"/>
      <c r="AB60" s="115"/>
      <c r="AC60" s="115"/>
      <c r="AD60" s="115"/>
      <c r="AE60" s="115"/>
      <c r="AF60" s="115"/>
      <c r="AG60" s="115"/>
      <c r="AH60" s="115"/>
      <c r="AI60" s="115"/>
      <c r="AJ60" s="115"/>
      <c r="AK60" s="115"/>
      <c r="AL60" s="115"/>
      <c r="AM60" s="115"/>
      <c r="AN60" s="115"/>
      <c r="AO60" s="115"/>
      <c r="AP60" s="115"/>
      <c r="AQ60" s="115"/>
      <c r="AR60" s="115"/>
      <c r="AS60" s="115"/>
      <c r="AT60" s="115"/>
      <c r="AU60" s="115"/>
      <c r="AV60" s="115"/>
      <c r="AW60" s="115"/>
      <c r="AX60" s="115"/>
      <c r="AY60" s="115"/>
    </row>
    <row r="61" spans="1:51" x14ac:dyDescent="0.25">
      <c r="A61" s="114"/>
      <c r="B61" s="125">
        <v>17</v>
      </c>
      <c r="C61" s="114" t="s">
        <v>292</v>
      </c>
      <c r="D61" s="115"/>
      <c r="E61" s="115"/>
      <c r="F61" s="115"/>
      <c r="G61" s="115"/>
      <c r="H61" s="115"/>
      <c r="I61" s="115"/>
      <c r="J61" s="115"/>
      <c r="K61" s="115"/>
      <c r="L61" s="115"/>
      <c r="M61" s="115"/>
      <c r="N61" s="115"/>
      <c r="O61" s="115"/>
      <c r="P61" s="115"/>
      <c r="Q61" s="115"/>
      <c r="R61" s="115"/>
      <c r="S61" s="115"/>
      <c r="T61" s="115"/>
      <c r="U61" s="115"/>
      <c r="V61" s="115"/>
      <c r="W61" s="115"/>
      <c r="X61" s="115"/>
      <c r="Y61" s="115"/>
      <c r="Z61" s="115"/>
      <c r="AA61" s="115"/>
      <c r="AB61" s="115"/>
      <c r="AC61" s="115"/>
      <c r="AD61" s="115"/>
      <c r="AE61" s="115"/>
      <c r="AF61" s="115"/>
      <c r="AG61" s="115"/>
      <c r="AH61" s="115"/>
      <c r="AI61" s="115"/>
      <c r="AJ61" s="115"/>
      <c r="AK61" s="115"/>
      <c r="AL61" s="115"/>
      <c r="AM61" s="115"/>
      <c r="AN61" s="115"/>
      <c r="AO61" s="115"/>
      <c r="AP61" s="115"/>
      <c r="AQ61" s="115"/>
      <c r="AR61" s="115"/>
      <c r="AS61" s="115"/>
      <c r="AT61" s="115"/>
      <c r="AU61" s="115"/>
      <c r="AV61" s="115"/>
      <c r="AW61" s="115"/>
      <c r="AX61" s="115"/>
      <c r="AY61" s="115"/>
    </row>
    <row r="62" spans="1:51" x14ac:dyDescent="0.25">
      <c r="A62" s="114"/>
      <c r="B62" s="125">
        <v>18</v>
      </c>
      <c r="C62" s="114" t="s">
        <v>292</v>
      </c>
      <c r="D62" s="115"/>
      <c r="E62" s="115"/>
      <c r="F62" s="115"/>
      <c r="G62" s="115"/>
      <c r="H62" s="115"/>
      <c r="I62" s="115"/>
      <c r="J62" s="115"/>
      <c r="K62" s="115"/>
      <c r="L62" s="115"/>
      <c r="M62" s="115"/>
      <c r="N62" s="115"/>
      <c r="O62" s="115"/>
      <c r="P62" s="115"/>
      <c r="Q62" s="115"/>
      <c r="R62" s="115"/>
      <c r="S62" s="115"/>
      <c r="T62" s="115"/>
      <c r="U62" s="115"/>
      <c r="V62" s="115"/>
      <c r="W62" s="115"/>
      <c r="X62" s="115"/>
      <c r="Y62" s="115"/>
      <c r="Z62" s="115"/>
      <c r="AA62" s="115"/>
      <c r="AB62" s="115"/>
      <c r="AC62" s="115"/>
      <c r="AD62" s="115"/>
      <c r="AE62" s="115"/>
      <c r="AF62" s="115"/>
      <c r="AG62" s="115"/>
      <c r="AH62" s="115"/>
      <c r="AI62" s="115"/>
      <c r="AJ62" s="115"/>
      <c r="AK62" s="115"/>
      <c r="AL62" s="115"/>
      <c r="AM62" s="115"/>
      <c r="AN62" s="115"/>
      <c r="AO62" s="115"/>
      <c r="AP62" s="115"/>
      <c r="AQ62" s="115"/>
      <c r="AR62" s="115"/>
      <c r="AS62" s="115"/>
      <c r="AT62" s="115"/>
      <c r="AU62" s="115"/>
      <c r="AV62" s="115"/>
      <c r="AW62" s="115"/>
      <c r="AX62" s="115"/>
      <c r="AY62" s="115"/>
    </row>
    <row r="63" spans="1:51" x14ac:dyDescent="0.25">
      <c r="A63" s="114"/>
      <c r="B63" s="125">
        <v>19</v>
      </c>
      <c r="C63" s="114" t="s">
        <v>292</v>
      </c>
      <c r="D63" s="115"/>
      <c r="E63" s="115"/>
      <c r="F63" s="115"/>
      <c r="G63" s="115"/>
      <c r="H63" s="115"/>
      <c r="I63" s="115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</row>
    <row r="64" spans="1:51" x14ac:dyDescent="0.25">
      <c r="A64" s="114"/>
      <c r="B64" s="125">
        <v>20</v>
      </c>
      <c r="C64" s="114" t="s">
        <v>292</v>
      </c>
      <c r="D64" s="115"/>
      <c r="E64" s="115"/>
      <c r="F64" s="115"/>
      <c r="G64" s="115"/>
      <c r="H64" s="115"/>
      <c r="I64" s="115"/>
      <c r="J64" s="115"/>
      <c r="K64" s="115"/>
      <c r="L64" s="115"/>
      <c r="M64" s="115"/>
      <c r="N64" s="115"/>
      <c r="O64" s="115"/>
      <c r="P64" s="115"/>
      <c r="Q64" s="115"/>
      <c r="R64" s="115"/>
      <c r="S64" s="115"/>
      <c r="T64" s="115"/>
      <c r="U64" s="115"/>
      <c r="V64" s="115"/>
      <c r="W64" s="115"/>
      <c r="X64" s="115"/>
      <c r="Y64" s="115"/>
      <c r="Z64" s="115"/>
      <c r="AA64" s="115"/>
      <c r="AB64" s="115"/>
      <c r="AC64" s="115"/>
      <c r="AD64" s="115"/>
      <c r="AE64" s="115"/>
      <c r="AF64" s="115"/>
      <c r="AG64" s="115"/>
      <c r="AH64" s="115"/>
      <c r="AI64" s="115"/>
      <c r="AJ64" s="115"/>
      <c r="AK64" s="115"/>
      <c r="AL64" s="115"/>
      <c r="AM64" s="115"/>
      <c r="AN64" s="115"/>
      <c r="AO64" s="115"/>
      <c r="AP64" s="115"/>
      <c r="AQ64" s="115"/>
      <c r="AR64" s="115"/>
      <c r="AS64" s="115"/>
      <c r="AT64" s="115"/>
      <c r="AU64" s="115"/>
      <c r="AV64" s="115"/>
      <c r="AW64" s="115"/>
      <c r="AX64" s="115"/>
      <c r="AY64" s="115"/>
    </row>
    <row r="65" spans="1:51" x14ac:dyDescent="0.25">
      <c r="A65" s="114"/>
      <c r="B65" s="125">
        <v>21</v>
      </c>
      <c r="C65" s="114" t="s">
        <v>292</v>
      </c>
      <c r="D65" s="115"/>
      <c r="E65" s="115"/>
      <c r="F65" s="115"/>
      <c r="G65" s="115"/>
      <c r="H65" s="115"/>
      <c r="I65" s="115"/>
      <c r="J65" s="115"/>
      <c r="K65" s="115"/>
      <c r="L65" s="115"/>
      <c r="M65" s="115"/>
      <c r="N65" s="115"/>
      <c r="O65" s="115"/>
      <c r="P65" s="115"/>
      <c r="Q65" s="115"/>
      <c r="R65" s="115"/>
      <c r="S65" s="115"/>
      <c r="T65" s="115"/>
      <c r="U65" s="115"/>
      <c r="V65" s="115"/>
      <c r="W65" s="115"/>
      <c r="X65" s="115"/>
      <c r="Y65" s="115"/>
      <c r="Z65" s="115"/>
      <c r="AA65" s="115"/>
      <c r="AB65" s="115"/>
      <c r="AC65" s="115"/>
      <c r="AD65" s="115"/>
      <c r="AE65" s="115"/>
      <c r="AF65" s="115"/>
      <c r="AG65" s="115"/>
      <c r="AH65" s="115"/>
      <c r="AI65" s="115"/>
      <c r="AJ65" s="115"/>
      <c r="AK65" s="115"/>
      <c r="AL65" s="115"/>
      <c r="AM65" s="115"/>
      <c r="AN65" s="115"/>
      <c r="AO65" s="115"/>
      <c r="AP65" s="115"/>
      <c r="AQ65" s="115"/>
      <c r="AR65" s="115"/>
      <c r="AS65" s="115"/>
      <c r="AT65" s="115"/>
      <c r="AU65" s="115"/>
      <c r="AV65" s="115"/>
      <c r="AW65" s="115"/>
      <c r="AX65" s="115"/>
      <c r="AY65" s="115"/>
    </row>
    <row r="66" spans="1:51" x14ac:dyDescent="0.25">
      <c r="A66" s="114"/>
      <c r="B66" s="125">
        <v>22</v>
      </c>
      <c r="C66" s="114" t="s">
        <v>292</v>
      </c>
      <c r="D66" s="115"/>
      <c r="E66" s="115"/>
      <c r="F66" s="115"/>
      <c r="G66" s="115"/>
      <c r="H66" s="115"/>
      <c r="I66" s="115"/>
      <c r="J66" s="115"/>
      <c r="K66" s="115"/>
      <c r="L66" s="115"/>
      <c r="M66" s="115"/>
      <c r="N66" s="115"/>
      <c r="O66" s="115"/>
      <c r="P66" s="115"/>
      <c r="Q66" s="115"/>
      <c r="R66" s="115"/>
      <c r="S66" s="115"/>
      <c r="T66" s="115"/>
      <c r="U66" s="115"/>
      <c r="V66" s="115"/>
      <c r="W66" s="115"/>
      <c r="X66" s="115"/>
      <c r="Y66" s="115"/>
      <c r="Z66" s="115"/>
      <c r="AA66" s="115"/>
      <c r="AB66" s="115"/>
      <c r="AC66" s="115"/>
      <c r="AD66" s="115"/>
      <c r="AE66" s="115"/>
      <c r="AF66" s="115"/>
      <c r="AG66" s="115"/>
      <c r="AH66" s="115"/>
      <c r="AI66" s="115"/>
      <c r="AJ66" s="115"/>
      <c r="AK66" s="115"/>
      <c r="AL66" s="115"/>
      <c r="AM66" s="115"/>
      <c r="AN66" s="115"/>
      <c r="AO66" s="115"/>
      <c r="AP66" s="115"/>
      <c r="AQ66" s="115"/>
      <c r="AR66" s="115"/>
      <c r="AS66" s="115"/>
      <c r="AT66" s="115"/>
      <c r="AU66" s="115"/>
      <c r="AV66" s="115"/>
      <c r="AW66" s="115"/>
      <c r="AX66" s="115"/>
      <c r="AY66" s="115"/>
    </row>
    <row r="67" spans="1:51" x14ac:dyDescent="0.25">
      <c r="A67" s="114"/>
      <c r="B67" s="125">
        <v>23</v>
      </c>
      <c r="C67" s="114" t="s">
        <v>292</v>
      </c>
      <c r="D67" s="115"/>
      <c r="E67" s="115"/>
      <c r="F67" s="115"/>
      <c r="G67" s="115"/>
      <c r="H67" s="115"/>
      <c r="I67" s="115"/>
      <c r="J67" s="115"/>
      <c r="K67" s="115"/>
      <c r="L67" s="115"/>
      <c r="M67" s="115"/>
      <c r="N67" s="115"/>
      <c r="O67" s="115"/>
      <c r="P67" s="115"/>
      <c r="Q67" s="115"/>
      <c r="R67" s="115"/>
      <c r="S67" s="115"/>
      <c r="T67" s="115"/>
      <c r="U67" s="115"/>
      <c r="V67" s="115"/>
      <c r="W67" s="115"/>
      <c r="X67" s="115"/>
      <c r="Y67" s="115"/>
      <c r="Z67" s="115"/>
      <c r="AA67" s="115"/>
      <c r="AB67" s="115"/>
      <c r="AC67" s="115"/>
      <c r="AD67" s="115"/>
      <c r="AE67" s="115"/>
      <c r="AF67" s="115"/>
      <c r="AG67" s="115"/>
      <c r="AH67" s="115"/>
      <c r="AI67" s="115"/>
      <c r="AJ67" s="115"/>
      <c r="AK67" s="115"/>
      <c r="AL67" s="115"/>
      <c r="AM67" s="115"/>
      <c r="AN67" s="115"/>
      <c r="AO67" s="115"/>
      <c r="AP67" s="115"/>
      <c r="AQ67" s="115"/>
      <c r="AR67" s="115"/>
      <c r="AS67" s="115"/>
      <c r="AT67" s="115"/>
      <c r="AU67" s="115"/>
      <c r="AV67" s="115"/>
      <c r="AW67" s="115"/>
      <c r="AX67" s="115"/>
      <c r="AY67" s="115"/>
    </row>
    <row r="68" spans="1:51" x14ac:dyDescent="0.25">
      <c r="A68" s="114"/>
      <c r="B68" s="125">
        <v>24</v>
      </c>
      <c r="C68" s="114" t="s">
        <v>292</v>
      </c>
      <c r="D68" s="115"/>
      <c r="E68" s="115"/>
      <c r="F68" s="115"/>
      <c r="G68" s="115"/>
      <c r="H68" s="115"/>
      <c r="I68" s="115"/>
      <c r="J68" s="115"/>
      <c r="K68" s="115"/>
      <c r="L68" s="115"/>
      <c r="M68" s="115"/>
      <c r="N68" s="115"/>
      <c r="O68" s="115"/>
      <c r="P68" s="115"/>
      <c r="Q68" s="115"/>
      <c r="R68" s="115"/>
      <c r="S68" s="115"/>
      <c r="T68" s="115"/>
      <c r="U68" s="115"/>
      <c r="V68" s="115"/>
      <c r="W68" s="115"/>
      <c r="X68" s="115"/>
      <c r="Y68" s="115"/>
      <c r="Z68" s="115"/>
      <c r="AA68" s="115"/>
      <c r="AB68" s="115"/>
      <c r="AC68" s="115"/>
      <c r="AD68" s="115"/>
      <c r="AE68" s="115"/>
      <c r="AF68" s="115"/>
      <c r="AG68" s="115"/>
      <c r="AH68" s="115"/>
      <c r="AI68" s="115"/>
      <c r="AJ68" s="115"/>
      <c r="AK68" s="115"/>
      <c r="AL68" s="115"/>
      <c r="AM68" s="115"/>
      <c r="AN68" s="115"/>
      <c r="AO68" s="115"/>
      <c r="AP68" s="115"/>
      <c r="AQ68" s="115"/>
      <c r="AR68" s="115"/>
      <c r="AS68" s="115"/>
      <c r="AT68" s="115"/>
      <c r="AU68" s="115"/>
      <c r="AV68" s="115"/>
      <c r="AW68" s="115"/>
      <c r="AX68" s="115"/>
      <c r="AY68" s="115"/>
    </row>
    <row r="69" spans="1:51" x14ac:dyDescent="0.25">
      <c r="A69" s="114"/>
      <c r="B69" s="132">
        <v>25</v>
      </c>
      <c r="C69" s="114" t="s">
        <v>292</v>
      </c>
      <c r="D69" s="115"/>
      <c r="E69" s="115"/>
      <c r="F69" s="115"/>
      <c r="G69" s="115"/>
      <c r="H69" s="115"/>
      <c r="I69" s="115"/>
      <c r="J69" s="115"/>
      <c r="K69" s="115"/>
      <c r="L69" s="115"/>
      <c r="M69" s="115"/>
      <c r="N69" s="115"/>
      <c r="O69" s="115"/>
      <c r="P69" s="115"/>
      <c r="Q69" s="115"/>
      <c r="R69" s="115"/>
      <c r="S69" s="115"/>
      <c r="T69" s="115"/>
      <c r="U69" s="115"/>
      <c r="V69" s="115"/>
      <c r="W69" s="115"/>
      <c r="X69" s="115"/>
      <c r="Y69" s="115"/>
      <c r="Z69" s="115"/>
      <c r="AA69" s="115"/>
      <c r="AB69" s="115"/>
      <c r="AC69" s="115"/>
      <c r="AD69" s="115"/>
      <c r="AE69" s="115"/>
      <c r="AF69" s="115"/>
      <c r="AG69" s="115"/>
      <c r="AH69" s="115"/>
      <c r="AI69" s="115"/>
      <c r="AJ69" s="115"/>
      <c r="AK69" s="115"/>
      <c r="AL69" s="115"/>
      <c r="AM69" s="115"/>
      <c r="AN69" s="115"/>
      <c r="AO69" s="115"/>
      <c r="AP69" s="115"/>
      <c r="AQ69" s="115"/>
      <c r="AR69" s="115"/>
      <c r="AS69" s="115"/>
      <c r="AT69" s="115"/>
      <c r="AU69" s="115"/>
      <c r="AV69" s="115"/>
      <c r="AW69" s="115"/>
      <c r="AX69" s="115"/>
      <c r="AY69" s="115"/>
    </row>
    <row r="70" spans="1:51" x14ac:dyDescent="0.25">
      <c r="A70" s="114"/>
      <c r="B70" s="132">
        <v>26</v>
      </c>
      <c r="C70" s="114" t="s">
        <v>292</v>
      </c>
      <c r="D70" s="115"/>
      <c r="E70" s="115"/>
      <c r="F70" s="115"/>
      <c r="G70" s="115"/>
      <c r="H70" s="115"/>
      <c r="I70" s="115"/>
      <c r="J70" s="115"/>
      <c r="K70" s="115"/>
      <c r="L70" s="115"/>
      <c r="M70" s="115"/>
      <c r="N70" s="115"/>
      <c r="O70" s="115"/>
      <c r="P70" s="115"/>
      <c r="Q70" s="115"/>
      <c r="R70" s="115"/>
      <c r="S70" s="115"/>
      <c r="T70" s="115"/>
      <c r="U70" s="115"/>
      <c r="V70" s="115"/>
      <c r="W70" s="115"/>
      <c r="X70" s="115"/>
      <c r="Y70" s="115"/>
      <c r="Z70" s="115"/>
      <c r="AA70" s="115"/>
      <c r="AB70" s="115"/>
      <c r="AC70" s="115"/>
      <c r="AD70" s="115"/>
      <c r="AE70" s="115"/>
      <c r="AF70" s="115"/>
      <c r="AG70" s="115"/>
      <c r="AH70" s="115"/>
      <c r="AI70" s="115"/>
      <c r="AJ70" s="115"/>
      <c r="AK70" s="115"/>
      <c r="AL70" s="115"/>
      <c r="AM70" s="115"/>
      <c r="AN70" s="115"/>
      <c r="AO70" s="115"/>
      <c r="AP70" s="115"/>
      <c r="AQ70" s="115"/>
      <c r="AR70" s="115"/>
      <c r="AS70" s="115"/>
      <c r="AT70" s="115"/>
      <c r="AU70" s="115"/>
      <c r="AV70" s="115"/>
      <c r="AW70" s="115"/>
      <c r="AX70" s="115"/>
      <c r="AY70" s="115"/>
    </row>
    <row r="71" spans="1:51" x14ac:dyDescent="0.25">
      <c r="A71" s="114"/>
      <c r="B71" s="132">
        <v>27</v>
      </c>
      <c r="C71" s="114" t="s">
        <v>292</v>
      </c>
      <c r="D71" s="115"/>
      <c r="E71" s="115"/>
      <c r="F71" s="115"/>
      <c r="G71" s="115"/>
      <c r="H71" s="115"/>
      <c r="I71" s="115"/>
      <c r="J71" s="115"/>
      <c r="K71" s="115"/>
      <c r="L71" s="115"/>
      <c r="M71" s="115"/>
      <c r="N71" s="115"/>
      <c r="O71" s="115"/>
      <c r="P71" s="115"/>
      <c r="Q71" s="115"/>
      <c r="R71" s="115"/>
      <c r="S71" s="115"/>
      <c r="T71" s="115"/>
      <c r="U71" s="115"/>
      <c r="V71" s="115"/>
      <c r="W71" s="115"/>
      <c r="X71" s="115"/>
      <c r="Y71" s="115"/>
      <c r="Z71" s="115"/>
      <c r="AA71" s="115"/>
      <c r="AB71" s="115"/>
      <c r="AC71" s="115"/>
      <c r="AD71" s="115"/>
      <c r="AE71" s="115"/>
      <c r="AF71" s="115"/>
      <c r="AG71" s="115"/>
      <c r="AH71" s="115"/>
      <c r="AI71" s="115"/>
      <c r="AJ71" s="115"/>
      <c r="AK71" s="115"/>
      <c r="AL71" s="115"/>
      <c r="AM71" s="115"/>
      <c r="AN71" s="115"/>
      <c r="AO71" s="115"/>
      <c r="AP71" s="115"/>
      <c r="AQ71" s="115"/>
      <c r="AR71" s="115"/>
      <c r="AS71" s="115"/>
      <c r="AT71" s="115"/>
      <c r="AU71" s="115"/>
      <c r="AV71" s="115"/>
      <c r="AW71" s="115"/>
      <c r="AX71" s="115"/>
      <c r="AY71" s="115"/>
    </row>
    <row r="72" spans="1:51" x14ac:dyDescent="0.25">
      <c r="A72" s="114"/>
      <c r="B72" s="132">
        <v>28</v>
      </c>
      <c r="C72" s="114" t="s">
        <v>292</v>
      </c>
      <c r="D72" s="115"/>
      <c r="E72" s="115"/>
      <c r="F72" s="115"/>
      <c r="G72" s="115"/>
      <c r="H72" s="115"/>
      <c r="I72" s="115"/>
      <c r="J72" s="115"/>
      <c r="K72" s="115"/>
      <c r="L72" s="115"/>
      <c r="M72" s="115"/>
      <c r="N72" s="115"/>
      <c r="O72" s="115"/>
      <c r="P72" s="115"/>
      <c r="Q72" s="115"/>
      <c r="R72" s="115"/>
      <c r="S72" s="115"/>
      <c r="T72" s="115"/>
      <c r="U72" s="115"/>
      <c r="V72" s="115"/>
      <c r="W72" s="115"/>
      <c r="X72" s="115"/>
      <c r="Y72" s="115"/>
      <c r="Z72" s="115"/>
      <c r="AA72" s="115"/>
      <c r="AB72" s="115"/>
      <c r="AC72" s="115"/>
      <c r="AD72" s="115"/>
      <c r="AE72" s="115"/>
      <c r="AF72" s="115"/>
      <c r="AG72" s="115"/>
      <c r="AH72" s="115"/>
      <c r="AI72" s="115"/>
      <c r="AJ72" s="115"/>
      <c r="AK72" s="115"/>
      <c r="AL72" s="115"/>
      <c r="AM72" s="115"/>
      <c r="AN72" s="115"/>
      <c r="AO72" s="115"/>
      <c r="AP72" s="115"/>
      <c r="AQ72" s="115"/>
      <c r="AR72" s="115"/>
      <c r="AS72" s="115"/>
      <c r="AT72" s="115"/>
      <c r="AU72" s="115"/>
      <c r="AV72" s="115"/>
      <c r="AW72" s="115"/>
      <c r="AX72" s="115"/>
      <c r="AY72" s="115"/>
    </row>
    <row r="73" spans="1:51" x14ac:dyDescent="0.25">
      <c r="A73" s="114"/>
      <c r="B73" s="132">
        <v>29</v>
      </c>
      <c r="C73" s="114" t="s">
        <v>292</v>
      </c>
      <c r="D73" s="115"/>
      <c r="E73" s="115"/>
      <c r="F73" s="115"/>
      <c r="G73" s="115"/>
      <c r="H73" s="115"/>
      <c r="I73" s="115"/>
      <c r="J73" s="115"/>
      <c r="K73" s="115"/>
      <c r="L73" s="115"/>
      <c r="M73" s="115"/>
      <c r="N73" s="115"/>
      <c r="O73" s="115"/>
      <c r="P73" s="115"/>
      <c r="Q73" s="115"/>
      <c r="R73" s="115"/>
      <c r="S73" s="115"/>
      <c r="T73" s="115"/>
      <c r="U73" s="115"/>
      <c r="V73" s="115"/>
      <c r="W73" s="115"/>
      <c r="X73" s="115"/>
      <c r="Y73" s="115"/>
      <c r="Z73" s="115"/>
      <c r="AA73" s="115"/>
      <c r="AB73" s="115"/>
      <c r="AC73" s="115"/>
      <c r="AD73" s="115"/>
      <c r="AE73" s="115"/>
      <c r="AF73" s="115"/>
      <c r="AG73" s="115"/>
      <c r="AH73" s="115"/>
      <c r="AI73" s="115"/>
      <c r="AJ73" s="115"/>
      <c r="AK73" s="115"/>
      <c r="AL73" s="115"/>
      <c r="AM73" s="115"/>
      <c r="AN73" s="115"/>
      <c r="AO73" s="115"/>
      <c r="AP73" s="115"/>
      <c r="AQ73" s="115"/>
      <c r="AR73" s="115"/>
      <c r="AS73" s="115"/>
      <c r="AT73" s="115"/>
      <c r="AU73" s="115"/>
      <c r="AV73" s="115"/>
      <c r="AW73" s="115"/>
      <c r="AX73" s="115"/>
      <c r="AY73" s="115"/>
    </row>
    <row r="74" spans="1:51" x14ac:dyDescent="0.25">
      <c r="A74" s="114"/>
      <c r="B74" s="132">
        <v>30</v>
      </c>
      <c r="C74" s="114" t="s">
        <v>292</v>
      </c>
      <c r="D74" s="115"/>
      <c r="E74" s="115"/>
      <c r="F74" s="115"/>
      <c r="G74" s="115"/>
      <c r="H74" s="115"/>
      <c r="I74" s="115"/>
      <c r="J74" s="115"/>
      <c r="K74" s="115"/>
      <c r="L74" s="115"/>
      <c r="M74" s="115"/>
      <c r="N74" s="115"/>
      <c r="O74" s="115"/>
      <c r="P74" s="115"/>
      <c r="Q74" s="115"/>
      <c r="R74" s="115"/>
      <c r="S74" s="115"/>
      <c r="T74" s="115"/>
      <c r="U74" s="115"/>
      <c r="V74" s="115"/>
      <c r="W74" s="115"/>
      <c r="X74" s="115"/>
      <c r="Y74" s="115"/>
      <c r="Z74" s="115"/>
      <c r="AA74" s="115"/>
      <c r="AB74" s="115"/>
      <c r="AC74" s="115"/>
      <c r="AD74" s="115"/>
      <c r="AE74" s="115"/>
      <c r="AF74" s="115"/>
      <c r="AG74" s="115"/>
      <c r="AH74" s="115"/>
      <c r="AI74" s="115"/>
      <c r="AJ74" s="115"/>
      <c r="AK74" s="115"/>
      <c r="AL74" s="115"/>
      <c r="AM74" s="115"/>
      <c r="AN74" s="115"/>
      <c r="AO74" s="115"/>
      <c r="AP74" s="115"/>
      <c r="AQ74" s="115"/>
      <c r="AR74" s="115"/>
      <c r="AS74" s="115"/>
      <c r="AT74" s="115"/>
      <c r="AU74" s="115"/>
      <c r="AV74" s="115"/>
      <c r="AW74" s="115"/>
      <c r="AX74" s="115"/>
      <c r="AY74" s="115"/>
    </row>
    <row r="75" spans="1:51" x14ac:dyDescent="0.25">
      <c r="A75" s="114"/>
      <c r="B75" s="132">
        <v>31</v>
      </c>
      <c r="C75" s="114" t="s">
        <v>292</v>
      </c>
      <c r="D75" s="115"/>
      <c r="E75" s="115"/>
      <c r="F75" s="115"/>
      <c r="G75" s="115"/>
      <c r="H75" s="115"/>
      <c r="I75" s="115"/>
      <c r="J75" s="115"/>
      <c r="K75" s="115"/>
      <c r="L75" s="115"/>
      <c r="M75" s="115"/>
      <c r="N75" s="115"/>
      <c r="O75" s="115"/>
      <c r="P75" s="115"/>
      <c r="Q75" s="115"/>
      <c r="R75" s="115"/>
      <c r="S75" s="115"/>
      <c r="T75" s="115"/>
      <c r="U75" s="115"/>
      <c r="V75" s="115"/>
      <c r="W75" s="115"/>
      <c r="X75" s="115"/>
      <c r="Y75" s="115"/>
      <c r="Z75" s="115"/>
      <c r="AA75" s="115"/>
      <c r="AB75" s="115"/>
      <c r="AC75" s="115"/>
      <c r="AD75" s="115"/>
      <c r="AE75" s="115"/>
      <c r="AF75" s="115"/>
      <c r="AG75" s="115"/>
      <c r="AH75" s="115"/>
      <c r="AI75" s="115"/>
      <c r="AJ75" s="115"/>
      <c r="AK75" s="115"/>
      <c r="AL75" s="115"/>
      <c r="AM75" s="115"/>
      <c r="AN75" s="115"/>
      <c r="AO75" s="115"/>
      <c r="AP75" s="115"/>
      <c r="AQ75" s="115"/>
      <c r="AR75" s="115"/>
      <c r="AS75" s="115"/>
      <c r="AT75" s="115"/>
      <c r="AU75" s="115"/>
      <c r="AV75" s="115"/>
      <c r="AW75" s="115"/>
      <c r="AX75" s="115"/>
      <c r="AY75" s="115"/>
    </row>
    <row r="76" spans="1:51" x14ac:dyDescent="0.25">
      <c r="A76" s="114"/>
      <c r="B76" s="132">
        <v>32</v>
      </c>
      <c r="C76" s="114" t="s">
        <v>292</v>
      </c>
      <c r="D76" s="115"/>
      <c r="E76" s="115"/>
      <c r="F76" s="115"/>
      <c r="G76" s="115"/>
      <c r="H76" s="115"/>
      <c r="I76" s="115"/>
      <c r="J76" s="115"/>
      <c r="K76" s="115"/>
      <c r="L76" s="115"/>
      <c r="M76" s="115"/>
      <c r="N76" s="115"/>
      <c r="O76" s="115"/>
      <c r="P76" s="115"/>
      <c r="Q76" s="115"/>
      <c r="R76" s="115"/>
      <c r="S76" s="115"/>
      <c r="T76" s="115"/>
      <c r="U76" s="115"/>
      <c r="V76" s="115"/>
      <c r="W76" s="115"/>
      <c r="X76" s="115"/>
      <c r="Y76" s="115"/>
      <c r="Z76" s="115"/>
      <c r="AA76" s="115"/>
      <c r="AB76" s="115"/>
      <c r="AC76" s="115"/>
      <c r="AD76" s="115"/>
      <c r="AE76" s="115"/>
      <c r="AF76" s="115"/>
      <c r="AG76" s="115"/>
      <c r="AH76" s="115"/>
      <c r="AI76" s="115"/>
      <c r="AJ76" s="115"/>
      <c r="AK76" s="115"/>
      <c r="AL76" s="115"/>
      <c r="AM76" s="115"/>
      <c r="AN76" s="115"/>
      <c r="AO76" s="115"/>
      <c r="AP76" s="115"/>
      <c r="AQ76" s="115"/>
      <c r="AR76" s="115"/>
      <c r="AS76" s="115"/>
      <c r="AT76" s="115"/>
      <c r="AU76" s="115"/>
      <c r="AV76" s="115"/>
      <c r="AW76" s="115"/>
      <c r="AX76" s="115"/>
      <c r="AY76" s="115"/>
    </row>
    <row r="77" spans="1:51" x14ac:dyDescent="0.25">
      <c r="A77" s="114"/>
      <c r="B77" s="132">
        <v>33</v>
      </c>
      <c r="C77" s="114" t="s">
        <v>292</v>
      </c>
      <c r="D77" s="115"/>
      <c r="E77" s="115"/>
      <c r="F77" s="115"/>
      <c r="G77" s="115"/>
      <c r="H77" s="115"/>
      <c r="I77" s="115"/>
      <c r="J77" s="115"/>
      <c r="K77" s="115"/>
      <c r="L77" s="115"/>
      <c r="M77" s="115"/>
      <c r="N77" s="115"/>
      <c r="O77" s="115"/>
      <c r="P77" s="115"/>
      <c r="Q77" s="115"/>
      <c r="R77" s="115"/>
      <c r="S77" s="115"/>
      <c r="T77" s="115"/>
      <c r="U77" s="115"/>
      <c r="V77" s="115"/>
      <c r="W77" s="115"/>
      <c r="X77" s="115"/>
      <c r="Y77" s="115"/>
      <c r="Z77" s="115"/>
      <c r="AA77" s="115"/>
      <c r="AB77" s="115"/>
      <c r="AC77" s="115"/>
      <c r="AD77" s="115"/>
      <c r="AE77" s="115"/>
      <c r="AF77" s="115"/>
      <c r="AG77" s="115"/>
      <c r="AH77" s="115"/>
      <c r="AI77" s="115"/>
      <c r="AJ77" s="115"/>
      <c r="AK77" s="115"/>
      <c r="AL77" s="115"/>
      <c r="AM77" s="115"/>
      <c r="AN77" s="115"/>
      <c r="AO77" s="115"/>
      <c r="AP77" s="115"/>
      <c r="AQ77" s="115"/>
      <c r="AR77" s="115"/>
      <c r="AS77" s="115"/>
      <c r="AT77" s="115"/>
      <c r="AU77" s="115"/>
      <c r="AV77" s="115"/>
      <c r="AW77" s="115"/>
      <c r="AX77" s="115"/>
      <c r="AY77" s="115"/>
    </row>
    <row r="78" spans="1:51" x14ac:dyDescent="0.25">
      <c r="A78" s="114"/>
      <c r="B78" s="132">
        <v>34</v>
      </c>
      <c r="C78" s="114" t="s">
        <v>292</v>
      </c>
      <c r="D78" s="115"/>
      <c r="E78" s="115"/>
      <c r="F78" s="115"/>
      <c r="G78" s="115"/>
      <c r="H78" s="115"/>
      <c r="I78" s="115"/>
      <c r="J78" s="115"/>
      <c r="K78" s="115"/>
      <c r="L78" s="115"/>
      <c r="M78" s="115"/>
      <c r="N78" s="115"/>
      <c r="O78" s="115"/>
      <c r="P78" s="115"/>
      <c r="Q78" s="115"/>
      <c r="R78" s="115"/>
      <c r="S78" s="115"/>
      <c r="T78" s="115"/>
      <c r="U78" s="115"/>
      <c r="V78" s="115"/>
      <c r="W78" s="115"/>
      <c r="X78" s="115"/>
      <c r="Y78" s="115"/>
      <c r="Z78" s="115"/>
      <c r="AA78" s="115"/>
      <c r="AB78" s="115"/>
      <c r="AC78" s="115"/>
      <c r="AD78" s="115"/>
      <c r="AE78" s="115"/>
      <c r="AF78" s="115"/>
      <c r="AG78" s="115"/>
      <c r="AH78" s="115"/>
      <c r="AI78" s="115"/>
      <c r="AJ78" s="115"/>
      <c r="AK78" s="115"/>
      <c r="AL78" s="115"/>
      <c r="AM78" s="115"/>
      <c r="AN78" s="115"/>
      <c r="AO78" s="115"/>
      <c r="AP78" s="115"/>
      <c r="AQ78" s="115"/>
      <c r="AR78" s="115"/>
      <c r="AS78" s="115"/>
      <c r="AT78" s="115"/>
      <c r="AU78" s="115"/>
      <c r="AV78" s="115"/>
      <c r="AW78" s="115"/>
      <c r="AX78" s="115"/>
      <c r="AY78" s="115"/>
    </row>
    <row r="79" spans="1:51" x14ac:dyDescent="0.25">
      <c r="A79" s="114"/>
      <c r="B79" s="132">
        <v>35</v>
      </c>
      <c r="C79" s="114" t="s">
        <v>292</v>
      </c>
      <c r="D79" s="115"/>
      <c r="E79" s="115"/>
      <c r="F79" s="115"/>
      <c r="G79" s="115"/>
      <c r="H79" s="115"/>
      <c r="I79" s="115"/>
      <c r="J79" s="115"/>
      <c r="K79" s="115"/>
      <c r="L79" s="115"/>
      <c r="M79" s="115"/>
      <c r="N79" s="115"/>
      <c r="O79" s="115"/>
      <c r="P79" s="115"/>
      <c r="Q79" s="115"/>
      <c r="R79" s="115"/>
      <c r="S79" s="115"/>
      <c r="T79" s="115"/>
      <c r="U79" s="115"/>
      <c r="V79" s="115"/>
      <c r="W79" s="115"/>
      <c r="X79" s="115"/>
      <c r="Y79" s="115"/>
      <c r="Z79" s="115"/>
      <c r="AA79" s="115"/>
      <c r="AB79" s="115"/>
      <c r="AC79" s="115"/>
      <c r="AD79" s="115"/>
      <c r="AE79" s="115"/>
      <c r="AF79" s="115"/>
      <c r="AG79" s="115"/>
      <c r="AH79" s="115"/>
      <c r="AI79" s="115"/>
      <c r="AJ79" s="115"/>
      <c r="AK79" s="115"/>
      <c r="AL79" s="115"/>
      <c r="AM79" s="115"/>
      <c r="AN79" s="115"/>
      <c r="AO79" s="115"/>
      <c r="AP79" s="115"/>
      <c r="AQ79" s="115"/>
      <c r="AR79" s="115"/>
      <c r="AS79" s="115"/>
      <c r="AT79" s="115"/>
      <c r="AU79" s="115"/>
      <c r="AV79" s="115"/>
      <c r="AW79" s="115"/>
      <c r="AX79" s="115"/>
      <c r="AY79" s="115"/>
    </row>
    <row r="80" spans="1:51" x14ac:dyDescent="0.25">
      <c r="A80" s="114"/>
      <c r="B80" s="132">
        <v>36</v>
      </c>
      <c r="C80" s="114" t="s">
        <v>292</v>
      </c>
      <c r="D80" s="115"/>
      <c r="E80" s="115"/>
      <c r="F80" s="115"/>
      <c r="G80" s="115"/>
      <c r="H80" s="115"/>
      <c r="I80" s="115"/>
      <c r="J80" s="115"/>
      <c r="K80" s="115"/>
      <c r="L80" s="115"/>
      <c r="M80" s="115"/>
      <c r="N80" s="115"/>
      <c r="O80" s="115"/>
      <c r="P80" s="115"/>
      <c r="Q80" s="115"/>
      <c r="R80" s="115"/>
      <c r="S80" s="115"/>
      <c r="T80" s="115"/>
      <c r="U80" s="115"/>
      <c r="V80" s="115"/>
      <c r="W80" s="115"/>
      <c r="X80" s="115"/>
      <c r="Y80" s="115"/>
      <c r="Z80" s="115"/>
      <c r="AA80" s="115"/>
      <c r="AB80" s="115"/>
      <c r="AC80" s="115"/>
      <c r="AD80" s="115"/>
      <c r="AE80" s="115"/>
      <c r="AF80" s="115"/>
      <c r="AG80" s="115"/>
      <c r="AH80" s="115"/>
      <c r="AI80" s="115"/>
      <c r="AJ80" s="115"/>
      <c r="AK80" s="115"/>
      <c r="AL80" s="115"/>
      <c r="AM80" s="115"/>
      <c r="AN80" s="115"/>
      <c r="AO80" s="115"/>
      <c r="AP80" s="115"/>
      <c r="AQ80" s="115"/>
      <c r="AR80" s="115"/>
      <c r="AS80" s="115"/>
      <c r="AT80" s="115"/>
      <c r="AU80" s="115"/>
      <c r="AV80" s="115"/>
      <c r="AW80" s="115"/>
      <c r="AX80" s="115"/>
      <c r="AY80" s="115"/>
    </row>
    <row r="81" spans="1:52" x14ac:dyDescent="0.25">
      <c r="A81" s="114"/>
      <c r="B81" s="135">
        <v>37</v>
      </c>
      <c r="C81" s="114" t="s">
        <v>292</v>
      </c>
      <c r="D81" s="115"/>
      <c r="E81" s="115"/>
      <c r="F81" s="115"/>
      <c r="G81" s="115"/>
      <c r="H81" s="115"/>
      <c r="I81" s="115"/>
      <c r="J81" s="115"/>
      <c r="K81" s="115"/>
      <c r="L81" s="115"/>
      <c r="M81" s="115"/>
      <c r="N81" s="115"/>
      <c r="O81" s="115"/>
      <c r="P81" s="115"/>
      <c r="Q81" s="115"/>
      <c r="R81" s="115"/>
      <c r="S81" s="115"/>
      <c r="T81" s="115"/>
      <c r="U81" s="115"/>
      <c r="V81" s="115"/>
      <c r="W81" s="115"/>
      <c r="X81" s="115"/>
      <c r="Y81" s="115"/>
      <c r="Z81" s="115"/>
      <c r="AA81" s="115"/>
      <c r="AB81" s="115"/>
      <c r="AC81" s="115"/>
      <c r="AD81" s="115"/>
      <c r="AE81" s="115"/>
      <c r="AF81" s="115"/>
      <c r="AG81" s="115"/>
      <c r="AH81" s="115"/>
      <c r="AI81" s="115"/>
      <c r="AJ81" s="115"/>
      <c r="AK81" s="115"/>
      <c r="AL81" s="115"/>
      <c r="AM81" s="115"/>
      <c r="AN81" s="115"/>
      <c r="AO81" s="115"/>
      <c r="AP81" s="115"/>
      <c r="AQ81" s="115"/>
      <c r="AR81" s="115"/>
      <c r="AS81" s="115"/>
      <c r="AT81" s="115"/>
      <c r="AU81" s="115"/>
      <c r="AV81" s="115"/>
      <c r="AW81" s="115"/>
      <c r="AX81" s="115"/>
      <c r="AY81" s="115"/>
    </row>
    <row r="82" spans="1:52" x14ac:dyDescent="0.25">
      <c r="A82" s="114"/>
      <c r="B82" s="135">
        <v>38</v>
      </c>
      <c r="C82" s="114" t="s">
        <v>292</v>
      </c>
      <c r="D82" s="115"/>
      <c r="E82" s="115"/>
      <c r="F82" s="115"/>
      <c r="G82" s="115"/>
      <c r="H82" s="115"/>
      <c r="I82" s="115"/>
      <c r="J82" s="115"/>
      <c r="K82" s="115"/>
      <c r="L82" s="115"/>
      <c r="M82" s="115"/>
      <c r="N82" s="115"/>
      <c r="O82" s="115"/>
      <c r="P82" s="115"/>
      <c r="Q82" s="115"/>
      <c r="R82" s="115"/>
      <c r="S82" s="115"/>
      <c r="T82" s="115"/>
      <c r="U82" s="115"/>
      <c r="V82" s="115"/>
      <c r="W82" s="115"/>
      <c r="X82" s="115"/>
      <c r="Y82" s="115"/>
      <c r="Z82" s="115"/>
      <c r="AA82" s="115"/>
      <c r="AB82" s="115"/>
      <c r="AC82" s="115"/>
      <c r="AD82" s="115"/>
      <c r="AE82" s="115"/>
      <c r="AF82" s="115"/>
      <c r="AG82" s="115"/>
      <c r="AH82" s="115"/>
      <c r="AI82" s="115"/>
      <c r="AJ82" s="115"/>
      <c r="AK82" s="115"/>
      <c r="AL82" s="115"/>
      <c r="AM82" s="115"/>
      <c r="AN82" s="115"/>
      <c r="AO82" s="115"/>
      <c r="AP82" s="115"/>
      <c r="AQ82" s="115"/>
      <c r="AR82" s="115"/>
      <c r="AS82" s="115"/>
      <c r="AT82" s="115"/>
      <c r="AU82" s="115"/>
      <c r="AV82" s="115"/>
      <c r="AW82" s="115"/>
      <c r="AX82" s="115"/>
      <c r="AY82" s="115"/>
    </row>
    <row r="83" spans="1:52" x14ac:dyDescent="0.25">
      <c r="A83" s="114"/>
      <c r="B83" s="135">
        <v>39</v>
      </c>
      <c r="C83" s="114" t="s">
        <v>292</v>
      </c>
      <c r="D83" s="115"/>
      <c r="E83" s="115"/>
      <c r="F83" s="115"/>
      <c r="G83" s="115"/>
      <c r="H83" s="115"/>
      <c r="I83" s="115"/>
      <c r="J83" s="115"/>
      <c r="K83" s="115"/>
      <c r="L83" s="115"/>
      <c r="M83" s="115"/>
      <c r="N83" s="115"/>
      <c r="O83" s="115"/>
      <c r="P83" s="115"/>
      <c r="Q83" s="115"/>
      <c r="R83" s="115"/>
      <c r="S83" s="115"/>
      <c r="T83" s="115"/>
      <c r="U83" s="115"/>
      <c r="V83" s="115"/>
      <c r="W83" s="115"/>
      <c r="X83" s="115"/>
      <c r="Y83" s="115"/>
      <c r="Z83" s="115"/>
      <c r="AA83" s="115"/>
      <c r="AB83" s="115"/>
      <c r="AC83" s="115"/>
      <c r="AD83" s="115"/>
      <c r="AE83" s="115"/>
      <c r="AF83" s="115"/>
      <c r="AG83" s="115"/>
      <c r="AH83" s="115"/>
      <c r="AI83" s="115"/>
      <c r="AJ83" s="115"/>
      <c r="AK83" s="115"/>
      <c r="AL83" s="115"/>
      <c r="AM83" s="115"/>
      <c r="AN83" s="115"/>
      <c r="AO83" s="115"/>
      <c r="AP83" s="115"/>
      <c r="AQ83" s="115"/>
      <c r="AR83" s="115"/>
      <c r="AS83" s="115"/>
      <c r="AT83" s="115"/>
      <c r="AU83" s="115"/>
      <c r="AV83" s="115"/>
      <c r="AW83" s="115"/>
      <c r="AX83" s="115"/>
      <c r="AY83" s="115"/>
    </row>
    <row r="84" spans="1:52" x14ac:dyDescent="0.25">
      <c r="A84" s="114"/>
      <c r="B84" s="135">
        <v>40</v>
      </c>
      <c r="C84" s="114" t="s">
        <v>292</v>
      </c>
      <c r="D84" s="115"/>
      <c r="E84" s="115"/>
      <c r="F84" s="115"/>
      <c r="G84" s="115"/>
      <c r="H84" s="115"/>
      <c r="I84" s="115"/>
      <c r="J84" s="115"/>
      <c r="K84" s="115"/>
      <c r="L84" s="115"/>
      <c r="M84" s="115"/>
      <c r="N84" s="115"/>
      <c r="O84" s="115"/>
      <c r="P84" s="115"/>
      <c r="Q84" s="115"/>
      <c r="R84" s="115"/>
      <c r="S84" s="115"/>
      <c r="T84" s="115"/>
      <c r="U84" s="115"/>
      <c r="V84" s="115"/>
      <c r="W84" s="115"/>
      <c r="X84" s="115"/>
      <c r="Y84" s="115"/>
      <c r="Z84" s="115"/>
      <c r="AA84" s="115"/>
      <c r="AB84" s="115"/>
      <c r="AC84" s="115"/>
      <c r="AD84" s="115"/>
      <c r="AE84" s="115"/>
      <c r="AF84" s="115"/>
      <c r="AG84" s="115"/>
      <c r="AH84" s="115"/>
      <c r="AI84" s="115"/>
      <c r="AJ84" s="115"/>
      <c r="AK84" s="115"/>
      <c r="AL84" s="115"/>
      <c r="AM84" s="115"/>
      <c r="AN84" s="115"/>
      <c r="AO84" s="115"/>
      <c r="AP84" s="115"/>
      <c r="AQ84" s="115"/>
      <c r="AR84" s="115"/>
      <c r="AS84" s="115"/>
      <c r="AT84" s="115"/>
      <c r="AU84" s="115"/>
      <c r="AV84" s="115"/>
      <c r="AW84" s="115"/>
      <c r="AX84" s="115"/>
      <c r="AY84" s="115"/>
    </row>
    <row r="85" spans="1:52" x14ac:dyDescent="0.25">
      <c r="A85" s="114"/>
      <c r="B85" s="135">
        <v>41</v>
      </c>
      <c r="C85" s="114" t="s">
        <v>292</v>
      </c>
      <c r="D85" s="115"/>
      <c r="E85" s="115"/>
      <c r="F85" s="115"/>
      <c r="G85" s="115"/>
      <c r="H85" s="115"/>
      <c r="I85" s="115"/>
      <c r="J85" s="115"/>
      <c r="K85" s="115"/>
      <c r="L85" s="115"/>
      <c r="M85" s="115"/>
      <c r="N85" s="115"/>
      <c r="O85" s="115"/>
      <c r="P85" s="115"/>
      <c r="Q85" s="115"/>
      <c r="R85" s="115"/>
      <c r="S85" s="115"/>
      <c r="T85" s="115"/>
      <c r="U85" s="115"/>
      <c r="V85" s="115"/>
      <c r="W85" s="115"/>
      <c r="X85" s="115"/>
      <c r="Y85" s="115"/>
      <c r="Z85" s="115"/>
      <c r="AA85" s="115"/>
      <c r="AB85" s="115"/>
      <c r="AC85" s="115"/>
      <c r="AD85" s="115"/>
      <c r="AE85" s="115"/>
      <c r="AF85" s="115"/>
      <c r="AG85" s="115"/>
      <c r="AH85" s="115"/>
      <c r="AI85" s="115"/>
      <c r="AJ85" s="115"/>
      <c r="AK85" s="115"/>
      <c r="AL85" s="115"/>
      <c r="AM85" s="115"/>
      <c r="AN85" s="115"/>
      <c r="AO85" s="115"/>
      <c r="AP85" s="115"/>
      <c r="AQ85" s="115"/>
      <c r="AR85" s="115"/>
      <c r="AS85" s="115"/>
      <c r="AT85" s="115"/>
      <c r="AU85" s="115"/>
      <c r="AV85" s="115"/>
      <c r="AW85" s="115"/>
      <c r="AX85" s="115"/>
      <c r="AY85" s="115"/>
    </row>
    <row r="86" spans="1:52" x14ac:dyDescent="0.25">
      <c r="A86" s="114"/>
      <c r="B86" s="135">
        <v>42</v>
      </c>
      <c r="C86" s="114" t="s">
        <v>292</v>
      </c>
      <c r="D86" s="115"/>
      <c r="E86" s="115"/>
      <c r="F86" s="115"/>
      <c r="G86" s="115"/>
      <c r="H86" s="115"/>
      <c r="I86" s="115"/>
      <c r="J86" s="115"/>
      <c r="K86" s="115"/>
      <c r="L86" s="115"/>
      <c r="M86" s="115"/>
      <c r="N86" s="115"/>
      <c r="O86" s="115"/>
      <c r="P86" s="115"/>
      <c r="Q86" s="115"/>
      <c r="R86" s="115"/>
      <c r="S86" s="115"/>
      <c r="T86" s="115"/>
      <c r="U86" s="115"/>
      <c r="V86" s="115"/>
      <c r="W86" s="115"/>
      <c r="X86" s="115"/>
      <c r="Y86" s="115"/>
      <c r="Z86" s="115"/>
      <c r="AA86" s="115"/>
      <c r="AB86" s="115"/>
      <c r="AC86" s="115"/>
      <c r="AD86" s="115"/>
      <c r="AE86" s="115"/>
      <c r="AF86" s="115"/>
      <c r="AG86" s="115"/>
      <c r="AH86" s="115"/>
      <c r="AI86" s="115"/>
      <c r="AJ86" s="115"/>
      <c r="AK86" s="115"/>
      <c r="AL86" s="115"/>
      <c r="AM86" s="115"/>
      <c r="AN86" s="115"/>
      <c r="AO86" s="115"/>
      <c r="AP86" s="115"/>
      <c r="AQ86" s="115"/>
      <c r="AR86" s="115"/>
      <c r="AS86" s="115"/>
      <c r="AT86" s="115"/>
      <c r="AU86" s="115"/>
      <c r="AV86" s="115"/>
      <c r="AW86" s="115"/>
      <c r="AX86" s="115"/>
      <c r="AY86" s="115"/>
    </row>
    <row r="87" spans="1:52" x14ac:dyDescent="0.25">
      <c r="A87" s="114"/>
      <c r="B87" s="135">
        <v>43</v>
      </c>
      <c r="C87" s="114" t="s">
        <v>292</v>
      </c>
      <c r="D87" s="115"/>
      <c r="E87" s="115"/>
      <c r="F87" s="115"/>
      <c r="G87" s="115"/>
      <c r="H87" s="115"/>
      <c r="I87" s="115"/>
      <c r="J87" s="115"/>
      <c r="K87" s="115"/>
      <c r="L87" s="115"/>
      <c r="M87" s="115"/>
      <c r="N87" s="115"/>
      <c r="O87" s="115"/>
      <c r="P87" s="115"/>
      <c r="Q87" s="115"/>
      <c r="R87" s="115"/>
      <c r="S87" s="115"/>
      <c r="T87" s="115"/>
      <c r="U87" s="115"/>
      <c r="V87" s="115"/>
      <c r="W87" s="115"/>
      <c r="X87" s="115"/>
      <c r="Y87" s="115"/>
      <c r="Z87" s="115"/>
      <c r="AA87" s="115"/>
      <c r="AB87" s="115"/>
      <c r="AC87" s="115"/>
      <c r="AD87" s="115"/>
      <c r="AE87" s="115"/>
      <c r="AF87" s="115"/>
      <c r="AG87" s="115"/>
      <c r="AH87" s="115"/>
      <c r="AI87" s="115"/>
      <c r="AJ87" s="115"/>
      <c r="AK87" s="115"/>
      <c r="AL87" s="115"/>
      <c r="AM87" s="115"/>
      <c r="AN87" s="115"/>
      <c r="AO87" s="115"/>
      <c r="AP87" s="115"/>
      <c r="AQ87" s="115"/>
      <c r="AR87" s="115"/>
      <c r="AS87" s="115"/>
      <c r="AT87" s="115"/>
      <c r="AU87" s="115"/>
      <c r="AV87" s="115"/>
      <c r="AW87" s="115"/>
      <c r="AX87" s="115"/>
      <c r="AY87" s="115"/>
    </row>
    <row r="88" spans="1:52" x14ac:dyDescent="0.25">
      <c r="A88" s="114"/>
      <c r="B88" s="135">
        <v>44</v>
      </c>
      <c r="C88" s="114" t="s">
        <v>292</v>
      </c>
      <c r="D88" s="115"/>
      <c r="E88" s="115"/>
      <c r="F88" s="115"/>
      <c r="G88" s="115"/>
      <c r="H88" s="115"/>
      <c r="I88" s="115"/>
      <c r="J88" s="115"/>
      <c r="K88" s="115"/>
      <c r="L88" s="115"/>
      <c r="M88" s="115"/>
      <c r="N88" s="115"/>
      <c r="O88" s="115"/>
      <c r="P88" s="115"/>
      <c r="Q88" s="115"/>
      <c r="R88" s="115"/>
      <c r="S88" s="115"/>
      <c r="T88" s="115"/>
      <c r="U88" s="115"/>
      <c r="V88" s="115"/>
      <c r="W88" s="115"/>
      <c r="X88" s="115"/>
      <c r="Y88" s="115"/>
      <c r="Z88" s="115"/>
      <c r="AA88" s="115"/>
      <c r="AB88" s="115"/>
      <c r="AC88" s="115"/>
      <c r="AD88" s="115"/>
      <c r="AE88" s="115"/>
      <c r="AF88" s="115"/>
      <c r="AG88" s="115"/>
      <c r="AH88" s="115"/>
      <c r="AI88" s="115"/>
      <c r="AJ88" s="115"/>
      <c r="AK88" s="115"/>
      <c r="AL88" s="115"/>
      <c r="AM88" s="115"/>
      <c r="AN88" s="115"/>
      <c r="AO88" s="115"/>
      <c r="AP88" s="115"/>
      <c r="AQ88" s="115"/>
      <c r="AR88" s="115"/>
      <c r="AS88" s="115"/>
      <c r="AT88" s="115"/>
      <c r="AU88" s="115"/>
      <c r="AV88" s="115"/>
      <c r="AW88" s="115"/>
      <c r="AX88" s="115"/>
      <c r="AY88" s="115"/>
    </row>
    <row r="89" spans="1:52" x14ac:dyDescent="0.25">
      <c r="A89" s="114"/>
      <c r="B89" s="135">
        <v>45</v>
      </c>
      <c r="C89" s="114" t="s">
        <v>292</v>
      </c>
      <c r="D89" s="115"/>
      <c r="E89" s="115"/>
      <c r="F89" s="115"/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115"/>
      <c r="R89" s="115"/>
      <c r="S89" s="115"/>
      <c r="T89" s="115"/>
      <c r="U89" s="115"/>
      <c r="V89" s="115"/>
      <c r="W89" s="115"/>
      <c r="X89" s="115"/>
      <c r="Y89" s="115"/>
      <c r="Z89" s="115"/>
      <c r="AA89" s="115"/>
      <c r="AB89" s="115"/>
      <c r="AC89" s="115"/>
      <c r="AD89" s="115"/>
      <c r="AE89" s="115"/>
      <c r="AF89" s="115"/>
      <c r="AG89" s="115"/>
      <c r="AH89" s="115"/>
      <c r="AI89" s="115"/>
      <c r="AJ89" s="115"/>
      <c r="AK89" s="115"/>
      <c r="AL89" s="115"/>
      <c r="AM89" s="115"/>
      <c r="AN89" s="115"/>
      <c r="AO89" s="115"/>
      <c r="AP89" s="115"/>
      <c r="AQ89" s="115"/>
      <c r="AR89" s="115"/>
      <c r="AS89" s="115"/>
      <c r="AT89" s="115"/>
      <c r="AU89" s="115"/>
      <c r="AV89" s="115"/>
      <c r="AW89" s="115"/>
      <c r="AX89" s="115"/>
      <c r="AY89" s="115"/>
    </row>
    <row r="90" spans="1:52" x14ac:dyDescent="0.25">
      <c r="A90" s="114"/>
      <c r="B90" s="135">
        <v>46</v>
      </c>
      <c r="C90" s="114" t="s">
        <v>292</v>
      </c>
      <c r="D90" s="115"/>
      <c r="E90" s="115"/>
      <c r="F90" s="115"/>
      <c r="G90" s="115"/>
      <c r="H90" s="115"/>
      <c r="I90" s="115"/>
      <c r="J90" s="115"/>
      <c r="K90" s="115"/>
      <c r="L90" s="115"/>
      <c r="M90" s="115"/>
      <c r="N90" s="115"/>
      <c r="O90" s="115"/>
      <c r="P90" s="115"/>
      <c r="Q90" s="115"/>
      <c r="R90" s="115"/>
      <c r="S90" s="115"/>
      <c r="T90" s="115"/>
      <c r="U90" s="115"/>
      <c r="V90" s="115"/>
      <c r="W90" s="115"/>
      <c r="X90" s="115"/>
      <c r="Y90" s="115"/>
      <c r="Z90" s="115"/>
      <c r="AA90" s="115"/>
      <c r="AB90" s="115"/>
      <c r="AC90" s="115"/>
      <c r="AD90" s="115"/>
      <c r="AE90" s="115"/>
      <c r="AF90" s="115"/>
      <c r="AG90" s="115"/>
      <c r="AH90" s="115"/>
      <c r="AI90" s="115"/>
      <c r="AJ90" s="115"/>
      <c r="AK90" s="115"/>
      <c r="AL90" s="115"/>
      <c r="AM90" s="115"/>
      <c r="AN90" s="115"/>
      <c r="AO90" s="115"/>
      <c r="AP90" s="115"/>
      <c r="AQ90" s="115"/>
      <c r="AR90" s="115"/>
      <c r="AS90" s="115"/>
      <c r="AT90" s="115"/>
      <c r="AU90" s="115"/>
      <c r="AV90" s="115"/>
      <c r="AW90" s="115"/>
      <c r="AX90" s="115"/>
      <c r="AY90" s="115"/>
    </row>
    <row r="91" spans="1:52" x14ac:dyDescent="0.25">
      <c r="A91" s="114"/>
      <c r="B91" s="135">
        <v>47</v>
      </c>
      <c r="C91" s="114" t="s">
        <v>292</v>
      </c>
      <c r="D91" s="115"/>
      <c r="E91" s="115"/>
      <c r="F91" s="115"/>
      <c r="G91" s="115"/>
      <c r="H91" s="115"/>
      <c r="I91" s="115"/>
      <c r="J91" s="115"/>
      <c r="K91" s="115"/>
      <c r="L91" s="115"/>
      <c r="M91" s="115"/>
      <c r="N91" s="115"/>
      <c r="O91" s="115"/>
      <c r="P91" s="115"/>
      <c r="Q91" s="115"/>
      <c r="R91" s="115"/>
      <c r="S91" s="115"/>
      <c r="T91" s="115"/>
      <c r="U91" s="115"/>
      <c r="V91" s="115"/>
      <c r="W91" s="115"/>
      <c r="X91" s="115"/>
      <c r="Y91" s="115"/>
      <c r="Z91" s="115"/>
      <c r="AA91" s="115"/>
      <c r="AB91" s="115"/>
      <c r="AC91" s="115"/>
      <c r="AD91" s="115"/>
      <c r="AE91" s="115"/>
      <c r="AF91" s="115"/>
      <c r="AG91" s="115"/>
      <c r="AH91" s="115"/>
      <c r="AI91" s="115"/>
      <c r="AJ91" s="115"/>
      <c r="AK91" s="115"/>
      <c r="AL91" s="115"/>
      <c r="AM91" s="115"/>
      <c r="AN91" s="115"/>
      <c r="AO91" s="115"/>
      <c r="AP91" s="115"/>
      <c r="AQ91" s="115"/>
      <c r="AR91" s="115"/>
      <c r="AS91" s="115"/>
      <c r="AT91" s="115"/>
      <c r="AU91" s="115"/>
      <c r="AV91" s="115"/>
      <c r="AW91" s="115"/>
      <c r="AX91" s="115"/>
      <c r="AY91" s="115"/>
    </row>
    <row r="92" spans="1:52" x14ac:dyDescent="0.25">
      <c r="A92" s="133"/>
      <c r="B92" s="134">
        <v>48</v>
      </c>
      <c r="C92" s="133" t="s">
        <v>292</v>
      </c>
      <c r="D92" s="130">
        <v>0</v>
      </c>
      <c r="E92" s="130">
        <v>0</v>
      </c>
      <c r="F92" s="130">
        <v>0</v>
      </c>
      <c r="G92" s="130">
        <v>0</v>
      </c>
      <c r="H92" s="130">
        <v>0</v>
      </c>
      <c r="I92" s="130">
        <v>0</v>
      </c>
      <c r="J92" s="130">
        <v>0</v>
      </c>
      <c r="K92" s="130">
        <v>0</v>
      </c>
      <c r="L92" s="130">
        <v>0</v>
      </c>
      <c r="M92" s="130">
        <v>0</v>
      </c>
      <c r="N92" s="130">
        <v>0</v>
      </c>
      <c r="O92" s="130">
        <v>0</v>
      </c>
      <c r="P92" s="130">
        <v>0</v>
      </c>
      <c r="Q92" s="130">
        <v>0</v>
      </c>
      <c r="R92" s="130">
        <v>0</v>
      </c>
      <c r="S92" s="130">
        <v>0</v>
      </c>
      <c r="T92" s="130">
        <v>0</v>
      </c>
      <c r="U92" s="130">
        <v>0</v>
      </c>
      <c r="V92" s="130">
        <v>0</v>
      </c>
      <c r="W92" s="130">
        <v>0</v>
      </c>
      <c r="X92" s="130">
        <v>0</v>
      </c>
      <c r="Y92" s="130">
        <v>0</v>
      </c>
      <c r="Z92" s="130">
        <v>0</v>
      </c>
      <c r="AA92" s="130">
        <v>0</v>
      </c>
      <c r="AB92" s="130">
        <v>0</v>
      </c>
      <c r="AC92" s="130">
        <v>0</v>
      </c>
      <c r="AD92" s="130">
        <v>0</v>
      </c>
      <c r="AE92" s="130">
        <v>0</v>
      </c>
      <c r="AF92" s="130">
        <v>0</v>
      </c>
      <c r="AG92" s="130">
        <v>0</v>
      </c>
      <c r="AH92" s="130">
        <v>0</v>
      </c>
      <c r="AI92" s="130">
        <v>0</v>
      </c>
      <c r="AJ92" s="130">
        <v>0</v>
      </c>
      <c r="AK92" s="130">
        <v>0</v>
      </c>
      <c r="AL92" s="130">
        <v>0</v>
      </c>
      <c r="AM92" s="130">
        <v>0</v>
      </c>
      <c r="AN92" s="130">
        <v>0</v>
      </c>
      <c r="AO92" s="130">
        <v>0</v>
      </c>
      <c r="AP92" s="130">
        <v>0</v>
      </c>
      <c r="AQ92" s="130">
        <v>0</v>
      </c>
      <c r="AR92" s="130">
        <v>0</v>
      </c>
      <c r="AS92" s="130">
        <v>0</v>
      </c>
      <c r="AT92" s="130">
        <v>0</v>
      </c>
      <c r="AU92" s="130">
        <v>0</v>
      </c>
      <c r="AV92" s="130">
        <v>0</v>
      </c>
      <c r="AW92" s="130">
        <v>0</v>
      </c>
      <c r="AX92" s="130">
        <v>0</v>
      </c>
      <c r="AY92" s="130">
        <v>0</v>
      </c>
      <c r="AZ92" s="112">
        <f>SUM(D21:AY92)</f>
        <v>0</v>
      </c>
    </row>
    <row r="94" spans="1:52" x14ac:dyDescent="0.25">
      <c r="A94" s="107" t="s">
        <v>294</v>
      </c>
      <c r="B94" s="111"/>
      <c r="C94" s="111"/>
      <c r="D94" s="119"/>
      <c r="E94" s="119"/>
      <c r="F94" s="119"/>
      <c r="G94" s="119"/>
      <c r="H94" s="119"/>
      <c r="I94" s="119"/>
      <c r="J94" s="119"/>
      <c r="K94" s="119"/>
      <c r="L94" s="119"/>
      <c r="M94" s="119"/>
      <c r="N94" s="119"/>
      <c r="O94" s="119"/>
      <c r="P94" s="119"/>
      <c r="Q94" s="119"/>
      <c r="R94" s="119"/>
      <c r="S94" s="119"/>
      <c r="T94" s="119"/>
      <c r="U94" s="119"/>
      <c r="V94" s="119"/>
      <c r="W94" s="119"/>
      <c r="X94" s="119"/>
      <c r="Y94" s="119"/>
      <c r="Z94" s="119"/>
      <c r="AA94" s="119"/>
      <c r="AB94" s="119"/>
      <c r="AC94" s="119"/>
      <c r="AD94" s="119"/>
      <c r="AE94" s="119"/>
      <c r="AF94" s="119"/>
      <c r="AG94" s="119"/>
      <c r="AH94" s="119"/>
      <c r="AI94" s="119"/>
      <c r="AJ94" s="119"/>
      <c r="AK94" s="119"/>
      <c r="AL94" s="119"/>
      <c r="AM94" s="119"/>
      <c r="AN94" s="119"/>
      <c r="AO94" s="119"/>
      <c r="AP94" s="119"/>
      <c r="AQ94" s="119"/>
      <c r="AR94" s="119"/>
      <c r="AS94" s="119"/>
      <c r="AT94" s="119"/>
      <c r="AU94" s="119"/>
      <c r="AV94" s="119"/>
      <c r="AW94" s="119"/>
      <c r="AX94" s="119"/>
      <c r="AY94" s="119"/>
    </row>
    <row r="95" spans="1:52" x14ac:dyDescent="0.25">
      <c r="A95" s="131" t="s">
        <v>125</v>
      </c>
      <c r="B95" s="128">
        <v>1</v>
      </c>
      <c r="C95" s="129"/>
      <c r="D95" s="115">
        <v>0</v>
      </c>
      <c r="E95" s="115">
        <v>0</v>
      </c>
      <c r="F95" s="115">
        <v>0</v>
      </c>
      <c r="G95" s="115">
        <v>0</v>
      </c>
      <c r="H95" s="115">
        <v>0</v>
      </c>
      <c r="I95" s="115">
        <v>0</v>
      </c>
      <c r="J95" s="115">
        <v>0</v>
      </c>
      <c r="K95" s="115">
        <v>0</v>
      </c>
      <c r="L95" s="115">
        <v>0</v>
      </c>
      <c r="M95" s="115">
        <v>0</v>
      </c>
      <c r="N95" s="115">
        <v>0</v>
      </c>
      <c r="O95" s="115">
        <v>0</v>
      </c>
      <c r="P95" s="115">
        <v>0</v>
      </c>
      <c r="Q95" s="115">
        <v>0</v>
      </c>
      <c r="R95" s="115">
        <v>0</v>
      </c>
      <c r="S95" s="115">
        <v>0</v>
      </c>
      <c r="T95" s="115">
        <v>0</v>
      </c>
      <c r="U95" s="115">
        <v>0</v>
      </c>
      <c r="V95" s="115">
        <v>0</v>
      </c>
      <c r="W95" s="115">
        <v>0</v>
      </c>
      <c r="X95" s="115">
        <v>0</v>
      </c>
      <c r="Y95" s="115">
        <v>0</v>
      </c>
      <c r="Z95" s="115">
        <v>0</v>
      </c>
      <c r="AA95" s="115">
        <v>0</v>
      </c>
      <c r="AB95" s="115">
        <v>0</v>
      </c>
      <c r="AC95" s="115">
        <v>0</v>
      </c>
      <c r="AD95" s="115">
        <v>0</v>
      </c>
      <c r="AE95" s="115">
        <v>0</v>
      </c>
      <c r="AF95" s="115">
        <v>0</v>
      </c>
      <c r="AG95" s="115">
        <v>0</v>
      </c>
      <c r="AH95" s="115">
        <v>0</v>
      </c>
      <c r="AI95" s="115">
        <v>0</v>
      </c>
      <c r="AJ95" s="115">
        <v>0</v>
      </c>
      <c r="AK95" s="115">
        <v>0</v>
      </c>
      <c r="AL95" s="115">
        <v>0</v>
      </c>
      <c r="AM95" s="115">
        <v>0</v>
      </c>
      <c r="AN95" s="115">
        <v>0</v>
      </c>
      <c r="AO95" s="115">
        <v>0</v>
      </c>
      <c r="AP95" s="115">
        <v>0</v>
      </c>
      <c r="AQ95" s="115">
        <v>0</v>
      </c>
      <c r="AR95" s="115">
        <v>0</v>
      </c>
      <c r="AS95" s="115">
        <v>0</v>
      </c>
      <c r="AT95" s="115">
        <v>0</v>
      </c>
      <c r="AU95" s="115">
        <v>0</v>
      </c>
      <c r="AV95" s="115">
        <v>0</v>
      </c>
      <c r="AW95" s="115">
        <v>0</v>
      </c>
      <c r="AX95" s="115">
        <v>0</v>
      </c>
      <c r="AY95" s="115">
        <v>0</v>
      </c>
    </row>
    <row r="96" spans="1:52" x14ac:dyDescent="0.25">
      <c r="A96" s="114"/>
      <c r="B96" s="125">
        <v>2</v>
      </c>
      <c r="C96" s="115"/>
      <c r="D96" s="115">
        <v>0</v>
      </c>
      <c r="E96" s="115">
        <v>0</v>
      </c>
      <c r="F96" s="115">
        <v>0</v>
      </c>
      <c r="G96" s="115">
        <v>0</v>
      </c>
      <c r="H96" s="115">
        <v>0</v>
      </c>
      <c r="I96" s="115">
        <v>0</v>
      </c>
      <c r="J96" s="115">
        <v>0</v>
      </c>
      <c r="K96" s="115">
        <v>0</v>
      </c>
      <c r="L96" s="115">
        <v>0</v>
      </c>
      <c r="M96" s="115">
        <v>0</v>
      </c>
      <c r="N96" s="115">
        <v>0</v>
      </c>
      <c r="O96" s="115">
        <v>0</v>
      </c>
      <c r="P96" s="115">
        <v>0</v>
      </c>
      <c r="Q96" s="115">
        <v>0</v>
      </c>
      <c r="R96" s="115">
        <v>0</v>
      </c>
      <c r="S96" s="115">
        <v>0</v>
      </c>
      <c r="T96" s="115">
        <v>0</v>
      </c>
      <c r="U96" s="115">
        <v>0</v>
      </c>
      <c r="V96" s="115">
        <v>0</v>
      </c>
      <c r="W96" s="115">
        <v>0</v>
      </c>
      <c r="X96" s="115">
        <v>0</v>
      </c>
      <c r="Y96" s="115">
        <v>0</v>
      </c>
      <c r="Z96" s="115">
        <v>0</v>
      </c>
      <c r="AA96" s="115">
        <v>0</v>
      </c>
      <c r="AB96" s="115">
        <v>0</v>
      </c>
      <c r="AC96" s="115">
        <v>0</v>
      </c>
      <c r="AD96" s="115">
        <v>0</v>
      </c>
      <c r="AE96" s="115">
        <v>0</v>
      </c>
      <c r="AF96" s="115">
        <v>0</v>
      </c>
      <c r="AG96" s="115">
        <v>0</v>
      </c>
      <c r="AH96" s="115">
        <v>0</v>
      </c>
      <c r="AI96" s="115">
        <v>0</v>
      </c>
      <c r="AJ96" s="115">
        <v>0</v>
      </c>
      <c r="AK96" s="115">
        <v>0</v>
      </c>
      <c r="AL96" s="115">
        <v>0</v>
      </c>
      <c r="AM96" s="115">
        <v>0</v>
      </c>
      <c r="AN96" s="115">
        <v>0</v>
      </c>
      <c r="AO96" s="115">
        <v>0</v>
      </c>
      <c r="AP96" s="115">
        <v>0</v>
      </c>
      <c r="AQ96" s="115">
        <v>0</v>
      </c>
      <c r="AR96" s="115">
        <v>0</v>
      </c>
      <c r="AS96" s="115">
        <v>0</v>
      </c>
      <c r="AT96" s="115">
        <v>0</v>
      </c>
      <c r="AU96" s="115">
        <v>0</v>
      </c>
      <c r="AV96" s="115">
        <v>0</v>
      </c>
      <c r="AW96" s="115">
        <v>0</v>
      </c>
      <c r="AX96" s="115">
        <v>0</v>
      </c>
      <c r="AY96" s="115">
        <v>0</v>
      </c>
    </row>
    <row r="97" spans="1:52" x14ac:dyDescent="0.25">
      <c r="A97" s="114"/>
      <c r="B97" s="132">
        <v>3</v>
      </c>
      <c r="C97" s="115"/>
      <c r="D97" s="115">
        <v>0</v>
      </c>
      <c r="E97" s="115">
        <v>0</v>
      </c>
      <c r="F97" s="115">
        <v>0</v>
      </c>
      <c r="G97" s="115">
        <v>0</v>
      </c>
      <c r="H97" s="115">
        <v>0</v>
      </c>
      <c r="I97" s="115">
        <v>0</v>
      </c>
      <c r="J97" s="115">
        <v>0</v>
      </c>
      <c r="K97" s="115">
        <v>0</v>
      </c>
      <c r="L97" s="115">
        <v>0</v>
      </c>
      <c r="M97" s="115">
        <v>0</v>
      </c>
      <c r="N97" s="115">
        <v>0</v>
      </c>
      <c r="O97" s="115">
        <v>0</v>
      </c>
      <c r="P97" s="115">
        <v>0</v>
      </c>
      <c r="Q97" s="115">
        <v>0</v>
      </c>
      <c r="R97" s="115">
        <v>0</v>
      </c>
      <c r="S97" s="115">
        <v>0</v>
      </c>
      <c r="T97" s="115">
        <v>0</v>
      </c>
      <c r="U97" s="115">
        <v>0</v>
      </c>
      <c r="V97" s="115">
        <v>0</v>
      </c>
      <c r="W97" s="115">
        <v>0</v>
      </c>
      <c r="X97" s="115">
        <v>0</v>
      </c>
      <c r="Y97" s="115">
        <v>0</v>
      </c>
      <c r="Z97" s="115">
        <v>0</v>
      </c>
      <c r="AA97" s="115">
        <v>0</v>
      </c>
      <c r="AB97" s="115">
        <v>0</v>
      </c>
      <c r="AC97" s="115">
        <v>0</v>
      </c>
      <c r="AD97" s="115">
        <v>0</v>
      </c>
      <c r="AE97" s="115">
        <v>0</v>
      </c>
      <c r="AF97" s="115">
        <v>0</v>
      </c>
      <c r="AG97" s="115">
        <v>0</v>
      </c>
      <c r="AH97" s="115">
        <v>0</v>
      </c>
      <c r="AI97" s="115">
        <v>0</v>
      </c>
      <c r="AJ97" s="115">
        <v>0</v>
      </c>
      <c r="AK97" s="115">
        <v>0</v>
      </c>
      <c r="AL97" s="115">
        <v>0</v>
      </c>
      <c r="AM97" s="115">
        <v>0</v>
      </c>
      <c r="AN97" s="115">
        <v>0</v>
      </c>
      <c r="AO97" s="115">
        <v>0</v>
      </c>
      <c r="AP97" s="115">
        <v>0</v>
      </c>
      <c r="AQ97" s="115">
        <v>0</v>
      </c>
      <c r="AR97" s="115">
        <v>0</v>
      </c>
      <c r="AS97" s="115">
        <v>0</v>
      </c>
      <c r="AT97" s="115">
        <v>0</v>
      </c>
      <c r="AU97" s="115">
        <v>0</v>
      </c>
      <c r="AV97" s="115">
        <v>0</v>
      </c>
      <c r="AW97" s="115">
        <v>0</v>
      </c>
      <c r="AX97" s="115">
        <v>0</v>
      </c>
      <c r="AY97" s="115">
        <v>0</v>
      </c>
    </row>
    <row r="98" spans="1:52" x14ac:dyDescent="0.25">
      <c r="A98" s="114"/>
      <c r="B98" s="135">
        <v>4</v>
      </c>
      <c r="C98" s="111"/>
      <c r="D98" s="115">
        <v>0</v>
      </c>
      <c r="E98" s="115">
        <v>0</v>
      </c>
      <c r="F98" s="115">
        <v>0</v>
      </c>
      <c r="G98" s="115">
        <v>0</v>
      </c>
      <c r="H98" s="115">
        <v>0</v>
      </c>
      <c r="I98" s="115">
        <v>0</v>
      </c>
      <c r="J98" s="115">
        <v>0</v>
      </c>
      <c r="K98" s="115">
        <v>0</v>
      </c>
      <c r="L98" s="115">
        <v>0</v>
      </c>
      <c r="M98" s="115">
        <v>0</v>
      </c>
      <c r="N98" s="115">
        <v>0</v>
      </c>
      <c r="O98" s="115">
        <v>0</v>
      </c>
      <c r="P98" s="115">
        <v>0</v>
      </c>
      <c r="Q98" s="115">
        <v>0</v>
      </c>
      <c r="R98" s="115">
        <v>0</v>
      </c>
      <c r="S98" s="115">
        <v>0</v>
      </c>
      <c r="T98" s="115">
        <v>0</v>
      </c>
      <c r="U98" s="115">
        <v>0</v>
      </c>
      <c r="V98" s="115">
        <v>0</v>
      </c>
      <c r="W98" s="115">
        <v>0</v>
      </c>
      <c r="X98" s="115">
        <v>0</v>
      </c>
      <c r="Y98" s="115">
        <v>0</v>
      </c>
      <c r="Z98" s="115">
        <v>0</v>
      </c>
      <c r="AA98" s="115">
        <v>0</v>
      </c>
      <c r="AB98" s="115">
        <v>0</v>
      </c>
      <c r="AC98" s="115">
        <v>0</v>
      </c>
      <c r="AD98" s="115">
        <v>0</v>
      </c>
      <c r="AE98" s="115">
        <v>0</v>
      </c>
      <c r="AF98" s="115">
        <v>0</v>
      </c>
      <c r="AG98" s="115">
        <v>0</v>
      </c>
      <c r="AH98" s="115">
        <v>0</v>
      </c>
      <c r="AI98" s="115">
        <v>0</v>
      </c>
      <c r="AJ98" s="115">
        <v>0</v>
      </c>
      <c r="AK98" s="115">
        <v>0</v>
      </c>
      <c r="AL98" s="115">
        <v>0</v>
      </c>
      <c r="AM98" s="115">
        <v>0</v>
      </c>
      <c r="AN98" s="115">
        <v>0</v>
      </c>
      <c r="AO98" s="115">
        <v>0</v>
      </c>
      <c r="AP98" s="115">
        <v>0</v>
      </c>
      <c r="AQ98" s="115">
        <v>0</v>
      </c>
      <c r="AR98" s="115">
        <v>0</v>
      </c>
      <c r="AS98" s="115">
        <v>0</v>
      </c>
      <c r="AT98" s="115">
        <v>0</v>
      </c>
      <c r="AU98" s="115">
        <v>0</v>
      </c>
      <c r="AV98" s="115">
        <v>0</v>
      </c>
      <c r="AW98" s="115">
        <v>0</v>
      </c>
      <c r="AX98" s="115">
        <v>0</v>
      </c>
      <c r="AY98" s="115">
        <v>0</v>
      </c>
    </row>
    <row r="99" spans="1:52" x14ac:dyDescent="0.25">
      <c r="A99" s="133"/>
      <c r="B99" s="137" t="s">
        <v>295</v>
      </c>
      <c r="C99" s="130"/>
      <c r="D99" s="130">
        <v>0</v>
      </c>
      <c r="E99" s="130">
        <v>0</v>
      </c>
      <c r="F99" s="130">
        <v>0</v>
      </c>
      <c r="G99" s="130">
        <v>0</v>
      </c>
      <c r="H99" s="130">
        <v>0</v>
      </c>
      <c r="I99" s="130">
        <v>0</v>
      </c>
      <c r="J99" s="130">
        <v>0</v>
      </c>
      <c r="K99" s="130">
        <v>0</v>
      </c>
      <c r="L99" s="130">
        <v>0</v>
      </c>
      <c r="M99" s="130">
        <v>0</v>
      </c>
      <c r="N99" s="130">
        <v>0</v>
      </c>
      <c r="O99" s="130">
        <v>0</v>
      </c>
      <c r="P99" s="130">
        <v>0</v>
      </c>
      <c r="Q99" s="130">
        <v>0</v>
      </c>
      <c r="R99" s="130">
        <v>0</v>
      </c>
      <c r="S99" s="130">
        <v>0</v>
      </c>
      <c r="T99" s="130">
        <v>0</v>
      </c>
      <c r="U99" s="130">
        <v>0</v>
      </c>
      <c r="V99" s="130">
        <v>0</v>
      </c>
      <c r="W99" s="130">
        <v>0</v>
      </c>
      <c r="X99" s="130">
        <v>0</v>
      </c>
      <c r="Y99" s="130">
        <v>0</v>
      </c>
      <c r="Z99" s="130">
        <v>0</v>
      </c>
      <c r="AA99" s="130">
        <v>0</v>
      </c>
      <c r="AB99" s="130">
        <v>0</v>
      </c>
      <c r="AC99" s="130">
        <v>0</v>
      </c>
      <c r="AD99" s="130">
        <v>0</v>
      </c>
      <c r="AE99" s="130">
        <v>0</v>
      </c>
      <c r="AF99" s="130">
        <v>0</v>
      </c>
      <c r="AG99" s="130">
        <v>0</v>
      </c>
      <c r="AH99" s="130">
        <v>0</v>
      </c>
      <c r="AI99" s="130">
        <v>0</v>
      </c>
      <c r="AJ99" s="130">
        <v>0</v>
      </c>
      <c r="AK99" s="130">
        <v>0</v>
      </c>
      <c r="AL99" s="130">
        <v>0</v>
      </c>
      <c r="AM99" s="130">
        <v>0</v>
      </c>
      <c r="AN99" s="130">
        <v>0</v>
      </c>
      <c r="AO99" s="130">
        <v>0</v>
      </c>
      <c r="AP99" s="130">
        <v>0</v>
      </c>
      <c r="AQ99" s="130">
        <v>0</v>
      </c>
      <c r="AR99" s="130">
        <v>0</v>
      </c>
      <c r="AS99" s="130">
        <v>0</v>
      </c>
      <c r="AT99" s="130">
        <v>0</v>
      </c>
      <c r="AU99" s="130">
        <v>0</v>
      </c>
      <c r="AV99" s="130">
        <v>0</v>
      </c>
      <c r="AW99" s="130">
        <v>0</v>
      </c>
      <c r="AX99" s="130">
        <v>0</v>
      </c>
      <c r="AY99" s="130">
        <v>0</v>
      </c>
      <c r="AZ99" s="112">
        <f>SUM($D99:$AY99)</f>
        <v>0</v>
      </c>
    </row>
    <row r="100" spans="1:52" x14ac:dyDescent="0.25">
      <c r="A100" s="136" t="s">
        <v>133</v>
      </c>
      <c r="B100" s="124">
        <v>1</v>
      </c>
      <c r="C100" s="111"/>
      <c r="D100" s="111">
        <v>0</v>
      </c>
      <c r="E100" s="111">
        <v>0</v>
      </c>
      <c r="F100" s="111">
        <v>748.23749999999995</v>
      </c>
      <c r="G100" s="111">
        <v>58.21875</v>
      </c>
      <c r="H100" s="111">
        <v>748.23749999999995</v>
      </c>
      <c r="I100" s="111">
        <v>605.64374999999995</v>
      </c>
      <c r="J100" s="111">
        <v>248.77352528089881</v>
      </c>
      <c r="K100" s="111">
        <v>663.86249999999995</v>
      </c>
      <c r="L100" s="111">
        <v>248.77352528089881</v>
      </c>
      <c r="M100" s="111">
        <v>690.01874999999995</v>
      </c>
      <c r="N100" s="111">
        <v>748.23749999999995</v>
      </c>
      <c r="O100" s="111">
        <v>84.375</v>
      </c>
      <c r="P100" s="111">
        <v>248.77352528089881</v>
      </c>
      <c r="Q100" s="111">
        <v>663.86249999999995</v>
      </c>
      <c r="R100" s="111">
        <v>748.23749999999995</v>
      </c>
      <c r="S100" s="111">
        <v>142.59375</v>
      </c>
      <c r="T100" s="111">
        <v>248.77352528089881</v>
      </c>
      <c r="U100" s="111">
        <v>748.23749999999995</v>
      </c>
      <c r="V100" s="111">
        <v>248.77352528089881</v>
      </c>
      <c r="W100" s="111">
        <v>84.375</v>
      </c>
      <c r="X100" s="111">
        <v>748.23749999999995</v>
      </c>
      <c r="Y100" s="111">
        <v>58.21875</v>
      </c>
      <c r="Z100" s="111">
        <v>248.77352528089881</v>
      </c>
      <c r="AA100" s="111">
        <v>142.59375</v>
      </c>
      <c r="AB100" s="111">
        <v>748.23749999999995</v>
      </c>
      <c r="AC100" s="111">
        <v>690.01874999999995</v>
      </c>
      <c r="AD100" s="111">
        <v>248.77352528089881</v>
      </c>
      <c r="AE100" s="111">
        <v>142.59375</v>
      </c>
      <c r="AF100" s="111">
        <v>248.77352528089881</v>
      </c>
      <c r="AG100" s="111">
        <v>748.23749999999995</v>
      </c>
      <c r="AH100" s="111">
        <v>248.77352528089881</v>
      </c>
      <c r="AI100" s="111">
        <v>605.64374999999995</v>
      </c>
      <c r="AJ100" s="111">
        <v>748.23749999999995</v>
      </c>
      <c r="AK100" s="111">
        <v>0</v>
      </c>
      <c r="AL100" s="111">
        <v>248.77352528089881</v>
      </c>
      <c r="AM100" s="111">
        <v>84.375</v>
      </c>
      <c r="AN100" s="111">
        <v>748.23749999999995</v>
      </c>
      <c r="AO100" s="111">
        <v>84.375</v>
      </c>
      <c r="AP100" s="111">
        <v>690.01874999999995</v>
      </c>
      <c r="AQ100" s="111">
        <v>142.59375</v>
      </c>
      <c r="AR100" s="111">
        <v>58.21875</v>
      </c>
      <c r="AS100" s="111">
        <v>190.55477528089881</v>
      </c>
      <c r="AT100" s="111">
        <v>142.59375</v>
      </c>
      <c r="AU100" s="111">
        <v>748.23749999999995</v>
      </c>
      <c r="AV100" s="111">
        <v>142.59375</v>
      </c>
      <c r="AW100" s="111">
        <v>690.01874999999995</v>
      </c>
      <c r="AX100" s="111">
        <v>142.59375</v>
      </c>
      <c r="AY100" s="111">
        <v>142.59375</v>
      </c>
    </row>
    <row r="101" spans="1:52" x14ac:dyDescent="0.25">
      <c r="A101" s="114"/>
      <c r="B101" s="124">
        <v>2</v>
      </c>
      <c r="C101" s="111"/>
      <c r="D101" s="111">
        <v>0</v>
      </c>
      <c r="E101" s="111">
        <v>0</v>
      </c>
      <c r="F101" s="111">
        <v>0</v>
      </c>
      <c r="G101" s="111">
        <v>541.23749999999995</v>
      </c>
      <c r="H101" s="111">
        <v>748.23749999999995</v>
      </c>
      <c r="I101" s="111">
        <v>748.23749999999995</v>
      </c>
      <c r="J101" s="111">
        <v>663.86249999999995</v>
      </c>
      <c r="K101" s="111">
        <v>248.77352528089881</v>
      </c>
      <c r="L101" s="111">
        <v>748.23749999999995</v>
      </c>
      <c r="M101" s="111">
        <v>248.77352528089881</v>
      </c>
      <c r="N101" s="111">
        <v>748.23749999999995</v>
      </c>
      <c r="O101" s="111">
        <v>748.23749999999995</v>
      </c>
      <c r="P101" s="111">
        <v>748.23749999999995</v>
      </c>
      <c r="Q101" s="111">
        <v>248.77352528089881</v>
      </c>
      <c r="R101" s="111">
        <v>663.86249999999995</v>
      </c>
      <c r="S101" s="111">
        <v>748.23749999999995</v>
      </c>
      <c r="T101" s="111">
        <v>748.23749999999995</v>
      </c>
      <c r="U101" s="111">
        <v>748.23749999999995</v>
      </c>
      <c r="V101" s="111">
        <v>748.23749999999995</v>
      </c>
      <c r="W101" s="111">
        <v>748.23749999999995</v>
      </c>
      <c r="X101" s="111">
        <v>748.23749999999995</v>
      </c>
      <c r="Y101" s="111">
        <v>748.23749999999995</v>
      </c>
      <c r="Z101" s="111">
        <v>663.86249999999995</v>
      </c>
      <c r="AA101" s="111">
        <v>748.23749999999995</v>
      </c>
      <c r="AB101" s="111">
        <v>748.23749999999995</v>
      </c>
      <c r="AC101" s="111">
        <v>748.23749999999995</v>
      </c>
      <c r="AD101" s="111">
        <v>748.23749999999995</v>
      </c>
      <c r="AE101" s="111">
        <v>748.23749999999995</v>
      </c>
      <c r="AF101" s="111">
        <v>142.59375</v>
      </c>
      <c r="AG101" s="111">
        <v>748.23749999999995</v>
      </c>
      <c r="AH101" s="111">
        <v>748.23749999999995</v>
      </c>
      <c r="AI101" s="111">
        <v>248.77352528089881</v>
      </c>
      <c r="AJ101" s="111">
        <v>690.01874999999995</v>
      </c>
      <c r="AK101" s="111">
        <v>748.23749999999995</v>
      </c>
      <c r="AL101" s="111">
        <v>748.23749999999995</v>
      </c>
      <c r="AM101" s="111">
        <v>748.23749999999995</v>
      </c>
      <c r="AN101" s="111">
        <v>142.59375</v>
      </c>
      <c r="AO101" s="111">
        <v>748.23749999999995</v>
      </c>
      <c r="AP101" s="111">
        <v>142.59375</v>
      </c>
      <c r="AQ101" s="111">
        <v>0</v>
      </c>
      <c r="AR101" s="111">
        <v>0</v>
      </c>
      <c r="AS101" s="111">
        <v>0</v>
      </c>
      <c r="AT101" s="111">
        <v>499.46397471910115</v>
      </c>
      <c r="AU101" s="111">
        <v>605.64374999999995</v>
      </c>
      <c r="AV101" s="111">
        <v>0</v>
      </c>
      <c r="AW101" s="111">
        <v>0</v>
      </c>
      <c r="AX101" s="111">
        <v>58.21875</v>
      </c>
      <c r="AY101" s="111">
        <v>0</v>
      </c>
    </row>
    <row r="102" spans="1:52" x14ac:dyDescent="0.25">
      <c r="A102" s="114"/>
      <c r="B102" s="125">
        <v>3</v>
      </c>
      <c r="C102" s="111"/>
      <c r="D102" s="111">
        <v>0</v>
      </c>
      <c r="E102" s="111">
        <v>0</v>
      </c>
      <c r="F102" s="111">
        <v>0</v>
      </c>
      <c r="G102" s="111">
        <v>0</v>
      </c>
      <c r="H102" s="111">
        <v>314.23749999999995</v>
      </c>
      <c r="I102" s="111">
        <v>748.23749999999995</v>
      </c>
      <c r="J102" s="111">
        <v>748.23749999999995</v>
      </c>
      <c r="K102" s="111">
        <v>663.86249999999995</v>
      </c>
      <c r="L102" s="111">
        <v>748.23749999999995</v>
      </c>
      <c r="M102" s="111">
        <v>748.23749999999995</v>
      </c>
      <c r="N102" s="111">
        <v>748.23749999999995</v>
      </c>
      <c r="O102" s="111">
        <v>748.23749999999995</v>
      </c>
      <c r="P102" s="111">
        <v>748.23749999999995</v>
      </c>
      <c r="Q102" s="111">
        <v>748.23749999999995</v>
      </c>
      <c r="R102" s="111">
        <v>748.23749999999995</v>
      </c>
      <c r="S102" s="111">
        <v>748.23749999999995</v>
      </c>
      <c r="T102" s="111">
        <v>748.23749999999995</v>
      </c>
      <c r="U102" s="111">
        <v>748.23749999999995</v>
      </c>
      <c r="V102" s="111">
        <v>748.23749999999995</v>
      </c>
      <c r="W102" s="111">
        <v>748.23749999999995</v>
      </c>
      <c r="X102" s="111">
        <v>748.23749999999995</v>
      </c>
      <c r="Y102" s="111">
        <v>748.23749999999995</v>
      </c>
      <c r="Z102" s="111">
        <v>748.23749999999995</v>
      </c>
      <c r="AA102" s="111">
        <v>748.23749999999995</v>
      </c>
      <c r="AB102" s="111">
        <v>748.23749999999995</v>
      </c>
      <c r="AC102" s="111">
        <v>748.23749999999995</v>
      </c>
      <c r="AD102" s="111">
        <v>748.23749999999995</v>
      </c>
      <c r="AE102" s="111">
        <v>748.23749999999995</v>
      </c>
      <c r="AF102" s="111">
        <v>748.23749999999995</v>
      </c>
      <c r="AG102" s="111">
        <v>748.23749999999995</v>
      </c>
      <c r="AH102" s="111">
        <v>748.23749999999995</v>
      </c>
      <c r="AI102" s="111">
        <v>748.23749999999995</v>
      </c>
      <c r="AJ102" s="111">
        <v>748.23749999999995</v>
      </c>
      <c r="AK102" s="111">
        <v>748.23749999999995</v>
      </c>
      <c r="AL102" s="111">
        <v>748.23749999999995</v>
      </c>
      <c r="AM102" s="111">
        <v>748.23749999999995</v>
      </c>
      <c r="AN102" s="111">
        <v>748.23749999999995</v>
      </c>
      <c r="AO102" s="111">
        <v>142.59375</v>
      </c>
      <c r="AP102" s="111">
        <v>300.15624999999932</v>
      </c>
      <c r="AQ102" s="111">
        <v>0</v>
      </c>
      <c r="AR102" s="111">
        <v>0</v>
      </c>
      <c r="AS102" s="111">
        <v>605.64374999999995</v>
      </c>
      <c r="AT102" s="111">
        <v>0</v>
      </c>
      <c r="AU102" s="111">
        <v>0</v>
      </c>
      <c r="AV102" s="111">
        <v>0</v>
      </c>
      <c r="AW102" s="111">
        <v>0</v>
      </c>
      <c r="AX102" s="111">
        <v>605.64374999999995</v>
      </c>
      <c r="AY102" s="111">
        <v>0</v>
      </c>
    </row>
    <row r="103" spans="1:52" x14ac:dyDescent="0.25">
      <c r="A103" s="114"/>
      <c r="B103" s="125">
        <v>4</v>
      </c>
      <c r="C103" s="111"/>
      <c r="D103" s="111">
        <v>0</v>
      </c>
      <c r="E103" s="111">
        <v>0</v>
      </c>
      <c r="F103" s="111">
        <v>0</v>
      </c>
      <c r="G103" s="111">
        <v>0</v>
      </c>
      <c r="H103" s="111">
        <v>0</v>
      </c>
      <c r="I103" s="111">
        <v>76.237499999999955</v>
      </c>
      <c r="J103" s="111">
        <v>625.47499999999991</v>
      </c>
      <c r="K103" s="111">
        <v>748.23749999999995</v>
      </c>
      <c r="L103" s="111">
        <v>663.86249999999995</v>
      </c>
      <c r="M103" s="111">
        <v>748.23749999999995</v>
      </c>
      <c r="N103" s="111">
        <v>748.23749999999995</v>
      </c>
      <c r="O103" s="111">
        <v>748.23749999999995</v>
      </c>
      <c r="P103" s="111">
        <v>748.23749999999995</v>
      </c>
      <c r="Q103" s="111">
        <v>748.23749999999995</v>
      </c>
      <c r="R103" s="111">
        <v>748.23749999999995</v>
      </c>
      <c r="S103" s="111">
        <v>748.23749999999995</v>
      </c>
      <c r="T103" s="111">
        <v>748.23749999999995</v>
      </c>
      <c r="U103" s="111">
        <v>748.23749999999995</v>
      </c>
      <c r="V103" s="111">
        <v>748.23749999999995</v>
      </c>
      <c r="W103" s="111">
        <v>748.23749999999995</v>
      </c>
      <c r="X103" s="111">
        <v>748.23749999999995</v>
      </c>
      <c r="Y103" s="111">
        <v>748.23749999999995</v>
      </c>
      <c r="Z103" s="111">
        <v>748.23749999999995</v>
      </c>
      <c r="AA103" s="111">
        <v>748.23749999999995</v>
      </c>
      <c r="AB103" s="111">
        <v>748.23749999999995</v>
      </c>
      <c r="AC103" s="111">
        <v>748.23749999999995</v>
      </c>
      <c r="AD103" s="111">
        <v>748.23749999999995</v>
      </c>
      <c r="AE103" s="111">
        <v>748.23749999999995</v>
      </c>
      <c r="AF103" s="111">
        <v>748.23749999999995</v>
      </c>
      <c r="AG103" s="111">
        <v>748.23749999999995</v>
      </c>
      <c r="AH103" s="111">
        <v>748.23749999999995</v>
      </c>
      <c r="AI103" s="111">
        <v>748.23749999999995</v>
      </c>
      <c r="AJ103" s="111">
        <v>748.23749999999995</v>
      </c>
      <c r="AK103" s="111">
        <v>748.23749999999995</v>
      </c>
      <c r="AL103" s="111">
        <v>748.23749999999995</v>
      </c>
      <c r="AM103" s="111">
        <v>748.23749999999995</v>
      </c>
      <c r="AN103" s="111">
        <v>748.23749999999995</v>
      </c>
      <c r="AO103" s="111">
        <v>748.23749999999995</v>
      </c>
      <c r="AP103" s="111">
        <v>0</v>
      </c>
      <c r="AQ103" s="111">
        <v>0</v>
      </c>
      <c r="AR103" s="111">
        <v>0</v>
      </c>
      <c r="AS103" s="111">
        <v>0</v>
      </c>
      <c r="AT103" s="111">
        <v>0</v>
      </c>
      <c r="AU103" s="111">
        <v>0</v>
      </c>
      <c r="AV103" s="111">
        <v>0</v>
      </c>
      <c r="AW103" s="111">
        <v>0</v>
      </c>
      <c r="AX103" s="111">
        <v>0</v>
      </c>
      <c r="AY103" s="111">
        <v>0</v>
      </c>
    </row>
    <row r="104" spans="1:52" x14ac:dyDescent="0.25">
      <c r="A104" s="114"/>
      <c r="B104" s="132">
        <v>5</v>
      </c>
      <c r="C104" s="111"/>
      <c r="D104" s="111">
        <v>0</v>
      </c>
      <c r="E104" s="111">
        <v>0</v>
      </c>
      <c r="F104" s="111">
        <v>0</v>
      </c>
      <c r="G104" s="111">
        <v>0</v>
      </c>
      <c r="H104" s="111">
        <v>0</v>
      </c>
      <c r="I104" s="111">
        <v>0</v>
      </c>
      <c r="J104" s="111">
        <v>0</v>
      </c>
      <c r="K104" s="111">
        <v>398.47499999999991</v>
      </c>
      <c r="L104" s="111">
        <v>748.23749999999995</v>
      </c>
      <c r="M104" s="111">
        <v>663.86249999999995</v>
      </c>
      <c r="N104" s="111">
        <v>748.23749999999995</v>
      </c>
      <c r="O104" s="111">
        <v>748.23749999999995</v>
      </c>
      <c r="P104" s="111">
        <v>748.23749999999995</v>
      </c>
      <c r="Q104" s="111">
        <v>748.23749999999995</v>
      </c>
      <c r="R104" s="111">
        <v>748.23749999999995</v>
      </c>
      <c r="S104" s="111">
        <v>748.23749999999995</v>
      </c>
      <c r="T104" s="111">
        <v>748.23749999999995</v>
      </c>
      <c r="U104" s="111">
        <v>748.23749999999995</v>
      </c>
      <c r="V104" s="111">
        <v>748.23749999999995</v>
      </c>
      <c r="W104" s="111">
        <v>748.23749999999995</v>
      </c>
      <c r="X104" s="111">
        <v>748.23749999999995</v>
      </c>
      <c r="Y104" s="111">
        <v>748.23749999999995</v>
      </c>
      <c r="Z104" s="111">
        <v>748.23749999999995</v>
      </c>
      <c r="AA104" s="111">
        <v>748.23749999999995</v>
      </c>
      <c r="AB104" s="111">
        <v>748.23749999999995</v>
      </c>
      <c r="AC104" s="111">
        <v>748.23749999999995</v>
      </c>
      <c r="AD104" s="111">
        <v>748.23749999999995</v>
      </c>
      <c r="AE104" s="111">
        <v>748.23749999999995</v>
      </c>
      <c r="AF104" s="111">
        <v>748.23749999999995</v>
      </c>
      <c r="AG104" s="111">
        <v>748.23749999999995</v>
      </c>
      <c r="AH104" s="111">
        <v>748.23749999999995</v>
      </c>
      <c r="AI104" s="111">
        <v>748.23749999999995</v>
      </c>
      <c r="AJ104" s="111">
        <v>748.23749999999995</v>
      </c>
      <c r="AK104" s="111">
        <v>748.23749999999995</v>
      </c>
      <c r="AL104" s="111">
        <v>748.23749999999995</v>
      </c>
      <c r="AM104" s="111">
        <v>748.23749999999995</v>
      </c>
      <c r="AN104" s="111">
        <v>748.23749999999995</v>
      </c>
      <c r="AO104" s="111">
        <v>510.08749999999941</v>
      </c>
      <c r="AP104" s="111">
        <v>0</v>
      </c>
      <c r="AQ104" s="111">
        <v>0</v>
      </c>
      <c r="AR104" s="111">
        <v>0</v>
      </c>
      <c r="AS104" s="111">
        <v>0</v>
      </c>
      <c r="AT104" s="111">
        <v>0</v>
      </c>
      <c r="AU104" s="111">
        <v>0</v>
      </c>
      <c r="AV104" s="111">
        <v>0</v>
      </c>
      <c r="AW104" s="111">
        <v>0</v>
      </c>
      <c r="AX104" s="111">
        <v>0</v>
      </c>
      <c r="AY104" s="111">
        <v>0</v>
      </c>
    </row>
    <row r="105" spans="1:52" x14ac:dyDescent="0.25">
      <c r="A105" s="114"/>
      <c r="B105" s="132">
        <v>6</v>
      </c>
      <c r="C105" s="111"/>
      <c r="D105" s="111">
        <v>0</v>
      </c>
      <c r="E105" s="111">
        <v>0</v>
      </c>
      <c r="F105" s="111">
        <v>0</v>
      </c>
      <c r="G105" s="111">
        <v>0</v>
      </c>
      <c r="H105" s="111">
        <v>0</v>
      </c>
      <c r="I105" s="111">
        <v>0</v>
      </c>
      <c r="J105" s="111">
        <v>0</v>
      </c>
      <c r="K105" s="111">
        <v>0</v>
      </c>
      <c r="L105" s="111">
        <v>197.47499999999991</v>
      </c>
      <c r="M105" s="111">
        <v>628.71249999999986</v>
      </c>
      <c r="N105" s="111">
        <v>663.86249999999995</v>
      </c>
      <c r="O105" s="111">
        <v>748.23749999999995</v>
      </c>
      <c r="P105" s="111">
        <v>748.23749999999995</v>
      </c>
      <c r="Q105" s="111">
        <v>748.23749999999995</v>
      </c>
      <c r="R105" s="111">
        <v>748.23749999999995</v>
      </c>
      <c r="S105" s="111">
        <v>748.23749999999995</v>
      </c>
      <c r="T105" s="111">
        <v>748.23749999999995</v>
      </c>
      <c r="U105" s="111">
        <v>748.23749999999995</v>
      </c>
      <c r="V105" s="111">
        <v>748.23749999999995</v>
      </c>
      <c r="W105" s="111">
        <v>748.23749999999995</v>
      </c>
      <c r="X105" s="111">
        <v>748.23749999999995</v>
      </c>
      <c r="Y105" s="111">
        <v>748.23749999999995</v>
      </c>
      <c r="Z105" s="111">
        <v>748.23749999999995</v>
      </c>
      <c r="AA105" s="111">
        <v>748.23749999999995</v>
      </c>
      <c r="AB105" s="111">
        <v>748.23749999999995</v>
      </c>
      <c r="AC105" s="111">
        <v>748.23749999999995</v>
      </c>
      <c r="AD105" s="111">
        <v>748.23749999999995</v>
      </c>
      <c r="AE105" s="111">
        <v>748.23749999999995</v>
      </c>
      <c r="AF105" s="111">
        <v>748.23749999999995</v>
      </c>
      <c r="AG105" s="111">
        <v>748.23749999999995</v>
      </c>
      <c r="AH105" s="111">
        <v>748.23749999999995</v>
      </c>
      <c r="AI105" s="111">
        <v>748.23749999999995</v>
      </c>
      <c r="AJ105" s="111">
        <v>748.23749999999995</v>
      </c>
      <c r="AK105" s="111">
        <v>748.23749999999995</v>
      </c>
      <c r="AL105" s="111">
        <v>748.23749999999995</v>
      </c>
      <c r="AM105" s="111">
        <v>540.37499999999955</v>
      </c>
      <c r="AN105" s="111">
        <v>216.6124999999995</v>
      </c>
      <c r="AO105" s="111">
        <v>0</v>
      </c>
      <c r="AP105" s="111">
        <v>0</v>
      </c>
      <c r="AQ105" s="111">
        <v>0</v>
      </c>
      <c r="AR105" s="111">
        <v>0</v>
      </c>
      <c r="AS105" s="111">
        <v>0</v>
      </c>
      <c r="AT105" s="111">
        <v>0</v>
      </c>
      <c r="AU105" s="111">
        <v>0</v>
      </c>
      <c r="AV105" s="111">
        <v>0</v>
      </c>
      <c r="AW105" s="111">
        <v>0</v>
      </c>
      <c r="AX105" s="111">
        <v>0</v>
      </c>
      <c r="AY105" s="111">
        <v>0</v>
      </c>
    </row>
    <row r="106" spans="1:52" x14ac:dyDescent="0.25">
      <c r="A106" s="114"/>
      <c r="B106" s="135">
        <v>7</v>
      </c>
      <c r="C106" s="111"/>
      <c r="D106" s="111">
        <v>0</v>
      </c>
      <c r="E106" s="111">
        <v>0</v>
      </c>
      <c r="F106" s="111">
        <v>0</v>
      </c>
      <c r="G106" s="111">
        <v>0</v>
      </c>
      <c r="H106" s="111">
        <v>0</v>
      </c>
      <c r="I106" s="111">
        <v>0</v>
      </c>
      <c r="J106" s="111">
        <v>0</v>
      </c>
      <c r="K106" s="111">
        <v>0</v>
      </c>
      <c r="L106" s="111">
        <v>0</v>
      </c>
      <c r="M106" s="111">
        <v>0</v>
      </c>
      <c r="N106" s="111">
        <v>339.71249999999986</v>
      </c>
      <c r="O106" s="111">
        <v>663.86249999999995</v>
      </c>
      <c r="P106" s="111">
        <v>748.23749999999995</v>
      </c>
      <c r="Q106" s="111">
        <v>748.23749999999995</v>
      </c>
      <c r="R106" s="111">
        <v>748.23749999999995</v>
      </c>
      <c r="S106" s="111">
        <v>748.23749999999995</v>
      </c>
      <c r="T106" s="111">
        <v>748.23749999999995</v>
      </c>
      <c r="U106" s="111">
        <v>748.23749999999995</v>
      </c>
      <c r="V106" s="111">
        <v>748.23749999999995</v>
      </c>
      <c r="W106" s="111">
        <v>748.23749999999995</v>
      </c>
      <c r="X106" s="111">
        <v>748.23749999999995</v>
      </c>
      <c r="Y106" s="111">
        <v>748.23749999999995</v>
      </c>
      <c r="Z106" s="111">
        <v>748.23749999999995</v>
      </c>
      <c r="AA106" s="111">
        <v>748.23749999999995</v>
      </c>
      <c r="AB106" s="111">
        <v>748.23749999999995</v>
      </c>
      <c r="AC106" s="111">
        <v>748.23749999999995</v>
      </c>
      <c r="AD106" s="111">
        <v>748.23749999999995</v>
      </c>
      <c r="AE106" s="111">
        <v>748.23749999999995</v>
      </c>
      <c r="AF106" s="111">
        <v>748.23749999999995</v>
      </c>
      <c r="AG106" s="111">
        <v>748.23749999999995</v>
      </c>
      <c r="AH106" s="111">
        <v>748.23749999999995</v>
      </c>
      <c r="AI106" s="111">
        <v>748.23749999999995</v>
      </c>
      <c r="AJ106" s="111">
        <v>748.23749999999995</v>
      </c>
      <c r="AK106" s="111">
        <v>748.23749999999995</v>
      </c>
      <c r="AL106" s="111">
        <v>304.89999999999964</v>
      </c>
      <c r="AM106" s="111">
        <v>0</v>
      </c>
      <c r="AN106" s="111">
        <v>0</v>
      </c>
      <c r="AO106" s="111">
        <v>0</v>
      </c>
      <c r="AP106" s="111">
        <v>0</v>
      </c>
      <c r="AQ106" s="111">
        <v>0</v>
      </c>
      <c r="AR106" s="111">
        <v>0</v>
      </c>
      <c r="AS106" s="111">
        <v>0</v>
      </c>
      <c r="AT106" s="111">
        <v>0</v>
      </c>
      <c r="AU106" s="111">
        <v>0</v>
      </c>
      <c r="AV106" s="111">
        <v>0</v>
      </c>
      <c r="AW106" s="111">
        <v>0</v>
      </c>
      <c r="AX106" s="111">
        <v>0</v>
      </c>
      <c r="AY106" s="111">
        <v>0</v>
      </c>
    </row>
    <row r="107" spans="1:52" x14ac:dyDescent="0.25">
      <c r="A107" s="114"/>
      <c r="B107" s="135">
        <v>8</v>
      </c>
      <c r="C107" s="111"/>
      <c r="D107" s="111">
        <v>0</v>
      </c>
      <c r="E107" s="111">
        <v>0</v>
      </c>
      <c r="F107" s="111">
        <v>0</v>
      </c>
      <c r="G107" s="111">
        <v>0</v>
      </c>
      <c r="H107" s="111">
        <v>0</v>
      </c>
      <c r="I107" s="111">
        <v>0</v>
      </c>
      <c r="J107" s="111">
        <v>0</v>
      </c>
      <c r="K107" s="111">
        <v>0</v>
      </c>
      <c r="L107" s="111">
        <v>0</v>
      </c>
      <c r="M107" s="111">
        <v>0</v>
      </c>
      <c r="N107" s="111">
        <v>0</v>
      </c>
      <c r="O107" s="111">
        <v>35.712499999999864</v>
      </c>
      <c r="P107" s="111">
        <v>381.57499999999982</v>
      </c>
      <c r="Q107" s="111">
        <v>748.23749999999995</v>
      </c>
      <c r="R107" s="111">
        <v>748.23749999999995</v>
      </c>
      <c r="S107" s="111">
        <v>748.23749999999995</v>
      </c>
      <c r="T107" s="111">
        <v>748.23749999999995</v>
      </c>
      <c r="U107" s="111">
        <v>748.23749999999995</v>
      </c>
      <c r="V107" s="111">
        <v>748.23749999999995</v>
      </c>
      <c r="W107" s="111">
        <v>748.23749999999995</v>
      </c>
      <c r="X107" s="111">
        <v>748.23749999999995</v>
      </c>
      <c r="Y107" s="111">
        <v>748.23749999999995</v>
      </c>
      <c r="Z107" s="111">
        <v>748.23749999999995</v>
      </c>
      <c r="AA107" s="111">
        <v>748.23749999999995</v>
      </c>
      <c r="AB107" s="111">
        <v>748.23749999999995</v>
      </c>
      <c r="AC107" s="111">
        <v>748.23749999999995</v>
      </c>
      <c r="AD107" s="111">
        <v>748.23749999999995</v>
      </c>
      <c r="AE107" s="111">
        <v>748.23749999999995</v>
      </c>
      <c r="AF107" s="111">
        <v>748.23749999999995</v>
      </c>
      <c r="AG107" s="111">
        <v>662.47499999999991</v>
      </c>
      <c r="AH107" s="111">
        <v>372.71249999999986</v>
      </c>
      <c r="AI107" s="111">
        <v>268.94999999999982</v>
      </c>
      <c r="AJ107" s="111">
        <v>252.18749999999977</v>
      </c>
      <c r="AK107" s="111">
        <v>65.424999999999727</v>
      </c>
      <c r="AL107" s="111">
        <v>0</v>
      </c>
      <c r="AM107" s="111">
        <v>0</v>
      </c>
      <c r="AN107" s="111">
        <v>0</v>
      </c>
      <c r="AO107" s="111">
        <v>0</v>
      </c>
      <c r="AP107" s="111">
        <v>0</v>
      </c>
      <c r="AQ107" s="111">
        <v>0</v>
      </c>
      <c r="AR107" s="111">
        <v>0</v>
      </c>
      <c r="AS107" s="111">
        <v>0</v>
      </c>
      <c r="AT107" s="111">
        <v>0</v>
      </c>
      <c r="AU107" s="111">
        <v>0</v>
      </c>
      <c r="AV107" s="111">
        <v>0</v>
      </c>
      <c r="AW107" s="111">
        <v>0</v>
      </c>
      <c r="AX107" s="111">
        <v>0</v>
      </c>
      <c r="AY107" s="111">
        <v>0</v>
      </c>
    </row>
    <row r="108" spans="1:52" x14ac:dyDescent="0.25">
      <c r="A108" s="133"/>
      <c r="B108" s="137" t="s">
        <v>295</v>
      </c>
      <c r="C108" s="119"/>
      <c r="D108" s="130">
        <v>0</v>
      </c>
      <c r="E108" s="130">
        <v>0</v>
      </c>
      <c r="F108" s="130">
        <v>0</v>
      </c>
      <c r="G108" s="130">
        <v>0</v>
      </c>
      <c r="H108" s="130">
        <v>0</v>
      </c>
      <c r="I108" s="130">
        <v>0</v>
      </c>
      <c r="J108" s="130">
        <v>0</v>
      </c>
      <c r="K108" s="130">
        <v>0</v>
      </c>
      <c r="L108" s="130">
        <v>0</v>
      </c>
      <c r="M108" s="130">
        <v>0</v>
      </c>
      <c r="N108" s="130">
        <v>0</v>
      </c>
      <c r="O108" s="130">
        <v>0</v>
      </c>
      <c r="P108" s="130">
        <v>0</v>
      </c>
      <c r="Q108" s="130">
        <v>2.5749999999998181</v>
      </c>
      <c r="R108" s="130">
        <v>414.23749999999995</v>
      </c>
      <c r="S108" s="130">
        <v>401.23749999999995</v>
      </c>
      <c r="T108" s="130">
        <v>413.23749999999995</v>
      </c>
      <c r="U108" s="130">
        <v>389.23749999999995</v>
      </c>
      <c r="V108" s="130">
        <v>350.23749999999995</v>
      </c>
      <c r="W108" s="130">
        <v>339.23749999999995</v>
      </c>
      <c r="X108" s="130">
        <v>311.23749999999995</v>
      </c>
      <c r="Y108" s="130">
        <v>301.23749999999995</v>
      </c>
      <c r="Z108" s="130">
        <v>289.23749999999995</v>
      </c>
      <c r="AA108" s="130">
        <v>196.23749999999995</v>
      </c>
      <c r="AB108" s="130">
        <v>248.23749999999995</v>
      </c>
      <c r="AC108" s="130">
        <v>66.237499999999955</v>
      </c>
      <c r="AD108" s="130">
        <v>17.237499999999955</v>
      </c>
      <c r="AE108" s="130">
        <v>32.237499999999955</v>
      </c>
      <c r="AF108" s="130">
        <v>109.23749999999995</v>
      </c>
      <c r="AG108" s="130">
        <v>0</v>
      </c>
      <c r="AH108" s="130">
        <v>0</v>
      </c>
      <c r="AI108" s="130">
        <v>0</v>
      </c>
      <c r="AJ108" s="130">
        <v>0</v>
      </c>
      <c r="AK108" s="130">
        <v>0</v>
      </c>
      <c r="AL108" s="130">
        <v>0</v>
      </c>
      <c r="AM108" s="130">
        <v>0</v>
      </c>
      <c r="AN108" s="130">
        <v>0</v>
      </c>
      <c r="AO108" s="130">
        <v>0</v>
      </c>
      <c r="AP108" s="130">
        <v>0</v>
      </c>
      <c r="AQ108" s="130">
        <v>0</v>
      </c>
      <c r="AR108" s="130">
        <v>0</v>
      </c>
      <c r="AS108" s="130">
        <v>0</v>
      </c>
      <c r="AT108" s="130">
        <v>0</v>
      </c>
      <c r="AU108" s="130">
        <v>0</v>
      </c>
      <c r="AV108" s="130">
        <v>0</v>
      </c>
      <c r="AW108" s="130">
        <v>0</v>
      </c>
      <c r="AX108" s="130">
        <v>0</v>
      </c>
      <c r="AY108" s="130">
        <v>0</v>
      </c>
      <c r="AZ108" s="112">
        <f>SUM($D108:$AY108)</f>
        <v>3881.1375000000007</v>
      </c>
    </row>
    <row r="109" spans="1:52" x14ac:dyDescent="0.25">
      <c r="A109" s="136" t="s">
        <v>134</v>
      </c>
      <c r="B109" s="124">
        <v>1</v>
      </c>
      <c r="C109" s="111"/>
      <c r="D109" s="111">
        <v>0</v>
      </c>
      <c r="E109" s="111">
        <v>0</v>
      </c>
      <c r="F109" s="111">
        <v>0</v>
      </c>
      <c r="G109" s="111">
        <v>256.06350000000003</v>
      </c>
      <c r="H109" s="111">
        <v>135.61502500000003</v>
      </c>
      <c r="I109" s="111">
        <v>535.90301625000006</v>
      </c>
      <c r="J109" s="111">
        <v>500.30171056250003</v>
      </c>
      <c r="K109" s="111">
        <v>377.05569051731044</v>
      </c>
      <c r="L109" s="111">
        <v>427.8246988362518</v>
      </c>
      <c r="M109" s="111">
        <v>516.12455424356369</v>
      </c>
      <c r="N109" s="111">
        <v>508.9707102583165</v>
      </c>
      <c r="O109" s="111">
        <v>723.84588301622045</v>
      </c>
      <c r="P109" s="111">
        <v>444.07482396054331</v>
      </c>
      <c r="Q109" s="111">
        <v>548.12296422603856</v>
      </c>
      <c r="R109" s="111">
        <v>506.81842674692513</v>
      </c>
      <c r="S109" s="111">
        <v>679.42314873381599</v>
      </c>
      <c r="T109" s="111">
        <v>455.24879667698036</v>
      </c>
      <c r="U109" s="111">
        <v>512.71229649172267</v>
      </c>
      <c r="V109" s="111">
        <v>667.1541640679344</v>
      </c>
      <c r="W109" s="111">
        <v>438.28603529584274</v>
      </c>
      <c r="X109" s="111">
        <v>410.83859429061243</v>
      </c>
      <c r="Y109" s="111">
        <v>656.49708628889812</v>
      </c>
      <c r="Z109" s="111">
        <v>325.19685608778383</v>
      </c>
      <c r="AA109" s="111">
        <v>389.32853510874497</v>
      </c>
      <c r="AB109" s="111">
        <v>374.26496916899879</v>
      </c>
      <c r="AC109" s="111">
        <v>575.7004799598493</v>
      </c>
      <c r="AD109" s="111">
        <v>485.39506197390205</v>
      </c>
      <c r="AE109" s="111">
        <v>298.06636893472177</v>
      </c>
      <c r="AF109" s="111">
        <v>243.71956115588375</v>
      </c>
      <c r="AG109" s="111">
        <v>110.55354340300988</v>
      </c>
      <c r="AH109" s="111">
        <v>634.25592134831459</v>
      </c>
      <c r="AI109" s="111">
        <v>311.90217752808996</v>
      </c>
      <c r="AJ109" s="111">
        <v>207.70116539325849</v>
      </c>
      <c r="AK109" s="111">
        <v>455.86617134831459</v>
      </c>
      <c r="AL109" s="111">
        <v>20.836761376404525</v>
      </c>
      <c r="AM109" s="111">
        <v>341.19932865168539</v>
      </c>
      <c r="AN109" s="111">
        <v>199.80267134831465</v>
      </c>
      <c r="AO109" s="111">
        <v>275.98725000000002</v>
      </c>
      <c r="AP109" s="111">
        <v>28.875000000000018</v>
      </c>
      <c r="AQ109" s="111">
        <v>256.06350000000003</v>
      </c>
      <c r="AR109" s="111">
        <v>48.798749999999998</v>
      </c>
      <c r="AS109" s="111">
        <v>19.923750000000002</v>
      </c>
      <c r="AT109" s="111">
        <v>272.47682865168542</v>
      </c>
      <c r="AU109" s="111">
        <v>219.72642134831463</v>
      </c>
      <c r="AV109" s="111">
        <v>463.32825000000008</v>
      </c>
      <c r="AW109" s="111">
        <v>48.798749999999998</v>
      </c>
      <c r="AX109" s="111">
        <v>236.13974999999999</v>
      </c>
      <c r="AY109" s="111">
        <v>275.98725000000002</v>
      </c>
    </row>
    <row r="110" spans="1:52" x14ac:dyDescent="0.25">
      <c r="A110" s="114"/>
      <c r="B110" s="124">
        <v>2</v>
      </c>
      <c r="C110" s="111"/>
      <c r="D110" s="111">
        <v>0</v>
      </c>
      <c r="E110" s="111">
        <v>0</v>
      </c>
      <c r="F110" s="111">
        <v>0</v>
      </c>
      <c r="G110" s="111">
        <v>0</v>
      </c>
      <c r="H110" s="111">
        <v>116.06350000000003</v>
      </c>
      <c r="I110" s="111">
        <v>87.678525000000064</v>
      </c>
      <c r="J110" s="111">
        <v>469.5815412500001</v>
      </c>
      <c r="K110" s="111">
        <v>500.30171056250003</v>
      </c>
      <c r="L110" s="111">
        <v>377.05569051731044</v>
      </c>
      <c r="M110" s="111">
        <v>427.8246988362518</v>
      </c>
      <c r="N110" s="111">
        <v>516.12455424356369</v>
      </c>
      <c r="O110" s="111">
        <v>508.9707102583165</v>
      </c>
      <c r="P110" s="111">
        <v>723.84588301622045</v>
      </c>
      <c r="Q110" s="111">
        <v>444.07482396054331</v>
      </c>
      <c r="R110" s="111">
        <v>548.12296422603856</v>
      </c>
      <c r="S110" s="111">
        <v>506.81842674692513</v>
      </c>
      <c r="T110" s="111">
        <v>679.42314873381599</v>
      </c>
      <c r="U110" s="111">
        <v>455.24879667698036</v>
      </c>
      <c r="V110" s="111">
        <v>512.71229649172267</v>
      </c>
      <c r="W110" s="111">
        <v>667.1541640679344</v>
      </c>
      <c r="X110" s="111">
        <v>438.28603529584274</v>
      </c>
      <c r="Y110" s="111">
        <v>410.83859429061243</v>
      </c>
      <c r="Z110" s="111">
        <v>656.49708628889812</v>
      </c>
      <c r="AA110" s="111">
        <v>325.19685608778383</v>
      </c>
      <c r="AB110" s="111">
        <v>389.32853510874497</v>
      </c>
      <c r="AC110" s="111">
        <v>374.26496916899879</v>
      </c>
      <c r="AD110" s="111">
        <v>575.7004799598493</v>
      </c>
      <c r="AE110" s="111">
        <v>485.39506197390205</v>
      </c>
      <c r="AF110" s="111">
        <v>298.06636893472177</v>
      </c>
      <c r="AG110" s="111">
        <v>243.71956115588375</v>
      </c>
      <c r="AH110" s="111">
        <v>110.55354340300988</v>
      </c>
      <c r="AI110" s="111">
        <v>634.25592134831459</v>
      </c>
      <c r="AJ110" s="111">
        <v>311.90217752808996</v>
      </c>
      <c r="AK110" s="111">
        <v>207.70116539325849</v>
      </c>
      <c r="AL110" s="111">
        <v>455.86617134831459</v>
      </c>
      <c r="AM110" s="111">
        <v>20.836761376404525</v>
      </c>
      <c r="AN110" s="111">
        <v>341.19932865168539</v>
      </c>
      <c r="AO110" s="111">
        <v>199.80267134831465</v>
      </c>
      <c r="AP110" s="111">
        <v>221.39853866262987</v>
      </c>
      <c r="AQ110" s="111">
        <v>0</v>
      </c>
      <c r="AR110" s="111">
        <v>0</v>
      </c>
      <c r="AS110" s="111">
        <v>0</v>
      </c>
      <c r="AT110" s="111">
        <v>0</v>
      </c>
      <c r="AU110" s="111">
        <v>0</v>
      </c>
      <c r="AV110" s="111">
        <v>0</v>
      </c>
      <c r="AW110" s="111">
        <v>0</v>
      </c>
      <c r="AX110" s="111">
        <v>0</v>
      </c>
      <c r="AY110" s="111">
        <v>0</v>
      </c>
    </row>
    <row r="111" spans="1:52" x14ac:dyDescent="0.25">
      <c r="A111" s="114"/>
      <c r="B111" s="124">
        <v>3</v>
      </c>
      <c r="C111" s="111"/>
      <c r="D111" s="111">
        <v>0</v>
      </c>
      <c r="E111" s="111">
        <v>0</v>
      </c>
      <c r="F111" s="111">
        <v>0</v>
      </c>
      <c r="G111" s="111">
        <v>0</v>
      </c>
      <c r="H111" s="111">
        <v>0</v>
      </c>
      <c r="I111" s="111">
        <v>0</v>
      </c>
      <c r="J111" s="111">
        <v>0</v>
      </c>
      <c r="K111" s="111">
        <v>315.5815412500001</v>
      </c>
      <c r="L111" s="111">
        <v>500.30171056250003</v>
      </c>
      <c r="M111" s="111">
        <v>377.05569051731044</v>
      </c>
      <c r="N111" s="111">
        <v>427.8246988362518</v>
      </c>
      <c r="O111" s="111">
        <v>516.12455424356369</v>
      </c>
      <c r="P111" s="111">
        <v>508.9707102583165</v>
      </c>
      <c r="Q111" s="111">
        <v>723.84588301622045</v>
      </c>
      <c r="R111" s="111">
        <v>444.07482396054331</v>
      </c>
      <c r="S111" s="111">
        <v>548.12296422603856</v>
      </c>
      <c r="T111" s="111">
        <v>506.81842674692513</v>
      </c>
      <c r="U111" s="111">
        <v>679.42314873381599</v>
      </c>
      <c r="V111" s="111">
        <v>455.24879667698036</v>
      </c>
      <c r="W111" s="111">
        <v>512.71229649172267</v>
      </c>
      <c r="X111" s="111">
        <v>667.1541640679344</v>
      </c>
      <c r="Y111" s="111">
        <v>438.28603529584274</v>
      </c>
      <c r="Z111" s="111">
        <v>410.83859429061243</v>
      </c>
      <c r="AA111" s="111">
        <v>656.49708628889812</v>
      </c>
      <c r="AB111" s="111">
        <v>325.19685608778383</v>
      </c>
      <c r="AC111" s="111">
        <v>389.32853510874497</v>
      </c>
      <c r="AD111" s="111">
        <v>374.26496916899879</v>
      </c>
      <c r="AE111" s="111">
        <v>575.7004799598493</v>
      </c>
      <c r="AF111" s="111">
        <v>485.39506197390205</v>
      </c>
      <c r="AG111" s="111">
        <v>298.06636893472177</v>
      </c>
      <c r="AH111" s="111">
        <v>243.71956115588375</v>
      </c>
      <c r="AI111" s="111">
        <v>110.55354340300988</v>
      </c>
      <c r="AJ111" s="111">
        <v>634.25592134831459</v>
      </c>
      <c r="AK111" s="111">
        <v>311.90217752808996</v>
      </c>
      <c r="AL111" s="111">
        <v>207.70116539325849</v>
      </c>
      <c r="AM111" s="111">
        <v>455.86617134831459</v>
      </c>
      <c r="AN111" s="111">
        <v>20.836761376404525</v>
      </c>
      <c r="AO111" s="111">
        <v>341.19932865168539</v>
      </c>
      <c r="AP111" s="111">
        <v>0</v>
      </c>
      <c r="AQ111" s="111">
        <v>0</v>
      </c>
      <c r="AR111" s="111">
        <v>0</v>
      </c>
      <c r="AS111" s="111">
        <v>0</v>
      </c>
      <c r="AT111" s="111">
        <v>0</v>
      </c>
      <c r="AU111" s="111">
        <v>0</v>
      </c>
      <c r="AV111" s="111">
        <v>0</v>
      </c>
      <c r="AW111" s="111">
        <v>0</v>
      </c>
      <c r="AX111" s="111">
        <v>0</v>
      </c>
      <c r="AY111" s="111">
        <v>0</v>
      </c>
    </row>
    <row r="112" spans="1:52" x14ac:dyDescent="0.25">
      <c r="A112" s="114"/>
      <c r="B112" s="125">
        <v>4</v>
      </c>
      <c r="C112" s="111"/>
      <c r="D112" s="111">
        <v>0</v>
      </c>
      <c r="E112" s="111">
        <v>0</v>
      </c>
      <c r="F112" s="111">
        <v>0</v>
      </c>
      <c r="G112" s="111">
        <v>0</v>
      </c>
      <c r="H112" s="111">
        <v>0</v>
      </c>
      <c r="I112" s="111">
        <v>0</v>
      </c>
      <c r="J112" s="111">
        <v>0</v>
      </c>
      <c r="K112" s="111">
        <v>0</v>
      </c>
      <c r="L112" s="111">
        <v>156.5815412500001</v>
      </c>
      <c r="M112" s="111">
        <v>487.88325181250013</v>
      </c>
      <c r="N112" s="111">
        <v>377.05569051731044</v>
      </c>
      <c r="O112" s="111">
        <v>427.8246988362518</v>
      </c>
      <c r="P112" s="111">
        <v>516.12455424356369</v>
      </c>
      <c r="Q112" s="111">
        <v>508.9707102583165</v>
      </c>
      <c r="R112" s="111">
        <v>723.84588301622045</v>
      </c>
      <c r="S112" s="111">
        <v>444.07482396054331</v>
      </c>
      <c r="T112" s="111">
        <v>548.12296422603856</v>
      </c>
      <c r="U112" s="111">
        <v>506.81842674692513</v>
      </c>
      <c r="V112" s="111">
        <v>679.42314873381599</v>
      </c>
      <c r="W112" s="111">
        <v>455.24879667698036</v>
      </c>
      <c r="X112" s="111">
        <v>512.71229649172267</v>
      </c>
      <c r="Y112" s="111">
        <v>667.1541640679344</v>
      </c>
      <c r="Z112" s="111">
        <v>438.28603529584274</v>
      </c>
      <c r="AA112" s="111">
        <v>410.83859429061243</v>
      </c>
      <c r="AB112" s="111">
        <v>656.49708628889812</v>
      </c>
      <c r="AC112" s="111">
        <v>325.19685608778383</v>
      </c>
      <c r="AD112" s="111">
        <v>389.32853510874497</v>
      </c>
      <c r="AE112" s="111">
        <v>374.26496916899879</v>
      </c>
      <c r="AF112" s="111">
        <v>575.7004799598493</v>
      </c>
      <c r="AG112" s="111">
        <v>485.39506197390205</v>
      </c>
      <c r="AH112" s="111">
        <v>298.06636893472177</v>
      </c>
      <c r="AI112" s="111">
        <v>243.71956115588375</v>
      </c>
      <c r="AJ112" s="111">
        <v>110.55354340300988</v>
      </c>
      <c r="AK112" s="111">
        <v>634.25592134831459</v>
      </c>
      <c r="AL112" s="111">
        <v>311.90217752808996</v>
      </c>
      <c r="AM112" s="111">
        <v>207.70116539325849</v>
      </c>
      <c r="AN112" s="111">
        <v>455.86617134831459</v>
      </c>
      <c r="AO112" s="111">
        <v>20.836761376404525</v>
      </c>
      <c r="AP112" s="111">
        <v>0</v>
      </c>
      <c r="AQ112" s="111">
        <v>0</v>
      </c>
      <c r="AR112" s="111">
        <v>0</v>
      </c>
      <c r="AS112" s="111">
        <v>0</v>
      </c>
      <c r="AT112" s="111">
        <v>0</v>
      </c>
      <c r="AU112" s="111">
        <v>0</v>
      </c>
      <c r="AV112" s="111">
        <v>0</v>
      </c>
      <c r="AW112" s="111">
        <v>0</v>
      </c>
      <c r="AX112" s="111">
        <v>0</v>
      </c>
      <c r="AY112" s="111">
        <v>0</v>
      </c>
    </row>
    <row r="113" spans="1:52" x14ac:dyDescent="0.25">
      <c r="A113" s="114"/>
      <c r="B113" s="125">
        <v>5</v>
      </c>
      <c r="C113" s="111"/>
      <c r="D113" s="111">
        <v>0</v>
      </c>
      <c r="E113" s="111">
        <v>0</v>
      </c>
      <c r="F113" s="111">
        <v>0</v>
      </c>
      <c r="G113" s="111">
        <v>0</v>
      </c>
      <c r="H113" s="111">
        <v>0</v>
      </c>
      <c r="I113" s="111">
        <v>0</v>
      </c>
      <c r="J113" s="111">
        <v>0</v>
      </c>
      <c r="K113" s="111">
        <v>0</v>
      </c>
      <c r="L113" s="111">
        <v>0</v>
      </c>
      <c r="M113" s="111">
        <v>0</v>
      </c>
      <c r="N113" s="111">
        <v>275.88325181250013</v>
      </c>
      <c r="O113" s="111">
        <v>377.05569051731044</v>
      </c>
      <c r="P113" s="111">
        <v>427.8246988362518</v>
      </c>
      <c r="Q113" s="111">
        <v>516.12455424356369</v>
      </c>
      <c r="R113" s="111">
        <v>508.9707102583165</v>
      </c>
      <c r="S113" s="111">
        <v>723.84588301622045</v>
      </c>
      <c r="T113" s="111">
        <v>444.07482396054331</v>
      </c>
      <c r="U113" s="111">
        <v>548.12296422603856</v>
      </c>
      <c r="V113" s="111">
        <v>506.81842674692513</v>
      </c>
      <c r="W113" s="111">
        <v>679.42314873381599</v>
      </c>
      <c r="X113" s="111">
        <v>455.24879667698036</v>
      </c>
      <c r="Y113" s="111">
        <v>512.71229649172267</v>
      </c>
      <c r="Z113" s="111">
        <v>667.1541640679344</v>
      </c>
      <c r="AA113" s="111">
        <v>438.28603529584274</v>
      </c>
      <c r="AB113" s="111">
        <v>410.83859429061243</v>
      </c>
      <c r="AC113" s="111">
        <v>656.49708628889812</v>
      </c>
      <c r="AD113" s="111">
        <v>325.19685608778383</v>
      </c>
      <c r="AE113" s="111">
        <v>389.32853510874497</v>
      </c>
      <c r="AF113" s="111">
        <v>374.26496916899879</v>
      </c>
      <c r="AG113" s="111">
        <v>575.7004799598493</v>
      </c>
      <c r="AH113" s="111">
        <v>485.39506197390205</v>
      </c>
      <c r="AI113" s="111">
        <v>298.06636893472177</v>
      </c>
      <c r="AJ113" s="111">
        <v>243.71956115588375</v>
      </c>
      <c r="AK113" s="111">
        <v>110.55354340300988</v>
      </c>
      <c r="AL113" s="111">
        <v>634.25592134831459</v>
      </c>
      <c r="AM113" s="111">
        <v>311.90217752808996</v>
      </c>
      <c r="AN113" s="111">
        <v>207.70116539325849</v>
      </c>
      <c r="AO113" s="111">
        <v>455.86617134831459</v>
      </c>
      <c r="AP113" s="111">
        <v>0</v>
      </c>
      <c r="AQ113" s="111">
        <v>0</v>
      </c>
      <c r="AR113" s="111">
        <v>0</v>
      </c>
      <c r="AS113" s="111">
        <v>0</v>
      </c>
      <c r="AT113" s="111">
        <v>0</v>
      </c>
      <c r="AU113" s="111">
        <v>0</v>
      </c>
      <c r="AV113" s="111">
        <v>0</v>
      </c>
      <c r="AW113" s="111">
        <v>0</v>
      </c>
      <c r="AX113" s="111">
        <v>0</v>
      </c>
      <c r="AY113" s="111">
        <v>0</v>
      </c>
    </row>
    <row r="114" spans="1:52" x14ac:dyDescent="0.25">
      <c r="A114" s="114"/>
      <c r="B114" s="125">
        <v>6</v>
      </c>
      <c r="C114" s="111"/>
      <c r="D114" s="111">
        <v>0</v>
      </c>
      <c r="E114" s="111">
        <v>0</v>
      </c>
      <c r="F114" s="111">
        <v>0</v>
      </c>
      <c r="G114" s="111">
        <v>0</v>
      </c>
      <c r="H114" s="111">
        <v>0</v>
      </c>
      <c r="I114" s="111">
        <v>0</v>
      </c>
      <c r="J114" s="111">
        <v>0</v>
      </c>
      <c r="K114" s="111">
        <v>0</v>
      </c>
      <c r="L114" s="111">
        <v>0</v>
      </c>
      <c r="M114" s="111">
        <v>0</v>
      </c>
      <c r="N114" s="111">
        <v>0</v>
      </c>
      <c r="O114" s="111">
        <v>104.88325181250013</v>
      </c>
      <c r="P114" s="111">
        <v>280.93894232981057</v>
      </c>
      <c r="Q114" s="111">
        <v>427.8246988362518</v>
      </c>
      <c r="R114" s="111">
        <v>516.12455424356369</v>
      </c>
      <c r="S114" s="111">
        <v>508.9707102583165</v>
      </c>
      <c r="T114" s="111">
        <v>723.84588301622045</v>
      </c>
      <c r="U114" s="111">
        <v>444.07482396054331</v>
      </c>
      <c r="V114" s="111">
        <v>548.12296422603856</v>
      </c>
      <c r="W114" s="111">
        <v>506.81842674692513</v>
      </c>
      <c r="X114" s="111">
        <v>679.42314873381599</v>
      </c>
      <c r="Y114" s="111">
        <v>455.24879667698036</v>
      </c>
      <c r="Z114" s="111">
        <v>512.71229649172267</v>
      </c>
      <c r="AA114" s="111">
        <v>667.1541640679344</v>
      </c>
      <c r="AB114" s="111">
        <v>438.28603529584274</v>
      </c>
      <c r="AC114" s="111">
        <v>410.83859429061243</v>
      </c>
      <c r="AD114" s="111">
        <v>656.49708628889812</v>
      </c>
      <c r="AE114" s="111">
        <v>325.19685608778383</v>
      </c>
      <c r="AF114" s="111">
        <v>389.32853510874497</v>
      </c>
      <c r="AG114" s="111">
        <v>374.26496916899879</v>
      </c>
      <c r="AH114" s="111">
        <v>575.7004799598493</v>
      </c>
      <c r="AI114" s="111">
        <v>485.39506197390205</v>
      </c>
      <c r="AJ114" s="111">
        <v>298.06636893472177</v>
      </c>
      <c r="AK114" s="111">
        <v>243.71956115588375</v>
      </c>
      <c r="AL114" s="111">
        <v>110.55354340300988</v>
      </c>
      <c r="AM114" s="111">
        <v>634.25592134831459</v>
      </c>
      <c r="AN114" s="111">
        <v>311.90217752808996</v>
      </c>
      <c r="AO114" s="111">
        <v>134.70635593791073</v>
      </c>
      <c r="AP114" s="111">
        <v>0</v>
      </c>
      <c r="AQ114" s="111">
        <v>0</v>
      </c>
      <c r="AR114" s="111">
        <v>0</v>
      </c>
      <c r="AS114" s="111">
        <v>0</v>
      </c>
      <c r="AT114" s="111">
        <v>0</v>
      </c>
      <c r="AU114" s="111">
        <v>0</v>
      </c>
      <c r="AV114" s="111">
        <v>0</v>
      </c>
      <c r="AW114" s="111">
        <v>0</v>
      </c>
      <c r="AX114" s="111">
        <v>0</v>
      </c>
      <c r="AY114" s="111">
        <v>0</v>
      </c>
    </row>
    <row r="115" spans="1:52" x14ac:dyDescent="0.25">
      <c r="A115" s="114"/>
      <c r="B115" s="132">
        <v>7</v>
      </c>
      <c r="C115" s="111"/>
      <c r="D115" s="111">
        <v>0</v>
      </c>
      <c r="E115" s="111">
        <v>0</v>
      </c>
      <c r="F115" s="111">
        <v>0</v>
      </c>
      <c r="G115" s="111">
        <v>0</v>
      </c>
      <c r="H115" s="111">
        <v>0</v>
      </c>
      <c r="I115" s="111">
        <v>0</v>
      </c>
      <c r="J115" s="111">
        <v>0</v>
      </c>
      <c r="K115" s="111">
        <v>0</v>
      </c>
      <c r="L115" s="111">
        <v>0</v>
      </c>
      <c r="M115" s="111">
        <v>0</v>
      </c>
      <c r="N115" s="111">
        <v>0</v>
      </c>
      <c r="O115" s="111">
        <v>0</v>
      </c>
      <c r="P115" s="111">
        <v>0</v>
      </c>
      <c r="Q115" s="111">
        <v>68.938942329810573</v>
      </c>
      <c r="R115" s="111">
        <v>271.76364116606237</v>
      </c>
      <c r="S115" s="111">
        <v>516.12455424356369</v>
      </c>
      <c r="T115" s="111">
        <v>508.9707102583165</v>
      </c>
      <c r="U115" s="111">
        <v>723.84588301622045</v>
      </c>
      <c r="V115" s="111">
        <v>444.07482396054331</v>
      </c>
      <c r="W115" s="111">
        <v>548.12296422603856</v>
      </c>
      <c r="X115" s="111">
        <v>506.81842674692513</v>
      </c>
      <c r="Y115" s="111">
        <v>679.42314873381599</v>
      </c>
      <c r="Z115" s="111">
        <v>455.24879667698036</v>
      </c>
      <c r="AA115" s="111">
        <v>512.71229649172267</v>
      </c>
      <c r="AB115" s="111">
        <v>667.1541640679344</v>
      </c>
      <c r="AC115" s="111">
        <v>438.28603529584274</v>
      </c>
      <c r="AD115" s="111">
        <v>410.83859429061243</v>
      </c>
      <c r="AE115" s="111">
        <v>656.49708628889812</v>
      </c>
      <c r="AF115" s="111">
        <v>325.19685608778383</v>
      </c>
      <c r="AG115" s="111">
        <v>389.32853510874497</v>
      </c>
      <c r="AH115" s="111">
        <v>374.26496916899879</v>
      </c>
      <c r="AI115" s="111">
        <v>575.7004799598493</v>
      </c>
      <c r="AJ115" s="111">
        <v>485.39506197390205</v>
      </c>
      <c r="AK115" s="111">
        <v>298.06636893472177</v>
      </c>
      <c r="AL115" s="111">
        <v>243.71956115588375</v>
      </c>
      <c r="AM115" s="111">
        <v>110.55354340300988</v>
      </c>
      <c r="AN115" s="111">
        <v>634.25592134831459</v>
      </c>
      <c r="AO115" s="111">
        <v>0</v>
      </c>
      <c r="AP115" s="111">
        <v>0</v>
      </c>
      <c r="AQ115" s="111">
        <v>0</v>
      </c>
      <c r="AR115" s="111">
        <v>0</v>
      </c>
      <c r="AS115" s="111">
        <v>0</v>
      </c>
      <c r="AT115" s="111">
        <v>0</v>
      </c>
      <c r="AU115" s="111">
        <v>0</v>
      </c>
      <c r="AV115" s="111">
        <v>0</v>
      </c>
      <c r="AW115" s="111">
        <v>0</v>
      </c>
      <c r="AX115" s="111">
        <v>0</v>
      </c>
      <c r="AY115" s="111">
        <v>0</v>
      </c>
    </row>
    <row r="116" spans="1:52" x14ac:dyDescent="0.25">
      <c r="A116" s="114"/>
      <c r="B116" s="132">
        <v>8</v>
      </c>
      <c r="C116" s="111"/>
      <c r="D116" s="111">
        <v>0</v>
      </c>
      <c r="E116" s="111">
        <v>0</v>
      </c>
      <c r="F116" s="111">
        <v>0</v>
      </c>
      <c r="G116" s="111">
        <v>0</v>
      </c>
      <c r="H116" s="111">
        <v>0</v>
      </c>
      <c r="I116" s="111">
        <v>0</v>
      </c>
      <c r="J116" s="111">
        <v>0</v>
      </c>
      <c r="K116" s="111">
        <v>0</v>
      </c>
      <c r="L116" s="111">
        <v>0</v>
      </c>
      <c r="M116" s="111">
        <v>0</v>
      </c>
      <c r="N116" s="111">
        <v>0</v>
      </c>
      <c r="O116" s="111">
        <v>0</v>
      </c>
      <c r="P116" s="111">
        <v>0</v>
      </c>
      <c r="Q116" s="111">
        <v>0</v>
      </c>
      <c r="R116" s="111">
        <v>0</v>
      </c>
      <c r="S116" s="111">
        <v>36.763641166062371</v>
      </c>
      <c r="T116" s="111">
        <v>304.88819540962606</v>
      </c>
      <c r="U116" s="111">
        <v>508.9707102583165</v>
      </c>
      <c r="V116" s="111">
        <v>723.84588301622045</v>
      </c>
      <c r="W116" s="111">
        <v>444.07482396054331</v>
      </c>
      <c r="X116" s="111">
        <v>548.12296422603856</v>
      </c>
      <c r="Y116" s="111">
        <v>506.81842674692513</v>
      </c>
      <c r="Z116" s="111">
        <v>679.42314873381599</v>
      </c>
      <c r="AA116" s="111">
        <v>455.24879667698036</v>
      </c>
      <c r="AB116" s="111">
        <v>512.71229649172267</v>
      </c>
      <c r="AC116" s="111">
        <v>667.1541640679344</v>
      </c>
      <c r="AD116" s="111">
        <v>438.28603529584274</v>
      </c>
      <c r="AE116" s="111">
        <v>410.83859429061243</v>
      </c>
      <c r="AF116" s="111">
        <v>656.49708628889812</v>
      </c>
      <c r="AG116" s="111">
        <v>325.19685608778383</v>
      </c>
      <c r="AH116" s="111">
        <v>389.32853510874497</v>
      </c>
      <c r="AI116" s="111">
        <v>374.26496916899879</v>
      </c>
      <c r="AJ116" s="111">
        <v>575.7004799598493</v>
      </c>
      <c r="AK116" s="111">
        <v>485.39506197390205</v>
      </c>
      <c r="AL116" s="111">
        <v>298.06636893472177</v>
      </c>
      <c r="AM116" s="111">
        <v>243.71956115588375</v>
      </c>
      <c r="AN116" s="111">
        <v>110.55354340300988</v>
      </c>
      <c r="AO116" s="111">
        <v>0</v>
      </c>
      <c r="AP116" s="111">
        <v>0</v>
      </c>
      <c r="AQ116" s="111">
        <v>0</v>
      </c>
      <c r="AR116" s="111">
        <v>0</v>
      </c>
      <c r="AS116" s="111">
        <v>0</v>
      </c>
      <c r="AT116" s="111">
        <v>0</v>
      </c>
      <c r="AU116" s="111">
        <v>0</v>
      </c>
      <c r="AV116" s="111">
        <v>0</v>
      </c>
      <c r="AW116" s="111">
        <v>0</v>
      </c>
      <c r="AX116" s="111">
        <v>0</v>
      </c>
      <c r="AY116" s="111">
        <v>0</v>
      </c>
    </row>
    <row r="117" spans="1:52" x14ac:dyDescent="0.25">
      <c r="A117" s="114"/>
      <c r="B117" s="132">
        <v>9</v>
      </c>
      <c r="C117" s="111"/>
      <c r="D117" s="111">
        <v>0</v>
      </c>
      <c r="E117" s="111">
        <v>0</v>
      </c>
      <c r="F117" s="111">
        <v>0</v>
      </c>
      <c r="G117" s="111">
        <v>0</v>
      </c>
      <c r="H117" s="111">
        <v>0</v>
      </c>
      <c r="I117" s="111">
        <v>0</v>
      </c>
      <c r="J117" s="111">
        <v>0</v>
      </c>
      <c r="K117" s="111">
        <v>0</v>
      </c>
      <c r="L117" s="111">
        <v>0</v>
      </c>
      <c r="M117" s="111">
        <v>0</v>
      </c>
      <c r="N117" s="111">
        <v>0</v>
      </c>
      <c r="O117" s="111">
        <v>0</v>
      </c>
      <c r="P117" s="111">
        <v>0</v>
      </c>
      <c r="Q117" s="111">
        <v>0</v>
      </c>
      <c r="R117" s="111">
        <v>0</v>
      </c>
      <c r="S117" s="111">
        <v>0</v>
      </c>
      <c r="T117" s="111">
        <v>0</v>
      </c>
      <c r="U117" s="111">
        <v>75.888195409626064</v>
      </c>
      <c r="V117" s="111">
        <v>311.85890566794257</v>
      </c>
      <c r="W117" s="111">
        <v>723.84588301622045</v>
      </c>
      <c r="X117" s="111">
        <v>444.07482396054331</v>
      </c>
      <c r="Y117" s="111">
        <v>548.12296422603856</v>
      </c>
      <c r="Z117" s="111">
        <v>506.81842674692513</v>
      </c>
      <c r="AA117" s="111">
        <v>679.42314873381599</v>
      </c>
      <c r="AB117" s="111">
        <v>455.24879667698036</v>
      </c>
      <c r="AC117" s="111">
        <v>512.71229649172267</v>
      </c>
      <c r="AD117" s="111">
        <v>667.1541640679344</v>
      </c>
      <c r="AE117" s="111">
        <v>438.28603529584274</v>
      </c>
      <c r="AF117" s="111">
        <v>410.83859429061243</v>
      </c>
      <c r="AG117" s="111">
        <v>656.49708628889812</v>
      </c>
      <c r="AH117" s="111">
        <v>325.19685608778383</v>
      </c>
      <c r="AI117" s="111">
        <v>389.32853510874497</v>
      </c>
      <c r="AJ117" s="111">
        <v>374.26496916899879</v>
      </c>
      <c r="AK117" s="111">
        <v>575.7004799598493</v>
      </c>
      <c r="AL117" s="111">
        <v>485.39506197390205</v>
      </c>
      <c r="AM117" s="111">
        <v>298.06636893472177</v>
      </c>
      <c r="AN117" s="111">
        <v>202.29354826523775</v>
      </c>
      <c r="AO117" s="111">
        <v>0</v>
      </c>
      <c r="AP117" s="111">
        <v>0</v>
      </c>
      <c r="AQ117" s="111">
        <v>0</v>
      </c>
      <c r="AR117" s="111">
        <v>0</v>
      </c>
      <c r="AS117" s="111">
        <v>0</v>
      </c>
      <c r="AT117" s="111">
        <v>0</v>
      </c>
      <c r="AU117" s="111">
        <v>0</v>
      </c>
      <c r="AV117" s="111">
        <v>0</v>
      </c>
      <c r="AW117" s="111">
        <v>0</v>
      </c>
      <c r="AX117" s="111">
        <v>0</v>
      </c>
      <c r="AY117" s="111">
        <v>0</v>
      </c>
    </row>
    <row r="118" spans="1:52" x14ac:dyDescent="0.25">
      <c r="A118" s="114"/>
      <c r="B118" s="135">
        <v>10</v>
      </c>
      <c r="C118" s="111"/>
      <c r="D118" s="111">
        <v>0</v>
      </c>
      <c r="E118" s="111">
        <v>0</v>
      </c>
      <c r="F118" s="111">
        <v>0</v>
      </c>
      <c r="G118" s="111">
        <v>0</v>
      </c>
      <c r="H118" s="111">
        <v>0</v>
      </c>
      <c r="I118" s="111">
        <v>0</v>
      </c>
      <c r="J118" s="111">
        <v>0</v>
      </c>
      <c r="K118" s="111">
        <v>0</v>
      </c>
      <c r="L118" s="111">
        <v>0</v>
      </c>
      <c r="M118" s="111">
        <v>0</v>
      </c>
      <c r="N118" s="111">
        <v>0</v>
      </c>
      <c r="O118" s="111">
        <v>0</v>
      </c>
      <c r="P118" s="111">
        <v>0</v>
      </c>
      <c r="Q118" s="111">
        <v>0</v>
      </c>
      <c r="R118" s="111">
        <v>0</v>
      </c>
      <c r="S118" s="111">
        <v>0</v>
      </c>
      <c r="T118" s="111">
        <v>0</v>
      </c>
      <c r="U118" s="111">
        <v>0</v>
      </c>
      <c r="V118" s="111">
        <v>0</v>
      </c>
      <c r="W118" s="111">
        <v>28.858905667942565</v>
      </c>
      <c r="X118" s="111">
        <v>477.70478868416302</v>
      </c>
      <c r="Y118" s="111">
        <v>444.07482396054331</v>
      </c>
      <c r="Z118" s="111">
        <v>548.12296422603856</v>
      </c>
      <c r="AA118" s="111">
        <v>506.81842674692513</v>
      </c>
      <c r="AB118" s="111">
        <v>679.42314873381599</v>
      </c>
      <c r="AC118" s="111">
        <v>455.24879667698036</v>
      </c>
      <c r="AD118" s="111">
        <v>512.71229649172267</v>
      </c>
      <c r="AE118" s="111">
        <v>667.1541640679344</v>
      </c>
      <c r="AF118" s="111">
        <v>438.28603529584274</v>
      </c>
      <c r="AG118" s="111">
        <v>410.83859429061243</v>
      </c>
      <c r="AH118" s="111">
        <v>656.49708628889812</v>
      </c>
      <c r="AI118" s="111">
        <v>325.19685608778383</v>
      </c>
      <c r="AJ118" s="111">
        <v>389.32853510874497</v>
      </c>
      <c r="AK118" s="111">
        <v>374.26496916899879</v>
      </c>
      <c r="AL118" s="111">
        <v>575.7004799598493</v>
      </c>
      <c r="AM118" s="111">
        <v>313.50761817463223</v>
      </c>
      <c r="AN118" s="111">
        <v>0</v>
      </c>
      <c r="AO118" s="111">
        <v>0</v>
      </c>
      <c r="AP118" s="111">
        <v>0</v>
      </c>
      <c r="AQ118" s="111">
        <v>0</v>
      </c>
      <c r="AR118" s="111">
        <v>0</v>
      </c>
      <c r="AS118" s="111">
        <v>0</v>
      </c>
      <c r="AT118" s="111">
        <v>0</v>
      </c>
      <c r="AU118" s="111">
        <v>0</v>
      </c>
      <c r="AV118" s="111">
        <v>0</v>
      </c>
      <c r="AW118" s="111">
        <v>0</v>
      </c>
      <c r="AX118" s="111">
        <v>0</v>
      </c>
      <c r="AY118" s="111">
        <v>0</v>
      </c>
    </row>
    <row r="119" spans="1:52" x14ac:dyDescent="0.25">
      <c r="A119" s="114"/>
      <c r="B119" s="135">
        <v>11</v>
      </c>
      <c r="C119" s="111"/>
      <c r="D119" s="111">
        <v>0</v>
      </c>
      <c r="E119" s="111">
        <v>0</v>
      </c>
      <c r="F119" s="111">
        <v>0</v>
      </c>
      <c r="G119" s="111">
        <v>0</v>
      </c>
      <c r="H119" s="111">
        <v>0</v>
      </c>
      <c r="I119" s="111">
        <v>0</v>
      </c>
      <c r="J119" s="111">
        <v>0</v>
      </c>
      <c r="K119" s="111">
        <v>0</v>
      </c>
      <c r="L119" s="111">
        <v>0</v>
      </c>
      <c r="M119" s="111">
        <v>0</v>
      </c>
      <c r="N119" s="111">
        <v>0</v>
      </c>
      <c r="O119" s="111">
        <v>0</v>
      </c>
      <c r="P119" s="111">
        <v>0</v>
      </c>
      <c r="Q119" s="111">
        <v>0</v>
      </c>
      <c r="R119" s="111">
        <v>0</v>
      </c>
      <c r="S119" s="111">
        <v>0</v>
      </c>
      <c r="T119" s="111">
        <v>0</v>
      </c>
      <c r="U119" s="111">
        <v>0</v>
      </c>
      <c r="V119" s="111">
        <v>0</v>
      </c>
      <c r="W119" s="111">
        <v>0</v>
      </c>
      <c r="X119" s="111">
        <v>0</v>
      </c>
      <c r="Y119" s="111">
        <v>169.70478868416302</v>
      </c>
      <c r="Z119" s="111">
        <v>289.77961264470633</v>
      </c>
      <c r="AA119" s="111">
        <v>547.90257687074495</v>
      </c>
      <c r="AB119" s="111">
        <v>506.81842674692513</v>
      </c>
      <c r="AC119" s="111">
        <v>679.42314873381599</v>
      </c>
      <c r="AD119" s="111">
        <v>455.24879667698036</v>
      </c>
      <c r="AE119" s="111">
        <v>512.71229649172267</v>
      </c>
      <c r="AF119" s="111">
        <v>667.1541640679344</v>
      </c>
      <c r="AG119" s="111">
        <v>438.28603529584274</v>
      </c>
      <c r="AH119" s="111">
        <v>410.83859429061243</v>
      </c>
      <c r="AI119" s="111">
        <v>656.49708628889812</v>
      </c>
      <c r="AJ119" s="111">
        <v>325.19685608778383</v>
      </c>
      <c r="AK119" s="111">
        <v>310.14710707188209</v>
      </c>
      <c r="AL119" s="111">
        <v>12.412076240880879</v>
      </c>
      <c r="AM119" s="111">
        <v>0</v>
      </c>
      <c r="AN119" s="111">
        <v>0</v>
      </c>
      <c r="AO119" s="111">
        <v>0</v>
      </c>
      <c r="AP119" s="111">
        <v>0</v>
      </c>
      <c r="AQ119" s="111">
        <v>0</v>
      </c>
      <c r="AR119" s="111">
        <v>0</v>
      </c>
      <c r="AS119" s="111">
        <v>0</v>
      </c>
      <c r="AT119" s="111">
        <v>0</v>
      </c>
      <c r="AU119" s="111">
        <v>0</v>
      </c>
      <c r="AV119" s="111">
        <v>0</v>
      </c>
      <c r="AW119" s="111">
        <v>0</v>
      </c>
      <c r="AX119" s="111">
        <v>0</v>
      </c>
      <c r="AY119" s="111">
        <v>0</v>
      </c>
    </row>
    <row r="120" spans="1:52" x14ac:dyDescent="0.25">
      <c r="A120" s="114"/>
      <c r="B120" s="135">
        <v>12</v>
      </c>
      <c r="C120" s="111"/>
      <c r="D120" s="111">
        <v>0</v>
      </c>
      <c r="E120" s="111">
        <v>0</v>
      </c>
      <c r="F120" s="111">
        <v>0</v>
      </c>
      <c r="G120" s="111">
        <v>0</v>
      </c>
      <c r="H120" s="111">
        <v>0</v>
      </c>
      <c r="I120" s="111">
        <v>0</v>
      </c>
      <c r="J120" s="111">
        <v>0</v>
      </c>
      <c r="K120" s="111">
        <v>0</v>
      </c>
      <c r="L120" s="111">
        <v>0</v>
      </c>
      <c r="M120" s="111">
        <v>0</v>
      </c>
      <c r="N120" s="111">
        <v>0</v>
      </c>
      <c r="O120" s="111">
        <v>0</v>
      </c>
      <c r="P120" s="111">
        <v>0</v>
      </c>
      <c r="Q120" s="111">
        <v>0</v>
      </c>
      <c r="R120" s="111">
        <v>0</v>
      </c>
      <c r="S120" s="111">
        <v>0</v>
      </c>
      <c r="T120" s="111">
        <v>0</v>
      </c>
      <c r="U120" s="111">
        <v>0</v>
      </c>
      <c r="V120" s="111">
        <v>0</v>
      </c>
      <c r="W120" s="111">
        <v>0</v>
      </c>
      <c r="X120" s="111">
        <v>0</v>
      </c>
      <c r="Y120" s="111">
        <v>0</v>
      </c>
      <c r="Z120" s="111">
        <v>0</v>
      </c>
      <c r="AA120" s="111">
        <v>0</v>
      </c>
      <c r="AB120" s="111">
        <v>215.90257687074495</v>
      </c>
      <c r="AC120" s="111">
        <v>302.72100361767008</v>
      </c>
      <c r="AD120" s="111">
        <v>443.14415235148607</v>
      </c>
      <c r="AE120" s="111">
        <v>443.39294902846643</v>
      </c>
      <c r="AF120" s="111">
        <v>512.71229649172267</v>
      </c>
      <c r="AG120" s="111">
        <v>667.1541640679344</v>
      </c>
      <c r="AH120" s="111">
        <v>438.28603529584274</v>
      </c>
      <c r="AI120" s="111">
        <v>304.12462958645517</v>
      </c>
      <c r="AJ120" s="111">
        <v>422.62171587535329</v>
      </c>
      <c r="AK120" s="111">
        <v>0</v>
      </c>
      <c r="AL120" s="111">
        <v>0</v>
      </c>
      <c r="AM120" s="111">
        <v>0</v>
      </c>
      <c r="AN120" s="111">
        <v>0</v>
      </c>
      <c r="AO120" s="111">
        <v>0</v>
      </c>
      <c r="AP120" s="111">
        <v>0</v>
      </c>
      <c r="AQ120" s="111">
        <v>0</v>
      </c>
      <c r="AR120" s="111">
        <v>0</v>
      </c>
      <c r="AS120" s="111">
        <v>0</v>
      </c>
      <c r="AT120" s="111">
        <v>0</v>
      </c>
      <c r="AU120" s="111">
        <v>0</v>
      </c>
      <c r="AV120" s="111">
        <v>0</v>
      </c>
      <c r="AW120" s="111">
        <v>0</v>
      </c>
      <c r="AX120" s="111">
        <v>0</v>
      </c>
      <c r="AY120" s="111">
        <v>0</v>
      </c>
    </row>
    <row r="121" spans="1:52" x14ac:dyDescent="0.25">
      <c r="A121" s="133"/>
      <c r="B121" s="137" t="s">
        <v>295</v>
      </c>
      <c r="C121" s="119"/>
      <c r="D121" s="130">
        <v>0</v>
      </c>
      <c r="E121" s="130">
        <v>0</v>
      </c>
      <c r="F121" s="130">
        <v>0</v>
      </c>
      <c r="G121" s="130">
        <v>0</v>
      </c>
      <c r="H121" s="130">
        <v>0</v>
      </c>
      <c r="I121" s="130">
        <v>0</v>
      </c>
      <c r="J121" s="130">
        <v>0</v>
      </c>
      <c r="K121" s="130">
        <v>0</v>
      </c>
      <c r="L121" s="130">
        <v>0</v>
      </c>
      <c r="M121" s="130">
        <v>0</v>
      </c>
      <c r="N121" s="130">
        <v>0</v>
      </c>
      <c r="O121" s="130">
        <v>0</v>
      </c>
      <c r="P121" s="130">
        <v>0</v>
      </c>
      <c r="Q121" s="130">
        <v>0</v>
      </c>
      <c r="R121" s="130">
        <v>0</v>
      </c>
      <c r="S121" s="130">
        <v>0</v>
      </c>
      <c r="T121" s="130">
        <v>0</v>
      </c>
      <c r="U121" s="130">
        <v>0</v>
      </c>
      <c r="V121" s="130">
        <v>0</v>
      </c>
      <c r="W121" s="130">
        <v>0</v>
      </c>
      <c r="X121" s="130">
        <v>0</v>
      </c>
      <c r="Y121" s="130">
        <v>0</v>
      </c>
      <c r="Z121" s="130">
        <v>0</v>
      </c>
      <c r="AA121" s="130">
        <v>0</v>
      </c>
      <c r="AB121" s="130">
        <v>0</v>
      </c>
      <c r="AC121" s="130">
        <v>0</v>
      </c>
      <c r="AD121" s="130">
        <v>0</v>
      </c>
      <c r="AE121" s="130">
        <v>0</v>
      </c>
      <c r="AF121" s="130">
        <v>84.392949028466433</v>
      </c>
      <c r="AG121" s="130">
        <v>43.712296491722668</v>
      </c>
      <c r="AH121" s="130">
        <v>37.154164067934403</v>
      </c>
      <c r="AI121" s="130">
        <v>0</v>
      </c>
      <c r="AJ121" s="130">
        <v>0</v>
      </c>
      <c r="AK121" s="130">
        <v>0</v>
      </c>
      <c r="AL121" s="130">
        <v>0</v>
      </c>
      <c r="AM121" s="130">
        <v>0</v>
      </c>
      <c r="AN121" s="130">
        <v>0</v>
      </c>
      <c r="AO121" s="130">
        <v>0</v>
      </c>
      <c r="AP121" s="130">
        <v>0</v>
      </c>
      <c r="AQ121" s="130">
        <v>0</v>
      </c>
      <c r="AR121" s="130">
        <v>0</v>
      </c>
      <c r="AS121" s="130">
        <v>0</v>
      </c>
      <c r="AT121" s="130">
        <v>0</v>
      </c>
      <c r="AU121" s="130">
        <v>0</v>
      </c>
      <c r="AV121" s="130">
        <v>0</v>
      </c>
      <c r="AW121" s="130">
        <v>0</v>
      </c>
      <c r="AX121" s="130">
        <v>0</v>
      </c>
      <c r="AY121" s="130">
        <v>0</v>
      </c>
      <c r="AZ121" s="112">
        <f>SUM($D121:$AY121)</f>
        <v>165.2594095881235</v>
      </c>
    </row>
    <row r="122" spans="1:52" x14ac:dyDescent="0.25">
      <c r="A122" s="136" t="s">
        <v>123</v>
      </c>
      <c r="B122" s="124">
        <v>1</v>
      </c>
      <c r="C122" s="111"/>
      <c r="D122" s="111">
        <v>0</v>
      </c>
      <c r="E122" s="111">
        <v>0</v>
      </c>
      <c r="F122" s="111">
        <v>731.61000000000013</v>
      </c>
      <c r="G122" s="111">
        <v>56.925000000000011</v>
      </c>
      <c r="H122" s="111">
        <v>731.61000000000013</v>
      </c>
      <c r="I122" s="111">
        <v>592.18500000000006</v>
      </c>
      <c r="J122" s="111">
        <v>243.24522471910115</v>
      </c>
      <c r="K122" s="111">
        <v>649.11000000000013</v>
      </c>
      <c r="L122" s="111">
        <v>243.24522471910115</v>
      </c>
      <c r="M122" s="111">
        <v>674.68500000000006</v>
      </c>
      <c r="N122" s="111">
        <v>731.61000000000013</v>
      </c>
      <c r="O122" s="111">
        <v>82.5</v>
      </c>
      <c r="P122" s="111">
        <v>243.24522471910115</v>
      </c>
      <c r="Q122" s="111">
        <v>649.11000000000013</v>
      </c>
      <c r="R122" s="111">
        <v>731.61000000000013</v>
      </c>
      <c r="S122" s="111">
        <v>139.42500000000001</v>
      </c>
      <c r="T122" s="111">
        <v>243.24522471910115</v>
      </c>
      <c r="U122" s="111">
        <v>731.61000000000013</v>
      </c>
      <c r="V122" s="111">
        <v>243.24522471910115</v>
      </c>
      <c r="W122" s="111">
        <v>82.5</v>
      </c>
      <c r="X122" s="111">
        <v>731.61000000000013</v>
      </c>
      <c r="Y122" s="111">
        <v>56.925000000000011</v>
      </c>
      <c r="Z122" s="111">
        <v>243.24522471910115</v>
      </c>
      <c r="AA122" s="111">
        <v>139.42500000000001</v>
      </c>
      <c r="AB122" s="111">
        <v>731.61000000000013</v>
      </c>
      <c r="AC122" s="111">
        <v>674.68500000000006</v>
      </c>
      <c r="AD122" s="111">
        <v>243.24522471910115</v>
      </c>
      <c r="AE122" s="111">
        <v>139.42500000000001</v>
      </c>
      <c r="AF122" s="111">
        <v>243.24522471910115</v>
      </c>
      <c r="AG122" s="111">
        <v>731.61000000000013</v>
      </c>
      <c r="AH122" s="111">
        <v>243.24522471910115</v>
      </c>
      <c r="AI122" s="111">
        <v>592.18500000000006</v>
      </c>
      <c r="AJ122" s="111">
        <v>731.61000000000013</v>
      </c>
      <c r="AK122" s="111">
        <v>0</v>
      </c>
      <c r="AL122" s="111">
        <v>243.24522471910115</v>
      </c>
      <c r="AM122" s="111">
        <v>82.5</v>
      </c>
      <c r="AN122" s="111">
        <v>731.61000000000013</v>
      </c>
      <c r="AO122" s="111">
        <v>82.5</v>
      </c>
      <c r="AP122" s="111">
        <v>674.68500000000006</v>
      </c>
      <c r="AQ122" s="111">
        <v>139.42500000000001</v>
      </c>
      <c r="AR122" s="111">
        <v>56.925000000000011</v>
      </c>
      <c r="AS122" s="111">
        <v>186.32022471910113</v>
      </c>
      <c r="AT122" s="111">
        <v>139.42500000000001</v>
      </c>
      <c r="AU122" s="111">
        <v>731.61000000000013</v>
      </c>
      <c r="AV122" s="111">
        <v>139.42500000000001</v>
      </c>
      <c r="AW122" s="111">
        <v>674.68500000000006</v>
      </c>
      <c r="AX122" s="111">
        <v>139.42500000000001</v>
      </c>
      <c r="AY122" s="111">
        <v>139.42500000000001</v>
      </c>
    </row>
    <row r="123" spans="1:52" x14ac:dyDescent="0.25">
      <c r="A123" s="114"/>
      <c r="B123" s="124">
        <v>2</v>
      </c>
      <c r="C123" s="111"/>
      <c r="D123" s="111">
        <v>0</v>
      </c>
      <c r="E123" s="111">
        <v>0</v>
      </c>
      <c r="F123" s="111">
        <v>0</v>
      </c>
      <c r="G123" s="111">
        <v>330.54650000000009</v>
      </c>
      <c r="H123" s="111">
        <v>711.68625000000009</v>
      </c>
      <c r="I123" s="111">
        <v>475.54650000000009</v>
      </c>
      <c r="J123" s="111">
        <v>441.84525000000008</v>
      </c>
      <c r="K123" s="111">
        <v>158.10939606741576</v>
      </c>
      <c r="L123" s="111">
        <v>504.42150000000009</v>
      </c>
      <c r="M123" s="111">
        <v>158.10939606741576</v>
      </c>
      <c r="N123" s="111">
        <v>495.47025000000008</v>
      </c>
      <c r="O123" s="111">
        <v>475.54650000000009</v>
      </c>
      <c r="P123" s="111">
        <v>702.73500000000013</v>
      </c>
      <c r="Q123" s="111">
        <v>158.10939606741576</v>
      </c>
      <c r="R123" s="111">
        <v>421.92150000000009</v>
      </c>
      <c r="S123" s="111">
        <v>475.54650000000009</v>
      </c>
      <c r="T123" s="111">
        <v>682.81125000000009</v>
      </c>
      <c r="U123" s="111">
        <v>646.47417134831471</v>
      </c>
      <c r="V123" s="111">
        <v>475.54650000000009</v>
      </c>
      <c r="W123" s="111">
        <v>646.47417134831471</v>
      </c>
      <c r="X123" s="111">
        <v>702.73500000000013</v>
      </c>
      <c r="Y123" s="111">
        <v>475.54650000000009</v>
      </c>
      <c r="Z123" s="111">
        <v>629.18625000000009</v>
      </c>
      <c r="AA123" s="111">
        <v>646.47417134831471</v>
      </c>
      <c r="AB123" s="111">
        <v>682.81125000000009</v>
      </c>
      <c r="AC123" s="111">
        <v>475.54650000000009</v>
      </c>
      <c r="AD123" s="111">
        <v>495.47025000000008</v>
      </c>
      <c r="AE123" s="111">
        <v>556.91660330252512</v>
      </c>
      <c r="AF123" s="111">
        <v>72.622042146641363</v>
      </c>
      <c r="AG123" s="111">
        <v>488.36477528089893</v>
      </c>
      <c r="AH123" s="111">
        <v>475.54650000000009</v>
      </c>
      <c r="AI123" s="111">
        <v>1.2469011235956771</v>
      </c>
      <c r="AJ123" s="111">
        <v>82.5</v>
      </c>
      <c r="AK123" s="111">
        <v>2.6086039325843444</v>
      </c>
      <c r="AL123" s="111">
        <v>731.61000000000013</v>
      </c>
      <c r="AM123" s="111">
        <v>488.36477528089898</v>
      </c>
      <c r="AN123" s="111">
        <v>56.925000000000011</v>
      </c>
      <c r="AO123" s="111">
        <v>5.6843418860808015E-14</v>
      </c>
      <c r="AP123" s="111">
        <v>56.925000000000011</v>
      </c>
      <c r="AQ123" s="111">
        <v>0</v>
      </c>
      <c r="AR123" s="111">
        <v>0</v>
      </c>
      <c r="AS123" s="111">
        <v>0</v>
      </c>
      <c r="AT123" s="111">
        <v>488.36477528089898</v>
      </c>
      <c r="AU123" s="111">
        <v>592.18500000000017</v>
      </c>
      <c r="AV123" s="111">
        <v>0</v>
      </c>
      <c r="AW123" s="111">
        <v>0</v>
      </c>
      <c r="AX123" s="111">
        <v>56.925000000000011</v>
      </c>
      <c r="AY123" s="111">
        <v>1.4210854715202004E-14</v>
      </c>
    </row>
    <row r="124" spans="1:52" x14ac:dyDescent="0.25">
      <c r="A124" s="114"/>
      <c r="B124" s="124">
        <v>3</v>
      </c>
      <c r="C124" s="111"/>
      <c r="D124" s="111">
        <v>0</v>
      </c>
      <c r="E124" s="111">
        <v>0</v>
      </c>
      <c r="F124" s="111">
        <v>0</v>
      </c>
      <c r="G124" s="111">
        <v>0</v>
      </c>
      <c r="H124" s="111">
        <v>87.855225000000075</v>
      </c>
      <c r="I124" s="111">
        <v>361.70195875000013</v>
      </c>
      <c r="J124" s="111">
        <v>309.10522500000008</v>
      </c>
      <c r="K124" s="111">
        <v>287.19941250000005</v>
      </c>
      <c r="L124" s="111">
        <v>591.13588272471918</v>
      </c>
      <c r="M124" s="111">
        <v>327.87397500000009</v>
      </c>
      <c r="N124" s="111">
        <v>591.13588272471918</v>
      </c>
      <c r="O124" s="111">
        <v>322.05566250000004</v>
      </c>
      <c r="P124" s="111">
        <v>309.10522500000008</v>
      </c>
      <c r="Q124" s="111">
        <v>456.77775000000008</v>
      </c>
      <c r="R124" s="111">
        <v>591.13588272471918</v>
      </c>
      <c r="S124" s="111">
        <v>356.74897500000009</v>
      </c>
      <c r="T124" s="111">
        <v>309.10522500000008</v>
      </c>
      <c r="U124" s="111">
        <v>443.82731250000006</v>
      </c>
      <c r="V124" s="111">
        <v>420.20821137640456</v>
      </c>
      <c r="W124" s="111">
        <v>309.10522500000008</v>
      </c>
      <c r="X124" s="111">
        <v>420.20821137640456</v>
      </c>
      <c r="Y124" s="111">
        <v>396.66237453652519</v>
      </c>
      <c r="Z124" s="111">
        <v>239.93576844874144</v>
      </c>
      <c r="AA124" s="111">
        <v>283.42931199168203</v>
      </c>
      <c r="AB124" s="111">
        <v>230.43726417099788</v>
      </c>
      <c r="AC124" s="111">
        <v>236.61153421114869</v>
      </c>
      <c r="AD124" s="111">
        <v>112.90272223724673</v>
      </c>
      <c r="AE124" s="111">
        <v>0</v>
      </c>
      <c r="AF124" s="111">
        <v>0</v>
      </c>
      <c r="AG124" s="111">
        <v>592.18500000000006</v>
      </c>
      <c r="AH124" s="111">
        <v>172.35735393258437</v>
      </c>
      <c r="AI124" s="111">
        <v>0</v>
      </c>
      <c r="AJ124" s="111">
        <v>488.36477528089893</v>
      </c>
      <c r="AK124" s="111">
        <v>56.925000000000011</v>
      </c>
      <c r="AL124" s="111">
        <v>0</v>
      </c>
      <c r="AM124" s="111">
        <v>0</v>
      </c>
      <c r="AN124" s="111">
        <v>0</v>
      </c>
      <c r="AO124" s="111">
        <v>0</v>
      </c>
      <c r="AP124" s="111">
        <v>0</v>
      </c>
      <c r="AQ124" s="111">
        <v>0</v>
      </c>
      <c r="AR124" s="111">
        <v>0</v>
      </c>
      <c r="AS124" s="111">
        <v>592.18500000000006</v>
      </c>
      <c r="AT124" s="111">
        <v>0</v>
      </c>
      <c r="AU124" s="111">
        <v>0</v>
      </c>
      <c r="AV124" s="111">
        <v>0</v>
      </c>
      <c r="AW124" s="111">
        <v>0</v>
      </c>
      <c r="AX124" s="111">
        <v>592.18500000000006</v>
      </c>
      <c r="AY124" s="111">
        <v>0</v>
      </c>
    </row>
    <row r="125" spans="1:52" x14ac:dyDescent="0.25">
      <c r="A125" s="114"/>
      <c r="B125" s="124">
        <v>4</v>
      </c>
      <c r="C125" s="111"/>
      <c r="D125" s="111">
        <v>0</v>
      </c>
      <c r="E125" s="111">
        <v>0</v>
      </c>
      <c r="F125" s="111">
        <v>0</v>
      </c>
      <c r="G125" s="111">
        <v>0</v>
      </c>
      <c r="H125" s="111">
        <v>0</v>
      </c>
      <c r="I125" s="111">
        <v>0</v>
      </c>
      <c r="J125" s="111">
        <v>83.106273187500079</v>
      </c>
      <c r="K125" s="111">
        <v>127.9374738218751</v>
      </c>
      <c r="L125" s="111">
        <v>135.83897610921886</v>
      </c>
      <c r="M125" s="111">
        <v>293.53365824205974</v>
      </c>
      <c r="N125" s="111">
        <v>213.11808375000007</v>
      </c>
      <c r="O125" s="111">
        <v>384.23832377106748</v>
      </c>
      <c r="P125" s="111">
        <v>209.33618062500003</v>
      </c>
      <c r="Q125" s="111">
        <v>184.05550178094154</v>
      </c>
      <c r="R125" s="111">
        <v>196.54161365761206</v>
      </c>
      <c r="S125" s="111">
        <v>328.99037264851535</v>
      </c>
      <c r="T125" s="111">
        <v>229.73057597153505</v>
      </c>
      <c r="U125" s="111">
        <v>84.243270631497836</v>
      </c>
      <c r="V125" s="111">
        <v>113.24587903547365</v>
      </c>
      <c r="W125" s="111">
        <v>135.74515876772085</v>
      </c>
      <c r="X125" s="111">
        <v>21.152749449018614</v>
      </c>
      <c r="Y125" s="111">
        <v>0</v>
      </c>
      <c r="Z125" s="111">
        <v>0</v>
      </c>
      <c r="AA125" s="111">
        <v>0</v>
      </c>
      <c r="AB125" s="111">
        <v>0</v>
      </c>
      <c r="AC125" s="111">
        <v>0</v>
      </c>
      <c r="AD125" s="111">
        <v>0</v>
      </c>
      <c r="AE125" s="111">
        <v>0</v>
      </c>
      <c r="AF125" s="111">
        <v>0</v>
      </c>
      <c r="AG125" s="111">
        <v>0</v>
      </c>
      <c r="AH125" s="111">
        <v>0</v>
      </c>
      <c r="AI125" s="111">
        <v>0</v>
      </c>
      <c r="AJ125" s="111">
        <v>0</v>
      </c>
      <c r="AK125" s="111">
        <v>0</v>
      </c>
      <c r="AL125" s="111">
        <v>0</v>
      </c>
      <c r="AM125" s="111">
        <v>0</v>
      </c>
      <c r="AN125" s="111">
        <v>0</v>
      </c>
      <c r="AO125" s="111">
        <v>0</v>
      </c>
      <c r="AP125" s="111">
        <v>0</v>
      </c>
      <c r="AQ125" s="111">
        <v>0</v>
      </c>
      <c r="AR125" s="111">
        <v>0</v>
      </c>
      <c r="AS125" s="111">
        <v>0</v>
      </c>
      <c r="AT125" s="111">
        <v>0</v>
      </c>
      <c r="AU125" s="111">
        <v>0</v>
      </c>
      <c r="AV125" s="111">
        <v>0</v>
      </c>
      <c r="AW125" s="111">
        <v>0</v>
      </c>
      <c r="AX125" s="111">
        <v>0</v>
      </c>
      <c r="AY125" s="111">
        <v>0</v>
      </c>
    </row>
    <row r="126" spans="1:52" x14ac:dyDescent="0.25">
      <c r="A126" s="114"/>
      <c r="B126" s="124">
        <v>5</v>
      </c>
      <c r="C126" s="111"/>
      <c r="D126" s="111">
        <v>0</v>
      </c>
      <c r="E126" s="111">
        <v>0</v>
      </c>
      <c r="F126" s="111">
        <v>0</v>
      </c>
      <c r="G126" s="111">
        <v>0</v>
      </c>
      <c r="H126" s="111">
        <v>0</v>
      </c>
      <c r="I126" s="111">
        <v>0</v>
      </c>
      <c r="J126" s="111">
        <v>0</v>
      </c>
      <c r="K126" s="111">
        <v>0</v>
      </c>
      <c r="L126" s="111">
        <v>0</v>
      </c>
      <c r="M126" s="111">
        <v>0</v>
      </c>
      <c r="N126" s="111">
        <v>36.796877857338842</v>
      </c>
      <c r="O126" s="111">
        <v>4.4447250447703084</v>
      </c>
      <c r="P126" s="111">
        <v>101.64398173029457</v>
      </c>
      <c r="Q126" s="111">
        <v>0</v>
      </c>
      <c r="R126" s="111">
        <v>0</v>
      </c>
      <c r="S126" s="111">
        <v>0</v>
      </c>
      <c r="T126" s="111">
        <v>0</v>
      </c>
      <c r="U126" s="111">
        <v>0</v>
      </c>
      <c r="V126" s="111">
        <v>0</v>
      </c>
      <c r="W126" s="111">
        <v>0</v>
      </c>
      <c r="X126" s="111">
        <v>0</v>
      </c>
      <c r="Y126" s="111">
        <v>0</v>
      </c>
      <c r="Z126" s="111">
        <v>0</v>
      </c>
      <c r="AA126" s="111">
        <v>0</v>
      </c>
      <c r="AB126" s="111">
        <v>0</v>
      </c>
      <c r="AC126" s="111">
        <v>0</v>
      </c>
      <c r="AD126" s="111">
        <v>0</v>
      </c>
      <c r="AE126" s="111">
        <v>0</v>
      </c>
      <c r="AF126" s="111">
        <v>0</v>
      </c>
      <c r="AG126" s="111">
        <v>0</v>
      </c>
      <c r="AH126" s="111">
        <v>0</v>
      </c>
      <c r="AI126" s="111">
        <v>0</v>
      </c>
      <c r="AJ126" s="111">
        <v>0</v>
      </c>
      <c r="AK126" s="111">
        <v>0</v>
      </c>
      <c r="AL126" s="111">
        <v>0</v>
      </c>
      <c r="AM126" s="111">
        <v>0</v>
      </c>
      <c r="AN126" s="111">
        <v>0</v>
      </c>
      <c r="AO126" s="111">
        <v>0</v>
      </c>
      <c r="AP126" s="111">
        <v>0</v>
      </c>
      <c r="AQ126" s="111">
        <v>0</v>
      </c>
      <c r="AR126" s="111">
        <v>0</v>
      </c>
      <c r="AS126" s="111">
        <v>0</v>
      </c>
      <c r="AT126" s="111">
        <v>0</v>
      </c>
      <c r="AU126" s="111">
        <v>0</v>
      </c>
      <c r="AV126" s="111">
        <v>0</v>
      </c>
      <c r="AW126" s="111">
        <v>0</v>
      </c>
      <c r="AX126" s="111">
        <v>0</v>
      </c>
      <c r="AY126" s="111">
        <v>0</v>
      </c>
    </row>
    <row r="127" spans="1:52" x14ac:dyDescent="0.25">
      <c r="A127" s="114"/>
      <c r="B127" s="124">
        <v>6</v>
      </c>
      <c r="C127" s="111"/>
      <c r="D127" s="111">
        <v>0</v>
      </c>
      <c r="E127" s="111">
        <v>0</v>
      </c>
      <c r="F127" s="111">
        <v>0</v>
      </c>
      <c r="G127" s="111">
        <v>0</v>
      </c>
      <c r="H127" s="111">
        <v>0</v>
      </c>
      <c r="I127" s="111">
        <v>0</v>
      </c>
      <c r="J127" s="111">
        <v>0</v>
      </c>
      <c r="K127" s="111">
        <v>0</v>
      </c>
      <c r="L127" s="111">
        <v>0</v>
      </c>
      <c r="M127" s="111">
        <v>0</v>
      </c>
      <c r="N127" s="111">
        <v>0</v>
      </c>
      <c r="O127" s="111">
        <v>0</v>
      </c>
      <c r="P127" s="111">
        <v>0</v>
      </c>
      <c r="Q127" s="111">
        <v>0</v>
      </c>
      <c r="R127" s="111">
        <v>0</v>
      </c>
      <c r="S127" s="111">
        <v>0</v>
      </c>
      <c r="T127" s="111">
        <v>0</v>
      </c>
      <c r="U127" s="111">
        <v>0</v>
      </c>
      <c r="V127" s="111">
        <v>0</v>
      </c>
      <c r="W127" s="111">
        <v>0</v>
      </c>
      <c r="X127" s="111">
        <v>0</v>
      </c>
      <c r="Y127" s="111">
        <v>0</v>
      </c>
      <c r="Z127" s="111">
        <v>0</v>
      </c>
      <c r="AA127" s="111">
        <v>0</v>
      </c>
      <c r="AB127" s="111">
        <v>0</v>
      </c>
      <c r="AC127" s="111">
        <v>0</v>
      </c>
      <c r="AD127" s="111">
        <v>0</v>
      </c>
      <c r="AE127" s="111">
        <v>0</v>
      </c>
      <c r="AF127" s="111">
        <v>0</v>
      </c>
      <c r="AG127" s="111">
        <v>0</v>
      </c>
      <c r="AH127" s="111">
        <v>0</v>
      </c>
      <c r="AI127" s="111">
        <v>0</v>
      </c>
      <c r="AJ127" s="111">
        <v>0</v>
      </c>
      <c r="AK127" s="111">
        <v>0</v>
      </c>
      <c r="AL127" s="111">
        <v>0</v>
      </c>
      <c r="AM127" s="111">
        <v>0</v>
      </c>
      <c r="AN127" s="111">
        <v>0</v>
      </c>
      <c r="AO127" s="111">
        <v>0</v>
      </c>
      <c r="AP127" s="111">
        <v>0</v>
      </c>
      <c r="AQ127" s="111">
        <v>0</v>
      </c>
      <c r="AR127" s="111">
        <v>0</v>
      </c>
      <c r="AS127" s="111">
        <v>0</v>
      </c>
      <c r="AT127" s="111">
        <v>0</v>
      </c>
      <c r="AU127" s="111">
        <v>0</v>
      </c>
      <c r="AV127" s="111">
        <v>0</v>
      </c>
      <c r="AW127" s="111">
        <v>0</v>
      </c>
      <c r="AX127" s="111">
        <v>0</v>
      </c>
      <c r="AY127" s="111">
        <v>0</v>
      </c>
    </row>
    <row r="128" spans="1:52" x14ac:dyDescent="0.25">
      <c r="A128" s="114"/>
      <c r="B128" s="124">
        <v>7</v>
      </c>
      <c r="C128" s="111"/>
      <c r="D128" s="111">
        <v>0</v>
      </c>
      <c r="E128" s="111">
        <v>0</v>
      </c>
      <c r="F128" s="111">
        <v>0</v>
      </c>
      <c r="G128" s="111">
        <v>0</v>
      </c>
      <c r="H128" s="111">
        <v>0</v>
      </c>
      <c r="I128" s="111">
        <v>0</v>
      </c>
      <c r="J128" s="111">
        <v>0</v>
      </c>
      <c r="K128" s="111">
        <v>0</v>
      </c>
      <c r="L128" s="111">
        <v>0</v>
      </c>
      <c r="M128" s="111">
        <v>0</v>
      </c>
      <c r="N128" s="111">
        <v>0</v>
      </c>
      <c r="O128" s="111">
        <v>0</v>
      </c>
      <c r="P128" s="111">
        <v>0</v>
      </c>
      <c r="Q128" s="111">
        <v>0</v>
      </c>
      <c r="R128" s="111">
        <v>0</v>
      </c>
      <c r="S128" s="111">
        <v>0</v>
      </c>
      <c r="T128" s="111">
        <v>0</v>
      </c>
      <c r="U128" s="111">
        <v>0</v>
      </c>
      <c r="V128" s="111">
        <v>0</v>
      </c>
      <c r="W128" s="111">
        <v>0</v>
      </c>
      <c r="X128" s="111">
        <v>0</v>
      </c>
      <c r="Y128" s="111">
        <v>0</v>
      </c>
      <c r="Z128" s="111">
        <v>0</v>
      </c>
      <c r="AA128" s="111">
        <v>0</v>
      </c>
      <c r="AB128" s="111">
        <v>0</v>
      </c>
      <c r="AC128" s="111">
        <v>0</v>
      </c>
      <c r="AD128" s="111">
        <v>0</v>
      </c>
      <c r="AE128" s="111">
        <v>0</v>
      </c>
      <c r="AF128" s="111">
        <v>0</v>
      </c>
      <c r="AG128" s="111">
        <v>0</v>
      </c>
      <c r="AH128" s="111">
        <v>0</v>
      </c>
      <c r="AI128" s="111">
        <v>0</v>
      </c>
      <c r="AJ128" s="111">
        <v>0</v>
      </c>
      <c r="AK128" s="111">
        <v>0</v>
      </c>
      <c r="AL128" s="111">
        <v>0</v>
      </c>
      <c r="AM128" s="111">
        <v>0</v>
      </c>
      <c r="AN128" s="111">
        <v>0</v>
      </c>
      <c r="AO128" s="111">
        <v>0</v>
      </c>
      <c r="AP128" s="111">
        <v>0</v>
      </c>
      <c r="AQ128" s="111">
        <v>0</v>
      </c>
      <c r="AR128" s="111">
        <v>0</v>
      </c>
      <c r="AS128" s="111">
        <v>0</v>
      </c>
      <c r="AT128" s="111">
        <v>0</v>
      </c>
      <c r="AU128" s="111">
        <v>0</v>
      </c>
      <c r="AV128" s="111">
        <v>0</v>
      </c>
      <c r="AW128" s="111">
        <v>0</v>
      </c>
      <c r="AX128" s="111">
        <v>0</v>
      </c>
      <c r="AY128" s="111">
        <v>0</v>
      </c>
    </row>
    <row r="129" spans="1:51" x14ac:dyDescent="0.25">
      <c r="A129" s="114"/>
      <c r="B129" s="124">
        <v>8</v>
      </c>
      <c r="C129" s="111"/>
      <c r="D129" s="111">
        <v>0</v>
      </c>
      <c r="E129" s="111">
        <v>0</v>
      </c>
      <c r="F129" s="111">
        <v>0</v>
      </c>
      <c r="G129" s="111">
        <v>0</v>
      </c>
      <c r="H129" s="111">
        <v>0</v>
      </c>
      <c r="I129" s="111">
        <v>0</v>
      </c>
      <c r="J129" s="111">
        <v>0</v>
      </c>
      <c r="K129" s="111">
        <v>0</v>
      </c>
      <c r="L129" s="111">
        <v>0</v>
      </c>
      <c r="M129" s="111">
        <v>0</v>
      </c>
      <c r="N129" s="111">
        <v>0</v>
      </c>
      <c r="O129" s="111">
        <v>0</v>
      </c>
      <c r="P129" s="111">
        <v>0</v>
      </c>
      <c r="Q129" s="111">
        <v>0</v>
      </c>
      <c r="R129" s="111">
        <v>0</v>
      </c>
      <c r="S129" s="111">
        <v>0</v>
      </c>
      <c r="T129" s="111">
        <v>0</v>
      </c>
      <c r="U129" s="111">
        <v>0</v>
      </c>
      <c r="V129" s="111">
        <v>0</v>
      </c>
      <c r="W129" s="111">
        <v>0</v>
      </c>
      <c r="X129" s="111">
        <v>0</v>
      </c>
      <c r="Y129" s="111">
        <v>0</v>
      </c>
      <c r="Z129" s="111">
        <v>0</v>
      </c>
      <c r="AA129" s="111">
        <v>0</v>
      </c>
      <c r="AB129" s="111">
        <v>0</v>
      </c>
      <c r="AC129" s="111">
        <v>0</v>
      </c>
      <c r="AD129" s="111">
        <v>0</v>
      </c>
      <c r="AE129" s="111">
        <v>0</v>
      </c>
      <c r="AF129" s="111">
        <v>0</v>
      </c>
      <c r="AG129" s="111">
        <v>0</v>
      </c>
      <c r="AH129" s="111">
        <v>0</v>
      </c>
      <c r="AI129" s="111">
        <v>0</v>
      </c>
      <c r="AJ129" s="111">
        <v>0</v>
      </c>
      <c r="AK129" s="111">
        <v>0</v>
      </c>
      <c r="AL129" s="111">
        <v>0</v>
      </c>
      <c r="AM129" s="111">
        <v>0</v>
      </c>
      <c r="AN129" s="111">
        <v>0</v>
      </c>
      <c r="AO129" s="111">
        <v>0</v>
      </c>
      <c r="AP129" s="111">
        <v>0</v>
      </c>
      <c r="AQ129" s="111">
        <v>0</v>
      </c>
      <c r="AR129" s="111">
        <v>0</v>
      </c>
      <c r="AS129" s="111">
        <v>0</v>
      </c>
      <c r="AT129" s="111">
        <v>0</v>
      </c>
      <c r="AU129" s="111">
        <v>0</v>
      </c>
      <c r="AV129" s="111">
        <v>0</v>
      </c>
      <c r="AW129" s="111">
        <v>0</v>
      </c>
      <c r="AX129" s="111">
        <v>0</v>
      </c>
      <c r="AY129" s="111">
        <v>0</v>
      </c>
    </row>
    <row r="130" spans="1:51" x14ac:dyDescent="0.25">
      <c r="A130" s="114"/>
      <c r="B130" s="124">
        <v>9</v>
      </c>
      <c r="C130" s="111"/>
      <c r="D130" s="111">
        <v>0</v>
      </c>
      <c r="E130" s="111">
        <v>0</v>
      </c>
      <c r="F130" s="111">
        <v>0</v>
      </c>
      <c r="G130" s="111">
        <v>0</v>
      </c>
      <c r="H130" s="111">
        <v>0</v>
      </c>
      <c r="I130" s="111">
        <v>0</v>
      </c>
      <c r="J130" s="111">
        <v>0</v>
      </c>
      <c r="K130" s="111">
        <v>0</v>
      </c>
      <c r="L130" s="111">
        <v>0</v>
      </c>
      <c r="M130" s="111">
        <v>0</v>
      </c>
      <c r="N130" s="111">
        <v>0</v>
      </c>
      <c r="O130" s="111">
        <v>0</v>
      </c>
      <c r="P130" s="111">
        <v>0</v>
      </c>
      <c r="Q130" s="111">
        <v>0</v>
      </c>
      <c r="R130" s="111">
        <v>0</v>
      </c>
      <c r="S130" s="111">
        <v>0</v>
      </c>
      <c r="T130" s="111">
        <v>0</v>
      </c>
      <c r="U130" s="111">
        <v>0</v>
      </c>
      <c r="V130" s="111">
        <v>0</v>
      </c>
      <c r="W130" s="111">
        <v>0</v>
      </c>
      <c r="X130" s="111">
        <v>0</v>
      </c>
      <c r="Y130" s="111">
        <v>0</v>
      </c>
      <c r="Z130" s="111">
        <v>0</v>
      </c>
      <c r="AA130" s="111">
        <v>0</v>
      </c>
      <c r="AB130" s="111">
        <v>0</v>
      </c>
      <c r="AC130" s="111">
        <v>0</v>
      </c>
      <c r="AD130" s="111">
        <v>0</v>
      </c>
      <c r="AE130" s="111">
        <v>0</v>
      </c>
      <c r="AF130" s="111">
        <v>0</v>
      </c>
      <c r="AG130" s="111">
        <v>0</v>
      </c>
      <c r="AH130" s="111">
        <v>0</v>
      </c>
      <c r="AI130" s="111">
        <v>0</v>
      </c>
      <c r="AJ130" s="111">
        <v>0</v>
      </c>
      <c r="AK130" s="111">
        <v>0</v>
      </c>
      <c r="AL130" s="111">
        <v>0</v>
      </c>
      <c r="AM130" s="111">
        <v>0</v>
      </c>
      <c r="AN130" s="111">
        <v>0</v>
      </c>
      <c r="AO130" s="111">
        <v>0</v>
      </c>
      <c r="AP130" s="111">
        <v>0</v>
      </c>
      <c r="AQ130" s="111">
        <v>0</v>
      </c>
      <c r="AR130" s="111">
        <v>0</v>
      </c>
      <c r="AS130" s="111">
        <v>0</v>
      </c>
      <c r="AT130" s="111">
        <v>0</v>
      </c>
      <c r="AU130" s="111">
        <v>0</v>
      </c>
      <c r="AV130" s="111">
        <v>0</v>
      </c>
      <c r="AW130" s="111">
        <v>0</v>
      </c>
      <c r="AX130" s="111">
        <v>0</v>
      </c>
      <c r="AY130" s="111">
        <v>0</v>
      </c>
    </row>
    <row r="131" spans="1:51" x14ac:dyDescent="0.25">
      <c r="A131" s="114"/>
      <c r="B131" s="124">
        <v>10</v>
      </c>
      <c r="C131" s="111"/>
      <c r="D131" s="111">
        <v>0</v>
      </c>
      <c r="E131" s="111">
        <v>0</v>
      </c>
      <c r="F131" s="111">
        <v>0</v>
      </c>
      <c r="G131" s="111">
        <v>0</v>
      </c>
      <c r="H131" s="111">
        <v>0</v>
      </c>
      <c r="I131" s="111">
        <v>0</v>
      </c>
      <c r="J131" s="111">
        <v>0</v>
      </c>
      <c r="K131" s="111">
        <v>0</v>
      </c>
      <c r="L131" s="111">
        <v>0</v>
      </c>
      <c r="M131" s="111">
        <v>0</v>
      </c>
      <c r="N131" s="111">
        <v>0</v>
      </c>
      <c r="O131" s="111">
        <v>0</v>
      </c>
      <c r="P131" s="111">
        <v>0</v>
      </c>
      <c r="Q131" s="111">
        <v>0</v>
      </c>
      <c r="R131" s="111">
        <v>0</v>
      </c>
      <c r="S131" s="111">
        <v>0</v>
      </c>
      <c r="T131" s="111">
        <v>0</v>
      </c>
      <c r="U131" s="111">
        <v>0</v>
      </c>
      <c r="V131" s="111">
        <v>0</v>
      </c>
      <c r="W131" s="111">
        <v>0</v>
      </c>
      <c r="X131" s="111">
        <v>0</v>
      </c>
      <c r="Y131" s="111">
        <v>0</v>
      </c>
      <c r="Z131" s="111">
        <v>0</v>
      </c>
      <c r="AA131" s="111">
        <v>0</v>
      </c>
      <c r="AB131" s="111">
        <v>0</v>
      </c>
      <c r="AC131" s="111">
        <v>0</v>
      </c>
      <c r="AD131" s="111">
        <v>0</v>
      </c>
      <c r="AE131" s="111">
        <v>0</v>
      </c>
      <c r="AF131" s="111">
        <v>0</v>
      </c>
      <c r="AG131" s="111">
        <v>0</v>
      </c>
      <c r="AH131" s="111">
        <v>0</v>
      </c>
      <c r="AI131" s="111">
        <v>0</v>
      </c>
      <c r="AJ131" s="111">
        <v>0</v>
      </c>
      <c r="AK131" s="111">
        <v>0</v>
      </c>
      <c r="AL131" s="111">
        <v>0</v>
      </c>
      <c r="AM131" s="111">
        <v>0</v>
      </c>
      <c r="AN131" s="111">
        <v>0</v>
      </c>
      <c r="AO131" s="111">
        <v>0</v>
      </c>
      <c r="AP131" s="111">
        <v>0</v>
      </c>
      <c r="AQ131" s="111">
        <v>0</v>
      </c>
      <c r="AR131" s="111">
        <v>0</v>
      </c>
      <c r="AS131" s="111">
        <v>0</v>
      </c>
      <c r="AT131" s="111">
        <v>0</v>
      </c>
      <c r="AU131" s="111">
        <v>0</v>
      </c>
      <c r="AV131" s="111">
        <v>0</v>
      </c>
      <c r="AW131" s="111">
        <v>0</v>
      </c>
      <c r="AX131" s="111">
        <v>0</v>
      </c>
      <c r="AY131" s="111">
        <v>0</v>
      </c>
    </row>
    <row r="132" spans="1:51" x14ac:dyDescent="0.25">
      <c r="A132" s="114"/>
      <c r="B132" s="124">
        <v>11</v>
      </c>
      <c r="C132" s="111"/>
      <c r="D132" s="111">
        <v>0</v>
      </c>
      <c r="E132" s="111">
        <v>0</v>
      </c>
      <c r="F132" s="111">
        <v>0</v>
      </c>
      <c r="G132" s="111">
        <v>0</v>
      </c>
      <c r="H132" s="111">
        <v>0</v>
      </c>
      <c r="I132" s="111">
        <v>0</v>
      </c>
      <c r="J132" s="111">
        <v>0</v>
      </c>
      <c r="K132" s="111">
        <v>0</v>
      </c>
      <c r="L132" s="111">
        <v>0</v>
      </c>
      <c r="M132" s="111">
        <v>0</v>
      </c>
      <c r="N132" s="111">
        <v>0</v>
      </c>
      <c r="O132" s="111">
        <v>0</v>
      </c>
      <c r="P132" s="111">
        <v>0</v>
      </c>
      <c r="Q132" s="111">
        <v>0</v>
      </c>
      <c r="R132" s="111">
        <v>0</v>
      </c>
      <c r="S132" s="111">
        <v>0</v>
      </c>
      <c r="T132" s="111">
        <v>0</v>
      </c>
      <c r="U132" s="111">
        <v>0</v>
      </c>
      <c r="V132" s="111">
        <v>0</v>
      </c>
      <c r="W132" s="111">
        <v>0</v>
      </c>
      <c r="X132" s="111">
        <v>0</v>
      </c>
      <c r="Y132" s="111">
        <v>0</v>
      </c>
      <c r="Z132" s="111">
        <v>0</v>
      </c>
      <c r="AA132" s="111">
        <v>0</v>
      </c>
      <c r="AB132" s="111">
        <v>0</v>
      </c>
      <c r="AC132" s="111">
        <v>0</v>
      </c>
      <c r="AD132" s="111">
        <v>0</v>
      </c>
      <c r="AE132" s="111">
        <v>0</v>
      </c>
      <c r="AF132" s="111">
        <v>0</v>
      </c>
      <c r="AG132" s="111">
        <v>0</v>
      </c>
      <c r="AH132" s="111">
        <v>0</v>
      </c>
      <c r="AI132" s="111">
        <v>0</v>
      </c>
      <c r="AJ132" s="111">
        <v>0</v>
      </c>
      <c r="AK132" s="111">
        <v>0</v>
      </c>
      <c r="AL132" s="111">
        <v>0</v>
      </c>
      <c r="AM132" s="111">
        <v>0</v>
      </c>
      <c r="AN132" s="111">
        <v>0</v>
      </c>
      <c r="AO132" s="111">
        <v>0</v>
      </c>
      <c r="AP132" s="111">
        <v>0</v>
      </c>
      <c r="AQ132" s="111">
        <v>0</v>
      </c>
      <c r="AR132" s="111">
        <v>0</v>
      </c>
      <c r="AS132" s="111">
        <v>0</v>
      </c>
      <c r="AT132" s="111">
        <v>0</v>
      </c>
      <c r="AU132" s="111">
        <v>0</v>
      </c>
      <c r="AV132" s="111">
        <v>0</v>
      </c>
      <c r="AW132" s="111">
        <v>0</v>
      </c>
      <c r="AX132" s="111">
        <v>0</v>
      </c>
      <c r="AY132" s="111">
        <v>0</v>
      </c>
    </row>
    <row r="133" spans="1:51" x14ac:dyDescent="0.25">
      <c r="A133" s="114"/>
      <c r="B133" s="124">
        <v>12</v>
      </c>
      <c r="C133" s="111"/>
      <c r="D133" s="111">
        <v>0</v>
      </c>
      <c r="E133" s="111">
        <v>0</v>
      </c>
      <c r="F133" s="111">
        <v>0</v>
      </c>
      <c r="G133" s="111">
        <v>0</v>
      </c>
      <c r="H133" s="111">
        <v>0</v>
      </c>
      <c r="I133" s="111">
        <v>0</v>
      </c>
      <c r="J133" s="111">
        <v>0</v>
      </c>
      <c r="K133" s="111">
        <v>0</v>
      </c>
      <c r="L133" s="111">
        <v>0</v>
      </c>
      <c r="M133" s="111">
        <v>0</v>
      </c>
      <c r="N133" s="111">
        <v>0</v>
      </c>
      <c r="O133" s="111">
        <v>0</v>
      </c>
      <c r="P133" s="111">
        <v>0</v>
      </c>
      <c r="Q133" s="111">
        <v>0</v>
      </c>
      <c r="R133" s="111">
        <v>0</v>
      </c>
      <c r="S133" s="111">
        <v>0</v>
      </c>
      <c r="T133" s="111">
        <v>0</v>
      </c>
      <c r="U133" s="111">
        <v>0</v>
      </c>
      <c r="V133" s="111">
        <v>0</v>
      </c>
      <c r="W133" s="111">
        <v>0</v>
      </c>
      <c r="X133" s="111">
        <v>0</v>
      </c>
      <c r="Y133" s="111">
        <v>0</v>
      </c>
      <c r="Z133" s="111">
        <v>0</v>
      </c>
      <c r="AA133" s="111">
        <v>0</v>
      </c>
      <c r="AB133" s="111">
        <v>0</v>
      </c>
      <c r="AC133" s="111">
        <v>0</v>
      </c>
      <c r="AD133" s="111">
        <v>0</v>
      </c>
      <c r="AE133" s="111">
        <v>0</v>
      </c>
      <c r="AF133" s="111">
        <v>0</v>
      </c>
      <c r="AG133" s="111">
        <v>0</v>
      </c>
      <c r="AH133" s="111">
        <v>0</v>
      </c>
      <c r="AI133" s="111">
        <v>0</v>
      </c>
      <c r="AJ133" s="111">
        <v>0</v>
      </c>
      <c r="AK133" s="111">
        <v>0</v>
      </c>
      <c r="AL133" s="111">
        <v>0</v>
      </c>
      <c r="AM133" s="111">
        <v>0</v>
      </c>
      <c r="AN133" s="111">
        <v>0</v>
      </c>
      <c r="AO133" s="111">
        <v>0</v>
      </c>
      <c r="AP133" s="111">
        <v>0</v>
      </c>
      <c r="AQ133" s="111">
        <v>0</v>
      </c>
      <c r="AR133" s="111">
        <v>0</v>
      </c>
      <c r="AS133" s="111">
        <v>0</v>
      </c>
      <c r="AT133" s="111">
        <v>0</v>
      </c>
      <c r="AU133" s="111">
        <v>0</v>
      </c>
      <c r="AV133" s="111">
        <v>0</v>
      </c>
      <c r="AW133" s="111">
        <v>0</v>
      </c>
      <c r="AX133" s="111">
        <v>0</v>
      </c>
      <c r="AY133" s="111">
        <v>0</v>
      </c>
    </row>
    <row r="134" spans="1:51" x14ac:dyDescent="0.25">
      <c r="A134" s="114"/>
      <c r="B134" s="125">
        <v>13</v>
      </c>
      <c r="C134" s="111"/>
      <c r="D134" s="111">
        <v>0</v>
      </c>
      <c r="E134" s="111">
        <v>0</v>
      </c>
      <c r="F134" s="111">
        <v>0</v>
      </c>
      <c r="G134" s="111">
        <v>0</v>
      </c>
      <c r="H134" s="111">
        <v>0</v>
      </c>
      <c r="I134" s="111">
        <v>0</v>
      </c>
      <c r="J134" s="111">
        <v>0</v>
      </c>
      <c r="K134" s="111">
        <v>0</v>
      </c>
      <c r="L134" s="111">
        <v>0</v>
      </c>
      <c r="M134" s="111">
        <v>0</v>
      </c>
      <c r="N134" s="111">
        <v>0</v>
      </c>
      <c r="O134" s="111">
        <v>0</v>
      </c>
      <c r="P134" s="111">
        <v>0</v>
      </c>
      <c r="Q134" s="111">
        <v>0</v>
      </c>
      <c r="R134" s="111">
        <v>0</v>
      </c>
      <c r="S134" s="111">
        <v>0</v>
      </c>
      <c r="T134" s="111">
        <v>0</v>
      </c>
      <c r="U134" s="111">
        <v>0</v>
      </c>
      <c r="V134" s="111">
        <v>0</v>
      </c>
      <c r="W134" s="111">
        <v>0</v>
      </c>
      <c r="X134" s="111">
        <v>0</v>
      </c>
      <c r="Y134" s="111">
        <v>0</v>
      </c>
      <c r="Z134" s="111">
        <v>0</v>
      </c>
      <c r="AA134" s="111">
        <v>0</v>
      </c>
      <c r="AB134" s="111">
        <v>0</v>
      </c>
      <c r="AC134" s="111">
        <v>0</v>
      </c>
      <c r="AD134" s="111">
        <v>0</v>
      </c>
      <c r="AE134" s="111">
        <v>0</v>
      </c>
      <c r="AF134" s="111">
        <v>0</v>
      </c>
      <c r="AG134" s="111">
        <v>0</v>
      </c>
      <c r="AH134" s="111">
        <v>0</v>
      </c>
      <c r="AI134" s="111">
        <v>0</v>
      </c>
      <c r="AJ134" s="111">
        <v>0</v>
      </c>
      <c r="AK134" s="111">
        <v>0</v>
      </c>
      <c r="AL134" s="111">
        <v>0</v>
      </c>
      <c r="AM134" s="111">
        <v>0</v>
      </c>
      <c r="AN134" s="111">
        <v>0</v>
      </c>
      <c r="AO134" s="111">
        <v>0</v>
      </c>
      <c r="AP134" s="111">
        <v>0</v>
      </c>
      <c r="AQ134" s="111">
        <v>0</v>
      </c>
      <c r="AR134" s="111">
        <v>0</v>
      </c>
      <c r="AS134" s="111">
        <v>0</v>
      </c>
      <c r="AT134" s="111">
        <v>0</v>
      </c>
      <c r="AU134" s="111">
        <v>0</v>
      </c>
      <c r="AV134" s="111">
        <v>0</v>
      </c>
      <c r="AW134" s="111">
        <v>0</v>
      </c>
      <c r="AX134" s="111">
        <v>0</v>
      </c>
      <c r="AY134" s="111">
        <v>0</v>
      </c>
    </row>
    <row r="135" spans="1:51" x14ac:dyDescent="0.25">
      <c r="A135" s="114"/>
      <c r="B135" s="125">
        <v>14</v>
      </c>
      <c r="C135" s="111"/>
      <c r="D135" s="111">
        <v>0</v>
      </c>
      <c r="E135" s="111">
        <v>0</v>
      </c>
      <c r="F135" s="111">
        <v>0</v>
      </c>
      <c r="G135" s="111">
        <v>0</v>
      </c>
      <c r="H135" s="111">
        <v>0</v>
      </c>
      <c r="I135" s="111">
        <v>0</v>
      </c>
      <c r="J135" s="111">
        <v>0</v>
      </c>
      <c r="K135" s="111">
        <v>0</v>
      </c>
      <c r="L135" s="111">
        <v>0</v>
      </c>
      <c r="M135" s="111">
        <v>0</v>
      </c>
      <c r="N135" s="111">
        <v>0</v>
      </c>
      <c r="O135" s="111">
        <v>0</v>
      </c>
      <c r="P135" s="111">
        <v>0</v>
      </c>
      <c r="Q135" s="111">
        <v>0</v>
      </c>
      <c r="R135" s="111">
        <v>0</v>
      </c>
      <c r="S135" s="111">
        <v>0</v>
      </c>
      <c r="T135" s="111">
        <v>0</v>
      </c>
      <c r="U135" s="111">
        <v>0</v>
      </c>
      <c r="V135" s="111">
        <v>0</v>
      </c>
      <c r="W135" s="111">
        <v>0</v>
      </c>
      <c r="X135" s="111">
        <v>0</v>
      </c>
      <c r="Y135" s="111">
        <v>0</v>
      </c>
      <c r="Z135" s="111">
        <v>0</v>
      </c>
      <c r="AA135" s="111">
        <v>0</v>
      </c>
      <c r="AB135" s="111">
        <v>0</v>
      </c>
      <c r="AC135" s="111">
        <v>0</v>
      </c>
      <c r="AD135" s="111">
        <v>0</v>
      </c>
      <c r="AE135" s="111">
        <v>0</v>
      </c>
      <c r="AF135" s="111">
        <v>0</v>
      </c>
      <c r="AG135" s="111">
        <v>0</v>
      </c>
      <c r="AH135" s="111">
        <v>0</v>
      </c>
      <c r="AI135" s="111">
        <v>0</v>
      </c>
      <c r="AJ135" s="111">
        <v>0</v>
      </c>
      <c r="AK135" s="111">
        <v>0</v>
      </c>
      <c r="AL135" s="111">
        <v>0</v>
      </c>
      <c r="AM135" s="111">
        <v>0</v>
      </c>
      <c r="AN135" s="111">
        <v>0</v>
      </c>
      <c r="AO135" s="111">
        <v>0</v>
      </c>
      <c r="AP135" s="111">
        <v>0</v>
      </c>
      <c r="AQ135" s="111">
        <v>0</v>
      </c>
      <c r="AR135" s="111">
        <v>0</v>
      </c>
      <c r="AS135" s="111">
        <v>0</v>
      </c>
      <c r="AT135" s="111">
        <v>0</v>
      </c>
      <c r="AU135" s="111">
        <v>0</v>
      </c>
      <c r="AV135" s="111">
        <v>0</v>
      </c>
      <c r="AW135" s="111">
        <v>0</v>
      </c>
      <c r="AX135" s="111">
        <v>0</v>
      </c>
      <c r="AY135" s="111">
        <v>0</v>
      </c>
    </row>
    <row r="136" spans="1:51" x14ac:dyDescent="0.25">
      <c r="A136" s="114"/>
      <c r="B136" s="125">
        <v>15</v>
      </c>
      <c r="C136" s="111"/>
      <c r="D136" s="111">
        <v>0</v>
      </c>
      <c r="E136" s="111">
        <v>0</v>
      </c>
      <c r="F136" s="111">
        <v>0</v>
      </c>
      <c r="G136" s="111">
        <v>0</v>
      </c>
      <c r="H136" s="111">
        <v>0</v>
      </c>
      <c r="I136" s="111">
        <v>0</v>
      </c>
      <c r="J136" s="111">
        <v>0</v>
      </c>
      <c r="K136" s="111">
        <v>0</v>
      </c>
      <c r="L136" s="111">
        <v>0</v>
      </c>
      <c r="M136" s="111">
        <v>0</v>
      </c>
      <c r="N136" s="111">
        <v>0</v>
      </c>
      <c r="O136" s="111">
        <v>0</v>
      </c>
      <c r="P136" s="111">
        <v>0</v>
      </c>
      <c r="Q136" s="111">
        <v>0</v>
      </c>
      <c r="R136" s="111">
        <v>0</v>
      </c>
      <c r="S136" s="111">
        <v>0</v>
      </c>
      <c r="T136" s="111">
        <v>0</v>
      </c>
      <c r="U136" s="111">
        <v>0</v>
      </c>
      <c r="V136" s="111">
        <v>0</v>
      </c>
      <c r="W136" s="111">
        <v>0</v>
      </c>
      <c r="X136" s="111">
        <v>0</v>
      </c>
      <c r="Y136" s="111">
        <v>0</v>
      </c>
      <c r="Z136" s="111">
        <v>0</v>
      </c>
      <c r="AA136" s="111">
        <v>0</v>
      </c>
      <c r="AB136" s="111">
        <v>0</v>
      </c>
      <c r="AC136" s="111">
        <v>0</v>
      </c>
      <c r="AD136" s="111">
        <v>0</v>
      </c>
      <c r="AE136" s="111">
        <v>0</v>
      </c>
      <c r="AF136" s="111">
        <v>0</v>
      </c>
      <c r="AG136" s="111">
        <v>0</v>
      </c>
      <c r="AH136" s="111">
        <v>0</v>
      </c>
      <c r="AI136" s="111">
        <v>0</v>
      </c>
      <c r="AJ136" s="111">
        <v>0</v>
      </c>
      <c r="AK136" s="111">
        <v>0</v>
      </c>
      <c r="AL136" s="111">
        <v>0</v>
      </c>
      <c r="AM136" s="111">
        <v>0</v>
      </c>
      <c r="AN136" s="111">
        <v>0</v>
      </c>
      <c r="AO136" s="111">
        <v>0</v>
      </c>
      <c r="AP136" s="111">
        <v>0</v>
      </c>
      <c r="AQ136" s="111">
        <v>0</v>
      </c>
      <c r="AR136" s="111">
        <v>0</v>
      </c>
      <c r="AS136" s="111">
        <v>0</v>
      </c>
      <c r="AT136" s="111">
        <v>0</v>
      </c>
      <c r="AU136" s="111">
        <v>0</v>
      </c>
      <c r="AV136" s="111">
        <v>0</v>
      </c>
      <c r="AW136" s="111">
        <v>0</v>
      </c>
      <c r="AX136" s="111">
        <v>0</v>
      </c>
      <c r="AY136" s="111">
        <v>0</v>
      </c>
    </row>
    <row r="137" spans="1:51" x14ac:dyDescent="0.25">
      <c r="A137" s="114"/>
      <c r="B137" s="125">
        <v>16</v>
      </c>
      <c r="C137" s="111"/>
      <c r="D137" s="111">
        <v>0</v>
      </c>
      <c r="E137" s="111">
        <v>0</v>
      </c>
      <c r="F137" s="111">
        <v>0</v>
      </c>
      <c r="G137" s="111">
        <v>0</v>
      </c>
      <c r="H137" s="111">
        <v>0</v>
      </c>
      <c r="I137" s="111">
        <v>0</v>
      </c>
      <c r="J137" s="111">
        <v>0</v>
      </c>
      <c r="K137" s="111">
        <v>0</v>
      </c>
      <c r="L137" s="111">
        <v>0</v>
      </c>
      <c r="M137" s="111">
        <v>0</v>
      </c>
      <c r="N137" s="111">
        <v>0</v>
      </c>
      <c r="O137" s="111">
        <v>0</v>
      </c>
      <c r="P137" s="111">
        <v>0</v>
      </c>
      <c r="Q137" s="111">
        <v>0</v>
      </c>
      <c r="R137" s="111">
        <v>0</v>
      </c>
      <c r="S137" s="111">
        <v>0</v>
      </c>
      <c r="T137" s="111">
        <v>0</v>
      </c>
      <c r="U137" s="111">
        <v>0</v>
      </c>
      <c r="V137" s="111">
        <v>0</v>
      </c>
      <c r="W137" s="111">
        <v>0</v>
      </c>
      <c r="X137" s="111">
        <v>0</v>
      </c>
      <c r="Y137" s="111">
        <v>0</v>
      </c>
      <c r="Z137" s="111">
        <v>0</v>
      </c>
      <c r="AA137" s="111">
        <v>0</v>
      </c>
      <c r="AB137" s="111">
        <v>0</v>
      </c>
      <c r="AC137" s="111">
        <v>0</v>
      </c>
      <c r="AD137" s="111">
        <v>0</v>
      </c>
      <c r="AE137" s="111">
        <v>0</v>
      </c>
      <c r="AF137" s="111">
        <v>0</v>
      </c>
      <c r="AG137" s="111">
        <v>0</v>
      </c>
      <c r="AH137" s="111">
        <v>0</v>
      </c>
      <c r="AI137" s="111">
        <v>0</v>
      </c>
      <c r="AJ137" s="111">
        <v>0</v>
      </c>
      <c r="AK137" s="111">
        <v>0</v>
      </c>
      <c r="AL137" s="111">
        <v>0</v>
      </c>
      <c r="AM137" s="111">
        <v>0</v>
      </c>
      <c r="AN137" s="111">
        <v>0</v>
      </c>
      <c r="AO137" s="111">
        <v>0</v>
      </c>
      <c r="AP137" s="111">
        <v>0</v>
      </c>
      <c r="AQ137" s="111">
        <v>0</v>
      </c>
      <c r="AR137" s="111">
        <v>0</v>
      </c>
      <c r="AS137" s="111">
        <v>0</v>
      </c>
      <c r="AT137" s="111">
        <v>0</v>
      </c>
      <c r="AU137" s="111">
        <v>0</v>
      </c>
      <c r="AV137" s="111">
        <v>0</v>
      </c>
      <c r="AW137" s="111">
        <v>0</v>
      </c>
      <c r="AX137" s="111">
        <v>0</v>
      </c>
      <c r="AY137" s="111">
        <v>0</v>
      </c>
    </row>
    <row r="138" spans="1:51" x14ac:dyDescent="0.25">
      <c r="A138" s="114"/>
      <c r="B138" s="125">
        <v>17</v>
      </c>
      <c r="C138" s="111"/>
      <c r="D138" s="111">
        <v>0</v>
      </c>
      <c r="E138" s="111">
        <v>0</v>
      </c>
      <c r="F138" s="111">
        <v>0</v>
      </c>
      <c r="G138" s="111">
        <v>0</v>
      </c>
      <c r="H138" s="111">
        <v>0</v>
      </c>
      <c r="I138" s="111">
        <v>0</v>
      </c>
      <c r="J138" s="111">
        <v>0</v>
      </c>
      <c r="K138" s="111">
        <v>0</v>
      </c>
      <c r="L138" s="111">
        <v>0</v>
      </c>
      <c r="M138" s="111">
        <v>0</v>
      </c>
      <c r="N138" s="111">
        <v>0</v>
      </c>
      <c r="O138" s="111">
        <v>0</v>
      </c>
      <c r="P138" s="111">
        <v>0</v>
      </c>
      <c r="Q138" s="111">
        <v>0</v>
      </c>
      <c r="R138" s="111">
        <v>0</v>
      </c>
      <c r="S138" s="111">
        <v>0</v>
      </c>
      <c r="T138" s="111">
        <v>0</v>
      </c>
      <c r="U138" s="111">
        <v>0</v>
      </c>
      <c r="V138" s="111">
        <v>0</v>
      </c>
      <c r="W138" s="111">
        <v>0</v>
      </c>
      <c r="X138" s="111">
        <v>0</v>
      </c>
      <c r="Y138" s="111">
        <v>0</v>
      </c>
      <c r="Z138" s="111">
        <v>0</v>
      </c>
      <c r="AA138" s="111">
        <v>0</v>
      </c>
      <c r="AB138" s="111">
        <v>0</v>
      </c>
      <c r="AC138" s="111">
        <v>0</v>
      </c>
      <c r="AD138" s="111">
        <v>0</v>
      </c>
      <c r="AE138" s="111">
        <v>0</v>
      </c>
      <c r="AF138" s="111">
        <v>0</v>
      </c>
      <c r="AG138" s="111">
        <v>0</v>
      </c>
      <c r="AH138" s="111">
        <v>0</v>
      </c>
      <c r="AI138" s="111">
        <v>0</v>
      </c>
      <c r="AJ138" s="111">
        <v>0</v>
      </c>
      <c r="AK138" s="111">
        <v>0</v>
      </c>
      <c r="AL138" s="111">
        <v>0</v>
      </c>
      <c r="AM138" s="111">
        <v>0</v>
      </c>
      <c r="AN138" s="111">
        <v>0</v>
      </c>
      <c r="AO138" s="111">
        <v>0</v>
      </c>
      <c r="AP138" s="111">
        <v>0</v>
      </c>
      <c r="AQ138" s="111">
        <v>0</v>
      </c>
      <c r="AR138" s="111">
        <v>0</v>
      </c>
      <c r="AS138" s="111">
        <v>0</v>
      </c>
      <c r="AT138" s="111">
        <v>0</v>
      </c>
      <c r="AU138" s="111">
        <v>0</v>
      </c>
      <c r="AV138" s="111">
        <v>0</v>
      </c>
      <c r="AW138" s="111">
        <v>0</v>
      </c>
      <c r="AX138" s="111">
        <v>0</v>
      </c>
      <c r="AY138" s="111">
        <v>0</v>
      </c>
    </row>
    <row r="139" spans="1:51" x14ac:dyDescent="0.25">
      <c r="A139" s="114"/>
      <c r="B139" s="125">
        <v>18</v>
      </c>
      <c r="C139" s="111"/>
      <c r="D139" s="111">
        <v>0</v>
      </c>
      <c r="E139" s="111">
        <v>0</v>
      </c>
      <c r="F139" s="111">
        <v>0</v>
      </c>
      <c r="G139" s="111">
        <v>0</v>
      </c>
      <c r="H139" s="111">
        <v>0</v>
      </c>
      <c r="I139" s="111">
        <v>0</v>
      </c>
      <c r="J139" s="111">
        <v>0</v>
      </c>
      <c r="K139" s="111">
        <v>0</v>
      </c>
      <c r="L139" s="111">
        <v>0</v>
      </c>
      <c r="M139" s="111">
        <v>0</v>
      </c>
      <c r="N139" s="111">
        <v>0</v>
      </c>
      <c r="O139" s="111">
        <v>0</v>
      </c>
      <c r="P139" s="111">
        <v>0</v>
      </c>
      <c r="Q139" s="111">
        <v>0</v>
      </c>
      <c r="R139" s="111">
        <v>0</v>
      </c>
      <c r="S139" s="111">
        <v>0</v>
      </c>
      <c r="T139" s="111">
        <v>0</v>
      </c>
      <c r="U139" s="111">
        <v>0</v>
      </c>
      <c r="V139" s="111">
        <v>0</v>
      </c>
      <c r="W139" s="111">
        <v>0</v>
      </c>
      <c r="X139" s="111">
        <v>0</v>
      </c>
      <c r="Y139" s="111">
        <v>0</v>
      </c>
      <c r="Z139" s="111">
        <v>0</v>
      </c>
      <c r="AA139" s="111">
        <v>0</v>
      </c>
      <c r="AB139" s="111">
        <v>0</v>
      </c>
      <c r="AC139" s="111">
        <v>0</v>
      </c>
      <c r="AD139" s="111">
        <v>0</v>
      </c>
      <c r="AE139" s="111">
        <v>0</v>
      </c>
      <c r="AF139" s="111">
        <v>0</v>
      </c>
      <c r="AG139" s="111">
        <v>0</v>
      </c>
      <c r="AH139" s="111">
        <v>0</v>
      </c>
      <c r="AI139" s="111">
        <v>0</v>
      </c>
      <c r="AJ139" s="111">
        <v>0</v>
      </c>
      <c r="AK139" s="111">
        <v>0</v>
      </c>
      <c r="AL139" s="111">
        <v>0</v>
      </c>
      <c r="AM139" s="111">
        <v>0</v>
      </c>
      <c r="AN139" s="111">
        <v>0</v>
      </c>
      <c r="AO139" s="111">
        <v>0</v>
      </c>
      <c r="AP139" s="111">
        <v>0</v>
      </c>
      <c r="AQ139" s="111">
        <v>0</v>
      </c>
      <c r="AR139" s="111">
        <v>0</v>
      </c>
      <c r="AS139" s="111">
        <v>0</v>
      </c>
      <c r="AT139" s="111">
        <v>0</v>
      </c>
      <c r="AU139" s="111">
        <v>0</v>
      </c>
      <c r="AV139" s="111">
        <v>0</v>
      </c>
      <c r="AW139" s="111">
        <v>0</v>
      </c>
      <c r="AX139" s="111">
        <v>0</v>
      </c>
      <c r="AY139" s="111">
        <v>0</v>
      </c>
    </row>
    <row r="140" spans="1:51" x14ac:dyDescent="0.25">
      <c r="A140" s="114"/>
      <c r="B140" s="125">
        <v>19</v>
      </c>
      <c r="C140" s="111"/>
      <c r="D140" s="111">
        <v>0</v>
      </c>
      <c r="E140" s="111">
        <v>0</v>
      </c>
      <c r="F140" s="111">
        <v>0</v>
      </c>
      <c r="G140" s="111">
        <v>0</v>
      </c>
      <c r="H140" s="111">
        <v>0</v>
      </c>
      <c r="I140" s="111">
        <v>0</v>
      </c>
      <c r="J140" s="111">
        <v>0</v>
      </c>
      <c r="K140" s="111">
        <v>0</v>
      </c>
      <c r="L140" s="111">
        <v>0</v>
      </c>
      <c r="M140" s="111">
        <v>0</v>
      </c>
      <c r="N140" s="111">
        <v>0</v>
      </c>
      <c r="O140" s="111">
        <v>0</v>
      </c>
      <c r="P140" s="111">
        <v>0</v>
      </c>
      <c r="Q140" s="111">
        <v>0</v>
      </c>
      <c r="R140" s="111">
        <v>0</v>
      </c>
      <c r="S140" s="111">
        <v>0</v>
      </c>
      <c r="T140" s="111">
        <v>0</v>
      </c>
      <c r="U140" s="111">
        <v>0</v>
      </c>
      <c r="V140" s="111">
        <v>0</v>
      </c>
      <c r="W140" s="111">
        <v>0</v>
      </c>
      <c r="X140" s="111">
        <v>0</v>
      </c>
      <c r="Y140" s="111">
        <v>0</v>
      </c>
      <c r="Z140" s="111">
        <v>0</v>
      </c>
      <c r="AA140" s="111">
        <v>0</v>
      </c>
      <c r="AB140" s="111">
        <v>0</v>
      </c>
      <c r="AC140" s="111">
        <v>0</v>
      </c>
      <c r="AD140" s="111">
        <v>0</v>
      </c>
      <c r="AE140" s="111">
        <v>0</v>
      </c>
      <c r="AF140" s="111">
        <v>0</v>
      </c>
      <c r="AG140" s="111">
        <v>0</v>
      </c>
      <c r="AH140" s="111">
        <v>0</v>
      </c>
      <c r="AI140" s="111">
        <v>0</v>
      </c>
      <c r="AJ140" s="111">
        <v>0</v>
      </c>
      <c r="AK140" s="111">
        <v>0</v>
      </c>
      <c r="AL140" s="111">
        <v>0</v>
      </c>
      <c r="AM140" s="111">
        <v>0</v>
      </c>
      <c r="AN140" s="111">
        <v>0</v>
      </c>
      <c r="AO140" s="111">
        <v>0</v>
      </c>
      <c r="AP140" s="111">
        <v>0</v>
      </c>
      <c r="AQ140" s="111">
        <v>0</v>
      </c>
      <c r="AR140" s="111">
        <v>0</v>
      </c>
      <c r="AS140" s="111">
        <v>0</v>
      </c>
      <c r="AT140" s="111">
        <v>0</v>
      </c>
      <c r="AU140" s="111">
        <v>0</v>
      </c>
      <c r="AV140" s="111">
        <v>0</v>
      </c>
      <c r="AW140" s="111">
        <v>0</v>
      </c>
      <c r="AX140" s="111">
        <v>0</v>
      </c>
      <c r="AY140" s="111">
        <v>0</v>
      </c>
    </row>
    <row r="141" spans="1:51" x14ac:dyDescent="0.25">
      <c r="A141" s="114"/>
      <c r="B141" s="125">
        <v>20</v>
      </c>
      <c r="C141" s="111"/>
      <c r="D141" s="111">
        <v>0</v>
      </c>
      <c r="E141" s="111">
        <v>0</v>
      </c>
      <c r="F141" s="111">
        <v>0</v>
      </c>
      <c r="G141" s="111">
        <v>0</v>
      </c>
      <c r="H141" s="111">
        <v>0</v>
      </c>
      <c r="I141" s="111">
        <v>0</v>
      </c>
      <c r="J141" s="111">
        <v>0</v>
      </c>
      <c r="K141" s="111">
        <v>0</v>
      </c>
      <c r="L141" s="111">
        <v>0</v>
      </c>
      <c r="M141" s="111">
        <v>0</v>
      </c>
      <c r="N141" s="111">
        <v>0</v>
      </c>
      <c r="O141" s="111">
        <v>0</v>
      </c>
      <c r="P141" s="111">
        <v>0</v>
      </c>
      <c r="Q141" s="111">
        <v>0</v>
      </c>
      <c r="R141" s="111">
        <v>0</v>
      </c>
      <c r="S141" s="111">
        <v>0</v>
      </c>
      <c r="T141" s="111">
        <v>0</v>
      </c>
      <c r="U141" s="111">
        <v>0</v>
      </c>
      <c r="V141" s="111">
        <v>0</v>
      </c>
      <c r="W141" s="111">
        <v>0</v>
      </c>
      <c r="X141" s="111">
        <v>0</v>
      </c>
      <c r="Y141" s="111">
        <v>0</v>
      </c>
      <c r="Z141" s="111">
        <v>0</v>
      </c>
      <c r="AA141" s="111">
        <v>0</v>
      </c>
      <c r="AB141" s="111">
        <v>0</v>
      </c>
      <c r="AC141" s="111">
        <v>0</v>
      </c>
      <c r="AD141" s="111">
        <v>0</v>
      </c>
      <c r="AE141" s="111">
        <v>0</v>
      </c>
      <c r="AF141" s="111">
        <v>0</v>
      </c>
      <c r="AG141" s="111">
        <v>0</v>
      </c>
      <c r="AH141" s="111">
        <v>0</v>
      </c>
      <c r="AI141" s="111">
        <v>0</v>
      </c>
      <c r="AJ141" s="111">
        <v>0</v>
      </c>
      <c r="AK141" s="111">
        <v>0</v>
      </c>
      <c r="AL141" s="111">
        <v>0</v>
      </c>
      <c r="AM141" s="111">
        <v>0</v>
      </c>
      <c r="AN141" s="111">
        <v>0</v>
      </c>
      <c r="AO141" s="111">
        <v>0</v>
      </c>
      <c r="AP141" s="111">
        <v>0</v>
      </c>
      <c r="AQ141" s="111">
        <v>0</v>
      </c>
      <c r="AR141" s="111">
        <v>0</v>
      </c>
      <c r="AS141" s="111">
        <v>0</v>
      </c>
      <c r="AT141" s="111">
        <v>0</v>
      </c>
      <c r="AU141" s="111">
        <v>0</v>
      </c>
      <c r="AV141" s="111">
        <v>0</v>
      </c>
      <c r="AW141" s="111">
        <v>0</v>
      </c>
      <c r="AX141" s="111">
        <v>0</v>
      </c>
      <c r="AY141" s="111">
        <v>0</v>
      </c>
    </row>
    <row r="142" spans="1:51" x14ac:dyDescent="0.25">
      <c r="A142" s="114"/>
      <c r="B142" s="125">
        <v>21</v>
      </c>
      <c r="C142" s="111"/>
      <c r="D142" s="111">
        <v>0</v>
      </c>
      <c r="E142" s="111">
        <v>0</v>
      </c>
      <c r="F142" s="111">
        <v>0</v>
      </c>
      <c r="G142" s="111">
        <v>0</v>
      </c>
      <c r="H142" s="111">
        <v>0</v>
      </c>
      <c r="I142" s="111">
        <v>0</v>
      </c>
      <c r="J142" s="111">
        <v>0</v>
      </c>
      <c r="K142" s="111">
        <v>0</v>
      </c>
      <c r="L142" s="111">
        <v>0</v>
      </c>
      <c r="M142" s="111">
        <v>0</v>
      </c>
      <c r="N142" s="111">
        <v>0</v>
      </c>
      <c r="O142" s="111">
        <v>0</v>
      </c>
      <c r="P142" s="111">
        <v>0</v>
      </c>
      <c r="Q142" s="111">
        <v>0</v>
      </c>
      <c r="R142" s="111">
        <v>0</v>
      </c>
      <c r="S142" s="111">
        <v>0</v>
      </c>
      <c r="T142" s="111">
        <v>0</v>
      </c>
      <c r="U142" s="111">
        <v>0</v>
      </c>
      <c r="V142" s="111">
        <v>0</v>
      </c>
      <c r="W142" s="111">
        <v>0</v>
      </c>
      <c r="X142" s="111">
        <v>0</v>
      </c>
      <c r="Y142" s="111">
        <v>0</v>
      </c>
      <c r="Z142" s="111">
        <v>0</v>
      </c>
      <c r="AA142" s="111">
        <v>0</v>
      </c>
      <c r="AB142" s="111">
        <v>0</v>
      </c>
      <c r="AC142" s="111">
        <v>0</v>
      </c>
      <c r="AD142" s="111">
        <v>0</v>
      </c>
      <c r="AE142" s="111">
        <v>0</v>
      </c>
      <c r="AF142" s="111">
        <v>0</v>
      </c>
      <c r="AG142" s="111">
        <v>0</v>
      </c>
      <c r="AH142" s="111">
        <v>0</v>
      </c>
      <c r="AI142" s="111">
        <v>0</v>
      </c>
      <c r="AJ142" s="111">
        <v>0</v>
      </c>
      <c r="AK142" s="111">
        <v>0</v>
      </c>
      <c r="AL142" s="111">
        <v>0</v>
      </c>
      <c r="AM142" s="111">
        <v>0</v>
      </c>
      <c r="AN142" s="111">
        <v>0</v>
      </c>
      <c r="AO142" s="111">
        <v>0</v>
      </c>
      <c r="AP142" s="111">
        <v>0</v>
      </c>
      <c r="AQ142" s="111">
        <v>0</v>
      </c>
      <c r="AR142" s="111">
        <v>0</v>
      </c>
      <c r="AS142" s="111">
        <v>0</v>
      </c>
      <c r="AT142" s="111">
        <v>0</v>
      </c>
      <c r="AU142" s="111">
        <v>0</v>
      </c>
      <c r="AV142" s="111">
        <v>0</v>
      </c>
      <c r="AW142" s="111">
        <v>0</v>
      </c>
      <c r="AX142" s="111">
        <v>0</v>
      </c>
      <c r="AY142" s="111">
        <v>0</v>
      </c>
    </row>
    <row r="143" spans="1:51" x14ac:dyDescent="0.25">
      <c r="A143" s="114"/>
      <c r="B143" s="125">
        <v>22</v>
      </c>
      <c r="C143" s="111"/>
      <c r="D143" s="111">
        <v>0</v>
      </c>
      <c r="E143" s="111">
        <v>0</v>
      </c>
      <c r="F143" s="111">
        <v>0</v>
      </c>
      <c r="G143" s="111">
        <v>0</v>
      </c>
      <c r="H143" s="111">
        <v>0</v>
      </c>
      <c r="I143" s="111">
        <v>0</v>
      </c>
      <c r="J143" s="111">
        <v>0</v>
      </c>
      <c r="K143" s="111">
        <v>0</v>
      </c>
      <c r="L143" s="111">
        <v>0</v>
      </c>
      <c r="M143" s="111">
        <v>0</v>
      </c>
      <c r="N143" s="111">
        <v>0</v>
      </c>
      <c r="O143" s="111">
        <v>0</v>
      </c>
      <c r="P143" s="111">
        <v>0</v>
      </c>
      <c r="Q143" s="111">
        <v>0</v>
      </c>
      <c r="R143" s="111">
        <v>0</v>
      </c>
      <c r="S143" s="111">
        <v>0</v>
      </c>
      <c r="T143" s="111">
        <v>0</v>
      </c>
      <c r="U143" s="111">
        <v>0</v>
      </c>
      <c r="V143" s="111">
        <v>0</v>
      </c>
      <c r="W143" s="111">
        <v>0</v>
      </c>
      <c r="X143" s="111">
        <v>0</v>
      </c>
      <c r="Y143" s="111">
        <v>0</v>
      </c>
      <c r="Z143" s="111">
        <v>0</v>
      </c>
      <c r="AA143" s="111">
        <v>0</v>
      </c>
      <c r="AB143" s="111">
        <v>0</v>
      </c>
      <c r="AC143" s="111">
        <v>0</v>
      </c>
      <c r="AD143" s="111">
        <v>0</v>
      </c>
      <c r="AE143" s="111">
        <v>0</v>
      </c>
      <c r="AF143" s="111">
        <v>0</v>
      </c>
      <c r="AG143" s="111">
        <v>0</v>
      </c>
      <c r="AH143" s="111">
        <v>0</v>
      </c>
      <c r="AI143" s="111">
        <v>0</v>
      </c>
      <c r="AJ143" s="111">
        <v>0</v>
      </c>
      <c r="AK143" s="111">
        <v>0</v>
      </c>
      <c r="AL143" s="111">
        <v>0</v>
      </c>
      <c r="AM143" s="111">
        <v>0</v>
      </c>
      <c r="AN143" s="111">
        <v>0</v>
      </c>
      <c r="AO143" s="111">
        <v>0</v>
      </c>
      <c r="AP143" s="111">
        <v>0</v>
      </c>
      <c r="AQ143" s="111">
        <v>0</v>
      </c>
      <c r="AR143" s="111">
        <v>0</v>
      </c>
      <c r="AS143" s="111">
        <v>0</v>
      </c>
      <c r="AT143" s="111">
        <v>0</v>
      </c>
      <c r="AU143" s="111">
        <v>0</v>
      </c>
      <c r="AV143" s="111">
        <v>0</v>
      </c>
      <c r="AW143" s="111">
        <v>0</v>
      </c>
      <c r="AX143" s="111">
        <v>0</v>
      </c>
      <c r="AY143" s="111">
        <v>0</v>
      </c>
    </row>
    <row r="144" spans="1:51" x14ac:dyDescent="0.25">
      <c r="A144" s="114"/>
      <c r="B144" s="125">
        <v>23</v>
      </c>
      <c r="C144" s="111"/>
      <c r="D144" s="111">
        <v>0</v>
      </c>
      <c r="E144" s="111">
        <v>0</v>
      </c>
      <c r="F144" s="111">
        <v>0</v>
      </c>
      <c r="G144" s="111">
        <v>0</v>
      </c>
      <c r="H144" s="111">
        <v>0</v>
      </c>
      <c r="I144" s="111">
        <v>0</v>
      </c>
      <c r="J144" s="111">
        <v>0</v>
      </c>
      <c r="K144" s="111">
        <v>0</v>
      </c>
      <c r="L144" s="111">
        <v>0</v>
      </c>
      <c r="M144" s="111">
        <v>0</v>
      </c>
      <c r="N144" s="111">
        <v>0</v>
      </c>
      <c r="O144" s="111">
        <v>0</v>
      </c>
      <c r="P144" s="111">
        <v>0</v>
      </c>
      <c r="Q144" s="111">
        <v>0</v>
      </c>
      <c r="R144" s="111">
        <v>0</v>
      </c>
      <c r="S144" s="111">
        <v>0</v>
      </c>
      <c r="T144" s="111">
        <v>0</v>
      </c>
      <c r="U144" s="111">
        <v>0</v>
      </c>
      <c r="V144" s="111">
        <v>0</v>
      </c>
      <c r="W144" s="111">
        <v>0</v>
      </c>
      <c r="X144" s="111">
        <v>0</v>
      </c>
      <c r="Y144" s="111">
        <v>0</v>
      </c>
      <c r="Z144" s="111">
        <v>0</v>
      </c>
      <c r="AA144" s="111">
        <v>0</v>
      </c>
      <c r="AB144" s="111">
        <v>0</v>
      </c>
      <c r="AC144" s="111">
        <v>0</v>
      </c>
      <c r="AD144" s="111">
        <v>0</v>
      </c>
      <c r="AE144" s="111">
        <v>0</v>
      </c>
      <c r="AF144" s="111">
        <v>0</v>
      </c>
      <c r="AG144" s="111">
        <v>0</v>
      </c>
      <c r="AH144" s="111">
        <v>0</v>
      </c>
      <c r="AI144" s="111">
        <v>0</v>
      </c>
      <c r="AJ144" s="111">
        <v>0</v>
      </c>
      <c r="AK144" s="111">
        <v>0</v>
      </c>
      <c r="AL144" s="111">
        <v>0</v>
      </c>
      <c r="AM144" s="111">
        <v>0</v>
      </c>
      <c r="AN144" s="111">
        <v>0</v>
      </c>
      <c r="AO144" s="111">
        <v>0</v>
      </c>
      <c r="AP144" s="111">
        <v>0</v>
      </c>
      <c r="AQ144" s="111">
        <v>0</v>
      </c>
      <c r="AR144" s="111">
        <v>0</v>
      </c>
      <c r="AS144" s="111">
        <v>0</v>
      </c>
      <c r="AT144" s="111">
        <v>0</v>
      </c>
      <c r="AU144" s="111">
        <v>0</v>
      </c>
      <c r="AV144" s="111">
        <v>0</v>
      </c>
      <c r="AW144" s="111">
        <v>0</v>
      </c>
      <c r="AX144" s="111">
        <v>0</v>
      </c>
      <c r="AY144" s="111">
        <v>0</v>
      </c>
    </row>
    <row r="145" spans="1:51" x14ac:dyDescent="0.25">
      <c r="A145" s="114"/>
      <c r="B145" s="125">
        <v>24</v>
      </c>
      <c r="C145" s="111"/>
      <c r="D145" s="111">
        <v>0</v>
      </c>
      <c r="E145" s="111">
        <v>0</v>
      </c>
      <c r="F145" s="111">
        <v>0</v>
      </c>
      <c r="G145" s="111">
        <v>0</v>
      </c>
      <c r="H145" s="111">
        <v>0</v>
      </c>
      <c r="I145" s="111">
        <v>0</v>
      </c>
      <c r="J145" s="111">
        <v>0</v>
      </c>
      <c r="K145" s="111">
        <v>0</v>
      </c>
      <c r="L145" s="111">
        <v>0</v>
      </c>
      <c r="M145" s="111">
        <v>0</v>
      </c>
      <c r="N145" s="111">
        <v>0</v>
      </c>
      <c r="O145" s="111">
        <v>0</v>
      </c>
      <c r="P145" s="111">
        <v>0</v>
      </c>
      <c r="Q145" s="111">
        <v>0</v>
      </c>
      <c r="R145" s="111">
        <v>0</v>
      </c>
      <c r="S145" s="111">
        <v>0</v>
      </c>
      <c r="T145" s="111">
        <v>0</v>
      </c>
      <c r="U145" s="111">
        <v>0</v>
      </c>
      <c r="V145" s="111">
        <v>0</v>
      </c>
      <c r="W145" s="111">
        <v>0</v>
      </c>
      <c r="X145" s="111">
        <v>0</v>
      </c>
      <c r="Y145" s="111">
        <v>0</v>
      </c>
      <c r="Z145" s="111">
        <v>0</v>
      </c>
      <c r="AA145" s="111">
        <v>0</v>
      </c>
      <c r="AB145" s="111">
        <v>0</v>
      </c>
      <c r="AC145" s="111">
        <v>0</v>
      </c>
      <c r="AD145" s="111">
        <v>0</v>
      </c>
      <c r="AE145" s="111">
        <v>0</v>
      </c>
      <c r="AF145" s="111">
        <v>0</v>
      </c>
      <c r="AG145" s="111">
        <v>0</v>
      </c>
      <c r="AH145" s="111">
        <v>0</v>
      </c>
      <c r="AI145" s="111">
        <v>0</v>
      </c>
      <c r="AJ145" s="111">
        <v>0</v>
      </c>
      <c r="AK145" s="111">
        <v>0</v>
      </c>
      <c r="AL145" s="111">
        <v>0</v>
      </c>
      <c r="AM145" s="111">
        <v>0</v>
      </c>
      <c r="AN145" s="111">
        <v>0</v>
      </c>
      <c r="AO145" s="111">
        <v>0</v>
      </c>
      <c r="AP145" s="111">
        <v>0</v>
      </c>
      <c r="AQ145" s="111">
        <v>0</v>
      </c>
      <c r="AR145" s="111">
        <v>0</v>
      </c>
      <c r="AS145" s="111">
        <v>0</v>
      </c>
      <c r="AT145" s="111">
        <v>0</v>
      </c>
      <c r="AU145" s="111">
        <v>0</v>
      </c>
      <c r="AV145" s="111">
        <v>0</v>
      </c>
      <c r="AW145" s="111">
        <v>0</v>
      </c>
      <c r="AX145" s="111">
        <v>0</v>
      </c>
      <c r="AY145" s="111">
        <v>0</v>
      </c>
    </row>
    <row r="146" spans="1:51" x14ac:dyDescent="0.25">
      <c r="A146" s="114"/>
      <c r="B146" s="132">
        <v>25</v>
      </c>
      <c r="C146" s="111"/>
      <c r="D146" s="111">
        <v>0</v>
      </c>
      <c r="E146" s="111">
        <v>0</v>
      </c>
      <c r="F146" s="111">
        <v>0</v>
      </c>
      <c r="G146" s="111">
        <v>0</v>
      </c>
      <c r="H146" s="111">
        <v>0</v>
      </c>
      <c r="I146" s="111">
        <v>0</v>
      </c>
      <c r="J146" s="111">
        <v>0</v>
      </c>
      <c r="K146" s="111">
        <v>0</v>
      </c>
      <c r="L146" s="111">
        <v>0</v>
      </c>
      <c r="M146" s="111">
        <v>0</v>
      </c>
      <c r="N146" s="111">
        <v>0</v>
      </c>
      <c r="O146" s="111">
        <v>0</v>
      </c>
      <c r="P146" s="111">
        <v>0</v>
      </c>
      <c r="Q146" s="111">
        <v>0</v>
      </c>
      <c r="R146" s="111">
        <v>0</v>
      </c>
      <c r="S146" s="111">
        <v>0</v>
      </c>
      <c r="T146" s="111">
        <v>0</v>
      </c>
      <c r="U146" s="111">
        <v>0</v>
      </c>
      <c r="V146" s="111">
        <v>0</v>
      </c>
      <c r="W146" s="111">
        <v>0</v>
      </c>
      <c r="X146" s="111">
        <v>0</v>
      </c>
      <c r="Y146" s="111">
        <v>0</v>
      </c>
      <c r="Z146" s="111">
        <v>0</v>
      </c>
      <c r="AA146" s="111">
        <v>0</v>
      </c>
      <c r="AB146" s="111">
        <v>0</v>
      </c>
      <c r="AC146" s="111">
        <v>0</v>
      </c>
      <c r="AD146" s="111">
        <v>0</v>
      </c>
      <c r="AE146" s="111">
        <v>0</v>
      </c>
      <c r="AF146" s="111">
        <v>0</v>
      </c>
      <c r="AG146" s="111">
        <v>0</v>
      </c>
      <c r="AH146" s="111">
        <v>0</v>
      </c>
      <c r="AI146" s="111">
        <v>0</v>
      </c>
      <c r="AJ146" s="111">
        <v>0</v>
      </c>
      <c r="AK146" s="111">
        <v>0</v>
      </c>
      <c r="AL146" s="111">
        <v>0</v>
      </c>
      <c r="AM146" s="111">
        <v>0</v>
      </c>
      <c r="AN146" s="111">
        <v>0</v>
      </c>
      <c r="AO146" s="111">
        <v>0</v>
      </c>
      <c r="AP146" s="111">
        <v>0</v>
      </c>
      <c r="AQ146" s="111">
        <v>0</v>
      </c>
      <c r="AR146" s="111">
        <v>0</v>
      </c>
      <c r="AS146" s="111">
        <v>0</v>
      </c>
      <c r="AT146" s="111">
        <v>0</v>
      </c>
      <c r="AU146" s="111">
        <v>0</v>
      </c>
      <c r="AV146" s="111">
        <v>0</v>
      </c>
      <c r="AW146" s="111">
        <v>0</v>
      </c>
      <c r="AX146" s="111">
        <v>0</v>
      </c>
      <c r="AY146" s="111">
        <v>0</v>
      </c>
    </row>
    <row r="147" spans="1:51" x14ac:dyDescent="0.25">
      <c r="A147" s="114"/>
      <c r="B147" s="132">
        <v>26</v>
      </c>
      <c r="C147" s="111"/>
      <c r="D147" s="111">
        <v>0</v>
      </c>
      <c r="E147" s="111">
        <v>0</v>
      </c>
      <c r="F147" s="111">
        <v>0</v>
      </c>
      <c r="G147" s="111">
        <v>0</v>
      </c>
      <c r="H147" s="111">
        <v>0</v>
      </c>
      <c r="I147" s="111">
        <v>0</v>
      </c>
      <c r="J147" s="111">
        <v>0</v>
      </c>
      <c r="K147" s="111">
        <v>0</v>
      </c>
      <c r="L147" s="111">
        <v>0</v>
      </c>
      <c r="M147" s="111">
        <v>0</v>
      </c>
      <c r="N147" s="111">
        <v>0</v>
      </c>
      <c r="O147" s="111">
        <v>0</v>
      </c>
      <c r="P147" s="111">
        <v>0</v>
      </c>
      <c r="Q147" s="111">
        <v>0</v>
      </c>
      <c r="R147" s="111">
        <v>0</v>
      </c>
      <c r="S147" s="111">
        <v>0</v>
      </c>
      <c r="T147" s="111">
        <v>0</v>
      </c>
      <c r="U147" s="111">
        <v>0</v>
      </c>
      <c r="V147" s="111">
        <v>0</v>
      </c>
      <c r="W147" s="111">
        <v>0</v>
      </c>
      <c r="X147" s="111">
        <v>0</v>
      </c>
      <c r="Y147" s="111">
        <v>0</v>
      </c>
      <c r="Z147" s="111">
        <v>0</v>
      </c>
      <c r="AA147" s="111">
        <v>0</v>
      </c>
      <c r="AB147" s="111">
        <v>0</v>
      </c>
      <c r="AC147" s="111">
        <v>0</v>
      </c>
      <c r="AD147" s="111">
        <v>0</v>
      </c>
      <c r="AE147" s="111">
        <v>0</v>
      </c>
      <c r="AF147" s="111">
        <v>0</v>
      </c>
      <c r="AG147" s="111">
        <v>0</v>
      </c>
      <c r="AH147" s="111">
        <v>0</v>
      </c>
      <c r="AI147" s="111">
        <v>0</v>
      </c>
      <c r="AJ147" s="111">
        <v>0</v>
      </c>
      <c r="AK147" s="111">
        <v>0</v>
      </c>
      <c r="AL147" s="111">
        <v>0</v>
      </c>
      <c r="AM147" s="111">
        <v>0</v>
      </c>
      <c r="AN147" s="111">
        <v>0</v>
      </c>
      <c r="AO147" s="111">
        <v>0</v>
      </c>
      <c r="AP147" s="111">
        <v>0</v>
      </c>
      <c r="AQ147" s="111">
        <v>0</v>
      </c>
      <c r="AR147" s="111">
        <v>0</v>
      </c>
      <c r="AS147" s="111">
        <v>0</v>
      </c>
      <c r="AT147" s="111">
        <v>0</v>
      </c>
      <c r="AU147" s="111">
        <v>0</v>
      </c>
      <c r="AV147" s="111">
        <v>0</v>
      </c>
      <c r="AW147" s="111">
        <v>0</v>
      </c>
      <c r="AX147" s="111">
        <v>0</v>
      </c>
      <c r="AY147" s="111">
        <v>0</v>
      </c>
    </row>
    <row r="148" spans="1:51" x14ac:dyDescent="0.25">
      <c r="A148" s="114"/>
      <c r="B148" s="132">
        <v>27</v>
      </c>
      <c r="C148" s="111"/>
      <c r="D148" s="111">
        <v>0</v>
      </c>
      <c r="E148" s="111">
        <v>0</v>
      </c>
      <c r="F148" s="111">
        <v>0</v>
      </c>
      <c r="G148" s="111">
        <v>0</v>
      </c>
      <c r="H148" s="111">
        <v>0</v>
      </c>
      <c r="I148" s="111">
        <v>0</v>
      </c>
      <c r="J148" s="111">
        <v>0</v>
      </c>
      <c r="K148" s="111">
        <v>0</v>
      </c>
      <c r="L148" s="111">
        <v>0</v>
      </c>
      <c r="M148" s="111">
        <v>0</v>
      </c>
      <c r="N148" s="111">
        <v>0</v>
      </c>
      <c r="O148" s="111">
        <v>0</v>
      </c>
      <c r="P148" s="111">
        <v>0</v>
      </c>
      <c r="Q148" s="111">
        <v>0</v>
      </c>
      <c r="R148" s="111">
        <v>0</v>
      </c>
      <c r="S148" s="111">
        <v>0</v>
      </c>
      <c r="T148" s="111">
        <v>0</v>
      </c>
      <c r="U148" s="111">
        <v>0</v>
      </c>
      <c r="V148" s="111">
        <v>0</v>
      </c>
      <c r="W148" s="111">
        <v>0</v>
      </c>
      <c r="X148" s="111">
        <v>0</v>
      </c>
      <c r="Y148" s="111">
        <v>0</v>
      </c>
      <c r="Z148" s="111">
        <v>0</v>
      </c>
      <c r="AA148" s="111">
        <v>0</v>
      </c>
      <c r="AB148" s="111">
        <v>0</v>
      </c>
      <c r="AC148" s="111">
        <v>0</v>
      </c>
      <c r="AD148" s="111">
        <v>0</v>
      </c>
      <c r="AE148" s="111">
        <v>0</v>
      </c>
      <c r="AF148" s="111">
        <v>0</v>
      </c>
      <c r="AG148" s="111">
        <v>0</v>
      </c>
      <c r="AH148" s="111">
        <v>0</v>
      </c>
      <c r="AI148" s="111">
        <v>0</v>
      </c>
      <c r="AJ148" s="111">
        <v>0</v>
      </c>
      <c r="AK148" s="111">
        <v>0</v>
      </c>
      <c r="AL148" s="111">
        <v>0</v>
      </c>
      <c r="AM148" s="111">
        <v>0</v>
      </c>
      <c r="AN148" s="111">
        <v>0</v>
      </c>
      <c r="AO148" s="111">
        <v>0</v>
      </c>
      <c r="AP148" s="111">
        <v>0</v>
      </c>
      <c r="AQ148" s="111">
        <v>0</v>
      </c>
      <c r="AR148" s="111">
        <v>0</v>
      </c>
      <c r="AS148" s="111">
        <v>0</v>
      </c>
      <c r="AT148" s="111">
        <v>0</v>
      </c>
      <c r="AU148" s="111">
        <v>0</v>
      </c>
      <c r="AV148" s="111">
        <v>0</v>
      </c>
      <c r="AW148" s="111">
        <v>0</v>
      </c>
      <c r="AX148" s="111">
        <v>0</v>
      </c>
      <c r="AY148" s="111">
        <v>0</v>
      </c>
    </row>
    <row r="149" spans="1:51" x14ac:dyDescent="0.25">
      <c r="A149" s="114"/>
      <c r="B149" s="132">
        <v>28</v>
      </c>
      <c r="C149" s="111"/>
      <c r="D149" s="111">
        <v>0</v>
      </c>
      <c r="E149" s="111">
        <v>0</v>
      </c>
      <c r="F149" s="111">
        <v>0</v>
      </c>
      <c r="G149" s="111">
        <v>0</v>
      </c>
      <c r="H149" s="111">
        <v>0</v>
      </c>
      <c r="I149" s="111">
        <v>0</v>
      </c>
      <c r="J149" s="111">
        <v>0</v>
      </c>
      <c r="K149" s="111">
        <v>0</v>
      </c>
      <c r="L149" s="111">
        <v>0</v>
      </c>
      <c r="M149" s="111">
        <v>0</v>
      </c>
      <c r="N149" s="111">
        <v>0</v>
      </c>
      <c r="O149" s="111">
        <v>0</v>
      </c>
      <c r="P149" s="111">
        <v>0</v>
      </c>
      <c r="Q149" s="111">
        <v>0</v>
      </c>
      <c r="R149" s="111">
        <v>0</v>
      </c>
      <c r="S149" s="111">
        <v>0</v>
      </c>
      <c r="T149" s="111">
        <v>0</v>
      </c>
      <c r="U149" s="111">
        <v>0</v>
      </c>
      <c r="V149" s="111">
        <v>0</v>
      </c>
      <c r="W149" s="111">
        <v>0</v>
      </c>
      <c r="X149" s="111">
        <v>0</v>
      </c>
      <c r="Y149" s="111">
        <v>0</v>
      </c>
      <c r="Z149" s="111">
        <v>0</v>
      </c>
      <c r="AA149" s="111">
        <v>0</v>
      </c>
      <c r="AB149" s="111">
        <v>0</v>
      </c>
      <c r="AC149" s="111">
        <v>0</v>
      </c>
      <c r="AD149" s="111">
        <v>0</v>
      </c>
      <c r="AE149" s="111">
        <v>0</v>
      </c>
      <c r="AF149" s="111">
        <v>0</v>
      </c>
      <c r="AG149" s="111">
        <v>0</v>
      </c>
      <c r="AH149" s="111">
        <v>0</v>
      </c>
      <c r="AI149" s="111">
        <v>0</v>
      </c>
      <c r="AJ149" s="111">
        <v>0</v>
      </c>
      <c r="AK149" s="111">
        <v>0</v>
      </c>
      <c r="AL149" s="111">
        <v>0</v>
      </c>
      <c r="AM149" s="111">
        <v>0</v>
      </c>
      <c r="AN149" s="111">
        <v>0</v>
      </c>
      <c r="AO149" s="111">
        <v>0</v>
      </c>
      <c r="AP149" s="111">
        <v>0</v>
      </c>
      <c r="AQ149" s="111">
        <v>0</v>
      </c>
      <c r="AR149" s="111">
        <v>0</v>
      </c>
      <c r="AS149" s="111">
        <v>0</v>
      </c>
      <c r="AT149" s="111">
        <v>0</v>
      </c>
      <c r="AU149" s="111">
        <v>0</v>
      </c>
      <c r="AV149" s="111">
        <v>0</v>
      </c>
      <c r="AW149" s="111">
        <v>0</v>
      </c>
      <c r="AX149" s="111">
        <v>0</v>
      </c>
      <c r="AY149" s="111">
        <v>0</v>
      </c>
    </row>
    <row r="150" spans="1:51" x14ac:dyDescent="0.25">
      <c r="A150" s="114"/>
      <c r="B150" s="132">
        <v>29</v>
      </c>
      <c r="C150" s="111"/>
      <c r="D150" s="111">
        <v>0</v>
      </c>
      <c r="E150" s="111">
        <v>0</v>
      </c>
      <c r="F150" s="111">
        <v>0</v>
      </c>
      <c r="G150" s="111">
        <v>0</v>
      </c>
      <c r="H150" s="111">
        <v>0</v>
      </c>
      <c r="I150" s="111">
        <v>0</v>
      </c>
      <c r="J150" s="111">
        <v>0</v>
      </c>
      <c r="K150" s="111">
        <v>0</v>
      </c>
      <c r="L150" s="111">
        <v>0</v>
      </c>
      <c r="M150" s="111">
        <v>0</v>
      </c>
      <c r="N150" s="111">
        <v>0</v>
      </c>
      <c r="O150" s="111">
        <v>0</v>
      </c>
      <c r="P150" s="111">
        <v>0</v>
      </c>
      <c r="Q150" s="111">
        <v>0</v>
      </c>
      <c r="R150" s="111">
        <v>0</v>
      </c>
      <c r="S150" s="111">
        <v>0</v>
      </c>
      <c r="T150" s="111">
        <v>0</v>
      </c>
      <c r="U150" s="111">
        <v>0</v>
      </c>
      <c r="V150" s="111">
        <v>0</v>
      </c>
      <c r="W150" s="111">
        <v>0</v>
      </c>
      <c r="X150" s="111">
        <v>0</v>
      </c>
      <c r="Y150" s="111">
        <v>0</v>
      </c>
      <c r="Z150" s="111">
        <v>0</v>
      </c>
      <c r="AA150" s="111">
        <v>0</v>
      </c>
      <c r="AB150" s="111">
        <v>0</v>
      </c>
      <c r="AC150" s="111">
        <v>0</v>
      </c>
      <c r="AD150" s="111">
        <v>0</v>
      </c>
      <c r="AE150" s="111">
        <v>0</v>
      </c>
      <c r="AF150" s="111">
        <v>0</v>
      </c>
      <c r="AG150" s="111">
        <v>0</v>
      </c>
      <c r="AH150" s="111">
        <v>0</v>
      </c>
      <c r="AI150" s="111">
        <v>0</v>
      </c>
      <c r="AJ150" s="111">
        <v>0</v>
      </c>
      <c r="AK150" s="111">
        <v>0</v>
      </c>
      <c r="AL150" s="111">
        <v>0</v>
      </c>
      <c r="AM150" s="111">
        <v>0</v>
      </c>
      <c r="AN150" s="111">
        <v>0</v>
      </c>
      <c r="AO150" s="111">
        <v>0</v>
      </c>
      <c r="AP150" s="111">
        <v>0</v>
      </c>
      <c r="AQ150" s="111">
        <v>0</v>
      </c>
      <c r="AR150" s="111">
        <v>0</v>
      </c>
      <c r="AS150" s="111">
        <v>0</v>
      </c>
      <c r="AT150" s="111">
        <v>0</v>
      </c>
      <c r="AU150" s="111">
        <v>0</v>
      </c>
      <c r="AV150" s="111">
        <v>0</v>
      </c>
      <c r="AW150" s="111">
        <v>0</v>
      </c>
      <c r="AX150" s="111">
        <v>0</v>
      </c>
      <c r="AY150" s="111">
        <v>0</v>
      </c>
    </row>
    <row r="151" spans="1:51" x14ac:dyDescent="0.25">
      <c r="A151" s="114"/>
      <c r="B151" s="132">
        <v>30</v>
      </c>
      <c r="C151" s="111"/>
      <c r="D151" s="111">
        <v>0</v>
      </c>
      <c r="E151" s="111">
        <v>0</v>
      </c>
      <c r="F151" s="111">
        <v>0</v>
      </c>
      <c r="G151" s="111">
        <v>0</v>
      </c>
      <c r="H151" s="111">
        <v>0</v>
      </c>
      <c r="I151" s="111">
        <v>0</v>
      </c>
      <c r="J151" s="111">
        <v>0</v>
      </c>
      <c r="K151" s="111">
        <v>0</v>
      </c>
      <c r="L151" s="111">
        <v>0</v>
      </c>
      <c r="M151" s="111">
        <v>0</v>
      </c>
      <c r="N151" s="111">
        <v>0</v>
      </c>
      <c r="O151" s="111">
        <v>0</v>
      </c>
      <c r="P151" s="111">
        <v>0</v>
      </c>
      <c r="Q151" s="111">
        <v>0</v>
      </c>
      <c r="R151" s="111">
        <v>0</v>
      </c>
      <c r="S151" s="111">
        <v>0</v>
      </c>
      <c r="T151" s="111">
        <v>0</v>
      </c>
      <c r="U151" s="111">
        <v>0</v>
      </c>
      <c r="V151" s="111">
        <v>0</v>
      </c>
      <c r="W151" s="111">
        <v>0</v>
      </c>
      <c r="X151" s="111">
        <v>0</v>
      </c>
      <c r="Y151" s="111">
        <v>0</v>
      </c>
      <c r="Z151" s="111">
        <v>0</v>
      </c>
      <c r="AA151" s="111">
        <v>0</v>
      </c>
      <c r="AB151" s="111">
        <v>0</v>
      </c>
      <c r="AC151" s="111">
        <v>0</v>
      </c>
      <c r="AD151" s="111">
        <v>0</v>
      </c>
      <c r="AE151" s="111">
        <v>0</v>
      </c>
      <c r="AF151" s="111">
        <v>0</v>
      </c>
      <c r="AG151" s="111">
        <v>0</v>
      </c>
      <c r="AH151" s="111">
        <v>0</v>
      </c>
      <c r="AI151" s="111">
        <v>0</v>
      </c>
      <c r="AJ151" s="111">
        <v>0</v>
      </c>
      <c r="AK151" s="111">
        <v>0</v>
      </c>
      <c r="AL151" s="111">
        <v>0</v>
      </c>
      <c r="AM151" s="111">
        <v>0</v>
      </c>
      <c r="AN151" s="111">
        <v>0</v>
      </c>
      <c r="AO151" s="111">
        <v>0</v>
      </c>
      <c r="AP151" s="111">
        <v>0</v>
      </c>
      <c r="AQ151" s="111">
        <v>0</v>
      </c>
      <c r="AR151" s="111">
        <v>0</v>
      </c>
      <c r="AS151" s="111">
        <v>0</v>
      </c>
      <c r="AT151" s="111">
        <v>0</v>
      </c>
      <c r="AU151" s="111">
        <v>0</v>
      </c>
      <c r="AV151" s="111">
        <v>0</v>
      </c>
      <c r="AW151" s="111">
        <v>0</v>
      </c>
      <c r="AX151" s="111">
        <v>0</v>
      </c>
      <c r="AY151" s="111">
        <v>0</v>
      </c>
    </row>
    <row r="152" spans="1:51" x14ac:dyDescent="0.25">
      <c r="A152" s="114"/>
      <c r="B152" s="132">
        <v>31</v>
      </c>
      <c r="C152" s="111"/>
      <c r="D152" s="111">
        <v>0</v>
      </c>
      <c r="E152" s="111">
        <v>0</v>
      </c>
      <c r="F152" s="111">
        <v>0</v>
      </c>
      <c r="G152" s="111">
        <v>0</v>
      </c>
      <c r="H152" s="111">
        <v>0</v>
      </c>
      <c r="I152" s="111">
        <v>0</v>
      </c>
      <c r="J152" s="111">
        <v>0</v>
      </c>
      <c r="K152" s="111">
        <v>0</v>
      </c>
      <c r="L152" s="111">
        <v>0</v>
      </c>
      <c r="M152" s="111">
        <v>0</v>
      </c>
      <c r="N152" s="111">
        <v>0</v>
      </c>
      <c r="O152" s="111">
        <v>0</v>
      </c>
      <c r="P152" s="111">
        <v>0</v>
      </c>
      <c r="Q152" s="111">
        <v>0</v>
      </c>
      <c r="R152" s="111">
        <v>0</v>
      </c>
      <c r="S152" s="111">
        <v>0</v>
      </c>
      <c r="T152" s="111">
        <v>0</v>
      </c>
      <c r="U152" s="111">
        <v>0</v>
      </c>
      <c r="V152" s="111">
        <v>0</v>
      </c>
      <c r="W152" s="111">
        <v>0</v>
      </c>
      <c r="X152" s="111">
        <v>0</v>
      </c>
      <c r="Y152" s="111">
        <v>0</v>
      </c>
      <c r="Z152" s="111">
        <v>0</v>
      </c>
      <c r="AA152" s="111">
        <v>0</v>
      </c>
      <c r="AB152" s="111">
        <v>0</v>
      </c>
      <c r="AC152" s="111">
        <v>0</v>
      </c>
      <c r="AD152" s="111">
        <v>0</v>
      </c>
      <c r="AE152" s="111">
        <v>0</v>
      </c>
      <c r="AF152" s="111">
        <v>0</v>
      </c>
      <c r="AG152" s="111">
        <v>0</v>
      </c>
      <c r="AH152" s="111">
        <v>0</v>
      </c>
      <c r="AI152" s="111">
        <v>0</v>
      </c>
      <c r="AJ152" s="111">
        <v>0</v>
      </c>
      <c r="AK152" s="111">
        <v>0</v>
      </c>
      <c r="AL152" s="111">
        <v>0</v>
      </c>
      <c r="AM152" s="111">
        <v>0</v>
      </c>
      <c r="AN152" s="111">
        <v>0</v>
      </c>
      <c r="AO152" s="111">
        <v>0</v>
      </c>
      <c r="AP152" s="111">
        <v>0</v>
      </c>
      <c r="AQ152" s="111">
        <v>0</v>
      </c>
      <c r="AR152" s="111">
        <v>0</v>
      </c>
      <c r="AS152" s="111">
        <v>0</v>
      </c>
      <c r="AT152" s="111">
        <v>0</v>
      </c>
      <c r="AU152" s="111">
        <v>0</v>
      </c>
      <c r="AV152" s="111">
        <v>0</v>
      </c>
      <c r="AW152" s="111">
        <v>0</v>
      </c>
      <c r="AX152" s="111">
        <v>0</v>
      </c>
      <c r="AY152" s="111">
        <v>0</v>
      </c>
    </row>
    <row r="153" spans="1:51" x14ac:dyDescent="0.25">
      <c r="A153" s="114"/>
      <c r="B153" s="132">
        <v>32</v>
      </c>
      <c r="C153" s="111"/>
      <c r="D153" s="111">
        <v>0</v>
      </c>
      <c r="E153" s="111">
        <v>0</v>
      </c>
      <c r="F153" s="111">
        <v>0</v>
      </c>
      <c r="G153" s="111">
        <v>0</v>
      </c>
      <c r="H153" s="111">
        <v>0</v>
      </c>
      <c r="I153" s="111">
        <v>0</v>
      </c>
      <c r="J153" s="111">
        <v>0</v>
      </c>
      <c r="K153" s="111">
        <v>0</v>
      </c>
      <c r="L153" s="111">
        <v>0</v>
      </c>
      <c r="M153" s="111">
        <v>0</v>
      </c>
      <c r="N153" s="111">
        <v>0</v>
      </c>
      <c r="O153" s="111">
        <v>0</v>
      </c>
      <c r="P153" s="111">
        <v>0</v>
      </c>
      <c r="Q153" s="111">
        <v>0</v>
      </c>
      <c r="R153" s="111">
        <v>0</v>
      </c>
      <c r="S153" s="111">
        <v>0</v>
      </c>
      <c r="T153" s="111">
        <v>0</v>
      </c>
      <c r="U153" s="111">
        <v>0</v>
      </c>
      <c r="V153" s="111">
        <v>0</v>
      </c>
      <c r="W153" s="111">
        <v>0</v>
      </c>
      <c r="X153" s="111">
        <v>0</v>
      </c>
      <c r="Y153" s="111">
        <v>0</v>
      </c>
      <c r="Z153" s="111">
        <v>0</v>
      </c>
      <c r="AA153" s="111">
        <v>0</v>
      </c>
      <c r="AB153" s="111">
        <v>0</v>
      </c>
      <c r="AC153" s="111">
        <v>0</v>
      </c>
      <c r="AD153" s="111">
        <v>0</v>
      </c>
      <c r="AE153" s="111">
        <v>0</v>
      </c>
      <c r="AF153" s="111">
        <v>0</v>
      </c>
      <c r="AG153" s="111">
        <v>0</v>
      </c>
      <c r="AH153" s="111">
        <v>0</v>
      </c>
      <c r="AI153" s="111">
        <v>0</v>
      </c>
      <c r="AJ153" s="111">
        <v>0</v>
      </c>
      <c r="AK153" s="111">
        <v>0</v>
      </c>
      <c r="AL153" s="111">
        <v>0</v>
      </c>
      <c r="AM153" s="111">
        <v>0</v>
      </c>
      <c r="AN153" s="111">
        <v>0</v>
      </c>
      <c r="AO153" s="111">
        <v>0</v>
      </c>
      <c r="AP153" s="111">
        <v>0</v>
      </c>
      <c r="AQ153" s="111">
        <v>0</v>
      </c>
      <c r="AR153" s="111">
        <v>0</v>
      </c>
      <c r="AS153" s="111">
        <v>0</v>
      </c>
      <c r="AT153" s="111">
        <v>0</v>
      </c>
      <c r="AU153" s="111">
        <v>0</v>
      </c>
      <c r="AV153" s="111">
        <v>0</v>
      </c>
      <c r="AW153" s="111">
        <v>0</v>
      </c>
      <c r="AX153" s="111">
        <v>0</v>
      </c>
      <c r="AY153" s="111">
        <v>0</v>
      </c>
    </row>
    <row r="154" spans="1:51" x14ac:dyDescent="0.25">
      <c r="A154" s="114"/>
      <c r="B154" s="132">
        <v>33</v>
      </c>
      <c r="C154" s="111"/>
      <c r="D154" s="111">
        <v>0</v>
      </c>
      <c r="E154" s="111">
        <v>0</v>
      </c>
      <c r="F154" s="111">
        <v>0</v>
      </c>
      <c r="G154" s="111">
        <v>0</v>
      </c>
      <c r="H154" s="111">
        <v>0</v>
      </c>
      <c r="I154" s="111">
        <v>0</v>
      </c>
      <c r="J154" s="111">
        <v>0</v>
      </c>
      <c r="K154" s="111">
        <v>0</v>
      </c>
      <c r="L154" s="111">
        <v>0</v>
      </c>
      <c r="M154" s="111">
        <v>0</v>
      </c>
      <c r="N154" s="111">
        <v>0</v>
      </c>
      <c r="O154" s="111">
        <v>0</v>
      </c>
      <c r="P154" s="111">
        <v>0</v>
      </c>
      <c r="Q154" s="111">
        <v>0</v>
      </c>
      <c r="R154" s="111">
        <v>0</v>
      </c>
      <c r="S154" s="111">
        <v>0</v>
      </c>
      <c r="T154" s="111">
        <v>0</v>
      </c>
      <c r="U154" s="111">
        <v>0</v>
      </c>
      <c r="V154" s="111">
        <v>0</v>
      </c>
      <c r="W154" s="111">
        <v>0</v>
      </c>
      <c r="X154" s="111">
        <v>0</v>
      </c>
      <c r="Y154" s="111">
        <v>0</v>
      </c>
      <c r="Z154" s="111">
        <v>0</v>
      </c>
      <c r="AA154" s="111">
        <v>0</v>
      </c>
      <c r="AB154" s="111">
        <v>0</v>
      </c>
      <c r="AC154" s="111">
        <v>0</v>
      </c>
      <c r="AD154" s="111">
        <v>0</v>
      </c>
      <c r="AE154" s="111">
        <v>0</v>
      </c>
      <c r="AF154" s="111">
        <v>0</v>
      </c>
      <c r="AG154" s="111">
        <v>0</v>
      </c>
      <c r="AH154" s="111">
        <v>0</v>
      </c>
      <c r="AI154" s="111">
        <v>0</v>
      </c>
      <c r="AJ154" s="111">
        <v>0</v>
      </c>
      <c r="AK154" s="111">
        <v>0</v>
      </c>
      <c r="AL154" s="111">
        <v>0</v>
      </c>
      <c r="AM154" s="111">
        <v>0</v>
      </c>
      <c r="AN154" s="111">
        <v>0</v>
      </c>
      <c r="AO154" s="111">
        <v>0</v>
      </c>
      <c r="AP154" s="111">
        <v>0</v>
      </c>
      <c r="AQ154" s="111">
        <v>0</v>
      </c>
      <c r="AR154" s="111">
        <v>0</v>
      </c>
      <c r="AS154" s="111">
        <v>0</v>
      </c>
      <c r="AT154" s="111">
        <v>0</v>
      </c>
      <c r="AU154" s="111">
        <v>0</v>
      </c>
      <c r="AV154" s="111">
        <v>0</v>
      </c>
      <c r="AW154" s="111">
        <v>0</v>
      </c>
      <c r="AX154" s="111">
        <v>0</v>
      </c>
      <c r="AY154" s="111">
        <v>0</v>
      </c>
    </row>
    <row r="155" spans="1:51" x14ac:dyDescent="0.25">
      <c r="A155" s="114"/>
      <c r="B155" s="132">
        <v>34</v>
      </c>
      <c r="C155" s="111"/>
      <c r="D155" s="111">
        <v>0</v>
      </c>
      <c r="E155" s="111">
        <v>0</v>
      </c>
      <c r="F155" s="111">
        <v>0</v>
      </c>
      <c r="G155" s="111">
        <v>0</v>
      </c>
      <c r="H155" s="111">
        <v>0</v>
      </c>
      <c r="I155" s="111">
        <v>0</v>
      </c>
      <c r="J155" s="111">
        <v>0</v>
      </c>
      <c r="K155" s="111">
        <v>0</v>
      </c>
      <c r="L155" s="111">
        <v>0</v>
      </c>
      <c r="M155" s="111">
        <v>0</v>
      </c>
      <c r="N155" s="111">
        <v>0</v>
      </c>
      <c r="O155" s="111">
        <v>0</v>
      </c>
      <c r="P155" s="111">
        <v>0</v>
      </c>
      <c r="Q155" s="111">
        <v>0</v>
      </c>
      <c r="R155" s="111">
        <v>0</v>
      </c>
      <c r="S155" s="111">
        <v>0</v>
      </c>
      <c r="T155" s="111">
        <v>0</v>
      </c>
      <c r="U155" s="111">
        <v>0</v>
      </c>
      <c r="V155" s="111">
        <v>0</v>
      </c>
      <c r="W155" s="111">
        <v>0</v>
      </c>
      <c r="X155" s="111">
        <v>0</v>
      </c>
      <c r="Y155" s="111">
        <v>0</v>
      </c>
      <c r="Z155" s="111">
        <v>0</v>
      </c>
      <c r="AA155" s="111">
        <v>0</v>
      </c>
      <c r="AB155" s="111">
        <v>0</v>
      </c>
      <c r="AC155" s="111">
        <v>0</v>
      </c>
      <c r="AD155" s="111">
        <v>0</v>
      </c>
      <c r="AE155" s="111">
        <v>0</v>
      </c>
      <c r="AF155" s="111">
        <v>0</v>
      </c>
      <c r="AG155" s="111">
        <v>0</v>
      </c>
      <c r="AH155" s="111">
        <v>0</v>
      </c>
      <c r="AI155" s="111">
        <v>0</v>
      </c>
      <c r="AJ155" s="111">
        <v>0</v>
      </c>
      <c r="AK155" s="111">
        <v>0</v>
      </c>
      <c r="AL155" s="111">
        <v>0</v>
      </c>
      <c r="AM155" s="111">
        <v>0</v>
      </c>
      <c r="AN155" s="111">
        <v>0</v>
      </c>
      <c r="AO155" s="111">
        <v>0</v>
      </c>
      <c r="AP155" s="111">
        <v>0</v>
      </c>
      <c r="AQ155" s="111">
        <v>0</v>
      </c>
      <c r="AR155" s="111">
        <v>0</v>
      </c>
      <c r="AS155" s="111">
        <v>0</v>
      </c>
      <c r="AT155" s="111">
        <v>0</v>
      </c>
      <c r="AU155" s="111">
        <v>0</v>
      </c>
      <c r="AV155" s="111">
        <v>0</v>
      </c>
      <c r="AW155" s="111">
        <v>0</v>
      </c>
      <c r="AX155" s="111">
        <v>0</v>
      </c>
      <c r="AY155" s="111">
        <v>0</v>
      </c>
    </row>
    <row r="156" spans="1:51" x14ac:dyDescent="0.25">
      <c r="A156" s="114"/>
      <c r="B156" s="132">
        <v>35</v>
      </c>
      <c r="C156" s="111"/>
      <c r="D156" s="111">
        <v>0</v>
      </c>
      <c r="E156" s="111">
        <v>0</v>
      </c>
      <c r="F156" s="111">
        <v>0</v>
      </c>
      <c r="G156" s="111">
        <v>0</v>
      </c>
      <c r="H156" s="111">
        <v>0</v>
      </c>
      <c r="I156" s="111">
        <v>0</v>
      </c>
      <c r="J156" s="111">
        <v>0</v>
      </c>
      <c r="K156" s="111">
        <v>0</v>
      </c>
      <c r="L156" s="111">
        <v>0</v>
      </c>
      <c r="M156" s="111">
        <v>0</v>
      </c>
      <c r="N156" s="111">
        <v>0</v>
      </c>
      <c r="O156" s="111">
        <v>0</v>
      </c>
      <c r="P156" s="111">
        <v>0</v>
      </c>
      <c r="Q156" s="111">
        <v>0</v>
      </c>
      <c r="R156" s="111">
        <v>0</v>
      </c>
      <c r="S156" s="111">
        <v>0</v>
      </c>
      <c r="T156" s="111">
        <v>0</v>
      </c>
      <c r="U156" s="111">
        <v>0</v>
      </c>
      <c r="V156" s="111">
        <v>0</v>
      </c>
      <c r="W156" s="111">
        <v>0</v>
      </c>
      <c r="X156" s="111">
        <v>0</v>
      </c>
      <c r="Y156" s="111">
        <v>0</v>
      </c>
      <c r="Z156" s="111">
        <v>0</v>
      </c>
      <c r="AA156" s="111">
        <v>0</v>
      </c>
      <c r="AB156" s="111">
        <v>0</v>
      </c>
      <c r="AC156" s="111">
        <v>0</v>
      </c>
      <c r="AD156" s="111">
        <v>0</v>
      </c>
      <c r="AE156" s="111">
        <v>0</v>
      </c>
      <c r="AF156" s="111">
        <v>0</v>
      </c>
      <c r="AG156" s="111">
        <v>0</v>
      </c>
      <c r="AH156" s="111">
        <v>0</v>
      </c>
      <c r="AI156" s="111">
        <v>0</v>
      </c>
      <c r="AJ156" s="111">
        <v>0</v>
      </c>
      <c r="AK156" s="111">
        <v>0</v>
      </c>
      <c r="AL156" s="111">
        <v>0</v>
      </c>
      <c r="AM156" s="111">
        <v>0</v>
      </c>
      <c r="AN156" s="111">
        <v>0</v>
      </c>
      <c r="AO156" s="111">
        <v>0</v>
      </c>
      <c r="AP156" s="111">
        <v>0</v>
      </c>
      <c r="AQ156" s="111">
        <v>0</v>
      </c>
      <c r="AR156" s="111">
        <v>0</v>
      </c>
      <c r="AS156" s="111">
        <v>0</v>
      </c>
      <c r="AT156" s="111">
        <v>0</v>
      </c>
      <c r="AU156" s="111">
        <v>0</v>
      </c>
      <c r="AV156" s="111">
        <v>0</v>
      </c>
      <c r="AW156" s="111">
        <v>0</v>
      </c>
      <c r="AX156" s="111">
        <v>0</v>
      </c>
      <c r="AY156" s="111">
        <v>0</v>
      </c>
    </row>
    <row r="157" spans="1:51" x14ac:dyDescent="0.25">
      <c r="A157" s="114"/>
      <c r="B157" s="132">
        <v>36</v>
      </c>
      <c r="C157" s="111"/>
      <c r="D157" s="111">
        <v>0</v>
      </c>
      <c r="E157" s="111">
        <v>0</v>
      </c>
      <c r="F157" s="111">
        <v>0</v>
      </c>
      <c r="G157" s="111">
        <v>0</v>
      </c>
      <c r="H157" s="111">
        <v>0</v>
      </c>
      <c r="I157" s="111">
        <v>0</v>
      </c>
      <c r="J157" s="111">
        <v>0</v>
      </c>
      <c r="K157" s="111">
        <v>0</v>
      </c>
      <c r="L157" s="111">
        <v>0</v>
      </c>
      <c r="M157" s="111">
        <v>0</v>
      </c>
      <c r="N157" s="111">
        <v>0</v>
      </c>
      <c r="O157" s="111">
        <v>0</v>
      </c>
      <c r="P157" s="111">
        <v>0</v>
      </c>
      <c r="Q157" s="111">
        <v>0</v>
      </c>
      <c r="R157" s="111">
        <v>0</v>
      </c>
      <c r="S157" s="111">
        <v>0</v>
      </c>
      <c r="T157" s="111">
        <v>0</v>
      </c>
      <c r="U157" s="111">
        <v>0</v>
      </c>
      <c r="V157" s="111">
        <v>0</v>
      </c>
      <c r="W157" s="111">
        <v>0</v>
      </c>
      <c r="X157" s="111">
        <v>0</v>
      </c>
      <c r="Y157" s="111">
        <v>0</v>
      </c>
      <c r="Z157" s="111">
        <v>0</v>
      </c>
      <c r="AA157" s="111">
        <v>0</v>
      </c>
      <c r="AB157" s="111">
        <v>0</v>
      </c>
      <c r="AC157" s="111">
        <v>0</v>
      </c>
      <c r="AD157" s="111">
        <v>0</v>
      </c>
      <c r="AE157" s="111">
        <v>0</v>
      </c>
      <c r="AF157" s="111">
        <v>0</v>
      </c>
      <c r="AG157" s="111">
        <v>0</v>
      </c>
      <c r="AH157" s="111">
        <v>0</v>
      </c>
      <c r="AI157" s="111">
        <v>0</v>
      </c>
      <c r="AJ157" s="111">
        <v>0</v>
      </c>
      <c r="AK157" s="111">
        <v>0</v>
      </c>
      <c r="AL157" s="111">
        <v>0</v>
      </c>
      <c r="AM157" s="111">
        <v>0</v>
      </c>
      <c r="AN157" s="111">
        <v>0</v>
      </c>
      <c r="AO157" s="111">
        <v>0</v>
      </c>
      <c r="AP157" s="111">
        <v>0</v>
      </c>
      <c r="AQ157" s="111">
        <v>0</v>
      </c>
      <c r="AR157" s="111">
        <v>0</v>
      </c>
      <c r="AS157" s="111">
        <v>0</v>
      </c>
      <c r="AT157" s="111">
        <v>0</v>
      </c>
      <c r="AU157" s="111">
        <v>0</v>
      </c>
      <c r="AV157" s="111">
        <v>0</v>
      </c>
      <c r="AW157" s="111">
        <v>0</v>
      </c>
      <c r="AX157" s="111">
        <v>0</v>
      </c>
      <c r="AY157" s="111">
        <v>0</v>
      </c>
    </row>
    <row r="158" spans="1:51" x14ac:dyDescent="0.25">
      <c r="A158" s="114"/>
      <c r="B158" s="135">
        <v>37</v>
      </c>
      <c r="C158" s="111"/>
      <c r="D158" s="111">
        <v>0</v>
      </c>
      <c r="E158" s="111">
        <v>0</v>
      </c>
      <c r="F158" s="111">
        <v>0</v>
      </c>
      <c r="G158" s="111">
        <v>0</v>
      </c>
      <c r="H158" s="111">
        <v>0</v>
      </c>
      <c r="I158" s="111">
        <v>0</v>
      </c>
      <c r="J158" s="111">
        <v>0</v>
      </c>
      <c r="K158" s="111">
        <v>0</v>
      </c>
      <c r="L158" s="111">
        <v>0</v>
      </c>
      <c r="M158" s="111">
        <v>0</v>
      </c>
      <c r="N158" s="111">
        <v>0</v>
      </c>
      <c r="O158" s="111">
        <v>0</v>
      </c>
      <c r="P158" s="111">
        <v>0</v>
      </c>
      <c r="Q158" s="111">
        <v>0</v>
      </c>
      <c r="R158" s="111">
        <v>0</v>
      </c>
      <c r="S158" s="111">
        <v>0</v>
      </c>
      <c r="T158" s="111">
        <v>0</v>
      </c>
      <c r="U158" s="111">
        <v>0</v>
      </c>
      <c r="V158" s="111">
        <v>0</v>
      </c>
      <c r="W158" s="111">
        <v>0</v>
      </c>
      <c r="X158" s="111">
        <v>0</v>
      </c>
      <c r="Y158" s="111">
        <v>0</v>
      </c>
      <c r="Z158" s="111">
        <v>0</v>
      </c>
      <c r="AA158" s="111">
        <v>0</v>
      </c>
      <c r="AB158" s="111">
        <v>0</v>
      </c>
      <c r="AC158" s="111">
        <v>0</v>
      </c>
      <c r="AD158" s="111">
        <v>0</v>
      </c>
      <c r="AE158" s="111">
        <v>0</v>
      </c>
      <c r="AF158" s="111">
        <v>0</v>
      </c>
      <c r="AG158" s="111">
        <v>0</v>
      </c>
      <c r="AH158" s="111">
        <v>0</v>
      </c>
      <c r="AI158" s="111">
        <v>0</v>
      </c>
      <c r="AJ158" s="111">
        <v>0</v>
      </c>
      <c r="AK158" s="111">
        <v>0</v>
      </c>
      <c r="AL158" s="111">
        <v>0</v>
      </c>
      <c r="AM158" s="111">
        <v>0</v>
      </c>
      <c r="AN158" s="111">
        <v>0</v>
      </c>
      <c r="AO158" s="111">
        <v>0</v>
      </c>
      <c r="AP158" s="111">
        <v>0</v>
      </c>
      <c r="AQ158" s="111">
        <v>0</v>
      </c>
      <c r="AR158" s="111">
        <v>0</v>
      </c>
      <c r="AS158" s="111">
        <v>0</v>
      </c>
      <c r="AT158" s="111">
        <v>0</v>
      </c>
      <c r="AU158" s="111">
        <v>0</v>
      </c>
      <c r="AV158" s="111">
        <v>0</v>
      </c>
      <c r="AW158" s="111">
        <v>0</v>
      </c>
      <c r="AX158" s="111">
        <v>0</v>
      </c>
      <c r="AY158" s="111">
        <v>0</v>
      </c>
    </row>
    <row r="159" spans="1:51" x14ac:dyDescent="0.25">
      <c r="A159" s="114"/>
      <c r="B159" s="135">
        <v>38</v>
      </c>
      <c r="C159" s="111"/>
      <c r="D159" s="111">
        <v>0</v>
      </c>
      <c r="E159" s="111">
        <v>0</v>
      </c>
      <c r="F159" s="111">
        <v>0</v>
      </c>
      <c r="G159" s="111">
        <v>0</v>
      </c>
      <c r="H159" s="111">
        <v>0</v>
      </c>
      <c r="I159" s="111">
        <v>0</v>
      </c>
      <c r="J159" s="111">
        <v>0</v>
      </c>
      <c r="K159" s="111">
        <v>0</v>
      </c>
      <c r="L159" s="111">
        <v>0</v>
      </c>
      <c r="M159" s="111">
        <v>0</v>
      </c>
      <c r="N159" s="111">
        <v>0</v>
      </c>
      <c r="O159" s="111">
        <v>0</v>
      </c>
      <c r="P159" s="111">
        <v>0</v>
      </c>
      <c r="Q159" s="111">
        <v>0</v>
      </c>
      <c r="R159" s="111">
        <v>0</v>
      </c>
      <c r="S159" s="111">
        <v>0</v>
      </c>
      <c r="T159" s="111">
        <v>0</v>
      </c>
      <c r="U159" s="111">
        <v>0</v>
      </c>
      <c r="V159" s="111">
        <v>0</v>
      </c>
      <c r="W159" s="111">
        <v>0</v>
      </c>
      <c r="X159" s="111">
        <v>0</v>
      </c>
      <c r="Y159" s="111">
        <v>0</v>
      </c>
      <c r="Z159" s="111">
        <v>0</v>
      </c>
      <c r="AA159" s="111">
        <v>0</v>
      </c>
      <c r="AB159" s="111">
        <v>0</v>
      </c>
      <c r="AC159" s="111">
        <v>0</v>
      </c>
      <c r="AD159" s="111">
        <v>0</v>
      </c>
      <c r="AE159" s="111">
        <v>0</v>
      </c>
      <c r="AF159" s="111">
        <v>0</v>
      </c>
      <c r="AG159" s="111">
        <v>0</v>
      </c>
      <c r="AH159" s="111">
        <v>0</v>
      </c>
      <c r="AI159" s="111">
        <v>0</v>
      </c>
      <c r="AJ159" s="111">
        <v>0</v>
      </c>
      <c r="AK159" s="111">
        <v>0</v>
      </c>
      <c r="AL159" s="111">
        <v>0</v>
      </c>
      <c r="AM159" s="111">
        <v>0</v>
      </c>
      <c r="AN159" s="111">
        <v>0</v>
      </c>
      <c r="AO159" s="111">
        <v>0</v>
      </c>
      <c r="AP159" s="111">
        <v>0</v>
      </c>
      <c r="AQ159" s="111">
        <v>0</v>
      </c>
      <c r="AR159" s="111">
        <v>0</v>
      </c>
      <c r="AS159" s="111">
        <v>0</v>
      </c>
      <c r="AT159" s="111">
        <v>0</v>
      </c>
      <c r="AU159" s="111">
        <v>0</v>
      </c>
      <c r="AV159" s="111">
        <v>0</v>
      </c>
      <c r="AW159" s="111">
        <v>0</v>
      </c>
      <c r="AX159" s="111">
        <v>0</v>
      </c>
      <c r="AY159" s="111">
        <v>0</v>
      </c>
    </row>
    <row r="160" spans="1:51" x14ac:dyDescent="0.25">
      <c r="A160" s="114"/>
      <c r="B160" s="135">
        <v>39</v>
      </c>
      <c r="C160" s="111"/>
      <c r="D160" s="111">
        <v>0</v>
      </c>
      <c r="E160" s="111">
        <v>0</v>
      </c>
      <c r="F160" s="111">
        <v>0</v>
      </c>
      <c r="G160" s="111">
        <v>0</v>
      </c>
      <c r="H160" s="111">
        <v>0</v>
      </c>
      <c r="I160" s="111">
        <v>0</v>
      </c>
      <c r="J160" s="111">
        <v>0</v>
      </c>
      <c r="K160" s="111">
        <v>0</v>
      </c>
      <c r="L160" s="111">
        <v>0</v>
      </c>
      <c r="M160" s="111">
        <v>0</v>
      </c>
      <c r="N160" s="111">
        <v>0</v>
      </c>
      <c r="O160" s="111">
        <v>0</v>
      </c>
      <c r="P160" s="111">
        <v>0</v>
      </c>
      <c r="Q160" s="111">
        <v>0</v>
      </c>
      <c r="R160" s="111">
        <v>0</v>
      </c>
      <c r="S160" s="111">
        <v>0</v>
      </c>
      <c r="T160" s="111">
        <v>0</v>
      </c>
      <c r="U160" s="111">
        <v>0</v>
      </c>
      <c r="V160" s="111">
        <v>0</v>
      </c>
      <c r="W160" s="111">
        <v>0</v>
      </c>
      <c r="X160" s="111">
        <v>0</v>
      </c>
      <c r="Y160" s="111">
        <v>0</v>
      </c>
      <c r="Z160" s="111">
        <v>0</v>
      </c>
      <c r="AA160" s="111">
        <v>0</v>
      </c>
      <c r="AB160" s="111">
        <v>0</v>
      </c>
      <c r="AC160" s="111">
        <v>0</v>
      </c>
      <c r="AD160" s="111">
        <v>0</v>
      </c>
      <c r="AE160" s="111">
        <v>0</v>
      </c>
      <c r="AF160" s="111">
        <v>0</v>
      </c>
      <c r="AG160" s="111">
        <v>0</v>
      </c>
      <c r="AH160" s="111">
        <v>0</v>
      </c>
      <c r="AI160" s="111">
        <v>0</v>
      </c>
      <c r="AJ160" s="111">
        <v>0</v>
      </c>
      <c r="AK160" s="111">
        <v>0</v>
      </c>
      <c r="AL160" s="111">
        <v>0</v>
      </c>
      <c r="AM160" s="111">
        <v>0</v>
      </c>
      <c r="AN160" s="111">
        <v>0</v>
      </c>
      <c r="AO160" s="111">
        <v>0</v>
      </c>
      <c r="AP160" s="111">
        <v>0</v>
      </c>
      <c r="AQ160" s="111">
        <v>0</v>
      </c>
      <c r="AR160" s="111">
        <v>0</v>
      </c>
      <c r="AS160" s="111">
        <v>0</v>
      </c>
      <c r="AT160" s="111">
        <v>0</v>
      </c>
      <c r="AU160" s="111">
        <v>0</v>
      </c>
      <c r="AV160" s="111">
        <v>0</v>
      </c>
      <c r="AW160" s="111">
        <v>0</v>
      </c>
      <c r="AX160" s="111">
        <v>0</v>
      </c>
      <c r="AY160" s="111">
        <v>0</v>
      </c>
    </row>
    <row r="161" spans="1:52" x14ac:dyDescent="0.25">
      <c r="A161" s="114"/>
      <c r="B161" s="135">
        <v>40</v>
      </c>
      <c r="C161" s="111"/>
      <c r="D161" s="111">
        <v>0</v>
      </c>
      <c r="E161" s="111">
        <v>0</v>
      </c>
      <c r="F161" s="111">
        <v>0</v>
      </c>
      <c r="G161" s="111">
        <v>0</v>
      </c>
      <c r="H161" s="111">
        <v>0</v>
      </c>
      <c r="I161" s="111">
        <v>0</v>
      </c>
      <c r="J161" s="111">
        <v>0</v>
      </c>
      <c r="K161" s="111">
        <v>0</v>
      </c>
      <c r="L161" s="111">
        <v>0</v>
      </c>
      <c r="M161" s="111">
        <v>0</v>
      </c>
      <c r="N161" s="111">
        <v>0</v>
      </c>
      <c r="O161" s="111">
        <v>0</v>
      </c>
      <c r="P161" s="111">
        <v>0</v>
      </c>
      <c r="Q161" s="111">
        <v>0</v>
      </c>
      <c r="R161" s="111">
        <v>0</v>
      </c>
      <c r="S161" s="111">
        <v>0</v>
      </c>
      <c r="T161" s="111">
        <v>0</v>
      </c>
      <c r="U161" s="111">
        <v>0</v>
      </c>
      <c r="V161" s="111">
        <v>0</v>
      </c>
      <c r="W161" s="111">
        <v>0</v>
      </c>
      <c r="X161" s="111">
        <v>0</v>
      </c>
      <c r="Y161" s="111">
        <v>0</v>
      </c>
      <c r="Z161" s="111">
        <v>0</v>
      </c>
      <c r="AA161" s="111">
        <v>0</v>
      </c>
      <c r="AB161" s="111">
        <v>0</v>
      </c>
      <c r="AC161" s="111">
        <v>0</v>
      </c>
      <c r="AD161" s="111">
        <v>0</v>
      </c>
      <c r="AE161" s="111">
        <v>0</v>
      </c>
      <c r="AF161" s="111">
        <v>0</v>
      </c>
      <c r="AG161" s="111">
        <v>0</v>
      </c>
      <c r="AH161" s="111">
        <v>0</v>
      </c>
      <c r="AI161" s="111">
        <v>0</v>
      </c>
      <c r="AJ161" s="111">
        <v>0</v>
      </c>
      <c r="AK161" s="111">
        <v>0</v>
      </c>
      <c r="AL161" s="111">
        <v>0</v>
      </c>
      <c r="AM161" s="111">
        <v>0</v>
      </c>
      <c r="AN161" s="111">
        <v>0</v>
      </c>
      <c r="AO161" s="111">
        <v>0</v>
      </c>
      <c r="AP161" s="111">
        <v>0</v>
      </c>
      <c r="AQ161" s="111">
        <v>0</v>
      </c>
      <c r="AR161" s="111">
        <v>0</v>
      </c>
      <c r="AS161" s="111">
        <v>0</v>
      </c>
      <c r="AT161" s="111">
        <v>0</v>
      </c>
      <c r="AU161" s="111">
        <v>0</v>
      </c>
      <c r="AV161" s="111">
        <v>0</v>
      </c>
      <c r="AW161" s="111">
        <v>0</v>
      </c>
      <c r="AX161" s="111">
        <v>0</v>
      </c>
      <c r="AY161" s="111">
        <v>0</v>
      </c>
    </row>
    <row r="162" spans="1:52" x14ac:dyDescent="0.25">
      <c r="A162" s="114"/>
      <c r="B162" s="135">
        <v>41</v>
      </c>
      <c r="C162" s="111"/>
      <c r="D162" s="111">
        <v>0</v>
      </c>
      <c r="E162" s="111">
        <v>0</v>
      </c>
      <c r="F162" s="111">
        <v>0</v>
      </c>
      <c r="G162" s="111">
        <v>0</v>
      </c>
      <c r="H162" s="111">
        <v>0</v>
      </c>
      <c r="I162" s="111">
        <v>0</v>
      </c>
      <c r="J162" s="111">
        <v>0</v>
      </c>
      <c r="K162" s="111">
        <v>0</v>
      </c>
      <c r="L162" s="111">
        <v>0</v>
      </c>
      <c r="M162" s="111">
        <v>0</v>
      </c>
      <c r="N162" s="111">
        <v>0</v>
      </c>
      <c r="O162" s="111">
        <v>0</v>
      </c>
      <c r="P162" s="111">
        <v>0</v>
      </c>
      <c r="Q162" s="111">
        <v>0</v>
      </c>
      <c r="R162" s="111">
        <v>0</v>
      </c>
      <c r="S162" s="111">
        <v>0</v>
      </c>
      <c r="T162" s="111">
        <v>0</v>
      </c>
      <c r="U162" s="111">
        <v>0</v>
      </c>
      <c r="V162" s="111">
        <v>0</v>
      </c>
      <c r="W162" s="111">
        <v>0</v>
      </c>
      <c r="X162" s="111">
        <v>0</v>
      </c>
      <c r="Y162" s="111">
        <v>0</v>
      </c>
      <c r="Z162" s="111">
        <v>0</v>
      </c>
      <c r="AA162" s="111">
        <v>0</v>
      </c>
      <c r="AB162" s="111">
        <v>0</v>
      </c>
      <c r="AC162" s="111">
        <v>0</v>
      </c>
      <c r="AD162" s="111">
        <v>0</v>
      </c>
      <c r="AE162" s="111">
        <v>0</v>
      </c>
      <c r="AF162" s="111">
        <v>0</v>
      </c>
      <c r="AG162" s="111">
        <v>0</v>
      </c>
      <c r="AH162" s="111">
        <v>0</v>
      </c>
      <c r="AI162" s="111">
        <v>0</v>
      </c>
      <c r="AJ162" s="111">
        <v>0</v>
      </c>
      <c r="AK162" s="111">
        <v>0</v>
      </c>
      <c r="AL162" s="111">
        <v>0</v>
      </c>
      <c r="AM162" s="111">
        <v>0</v>
      </c>
      <c r="AN162" s="111">
        <v>0</v>
      </c>
      <c r="AO162" s="111">
        <v>0</v>
      </c>
      <c r="AP162" s="111">
        <v>0</v>
      </c>
      <c r="AQ162" s="111">
        <v>0</v>
      </c>
      <c r="AR162" s="111">
        <v>0</v>
      </c>
      <c r="AS162" s="111">
        <v>0</v>
      </c>
      <c r="AT162" s="111">
        <v>0</v>
      </c>
      <c r="AU162" s="111">
        <v>0</v>
      </c>
      <c r="AV162" s="111">
        <v>0</v>
      </c>
      <c r="AW162" s="111">
        <v>0</v>
      </c>
      <c r="AX162" s="111">
        <v>0</v>
      </c>
      <c r="AY162" s="111">
        <v>0</v>
      </c>
    </row>
    <row r="163" spans="1:52" x14ac:dyDescent="0.25">
      <c r="A163" s="114"/>
      <c r="B163" s="135">
        <v>42</v>
      </c>
      <c r="C163" s="111"/>
      <c r="D163" s="111">
        <v>0</v>
      </c>
      <c r="E163" s="111">
        <v>0</v>
      </c>
      <c r="F163" s="111">
        <v>0</v>
      </c>
      <c r="G163" s="111">
        <v>0</v>
      </c>
      <c r="H163" s="111">
        <v>0</v>
      </c>
      <c r="I163" s="111">
        <v>0</v>
      </c>
      <c r="J163" s="111">
        <v>0</v>
      </c>
      <c r="K163" s="111">
        <v>0</v>
      </c>
      <c r="L163" s="111">
        <v>0</v>
      </c>
      <c r="M163" s="111">
        <v>0</v>
      </c>
      <c r="N163" s="111">
        <v>0</v>
      </c>
      <c r="O163" s="111">
        <v>0</v>
      </c>
      <c r="P163" s="111">
        <v>0</v>
      </c>
      <c r="Q163" s="111">
        <v>0</v>
      </c>
      <c r="R163" s="111">
        <v>0</v>
      </c>
      <c r="S163" s="111">
        <v>0</v>
      </c>
      <c r="T163" s="111">
        <v>0</v>
      </c>
      <c r="U163" s="111">
        <v>0</v>
      </c>
      <c r="V163" s="111">
        <v>0</v>
      </c>
      <c r="W163" s="111">
        <v>0</v>
      </c>
      <c r="X163" s="111">
        <v>0</v>
      </c>
      <c r="Y163" s="111">
        <v>0</v>
      </c>
      <c r="Z163" s="111">
        <v>0</v>
      </c>
      <c r="AA163" s="111">
        <v>0</v>
      </c>
      <c r="AB163" s="111">
        <v>0</v>
      </c>
      <c r="AC163" s="111">
        <v>0</v>
      </c>
      <c r="AD163" s="111">
        <v>0</v>
      </c>
      <c r="AE163" s="111">
        <v>0</v>
      </c>
      <c r="AF163" s="111">
        <v>0</v>
      </c>
      <c r="AG163" s="111">
        <v>0</v>
      </c>
      <c r="AH163" s="111">
        <v>0</v>
      </c>
      <c r="AI163" s="111">
        <v>0</v>
      </c>
      <c r="AJ163" s="111">
        <v>0</v>
      </c>
      <c r="AK163" s="111">
        <v>0</v>
      </c>
      <c r="AL163" s="111">
        <v>0</v>
      </c>
      <c r="AM163" s="111">
        <v>0</v>
      </c>
      <c r="AN163" s="111">
        <v>0</v>
      </c>
      <c r="AO163" s="111">
        <v>0</v>
      </c>
      <c r="AP163" s="111">
        <v>0</v>
      </c>
      <c r="AQ163" s="111">
        <v>0</v>
      </c>
      <c r="AR163" s="111">
        <v>0</v>
      </c>
      <c r="AS163" s="111">
        <v>0</v>
      </c>
      <c r="AT163" s="111">
        <v>0</v>
      </c>
      <c r="AU163" s="111">
        <v>0</v>
      </c>
      <c r="AV163" s="111">
        <v>0</v>
      </c>
      <c r="AW163" s="111">
        <v>0</v>
      </c>
      <c r="AX163" s="111">
        <v>0</v>
      </c>
      <c r="AY163" s="111">
        <v>0</v>
      </c>
    </row>
    <row r="164" spans="1:52" x14ac:dyDescent="0.25">
      <c r="A164" s="114"/>
      <c r="B164" s="135">
        <v>43</v>
      </c>
      <c r="C164" s="111"/>
      <c r="D164" s="111">
        <v>0</v>
      </c>
      <c r="E164" s="111">
        <v>0</v>
      </c>
      <c r="F164" s="111">
        <v>0</v>
      </c>
      <c r="G164" s="111">
        <v>0</v>
      </c>
      <c r="H164" s="111">
        <v>0</v>
      </c>
      <c r="I164" s="111">
        <v>0</v>
      </c>
      <c r="J164" s="111">
        <v>0</v>
      </c>
      <c r="K164" s="111">
        <v>0</v>
      </c>
      <c r="L164" s="111">
        <v>0</v>
      </c>
      <c r="M164" s="111">
        <v>0</v>
      </c>
      <c r="N164" s="111">
        <v>0</v>
      </c>
      <c r="O164" s="111">
        <v>0</v>
      </c>
      <c r="P164" s="111">
        <v>0</v>
      </c>
      <c r="Q164" s="111">
        <v>0</v>
      </c>
      <c r="R164" s="111">
        <v>0</v>
      </c>
      <c r="S164" s="111">
        <v>0</v>
      </c>
      <c r="T164" s="111">
        <v>0</v>
      </c>
      <c r="U164" s="111">
        <v>0</v>
      </c>
      <c r="V164" s="111">
        <v>0</v>
      </c>
      <c r="W164" s="111">
        <v>0</v>
      </c>
      <c r="X164" s="111">
        <v>0</v>
      </c>
      <c r="Y164" s="111">
        <v>0</v>
      </c>
      <c r="Z164" s="111">
        <v>0</v>
      </c>
      <c r="AA164" s="111">
        <v>0</v>
      </c>
      <c r="AB164" s="111">
        <v>0</v>
      </c>
      <c r="AC164" s="111">
        <v>0</v>
      </c>
      <c r="AD164" s="111">
        <v>0</v>
      </c>
      <c r="AE164" s="111">
        <v>0</v>
      </c>
      <c r="AF164" s="111">
        <v>0</v>
      </c>
      <c r="AG164" s="111">
        <v>0</v>
      </c>
      <c r="AH164" s="111">
        <v>0</v>
      </c>
      <c r="AI164" s="111">
        <v>0</v>
      </c>
      <c r="AJ164" s="111">
        <v>0</v>
      </c>
      <c r="AK164" s="111">
        <v>0</v>
      </c>
      <c r="AL164" s="111">
        <v>0</v>
      </c>
      <c r="AM164" s="111">
        <v>0</v>
      </c>
      <c r="AN164" s="111">
        <v>0</v>
      </c>
      <c r="AO164" s="111">
        <v>0</v>
      </c>
      <c r="AP164" s="111">
        <v>0</v>
      </c>
      <c r="AQ164" s="111">
        <v>0</v>
      </c>
      <c r="AR164" s="111">
        <v>0</v>
      </c>
      <c r="AS164" s="111">
        <v>0</v>
      </c>
      <c r="AT164" s="111">
        <v>0</v>
      </c>
      <c r="AU164" s="111">
        <v>0</v>
      </c>
      <c r="AV164" s="111">
        <v>0</v>
      </c>
      <c r="AW164" s="111">
        <v>0</v>
      </c>
      <c r="AX164" s="111">
        <v>0</v>
      </c>
      <c r="AY164" s="111">
        <v>0</v>
      </c>
    </row>
    <row r="165" spans="1:52" x14ac:dyDescent="0.25">
      <c r="A165" s="114"/>
      <c r="B165" s="135">
        <v>44</v>
      </c>
      <c r="C165" s="111"/>
      <c r="D165" s="111">
        <v>0</v>
      </c>
      <c r="E165" s="111">
        <v>0</v>
      </c>
      <c r="F165" s="111">
        <v>0</v>
      </c>
      <c r="G165" s="111">
        <v>0</v>
      </c>
      <c r="H165" s="111">
        <v>0</v>
      </c>
      <c r="I165" s="111">
        <v>0</v>
      </c>
      <c r="J165" s="111">
        <v>0</v>
      </c>
      <c r="K165" s="111">
        <v>0</v>
      </c>
      <c r="L165" s="111">
        <v>0</v>
      </c>
      <c r="M165" s="111">
        <v>0</v>
      </c>
      <c r="N165" s="111">
        <v>0</v>
      </c>
      <c r="O165" s="111">
        <v>0</v>
      </c>
      <c r="P165" s="111">
        <v>0</v>
      </c>
      <c r="Q165" s="111">
        <v>0</v>
      </c>
      <c r="R165" s="111">
        <v>0</v>
      </c>
      <c r="S165" s="111">
        <v>0</v>
      </c>
      <c r="T165" s="111">
        <v>0</v>
      </c>
      <c r="U165" s="111">
        <v>0</v>
      </c>
      <c r="V165" s="111">
        <v>0</v>
      </c>
      <c r="W165" s="111">
        <v>0</v>
      </c>
      <c r="X165" s="111">
        <v>0</v>
      </c>
      <c r="Y165" s="111">
        <v>0</v>
      </c>
      <c r="Z165" s="111">
        <v>0</v>
      </c>
      <c r="AA165" s="111">
        <v>0</v>
      </c>
      <c r="AB165" s="111">
        <v>0</v>
      </c>
      <c r="AC165" s="111">
        <v>0</v>
      </c>
      <c r="AD165" s="111">
        <v>0</v>
      </c>
      <c r="AE165" s="111">
        <v>0</v>
      </c>
      <c r="AF165" s="111">
        <v>0</v>
      </c>
      <c r="AG165" s="111">
        <v>0</v>
      </c>
      <c r="AH165" s="111">
        <v>0</v>
      </c>
      <c r="AI165" s="111">
        <v>0</v>
      </c>
      <c r="AJ165" s="111">
        <v>0</v>
      </c>
      <c r="AK165" s="111">
        <v>0</v>
      </c>
      <c r="AL165" s="111">
        <v>0</v>
      </c>
      <c r="AM165" s="111">
        <v>0</v>
      </c>
      <c r="AN165" s="111">
        <v>0</v>
      </c>
      <c r="AO165" s="111">
        <v>0</v>
      </c>
      <c r="AP165" s="111">
        <v>0</v>
      </c>
      <c r="AQ165" s="111">
        <v>0</v>
      </c>
      <c r="AR165" s="111">
        <v>0</v>
      </c>
      <c r="AS165" s="111">
        <v>0</v>
      </c>
      <c r="AT165" s="111">
        <v>0</v>
      </c>
      <c r="AU165" s="111">
        <v>0</v>
      </c>
      <c r="AV165" s="111">
        <v>0</v>
      </c>
      <c r="AW165" s="111">
        <v>0</v>
      </c>
      <c r="AX165" s="111">
        <v>0</v>
      </c>
      <c r="AY165" s="111">
        <v>0</v>
      </c>
    </row>
    <row r="166" spans="1:52" x14ac:dyDescent="0.25">
      <c r="A166" s="114"/>
      <c r="B166" s="135">
        <v>45</v>
      </c>
      <c r="C166" s="111"/>
      <c r="D166" s="111">
        <v>0</v>
      </c>
      <c r="E166" s="111">
        <v>0</v>
      </c>
      <c r="F166" s="111">
        <v>0</v>
      </c>
      <c r="G166" s="111">
        <v>0</v>
      </c>
      <c r="H166" s="111">
        <v>0</v>
      </c>
      <c r="I166" s="111">
        <v>0</v>
      </c>
      <c r="J166" s="111">
        <v>0</v>
      </c>
      <c r="K166" s="111">
        <v>0</v>
      </c>
      <c r="L166" s="111">
        <v>0</v>
      </c>
      <c r="M166" s="111">
        <v>0</v>
      </c>
      <c r="N166" s="111">
        <v>0</v>
      </c>
      <c r="O166" s="111">
        <v>0</v>
      </c>
      <c r="P166" s="111">
        <v>0</v>
      </c>
      <c r="Q166" s="111">
        <v>0</v>
      </c>
      <c r="R166" s="111">
        <v>0</v>
      </c>
      <c r="S166" s="111">
        <v>0</v>
      </c>
      <c r="T166" s="111">
        <v>0</v>
      </c>
      <c r="U166" s="111">
        <v>0</v>
      </c>
      <c r="V166" s="111">
        <v>0</v>
      </c>
      <c r="W166" s="111">
        <v>0</v>
      </c>
      <c r="X166" s="111">
        <v>0</v>
      </c>
      <c r="Y166" s="111">
        <v>0</v>
      </c>
      <c r="Z166" s="111">
        <v>0</v>
      </c>
      <c r="AA166" s="111">
        <v>0</v>
      </c>
      <c r="AB166" s="111">
        <v>0</v>
      </c>
      <c r="AC166" s="111">
        <v>0</v>
      </c>
      <c r="AD166" s="111">
        <v>0</v>
      </c>
      <c r="AE166" s="111">
        <v>0</v>
      </c>
      <c r="AF166" s="111">
        <v>0</v>
      </c>
      <c r="AG166" s="111">
        <v>0</v>
      </c>
      <c r="AH166" s="111">
        <v>0</v>
      </c>
      <c r="AI166" s="111">
        <v>0</v>
      </c>
      <c r="AJ166" s="111">
        <v>0</v>
      </c>
      <c r="AK166" s="111">
        <v>0</v>
      </c>
      <c r="AL166" s="111">
        <v>0</v>
      </c>
      <c r="AM166" s="111">
        <v>0</v>
      </c>
      <c r="AN166" s="111">
        <v>0</v>
      </c>
      <c r="AO166" s="111">
        <v>0</v>
      </c>
      <c r="AP166" s="111">
        <v>0</v>
      </c>
      <c r="AQ166" s="111">
        <v>0</v>
      </c>
      <c r="AR166" s="111">
        <v>0</v>
      </c>
      <c r="AS166" s="111">
        <v>0</v>
      </c>
      <c r="AT166" s="111">
        <v>0</v>
      </c>
      <c r="AU166" s="111">
        <v>0</v>
      </c>
      <c r="AV166" s="111">
        <v>0</v>
      </c>
      <c r="AW166" s="111">
        <v>0</v>
      </c>
      <c r="AX166" s="111">
        <v>0</v>
      </c>
      <c r="AY166" s="111">
        <v>0</v>
      </c>
    </row>
    <row r="167" spans="1:52" x14ac:dyDescent="0.25">
      <c r="A167" s="114"/>
      <c r="B167" s="135">
        <v>46</v>
      </c>
      <c r="C167" s="111"/>
      <c r="D167" s="111">
        <v>0</v>
      </c>
      <c r="E167" s="111">
        <v>0</v>
      </c>
      <c r="F167" s="111">
        <v>0</v>
      </c>
      <c r="G167" s="111">
        <v>0</v>
      </c>
      <c r="H167" s="111">
        <v>0</v>
      </c>
      <c r="I167" s="111">
        <v>0</v>
      </c>
      <c r="J167" s="111">
        <v>0</v>
      </c>
      <c r="K167" s="111">
        <v>0</v>
      </c>
      <c r="L167" s="111">
        <v>0</v>
      </c>
      <c r="M167" s="111">
        <v>0</v>
      </c>
      <c r="N167" s="111">
        <v>0</v>
      </c>
      <c r="O167" s="111">
        <v>0</v>
      </c>
      <c r="P167" s="111">
        <v>0</v>
      </c>
      <c r="Q167" s="111">
        <v>0</v>
      </c>
      <c r="R167" s="111">
        <v>0</v>
      </c>
      <c r="S167" s="111">
        <v>0</v>
      </c>
      <c r="T167" s="111">
        <v>0</v>
      </c>
      <c r="U167" s="111">
        <v>0</v>
      </c>
      <c r="V167" s="111">
        <v>0</v>
      </c>
      <c r="W167" s="111">
        <v>0</v>
      </c>
      <c r="X167" s="111">
        <v>0</v>
      </c>
      <c r="Y167" s="111">
        <v>0</v>
      </c>
      <c r="Z167" s="111">
        <v>0</v>
      </c>
      <c r="AA167" s="111">
        <v>0</v>
      </c>
      <c r="AB167" s="111">
        <v>0</v>
      </c>
      <c r="AC167" s="111">
        <v>0</v>
      </c>
      <c r="AD167" s="111">
        <v>0</v>
      </c>
      <c r="AE167" s="111">
        <v>0</v>
      </c>
      <c r="AF167" s="111">
        <v>0</v>
      </c>
      <c r="AG167" s="111">
        <v>0</v>
      </c>
      <c r="AH167" s="111">
        <v>0</v>
      </c>
      <c r="AI167" s="111">
        <v>0</v>
      </c>
      <c r="AJ167" s="111">
        <v>0</v>
      </c>
      <c r="AK167" s="111">
        <v>0</v>
      </c>
      <c r="AL167" s="111">
        <v>0</v>
      </c>
      <c r="AM167" s="111">
        <v>0</v>
      </c>
      <c r="AN167" s="111">
        <v>0</v>
      </c>
      <c r="AO167" s="111">
        <v>0</v>
      </c>
      <c r="AP167" s="111">
        <v>0</v>
      </c>
      <c r="AQ167" s="111">
        <v>0</v>
      </c>
      <c r="AR167" s="111">
        <v>0</v>
      </c>
      <c r="AS167" s="111">
        <v>0</v>
      </c>
      <c r="AT167" s="111">
        <v>0</v>
      </c>
      <c r="AU167" s="111">
        <v>0</v>
      </c>
      <c r="AV167" s="111">
        <v>0</v>
      </c>
      <c r="AW167" s="111">
        <v>0</v>
      </c>
      <c r="AX167" s="111">
        <v>0</v>
      </c>
      <c r="AY167" s="111">
        <v>0</v>
      </c>
    </row>
    <row r="168" spans="1:52" x14ac:dyDescent="0.25">
      <c r="A168" s="114"/>
      <c r="B168" s="135">
        <v>47</v>
      </c>
      <c r="C168" s="111"/>
      <c r="D168" s="111">
        <v>0</v>
      </c>
      <c r="E168" s="111">
        <v>0</v>
      </c>
      <c r="F168" s="111">
        <v>0</v>
      </c>
      <c r="G168" s="111">
        <v>0</v>
      </c>
      <c r="H168" s="111">
        <v>0</v>
      </c>
      <c r="I168" s="111">
        <v>0</v>
      </c>
      <c r="J168" s="111">
        <v>0</v>
      </c>
      <c r="K168" s="111">
        <v>0</v>
      </c>
      <c r="L168" s="111">
        <v>0</v>
      </c>
      <c r="M168" s="111">
        <v>0</v>
      </c>
      <c r="N168" s="111">
        <v>0</v>
      </c>
      <c r="O168" s="111">
        <v>0</v>
      </c>
      <c r="P168" s="111">
        <v>0</v>
      </c>
      <c r="Q168" s="111">
        <v>0</v>
      </c>
      <c r="R168" s="111">
        <v>0</v>
      </c>
      <c r="S168" s="111">
        <v>0</v>
      </c>
      <c r="T168" s="111">
        <v>0</v>
      </c>
      <c r="U168" s="111">
        <v>0</v>
      </c>
      <c r="V168" s="111">
        <v>0</v>
      </c>
      <c r="W168" s="111">
        <v>0</v>
      </c>
      <c r="X168" s="111">
        <v>0</v>
      </c>
      <c r="Y168" s="111">
        <v>0</v>
      </c>
      <c r="Z168" s="111">
        <v>0</v>
      </c>
      <c r="AA168" s="111">
        <v>0</v>
      </c>
      <c r="AB168" s="111">
        <v>0</v>
      </c>
      <c r="AC168" s="111">
        <v>0</v>
      </c>
      <c r="AD168" s="111">
        <v>0</v>
      </c>
      <c r="AE168" s="111">
        <v>0</v>
      </c>
      <c r="AF168" s="111">
        <v>0</v>
      </c>
      <c r="AG168" s="111">
        <v>0</v>
      </c>
      <c r="AH168" s="111">
        <v>0</v>
      </c>
      <c r="AI168" s="111">
        <v>0</v>
      </c>
      <c r="AJ168" s="111">
        <v>0</v>
      </c>
      <c r="AK168" s="111">
        <v>0</v>
      </c>
      <c r="AL168" s="111">
        <v>0</v>
      </c>
      <c r="AM168" s="111">
        <v>0</v>
      </c>
      <c r="AN168" s="111">
        <v>0</v>
      </c>
      <c r="AO168" s="111">
        <v>0</v>
      </c>
      <c r="AP168" s="111">
        <v>0</v>
      </c>
      <c r="AQ168" s="111">
        <v>0</v>
      </c>
      <c r="AR168" s="111">
        <v>0</v>
      </c>
      <c r="AS168" s="111">
        <v>0</v>
      </c>
      <c r="AT168" s="111">
        <v>0</v>
      </c>
      <c r="AU168" s="111">
        <v>0</v>
      </c>
      <c r="AV168" s="111">
        <v>0</v>
      </c>
      <c r="AW168" s="111">
        <v>0</v>
      </c>
      <c r="AX168" s="111">
        <v>0</v>
      </c>
      <c r="AY168" s="111">
        <v>0</v>
      </c>
    </row>
    <row r="169" spans="1:52" x14ac:dyDescent="0.25">
      <c r="A169" s="114"/>
      <c r="B169" s="135">
        <v>48</v>
      </c>
      <c r="C169" s="111"/>
      <c r="D169" s="111">
        <v>0</v>
      </c>
      <c r="E169" s="111">
        <v>0</v>
      </c>
      <c r="F169" s="111">
        <v>0</v>
      </c>
      <c r="G169" s="111">
        <v>0</v>
      </c>
      <c r="H169" s="111">
        <v>0</v>
      </c>
      <c r="I169" s="111">
        <v>0</v>
      </c>
      <c r="J169" s="111">
        <v>0</v>
      </c>
      <c r="K169" s="111">
        <v>0</v>
      </c>
      <c r="L169" s="111">
        <v>0</v>
      </c>
      <c r="M169" s="111">
        <v>0</v>
      </c>
      <c r="N169" s="111">
        <v>0</v>
      </c>
      <c r="O169" s="111">
        <v>0</v>
      </c>
      <c r="P169" s="111">
        <v>0</v>
      </c>
      <c r="Q169" s="111">
        <v>0</v>
      </c>
      <c r="R169" s="111">
        <v>0</v>
      </c>
      <c r="S169" s="111">
        <v>0</v>
      </c>
      <c r="T169" s="111">
        <v>0</v>
      </c>
      <c r="U169" s="111">
        <v>0</v>
      </c>
      <c r="V169" s="111">
        <v>0</v>
      </c>
      <c r="W169" s="111">
        <v>0</v>
      </c>
      <c r="X169" s="111">
        <v>0</v>
      </c>
      <c r="Y169" s="111">
        <v>0</v>
      </c>
      <c r="Z169" s="111">
        <v>0</v>
      </c>
      <c r="AA169" s="111">
        <v>0</v>
      </c>
      <c r="AB169" s="111">
        <v>0</v>
      </c>
      <c r="AC169" s="111">
        <v>0</v>
      </c>
      <c r="AD169" s="111">
        <v>0</v>
      </c>
      <c r="AE169" s="111">
        <v>0</v>
      </c>
      <c r="AF169" s="111">
        <v>0</v>
      </c>
      <c r="AG169" s="111">
        <v>0</v>
      </c>
      <c r="AH169" s="111">
        <v>0</v>
      </c>
      <c r="AI169" s="111">
        <v>0</v>
      </c>
      <c r="AJ169" s="111">
        <v>0</v>
      </c>
      <c r="AK169" s="111">
        <v>0</v>
      </c>
      <c r="AL169" s="111">
        <v>0</v>
      </c>
      <c r="AM169" s="111">
        <v>0</v>
      </c>
      <c r="AN169" s="111">
        <v>0</v>
      </c>
      <c r="AO169" s="111">
        <v>0</v>
      </c>
      <c r="AP169" s="111">
        <v>0</v>
      </c>
      <c r="AQ169" s="111">
        <v>0</v>
      </c>
      <c r="AR169" s="111">
        <v>0</v>
      </c>
      <c r="AS169" s="111">
        <v>0</v>
      </c>
      <c r="AT169" s="111">
        <v>0</v>
      </c>
      <c r="AU169" s="111">
        <v>0</v>
      </c>
      <c r="AV169" s="111">
        <v>0</v>
      </c>
      <c r="AW169" s="111">
        <v>0</v>
      </c>
      <c r="AX169" s="111">
        <v>0</v>
      </c>
      <c r="AY169" s="111">
        <v>0</v>
      </c>
    </row>
    <row r="170" spans="1:52" x14ac:dyDescent="0.25">
      <c r="A170" s="133"/>
      <c r="B170" s="137" t="s">
        <v>295</v>
      </c>
      <c r="C170" s="119"/>
      <c r="D170" s="130">
        <v>0</v>
      </c>
      <c r="E170" s="130">
        <v>0</v>
      </c>
      <c r="F170" s="130">
        <v>0</v>
      </c>
      <c r="G170" s="130">
        <v>0</v>
      </c>
      <c r="H170" s="130">
        <v>0</v>
      </c>
      <c r="I170" s="130">
        <v>0</v>
      </c>
      <c r="J170" s="130">
        <v>0</v>
      </c>
      <c r="K170" s="130">
        <v>0</v>
      </c>
      <c r="L170" s="130">
        <v>0</v>
      </c>
      <c r="M170" s="130">
        <v>0</v>
      </c>
      <c r="N170" s="130">
        <v>0</v>
      </c>
      <c r="O170" s="130">
        <v>0</v>
      </c>
      <c r="P170" s="130">
        <v>0</v>
      </c>
      <c r="Q170" s="130">
        <v>0</v>
      </c>
      <c r="R170" s="130">
        <v>0</v>
      </c>
      <c r="S170" s="130">
        <v>0</v>
      </c>
      <c r="T170" s="130">
        <v>0</v>
      </c>
      <c r="U170" s="130">
        <v>0</v>
      </c>
      <c r="V170" s="130">
        <v>0</v>
      </c>
      <c r="W170" s="130">
        <v>0</v>
      </c>
      <c r="X170" s="130">
        <v>0</v>
      </c>
      <c r="Y170" s="130">
        <v>0</v>
      </c>
      <c r="Z170" s="130">
        <v>0</v>
      </c>
      <c r="AA170" s="130">
        <v>0</v>
      </c>
      <c r="AB170" s="130">
        <v>0</v>
      </c>
      <c r="AC170" s="130">
        <v>0</v>
      </c>
      <c r="AD170" s="130">
        <v>0</v>
      </c>
      <c r="AE170" s="130">
        <v>0</v>
      </c>
      <c r="AF170" s="130">
        <v>0</v>
      </c>
      <c r="AG170" s="130">
        <v>0</v>
      </c>
      <c r="AH170" s="130">
        <v>0</v>
      </c>
      <c r="AI170" s="130">
        <v>0</v>
      </c>
      <c r="AJ170" s="130">
        <v>0</v>
      </c>
      <c r="AK170" s="130">
        <v>0</v>
      </c>
      <c r="AL170" s="130">
        <v>0</v>
      </c>
      <c r="AM170" s="130">
        <v>0</v>
      </c>
      <c r="AN170" s="130">
        <v>0</v>
      </c>
      <c r="AO170" s="130">
        <v>0</v>
      </c>
      <c r="AP170" s="130">
        <v>0</v>
      </c>
      <c r="AQ170" s="130">
        <v>0</v>
      </c>
      <c r="AR170" s="130">
        <v>0</v>
      </c>
      <c r="AS170" s="130">
        <v>0</v>
      </c>
      <c r="AT170" s="130">
        <v>0</v>
      </c>
      <c r="AU170" s="130">
        <v>0</v>
      </c>
      <c r="AV170" s="130">
        <v>0</v>
      </c>
      <c r="AW170" s="130">
        <v>0</v>
      </c>
      <c r="AX170" s="130">
        <v>0</v>
      </c>
      <c r="AY170" s="130">
        <v>0</v>
      </c>
      <c r="AZ170" s="112">
        <f>SUM($D170:$AY170)</f>
        <v>0</v>
      </c>
    </row>
    <row r="172" spans="1:52" x14ac:dyDescent="0.25">
      <c r="A172" s="107" t="s">
        <v>124</v>
      </c>
      <c r="B172" s="138" t="s">
        <v>296</v>
      </c>
      <c r="C172" s="139"/>
      <c r="D172" s="139">
        <v>0.35</v>
      </c>
      <c r="E172" s="139">
        <v>0.35</v>
      </c>
      <c r="F172" s="139">
        <v>0.35</v>
      </c>
      <c r="G172" s="139">
        <v>0.35</v>
      </c>
      <c r="H172" s="139">
        <v>0.35</v>
      </c>
      <c r="I172" s="139">
        <v>0.35</v>
      </c>
      <c r="J172" s="139">
        <v>0.35</v>
      </c>
      <c r="K172" s="139">
        <v>0.35</v>
      </c>
      <c r="L172" s="139">
        <v>0.35</v>
      </c>
      <c r="M172" s="139">
        <v>0.35</v>
      </c>
      <c r="N172" s="139">
        <v>0.35</v>
      </c>
      <c r="O172" s="139">
        <v>0.35</v>
      </c>
      <c r="P172" s="139">
        <v>0.35</v>
      </c>
      <c r="Q172" s="139">
        <v>0.35</v>
      </c>
      <c r="R172" s="139">
        <v>0.35</v>
      </c>
      <c r="S172" s="139">
        <v>0.35</v>
      </c>
      <c r="T172" s="139">
        <v>0.35</v>
      </c>
      <c r="U172" s="139">
        <v>0.35</v>
      </c>
      <c r="V172" s="139">
        <v>0.35</v>
      </c>
      <c r="W172" s="139">
        <v>0.35</v>
      </c>
      <c r="X172" s="139">
        <v>0.35</v>
      </c>
      <c r="Y172" s="139">
        <v>0.35</v>
      </c>
      <c r="Z172" s="139">
        <v>0.35</v>
      </c>
      <c r="AA172" s="139">
        <v>0.35</v>
      </c>
      <c r="AB172" s="139">
        <v>0.35</v>
      </c>
      <c r="AC172" s="139">
        <v>0.35</v>
      </c>
      <c r="AD172" s="139">
        <v>0.35</v>
      </c>
      <c r="AE172" s="139">
        <v>0.35</v>
      </c>
      <c r="AF172" s="139">
        <v>0.35</v>
      </c>
      <c r="AG172" s="139">
        <v>0.35</v>
      </c>
      <c r="AH172" s="139">
        <v>0.35</v>
      </c>
      <c r="AI172" s="139">
        <v>0.35</v>
      </c>
      <c r="AJ172" s="139">
        <v>0.35</v>
      </c>
      <c r="AK172" s="139">
        <v>0.35</v>
      </c>
      <c r="AL172" s="139">
        <v>0.35</v>
      </c>
      <c r="AM172" s="139">
        <v>0.35</v>
      </c>
      <c r="AN172" s="139">
        <v>0.35</v>
      </c>
      <c r="AO172" s="139">
        <v>0.35</v>
      </c>
      <c r="AP172" s="139">
        <v>0.35</v>
      </c>
      <c r="AQ172" s="139">
        <v>0.35</v>
      </c>
      <c r="AR172" s="139">
        <v>0.35</v>
      </c>
      <c r="AS172" s="139">
        <v>0.35</v>
      </c>
      <c r="AT172" s="139">
        <v>0.35</v>
      </c>
      <c r="AU172" s="139">
        <v>0.35</v>
      </c>
      <c r="AV172" s="139">
        <v>0.35</v>
      </c>
      <c r="AW172" s="139">
        <v>0.35</v>
      </c>
      <c r="AX172" s="139">
        <v>0.35</v>
      </c>
      <c r="AY172" s="139">
        <v>0.35</v>
      </c>
    </row>
    <row r="174" spans="1:52" x14ac:dyDescent="0.25">
      <c r="A174" s="107" t="s">
        <v>271</v>
      </c>
    </row>
    <row r="175" spans="1:52" x14ac:dyDescent="0.25">
      <c r="A175" s="140" t="s">
        <v>125</v>
      </c>
      <c r="B175" s="140" t="s">
        <v>297</v>
      </c>
      <c r="C175" s="129" t="s">
        <v>292</v>
      </c>
      <c r="D175" s="129">
        <f t="shared" ref="D175:AY175" si="1">SUM(D95:D98)</f>
        <v>0</v>
      </c>
      <c r="E175" s="129">
        <f t="shared" si="1"/>
        <v>0</v>
      </c>
      <c r="F175" s="129">
        <f t="shared" si="1"/>
        <v>0</v>
      </c>
      <c r="G175" s="129">
        <f t="shared" si="1"/>
        <v>0</v>
      </c>
      <c r="H175" s="129">
        <f t="shared" si="1"/>
        <v>0</v>
      </c>
      <c r="I175" s="129">
        <f t="shared" si="1"/>
        <v>0</v>
      </c>
      <c r="J175" s="129">
        <f t="shared" si="1"/>
        <v>0</v>
      </c>
      <c r="K175" s="129">
        <f t="shared" si="1"/>
        <v>0</v>
      </c>
      <c r="L175" s="129">
        <f t="shared" si="1"/>
        <v>0</v>
      </c>
      <c r="M175" s="129">
        <f t="shared" si="1"/>
        <v>0</v>
      </c>
      <c r="N175" s="129">
        <f t="shared" si="1"/>
        <v>0</v>
      </c>
      <c r="O175" s="129">
        <f t="shared" si="1"/>
        <v>0</v>
      </c>
      <c r="P175" s="129">
        <f t="shared" si="1"/>
        <v>0</v>
      </c>
      <c r="Q175" s="129">
        <f t="shared" si="1"/>
        <v>0</v>
      </c>
      <c r="R175" s="129">
        <f t="shared" si="1"/>
        <v>0</v>
      </c>
      <c r="S175" s="129">
        <f t="shared" si="1"/>
        <v>0</v>
      </c>
      <c r="T175" s="129">
        <f t="shared" si="1"/>
        <v>0</v>
      </c>
      <c r="U175" s="129">
        <f t="shared" si="1"/>
        <v>0</v>
      </c>
      <c r="V175" s="129">
        <f t="shared" si="1"/>
        <v>0</v>
      </c>
      <c r="W175" s="129">
        <f t="shared" si="1"/>
        <v>0</v>
      </c>
      <c r="X175" s="129">
        <f t="shared" si="1"/>
        <v>0</v>
      </c>
      <c r="Y175" s="129">
        <f t="shared" si="1"/>
        <v>0</v>
      </c>
      <c r="Z175" s="129">
        <f t="shared" si="1"/>
        <v>0</v>
      </c>
      <c r="AA175" s="129">
        <f t="shared" si="1"/>
        <v>0</v>
      </c>
      <c r="AB175" s="129">
        <f t="shared" si="1"/>
        <v>0</v>
      </c>
      <c r="AC175" s="129">
        <f t="shared" si="1"/>
        <v>0</v>
      </c>
      <c r="AD175" s="129">
        <f t="shared" si="1"/>
        <v>0</v>
      </c>
      <c r="AE175" s="129">
        <f t="shared" si="1"/>
        <v>0</v>
      </c>
      <c r="AF175" s="129">
        <f t="shared" si="1"/>
        <v>0</v>
      </c>
      <c r="AG175" s="129">
        <f t="shared" si="1"/>
        <v>0</v>
      </c>
      <c r="AH175" s="129">
        <f t="shared" si="1"/>
        <v>0</v>
      </c>
      <c r="AI175" s="129">
        <f t="shared" si="1"/>
        <v>0</v>
      </c>
      <c r="AJ175" s="129">
        <f t="shared" si="1"/>
        <v>0</v>
      </c>
      <c r="AK175" s="129">
        <f t="shared" si="1"/>
        <v>0</v>
      </c>
      <c r="AL175" s="129">
        <f t="shared" si="1"/>
        <v>0</v>
      </c>
      <c r="AM175" s="129">
        <f t="shared" si="1"/>
        <v>0</v>
      </c>
      <c r="AN175" s="129">
        <f t="shared" si="1"/>
        <v>0</v>
      </c>
      <c r="AO175" s="129">
        <f t="shared" si="1"/>
        <v>0</v>
      </c>
      <c r="AP175" s="129">
        <f t="shared" si="1"/>
        <v>0</v>
      </c>
      <c r="AQ175" s="129">
        <f t="shared" si="1"/>
        <v>0</v>
      </c>
      <c r="AR175" s="129">
        <f t="shared" si="1"/>
        <v>0</v>
      </c>
      <c r="AS175" s="129">
        <f t="shared" si="1"/>
        <v>0</v>
      </c>
      <c r="AT175" s="129">
        <f t="shared" si="1"/>
        <v>0</v>
      </c>
      <c r="AU175" s="129">
        <f t="shared" si="1"/>
        <v>0</v>
      </c>
      <c r="AV175" s="129">
        <f t="shared" si="1"/>
        <v>0</v>
      </c>
      <c r="AW175" s="129">
        <f t="shared" si="1"/>
        <v>0</v>
      </c>
      <c r="AX175" s="129">
        <f t="shared" si="1"/>
        <v>0</v>
      </c>
      <c r="AY175" s="129">
        <f t="shared" si="1"/>
        <v>0</v>
      </c>
    </row>
    <row r="176" spans="1:52" x14ac:dyDescent="0.25">
      <c r="A176" s="130"/>
      <c r="B176" s="141" t="s">
        <v>298</v>
      </c>
      <c r="C176" s="130" t="s">
        <v>292</v>
      </c>
      <c r="D176" s="130">
        <v>0</v>
      </c>
      <c r="E176" s="130">
        <v>0</v>
      </c>
      <c r="F176" s="130">
        <v>0</v>
      </c>
      <c r="G176" s="130">
        <v>0</v>
      </c>
      <c r="H176" s="130">
        <v>0</v>
      </c>
      <c r="I176" s="130">
        <v>0</v>
      </c>
      <c r="J176" s="130">
        <v>0</v>
      </c>
      <c r="K176" s="130">
        <v>0</v>
      </c>
      <c r="L176" s="130">
        <v>0</v>
      </c>
      <c r="M176" s="130">
        <v>0</v>
      </c>
      <c r="N176" s="130">
        <v>0</v>
      </c>
      <c r="O176" s="130">
        <v>0</v>
      </c>
      <c r="P176" s="130">
        <v>0</v>
      </c>
      <c r="Q176" s="130">
        <v>0</v>
      </c>
      <c r="R176" s="130">
        <v>0</v>
      </c>
      <c r="S176" s="130">
        <v>0</v>
      </c>
      <c r="T176" s="130">
        <v>0</v>
      </c>
      <c r="U176" s="130">
        <v>0</v>
      </c>
      <c r="V176" s="130">
        <v>0</v>
      </c>
      <c r="W176" s="130">
        <v>0</v>
      </c>
      <c r="X176" s="130">
        <v>0</v>
      </c>
      <c r="Y176" s="130">
        <v>0</v>
      </c>
      <c r="Z176" s="130">
        <v>0</v>
      </c>
      <c r="AA176" s="130">
        <v>0</v>
      </c>
      <c r="AB176" s="130">
        <v>0</v>
      </c>
      <c r="AC176" s="130">
        <v>0</v>
      </c>
      <c r="AD176" s="130">
        <v>0</v>
      </c>
      <c r="AE176" s="130">
        <v>0</v>
      </c>
      <c r="AF176" s="130">
        <v>0</v>
      </c>
      <c r="AG176" s="130">
        <v>0</v>
      </c>
      <c r="AH176" s="130">
        <v>0</v>
      </c>
      <c r="AI176" s="130">
        <v>0</v>
      </c>
      <c r="AJ176" s="130">
        <v>0</v>
      </c>
      <c r="AK176" s="130">
        <v>0</v>
      </c>
      <c r="AL176" s="130">
        <v>0</v>
      </c>
      <c r="AM176" s="130">
        <v>0</v>
      </c>
      <c r="AN176" s="130">
        <v>0</v>
      </c>
      <c r="AO176" s="130">
        <v>0</v>
      </c>
      <c r="AP176" s="130">
        <v>0</v>
      </c>
      <c r="AQ176" s="130">
        <v>0</v>
      </c>
      <c r="AR176" s="130">
        <v>0</v>
      </c>
      <c r="AS176" s="130">
        <v>0</v>
      </c>
      <c r="AT176" s="130">
        <v>0</v>
      </c>
      <c r="AU176" s="130">
        <v>0</v>
      </c>
      <c r="AV176" s="130">
        <v>0</v>
      </c>
      <c r="AW176" s="130">
        <v>0</v>
      </c>
      <c r="AX176" s="130">
        <v>0</v>
      </c>
      <c r="AY176" s="130">
        <v>0</v>
      </c>
    </row>
    <row r="177" spans="1:51" x14ac:dyDescent="0.25">
      <c r="A177" s="140" t="s">
        <v>133</v>
      </c>
      <c r="B177" s="140" t="s">
        <v>297</v>
      </c>
      <c r="C177" s="129" t="s">
        <v>292</v>
      </c>
      <c r="D177" s="129">
        <f t="shared" ref="D177:AY177" si="2">SUM(D100:D107)</f>
        <v>0</v>
      </c>
      <c r="E177" s="129">
        <f t="shared" si="2"/>
        <v>0</v>
      </c>
      <c r="F177" s="129">
        <f t="shared" si="2"/>
        <v>748.23749999999995</v>
      </c>
      <c r="G177" s="129">
        <f t="shared" si="2"/>
        <v>599.45624999999995</v>
      </c>
      <c r="H177" s="129">
        <f t="shared" si="2"/>
        <v>1810.7124999999999</v>
      </c>
      <c r="I177" s="129">
        <f t="shared" si="2"/>
        <v>2178.3562499999998</v>
      </c>
      <c r="J177" s="129">
        <f t="shared" si="2"/>
        <v>2286.3485252808987</v>
      </c>
      <c r="K177" s="129">
        <f t="shared" si="2"/>
        <v>2723.2110252808984</v>
      </c>
      <c r="L177" s="129">
        <f t="shared" si="2"/>
        <v>3354.8235252808986</v>
      </c>
      <c r="M177" s="129">
        <f t="shared" si="2"/>
        <v>3727.8422752808983</v>
      </c>
      <c r="N177" s="129">
        <f t="shared" si="2"/>
        <v>4744.7624999999998</v>
      </c>
      <c r="O177" s="129">
        <f t="shared" si="2"/>
        <v>4525.1374999999998</v>
      </c>
      <c r="P177" s="129">
        <f t="shared" si="2"/>
        <v>5119.7735252808989</v>
      </c>
      <c r="Q177" s="129">
        <f t="shared" si="2"/>
        <v>5402.0610252808992</v>
      </c>
      <c r="R177" s="129">
        <f t="shared" si="2"/>
        <v>5901.5250000000005</v>
      </c>
      <c r="S177" s="129">
        <f t="shared" si="2"/>
        <v>5380.2562500000004</v>
      </c>
      <c r="T177" s="129">
        <f t="shared" si="2"/>
        <v>5486.4360252808992</v>
      </c>
      <c r="U177" s="129">
        <f t="shared" si="2"/>
        <v>5985.9000000000005</v>
      </c>
      <c r="V177" s="129">
        <f t="shared" si="2"/>
        <v>5486.4360252808992</v>
      </c>
      <c r="W177" s="129">
        <f t="shared" si="2"/>
        <v>5322.0375000000004</v>
      </c>
      <c r="X177" s="129">
        <f t="shared" si="2"/>
        <v>5985.9000000000005</v>
      </c>
      <c r="Y177" s="129">
        <f t="shared" si="2"/>
        <v>5295.8812500000004</v>
      </c>
      <c r="Z177" s="129">
        <f t="shared" si="2"/>
        <v>5402.0610252808992</v>
      </c>
      <c r="AA177" s="129">
        <f t="shared" si="2"/>
        <v>5380.2562500000004</v>
      </c>
      <c r="AB177" s="129">
        <f t="shared" si="2"/>
        <v>5985.9000000000005</v>
      </c>
      <c r="AC177" s="129">
        <f t="shared" si="2"/>
        <v>5927.6812500000005</v>
      </c>
      <c r="AD177" s="129">
        <f t="shared" si="2"/>
        <v>5486.4360252808992</v>
      </c>
      <c r="AE177" s="129">
        <f t="shared" si="2"/>
        <v>5380.2562500000004</v>
      </c>
      <c r="AF177" s="129">
        <f t="shared" si="2"/>
        <v>4880.792275280899</v>
      </c>
      <c r="AG177" s="129">
        <f t="shared" si="2"/>
        <v>5900.1375000000007</v>
      </c>
      <c r="AH177" s="129">
        <f t="shared" si="2"/>
        <v>5110.9110252808987</v>
      </c>
      <c r="AI177" s="129">
        <f t="shared" si="2"/>
        <v>4864.5547752808989</v>
      </c>
      <c r="AJ177" s="129">
        <f t="shared" si="2"/>
        <v>5431.6312500000004</v>
      </c>
      <c r="AK177" s="129">
        <f t="shared" si="2"/>
        <v>4554.8500000000004</v>
      </c>
      <c r="AL177" s="129">
        <f t="shared" si="2"/>
        <v>4294.8610252808985</v>
      </c>
      <c r="AM177" s="129">
        <f t="shared" si="2"/>
        <v>3617.6999999999994</v>
      </c>
      <c r="AN177" s="129">
        <f t="shared" si="2"/>
        <v>3352.1562499999991</v>
      </c>
      <c r="AO177" s="129">
        <f t="shared" si="2"/>
        <v>2233.5312499999991</v>
      </c>
      <c r="AP177" s="129">
        <f t="shared" si="2"/>
        <v>1132.7687499999993</v>
      </c>
      <c r="AQ177" s="129">
        <f t="shared" si="2"/>
        <v>142.59375</v>
      </c>
      <c r="AR177" s="129">
        <f t="shared" si="2"/>
        <v>58.21875</v>
      </c>
      <c r="AS177" s="129">
        <f t="shared" si="2"/>
        <v>796.19852528089882</v>
      </c>
      <c r="AT177" s="129">
        <f t="shared" si="2"/>
        <v>642.05772471910109</v>
      </c>
      <c r="AU177" s="129">
        <f t="shared" si="2"/>
        <v>1353.8812499999999</v>
      </c>
      <c r="AV177" s="129">
        <f t="shared" si="2"/>
        <v>142.59375</v>
      </c>
      <c r="AW177" s="129">
        <f t="shared" si="2"/>
        <v>690.01874999999995</v>
      </c>
      <c r="AX177" s="129">
        <f t="shared" si="2"/>
        <v>806.45624999999995</v>
      </c>
      <c r="AY177" s="129">
        <f t="shared" si="2"/>
        <v>142.59375</v>
      </c>
    </row>
    <row r="178" spans="1:51" x14ac:dyDescent="0.25">
      <c r="A178" s="130"/>
      <c r="B178" s="141" t="s">
        <v>298</v>
      </c>
      <c r="C178" s="130" t="s">
        <v>292</v>
      </c>
      <c r="D178" s="130">
        <v>0</v>
      </c>
      <c r="E178" s="130">
        <v>0</v>
      </c>
      <c r="F178" s="130">
        <v>207</v>
      </c>
      <c r="G178" s="130">
        <v>227</v>
      </c>
      <c r="H178" s="130">
        <v>238</v>
      </c>
      <c r="I178" s="130">
        <v>199</v>
      </c>
      <c r="J178" s="130">
        <v>227</v>
      </c>
      <c r="K178" s="130">
        <v>201</v>
      </c>
      <c r="L178" s="130">
        <v>317</v>
      </c>
      <c r="M178" s="130">
        <v>289</v>
      </c>
      <c r="N178" s="130">
        <v>304</v>
      </c>
      <c r="O178" s="130">
        <v>318</v>
      </c>
      <c r="P178" s="130">
        <v>379</v>
      </c>
      <c r="Q178" s="130">
        <v>334</v>
      </c>
      <c r="R178" s="130">
        <v>347</v>
      </c>
      <c r="S178" s="130">
        <v>335</v>
      </c>
      <c r="T178" s="130">
        <v>359</v>
      </c>
      <c r="U178" s="130">
        <v>398</v>
      </c>
      <c r="V178" s="130">
        <v>409</v>
      </c>
      <c r="W178" s="130">
        <v>437</v>
      </c>
      <c r="X178" s="130">
        <v>447</v>
      </c>
      <c r="Y178" s="130">
        <v>459</v>
      </c>
      <c r="Z178" s="130">
        <v>552</v>
      </c>
      <c r="AA178" s="130">
        <v>500</v>
      </c>
      <c r="AB178" s="130">
        <v>682</v>
      </c>
      <c r="AC178" s="130">
        <v>731</v>
      </c>
      <c r="AD178" s="130">
        <v>716</v>
      </c>
      <c r="AE178" s="130">
        <v>639</v>
      </c>
      <c r="AF178" s="130">
        <v>834</v>
      </c>
      <c r="AG178" s="130">
        <v>1038</v>
      </c>
      <c r="AH178" s="130">
        <v>852</v>
      </c>
      <c r="AI178" s="130">
        <v>765</v>
      </c>
      <c r="AJ178" s="130">
        <v>935</v>
      </c>
      <c r="AK178" s="130">
        <v>1257</v>
      </c>
      <c r="AL178" s="130">
        <v>1261</v>
      </c>
      <c r="AM178" s="130">
        <v>1072</v>
      </c>
      <c r="AN178" s="130">
        <v>1203</v>
      </c>
      <c r="AO178" s="130">
        <v>1849</v>
      </c>
      <c r="AP178" s="130">
        <v>1132.7687499999993</v>
      </c>
      <c r="AQ178" s="130">
        <v>142.59375</v>
      </c>
      <c r="AR178" s="130">
        <v>58.21875</v>
      </c>
      <c r="AS178" s="130">
        <v>796.19852528089882</v>
      </c>
      <c r="AT178" s="130">
        <v>642.05772471910109</v>
      </c>
      <c r="AU178" s="130">
        <v>1353.8812499999999</v>
      </c>
      <c r="AV178" s="130">
        <v>142.59375</v>
      </c>
      <c r="AW178" s="130">
        <v>690.01874999999995</v>
      </c>
      <c r="AX178" s="130">
        <v>806.45624999999995</v>
      </c>
      <c r="AY178" s="130">
        <v>142.59375</v>
      </c>
    </row>
    <row r="179" spans="1:51" x14ac:dyDescent="0.25">
      <c r="A179" s="140" t="s">
        <v>134</v>
      </c>
      <c r="B179" s="140" t="s">
        <v>297</v>
      </c>
      <c r="C179" s="129" t="s">
        <v>292</v>
      </c>
      <c r="D179" s="129">
        <f t="shared" ref="D179:AY179" si="3">SUM(D109:D120)</f>
        <v>0</v>
      </c>
      <c r="E179" s="129">
        <f t="shared" si="3"/>
        <v>0</v>
      </c>
      <c r="F179" s="129">
        <f t="shared" si="3"/>
        <v>0</v>
      </c>
      <c r="G179" s="129">
        <f t="shared" si="3"/>
        <v>256.06350000000003</v>
      </c>
      <c r="H179" s="129">
        <f t="shared" si="3"/>
        <v>251.67852500000006</v>
      </c>
      <c r="I179" s="129">
        <f t="shared" si="3"/>
        <v>623.5815412500001</v>
      </c>
      <c r="J179" s="129">
        <f t="shared" si="3"/>
        <v>969.88325181250013</v>
      </c>
      <c r="K179" s="129">
        <f t="shared" si="3"/>
        <v>1192.9389423298105</v>
      </c>
      <c r="L179" s="129">
        <f t="shared" si="3"/>
        <v>1461.7636411660624</v>
      </c>
      <c r="M179" s="129">
        <f t="shared" si="3"/>
        <v>1808.888195409626</v>
      </c>
      <c r="N179" s="129">
        <f t="shared" si="3"/>
        <v>2105.8589056679425</v>
      </c>
      <c r="O179" s="129">
        <f t="shared" si="3"/>
        <v>2658.7047886841624</v>
      </c>
      <c r="P179" s="129">
        <f t="shared" si="3"/>
        <v>2901.7796126447065</v>
      </c>
      <c r="Q179" s="129">
        <f t="shared" si="3"/>
        <v>3237.9025768707447</v>
      </c>
      <c r="R179" s="129">
        <f t="shared" si="3"/>
        <v>3519.7210036176698</v>
      </c>
      <c r="S179" s="129">
        <f t="shared" si="3"/>
        <v>3964.1441523514859</v>
      </c>
      <c r="T179" s="129">
        <f t="shared" si="3"/>
        <v>4171.3929490284663</v>
      </c>
      <c r="U179" s="129">
        <f t="shared" si="3"/>
        <v>4455.1052455201889</v>
      </c>
      <c r="V179" s="129">
        <f t="shared" si="3"/>
        <v>4849.2594095881241</v>
      </c>
      <c r="W179" s="129">
        <f t="shared" si="3"/>
        <v>5004.5454448839673</v>
      </c>
      <c r="X179" s="129">
        <f t="shared" si="3"/>
        <v>5140.3840391745789</v>
      </c>
      <c r="Y179" s="129">
        <f t="shared" si="3"/>
        <v>5488.8811254634775</v>
      </c>
      <c r="Z179" s="129">
        <f t="shared" si="3"/>
        <v>5490.0779815512606</v>
      </c>
      <c r="AA179" s="129">
        <f t="shared" si="3"/>
        <v>5589.4065166600058</v>
      </c>
      <c r="AB179" s="129">
        <f t="shared" si="3"/>
        <v>5631.6714858290034</v>
      </c>
      <c r="AC179" s="129">
        <f t="shared" si="3"/>
        <v>5787.3719657888541</v>
      </c>
      <c r="AD179" s="129">
        <f t="shared" si="3"/>
        <v>5733.7670277627558</v>
      </c>
      <c r="AE179" s="129">
        <f t="shared" si="3"/>
        <v>5576.8333966974778</v>
      </c>
      <c r="AF179" s="129">
        <f t="shared" si="3"/>
        <v>5377.1600088248942</v>
      </c>
      <c r="AG179" s="129">
        <f t="shared" si="3"/>
        <v>4975.0012557361824</v>
      </c>
      <c r="AH179" s="129">
        <f t="shared" si="3"/>
        <v>4942.1030130165618</v>
      </c>
      <c r="AI179" s="129">
        <f t="shared" si="3"/>
        <v>4709.0051905446526</v>
      </c>
      <c r="AJ179" s="129">
        <f t="shared" si="3"/>
        <v>4378.7063559379112</v>
      </c>
      <c r="AK179" s="129">
        <f t="shared" si="3"/>
        <v>4007.5725272862255</v>
      </c>
      <c r="AL179" s="129">
        <f t="shared" si="3"/>
        <v>3356.4092886626295</v>
      </c>
      <c r="AM179" s="129">
        <f t="shared" si="3"/>
        <v>2937.6086173143149</v>
      </c>
      <c r="AN179" s="129">
        <f t="shared" si="3"/>
        <v>2484.4112886626299</v>
      </c>
      <c r="AO179" s="129">
        <f t="shared" si="3"/>
        <v>1428.39853866263</v>
      </c>
      <c r="AP179" s="129">
        <f t="shared" si="3"/>
        <v>250.2735386626299</v>
      </c>
      <c r="AQ179" s="129">
        <f t="shared" si="3"/>
        <v>256.06350000000003</v>
      </c>
      <c r="AR179" s="129">
        <f t="shared" si="3"/>
        <v>48.798749999999998</v>
      </c>
      <c r="AS179" s="129">
        <f t="shared" si="3"/>
        <v>19.923750000000002</v>
      </c>
      <c r="AT179" s="129">
        <f t="shared" si="3"/>
        <v>272.47682865168542</v>
      </c>
      <c r="AU179" s="129">
        <f t="shared" si="3"/>
        <v>219.72642134831463</v>
      </c>
      <c r="AV179" s="129">
        <f t="shared" si="3"/>
        <v>463.32825000000008</v>
      </c>
      <c r="AW179" s="129">
        <f t="shared" si="3"/>
        <v>48.798749999999998</v>
      </c>
      <c r="AX179" s="129">
        <f t="shared" si="3"/>
        <v>236.13974999999999</v>
      </c>
      <c r="AY179" s="129">
        <f t="shared" si="3"/>
        <v>275.98725000000002</v>
      </c>
    </row>
    <row r="180" spans="1:51" x14ac:dyDescent="0.25">
      <c r="A180" s="130"/>
      <c r="B180" s="141" t="s">
        <v>298</v>
      </c>
      <c r="C180" s="130" t="s">
        <v>292</v>
      </c>
      <c r="D180" s="130">
        <v>0</v>
      </c>
      <c r="E180" s="130">
        <v>0</v>
      </c>
      <c r="F180" s="130">
        <v>0</v>
      </c>
      <c r="G180" s="130">
        <v>140</v>
      </c>
      <c r="H180" s="130">
        <v>164</v>
      </c>
      <c r="I180" s="130">
        <v>154</v>
      </c>
      <c r="J180" s="130">
        <v>154</v>
      </c>
      <c r="K180" s="130">
        <v>159</v>
      </c>
      <c r="L180" s="130">
        <v>169</v>
      </c>
      <c r="M180" s="130">
        <v>212</v>
      </c>
      <c r="N180" s="130">
        <v>171</v>
      </c>
      <c r="O180" s="130">
        <v>201</v>
      </c>
      <c r="P180" s="130">
        <v>212</v>
      </c>
      <c r="Q180" s="130">
        <v>225</v>
      </c>
      <c r="R180" s="130">
        <v>235</v>
      </c>
      <c r="S180" s="130">
        <v>248</v>
      </c>
      <c r="T180" s="130">
        <v>229</v>
      </c>
      <c r="U180" s="130">
        <v>273</v>
      </c>
      <c r="V180" s="130">
        <v>283</v>
      </c>
      <c r="W180" s="130">
        <v>275</v>
      </c>
      <c r="X180" s="130">
        <v>308</v>
      </c>
      <c r="Y180" s="130">
        <v>324</v>
      </c>
      <c r="Z180" s="130">
        <v>290</v>
      </c>
      <c r="AA180" s="130">
        <v>332</v>
      </c>
      <c r="AB180" s="130">
        <v>420</v>
      </c>
      <c r="AC180" s="130">
        <v>539</v>
      </c>
      <c r="AD180" s="130">
        <v>455</v>
      </c>
      <c r="AE180" s="130">
        <v>359</v>
      </c>
      <c r="AF180" s="130">
        <v>469</v>
      </c>
      <c r="AG180" s="130">
        <v>630</v>
      </c>
      <c r="AH180" s="130">
        <v>545</v>
      </c>
      <c r="AI180" s="130">
        <v>538</v>
      </c>
      <c r="AJ180" s="130">
        <v>827</v>
      </c>
      <c r="AK180" s="130">
        <v>672</v>
      </c>
      <c r="AL180" s="130">
        <v>760</v>
      </c>
      <c r="AM180" s="130">
        <v>653</v>
      </c>
      <c r="AN180" s="130">
        <v>1332</v>
      </c>
      <c r="AO180" s="130">
        <v>1207</v>
      </c>
      <c r="AP180" s="130">
        <v>250.2735386626299</v>
      </c>
      <c r="AQ180" s="130">
        <v>256.06350000000003</v>
      </c>
      <c r="AR180" s="130">
        <v>48.798749999999998</v>
      </c>
      <c r="AS180" s="130">
        <v>19.923750000000002</v>
      </c>
      <c r="AT180" s="130">
        <v>272.47682865168542</v>
      </c>
      <c r="AU180" s="130">
        <v>219.72642134831463</v>
      </c>
      <c r="AV180" s="130">
        <v>463.32825000000008</v>
      </c>
      <c r="AW180" s="130">
        <v>48.798749999999998</v>
      </c>
      <c r="AX180" s="130">
        <v>236.13974999999999</v>
      </c>
      <c r="AY180" s="130">
        <v>275.98725000000002</v>
      </c>
    </row>
    <row r="181" spans="1:51" x14ac:dyDescent="0.25">
      <c r="A181" s="140" t="s">
        <v>123</v>
      </c>
      <c r="B181" s="140" t="s">
        <v>297</v>
      </c>
      <c r="C181" s="129" t="s">
        <v>292</v>
      </c>
      <c r="D181" s="129">
        <f t="shared" ref="D181:AY181" si="4">(1-D172)*SUM(D122:D169)</f>
        <v>0</v>
      </c>
      <c r="E181" s="129">
        <f t="shared" si="4"/>
        <v>0</v>
      </c>
      <c r="F181" s="129">
        <f t="shared" si="4"/>
        <v>475.54650000000009</v>
      </c>
      <c r="G181" s="129">
        <f t="shared" si="4"/>
        <v>251.85647500000007</v>
      </c>
      <c r="H181" s="129">
        <f t="shared" si="4"/>
        <v>995.24845875000028</v>
      </c>
      <c r="I181" s="129">
        <f t="shared" si="4"/>
        <v>929.13174818750019</v>
      </c>
      <c r="J181" s="129">
        <f t="shared" si="4"/>
        <v>700.24628238929085</v>
      </c>
      <c r="K181" s="129">
        <f t="shared" si="4"/>
        <v>794.53158355303913</v>
      </c>
      <c r="L181" s="129">
        <f t="shared" si="4"/>
        <v>958.51702930947556</v>
      </c>
      <c r="M181" s="129">
        <f t="shared" si="4"/>
        <v>945.23131905115929</v>
      </c>
      <c r="N181" s="129">
        <f t="shared" si="4"/>
        <v>1344.2852113158381</v>
      </c>
      <c r="O181" s="129">
        <f t="shared" si="4"/>
        <v>824.71038735529476</v>
      </c>
      <c r="P181" s="129">
        <f t="shared" si="4"/>
        <v>1017.9426478483573</v>
      </c>
      <c r="Q181" s="129">
        <f t="shared" si="4"/>
        <v>941.23422110143247</v>
      </c>
      <c r="R181" s="129">
        <f t="shared" si="4"/>
        <v>1261.7858476485155</v>
      </c>
      <c r="S181" s="129">
        <f t="shared" si="4"/>
        <v>845.46205097153506</v>
      </c>
      <c r="T181" s="129">
        <f t="shared" si="4"/>
        <v>952.17997919891366</v>
      </c>
      <c r="U181" s="129">
        <f t="shared" si="4"/>
        <v>1239.0005904118782</v>
      </c>
      <c r="V181" s="129">
        <f t="shared" si="4"/>
        <v>813.9597798351366</v>
      </c>
      <c r="W181" s="129">
        <f t="shared" si="4"/>
        <v>762.98596082542315</v>
      </c>
      <c r="X181" s="129">
        <f t="shared" si="4"/>
        <v>1219.2088745365252</v>
      </c>
      <c r="Y181" s="129">
        <f t="shared" si="4"/>
        <v>603.93701844874147</v>
      </c>
      <c r="Z181" s="129">
        <f t="shared" si="4"/>
        <v>723.03870805909787</v>
      </c>
      <c r="AA181" s="129">
        <f t="shared" si="4"/>
        <v>695.06351417099779</v>
      </c>
      <c r="AB181" s="129">
        <f t="shared" si="4"/>
        <v>1069.1580342111488</v>
      </c>
      <c r="AC181" s="129">
        <f t="shared" si="4"/>
        <v>901.44797223724674</v>
      </c>
      <c r="AD181" s="129">
        <f t="shared" si="4"/>
        <v>553.55182802162619</v>
      </c>
      <c r="AE181" s="129">
        <f t="shared" si="4"/>
        <v>452.62204214664132</v>
      </c>
      <c r="AF181" s="129">
        <f t="shared" si="4"/>
        <v>205.31372346273264</v>
      </c>
      <c r="AG181" s="129">
        <f t="shared" si="4"/>
        <v>1177.9038539325843</v>
      </c>
      <c r="AH181" s="129">
        <f t="shared" si="4"/>
        <v>579.24690112359565</v>
      </c>
      <c r="AI181" s="129">
        <f t="shared" si="4"/>
        <v>385.73073573033724</v>
      </c>
      <c r="AJ181" s="129">
        <f t="shared" si="4"/>
        <v>846.60860393258429</v>
      </c>
      <c r="AK181" s="129">
        <f t="shared" si="4"/>
        <v>38.696842556179831</v>
      </c>
      <c r="AL181" s="129">
        <f t="shared" si="4"/>
        <v>633.65589606741582</v>
      </c>
      <c r="AM181" s="129">
        <f t="shared" si="4"/>
        <v>371.06210393258436</v>
      </c>
      <c r="AN181" s="129">
        <f t="shared" si="4"/>
        <v>512.54775000000006</v>
      </c>
      <c r="AO181" s="129">
        <f t="shared" si="4"/>
        <v>53.625000000000036</v>
      </c>
      <c r="AP181" s="129">
        <f t="shared" si="4"/>
        <v>475.54650000000009</v>
      </c>
      <c r="AQ181" s="129">
        <f t="shared" si="4"/>
        <v>90.626250000000013</v>
      </c>
      <c r="AR181" s="129">
        <f t="shared" si="4"/>
        <v>37.001250000000006</v>
      </c>
      <c r="AS181" s="129">
        <f t="shared" si="4"/>
        <v>506.02839606741577</v>
      </c>
      <c r="AT181" s="129">
        <f t="shared" si="4"/>
        <v>408.06335393258433</v>
      </c>
      <c r="AU181" s="129">
        <f t="shared" si="4"/>
        <v>860.46675000000027</v>
      </c>
      <c r="AV181" s="129">
        <f t="shared" si="4"/>
        <v>90.626250000000013</v>
      </c>
      <c r="AW181" s="129">
        <f t="shared" si="4"/>
        <v>438.54525000000007</v>
      </c>
      <c r="AX181" s="129">
        <f t="shared" si="4"/>
        <v>512.54775000000006</v>
      </c>
      <c r="AY181" s="129">
        <f t="shared" si="4"/>
        <v>90.626250000000013</v>
      </c>
    </row>
    <row r="182" spans="1:51" x14ac:dyDescent="0.25">
      <c r="A182" s="130"/>
      <c r="B182" s="141" t="s">
        <v>298</v>
      </c>
      <c r="C182" s="130" t="s">
        <v>292</v>
      </c>
      <c r="D182" s="130">
        <v>0</v>
      </c>
      <c r="E182" s="130">
        <v>0</v>
      </c>
      <c r="F182" s="130">
        <v>145</v>
      </c>
      <c r="G182" s="130">
        <v>127</v>
      </c>
      <c r="H182" s="130">
        <v>158</v>
      </c>
      <c r="I182" s="130">
        <v>152</v>
      </c>
      <c r="J182" s="130">
        <v>127</v>
      </c>
      <c r="K182" s="130">
        <v>134</v>
      </c>
      <c r="L182" s="130">
        <v>179</v>
      </c>
      <c r="M182" s="130">
        <v>154</v>
      </c>
      <c r="N182" s="130">
        <v>158</v>
      </c>
      <c r="O182" s="130">
        <v>151</v>
      </c>
      <c r="P182" s="130">
        <v>219</v>
      </c>
      <c r="Q182" s="130">
        <v>220</v>
      </c>
      <c r="R182" s="130">
        <v>183</v>
      </c>
      <c r="S182" s="130">
        <v>216</v>
      </c>
      <c r="T182" s="130">
        <v>266</v>
      </c>
      <c r="U182" s="130">
        <v>230</v>
      </c>
      <c r="V182" s="130">
        <v>211</v>
      </c>
      <c r="W182" s="130">
        <v>268</v>
      </c>
      <c r="X182" s="130">
        <v>347</v>
      </c>
      <c r="Y182" s="130">
        <v>327</v>
      </c>
      <c r="Z182" s="130">
        <v>364</v>
      </c>
      <c r="AA182" s="130">
        <v>374</v>
      </c>
      <c r="AB182" s="130">
        <v>357</v>
      </c>
      <c r="AC182" s="130">
        <v>350</v>
      </c>
      <c r="AD182" s="130">
        <v>485</v>
      </c>
      <c r="AE182" s="130">
        <v>380</v>
      </c>
      <c r="AF182" s="130">
        <v>205.31372346273264</v>
      </c>
      <c r="AG182" s="130">
        <v>530</v>
      </c>
      <c r="AH182" s="130">
        <v>578</v>
      </c>
      <c r="AI182" s="130">
        <v>385.73073573033724</v>
      </c>
      <c r="AJ182" s="130">
        <v>844</v>
      </c>
      <c r="AK182" s="130">
        <v>38.696842556179831</v>
      </c>
      <c r="AL182" s="130">
        <v>633.65589606741582</v>
      </c>
      <c r="AM182" s="130">
        <v>371.06210393258436</v>
      </c>
      <c r="AN182" s="130">
        <v>512.54775000000006</v>
      </c>
      <c r="AO182" s="130">
        <v>53.625000000000036</v>
      </c>
      <c r="AP182" s="130">
        <v>475.54650000000009</v>
      </c>
      <c r="AQ182" s="130">
        <v>90.626250000000013</v>
      </c>
      <c r="AR182" s="130">
        <v>37.001250000000006</v>
      </c>
      <c r="AS182" s="130">
        <v>506.02839606741577</v>
      </c>
      <c r="AT182" s="130">
        <v>408.06335393258433</v>
      </c>
      <c r="AU182" s="130">
        <v>860.46675000000027</v>
      </c>
      <c r="AV182" s="130">
        <v>90.626250000000013</v>
      </c>
      <c r="AW182" s="130">
        <v>438.54525000000007</v>
      </c>
      <c r="AX182" s="130">
        <v>512.54775000000006</v>
      </c>
      <c r="AY182" s="130">
        <v>90.626250000000013</v>
      </c>
    </row>
    <row r="184" spans="1:51" x14ac:dyDescent="0.25">
      <c r="A184" s="107" t="s">
        <v>299</v>
      </c>
    </row>
    <row r="185" spans="1:51" x14ac:dyDescent="0.25">
      <c r="A185" s="131" t="s">
        <v>125</v>
      </c>
      <c r="B185" s="128">
        <v>1</v>
      </c>
      <c r="C185" s="129"/>
      <c r="D185" s="129">
        <v>0</v>
      </c>
      <c r="E185" s="129">
        <v>0</v>
      </c>
      <c r="F185" s="129">
        <v>0</v>
      </c>
      <c r="G185" s="129">
        <v>0</v>
      </c>
      <c r="H185" s="129">
        <v>0</v>
      </c>
      <c r="I185" s="129">
        <v>0</v>
      </c>
      <c r="J185" s="129">
        <v>0</v>
      </c>
      <c r="K185" s="129">
        <v>0</v>
      </c>
      <c r="L185" s="129">
        <v>0</v>
      </c>
      <c r="M185" s="129">
        <v>0</v>
      </c>
      <c r="N185" s="129">
        <v>0</v>
      </c>
      <c r="O185" s="129">
        <v>0</v>
      </c>
      <c r="P185" s="129">
        <v>0</v>
      </c>
      <c r="Q185" s="129">
        <v>0</v>
      </c>
      <c r="R185" s="129">
        <v>0</v>
      </c>
      <c r="S185" s="129">
        <v>0</v>
      </c>
      <c r="T185" s="129">
        <v>0</v>
      </c>
      <c r="U185" s="129">
        <v>0</v>
      </c>
      <c r="V185" s="129">
        <v>0</v>
      </c>
      <c r="W185" s="129">
        <v>0</v>
      </c>
      <c r="X185" s="129">
        <v>0</v>
      </c>
      <c r="Y185" s="129">
        <v>0</v>
      </c>
      <c r="Z185" s="129">
        <v>0</v>
      </c>
      <c r="AA185" s="129">
        <v>0</v>
      </c>
      <c r="AB185" s="129">
        <v>0</v>
      </c>
      <c r="AC185" s="129">
        <v>0</v>
      </c>
      <c r="AD185" s="129">
        <v>0</v>
      </c>
      <c r="AE185" s="129">
        <v>0</v>
      </c>
      <c r="AF185" s="129">
        <v>0</v>
      </c>
      <c r="AG185" s="129">
        <v>0</v>
      </c>
      <c r="AH185" s="129">
        <v>0</v>
      </c>
      <c r="AI185" s="129">
        <v>0</v>
      </c>
      <c r="AJ185" s="129">
        <v>0</v>
      </c>
      <c r="AK185" s="129">
        <v>0</v>
      </c>
      <c r="AL185" s="129">
        <v>0</v>
      </c>
      <c r="AM185" s="129">
        <v>0</v>
      </c>
      <c r="AN185" s="129">
        <v>0</v>
      </c>
      <c r="AO185" s="129">
        <v>0</v>
      </c>
      <c r="AP185" s="129">
        <v>0</v>
      </c>
      <c r="AQ185" s="129">
        <v>0</v>
      </c>
      <c r="AR185" s="129">
        <v>0</v>
      </c>
      <c r="AS185" s="129">
        <v>0</v>
      </c>
      <c r="AT185" s="129">
        <v>0</v>
      </c>
      <c r="AU185" s="129">
        <v>0</v>
      </c>
      <c r="AV185" s="129">
        <v>0</v>
      </c>
      <c r="AW185" s="129">
        <v>0</v>
      </c>
      <c r="AX185" s="129">
        <v>0</v>
      </c>
      <c r="AY185" s="129">
        <v>0</v>
      </c>
    </row>
    <row r="186" spans="1:51" x14ac:dyDescent="0.25">
      <c r="A186" s="114"/>
      <c r="B186" s="125">
        <v>2</v>
      </c>
      <c r="C186" s="111"/>
      <c r="D186" s="111">
        <v>0</v>
      </c>
      <c r="E186" s="111">
        <v>0</v>
      </c>
      <c r="F186" s="111">
        <v>0</v>
      </c>
      <c r="G186" s="111">
        <v>0</v>
      </c>
      <c r="H186" s="111">
        <v>0</v>
      </c>
      <c r="I186" s="111">
        <v>0</v>
      </c>
      <c r="J186" s="111">
        <v>0</v>
      </c>
      <c r="K186" s="111">
        <v>0</v>
      </c>
      <c r="L186" s="111">
        <v>0</v>
      </c>
      <c r="M186" s="111">
        <v>0</v>
      </c>
      <c r="N186" s="111">
        <v>0</v>
      </c>
      <c r="O186" s="111">
        <v>0</v>
      </c>
      <c r="P186" s="111">
        <v>0</v>
      </c>
      <c r="Q186" s="111">
        <v>0</v>
      </c>
      <c r="R186" s="111">
        <v>0</v>
      </c>
      <c r="S186" s="111">
        <v>0</v>
      </c>
      <c r="T186" s="111">
        <v>0</v>
      </c>
      <c r="U186" s="111">
        <v>0</v>
      </c>
      <c r="V186" s="111">
        <v>0</v>
      </c>
      <c r="W186" s="111">
        <v>0</v>
      </c>
      <c r="X186" s="111">
        <v>0</v>
      </c>
      <c r="Y186" s="111">
        <v>0</v>
      </c>
      <c r="Z186" s="111">
        <v>0</v>
      </c>
      <c r="AA186" s="111">
        <v>0</v>
      </c>
      <c r="AB186" s="111">
        <v>0</v>
      </c>
      <c r="AC186" s="111">
        <v>0</v>
      </c>
      <c r="AD186" s="111">
        <v>0</v>
      </c>
      <c r="AE186" s="111">
        <v>0</v>
      </c>
      <c r="AF186" s="111">
        <v>0</v>
      </c>
      <c r="AG186" s="111">
        <v>0</v>
      </c>
      <c r="AH186" s="111">
        <v>0</v>
      </c>
      <c r="AI186" s="111">
        <v>0</v>
      </c>
      <c r="AJ186" s="111">
        <v>0</v>
      </c>
      <c r="AK186" s="111">
        <v>0</v>
      </c>
      <c r="AL186" s="111">
        <v>0</v>
      </c>
      <c r="AM186" s="111">
        <v>0</v>
      </c>
      <c r="AN186" s="111">
        <v>0</v>
      </c>
      <c r="AO186" s="111">
        <v>0</v>
      </c>
      <c r="AP186" s="111">
        <v>0</v>
      </c>
      <c r="AQ186" s="111">
        <v>0</v>
      </c>
      <c r="AR186" s="111">
        <v>0</v>
      </c>
      <c r="AS186" s="111">
        <v>0</v>
      </c>
      <c r="AT186" s="111">
        <v>0</v>
      </c>
      <c r="AU186" s="111">
        <v>0</v>
      </c>
      <c r="AV186" s="111">
        <v>0</v>
      </c>
      <c r="AW186" s="111">
        <v>0</v>
      </c>
      <c r="AX186" s="111">
        <v>0</v>
      </c>
      <c r="AY186" s="111">
        <v>0</v>
      </c>
    </row>
    <row r="187" spans="1:51" x14ac:dyDescent="0.25">
      <c r="A187" s="114"/>
      <c r="B187" s="132">
        <v>3</v>
      </c>
      <c r="C187" s="111"/>
      <c r="D187" s="111">
        <v>0</v>
      </c>
      <c r="E187" s="111">
        <v>0</v>
      </c>
      <c r="F187" s="111">
        <v>0</v>
      </c>
      <c r="G187" s="111">
        <v>0</v>
      </c>
      <c r="H187" s="111">
        <v>0</v>
      </c>
      <c r="I187" s="111">
        <v>0</v>
      </c>
      <c r="J187" s="111">
        <v>0</v>
      </c>
      <c r="K187" s="111">
        <v>0</v>
      </c>
      <c r="L187" s="111">
        <v>0</v>
      </c>
      <c r="M187" s="111">
        <v>0</v>
      </c>
      <c r="N187" s="111">
        <v>0</v>
      </c>
      <c r="O187" s="111">
        <v>0</v>
      </c>
      <c r="P187" s="111">
        <v>0</v>
      </c>
      <c r="Q187" s="111">
        <v>0</v>
      </c>
      <c r="R187" s="111">
        <v>0</v>
      </c>
      <c r="S187" s="111">
        <v>0</v>
      </c>
      <c r="T187" s="111">
        <v>0</v>
      </c>
      <c r="U187" s="111">
        <v>0</v>
      </c>
      <c r="V187" s="111">
        <v>0</v>
      </c>
      <c r="W187" s="111">
        <v>0</v>
      </c>
      <c r="X187" s="111">
        <v>0</v>
      </c>
      <c r="Y187" s="111">
        <v>0</v>
      </c>
      <c r="Z187" s="111">
        <v>0</v>
      </c>
      <c r="AA187" s="111">
        <v>0</v>
      </c>
      <c r="AB187" s="111">
        <v>0</v>
      </c>
      <c r="AC187" s="111">
        <v>0</v>
      </c>
      <c r="AD187" s="111">
        <v>0</v>
      </c>
      <c r="AE187" s="111">
        <v>0</v>
      </c>
      <c r="AF187" s="111">
        <v>0</v>
      </c>
      <c r="AG187" s="111">
        <v>0</v>
      </c>
      <c r="AH187" s="111">
        <v>0</v>
      </c>
      <c r="AI187" s="111">
        <v>0</v>
      </c>
      <c r="AJ187" s="111">
        <v>0</v>
      </c>
      <c r="AK187" s="111">
        <v>0</v>
      </c>
      <c r="AL187" s="111">
        <v>0</v>
      </c>
      <c r="AM187" s="111">
        <v>0</v>
      </c>
      <c r="AN187" s="111">
        <v>0</v>
      </c>
      <c r="AO187" s="111">
        <v>0</v>
      </c>
      <c r="AP187" s="111">
        <v>0</v>
      </c>
      <c r="AQ187" s="111">
        <v>0</v>
      </c>
      <c r="AR187" s="111">
        <v>0</v>
      </c>
      <c r="AS187" s="111">
        <v>0</v>
      </c>
      <c r="AT187" s="111">
        <v>0</v>
      </c>
      <c r="AU187" s="111">
        <v>0</v>
      </c>
      <c r="AV187" s="111">
        <v>0</v>
      </c>
      <c r="AW187" s="111">
        <v>0</v>
      </c>
      <c r="AX187" s="111">
        <v>0</v>
      </c>
      <c r="AY187" s="111">
        <v>0</v>
      </c>
    </row>
    <row r="188" spans="1:51" x14ac:dyDescent="0.25">
      <c r="A188" s="133"/>
      <c r="B188" s="134">
        <v>4</v>
      </c>
      <c r="C188" s="111"/>
      <c r="D188" s="111">
        <v>0</v>
      </c>
      <c r="E188" s="111">
        <v>0</v>
      </c>
      <c r="F188" s="111">
        <v>0</v>
      </c>
      <c r="G188" s="111">
        <v>0</v>
      </c>
      <c r="H188" s="111">
        <v>0</v>
      </c>
      <c r="I188" s="111">
        <v>0</v>
      </c>
      <c r="J188" s="111">
        <v>0</v>
      </c>
      <c r="K188" s="111">
        <v>0</v>
      </c>
      <c r="L188" s="111">
        <v>0</v>
      </c>
      <c r="M188" s="111">
        <v>0</v>
      </c>
      <c r="N188" s="111">
        <v>0</v>
      </c>
      <c r="O188" s="111">
        <v>0</v>
      </c>
      <c r="P188" s="111">
        <v>0</v>
      </c>
      <c r="Q188" s="111">
        <v>0</v>
      </c>
      <c r="R188" s="111">
        <v>0</v>
      </c>
      <c r="S188" s="111">
        <v>0</v>
      </c>
      <c r="T188" s="111">
        <v>0</v>
      </c>
      <c r="U188" s="111">
        <v>0</v>
      </c>
      <c r="V188" s="111">
        <v>0</v>
      </c>
      <c r="W188" s="111">
        <v>0</v>
      </c>
      <c r="X188" s="111">
        <v>0</v>
      </c>
      <c r="Y188" s="111">
        <v>0</v>
      </c>
      <c r="Z188" s="111">
        <v>0</v>
      </c>
      <c r="AA188" s="111">
        <v>0</v>
      </c>
      <c r="AB188" s="111">
        <v>0</v>
      </c>
      <c r="AC188" s="111">
        <v>0</v>
      </c>
      <c r="AD188" s="111">
        <v>0</v>
      </c>
      <c r="AE188" s="111">
        <v>0</v>
      </c>
      <c r="AF188" s="111">
        <v>0</v>
      </c>
      <c r="AG188" s="111">
        <v>0</v>
      </c>
      <c r="AH188" s="111">
        <v>0</v>
      </c>
      <c r="AI188" s="111">
        <v>0</v>
      </c>
      <c r="AJ188" s="111">
        <v>0</v>
      </c>
      <c r="AK188" s="111">
        <v>0</v>
      </c>
      <c r="AL188" s="111">
        <v>0</v>
      </c>
      <c r="AM188" s="111">
        <v>0</v>
      </c>
      <c r="AN188" s="111">
        <v>0</v>
      </c>
      <c r="AO188" s="111">
        <v>0</v>
      </c>
      <c r="AP188" s="111">
        <v>0</v>
      </c>
      <c r="AQ188" s="111">
        <v>0</v>
      </c>
      <c r="AR188" s="111">
        <v>0</v>
      </c>
      <c r="AS188" s="111">
        <v>0</v>
      </c>
      <c r="AT188" s="111">
        <v>0</v>
      </c>
      <c r="AU188" s="111">
        <v>0</v>
      </c>
      <c r="AV188" s="111">
        <v>0</v>
      </c>
      <c r="AW188" s="111">
        <v>0</v>
      </c>
      <c r="AX188" s="111">
        <v>0</v>
      </c>
      <c r="AY188" s="111">
        <v>0</v>
      </c>
    </row>
    <row r="189" spans="1:51" x14ac:dyDescent="0.25">
      <c r="A189" s="131" t="s">
        <v>133</v>
      </c>
      <c r="B189" s="128">
        <v>1</v>
      </c>
      <c r="C189" s="129"/>
      <c r="D189" s="129">
        <v>0</v>
      </c>
      <c r="E189" s="129">
        <v>0</v>
      </c>
      <c r="F189" s="129">
        <v>207</v>
      </c>
      <c r="G189" s="129">
        <v>0</v>
      </c>
      <c r="H189" s="129">
        <v>0</v>
      </c>
      <c r="I189" s="129">
        <v>0</v>
      </c>
      <c r="J189" s="129">
        <v>0</v>
      </c>
      <c r="K189" s="129">
        <v>0</v>
      </c>
      <c r="L189" s="129">
        <v>0</v>
      </c>
      <c r="M189" s="129">
        <v>0</v>
      </c>
      <c r="N189" s="129">
        <v>0</v>
      </c>
      <c r="O189" s="129">
        <v>0</v>
      </c>
      <c r="P189" s="129">
        <v>0</v>
      </c>
      <c r="Q189" s="129">
        <v>0</v>
      </c>
      <c r="R189" s="129">
        <v>0</v>
      </c>
      <c r="S189" s="129">
        <v>0</v>
      </c>
      <c r="T189" s="129">
        <v>0</v>
      </c>
      <c r="U189" s="129">
        <v>0</v>
      </c>
      <c r="V189" s="129">
        <v>0</v>
      </c>
      <c r="W189" s="129">
        <v>0</v>
      </c>
      <c r="X189" s="129">
        <v>0</v>
      </c>
      <c r="Y189" s="129">
        <v>0</v>
      </c>
      <c r="Z189" s="129">
        <v>0</v>
      </c>
      <c r="AA189" s="129">
        <v>0</v>
      </c>
      <c r="AB189" s="129">
        <v>0</v>
      </c>
      <c r="AC189" s="129">
        <v>0</v>
      </c>
      <c r="AD189" s="129">
        <v>0</v>
      </c>
      <c r="AE189" s="129">
        <v>0</v>
      </c>
      <c r="AF189" s="129">
        <v>0</v>
      </c>
      <c r="AG189" s="129">
        <v>0</v>
      </c>
      <c r="AH189" s="129">
        <v>0</v>
      </c>
      <c r="AI189" s="129">
        <v>0</v>
      </c>
      <c r="AJ189" s="129">
        <v>0</v>
      </c>
      <c r="AK189" s="129">
        <v>0</v>
      </c>
      <c r="AL189" s="129">
        <v>0</v>
      </c>
      <c r="AM189" s="129">
        <v>0</v>
      </c>
      <c r="AN189" s="129">
        <v>0</v>
      </c>
      <c r="AO189" s="129">
        <v>0</v>
      </c>
      <c r="AP189" s="129">
        <v>690.01874999999995</v>
      </c>
      <c r="AQ189" s="129">
        <v>142.59375</v>
      </c>
      <c r="AR189" s="129">
        <v>58.21875</v>
      </c>
      <c r="AS189" s="129">
        <v>190.55477528089881</v>
      </c>
      <c r="AT189" s="129">
        <v>142.59374999999994</v>
      </c>
      <c r="AU189" s="129">
        <v>748.23749999999995</v>
      </c>
      <c r="AV189" s="129">
        <v>142.59375</v>
      </c>
      <c r="AW189" s="129">
        <v>690.01874999999995</v>
      </c>
      <c r="AX189" s="129">
        <v>142.59375</v>
      </c>
      <c r="AY189" s="129">
        <v>142.59375</v>
      </c>
    </row>
    <row r="190" spans="1:51" x14ac:dyDescent="0.25">
      <c r="A190" s="114"/>
      <c r="B190" s="124">
        <v>2</v>
      </c>
      <c r="C190" s="111"/>
      <c r="D190" s="111">
        <v>0</v>
      </c>
      <c r="E190" s="111">
        <v>0</v>
      </c>
      <c r="F190" s="111">
        <v>0</v>
      </c>
      <c r="G190" s="111">
        <v>227</v>
      </c>
      <c r="H190" s="111">
        <v>0</v>
      </c>
      <c r="I190" s="111">
        <v>0</v>
      </c>
      <c r="J190" s="111">
        <v>0</v>
      </c>
      <c r="K190" s="111">
        <v>0</v>
      </c>
      <c r="L190" s="111">
        <v>0</v>
      </c>
      <c r="M190" s="111">
        <v>0</v>
      </c>
      <c r="N190" s="111">
        <v>0</v>
      </c>
      <c r="O190" s="111">
        <v>0</v>
      </c>
      <c r="P190" s="111">
        <v>0</v>
      </c>
      <c r="Q190" s="111">
        <v>0</v>
      </c>
      <c r="R190" s="111">
        <v>0</v>
      </c>
      <c r="S190" s="111">
        <v>0</v>
      </c>
      <c r="T190" s="111">
        <v>0</v>
      </c>
      <c r="U190" s="111">
        <v>0</v>
      </c>
      <c r="V190" s="111">
        <v>0</v>
      </c>
      <c r="W190" s="111">
        <v>0</v>
      </c>
      <c r="X190" s="111">
        <v>0</v>
      </c>
      <c r="Y190" s="111">
        <v>0</v>
      </c>
      <c r="Z190" s="111">
        <v>0</v>
      </c>
      <c r="AA190" s="111">
        <v>0</v>
      </c>
      <c r="AB190" s="111">
        <v>0</v>
      </c>
      <c r="AC190" s="111">
        <v>0</v>
      </c>
      <c r="AD190" s="111">
        <v>0</v>
      </c>
      <c r="AE190" s="111">
        <v>0</v>
      </c>
      <c r="AF190" s="111">
        <v>0</v>
      </c>
      <c r="AG190" s="111">
        <v>0</v>
      </c>
      <c r="AH190" s="111">
        <v>0</v>
      </c>
      <c r="AI190" s="111">
        <v>0</v>
      </c>
      <c r="AJ190" s="111">
        <v>0</v>
      </c>
      <c r="AK190" s="111">
        <v>0</v>
      </c>
      <c r="AL190" s="111">
        <v>0</v>
      </c>
      <c r="AM190" s="111">
        <v>0</v>
      </c>
      <c r="AN190" s="111">
        <v>0</v>
      </c>
      <c r="AO190" s="111">
        <v>448.08125000000064</v>
      </c>
      <c r="AP190" s="111">
        <v>142.59375</v>
      </c>
      <c r="AQ190" s="111">
        <v>0</v>
      </c>
      <c r="AR190" s="111">
        <v>0</v>
      </c>
      <c r="AS190" s="111">
        <v>0</v>
      </c>
      <c r="AT190" s="111">
        <v>499.46397471910115</v>
      </c>
      <c r="AU190" s="111">
        <v>605.64374999999995</v>
      </c>
      <c r="AV190" s="111">
        <v>0</v>
      </c>
      <c r="AW190" s="111">
        <v>0</v>
      </c>
      <c r="AX190" s="111">
        <v>58.21875</v>
      </c>
      <c r="AY190" s="111">
        <v>0</v>
      </c>
    </row>
    <row r="191" spans="1:51" x14ac:dyDescent="0.25">
      <c r="A191" s="114"/>
      <c r="B191" s="125">
        <v>3</v>
      </c>
      <c r="C191" s="111"/>
      <c r="D191" s="111">
        <v>0</v>
      </c>
      <c r="E191" s="111">
        <v>0</v>
      </c>
      <c r="F191" s="111">
        <v>0</v>
      </c>
      <c r="G191" s="111">
        <v>0</v>
      </c>
      <c r="H191" s="111">
        <v>238</v>
      </c>
      <c r="I191" s="111">
        <v>122.76250000000005</v>
      </c>
      <c r="J191" s="111">
        <v>0</v>
      </c>
      <c r="K191" s="111">
        <v>0</v>
      </c>
      <c r="L191" s="111">
        <v>0</v>
      </c>
      <c r="M191" s="111">
        <v>0</v>
      </c>
      <c r="N191" s="111">
        <v>0</v>
      </c>
      <c r="O191" s="111">
        <v>0</v>
      </c>
      <c r="P191" s="111">
        <v>0</v>
      </c>
      <c r="Q191" s="111">
        <v>0</v>
      </c>
      <c r="R191" s="111">
        <v>0</v>
      </c>
      <c r="S191" s="111">
        <v>0</v>
      </c>
      <c r="T191" s="111">
        <v>0</v>
      </c>
      <c r="U191" s="111">
        <v>0</v>
      </c>
      <c r="V191" s="111">
        <v>0</v>
      </c>
      <c r="W191" s="111">
        <v>0</v>
      </c>
      <c r="X191" s="111">
        <v>0</v>
      </c>
      <c r="Y191" s="111">
        <v>0</v>
      </c>
      <c r="Z191" s="111">
        <v>0</v>
      </c>
      <c r="AA191" s="111">
        <v>0</v>
      </c>
      <c r="AB191" s="111">
        <v>0</v>
      </c>
      <c r="AC191" s="111">
        <v>0</v>
      </c>
      <c r="AD191" s="111">
        <v>0</v>
      </c>
      <c r="AE191" s="111">
        <v>0</v>
      </c>
      <c r="AF191" s="111">
        <v>0</v>
      </c>
      <c r="AG191" s="111">
        <v>0</v>
      </c>
      <c r="AH191" s="111">
        <v>0</v>
      </c>
      <c r="AI191" s="111">
        <v>0</v>
      </c>
      <c r="AJ191" s="111">
        <v>0</v>
      </c>
      <c r="AK191" s="111">
        <v>0</v>
      </c>
      <c r="AL191" s="111">
        <v>0</v>
      </c>
      <c r="AM191" s="111">
        <v>0</v>
      </c>
      <c r="AN191" s="111">
        <v>0</v>
      </c>
      <c r="AO191" s="111">
        <v>142.59375</v>
      </c>
      <c r="AP191" s="111">
        <v>300.15624999999932</v>
      </c>
      <c r="AQ191" s="111">
        <v>0</v>
      </c>
      <c r="AR191" s="111">
        <v>0</v>
      </c>
      <c r="AS191" s="111">
        <v>605.64374999999995</v>
      </c>
      <c r="AT191" s="111">
        <v>0</v>
      </c>
      <c r="AU191" s="111">
        <v>0</v>
      </c>
      <c r="AV191" s="111">
        <v>0</v>
      </c>
      <c r="AW191" s="111">
        <v>0</v>
      </c>
      <c r="AX191" s="111">
        <v>605.64374999999995</v>
      </c>
      <c r="AY191" s="111">
        <v>0</v>
      </c>
    </row>
    <row r="192" spans="1:51" x14ac:dyDescent="0.25">
      <c r="A192" s="114"/>
      <c r="B192" s="125">
        <v>4</v>
      </c>
      <c r="C192" s="111"/>
      <c r="D192" s="111">
        <v>0</v>
      </c>
      <c r="E192" s="111">
        <v>0</v>
      </c>
      <c r="F192" s="111">
        <v>0</v>
      </c>
      <c r="G192" s="111">
        <v>0</v>
      </c>
      <c r="H192" s="111">
        <v>0</v>
      </c>
      <c r="I192" s="111">
        <v>76.237499999999955</v>
      </c>
      <c r="J192" s="111">
        <v>227</v>
      </c>
      <c r="K192" s="111">
        <v>0</v>
      </c>
      <c r="L192" s="111">
        <v>0</v>
      </c>
      <c r="M192" s="111">
        <v>0</v>
      </c>
      <c r="N192" s="111">
        <v>0</v>
      </c>
      <c r="O192" s="111">
        <v>0</v>
      </c>
      <c r="P192" s="111">
        <v>0</v>
      </c>
      <c r="Q192" s="111">
        <v>0</v>
      </c>
      <c r="R192" s="111">
        <v>0</v>
      </c>
      <c r="S192" s="111">
        <v>0</v>
      </c>
      <c r="T192" s="111">
        <v>0</v>
      </c>
      <c r="U192" s="111">
        <v>0</v>
      </c>
      <c r="V192" s="111">
        <v>0</v>
      </c>
      <c r="W192" s="111">
        <v>0</v>
      </c>
      <c r="X192" s="111">
        <v>0</v>
      </c>
      <c r="Y192" s="111">
        <v>0</v>
      </c>
      <c r="Z192" s="111">
        <v>0</v>
      </c>
      <c r="AA192" s="111">
        <v>0</v>
      </c>
      <c r="AB192" s="111">
        <v>0</v>
      </c>
      <c r="AC192" s="111">
        <v>0</v>
      </c>
      <c r="AD192" s="111">
        <v>0</v>
      </c>
      <c r="AE192" s="111">
        <v>0</v>
      </c>
      <c r="AF192" s="111">
        <v>0</v>
      </c>
      <c r="AG192" s="111">
        <v>0</v>
      </c>
      <c r="AH192" s="111">
        <v>0</v>
      </c>
      <c r="AI192" s="111">
        <v>0</v>
      </c>
      <c r="AJ192" s="111">
        <v>0</v>
      </c>
      <c r="AK192" s="111">
        <v>0</v>
      </c>
      <c r="AL192" s="111">
        <v>0</v>
      </c>
      <c r="AM192" s="111">
        <v>0</v>
      </c>
      <c r="AN192" s="111">
        <v>238.15000000000055</v>
      </c>
      <c r="AO192" s="111">
        <v>748.23749999999995</v>
      </c>
      <c r="AP192" s="111">
        <v>0</v>
      </c>
      <c r="AQ192" s="111">
        <v>0</v>
      </c>
      <c r="AR192" s="111">
        <v>0</v>
      </c>
      <c r="AS192" s="111">
        <v>0</v>
      </c>
      <c r="AT192" s="111">
        <v>0</v>
      </c>
      <c r="AU192" s="111">
        <v>0</v>
      </c>
      <c r="AV192" s="111">
        <v>0</v>
      </c>
      <c r="AW192" s="111">
        <v>0</v>
      </c>
      <c r="AX192" s="111">
        <v>0</v>
      </c>
      <c r="AY192" s="111">
        <v>0</v>
      </c>
    </row>
    <row r="193" spans="1:51" x14ac:dyDescent="0.25">
      <c r="A193" s="114"/>
      <c r="B193" s="132">
        <v>5</v>
      </c>
      <c r="C193" s="111"/>
      <c r="D193" s="111">
        <v>0</v>
      </c>
      <c r="E193" s="111">
        <v>0</v>
      </c>
      <c r="F193" s="111">
        <v>0</v>
      </c>
      <c r="G193" s="111">
        <v>0</v>
      </c>
      <c r="H193" s="111">
        <v>0</v>
      </c>
      <c r="I193" s="111">
        <v>0</v>
      </c>
      <c r="J193" s="111">
        <v>0</v>
      </c>
      <c r="K193" s="111">
        <v>201</v>
      </c>
      <c r="L193" s="111">
        <v>119.52500000000009</v>
      </c>
      <c r="M193" s="111">
        <v>0</v>
      </c>
      <c r="N193" s="111">
        <v>0</v>
      </c>
      <c r="O193" s="111">
        <v>0</v>
      </c>
      <c r="P193" s="111">
        <v>0</v>
      </c>
      <c r="Q193" s="111">
        <v>0</v>
      </c>
      <c r="R193" s="111">
        <v>0</v>
      </c>
      <c r="S193" s="111">
        <v>0</v>
      </c>
      <c r="T193" s="111">
        <v>0</v>
      </c>
      <c r="U193" s="111">
        <v>0</v>
      </c>
      <c r="V193" s="111">
        <v>0</v>
      </c>
      <c r="W193" s="111">
        <v>0</v>
      </c>
      <c r="X193" s="111">
        <v>0</v>
      </c>
      <c r="Y193" s="111">
        <v>0</v>
      </c>
      <c r="Z193" s="111">
        <v>0</v>
      </c>
      <c r="AA193" s="111">
        <v>0</v>
      </c>
      <c r="AB193" s="111">
        <v>0</v>
      </c>
      <c r="AC193" s="111">
        <v>0</v>
      </c>
      <c r="AD193" s="111">
        <v>0</v>
      </c>
      <c r="AE193" s="111">
        <v>0</v>
      </c>
      <c r="AF193" s="111">
        <v>0</v>
      </c>
      <c r="AG193" s="111">
        <v>0</v>
      </c>
      <c r="AH193" s="111">
        <v>0</v>
      </c>
      <c r="AI193" s="111">
        <v>0</v>
      </c>
      <c r="AJ193" s="111">
        <v>0</v>
      </c>
      <c r="AK193" s="111">
        <v>0</v>
      </c>
      <c r="AL193" s="111">
        <v>207.86250000000041</v>
      </c>
      <c r="AM193" s="111">
        <v>531.62500000000045</v>
      </c>
      <c r="AN193" s="111">
        <v>748.23749999999995</v>
      </c>
      <c r="AO193" s="111">
        <v>510.08749999999941</v>
      </c>
      <c r="AP193" s="111">
        <v>0</v>
      </c>
      <c r="AQ193" s="111">
        <v>0</v>
      </c>
      <c r="AR193" s="111">
        <v>0</v>
      </c>
      <c r="AS193" s="111">
        <v>0</v>
      </c>
      <c r="AT193" s="111">
        <v>0</v>
      </c>
      <c r="AU193" s="111">
        <v>0</v>
      </c>
      <c r="AV193" s="111">
        <v>0</v>
      </c>
      <c r="AW193" s="111">
        <v>0</v>
      </c>
      <c r="AX193" s="111">
        <v>0</v>
      </c>
      <c r="AY193" s="111">
        <v>0</v>
      </c>
    </row>
    <row r="194" spans="1:51" x14ac:dyDescent="0.25">
      <c r="A194" s="114"/>
      <c r="B194" s="132">
        <v>6</v>
      </c>
      <c r="C194" s="111"/>
      <c r="D194" s="111">
        <v>0</v>
      </c>
      <c r="E194" s="111">
        <v>0</v>
      </c>
      <c r="F194" s="111">
        <v>0</v>
      </c>
      <c r="G194" s="111">
        <v>0</v>
      </c>
      <c r="H194" s="111">
        <v>0</v>
      </c>
      <c r="I194" s="111">
        <v>0</v>
      </c>
      <c r="J194" s="111">
        <v>0</v>
      </c>
      <c r="K194" s="111">
        <v>0</v>
      </c>
      <c r="L194" s="111">
        <v>197.47499999999991</v>
      </c>
      <c r="M194" s="111">
        <v>289</v>
      </c>
      <c r="N194" s="111">
        <v>0</v>
      </c>
      <c r="O194" s="111">
        <v>0</v>
      </c>
      <c r="P194" s="111">
        <v>0</v>
      </c>
      <c r="Q194" s="111">
        <v>0</v>
      </c>
      <c r="R194" s="111">
        <v>0</v>
      </c>
      <c r="S194" s="111">
        <v>0</v>
      </c>
      <c r="T194" s="111">
        <v>0</v>
      </c>
      <c r="U194" s="111">
        <v>0</v>
      </c>
      <c r="V194" s="111">
        <v>0</v>
      </c>
      <c r="W194" s="111">
        <v>0</v>
      </c>
      <c r="X194" s="111">
        <v>0</v>
      </c>
      <c r="Y194" s="111">
        <v>0</v>
      </c>
      <c r="Z194" s="111">
        <v>0</v>
      </c>
      <c r="AA194" s="111">
        <v>0</v>
      </c>
      <c r="AB194" s="111">
        <v>0</v>
      </c>
      <c r="AC194" s="111">
        <v>0</v>
      </c>
      <c r="AD194" s="111">
        <v>0</v>
      </c>
      <c r="AE194" s="111">
        <v>0</v>
      </c>
      <c r="AF194" s="111">
        <v>0</v>
      </c>
      <c r="AG194" s="111">
        <v>0</v>
      </c>
      <c r="AH194" s="111">
        <v>0</v>
      </c>
      <c r="AI194" s="111">
        <v>0</v>
      </c>
      <c r="AJ194" s="111">
        <v>0</v>
      </c>
      <c r="AK194" s="111">
        <v>443.33750000000032</v>
      </c>
      <c r="AL194" s="111">
        <v>748.23749999999995</v>
      </c>
      <c r="AM194" s="111">
        <v>540.37499999999955</v>
      </c>
      <c r="AN194" s="111">
        <v>216.6124999999995</v>
      </c>
      <c r="AO194" s="111">
        <v>0</v>
      </c>
      <c r="AP194" s="111">
        <v>0</v>
      </c>
      <c r="AQ194" s="111">
        <v>0</v>
      </c>
      <c r="AR194" s="111">
        <v>0</v>
      </c>
      <c r="AS194" s="111">
        <v>0</v>
      </c>
      <c r="AT194" s="111">
        <v>0</v>
      </c>
      <c r="AU194" s="111">
        <v>0</v>
      </c>
      <c r="AV194" s="111">
        <v>0</v>
      </c>
      <c r="AW194" s="111">
        <v>0</v>
      </c>
      <c r="AX194" s="111">
        <v>0</v>
      </c>
      <c r="AY194" s="111">
        <v>0</v>
      </c>
    </row>
    <row r="195" spans="1:51" x14ac:dyDescent="0.25">
      <c r="A195" s="114"/>
      <c r="B195" s="135">
        <v>7</v>
      </c>
      <c r="C195" s="111"/>
      <c r="D195" s="111">
        <v>0</v>
      </c>
      <c r="E195" s="111">
        <v>0</v>
      </c>
      <c r="F195" s="111">
        <v>0</v>
      </c>
      <c r="G195" s="111">
        <v>0</v>
      </c>
      <c r="H195" s="111">
        <v>0</v>
      </c>
      <c r="I195" s="111">
        <v>0</v>
      </c>
      <c r="J195" s="111">
        <v>0</v>
      </c>
      <c r="K195" s="111">
        <v>0</v>
      </c>
      <c r="L195" s="111">
        <v>0</v>
      </c>
      <c r="M195" s="111">
        <v>0</v>
      </c>
      <c r="N195" s="111">
        <v>304</v>
      </c>
      <c r="O195" s="111">
        <v>282.28750000000014</v>
      </c>
      <c r="P195" s="111">
        <v>0</v>
      </c>
      <c r="Q195" s="111">
        <v>0</v>
      </c>
      <c r="R195" s="111">
        <v>0</v>
      </c>
      <c r="S195" s="111">
        <v>0</v>
      </c>
      <c r="T195" s="111">
        <v>0</v>
      </c>
      <c r="U195" s="111">
        <v>0</v>
      </c>
      <c r="V195" s="111">
        <v>0</v>
      </c>
      <c r="W195" s="111">
        <v>0</v>
      </c>
      <c r="X195" s="111">
        <v>0</v>
      </c>
      <c r="Y195" s="111">
        <v>0</v>
      </c>
      <c r="Z195" s="111">
        <v>0</v>
      </c>
      <c r="AA195" s="111">
        <v>0</v>
      </c>
      <c r="AB195" s="111">
        <v>0</v>
      </c>
      <c r="AC195" s="111">
        <v>0</v>
      </c>
      <c r="AD195" s="111">
        <v>0</v>
      </c>
      <c r="AE195" s="111">
        <v>0</v>
      </c>
      <c r="AF195" s="111">
        <v>85.762500000000045</v>
      </c>
      <c r="AG195" s="111">
        <v>375.52500000000009</v>
      </c>
      <c r="AH195" s="111">
        <v>479.28750000000014</v>
      </c>
      <c r="AI195" s="111">
        <v>496.05000000000018</v>
      </c>
      <c r="AJ195" s="111">
        <v>682.81250000000023</v>
      </c>
      <c r="AK195" s="111">
        <v>748.23749999999995</v>
      </c>
      <c r="AL195" s="111">
        <v>304.89999999999964</v>
      </c>
      <c r="AM195" s="111">
        <v>0</v>
      </c>
      <c r="AN195" s="111">
        <v>0</v>
      </c>
      <c r="AO195" s="111">
        <v>0</v>
      </c>
      <c r="AP195" s="111">
        <v>0</v>
      </c>
      <c r="AQ195" s="111">
        <v>0</v>
      </c>
      <c r="AR195" s="111">
        <v>0</v>
      </c>
      <c r="AS195" s="111">
        <v>0</v>
      </c>
      <c r="AT195" s="111">
        <v>0</v>
      </c>
      <c r="AU195" s="111">
        <v>0</v>
      </c>
      <c r="AV195" s="111">
        <v>0</v>
      </c>
      <c r="AW195" s="111">
        <v>0</v>
      </c>
      <c r="AX195" s="111">
        <v>0</v>
      </c>
      <c r="AY195" s="111">
        <v>0</v>
      </c>
    </row>
    <row r="196" spans="1:51" x14ac:dyDescent="0.25">
      <c r="A196" s="133"/>
      <c r="B196" s="134">
        <v>8</v>
      </c>
      <c r="C196" s="119"/>
      <c r="D196" s="119">
        <v>0</v>
      </c>
      <c r="E196" s="119">
        <v>0</v>
      </c>
      <c r="F196" s="119">
        <v>0</v>
      </c>
      <c r="G196" s="119">
        <v>0</v>
      </c>
      <c r="H196" s="119">
        <v>0</v>
      </c>
      <c r="I196" s="119">
        <v>0</v>
      </c>
      <c r="J196" s="119">
        <v>0</v>
      </c>
      <c r="K196" s="119">
        <v>0</v>
      </c>
      <c r="L196" s="119">
        <v>0</v>
      </c>
      <c r="M196" s="119">
        <v>0</v>
      </c>
      <c r="N196" s="119">
        <v>0</v>
      </c>
      <c r="O196" s="119">
        <v>35.712499999999864</v>
      </c>
      <c r="P196" s="119">
        <v>379</v>
      </c>
      <c r="Q196" s="119">
        <v>334</v>
      </c>
      <c r="R196" s="119">
        <v>347</v>
      </c>
      <c r="S196" s="119">
        <v>335</v>
      </c>
      <c r="T196" s="119">
        <v>359</v>
      </c>
      <c r="U196" s="119">
        <v>398</v>
      </c>
      <c r="V196" s="119">
        <v>409</v>
      </c>
      <c r="W196" s="119">
        <v>437</v>
      </c>
      <c r="X196" s="119">
        <v>447</v>
      </c>
      <c r="Y196" s="119">
        <v>459</v>
      </c>
      <c r="Z196" s="119">
        <v>552</v>
      </c>
      <c r="AA196" s="119">
        <v>500</v>
      </c>
      <c r="AB196" s="119">
        <v>682</v>
      </c>
      <c r="AC196" s="119">
        <v>731</v>
      </c>
      <c r="AD196" s="119">
        <v>716</v>
      </c>
      <c r="AE196" s="119">
        <v>639</v>
      </c>
      <c r="AF196" s="119">
        <v>748.23749999999995</v>
      </c>
      <c r="AG196" s="119">
        <v>662.47499999999991</v>
      </c>
      <c r="AH196" s="119">
        <v>372.71249999999986</v>
      </c>
      <c r="AI196" s="119">
        <v>268.94999999999982</v>
      </c>
      <c r="AJ196" s="119">
        <v>252.18749999999977</v>
      </c>
      <c r="AK196" s="119">
        <v>65.424999999999727</v>
      </c>
      <c r="AL196" s="119">
        <v>0</v>
      </c>
      <c r="AM196" s="119">
        <v>0</v>
      </c>
      <c r="AN196" s="119">
        <v>0</v>
      </c>
      <c r="AO196" s="119">
        <v>0</v>
      </c>
      <c r="AP196" s="119">
        <v>0</v>
      </c>
      <c r="AQ196" s="119">
        <v>0</v>
      </c>
      <c r="AR196" s="119">
        <v>0</v>
      </c>
      <c r="AS196" s="119">
        <v>0</v>
      </c>
      <c r="AT196" s="119">
        <v>0</v>
      </c>
      <c r="AU196" s="119">
        <v>0</v>
      </c>
      <c r="AV196" s="119">
        <v>0</v>
      </c>
      <c r="AW196" s="119">
        <v>0</v>
      </c>
      <c r="AX196" s="119">
        <v>0</v>
      </c>
      <c r="AY196" s="119">
        <v>0</v>
      </c>
    </row>
    <row r="197" spans="1:51" x14ac:dyDescent="0.25">
      <c r="A197" s="136" t="s">
        <v>134</v>
      </c>
      <c r="B197" s="124">
        <v>1</v>
      </c>
      <c r="C197" s="111"/>
      <c r="D197" s="111">
        <v>0</v>
      </c>
      <c r="E197" s="111">
        <v>0</v>
      </c>
      <c r="F197" s="111">
        <v>0</v>
      </c>
      <c r="G197" s="111">
        <v>140</v>
      </c>
      <c r="H197" s="111">
        <v>47.936499999999967</v>
      </c>
      <c r="I197" s="111">
        <v>66.321474999999936</v>
      </c>
      <c r="J197" s="111">
        <v>0</v>
      </c>
      <c r="K197" s="111">
        <v>0</v>
      </c>
      <c r="L197" s="111">
        <v>0</v>
      </c>
      <c r="M197" s="111">
        <v>0</v>
      </c>
      <c r="N197" s="111">
        <v>0</v>
      </c>
      <c r="O197" s="111">
        <v>0</v>
      </c>
      <c r="P197" s="111">
        <v>0</v>
      </c>
      <c r="Q197" s="111">
        <v>0</v>
      </c>
      <c r="R197" s="111">
        <v>0</v>
      </c>
      <c r="S197" s="111">
        <v>0</v>
      </c>
      <c r="T197" s="111">
        <v>0</v>
      </c>
      <c r="U197" s="111">
        <v>0</v>
      </c>
      <c r="V197" s="111">
        <v>0</v>
      </c>
      <c r="W197" s="111">
        <v>0</v>
      </c>
      <c r="X197" s="111">
        <v>0</v>
      </c>
      <c r="Y197" s="111">
        <v>0</v>
      </c>
      <c r="Z197" s="111">
        <v>0</v>
      </c>
      <c r="AA197" s="111">
        <v>0</v>
      </c>
      <c r="AB197" s="111">
        <v>0</v>
      </c>
      <c r="AC197" s="111">
        <v>0</v>
      </c>
      <c r="AD197" s="111">
        <v>0</v>
      </c>
      <c r="AE197" s="111">
        <v>0</v>
      </c>
      <c r="AF197" s="111">
        <v>0</v>
      </c>
      <c r="AG197" s="111">
        <v>0</v>
      </c>
      <c r="AH197" s="111">
        <v>0</v>
      </c>
      <c r="AI197" s="111">
        <v>0</v>
      </c>
      <c r="AJ197" s="111">
        <v>0</v>
      </c>
      <c r="AK197" s="111">
        <v>0</v>
      </c>
      <c r="AL197" s="111">
        <v>0</v>
      </c>
      <c r="AM197" s="111">
        <v>0</v>
      </c>
      <c r="AN197" s="111">
        <v>0</v>
      </c>
      <c r="AO197" s="111">
        <v>54.588711337370142</v>
      </c>
      <c r="AP197" s="111">
        <v>28.875000000000018</v>
      </c>
      <c r="AQ197" s="111">
        <v>256.06350000000003</v>
      </c>
      <c r="AR197" s="111">
        <v>48.798749999999998</v>
      </c>
      <c r="AS197" s="111">
        <v>19.923750000000002</v>
      </c>
      <c r="AT197" s="111">
        <v>272.47682865168542</v>
      </c>
      <c r="AU197" s="111">
        <v>219.72642134831463</v>
      </c>
      <c r="AV197" s="111">
        <v>463.32825000000008</v>
      </c>
      <c r="AW197" s="111">
        <v>48.798749999999998</v>
      </c>
      <c r="AX197" s="111">
        <v>236.13974999999999</v>
      </c>
      <c r="AY197" s="111">
        <v>275.98725000000002</v>
      </c>
    </row>
    <row r="198" spans="1:51" x14ac:dyDescent="0.25">
      <c r="A198" s="114"/>
      <c r="B198" s="124">
        <v>2</v>
      </c>
      <c r="C198" s="111"/>
      <c r="D198" s="111">
        <v>0</v>
      </c>
      <c r="E198" s="111">
        <v>0</v>
      </c>
      <c r="F198" s="111">
        <v>0</v>
      </c>
      <c r="G198" s="111">
        <v>0</v>
      </c>
      <c r="H198" s="111">
        <v>116.06350000000003</v>
      </c>
      <c r="I198" s="111">
        <v>87.678525000000064</v>
      </c>
      <c r="J198" s="111">
        <v>154</v>
      </c>
      <c r="K198" s="111">
        <v>0</v>
      </c>
      <c r="L198" s="111">
        <v>0</v>
      </c>
      <c r="M198" s="111">
        <v>0</v>
      </c>
      <c r="N198" s="111">
        <v>0</v>
      </c>
      <c r="O198" s="111">
        <v>0</v>
      </c>
      <c r="P198" s="111">
        <v>0</v>
      </c>
      <c r="Q198" s="111">
        <v>0</v>
      </c>
      <c r="R198" s="111">
        <v>0</v>
      </c>
      <c r="S198" s="111">
        <v>0</v>
      </c>
      <c r="T198" s="111">
        <v>0</v>
      </c>
      <c r="U198" s="111">
        <v>0</v>
      </c>
      <c r="V198" s="111">
        <v>0</v>
      </c>
      <c r="W198" s="111">
        <v>0</v>
      </c>
      <c r="X198" s="111">
        <v>0</v>
      </c>
      <c r="Y198" s="111">
        <v>0</v>
      </c>
      <c r="Z198" s="111">
        <v>0</v>
      </c>
      <c r="AA198" s="111">
        <v>0</v>
      </c>
      <c r="AB198" s="111">
        <v>0</v>
      </c>
      <c r="AC198" s="111">
        <v>0</v>
      </c>
      <c r="AD198" s="111">
        <v>0</v>
      </c>
      <c r="AE198" s="111">
        <v>0</v>
      </c>
      <c r="AF198" s="111">
        <v>0</v>
      </c>
      <c r="AG198" s="111">
        <v>0</v>
      </c>
      <c r="AH198" s="111">
        <v>0</v>
      </c>
      <c r="AI198" s="111">
        <v>0</v>
      </c>
      <c r="AJ198" s="111">
        <v>0</v>
      </c>
      <c r="AK198" s="111">
        <v>0</v>
      </c>
      <c r="AL198" s="111">
        <v>0</v>
      </c>
      <c r="AM198" s="111">
        <v>0</v>
      </c>
      <c r="AN198" s="111">
        <v>0</v>
      </c>
      <c r="AO198" s="111">
        <v>199.80267134831465</v>
      </c>
      <c r="AP198" s="111">
        <v>221.39853866262987</v>
      </c>
      <c r="AQ198" s="111">
        <v>0</v>
      </c>
      <c r="AR198" s="111">
        <v>0</v>
      </c>
      <c r="AS198" s="111">
        <v>0</v>
      </c>
      <c r="AT198" s="111">
        <v>0</v>
      </c>
      <c r="AU198" s="111">
        <v>0</v>
      </c>
      <c r="AV198" s="111">
        <v>0</v>
      </c>
      <c r="AW198" s="111">
        <v>0</v>
      </c>
      <c r="AX198" s="111">
        <v>0</v>
      </c>
      <c r="AY198" s="111">
        <v>0</v>
      </c>
    </row>
    <row r="199" spans="1:51" x14ac:dyDescent="0.25">
      <c r="A199" s="114"/>
      <c r="B199" s="124">
        <v>3</v>
      </c>
      <c r="C199" s="111"/>
      <c r="D199" s="111">
        <v>0</v>
      </c>
      <c r="E199" s="111">
        <v>0</v>
      </c>
      <c r="F199" s="111">
        <v>0</v>
      </c>
      <c r="G199" s="111">
        <v>0</v>
      </c>
      <c r="H199" s="111">
        <v>0</v>
      </c>
      <c r="I199" s="111">
        <v>0</v>
      </c>
      <c r="J199" s="111">
        <v>0</v>
      </c>
      <c r="K199" s="111">
        <v>159</v>
      </c>
      <c r="L199" s="111">
        <v>12.4184587499999</v>
      </c>
      <c r="M199" s="111">
        <v>0</v>
      </c>
      <c r="N199" s="111">
        <v>0</v>
      </c>
      <c r="O199" s="111">
        <v>0</v>
      </c>
      <c r="P199" s="111">
        <v>0</v>
      </c>
      <c r="Q199" s="111">
        <v>0</v>
      </c>
      <c r="R199" s="111">
        <v>0</v>
      </c>
      <c r="S199" s="111">
        <v>0</v>
      </c>
      <c r="T199" s="111">
        <v>0</v>
      </c>
      <c r="U199" s="111">
        <v>0</v>
      </c>
      <c r="V199" s="111">
        <v>0</v>
      </c>
      <c r="W199" s="111">
        <v>0</v>
      </c>
      <c r="X199" s="111">
        <v>0</v>
      </c>
      <c r="Y199" s="111">
        <v>0</v>
      </c>
      <c r="Z199" s="111">
        <v>0</v>
      </c>
      <c r="AA199" s="111">
        <v>0</v>
      </c>
      <c r="AB199" s="111">
        <v>0</v>
      </c>
      <c r="AC199" s="111">
        <v>0</v>
      </c>
      <c r="AD199" s="111">
        <v>0</v>
      </c>
      <c r="AE199" s="111">
        <v>0</v>
      </c>
      <c r="AF199" s="111">
        <v>0</v>
      </c>
      <c r="AG199" s="111">
        <v>0</v>
      </c>
      <c r="AH199" s="111">
        <v>0</v>
      </c>
      <c r="AI199" s="111">
        <v>0</v>
      </c>
      <c r="AJ199" s="111">
        <v>0</v>
      </c>
      <c r="AK199" s="111">
        <v>0</v>
      </c>
      <c r="AL199" s="111">
        <v>0</v>
      </c>
      <c r="AM199" s="111">
        <v>0</v>
      </c>
      <c r="AN199" s="111">
        <v>0</v>
      </c>
      <c r="AO199" s="111">
        <v>341.19932865168539</v>
      </c>
      <c r="AP199" s="111">
        <v>0</v>
      </c>
      <c r="AQ199" s="111">
        <v>0</v>
      </c>
      <c r="AR199" s="111">
        <v>0</v>
      </c>
      <c r="AS199" s="111">
        <v>0</v>
      </c>
      <c r="AT199" s="111">
        <v>0</v>
      </c>
      <c r="AU199" s="111">
        <v>0</v>
      </c>
      <c r="AV199" s="111">
        <v>0</v>
      </c>
      <c r="AW199" s="111">
        <v>0</v>
      </c>
      <c r="AX199" s="111">
        <v>0</v>
      </c>
      <c r="AY199" s="111">
        <v>0</v>
      </c>
    </row>
    <row r="200" spans="1:51" x14ac:dyDescent="0.25">
      <c r="A200" s="114"/>
      <c r="B200" s="125">
        <v>4</v>
      </c>
      <c r="C200" s="111"/>
      <c r="D200" s="111">
        <v>0</v>
      </c>
      <c r="E200" s="111">
        <v>0</v>
      </c>
      <c r="F200" s="111">
        <v>0</v>
      </c>
      <c r="G200" s="111">
        <v>0</v>
      </c>
      <c r="H200" s="111">
        <v>0</v>
      </c>
      <c r="I200" s="111">
        <v>0</v>
      </c>
      <c r="J200" s="111">
        <v>0</v>
      </c>
      <c r="K200" s="111">
        <v>0</v>
      </c>
      <c r="L200" s="111">
        <v>156.5815412500001</v>
      </c>
      <c r="M200" s="111">
        <v>212</v>
      </c>
      <c r="N200" s="111">
        <v>0</v>
      </c>
      <c r="O200" s="111">
        <v>0</v>
      </c>
      <c r="P200" s="111">
        <v>0</v>
      </c>
      <c r="Q200" s="111">
        <v>0</v>
      </c>
      <c r="R200" s="111">
        <v>0</v>
      </c>
      <c r="S200" s="111">
        <v>0</v>
      </c>
      <c r="T200" s="111">
        <v>0</v>
      </c>
      <c r="U200" s="111">
        <v>0</v>
      </c>
      <c r="V200" s="111">
        <v>0</v>
      </c>
      <c r="W200" s="111">
        <v>0</v>
      </c>
      <c r="X200" s="111">
        <v>0</v>
      </c>
      <c r="Y200" s="111">
        <v>0</v>
      </c>
      <c r="Z200" s="111">
        <v>0</v>
      </c>
      <c r="AA200" s="111">
        <v>0</v>
      </c>
      <c r="AB200" s="111">
        <v>0</v>
      </c>
      <c r="AC200" s="111">
        <v>0</v>
      </c>
      <c r="AD200" s="111">
        <v>0</v>
      </c>
      <c r="AE200" s="111">
        <v>0</v>
      </c>
      <c r="AF200" s="111">
        <v>0</v>
      </c>
      <c r="AG200" s="111">
        <v>0</v>
      </c>
      <c r="AH200" s="111">
        <v>0</v>
      </c>
      <c r="AI200" s="111">
        <v>0</v>
      </c>
      <c r="AJ200" s="111">
        <v>0</v>
      </c>
      <c r="AK200" s="111">
        <v>0</v>
      </c>
      <c r="AL200" s="111">
        <v>0</v>
      </c>
      <c r="AM200" s="111">
        <v>0</v>
      </c>
      <c r="AN200" s="111">
        <v>0</v>
      </c>
      <c r="AO200" s="111">
        <v>20.836761376404525</v>
      </c>
      <c r="AP200" s="111">
        <v>0</v>
      </c>
      <c r="AQ200" s="111">
        <v>0</v>
      </c>
      <c r="AR200" s="111">
        <v>0</v>
      </c>
      <c r="AS200" s="111">
        <v>0</v>
      </c>
      <c r="AT200" s="111">
        <v>0</v>
      </c>
      <c r="AU200" s="111">
        <v>0</v>
      </c>
      <c r="AV200" s="111">
        <v>0</v>
      </c>
      <c r="AW200" s="111">
        <v>0</v>
      </c>
      <c r="AX200" s="111">
        <v>0</v>
      </c>
      <c r="AY200" s="111">
        <v>0</v>
      </c>
    </row>
    <row r="201" spans="1:51" x14ac:dyDescent="0.25">
      <c r="A201" s="114"/>
      <c r="B201" s="125">
        <v>5</v>
      </c>
      <c r="C201" s="111"/>
      <c r="D201" s="111">
        <v>0</v>
      </c>
      <c r="E201" s="111">
        <v>0</v>
      </c>
      <c r="F201" s="111">
        <v>0</v>
      </c>
      <c r="G201" s="111">
        <v>0</v>
      </c>
      <c r="H201" s="111">
        <v>0</v>
      </c>
      <c r="I201" s="111">
        <v>0</v>
      </c>
      <c r="J201" s="111">
        <v>0</v>
      </c>
      <c r="K201" s="111">
        <v>0</v>
      </c>
      <c r="L201" s="111">
        <v>0</v>
      </c>
      <c r="M201" s="111">
        <v>0</v>
      </c>
      <c r="N201" s="111">
        <v>171</v>
      </c>
      <c r="O201" s="111">
        <v>96.116748187499866</v>
      </c>
      <c r="P201" s="111">
        <v>0</v>
      </c>
      <c r="Q201" s="111">
        <v>0</v>
      </c>
      <c r="R201" s="111">
        <v>0</v>
      </c>
      <c r="S201" s="111">
        <v>0</v>
      </c>
      <c r="T201" s="111">
        <v>0</v>
      </c>
      <c r="U201" s="111">
        <v>0</v>
      </c>
      <c r="V201" s="111">
        <v>0</v>
      </c>
      <c r="W201" s="111">
        <v>0</v>
      </c>
      <c r="X201" s="111">
        <v>0</v>
      </c>
      <c r="Y201" s="111">
        <v>0</v>
      </c>
      <c r="Z201" s="111">
        <v>0</v>
      </c>
      <c r="AA201" s="111">
        <v>0</v>
      </c>
      <c r="AB201" s="111">
        <v>0</v>
      </c>
      <c r="AC201" s="111">
        <v>0</v>
      </c>
      <c r="AD201" s="111">
        <v>0</v>
      </c>
      <c r="AE201" s="111">
        <v>0</v>
      </c>
      <c r="AF201" s="111">
        <v>0</v>
      </c>
      <c r="AG201" s="111">
        <v>0</v>
      </c>
      <c r="AH201" s="111">
        <v>0</v>
      </c>
      <c r="AI201" s="111">
        <v>0</v>
      </c>
      <c r="AJ201" s="111">
        <v>0</v>
      </c>
      <c r="AK201" s="111">
        <v>0</v>
      </c>
      <c r="AL201" s="111">
        <v>0</v>
      </c>
      <c r="AM201" s="111">
        <v>0</v>
      </c>
      <c r="AN201" s="111">
        <v>72.994809455347763</v>
      </c>
      <c r="AO201" s="111">
        <v>455.86617134831459</v>
      </c>
      <c r="AP201" s="111">
        <v>0</v>
      </c>
      <c r="AQ201" s="111">
        <v>0</v>
      </c>
      <c r="AR201" s="111">
        <v>0</v>
      </c>
      <c r="AS201" s="111">
        <v>0</v>
      </c>
      <c r="AT201" s="111">
        <v>0</v>
      </c>
      <c r="AU201" s="111">
        <v>0</v>
      </c>
      <c r="AV201" s="111">
        <v>0</v>
      </c>
      <c r="AW201" s="111">
        <v>0</v>
      </c>
      <c r="AX201" s="111">
        <v>0</v>
      </c>
      <c r="AY201" s="111">
        <v>0</v>
      </c>
    </row>
    <row r="202" spans="1:51" x14ac:dyDescent="0.25">
      <c r="A202" s="114"/>
      <c r="B202" s="125">
        <v>6</v>
      </c>
      <c r="C202" s="111"/>
      <c r="D202" s="111">
        <v>0</v>
      </c>
      <c r="E202" s="111">
        <v>0</v>
      </c>
      <c r="F202" s="111">
        <v>0</v>
      </c>
      <c r="G202" s="111">
        <v>0</v>
      </c>
      <c r="H202" s="111">
        <v>0</v>
      </c>
      <c r="I202" s="111">
        <v>0</v>
      </c>
      <c r="J202" s="111">
        <v>0</v>
      </c>
      <c r="K202" s="111">
        <v>0</v>
      </c>
      <c r="L202" s="111">
        <v>0</v>
      </c>
      <c r="M202" s="111">
        <v>0</v>
      </c>
      <c r="N202" s="111">
        <v>0</v>
      </c>
      <c r="O202" s="111">
        <v>104.88325181250013</v>
      </c>
      <c r="P202" s="111">
        <v>212</v>
      </c>
      <c r="Q202" s="111">
        <v>156.06105767018943</v>
      </c>
      <c r="R202" s="111">
        <v>0</v>
      </c>
      <c r="S202" s="111">
        <v>0</v>
      </c>
      <c r="T202" s="111">
        <v>0</v>
      </c>
      <c r="U202" s="111">
        <v>0</v>
      </c>
      <c r="V202" s="111">
        <v>0</v>
      </c>
      <c r="W202" s="111">
        <v>0</v>
      </c>
      <c r="X202" s="111">
        <v>0</v>
      </c>
      <c r="Y202" s="111">
        <v>0</v>
      </c>
      <c r="Z202" s="111">
        <v>0</v>
      </c>
      <c r="AA202" s="111">
        <v>0</v>
      </c>
      <c r="AB202" s="111">
        <v>0</v>
      </c>
      <c r="AC202" s="111">
        <v>0</v>
      </c>
      <c r="AD202" s="111">
        <v>0</v>
      </c>
      <c r="AE202" s="111">
        <v>0</v>
      </c>
      <c r="AF202" s="111">
        <v>0</v>
      </c>
      <c r="AG202" s="111">
        <v>0</v>
      </c>
      <c r="AH202" s="111">
        <v>0</v>
      </c>
      <c r="AI202" s="111">
        <v>0</v>
      </c>
      <c r="AJ202" s="111">
        <v>0</v>
      </c>
      <c r="AK202" s="111">
        <v>0</v>
      </c>
      <c r="AL202" s="111">
        <v>0</v>
      </c>
      <c r="AM202" s="111">
        <v>0</v>
      </c>
      <c r="AN202" s="111">
        <v>311.90217752808996</v>
      </c>
      <c r="AO202" s="111">
        <v>134.70635593791073</v>
      </c>
      <c r="AP202" s="111">
        <v>0</v>
      </c>
      <c r="AQ202" s="111">
        <v>0</v>
      </c>
      <c r="AR202" s="111">
        <v>0</v>
      </c>
      <c r="AS202" s="111">
        <v>0</v>
      </c>
      <c r="AT202" s="111">
        <v>0</v>
      </c>
      <c r="AU202" s="111">
        <v>0</v>
      </c>
      <c r="AV202" s="111">
        <v>0</v>
      </c>
      <c r="AW202" s="111">
        <v>0</v>
      </c>
      <c r="AX202" s="111">
        <v>0</v>
      </c>
      <c r="AY202" s="111">
        <v>0</v>
      </c>
    </row>
    <row r="203" spans="1:51" x14ac:dyDescent="0.25">
      <c r="A203" s="114"/>
      <c r="B203" s="132">
        <v>7</v>
      </c>
      <c r="C203" s="111"/>
      <c r="D203" s="111">
        <v>0</v>
      </c>
      <c r="E203" s="111">
        <v>0</v>
      </c>
      <c r="F203" s="111">
        <v>0</v>
      </c>
      <c r="G203" s="111">
        <v>0</v>
      </c>
      <c r="H203" s="111">
        <v>0</v>
      </c>
      <c r="I203" s="111">
        <v>0</v>
      </c>
      <c r="J203" s="111">
        <v>0</v>
      </c>
      <c r="K203" s="111">
        <v>0</v>
      </c>
      <c r="L203" s="111">
        <v>0</v>
      </c>
      <c r="M203" s="111">
        <v>0</v>
      </c>
      <c r="N203" s="111">
        <v>0</v>
      </c>
      <c r="O203" s="111">
        <v>0</v>
      </c>
      <c r="P203" s="111">
        <v>0</v>
      </c>
      <c r="Q203" s="111">
        <v>68.938942329810573</v>
      </c>
      <c r="R203" s="111">
        <v>235</v>
      </c>
      <c r="S203" s="111">
        <v>211.23635883393763</v>
      </c>
      <c r="T203" s="111">
        <v>0</v>
      </c>
      <c r="U203" s="111">
        <v>0</v>
      </c>
      <c r="V203" s="111">
        <v>0</v>
      </c>
      <c r="W203" s="111">
        <v>0</v>
      </c>
      <c r="X203" s="111">
        <v>0</v>
      </c>
      <c r="Y203" s="111">
        <v>0</v>
      </c>
      <c r="Z203" s="111">
        <v>0</v>
      </c>
      <c r="AA203" s="111">
        <v>0</v>
      </c>
      <c r="AB203" s="111">
        <v>0</v>
      </c>
      <c r="AC203" s="111">
        <v>0</v>
      </c>
      <c r="AD203" s="111">
        <v>0</v>
      </c>
      <c r="AE203" s="111">
        <v>0</v>
      </c>
      <c r="AF203" s="111">
        <v>0</v>
      </c>
      <c r="AG203" s="111">
        <v>0</v>
      </c>
      <c r="AH203" s="111">
        <v>0</v>
      </c>
      <c r="AI203" s="111">
        <v>0</v>
      </c>
      <c r="AJ203" s="111">
        <v>0</v>
      </c>
      <c r="AK203" s="111">
        <v>0</v>
      </c>
      <c r="AL203" s="111">
        <v>0</v>
      </c>
      <c r="AM203" s="111">
        <v>0</v>
      </c>
      <c r="AN203" s="111">
        <v>634.25592134831459</v>
      </c>
      <c r="AO203" s="111">
        <v>0</v>
      </c>
      <c r="AP203" s="111">
        <v>0</v>
      </c>
      <c r="AQ203" s="111">
        <v>0</v>
      </c>
      <c r="AR203" s="111">
        <v>0</v>
      </c>
      <c r="AS203" s="111">
        <v>0</v>
      </c>
      <c r="AT203" s="111">
        <v>0</v>
      </c>
      <c r="AU203" s="111">
        <v>0</v>
      </c>
      <c r="AV203" s="111">
        <v>0</v>
      </c>
      <c r="AW203" s="111">
        <v>0</v>
      </c>
      <c r="AX203" s="111">
        <v>0</v>
      </c>
      <c r="AY203" s="111">
        <v>0</v>
      </c>
    </row>
    <row r="204" spans="1:51" x14ac:dyDescent="0.25">
      <c r="A204" s="114"/>
      <c r="B204" s="132">
        <v>8</v>
      </c>
      <c r="C204" s="111"/>
      <c r="D204" s="111">
        <v>0</v>
      </c>
      <c r="E204" s="111">
        <v>0</v>
      </c>
      <c r="F204" s="111">
        <v>0</v>
      </c>
      <c r="G204" s="111">
        <v>0</v>
      </c>
      <c r="H204" s="111">
        <v>0</v>
      </c>
      <c r="I204" s="111">
        <v>0</v>
      </c>
      <c r="J204" s="111">
        <v>0</v>
      </c>
      <c r="K204" s="111">
        <v>0</v>
      </c>
      <c r="L204" s="111">
        <v>0</v>
      </c>
      <c r="M204" s="111">
        <v>0</v>
      </c>
      <c r="N204" s="111">
        <v>0</v>
      </c>
      <c r="O204" s="111">
        <v>0</v>
      </c>
      <c r="P204" s="111">
        <v>0</v>
      </c>
      <c r="Q204" s="111">
        <v>0</v>
      </c>
      <c r="R204" s="111">
        <v>0</v>
      </c>
      <c r="S204" s="111">
        <v>36.763641166062371</v>
      </c>
      <c r="T204" s="111">
        <v>229</v>
      </c>
      <c r="U204" s="111">
        <v>197.11180459037394</v>
      </c>
      <c r="V204" s="111">
        <v>0</v>
      </c>
      <c r="W204" s="111">
        <v>0</v>
      </c>
      <c r="X204" s="111">
        <v>0</v>
      </c>
      <c r="Y204" s="111">
        <v>0</v>
      </c>
      <c r="Z204" s="111">
        <v>0</v>
      </c>
      <c r="AA204" s="111">
        <v>0</v>
      </c>
      <c r="AB204" s="111">
        <v>0</v>
      </c>
      <c r="AC204" s="111">
        <v>0</v>
      </c>
      <c r="AD204" s="111">
        <v>0</v>
      </c>
      <c r="AE204" s="111">
        <v>0</v>
      </c>
      <c r="AF204" s="111">
        <v>0</v>
      </c>
      <c r="AG204" s="111">
        <v>0</v>
      </c>
      <c r="AH204" s="111">
        <v>0</v>
      </c>
      <c r="AI204" s="111">
        <v>0</v>
      </c>
      <c r="AJ204" s="111">
        <v>0</v>
      </c>
      <c r="AK204" s="111">
        <v>0</v>
      </c>
      <c r="AL204" s="111">
        <v>0</v>
      </c>
      <c r="AM204" s="111">
        <v>41.426012890646007</v>
      </c>
      <c r="AN204" s="111">
        <v>110.55354340300988</v>
      </c>
      <c r="AO204" s="111">
        <v>0</v>
      </c>
      <c r="AP204" s="111">
        <v>0</v>
      </c>
      <c r="AQ204" s="111">
        <v>0</v>
      </c>
      <c r="AR204" s="111">
        <v>0</v>
      </c>
      <c r="AS204" s="111">
        <v>0</v>
      </c>
      <c r="AT204" s="111">
        <v>0</v>
      </c>
      <c r="AU204" s="111">
        <v>0</v>
      </c>
      <c r="AV204" s="111">
        <v>0</v>
      </c>
      <c r="AW204" s="111">
        <v>0</v>
      </c>
      <c r="AX204" s="111">
        <v>0</v>
      </c>
      <c r="AY204" s="111">
        <v>0</v>
      </c>
    </row>
    <row r="205" spans="1:51" x14ac:dyDescent="0.25">
      <c r="A205" s="114"/>
      <c r="B205" s="132">
        <v>9</v>
      </c>
      <c r="C205" s="111"/>
      <c r="D205" s="111">
        <v>0</v>
      </c>
      <c r="E205" s="111">
        <v>0</v>
      </c>
      <c r="F205" s="111">
        <v>0</v>
      </c>
      <c r="G205" s="111">
        <v>0</v>
      </c>
      <c r="H205" s="111">
        <v>0</v>
      </c>
      <c r="I205" s="111">
        <v>0</v>
      </c>
      <c r="J205" s="111">
        <v>0</v>
      </c>
      <c r="K205" s="111">
        <v>0</v>
      </c>
      <c r="L205" s="111">
        <v>0</v>
      </c>
      <c r="M205" s="111">
        <v>0</v>
      </c>
      <c r="N205" s="111">
        <v>0</v>
      </c>
      <c r="O205" s="111">
        <v>0</v>
      </c>
      <c r="P205" s="111">
        <v>0</v>
      </c>
      <c r="Q205" s="111">
        <v>0</v>
      </c>
      <c r="R205" s="111">
        <v>0</v>
      </c>
      <c r="S205" s="111">
        <v>0</v>
      </c>
      <c r="T205" s="111">
        <v>0</v>
      </c>
      <c r="U205" s="111">
        <v>75.888195409626064</v>
      </c>
      <c r="V205" s="111">
        <v>283</v>
      </c>
      <c r="W205" s="111">
        <v>246.14109433205743</v>
      </c>
      <c r="X205" s="111">
        <v>0</v>
      </c>
      <c r="Y205" s="111">
        <v>0</v>
      </c>
      <c r="Z205" s="111">
        <v>0</v>
      </c>
      <c r="AA205" s="111">
        <v>0</v>
      </c>
      <c r="AB205" s="111">
        <v>0</v>
      </c>
      <c r="AC205" s="111">
        <v>0</v>
      </c>
      <c r="AD205" s="111">
        <v>0</v>
      </c>
      <c r="AE205" s="111">
        <v>0</v>
      </c>
      <c r="AF205" s="111">
        <v>0</v>
      </c>
      <c r="AG205" s="111">
        <v>0</v>
      </c>
      <c r="AH205" s="111">
        <v>0</v>
      </c>
      <c r="AI205" s="111">
        <v>0</v>
      </c>
      <c r="AJ205" s="111">
        <v>0</v>
      </c>
      <c r="AK205" s="111">
        <v>0</v>
      </c>
      <c r="AL205" s="111">
        <v>171.88744379926982</v>
      </c>
      <c r="AM205" s="111">
        <v>298.06636893472177</v>
      </c>
      <c r="AN205" s="111">
        <v>202.29354826523775</v>
      </c>
      <c r="AO205" s="111">
        <v>0</v>
      </c>
      <c r="AP205" s="111">
        <v>0</v>
      </c>
      <c r="AQ205" s="111">
        <v>0</v>
      </c>
      <c r="AR205" s="111">
        <v>0</v>
      </c>
      <c r="AS205" s="111">
        <v>0</v>
      </c>
      <c r="AT205" s="111">
        <v>0</v>
      </c>
      <c r="AU205" s="111">
        <v>0</v>
      </c>
      <c r="AV205" s="111">
        <v>0</v>
      </c>
      <c r="AW205" s="111">
        <v>0</v>
      </c>
      <c r="AX205" s="111">
        <v>0</v>
      </c>
      <c r="AY205" s="111">
        <v>0</v>
      </c>
    </row>
    <row r="206" spans="1:51" x14ac:dyDescent="0.25">
      <c r="A206" s="114"/>
      <c r="B206" s="135">
        <v>10</v>
      </c>
      <c r="C206" s="111"/>
      <c r="D206" s="111">
        <v>0</v>
      </c>
      <c r="E206" s="111">
        <v>0</v>
      </c>
      <c r="F206" s="111">
        <v>0</v>
      </c>
      <c r="G206" s="111">
        <v>0</v>
      </c>
      <c r="H206" s="111">
        <v>0</v>
      </c>
      <c r="I206" s="111">
        <v>0</v>
      </c>
      <c r="J206" s="111">
        <v>0</v>
      </c>
      <c r="K206" s="111">
        <v>0</v>
      </c>
      <c r="L206" s="111">
        <v>0</v>
      </c>
      <c r="M206" s="111">
        <v>0</v>
      </c>
      <c r="N206" s="111">
        <v>0</v>
      </c>
      <c r="O206" s="111">
        <v>0</v>
      </c>
      <c r="P206" s="111">
        <v>0</v>
      </c>
      <c r="Q206" s="111">
        <v>0</v>
      </c>
      <c r="R206" s="111">
        <v>0</v>
      </c>
      <c r="S206" s="111">
        <v>0</v>
      </c>
      <c r="T206" s="111">
        <v>0</v>
      </c>
      <c r="U206" s="111">
        <v>0</v>
      </c>
      <c r="V206" s="111">
        <v>0</v>
      </c>
      <c r="W206" s="111">
        <v>28.858905667942565</v>
      </c>
      <c r="X206" s="111">
        <v>308</v>
      </c>
      <c r="Y206" s="111">
        <v>154.29521131583698</v>
      </c>
      <c r="Z206" s="111">
        <v>0.22038735529366704</v>
      </c>
      <c r="AA206" s="111">
        <v>0</v>
      </c>
      <c r="AB206" s="111">
        <v>0</v>
      </c>
      <c r="AC206" s="111">
        <v>0</v>
      </c>
      <c r="AD206" s="111">
        <v>0</v>
      </c>
      <c r="AE206" s="111">
        <v>0</v>
      </c>
      <c r="AF206" s="111">
        <v>0</v>
      </c>
      <c r="AG206" s="111">
        <v>0</v>
      </c>
      <c r="AH206" s="111">
        <v>0</v>
      </c>
      <c r="AI206" s="111">
        <v>0</v>
      </c>
      <c r="AJ206" s="111">
        <v>79.181428036862883</v>
      </c>
      <c r="AK206" s="111">
        <v>361.85289292811791</v>
      </c>
      <c r="AL206" s="111">
        <v>575.7004799598493</v>
      </c>
      <c r="AM206" s="111">
        <v>313.50761817463223</v>
      </c>
      <c r="AN206" s="111">
        <v>0</v>
      </c>
      <c r="AO206" s="111">
        <v>0</v>
      </c>
      <c r="AP206" s="111">
        <v>0</v>
      </c>
      <c r="AQ206" s="111">
        <v>0</v>
      </c>
      <c r="AR206" s="111">
        <v>0</v>
      </c>
      <c r="AS206" s="111">
        <v>0</v>
      </c>
      <c r="AT206" s="111">
        <v>0</v>
      </c>
      <c r="AU206" s="111">
        <v>0</v>
      </c>
      <c r="AV206" s="111">
        <v>0</v>
      </c>
      <c r="AW206" s="111">
        <v>0</v>
      </c>
      <c r="AX206" s="111">
        <v>0</v>
      </c>
      <c r="AY206" s="111">
        <v>0</v>
      </c>
    </row>
    <row r="207" spans="1:51" x14ac:dyDescent="0.25">
      <c r="A207" s="114"/>
      <c r="B207" s="135">
        <v>11</v>
      </c>
      <c r="C207" s="111"/>
      <c r="D207" s="111">
        <v>0</v>
      </c>
      <c r="E207" s="111">
        <v>0</v>
      </c>
      <c r="F207" s="111">
        <v>0</v>
      </c>
      <c r="G207" s="111">
        <v>0</v>
      </c>
      <c r="H207" s="111">
        <v>0</v>
      </c>
      <c r="I207" s="111">
        <v>0</v>
      </c>
      <c r="J207" s="111">
        <v>0</v>
      </c>
      <c r="K207" s="111">
        <v>0</v>
      </c>
      <c r="L207" s="111">
        <v>0</v>
      </c>
      <c r="M207" s="111">
        <v>0</v>
      </c>
      <c r="N207" s="111">
        <v>0</v>
      </c>
      <c r="O207" s="111">
        <v>0</v>
      </c>
      <c r="P207" s="111">
        <v>0</v>
      </c>
      <c r="Q207" s="111">
        <v>0</v>
      </c>
      <c r="R207" s="111">
        <v>0</v>
      </c>
      <c r="S207" s="111">
        <v>0</v>
      </c>
      <c r="T207" s="111">
        <v>0</v>
      </c>
      <c r="U207" s="111">
        <v>0</v>
      </c>
      <c r="V207" s="111">
        <v>0</v>
      </c>
      <c r="W207" s="111">
        <v>0</v>
      </c>
      <c r="X207" s="111">
        <v>0</v>
      </c>
      <c r="Y207" s="111">
        <v>169.70478868416302</v>
      </c>
      <c r="Z207" s="111">
        <v>289.77961264470633</v>
      </c>
      <c r="AA207" s="111">
        <v>332</v>
      </c>
      <c r="AB207" s="111">
        <v>204.09742312925505</v>
      </c>
      <c r="AC207" s="111">
        <v>236.27899638232992</v>
      </c>
      <c r="AD207" s="111">
        <v>11.855847648513929</v>
      </c>
      <c r="AE207" s="111">
        <v>0</v>
      </c>
      <c r="AF207" s="111">
        <v>0</v>
      </c>
      <c r="AG207" s="111">
        <v>0</v>
      </c>
      <c r="AH207" s="111">
        <v>106.71396470415726</v>
      </c>
      <c r="AI207" s="111">
        <v>233.87537041354483</v>
      </c>
      <c r="AJ207" s="111">
        <v>325.19685608778383</v>
      </c>
      <c r="AK207" s="111">
        <v>310.14710707188209</v>
      </c>
      <c r="AL207" s="111">
        <v>12.412076240880879</v>
      </c>
      <c r="AM207" s="111">
        <v>0</v>
      </c>
      <c r="AN207" s="111">
        <v>0</v>
      </c>
      <c r="AO207" s="111">
        <v>0</v>
      </c>
      <c r="AP207" s="111">
        <v>0</v>
      </c>
      <c r="AQ207" s="111">
        <v>0</v>
      </c>
      <c r="AR207" s="111">
        <v>0</v>
      </c>
      <c r="AS207" s="111">
        <v>0</v>
      </c>
      <c r="AT207" s="111">
        <v>0</v>
      </c>
      <c r="AU207" s="111">
        <v>0</v>
      </c>
      <c r="AV207" s="111">
        <v>0</v>
      </c>
      <c r="AW207" s="111">
        <v>0</v>
      </c>
      <c r="AX207" s="111">
        <v>0</v>
      </c>
      <c r="AY207" s="111">
        <v>0</v>
      </c>
    </row>
    <row r="208" spans="1:51" x14ac:dyDescent="0.25">
      <c r="A208" s="114"/>
      <c r="B208" s="135">
        <v>12</v>
      </c>
      <c r="C208" s="111"/>
      <c r="D208" s="111">
        <v>0</v>
      </c>
      <c r="E208" s="111">
        <v>0</v>
      </c>
      <c r="F208" s="111">
        <v>0</v>
      </c>
      <c r="G208" s="111">
        <v>0</v>
      </c>
      <c r="H208" s="111">
        <v>0</v>
      </c>
      <c r="I208" s="111">
        <v>0</v>
      </c>
      <c r="J208" s="111">
        <v>0</v>
      </c>
      <c r="K208" s="111">
        <v>0</v>
      </c>
      <c r="L208" s="111">
        <v>0</v>
      </c>
      <c r="M208" s="111">
        <v>0</v>
      </c>
      <c r="N208" s="111">
        <v>0</v>
      </c>
      <c r="O208" s="111">
        <v>0</v>
      </c>
      <c r="P208" s="111">
        <v>0</v>
      </c>
      <c r="Q208" s="111">
        <v>0</v>
      </c>
      <c r="R208" s="111">
        <v>0</v>
      </c>
      <c r="S208" s="111">
        <v>0</v>
      </c>
      <c r="T208" s="111">
        <v>0</v>
      </c>
      <c r="U208" s="111">
        <v>0</v>
      </c>
      <c r="V208" s="111">
        <v>0</v>
      </c>
      <c r="W208" s="111">
        <v>0</v>
      </c>
      <c r="X208" s="111">
        <v>0</v>
      </c>
      <c r="Y208" s="111">
        <v>0</v>
      </c>
      <c r="Z208" s="111">
        <v>0</v>
      </c>
      <c r="AA208" s="111">
        <v>0</v>
      </c>
      <c r="AB208" s="111">
        <v>215.90257687074495</v>
      </c>
      <c r="AC208" s="111">
        <v>302.72100361767008</v>
      </c>
      <c r="AD208" s="111">
        <v>443.14415235148607</v>
      </c>
      <c r="AE208" s="111">
        <v>359</v>
      </c>
      <c r="AF208" s="111">
        <v>469</v>
      </c>
      <c r="AG208" s="111">
        <v>630</v>
      </c>
      <c r="AH208" s="111">
        <v>438.28603529584274</v>
      </c>
      <c r="AI208" s="111">
        <v>304.12462958645517</v>
      </c>
      <c r="AJ208" s="111">
        <v>422.62171587535329</v>
      </c>
      <c r="AK208" s="111">
        <v>0</v>
      </c>
      <c r="AL208" s="111">
        <v>0</v>
      </c>
      <c r="AM208" s="111">
        <v>0</v>
      </c>
      <c r="AN208" s="111">
        <v>0</v>
      </c>
      <c r="AO208" s="111">
        <v>0</v>
      </c>
      <c r="AP208" s="111">
        <v>0</v>
      </c>
      <c r="AQ208" s="111">
        <v>0</v>
      </c>
      <c r="AR208" s="111">
        <v>0</v>
      </c>
      <c r="AS208" s="111">
        <v>0</v>
      </c>
      <c r="AT208" s="111">
        <v>0</v>
      </c>
      <c r="AU208" s="111">
        <v>0</v>
      </c>
      <c r="AV208" s="111">
        <v>0</v>
      </c>
      <c r="AW208" s="111">
        <v>0</v>
      </c>
      <c r="AX208" s="111">
        <v>0</v>
      </c>
      <c r="AY208" s="111">
        <v>0</v>
      </c>
    </row>
    <row r="209" spans="1:51" x14ac:dyDescent="0.25">
      <c r="A209" s="131" t="s">
        <v>123</v>
      </c>
      <c r="B209" s="128">
        <v>1</v>
      </c>
      <c r="C209" s="129"/>
      <c r="D209" s="129">
        <v>0</v>
      </c>
      <c r="E209" s="129">
        <v>0</v>
      </c>
      <c r="F209" s="129">
        <v>145</v>
      </c>
      <c r="G209" s="129">
        <v>0</v>
      </c>
      <c r="H209" s="129">
        <v>0</v>
      </c>
      <c r="I209" s="129">
        <v>0</v>
      </c>
      <c r="J209" s="129">
        <v>0</v>
      </c>
      <c r="K209" s="129">
        <v>0</v>
      </c>
      <c r="L209" s="129">
        <v>0</v>
      </c>
      <c r="M209" s="129">
        <v>0</v>
      </c>
      <c r="N209" s="129">
        <v>0</v>
      </c>
      <c r="O209" s="129">
        <v>0</v>
      </c>
      <c r="P209" s="129">
        <v>0</v>
      </c>
      <c r="Q209" s="129">
        <v>0</v>
      </c>
      <c r="R209" s="129">
        <v>0</v>
      </c>
      <c r="S209" s="129">
        <v>0</v>
      </c>
      <c r="T209" s="129">
        <v>0</v>
      </c>
      <c r="U209" s="129">
        <v>0</v>
      </c>
      <c r="V209" s="129">
        <v>0</v>
      </c>
      <c r="W209" s="129">
        <v>0</v>
      </c>
      <c r="X209" s="129">
        <v>0</v>
      </c>
      <c r="Y209" s="129">
        <v>0</v>
      </c>
      <c r="Z209" s="129">
        <v>0</v>
      </c>
      <c r="AA209" s="129">
        <v>0</v>
      </c>
      <c r="AB209" s="129">
        <v>0</v>
      </c>
      <c r="AC209" s="129">
        <v>0</v>
      </c>
      <c r="AD209" s="129">
        <v>89.557568045789594</v>
      </c>
      <c r="AE209" s="129">
        <v>18.00420785335865</v>
      </c>
      <c r="AF209" s="129">
        <v>158.10939606741576</v>
      </c>
      <c r="AG209" s="129">
        <v>0</v>
      </c>
      <c r="AH209" s="129">
        <v>156.86249494382008</v>
      </c>
      <c r="AI209" s="129">
        <v>384.92025000000007</v>
      </c>
      <c r="AJ209" s="129">
        <v>472.93789606741575</v>
      </c>
      <c r="AK209" s="129">
        <v>0</v>
      </c>
      <c r="AL209" s="129">
        <v>158.10939606741573</v>
      </c>
      <c r="AM209" s="129">
        <v>53.625</v>
      </c>
      <c r="AN209" s="129">
        <v>475.54650000000004</v>
      </c>
      <c r="AO209" s="129">
        <v>53.625</v>
      </c>
      <c r="AP209" s="129">
        <v>438.54525000000007</v>
      </c>
      <c r="AQ209" s="129">
        <v>90.626250000000013</v>
      </c>
      <c r="AR209" s="129">
        <v>37.001250000000006</v>
      </c>
      <c r="AS209" s="129">
        <v>121.1081460674157</v>
      </c>
      <c r="AT209" s="129">
        <v>90.62624999999997</v>
      </c>
      <c r="AU209" s="129">
        <v>475.54650000000009</v>
      </c>
      <c r="AV209" s="129">
        <v>90.626250000000013</v>
      </c>
      <c r="AW209" s="129">
        <v>438.54525000000007</v>
      </c>
      <c r="AX209" s="129">
        <v>90.626249999999999</v>
      </c>
      <c r="AY209" s="129">
        <v>90.626249999999999</v>
      </c>
    </row>
    <row r="210" spans="1:51" x14ac:dyDescent="0.25">
      <c r="A210" s="114"/>
      <c r="B210" s="124">
        <v>2</v>
      </c>
      <c r="C210" s="111"/>
      <c r="D210" s="115">
        <v>0</v>
      </c>
      <c r="E210" s="115">
        <v>0</v>
      </c>
      <c r="F210" s="115">
        <v>0</v>
      </c>
      <c r="G210" s="115">
        <v>127</v>
      </c>
      <c r="H210" s="115">
        <v>100.89410374999994</v>
      </c>
      <c r="I210" s="115">
        <v>0</v>
      </c>
      <c r="J210" s="115">
        <v>0</v>
      </c>
      <c r="K210" s="115">
        <v>0</v>
      </c>
      <c r="L210" s="115">
        <v>0</v>
      </c>
      <c r="M210" s="115">
        <v>0</v>
      </c>
      <c r="N210" s="115">
        <v>0</v>
      </c>
      <c r="O210" s="115">
        <v>0</v>
      </c>
      <c r="P210" s="115">
        <v>0</v>
      </c>
      <c r="Q210" s="115">
        <v>0</v>
      </c>
      <c r="R210" s="115">
        <v>0</v>
      </c>
      <c r="S210" s="115">
        <v>0</v>
      </c>
      <c r="T210" s="115">
        <v>0</v>
      </c>
      <c r="U210" s="115">
        <v>0</v>
      </c>
      <c r="V210" s="115">
        <v>0</v>
      </c>
      <c r="W210" s="115">
        <v>0</v>
      </c>
      <c r="X210" s="115">
        <v>60.115375463474891</v>
      </c>
      <c r="Y210" s="115">
        <v>69.169456551258634</v>
      </c>
      <c r="Z210" s="115">
        <v>208.04175050831805</v>
      </c>
      <c r="AA210" s="115">
        <v>189.77094720540669</v>
      </c>
      <c r="AB210" s="115">
        <v>207.21577828885137</v>
      </c>
      <c r="AC210" s="115">
        <v>196.20250276275334</v>
      </c>
      <c r="AD210" s="115">
        <v>322.05566250000004</v>
      </c>
      <c r="AE210" s="115">
        <v>361.99579214664135</v>
      </c>
      <c r="AF210" s="115">
        <v>47.204327395316888</v>
      </c>
      <c r="AG210" s="115">
        <v>145.07974999999993</v>
      </c>
      <c r="AH210" s="115">
        <v>309.10522500000008</v>
      </c>
      <c r="AI210" s="115">
        <v>0.81048573033719007</v>
      </c>
      <c r="AJ210" s="115">
        <v>53.625</v>
      </c>
      <c r="AK210" s="115">
        <v>1.695592556179824</v>
      </c>
      <c r="AL210" s="115">
        <v>475.54650000000009</v>
      </c>
      <c r="AM210" s="115">
        <v>317.43710393258436</v>
      </c>
      <c r="AN210" s="115">
        <v>37.001250000000006</v>
      </c>
      <c r="AO210" s="115">
        <v>3.6948222259525211E-14</v>
      </c>
      <c r="AP210" s="115">
        <v>37.001250000000006</v>
      </c>
      <c r="AQ210" s="115">
        <v>0</v>
      </c>
      <c r="AR210" s="115">
        <v>0</v>
      </c>
      <c r="AS210" s="115">
        <v>0</v>
      </c>
      <c r="AT210" s="115">
        <v>317.43710393258436</v>
      </c>
      <c r="AU210" s="115">
        <v>384.92025000000012</v>
      </c>
      <c r="AV210" s="115">
        <v>0</v>
      </c>
      <c r="AW210" s="115">
        <v>0</v>
      </c>
      <c r="AX210" s="115">
        <v>37.001250000000006</v>
      </c>
      <c r="AY210" s="115">
        <v>9.2370555648813027E-15</v>
      </c>
    </row>
    <row r="211" spans="1:51" x14ac:dyDescent="0.25">
      <c r="A211" s="114"/>
      <c r="B211" s="124">
        <v>3</v>
      </c>
      <c r="C211" s="111"/>
      <c r="D211" s="115">
        <v>0</v>
      </c>
      <c r="E211" s="115">
        <v>0</v>
      </c>
      <c r="F211" s="115">
        <v>0</v>
      </c>
      <c r="G211" s="115">
        <v>0</v>
      </c>
      <c r="H211" s="115">
        <v>57.10589625000005</v>
      </c>
      <c r="I211" s="115">
        <v>152</v>
      </c>
      <c r="J211" s="115">
        <v>72.980922428124956</v>
      </c>
      <c r="K211" s="115">
        <v>50.840642015781185</v>
      </c>
      <c r="L211" s="115">
        <v>90.704665529007741</v>
      </c>
      <c r="M211" s="115">
        <v>0</v>
      </c>
      <c r="N211" s="115">
        <v>0</v>
      </c>
      <c r="O211" s="115">
        <v>0</v>
      </c>
      <c r="P211" s="115">
        <v>16.862894469058517</v>
      </c>
      <c r="Q211" s="115">
        <v>100.36392384238799</v>
      </c>
      <c r="R211" s="115">
        <v>55.247951122552152</v>
      </c>
      <c r="S211" s="115">
        <v>2.1562577784650045</v>
      </c>
      <c r="T211" s="115">
        <v>116.67512561850222</v>
      </c>
      <c r="U211" s="115">
        <v>175.24187408952639</v>
      </c>
      <c r="V211" s="115">
        <v>137.39017862694215</v>
      </c>
      <c r="W211" s="115">
        <v>179.76564680098144</v>
      </c>
      <c r="X211" s="115">
        <v>273.135337394663</v>
      </c>
      <c r="Y211" s="115">
        <v>257.83054344874137</v>
      </c>
      <c r="Z211" s="115">
        <v>155.95824949168195</v>
      </c>
      <c r="AA211" s="115">
        <v>184.22905279459331</v>
      </c>
      <c r="AB211" s="115">
        <v>149.78422171114863</v>
      </c>
      <c r="AC211" s="115">
        <v>153.79749723724666</v>
      </c>
      <c r="AD211" s="115">
        <v>73.386769454210381</v>
      </c>
      <c r="AE211" s="115">
        <v>0</v>
      </c>
      <c r="AF211" s="115">
        <v>0</v>
      </c>
      <c r="AG211" s="115">
        <v>384.92025000000007</v>
      </c>
      <c r="AH211" s="115">
        <v>112.03228005617984</v>
      </c>
      <c r="AI211" s="115">
        <v>0</v>
      </c>
      <c r="AJ211" s="115">
        <v>317.43710393258431</v>
      </c>
      <c r="AK211" s="115">
        <v>37.001250000000006</v>
      </c>
      <c r="AL211" s="115">
        <v>0</v>
      </c>
      <c r="AM211" s="115">
        <v>0</v>
      </c>
      <c r="AN211" s="115">
        <v>0</v>
      </c>
      <c r="AO211" s="115">
        <v>0</v>
      </c>
      <c r="AP211" s="115">
        <v>0</v>
      </c>
      <c r="AQ211" s="115">
        <v>0</v>
      </c>
      <c r="AR211" s="115">
        <v>0</v>
      </c>
      <c r="AS211" s="115">
        <v>384.92025000000007</v>
      </c>
      <c r="AT211" s="115">
        <v>0</v>
      </c>
      <c r="AU211" s="115">
        <v>0</v>
      </c>
      <c r="AV211" s="115">
        <v>0</v>
      </c>
      <c r="AW211" s="115">
        <v>0</v>
      </c>
      <c r="AX211" s="115">
        <v>384.92025000000007</v>
      </c>
      <c r="AY211" s="115">
        <v>0</v>
      </c>
    </row>
    <row r="212" spans="1:51" x14ac:dyDescent="0.25">
      <c r="A212" s="114"/>
      <c r="B212" s="124">
        <v>4</v>
      </c>
      <c r="C212" s="111"/>
      <c r="D212" s="115">
        <v>0</v>
      </c>
      <c r="E212" s="115">
        <v>0</v>
      </c>
      <c r="F212" s="115">
        <v>0</v>
      </c>
      <c r="G212" s="115">
        <v>0</v>
      </c>
      <c r="H212" s="115">
        <v>0</v>
      </c>
      <c r="I212" s="115">
        <v>0</v>
      </c>
      <c r="J212" s="115">
        <v>54.019077571875052</v>
      </c>
      <c r="K212" s="115">
        <v>83.159357984218815</v>
      </c>
      <c r="L212" s="115">
        <v>88.295334470992259</v>
      </c>
      <c r="M212" s="115">
        <v>154</v>
      </c>
      <c r="N212" s="115">
        <v>134.08202939272974</v>
      </c>
      <c r="O212" s="115">
        <v>148.1109287208993</v>
      </c>
      <c r="P212" s="115">
        <v>136.06851740625001</v>
      </c>
      <c r="Q212" s="115">
        <v>119.63607615761201</v>
      </c>
      <c r="R212" s="115">
        <v>127.75204887744785</v>
      </c>
      <c r="S212" s="115">
        <v>213.843742221535</v>
      </c>
      <c r="T212" s="115">
        <v>149.32487438149778</v>
      </c>
      <c r="U212" s="115">
        <v>54.758125910473595</v>
      </c>
      <c r="V212" s="115">
        <v>73.609821373057869</v>
      </c>
      <c r="W212" s="115">
        <v>88.234353199018557</v>
      </c>
      <c r="X212" s="115">
        <v>13.7492871418621</v>
      </c>
      <c r="Y212" s="115">
        <v>0</v>
      </c>
      <c r="Z212" s="115">
        <v>0</v>
      </c>
      <c r="AA212" s="115">
        <v>0</v>
      </c>
      <c r="AB212" s="115">
        <v>0</v>
      </c>
      <c r="AC212" s="115">
        <v>0</v>
      </c>
      <c r="AD212" s="115">
        <v>0</v>
      </c>
      <c r="AE212" s="115">
        <v>0</v>
      </c>
      <c r="AF212" s="115">
        <v>0</v>
      </c>
      <c r="AG212" s="115">
        <v>0</v>
      </c>
      <c r="AH212" s="115">
        <v>0</v>
      </c>
      <c r="AI212" s="115">
        <v>0</v>
      </c>
      <c r="AJ212" s="115">
        <v>0</v>
      </c>
      <c r="AK212" s="115">
        <v>0</v>
      </c>
      <c r="AL212" s="115">
        <v>0</v>
      </c>
      <c r="AM212" s="115">
        <v>0</v>
      </c>
      <c r="AN212" s="115">
        <v>0</v>
      </c>
      <c r="AO212" s="115">
        <v>0</v>
      </c>
      <c r="AP212" s="115">
        <v>0</v>
      </c>
      <c r="AQ212" s="115">
        <v>0</v>
      </c>
      <c r="AR212" s="115">
        <v>0</v>
      </c>
      <c r="AS212" s="115">
        <v>0</v>
      </c>
      <c r="AT212" s="115">
        <v>0</v>
      </c>
      <c r="AU212" s="115">
        <v>0</v>
      </c>
      <c r="AV212" s="115">
        <v>0</v>
      </c>
      <c r="AW212" s="115">
        <v>0</v>
      </c>
      <c r="AX212" s="115">
        <v>0</v>
      </c>
      <c r="AY212" s="115">
        <v>0</v>
      </c>
    </row>
    <row r="213" spans="1:51" x14ac:dyDescent="0.25">
      <c r="A213" s="114"/>
      <c r="B213" s="124">
        <v>5</v>
      </c>
      <c r="C213" s="111"/>
      <c r="D213" s="115">
        <v>0</v>
      </c>
      <c r="E213" s="115">
        <v>0</v>
      </c>
      <c r="F213" s="115">
        <v>0</v>
      </c>
      <c r="G213" s="115">
        <v>0</v>
      </c>
      <c r="H213" s="115">
        <v>0</v>
      </c>
      <c r="I213" s="115">
        <v>0</v>
      </c>
      <c r="J213" s="115">
        <v>0</v>
      </c>
      <c r="K213" s="115">
        <v>0</v>
      </c>
      <c r="L213" s="115">
        <v>0</v>
      </c>
      <c r="M213" s="115">
        <v>0</v>
      </c>
      <c r="N213" s="115">
        <v>23.917970607270249</v>
      </c>
      <c r="O213" s="115">
        <v>2.8890712791007007</v>
      </c>
      <c r="P213" s="115">
        <v>66.068588124691473</v>
      </c>
      <c r="Q213" s="115">
        <v>0</v>
      </c>
      <c r="R213" s="115">
        <v>0</v>
      </c>
      <c r="S213" s="115">
        <v>0</v>
      </c>
      <c r="T213" s="115">
        <v>0</v>
      </c>
      <c r="U213" s="115">
        <v>0</v>
      </c>
      <c r="V213" s="115">
        <v>0</v>
      </c>
      <c r="W213" s="115">
        <v>0</v>
      </c>
      <c r="X213" s="115">
        <v>0</v>
      </c>
      <c r="Y213" s="115">
        <v>0</v>
      </c>
      <c r="Z213" s="115">
        <v>0</v>
      </c>
      <c r="AA213" s="115">
        <v>0</v>
      </c>
      <c r="AB213" s="115">
        <v>0</v>
      </c>
      <c r="AC213" s="115">
        <v>0</v>
      </c>
      <c r="AD213" s="115">
        <v>0</v>
      </c>
      <c r="AE213" s="115">
        <v>0</v>
      </c>
      <c r="AF213" s="115">
        <v>0</v>
      </c>
      <c r="AG213" s="115">
        <v>0</v>
      </c>
      <c r="AH213" s="115">
        <v>0</v>
      </c>
      <c r="AI213" s="115">
        <v>0</v>
      </c>
      <c r="AJ213" s="115">
        <v>0</v>
      </c>
      <c r="AK213" s="115">
        <v>0</v>
      </c>
      <c r="AL213" s="115">
        <v>0</v>
      </c>
      <c r="AM213" s="115">
        <v>0</v>
      </c>
      <c r="AN213" s="115">
        <v>0</v>
      </c>
      <c r="AO213" s="115">
        <v>0</v>
      </c>
      <c r="AP213" s="115">
        <v>0</v>
      </c>
      <c r="AQ213" s="115">
        <v>0</v>
      </c>
      <c r="AR213" s="115">
        <v>0</v>
      </c>
      <c r="AS213" s="115">
        <v>0</v>
      </c>
      <c r="AT213" s="115">
        <v>0</v>
      </c>
      <c r="AU213" s="115">
        <v>0</v>
      </c>
      <c r="AV213" s="115">
        <v>0</v>
      </c>
      <c r="AW213" s="115">
        <v>0</v>
      </c>
      <c r="AX213" s="115">
        <v>0</v>
      </c>
      <c r="AY213" s="115">
        <v>0</v>
      </c>
    </row>
    <row r="214" spans="1:51" x14ac:dyDescent="0.25">
      <c r="A214" s="114"/>
      <c r="B214" s="124">
        <v>6</v>
      </c>
      <c r="C214" s="111"/>
      <c r="D214" s="115">
        <v>0</v>
      </c>
      <c r="E214" s="115">
        <v>0</v>
      </c>
      <c r="F214" s="115">
        <v>0</v>
      </c>
      <c r="G214" s="115">
        <v>0</v>
      </c>
      <c r="H214" s="115">
        <v>0</v>
      </c>
      <c r="I214" s="115">
        <v>0</v>
      </c>
      <c r="J214" s="115">
        <v>0</v>
      </c>
      <c r="K214" s="115">
        <v>0</v>
      </c>
      <c r="L214" s="115">
        <v>0</v>
      </c>
      <c r="M214" s="115">
        <v>0</v>
      </c>
      <c r="N214" s="115">
        <v>0</v>
      </c>
      <c r="O214" s="115">
        <v>0</v>
      </c>
      <c r="P214" s="115">
        <v>0</v>
      </c>
      <c r="Q214" s="115">
        <v>0</v>
      </c>
      <c r="R214" s="115">
        <v>0</v>
      </c>
      <c r="S214" s="115">
        <v>0</v>
      </c>
      <c r="T214" s="115">
        <v>0</v>
      </c>
      <c r="U214" s="115">
        <v>0</v>
      </c>
      <c r="V214" s="115">
        <v>0</v>
      </c>
      <c r="W214" s="115">
        <v>0</v>
      </c>
      <c r="X214" s="115">
        <v>0</v>
      </c>
      <c r="Y214" s="115">
        <v>0</v>
      </c>
      <c r="Z214" s="115">
        <v>0</v>
      </c>
      <c r="AA214" s="115">
        <v>0</v>
      </c>
      <c r="AB214" s="115">
        <v>0</v>
      </c>
      <c r="AC214" s="115">
        <v>0</v>
      </c>
      <c r="AD214" s="115">
        <v>0</v>
      </c>
      <c r="AE214" s="115">
        <v>0</v>
      </c>
      <c r="AF214" s="115">
        <v>0</v>
      </c>
      <c r="AG214" s="115">
        <v>0</v>
      </c>
      <c r="AH214" s="115">
        <v>0</v>
      </c>
      <c r="AI214" s="115">
        <v>0</v>
      </c>
      <c r="AJ214" s="115">
        <v>0</v>
      </c>
      <c r="AK214" s="115">
        <v>0</v>
      </c>
      <c r="AL214" s="115">
        <v>0</v>
      </c>
      <c r="AM214" s="115">
        <v>0</v>
      </c>
      <c r="AN214" s="115">
        <v>0</v>
      </c>
      <c r="AO214" s="115">
        <v>0</v>
      </c>
      <c r="AP214" s="115">
        <v>0</v>
      </c>
      <c r="AQ214" s="115">
        <v>0</v>
      </c>
      <c r="AR214" s="115">
        <v>0</v>
      </c>
      <c r="AS214" s="115">
        <v>0</v>
      </c>
      <c r="AT214" s="115">
        <v>0</v>
      </c>
      <c r="AU214" s="115">
        <v>0</v>
      </c>
      <c r="AV214" s="115">
        <v>0</v>
      </c>
      <c r="AW214" s="115">
        <v>0</v>
      </c>
      <c r="AX214" s="115">
        <v>0</v>
      </c>
      <c r="AY214" s="115">
        <v>0</v>
      </c>
    </row>
    <row r="215" spans="1:51" x14ac:dyDescent="0.25">
      <c r="A215" s="114"/>
      <c r="B215" s="124">
        <v>7</v>
      </c>
      <c r="C215" s="111"/>
      <c r="D215" s="115">
        <v>0</v>
      </c>
      <c r="E215" s="115">
        <v>0</v>
      </c>
      <c r="F215" s="115">
        <v>0</v>
      </c>
      <c r="G215" s="115">
        <v>0</v>
      </c>
      <c r="H215" s="115">
        <v>0</v>
      </c>
      <c r="I215" s="115">
        <v>0</v>
      </c>
      <c r="J215" s="115">
        <v>0</v>
      </c>
      <c r="K215" s="115">
        <v>0</v>
      </c>
      <c r="L215" s="115">
        <v>0</v>
      </c>
      <c r="M215" s="115">
        <v>0</v>
      </c>
      <c r="N215" s="115">
        <v>0</v>
      </c>
      <c r="O215" s="115">
        <v>0</v>
      </c>
      <c r="P215" s="115">
        <v>0</v>
      </c>
      <c r="Q215" s="115">
        <v>0</v>
      </c>
      <c r="R215" s="115">
        <v>0</v>
      </c>
      <c r="S215" s="115">
        <v>0</v>
      </c>
      <c r="T215" s="115">
        <v>0</v>
      </c>
      <c r="U215" s="115">
        <v>0</v>
      </c>
      <c r="V215" s="115">
        <v>0</v>
      </c>
      <c r="W215" s="115">
        <v>0</v>
      </c>
      <c r="X215" s="115">
        <v>0</v>
      </c>
      <c r="Y215" s="115">
        <v>0</v>
      </c>
      <c r="Z215" s="115">
        <v>0</v>
      </c>
      <c r="AA215" s="115">
        <v>0</v>
      </c>
      <c r="AB215" s="115">
        <v>0</v>
      </c>
      <c r="AC215" s="115">
        <v>0</v>
      </c>
      <c r="AD215" s="115">
        <v>0</v>
      </c>
      <c r="AE215" s="115">
        <v>0</v>
      </c>
      <c r="AF215" s="115">
        <v>0</v>
      </c>
      <c r="AG215" s="115">
        <v>0</v>
      </c>
      <c r="AH215" s="115">
        <v>0</v>
      </c>
      <c r="AI215" s="115">
        <v>0</v>
      </c>
      <c r="AJ215" s="115">
        <v>0</v>
      </c>
      <c r="AK215" s="115">
        <v>0</v>
      </c>
      <c r="AL215" s="115">
        <v>0</v>
      </c>
      <c r="AM215" s="115">
        <v>0</v>
      </c>
      <c r="AN215" s="115">
        <v>0</v>
      </c>
      <c r="AO215" s="115">
        <v>0</v>
      </c>
      <c r="AP215" s="115">
        <v>0</v>
      </c>
      <c r="AQ215" s="115">
        <v>0</v>
      </c>
      <c r="AR215" s="115">
        <v>0</v>
      </c>
      <c r="AS215" s="115">
        <v>0</v>
      </c>
      <c r="AT215" s="115">
        <v>0</v>
      </c>
      <c r="AU215" s="115">
        <v>0</v>
      </c>
      <c r="AV215" s="115">
        <v>0</v>
      </c>
      <c r="AW215" s="115">
        <v>0</v>
      </c>
      <c r="AX215" s="115">
        <v>0</v>
      </c>
      <c r="AY215" s="115">
        <v>0</v>
      </c>
    </row>
    <row r="216" spans="1:51" x14ac:dyDescent="0.25">
      <c r="A216" s="114"/>
      <c r="B216" s="124">
        <v>8</v>
      </c>
      <c r="C216" s="111"/>
      <c r="D216" s="115">
        <v>0</v>
      </c>
      <c r="E216" s="115">
        <v>0</v>
      </c>
      <c r="F216" s="115">
        <v>0</v>
      </c>
      <c r="G216" s="115">
        <v>0</v>
      </c>
      <c r="H216" s="115">
        <v>0</v>
      </c>
      <c r="I216" s="115">
        <v>0</v>
      </c>
      <c r="J216" s="115">
        <v>0</v>
      </c>
      <c r="K216" s="115">
        <v>0</v>
      </c>
      <c r="L216" s="115">
        <v>0</v>
      </c>
      <c r="M216" s="115">
        <v>0</v>
      </c>
      <c r="N216" s="115">
        <v>0</v>
      </c>
      <c r="O216" s="115">
        <v>0</v>
      </c>
      <c r="P216" s="115">
        <v>0</v>
      </c>
      <c r="Q216" s="115">
        <v>0</v>
      </c>
      <c r="R216" s="115">
        <v>0</v>
      </c>
      <c r="S216" s="115">
        <v>0</v>
      </c>
      <c r="T216" s="115">
        <v>0</v>
      </c>
      <c r="U216" s="115">
        <v>0</v>
      </c>
      <c r="V216" s="115">
        <v>0</v>
      </c>
      <c r="W216" s="115">
        <v>0</v>
      </c>
      <c r="X216" s="115">
        <v>0</v>
      </c>
      <c r="Y216" s="115">
        <v>0</v>
      </c>
      <c r="Z216" s="115">
        <v>0</v>
      </c>
      <c r="AA216" s="115">
        <v>0</v>
      </c>
      <c r="AB216" s="115">
        <v>0</v>
      </c>
      <c r="AC216" s="115">
        <v>0</v>
      </c>
      <c r="AD216" s="115">
        <v>0</v>
      </c>
      <c r="AE216" s="115">
        <v>0</v>
      </c>
      <c r="AF216" s="115">
        <v>0</v>
      </c>
      <c r="AG216" s="115">
        <v>0</v>
      </c>
      <c r="AH216" s="115">
        <v>0</v>
      </c>
      <c r="AI216" s="115">
        <v>0</v>
      </c>
      <c r="AJ216" s="115">
        <v>0</v>
      </c>
      <c r="AK216" s="115">
        <v>0</v>
      </c>
      <c r="AL216" s="115">
        <v>0</v>
      </c>
      <c r="AM216" s="115">
        <v>0</v>
      </c>
      <c r="AN216" s="115">
        <v>0</v>
      </c>
      <c r="AO216" s="115">
        <v>0</v>
      </c>
      <c r="AP216" s="115">
        <v>0</v>
      </c>
      <c r="AQ216" s="115">
        <v>0</v>
      </c>
      <c r="AR216" s="115">
        <v>0</v>
      </c>
      <c r="AS216" s="115">
        <v>0</v>
      </c>
      <c r="AT216" s="115">
        <v>0</v>
      </c>
      <c r="AU216" s="115">
        <v>0</v>
      </c>
      <c r="AV216" s="115">
        <v>0</v>
      </c>
      <c r="AW216" s="115">
        <v>0</v>
      </c>
      <c r="AX216" s="115">
        <v>0</v>
      </c>
      <c r="AY216" s="115">
        <v>0</v>
      </c>
    </row>
    <row r="217" spans="1:51" x14ac:dyDescent="0.25">
      <c r="A217" s="114"/>
      <c r="B217" s="124">
        <v>9</v>
      </c>
      <c r="C217" s="111"/>
      <c r="D217" s="115">
        <v>0</v>
      </c>
      <c r="E217" s="115">
        <v>0</v>
      </c>
      <c r="F217" s="115">
        <v>0</v>
      </c>
      <c r="G217" s="115">
        <v>0</v>
      </c>
      <c r="H217" s="115">
        <v>0</v>
      </c>
      <c r="I217" s="115">
        <v>0</v>
      </c>
      <c r="J217" s="115">
        <v>0</v>
      </c>
      <c r="K217" s="115">
        <v>0</v>
      </c>
      <c r="L217" s="115">
        <v>0</v>
      </c>
      <c r="M217" s="115">
        <v>0</v>
      </c>
      <c r="N217" s="115">
        <v>0</v>
      </c>
      <c r="O217" s="115">
        <v>0</v>
      </c>
      <c r="P217" s="115">
        <v>0</v>
      </c>
      <c r="Q217" s="115">
        <v>0</v>
      </c>
      <c r="R217" s="115">
        <v>0</v>
      </c>
      <c r="S217" s="115">
        <v>0</v>
      </c>
      <c r="T217" s="115">
        <v>0</v>
      </c>
      <c r="U217" s="115">
        <v>0</v>
      </c>
      <c r="V217" s="115">
        <v>0</v>
      </c>
      <c r="W217" s="115">
        <v>0</v>
      </c>
      <c r="X217" s="115">
        <v>0</v>
      </c>
      <c r="Y217" s="115">
        <v>0</v>
      </c>
      <c r="Z217" s="115">
        <v>0</v>
      </c>
      <c r="AA217" s="115">
        <v>0</v>
      </c>
      <c r="AB217" s="115">
        <v>0</v>
      </c>
      <c r="AC217" s="115">
        <v>0</v>
      </c>
      <c r="AD217" s="115">
        <v>0</v>
      </c>
      <c r="AE217" s="115">
        <v>0</v>
      </c>
      <c r="AF217" s="115">
        <v>0</v>
      </c>
      <c r="AG217" s="115">
        <v>0</v>
      </c>
      <c r="AH217" s="115">
        <v>0</v>
      </c>
      <c r="AI217" s="115">
        <v>0</v>
      </c>
      <c r="AJ217" s="115">
        <v>0</v>
      </c>
      <c r="AK217" s="115">
        <v>0</v>
      </c>
      <c r="AL217" s="115">
        <v>0</v>
      </c>
      <c r="AM217" s="115">
        <v>0</v>
      </c>
      <c r="AN217" s="115">
        <v>0</v>
      </c>
      <c r="AO217" s="115">
        <v>0</v>
      </c>
      <c r="AP217" s="115">
        <v>0</v>
      </c>
      <c r="AQ217" s="115">
        <v>0</v>
      </c>
      <c r="AR217" s="115">
        <v>0</v>
      </c>
      <c r="AS217" s="115">
        <v>0</v>
      </c>
      <c r="AT217" s="115">
        <v>0</v>
      </c>
      <c r="AU217" s="115">
        <v>0</v>
      </c>
      <c r="AV217" s="115">
        <v>0</v>
      </c>
      <c r="AW217" s="115">
        <v>0</v>
      </c>
      <c r="AX217" s="115">
        <v>0</v>
      </c>
      <c r="AY217" s="115">
        <v>0</v>
      </c>
    </row>
    <row r="218" spans="1:51" x14ac:dyDescent="0.25">
      <c r="A218" s="114"/>
      <c r="B218" s="124">
        <v>10</v>
      </c>
      <c r="C218" s="111"/>
      <c r="D218" s="115">
        <v>0</v>
      </c>
      <c r="E218" s="115">
        <v>0</v>
      </c>
      <c r="F218" s="115">
        <v>0</v>
      </c>
      <c r="G218" s="115">
        <v>0</v>
      </c>
      <c r="H218" s="115">
        <v>0</v>
      </c>
      <c r="I218" s="115">
        <v>0</v>
      </c>
      <c r="J218" s="115">
        <v>0</v>
      </c>
      <c r="K218" s="115">
        <v>0</v>
      </c>
      <c r="L218" s="115">
        <v>0</v>
      </c>
      <c r="M218" s="115">
        <v>0</v>
      </c>
      <c r="N218" s="115">
        <v>0</v>
      </c>
      <c r="O218" s="115">
        <v>0</v>
      </c>
      <c r="P218" s="115">
        <v>0</v>
      </c>
      <c r="Q218" s="115">
        <v>0</v>
      </c>
      <c r="R218" s="115">
        <v>0</v>
      </c>
      <c r="S218" s="115">
        <v>0</v>
      </c>
      <c r="T218" s="115">
        <v>0</v>
      </c>
      <c r="U218" s="115">
        <v>0</v>
      </c>
      <c r="V218" s="115">
        <v>0</v>
      </c>
      <c r="W218" s="115">
        <v>0</v>
      </c>
      <c r="X218" s="115">
        <v>0</v>
      </c>
      <c r="Y218" s="115">
        <v>0</v>
      </c>
      <c r="Z218" s="115">
        <v>0</v>
      </c>
      <c r="AA218" s="115">
        <v>0</v>
      </c>
      <c r="AB218" s="115">
        <v>0</v>
      </c>
      <c r="AC218" s="115">
        <v>0</v>
      </c>
      <c r="AD218" s="115">
        <v>0</v>
      </c>
      <c r="AE218" s="115">
        <v>0</v>
      </c>
      <c r="AF218" s="115">
        <v>0</v>
      </c>
      <c r="AG218" s="115">
        <v>0</v>
      </c>
      <c r="AH218" s="115">
        <v>0</v>
      </c>
      <c r="AI218" s="115">
        <v>0</v>
      </c>
      <c r="AJ218" s="115">
        <v>0</v>
      </c>
      <c r="AK218" s="115">
        <v>0</v>
      </c>
      <c r="AL218" s="115">
        <v>0</v>
      </c>
      <c r="AM218" s="115">
        <v>0</v>
      </c>
      <c r="AN218" s="115">
        <v>0</v>
      </c>
      <c r="AO218" s="115">
        <v>0</v>
      </c>
      <c r="AP218" s="115">
        <v>0</v>
      </c>
      <c r="AQ218" s="115">
        <v>0</v>
      </c>
      <c r="AR218" s="115">
        <v>0</v>
      </c>
      <c r="AS218" s="115">
        <v>0</v>
      </c>
      <c r="AT218" s="115">
        <v>0</v>
      </c>
      <c r="AU218" s="115">
        <v>0</v>
      </c>
      <c r="AV218" s="115">
        <v>0</v>
      </c>
      <c r="AW218" s="115">
        <v>0</v>
      </c>
      <c r="AX218" s="115">
        <v>0</v>
      </c>
      <c r="AY218" s="115">
        <v>0</v>
      </c>
    </row>
    <row r="219" spans="1:51" x14ac:dyDescent="0.25">
      <c r="A219" s="114"/>
      <c r="B219" s="124">
        <v>11</v>
      </c>
      <c r="C219" s="111"/>
      <c r="D219" s="115">
        <v>0</v>
      </c>
      <c r="E219" s="115">
        <v>0</v>
      </c>
      <c r="F219" s="115">
        <v>0</v>
      </c>
      <c r="G219" s="115">
        <v>0</v>
      </c>
      <c r="H219" s="115">
        <v>0</v>
      </c>
      <c r="I219" s="115">
        <v>0</v>
      </c>
      <c r="J219" s="115">
        <v>0</v>
      </c>
      <c r="K219" s="115">
        <v>0</v>
      </c>
      <c r="L219" s="115">
        <v>0</v>
      </c>
      <c r="M219" s="115">
        <v>0</v>
      </c>
      <c r="N219" s="115">
        <v>0</v>
      </c>
      <c r="O219" s="115">
        <v>0</v>
      </c>
      <c r="P219" s="115">
        <v>0</v>
      </c>
      <c r="Q219" s="115">
        <v>0</v>
      </c>
      <c r="R219" s="115">
        <v>0</v>
      </c>
      <c r="S219" s="115">
        <v>0</v>
      </c>
      <c r="T219" s="115">
        <v>0</v>
      </c>
      <c r="U219" s="115">
        <v>0</v>
      </c>
      <c r="V219" s="115">
        <v>0</v>
      </c>
      <c r="W219" s="115">
        <v>0</v>
      </c>
      <c r="X219" s="115">
        <v>0</v>
      </c>
      <c r="Y219" s="115">
        <v>0</v>
      </c>
      <c r="Z219" s="115">
        <v>0</v>
      </c>
      <c r="AA219" s="115">
        <v>0</v>
      </c>
      <c r="AB219" s="115">
        <v>0</v>
      </c>
      <c r="AC219" s="115">
        <v>0</v>
      </c>
      <c r="AD219" s="115">
        <v>0</v>
      </c>
      <c r="AE219" s="115">
        <v>0</v>
      </c>
      <c r="AF219" s="115">
        <v>0</v>
      </c>
      <c r="AG219" s="115">
        <v>0</v>
      </c>
      <c r="AH219" s="115">
        <v>0</v>
      </c>
      <c r="AI219" s="115">
        <v>0</v>
      </c>
      <c r="AJ219" s="115">
        <v>0</v>
      </c>
      <c r="AK219" s="115">
        <v>0</v>
      </c>
      <c r="AL219" s="115">
        <v>0</v>
      </c>
      <c r="AM219" s="115">
        <v>0</v>
      </c>
      <c r="AN219" s="115">
        <v>0</v>
      </c>
      <c r="AO219" s="115">
        <v>0</v>
      </c>
      <c r="AP219" s="115">
        <v>0</v>
      </c>
      <c r="AQ219" s="115">
        <v>0</v>
      </c>
      <c r="AR219" s="115">
        <v>0</v>
      </c>
      <c r="AS219" s="115">
        <v>0</v>
      </c>
      <c r="AT219" s="115">
        <v>0</v>
      </c>
      <c r="AU219" s="115">
        <v>0</v>
      </c>
      <c r="AV219" s="115">
        <v>0</v>
      </c>
      <c r="AW219" s="115">
        <v>0</v>
      </c>
      <c r="AX219" s="115">
        <v>0</v>
      </c>
      <c r="AY219" s="115">
        <v>0</v>
      </c>
    </row>
    <row r="220" spans="1:51" x14ac:dyDescent="0.25">
      <c r="A220" s="114"/>
      <c r="B220" s="124">
        <v>12</v>
      </c>
      <c r="C220" s="111"/>
      <c r="D220" s="115">
        <v>0</v>
      </c>
      <c r="E220" s="115">
        <v>0</v>
      </c>
      <c r="F220" s="115">
        <v>0</v>
      </c>
      <c r="G220" s="115">
        <v>0</v>
      </c>
      <c r="H220" s="115">
        <v>0</v>
      </c>
      <c r="I220" s="115">
        <v>0</v>
      </c>
      <c r="J220" s="115">
        <v>0</v>
      </c>
      <c r="K220" s="115">
        <v>0</v>
      </c>
      <c r="L220" s="115">
        <v>0</v>
      </c>
      <c r="M220" s="115">
        <v>0</v>
      </c>
      <c r="N220" s="115">
        <v>0</v>
      </c>
      <c r="O220" s="115">
        <v>0</v>
      </c>
      <c r="P220" s="115">
        <v>0</v>
      </c>
      <c r="Q220" s="115">
        <v>0</v>
      </c>
      <c r="R220" s="115">
        <v>0</v>
      </c>
      <c r="S220" s="115">
        <v>0</v>
      </c>
      <c r="T220" s="115">
        <v>0</v>
      </c>
      <c r="U220" s="115">
        <v>0</v>
      </c>
      <c r="V220" s="115">
        <v>0</v>
      </c>
      <c r="W220" s="115">
        <v>0</v>
      </c>
      <c r="X220" s="115">
        <v>0</v>
      </c>
      <c r="Y220" s="115">
        <v>0</v>
      </c>
      <c r="Z220" s="115">
        <v>0</v>
      </c>
      <c r="AA220" s="115">
        <v>0</v>
      </c>
      <c r="AB220" s="115">
        <v>0</v>
      </c>
      <c r="AC220" s="115">
        <v>0</v>
      </c>
      <c r="AD220" s="115">
        <v>0</v>
      </c>
      <c r="AE220" s="115">
        <v>0</v>
      </c>
      <c r="AF220" s="115">
        <v>0</v>
      </c>
      <c r="AG220" s="115">
        <v>0</v>
      </c>
      <c r="AH220" s="115">
        <v>0</v>
      </c>
      <c r="AI220" s="115">
        <v>0</v>
      </c>
      <c r="AJ220" s="115">
        <v>0</v>
      </c>
      <c r="AK220" s="115">
        <v>0</v>
      </c>
      <c r="AL220" s="115">
        <v>0</v>
      </c>
      <c r="AM220" s="115">
        <v>0</v>
      </c>
      <c r="AN220" s="115">
        <v>0</v>
      </c>
      <c r="AO220" s="115">
        <v>0</v>
      </c>
      <c r="AP220" s="115">
        <v>0</v>
      </c>
      <c r="AQ220" s="115">
        <v>0</v>
      </c>
      <c r="AR220" s="115">
        <v>0</v>
      </c>
      <c r="AS220" s="115">
        <v>0</v>
      </c>
      <c r="AT220" s="115">
        <v>0</v>
      </c>
      <c r="AU220" s="115">
        <v>0</v>
      </c>
      <c r="AV220" s="115">
        <v>0</v>
      </c>
      <c r="AW220" s="115">
        <v>0</v>
      </c>
      <c r="AX220" s="115">
        <v>0</v>
      </c>
      <c r="AY220" s="115">
        <v>0</v>
      </c>
    </row>
    <row r="221" spans="1:51" x14ac:dyDescent="0.25">
      <c r="A221" s="114"/>
      <c r="B221" s="125">
        <v>13</v>
      </c>
      <c r="C221" s="111"/>
      <c r="D221" s="115">
        <v>0</v>
      </c>
      <c r="E221" s="115">
        <v>0</v>
      </c>
      <c r="F221" s="115">
        <v>0</v>
      </c>
      <c r="G221" s="115">
        <v>0</v>
      </c>
      <c r="H221" s="115">
        <v>0</v>
      </c>
      <c r="I221" s="115">
        <v>0</v>
      </c>
      <c r="J221" s="115">
        <v>0</v>
      </c>
      <c r="K221" s="115">
        <v>0</v>
      </c>
      <c r="L221" s="115">
        <v>0</v>
      </c>
      <c r="M221" s="115">
        <v>0</v>
      </c>
      <c r="N221" s="115">
        <v>0</v>
      </c>
      <c r="O221" s="115">
        <v>0</v>
      </c>
      <c r="P221" s="115">
        <v>0</v>
      </c>
      <c r="Q221" s="115">
        <v>0</v>
      </c>
      <c r="R221" s="115">
        <v>0</v>
      </c>
      <c r="S221" s="115">
        <v>0</v>
      </c>
      <c r="T221" s="115">
        <v>0</v>
      </c>
      <c r="U221" s="115">
        <v>0</v>
      </c>
      <c r="V221" s="115">
        <v>0</v>
      </c>
      <c r="W221" s="115">
        <v>0</v>
      </c>
      <c r="X221" s="115">
        <v>0</v>
      </c>
      <c r="Y221" s="115">
        <v>0</v>
      </c>
      <c r="Z221" s="115">
        <v>0</v>
      </c>
      <c r="AA221" s="115">
        <v>0</v>
      </c>
      <c r="AB221" s="115">
        <v>0</v>
      </c>
      <c r="AC221" s="115">
        <v>0</v>
      </c>
      <c r="AD221" s="115">
        <v>0</v>
      </c>
      <c r="AE221" s="115">
        <v>0</v>
      </c>
      <c r="AF221" s="115">
        <v>0</v>
      </c>
      <c r="AG221" s="115">
        <v>0</v>
      </c>
      <c r="AH221" s="115">
        <v>0</v>
      </c>
      <c r="AI221" s="115">
        <v>0</v>
      </c>
      <c r="AJ221" s="115">
        <v>0</v>
      </c>
      <c r="AK221" s="115">
        <v>0</v>
      </c>
      <c r="AL221" s="115">
        <v>0</v>
      </c>
      <c r="AM221" s="115">
        <v>0</v>
      </c>
      <c r="AN221" s="115">
        <v>0</v>
      </c>
      <c r="AO221" s="115">
        <v>0</v>
      </c>
      <c r="AP221" s="115">
        <v>0</v>
      </c>
      <c r="AQ221" s="115">
        <v>0</v>
      </c>
      <c r="AR221" s="115">
        <v>0</v>
      </c>
      <c r="AS221" s="115">
        <v>0</v>
      </c>
      <c r="AT221" s="115">
        <v>0</v>
      </c>
      <c r="AU221" s="115">
        <v>0</v>
      </c>
      <c r="AV221" s="115">
        <v>0</v>
      </c>
      <c r="AW221" s="115">
        <v>0</v>
      </c>
      <c r="AX221" s="115">
        <v>0</v>
      </c>
      <c r="AY221" s="115">
        <v>0</v>
      </c>
    </row>
    <row r="222" spans="1:51" x14ac:dyDescent="0.25">
      <c r="A222" s="114"/>
      <c r="B222" s="125">
        <v>14</v>
      </c>
      <c r="C222" s="111"/>
      <c r="D222" s="115">
        <v>0</v>
      </c>
      <c r="E222" s="115">
        <v>0</v>
      </c>
      <c r="F222" s="115">
        <v>0</v>
      </c>
      <c r="G222" s="115">
        <v>0</v>
      </c>
      <c r="H222" s="115">
        <v>0</v>
      </c>
      <c r="I222" s="115">
        <v>0</v>
      </c>
      <c r="J222" s="115">
        <v>0</v>
      </c>
      <c r="K222" s="115">
        <v>0</v>
      </c>
      <c r="L222" s="115">
        <v>0</v>
      </c>
      <c r="M222" s="115">
        <v>0</v>
      </c>
      <c r="N222" s="115">
        <v>0</v>
      </c>
      <c r="O222" s="115">
        <v>0</v>
      </c>
      <c r="P222" s="115">
        <v>0</v>
      </c>
      <c r="Q222" s="115">
        <v>0</v>
      </c>
      <c r="R222" s="115">
        <v>0</v>
      </c>
      <c r="S222" s="115">
        <v>0</v>
      </c>
      <c r="T222" s="115">
        <v>0</v>
      </c>
      <c r="U222" s="115">
        <v>0</v>
      </c>
      <c r="V222" s="115">
        <v>0</v>
      </c>
      <c r="W222" s="115">
        <v>0</v>
      </c>
      <c r="X222" s="115">
        <v>0</v>
      </c>
      <c r="Y222" s="115">
        <v>0</v>
      </c>
      <c r="Z222" s="115">
        <v>0</v>
      </c>
      <c r="AA222" s="115">
        <v>0</v>
      </c>
      <c r="AB222" s="115">
        <v>0</v>
      </c>
      <c r="AC222" s="115">
        <v>0</v>
      </c>
      <c r="AD222" s="115">
        <v>0</v>
      </c>
      <c r="AE222" s="115">
        <v>0</v>
      </c>
      <c r="AF222" s="115">
        <v>0</v>
      </c>
      <c r="AG222" s="115">
        <v>0</v>
      </c>
      <c r="AH222" s="115">
        <v>0</v>
      </c>
      <c r="AI222" s="115">
        <v>0</v>
      </c>
      <c r="AJ222" s="115">
        <v>0</v>
      </c>
      <c r="AK222" s="115">
        <v>0</v>
      </c>
      <c r="AL222" s="115">
        <v>0</v>
      </c>
      <c r="AM222" s="115">
        <v>0</v>
      </c>
      <c r="AN222" s="115">
        <v>0</v>
      </c>
      <c r="AO222" s="115">
        <v>0</v>
      </c>
      <c r="AP222" s="115">
        <v>0</v>
      </c>
      <c r="AQ222" s="115">
        <v>0</v>
      </c>
      <c r="AR222" s="115">
        <v>0</v>
      </c>
      <c r="AS222" s="115">
        <v>0</v>
      </c>
      <c r="AT222" s="115">
        <v>0</v>
      </c>
      <c r="AU222" s="115">
        <v>0</v>
      </c>
      <c r="AV222" s="115">
        <v>0</v>
      </c>
      <c r="AW222" s="115">
        <v>0</v>
      </c>
      <c r="AX222" s="115">
        <v>0</v>
      </c>
      <c r="AY222" s="115">
        <v>0</v>
      </c>
    </row>
    <row r="223" spans="1:51" x14ac:dyDescent="0.25">
      <c r="A223" s="114"/>
      <c r="B223" s="125">
        <v>15</v>
      </c>
      <c r="C223" s="111"/>
      <c r="D223" s="115">
        <v>0</v>
      </c>
      <c r="E223" s="115">
        <v>0</v>
      </c>
      <c r="F223" s="115">
        <v>0</v>
      </c>
      <c r="G223" s="115">
        <v>0</v>
      </c>
      <c r="H223" s="115">
        <v>0</v>
      </c>
      <c r="I223" s="115">
        <v>0</v>
      </c>
      <c r="J223" s="115">
        <v>0</v>
      </c>
      <c r="K223" s="115">
        <v>0</v>
      </c>
      <c r="L223" s="115">
        <v>0</v>
      </c>
      <c r="M223" s="115">
        <v>0</v>
      </c>
      <c r="N223" s="115">
        <v>0</v>
      </c>
      <c r="O223" s="115">
        <v>0</v>
      </c>
      <c r="P223" s="115">
        <v>0</v>
      </c>
      <c r="Q223" s="115">
        <v>0</v>
      </c>
      <c r="R223" s="115">
        <v>0</v>
      </c>
      <c r="S223" s="115">
        <v>0</v>
      </c>
      <c r="T223" s="115">
        <v>0</v>
      </c>
      <c r="U223" s="115">
        <v>0</v>
      </c>
      <c r="V223" s="115">
        <v>0</v>
      </c>
      <c r="W223" s="115">
        <v>0</v>
      </c>
      <c r="X223" s="115">
        <v>0</v>
      </c>
      <c r="Y223" s="115">
        <v>0</v>
      </c>
      <c r="Z223" s="115">
        <v>0</v>
      </c>
      <c r="AA223" s="115">
        <v>0</v>
      </c>
      <c r="AB223" s="115">
        <v>0</v>
      </c>
      <c r="AC223" s="115">
        <v>0</v>
      </c>
      <c r="AD223" s="115">
        <v>0</v>
      </c>
      <c r="AE223" s="115">
        <v>0</v>
      </c>
      <c r="AF223" s="115">
        <v>0</v>
      </c>
      <c r="AG223" s="115">
        <v>0</v>
      </c>
      <c r="AH223" s="115">
        <v>0</v>
      </c>
      <c r="AI223" s="115">
        <v>0</v>
      </c>
      <c r="AJ223" s="115">
        <v>0</v>
      </c>
      <c r="AK223" s="115">
        <v>0</v>
      </c>
      <c r="AL223" s="115">
        <v>0</v>
      </c>
      <c r="AM223" s="115">
        <v>0</v>
      </c>
      <c r="AN223" s="115">
        <v>0</v>
      </c>
      <c r="AO223" s="115">
        <v>0</v>
      </c>
      <c r="AP223" s="115">
        <v>0</v>
      </c>
      <c r="AQ223" s="115">
        <v>0</v>
      </c>
      <c r="AR223" s="115">
        <v>0</v>
      </c>
      <c r="AS223" s="115">
        <v>0</v>
      </c>
      <c r="AT223" s="115">
        <v>0</v>
      </c>
      <c r="AU223" s="115">
        <v>0</v>
      </c>
      <c r="AV223" s="115">
        <v>0</v>
      </c>
      <c r="AW223" s="115">
        <v>0</v>
      </c>
      <c r="AX223" s="115">
        <v>0</v>
      </c>
      <c r="AY223" s="115">
        <v>0</v>
      </c>
    </row>
    <row r="224" spans="1:51" x14ac:dyDescent="0.25">
      <c r="A224" s="114"/>
      <c r="B224" s="125">
        <v>16</v>
      </c>
      <c r="C224" s="111"/>
      <c r="D224" s="115">
        <v>0</v>
      </c>
      <c r="E224" s="115">
        <v>0</v>
      </c>
      <c r="F224" s="115">
        <v>0</v>
      </c>
      <c r="G224" s="115">
        <v>0</v>
      </c>
      <c r="H224" s="115">
        <v>0</v>
      </c>
      <c r="I224" s="115">
        <v>0</v>
      </c>
      <c r="J224" s="115">
        <v>0</v>
      </c>
      <c r="K224" s="115">
        <v>0</v>
      </c>
      <c r="L224" s="115">
        <v>0</v>
      </c>
      <c r="M224" s="115">
        <v>0</v>
      </c>
      <c r="N224" s="115">
        <v>0</v>
      </c>
      <c r="O224" s="115">
        <v>0</v>
      </c>
      <c r="P224" s="115">
        <v>0</v>
      </c>
      <c r="Q224" s="115">
        <v>0</v>
      </c>
      <c r="R224" s="115">
        <v>0</v>
      </c>
      <c r="S224" s="115">
        <v>0</v>
      </c>
      <c r="T224" s="115">
        <v>0</v>
      </c>
      <c r="U224" s="115">
        <v>0</v>
      </c>
      <c r="V224" s="115">
        <v>0</v>
      </c>
      <c r="W224" s="115">
        <v>0</v>
      </c>
      <c r="X224" s="115">
        <v>0</v>
      </c>
      <c r="Y224" s="115">
        <v>0</v>
      </c>
      <c r="Z224" s="115">
        <v>0</v>
      </c>
      <c r="AA224" s="115">
        <v>0</v>
      </c>
      <c r="AB224" s="115">
        <v>0</v>
      </c>
      <c r="AC224" s="115">
        <v>0</v>
      </c>
      <c r="AD224" s="115">
        <v>0</v>
      </c>
      <c r="AE224" s="115">
        <v>0</v>
      </c>
      <c r="AF224" s="115">
        <v>0</v>
      </c>
      <c r="AG224" s="115">
        <v>0</v>
      </c>
      <c r="AH224" s="115">
        <v>0</v>
      </c>
      <c r="AI224" s="115">
        <v>0</v>
      </c>
      <c r="AJ224" s="115">
        <v>0</v>
      </c>
      <c r="AK224" s="115">
        <v>0</v>
      </c>
      <c r="AL224" s="115">
        <v>0</v>
      </c>
      <c r="AM224" s="115">
        <v>0</v>
      </c>
      <c r="AN224" s="115">
        <v>0</v>
      </c>
      <c r="AO224" s="115">
        <v>0</v>
      </c>
      <c r="AP224" s="115">
        <v>0</v>
      </c>
      <c r="AQ224" s="115">
        <v>0</v>
      </c>
      <c r="AR224" s="115">
        <v>0</v>
      </c>
      <c r="AS224" s="115">
        <v>0</v>
      </c>
      <c r="AT224" s="115">
        <v>0</v>
      </c>
      <c r="AU224" s="115">
        <v>0</v>
      </c>
      <c r="AV224" s="115">
        <v>0</v>
      </c>
      <c r="AW224" s="115">
        <v>0</v>
      </c>
      <c r="AX224" s="115">
        <v>0</v>
      </c>
      <c r="AY224" s="115">
        <v>0</v>
      </c>
    </row>
    <row r="225" spans="1:51" x14ac:dyDescent="0.25">
      <c r="A225" s="114"/>
      <c r="B225" s="125">
        <v>17</v>
      </c>
      <c r="C225" s="111"/>
      <c r="D225" s="115">
        <v>0</v>
      </c>
      <c r="E225" s="115">
        <v>0</v>
      </c>
      <c r="F225" s="115">
        <v>0</v>
      </c>
      <c r="G225" s="115">
        <v>0</v>
      </c>
      <c r="H225" s="115">
        <v>0</v>
      </c>
      <c r="I225" s="115">
        <v>0</v>
      </c>
      <c r="J225" s="115">
        <v>0</v>
      </c>
      <c r="K225" s="115">
        <v>0</v>
      </c>
      <c r="L225" s="115">
        <v>0</v>
      </c>
      <c r="M225" s="115">
        <v>0</v>
      </c>
      <c r="N225" s="115">
        <v>0</v>
      </c>
      <c r="O225" s="115">
        <v>0</v>
      </c>
      <c r="P225" s="115">
        <v>0</v>
      </c>
      <c r="Q225" s="115">
        <v>0</v>
      </c>
      <c r="R225" s="115">
        <v>0</v>
      </c>
      <c r="S225" s="115">
        <v>0</v>
      </c>
      <c r="T225" s="115">
        <v>0</v>
      </c>
      <c r="U225" s="115">
        <v>0</v>
      </c>
      <c r="V225" s="115">
        <v>0</v>
      </c>
      <c r="W225" s="115">
        <v>0</v>
      </c>
      <c r="X225" s="115">
        <v>0</v>
      </c>
      <c r="Y225" s="115">
        <v>0</v>
      </c>
      <c r="Z225" s="115">
        <v>0</v>
      </c>
      <c r="AA225" s="115">
        <v>0</v>
      </c>
      <c r="AB225" s="115">
        <v>0</v>
      </c>
      <c r="AC225" s="115">
        <v>0</v>
      </c>
      <c r="AD225" s="115">
        <v>0</v>
      </c>
      <c r="AE225" s="115">
        <v>0</v>
      </c>
      <c r="AF225" s="115">
        <v>0</v>
      </c>
      <c r="AG225" s="115">
        <v>0</v>
      </c>
      <c r="AH225" s="115">
        <v>0</v>
      </c>
      <c r="AI225" s="115">
        <v>0</v>
      </c>
      <c r="AJ225" s="115">
        <v>0</v>
      </c>
      <c r="AK225" s="115">
        <v>0</v>
      </c>
      <c r="AL225" s="115">
        <v>0</v>
      </c>
      <c r="AM225" s="115">
        <v>0</v>
      </c>
      <c r="AN225" s="115">
        <v>0</v>
      </c>
      <c r="AO225" s="115">
        <v>0</v>
      </c>
      <c r="AP225" s="115">
        <v>0</v>
      </c>
      <c r="AQ225" s="115">
        <v>0</v>
      </c>
      <c r="AR225" s="115">
        <v>0</v>
      </c>
      <c r="AS225" s="115">
        <v>0</v>
      </c>
      <c r="AT225" s="115">
        <v>0</v>
      </c>
      <c r="AU225" s="115">
        <v>0</v>
      </c>
      <c r="AV225" s="115">
        <v>0</v>
      </c>
      <c r="AW225" s="115">
        <v>0</v>
      </c>
      <c r="AX225" s="115">
        <v>0</v>
      </c>
      <c r="AY225" s="115">
        <v>0</v>
      </c>
    </row>
    <row r="226" spans="1:51" x14ac:dyDescent="0.25">
      <c r="A226" s="114"/>
      <c r="B226" s="125">
        <v>18</v>
      </c>
      <c r="C226" s="111"/>
      <c r="D226" s="115">
        <v>0</v>
      </c>
      <c r="E226" s="115">
        <v>0</v>
      </c>
      <c r="F226" s="115">
        <v>0</v>
      </c>
      <c r="G226" s="115">
        <v>0</v>
      </c>
      <c r="H226" s="115">
        <v>0</v>
      </c>
      <c r="I226" s="115">
        <v>0</v>
      </c>
      <c r="J226" s="115">
        <v>0</v>
      </c>
      <c r="K226" s="115">
        <v>0</v>
      </c>
      <c r="L226" s="115">
        <v>0</v>
      </c>
      <c r="M226" s="115">
        <v>0</v>
      </c>
      <c r="N226" s="115">
        <v>0</v>
      </c>
      <c r="O226" s="115">
        <v>0</v>
      </c>
      <c r="P226" s="115">
        <v>0</v>
      </c>
      <c r="Q226" s="115">
        <v>0</v>
      </c>
      <c r="R226" s="115">
        <v>0</v>
      </c>
      <c r="S226" s="115">
        <v>0</v>
      </c>
      <c r="T226" s="115">
        <v>0</v>
      </c>
      <c r="U226" s="115">
        <v>0</v>
      </c>
      <c r="V226" s="115">
        <v>0</v>
      </c>
      <c r="W226" s="115">
        <v>0</v>
      </c>
      <c r="X226" s="115">
        <v>0</v>
      </c>
      <c r="Y226" s="115">
        <v>0</v>
      </c>
      <c r="Z226" s="115">
        <v>0</v>
      </c>
      <c r="AA226" s="115">
        <v>0</v>
      </c>
      <c r="AB226" s="115">
        <v>0</v>
      </c>
      <c r="AC226" s="115">
        <v>0</v>
      </c>
      <c r="AD226" s="115">
        <v>0</v>
      </c>
      <c r="AE226" s="115">
        <v>0</v>
      </c>
      <c r="AF226" s="115">
        <v>0</v>
      </c>
      <c r="AG226" s="115">
        <v>0</v>
      </c>
      <c r="AH226" s="115">
        <v>0</v>
      </c>
      <c r="AI226" s="115">
        <v>0</v>
      </c>
      <c r="AJ226" s="115">
        <v>0</v>
      </c>
      <c r="AK226" s="115">
        <v>0</v>
      </c>
      <c r="AL226" s="115">
        <v>0</v>
      </c>
      <c r="AM226" s="115">
        <v>0</v>
      </c>
      <c r="AN226" s="115">
        <v>0</v>
      </c>
      <c r="AO226" s="115">
        <v>0</v>
      </c>
      <c r="AP226" s="115">
        <v>0</v>
      </c>
      <c r="AQ226" s="115">
        <v>0</v>
      </c>
      <c r="AR226" s="115">
        <v>0</v>
      </c>
      <c r="AS226" s="115">
        <v>0</v>
      </c>
      <c r="AT226" s="115">
        <v>0</v>
      </c>
      <c r="AU226" s="115">
        <v>0</v>
      </c>
      <c r="AV226" s="115">
        <v>0</v>
      </c>
      <c r="AW226" s="115">
        <v>0</v>
      </c>
      <c r="AX226" s="115">
        <v>0</v>
      </c>
      <c r="AY226" s="115">
        <v>0</v>
      </c>
    </row>
    <row r="227" spans="1:51" x14ac:dyDescent="0.25">
      <c r="A227" s="114"/>
      <c r="B227" s="125">
        <v>19</v>
      </c>
      <c r="C227" s="111"/>
      <c r="D227" s="115">
        <v>0</v>
      </c>
      <c r="E227" s="115">
        <v>0</v>
      </c>
      <c r="F227" s="115">
        <v>0</v>
      </c>
      <c r="G227" s="115">
        <v>0</v>
      </c>
      <c r="H227" s="115">
        <v>0</v>
      </c>
      <c r="I227" s="115">
        <v>0</v>
      </c>
      <c r="J227" s="115">
        <v>0</v>
      </c>
      <c r="K227" s="115">
        <v>0</v>
      </c>
      <c r="L227" s="115">
        <v>0</v>
      </c>
      <c r="M227" s="115">
        <v>0</v>
      </c>
      <c r="N227" s="115">
        <v>0</v>
      </c>
      <c r="O227" s="115">
        <v>0</v>
      </c>
      <c r="P227" s="115">
        <v>0</v>
      </c>
      <c r="Q227" s="115">
        <v>0</v>
      </c>
      <c r="R227" s="115">
        <v>0</v>
      </c>
      <c r="S227" s="115">
        <v>0</v>
      </c>
      <c r="T227" s="115">
        <v>0</v>
      </c>
      <c r="U227" s="115">
        <v>0</v>
      </c>
      <c r="V227" s="115">
        <v>0</v>
      </c>
      <c r="W227" s="115">
        <v>0</v>
      </c>
      <c r="X227" s="115">
        <v>0</v>
      </c>
      <c r="Y227" s="115">
        <v>0</v>
      </c>
      <c r="Z227" s="115">
        <v>0</v>
      </c>
      <c r="AA227" s="115">
        <v>0</v>
      </c>
      <c r="AB227" s="115">
        <v>0</v>
      </c>
      <c r="AC227" s="115">
        <v>0</v>
      </c>
      <c r="AD227" s="115">
        <v>0</v>
      </c>
      <c r="AE227" s="115">
        <v>0</v>
      </c>
      <c r="AF227" s="115">
        <v>0</v>
      </c>
      <c r="AG227" s="115">
        <v>0</v>
      </c>
      <c r="AH227" s="115">
        <v>0</v>
      </c>
      <c r="AI227" s="115">
        <v>0</v>
      </c>
      <c r="AJ227" s="115">
        <v>0</v>
      </c>
      <c r="AK227" s="115">
        <v>0</v>
      </c>
      <c r="AL227" s="115">
        <v>0</v>
      </c>
      <c r="AM227" s="115">
        <v>0</v>
      </c>
      <c r="AN227" s="115">
        <v>0</v>
      </c>
      <c r="AO227" s="115">
        <v>0</v>
      </c>
      <c r="AP227" s="115">
        <v>0</v>
      </c>
      <c r="AQ227" s="115">
        <v>0</v>
      </c>
      <c r="AR227" s="115">
        <v>0</v>
      </c>
      <c r="AS227" s="115">
        <v>0</v>
      </c>
      <c r="AT227" s="115">
        <v>0</v>
      </c>
      <c r="AU227" s="115">
        <v>0</v>
      </c>
      <c r="AV227" s="115">
        <v>0</v>
      </c>
      <c r="AW227" s="115">
        <v>0</v>
      </c>
      <c r="AX227" s="115">
        <v>0</v>
      </c>
      <c r="AY227" s="115">
        <v>0</v>
      </c>
    </row>
    <row r="228" spans="1:51" x14ac:dyDescent="0.25">
      <c r="A228" s="114"/>
      <c r="B228" s="125">
        <v>20</v>
      </c>
      <c r="C228" s="111"/>
      <c r="D228" s="115">
        <v>0</v>
      </c>
      <c r="E228" s="115">
        <v>0</v>
      </c>
      <c r="F228" s="115">
        <v>0</v>
      </c>
      <c r="G228" s="115">
        <v>0</v>
      </c>
      <c r="H228" s="115">
        <v>0</v>
      </c>
      <c r="I228" s="115">
        <v>0</v>
      </c>
      <c r="J228" s="115">
        <v>0</v>
      </c>
      <c r="K228" s="115">
        <v>0</v>
      </c>
      <c r="L228" s="115">
        <v>0</v>
      </c>
      <c r="M228" s="115">
        <v>0</v>
      </c>
      <c r="N228" s="115">
        <v>0</v>
      </c>
      <c r="O228" s="115">
        <v>0</v>
      </c>
      <c r="P228" s="115">
        <v>0</v>
      </c>
      <c r="Q228" s="115">
        <v>0</v>
      </c>
      <c r="R228" s="115">
        <v>0</v>
      </c>
      <c r="S228" s="115">
        <v>0</v>
      </c>
      <c r="T228" s="115">
        <v>0</v>
      </c>
      <c r="U228" s="115">
        <v>0</v>
      </c>
      <c r="V228" s="115">
        <v>0</v>
      </c>
      <c r="W228" s="115">
        <v>0</v>
      </c>
      <c r="X228" s="115">
        <v>0</v>
      </c>
      <c r="Y228" s="115">
        <v>0</v>
      </c>
      <c r="Z228" s="115">
        <v>0</v>
      </c>
      <c r="AA228" s="115">
        <v>0</v>
      </c>
      <c r="AB228" s="115">
        <v>0</v>
      </c>
      <c r="AC228" s="115">
        <v>0</v>
      </c>
      <c r="AD228" s="115">
        <v>0</v>
      </c>
      <c r="AE228" s="115">
        <v>0</v>
      </c>
      <c r="AF228" s="115">
        <v>0</v>
      </c>
      <c r="AG228" s="115">
        <v>0</v>
      </c>
      <c r="AH228" s="115">
        <v>0</v>
      </c>
      <c r="AI228" s="115">
        <v>0</v>
      </c>
      <c r="AJ228" s="115">
        <v>0</v>
      </c>
      <c r="AK228" s="115">
        <v>0</v>
      </c>
      <c r="AL228" s="115">
        <v>0</v>
      </c>
      <c r="AM228" s="115">
        <v>0</v>
      </c>
      <c r="AN228" s="115">
        <v>0</v>
      </c>
      <c r="AO228" s="115">
        <v>0</v>
      </c>
      <c r="AP228" s="115">
        <v>0</v>
      </c>
      <c r="AQ228" s="115">
        <v>0</v>
      </c>
      <c r="AR228" s="115">
        <v>0</v>
      </c>
      <c r="AS228" s="115">
        <v>0</v>
      </c>
      <c r="AT228" s="115">
        <v>0</v>
      </c>
      <c r="AU228" s="115">
        <v>0</v>
      </c>
      <c r="AV228" s="115">
        <v>0</v>
      </c>
      <c r="AW228" s="115">
        <v>0</v>
      </c>
      <c r="AX228" s="115">
        <v>0</v>
      </c>
      <c r="AY228" s="115">
        <v>0</v>
      </c>
    </row>
    <row r="229" spans="1:51" x14ac:dyDescent="0.25">
      <c r="A229" s="114"/>
      <c r="B229" s="125">
        <v>21</v>
      </c>
      <c r="C229" s="111"/>
      <c r="D229" s="115">
        <v>0</v>
      </c>
      <c r="E229" s="115">
        <v>0</v>
      </c>
      <c r="F229" s="115">
        <v>0</v>
      </c>
      <c r="G229" s="115">
        <v>0</v>
      </c>
      <c r="H229" s="115">
        <v>0</v>
      </c>
      <c r="I229" s="115">
        <v>0</v>
      </c>
      <c r="J229" s="115">
        <v>0</v>
      </c>
      <c r="K229" s="115">
        <v>0</v>
      </c>
      <c r="L229" s="115">
        <v>0</v>
      </c>
      <c r="M229" s="115">
        <v>0</v>
      </c>
      <c r="N229" s="115">
        <v>0</v>
      </c>
      <c r="O229" s="115">
        <v>0</v>
      </c>
      <c r="P229" s="115">
        <v>0</v>
      </c>
      <c r="Q229" s="115">
        <v>0</v>
      </c>
      <c r="R229" s="115">
        <v>0</v>
      </c>
      <c r="S229" s="115">
        <v>0</v>
      </c>
      <c r="T229" s="115">
        <v>0</v>
      </c>
      <c r="U229" s="115">
        <v>0</v>
      </c>
      <c r="V229" s="115">
        <v>0</v>
      </c>
      <c r="W229" s="115">
        <v>0</v>
      </c>
      <c r="X229" s="115">
        <v>0</v>
      </c>
      <c r="Y229" s="115">
        <v>0</v>
      </c>
      <c r="Z229" s="115">
        <v>0</v>
      </c>
      <c r="AA229" s="115">
        <v>0</v>
      </c>
      <c r="AB229" s="115">
        <v>0</v>
      </c>
      <c r="AC229" s="115">
        <v>0</v>
      </c>
      <c r="AD229" s="115">
        <v>0</v>
      </c>
      <c r="AE229" s="115">
        <v>0</v>
      </c>
      <c r="AF229" s="115">
        <v>0</v>
      </c>
      <c r="AG229" s="115">
        <v>0</v>
      </c>
      <c r="AH229" s="115">
        <v>0</v>
      </c>
      <c r="AI229" s="115">
        <v>0</v>
      </c>
      <c r="AJ229" s="115">
        <v>0</v>
      </c>
      <c r="AK229" s="115">
        <v>0</v>
      </c>
      <c r="AL229" s="115">
        <v>0</v>
      </c>
      <c r="AM229" s="115">
        <v>0</v>
      </c>
      <c r="AN229" s="115">
        <v>0</v>
      </c>
      <c r="AO229" s="115">
        <v>0</v>
      </c>
      <c r="AP229" s="115">
        <v>0</v>
      </c>
      <c r="AQ229" s="115">
        <v>0</v>
      </c>
      <c r="AR229" s="115">
        <v>0</v>
      </c>
      <c r="AS229" s="115">
        <v>0</v>
      </c>
      <c r="AT229" s="115">
        <v>0</v>
      </c>
      <c r="AU229" s="115">
        <v>0</v>
      </c>
      <c r="AV229" s="115">
        <v>0</v>
      </c>
      <c r="AW229" s="115">
        <v>0</v>
      </c>
      <c r="AX229" s="115">
        <v>0</v>
      </c>
      <c r="AY229" s="115">
        <v>0</v>
      </c>
    </row>
    <row r="230" spans="1:51" x14ac:dyDescent="0.25">
      <c r="A230" s="114"/>
      <c r="B230" s="125">
        <v>22</v>
      </c>
      <c r="C230" s="111"/>
      <c r="D230" s="115">
        <v>0</v>
      </c>
      <c r="E230" s="115">
        <v>0</v>
      </c>
      <c r="F230" s="115">
        <v>0</v>
      </c>
      <c r="G230" s="115">
        <v>0</v>
      </c>
      <c r="H230" s="115">
        <v>0</v>
      </c>
      <c r="I230" s="115">
        <v>0</v>
      </c>
      <c r="J230" s="115">
        <v>0</v>
      </c>
      <c r="K230" s="115">
        <v>0</v>
      </c>
      <c r="L230" s="115">
        <v>0</v>
      </c>
      <c r="M230" s="115">
        <v>0</v>
      </c>
      <c r="N230" s="115">
        <v>0</v>
      </c>
      <c r="O230" s="115">
        <v>0</v>
      </c>
      <c r="P230" s="115">
        <v>0</v>
      </c>
      <c r="Q230" s="115">
        <v>0</v>
      </c>
      <c r="R230" s="115">
        <v>0</v>
      </c>
      <c r="S230" s="115">
        <v>0</v>
      </c>
      <c r="T230" s="115">
        <v>0</v>
      </c>
      <c r="U230" s="115">
        <v>0</v>
      </c>
      <c r="V230" s="115">
        <v>0</v>
      </c>
      <c r="W230" s="115">
        <v>0</v>
      </c>
      <c r="X230" s="115">
        <v>0</v>
      </c>
      <c r="Y230" s="115">
        <v>0</v>
      </c>
      <c r="Z230" s="115">
        <v>0</v>
      </c>
      <c r="AA230" s="115">
        <v>0</v>
      </c>
      <c r="AB230" s="115">
        <v>0</v>
      </c>
      <c r="AC230" s="115">
        <v>0</v>
      </c>
      <c r="AD230" s="115">
        <v>0</v>
      </c>
      <c r="AE230" s="115">
        <v>0</v>
      </c>
      <c r="AF230" s="115">
        <v>0</v>
      </c>
      <c r="AG230" s="115">
        <v>0</v>
      </c>
      <c r="AH230" s="115">
        <v>0</v>
      </c>
      <c r="AI230" s="115">
        <v>0</v>
      </c>
      <c r="AJ230" s="115">
        <v>0</v>
      </c>
      <c r="AK230" s="115">
        <v>0</v>
      </c>
      <c r="AL230" s="115">
        <v>0</v>
      </c>
      <c r="AM230" s="115">
        <v>0</v>
      </c>
      <c r="AN230" s="115">
        <v>0</v>
      </c>
      <c r="AO230" s="115">
        <v>0</v>
      </c>
      <c r="AP230" s="115">
        <v>0</v>
      </c>
      <c r="AQ230" s="115">
        <v>0</v>
      </c>
      <c r="AR230" s="115">
        <v>0</v>
      </c>
      <c r="AS230" s="115">
        <v>0</v>
      </c>
      <c r="AT230" s="115">
        <v>0</v>
      </c>
      <c r="AU230" s="115">
        <v>0</v>
      </c>
      <c r="AV230" s="115">
        <v>0</v>
      </c>
      <c r="AW230" s="115">
        <v>0</v>
      </c>
      <c r="AX230" s="115">
        <v>0</v>
      </c>
      <c r="AY230" s="115">
        <v>0</v>
      </c>
    </row>
    <row r="231" spans="1:51" x14ac:dyDescent="0.25">
      <c r="A231" s="114"/>
      <c r="B231" s="125">
        <v>23</v>
      </c>
      <c r="C231" s="111"/>
      <c r="D231" s="115">
        <v>0</v>
      </c>
      <c r="E231" s="115">
        <v>0</v>
      </c>
      <c r="F231" s="115">
        <v>0</v>
      </c>
      <c r="G231" s="115">
        <v>0</v>
      </c>
      <c r="H231" s="115">
        <v>0</v>
      </c>
      <c r="I231" s="115">
        <v>0</v>
      </c>
      <c r="J231" s="115">
        <v>0</v>
      </c>
      <c r="K231" s="115">
        <v>0</v>
      </c>
      <c r="L231" s="115">
        <v>0</v>
      </c>
      <c r="M231" s="115">
        <v>0</v>
      </c>
      <c r="N231" s="115">
        <v>0</v>
      </c>
      <c r="O231" s="115">
        <v>0</v>
      </c>
      <c r="P231" s="115">
        <v>0</v>
      </c>
      <c r="Q231" s="115">
        <v>0</v>
      </c>
      <c r="R231" s="115">
        <v>0</v>
      </c>
      <c r="S231" s="115">
        <v>0</v>
      </c>
      <c r="T231" s="115">
        <v>0</v>
      </c>
      <c r="U231" s="115">
        <v>0</v>
      </c>
      <c r="V231" s="115">
        <v>0</v>
      </c>
      <c r="W231" s="115">
        <v>0</v>
      </c>
      <c r="X231" s="115">
        <v>0</v>
      </c>
      <c r="Y231" s="115">
        <v>0</v>
      </c>
      <c r="Z231" s="115">
        <v>0</v>
      </c>
      <c r="AA231" s="115">
        <v>0</v>
      </c>
      <c r="AB231" s="115">
        <v>0</v>
      </c>
      <c r="AC231" s="115">
        <v>0</v>
      </c>
      <c r="AD231" s="115">
        <v>0</v>
      </c>
      <c r="AE231" s="115">
        <v>0</v>
      </c>
      <c r="AF231" s="115">
        <v>0</v>
      </c>
      <c r="AG231" s="115">
        <v>0</v>
      </c>
      <c r="AH231" s="115">
        <v>0</v>
      </c>
      <c r="AI231" s="115">
        <v>0</v>
      </c>
      <c r="AJ231" s="115">
        <v>0</v>
      </c>
      <c r="AK231" s="115">
        <v>0</v>
      </c>
      <c r="AL231" s="115">
        <v>0</v>
      </c>
      <c r="AM231" s="115">
        <v>0</v>
      </c>
      <c r="AN231" s="115">
        <v>0</v>
      </c>
      <c r="AO231" s="115">
        <v>0</v>
      </c>
      <c r="AP231" s="115">
        <v>0</v>
      </c>
      <c r="AQ231" s="115">
        <v>0</v>
      </c>
      <c r="AR231" s="115">
        <v>0</v>
      </c>
      <c r="AS231" s="115">
        <v>0</v>
      </c>
      <c r="AT231" s="115">
        <v>0</v>
      </c>
      <c r="AU231" s="115">
        <v>0</v>
      </c>
      <c r="AV231" s="115">
        <v>0</v>
      </c>
      <c r="AW231" s="115">
        <v>0</v>
      </c>
      <c r="AX231" s="115">
        <v>0</v>
      </c>
      <c r="AY231" s="115">
        <v>0</v>
      </c>
    </row>
    <row r="232" spans="1:51" x14ac:dyDescent="0.25">
      <c r="A232" s="114"/>
      <c r="B232" s="125">
        <v>24</v>
      </c>
      <c r="C232" s="111"/>
      <c r="D232" s="115">
        <v>0</v>
      </c>
      <c r="E232" s="115">
        <v>0</v>
      </c>
      <c r="F232" s="115">
        <v>0</v>
      </c>
      <c r="G232" s="115">
        <v>0</v>
      </c>
      <c r="H232" s="115">
        <v>0</v>
      </c>
      <c r="I232" s="115">
        <v>0</v>
      </c>
      <c r="J232" s="115">
        <v>0</v>
      </c>
      <c r="K232" s="115">
        <v>0</v>
      </c>
      <c r="L232" s="115">
        <v>0</v>
      </c>
      <c r="M232" s="115">
        <v>0</v>
      </c>
      <c r="N232" s="115">
        <v>0</v>
      </c>
      <c r="O232" s="115">
        <v>0</v>
      </c>
      <c r="P232" s="115">
        <v>0</v>
      </c>
      <c r="Q232" s="115">
        <v>0</v>
      </c>
      <c r="R232" s="115">
        <v>0</v>
      </c>
      <c r="S232" s="115">
        <v>0</v>
      </c>
      <c r="T232" s="115">
        <v>0</v>
      </c>
      <c r="U232" s="115">
        <v>0</v>
      </c>
      <c r="V232" s="115">
        <v>0</v>
      </c>
      <c r="W232" s="115">
        <v>0</v>
      </c>
      <c r="X232" s="115">
        <v>0</v>
      </c>
      <c r="Y232" s="115">
        <v>0</v>
      </c>
      <c r="Z232" s="115">
        <v>0</v>
      </c>
      <c r="AA232" s="115">
        <v>0</v>
      </c>
      <c r="AB232" s="115">
        <v>0</v>
      </c>
      <c r="AC232" s="115">
        <v>0</v>
      </c>
      <c r="AD232" s="115">
        <v>0</v>
      </c>
      <c r="AE232" s="115">
        <v>0</v>
      </c>
      <c r="AF232" s="115">
        <v>0</v>
      </c>
      <c r="AG232" s="115">
        <v>0</v>
      </c>
      <c r="AH232" s="115">
        <v>0</v>
      </c>
      <c r="AI232" s="115">
        <v>0</v>
      </c>
      <c r="AJ232" s="115">
        <v>0</v>
      </c>
      <c r="AK232" s="115">
        <v>0</v>
      </c>
      <c r="AL232" s="115">
        <v>0</v>
      </c>
      <c r="AM232" s="115">
        <v>0</v>
      </c>
      <c r="AN232" s="115">
        <v>0</v>
      </c>
      <c r="AO232" s="115">
        <v>0</v>
      </c>
      <c r="AP232" s="115">
        <v>0</v>
      </c>
      <c r="AQ232" s="115">
        <v>0</v>
      </c>
      <c r="AR232" s="115">
        <v>0</v>
      </c>
      <c r="AS232" s="115">
        <v>0</v>
      </c>
      <c r="AT232" s="115">
        <v>0</v>
      </c>
      <c r="AU232" s="115">
        <v>0</v>
      </c>
      <c r="AV232" s="115">
        <v>0</v>
      </c>
      <c r="AW232" s="115">
        <v>0</v>
      </c>
      <c r="AX232" s="115">
        <v>0</v>
      </c>
      <c r="AY232" s="115">
        <v>0</v>
      </c>
    </row>
    <row r="233" spans="1:51" x14ac:dyDescent="0.25">
      <c r="A233" s="114"/>
      <c r="B233" s="132">
        <v>25</v>
      </c>
      <c r="C233" s="111"/>
      <c r="D233" s="115">
        <v>0</v>
      </c>
      <c r="E233" s="115">
        <v>0</v>
      </c>
      <c r="F233" s="115">
        <v>0</v>
      </c>
      <c r="G233" s="115">
        <v>0</v>
      </c>
      <c r="H233" s="115">
        <v>0</v>
      </c>
      <c r="I233" s="115">
        <v>0</v>
      </c>
      <c r="J233" s="115">
        <v>0</v>
      </c>
      <c r="K233" s="115">
        <v>0</v>
      </c>
      <c r="L233" s="115">
        <v>0</v>
      </c>
      <c r="M233" s="115">
        <v>0</v>
      </c>
      <c r="N233" s="115">
        <v>0</v>
      </c>
      <c r="O233" s="115">
        <v>0</v>
      </c>
      <c r="P233" s="115">
        <v>0</v>
      </c>
      <c r="Q233" s="115">
        <v>0</v>
      </c>
      <c r="R233" s="115">
        <v>0</v>
      </c>
      <c r="S233" s="115">
        <v>0</v>
      </c>
      <c r="T233" s="115">
        <v>0</v>
      </c>
      <c r="U233" s="115">
        <v>0</v>
      </c>
      <c r="V233" s="115">
        <v>0</v>
      </c>
      <c r="W233" s="115">
        <v>0</v>
      </c>
      <c r="X233" s="115">
        <v>0</v>
      </c>
      <c r="Y233" s="115">
        <v>0</v>
      </c>
      <c r="Z233" s="115">
        <v>0</v>
      </c>
      <c r="AA233" s="115">
        <v>0</v>
      </c>
      <c r="AB233" s="115">
        <v>0</v>
      </c>
      <c r="AC233" s="115">
        <v>0</v>
      </c>
      <c r="AD233" s="115">
        <v>0</v>
      </c>
      <c r="AE233" s="115">
        <v>0</v>
      </c>
      <c r="AF233" s="115">
        <v>0</v>
      </c>
      <c r="AG233" s="115">
        <v>0</v>
      </c>
      <c r="AH233" s="115">
        <v>0</v>
      </c>
      <c r="AI233" s="115">
        <v>0</v>
      </c>
      <c r="AJ233" s="115">
        <v>0</v>
      </c>
      <c r="AK233" s="115">
        <v>0</v>
      </c>
      <c r="AL233" s="115">
        <v>0</v>
      </c>
      <c r="AM233" s="115">
        <v>0</v>
      </c>
      <c r="AN233" s="115">
        <v>0</v>
      </c>
      <c r="AO233" s="115">
        <v>0</v>
      </c>
      <c r="AP233" s="115">
        <v>0</v>
      </c>
      <c r="AQ233" s="115">
        <v>0</v>
      </c>
      <c r="AR233" s="115">
        <v>0</v>
      </c>
      <c r="AS233" s="115">
        <v>0</v>
      </c>
      <c r="AT233" s="115">
        <v>0</v>
      </c>
      <c r="AU233" s="115">
        <v>0</v>
      </c>
      <c r="AV233" s="115">
        <v>0</v>
      </c>
      <c r="AW233" s="115">
        <v>0</v>
      </c>
      <c r="AX233" s="115">
        <v>0</v>
      </c>
      <c r="AY233" s="115">
        <v>0</v>
      </c>
    </row>
    <row r="234" spans="1:51" x14ac:dyDescent="0.25">
      <c r="A234" s="114"/>
      <c r="B234" s="132">
        <v>26</v>
      </c>
      <c r="C234" s="111"/>
      <c r="D234" s="115">
        <v>0</v>
      </c>
      <c r="E234" s="115">
        <v>0</v>
      </c>
      <c r="F234" s="115">
        <v>0</v>
      </c>
      <c r="G234" s="115">
        <v>0</v>
      </c>
      <c r="H234" s="115">
        <v>0</v>
      </c>
      <c r="I234" s="115">
        <v>0</v>
      </c>
      <c r="J234" s="115">
        <v>0</v>
      </c>
      <c r="K234" s="115">
        <v>0</v>
      </c>
      <c r="L234" s="115">
        <v>0</v>
      </c>
      <c r="M234" s="115">
        <v>0</v>
      </c>
      <c r="N234" s="115">
        <v>0</v>
      </c>
      <c r="O234" s="115">
        <v>0</v>
      </c>
      <c r="P234" s="115">
        <v>0</v>
      </c>
      <c r="Q234" s="115">
        <v>0</v>
      </c>
      <c r="R234" s="115">
        <v>0</v>
      </c>
      <c r="S234" s="115">
        <v>0</v>
      </c>
      <c r="T234" s="115">
        <v>0</v>
      </c>
      <c r="U234" s="115">
        <v>0</v>
      </c>
      <c r="V234" s="115">
        <v>0</v>
      </c>
      <c r="W234" s="115">
        <v>0</v>
      </c>
      <c r="X234" s="115">
        <v>0</v>
      </c>
      <c r="Y234" s="115">
        <v>0</v>
      </c>
      <c r="Z234" s="115">
        <v>0</v>
      </c>
      <c r="AA234" s="115">
        <v>0</v>
      </c>
      <c r="AB234" s="115">
        <v>0</v>
      </c>
      <c r="AC234" s="115">
        <v>0</v>
      </c>
      <c r="AD234" s="115">
        <v>0</v>
      </c>
      <c r="AE234" s="115">
        <v>0</v>
      </c>
      <c r="AF234" s="115">
        <v>0</v>
      </c>
      <c r="AG234" s="115">
        <v>0</v>
      </c>
      <c r="AH234" s="115">
        <v>0</v>
      </c>
      <c r="AI234" s="115">
        <v>0</v>
      </c>
      <c r="AJ234" s="115">
        <v>0</v>
      </c>
      <c r="AK234" s="115">
        <v>0</v>
      </c>
      <c r="AL234" s="115">
        <v>0</v>
      </c>
      <c r="AM234" s="115">
        <v>0</v>
      </c>
      <c r="AN234" s="115">
        <v>0</v>
      </c>
      <c r="AO234" s="115">
        <v>0</v>
      </c>
      <c r="AP234" s="115">
        <v>0</v>
      </c>
      <c r="AQ234" s="115">
        <v>0</v>
      </c>
      <c r="AR234" s="115">
        <v>0</v>
      </c>
      <c r="AS234" s="115">
        <v>0</v>
      </c>
      <c r="AT234" s="115">
        <v>0</v>
      </c>
      <c r="AU234" s="115">
        <v>0</v>
      </c>
      <c r="AV234" s="115">
        <v>0</v>
      </c>
      <c r="AW234" s="115">
        <v>0</v>
      </c>
      <c r="AX234" s="115">
        <v>0</v>
      </c>
      <c r="AY234" s="115">
        <v>0</v>
      </c>
    </row>
    <row r="235" spans="1:51" x14ac:dyDescent="0.25">
      <c r="A235" s="114"/>
      <c r="B235" s="132">
        <v>27</v>
      </c>
      <c r="C235" s="111"/>
      <c r="D235" s="115">
        <v>0</v>
      </c>
      <c r="E235" s="115">
        <v>0</v>
      </c>
      <c r="F235" s="115">
        <v>0</v>
      </c>
      <c r="G235" s="115">
        <v>0</v>
      </c>
      <c r="H235" s="115">
        <v>0</v>
      </c>
      <c r="I235" s="115">
        <v>0</v>
      </c>
      <c r="J235" s="115">
        <v>0</v>
      </c>
      <c r="K235" s="115">
        <v>0</v>
      </c>
      <c r="L235" s="115">
        <v>0</v>
      </c>
      <c r="M235" s="115">
        <v>0</v>
      </c>
      <c r="N235" s="115">
        <v>0</v>
      </c>
      <c r="O235" s="115">
        <v>0</v>
      </c>
      <c r="P235" s="115">
        <v>0</v>
      </c>
      <c r="Q235" s="115">
        <v>0</v>
      </c>
      <c r="R235" s="115">
        <v>0</v>
      </c>
      <c r="S235" s="115">
        <v>0</v>
      </c>
      <c r="T235" s="115">
        <v>0</v>
      </c>
      <c r="U235" s="115">
        <v>0</v>
      </c>
      <c r="V235" s="115">
        <v>0</v>
      </c>
      <c r="W235" s="115">
        <v>0</v>
      </c>
      <c r="X235" s="115">
        <v>0</v>
      </c>
      <c r="Y235" s="115">
        <v>0</v>
      </c>
      <c r="Z235" s="115">
        <v>0</v>
      </c>
      <c r="AA235" s="115">
        <v>0</v>
      </c>
      <c r="AB235" s="115">
        <v>0</v>
      </c>
      <c r="AC235" s="115">
        <v>0</v>
      </c>
      <c r="AD235" s="115">
        <v>0</v>
      </c>
      <c r="AE235" s="115">
        <v>0</v>
      </c>
      <c r="AF235" s="115">
        <v>0</v>
      </c>
      <c r="AG235" s="115">
        <v>0</v>
      </c>
      <c r="AH235" s="115">
        <v>0</v>
      </c>
      <c r="AI235" s="115">
        <v>0</v>
      </c>
      <c r="AJ235" s="115">
        <v>0</v>
      </c>
      <c r="AK235" s="115">
        <v>0</v>
      </c>
      <c r="AL235" s="115">
        <v>0</v>
      </c>
      <c r="AM235" s="115">
        <v>0</v>
      </c>
      <c r="AN235" s="115">
        <v>0</v>
      </c>
      <c r="AO235" s="115">
        <v>0</v>
      </c>
      <c r="AP235" s="115">
        <v>0</v>
      </c>
      <c r="AQ235" s="115">
        <v>0</v>
      </c>
      <c r="AR235" s="115">
        <v>0</v>
      </c>
      <c r="AS235" s="115">
        <v>0</v>
      </c>
      <c r="AT235" s="115">
        <v>0</v>
      </c>
      <c r="AU235" s="115">
        <v>0</v>
      </c>
      <c r="AV235" s="115">
        <v>0</v>
      </c>
      <c r="AW235" s="115">
        <v>0</v>
      </c>
      <c r="AX235" s="115">
        <v>0</v>
      </c>
      <c r="AY235" s="115">
        <v>0</v>
      </c>
    </row>
    <row r="236" spans="1:51" x14ac:dyDescent="0.25">
      <c r="A236" s="114"/>
      <c r="B236" s="132">
        <v>28</v>
      </c>
      <c r="C236" s="111"/>
      <c r="D236" s="115">
        <v>0</v>
      </c>
      <c r="E236" s="115">
        <v>0</v>
      </c>
      <c r="F236" s="115">
        <v>0</v>
      </c>
      <c r="G236" s="115">
        <v>0</v>
      </c>
      <c r="H236" s="115">
        <v>0</v>
      </c>
      <c r="I236" s="115">
        <v>0</v>
      </c>
      <c r="J236" s="115">
        <v>0</v>
      </c>
      <c r="K236" s="115">
        <v>0</v>
      </c>
      <c r="L236" s="115">
        <v>0</v>
      </c>
      <c r="M236" s="115">
        <v>0</v>
      </c>
      <c r="N236" s="115">
        <v>0</v>
      </c>
      <c r="O236" s="115">
        <v>0</v>
      </c>
      <c r="P236" s="115">
        <v>0</v>
      </c>
      <c r="Q236" s="115">
        <v>0</v>
      </c>
      <c r="R236" s="115">
        <v>0</v>
      </c>
      <c r="S236" s="115">
        <v>0</v>
      </c>
      <c r="T236" s="115">
        <v>0</v>
      </c>
      <c r="U236" s="115">
        <v>0</v>
      </c>
      <c r="V236" s="115">
        <v>0</v>
      </c>
      <c r="W236" s="115">
        <v>0</v>
      </c>
      <c r="X236" s="115">
        <v>0</v>
      </c>
      <c r="Y236" s="115">
        <v>0</v>
      </c>
      <c r="Z236" s="115">
        <v>0</v>
      </c>
      <c r="AA236" s="115">
        <v>0</v>
      </c>
      <c r="AB236" s="115">
        <v>0</v>
      </c>
      <c r="AC236" s="115">
        <v>0</v>
      </c>
      <c r="AD236" s="115">
        <v>0</v>
      </c>
      <c r="AE236" s="115">
        <v>0</v>
      </c>
      <c r="AF236" s="115">
        <v>0</v>
      </c>
      <c r="AG236" s="115">
        <v>0</v>
      </c>
      <c r="AH236" s="115">
        <v>0</v>
      </c>
      <c r="AI236" s="115">
        <v>0</v>
      </c>
      <c r="AJ236" s="115">
        <v>0</v>
      </c>
      <c r="AK236" s="115">
        <v>0</v>
      </c>
      <c r="AL236" s="115">
        <v>0</v>
      </c>
      <c r="AM236" s="115">
        <v>0</v>
      </c>
      <c r="AN236" s="115">
        <v>0</v>
      </c>
      <c r="AO236" s="115">
        <v>0</v>
      </c>
      <c r="AP236" s="115">
        <v>0</v>
      </c>
      <c r="AQ236" s="115">
        <v>0</v>
      </c>
      <c r="AR236" s="115">
        <v>0</v>
      </c>
      <c r="AS236" s="115">
        <v>0</v>
      </c>
      <c r="AT236" s="115">
        <v>0</v>
      </c>
      <c r="AU236" s="115">
        <v>0</v>
      </c>
      <c r="AV236" s="115">
        <v>0</v>
      </c>
      <c r="AW236" s="115">
        <v>0</v>
      </c>
      <c r="AX236" s="115">
        <v>0</v>
      </c>
      <c r="AY236" s="115">
        <v>0</v>
      </c>
    </row>
    <row r="237" spans="1:51" x14ac:dyDescent="0.25">
      <c r="A237" s="114"/>
      <c r="B237" s="132">
        <v>29</v>
      </c>
      <c r="C237" s="111"/>
      <c r="D237" s="115">
        <v>0</v>
      </c>
      <c r="E237" s="115">
        <v>0</v>
      </c>
      <c r="F237" s="115">
        <v>0</v>
      </c>
      <c r="G237" s="115">
        <v>0</v>
      </c>
      <c r="H237" s="115">
        <v>0</v>
      </c>
      <c r="I237" s="115">
        <v>0</v>
      </c>
      <c r="J237" s="115">
        <v>0</v>
      </c>
      <c r="K237" s="115">
        <v>0</v>
      </c>
      <c r="L237" s="115">
        <v>0</v>
      </c>
      <c r="M237" s="115">
        <v>0</v>
      </c>
      <c r="N237" s="115">
        <v>0</v>
      </c>
      <c r="O237" s="115">
        <v>0</v>
      </c>
      <c r="P237" s="115">
        <v>0</v>
      </c>
      <c r="Q237" s="115">
        <v>0</v>
      </c>
      <c r="R237" s="115">
        <v>0</v>
      </c>
      <c r="S237" s="115">
        <v>0</v>
      </c>
      <c r="T237" s="115">
        <v>0</v>
      </c>
      <c r="U237" s="115">
        <v>0</v>
      </c>
      <c r="V237" s="115">
        <v>0</v>
      </c>
      <c r="W237" s="115">
        <v>0</v>
      </c>
      <c r="X237" s="115">
        <v>0</v>
      </c>
      <c r="Y237" s="115">
        <v>0</v>
      </c>
      <c r="Z237" s="115">
        <v>0</v>
      </c>
      <c r="AA237" s="115">
        <v>0</v>
      </c>
      <c r="AB237" s="115">
        <v>0</v>
      </c>
      <c r="AC237" s="115">
        <v>0</v>
      </c>
      <c r="AD237" s="115">
        <v>0</v>
      </c>
      <c r="AE237" s="115">
        <v>0</v>
      </c>
      <c r="AF237" s="115">
        <v>0</v>
      </c>
      <c r="AG237" s="115">
        <v>0</v>
      </c>
      <c r="AH237" s="115">
        <v>0</v>
      </c>
      <c r="AI237" s="115">
        <v>0</v>
      </c>
      <c r="AJ237" s="115">
        <v>0</v>
      </c>
      <c r="AK237" s="115">
        <v>0</v>
      </c>
      <c r="AL237" s="115">
        <v>0</v>
      </c>
      <c r="AM237" s="115">
        <v>0</v>
      </c>
      <c r="AN237" s="115">
        <v>0</v>
      </c>
      <c r="AO237" s="115">
        <v>0</v>
      </c>
      <c r="AP237" s="115">
        <v>0</v>
      </c>
      <c r="AQ237" s="115">
        <v>0</v>
      </c>
      <c r="AR237" s="115">
        <v>0</v>
      </c>
      <c r="AS237" s="115">
        <v>0</v>
      </c>
      <c r="AT237" s="115">
        <v>0</v>
      </c>
      <c r="AU237" s="115">
        <v>0</v>
      </c>
      <c r="AV237" s="115">
        <v>0</v>
      </c>
      <c r="AW237" s="115">
        <v>0</v>
      </c>
      <c r="AX237" s="115">
        <v>0</v>
      </c>
      <c r="AY237" s="115">
        <v>0</v>
      </c>
    </row>
    <row r="238" spans="1:51" x14ac:dyDescent="0.25">
      <c r="A238" s="114"/>
      <c r="B238" s="132">
        <v>30</v>
      </c>
      <c r="C238" s="111"/>
      <c r="D238" s="115">
        <v>0</v>
      </c>
      <c r="E238" s="115">
        <v>0</v>
      </c>
      <c r="F238" s="115">
        <v>0</v>
      </c>
      <c r="G238" s="115">
        <v>0</v>
      </c>
      <c r="H238" s="115">
        <v>0</v>
      </c>
      <c r="I238" s="115">
        <v>0</v>
      </c>
      <c r="J238" s="115">
        <v>0</v>
      </c>
      <c r="K238" s="115">
        <v>0</v>
      </c>
      <c r="L238" s="115">
        <v>0</v>
      </c>
      <c r="M238" s="115">
        <v>0</v>
      </c>
      <c r="N238" s="115">
        <v>0</v>
      </c>
      <c r="O238" s="115">
        <v>0</v>
      </c>
      <c r="P238" s="115">
        <v>0</v>
      </c>
      <c r="Q238" s="115">
        <v>0</v>
      </c>
      <c r="R238" s="115">
        <v>0</v>
      </c>
      <c r="S238" s="115">
        <v>0</v>
      </c>
      <c r="T238" s="115">
        <v>0</v>
      </c>
      <c r="U238" s="115">
        <v>0</v>
      </c>
      <c r="V238" s="115">
        <v>0</v>
      </c>
      <c r="W238" s="115">
        <v>0</v>
      </c>
      <c r="X238" s="115">
        <v>0</v>
      </c>
      <c r="Y238" s="115">
        <v>0</v>
      </c>
      <c r="Z238" s="115">
        <v>0</v>
      </c>
      <c r="AA238" s="115">
        <v>0</v>
      </c>
      <c r="AB238" s="115">
        <v>0</v>
      </c>
      <c r="AC238" s="115">
        <v>0</v>
      </c>
      <c r="AD238" s="115">
        <v>0</v>
      </c>
      <c r="AE238" s="115">
        <v>0</v>
      </c>
      <c r="AF238" s="115">
        <v>0</v>
      </c>
      <c r="AG238" s="115">
        <v>0</v>
      </c>
      <c r="AH238" s="115">
        <v>0</v>
      </c>
      <c r="AI238" s="115">
        <v>0</v>
      </c>
      <c r="AJ238" s="115">
        <v>0</v>
      </c>
      <c r="AK238" s="115">
        <v>0</v>
      </c>
      <c r="AL238" s="115">
        <v>0</v>
      </c>
      <c r="AM238" s="115">
        <v>0</v>
      </c>
      <c r="AN238" s="115">
        <v>0</v>
      </c>
      <c r="AO238" s="115">
        <v>0</v>
      </c>
      <c r="AP238" s="115">
        <v>0</v>
      </c>
      <c r="AQ238" s="115">
        <v>0</v>
      </c>
      <c r="AR238" s="115">
        <v>0</v>
      </c>
      <c r="AS238" s="115">
        <v>0</v>
      </c>
      <c r="AT238" s="115">
        <v>0</v>
      </c>
      <c r="AU238" s="115">
        <v>0</v>
      </c>
      <c r="AV238" s="115">
        <v>0</v>
      </c>
      <c r="AW238" s="115">
        <v>0</v>
      </c>
      <c r="AX238" s="115">
        <v>0</v>
      </c>
      <c r="AY238" s="115">
        <v>0</v>
      </c>
    </row>
    <row r="239" spans="1:51" x14ac:dyDescent="0.25">
      <c r="A239" s="114"/>
      <c r="B239" s="132">
        <v>31</v>
      </c>
      <c r="C239" s="111"/>
      <c r="D239" s="115">
        <v>0</v>
      </c>
      <c r="E239" s="115">
        <v>0</v>
      </c>
      <c r="F239" s="115">
        <v>0</v>
      </c>
      <c r="G239" s="115">
        <v>0</v>
      </c>
      <c r="H239" s="115">
        <v>0</v>
      </c>
      <c r="I239" s="115">
        <v>0</v>
      </c>
      <c r="J239" s="115">
        <v>0</v>
      </c>
      <c r="K239" s="115">
        <v>0</v>
      </c>
      <c r="L239" s="115">
        <v>0</v>
      </c>
      <c r="M239" s="115">
        <v>0</v>
      </c>
      <c r="N239" s="115">
        <v>0</v>
      </c>
      <c r="O239" s="115">
        <v>0</v>
      </c>
      <c r="P239" s="115">
        <v>0</v>
      </c>
      <c r="Q239" s="115">
        <v>0</v>
      </c>
      <c r="R239" s="115">
        <v>0</v>
      </c>
      <c r="S239" s="115">
        <v>0</v>
      </c>
      <c r="T239" s="115">
        <v>0</v>
      </c>
      <c r="U239" s="115">
        <v>0</v>
      </c>
      <c r="V239" s="115">
        <v>0</v>
      </c>
      <c r="W239" s="115">
        <v>0</v>
      </c>
      <c r="X239" s="115">
        <v>0</v>
      </c>
      <c r="Y239" s="115">
        <v>0</v>
      </c>
      <c r="Z239" s="115">
        <v>0</v>
      </c>
      <c r="AA239" s="115">
        <v>0</v>
      </c>
      <c r="AB239" s="115">
        <v>0</v>
      </c>
      <c r="AC239" s="115">
        <v>0</v>
      </c>
      <c r="AD239" s="115">
        <v>0</v>
      </c>
      <c r="AE239" s="115">
        <v>0</v>
      </c>
      <c r="AF239" s="115">
        <v>0</v>
      </c>
      <c r="AG239" s="115">
        <v>0</v>
      </c>
      <c r="AH239" s="115">
        <v>0</v>
      </c>
      <c r="AI239" s="115">
        <v>0</v>
      </c>
      <c r="AJ239" s="115">
        <v>0</v>
      </c>
      <c r="AK239" s="115">
        <v>0</v>
      </c>
      <c r="AL239" s="115">
        <v>0</v>
      </c>
      <c r="AM239" s="115">
        <v>0</v>
      </c>
      <c r="AN239" s="115">
        <v>0</v>
      </c>
      <c r="AO239" s="115">
        <v>0</v>
      </c>
      <c r="AP239" s="115">
        <v>0</v>
      </c>
      <c r="AQ239" s="115">
        <v>0</v>
      </c>
      <c r="AR239" s="115">
        <v>0</v>
      </c>
      <c r="AS239" s="115">
        <v>0</v>
      </c>
      <c r="AT239" s="115">
        <v>0</v>
      </c>
      <c r="AU239" s="115">
        <v>0</v>
      </c>
      <c r="AV239" s="115">
        <v>0</v>
      </c>
      <c r="AW239" s="115">
        <v>0</v>
      </c>
      <c r="AX239" s="115">
        <v>0</v>
      </c>
      <c r="AY239" s="115">
        <v>0</v>
      </c>
    </row>
    <row r="240" spans="1:51" x14ac:dyDescent="0.25">
      <c r="A240" s="114"/>
      <c r="B240" s="132">
        <v>32</v>
      </c>
      <c r="C240" s="111"/>
      <c r="D240" s="115">
        <v>0</v>
      </c>
      <c r="E240" s="115">
        <v>0</v>
      </c>
      <c r="F240" s="115">
        <v>0</v>
      </c>
      <c r="G240" s="115">
        <v>0</v>
      </c>
      <c r="H240" s="115">
        <v>0</v>
      </c>
      <c r="I240" s="115">
        <v>0</v>
      </c>
      <c r="J240" s="115">
        <v>0</v>
      </c>
      <c r="K240" s="115">
        <v>0</v>
      </c>
      <c r="L240" s="115">
        <v>0</v>
      </c>
      <c r="M240" s="115">
        <v>0</v>
      </c>
      <c r="N240" s="115">
        <v>0</v>
      </c>
      <c r="O240" s="115">
        <v>0</v>
      </c>
      <c r="P240" s="115">
        <v>0</v>
      </c>
      <c r="Q240" s="115">
        <v>0</v>
      </c>
      <c r="R240" s="115">
        <v>0</v>
      </c>
      <c r="S240" s="115">
        <v>0</v>
      </c>
      <c r="T240" s="115">
        <v>0</v>
      </c>
      <c r="U240" s="115">
        <v>0</v>
      </c>
      <c r="V240" s="115">
        <v>0</v>
      </c>
      <c r="W240" s="115">
        <v>0</v>
      </c>
      <c r="X240" s="115">
        <v>0</v>
      </c>
      <c r="Y240" s="115">
        <v>0</v>
      </c>
      <c r="Z240" s="115">
        <v>0</v>
      </c>
      <c r="AA240" s="115">
        <v>0</v>
      </c>
      <c r="AB240" s="115">
        <v>0</v>
      </c>
      <c r="AC240" s="115">
        <v>0</v>
      </c>
      <c r="AD240" s="115">
        <v>0</v>
      </c>
      <c r="AE240" s="115">
        <v>0</v>
      </c>
      <c r="AF240" s="115">
        <v>0</v>
      </c>
      <c r="AG240" s="115">
        <v>0</v>
      </c>
      <c r="AH240" s="115">
        <v>0</v>
      </c>
      <c r="AI240" s="115">
        <v>0</v>
      </c>
      <c r="AJ240" s="115">
        <v>0</v>
      </c>
      <c r="AK240" s="115">
        <v>0</v>
      </c>
      <c r="AL240" s="115">
        <v>0</v>
      </c>
      <c r="AM240" s="115">
        <v>0</v>
      </c>
      <c r="AN240" s="115">
        <v>0</v>
      </c>
      <c r="AO240" s="115">
        <v>0</v>
      </c>
      <c r="AP240" s="115">
        <v>0</v>
      </c>
      <c r="AQ240" s="115">
        <v>0</v>
      </c>
      <c r="AR240" s="115">
        <v>0</v>
      </c>
      <c r="AS240" s="115">
        <v>0</v>
      </c>
      <c r="AT240" s="115">
        <v>0</v>
      </c>
      <c r="AU240" s="115">
        <v>0</v>
      </c>
      <c r="AV240" s="115">
        <v>0</v>
      </c>
      <c r="AW240" s="115">
        <v>0</v>
      </c>
      <c r="AX240" s="115">
        <v>0</v>
      </c>
      <c r="AY240" s="115">
        <v>0</v>
      </c>
    </row>
    <row r="241" spans="1:51" x14ac:dyDescent="0.25">
      <c r="A241" s="114"/>
      <c r="B241" s="132">
        <v>33</v>
      </c>
      <c r="C241" s="111"/>
      <c r="D241" s="115">
        <v>0</v>
      </c>
      <c r="E241" s="115">
        <v>0</v>
      </c>
      <c r="F241" s="115">
        <v>0</v>
      </c>
      <c r="G241" s="115">
        <v>0</v>
      </c>
      <c r="H241" s="115">
        <v>0</v>
      </c>
      <c r="I241" s="115">
        <v>0</v>
      </c>
      <c r="J241" s="115">
        <v>0</v>
      </c>
      <c r="K241" s="115">
        <v>0</v>
      </c>
      <c r="L241" s="115">
        <v>0</v>
      </c>
      <c r="M241" s="115">
        <v>0</v>
      </c>
      <c r="N241" s="115">
        <v>0</v>
      </c>
      <c r="O241" s="115">
        <v>0</v>
      </c>
      <c r="P241" s="115">
        <v>0</v>
      </c>
      <c r="Q241" s="115">
        <v>0</v>
      </c>
      <c r="R241" s="115">
        <v>0</v>
      </c>
      <c r="S241" s="115">
        <v>0</v>
      </c>
      <c r="T241" s="115">
        <v>0</v>
      </c>
      <c r="U241" s="115">
        <v>0</v>
      </c>
      <c r="V241" s="115">
        <v>0</v>
      </c>
      <c r="W241" s="115">
        <v>0</v>
      </c>
      <c r="X241" s="115">
        <v>0</v>
      </c>
      <c r="Y241" s="115">
        <v>0</v>
      </c>
      <c r="Z241" s="115">
        <v>0</v>
      </c>
      <c r="AA241" s="115">
        <v>0</v>
      </c>
      <c r="AB241" s="115">
        <v>0</v>
      </c>
      <c r="AC241" s="115">
        <v>0</v>
      </c>
      <c r="AD241" s="115">
        <v>0</v>
      </c>
      <c r="AE241" s="115">
        <v>0</v>
      </c>
      <c r="AF241" s="115">
        <v>0</v>
      </c>
      <c r="AG241" s="115">
        <v>0</v>
      </c>
      <c r="AH241" s="115">
        <v>0</v>
      </c>
      <c r="AI241" s="115">
        <v>0</v>
      </c>
      <c r="AJ241" s="115">
        <v>0</v>
      </c>
      <c r="AK241" s="115">
        <v>0</v>
      </c>
      <c r="AL241" s="115">
        <v>0</v>
      </c>
      <c r="AM241" s="115">
        <v>0</v>
      </c>
      <c r="AN241" s="115">
        <v>0</v>
      </c>
      <c r="AO241" s="115">
        <v>0</v>
      </c>
      <c r="AP241" s="115">
        <v>0</v>
      </c>
      <c r="AQ241" s="115">
        <v>0</v>
      </c>
      <c r="AR241" s="115">
        <v>0</v>
      </c>
      <c r="AS241" s="115">
        <v>0</v>
      </c>
      <c r="AT241" s="115">
        <v>0</v>
      </c>
      <c r="AU241" s="115">
        <v>0</v>
      </c>
      <c r="AV241" s="115">
        <v>0</v>
      </c>
      <c r="AW241" s="115">
        <v>0</v>
      </c>
      <c r="AX241" s="115">
        <v>0</v>
      </c>
      <c r="AY241" s="115">
        <v>0</v>
      </c>
    </row>
    <row r="242" spans="1:51" x14ac:dyDescent="0.25">
      <c r="A242" s="114"/>
      <c r="B242" s="132">
        <v>34</v>
      </c>
      <c r="C242" s="111"/>
      <c r="D242" s="115">
        <v>0</v>
      </c>
      <c r="E242" s="115">
        <v>0</v>
      </c>
      <c r="F242" s="115">
        <v>0</v>
      </c>
      <c r="G242" s="115">
        <v>0</v>
      </c>
      <c r="H242" s="115">
        <v>0</v>
      </c>
      <c r="I242" s="115">
        <v>0</v>
      </c>
      <c r="J242" s="115">
        <v>0</v>
      </c>
      <c r="K242" s="115">
        <v>0</v>
      </c>
      <c r="L242" s="115">
        <v>0</v>
      </c>
      <c r="M242" s="115">
        <v>0</v>
      </c>
      <c r="N242" s="115">
        <v>0</v>
      </c>
      <c r="O242" s="115">
        <v>0</v>
      </c>
      <c r="P242" s="115">
        <v>0</v>
      </c>
      <c r="Q242" s="115">
        <v>0</v>
      </c>
      <c r="R242" s="115">
        <v>0</v>
      </c>
      <c r="S242" s="115">
        <v>0</v>
      </c>
      <c r="T242" s="115">
        <v>0</v>
      </c>
      <c r="U242" s="115">
        <v>0</v>
      </c>
      <c r="V242" s="115">
        <v>0</v>
      </c>
      <c r="W242" s="115">
        <v>0</v>
      </c>
      <c r="X242" s="115">
        <v>0</v>
      </c>
      <c r="Y242" s="115">
        <v>0</v>
      </c>
      <c r="Z242" s="115">
        <v>0</v>
      </c>
      <c r="AA242" s="115">
        <v>0</v>
      </c>
      <c r="AB242" s="115">
        <v>0</v>
      </c>
      <c r="AC242" s="115">
        <v>0</v>
      </c>
      <c r="AD242" s="115">
        <v>0</v>
      </c>
      <c r="AE242" s="115">
        <v>0</v>
      </c>
      <c r="AF242" s="115">
        <v>0</v>
      </c>
      <c r="AG242" s="115">
        <v>0</v>
      </c>
      <c r="AH242" s="115">
        <v>0</v>
      </c>
      <c r="AI242" s="115">
        <v>0</v>
      </c>
      <c r="AJ242" s="115">
        <v>0</v>
      </c>
      <c r="AK242" s="115">
        <v>0</v>
      </c>
      <c r="AL242" s="115">
        <v>0</v>
      </c>
      <c r="AM242" s="115">
        <v>0</v>
      </c>
      <c r="AN242" s="115">
        <v>0</v>
      </c>
      <c r="AO242" s="115">
        <v>0</v>
      </c>
      <c r="AP242" s="115">
        <v>0</v>
      </c>
      <c r="AQ242" s="115">
        <v>0</v>
      </c>
      <c r="AR242" s="115">
        <v>0</v>
      </c>
      <c r="AS242" s="115">
        <v>0</v>
      </c>
      <c r="AT242" s="115">
        <v>0</v>
      </c>
      <c r="AU242" s="115">
        <v>0</v>
      </c>
      <c r="AV242" s="115">
        <v>0</v>
      </c>
      <c r="AW242" s="115">
        <v>0</v>
      </c>
      <c r="AX242" s="115">
        <v>0</v>
      </c>
      <c r="AY242" s="115">
        <v>0</v>
      </c>
    </row>
    <row r="243" spans="1:51" x14ac:dyDescent="0.25">
      <c r="A243" s="114"/>
      <c r="B243" s="132">
        <v>35</v>
      </c>
      <c r="C243" s="111"/>
      <c r="D243" s="115">
        <v>0</v>
      </c>
      <c r="E243" s="115">
        <v>0</v>
      </c>
      <c r="F243" s="115">
        <v>0</v>
      </c>
      <c r="G243" s="115">
        <v>0</v>
      </c>
      <c r="H243" s="115">
        <v>0</v>
      </c>
      <c r="I243" s="115">
        <v>0</v>
      </c>
      <c r="J243" s="115">
        <v>0</v>
      </c>
      <c r="K243" s="115">
        <v>0</v>
      </c>
      <c r="L243" s="115">
        <v>0</v>
      </c>
      <c r="M243" s="115">
        <v>0</v>
      </c>
      <c r="N243" s="115">
        <v>0</v>
      </c>
      <c r="O243" s="115">
        <v>0</v>
      </c>
      <c r="P243" s="115">
        <v>0</v>
      </c>
      <c r="Q243" s="115">
        <v>0</v>
      </c>
      <c r="R243" s="115">
        <v>0</v>
      </c>
      <c r="S243" s="115">
        <v>0</v>
      </c>
      <c r="T243" s="115">
        <v>0</v>
      </c>
      <c r="U243" s="115">
        <v>0</v>
      </c>
      <c r="V243" s="115">
        <v>0</v>
      </c>
      <c r="W243" s="115">
        <v>0</v>
      </c>
      <c r="X243" s="115">
        <v>0</v>
      </c>
      <c r="Y243" s="115">
        <v>0</v>
      </c>
      <c r="Z243" s="115">
        <v>0</v>
      </c>
      <c r="AA243" s="115">
        <v>0</v>
      </c>
      <c r="AB243" s="115">
        <v>0</v>
      </c>
      <c r="AC243" s="115">
        <v>0</v>
      </c>
      <c r="AD243" s="115">
        <v>0</v>
      </c>
      <c r="AE243" s="115">
        <v>0</v>
      </c>
      <c r="AF243" s="115">
        <v>0</v>
      </c>
      <c r="AG243" s="115">
        <v>0</v>
      </c>
      <c r="AH243" s="115">
        <v>0</v>
      </c>
      <c r="AI243" s="115">
        <v>0</v>
      </c>
      <c r="AJ243" s="115">
        <v>0</v>
      </c>
      <c r="AK243" s="115">
        <v>0</v>
      </c>
      <c r="AL243" s="115">
        <v>0</v>
      </c>
      <c r="AM243" s="115">
        <v>0</v>
      </c>
      <c r="AN243" s="115">
        <v>0</v>
      </c>
      <c r="AO243" s="115">
        <v>0</v>
      </c>
      <c r="AP243" s="115">
        <v>0</v>
      </c>
      <c r="AQ243" s="115">
        <v>0</v>
      </c>
      <c r="AR243" s="115">
        <v>0</v>
      </c>
      <c r="AS243" s="115">
        <v>0</v>
      </c>
      <c r="AT243" s="115">
        <v>0</v>
      </c>
      <c r="AU243" s="115">
        <v>0</v>
      </c>
      <c r="AV243" s="115">
        <v>0</v>
      </c>
      <c r="AW243" s="115">
        <v>0</v>
      </c>
      <c r="AX243" s="115">
        <v>0</v>
      </c>
      <c r="AY243" s="115">
        <v>0</v>
      </c>
    </row>
    <row r="244" spans="1:51" x14ac:dyDescent="0.25">
      <c r="A244" s="114"/>
      <c r="B244" s="132">
        <v>36</v>
      </c>
      <c r="C244" s="111"/>
      <c r="D244" s="115">
        <v>0</v>
      </c>
      <c r="E244" s="115">
        <v>0</v>
      </c>
      <c r="F244" s="115">
        <v>0</v>
      </c>
      <c r="G244" s="115">
        <v>0</v>
      </c>
      <c r="H244" s="115">
        <v>0</v>
      </c>
      <c r="I244" s="115">
        <v>0</v>
      </c>
      <c r="J244" s="115">
        <v>0</v>
      </c>
      <c r="K244" s="115">
        <v>0</v>
      </c>
      <c r="L244" s="115">
        <v>0</v>
      </c>
      <c r="M244" s="115">
        <v>0</v>
      </c>
      <c r="N244" s="115">
        <v>0</v>
      </c>
      <c r="O244" s="115">
        <v>0</v>
      </c>
      <c r="P244" s="115">
        <v>0</v>
      </c>
      <c r="Q244" s="115">
        <v>0</v>
      </c>
      <c r="R244" s="115">
        <v>0</v>
      </c>
      <c r="S244" s="115">
        <v>0</v>
      </c>
      <c r="T244" s="115">
        <v>0</v>
      </c>
      <c r="U244" s="115">
        <v>0</v>
      </c>
      <c r="V244" s="115">
        <v>0</v>
      </c>
      <c r="W244" s="115">
        <v>0</v>
      </c>
      <c r="X244" s="115">
        <v>0</v>
      </c>
      <c r="Y244" s="115">
        <v>0</v>
      </c>
      <c r="Z244" s="115">
        <v>0</v>
      </c>
      <c r="AA244" s="115">
        <v>0</v>
      </c>
      <c r="AB244" s="115">
        <v>0</v>
      </c>
      <c r="AC244" s="115">
        <v>0</v>
      </c>
      <c r="AD244" s="115">
        <v>0</v>
      </c>
      <c r="AE244" s="115">
        <v>0</v>
      </c>
      <c r="AF244" s="115">
        <v>0</v>
      </c>
      <c r="AG244" s="115">
        <v>0</v>
      </c>
      <c r="AH244" s="115">
        <v>0</v>
      </c>
      <c r="AI244" s="115">
        <v>0</v>
      </c>
      <c r="AJ244" s="115">
        <v>0</v>
      </c>
      <c r="AK244" s="115">
        <v>0</v>
      </c>
      <c r="AL244" s="115">
        <v>0</v>
      </c>
      <c r="AM244" s="115">
        <v>0</v>
      </c>
      <c r="AN244" s="115">
        <v>0</v>
      </c>
      <c r="AO244" s="115">
        <v>0</v>
      </c>
      <c r="AP244" s="115">
        <v>0</v>
      </c>
      <c r="AQ244" s="115">
        <v>0</v>
      </c>
      <c r="AR244" s="115">
        <v>0</v>
      </c>
      <c r="AS244" s="115">
        <v>0</v>
      </c>
      <c r="AT244" s="115">
        <v>0</v>
      </c>
      <c r="AU244" s="115">
        <v>0</v>
      </c>
      <c r="AV244" s="115">
        <v>0</v>
      </c>
      <c r="AW244" s="115">
        <v>0</v>
      </c>
      <c r="AX244" s="115">
        <v>0</v>
      </c>
      <c r="AY244" s="115">
        <v>0</v>
      </c>
    </row>
    <row r="245" spans="1:51" x14ac:dyDescent="0.25">
      <c r="A245" s="114"/>
      <c r="B245" s="135">
        <v>37</v>
      </c>
      <c r="C245" s="111"/>
      <c r="D245" s="115">
        <v>0</v>
      </c>
      <c r="E245" s="115">
        <v>0</v>
      </c>
      <c r="F245" s="115">
        <v>0</v>
      </c>
      <c r="G245" s="115">
        <v>0</v>
      </c>
      <c r="H245" s="115">
        <v>0</v>
      </c>
      <c r="I245" s="115">
        <v>0</v>
      </c>
      <c r="J245" s="115">
        <v>0</v>
      </c>
      <c r="K245" s="115">
        <v>0</v>
      </c>
      <c r="L245" s="115">
        <v>0</v>
      </c>
      <c r="M245" s="115">
        <v>0</v>
      </c>
      <c r="N245" s="115">
        <v>0</v>
      </c>
      <c r="O245" s="115">
        <v>0</v>
      </c>
      <c r="P245" s="115">
        <v>0</v>
      </c>
      <c r="Q245" s="115">
        <v>0</v>
      </c>
      <c r="R245" s="115">
        <v>0</v>
      </c>
      <c r="S245" s="115">
        <v>0</v>
      </c>
      <c r="T245" s="115">
        <v>0</v>
      </c>
      <c r="U245" s="115">
        <v>0</v>
      </c>
      <c r="V245" s="115">
        <v>0</v>
      </c>
      <c r="W245" s="115">
        <v>0</v>
      </c>
      <c r="X245" s="115">
        <v>0</v>
      </c>
      <c r="Y245" s="115">
        <v>0</v>
      </c>
      <c r="Z245" s="115">
        <v>0</v>
      </c>
      <c r="AA245" s="115">
        <v>0</v>
      </c>
      <c r="AB245" s="115">
        <v>0</v>
      </c>
      <c r="AC245" s="115">
        <v>0</v>
      </c>
      <c r="AD245" s="115">
        <v>0</v>
      </c>
      <c r="AE245" s="115">
        <v>0</v>
      </c>
      <c r="AF245" s="115">
        <v>0</v>
      </c>
      <c r="AG245" s="115">
        <v>0</v>
      </c>
      <c r="AH245" s="115">
        <v>0</v>
      </c>
      <c r="AI245" s="115">
        <v>0</v>
      </c>
      <c r="AJ245" s="115">
        <v>0</v>
      </c>
      <c r="AK245" s="115">
        <v>0</v>
      </c>
      <c r="AL245" s="115">
        <v>0</v>
      </c>
      <c r="AM245" s="115">
        <v>0</v>
      </c>
      <c r="AN245" s="115">
        <v>0</v>
      </c>
      <c r="AO245" s="115">
        <v>0</v>
      </c>
      <c r="AP245" s="115">
        <v>0</v>
      </c>
      <c r="AQ245" s="115">
        <v>0</v>
      </c>
      <c r="AR245" s="115">
        <v>0</v>
      </c>
      <c r="AS245" s="115">
        <v>0</v>
      </c>
      <c r="AT245" s="115">
        <v>0</v>
      </c>
      <c r="AU245" s="115">
        <v>0</v>
      </c>
      <c r="AV245" s="115">
        <v>0</v>
      </c>
      <c r="AW245" s="115">
        <v>0</v>
      </c>
      <c r="AX245" s="115">
        <v>0</v>
      </c>
      <c r="AY245" s="115">
        <v>0</v>
      </c>
    </row>
    <row r="246" spans="1:51" x14ac:dyDescent="0.25">
      <c r="A246" s="114"/>
      <c r="B246" s="135">
        <v>38</v>
      </c>
      <c r="C246" s="111"/>
      <c r="D246" s="115">
        <v>0</v>
      </c>
      <c r="E246" s="115">
        <v>0</v>
      </c>
      <c r="F246" s="115">
        <v>0</v>
      </c>
      <c r="G246" s="115">
        <v>0</v>
      </c>
      <c r="H246" s="115">
        <v>0</v>
      </c>
      <c r="I246" s="115">
        <v>0</v>
      </c>
      <c r="J246" s="115">
        <v>0</v>
      </c>
      <c r="K246" s="115">
        <v>0</v>
      </c>
      <c r="L246" s="115">
        <v>0</v>
      </c>
      <c r="M246" s="115">
        <v>0</v>
      </c>
      <c r="N246" s="115">
        <v>0</v>
      </c>
      <c r="O246" s="115">
        <v>0</v>
      </c>
      <c r="P246" s="115">
        <v>0</v>
      </c>
      <c r="Q246" s="115">
        <v>0</v>
      </c>
      <c r="R246" s="115">
        <v>0</v>
      </c>
      <c r="S246" s="115">
        <v>0</v>
      </c>
      <c r="T246" s="115">
        <v>0</v>
      </c>
      <c r="U246" s="115">
        <v>0</v>
      </c>
      <c r="V246" s="115">
        <v>0</v>
      </c>
      <c r="W246" s="115">
        <v>0</v>
      </c>
      <c r="X246" s="115">
        <v>0</v>
      </c>
      <c r="Y246" s="115">
        <v>0</v>
      </c>
      <c r="Z246" s="115">
        <v>0</v>
      </c>
      <c r="AA246" s="115">
        <v>0</v>
      </c>
      <c r="AB246" s="115">
        <v>0</v>
      </c>
      <c r="AC246" s="115">
        <v>0</v>
      </c>
      <c r="AD246" s="115">
        <v>0</v>
      </c>
      <c r="AE246" s="115">
        <v>0</v>
      </c>
      <c r="AF246" s="115">
        <v>0</v>
      </c>
      <c r="AG246" s="115">
        <v>0</v>
      </c>
      <c r="AH246" s="115">
        <v>0</v>
      </c>
      <c r="AI246" s="115">
        <v>0</v>
      </c>
      <c r="AJ246" s="115">
        <v>0</v>
      </c>
      <c r="AK246" s="115">
        <v>0</v>
      </c>
      <c r="AL246" s="115">
        <v>0</v>
      </c>
      <c r="AM246" s="115">
        <v>0</v>
      </c>
      <c r="AN246" s="115">
        <v>0</v>
      </c>
      <c r="AO246" s="115">
        <v>0</v>
      </c>
      <c r="AP246" s="115">
        <v>0</v>
      </c>
      <c r="AQ246" s="115">
        <v>0</v>
      </c>
      <c r="AR246" s="115">
        <v>0</v>
      </c>
      <c r="AS246" s="115">
        <v>0</v>
      </c>
      <c r="AT246" s="115">
        <v>0</v>
      </c>
      <c r="AU246" s="115">
        <v>0</v>
      </c>
      <c r="AV246" s="115">
        <v>0</v>
      </c>
      <c r="AW246" s="115">
        <v>0</v>
      </c>
      <c r="AX246" s="115">
        <v>0</v>
      </c>
      <c r="AY246" s="115">
        <v>0</v>
      </c>
    </row>
    <row r="247" spans="1:51" x14ac:dyDescent="0.25">
      <c r="A247" s="114"/>
      <c r="B247" s="135">
        <v>39</v>
      </c>
      <c r="C247" s="111"/>
      <c r="D247" s="115">
        <v>0</v>
      </c>
      <c r="E247" s="115">
        <v>0</v>
      </c>
      <c r="F247" s="115">
        <v>0</v>
      </c>
      <c r="G247" s="115">
        <v>0</v>
      </c>
      <c r="H247" s="115">
        <v>0</v>
      </c>
      <c r="I247" s="115">
        <v>0</v>
      </c>
      <c r="J247" s="115">
        <v>0</v>
      </c>
      <c r="K247" s="115">
        <v>0</v>
      </c>
      <c r="L247" s="115">
        <v>0</v>
      </c>
      <c r="M247" s="115">
        <v>0</v>
      </c>
      <c r="N247" s="115">
        <v>0</v>
      </c>
      <c r="O247" s="115">
        <v>0</v>
      </c>
      <c r="P247" s="115">
        <v>0</v>
      </c>
      <c r="Q247" s="115">
        <v>0</v>
      </c>
      <c r="R247" s="115">
        <v>0</v>
      </c>
      <c r="S247" s="115">
        <v>0</v>
      </c>
      <c r="T247" s="115">
        <v>0</v>
      </c>
      <c r="U247" s="115">
        <v>0</v>
      </c>
      <c r="V247" s="115">
        <v>0</v>
      </c>
      <c r="W247" s="115">
        <v>0</v>
      </c>
      <c r="X247" s="115">
        <v>0</v>
      </c>
      <c r="Y247" s="115">
        <v>0</v>
      </c>
      <c r="Z247" s="115">
        <v>0</v>
      </c>
      <c r="AA247" s="115">
        <v>0</v>
      </c>
      <c r="AB247" s="115">
        <v>0</v>
      </c>
      <c r="AC247" s="115">
        <v>0</v>
      </c>
      <c r="AD247" s="115">
        <v>0</v>
      </c>
      <c r="AE247" s="115">
        <v>0</v>
      </c>
      <c r="AF247" s="115">
        <v>0</v>
      </c>
      <c r="AG247" s="115">
        <v>0</v>
      </c>
      <c r="AH247" s="115">
        <v>0</v>
      </c>
      <c r="AI247" s="115">
        <v>0</v>
      </c>
      <c r="AJ247" s="115">
        <v>0</v>
      </c>
      <c r="AK247" s="115">
        <v>0</v>
      </c>
      <c r="AL247" s="115">
        <v>0</v>
      </c>
      <c r="AM247" s="115">
        <v>0</v>
      </c>
      <c r="AN247" s="115">
        <v>0</v>
      </c>
      <c r="AO247" s="115">
        <v>0</v>
      </c>
      <c r="AP247" s="115">
        <v>0</v>
      </c>
      <c r="AQ247" s="115">
        <v>0</v>
      </c>
      <c r="AR247" s="115">
        <v>0</v>
      </c>
      <c r="AS247" s="115">
        <v>0</v>
      </c>
      <c r="AT247" s="115">
        <v>0</v>
      </c>
      <c r="AU247" s="115">
        <v>0</v>
      </c>
      <c r="AV247" s="115">
        <v>0</v>
      </c>
      <c r="AW247" s="115">
        <v>0</v>
      </c>
      <c r="AX247" s="115">
        <v>0</v>
      </c>
      <c r="AY247" s="115">
        <v>0</v>
      </c>
    </row>
    <row r="248" spans="1:51" x14ac:dyDescent="0.25">
      <c r="A248" s="114"/>
      <c r="B248" s="135">
        <v>40</v>
      </c>
      <c r="C248" s="111"/>
      <c r="D248" s="115">
        <v>0</v>
      </c>
      <c r="E248" s="115">
        <v>0</v>
      </c>
      <c r="F248" s="115">
        <v>0</v>
      </c>
      <c r="G248" s="115">
        <v>0</v>
      </c>
      <c r="H248" s="115">
        <v>0</v>
      </c>
      <c r="I248" s="115">
        <v>0</v>
      </c>
      <c r="J248" s="115">
        <v>0</v>
      </c>
      <c r="K248" s="115">
        <v>0</v>
      </c>
      <c r="L248" s="115">
        <v>0</v>
      </c>
      <c r="M248" s="115">
        <v>0</v>
      </c>
      <c r="N248" s="115">
        <v>0</v>
      </c>
      <c r="O248" s="115">
        <v>0</v>
      </c>
      <c r="P248" s="115">
        <v>0</v>
      </c>
      <c r="Q248" s="115">
        <v>0</v>
      </c>
      <c r="R248" s="115">
        <v>0</v>
      </c>
      <c r="S248" s="115">
        <v>0</v>
      </c>
      <c r="T248" s="115">
        <v>0</v>
      </c>
      <c r="U248" s="115">
        <v>0</v>
      </c>
      <c r="V248" s="115">
        <v>0</v>
      </c>
      <c r="W248" s="115">
        <v>0</v>
      </c>
      <c r="X248" s="115">
        <v>0</v>
      </c>
      <c r="Y248" s="115">
        <v>0</v>
      </c>
      <c r="Z248" s="115">
        <v>0</v>
      </c>
      <c r="AA248" s="115">
        <v>0</v>
      </c>
      <c r="AB248" s="115">
        <v>0</v>
      </c>
      <c r="AC248" s="115">
        <v>0</v>
      </c>
      <c r="AD248" s="115">
        <v>0</v>
      </c>
      <c r="AE248" s="115">
        <v>0</v>
      </c>
      <c r="AF248" s="115">
        <v>0</v>
      </c>
      <c r="AG248" s="115">
        <v>0</v>
      </c>
      <c r="AH248" s="115">
        <v>0</v>
      </c>
      <c r="AI248" s="115">
        <v>0</v>
      </c>
      <c r="AJ248" s="115">
        <v>0</v>
      </c>
      <c r="AK248" s="115">
        <v>0</v>
      </c>
      <c r="AL248" s="115">
        <v>0</v>
      </c>
      <c r="AM248" s="115">
        <v>0</v>
      </c>
      <c r="AN248" s="115">
        <v>0</v>
      </c>
      <c r="AO248" s="115">
        <v>0</v>
      </c>
      <c r="AP248" s="115">
        <v>0</v>
      </c>
      <c r="AQ248" s="115">
        <v>0</v>
      </c>
      <c r="AR248" s="115">
        <v>0</v>
      </c>
      <c r="AS248" s="115">
        <v>0</v>
      </c>
      <c r="AT248" s="115">
        <v>0</v>
      </c>
      <c r="AU248" s="115">
        <v>0</v>
      </c>
      <c r="AV248" s="115">
        <v>0</v>
      </c>
      <c r="AW248" s="115">
        <v>0</v>
      </c>
      <c r="AX248" s="115">
        <v>0</v>
      </c>
      <c r="AY248" s="115">
        <v>0</v>
      </c>
    </row>
    <row r="249" spans="1:51" x14ac:dyDescent="0.25">
      <c r="A249" s="114"/>
      <c r="B249" s="135">
        <v>41</v>
      </c>
      <c r="C249" s="111"/>
      <c r="D249" s="115">
        <v>0</v>
      </c>
      <c r="E249" s="115">
        <v>0</v>
      </c>
      <c r="F249" s="115">
        <v>0</v>
      </c>
      <c r="G249" s="115">
        <v>0</v>
      </c>
      <c r="H249" s="115">
        <v>0</v>
      </c>
      <c r="I249" s="115">
        <v>0</v>
      </c>
      <c r="J249" s="115">
        <v>0</v>
      </c>
      <c r="K249" s="115">
        <v>0</v>
      </c>
      <c r="L249" s="115">
        <v>0</v>
      </c>
      <c r="M249" s="115">
        <v>0</v>
      </c>
      <c r="N249" s="115">
        <v>0</v>
      </c>
      <c r="O249" s="115">
        <v>0</v>
      </c>
      <c r="P249" s="115">
        <v>0</v>
      </c>
      <c r="Q249" s="115">
        <v>0</v>
      </c>
      <c r="R249" s="115">
        <v>0</v>
      </c>
      <c r="S249" s="115">
        <v>0</v>
      </c>
      <c r="T249" s="115">
        <v>0</v>
      </c>
      <c r="U249" s="115">
        <v>0</v>
      </c>
      <c r="V249" s="115">
        <v>0</v>
      </c>
      <c r="W249" s="115">
        <v>0</v>
      </c>
      <c r="X249" s="115">
        <v>0</v>
      </c>
      <c r="Y249" s="115">
        <v>0</v>
      </c>
      <c r="Z249" s="115">
        <v>0</v>
      </c>
      <c r="AA249" s="115">
        <v>0</v>
      </c>
      <c r="AB249" s="115">
        <v>0</v>
      </c>
      <c r="AC249" s="115">
        <v>0</v>
      </c>
      <c r="AD249" s="115">
        <v>0</v>
      </c>
      <c r="AE249" s="115">
        <v>0</v>
      </c>
      <c r="AF249" s="115">
        <v>0</v>
      </c>
      <c r="AG249" s="115">
        <v>0</v>
      </c>
      <c r="AH249" s="115">
        <v>0</v>
      </c>
      <c r="AI249" s="115">
        <v>0</v>
      </c>
      <c r="AJ249" s="115">
        <v>0</v>
      </c>
      <c r="AK249" s="115">
        <v>0</v>
      </c>
      <c r="AL249" s="115">
        <v>0</v>
      </c>
      <c r="AM249" s="115">
        <v>0</v>
      </c>
      <c r="AN249" s="115">
        <v>0</v>
      </c>
      <c r="AO249" s="115">
        <v>0</v>
      </c>
      <c r="AP249" s="115">
        <v>0</v>
      </c>
      <c r="AQ249" s="115">
        <v>0</v>
      </c>
      <c r="AR249" s="115">
        <v>0</v>
      </c>
      <c r="AS249" s="115">
        <v>0</v>
      </c>
      <c r="AT249" s="115">
        <v>0</v>
      </c>
      <c r="AU249" s="115">
        <v>0</v>
      </c>
      <c r="AV249" s="115">
        <v>0</v>
      </c>
      <c r="AW249" s="115">
        <v>0</v>
      </c>
      <c r="AX249" s="115">
        <v>0</v>
      </c>
      <c r="AY249" s="115">
        <v>0</v>
      </c>
    </row>
    <row r="250" spans="1:51" x14ac:dyDescent="0.25">
      <c r="A250" s="114"/>
      <c r="B250" s="135">
        <v>42</v>
      </c>
      <c r="C250" s="111"/>
      <c r="D250" s="115">
        <v>0</v>
      </c>
      <c r="E250" s="115">
        <v>0</v>
      </c>
      <c r="F250" s="115">
        <v>0</v>
      </c>
      <c r="G250" s="115">
        <v>0</v>
      </c>
      <c r="H250" s="115">
        <v>0</v>
      </c>
      <c r="I250" s="115">
        <v>0</v>
      </c>
      <c r="J250" s="115">
        <v>0</v>
      </c>
      <c r="K250" s="115">
        <v>0</v>
      </c>
      <c r="L250" s="115">
        <v>0</v>
      </c>
      <c r="M250" s="115">
        <v>0</v>
      </c>
      <c r="N250" s="115">
        <v>0</v>
      </c>
      <c r="O250" s="115">
        <v>0</v>
      </c>
      <c r="P250" s="115">
        <v>0</v>
      </c>
      <c r="Q250" s="115">
        <v>0</v>
      </c>
      <c r="R250" s="115">
        <v>0</v>
      </c>
      <c r="S250" s="115">
        <v>0</v>
      </c>
      <c r="T250" s="115">
        <v>0</v>
      </c>
      <c r="U250" s="115">
        <v>0</v>
      </c>
      <c r="V250" s="115">
        <v>0</v>
      </c>
      <c r="W250" s="115">
        <v>0</v>
      </c>
      <c r="X250" s="115">
        <v>0</v>
      </c>
      <c r="Y250" s="115">
        <v>0</v>
      </c>
      <c r="Z250" s="115">
        <v>0</v>
      </c>
      <c r="AA250" s="115">
        <v>0</v>
      </c>
      <c r="AB250" s="115">
        <v>0</v>
      </c>
      <c r="AC250" s="115">
        <v>0</v>
      </c>
      <c r="AD250" s="115">
        <v>0</v>
      </c>
      <c r="AE250" s="115">
        <v>0</v>
      </c>
      <c r="AF250" s="115">
        <v>0</v>
      </c>
      <c r="AG250" s="115">
        <v>0</v>
      </c>
      <c r="AH250" s="115">
        <v>0</v>
      </c>
      <c r="AI250" s="115">
        <v>0</v>
      </c>
      <c r="AJ250" s="115">
        <v>0</v>
      </c>
      <c r="AK250" s="115">
        <v>0</v>
      </c>
      <c r="AL250" s="115">
        <v>0</v>
      </c>
      <c r="AM250" s="115">
        <v>0</v>
      </c>
      <c r="AN250" s="115">
        <v>0</v>
      </c>
      <c r="AO250" s="115">
        <v>0</v>
      </c>
      <c r="AP250" s="115">
        <v>0</v>
      </c>
      <c r="AQ250" s="115">
        <v>0</v>
      </c>
      <c r="AR250" s="115">
        <v>0</v>
      </c>
      <c r="AS250" s="115">
        <v>0</v>
      </c>
      <c r="AT250" s="115">
        <v>0</v>
      </c>
      <c r="AU250" s="115">
        <v>0</v>
      </c>
      <c r="AV250" s="115">
        <v>0</v>
      </c>
      <c r="AW250" s="115">
        <v>0</v>
      </c>
      <c r="AX250" s="115">
        <v>0</v>
      </c>
      <c r="AY250" s="115">
        <v>0</v>
      </c>
    </row>
    <row r="251" spans="1:51" x14ac:dyDescent="0.25">
      <c r="A251" s="114"/>
      <c r="B251" s="135">
        <v>43</v>
      </c>
      <c r="C251" s="111"/>
      <c r="D251" s="115">
        <v>0</v>
      </c>
      <c r="E251" s="115">
        <v>0</v>
      </c>
      <c r="F251" s="115">
        <v>0</v>
      </c>
      <c r="G251" s="115">
        <v>0</v>
      </c>
      <c r="H251" s="115">
        <v>0</v>
      </c>
      <c r="I251" s="115">
        <v>0</v>
      </c>
      <c r="J251" s="115">
        <v>0</v>
      </c>
      <c r="K251" s="115">
        <v>0</v>
      </c>
      <c r="L251" s="115">
        <v>0</v>
      </c>
      <c r="M251" s="115">
        <v>0</v>
      </c>
      <c r="N251" s="115">
        <v>0</v>
      </c>
      <c r="O251" s="115">
        <v>0</v>
      </c>
      <c r="P251" s="115">
        <v>0</v>
      </c>
      <c r="Q251" s="115">
        <v>0</v>
      </c>
      <c r="R251" s="115">
        <v>0</v>
      </c>
      <c r="S251" s="115">
        <v>0</v>
      </c>
      <c r="T251" s="115">
        <v>0</v>
      </c>
      <c r="U251" s="115">
        <v>0</v>
      </c>
      <c r="V251" s="115">
        <v>0</v>
      </c>
      <c r="W251" s="115">
        <v>0</v>
      </c>
      <c r="X251" s="115">
        <v>0</v>
      </c>
      <c r="Y251" s="115">
        <v>0</v>
      </c>
      <c r="Z251" s="115">
        <v>0</v>
      </c>
      <c r="AA251" s="115">
        <v>0</v>
      </c>
      <c r="AB251" s="115">
        <v>0</v>
      </c>
      <c r="AC251" s="115">
        <v>0</v>
      </c>
      <c r="AD251" s="115">
        <v>0</v>
      </c>
      <c r="AE251" s="115">
        <v>0</v>
      </c>
      <c r="AF251" s="115">
        <v>0</v>
      </c>
      <c r="AG251" s="115">
        <v>0</v>
      </c>
      <c r="AH251" s="115">
        <v>0</v>
      </c>
      <c r="AI251" s="115">
        <v>0</v>
      </c>
      <c r="AJ251" s="115">
        <v>0</v>
      </c>
      <c r="AK251" s="115">
        <v>0</v>
      </c>
      <c r="AL251" s="115">
        <v>0</v>
      </c>
      <c r="AM251" s="115">
        <v>0</v>
      </c>
      <c r="AN251" s="115">
        <v>0</v>
      </c>
      <c r="AO251" s="115">
        <v>0</v>
      </c>
      <c r="AP251" s="115">
        <v>0</v>
      </c>
      <c r="AQ251" s="115">
        <v>0</v>
      </c>
      <c r="AR251" s="115">
        <v>0</v>
      </c>
      <c r="AS251" s="115">
        <v>0</v>
      </c>
      <c r="AT251" s="115">
        <v>0</v>
      </c>
      <c r="AU251" s="115">
        <v>0</v>
      </c>
      <c r="AV251" s="115">
        <v>0</v>
      </c>
      <c r="AW251" s="115">
        <v>0</v>
      </c>
      <c r="AX251" s="115">
        <v>0</v>
      </c>
      <c r="AY251" s="115">
        <v>0</v>
      </c>
    </row>
    <row r="252" spans="1:51" x14ac:dyDescent="0.25">
      <c r="A252" s="114"/>
      <c r="B252" s="135">
        <v>44</v>
      </c>
      <c r="C252" s="111"/>
      <c r="D252" s="115">
        <v>0</v>
      </c>
      <c r="E252" s="115">
        <v>0</v>
      </c>
      <c r="F252" s="115">
        <v>0</v>
      </c>
      <c r="G252" s="115">
        <v>0</v>
      </c>
      <c r="H252" s="115">
        <v>0</v>
      </c>
      <c r="I252" s="115">
        <v>0</v>
      </c>
      <c r="J252" s="115">
        <v>0</v>
      </c>
      <c r="K252" s="115">
        <v>0</v>
      </c>
      <c r="L252" s="115">
        <v>0</v>
      </c>
      <c r="M252" s="115">
        <v>0</v>
      </c>
      <c r="N252" s="115">
        <v>0</v>
      </c>
      <c r="O252" s="115">
        <v>0</v>
      </c>
      <c r="P252" s="115">
        <v>0</v>
      </c>
      <c r="Q252" s="115">
        <v>0</v>
      </c>
      <c r="R252" s="115">
        <v>0</v>
      </c>
      <c r="S252" s="115">
        <v>0</v>
      </c>
      <c r="T252" s="115">
        <v>0</v>
      </c>
      <c r="U252" s="115">
        <v>0</v>
      </c>
      <c r="V252" s="115">
        <v>0</v>
      </c>
      <c r="W252" s="115">
        <v>0</v>
      </c>
      <c r="X252" s="115">
        <v>0</v>
      </c>
      <c r="Y252" s="115">
        <v>0</v>
      </c>
      <c r="Z252" s="115">
        <v>0</v>
      </c>
      <c r="AA252" s="115">
        <v>0</v>
      </c>
      <c r="AB252" s="115">
        <v>0</v>
      </c>
      <c r="AC252" s="115">
        <v>0</v>
      </c>
      <c r="AD252" s="115">
        <v>0</v>
      </c>
      <c r="AE252" s="115">
        <v>0</v>
      </c>
      <c r="AF252" s="115">
        <v>0</v>
      </c>
      <c r="AG252" s="115">
        <v>0</v>
      </c>
      <c r="AH252" s="115">
        <v>0</v>
      </c>
      <c r="AI252" s="115">
        <v>0</v>
      </c>
      <c r="AJ252" s="115">
        <v>0</v>
      </c>
      <c r="AK252" s="115">
        <v>0</v>
      </c>
      <c r="AL252" s="115">
        <v>0</v>
      </c>
      <c r="AM252" s="115">
        <v>0</v>
      </c>
      <c r="AN252" s="115">
        <v>0</v>
      </c>
      <c r="AO252" s="115">
        <v>0</v>
      </c>
      <c r="AP252" s="115">
        <v>0</v>
      </c>
      <c r="AQ252" s="115">
        <v>0</v>
      </c>
      <c r="AR252" s="115">
        <v>0</v>
      </c>
      <c r="AS252" s="115">
        <v>0</v>
      </c>
      <c r="AT252" s="115">
        <v>0</v>
      </c>
      <c r="AU252" s="115">
        <v>0</v>
      </c>
      <c r="AV252" s="115">
        <v>0</v>
      </c>
      <c r="AW252" s="115">
        <v>0</v>
      </c>
      <c r="AX252" s="115">
        <v>0</v>
      </c>
      <c r="AY252" s="115">
        <v>0</v>
      </c>
    </row>
    <row r="253" spans="1:51" x14ac:dyDescent="0.25">
      <c r="A253" s="114"/>
      <c r="B253" s="135">
        <v>45</v>
      </c>
      <c r="C253" s="111"/>
      <c r="D253" s="115">
        <v>0</v>
      </c>
      <c r="E253" s="115">
        <v>0</v>
      </c>
      <c r="F253" s="115">
        <v>0</v>
      </c>
      <c r="G253" s="115">
        <v>0</v>
      </c>
      <c r="H253" s="115">
        <v>0</v>
      </c>
      <c r="I253" s="115">
        <v>0</v>
      </c>
      <c r="J253" s="115">
        <v>0</v>
      </c>
      <c r="K253" s="115">
        <v>0</v>
      </c>
      <c r="L253" s="115">
        <v>0</v>
      </c>
      <c r="M253" s="115">
        <v>0</v>
      </c>
      <c r="N253" s="115">
        <v>0</v>
      </c>
      <c r="O253" s="115">
        <v>0</v>
      </c>
      <c r="P253" s="115">
        <v>0</v>
      </c>
      <c r="Q253" s="115">
        <v>0</v>
      </c>
      <c r="R253" s="115">
        <v>0</v>
      </c>
      <c r="S253" s="115">
        <v>0</v>
      </c>
      <c r="T253" s="115">
        <v>0</v>
      </c>
      <c r="U253" s="115">
        <v>0</v>
      </c>
      <c r="V253" s="115">
        <v>0</v>
      </c>
      <c r="W253" s="115">
        <v>0</v>
      </c>
      <c r="X253" s="115">
        <v>0</v>
      </c>
      <c r="Y253" s="115">
        <v>0</v>
      </c>
      <c r="Z253" s="115">
        <v>0</v>
      </c>
      <c r="AA253" s="115">
        <v>0</v>
      </c>
      <c r="AB253" s="115">
        <v>0</v>
      </c>
      <c r="AC253" s="115">
        <v>0</v>
      </c>
      <c r="AD253" s="115">
        <v>0</v>
      </c>
      <c r="AE253" s="115">
        <v>0</v>
      </c>
      <c r="AF253" s="115">
        <v>0</v>
      </c>
      <c r="AG253" s="115">
        <v>0</v>
      </c>
      <c r="AH253" s="115">
        <v>0</v>
      </c>
      <c r="AI253" s="115">
        <v>0</v>
      </c>
      <c r="AJ253" s="115">
        <v>0</v>
      </c>
      <c r="AK253" s="115">
        <v>0</v>
      </c>
      <c r="AL253" s="115">
        <v>0</v>
      </c>
      <c r="AM253" s="115">
        <v>0</v>
      </c>
      <c r="AN253" s="115">
        <v>0</v>
      </c>
      <c r="AO253" s="115">
        <v>0</v>
      </c>
      <c r="AP253" s="115">
        <v>0</v>
      </c>
      <c r="AQ253" s="115">
        <v>0</v>
      </c>
      <c r="AR253" s="115">
        <v>0</v>
      </c>
      <c r="AS253" s="115">
        <v>0</v>
      </c>
      <c r="AT253" s="115">
        <v>0</v>
      </c>
      <c r="AU253" s="115">
        <v>0</v>
      </c>
      <c r="AV253" s="115">
        <v>0</v>
      </c>
      <c r="AW253" s="115">
        <v>0</v>
      </c>
      <c r="AX253" s="115">
        <v>0</v>
      </c>
      <c r="AY253" s="115">
        <v>0</v>
      </c>
    </row>
    <row r="254" spans="1:51" x14ac:dyDescent="0.25">
      <c r="A254" s="114"/>
      <c r="B254" s="135">
        <v>46</v>
      </c>
      <c r="C254" s="111"/>
      <c r="D254" s="115">
        <v>0</v>
      </c>
      <c r="E254" s="115">
        <v>0</v>
      </c>
      <c r="F254" s="115">
        <v>0</v>
      </c>
      <c r="G254" s="115">
        <v>0</v>
      </c>
      <c r="H254" s="115">
        <v>0</v>
      </c>
      <c r="I254" s="115">
        <v>0</v>
      </c>
      <c r="J254" s="115">
        <v>0</v>
      </c>
      <c r="K254" s="115">
        <v>0</v>
      </c>
      <c r="L254" s="115">
        <v>0</v>
      </c>
      <c r="M254" s="115">
        <v>0</v>
      </c>
      <c r="N254" s="115">
        <v>0</v>
      </c>
      <c r="O254" s="115">
        <v>0</v>
      </c>
      <c r="P254" s="115">
        <v>0</v>
      </c>
      <c r="Q254" s="115">
        <v>0</v>
      </c>
      <c r="R254" s="115">
        <v>0</v>
      </c>
      <c r="S254" s="115">
        <v>0</v>
      </c>
      <c r="T254" s="115">
        <v>0</v>
      </c>
      <c r="U254" s="115">
        <v>0</v>
      </c>
      <c r="V254" s="115">
        <v>0</v>
      </c>
      <c r="W254" s="115">
        <v>0</v>
      </c>
      <c r="X254" s="115">
        <v>0</v>
      </c>
      <c r="Y254" s="115">
        <v>0</v>
      </c>
      <c r="Z254" s="115">
        <v>0</v>
      </c>
      <c r="AA254" s="115">
        <v>0</v>
      </c>
      <c r="AB254" s="115">
        <v>0</v>
      </c>
      <c r="AC254" s="115">
        <v>0</v>
      </c>
      <c r="AD254" s="115">
        <v>0</v>
      </c>
      <c r="AE254" s="115">
        <v>0</v>
      </c>
      <c r="AF254" s="115">
        <v>0</v>
      </c>
      <c r="AG254" s="115">
        <v>0</v>
      </c>
      <c r="AH254" s="115">
        <v>0</v>
      </c>
      <c r="AI254" s="115">
        <v>0</v>
      </c>
      <c r="AJ254" s="115">
        <v>0</v>
      </c>
      <c r="AK254" s="115">
        <v>0</v>
      </c>
      <c r="AL254" s="115">
        <v>0</v>
      </c>
      <c r="AM254" s="115">
        <v>0</v>
      </c>
      <c r="AN254" s="115">
        <v>0</v>
      </c>
      <c r="AO254" s="115">
        <v>0</v>
      </c>
      <c r="AP254" s="115">
        <v>0</v>
      </c>
      <c r="AQ254" s="115">
        <v>0</v>
      </c>
      <c r="AR254" s="115">
        <v>0</v>
      </c>
      <c r="AS254" s="115">
        <v>0</v>
      </c>
      <c r="AT254" s="115">
        <v>0</v>
      </c>
      <c r="AU254" s="115">
        <v>0</v>
      </c>
      <c r="AV254" s="115">
        <v>0</v>
      </c>
      <c r="AW254" s="115">
        <v>0</v>
      </c>
      <c r="AX254" s="115">
        <v>0</v>
      </c>
      <c r="AY254" s="115">
        <v>0</v>
      </c>
    </row>
    <row r="255" spans="1:51" x14ac:dyDescent="0.25">
      <c r="A255" s="114"/>
      <c r="B255" s="135">
        <v>47</v>
      </c>
      <c r="C255" s="111"/>
      <c r="D255" s="115">
        <v>0</v>
      </c>
      <c r="E255" s="115">
        <v>0</v>
      </c>
      <c r="F255" s="115">
        <v>0</v>
      </c>
      <c r="G255" s="115">
        <v>0</v>
      </c>
      <c r="H255" s="115">
        <v>0</v>
      </c>
      <c r="I255" s="115">
        <v>0</v>
      </c>
      <c r="J255" s="115">
        <v>0</v>
      </c>
      <c r="K255" s="115">
        <v>0</v>
      </c>
      <c r="L255" s="115">
        <v>0</v>
      </c>
      <c r="M255" s="115">
        <v>0</v>
      </c>
      <c r="N255" s="115">
        <v>0</v>
      </c>
      <c r="O255" s="115">
        <v>0</v>
      </c>
      <c r="P255" s="115">
        <v>0</v>
      </c>
      <c r="Q255" s="115">
        <v>0</v>
      </c>
      <c r="R255" s="115">
        <v>0</v>
      </c>
      <c r="S255" s="115">
        <v>0</v>
      </c>
      <c r="T255" s="115">
        <v>0</v>
      </c>
      <c r="U255" s="115">
        <v>0</v>
      </c>
      <c r="V255" s="115">
        <v>0</v>
      </c>
      <c r="W255" s="115">
        <v>0</v>
      </c>
      <c r="X255" s="115">
        <v>0</v>
      </c>
      <c r="Y255" s="115">
        <v>0</v>
      </c>
      <c r="Z255" s="115">
        <v>0</v>
      </c>
      <c r="AA255" s="115">
        <v>0</v>
      </c>
      <c r="AB255" s="115">
        <v>0</v>
      </c>
      <c r="AC255" s="115">
        <v>0</v>
      </c>
      <c r="AD255" s="115">
        <v>0</v>
      </c>
      <c r="AE255" s="115">
        <v>0</v>
      </c>
      <c r="AF255" s="115">
        <v>0</v>
      </c>
      <c r="AG255" s="115">
        <v>0</v>
      </c>
      <c r="AH255" s="115">
        <v>0</v>
      </c>
      <c r="AI255" s="115">
        <v>0</v>
      </c>
      <c r="AJ255" s="115">
        <v>0</v>
      </c>
      <c r="AK255" s="115">
        <v>0</v>
      </c>
      <c r="AL255" s="115">
        <v>0</v>
      </c>
      <c r="AM255" s="115">
        <v>0</v>
      </c>
      <c r="AN255" s="115">
        <v>0</v>
      </c>
      <c r="AO255" s="115">
        <v>0</v>
      </c>
      <c r="AP255" s="115">
        <v>0</v>
      </c>
      <c r="AQ255" s="115">
        <v>0</v>
      </c>
      <c r="AR255" s="115">
        <v>0</v>
      </c>
      <c r="AS255" s="115">
        <v>0</v>
      </c>
      <c r="AT255" s="115">
        <v>0</v>
      </c>
      <c r="AU255" s="115">
        <v>0</v>
      </c>
      <c r="AV255" s="115">
        <v>0</v>
      </c>
      <c r="AW255" s="115">
        <v>0</v>
      </c>
      <c r="AX255" s="115">
        <v>0</v>
      </c>
      <c r="AY255" s="115">
        <v>0</v>
      </c>
    </row>
    <row r="256" spans="1:51" x14ac:dyDescent="0.25">
      <c r="A256" s="133"/>
      <c r="B256" s="134">
        <v>48</v>
      </c>
      <c r="C256" s="119"/>
      <c r="D256" s="130">
        <v>0</v>
      </c>
      <c r="E256" s="130">
        <v>0</v>
      </c>
      <c r="F256" s="130">
        <v>0</v>
      </c>
      <c r="G256" s="130">
        <v>0</v>
      </c>
      <c r="H256" s="130">
        <v>0</v>
      </c>
      <c r="I256" s="130">
        <v>0</v>
      </c>
      <c r="J256" s="130">
        <v>0</v>
      </c>
      <c r="K256" s="130">
        <v>0</v>
      </c>
      <c r="L256" s="130">
        <v>0</v>
      </c>
      <c r="M256" s="130">
        <v>0</v>
      </c>
      <c r="N256" s="130">
        <v>0</v>
      </c>
      <c r="O256" s="130">
        <v>0</v>
      </c>
      <c r="P256" s="130">
        <v>0</v>
      </c>
      <c r="Q256" s="130">
        <v>0</v>
      </c>
      <c r="R256" s="130">
        <v>0</v>
      </c>
      <c r="S256" s="130">
        <v>0</v>
      </c>
      <c r="T256" s="130">
        <v>0</v>
      </c>
      <c r="U256" s="130">
        <v>0</v>
      </c>
      <c r="V256" s="130">
        <v>0</v>
      </c>
      <c r="W256" s="130">
        <v>0</v>
      </c>
      <c r="X256" s="130">
        <v>0</v>
      </c>
      <c r="Y256" s="130">
        <v>0</v>
      </c>
      <c r="Z256" s="130">
        <v>0</v>
      </c>
      <c r="AA256" s="130">
        <v>0</v>
      </c>
      <c r="AB256" s="130">
        <v>0</v>
      </c>
      <c r="AC256" s="130">
        <v>0</v>
      </c>
      <c r="AD256" s="130">
        <v>0</v>
      </c>
      <c r="AE256" s="130">
        <v>0</v>
      </c>
      <c r="AF256" s="130">
        <v>0</v>
      </c>
      <c r="AG256" s="130">
        <v>0</v>
      </c>
      <c r="AH256" s="130">
        <v>0</v>
      </c>
      <c r="AI256" s="130">
        <v>0</v>
      </c>
      <c r="AJ256" s="130">
        <v>0</v>
      </c>
      <c r="AK256" s="130">
        <v>0</v>
      </c>
      <c r="AL256" s="130">
        <v>0</v>
      </c>
      <c r="AM256" s="130">
        <v>0</v>
      </c>
      <c r="AN256" s="130">
        <v>0</v>
      </c>
      <c r="AO256" s="130">
        <v>0</v>
      </c>
      <c r="AP256" s="130">
        <v>0</v>
      </c>
      <c r="AQ256" s="130">
        <v>0</v>
      </c>
      <c r="AR256" s="130">
        <v>0</v>
      </c>
      <c r="AS256" s="130">
        <v>0</v>
      </c>
      <c r="AT256" s="130">
        <v>0</v>
      </c>
      <c r="AU256" s="130">
        <v>0</v>
      </c>
      <c r="AV256" s="130">
        <v>0</v>
      </c>
      <c r="AW256" s="130">
        <v>0</v>
      </c>
      <c r="AX256" s="130">
        <v>0</v>
      </c>
      <c r="AY256" s="130">
        <v>0</v>
      </c>
    </row>
    <row r="258" spans="1:52" x14ac:dyDescent="0.25">
      <c r="A258" s="107" t="s">
        <v>300</v>
      </c>
    </row>
    <row r="259" spans="1:52" x14ac:dyDescent="0.25">
      <c r="A259" s="142" t="s">
        <v>124</v>
      </c>
      <c r="B259" s="143">
        <v>650</v>
      </c>
      <c r="C259" s="129" t="s">
        <v>292</v>
      </c>
      <c r="D259" s="129">
        <f>E$14*$B$259</f>
        <v>0</v>
      </c>
      <c r="E259" s="129">
        <f t="shared" ref="E259:AX259" si="5">F$14*$B$259</f>
        <v>0</v>
      </c>
      <c r="F259" s="129">
        <f t="shared" si="5"/>
        <v>166441.27500000002</v>
      </c>
      <c r="G259" s="129">
        <f t="shared" si="5"/>
        <v>88149.766250000015</v>
      </c>
      <c r="H259" s="129">
        <f t="shared" si="5"/>
        <v>348336.96056250005</v>
      </c>
      <c r="I259" s="129">
        <f t="shared" si="5"/>
        <v>325196.11186562502</v>
      </c>
      <c r="J259" s="129">
        <f t="shared" si="5"/>
        <v>245086.19883625177</v>
      </c>
      <c r="K259" s="129">
        <f t="shared" si="5"/>
        <v>278086.05424356367</v>
      </c>
      <c r="L259" s="129">
        <f t="shared" si="5"/>
        <v>335480.96025831642</v>
      </c>
      <c r="M259" s="129">
        <f t="shared" si="5"/>
        <v>330830.96166790574</v>
      </c>
      <c r="N259" s="129">
        <f t="shared" si="5"/>
        <v>470499.82396054332</v>
      </c>
      <c r="O259" s="129">
        <f t="shared" si="5"/>
        <v>288648.63557435316</v>
      </c>
      <c r="P259" s="129">
        <f t="shared" si="5"/>
        <v>356279.92674692505</v>
      </c>
      <c r="Q259" s="129">
        <f t="shared" si="5"/>
        <v>329431.97738550132</v>
      </c>
      <c r="R259" s="129">
        <f t="shared" si="5"/>
        <v>441625.04667698039</v>
      </c>
      <c r="S259" s="129">
        <f t="shared" si="5"/>
        <v>295911.71784003725</v>
      </c>
      <c r="T259" s="129">
        <f t="shared" si="5"/>
        <v>333262.99271961971</v>
      </c>
      <c r="U259" s="129">
        <f t="shared" si="5"/>
        <v>433650.20664415736</v>
      </c>
      <c r="V259" s="129">
        <f t="shared" si="5"/>
        <v>284885.92294229777</v>
      </c>
      <c r="W259" s="129">
        <f t="shared" si="5"/>
        <v>267045.08628889808</v>
      </c>
      <c r="X259" s="129">
        <f t="shared" si="5"/>
        <v>426723.10608778376</v>
      </c>
      <c r="Y259" s="129">
        <f t="shared" si="5"/>
        <v>211377.95645705948</v>
      </c>
      <c r="Z259" s="129">
        <f t="shared" si="5"/>
        <v>253063.54782068424</v>
      </c>
      <c r="AA259" s="129">
        <f t="shared" si="5"/>
        <v>243272.22995984921</v>
      </c>
      <c r="AB259" s="129">
        <f t="shared" si="5"/>
        <v>374205.31197390205</v>
      </c>
      <c r="AC259" s="129">
        <f t="shared" si="5"/>
        <v>315506.7902830363</v>
      </c>
      <c r="AD259" s="129">
        <f t="shared" si="5"/>
        <v>193743.13980756915</v>
      </c>
      <c r="AE259" s="129">
        <f t="shared" si="5"/>
        <v>158417.71475132444</v>
      </c>
      <c r="AF259" s="129">
        <f t="shared" si="5"/>
        <v>71859.80321195643</v>
      </c>
      <c r="AG259" s="129">
        <f t="shared" si="5"/>
        <v>412266.34887640446</v>
      </c>
      <c r="AH259" s="129">
        <f t="shared" si="5"/>
        <v>202736.41539325847</v>
      </c>
      <c r="AI259" s="129">
        <f t="shared" si="5"/>
        <v>135005.75750561801</v>
      </c>
      <c r="AJ259" s="129">
        <f t="shared" si="5"/>
        <v>296313.01137640449</v>
      </c>
      <c r="AK259" s="129">
        <f t="shared" si="5"/>
        <v>13543.894894662941</v>
      </c>
      <c r="AL259" s="129">
        <f t="shared" si="5"/>
        <v>221779.56362359552</v>
      </c>
      <c r="AM259" s="129">
        <f t="shared" si="5"/>
        <v>129871.73637640451</v>
      </c>
      <c r="AN259" s="129">
        <f t="shared" si="5"/>
        <v>179391.71250000002</v>
      </c>
      <c r="AO259" s="129">
        <f t="shared" si="5"/>
        <v>18768.750000000011</v>
      </c>
      <c r="AP259" s="129">
        <f t="shared" si="5"/>
        <v>166441.27500000002</v>
      </c>
      <c r="AQ259" s="129">
        <f t="shared" si="5"/>
        <v>31719.1875</v>
      </c>
      <c r="AR259" s="129">
        <f t="shared" si="5"/>
        <v>12950.437500000002</v>
      </c>
      <c r="AS259" s="129">
        <f t="shared" si="5"/>
        <v>177109.93862359552</v>
      </c>
      <c r="AT259" s="129">
        <f t="shared" si="5"/>
        <v>142822.1738764045</v>
      </c>
      <c r="AU259" s="129">
        <f t="shared" si="5"/>
        <v>301163.36250000005</v>
      </c>
      <c r="AV259" s="129">
        <f t="shared" si="5"/>
        <v>31719.1875</v>
      </c>
      <c r="AW259" s="129">
        <f t="shared" si="5"/>
        <v>153490.83749999999</v>
      </c>
      <c r="AX259" s="129">
        <f t="shared" si="5"/>
        <v>179391.71250000002</v>
      </c>
      <c r="AY259" s="129">
        <f>AZ$14*$B$259</f>
        <v>31719.1875</v>
      </c>
      <c r="AZ259" s="144">
        <f>SUM($D259:$AY259)</f>
        <v>10705223.716362994</v>
      </c>
    </row>
    <row r="260" spans="1:52" x14ac:dyDescent="0.25">
      <c r="A260" s="145" t="s">
        <v>301</v>
      </c>
      <c r="B260" s="119">
        <v>60</v>
      </c>
      <c r="C260" s="130" t="s">
        <v>292</v>
      </c>
      <c r="D260" s="130">
        <f>(D$175-D$176+D$177-D$178+D$179-D$180+D$181-D$182)*$B$260</f>
        <v>0</v>
      </c>
      <c r="E260" s="130">
        <f t="shared" ref="E260:AY260" si="6">(E$175-E$176+E$177-E$178+E$179-E$180+E$181-E$182)*$B$260</f>
        <v>0</v>
      </c>
      <c r="F260" s="130">
        <f t="shared" si="6"/>
        <v>52307.040000000008</v>
      </c>
      <c r="G260" s="130">
        <f t="shared" si="6"/>
        <v>36802.573499999999</v>
      </c>
      <c r="H260" s="130">
        <f t="shared" si="6"/>
        <v>149858.36902500002</v>
      </c>
      <c r="I260" s="130">
        <f t="shared" si="6"/>
        <v>193564.17236625002</v>
      </c>
      <c r="J260" s="130">
        <f t="shared" si="6"/>
        <v>206908.68356896139</v>
      </c>
      <c r="K260" s="130">
        <f t="shared" si="6"/>
        <v>253000.89306982487</v>
      </c>
      <c r="L260" s="130">
        <f t="shared" si="6"/>
        <v>306606.25174538622</v>
      </c>
      <c r="M260" s="130">
        <f t="shared" si="6"/>
        <v>349617.707384501</v>
      </c>
      <c r="N260" s="130">
        <f t="shared" si="6"/>
        <v>453714.3970190268</v>
      </c>
      <c r="O260" s="130">
        <f t="shared" si="6"/>
        <v>440313.16056236741</v>
      </c>
      <c r="P260" s="130">
        <f t="shared" si="6"/>
        <v>493769.74714643776</v>
      </c>
      <c r="Q260" s="130">
        <f t="shared" si="6"/>
        <v>528131.86939518456</v>
      </c>
      <c r="R260" s="130">
        <f t="shared" si="6"/>
        <v>595081.91107597121</v>
      </c>
      <c r="S260" s="130">
        <f t="shared" si="6"/>
        <v>563451.74719938124</v>
      </c>
      <c r="T260" s="130">
        <f t="shared" si="6"/>
        <v>585360.53721049684</v>
      </c>
      <c r="U260" s="130">
        <f t="shared" si="6"/>
        <v>646740.3501559241</v>
      </c>
      <c r="V260" s="130">
        <f t="shared" si="6"/>
        <v>614799.31288224959</v>
      </c>
      <c r="W260" s="130">
        <f t="shared" si="6"/>
        <v>606574.13434256345</v>
      </c>
      <c r="X260" s="130">
        <f t="shared" si="6"/>
        <v>674609.57482266624</v>
      </c>
      <c r="Y260" s="130">
        <f t="shared" si="6"/>
        <v>616721.96363473311</v>
      </c>
      <c r="Z260" s="130">
        <f t="shared" si="6"/>
        <v>624550.66289347538</v>
      </c>
      <c r="AA260" s="130">
        <f t="shared" si="6"/>
        <v>627523.57684986026</v>
      </c>
      <c r="AB260" s="130">
        <f t="shared" si="6"/>
        <v>673663.77120240917</v>
      </c>
      <c r="AC260" s="130">
        <f t="shared" si="6"/>
        <v>659790.07128156617</v>
      </c>
      <c r="AD260" s="130">
        <f t="shared" si="6"/>
        <v>607065.29286391684</v>
      </c>
      <c r="AE260" s="130">
        <f t="shared" si="6"/>
        <v>601902.70133064711</v>
      </c>
      <c r="AF260" s="130">
        <f t="shared" si="6"/>
        <v>537297.13704634761</v>
      </c>
      <c r="AG260" s="130">
        <f t="shared" si="6"/>
        <v>591302.55658012605</v>
      </c>
      <c r="AH260" s="130">
        <f t="shared" si="6"/>
        <v>519435.65636526333</v>
      </c>
      <c r="AI260" s="130">
        <f t="shared" si="6"/>
        <v>496233.59794953314</v>
      </c>
      <c r="AJ260" s="130">
        <f t="shared" si="6"/>
        <v>483056.77259222971</v>
      </c>
      <c r="AK260" s="130">
        <f t="shared" si="6"/>
        <v>398005.35163717356</v>
      </c>
      <c r="AL260" s="130">
        <f t="shared" si="6"/>
        <v>337816.21883661166</v>
      </c>
      <c r="AM260" s="130">
        <f t="shared" si="6"/>
        <v>289818.5170388589</v>
      </c>
      <c r="AN260" s="130">
        <f t="shared" si="6"/>
        <v>198094.05231975773</v>
      </c>
      <c r="AO260" s="130">
        <f t="shared" si="6"/>
        <v>36355.787319757743</v>
      </c>
      <c r="AP260" s="130">
        <f t="shared" si="6"/>
        <v>0</v>
      </c>
      <c r="AQ260" s="130">
        <f t="shared" si="6"/>
        <v>0</v>
      </c>
      <c r="AR260" s="130">
        <f t="shared" si="6"/>
        <v>0</v>
      </c>
      <c r="AS260" s="130">
        <f t="shared" si="6"/>
        <v>0</v>
      </c>
      <c r="AT260" s="130">
        <f t="shared" si="6"/>
        <v>0</v>
      </c>
      <c r="AU260" s="130">
        <f t="shared" si="6"/>
        <v>0</v>
      </c>
      <c r="AV260" s="130">
        <f t="shared" si="6"/>
        <v>0</v>
      </c>
      <c r="AW260" s="130">
        <f t="shared" si="6"/>
        <v>0</v>
      </c>
      <c r="AX260" s="130">
        <f t="shared" si="6"/>
        <v>0</v>
      </c>
      <c r="AY260" s="130">
        <f t="shared" si="6"/>
        <v>0</v>
      </c>
      <c r="AZ260" s="146">
        <f>SUM($D260:$AY260)</f>
        <v>16049846.12021446</v>
      </c>
    </row>
  </sheetData>
  <pageMargins left="0.75" right="0.75" top="1" bottom="1" header="0.5" footer="0.5"/>
  <pageSetup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B260"/>
  <sheetViews>
    <sheetView workbookViewId="0">
      <pane xSplit="2" ySplit="7" topLeftCell="C8" activePane="bottomRight" state="frozen"/>
      <selection pane="topRight"/>
      <selection pane="bottomLeft"/>
      <selection pane="bottomRight"/>
    </sheetView>
  </sheetViews>
  <sheetFormatPr defaultRowHeight="13.2" x14ac:dyDescent="0.25"/>
  <cols>
    <col min="1" max="1" width="14.6640625" style="105" customWidth="1"/>
    <col min="2" max="2" width="12.6640625" style="105" customWidth="1"/>
    <col min="3" max="16384" width="8.88671875" style="105"/>
  </cols>
  <sheetData>
    <row r="1" spans="1:54" x14ac:dyDescent="0.25">
      <c r="A1" s="107" t="s">
        <v>283</v>
      </c>
    </row>
    <row r="2" spans="1:54" x14ac:dyDescent="0.25">
      <c r="A2" s="105" t="s">
        <v>284</v>
      </c>
      <c r="B2" s="112" t="s">
        <v>59</v>
      </c>
    </row>
    <row r="3" spans="1:54" x14ac:dyDescent="0.25">
      <c r="A3" s="105" t="s">
        <v>285</v>
      </c>
      <c r="B3" s="113">
        <v>51000</v>
      </c>
      <c r="C3" s="114"/>
    </row>
    <row r="4" spans="1:54" x14ac:dyDescent="0.25">
      <c r="B4" s="115"/>
      <c r="C4" s="115"/>
    </row>
    <row r="5" spans="1:54" x14ac:dyDescent="0.25">
      <c r="C5" s="116" t="s">
        <v>286</v>
      </c>
    </row>
    <row r="6" spans="1:54" x14ac:dyDescent="0.25">
      <c r="C6" s="117">
        <v>0</v>
      </c>
      <c r="D6" s="117">
        <v>1</v>
      </c>
      <c r="E6" s="117">
        <v>2</v>
      </c>
      <c r="F6" s="117">
        <v>3</v>
      </c>
      <c r="G6" s="117">
        <v>4</v>
      </c>
      <c r="H6" s="117">
        <v>5</v>
      </c>
      <c r="I6" s="117">
        <v>6</v>
      </c>
      <c r="J6" s="117">
        <v>7</v>
      </c>
      <c r="K6" s="117">
        <v>8</v>
      </c>
      <c r="L6" s="117">
        <v>9</v>
      </c>
      <c r="M6" s="117">
        <v>10</v>
      </c>
      <c r="N6" s="117">
        <v>11</v>
      </c>
      <c r="O6" s="117">
        <v>12</v>
      </c>
      <c r="P6" s="117">
        <v>13</v>
      </c>
      <c r="Q6" s="117">
        <v>14</v>
      </c>
      <c r="R6" s="117">
        <v>15</v>
      </c>
      <c r="S6" s="117">
        <v>16</v>
      </c>
      <c r="T6" s="117">
        <v>17</v>
      </c>
      <c r="U6" s="117">
        <v>18</v>
      </c>
      <c r="V6" s="117">
        <v>19</v>
      </c>
      <c r="W6" s="117">
        <v>20</v>
      </c>
      <c r="X6" s="117">
        <v>21</v>
      </c>
      <c r="Y6" s="117">
        <v>22</v>
      </c>
      <c r="Z6" s="117">
        <v>23</v>
      </c>
      <c r="AA6" s="117">
        <v>24</v>
      </c>
      <c r="AB6" s="117">
        <v>25</v>
      </c>
      <c r="AC6" s="117">
        <v>26</v>
      </c>
      <c r="AD6" s="117">
        <v>27</v>
      </c>
      <c r="AE6" s="117">
        <v>28</v>
      </c>
      <c r="AF6" s="117">
        <v>29</v>
      </c>
      <c r="AG6" s="117">
        <v>30</v>
      </c>
      <c r="AH6" s="117">
        <v>31</v>
      </c>
      <c r="AI6" s="117">
        <v>32</v>
      </c>
      <c r="AJ6" s="117">
        <v>33</v>
      </c>
      <c r="AK6" s="117">
        <v>34</v>
      </c>
      <c r="AL6" s="117">
        <v>35</v>
      </c>
      <c r="AM6" s="117">
        <v>36</v>
      </c>
      <c r="AN6" s="117">
        <v>37</v>
      </c>
      <c r="AO6" s="117">
        <v>38</v>
      </c>
      <c r="AP6" s="117">
        <v>39</v>
      </c>
      <c r="AQ6" s="117">
        <v>40</v>
      </c>
      <c r="AR6" s="117">
        <v>41</v>
      </c>
      <c r="AS6" s="117">
        <v>42</v>
      </c>
      <c r="AT6" s="117">
        <v>43</v>
      </c>
      <c r="AU6" s="117">
        <v>44</v>
      </c>
      <c r="AV6" s="117">
        <v>45</v>
      </c>
      <c r="AW6" s="117">
        <v>46</v>
      </c>
      <c r="AX6" s="117">
        <v>47</v>
      </c>
      <c r="AY6" s="117">
        <v>48</v>
      </c>
    </row>
    <row r="7" spans="1:54" x14ac:dyDescent="0.25">
      <c r="B7" s="115"/>
      <c r="C7" s="118" t="s">
        <v>287</v>
      </c>
      <c r="D7" s="117" t="s">
        <v>288</v>
      </c>
      <c r="E7" s="117" t="s">
        <v>288</v>
      </c>
      <c r="F7" s="117" t="s">
        <v>288</v>
      </c>
      <c r="G7" s="117" t="s">
        <v>288</v>
      </c>
      <c r="H7" s="117" t="s">
        <v>288</v>
      </c>
      <c r="I7" s="117" t="s">
        <v>288</v>
      </c>
      <c r="J7" s="117" t="s">
        <v>288</v>
      </c>
      <c r="K7" s="117" t="s">
        <v>288</v>
      </c>
      <c r="L7" s="117" t="s">
        <v>288</v>
      </c>
      <c r="M7" s="117" t="s">
        <v>288</v>
      </c>
      <c r="N7" s="117" t="s">
        <v>288</v>
      </c>
      <c r="O7" s="117" t="s">
        <v>288</v>
      </c>
      <c r="P7" s="117" t="s">
        <v>288</v>
      </c>
      <c r="Q7" s="117" t="s">
        <v>288</v>
      </c>
      <c r="R7" s="117" t="s">
        <v>288</v>
      </c>
      <c r="S7" s="117" t="s">
        <v>288</v>
      </c>
      <c r="T7" s="117" t="s">
        <v>288</v>
      </c>
      <c r="U7" s="117" t="s">
        <v>288</v>
      </c>
      <c r="V7" s="117" t="s">
        <v>288</v>
      </c>
      <c r="W7" s="117" t="s">
        <v>288</v>
      </c>
      <c r="X7" s="117" t="s">
        <v>288</v>
      </c>
      <c r="Y7" s="117" t="s">
        <v>288</v>
      </c>
      <c r="Z7" s="117" t="s">
        <v>288</v>
      </c>
      <c r="AA7" s="117" t="s">
        <v>288</v>
      </c>
      <c r="AB7" s="117" t="s">
        <v>288</v>
      </c>
      <c r="AC7" s="117" t="s">
        <v>288</v>
      </c>
      <c r="AD7" s="117" t="s">
        <v>288</v>
      </c>
      <c r="AE7" s="117" t="s">
        <v>288</v>
      </c>
      <c r="AF7" s="117" t="s">
        <v>288</v>
      </c>
      <c r="AG7" s="117" t="s">
        <v>288</v>
      </c>
      <c r="AH7" s="117" t="s">
        <v>288</v>
      </c>
      <c r="AI7" s="117" t="s">
        <v>288</v>
      </c>
      <c r="AJ7" s="117" t="s">
        <v>288</v>
      </c>
      <c r="AK7" s="117" t="s">
        <v>288</v>
      </c>
      <c r="AL7" s="117" t="s">
        <v>288</v>
      </c>
      <c r="AM7" s="117" t="s">
        <v>288</v>
      </c>
      <c r="AN7" s="117" t="s">
        <v>288</v>
      </c>
      <c r="AO7" s="117" t="s">
        <v>288</v>
      </c>
      <c r="AP7" s="117" t="s">
        <v>288</v>
      </c>
      <c r="AQ7" s="117" t="s">
        <v>288</v>
      </c>
      <c r="AR7" s="117" t="s">
        <v>288</v>
      </c>
      <c r="AS7" s="117" t="s">
        <v>288</v>
      </c>
      <c r="AT7" s="117" t="s">
        <v>288</v>
      </c>
      <c r="AU7" s="117" t="s">
        <v>288</v>
      </c>
      <c r="AV7" s="117" t="s">
        <v>288</v>
      </c>
      <c r="AW7" s="117" t="s">
        <v>288</v>
      </c>
      <c r="AX7" s="117" t="s">
        <v>288</v>
      </c>
      <c r="AY7" s="116" t="s">
        <v>289</v>
      </c>
      <c r="AZ7" s="116" t="s">
        <v>290</v>
      </c>
    </row>
    <row r="8" spans="1:54" x14ac:dyDescent="0.25">
      <c r="A8" s="107" t="s">
        <v>291</v>
      </c>
      <c r="B8" s="119"/>
      <c r="AY8" s="115"/>
    </row>
    <row r="9" spans="1:54" x14ac:dyDescent="0.25">
      <c r="A9" s="120" t="s">
        <v>125</v>
      </c>
      <c r="B9" s="121">
        <v>1</v>
      </c>
      <c r="C9" s="122" t="s">
        <v>292</v>
      </c>
      <c r="D9" s="122">
        <v>0</v>
      </c>
      <c r="E9" s="122">
        <v>0</v>
      </c>
      <c r="F9" s="122">
        <v>0</v>
      </c>
      <c r="G9" s="122">
        <v>0</v>
      </c>
      <c r="H9" s="122">
        <v>0</v>
      </c>
      <c r="I9" s="122">
        <v>0</v>
      </c>
      <c r="J9" s="122">
        <v>0</v>
      </c>
      <c r="K9" s="122">
        <v>0</v>
      </c>
      <c r="L9" s="122">
        <v>0</v>
      </c>
      <c r="M9" s="122">
        <v>0</v>
      </c>
      <c r="N9" s="122">
        <v>0</v>
      </c>
      <c r="O9" s="122">
        <v>0</v>
      </c>
      <c r="P9" s="122">
        <v>0</v>
      </c>
      <c r="Q9" s="122">
        <v>0</v>
      </c>
      <c r="R9" s="122">
        <v>0</v>
      </c>
      <c r="S9" s="122">
        <v>0</v>
      </c>
      <c r="T9" s="122">
        <v>0</v>
      </c>
      <c r="U9" s="122">
        <v>0</v>
      </c>
      <c r="V9" s="122">
        <v>0</v>
      </c>
      <c r="W9" s="122">
        <v>0</v>
      </c>
      <c r="X9" s="122">
        <v>0</v>
      </c>
      <c r="Y9" s="122">
        <v>0</v>
      </c>
      <c r="Z9" s="122">
        <v>0</v>
      </c>
      <c r="AA9" s="122">
        <v>0</v>
      </c>
      <c r="AB9" s="122">
        <v>0</v>
      </c>
      <c r="AC9" s="122">
        <v>0</v>
      </c>
      <c r="AD9" s="122">
        <v>0</v>
      </c>
      <c r="AE9" s="122">
        <v>0</v>
      </c>
      <c r="AF9" s="122">
        <v>0</v>
      </c>
      <c r="AG9" s="122">
        <v>0</v>
      </c>
      <c r="AH9" s="122">
        <v>0</v>
      </c>
      <c r="AI9" s="122">
        <v>0</v>
      </c>
      <c r="AJ9" s="122">
        <v>0</v>
      </c>
      <c r="AK9" s="122">
        <v>0</v>
      </c>
      <c r="AL9" s="122">
        <v>0</v>
      </c>
      <c r="AM9" s="122">
        <v>0</v>
      </c>
      <c r="AN9" s="122">
        <v>0</v>
      </c>
      <c r="AO9" s="122">
        <v>0</v>
      </c>
      <c r="AP9" s="122">
        <v>0</v>
      </c>
      <c r="AQ9" s="122">
        <v>0</v>
      </c>
      <c r="AR9" s="122">
        <v>0</v>
      </c>
      <c r="AS9" s="122">
        <v>0</v>
      </c>
      <c r="AT9" s="122">
        <v>0</v>
      </c>
      <c r="AU9" s="122">
        <v>0</v>
      </c>
      <c r="AV9" s="122">
        <v>0</v>
      </c>
      <c r="AW9" s="122">
        <v>0</v>
      </c>
      <c r="AX9" s="122">
        <v>0</v>
      </c>
      <c r="AY9" s="122">
        <v>0</v>
      </c>
    </row>
    <row r="10" spans="1:54" x14ac:dyDescent="0.25">
      <c r="A10" s="123" t="s">
        <v>133</v>
      </c>
      <c r="B10" s="124">
        <v>1</v>
      </c>
      <c r="C10" s="111" t="s">
        <v>292</v>
      </c>
      <c r="E10" s="105">
        <v>0</v>
      </c>
      <c r="F10" s="105">
        <v>1247.0625</v>
      </c>
      <c r="G10" s="105">
        <v>147.68791041275799</v>
      </c>
      <c r="H10" s="105">
        <v>1247.0625</v>
      </c>
      <c r="I10" s="105">
        <v>97.03125</v>
      </c>
      <c r="J10" s="105">
        <v>820.20784474671655</v>
      </c>
      <c r="K10" s="105">
        <v>1157.0941604127579</v>
      </c>
      <c r="L10" s="105">
        <v>1238.6804057223264</v>
      </c>
      <c r="M10" s="105">
        <v>1060.0629104127579</v>
      </c>
      <c r="N10" s="105">
        <v>1238.6804057223264</v>
      </c>
      <c r="O10" s="105">
        <v>1060.0629104127579</v>
      </c>
      <c r="P10" s="105">
        <v>1247.0625</v>
      </c>
      <c r="Q10" s="105">
        <v>1060.0629104127579</v>
      </c>
      <c r="R10" s="105">
        <v>811.82575046904299</v>
      </c>
      <c r="S10" s="105">
        <v>1157.0941604127579</v>
      </c>
      <c r="T10" s="105">
        <v>1238.6804057223264</v>
      </c>
      <c r="U10" s="105">
        <v>1157.0941604127579</v>
      </c>
      <c r="V10" s="105">
        <v>1238.6804057223264</v>
      </c>
      <c r="W10" s="105">
        <v>1157.0941604127579</v>
      </c>
      <c r="X10" s="105">
        <v>811.82575046904299</v>
      </c>
      <c r="Y10" s="105">
        <v>147.68791041275799</v>
      </c>
      <c r="Z10" s="105">
        <v>1247.0625</v>
      </c>
      <c r="AA10" s="105">
        <v>50.656660412757979</v>
      </c>
      <c r="AB10" s="105">
        <v>1238.6804057223264</v>
      </c>
      <c r="AC10" s="105">
        <v>1157.0941604127579</v>
      </c>
      <c r="AD10" s="105">
        <v>1247.0625</v>
      </c>
      <c r="AE10" s="105">
        <v>1060.0629104127579</v>
      </c>
      <c r="AF10" s="105">
        <v>1247.0625</v>
      </c>
      <c r="AG10" s="105">
        <v>1157.0941604127579</v>
      </c>
      <c r="AH10" s="105">
        <v>820.20784474671655</v>
      </c>
      <c r="AI10" s="105">
        <v>1060.0629104127579</v>
      </c>
      <c r="AJ10" s="105">
        <v>1238.6804057223264</v>
      </c>
      <c r="AK10" s="105">
        <v>147.68791041275799</v>
      </c>
      <c r="AL10" s="105">
        <v>811.82575046904299</v>
      </c>
      <c r="AM10" s="105">
        <v>147.68791041275799</v>
      </c>
      <c r="AN10" s="105">
        <v>811.82575046904299</v>
      </c>
      <c r="AO10" s="105">
        <v>147.68791041275799</v>
      </c>
      <c r="AP10" s="105">
        <v>1150.03125</v>
      </c>
      <c r="AQ10" s="105">
        <v>1157.0941604127579</v>
      </c>
      <c r="AR10" s="105">
        <v>97.03125</v>
      </c>
      <c r="AS10" s="105">
        <v>723.17659474671655</v>
      </c>
      <c r="AT10" s="105">
        <v>147.68791041275799</v>
      </c>
      <c r="AU10" s="105">
        <v>1150.03125</v>
      </c>
      <c r="AV10" s="105">
        <v>1157.0941604127579</v>
      </c>
      <c r="AW10" s="105">
        <v>820.20784474671655</v>
      </c>
      <c r="AX10" s="105">
        <v>147.68791041275799</v>
      </c>
      <c r="AY10" s="105">
        <v>140.625</v>
      </c>
      <c r="AZ10" s="105">
        <v>721.857410881801</v>
      </c>
    </row>
    <row r="11" spans="1:54" x14ac:dyDescent="0.25">
      <c r="B11" s="124">
        <v>2</v>
      </c>
      <c r="C11" s="111" t="s">
        <v>292</v>
      </c>
      <c r="F11" s="105">
        <v>0</v>
      </c>
      <c r="G11" s="105">
        <v>0</v>
      </c>
      <c r="H11" s="105">
        <v>1009.40625</v>
      </c>
      <c r="I11" s="105">
        <v>0</v>
      </c>
      <c r="K11" s="105">
        <v>426.85465525328345</v>
      </c>
      <c r="M11" s="105">
        <v>8.3820942776735592</v>
      </c>
      <c r="N11" s="105">
        <v>186.99958958724201</v>
      </c>
      <c r="O11" s="105">
        <v>8.3820942776735592</v>
      </c>
      <c r="P11" s="105">
        <v>97.03125</v>
      </c>
      <c r="R11" s="105">
        <v>186.99958958724201</v>
      </c>
      <c r="S11" s="105">
        <v>435.23674953095701</v>
      </c>
      <c r="V11" s="105">
        <v>89.968339587242014</v>
      </c>
      <c r="W11" s="105">
        <v>0</v>
      </c>
      <c r="Y11" s="105">
        <v>426.85465525328345</v>
      </c>
      <c r="Z11" s="105">
        <v>1009.40625</v>
      </c>
      <c r="AA11" s="105">
        <v>0</v>
      </c>
      <c r="AB11" s="105">
        <v>1106.4375</v>
      </c>
      <c r="AC11" s="105">
        <v>8.3820942776735592</v>
      </c>
      <c r="AD11" s="105">
        <v>89.968339587242014</v>
      </c>
      <c r="AF11" s="105">
        <v>186.99958958724201</v>
      </c>
      <c r="AG11" s="105">
        <v>0</v>
      </c>
      <c r="AH11" s="105">
        <v>89.968339587242014</v>
      </c>
      <c r="AI11" s="105">
        <v>426.85465525328345</v>
      </c>
      <c r="AJ11" s="105">
        <v>186.99958958724201</v>
      </c>
      <c r="AK11" s="105">
        <v>8.3820942776735592</v>
      </c>
      <c r="AM11" s="105">
        <v>435.23674953095701</v>
      </c>
      <c r="AN11" s="105">
        <v>89.968339587242014</v>
      </c>
      <c r="AO11" s="105">
        <v>8.3820942776735592</v>
      </c>
      <c r="AP11" s="105">
        <v>89.968339587242014</v>
      </c>
      <c r="AS11" s="105">
        <v>0</v>
      </c>
      <c r="AT11" s="105">
        <v>426.85465525328345</v>
      </c>
      <c r="AU11" s="105">
        <v>1099.3745895872421</v>
      </c>
      <c r="AV11" s="105">
        <v>97.03125</v>
      </c>
      <c r="AZ11" s="105">
        <v>97.03125</v>
      </c>
      <c r="BA11" s="105">
        <v>435.23674953095701</v>
      </c>
    </row>
    <row r="12" spans="1:54" x14ac:dyDescent="0.25">
      <c r="B12" s="125">
        <v>3</v>
      </c>
      <c r="C12" s="111" t="s">
        <v>292</v>
      </c>
      <c r="I12" s="105">
        <v>89.968339587242014</v>
      </c>
      <c r="K12" s="105">
        <v>1009.40625</v>
      </c>
      <c r="M12" s="105">
        <v>89.968339587242014</v>
      </c>
      <c r="Q12" s="105">
        <v>89.968339587242014</v>
      </c>
      <c r="R12" s="105">
        <v>0</v>
      </c>
      <c r="U12" s="105">
        <v>89.968339587242014</v>
      </c>
      <c r="V12" s="105">
        <v>8.3820942776735592</v>
      </c>
      <c r="X12" s="105">
        <v>8.3820942776735592</v>
      </c>
      <c r="Y12" s="105">
        <v>89.968339587242014</v>
      </c>
      <c r="Z12" s="105">
        <v>8.3820942776735592</v>
      </c>
      <c r="AA12" s="105">
        <v>89.968339587242014</v>
      </c>
      <c r="AC12" s="105">
        <v>89.968339587242014</v>
      </c>
      <c r="AJ12" s="105">
        <v>0</v>
      </c>
      <c r="AM12" s="105">
        <v>1099.3745895872421</v>
      </c>
      <c r="AP12" s="105">
        <v>426.85465525328345</v>
      </c>
      <c r="AR12" s="105">
        <v>0</v>
      </c>
      <c r="AS12" s="105">
        <v>89.968339587242014</v>
      </c>
      <c r="AT12" s="105">
        <v>0</v>
      </c>
      <c r="AY12" s="105">
        <v>426.85465525328345</v>
      </c>
      <c r="BB12" s="105">
        <v>89.968339587242014</v>
      </c>
    </row>
    <row r="13" spans="1:54" x14ac:dyDescent="0.25">
      <c r="B13" s="125">
        <v>4</v>
      </c>
      <c r="C13" s="111" t="s">
        <v>292</v>
      </c>
      <c r="H13" s="105">
        <v>0</v>
      </c>
      <c r="Q13" s="105">
        <v>0</v>
      </c>
      <c r="AG13" s="105">
        <v>0</v>
      </c>
      <c r="AY13" s="105">
        <v>89.968339587242014</v>
      </c>
      <c r="BA13" s="105">
        <v>89.968339587242014</v>
      </c>
    </row>
    <row r="14" spans="1:54" x14ac:dyDescent="0.25">
      <c r="A14" s="120" t="s">
        <v>134</v>
      </c>
      <c r="B14" s="126">
        <v>1</v>
      </c>
      <c r="C14" s="122" t="s">
        <v>292</v>
      </c>
      <c r="D14" s="122"/>
      <c r="E14" s="122">
        <f t="shared" ref="E14:AZ14" si="0">D$172*SUM(D$122:D$169)</f>
        <v>0</v>
      </c>
      <c r="F14" s="122">
        <f t="shared" si="0"/>
        <v>0</v>
      </c>
      <c r="G14" s="122">
        <f t="shared" si="0"/>
        <v>597.48150000000021</v>
      </c>
      <c r="H14" s="122">
        <f t="shared" si="0"/>
        <v>376.1718938555349</v>
      </c>
      <c r="I14" s="122">
        <f t="shared" si="0"/>
        <v>1250.0109810060978</v>
      </c>
      <c r="J14" s="122">
        <f t="shared" si="0"/>
        <v>804.80071879842899</v>
      </c>
      <c r="K14" s="122">
        <f t="shared" si="0"/>
        <v>815.64115905762844</v>
      </c>
      <c r="L14" s="122">
        <f t="shared" si="0"/>
        <v>1674.6719804043439</v>
      </c>
      <c r="M14" s="122">
        <f t="shared" si="0"/>
        <v>1596.6023327600096</v>
      </c>
      <c r="N14" s="122">
        <f t="shared" si="0"/>
        <v>1479.4002207968206</v>
      </c>
      <c r="O14" s="122">
        <f t="shared" si="0"/>
        <v>1527.0692701595847</v>
      </c>
      <c r="P14" s="122">
        <f t="shared" si="0"/>
        <v>1410.3488989620791</v>
      </c>
      <c r="Q14" s="122">
        <f t="shared" si="0"/>
        <v>1448.6970343253515</v>
      </c>
      <c r="R14" s="122">
        <f t="shared" si="0"/>
        <v>1366.6458223114789</v>
      </c>
      <c r="S14" s="122">
        <f t="shared" si="0"/>
        <v>1221.6181029827617</v>
      </c>
      <c r="T14" s="122">
        <f t="shared" si="0"/>
        <v>1419.4051984584951</v>
      </c>
      <c r="U14" s="122">
        <f t="shared" si="0"/>
        <v>1390.0789244952075</v>
      </c>
      <c r="V14" s="122">
        <f t="shared" si="0"/>
        <v>1344.9328009218852</v>
      </c>
      <c r="W14" s="122">
        <f t="shared" si="0"/>
        <v>1344.3426517436908</v>
      </c>
      <c r="X14" s="122">
        <f t="shared" si="0"/>
        <v>1274.8993924889339</v>
      </c>
      <c r="Y14" s="122">
        <f t="shared" si="0"/>
        <v>1076.7552969564565</v>
      </c>
      <c r="Z14" s="122">
        <f t="shared" si="0"/>
        <v>834.51550118304738</v>
      </c>
      <c r="AA14" s="122">
        <f t="shared" si="0"/>
        <v>1416.8502802717953</v>
      </c>
      <c r="AB14" s="122">
        <f t="shared" si="0"/>
        <v>762.92768217666708</v>
      </c>
      <c r="AC14" s="122">
        <f t="shared" si="0"/>
        <v>1409.8250389120194</v>
      </c>
      <c r="AD14" s="122">
        <f t="shared" si="0"/>
        <v>1297.3837297956272</v>
      </c>
      <c r="AE14" s="122">
        <f t="shared" si="0"/>
        <v>1221.0357555116232</v>
      </c>
      <c r="AF14" s="122">
        <f t="shared" si="0"/>
        <v>1045.01115993809</v>
      </c>
      <c r="AG14" s="122">
        <f t="shared" si="0"/>
        <v>1124.8323351042241</v>
      </c>
      <c r="AH14" s="122">
        <f t="shared" si="0"/>
        <v>889.6676866732804</v>
      </c>
      <c r="AI14" s="122">
        <f t="shared" si="0"/>
        <v>717.90951932074711</v>
      </c>
      <c r="AJ14" s="122">
        <f t="shared" si="0"/>
        <v>853.88991457537122</v>
      </c>
      <c r="AK14" s="122">
        <f t="shared" si="0"/>
        <v>897.18757111564241</v>
      </c>
      <c r="AL14" s="122">
        <f t="shared" si="0"/>
        <v>90.596794583516584</v>
      </c>
      <c r="AM14" s="122">
        <f t="shared" si="0"/>
        <v>388.95473733583515</v>
      </c>
      <c r="AN14" s="122">
        <f t="shared" si="0"/>
        <v>806.00826266416504</v>
      </c>
      <c r="AO14" s="122">
        <f t="shared" si="0"/>
        <v>455.46493921200778</v>
      </c>
      <c r="AP14" s="122">
        <f t="shared" si="0"/>
        <v>74.774873358348984</v>
      </c>
      <c r="AQ14" s="122">
        <f t="shared" si="0"/>
        <v>798.6083893058161</v>
      </c>
      <c r="AR14" s="122">
        <f t="shared" si="0"/>
        <v>554.37666885553483</v>
      </c>
      <c r="AS14" s="122">
        <f t="shared" si="0"/>
        <v>46.488750000000003</v>
      </c>
      <c r="AT14" s="122">
        <f t="shared" si="0"/>
        <v>389.58677298311471</v>
      </c>
      <c r="AU14" s="122">
        <f t="shared" si="0"/>
        <v>275.26972701688544</v>
      </c>
      <c r="AV14" s="122">
        <f t="shared" si="0"/>
        <v>1077.7153311444654</v>
      </c>
      <c r="AW14" s="122">
        <f t="shared" si="0"/>
        <v>600.86541885553481</v>
      </c>
      <c r="AX14" s="122">
        <f t="shared" si="0"/>
        <v>392.97069183864954</v>
      </c>
      <c r="AY14" s="122">
        <f t="shared" si="0"/>
        <v>70.758918855534716</v>
      </c>
      <c r="AZ14" s="115">
        <f t="shared" si="0"/>
        <v>314.99063930581599</v>
      </c>
      <c r="BA14" s="112">
        <f>SUM($E14:$AZ14)</f>
        <v>42228.04127037814</v>
      </c>
    </row>
    <row r="15" spans="1:54" x14ac:dyDescent="0.25">
      <c r="A15" s="127" t="s">
        <v>123</v>
      </c>
      <c r="B15" s="128">
        <v>1</v>
      </c>
      <c r="C15" s="129" t="s">
        <v>292</v>
      </c>
      <c r="D15" s="129">
        <v>0</v>
      </c>
      <c r="E15" s="129">
        <v>0</v>
      </c>
      <c r="F15" s="129">
        <v>1707.0900000000006</v>
      </c>
      <c r="G15" s="129">
        <v>202.16833958724206</v>
      </c>
      <c r="H15" s="129">
        <v>1707.0900000000006</v>
      </c>
      <c r="I15" s="129">
        <v>132.82500000000002</v>
      </c>
      <c r="J15" s="129">
        <v>1122.7734052532842</v>
      </c>
      <c r="K15" s="129">
        <v>1583.9333395872425</v>
      </c>
      <c r="L15" s="129">
        <v>1695.6158442776741</v>
      </c>
      <c r="M15" s="129">
        <v>1451.1083395872424</v>
      </c>
      <c r="N15" s="129">
        <v>1695.6158442776741</v>
      </c>
      <c r="O15" s="129">
        <v>1451.1083395872424</v>
      </c>
      <c r="P15" s="129">
        <v>1707.0900000000006</v>
      </c>
      <c r="Q15" s="129">
        <v>1451.1083395872424</v>
      </c>
      <c r="R15" s="129">
        <v>1111.2992495309577</v>
      </c>
      <c r="S15" s="129">
        <v>1583.9333395872425</v>
      </c>
      <c r="T15" s="129">
        <v>1695.6158442776741</v>
      </c>
      <c r="U15" s="129">
        <v>1583.9333395872425</v>
      </c>
      <c r="V15" s="129">
        <v>1695.6158442776741</v>
      </c>
      <c r="W15" s="129">
        <v>1583.9333395872425</v>
      </c>
      <c r="X15" s="129">
        <v>1111.2992495309577</v>
      </c>
      <c r="Y15" s="129">
        <v>202.16833958724206</v>
      </c>
      <c r="Z15" s="129">
        <v>1707.0900000000006</v>
      </c>
      <c r="AA15" s="129">
        <v>69.343339587242042</v>
      </c>
      <c r="AB15" s="129">
        <v>1695.6158442776741</v>
      </c>
      <c r="AC15" s="129">
        <v>1583.9333395872425</v>
      </c>
      <c r="AD15" s="129">
        <v>1707.0900000000006</v>
      </c>
      <c r="AE15" s="129">
        <v>1451.1083395872424</v>
      </c>
      <c r="AF15" s="129">
        <v>1707.0900000000006</v>
      </c>
      <c r="AG15" s="129">
        <v>1583.9333395872425</v>
      </c>
      <c r="AH15" s="129">
        <v>1122.7734052532842</v>
      </c>
      <c r="AI15" s="129">
        <v>1451.1083395872424</v>
      </c>
      <c r="AJ15" s="129">
        <v>1695.6158442776741</v>
      </c>
      <c r="AK15" s="129">
        <v>202.16833958724206</v>
      </c>
      <c r="AL15" s="129">
        <v>1111.2992495309577</v>
      </c>
      <c r="AM15" s="129">
        <v>202.16833958724206</v>
      </c>
      <c r="AN15" s="129">
        <v>1111.2992495309577</v>
      </c>
      <c r="AO15" s="129">
        <v>202.16833958724206</v>
      </c>
      <c r="AP15" s="129">
        <v>1574.2650000000003</v>
      </c>
      <c r="AQ15" s="129">
        <v>1583.9333395872425</v>
      </c>
      <c r="AR15" s="129">
        <v>132.82500000000002</v>
      </c>
      <c r="AS15" s="129">
        <v>989.94840525328414</v>
      </c>
      <c r="AT15" s="129">
        <v>202.16833958724206</v>
      </c>
      <c r="AU15" s="129">
        <v>1574.2650000000003</v>
      </c>
      <c r="AV15" s="129">
        <v>1583.9333395872425</v>
      </c>
      <c r="AW15" s="129">
        <v>1122.7734052532842</v>
      </c>
      <c r="AX15" s="129">
        <v>202.16833958724206</v>
      </c>
      <c r="AY15" s="129">
        <v>192.50000000000009</v>
      </c>
      <c r="AZ15" s="105">
        <v>988.14258911819957</v>
      </c>
    </row>
    <row r="16" spans="1:54" x14ac:dyDescent="0.25">
      <c r="A16" s="115"/>
      <c r="B16" s="124">
        <v>2</v>
      </c>
      <c r="C16" s="114" t="s">
        <v>292</v>
      </c>
      <c r="D16" s="111"/>
      <c r="E16" s="115"/>
      <c r="F16" s="115">
        <v>0</v>
      </c>
      <c r="G16" s="115">
        <v>0</v>
      </c>
      <c r="H16" s="115">
        <v>1381.7650000000003</v>
      </c>
      <c r="I16" s="115">
        <v>0</v>
      </c>
      <c r="J16" s="115"/>
      <c r="K16" s="115">
        <v>584.31659474671631</v>
      </c>
      <c r="L16" s="115"/>
      <c r="M16" s="115">
        <v>11.474155722326458</v>
      </c>
      <c r="N16" s="115">
        <v>255.98166041275798</v>
      </c>
      <c r="O16" s="115">
        <v>11.474155722326458</v>
      </c>
      <c r="P16" s="115">
        <v>132.82500000000002</v>
      </c>
      <c r="Q16" s="115"/>
      <c r="R16" s="115">
        <v>255.98166041275798</v>
      </c>
      <c r="S16" s="115">
        <v>595.79075046904279</v>
      </c>
      <c r="T16" s="115"/>
      <c r="U16" s="115"/>
      <c r="V16" s="115">
        <v>123.15666041275796</v>
      </c>
      <c r="W16" s="115">
        <v>0</v>
      </c>
      <c r="X16" s="115"/>
      <c r="Y16" s="115">
        <v>584.31659474671631</v>
      </c>
      <c r="Z16" s="115">
        <v>1381.7650000000003</v>
      </c>
      <c r="AA16" s="115">
        <v>0</v>
      </c>
      <c r="AB16" s="115">
        <v>1514.5900000000004</v>
      </c>
      <c r="AC16" s="115">
        <v>11.474155722326458</v>
      </c>
      <c r="AD16" s="115">
        <v>123.15666041275796</v>
      </c>
      <c r="AE16" s="115"/>
      <c r="AF16" s="115">
        <v>255.98166041275798</v>
      </c>
      <c r="AG16" s="115">
        <v>0</v>
      </c>
      <c r="AH16" s="115">
        <v>123.15666041275796</v>
      </c>
      <c r="AI16" s="115">
        <v>584.31659474671631</v>
      </c>
      <c r="AJ16" s="115">
        <v>255.98166041275798</v>
      </c>
      <c r="AK16" s="115">
        <v>11.474155722326458</v>
      </c>
      <c r="AL16" s="115"/>
      <c r="AM16" s="115">
        <v>595.79075046904279</v>
      </c>
      <c r="AN16" s="115">
        <v>123.15666041275796</v>
      </c>
      <c r="AO16" s="115">
        <v>11.474155722326458</v>
      </c>
      <c r="AP16" s="115">
        <v>123.15666041275796</v>
      </c>
      <c r="AQ16" s="115"/>
      <c r="AR16" s="115"/>
      <c r="AS16" s="115">
        <v>0</v>
      </c>
      <c r="AT16" s="115">
        <v>584.31659474671631</v>
      </c>
      <c r="AU16" s="115">
        <v>1504.9216604127582</v>
      </c>
      <c r="AV16" s="115">
        <v>132.82500000000002</v>
      </c>
      <c r="AW16" s="115"/>
      <c r="AX16" s="115"/>
      <c r="AY16" s="115"/>
      <c r="AZ16" s="105">
        <v>132.82500000000002</v>
      </c>
      <c r="BA16" s="105">
        <v>595.79075046904279</v>
      </c>
    </row>
    <row r="17" spans="1:54" x14ac:dyDescent="0.25">
      <c r="A17" s="115"/>
      <c r="B17" s="124">
        <v>3</v>
      </c>
      <c r="C17" s="114" t="s">
        <v>292</v>
      </c>
      <c r="D17" s="111"/>
      <c r="E17" s="115"/>
      <c r="F17" s="115"/>
      <c r="G17" s="115"/>
      <c r="H17" s="115"/>
      <c r="I17" s="115">
        <v>123.15666041275796</v>
      </c>
      <c r="J17" s="115"/>
      <c r="K17" s="115">
        <v>1381.7650000000003</v>
      </c>
      <c r="L17" s="115"/>
      <c r="M17" s="115">
        <v>123.15666041275796</v>
      </c>
      <c r="N17" s="115"/>
      <c r="O17" s="115"/>
      <c r="P17" s="115"/>
      <c r="Q17" s="115">
        <v>123.15666041275796</v>
      </c>
      <c r="R17" s="115">
        <v>0</v>
      </c>
      <c r="S17" s="115"/>
      <c r="T17" s="115"/>
      <c r="U17" s="115">
        <v>123.15666041275796</v>
      </c>
      <c r="V17" s="115">
        <v>11.474155722326458</v>
      </c>
      <c r="W17" s="115"/>
      <c r="X17" s="115">
        <v>11.474155722326458</v>
      </c>
      <c r="Y17" s="115">
        <v>123.15666041275796</v>
      </c>
      <c r="Z17" s="115">
        <v>11.474155722326458</v>
      </c>
      <c r="AA17" s="115">
        <v>123.15666041275796</v>
      </c>
      <c r="AB17" s="115"/>
      <c r="AC17" s="115">
        <v>123.15666041275796</v>
      </c>
      <c r="AD17" s="115"/>
      <c r="AE17" s="115"/>
      <c r="AF17" s="115"/>
      <c r="AG17" s="115"/>
      <c r="AH17" s="115"/>
      <c r="AI17" s="115"/>
      <c r="AJ17" s="115">
        <v>0</v>
      </c>
      <c r="AK17" s="115"/>
      <c r="AL17" s="115"/>
      <c r="AM17" s="115">
        <v>1504.9216604127582</v>
      </c>
      <c r="AN17" s="115"/>
      <c r="AO17" s="115"/>
      <c r="AP17" s="115">
        <v>584.31659474671631</v>
      </c>
      <c r="AQ17" s="115"/>
      <c r="AR17" s="115">
        <v>0</v>
      </c>
      <c r="AS17" s="115">
        <v>123.15666041275796</v>
      </c>
      <c r="AT17" s="115">
        <v>0</v>
      </c>
      <c r="AU17" s="115"/>
      <c r="AV17" s="115"/>
      <c r="AW17" s="115"/>
      <c r="AX17" s="115"/>
      <c r="AY17" s="115">
        <v>584.31659474671631</v>
      </c>
      <c r="BB17" s="105">
        <v>123.15666041275796</v>
      </c>
    </row>
    <row r="18" spans="1:54" x14ac:dyDescent="0.25">
      <c r="A18" s="130"/>
      <c r="B18" s="121">
        <v>4</v>
      </c>
      <c r="C18" s="130" t="s">
        <v>292</v>
      </c>
      <c r="D18" s="130"/>
      <c r="E18" s="130"/>
      <c r="F18" s="130"/>
      <c r="G18" s="130"/>
      <c r="H18" s="130">
        <v>0</v>
      </c>
      <c r="I18" s="130"/>
      <c r="J18" s="130"/>
      <c r="K18" s="130"/>
      <c r="L18" s="130"/>
      <c r="M18" s="130"/>
      <c r="N18" s="130"/>
      <c r="O18" s="130"/>
      <c r="P18" s="130"/>
      <c r="Q18" s="130">
        <v>0</v>
      </c>
      <c r="R18" s="130"/>
      <c r="S18" s="130"/>
      <c r="T18" s="130"/>
      <c r="U18" s="130"/>
      <c r="V18" s="130"/>
      <c r="W18" s="130"/>
      <c r="X18" s="130"/>
      <c r="Y18" s="130"/>
      <c r="Z18" s="130"/>
      <c r="AA18" s="130"/>
      <c r="AB18" s="130"/>
      <c r="AC18" s="130"/>
      <c r="AD18" s="130"/>
      <c r="AE18" s="130"/>
      <c r="AF18" s="130"/>
      <c r="AG18" s="130">
        <v>0</v>
      </c>
      <c r="AH18" s="130"/>
      <c r="AI18" s="130"/>
      <c r="AJ18" s="130"/>
      <c r="AK18" s="130"/>
      <c r="AL18" s="130"/>
      <c r="AM18" s="130"/>
      <c r="AN18" s="130"/>
      <c r="AO18" s="130"/>
      <c r="AP18" s="130"/>
      <c r="AQ18" s="130"/>
      <c r="AR18" s="130"/>
      <c r="AS18" s="130"/>
      <c r="AT18" s="130"/>
      <c r="AU18" s="130"/>
      <c r="AV18" s="130"/>
      <c r="AW18" s="130"/>
      <c r="AX18" s="130"/>
      <c r="AY18" s="130">
        <v>123.15666041275796</v>
      </c>
      <c r="BA18" s="105">
        <v>123.15666041275796</v>
      </c>
    </row>
    <row r="20" spans="1:54" x14ac:dyDescent="0.25">
      <c r="A20" s="107" t="s">
        <v>293</v>
      </c>
    </row>
    <row r="21" spans="1:54" x14ac:dyDescent="0.25">
      <c r="A21" s="131" t="s">
        <v>125</v>
      </c>
      <c r="B21" s="128">
        <v>1</v>
      </c>
      <c r="C21" s="129" t="s">
        <v>292</v>
      </c>
      <c r="D21" s="129"/>
      <c r="E21" s="129"/>
      <c r="F21" s="129"/>
      <c r="G21" s="129"/>
      <c r="H21" s="129"/>
      <c r="I21" s="129"/>
      <c r="J21" s="129"/>
      <c r="K21" s="129"/>
      <c r="L21" s="129"/>
      <c r="M21" s="129"/>
      <c r="N21" s="129"/>
      <c r="O21" s="129"/>
      <c r="P21" s="129"/>
      <c r="Q21" s="129"/>
      <c r="R21" s="129"/>
      <c r="S21" s="129"/>
      <c r="T21" s="129"/>
      <c r="U21" s="129"/>
      <c r="V21" s="129"/>
      <c r="W21" s="129"/>
      <c r="X21" s="129"/>
      <c r="Y21" s="129"/>
      <c r="Z21" s="129"/>
      <c r="AA21" s="129"/>
      <c r="AB21" s="129"/>
      <c r="AC21" s="129"/>
      <c r="AD21" s="129"/>
      <c r="AE21" s="129"/>
      <c r="AF21" s="129"/>
      <c r="AG21" s="129"/>
      <c r="AH21" s="129"/>
      <c r="AI21" s="129"/>
      <c r="AJ21" s="129"/>
      <c r="AK21" s="129"/>
      <c r="AL21" s="129"/>
      <c r="AM21" s="129"/>
      <c r="AN21" s="129"/>
      <c r="AO21" s="129"/>
      <c r="AP21" s="129"/>
      <c r="AQ21" s="129"/>
      <c r="AR21" s="129"/>
      <c r="AS21" s="129"/>
      <c r="AT21" s="129"/>
      <c r="AU21" s="129"/>
      <c r="AV21" s="129"/>
      <c r="AW21" s="129"/>
      <c r="AX21" s="129"/>
      <c r="AY21" s="129"/>
    </row>
    <row r="22" spans="1:54" x14ac:dyDescent="0.25">
      <c r="A22" s="114"/>
      <c r="B22" s="125">
        <v>2</v>
      </c>
      <c r="C22" s="115" t="s">
        <v>292</v>
      </c>
      <c r="D22" s="115"/>
      <c r="E22" s="115"/>
      <c r="F22" s="115"/>
      <c r="G22" s="115"/>
      <c r="H22" s="115"/>
      <c r="I22" s="115"/>
      <c r="J22" s="115"/>
      <c r="K22" s="115"/>
      <c r="L22" s="115"/>
      <c r="M22" s="115"/>
      <c r="N22" s="115"/>
      <c r="O22" s="115"/>
      <c r="P22" s="115"/>
      <c r="Q22" s="115"/>
      <c r="R22" s="115"/>
      <c r="S22" s="115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115"/>
      <c r="AG22" s="115"/>
      <c r="AH22" s="115"/>
      <c r="AI22" s="115"/>
      <c r="AJ22" s="115"/>
      <c r="AK22" s="115"/>
      <c r="AL22" s="115"/>
      <c r="AM22" s="115"/>
      <c r="AN22" s="115"/>
      <c r="AO22" s="115"/>
      <c r="AP22" s="115"/>
      <c r="AQ22" s="115"/>
      <c r="AR22" s="115"/>
      <c r="AS22" s="115"/>
      <c r="AT22" s="115"/>
      <c r="AU22" s="115"/>
      <c r="AV22" s="115"/>
      <c r="AW22" s="115"/>
      <c r="AX22" s="115"/>
      <c r="AY22" s="115"/>
    </row>
    <row r="23" spans="1:54" x14ac:dyDescent="0.25">
      <c r="A23" s="114"/>
      <c r="B23" s="132">
        <v>3</v>
      </c>
      <c r="C23" s="115" t="s">
        <v>292</v>
      </c>
      <c r="D23" s="115"/>
      <c r="E23" s="115"/>
      <c r="F23" s="115"/>
      <c r="G23" s="115"/>
      <c r="H23" s="115"/>
      <c r="I23" s="115"/>
      <c r="J23" s="115"/>
      <c r="K23" s="115"/>
      <c r="L23" s="115"/>
      <c r="M23" s="115"/>
      <c r="N23" s="115"/>
      <c r="O23" s="115"/>
      <c r="P23" s="115"/>
      <c r="Q23" s="115"/>
      <c r="R23" s="115"/>
      <c r="S23" s="115"/>
      <c r="T23" s="115"/>
      <c r="U23" s="115"/>
      <c r="V23" s="115"/>
      <c r="W23" s="115"/>
      <c r="X23" s="115"/>
      <c r="Y23" s="115"/>
      <c r="Z23" s="115"/>
      <c r="AA23" s="115"/>
      <c r="AB23" s="115"/>
      <c r="AC23" s="115"/>
      <c r="AD23" s="115"/>
      <c r="AE23" s="115"/>
      <c r="AF23" s="115"/>
      <c r="AG23" s="115"/>
      <c r="AH23" s="115"/>
      <c r="AI23" s="115"/>
      <c r="AJ23" s="115"/>
      <c r="AK23" s="115"/>
      <c r="AL23" s="115"/>
      <c r="AM23" s="115"/>
      <c r="AN23" s="115"/>
      <c r="AO23" s="115"/>
      <c r="AP23" s="115"/>
      <c r="AQ23" s="115"/>
      <c r="AR23" s="115"/>
      <c r="AS23" s="115"/>
      <c r="AT23" s="115"/>
      <c r="AU23" s="115"/>
      <c r="AV23" s="115"/>
      <c r="AW23" s="115"/>
      <c r="AX23" s="115"/>
      <c r="AY23" s="115"/>
    </row>
    <row r="24" spans="1:54" x14ac:dyDescent="0.25">
      <c r="A24" s="133"/>
      <c r="B24" s="134">
        <v>4</v>
      </c>
      <c r="C24" s="133" t="s">
        <v>292</v>
      </c>
      <c r="D24" s="130">
        <v>0</v>
      </c>
      <c r="E24" s="130">
        <v>0</v>
      </c>
      <c r="F24" s="130">
        <v>0</v>
      </c>
      <c r="G24" s="130">
        <v>0</v>
      </c>
      <c r="H24" s="130">
        <v>0</v>
      </c>
      <c r="I24" s="130">
        <v>0</v>
      </c>
      <c r="J24" s="130">
        <v>0</v>
      </c>
      <c r="K24" s="130">
        <v>0</v>
      </c>
      <c r="L24" s="130">
        <v>0</v>
      </c>
      <c r="M24" s="130">
        <v>0</v>
      </c>
      <c r="N24" s="130">
        <v>0</v>
      </c>
      <c r="O24" s="130">
        <v>0</v>
      </c>
      <c r="P24" s="130">
        <v>0</v>
      </c>
      <c r="Q24" s="130">
        <v>0</v>
      </c>
      <c r="R24" s="130">
        <v>0</v>
      </c>
      <c r="S24" s="130">
        <v>0</v>
      </c>
      <c r="T24" s="130">
        <v>0</v>
      </c>
      <c r="U24" s="130">
        <v>0</v>
      </c>
      <c r="V24" s="130">
        <v>0</v>
      </c>
      <c r="W24" s="130">
        <v>0</v>
      </c>
      <c r="X24" s="130">
        <v>0</v>
      </c>
      <c r="Y24" s="130">
        <v>0</v>
      </c>
      <c r="Z24" s="130">
        <v>0</v>
      </c>
      <c r="AA24" s="130">
        <v>0</v>
      </c>
      <c r="AB24" s="130">
        <v>0</v>
      </c>
      <c r="AC24" s="130">
        <v>0</v>
      </c>
      <c r="AD24" s="130">
        <v>0</v>
      </c>
      <c r="AE24" s="130">
        <v>0</v>
      </c>
      <c r="AF24" s="130">
        <v>0</v>
      </c>
      <c r="AG24" s="130">
        <v>0</v>
      </c>
      <c r="AH24" s="130">
        <v>0</v>
      </c>
      <c r="AI24" s="130">
        <v>0</v>
      </c>
      <c r="AJ24" s="130">
        <v>0</v>
      </c>
      <c r="AK24" s="130">
        <v>0</v>
      </c>
      <c r="AL24" s="130">
        <v>0</v>
      </c>
      <c r="AM24" s="130">
        <v>0</v>
      </c>
      <c r="AN24" s="130">
        <v>0</v>
      </c>
      <c r="AO24" s="130">
        <v>0</v>
      </c>
      <c r="AP24" s="130">
        <v>0</v>
      </c>
      <c r="AQ24" s="130">
        <v>0</v>
      </c>
      <c r="AR24" s="130">
        <v>0</v>
      </c>
      <c r="AS24" s="130">
        <v>0</v>
      </c>
      <c r="AT24" s="130">
        <v>0</v>
      </c>
      <c r="AU24" s="130">
        <v>0</v>
      </c>
      <c r="AV24" s="130">
        <v>0</v>
      </c>
      <c r="AW24" s="130">
        <v>0</v>
      </c>
      <c r="AX24" s="130">
        <v>0</v>
      </c>
      <c r="AY24" s="130">
        <v>0</v>
      </c>
    </row>
    <row r="25" spans="1:54" x14ac:dyDescent="0.25">
      <c r="A25" s="131" t="s">
        <v>133</v>
      </c>
      <c r="B25" s="128">
        <v>1</v>
      </c>
      <c r="C25" s="114" t="s">
        <v>292</v>
      </c>
      <c r="D25" s="115"/>
      <c r="E25" s="115"/>
      <c r="F25" s="115"/>
      <c r="G25" s="115"/>
      <c r="H25" s="115"/>
      <c r="I25" s="115"/>
      <c r="J25" s="115"/>
      <c r="K25" s="115"/>
      <c r="L25" s="115"/>
      <c r="M25" s="115"/>
      <c r="N25" s="115"/>
      <c r="O25" s="115"/>
      <c r="P25" s="115"/>
      <c r="Q25" s="115"/>
      <c r="R25" s="115"/>
      <c r="S25" s="115"/>
      <c r="T25" s="115"/>
      <c r="U25" s="115"/>
      <c r="V25" s="115"/>
      <c r="W25" s="115"/>
      <c r="X25" s="115"/>
      <c r="Y25" s="115"/>
      <c r="Z25" s="115"/>
      <c r="AA25" s="115"/>
      <c r="AB25" s="115"/>
      <c r="AC25" s="115"/>
      <c r="AD25" s="115"/>
      <c r="AE25" s="115"/>
      <c r="AF25" s="115"/>
      <c r="AG25" s="115"/>
      <c r="AH25" s="115"/>
      <c r="AI25" s="115"/>
      <c r="AJ25" s="115"/>
      <c r="AK25" s="115"/>
      <c r="AL25" s="115"/>
      <c r="AM25" s="115"/>
      <c r="AN25" s="115"/>
      <c r="AO25" s="115"/>
      <c r="AP25" s="115"/>
      <c r="AQ25" s="115"/>
      <c r="AR25" s="115"/>
      <c r="AS25" s="115"/>
      <c r="AT25" s="115"/>
      <c r="AU25" s="115"/>
      <c r="AV25" s="115"/>
      <c r="AW25" s="115"/>
      <c r="AX25" s="115"/>
      <c r="AY25" s="115"/>
    </row>
    <row r="26" spans="1:54" x14ac:dyDescent="0.25">
      <c r="A26" s="114"/>
      <c r="B26" s="124">
        <v>2</v>
      </c>
      <c r="C26" s="114" t="s">
        <v>292</v>
      </c>
      <c r="D26" s="115"/>
      <c r="E26" s="115"/>
      <c r="F26" s="115"/>
      <c r="G26" s="115"/>
      <c r="H26" s="115"/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  <c r="AA26" s="115"/>
      <c r="AB26" s="115"/>
      <c r="AC26" s="115"/>
      <c r="AD26" s="115"/>
      <c r="AE26" s="115"/>
      <c r="AF26" s="115"/>
      <c r="AG26" s="115"/>
      <c r="AH26" s="115"/>
      <c r="AI26" s="115"/>
      <c r="AJ26" s="115"/>
      <c r="AK26" s="115"/>
      <c r="AL26" s="115"/>
      <c r="AM26" s="115"/>
      <c r="AN26" s="115"/>
      <c r="AO26" s="115"/>
      <c r="AP26" s="115"/>
      <c r="AQ26" s="115"/>
      <c r="AR26" s="115"/>
      <c r="AS26" s="115"/>
      <c r="AT26" s="115"/>
      <c r="AU26" s="115"/>
      <c r="AV26" s="115"/>
      <c r="AW26" s="115"/>
      <c r="AX26" s="115"/>
      <c r="AY26" s="115"/>
    </row>
    <row r="27" spans="1:54" x14ac:dyDescent="0.25">
      <c r="A27" s="114"/>
      <c r="B27" s="125">
        <v>3</v>
      </c>
      <c r="C27" s="114" t="s">
        <v>292</v>
      </c>
      <c r="D27" s="115"/>
      <c r="E27" s="115"/>
      <c r="F27" s="115"/>
      <c r="G27" s="115"/>
      <c r="H27" s="115"/>
      <c r="I27" s="115"/>
      <c r="J27" s="115"/>
      <c r="K27" s="115"/>
      <c r="L27" s="115"/>
      <c r="M27" s="115"/>
      <c r="N27" s="115"/>
      <c r="O27" s="115"/>
      <c r="P27" s="115"/>
      <c r="Q27" s="115"/>
      <c r="R27" s="115"/>
      <c r="S27" s="115"/>
      <c r="T27" s="115"/>
      <c r="U27" s="115"/>
      <c r="V27" s="115"/>
      <c r="W27" s="115"/>
      <c r="X27" s="115"/>
      <c r="Y27" s="115"/>
      <c r="Z27" s="115"/>
      <c r="AA27" s="115"/>
      <c r="AB27" s="115"/>
      <c r="AC27" s="115"/>
      <c r="AD27" s="115"/>
      <c r="AE27" s="115"/>
      <c r="AF27" s="115"/>
      <c r="AG27" s="115"/>
      <c r="AH27" s="115"/>
      <c r="AI27" s="115"/>
      <c r="AJ27" s="115"/>
      <c r="AK27" s="115"/>
      <c r="AL27" s="115"/>
      <c r="AM27" s="115"/>
      <c r="AN27" s="115"/>
      <c r="AO27" s="115"/>
      <c r="AP27" s="115"/>
      <c r="AQ27" s="115"/>
      <c r="AR27" s="115"/>
      <c r="AS27" s="115"/>
      <c r="AT27" s="115"/>
      <c r="AU27" s="115"/>
      <c r="AV27" s="115"/>
      <c r="AW27" s="115"/>
      <c r="AX27" s="115"/>
      <c r="AY27" s="115"/>
    </row>
    <row r="28" spans="1:54" x14ac:dyDescent="0.25">
      <c r="A28" s="114"/>
      <c r="B28" s="125">
        <v>4</v>
      </c>
      <c r="C28" s="114" t="s">
        <v>292</v>
      </c>
      <c r="D28" s="115"/>
      <c r="E28" s="115"/>
      <c r="F28" s="115"/>
      <c r="G28" s="115"/>
      <c r="H28" s="115"/>
      <c r="I28" s="115"/>
      <c r="J28" s="115"/>
      <c r="K28" s="115"/>
      <c r="L28" s="115"/>
      <c r="M28" s="115"/>
      <c r="N28" s="115"/>
      <c r="O28" s="115"/>
      <c r="P28" s="115"/>
      <c r="Q28" s="115"/>
      <c r="R28" s="115"/>
      <c r="S28" s="115"/>
      <c r="T28" s="115"/>
      <c r="U28" s="115"/>
      <c r="V28" s="115"/>
      <c r="W28" s="115"/>
      <c r="X28" s="115"/>
      <c r="Y28" s="115"/>
      <c r="Z28" s="115"/>
      <c r="AA28" s="115"/>
      <c r="AB28" s="115"/>
      <c r="AC28" s="115"/>
      <c r="AD28" s="115"/>
      <c r="AE28" s="115"/>
      <c r="AF28" s="115"/>
      <c r="AG28" s="115"/>
      <c r="AH28" s="115"/>
      <c r="AI28" s="115"/>
      <c r="AJ28" s="115"/>
      <c r="AK28" s="115"/>
      <c r="AL28" s="115"/>
      <c r="AM28" s="115"/>
      <c r="AN28" s="115"/>
      <c r="AO28" s="115"/>
      <c r="AP28" s="115"/>
      <c r="AQ28" s="115"/>
      <c r="AR28" s="115"/>
      <c r="AS28" s="115"/>
      <c r="AT28" s="115"/>
      <c r="AU28" s="115"/>
      <c r="AV28" s="115"/>
      <c r="AW28" s="115"/>
      <c r="AX28" s="115"/>
      <c r="AY28" s="115"/>
    </row>
    <row r="29" spans="1:54" x14ac:dyDescent="0.25">
      <c r="A29" s="114"/>
      <c r="B29" s="132">
        <v>5</v>
      </c>
      <c r="C29" s="114" t="s">
        <v>292</v>
      </c>
      <c r="D29" s="115"/>
      <c r="E29" s="115"/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  <c r="AA29" s="115"/>
      <c r="AB29" s="115"/>
      <c r="AC29" s="115"/>
      <c r="AD29" s="115"/>
      <c r="AE29" s="115"/>
      <c r="AF29" s="115"/>
      <c r="AG29" s="115"/>
      <c r="AH29" s="115"/>
      <c r="AI29" s="115"/>
      <c r="AJ29" s="115"/>
      <c r="AK29" s="115"/>
      <c r="AL29" s="115"/>
      <c r="AM29" s="115"/>
      <c r="AN29" s="115"/>
      <c r="AO29" s="115"/>
      <c r="AP29" s="115"/>
      <c r="AQ29" s="115"/>
      <c r="AR29" s="115"/>
      <c r="AS29" s="115"/>
      <c r="AT29" s="115"/>
      <c r="AU29" s="115"/>
      <c r="AV29" s="115"/>
      <c r="AW29" s="115"/>
      <c r="AX29" s="115"/>
      <c r="AY29" s="115"/>
    </row>
    <row r="30" spans="1:54" x14ac:dyDescent="0.25">
      <c r="A30" s="114"/>
      <c r="B30" s="132">
        <v>6</v>
      </c>
      <c r="C30" s="114" t="s">
        <v>292</v>
      </c>
      <c r="D30" s="115"/>
      <c r="E30" s="115"/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  <c r="AA30" s="115"/>
      <c r="AB30" s="115"/>
      <c r="AC30" s="115"/>
      <c r="AD30" s="115"/>
      <c r="AE30" s="115"/>
      <c r="AF30" s="115"/>
      <c r="AG30" s="115"/>
      <c r="AH30" s="115"/>
      <c r="AI30" s="115"/>
      <c r="AJ30" s="115"/>
      <c r="AK30" s="115"/>
      <c r="AL30" s="115"/>
      <c r="AM30" s="115"/>
      <c r="AN30" s="115"/>
      <c r="AO30" s="115"/>
      <c r="AP30" s="115"/>
      <c r="AQ30" s="115"/>
      <c r="AR30" s="115"/>
      <c r="AS30" s="115"/>
      <c r="AT30" s="115"/>
      <c r="AU30" s="115"/>
      <c r="AV30" s="115"/>
      <c r="AW30" s="115"/>
      <c r="AX30" s="115"/>
      <c r="AY30" s="115"/>
    </row>
    <row r="31" spans="1:54" x14ac:dyDescent="0.25">
      <c r="A31" s="114"/>
      <c r="B31" s="135">
        <v>7</v>
      </c>
      <c r="C31" s="114" t="s">
        <v>292</v>
      </c>
      <c r="D31" s="115"/>
      <c r="E31" s="115"/>
      <c r="F31" s="115"/>
      <c r="G31" s="115"/>
      <c r="H31" s="115"/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  <c r="AA31" s="115"/>
      <c r="AB31" s="115"/>
      <c r="AC31" s="115"/>
      <c r="AD31" s="115"/>
      <c r="AE31" s="115"/>
      <c r="AF31" s="115"/>
      <c r="AG31" s="115"/>
      <c r="AH31" s="115"/>
      <c r="AI31" s="115"/>
      <c r="AJ31" s="115"/>
      <c r="AK31" s="115"/>
      <c r="AL31" s="115"/>
      <c r="AM31" s="115"/>
      <c r="AN31" s="115"/>
      <c r="AO31" s="115"/>
      <c r="AP31" s="115"/>
      <c r="AQ31" s="115"/>
      <c r="AR31" s="115"/>
      <c r="AS31" s="115"/>
      <c r="AT31" s="115"/>
      <c r="AU31" s="115"/>
      <c r="AV31" s="115"/>
      <c r="AW31" s="115"/>
      <c r="AX31" s="115"/>
      <c r="AY31" s="115"/>
    </row>
    <row r="32" spans="1:54" x14ac:dyDescent="0.25">
      <c r="A32" s="133"/>
      <c r="B32" s="134">
        <v>8</v>
      </c>
      <c r="C32" s="133" t="s">
        <v>292</v>
      </c>
      <c r="D32" s="130">
        <v>0</v>
      </c>
      <c r="E32" s="130">
        <v>0</v>
      </c>
      <c r="F32" s="130">
        <v>0</v>
      </c>
      <c r="G32" s="130">
        <v>0</v>
      </c>
      <c r="H32" s="130">
        <v>0</v>
      </c>
      <c r="I32" s="130">
        <v>0</v>
      </c>
      <c r="J32" s="130">
        <v>0</v>
      </c>
      <c r="K32" s="130">
        <v>0</v>
      </c>
      <c r="L32" s="130">
        <v>0</v>
      </c>
      <c r="M32" s="130">
        <v>0</v>
      </c>
      <c r="N32" s="130">
        <v>0</v>
      </c>
      <c r="O32" s="130">
        <v>0</v>
      </c>
      <c r="P32" s="130">
        <v>0</v>
      </c>
      <c r="Q32" s="130">
        <v>0</v>
      </c>
      <c r="R32" s="130">
        <v>0</v>
      </c>
      <c r="S32" s="130">
        <v>0</v>
      </c>
      <c r="T32" s="130">
        <v>0</v>
      </c>
      <c r="U32" s="130">
        <v>0</v>
      </c>
      <c r="V32" s="130">
        <v>0</v>
      </c>
      <c r="W32" s="130">
        <v>0</v>
      </c>
      <c r="X32" s="130">
        <v>0</v>
      </c>
      <c r="Y32" s="130">
        <v>0</v>
      </c>
      <c r="Z32" s="130">
        <v>0</v>
      </c>
      <c r="AA32" s="130">
        <v>0</v>
      </c>
      <c r="AB32" s="130">
        <v>0</v>
      </c>
      <c r="AC32" s="130">
        <v>0</v>
      </c>
      <c r="AD32" s="130">
        <v>0</v>
      </c>
      <c r="AE32" s="130">
        <v>0</v>
      </c>
      <c r="AF32" s="130">
        <v>0</v>
      </c>
      <c r="AG32" s="130">
        <v>0</v>
      </c>
      <c r="AH32" s="130">
        <v>0</v>
      </c>
      <c r="AI32" s="130">
        <v>0</v>
      </c>
      <c r="AJ32" s="130">
        <v>0</v>
      </c>
      <c r="AK32" s="130">
        <v>0</v>
      </c>
      <c r="AL32" s="130">
        <v>0</v>
      </c>
      <c r="AM32" s="130">
        <v>0</v>
      </c>
      <c r="AN32" s="130">
        <v>0</v>
      </c>
      <c r="AO32" s="130">
        <v>0</v>
      </c>
      <c r="AP32" s="130">
        <v>0</v>
      </c>
      <c r="AQ32" s="130">
        <v>0</v>
      </c>
      <c r="AR32" s="130">
        <v>0</v>
      </c>
      <c r="AS32" s="130">
        <v>0</v>
      </c>
      <c r="AT32" s="130">
        <v>0</v>
      </c>
      <c r="AU32" s="130">
        <v>0</v>
      </c>
      <c r="AV32" s="130">
        <v>0</v>
      </c>
      <c r="AW32" s="130">
        <v>0</v>
      </c>
      <c r="AX32" s="130">
        <v>0</v>
      </c>
      <c r="AY32" s="130">
        <v>0</v>
      </c>
    </row>
    <row r="33" spans="1:51" x14ac:dyDescent="0.25">
      <c r="A33" s="136" t="s">
        <v>134</v>
      </c>
      <c r="B33" s="124">
        <v>1</v>
      </c>
      <c r="C33" s="114" t="s">
        <v>292</v>
      </c>
      <c r="D33" s="111"/>
      <c r="E33" s="111"/>
      <c r="F33" s="111"/>
      <c r="G33" s="111"/>
      <c r="H33" s="111"/>
      <c r="I33" s="111"/>
      <c r="J33" s="111"/>
      <c r="K33" s="111"/>
      <c r="L33" s="111"/>
      <c r="M33" s="111"/>
      <c r="N33" s="111"/>
      <c r="O33" s="111"/>
      <c r="P33" s="111"/>
      <c r="Q33" s="111"/>
      <c r="R33" s="111"/>
      <c r="S33" s="111"/>
      <c r="T33" s="111"/>
      <c r="U33" s="111"/>
      <c r="V33" s="111"/>
      <c r="W33" s="111"/>
      <c r="X33" s="111"/>
      <c r="Y33" s="111"/>
      <c r="Z33" s="111"/>
      <c r="AA33" s="111"/>
      <c r="AB33" s="111"/>
      <c r="AC33" s="111"/>
      <c r="AD33" s="111"/>
      <c r="AE33" s="111"/>
      <c r="AF33" s="111"/>
      <c r="AG33" s="111"/>
      <c r="AH33" s="111"/>
      <c r="AI33" s="111"/>
      <c r="AJ33" s="111"/>
      <c r="AK33" s="111"/>
      <c r="AL33" s="111"/>
      <c r="AM33" s="111"/>
      <c r="AN33" s="111"/>
      <c r="AO33" s="111"/>
      <c r="AP33" s="111"/>
      <c r="AQ33" s="111"/>
      <c r="AR33" s="111"/>
      <c r="AS33" s="111"/>
      <c r="AT33" s="111"/>
      <c r="AU33" s="111"/>
      <c r="AV33" s="111"/>
      <c r="AW33" s="111"/>
      <c r="AX33" s="111"/>
      <c r="AY33" s="111"/>
    </row>
    <row r="34" spans="1:51" x14ac:dyDescent="0.25">
      <c r="A34" s="114"/>
      <c r="B34" s="124">
        <v>2</v>
      </c>
      <c r="C34" s="114" t="s">
        <v>292</v>
      </c>
      <c r="D34" s="111"/>
      <c r="E34" s="111"/>
      <c r="F34" s="111"/>
      <c r="G34" s="111"/>
      <c r="H34" s="111"/>
      <c r="I34" s="111"/>
      <c r="J34" s="111"/>
      <c r="K34" s="111"/>
      <c r="L34" s="111"/>
      <c r="M34" s="111"/>
      <c r="N34" s="111"/>
      <c r="O34" s="111"/>
      <c r="P34" s="111"/>
      <c r="Q34" s="111"/>
      <c r="R34" s="111"/>
      <c r="S34" s="111"/>
      <c r="T34" s="111"/>
      <c r="U34" s="111"/>
      <c r="V34" s="111"/>
      <c r="W34" s="111"/>
      <c r="X34" s="111"/>
      <c r="Y34" s="111"/>
      <c r="Z34" s="111"/>
      <c r="AA34" s="111"/>
      <c r="AB34" s="111"/>
      <c r="AC34" s="111"/>
      <c r="AD34" s="111"/>
      <c r="AE34" s="111"/>
      <c r="AF34" s="111"/>
      <c r="AG34" s="111"/>
      <c r="AH34" s="111"/>
      <c r="AI34" s="111"/>
      <c r="AJ34" s="111"/>
      <c r="AK34" s="111"/>
      <c r="AL34" s="111"/>
      <c r="AM34" s="111"/>
      <c r="AN34" s="111"/>
      <c r="AO34" s="111"/>
      <c r="AP34" s="111"/>
      <c r="AQ34" s="111"/>
      <c r="AR34" s="111"/>
      <c r="AS34" s="111"/>
      <c r="AT34" s="111"/>
      <c r="AU34" s="111"/>
      <c r="AV34" s="111"/>
      <c r="AW34" s="111"/>
      <c r="AX34" s="111"/>
      <c r="AY34" s="111"/>
    </row>
    <row r="35" spans="1:51" x14ac:dyDescent="0.25">
      <c r="A35" s="114"/>
      <c r="B35" s="124">
        <v>3</v>
      </c>
      <c r="C35" s="114" t="s">
        <v>292</v>
      </c>
      <c r="D35" s="111"/>
      <c r="E35" s="111"/>
      <c r="F35" s="111"/>
      <c r="G35" s="111"/>
      <c r="H35" s="111"/>
      <c r="I35" s="111"/>
      <c r="J35" s="111"/>
      <c r="K35" s="111"/>
      <c r="L35" s="111"/>
      <c r="M35" s="111"/>
      <c r="N35" s="111"/>
      <c r="O35" s="111"/>
      <c r="P35" s="111"/>
      <c r="Q35" s="111"/>
      <c r="R35" s="111"/>
      <c r="S35" s="111"/>
      <c r="T35" s="111"/>
      <c r="U35" s="111"/>
      <c r="V35" s="111"/>
      <c r="W35" s="111"/>
      <c r="X35" s="111"/>
      <c r="Y35" s="111"/>
      <c r="Z35" s="111"/>
      <c r="AA35" s="111"/>
      <c r="AB35" s="111"/>
      <c r="AC35" s="111"/>
      <c r="AD35" s="111"/>
      <c r="AE35" s="111"/>
      <c r="AF35" s="111"/>
      <c r="AG35" s="111"/>
      <c r="AH35" s="111"/>
      <c r="AI35" s="111"/>
      <c r="AJ35" s="111"/>
      <c r="AK35" s="111"/>
      <c r="AL35" s="111"/>
      <c r="AM35" s="111"/>
      <c r="AN35" s="111"/>
      <c r="AO35" s="111"/>
      <c r="AP35" s="111"/>
      <c r="AQ35" s="111"/>
      <c r="AR35" s="111"/>
      <c r="AS35" s="111"/>
      <c r="AT35" s="111"/>
      <c r="AU35" s="111"/>
      <c r="AV35" s="111"/>
      <c r="AW35" s="111"/>
      <c r="AX35" s="111"/>
      <c r="AY35" s="111"/>
    </row>
    <row r="36" spans="1:51" x14ac:dyDescent="0.25">
      <c r="A36" s="114"/>
      <c r="B36" s="125">
        <v>4</v>
      </c>
      <c r="C36" s="114" t="s">
        <v>292</v>
      </c>
      <c r="D36" s="111"/>
      <c r="E36" s="111"/>
      <c r="F36" s="111"/>
      <c r="G36" s="111"/>
      <c r="H36" s="111"/>
      <c r="I36" s="111"/>
      <c r="J36" s="111"/>
      <c r="K36" s="111"/>
      <c r="L36" s="111"/>
      <c r="M36" s="111"/>
      <c r="N36" s="111"/>
      <c r="O36" s="111"/>
      <c r="P36" s="111"/>
      <c r="Q36" s="111"/>
      <c r="R36" s="111"/>
      <c r="S36" s="111"/>
      <c r="T36" s="111"/>
      <c r="U36" s="111"/>
      <c r="V36" s="111"/>
      <c r="W36" s="111"/>
      <c r="X36" s="111"/>
      <c r="Y36" s="111"/>
      <c r="Z36" s="111"/>
      <c r="AA36" s="111"/>
      <c r="AB36" s="111"/>
      <c r="AC36" s="111"/>
      <c r="AD36" s="111"/>
      <c r="AE36" s="111"/>
      <c r="AF36" s="111"/>
      <c r="AG36" s="111"/>
      <c r="AH36" s="111"/>
      <c r="AI36" s="111"/>
      <c r="AJ36" s="111"/>
      <c r="AK36" s="111"/>
      <c r="AL36" s="111"/>
      <c r="AM36" s="111"/>
      <c r="AN36" s="111"/>
      <c r="AO36" s="111"/>
      <c r="AP36" s="111"/>
      <c r="AQ36" s="111"/>
      <c r="AR36" s="111"/>
      <c r="AS36" s="111"/>
      <c r="AT36" s="111"/>
      <c r="AU36" s="111"/>
      <c r="AV36" s="111"/>
      <c r="AW36" s="111"/>
      <c r="AX36" s="111"/>
      <c r="AY36" s="111"/>
    </row>
    <row r="37" spans="1:51" x14ac:dyDescent="0.25">
      <c r="A37" s="114"/>
      <c r="B37" s="125">
        <v>5</v>
      </c>
      <c r="C37" s="114" t="s">
        <v>292</v>
      </c>
      <c r="D37" s="111"/>
      <c r="E37" s="111"/>
      <c r="F37" s="111"/>
      <c r="G37" s="111"/>
      <c r="H37" s="111"/>
      <c r="I37" s="111"/>
      <c r="J37" s="111"/>
      <c r="K37" s="111"/>
      <c r="L37" s="111"/>
      <c r="M37" s="111"/>
      <c r="N37" s="111"/>
      <c r="O37" s="111"/>
      <c r="P37" s="111"/>
      <c r="Q37" s="111"/>
      <c r="R37" s="111"/>
      <c r="S37" s="111"/>
      <c r="T37" s="111"/>
      <c r="U37" s="111"/>
      <c r="V37" s="111"/>
      <c r="W37" s="111"/>
      <c r="X37" s="111"/>
      <c r="Y37" s="111"/>
      <c r="Z37" s="111"/>
      <c r="AA37" s="111"/>
      <c r="AB37" s="111"/>
      <c r="AC37" s="111"/>
      <c r="AD37" s="111"/>
      <c r="AE37" s="111"/>
      <c r="AF37" s="111"/>
      <c r="AG37" s="111"/>
      <c r="AH37" s="111"/>
      <c r="AI37" s="111"/>
      <c r="AJ37" s="111"/>
      <c r="AK37" s="111"/>
      <c r="AL37" s="111"/>
      <c r="AM37" s="111"/>
      <c r="AN37" s="111"/>
      <c r="AO37" s="111"/>
      <c r="AP37" s="111"/>
      <c r="AQ37" s="111"/>
      <c r="AR37" s="111"/>
      <c r="AS37" s="111"/>
      <c r="AT37" s="111"/>
      <c r="AU37" s="111"/>
      <c r="AV37" s="111"/>
      <c r="AW37" s="111"/>
      <c r="AX37" s="111"/>
      <c r="AY37" s="111"/>
    </row>
    <row r="38" spans="1:51" x14ac:dyDescent="0.25">
      <c r="A38" s="114"/>
      <c r="B38" s="125">
        <v>6</v>
      </c>
      <c r="C38" s="114" t="s">
        <v>292</v>
      </c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1"/>
      <c r="O38" s="111"/>
      <c r="P38" s="111"/>
      <c r="Q38" s="111"/>
      <c r="R38" s="111"/>
      <c r="S38" s="111"/>
      <c r="T38" s="111"/>
      <c r="U38" s="111"/>
      <c r="V38" s="111"/>
      <c r="W38" s="111"/>
      <c r="X38" s="111"/>
      <c r="Y38" s="111"/>
      <c r="Z38" s="111"/>
      <c r="AA38" s="111"/>
      <c r="AB38" s="111"/>
      <c r="AC38" s="111"/>
      <c r="AD38" s="111"/>
      <c r="AE38" s="111"/>
      <c r="AF38" s="111"/>
      <c r="AG38" s="111"/>
      <c r="AH38" s="111"/>
      <c r="AI38" s="111"/>
      <c r="AJ38" s="111"/>
      <c r="AK38" s="111"/>
      <c r="AL38" s="111"/>
      <c r="AM38" s="111"/>
      <c r="AN38" s="111"/>
      <c r="AO38" s="111"/>
      <c r="AP38" s="111"/>
      <c r="AQ38" s="111"/>
      <c r="AR38" s="111"/>
      <c r="AS38" s="111"/>
      <c r="AT38" s="111"/>
      <c r="AU38" s="111"/>
      <c r="AV38" s="111"/>
      <c r="AW38" s="111"/>
      <c r="AX38" s="111"/>
      <c r="AY38" s="111"/>
    </row>
    <row r="39" spans="1:51" x14ac:dyDescent="0.25">
      <c r="A39" s="114"/>
      <c r="B39" s="132">
        <v>7</v>
      </c>
      <c r="C39" s="114" t="s">
        <v>292</v>
      </c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1"/>
      <c r="O39" s="111"/>
      <c r="P39" s="111"/>
      <c r="Q39" s="111"/>
      <c r="R39" s="111"/>
      <c r="S39" s="111"/>
      <c r="T39" s="111"/>
      <c r="U39" s="111"/>
      <c r="V39" s="111"/>
      <c r="W39" s="111"/>
      <c r="X39" s="111"/>
      <c r="Y39" s="111"/>
      <c r="Z39" s="111"/>
      <c r="AA39" s="111"/>
      <c r="AB39" s="111"/>
      <c r="AC39" s="111"/>
      <c r="AD39" s="111"/>
      <c r="AE39" s="111"/>
      <c r="AF39" s="111"/>
      <c r="AG39" s="111"/>
      <c r="AH39" s="111"/>
      <c r="AI39" s="111"/>
      <c r="AJ39" s="111"/>
      <c r="AK39" s="111"/>
      <c r="AL39" s="111"/>
      <c r="AM39" s="111"/>
      <c r="AN39" s="111"/>
      <c r="AO39" s="111"/>
      <c r="AP39" s="111"/>
      <c r="AQ39" s="111"/>
      <c r="AR39" s="111"/>
      <c r="AS39" s="111"/>
      <c r="AT39" s="111"/>
      <c r="AU39" s="111"/>
      <c r="AV39" s="111"/>
      <c r="AW39" s="111"/>
      <c r="AX39" s="111"/>
      <c r="AY39" s="111"/>
    </row>
    <row r="40" spans="1:51" x14ac:dyDescent="0.25">
      <c r="A40" s="114"/>
      <c r="B40" s="132">
        <v>8</v>
      </c>
      <c r="C40" s="114" t="s">
        <v>292</v>
      </c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1"/>
      <c r="O40" s="111"/>
      <c r="P40" s="111"/>
      <c r="Q40" s="111"/>
      <c r="R40" s="111"/>
      <c r="S40" s="111"/>
      <c r="T40" s="111"/>
      <c r="U40" s="111"/>
      <c r="V40" s="111"/>
      <c r="W40" s="111"/>
      <c r="X40" s="111"/>
      <c r="Y40" s="111"/>
      <c r="Z40" s="111"/>
      <c r="AA40" s="111"/>
      <c r="AB40" s="111"/>
      <c r="AC40" s="111"/>
      <c r="AD40" s="111"/>
      <c r="AE40" s="111"/>
      <c r="AF40" s="111"/>
      <c r="AG40" s="111"/>
      <c r="AH40" s="111"/>
      <c r="AI40" s="111"/>
      <c r="AJ40" s="111"/>
      <c r="AK40" s="111"/>
      <c r="AL40" s="111"/>
      <c r="AM40" s="111"/>
      <c r="AN40" s="111"/>
      <c r="AO40" s="111"/>
      <c r="AP40" s="111"/>
      <c r="AQ40" s="111"/>
      <c r="AR40" s="111"/>
      <c r="AS40" s="111"/>
      <c r="AT40" s="111"/>
      <c r="AU40" s="111"/>
      <c r="AV40" s="111"/>
      <c r="AW40" s="111"/>
      <c r="AX40" s="111"/>
      <c r="AY40" s="111"/>
    </row>
    <row r="41" spans="1:51" x14ac:dyDescent="0.25">
      <c r="A41" s="114"/>
      <c r="B41" s="132">
        <v>9</v>
      </c>
      <c r="C41" s="114" t="s">
        <v>292</v>
      </c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1"/>
      <c r="O41" s="111"/>
      <c r="P41" s="111"/>
      <c r="Q41" s="111"/>
      <c r="R41" s="111"/>
      <c r="S41" s="111"/>
      <c r="T41" s="111"/>
      <c r="U41" s="111"/>
      <c r="V41" s="111"/>
      <c r="W41" s="111"/>
      <c r="X41" s="111"/>
      <c r="Y41" s="111"/>
      <c r="Z41" s="111"/>
      <c r="AA41" s="111"/>
      <c r="AB41" s="111"/>
      <c r="AC41" s="111"/>
      <c r="AD41" s="111"/>
      <c r="AE41" s="111"/>
      <c r="AF41" s="111"/>
      <c r="AG41" s="111"/>
      <c r="AH41" s="111"/>
      <c r="AI41" s="111"/>
      <c r="AJ41" s="111"/>
      <c r="AK41" s="111"/>
      <c r="AL41" s="111"/>
      <c r="AM41" s="111"/>
      <c r="AN41" s="111"/>
      <c r="AO41" s="111"/>
      <c r="AP41" s="111"/>
      <c r="AQ41" s="111"/>
      <c r="AR41" s="111"/>
      <c r="AS41" s="111"/>
      <c r="AT41" s="111"/>
      <c r="AU41" s="111"/>
      <c r="AV41" s="111"/>
      <c r="AW41" s="111"/>
      <c r="AX41" s="111"/>
      <c r="AY41" s="111"/>
    </row>
    <row r="42" spans="1:51" x14ac:dyDescent="0.25">
      <c r="A42" s="114"/>
      <c r="B42" s="135">
        <v>10</v>
      </c>
      <c r="C42" s="114" t="s">
        <v>292</v>
      </c>
      <c r="D42" s="111"/>
      <c r="E42" s="111"/>
      <c r="F42" s="111"/>
      <c r="G42" s="111"/>
      <c r="H42" s="111"/>
      <c r="I42" s="111"/>
      <c r="J42" s="111"/>
      <c r="K42" s="111"/>
      <c r="L42" s="111"/>
      <c r="M42" s="111"/>
      <c r="N42" s="111"/>
      <c r="O42" s="111"/>
      <c r="P42" s="111"/>
      <c r="Q42" s="111"/>
      <c r="R42" s="111"/>
      <c r="S42" s="111"/>
      <c r="T42" s="111"/>
      <c r="U42" s="111"/>
      <c r="V42" s="111"/>
      <c r="W42" s="111"/>
      <c r="X42" s="111"/>
      <c r="Y42" s="111"/>
      <c r="Z42" s="111"/>
      <c r="AA42" s="111"/>
      <c r="AB42" s="111"/>
      <c r="AC42" s="111"/>
      <c r="AD42" s="111"/>
      <c r="AE42" s="111"/>
      <c r="AF42" s="111"/>
      <c r="AG42" s="111"/>
      <c r="AH42" s="111"/>
      <c r="AI42" s="111"/>
      <c r="AJ42" s="111"/>
      <c r="AK42" s="111"/>
      <c r="AL42" s="111"/>
      <c r="AM42" s="111"/>
      <c r="AN42" s="111"/>
      <c r="AO42" s="111"/>
      <c r="AP42" s="111"/>
      <c r="AQ42" s="111"/>
      <c r="AR42" s="111"/>
      <c r="AS42" s="111"/>
      <c r="AT42" s="111"/>
      <c r="AU42" s="111"/>
      <c r="AV42" s="111"/>
      <c r="AW42" s="111"/>
      <c r="AX42" s="111"/>
      <c r="AY42" s="111"/>
    </row>
    <row r="43" spans="1:51" x14ac:dyDescent="0.25">
      <c r="A43" s="114"/>
      <c r="B43" s="135">
        <v>11</v>
      </c>
      <c r="C43" s="114" t="s">
        <v>292</v>
      </c>
      <c r="D43" s="111"/>
      <c r="E43" s="111"/>
      <c r="F43" s="111"/>
      <c r="G43" s="111"/>
      <c r="H43" s="111"/>
      <c r="I43" s="111"/>
      <c r="J43" s="111"/>
      <c r="K43" s="111"/>
      <c r="L43" s="111"/>
      <c r="M43" s="111"/>
      <c r="N43" s="111"/>
      <c r="O43" s="111"/>
      <c r="P43" s="111"/>
      <c r="Q43" s="111"/>
      <c r="R43" s="111"/>
      <c r="S43" s="111"/>
      <c r="T43" s="111"/>
      <c r="U43" s="111"/>
      <c r="V43" s="111"/>
      <c r="W43" s="111"/>
      <c r="X43" s="111"/>
      <c r="Y43" s="111"/>
      <c r="Z43" s="111"/>
      <c r="AA43" s="111"/>
      <c r="AB43" s="111"/>
      <c r="AC43" s="111"/>
      <c r="AD43" s="111"/>
      <c r="AE43" s="111"/>
      <c r="AF43" s="111"/>
      <c r="AG43" s="111"/>
      <c r="AH43" s="111"/>
      <c r="AI43" s="111"/>
      <c r="AJ43" s="111"/>
      <c r="AK43" s="111"/>
      <c r="AL43" s="111"/>
      <c r="AM43" s="111"/>
      <c r="AN43" s="111"/>
      <c r="AO43" s="111"/>
      <c r="AP43" s="111"/>
      <c r="AQ43" s="111"/>
      <c r="AR43" s="111"/>
      <c r="AS43" s="111"/>
      <c r="AT43" s="111"/>
      <c r="AU43" s="111"/>
      <c r="AV43" s="111"/>
      <c r="AW43" s="111"/>
      <c r="AX43" s="111"/>
      <c r="AY43" s="111"/>
    </row>
    <row r="44" spans="1:51" x14ac:dyDescent="0.25">
      <c r="A44" s="114"/>
      <c r="B44" s="135">
        <v>12</v>
      </c>
      <c r="C44" s="133" t="s">
        <v>292</v>
      </c>
      <c r="D44" s="111">
        <v>0</v>
      </c>
      <c r="E44" s="111">
        <v>0</v>
      </c>
      <c r="F44" s="111">
        <v>0</v>
      </c>
      <c r="G44" s="111">
        <v>0</v>
      </c>
      <c r="H44" s="111">
        <v>0</v>
      </c>
      <c r="I44" s="111">
        <v>0</v>
      </c>
      <c r="J44" s="111">
        <v>0</v>
      </c>
      <c r="K44" s="111">
        <v>0</v>
      </c>
      <c r="L44" s="111">
        <v>0</v>
      </c>
      <c r="M44" s="111">
        <v>0</v>
      </c>
      <c r="N44" s="111">
        <v>0</v>
      </c>
      <c r="O44" s="111">
        <v>0</v>
      </c>
      <c r="P44" s="111">
        <v>0</v>
      </c>
      <c r="Q44" s="111">
        <v>0</v>
      </c>
      <c r="R44" s="111">
        <v>0</v>
      </c>
      <c r="S44" s="111">
        <v>0</v>
      </c>
      <c r="T44" s="111">
        <v>0</v>
      </c>
      <c r="U44" s="111">
        <v>0</v>
      </c>
      <c r="V44" s="111">
        <v>0</v>
      </c>
      <c r="W44" s="111">
        <v>0</v>
      </c>
      <c r="X44" s="111">
        <v>0</v>
      </c>
      <c r="Y44" s="111">
        <v>0</v>
      </c>
      <c r="Z44" s="111">
        <v>0</v>
      </c>
      <c r="AA44" s="111">
        <v>0</v>
      </c>
      <c r="AB44" s="111">
        <v>0</v>
      </c>
      <c r="AC44" s="111">
        <v>0</v>
      </c>
      <c r="AD44" s="111">
        <v>0</v>
      </c>
      <c r="AE44" s="111">
        <v>0</v>
      </c>
      <c r="AF44" s="111">
        <v>0</v>
      </c>
      <c r="AG44" s="111">
        <v>0</v>
      </c>
      <c r="AH44" s="111">
        <v>0</v>
      </c>
      <c r="AI44" s="111">
        <v>0</v>
      </c>
      <c r="AJ44" s="111">
        <v>0</v>
      </c>
      <c r="AK44" s="111">
        <v>0</v>
      </c>
      <c r="AL44" s="111">
        <v>0</v>
      </c>
      <c r="AM44" s="111">
        <v>0</v>
      </c>
      <c r="AN44" s="111">
        <v>0</v>
      </c>
      <c r="AO44" s="111">
        <v>0</v>
      </c>
      <c r="AP44" s="111">
        <v>0</v>
      </c>
      <c r="AQ44" s="111">
        <v>0</v>
      </c>
      <c r="AR44" s="111">
        <v>0</v>
      </c>
      <c r="AS44" s="111">
        <v>0</v>
      </c>
      <c r="AT44" s="111">
        <v>0</v>
      </c>
      <c r="AU44" s="111">
        <v>0</v>
      </c>
      <c r="AV44" s="111">
        <v>0</v>
      </c>
      <c r="AW44" s="111">
        <v>0</v>
      </c>
      <c r="AX44" s="111">
        <v>0</v>
      </c>
      <c r="AY44" s="111">
        <v>0</v>
      </c>
    </row>
    <row r="45" spans="1:51" x14ac:dyDescent="0.25">
      <c r="A45" s="131" t="s">
        <v>123</v>
      </c>
      <c r="B45" s="128">
        <v>1</v>
      </c>
      <c r="C45" s="114" t="s">
        <v>292</v>
      </c>
      <c r="D45" s="129"/>
      <c r="E45" s="129"/>
      <c r="F45" s="129"/>
      <c r="G45" s="129"/>
      <c r="H45" s="129"/>
      <c r="I45" s="129"/>
      <c r="J45" s="129"/>
      <c r="K45" s="129"/>
      <c r="L45" s="129"/>
      <c r="M45" s="129"/>
      <c r="N45" s="129"/>
      <c r="O45" s="129"/>
      <c r="P45" s="129"/>
      <c r="Q45" s="129"/>
      <c r="R45" s="129"/>
      <c r="S45" s="129"/>
      <c r="T45" s="129"/>
      <c r="U45" s="129"/>
      <c r="V45" s="129"/>
      <c r="W45" s="129"/>
      <c r="X45" s="129"/>
      <c r="Y45" s="129"/>
      <c r="Z45" s="129"/>
      <c r="AA45" s="129"/>
      <c r="AB45" s="129"/>
      <c r="AC45" s="129"/>
      <c r="AD45" s="129"/>
      <c r="AE45" s="129"/>
      <c r="AF45" s="129"/>
      <c r="AG45" s="129"/>
      <c r="AH45" s="129"/>
      <c r="AI45" s="129"/>
      <c r="AJ45" s="129"/>
      <c r="AK45" s="129"/>
      <c r="AL45" s="129"/>
      <c r="AM45" s="129"/>
      <c r="AN45" s="129"/>
      <c r="AO45" s="129"/>
      <c r="AP45" s="129"/>
      <c r="AQ45" s="129"/>
      <c r="AR45" s="129"/>
      <c r="AS45" s="129"/>
      <c r="AT45" s="129"/>
      <c r="AU45" s="129"/>
      <c r="AV45" s="129"/>
      <c r="AW45" s="129"/>
      <c r="AX45" s="129"/>
      <c r="AY45" s="129"/>
    </row>
    <row r="46" spans="1:51" x14ac:dyDescent="0.25">
      <c r="A46" s="114"/>
      <c r="B46" s="124">
        <v>2</v>
      </c>
      <c r="C46" s="114" t="s">
        <v>292</v>
      </c>
      <c r="D46" s="115"/>
      <c r="E46" s="115"/>
      <c r="F46" s="115"/>
      <c r="G46" s="115"/>
      <c r="H46" s="115"/>
      <c r="I46" s="115"/>
      <c r="J46" s="115"/>
      <c r="K46" s="115"/>
      <c r="L46" s="115"/>
      <c r="M46" s="115"/>
      <c r="N46" s="115"/>
      <c r="O46" s="115"/>
      <c r="P46" s="115"/>
      <c r="Q46" s="115"/>
      <c r="R46" s="115"/>
      <c r="S46" s="115"/>
      <c r="T46" s="115"/>
      <c r="U46" s="115"/>
      <c r="V46" s="115"/>
      <c r="W46" s="115"/>
      <c r="X46" s="115"/>
      <c r="Y46" s="115"/>
      <c r="Z46" s="115"/>
      <c r="AA46" s="115"/>
      <c r="AB46" s="115"/>
      <c r="AC46" s="115"/>
      <c r="AD46" s="115"/>
      <c r="AE46" s="115"/>
      <c r="AF46" s="115"/>
      <c r="AG46" s="115"/>
      <c r="AH46" s="115"/>
      <c r="AI46" s="115"/>
      <c r="AJ46" s="115"/>
      <c r="AK46" s="115"/>
      <c r="AL46" s="115"/>
      <c r="AM46" s="115"/>
      <c r="AN46" s="115"/>
      <c r="AO46" s="115"/>
      <c r="AP46" s="115"/>
      <c r="AQ46" s="115"/>
      <c r="AR46" s="115"/>
      <c r="AS46" s="115"/>
      <c r="AT46" s="115"/>
      <c r="AU46" s="115"/>
      <c r="AV46" s="115"/>
      <c r="AW46" s="115"/>
      <c r="AX46" s="115"/>
      <c r="AY46" s="115"/>
    </row>
    <row r="47" spans="1:51" x14ac:dyDescent="0.25">
      <c r="A47" s="114"/>
      <c r="B47" s="124">
        <v>3</v>
      </c>
      <c r="C47" s="114" t="s">
        <v>292</v>
      </c>
      <c r="D47" s="115"/>
      <c r="E47" s="115"/>
      <c r="F47" s="115"/>
      <c r="G47" s="115"/>
      <c r="H47" s="115"/>
      <c r="I47" s="115"/>
      <c r="J47" s="115"/>
      <c r="K47" s="115"/>
      <c r="L47" s="115"/>
      <c r="M47" s="115"/>
      <c r="N47" s="115"/>
      <c r="O47" s="115"/>
      <c r="P47" s="115"/>
      <c r="Q47" s="115"/>
      <c r="R47" s="115"/>
      <c r="S47" s="115"/>
      <c r="T47" s="115"/>
      <c r="U47" s="115"/>
      <c r="V47" s="115"/>
      <c r="W47" s="115"/>
      <c r="X47" s="115"/>
      <c r="Y47" s="115"/>
      <c r="Z47" s="115"/>
      <c r="AA47" s="115"/>
      <c r="AB47" s="115"/>
      <c r="AC47" s="115"/>
      <c r="AD47" s="115"/>
      <c r="AE47" s="115"/>
      <c r="AF47" s="115"/>
      <c r="AG47" s="115"/>
      <c r="AH47" s="115"/>
      <c r="AI47" s="115"/>
      <c r="AJ47" s="115"/>
      <c r="AK47" s="115"/>
      <c r="AL47" s="115"/>
      <c r="AM47" s="115"/>
      <c r="AN47" s="115"/>
      <c r="AO47" s="115"/>
      <c r="AP47" s="115"/>
      <c r="AQ47" s="115"/>
      <c r="AR47" s="115"/>
      <c r="AS47" s="115"/>
      <c r="AT47" s="115"/>
      <c r="AU47" s="115"/>
      <c r="AV47" s="115"/>
      <c r="AW47" s="115"/>
      <c r="AX47" s="115"/>
      <c r="AY47" s="115"/>
    </row>
    <row r="48" spans="1:51" x14ac:dyDescent="0.25">
      <c r="A48" s="114"/>
      <c r="B48" s="124">
        <v>4</v>
      </c>
      <c r="C48" s="114" t="s">
        <v>292</v>
      </c>
      <c r="D48" s="115"/>
      <c r="E48" s="115"/>
      <c r="F48" s="115"/>
      <c r="G48" s="115"/>
      <c r="H48" s="115"/>
      <c r="I48" s="115"/>
      <c r="J48" s="115"/>
      <c r="K48" s="115"/>
      <c r="L48" s="115"/>
      <c r="M48" s="115"/>
      <c r="N48" s="115"/>
      <c r="O48" s="115"/>
      <c r="P48" s="115"/>
      <c r="Q48" s="115"/>
      <c r="R48" s="115"/>
      <c r="S48" s="115"/>
      <c r="T48" s="115"/>
      <c r="U48" s="115"/>
      <c r="V48" s="115"/>
      <c r="W48" s="115"/>
      <c r="X48" s="115"/>
      <c r="Y48" s="115"/>
      <c r="Z48" s="115"/>
      <c r="AA48" s="115"/>
      <c r="AB48" s="115"/>
      <c r="AC48" s="115"/>
      <c r="AD48" s="115"/>
      <c r="AE48" s="115"/>
      <c r="AF48" s="115"/>
      <c r="AG48" s="115"/>
      <c r="AH48" s="115"/>
      <c r="AI48" s="115"/>
      <c r="AJ48" s="115"/>
      <c r="AK48" s="115"/>
      <c r="AL48" s="115"/>
      <c r="AM48" s="115"/>
      <c r="AN48" s="115"/>
      <c r="AO48" s="115"/>
      <c r="AP48" s="115"/>
      <c r="AQ48" s="115"/>
      <c r="AR48" s="115"/>
      <c r="AS48" s="115"/>
      <c r="AT48" s="115"/>
      <c r="AU48" s="115"/>
      <c r="AV48" s="115"/>
      <c r="AW48" s="115"/>
      <c r="AX48" s="115"/>
      <c r="AY48" s="115"/>
    </row>
    <row r="49" spans="1:51" x14ac:dyDescent="0.25">
      <c r="A49" s="114"/>
      <c r="B49" s="124">
        <v>5</v>
      </c>
      <c r="C49" s="114" t="s">
        <v>292</v>
      </c>
      <c r="D49" s="115"/>
      <c r="E49" s="115"/>
      <c r="F49" s="115"/>
      <c r="G49" s="115"/>
      <c r="H49" s="115"/>
      <c r="I49" s="115"/>
      <c r="J49" s="115"/>
      <c r="K49" s="115"/>
      <c r="L49" s="115"/>
      <c r="M49" s="115"/>
      <c r="N49" s="115"/>
      <c r="O49" s="115"/>
      <c r="P49" s="115"/>
      <c r="Q49" s="115"/>
      <c r="R49" s="115"/>
      <c r="S49" s="115"/>
      <c r="T49" s="115"/>
      <c r="U49" s="115"/>
      <c r="V49" s="115"/>
      <c r="W49" s="115"/>
      <c r="X49" s="115"/>
      <c r="Y49" s="115"/>
      <c r="Z49" s="115"/>
      <c r="AA49" s="115"/>
      <c r="AB49" s="115"/>
      <c r="AC49" s="115"/>
      <c r="AD49" s="115"/>
      <c r="AE49" s="115"/>
      <c r="AF49" s="115"/>
      <c r="AG49" s="115"/>
      <c r="AH49" s="115"/>
      <c r="AI49" s="115"/>
      <c r="AJ49" s="115"/>
      <c r="AK49" s="115"/>
      <c r="AL49" s="115"/>
      <c r="AM49" s="115"/>
      <c r="AN49" s="115"/>
      <c r="AO49" s="115"/>
      <c r="AP49" s="115"/>
      <c r="AQ49" s="115"/>
      <c r="AR49" s="115"/>
      <c r="AS49" s="115"/>
      <c r="AT49" s="115"/>
      <c r="AU49" s="115"/>
      <c r="AV49" s="115"/>
      <c r="AW49" s="115"/>
      <c r="AX49" s="115"/>
      <c r="AY49" s="115"/>
    </row>
    <row r="50" spans="1:51" x14ac:dyDescent="0.25">
      <c r="A50" s="114"/>
      <c r="B50" s="124">
        <v>6</v>
      </c>
      <c r="C50" s="114" t="s">
        <v>292</v>
      </c>
      <c r="D50" s="115"/>
      <c r="E50" s="115"/>
      <c r="F50" s="115"/>
      <c r="G50" s="115"/>
      <c r="H50" s="115"/>
      <c r="I50" s="115"/>
      <c r="J50" s="115"/>
      <c r="K50" s="115"/>
      <c r="L50" s="115"/>
      <c r="M50" s="115"/>
      <c r="N50" s="115"/>
      <c r="O50" s="115"/>
      <c r="P50" s="115"/>
      <c r="Q50" s="115"/>
      <c r="R50" s="115"/>
      <c r="S50" s="115"/>
      <c r="T50" s="115"/>
      <c r="U50" s="115"/>
      <c r="V50" s="115"/>
      <c r="W50" s="115"/>
      <c r="X50" s="115"/>
      <c r="Y50" s="115"/>
      <c r="Z50" s="115"/>
      <c r="AA50" s="115"/>
      <c r="AB50" s="115"/>
      <c r="AC50" s="115"/>
      <c r="AD50" s="115"/>
      <c r="AE50" s="115"/>
      <c r="AF50" s="115"/>
      <c r="AG50" s="115"/>
      <c r="AH50" s="115"/>
      <c r="AI50" s="115"/>
      <c r="AJ50" s="115"/>
      <c r="AK50" s="115"/>
      <c r="AL50" s="115"/>
      <c r="AM50" s="115"/>
      <c r="AN50" s="115"/>
      <c r="AO50" s="115"/>
      <c r="AP50" s="115"/>
      <c r="AQ50" s="115"/>
      <c r="AR50" s="115"/>
      <c r="AS50" s="115"/>
      <c r="AT50" s="115"/>
      <c r="AU50" s="115"/>
      <c r="AV50" s="115"/>
      <c r="AW50" s="115"/>
      <c r="AX50" s="115"/>
      <c r="AY50" s="115"/>
    </row>
    <row r="51" spans="1:51" x14ac:dyDescent="0.25">
      <c r="A51" s="114"/>
      <c r="B51" s="124">
        <v>7</v>
      </c>
      <c r="C51" s="114" t="s">
        <v>292</v>
      </c>
      <c r="D51" s="115"/>
      <c r="E51" s="115"/>
      <c r="F51" s="115"/>
      <c r="G51" s="115"/>
      <c r="H51" s="115"/>
      <c r="I51" s="115"/>
      <c r="J51" s="115"/>
      <c r="K51" s="115"/>
      <c r="L51" s="115"/>
      <c r="M51" s="115"/>
      <c r="N51" s="115"/>
      <c r="O51" s="115"/>
      <c r="P51" s="115"/>
      <c r="Q51" s="115"/>
      <c r="R51" s="115"/>
      <c r="S51" s="115"/>
      <c r="T51" s="115"/>
      <c r="U51" s="115"/>
      <c r="V51" s="115"/>
      <c r="W51" s="115"/>
      <c r="X51" s="115"/>
      <c r="Y51" s="115"/>
      <c r="Z51" s="115"/>
      <c r="AA51" s="115"/>
      <c r="AB51" s="115"/>
      <c r="AC51" s="115"/>
      <c r="AD51" s="115"/>
      <c r="AE51" s="115"/>
      <c r="AF51" s="115"/>
      <c r="AG51" s="115"/>
      <c r="AH51" s="115"/>
      <c r="AI51" s="115"/>
      <c r="AJ51" s="115"/>
      <c r="AK51" s="115"/>
      <c r="AL51" s="115"/>
      <c r="AM51" s="115"/>
      <c r="AN51" s="115"/>
      <c r="AO51" s="115"/>
      <c r="AP51" s="115"/>
      <c r="AQ51" s="115"/>
      <c r="AR51" s="115"/>
      <c r="AS51" s="115"/>
      <c r="AT51" s="115"/>
      <c r="AU51" s="115"/>
      <c r="AV51" s="115"/>
      <c r="AW51" s="115"/>
      <c r="AX51" s="115"/>
      <c r="AY51" s="115"/>
    </row>
    <row r="52" spans="1:51" x14ac:dyDescent="0.25">
      <c r="A52" s="114"/>
      <c r="B52" s="124">
        <v>8</v>
      </c>
      <c r="C52" s="114" t="s">
        <v>292</v>
      </c>
      <c r="D52" s="115"/>
      <c r="E52" s="115"/>
      <c r="F52" s="115"/>
      <c r="G52" s="115"/>
      <c r="H52" s="115"/>
      <c r="I52" s="115"/>
      <c r="J52" s="115"/>
      <c r="K52" s="115"/>
      <c r="L52" s="115"/>
      <c r="M52" s="115"/>
      <c r="N52" s="115"/>
      <c r="O52" s="115"/>
      <c r="P52" s="115"/>
      <c r="Q52" s="115"/>
      <c r="R52" s="115"/>
      <c r="S52" s="115"/>
      <c r="T52" s="115"/>
      <c r="U52" s="115"/>
      <c r="V52" s="115"/>
      <c r="W52" s="115"/>
      <c r="X52" s="115"/>
      <c r="Y52" s="115"/>
      <c r="Z52" s="115"/>
      <c r="AA52" s="115"/>
      <c r="AB52" s="115"/>
      <c r="AC52" s="115"/>
      <c r="AD52" s="115"/>
      <c r="AE52" s="115"/>
      <c r="AF52" s="115"/>
      <c r="AG52" s="115"/>
      <c r="AH52" s="115"/>
      <c r="AI52" s="115"/>
      <c r="AJ52" s="115"/>
      <c r="AK52" s="115"/>
      <c r="AL52" s="115"/>
      <c r="AM52" s="115"/>
      <c r="AN52" s="115"/>
      <c r="AO52" s="115"/>
      <c r="AP52" s="115"/>
      <c r="AQ52" s="115"/>
      <c r="AR52" s="115"/>
      <c r="AS52" s="115"/>
      <c r="AT52" s="115"/>
      <c r="AU52" s="115"/>
      <c r="AV52" s="115"/>
      <c r="AW52" s="115"/>
      <c r="AX52" s="115"/>
      <c r="AY52" s="115"/>
    </row>
    <row r="53" spans="1:51" x14ac:dyDescent="0.25">
      <c r="A53" s="114"/>
      <c r="B53" s="124">
        <v>9</v>
      </c>
      <c r="C53" s="114" t="s">
        <v>292</v>
      </c>
      <c r="D53" s="115"/>
      <c r="E53" s="115"/>
      <c r="F53" s="115"/>
      <c r="G53" s="115"/>
      <c r="H53" s="115"/>
      <c r="I53" s="115"/>
      <c r="J53" s="115"/>
      <c r="K53" s="115"/>
      <c r="L53" s="115"/>
      <c r="M53" s="115"/>
      <c r="N53" s="115"/>
      <c r="O53" s="115"/>
      <c r="P53" s="115"/>
      <c r="Q53" s="115"/>
      <c r="R53" s="115"/>
      <c r="S53" s="115"/>
      <c r="T53" s="115"/>
      <c r="U53" s="115"/>
      <c r="V53" s="115"/>
      <c r="W53" s="115"/>
      <c r="X53" s="115"/>
      <c r="Y53" s="115"/>
      <c r="Z53" s="115"/>
      <c r="AA53" s="115"/>
      <c r="AB53" s="115"/>
      <c r="AC53" s="115"/>
      <c r="AD53" s="115"/>
      <c r="AE53" s="115"/>
      <c r="AF53" s="115"/>
      <c r="AG53" s="115"/>
      <c r="AH53" s="115"/>
      <c r="AI53" s="115"/>
      <c r="AJ53" s="115"/>
      <c r="AK53" s="115"/>
      <c r="AL53" s="115"/>
      <c r="AM53" s="115"/>
      <c r="AN53" s="115"/>
      <c r="AO53" s="115"/>
      <c r="AP53" s="115"/>
      <c r="AQ53" s="115"/>
      <c r="AR53" s="115"/>
      <c r="AS53" s="115"/>
      <c r="AT53" s="115"/>
      <c r="AU53" s="115"/>
      <c r="AV53" s="115"/>
      <c r="AW53" s="115"/>
      <c r="AX53" s="115"/>
      <c r="AY53" s="115"/>
    </row>
    <row r="54" spans="1:51" x14ac:dyDescent="0.25">
      <c r="A54" s="114"/>
      <c r="B54" s="124">
        <v>10</v>
      </c>
      <c r="C54" s="114" t="s">
        <v>292</v>
      </c>
      <c r="D54" s="115"/>
      <c r="E54" s="115"/>
      <c r="F54" s="115"/>
      <c r="G54" s="115"/>
      <c r="H54" s="115"/>
      <c r="I54" s="115"/>
      <c r="J54" s="115"/>
      <c r="K54" s="115"/>
      <c r="L54" s="115"/>
      <c r="M54" s="115"/>
      <c r="N54" s="115"/>
      <c r="O54" s="115"/>
      <c r="P54" s="115"/>
      <c r="Q54" s="115"/>
      <c r="R54" s="115"/>
      <c r="S54" s="115"/>
      <c r="T54" s="115"/>
      <c r="U54" s="115"/>
      <c r="V54" s="115"/>
      <c r="W54" s="115"/>
      <c r="X54" s="115"/>
      <c r="Y54" s="115"/>
      <c r="Z54" s="115"/>
      <c r="AA54" s="115"/>
      <c r="AB54" s="115"/>
      <c r="AC54" s="115"/>
      <c r="AD54" s="115"/>
      <c r="AE54" s="115"/>
      <c r="AF54" s="115"/>
      <c r="AG54" s="115"/>
      <c r="AH54" s="115"/>
      <c r="AI54" s="115"/>
      <c r="AJ54" s="115"/>
      <c r="AK54" s="115"/>
      <c r="AL54" s="115"/>
      <c r="AM54" s="115"/>
      <c r="AN54" s="115"/>
      <c r="AO54" s="115"/>
      <c r="AP54" s="115"/>
      <c r="AQ54" s="115"/>
      <c r="AR54" s="115"/>
      <c r="AS54" s="115"/>
      <c r="AT54" s="115"/>
      <c r="AU54" s="115"/>
      <c r="AV54" s="115"/>
      <c r="AW54" s="115"/>
      <c r="AX54" s="115"/>
      <c r="AY54" s="115"/>
    </row>
    <row r="55" spans="1:51" x14ac:dyDescent="0.25">
      <c r="A55" s="114"/>
      <c r="B55" s="124">
        <v>11</v>
      </c>
      <c r="C55" s="114" t="s">
        <v>292</v>
      </c>
      <c r="D55" s="115"/>
      <c r="E55" s="115"/>
      <c r="F55" s="115"/>
      <c r="G55" s="115"/>
      <c r="H55" s="115"/>
      <c r="I55" s="115"/>
      <c r="J55" s="115"/>
      <c r="K55" s="115"/>
      <c r="L55" s="115"/>
      <c r="M55" s="115"/>
      <c r="N55" s="115"/>
      <c r="O55" s="115"/>
      <c r="P55" s="115"/>
      <c r="Q55" s="115"/>
      <c r="R55" s="115"/>
      <c r="S55" s="115"/>
      <c r="T55" s="115"/>
      <c r="U55" s="115"/>
      <c r="V55" s="115"/>
      <c r="W55" s="115"/>
      <c r="X55" s="115"/>
      <c r="Y55" s="115"/>
      <c r="Z55" s="115"/>
      <c r="AA55" s="115"/>
      <c r="AB55" s="115"/>
      <c r="AC55" s="115"/>
      <c r="AD55" s="115"/>
      <c r="AE55" s="115"/>
      <c r="AF55" s="115"/>
      <c r="AG55" s="115"/>
      <c r="AH55" s="115"/>
      <c r="AI55" s="115"/>
      <c r="AJ55" s="115"/>
      <c r="AK55" s="115"/>
      <c r="AL55" s="115"/>
      <c r="AM55" s="115"/>
      <c r="AN55" s="115"/>
      <c r="AO55" s="115"/>
      <c r="AP55" s="115"/>
      <c r="AQ55" s="115"/>
      <c r="AR55" s="115"/>
      <c r="AS55" s="115"/>
      <c r="AT55" s="115"/>
      <c r="AU55" s="115"/>
      <c r="AV55" s="115"/>
      <c r="AW55" s="115"/>
      <c r="AX55" s="115"/>
      <c r="AY55" s="115"/>
    </row>
    <row r="56" spans="1:51" x14ac:dyDescent="0.25">
      <c r="A56" s="114"/>
      <c r="B56" s="124">
        <v>12</v>
      </c>
      <c r="C56" s="114" t="s">
        <v>292</v>
      </c>
      <c r="D56" s="115"/>
      <c r="E56" s="115"/>
      <c r="F56" s="115"/>
      <c r="G56" s="115"/>
      <c r="H56" s="115"/>
      <c r="I56" s="115"/>
      <c r="J56" s="115"/>
      <c r="K56" s="115"/>
      <c r="L56" s="115"/>
      <c r="M56" s="115"/>
      <c r="N56" s="115"/>
      <c r="O56" s="115"/>
      <c r="P56" s="115"/>
      <c r="Q56" s="115"/>
      <c r="R56" s="115"/>
      <c r="S56" s="115"/>
      <c r="T56" s="115"/>
      <c r="U56" s="115"/>
      <c r="V56" s="115"/>
      <c r="W56" s="115"/>
      <c r="X56" s="115"/>
      <c r="Y56" s="115"/>
      <c r="Z56" s="115"/>
      <c r="AA56" s="115"/>
      <c r="AB56" s="115"/>
      <c r="AC56" s="115"/>
      <c r="AD56" s="115"/>
      <c r="AE56" s="115"/>
      <c r="AF56" s="115"/>
      <c r="AG56" s="115"/>
      <c r="AH56" s="115"/>
      <c r="AI56" s="115"/>
      <c r="AJ56" s="115"/>
      <c r="AK56" s="115"/>
      <c r="AL56" s="115"/>
      <c r="AM56" s="115"/>
      <c r="AN56" s="115"/>
      <c r="AO56" s="115"/>
      <c r="AP56" s="115"/>
      <c r="AQ56" s="115"/>
      <c r="AR56" s="115"/>
      <c r="AS56" s="115"/>
      <c r="AT56" s="115"/>
      <c r="AU56" s="115"/>
      <c r="AV56" s="115"/>
      <c r="AW56" s="115"/>
      <c r="AX56" s="115"/>
      <c r="AY56" s="115"/>
    </row>
    <row r="57" spans="1:51" x14ac:dyDescent="0.25">
      <c r="A57" s="114"/>
      <c r="B57" s="125">
        <v>13</v>
      </c>
      <c r="C57" s="114" t="s">
        <v>292</v>
      </c>
      <c r="D57" s="115"/>
      <c r="E57" s="115"/>
      <c r="F57" s="115"/>
      <c r="G57" s="115"/>
      <c r="H57" s="115"/>
      <c r="I57" s="115"/>
      <c r="J57" s="115"/>
      <c r="K57" s="115"/>
      <c r="L57" s="115"/>
      <c r="M57" s="115"/>
      <c r="N57" s="115"/>
      <c r="O57" s="115"/>
      <c r="P57" s="115"/>
      <c r="Q57" s="115"/>
      <c r="R57" s="115"/>
      <c r="S57" s="115"/>
      <c r="T57" s="115"/>
      <c r="U57" s="115"/>
      <c r="V57" s="115"/>
      <c r="W57" s="115"/>
      <c r="X57" s="115"/>
      <c r="Y57" s="115"/>
      <c r="Z57" s="115"/>
      <c r="AA57" s="115"/>
      <c r="AB57" s="115"/>
      <c r="AC57" s="115"/>
      <c r="AD57" s="115"/>
      <c r="AE57" s="115"/>
      <c r="AF57" s="115"/>
      <c r="AG57" s="115"/>
      <c r="AH57" s="115"/>
      <c r="AI57" s="115"/>
      <c r="AJ57" s="115"/>
      <c r="AK57" s="115"/>
      <c r="AL57" s="115"/>
      <c r="AM57" s="115"/>
      <c r="AN57" s="115"/>
      <c r="AO57" s="115"/>
      <c r="AP57" s="115"/>
      <c r="AQ57" s="115"/>
      <c r="AR57" s="115"/>
      <c r="AS57" s="115"/>
      <c r="AT57" s="115"/>
      <c r="AU57" s="115"/>
      <c r="AV57" s="115"/>
      <c r="AW57" s="115"/>
      <c r="AX57" s="115"/>
      <c r="AY57" s="115"/>
    </row>
    <row r="58" spans="1:51" x14ac:dyDescent="0.25">
      <c r="A58" s="114"/>
      <c r="B58" s="125">
        <v>14</v>
      </c>
      <c r="C58" s="114" t="s">
        <v>292</v>
      </c>
      <c r="D58" s="115"/>
      <c r="E58" s="115"/>
      <c r="F58" s="115"/>
      <c r="G58" s="115"/>
      <c r="H58" s="115"/>
      <c r="I58" s="115"/>
      <c r="J58" s="115"/>
      <c r="K58" s="115"/>
      <c r="L58" s="115"/>
      <c r="M58" s="115"/>
      <c r="N58" s="115"/>
      <c r="O58" s="115"/>
      <c r="P58" s="115"/>
      <c r="Q58" s="115"/>
      <c r="R58" s="115"/>
      <c r="S58" s="115"/>
      <c r="T58" s="115"/>
      <c r="U58" s="115"/>
      <c r="V58" s="115"/>
      <c r="W58" s="115"/>
      <c r="X58" s="115"/>
      <c r="Y58" s="115"/>
      <c r="Z58" s="115"/>
      <c r="AA58" s="115"/>
      <c r="AB58" s="115"/>
      <c r="AC58" s="115"/>
      <c r="AD58" s="115"/>
      <c r="AE58" s="115"/>
      <c r="AF58" s="115"/>
      <c r="AG58" s="115"/>
      <c r="AH58" s="115"/>
      <c r="AI58" s="115"/>
      <c r="AJ58" s="115"/>
      <c r="AK58" s="115"/>
      <c r="AL58" s="115"/>
      <c r="AM58" s="115"/>
      <c r="AN58" s="115"/>
      <c r="AO58" s="115"/>
      <c r="AP58" s="115"/>
      <c r="AQ58" s="115"/>
      <c r="AR58" s="115"/>
      <c r="AS58" s="115"/>
      <c r="AT58" s="115"/>
      <c r="AU58" s="115"/>
      <c r="AV58" s="115"/>
      <c r="AW58" s="115"/>
      <c r="AX58" s="115"/>
      <c r="AY58" s="115"/>
    </row>
    <row r="59" spans="1:51" x14ac:dyDescent="0.25">
      <c r="A59" s="114"/>
      <c r="B59" s="125">
        <v>15</v>
      </c>
      <c r="C59" s="114" t="s">
        <v>292</v>
      </c>
      <c r="D59" s="115"/>
      <c r="E59" s="115"/>
      <c r="F59" s="115"/>
      <c r="G59" s="115"/>
      <c r="H59" s="115"/>
      <c r="I59" s="115"/>
      <c r="J59" s="115"/>
      <c r="K59" s="115"/>
      <c r="L59" s="115"/>
      <c r="M59" s="115"/>
      <c r="N59" s="115"/>
      <c r="O59" s="115"/>
      <c r="P59" s="115"/>
      <c r="Q59" s="115"/>
      <c r="R59" s="115"/>
      <c r="S59" s="115"/>
      <c r="T59" s="115"/>
      <c r="U59" s="115"/>
      <c r="V59" s="115"/>
      <c r="W59" s="115"/>
      <c r="X59" s="115"/>
      <c r="Y59" s="115"/>
      <c r="Z59" s="115"/>
      <c r="AA59" s="115"/>
      <c r="AB59" s="115"/>
      <c r="AC59" s="115"/>
      <c r="AD59" s="115"/>
      <c r="AE59" s="115"/>
      <c r="AF59" s="115"/>
      <c r="AG59" s="115"/>
      <c r="AH59" s="115"/>
      <c r="AI59" s="115"/>
      <c r="AJ59" s="115"/>
      <c r="AK59" s="115"/>
      <c r="AL59" s="115"/>
      <c r="AM59" s="115"/>
      <c r="AN59" s="115"/>
      <c r="AO59" s="115"/>
      <c r="AP59" s="115"/>
      <c r="AQ59" s="115"/>
      <c r="AR59" s="115"/>
      <c r="AS59" s="115"/>
      <c r="AT59" s="115"/>
      <c r="AU59" s="115"/>
      <c r="AV59" s="115"/>
      <c r="AW59" s="115"/>
      <c r="AX59" s="115"/>
      <c r="AY59" s="115"/>
    </row>
    <row r="60" spans="1:51" x14ac:dyDescent="0.25">
      <c r="A60" s="114"/>
      <c r="B60" s="125">
        <v>16</v>
      </c>
      <c r="C60" s="114" t="s">
        <v>292</v>
      </c>
      <c r="D60" s="115"/>
      <c r="E60" s="115"/>
      <c r="F60" s="115"/>
      <c r="G60" s="115"/>
      <c r="H60" s="115"/>
      <c r="I60" s="115"/>
      <c r="J60" s="115"/>
      <c r="K60" s="115"/>
      <c r="L60" s="115"/>
      <c r="M60" s="115"/>
      <c r="N60" s="115"/>
      <c r="O60" s="115"/>
      <c r="P60" s="115"/>
      <c r="Q60" s="115"/>
      <c r="R60" s="115"/>
      <c r="S60" s="115"/>
      <c r="T60" s="115"/>
      <c r="U60" s="115"/>
      <c r="V60" s="115"/>
      <c r="W60" s="115"/>
      <c r="X60" s="115"/>
      <c r="Y60" s="115"/>
      <c r="Z60" s="115"/>
      <c r="AA60" s="115"/>
      <c r="AB60" s="115"/>
      <c r="AC60" s="115"/>
      <c r="AD60" s="115"/>
      <c r="AE60" s="115"/>
      <c r="AF60" s="115"/>
      <c r="AG60" s="115"/>
      <c r="AH60" s="115"/>
      <c r="AI60" s="115"/>
      <c r="AJ60" s="115"/>
      <c r="AK60" s="115"/>
      <c r="AL60" s="115"/>
      <c r="AM60" s="115"/>
      <c r="AN60" s="115"/>
      <c r="AO60" s="115"/>
      <c r="AP60" s="115"/>
      <c r="AQ60" s="115"/>
      <c r="AR60" s="115"/>
      <c r="AS60" s="115"/>
      <c r="AT60" s="115"/>
      <c r="AU60" s="115"/>
      <c r="AV60" s="115"/>
      <c r="AW60" s="115"/>
      <c r="AX60" s="115"/>
      <c r="AY60" s="115"/>
    </row>
    <row r="61" spans="1:51" x14ac:dyDescent="0.25">
      <c r="A61" s="114"/>
      <c r="B61" s="125">
        <v>17</v>
      </c>
      <c r="C61" s="114" t="s">
        <v>292</v>
      </c>
      <c r="D61" s="115"/>
      <c r="E61" s="115"/>
      <c r="F61" s="115"/>
      <c r="G61" s="115"/>
      <c r="H61" s="115"/>
      <c r="I61" s="115"/>
      <c r="J61" s="115"/>
      <c r="K61" s="115"/>
      <c r="L61" s="115"/>
      <c r="M61" s="115"/>
      <c r="N61" s="115"/>
      <c r="O61" s="115"/>
      <c r="P61" s="115"/>
      <c r="Q61" s="115"/>
      <c r="R61" s="115"/>
      <c r="S61" s="115"/>
      <c r="T61" s="115"/>
      <c r="U61" s="115"/>
      <c r="V61" s="115"/>
      <c r="W61" s="115"/>
      <c r="X61" s="115"/>
      <c r="Y61" s="115"/>
      <c r="Z61" s="115"/>
      <c r="AA61" s="115"/>
      <c r="AB61" s="115"/>
      <c r="AC61" s="115"/>
      <c r="AD61" s="115"/>
      <c r="AE61" s="115"/>
      <c r="AF61" s="115"/>
      <c r="AG61" s="115"/>
      <c r="AH61" s="115"/>
      <c r="AI61" s="115"/>
      <c r="AJ61" s="115"/>
      <c r="AK61" s="115"/>
      <c r="AL61" s="115"/>
      <c r="AM61" s="115"/>
      <c r="AN61" s="115"/>
      <c r="AO61" s="115"/>
      <c r="AP61" s="115"/>
      <c r="AQ61" s="115"/>
      <c r="AR61" s="115"/>
      <c r="AS61" s="115"/>
      <c r="AT61" s="115"/>
      <c r="AU61" s="115"/>
      <c r="AV61" s="115"/>
      <c r="AW61" s="115"/>
      <c r="AX61" s="115"/>
      <c r="AY61" s="115"/>
    </row>
    <row r="62" spans="1:51" x14ac:dyDescent="0.25">
      <c r="A62" s="114"/>
      <c r="B62" s="125">
        <v>18</v>
      </c>
      <c r="C62" s="114" t="s">
        <v>292</v>
      </c>
      <c r="D62" s="115"/>
      <c r="E62" s="115"/>
      <c r="F62" s="115"/>
      <c r="G62" s="115"/>
      <c r="H62" s="115"/>
      <c r="I62" s="115"/>
      <c r="J62" s="115"/>
      <c r="K62" s="115"/>
      <c r="L62" s="115"/>
      <c r="M62" s="115"/>
      <c r="N62" s="115"/>
      <c r="O62" s="115"/>
      <c r="P62" s="115"/>
      <c r="Q62" s="115"/>
      <c r="R62" s="115"/>
      <c r="S62" s="115"/>
      <c r="T62" s="115"/>
      <c r="U62" s="115"/>
      <c r="V62" s="115"/>
      <c r="W62" s="115"/>
      <c r="X62" s="115"/>
      <c r="Y62" s="115"/>
      <c r="Z62" s="115"/>
      <c r="AA62" s="115"/>
      <c r="AB62" s="115"/>
      <c r="AC62" s="115"/>
      <c r="AD62" s="115"/>
      <c r="AE62" s="115"/>
      <c r="AF62" s="115"/>
      <c r="AG62" s="115"/>
      <c r="AH62" s="115"/>
      <c r="AI62" s="115"/>
      <c r="AJ62" s="115"/>
      <c r="AK62" s="115"/>
      <c r="AL62" s="115"/>
      <c r="AM62" s="115"/>
      <c r="AN62" s="115"/>
      <c r="AO62" s="115"/>
      <c r="AP62" s="115"/>
      <c r="AQ62" s="115"/>
      <c r="AR62" s="115"/>
      <c r="AS62" s="115"/>
      <c r="AT62" s="115"/>
      <c r="AU62" s="115"/>
      <c r="AV62" s="115"/>
      <c r="AW62" s="115"/>
      <c r="AX62" s="115"/>
      <c r="AY62" s="115"/>
    </row>
    <row r="63" spans="1:51" x14ac:dyDescent="0.25">
      <c r="A63" s="114"/>
      <c r="B63" s="125">
        <v>19</v>
      </c>
      <c r="C63" s="114" t="s">
        <v>292</v>
      </c>
      <c r="D63" s="115"/>
      <c r="E63" s="115"/>
      <c r="F63" s="115"/>
      <c r="G63" s="115"/>
      <c r="H63" s="115"/>
      <c r="I63" s="115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</row>
    <row r="64" spans="1:51" x14ac:dyDescent="0.25">
      <c r="A64" s="114"/>
      <c r="B64" s="125">
        <v>20</v>
      </c>
      <c r="C64" s="114" t="s">
        <v>292</v>
      </c>
      <c r="D64" s="115"/>
      <c r="E64" s="115"/>
      <c r="F64" s="115"/>
      <c r="G64" s="115"/>
      <c r="H64" s="115"/>
      <c r="I64" s="115"/>
      <c r="J64" s="115"/>
      <c r="K64" s="115"/>
      <c r="L64" s="115"/>
      <c r="M64" s="115"/>
      <c r="N64" s="115"/>
      <c r="O64" s="115"/>
      <c r="P64" s="115"/>
      <c r="Q64" s="115"/>
      <c r="R64" s="115"/>
      <c r="S64" s="115"/>
      <c r="T64" s="115"/>
      <c r="U64" s="115"/>
      <c r="V64" s="115"/>
      <c r="W64" s="115"/>
      <c r="X64" s="115"/>
      <c r="Y64" s="115"/>
      <c r="Z64" s="115"/>
      <c r="AA64" s="115"/>
      <c r="AB64" s="115"/>
      <c r="AC64" s="115"/>
      <c r="AD64" s="115"/>
      <c r="AE64" s="115"/>
      <c r="AF64" s="115"/>
      <c r="AG64" s="115"/>
      <c r="AH64" s="115"/>
      <c r="AI64" s="115"/>
      <c r="AJ64" s="115"/>
      <c r="AK64" s="115"/>
      <c r="AL64" s="115"/>
      <c r="AM64" s="115"/>
      <c r="AN64" s="115"/>
      <c r="AO64" s="115"/>
      <c r="AP64" s="115"/>
      <c r="AQ64" s="115"/>
      <c r="AR64" s="115"/>
      <c r="AS64" s="115"/>
      <c r="AT64" s="115"/>
      <c r="AU64" s="115"/>
      <c r="AV64" s="115"/>
      <c r="AW64" s="115"/>
      <c r="AX64" s="115"/>
      <c r="AY64" s="115"/>
    </row>
    <row r="65" spans="1:51" x14ac:dyDescent="0.25">
      <c r="A65" s="114"/>
      <c r="B65" s="125">
        <v>21</v>
      </c>
      <c r="C65" s="114" t="s">
        <v>292</v>
      </c>
      <c r="D65" s="115"/>
      <c r="E65" s="115"/>
      <c r="F65" s="115"/>
      <c r="G65" s="115"/>
      <c r="H65" s="115"/>
      <c r="I65" s="115"/>
      <c r="J65" s="115"/>
      <c r="K65" s="115"/>
      <c r="L65" s="115"/>
      <c r="M65" s="115"/>
      <c r="N65" s="115"/>
      <c r="O65" s="115"/>
      <c r="P65" s="115"/>
      <c r="Q65" s="115"/>
      <c r="R65" s="115"/>
      <c r="S65" s="115"/>
      <c r="T65" s="115"/>
      <c r="U65" s="115"/>
      <c r="V65" s="115"/>
      <c r="W65" s="115"/>
      <c r="X65" s="115"/>
      <c r="Y65" s="115"/>
      <c r="Z65" s="115"/>
      <c r="AA65" s="115"/>
      <c r="AB65" s="115"/>
      <c r="AC65" s="115"/>
      <c r="AD65" s="115"/>
      <c r="AE65" s="115"/>
      <c r="AF65" s="115"/>
      <c r="AG65" s="115"/>
      <c r="AH65" s="115"/>
      <c r="AI65" s="115"/>
      <c r="AJ65" s="115"/>
      <c r="AK65" s="115"/>
      <c r="AL65" s="115"/>
      <c r="AM65" s="115"/>
      <c r="AN65" s="115"/>
      <c r="AO65" s="115"/>
      <c r="AP65" s="115"/>
      <c r="AQ65" s="115"/>
      <c r="AR65" s="115"/>
      <c r="AS65" s="115"/>
      <c r="AT65" s="115"/>
      <c r="AU65" s="115"/>
      <c r="AV65" s="115"/>
      <c r="AW65" s="115"/>
      <c r="AX65" s="115"/>
      <c r="AY65" s="115"/>
    </row>
    <row r="66" spans="1:51" x14ac:dyDescent="0.25">
      <c r="A66" s="114"/>
      <c r="B66" s="125">
        <v>22</v>
      </c>
      <c r="C66" s="114" t="s">
        <v>292</v>
      </c>
      <c r="D66" s="115"/>
      <c r="E66" s="115"/>
      <c r="F66" s="115"/>
      <c r="G66" s="115"/>
      <c r="H66" s="115"/>
      <c r="I66" s="115"/>
      <c r="J66" s="115"/>
      <c r="K66" s="115"/>
      <c r="L66" s="115"/>
      <c r="M66" s="115"/>
      <c r="N66" s="115"/>
      <c r="O66" s="115"/>
      <c r="P66" s="115"/>
      <c r="Q66" s="115"/>
      <c r="R66" s="115"/>
      <c r="S66" s="115"/>
      <c r="T66" s="115"/>
      <c r="U66" s="115"/>
      <c r="V66" s="115"/>
      <c r="W66" s="115"/>
      <c r="X66" s="115"/>
      <c r="Y66" s="115"/>
      <c r="Z66" s="115"/>
      <c r="AA66" s="115"/>
      <c r="AB66" s="115"/>
      <c r="AC66" s="115"/>
      <c r="AD66" s="115"/>
      <c r="AE66" s="115"/>
      <c r="AF66" s="115"/>
      <c r="AG66" s="115"/>
      <c r="AH66" s="115"/>
      <c r="AI66" s="115"/>
      <c r="AJ66" s="115"/>
      <c r="AK66" s="115"/>
      <c r="AL66" s="115"/>
      <c r="AM66" s="115"/>
      <c r="AN66" s="115"/>
      <c r="AO66" s="115"/>
      <c r="AP66" s="115"/>
      <c r="AQ66" s="115"/>
      <c r="AR66" s="115"/>
      <c r="AS66" s="115"/>
      <c r="AT66" s="115"/>
      <c r="AU66" s="115"/>
      <c r="AV66" s="115"/>
      <c r="AW66" s="115"/>
      <c r="AX66" s="115"/>
      <c r="AY66" s="115"/>
    </row>
    <row r="67" spans="1:51" x14ac:dyDescent="0.25">
      <c r="A67" s="114"/>
      <c r="B67" s="125">
        <v>23</v>
      </c>
      <c r="C67" s="114" t="s">
        <v>292</v>
      </c>
      <c r="D67" s="115"/>
      <c r="E67" s="115"/>
      <c r="F67" s="115"/>
      <c r="G67" s="115"/>
      <c r="H67" s="115"/>
      <c r="I67" s="115"/>
      <c r="J67" s="115"/>
      <c r="K67" s="115"/>
      <c r="L67" s="115"/>
      <c r="M67" s="115"/>
      <c r="N67" s="115"/>
      <c r="O67" s="115"/>
      <c r="P67" s="115"/>
      <c r="Q67" s="115"/>
      <c r="R67" s="115"/>
      <c r="S67" s="115"/>
      <c r="T67" s="115"/>
      <c r="U67" s="115"/>
      <c r="V67" s="115"/>
      <c r="W67" s="115"/>
      <c r="X67" s="115"/>
      <c r="Y67" s="115"/>
      <c r="Z67" s="115"/>
      <c r="AA67" s="115"/>
      <c r="AB67" s="115"/>
      <c r="AC67" s="115"/>
      <c r="AD67" s="115"/>
      <c r="AE67" s="115"/>
      <c r="AF67" s="115"/>
      <c r="AG67" s="115"/>
      <c r="AH67" s="115"/>
      <c r="AI67" s="115"/>
      <c r="AJ67" s="115"/>
      <c r="AK67" s="115"/>
      <c r="AL67" s="115"/>
      <c r="AM67" s="115"/>
      <c r="AN67" s="115"/>
      <c r="AO67" s="115"/>
      <c r="AP67" s="115"/>
      <c r="AQ67" s="115"/>
      <c r="AR67" s="115"/>
      <c r="AS67" s="115"/>
      <c r="AT67" s="115"/>
      <c r="AU67" s="115"/>
      <c r="AV67" s="115"/>
      <c r="AW67" s="115"/>
      <c r="AX67" s="115"/>
      <c r="AY67" s="115"/>
    </row>
    <row r="68" spans="1:51" x14ac:dyDescent="0.25">
      <c r="A68" s="114"/>
      <c r="B68" s="125">
        <v>24</v>
      </c>
      <c r="C68" s="114" t="s">
        <v>292</v>
      </c>
      <c r="D68" s="115"/>
      <c r="E68" s="115"/>
      <c r="F68" s="115"/>
      <c r="G68" s="115"/>
      <c r="H68" s="115"/>
      <c r="I68" s="115"/>
      <c r="J68" s="115"/>
      <c r="K68" s="115"/>
      <c r="L68" s="115"/>
      <c r="M68" s="115"/>
      <c r="N68" s="115"/>
      <c r="O68" s="115"/>
      <c r="P68" s="115"/>
      <c r="Q68" s="115"/>
      <c r="R68" s="115"/>
      <c r="S68" s="115"/>
      <c r="T68" s="115"/>
      <c r="U68" s="115"/>
      <c r="V68" s="115"/>
      <c r="W68" s="115"/>
      <c r="X68" s="115"/>
      <c r="Y68" s="115"/>
      <c r="Z68" s="115"/>
      <c r="AA68" s="115"/>
      <c r="AB68" s="115"/>
      <c r="AC68" s="115"/>
      <c r="AD68" s="115"/>
      <c r="AE68" s="115"/>
      <c r="AF68" s="115"/>
      <c r="AG68" s="115"/>
      <c r="AH68" s="115"/>
      <c r="AI68" s="115"/>
      <c r="AJ68" s="115"/>
      <c r="AK68" s="115"/>
      <c r="AL68" s="115"/>
      <c r="AM68" s="115"/>
      <c r="AN68" s="115"/>
      <c r="AO68" s="115"/>
      <c r="AP68" s="115"/>
      <c r="AQ68" s="115"/>
      <c r="AR68" s="115"/>
      <c r="AS68" s="115"/>
      <c r="AT68" s="115"/>
      <c r="AU68" s="115"/>
      <c r="AV68" s="115"/>
      <c r="AW68" s="115"/>
      <c r="AX68" s="115"/>
      <c r="AY68" s="115"/>
    </row>
    <row r="69" spans="1:51" x14ac:dyDescent="0.25">
      <c r="A69" s="114"/>
      <c r="B69" s="132">
        <v>25</v>
      </c>
      <c r="C69" s="114" t="s">
        <v>292</v>
      </c>
      <c r="D69" s="115"/>
      <c r="E69" s="115"/>
      <c r="F69" s="115"/>
      <c r="G69" s="115"/>
      <c r="H69" s="115"/>
      <c r="I69" s="115"/>
      <c r="J69" s="115"/>
      <c r="K69" s="115"/>
      <c r="L69" s="115"/>
      <c r="M69" s="115"/>
      <c r="N69" s="115"/>
      <c r="O69" s="115"/>
      <c r="P69" s="115"/>
      <c r="Q69" s="115"/>
      <c r="R69" s="115"/>
      <c r="S69" s="115"/>
      <c r="T69" s="115"/>
      <c r="U69" s="115"/>
      <c r="V69" s="115"/>
      <c r="W69" s="115"/>
      <c r="X69" s="115"/>
      <c r="Y69" s="115"/>
      <c r="Z69" s="115"/>
      <c r="AA69" s="115"/>
      <c r="AB69" s="115"/>
      <c r="AC69" s="115"/>
      <c r="AD69" s="115"/>
      <c r="AE69" s="115"/>
      <c r="AF69" s="115"/>
      <c r="AG69" s="115"/>
      <c r="AH69" s="115"/>
      <c r="AI69" s="115"/>
      <c r="AJ69" s="115"/>
      <c r="AK69" s="115"/>
      <c r="AL69" s="115"/>
      <c r="AM69" s="115"/>
      <c r="AN69" s="115"/>
      <c r="AO69" s="115"/>
      <c r="AP69" s="115"/>
      <c r="AQ69" s="115"/>
      <c r="AR69" s="115"/>
      <c r="AS69" s="115"/>
      <c r="AT69" s="115"/>
      <c r="AU69" s="115"/>
      <c r="AV69" s="115"/>
      <c r="AW69" s="115"/>
      <c r="AX69" s="115"/>
      <c r="AY69" s="115"/>
    </row>
    <row r="70" spans="1:51" x14ac:dyDescent="0.25">
      <c r="A70" s="114"/>
      <c r="B70" s="132">
        <v>26</v>
      </c>
      <c r="C70" s="114" t="s">
        <v>292</v>
      </c>
      <c r="D70" s="115"/>
      <c r="E70" s="115"/>
      <c r="F70" s="115"/>
      <c r="G70" s="115"/>
      <c r="H70" s="115"/>
      <c r="I70" s="115"/>
      <c r="J70" s="115"/>
      <c r="K70" s="115"/>
      <c r="L70" s="115"/>
      <c r="M70" s="115"/>
      <c r="N70" s="115"/>
      <c r="O70" s="115"/>
      <c r="P70" s="115"/>
      <c r="Q70" s="115"/>
      <c r="R70" s="115"/>
      <c r="S70" s="115"/>
      <c r="T70" s="115"/>
      <c r="U70" s="115"/>
      <c r="V70" s="115"/>
      <c r="W70" s="115"/>
      <c r="X70" s="115"/>
      <c r="Y70" s="115"/>
      <c r="Z70" s="115"/>
      <c r="AA70" s="115"/>
      <c r="AB70" s="115"/>
      <c r="AC70" s="115"/>
      <c r="AD70" s="115"/>
      <c r="AE70" s="115"/>
      <c r="AF70" s="115"/>
      <c r="AG70" s="115"/>
      <c r="AH70" s="115"/>
      <c r="AI70" s="115"/>
      <c r="AJ70" s="115"/>
      <c r="AK70" s="115"/>
      <c r="AL70" s="115"/>
      <c r="AM70" s="115"/>
      <c r="AN70" s="115"/>
      <c r="AO70" s="115"/>
      <c r="AP70" s="115"/>
      <c r="AQ70" s="115"/>
      <c r="AR70" s="115"/>
      <c r="AS70" s="115"/>
      <c r="AT70" s="115"/>
      <c r="AU70" s="115"/>
      <c r="AV70" s="115"/>
      <c r="AW70" s="115"/>
      <c r="AX70" s="115"/>
      <c r="AY70" s="115"/>
    </row>
    <row r="71" spans="1:51" x14ac:dyDescent="0.25">
      <c r="A71" s="114"/>
      <c r="B71" s="132">
        <v>27</v>
      </c>
      <c r="C71" s="114" t="s">
        <v>292</v>
      </c>
      <c r="D71" s="115"/>
      <c r="E71" s="115"/>
      <c r="F71" s="115"/>
      <c r="G71" s="115"/>
      <c r="H71" s="115"/>
      <c r="I71" s="115"/>
      <c r="J71" s="115"/>
      <c r="K71" s="115"/>
      <c r="L71" s="115"/>
      <c r="M71" s="115"/>
      <c r="N71" s="115"/>
      <c r="O71" s="115"/>
      <c r="P71" s="115"/>
      <c r="Q71" s="115"/>
      <c r="R71" s="115"/>
      <c r="S71" s="115"/>
      <c r="T71" s="115"/>
      <c r="U71" s="115"/>
      <c r="V71" s="115"/>
      <c r="W71" s="115"/>
      <c r="X71" s="115"/>
      <c r="Y71" s="115"/>
      <c r="Z71" s="115"/>
      <c r="AA71" s="115"/>
      <c r="AB71" s="115"/>
      <c r="AC71" s="115"/>
      <c r="AD71" s="115"/>
      <c r="AE71" s="115"/>
      <c r="AF71" s="115"/>
      <c r="AG71" s="115"/>
      <c r="AH71" s="115"/>
      <c r="AI71" s="115"/>
      <c r="AJ71" s="115"/>
      <c r="AK71" s="115"/>
      <c r="AL71" s="115"/>
      <c r="AM71" s="115"/>
      <c r="AN71" s="115"/>
      <c r="AO71" s="115"/>
      <c r="AP71" s="115"/>
      <c r="AQ71" s="115"/>
      <c r="AR71" s="115"/>
      <c r="AS71" s="115"/>
      <c r="AT71" s="115"/>
      <c r="AU71" s="115"/>
      <c r="AV71" s="115"/>
      <c r="AW71" s="115"/>
      <c r="AX71" s="115"/>
      <c r="AY71" s="115"/>
    </row>
    <row r="72" spans="1:51" x14ac:dyDescent="0.25">
      <c r="A72" s="114"/>
      <c r="B72" s="132">
        <v>28</v>
      </c>
      <c r="C72" s="114" t="s">
        <v>292</v>
      </c>
      <c r="D72" s="115"/>
      <c r="E72" s="115"/>
      <c r="F72" s="115"/>
      <c r="G72" s="115"/>
      <c r="H72" s="115"/>
      <c r="I72" s="115"/>
      <c r="J72" s="115"/>
      <c r="K72" s="115"/>
      <c r="L72" s="115"/>
      <c r="M72" s="115"/>
      <c r="N72" s="115"/>
      <c r="O72" s="115"/>
      <c r="P72" s="115"/>
      <c r="Q72" s="115"/>
      <c r="R72" s="115"/>
      <c r="S72" s="115"/>
      <c r="T72" s="115"/>
      <c r="U72" s="115"/>
      <c r="V72" s="115"/>
      <c r="W72" s="115"/>
      <c r="X72" s="115"/>
      <c r="Y72" s="115"/>
      <c r="Z72" s="115"/>
      <c r="AA72" s="115"/>
      <c r="AB72" s="115"/>
      <c r="AC72" s="115"/>
      <c r="AD72" s="115"/>
      <c r="AE72" s="115"/>
      <c r="AF72" s="115"/>
      <c r="AG72" s="115"/>
      <c r="AH72" s="115"/>
      <c r="AI72" s="115"/>
      <c r="AJ72" s="115"/>
      <c r="AK72" s="115"/>
      <c r="AL72" s="115"/>
      <c r="AM72" s="115"/>
      <c r="AN72" s="115"/>
      <c r="AO72" s="115"/>
      <c r="AP72" s="115"/>
      <c r="AQ72" s="115"/>
      <c r="AR72" s="115"/>
      <c r="AS72" s="115"/>
      <c r="AT72" s="115"/>
      <c r="AU72" s="115"/>
      <c r="AV72" s="115"/>
      <c r="AW72" s="115"/>
      <c r="AX72" s="115"/>
      <c r="AY72" s="115"/>
    </row>
    <row r="73" spans="1:51" x14ac:dyDescent="0.25">
      <c r="A73" s="114"/>
      <c r="B73" s="132">
        <v>29</v>
      </c>
      <c r="C73" s="114" t="s">
        <v>292</v>
      </c>
      <c r="D73" s="115"/>
      <c r="E73" s="115"/>
      <c r="F73" s="115"/>
      <c r="G73" s="115"/>
      <c r="H73" s="115"/>
      <c r="I73" s="115"/>
      <c r="J73" s="115"/>
      <c r="K73" s="115"/>
      <c r="L73" s="115"/>
      <c r="M73" s="115"/>
      <c r="N73" s="115"/>
      <c r="O73" s="115"/>
      <c r="P73" s="115"/>
      <c r="Q73" s="115"/>
      <c r="R73" s="115"/>
      <c r="S73" s="115"/>
      <c r="T73" s="115"/>
      <c r="U73" s="115"/>
      <c r="V73" s="115"/>
      <c r="W73" s="115"/>
      <c r="X73" s="115"/>
      <c r="Y73" s="115"/>
      <c r="Z73" s="115"/>
      <c r="AA73" s="115"/>
      <c r="AB73" s="115"/>
      <c r="AC73" s="115"/>
      <c r="AD73" s="115"/>
      <c r="AE73" s="115"/>
      <c r="AF73" s="115"/>
      <c r="AG73" s="115"/>
      <c r="AH73" s="115"/>
      <c r="AI73" s="115"/>
      <c r="AJ73" s="115"/>
      <c r="AK73" s="115"/>
      <c r="AL73" s="115"/>
      <c r="AM73" s="115"/>
      <c r="AN73" s="115"/>
      <c r="AO73" s="115"/>
      <c r="AP73" s="115"/>
      <c r="AQ73" s="115"/>
      <c r="AR73" s="115"/>
      <c r="AS73" s="115"/>
      <c r="AT73" s="115"/>
      <c r="AU73" s="115"/>
      <c r="AV73" s="115"/>
      <c r="AW73" s="115"/>
      <c r="AX73" s="115"/>
      <c r="AY73" s="115"/>
    </row>
    <row r="74" spans="1:51" x14ac:dyDescent="0.25">
      <c r="A74" s="114"/>
      <c r="B74" s="132">
        <v>30</v>
      </c>
      <c r="C74" s="114" t="s">
        <v>292</v>
      </c>
      <c r="D74" s="115"/>
      <c r="E74" s="115"/>
      <c r="F74" s="115"/>
      <c r="G74" s="115"/>
      <c r="H74" s="115"/>
      <c r="I74" s="115"/>
      <c r="J74" s="115"/>
      <c r="K74" s="115"/>
      <c r="L74" s="115"/>
      <c r="M74" s="115"/>
      <c r="N74" s="115"/>
      <c r="O74" s="115"/>
      <c r="P74" s="115"/>
      <c r="Q74" s="115"/>
      <c r="R74" s="115"/>
      <c r="S74" s="115"/>
      <c r="T74" s="115"/>
      <c r="U74" s="115"/>
      <c r="V74" s="115"/>
      <c r="W74" s="115"/>
      <c r="X74" s="115"/>
      <c r="Y74" s="115"/>
      <c r="Z74" s="115"/>
      <c r="AA74" s="115"/>
      <c r="AB74" s="115"/>
      <c r="AC74" s="115"/>
      <c r="AD74" s="115"/>
      <c r="AE74" s="115"/>
      <c r="AF74" s="115"/>
      <c r="AG74" s="115"/>
      <c r="AH74" s="115"/>
      <c r="AI74" s="115"/>
      <c r="AJ74" s="115"/>
      <c r="AK74" s="115"/>
      <c r="AL74" s="115"/>
      <c r="AM74" s="115"/>
      <c r="AN74" s="115"/>
      <c r="AO74" s="115"/>
      <c r="AP74" s="115"/>
      <c r="AQ74" s="115"/>
      <c r="AR74" s="115"/>
      <c r="AS74" s="115"/>
      <c r="AT74" s="115"/>
      <c r="AU74" s="115"/>
      <c r="AV74" s="115"/>
      <c r="AW74" s="115"/>
      <c r="AX74" s="115"/>
      <c r="AY74" s="115"/>
    </row>
    <row r="75" spans="1:51" x14ac:dyDescent="0.25">
      <c r="A75" s="114"/>
      <c r="B75" s="132">
        <v>31</v>
      </c>
      <c r="C75" s="114" t="s">
        <v>292</v>
      </c>
      <c r="D75" s="115"/>
      <c r="E75" s="115"/>
      <c r="F75" s="115"/>
      <c r="G75" s="115"/>
      <c r="H75" s="115"/>
      <c r="I75" s="115"/>
      <c r="J75" s="115"/>
      <c r="K75" s="115"/>
      <c r="L75" s="115"/>
      <c r="M75" s="115"/>
      <c r="N75" s="115"/>
      <c r="O75" s="115"/>
      <c r="P75" s="115"/>
      <c r="Q75" s="115"/>
      <c r="R75" s="115"/>
      <c r="S75" s="115"/>
      <c r="T75" s="115"/>
      <c r="U75" s="115"/>
      <c r="V75" s="115"/>
      <c r="W75" s="115"/>
      <c r="X75" s="115"/>
      <c r="Y75" s="115"/>
      <c r="Z75" s="115"/>
      <c r="AA75" s="115"/>
      <c r="AB75" s="115"/>
      <c r="AC75" s="115"/>
      <c r="AD75" s="115"/>
      <c r="AE75" s="115"/>
      <c r="AF75" s="115"/>
      <c r="AG75" s="115"/>
      <c r="AH75" s="115"/>
      <c r="AI75" s="115"/>
      <c r="AJ75" s="115"/>
      <c r="AK75" s="115"/>
      <c r="AL75" s="115"/>
      <c r="AM75" s="115"/>
      <c r="AN75" s="115"/>
      <c r="AO75" s="115"/>
      <c r="AP75" s="115"/>
      <c r="AQ75" s="115"/>
      <c r="AR75" s="115"/>
      <c r="AS75" s="115"/>
      <c r="AT75" s="115"/>
      <c r="AU75" s="115"/>
      <c r="AV75" s="115"/>
      <c r="AW75" s="115"/>
      <c r="AX75" s="115"/>
      <c r="AY75" s="115"/>
    </row>
    <row r="76" spans="1:51" x14ac:dyDescent="0.25">
      <c r="A76" s="114"/>
      <c r="B76" s="132">
        <v>32</v>
      </c>
      <c r="C76" s="114" t="s">
        <v>292</v>
      </c>
      <c r="D76" s="115"/>
      <c r="E76" s="115"/>
      <c r="F76" s="115"/>
      <c r="G76" s="115"/>
      <c r="H76" s="115"/>
      <c r="I76" s="115"/>
      <c r="J76" s="115"/>
      <c r="K76" s="115"/>
      <c r="L76" s="115"/>
      <c r="M76" s="115"/>
      <c r="N76" s="115"/>
      <c r="O76" s="115"/>
      <c r="P76" s="115"/>
      <c r="Q76" s="115"/>
      <c r="R76" s="115"/>
      <c r="S76" s="115"/>
      <c r="T76" s="115"/>
      <c r="U76" s="115"/>
      <c r="V76" s="115"/>
      <c r="W76" s="115"/>
      <c r="X76" s="115"/>
      <c r="Y76" s="115"/>
      <c r="Z76" s="115"/>
      <c r="AA76" s="115"/>
      <c r="AB76" s="115"/>
      <c r="AC76" s="115"/>
      <c r="AD76" s="115"/>
      <c r="AE76" s="115"/>
      <c r="AF76" s="115"/>
      <c r="AG76" s="115"/>
      <c r="AH76" s="115"/>
      <c r="AI76" s="115"/>
      <c r="AJ76" s="115"/>
      <c r="AK76" s="115"/>
      <c r="AL76" s="115"/>
      <c r="AM76" s="115"/>
      <c r="AN76" s="115"/>
      <c r="AO76" s="115"/>
      <c r="AP76" s="115"/>
      <c r="AQ76" s="115"/>
      <c r="AR76" s="115"/>
      <c r="AS76" s="115"/>
      <c r="AT76" s="115"/>
      <c r="AU76" s="115"/>
      <c r="AV76" s="115"/>
      <c r="AW76" s="115"/>
      <c r="AX76" s="115"/>
      <c r="AY76" s="115"/>
    </row>
    <row r="77" spans="1:51" x14ac:dyDescent="0.25">
      <c r="A77" s="114"/>
      <c r="B77" s="132">
        <v>33</v>
      </c>
      <c r="C77" s="114" t="s">
        <v>292</v>
      </c>
      <c r="D77" s="115"/>
      <c r="E77" s="115"/>
      <c r="F77" s="115"/>
      <c r="G77" s="115"/>
      <c r="H77" s="115"/>
      <c r="I77" s="115"/>
      <c r="J77" s="115"/>
      <c r="K77" s="115"/>
      <c r="L77" s="115"/>
      <c r="M77" s="115"/>
      <c r="N77" s="115"/>
      <c r="O77" s="115"/>
      <c r="P77" s="115"/>
      <c r="Q77" s="115"/>
      <c r="R77" s="115"/>
      <c r="S77" s="115"/>
      <c r="T77" s="115"/>
      <c r="U77" s="115"/>
      <c r="V77" s="115"/>
      <c r="W77" s="115"/>
      <c r="X77" s="115"/>
      <c r="Y77" s="115"/>
      <c r="Z77" s="115"/>
      <c r="AA77" s="115"/>
      <c r="AB77" s="115"/>
      <c r="AC77" s="115"/>
      <c r="AD77" s="115"/>
      <c r="AE77" s="115"/>
      <c r="AF77" s="115"/>
      <c r="AG77" s="115"/>
      <c r="AH77" s="115"/>
      <c r="AI77" s="115"/>
      <c r="AJ77" s="115"/>
      <c r="AK77" s="115"/>
      <c r="AL77" s="115"/>
      <c r="AM77" s="115"/>
      <c r="AN77" s="115"/>
      <c r="AO77" s="115"/>
      <c r="AP77" s="115"/>
      <c r="AQ77" s="115"/>
      <c r="AR77" s="115"/>
      <c r="AS77" s="115"/>
      <c r="AT77" s="115"/>
      <c r="AU77" s="115"/>
      <c r="AV77" s="115"/>
      <c r="AW77" s="115"/>
      <c r="AX77" s="115"/>
      <c r="AY77" s="115"/>
    </row>
    <row r="78" spans="1:51" x14ac:dyDescent="0.25">
      <c r="A78" s="114"/>
      <c r="B78" s="132">
        <v>34</v>
      </c>
      <c r="C78" s="114" t="s">
        <v>292</v>
      </c>
      <c r="D78" s="115"/>
      <c r="E78" s="115"/>
      <c r="F78" s="115"/>
      <c r="G78" s="115"/>
      <c r="H78" s="115"/>
      <c r="I78" s="115"/>
      <c r="J78" s="115"/>
      <c r="K78" s="115"/>
      <c r="L78" s="115"/>
      <c r="M78" s="115"/>
      <c r="N78" s="115"/>
      <c r="O78" s="115"/>
      <c r="P78" s="115"/>
      <c r="Q78" s="115"/>
      <c r="R78" s="115"/>
      <c r="S78" s="115"/>
      <c r="T78" s="115"/>
      <c r="U78" s="115"/>
      <c r="V78" s="115"/>
      <c r="W78" s="115"/>
      <c r="X78" s="115"/>
      <c r="Y78" s="115"/>
      <c r="Z78" s="115"/>
      <c r="AA78" s="115"/>
      <c r="AB78" s="115"/>
      <c r="AC78" s="115"/>
      <c r="AD78" s="115"/>
      <c r="AE78" s="115"/>
      <c r="AF78" s="115"/>
      <c r="AG78" s="115"/>
      <c r="AH78" s="115"/>
      <c r="AI78" s="115"/>
      <c r="AJ78" s="115"/>
      <c r="AK78" s="115"/>
      <c r="AL78" s="115"/>
      <c r="AM78" s="115"/>
      <c r="AN78" s="115"/>
      <c r="AO78" s="115"/>
      <c r="AP78" s="115"/>
      <c r="AQ78" s="115"/>
      <c r="AR78" s="115"/>
      <c r="AS78" s="115"/>
      <c r="AT78" s="115"/>
      <c r="AU78" s="115"/>
      <c r="AV78" s="115"/>
      <c r="AW78" s="115"/>
      <c r="AX78" s="115"/>
      <c r="AY78" s="115"/>
    </row>
    <row r="79" spans="1:51" x14ac:dyDescent="0.25">
      <c r="A79" s="114"/>
      <c r="B79" s="132">
        <v>35</v>
      </c>
      <c r="C79" s="114" t="s">
        <v>292</v>
      </c>
      <c r="D79" s="115"/>
      <c r="E79" s="115"/>
      <c r="F79" s="115"/>
      <c r="G79" s="115"/>
      <c r="H79" s="115"/>
      <c r="I79" s="115"/>
      <c r="J79" s="115"/>
      <c r="K79" s="115"/>
      <c r="L79" s="115"/>
      <c r="M79" s="115"/>
      <c r="N79" s="115"/>
      <c r="O79" s="115"/>
      <c r="P79" s="115"/>
      <c r="Q79" s="115"/>
      <c r="R79" s="115"/>
      <c r="S79" s="115"/>
      <c r="T79" s="115"/>
      <c r="U79" s="115"/>
      <c r="V79" s="115"/>
      <c r="W79" s="115"/>
      <c r="X79" s="115"/>
      <c r="Y79" s="115"/>
      <c r="Z79" s="115"/>
      <c r="AA79" s="115"/>
      <c r="AB79" s="115"/>
      <c r="AC79" s="115"/>
      <c r="AD79" s="115"/>
      <c r="AE79" s="115"/>
      <c r="AF79" s="115"/>
      <c r="AG79" s="115"/>
      <c r="AH79" s="115"/>
      <c r="AI79" s="115"/>
      <c r="AJ79" s="115"/>
      <c r="AK79" s="115"/>
      <c r="AL79" s="115"/>
      <c r="AM79" s="115"/>
      <c r="AN79" s="115"/>
      <c r="AO79" s="115"/>
      <c r="AP79" s="115"/>
      <c r="AQ79" s="115"/>
      <c r="AR79" s="115"/>
      <c r="AS79" s="115"/>
      <c r="AT79" s="115"/>
      <c r="AU79" s="115"/>
      <c r="AV79" s="115"/>
      <c r="AW79" s="115"/>
      <c r="AX79" s="115"/>
      <c r="AY79" s="115"/>
    </row>
    <row r="80" spans="1:51" x14ac:dyDescent="0.25">
      <c r="A80" s="114"/>
      <c r="B80" s="132">
        <v>36</v>
      </c>
      <c r="C80" s="114" t="s">
        <v>292</v>
      </c>
      <c r="D80" s="115"/>
      <c r="E80" s="115"/>
      <c r="F80" s="115"/>
      <c r="G80" s="115"/>
      <c r="H80" s="115"/>
      <c r="I80" s="115"/>
      <c r="J80" s="115"/>
      <c r="K80" s="115"/>
      <c r="L80" s="115"/>
      <c r="M80" s="115"/>
      <c r="N80" s="115"/>
      <c r="O80" s="115"/>
      <c r="P80" s="115"/>
      <c r="Q80" s="115"/>
      <c r="R80" s="115"/>
      <c r="S80" s="115"/>
      <c r="T80" s="115"/>
      <c r="U80" s="115"/>
      <c r="V80" s="115"/>
      <c r="W80" s="115"/>
      <c r="X80" s="115"/>
      <c r="Y80" s="115"/>
      <c r="Z80" s="115"/>
      <c r="AA80" s="115"/>
      <c r="AB80" s="115"/>
      <c r="AC80" s="115"/>
      <c r="AD80" s="115"/>
      <c r="AE80" s="115"/>
      <c r="AF80" s="115"/>
      <c r="AG80" s="115"/>
      <c r="AH80" s="115"/>
      <c r="AI80" s="115"/>
      <c r="AJ80" s="115"/>
      <c r="AK80" s="115"/>
      <c r="AL80" s="115"/>
      <c r="AM80" s="115"/>
      <c r="AN80" s="115"/>
      <c r="AO80" s="115"/>
      <c r="AP80" s="115"/>
      <c r="AQ80" s="115"/>
      <c r="AR80" s="115"/>
      <c r="AS80" s="115"/>
      <c r="AT80" s="115"/>
      <c r="AU80" s="115"/>
      <c r="AV80" s="115"/>
      <c r="AW80" s="115"/>
      <c r="AX80" s="115"/>
      <c r="AY80" s="115"/>
    </row>
    <row r="81" spans="1:52" x14ac:dyDescent="0.25">
      <c r="A81" s="114"/>
      <c r="B81" s="135">
        <v>37</v>
      </c>
      <c r="C81" s="114" t="s">
        <v>292</v>
      </c>
      <c r="D81" s="115"/>
      <c r="E81" s="115"/>
      <c r="F81" s="115"/>
      <c r="G81" s="115"/>
      <c r="H81" s="115"/>
      <c r="I81" s="115"/>
      <c r="J81" s="115"/>
      <c r="K81" s="115"/>
      <c r="L81" s="115"/>
      <c r="M81" s="115"/>
      <c r="N81" s="115"/>
      <c r="O81" s="115"/>
      <c r="P81" s="115"/>
      <c r="Q81" s="115"/>
      <c r="R81" s="115"/>
      <c r="S81" s="115"/>
      <c r="T81" s="115"/>
      <c r="U81" s="115"/>
      <c r="V81" s="115"/>
      <c r="W81" s="115"/>
      <c r="X81" s="115"/>
      <c r="Y81" s="115"/>
      <c r="Z81" s="115"/>
      <c r="AA81" s="115"/>
      <c r="AB81" s="115"/>
      <c r="AC81" s="115"/>
      <c r="AD81" s="115"/>
      <c r="AE81" s="115"/>
      <c r="AF81" s="115"/>
      <c r="AG81" s="115"/>
      <c r="AH81" s="115"/>
      <c r="AI81" s="115"/>
      <c r="AJ81" s="115"/>
      <c r="AK81" s="115"/>
      <c r="AL81" s="115"/>
      <c r="AM81" s="115"/>
      <c r="AN81" s="115"/>
      <c r="AO81" s="115"/>
      <c r="AP81" s="115"/>
      <c r="AQ81" s="115"/>
      <c r="AR81" s="115"/>
      <c r="AS81" s="115"/>
      <c r="AT81" s="115"/>
      <c r="AU81" s="115"/>
      <c r="AV81" s="115"/>
      <c r="AW81" s="115"/>
      <c r="AX81" s="115"/>
      <c r="AY81" s="115"/>
    </row>
    <row r="82" spans="1:52" x14ac:dyDescent="0.25">
      <c r="A82" s="114"/>
      <c r="B82" s="135">
        <v>38</v>
      </c>
      <c r="C82" s="114" t="s">
        <v>292</v>
      </c>
      <c r="D82" s="115"/>
      <c r="E82" s="115"/>
      <c r="F82" s="115"/>
      <c r="G82" s="115"/>
      <c r="H82" s="115"/>
      <c r="I82" s="115"/>
      <c r="J82" s="115"/>
      <c r="K82" s="115"/>
      <c r="L82" s="115"/>
      <c r="M82" s="115"/>
      <c r="N82" s="115"/>
      <c r="O82" s="115"/>
      <c r="P82" s="115"/>
      <c r="Q82" s="115"/>
      <c r="R82" s="115"/>
      <c r="S82" s="115"/>
      <c r="T82" s="115"/>
      <c r="U82" s="115"/>
      <c r="V82" s="115"/>
      <c r="W82" s="115"/>
      <c r="X82" s="115"/>
      <c r="Y82" s="115"/>
      <c r="Z82" s="115"/>
      <c r="AA82" s="115"/>
      <c r="AB82" s="115"/>
      <c r="AC82" s="115"/>
      <c r="AD82" s="115"/>
      <c r="AE82" s="115"/>
      <c r="AF82" s="115"/>
      <c r="AG82" s="115"/>
      <c r="AH82" s="115"/>
      <c r="AI82" s="115"/>
      <c r="AJ82" s="115"/>
      <c r="AK82" s="115"/>
      <c r="AL82" s="115"/>
      <c r="AM82" s="115"/>
      <c r="AN82" s="115"/>
      <c r="AO82" s="115"/>
      <c r="AP82" s="115"/>
      <c r="AQ82" s="115"/>
      <c r="AR82" s="115"/>
      <c r="AS82" s="115"/>
      <c r="AT82" s="115"/>
      <c r="AU82" s="115"/>
      <c r="AV82" s="115"/>
      <c r="AW82" s="115"/>
      <c r="AX82" s="115"/>
      <c r="AY82" s="115"/>
    </row>
    <row r="83" spans="1:52" x14ac:dyDescent="0.25">
      <c r="A83" s="114"/>
      <c r="B83" s="135">
        <v>39</v>
      </c>
      <c r="C83" s="114" t="s">
        <v>292</v>
      </c>
      <c r="D83" s="115"/>
      <c r="E83" s="115"/>
      <c r="F83" s="115"/>
      <c r="G83" s="115"/>
      <c r="H83" s="115"/>
      <c r="I83" s="115"/>
      <c r="J83" s="115"/>
      <c r="K83" s="115"/>
      <c r="L83" s="115"/>
      <c r="M83" s="115"/>
      <c r="N83" s="115"/>
      <c r="O83" s="115"/>
      <c r="P83" s="115"/>
      <c r="Q83" s="115"/>
      <c r="R83" s="115"/>
      <c r="S83" s="115"/>
      <c r="T83" s="115"/>
      <c r="U83" s="115"/>
      <c r="V83" s="115"/>
      <c r="W83" s="115"/>
      <c r="X83" s="115"/>
      <c r="Y83" s="115"/>
      <c r="Z83" s="115"/>
      <c r="AA83" s="115"/>
      <c r="AB83" s="115"/>
      <c r="AC83" s="115"/>
      <c r="AD83" s="115"/>
      <c r="AE83" s="115"/>
      <c r="AF83" s="115"/>
      <c r="AG83" s="115"/>
      <c r="AH83" s="115"/>
      <c r="AI83" s="115"/>
      <c r="AJ83" s="115"/>
      <c r="AK83" s="115"/>
      <c r="AL83" s="115"/>
      <c r="AM83" s="115"/>
      <c r="AN83" s="115"/>
      <c r="AO83" s="115"/>
      <c r="AP83" s="115"/>
      <c r="AQ83" s="115"/>
      <c r="AR83" s="115"/>
      <c r="AS83" s="115"/>
      <c r="AT83" s="115"/>
      <c r="AU83" s="115"/>
      <c r="AV83" s="115"/>
      <c r="AW83" s="115"/>
      <c r="AX83" s="115"/>
      <c r="AY83" s="115"/>
    </row>
    <row r="84" spans="1:52" x14ac:dyDescent="0.25">
      <c r="A84" s="114"/>
      <c r="B84" s="135">
        <v>40</v>
      </c>
      <c r="C84" s="114" t="s">
        <v>292</v>
      </c>
      <c r="D84" s="115"/>
      <c r="E84" s="115"/>
      <c r="F84" s="115"/>
      <c r="G84" s="115"/>
      <c r="H84" s="115"/>
      <c r="I84" s="115"/>
      <c r="J84" s="115"/>
      <c r="K84" s="115"/>
      <c r="L84" s="115"/>
      <c r="M84" s="115"/>
      <c r="N84" s="115"/>
      <c r="O84" s="115"/>
      <c r="P84" s="115"/>
      <c r="Q84" s="115"/>
      <c r="R84" s="115"/>
      <c r="S84" s="115"/>
      <c r="T84" s="115"/>
      <c r="U84" s="115"/>
      <c r="V84" s="115"/>
      <c r="W84" s="115"/>
      <c r="X84" s="115"/>
      <c r="Y84" s="115"/>
      <c r="Z84" s="115"/>
      <c r="AA84" s="115"/>
      <c r="AB84" s="115"/>
      <c r="AC84" s="115"/>
      <c r="AD84" s="115"/>
      <c r="AE84" s="115"/>
      <c r="AF84" s="115"/>
      <c r="AG84" s="115"/>
      <c r="AH84" s="115"/>
      <c r="AI84" s="115"/>
      <c r="AJ84" s="115"/>
      <c r="AK84" s="115"/>
      <c r="AL84" s="115"/>
      <c r="AM84" s="115"/>
      <c r="AN84" s="115"/>
      <c r="AO84" s="115"/>
      <c r="AP84" s="115"/>
      <c r="AQ84" s="115"/>
      <c r="AR84" s="115"/>
      <c r="AS84" s="115"/>
      <c r="AT84" s="115"/>
      <c r="AU84" s="115"/>
      <c r="AV84" s="115"/>
      <c r="AW84" s="115"/>
      <c r="AX84" s="115"/>
      <c r="AY84" s="115"/>
    </row>
    <row r="85" spans="1:52" x14ac:dyDescent="0.25">
      <c r="A85" s="114"/>
      <c r="B85" s="135">
        <v>41</v>
      </c>
      <c r="C85" s="114" t="s">
        <v>292</v>
      </c>
      <c r="D85" s="115"/>
      <c r="E85" s="115"/>
      <c r="F85" s="115"/>
      <c r="G85" s="115"/>
      <c r="H85" s="115"/>
      <c r="I85" s="115"/>
      <c r="J85" s="115"/>
      <c r="K85" s="115"/>
      <c r="L85" s="115"/>
      <c r="M85" s="115"/>
      <c r="N85" s="115"/>
      <c r="O85" s="115"/>
      <c r="P85" s="115"/>
      <c r="Q85" s="115"/>
      <c r="R85" s="115"/>
      <c r="S85" s="115"/>
      <c r="T85" s="115"/>
      <c r="U85" s="115"/>
      <c r="V85" s="115"/>
      <c r="W85" s="115"/>
      <c r="X85" s="115"/>
      <c r="Y85" s="115"/>
      <c r="Z85" s="115"/>
      <c r="AA85" s="115"/>
      <c r="AB85" s="115"/>
      <c r="AC85" s="115"/>
      <c r="AD85" s="115"/>
      <c r="AE85" s="115"/>
      <c r="AF85" s="115"/>
      <c r="AG85" s="115"/>
      <c r="AH85" s="115"/>
      <c r="AI85" s="115"/>
      <c r="AJ85" s="115"/>
      <c r="AK85" s="115"/>
      <c r="AL85" s="115"/>
      <c r="AM85" s="115"/>
      <c r="AN85" s="115"/>
      <c r="AO85" s="115"/>
      <c r="AP85" s="115"/>
      <c r="AQ85" s="115"/>
      <c r="AR85" s="115"/>
      <c r="AS85" s="115"/>
      <c r="AT85" s="115"/>
      <c r="AU85" s="115"/>
      <c r="AV85" s="115"/>
      <c r="AW85" s="115"/>
      <c r="AX85" s="115"/>
      <c r="AY85" s="115"/>
    </row>
    <row r="86" spans="1:52" x14ac:dyDescent="0.25">
      <c r="A86" s="114"/>
      <c r="B86" s="135">
        <v>42</v>
      </c>
      <c r="C86" s="114" t="s">
        <v>292</v>
      </c>
      <c r="D86" s="115"/>
      <c r="E86" s="115"/>
      <c r="F86" s="115"/>
      <c r="G86" s="115"/>
      <c r="H86" s="115"/>
      <c r="I86" s="115"/>
      <c r="J86" s="115"/>
      <c r="K86" s="115"/>
      <c r="L86" s="115"/>
      <c r="M86" s="115"/>
      <c r="N86" s="115"/>
      <c r="O86" s="115"/>
      <c r="P86" s="115"/>
      <c r="Q86" s="115"/>
      <c r="R86" s="115"/>
      <c r="S86" s="115"/>
      <c r="T86" s="115"/>
      <c r="U86" s="115"/>
      <c r="V86" s="115"/>
      <c r="W86" s="115"/>
      <c r="X86" s="115"/>
      <c r="Y86" s="115"/>
      <c r="Z86" s="115"/>
      <c r="AA86" s="115"/>
      <c r="AB86" s="115"/>
      <c r="AC86" s="115"/>
      <c r="AD86" s="115"/>
      <c r="AE86" s="115"/>
      <c r="AF86" s="115"/>
      <c r="AG86" s="115"/>
      <c r="AH86" s="115"/>
      <c r="AI86" s="115"/>
      <c r="AJ86" s="115"/>
      <c r="AK86" s="115"/>
      <c r="AL86" s="115"/>
      <c r="AM86" s="115"/>
      <c r="AN86" s="115"/>
      <c r="AO86" s="115"/>
      <c r="AP86" s="115"/>
      <c r="AQ86" s="115"/>
      <c r="AR86" s="115"/>
      <c r="AS86" s="115"/>
      <c r="AT86" s="115"/>
      <c r="AU86" s="115"/>
      <c r="AV86" s="115"/>
      <c r="AW86" s="115"/>
      <c r="AX86" s="115"/>
      <c r="AY86" s="115"/>
    </row>
    <row r="87" spans="1:52" x14ac:dyDescent="0.25">
      <c r="A87" s="114"/>
      <c r="B87" s="135">
        <v>43</v>
      </c>
      <c r="C87" s="114" t="s">
        <v>292</v>
      </c>
      <c r="D87" s="115"/>
      <c r="E87" s="115"/>
      <c r="F87" s="115"/>
      <c r="G87" s="115"/>
      <c r="H87" s="115"/>
      <c r="I87" s="115"/>
      <c r="J87" s="115"/>
      <c r="K87" s="115"/>
      <c r="L87" s="115"/>
      <c r="M87" s="115"/>
      <c r="N87" s="115"/>
      <c r="O87" s="115"/>
      <c r="P87" s="115"/>
      <c r="Q87" s="115"/>
      <c r="R87" s="115"/>
      <c r="S87" s="115"/>
      <c r="T87" s="115"/>
      <c r="U87" s="115"/>
      <c r="V87" s="115"/>
      <c r="W87" s="115"/>
      <c r="X87" s="115"/>
      <c r="Y87" s="115"/>
      <c r="Z87" s="115"/>
      <c r="AA87" s="115"/>
      <c r="AB87" s="115"/>
      <c r="AC87" s="115"/>
      <c r="AD87" s="115"/>
      <c r="AE87" s="115"/>
      <c r="AF87" s="115"/>
      <c r="AG87" s="115"/>
      <c r="AH87" s="115"/>
      <c r="AI87" s="115"/>
      <c r="AJ87" s="115"/>
      <c r="AK87" s="115"/>
      <c r="AL87" s="115"/>
      <c r="AM87" s="115"/>
      <c r="AN87" s="115"/>
      <c r="AO87" s="115"/>
      <c r="AP87" s="115"/>
      <c r="AQ87" s="115"/>
      <c r="AR87" s="115"/>
      <c r="AS87" s="115"/>
      <c r="AT87" s="115"/>
      <c r="AU87" s="115"/>
      <c r="AV87" s="115"/>
      <c r="AW87" s="115"/>
      <c r="AX87" s="115"/>
      <c r="AY87" s="115"/>
    </row>
    <row r="88" spans="1:52" x14ac:dyDescent="0.25">
      <c r="A88" s="114"/>
      <c r="B88" s="135">
        <v>44</v>
      </c>
      <c r="C88" s="114" t="s">
        <v>292</v>
      </c>
      <c r="D88" s="115"/>
      <c r="E88" s="115"/>
      <c r="F88" s="115"/>
      <c r="G88" s="115"/>
      <c r="H88" s="115"/>
      <c r="I88" s="115"/>
      <c r="J88" s="115"/>
      <c r="K88" s="115"/>
      <c r="L88" s="115"/>
      <c r="M88" s="115"/>
      <c r="N88" s="115"/>
      <c r="O88" s="115"/>
      <c r="P88" s="115"/>
      <c r="Q88" s="115"/>
      <c r="R88" s="115"/>
      <c r="S88" s="115"/>
      <c r="T88" s="115"/>
      <c r="U88" s="115"/>
      <c r="V88" s="115"/>
      <c r="W88" s="115"/>
      <c r="X88" s="115"/>
      <c r="Y88" s="115"/>
      <c r="Z88" s="115"/>
      <c r="AA88" s="115"/>
      <c r="AB88" s="115"/>
      <c r="AC88" s="115"/>
      <c r="AD88" s="115"/>
      <c r="AE88" s="115"/>
      <c r="AF88" s="115"/>
      <c r="AG88" s="115"/>
      <c r="AH88" s="115"/>
      <c r="AI88" s="115"/>
      <c r="AJ88" s="115"/>
      <c r="AK88" s="115"/>
      <c r="AL88" s="115"/>
      <c r="AM88" s="115"/>
      <c r="AN88" s="115"/>
      <c r="AO88" s="115"/>
      <c r="AP88" s="115"/>
      <c r="AQ88" s="115"/>
      <c r="AR88" s="115"/>
      <c r="AS88" s="115"/>
      <c r="AT88" s="115"/>
      <c r="AU88" s="115"/>
      <c r="AV88" s="115"/>
      <c r="AW88" s="115"/>
      <c r="AX88" s="115"/>
      <c r="AY88" s="115"/>
    </row>
    <row r="89" spans="1:52" x14ac:dyDescent="0.25">
      <c r="A89" s="114"/>
      <c r="B89" s="135">
        <v>45</v>
      </c>
      <c r="C89" s="114" t="s">
        <v>292</v>
      </c>
      <c r="D89" s="115"/>
      <c r="E89" s="115"/>
      <c r="F89" s="115"/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115"/>
      <c r="R89" s="115"/>
      <c r="S89" s="115"/>
      <c r="T89" s="115"/>
      <c r="U89" s="115"/>
      <c r="V89" s="115"/>
      <c r="W89" s="115"/>
      <c r="X89" s="115"/>
      <c r="Y89" s="115"/>
      <c r="Z89" s="115"/>
      <c r="AA89" s="115"/>
      <c r="AB89" s="115"/>
      <c r="AC89" s="115"/>
      <c r="AD89" s="115"/>
      <c r="AE89" s="115"/>
      <c r="AF89" s="115"/>
      <c r="AG89" s="115"/>
      <c r="AH89" s="115"/>
      <c r="AI89" s="115"/>
      <c r="AJ89" s="115"/>
      <c r="AK89" s="115"/>
      <c r="AL89" s="115"/>
      <c r="AM89" s="115"/>
      <c r="AN89" s="115"/>
      <c r="AO89" s="115"/>
      <c r="AP89" s="115"/>
      <c r="AQ89" s="115"/>
      <c r="AR89" s="115"/>
      <c r="AS89" s="115"/>
      <c r="AT89" s="115"/>
      <c r="AU89" s="115"/>
      <c r="AV89" s="115"/>
      <c r="AW89" s="115"/>
      <c r="AX89" s="115"/>
      <c r="AY89" s="115"/>
    </row>
    <row r="90" spans="1:52" x14ac:dyDescent="0.25">
      <c r="A90" s="114"/>
      <c r="B90" s="135">
        <v>46</v>
      </c>
      <c r="C90" s="114" t="s">
        <v>292</v>
      </c>
      <c r="D90" s="115"/>
      <c r="E90" s="115"/>
      <c r="F90" s="115"/>
      <c r="G90" s="115"/>
      <c r="H90" s="115"/>
      <c r="I90" s="115"/>
      <c r="J90" s="115"/>
      <c r="K90" s="115"/>
      <c r="L90" s="115"/>
      <c r="M90" s="115"/>
      <c r="N90" s="115"/>
      <c r="O90" s="115"/>
      <c r="P90" s="115"/>
      <c r="Q90" s="115"/>
      <c r="R90" s="115"/>
      <c r="S90" s="115"/>
      <c r="T90" s="115"/>
      <c r="U90" s="115"/>
      <c r="V90" s="115"/>
      <c r="W90" s="115"/>
      <c r="X90" s="115"/>
      <c r="Y90" s="115"/>
      <c r="Z90" s="115"/>
      <c r="AA90" s="115"/>
      <c r="AB90" s="115"/>
      <c r="AC90" s="115"/>
      <c r="AD90" s="115"/>
      <c r="AE90" s="115"/>
      <c r="AF90" s="115"/>
      <c r="AG90" s="115"/>
      <c r="AH90" s="115"/>
      <c r="AI90" s="115"/>
      <c r="AJ90" s="115"/>
      <c r="AK90" s="115"/>
      <c r="AL90" s="115"/>
      <c r="AM90" s="115"/>
      <c r="AN90" s="115"/>
      <c r="AO90" s="115"/>
      <c r="AP90" s="115"/>
      <c r="AQ90" s="115"/>
      <c r="AR90" s="115"/>
      <c r="AS90" s="115"/>
      <c r="AT90" s="115"/>
      <c r="AU90" s="115"/>
      <c r="AV90" s="115"/>
      <c r="AW90" s="115"/>
      <c r="AX90" s="115"/>
      <c r="AY90" s="115"/>
    </row>
    <row r="91" spans="1:52" x14ac:dyDescent="0.25">
      <c r="A91" s="114"/>
      <c r="B91" s="135">
        <v>47</v>
      </c>
      <c r="C91" s="114" t="s">
        <v>292</v>
      </c>
      <c r="D91" s="115"/>
      <c r="E91" s="115"/>
      <c r="F91" s="115"/>
      <c r="G91" s="115"/>
      <c r="H91" s="115"/>
      <c r="I91" s="115"/>
      <c r="J91" s="115"/>
      <c r="K91" s="115"/>
      <c r="L91" s="115"/>
      <c r="M91" s="115"/>
      <c r="N91" s="115"/>
      <c r="O91" s="115"/>
      <c r="P91" s="115"/>
      <c r="Q91" s="115"/>
      <c r="R91" s="115"/>
      <c r="S91" s="115"/>
      <c r="T91" s="115"/>
      <c r="U91" s="115"/>
      <c r="V91" s="115"/>
      <c r="W91" s="115"/>
      <c r="X91" s="115"/>
      <c r="Y91" s="115"/>
      <c r="Z91" s="115"/>
      <c r="AA91" s="115"/>
      <c r="AB91" s="115"/>
      <c r="AC91" s="115"/>
      <c r="AD91" s="115"/>
      <c r="AE91" s="115"/>
      <c r="AF91" s="115"/>
      <c r="AG91" s="115"/>
      <c r="AH91" s="115"/>
      <c r="AI91" s="115"/>
      <c r="AJ91" s="115"/>
      <c r="AK91" s="115"/>
      <c r="AL91" s="115"/>
      <c r="AM91" s="115"/>
      <c r="AN91" s="115"/>
      <c r="AO91" s="115"/>
      <c r="AP91" s="115"/>
      <c r="AQ91" s="115"/>
      <c r="AR91" s="115"/>
      <c r="AS91" s="115"/>
      <c r="AT91" s="115"/>
      <c r="AU91" s="115"/>
      <c r="AV91" s="115"/>
      <c r="AW91" s="115"/>
      <c r="AX91" s="115"/>
      <c r="AY91" s="115"/>
    </row>
    <row r="92" spans="1:52" x14ac:dyDescent="0.25">
      <c r="A92" s="133"/>
      <c r="B92" s="134">
        <v>48</v>
      </c>
      <c r="C92" s="133" t="s">
        <v>292</v>
      </c>
      <c r="D92" s="130">
        <v>0</v>
      </c>
      <c r="E92" s="130">
        <v>0</v>
      </c>
      <c r="F92" s="130">
        <v>0</v>
      </c>
      <c r="G92" s="130">
        <v>0</v>
      </c>
      <c r="H92" s="130">
        <v>0</v>
      </c>
      <c r="I92" s="130">
        <v>0</v>
      </c>
      <c r="J92" s="130">
        <v>0</v>
      </c>
      <c r="K92" s="130">
        <v>0</v>
      </c>
      <c r="L92" s="130">
        <v>0</v>
      </c>
      <c r="M92" s="130">
        <v>0</v>
      </c>
      <c r="N92" s="130">
        <v>0</v>
      </c>
      <c r="O92" s="130">
        <v>0</v>
      </c>
      <c r="P92" s="130">
        <v>0</v>
      </c>
      <c r="Q92" s="130">
        <v>0</v>
      </c>
      <c r="R92" s="130">
        <v>0</v>
      </c>
      <c r="S92" s="130">
        <v>0</v>
      </c>
      <c r="T92" s="130">
        <v>0</v>
      </c>
      <c r="U92" s="130">
        <v>0</v>
      </c>
      <c r="V92" s="130">
        <v>0</v>
      </c>
      <c r="W92" s="130">
        <v>0</v>
      </c>
      <c r="X92" s="130">
        <v>0</v>
      </c>
      <c r="Y92" s="130">
        <v>0</v>
      </c>
      <c r="Z92" s="130">
        <v>0</v>
      </c>
      <c r="AA92" s="130">
        <v>0</v>
      </c>
      <c r="AB92" s="130">
        <v>0</v>
      </c>
      <c r="AC92" s="130">
        <v>0</v>
      </c>
      <c r="AD92" s="130">
        <v>0</v>
      </c>
      <c r="AE92" s="130">
        <v>0</v>
      </c>
      <c r="AF92" s="130">
        <v>0</v>
      </c>
      <c r="AG92" s="130">
        <v>0</v>
      </c>
      <c r="AH92" s="130">
        <v>0</v>
      </c>
      <c r="AI92" s="130">
        <v>0</v>
      </c>
      <c r="AJ92" s="130">
        <v>0</v>
      </c>
      <c r="AK92" s="130">
        <v>0</v>
      </c>
      <c r="AL92" s="130">
        <v>0</v>
      </c>
      <c r="AM92" s="130">
        <v>0</v>
      </c>
      <c r="AN92" s="130">
        <v>0</v>
      </c>
      <c r="AO92" s="130">
        <v>0</v>
      </c>
      <c r="AP92" s="130">
        <v>0</v>
      </c>
      <c r="AQ92" s="130">
        <v>0</v>
      </c>
      <c r="AR92" s="130">
        <v>0</v>
      </c>
      <c r="AS92" s="130">
        <v>0</v>
      </c>
      <c r="AT92" s="130">
        <v>0</v>
      </c>
      <c r="AU92" s="130">
        <v>0</v>
      </c>
      <c r="AV92" s="130">
        <v>0</v>
      </c>
      <c r="AW92" s="130">
        <v>0</v>
      </c>
      <c r="AX92" s="130">
        <v>0</v>
      </c>
      <c r="AY92" s="130">
        <v>0</v>
      </c>
      <c r="AZ92" s="112">
        <f>SUM(D21:AY92)</f>
        <v>0</v>
      </c>
    </row>
    <row r="94" spans="1:52" x14ac:dyDescent="0.25">
      <c r="A94" s="107" t="s">
        <v>294</v>
      </c>
      <c r="B94" s="111"/>
      <c r="C94" s="111"/>
      <c r="D94" s="119"/>
      <c r="E94" s="119"/>
      <c r="F94" s="119"/>
      <c r="G94" s="119"/>
      <c r="H94" s="119"/>
      <c r="I94" s="119"/>
      <c r="J94" s="119"/>
      <c r="K94" s="119"/>
      <c r="L94" s="119"/>
      <c r="M94" s="119"/>
      <c r="N94" s="119"/>
      <c r="O94" s="119"/>
      <c r="P94" s="119"/>
      <c r="Q94" s="119"/>
      <c r="R94" s="119"/>
      <c r="S94" s="119"/>
      <c r="T94" s="119"/>
      <c r="U94" s="119"/>
      <c r="V94" s="119"/>
      <c r="W94" s="119"/>
      <c r="X94" s="119"/>
      <c r="Y94" s="119"/>
      <c r="Z94" s="119"/>
      <c r="AA94" s="119"/>
      <c r="AB94" s="119"/>
      <c r="AC94" s="119"/>
      <c r="AD94" s="119"/>
      <c r="AE94" s="119"/>
      <c r="AF94" s="119"/>
      <c r="AG94" s="119"/>
      <c r="AH94" s="119"/>
      <c r="AI94" s="119"/>
      <c r="AJ94" s="119"/>
      <c r="AK94" s="119"/>
      <c r="AL94" s="119"/>
      <c r="AM94" s="119"/>
      <c r="AN94" s="119"/>
      <c r="AO94" s="119"/>
      <c r="AP94" s="119"/>
      <c r="AQ94" s="119"/>
      <c r="AR94" s="119"/>
      <c r="AS94" s="119"/>
      <c r="AT94" s="119"/>
      <c r="AU94" s="119"/>
      <c r="AV94" s="119"/>
      <c r="AW94" s="119"/>
      <c r="AX94" s="119"/>
      <c r="AY94" s="119"/>
    </row>
    <row r="95" spans="1:52" x14ac:dyDescent="0.25">
      <c r="A95" s="131" t="s">
        <v>125</v>
      </c>
      <c r="B95" s="128">
        <v>1</v>
      </c>
      <c r="C95" s="129"/>
      <c r="D95" s="115">
        <v>0</v>
      </c>
      <c r="E95" s="115">
        <v>0</v>
      </c>
      <c r="F95" s="115">
        <v>0</v>
      </c>
      <c r="G95" s="115">
        <v>0</v>
      </c>
      <c r="H95" s="115">
        <v>0</v>
      </c>
      <c r="I95" s="115">
        <v>0</v>
      </c>
      <c r="J95" s="115">
        <v>0</v>
      </c>
      <c r="K95" s="115">
        <v>0</v>
      </c>
      <c r="L95" s="115">
        <v>0</v>
      </c>
      <c r="M95" s="115">
        <v>0</v>
      </c>
      <c r="N95" s="115">
        <v>0</v>
      </c>
      <c r="O95" s="115">
        <v>0</v>
      </c>
      <c r="P95" s="115">
        <v>0</v>
      </c>
      <c r="Q95" s="115">
        <v>0</v>
      </c>
      <c r="R95" s="115">
        <v>0</v>
      </c>
      <c r="S95" s="115">
        <v>0</v>
      </c>
      <c r="T95" s="115">
        <v>0</v>
      </c>
      <c r="U95" s="115">
        <v>0</v>
      </c>
      <c r="V95" s="115">
        <v>0</v>
      </c>
      <c r="W95" s="115">
        <v>0</v>
      </c>
      <c r="X95" s="115">
        <v>0</v>
      </c>
      <c r="Y95" s="115">
        <v>0</v>
      </c>
      <c r="Z95" s="115">
        <v>0</v>
      </c>
      <c r="AA95" s="115">
        <v>0</v>
      </c>
      <c r="AB95" s="115">
        <v>0</v>
      </c>
      <c r="AC95" s="115">
        <v>0</v>
      </c>
      <c r="AD95" s="115">
        <v>0</v>
      </c>
      <c r="AE95" s="115">
        <v>0</v>
      </c>
      <c r="AF95" s="115">
        <v>0</v>
      </c>
      <c r="AG95" s="115">
        <v>0</v>
      </c>
      <c r="AH95" s="115">
        <v>0</v>
      </c>
      <c r="AI95" s="115">
        <v>0</v>
      </c>
      <c r="AJ95" s="115">
        <v>0</v>
      </c>
      <c r="AK95" s="115">
        <v>0</v>
      </c>
      <c r="AL95" s="115">
        <v>0</v>
      </c>
      <c r="AM95" s="115">
        <v>0</v>
      </c>
      <c r="AN95" s="115">
        <v>0</v>
      </c>
      <c r="AO95" s="115">
        <v>0</v>
      </c>
      <c r="AP95" s="115">
        <v>0</v>
      </c>
      <c r="AQ95" s="115">
        <v>0</v>
      </c>
      <c r="AR95" s="115">
        <v>0</v>
      </c>
      <c r="AS95" s="115">
        <v>0</v>
      </c>
      <c r="AT95" s="115">
        <v>0</v>
      </c>
      <c r="AU95" s="115">
        <v>0</v>
      </c>
      <c r="AV95" s="115">
        <v>0</v>
      </c>
      <c r="AW95" s="115">
        <v>0</v>
      </c>
      <c r="AX95" s="115">
        <v>0</v>
      </c>
      <c r="AY95" s="115">
        <v>0</v>
      </c>
    </row>
    <row r="96" spans="1:52" x14ac:dyDescent="0.25">
      <c r="A96" s="114"/>
      <c r="B96" s="125">
        <v>2</v>
      </c>
      <c r="C96" s="115"/>
      <c r="D96" s="115">
        <v>0</v>
      </c>
      <c r="E96" s="115">
        <v>0</v>
      </c>
      <c r="F96" s="115">
        <v>0</v>
      </c>
      <c r="G96" s="115">
        <v>0</v>
      </c>
      <c r="H96" s="115">
        <v>0</v>
      </c>
      <c r="I96" s="115">
        <v>0</v>
      </c>
      <c r="J96" s="115">
        <v>0</v>
      </c>
      <c r="K96" s="115">
        <v>0</v>
      </c>
      <c r="L96" s="115">
        <v>0</v>
      </c>
      <c r="M96" s="115">
        <v>0</v>
      </c>
      <c r="N96" s="115">
        <v>0</v>
      </c>
      <c r="O96" s="115">
        <v>0</v>
      </c>
      <c r="P96" s="115">
        <v>0</v>
      </c>
      <c r="Q96" s="115">
        <v>0</v>
      </c>
      <c r="R96" s="115">
        <v>0</v>
      </c>
      <c r="S96" s="115">
        <v>0</v>
      </c>
      <c r="T96" s="115">
        <v>0</v>
      </c>
      <c r="U96" s="115">
        <v>0</v>
      </c>
      <c r="V96" s="115">
        <v>0</v>
      </c>
      <c r="W96" s="115">
        <v>0</v>
      </c>
      <c r="X96" s="115">
        <v>0</v>
      </c>
      <c r="Y96" s="115">
        <v>0</v>
      </c>
      <c r="Z96" s="115">
        <v>0</v>
      </c>
      <c r="AA96" s="115">
        <v>0</v>
      </c>
      <c r="AB96" s="115">
        <v>0</v>
      </c>
      <c r="AC96" s="115">
        <v>0</v>
      </c>
      <c r="AD96" s="115">
        <v>0</v>
      </c>
      <c r="AE96" s="115">
        <v>0</v>
      </c>
      <c r="AF96" s="115">
        <v>0</v>
      </c>
      <c r="AG96" s="115">
        <v>0</v>
      </c>
      <c r="AH96" s="115">
        <v>0</v>
      </c>
      <c r="AI96" s="115">
        <v>0</v>
      </c>
      <c r="AJ96" s="115">
        <v>0</v>
      </c>
      <c r="AK96" s="115">
        <v>0</v>
      </c>
      <c r="AL96" s="115">
        <v>0</v>
      </c>
      <c r="AM96" s="115">
        <v>0</v>
      </c>
      <c r="AN96" s="115">
        <v>0</v>
      </c>
      <c r="AO96" s="115">
        <v>0</v>
      </c>
      <c r="AP96" s="115">
        <v>0</v>
      </c>
      <c r="AQ96" s="115">
        <v>0</v>
      </c>
      <c r="AR96" s="115">
        <v>0</v>
      </c>
      <c r="AS96" s="115">
        <v>0</v>
      </c>
      <c r="AT96" s="115">
        <v>0</v>
      </c>
      <c r="AU96" s="115">
        <v>0</v>
      </c>
      <c r="AV96" s="115">
        <v>0</v>
      </c>
      <c r="AW96" s="115">
        <v>0</v>
      </c>
      <c r="AX96" s="115">
        <v>0</v>
      </c>
      <c r="AY96" s="115">
        <v>0</v>
      </c>
    </row>
    <row r="97" spans="1:52" x14ac:dyDescent="0.25">
      <c r="A97" s="114"/>
      <c r="B97" s="132">
        <v>3</v>
      </c>
      <c r="C97" s="115"/>
      <c r="D97" s="115">
        <v>0</v>
      </c>
      <c r="E97" s="115">
        <v>0</v>
      </c>
      <c r="F97" s="115">
        <v>0</v>
      </c>
      <c r="G97" s="115">
        <v>0</v>
      </c>
      <c r="H97" s="115">
        <v>0</v>
      </c>
      <c r="I97" s="115">
        <v>0</v>
      </c>
      <c r="J97" s="115">
        <v>0</v>
      </c>
      <c r="K97" s="115">
        <v>0</v>
      </c>
      <c r="L97" s="115">
        <v>0</v>
      </c>
      <c r="M97" s="115">
        <v>0</v>
      </c>
      <c r="N97" s="115">
        <v>0</v>
      </c>
      <c r="O97" s="115">
        <v>0</v>
      </c>
      <c r="P97" s="115">
        <v>0</v>
      </c>
      <c r="Q97" s="115">
        <v>0</v>
      </c>
      <c r="R97" s="115">
        <v>0</v>
      </c>
      <c r="S97" s="115">
        <v>0</v>
      </c>
      <c r="T97" s="115">
        <v>0</v>
      </c>
      <c r="U97" s="115">
        <v>0</v>
      </c>
      <c r="V97" s="115">
        <v>0</v>
      </c>
      <c r="W97" s="115">
        <v>0</v>
      </c>
      <c r="X97" s="115">
        <v>0</v>
      </c>
      <c r="Y97" s="115">
        <v>0</v>
      </c>
      <c r="Z97" s="115">
        <v>0</v>
      </c>
      <c r="AA97" s="115">
        <v>0</v>
      </c>
      <c r="AB97" s="115">
        <v>0</v>
      </c>
      <c r="AC97" s="115">
        <v>0</v>
      </c>
      <c r="AD97" s="115">
        <v>0</v>
      </c>
      <c r="AE97" s="115">
        <v>0</v>
      </c>
      <c r="AF97" s="115">
        <v>0</v>
      </c>
      <c r="AG97" s="115">
        <v>0</v>
      </c>
      <c r="AH97" s="115">
        <v>0</v>
      </c>
      <c r="AI97" s="115">
        <v>0</v>
      </c>
      <c r="AJ97" s="115">
        <v>0</v>
      </c>
      <c r="AK97" s="115">
        <v>0</v>
      </c>
      <c r="AL97" s="115">
        <v>0</v>
      </c>
      <c r="AM97" s="115">
        <v>0</v>
      </c>
      <c r="AN97" s="115">
        <v>0</v>
      </c>
      <c r="AO97" s="115">
        <v>0</v>
      </c>
      <c r="AP97" s="115">
        <v>0</v>
      </c>
      <c r="AQ97" s="115">
        <v>0</v>
      </c>
      <c r="AR97" s="115">
        <v>0</v>
      </c>
      <c r="AS97" s="115">
        <v>0</v>
      </c>
      <c r="AT97" s="115">
        <v>0</v>
      </c>
      <c r="AU97" s="115">
        <v>0</v>
      </c>
      <c r="AV97" s="115">
        <v>0</v>
      </c>
      <c r="AW97" s="115">
        <v>0</v>
      </c>
      <c r="AX97" s="115">
        <v>0</v>
      </c>
      <c r="AY97" s="115">
        <v>0</v>
      </c>
    </row>
    <row r="98" spans="1:52" x14ac:dyDescent="0.25">
      <c r="A98" s="114"/>
      <c r="B98" s="135">
        <v>4</v>
      </c>
      <c r="C98" s="111"/>
      <c r="D98" s="115">
        <v>0</v>
      </c>
      <c r="E98" s="115">
        <v>0</v>
      </c>
      <c r="F98" s="115">
        <v>0</v>
      </c>
      <c r="G98" s="115">
        <v>0</v>
      </c>
      <c r="H98" s="115">
        <v>0</v>
      </c>
      <c r="I98" s="115">
        <v>0</v>
      </c>
      <c r="J98" s="115">
        <v>0</v>
      </c>
      <c r="K98" s="115">
        <v>0</v>
      </c>
      <c r="L98" s="115">
        <v>0</v>
      </c>
      <c r="M98" s="115">
        <v>0</v>
      </c>
      <c r="N98" s="115">
        <v>0</v>
      </c>
      <c r="O98" s="115">
        <v>0</v>
      </c>
      <c r="P98" s="115">
        <v>0</v>
      </c>
      <c r="Q98" s="115">
        <v>0</v>
      </c>
      <c r="R98" s="115">
        <v>0</v>
      </c>
      <c r="S98" s="115">
        <v>0</v>
      </c>
      <c r="T98" s="115">
        <v>0</v>
      </c>
      <c r="U98" s="115">
        <v>0</v>
      </c>
      <c r="V98" s="115">
        <v>0</v>
      </c>
      <c r="W98" s="115">
        <v>0</v>
      </c>
      <c r="X98" s="115">
        <v>0</v>
      </c>
      <c r="Y98" s="115">
        <v>0</v>
      </c>
      <c r="Z98" s="115">
        <v>0</v>
      </c>
      <c r="AA98" s="115">
        <v>0</v>
      </c>
      <c r="AB98" s="115">
        <v>0</v>
      </c>
      <c r="AC98" s="115">
        <v>0</v>
      </c>
      <c r="AD98" s="115">
        <v>0</v>
      </c>
      <c r="AE98" s="115">
        <v>0</v>
      </c>
      <c r="AF98" s="115">
        <v>0</v>
      </c>
      <c r="AG98" s="115">
        <v>0</v>
      </c>
      <c r="AH98" s="115">
        <v>0</v>
      </c>
      <c r="AI98" s="115">
        <v>0</v>
      </c>
      <c r="AJ98" s="115">
        <v>0</v>
      </c>
      <c r="AK98" s="115">
        <v>0</v>
      </c>
      <c r="AL98" s="115">
        <v>0</v>
      </c>
      <c r="AM98" s="115">
        <v>0</v>
      </c>
      <c r="AN98" s="115">
        <v>0</v>
      </c>
      <c r="AO98" s="115">
        <v>0</v>
      </c>
      <c r="AP98" s="115">
        <v>0</v>
      </c>
      <c r="AQ98" s="115">
        <v>0</v>
      </c>
      <c r="AR98" s="115">
        <v>0</v>
      </c>
      <c r="AS98" s="115">
        <v>0</v>
      </c>
      <c r="AT98" s="115">
        <v>0</v>
      </c>
      <c r="AU98" s="115">
        <v>0</v>
      </c>
      <c r="AV98" s="115">
        <v>0</v>
      </c>
      <c r="AW98" s="115">
        <v>0</v>
      </c>
      <c r="AX98" s="115">
        <v>0</v>
      </c>
      <c r="AY98" s="115">
        <v>0</v>
      </c>
    </row>
    <row r="99" spans="1:52" x14ac:dyDescent="0.25">
      <c r="A99" s="133"/>
      <c r="B99" s="137" t="s">
        <v>295</v>
      </c>
      <c r="C99" s="130"/>
      <c r="D99" s="130">
        <v>0</v>
      </c>
      <c r="E99" s="130">
        <v>0</v>
      </c>
      <c r="F99" s="130">
        <v>0</v>
      </c>
      <c r="G99" s="130">
        <v>0</v>
      </c>
      <c r="H99" s="130">
        <v>0</v>
      </c>
      <c r="I99" s="130">
        <v>0</v>
      </c>
      <c r="J99" s="130">
        <v>0</v>
      </c>
      <c r="K99" s="130">
        <v>0</v>
      </c>
      <c r="L99" s="130">
        <v>0</v>
      </c>
      <c r="M99" s="130">
        <v>0</v>
      </c>
      <c r="N99" s="130">
        <v>0</v>
      </c>
      <c r="O99" s="130">
        <v>0</v>
      </c>
      <c r="P99" s="130">
        <v>0</v>
      </c>
      <c r="Q99" s="130">
        <v>0</v>
      </c>
      <c r="R99" s="130">
        <v>0</v>
      </c>
      <c r="S99" s="130">
        <v>0</v>
      </c>
      <c r="T99" s="130">
        <v>0</v>
      </c>
      <c r="U99" s="130">
        <v>0</v>
      </c>
      <c r="V99" s="130">
        <v>0</v>
      </c>
      <c r="W99" s="130">
        <v>0</v>
      </c>
      <c r="X99" s="130">
        <v>0</v>
      </c>
      <c r="Y99" s="130">
        <v>0</v>
      </c>
      <c r="Z99" s="130">
        <v>0</v>
      </c>
      <c r="AA99" s="130">
        <v>0</v>
      </c>
      <c r="AB99" s="130">
        <v>0</v>
      </c>
      <c r="AC99" s="130">
        <v>0</v>
      </c>
      <c r="AD99" s="130">
        <v>0</v>
      </c>
      <c r="AE99" s="130">
        <v>0</v>
      </c>
      <c r="AF99" s="130">
        <v>0</v>
      </c>
      <c r="AG99" s="130">
        <v>0</v>
      </c>
      <c r="AH99" s="130">
        <v>0</v>
      </c>
      <c r="AI99" s="130">
        <v>0</v>
      </c>
      <c r="AJ99" s="130">
        <v>0</v>
      </c>
      <c r="AK99" s="130">
        <v>0</v>
      </c>
      <c r="AL99" s="130">
        <v>0</v>
      </c>
      <c r="AM99" s="130">
        <v>0</v>
      </c>
      <c r="AN99" s="130">
        <v>0</v>
      </c>
      <c r="AO99" s="130">
        <v>0</v>
      </c>
      <c r="AP99" s="130">
        <v>0</v>
      </c>
      <c r="AQ99" s="130">
        <v>0</v>
      </c>
      <c r="AR99" s="130">
        <v>0</v>
      </c>
      <c r="AS99" s="130">
        <v>0</v>
      </c>
      <c r="AT99" s="130">
        <v>0</v>
      </c>
      <c r="AU99" s="130">
        <v>0</v>
      </c>
      <c r="AV99" s="130">
        <v>0</v>
      </c>
      <c r="AW99" s="130">
        <v>0</v>
      </c>
      <c r="AX99" s="130">
        <v>0</v>
      </c>
      <c r="AY99" s="130">
        <v>0</v>
      </c>
      <c r="AZ99" s="112">
        <f>SUM($D99:$AY99)</f>
        <v>0</v>
      </c>
    </row>
    <row r="100" spans="1:52" x14ac:dyDescent="0.25">
      <c r="A100" s="136" t="s">
        <v>133</v>
      </c>
      <c r="B100" s="124">
        <v>1</v>
      </c>
      <c r="C100" s="111"/>
      <c r="D100" s="111">
        <v>0</v>
      </c>
      <c r="E100" s="111">
        <v>0</v>
      </c>
      <c r="F100" s="111">
        <v>1247.0625</v>
      </c>
      <c r="G100" s="111">
        <v>147.68791041275799</v>
      </c>
      <c r="H100" s="111">
        <v>1247.0625</v>
      </c>
      <c r="I100" s="111">
        <v>97.03125</v>
      </c>
      <c r="J100" s="111">
        <v>820.20784474671655</v>
      </c>
      <c r="K100" s="111">
        <v>1157.0941604127579</v>
      </c>
      <c r="L100" s="111">
        <v>1238.6804057223264</v>
      </c>
      <c r="M100" s="111">
        <v>1060.0629104127579</v>
      </c>
      <c r="N100" s="111">
        <v>1238.6804057223264</v>
      </c>
      <c r="O100" s="111">
        <v>1060.0629104127579</v>
      </c>
      <c r="P100" s="111">
        <v>1247.0625</v>
      </c>
      <c r="Q100" s="111">
        <v>1060.0629104127579</v>
      </c>
      <c r="R100" s="111">
        <v>811.82575046904299</v>
      </c>
      <c r="S100" s="111">
        <v>1157.0941604127579</v>
      </c>
      <c r="T100" s="111">
        <v>1238.6804057223264</v>
      </c>
      <c r="U100" s="111">
        <v>1157.0941604127579</v>
      </c>
      <c r="V100" s="111">
        <v>1238.6804057223264</v>
      </c>
      <c r="W100" s="111">
        <v>1157.0941604127579</v>
      </c>
      <c r="X100" s="111">
        <v>811.82575046904299</v>
      </c>
      <c r="Y100" s="111">
        <v>147.68791041275799</v>
      </c>
      <c r="Z100" s="111">
        <v>1247.0625</v>
      </c>
      <c r="AA100" s="111">
        <v>50.656660412757979</v>
      </c>
      <c r="AB100" s="111">
        <v>1238.6804057223264</v>
      </c>
      <c r="AC100" s="111">
        <v>1157.0941604127579</v>
      </c>
      <c r="AD100" s="111">
        <v>1247.0625</v>
      </c>
      <c r="AE100" s="111">
        <v>1060.0629104127579</v>
      </c>
      <c r="AF100" s="111">
        <v>1247.0625</v>
      </c>
      <c r="AG100" s="111">
        <v>1157.0941604127579</v>
      </c>
      <c r="AH100" s="111">
        <v>820.20784474671655</v>
      </c>
      <c r="AI100" s="111">
        <v>1060.0629104127579</v>
      </c>
      <c r="AJ100" s="111">
        <v>1238.6804057223264</v>
      </c>
      <c r="AK100" s="111">
        <v>147.68791041275799</v>
      </c>
      <c r="AL100" s="111">
        <v>811.82575046904299</v>
      </c>
      <c r="AM100" s="111">
        <v>147.68791041275799</v>
      </c>
      <c r="AN100" s="111">
        <v>811.82575046904299</v>
      </c>
      <c r="AO100" s="111">
        <v>147.68791041275799</v>
      </c>
      <c r="AP100" s="111">
        <v>1150.03125</v>
      </c>
      <c r="AQ100" s="111">
        <v>1157.0941604127579</v>
      </c>
      <c r="AR100" s="111">
        <v>97.03125</v>
      </c>
      <c r="AS100" s="111">
        <v>723.17659474671655</v>
      </c>
      <c r="AT100" s="111">
        <v>147.68791041275799</v>
      </c>
      <c r="AU100" s="111">
        <v>1150.03125</v>
      </c>
      <c r="AV100" s="111">
        <v>1157.0941604127579</v>
      </c>
      <c r="AW100" s="111">
        <v>820.20784474671655</v>
      </c>
      <c r="AX100" s="111">
        <v>147.68791041275799</v>
      </c>
      <c r="AY100" s="111">
        <v>140.625</v>
      </c>
    </row>
    <row r="101" spans="1:52" x14ac:dyDescent="0.25">
      <c r="A101" s="114"/>
      <c r="B101" s="124">
        <v>2</v>
      </c>
      <c r="C101" s="111"/>
      <c r="D101" s="111">
        <v>0</v>
      </c>
      <c r="E101" s="111">
        <v>0</v>
      </c>
      <c r="F101" s="111">
        <v>0</v>
      </c>
      <c r="G101" s="111">
        <v>818.0625</v>
      </c>
      <c r="H101" s="111">
        <v>1157.0941604127579</v>
      </c>
      <c r="I101" s="111">
        <v>1247.0625</v>
      </c>
      <c r="J101" s="111">
        <v>97.03125</v>
      </c>
      <c r="K101" s="111">
        <v>1247.0625</v>
      </c>
      <c r="L101" s="111">
        <v>1157.0941604127579</v>
      </c>
      <c r="M101" s="111">
        <v>1247.0625</v>
      </c>
      <c r="N101" s="111">
        <v>1247.0625</v>
      </c>
      <c r="O101" s="111">
        <v>1247.0625</v>
      </c>
      <c r="P101" s="111">
        <v>1157.0941604127579</v>
      </c>
      <c r="Q101" s="111">
        <v>1247.0625</v>
      </c>
      <c r="R101" s="111">
        <v>1247.0625</v>
      </c>
      <c r="S101" s="111">
        <v>1247.0625</v>
      </c>
      <c r="T101" s="111">
        <v>1157.0941604127579</v>
      </c>
      <c r="U101" s="111">
        <v>1238.6804057223264</v>
      </c>
      <c r="V101" s="111">
        <v>1247.0625</v>
      </c>
      <c r="W101" s="111">
        <v>1238.6804057223264</v>
      </c>
      <c r="X101" s="111">
        <v>1157.0941604127579</v>
      </c>
      <c r="Y101" s="111">
        <v>1238.6804057223264</v>
      </c>
      <c r="Z101" s="111">
        <v>1157.0941604127579</v>
      </c>
      <c r="AA101" s="111">
        <v>1247.0625</v>
      </c>
      <c r="AB101" s="111">
        <v>1157.0941604127579</v>
      </c>
      <c r="AC101" s="111">
        <v>1247.0625</v>
      </c>
      <c r="AD101" s="111">
        <v>1247.0625</v>
      </c>
      <c r="AE101" s="111">
        <v>1247.0625</v>
      </c>
      <c r="AF101" s="111">
        <v>1247.0625</v>
      </c>
      <c r="AG101" s="111">
        <v>1247.0625</v>
      </c>
      <c r="AH101" s="111">
        <v>1247.0625</v>
      </c>
      <c r="AI101" s="111">
        <v>1247.0625</v>
      </c>
      <c r="AJ101" s="111">
        <v>1247.0625</v>
      </c>
      <c r="AK101" s="111">
        <v>1247.0625</v>
      </c>
      <c r="AL101" s="111">
        <v>147.68791041275799</v>
      </c>
      <c r="AM101" s="111">
        <v>1247.0625</v>
      </c>
      <c r="AN101" s="111">
        <v>237.65625</v>
      </c>
      <c r="AO101" s="111">
        <v>8.3820942776737866</v>
      </c>
      <c r="AP101" s="111">
        <v>89.968339587242014</v>
      </c>
      <c r="AQ101" s="111">
        <v>0</v>
      </c>
      <c r="AR101" s="111">
        <v>0</v>
      </c>
      <c r="AS101" s="111">
        <v>0</v>
      </c>
      <c r="AT101" s="111">
        <v>426.85465525328345</v>
      </c>
      <c r="AU101" s="111">
        <v>1099.3745895872421</v>
      </c>
      <c r="AV101" s="111">
        <v>97.03125</v>
      </c>
      <c r="AW101" s="111">
        <v>0</v>
      </c>
      <c r="AX101" s="111">
        <v>0</v>
      </c>
      <c r="AY101" s="111">
        <v>0</v>
      </c>
    </row>
    <row r="102" spans="1:52" x14ac:dyDescent="0.25">
      <c r="A102" s="114"/>
      <c r="B102" s="125">
        <v>3</v>
      </c>
      <c r="C102" s="111"/>
      <c r="D102" s="111">
        <v>0</v>
      </c>
      <c r="E102" s="111">
        <v>0</v>
      </c>
      <c r="F102" s="111">
        <v>0</v>
      </c>
      <c r="G102" s="111">
        <v>0</v>
      </c>
      <c r="H102" s="111">
        <v>493.0625</v>
      </c>
      <c r="I102" s="111">
        <v>1247.0625</v>
      </c>
      <c r="J102" s="111">
        <v>1247.0625</v>
      </c>
      <c r="K102" s="111">
        <v>1106.4375</v>
      </c>
      <c r="L102" s="111">
        <v>1247.0625</v>
      </c>
      <c r="M102" s="111">
        <v>1247.0625</v>
      </c>
      <c r="N102" s="111">
        <v>1247.0625</v>
      </c>
      <c r="O102" s="111">
        <v>1247.0625</v>
      </c>
      <c r="P102" s="111">
        <v>1247.0625</v>
      </c>
      <c r="Q102" s="111">
        <v>1247.0625</v>
      </c>
      <c r="R102" s="111">
        <v>1247.0625</v>
      </c>
      <c r="S102" s="111">
        <v>1247.0625</v>
      </c>
      <c r="T102" s="111">
        <v>1247.0625</v>
      </c>
      <c r="U102" s="111">
        <v>1247.0625</v>
      </c>
      <c r="V102" s="111">
        <v>1247.0625</v>
      </c>
      <c r="W102" s="111">
        <v>1247.0625</v>
      </c>
      <c r="X102" s="111">
        <v>1247.0625</v>
      </c>
      <c r="Y102" s="111">
        <v>1247.0625</v>
      </c>
      <c r="Z102" s="111">
        <v>1247.0625</v>
      </c>
      <c r="AA102" s="111">
        <v>1247.0625</v>
      </c>
      <c r="AB102" s="111">
        <v>1247.0625</v>
      </c>
      <c r="AC102" s="111">
        <v>1247.0625</v>
      </c>
      <c r="AD102" s="111">
        <v>1247.0625</v>
      </c>
      <c r="AE102" s="111">
        <v>1247.0625</v>
      </c>
      <c r="AF102" s="111">
        <v>1247.0625</v>
      </c>
      <c r="AG102" s="111">
        <v>1247.0625</v>
      </c>
      <c r="AH102" s="111">
        <v>1247.0625</v>
      </c>
      <c r="AI102" s="111">
        <v>1247.0625</v>
      </c>
      <c r="AJ102" s="111">
        <v>1247.0625</v>
      </c>
      <c r="AK102" s="111">
        <v>1247.0625</v>
      </c>
      <c r="AL102" s="111">
        <v>1247.0625</v>
      </c>
      <c r="AM102" s="111">
        <v>1247.0625</v>
      </c>
      <c r="AN102" s="111">
        <v>1247.0625</v>
      </c>
      <c r="AO102" s="111">
        <v>0</v>
      </c>
      <c r="AP102" s="111">
        <v>426.85465525328345</v>
      </c>
      <c r="AQ102" s="111">
        <v>0</v>
      </c>
      <c r="AR102" s="111">
        <v>0</v>
      </c>
      <c r="AS102" s="111">
        <v>89.968339587242014</v>
      </c>
      <c r="AT102" s="111">
        <v>0</v>
      </c>
      <c r="AU102" s="111">
        <v>0</v>
      </c>
      <c r="AV102" s="111">
        <v>0</v>
      </c>
      <c r="AW102" s="111">
        <v>0</v>
      </c>
      <c r="AX102" s="111">
        <v>0</v>
      </c>
      <c r="AY102" s="111">
        <v>426.85465525328345</v>
      </c>
    </row>
    <row r="103" spans="1:52" x14ac:dyDescent="0.25">
      <c r="A103" s="114"/>
      <c r="B103" s="125">
        <v>4</v>
      </c>
      <c r="C103" s="111"/>
      <c r="D103" s="111">
        <v>0</v>
      </c>
      <c r="E103" s="111">
        <v>0</v>
      </c>
      <c r="F103" s="111">
        <v>0</v>
      </c>
      <c r="G103" s="111">
        <v>0</v>
      </c>
      <c r="H103" s="111">
        <v>0</v>
      </c>
      <c r="I103" s="111">
        <v>41.0625</v>
      </c>
      <c r="J103" s="111">
        <v>868.125</v>
      </c>
      <c r="K103" s="111">
        <v>1247.0625</v>
      </c>
      <c r="L103" s="111">
        <v>1106.4375</v>
      </c>
      <c r="M103" s="111">
        <v>1247.0625</v>
      </c>
      <c r="N103" s="111">
        <v>1247.0625</v>
      </c>
      <c r="O103" s="111">
        <v>1247.0625</v>
      </c>
      <c r="P103" s="111">
        <v>1247.0625</v>
      </c>
      <c r="Q103" s="111">
        <v>1247.0625</v>
      </c>
      <c r="R103" s="111">
        <v>1247.0625</v>
      </c>
      <c r="S103" s="111">
        <v>1247.0625</v>
      </c>
      <c r="T103" s="111">
        <v>1247.0625</v>
      </c>
      <c r="U103" s="111">
        <v>1247.0625</v>
      </c>
      <c r="V103" s="111">
        <v>1247.0625</v>
      </c>
      <c r="W103" s="111">
        <v>1247.0625</v>
      </c>
      <c r="X103" s="111">
        <v>1247.0625</v>
      </c>
      <c r="Y103" s="111">
        <v>1247.0625</v>
      </c>
      <c r="Z103" s="111">
        <v>1247.0625</v>
      </c>
      <c r="AA103" s="111">
        <v>1247.0625</v>
      </c>
      <c r="AB103" s="111">
        <v>1247.0625</v>
      </c>
      <c r="AC103" s="111">
        <v>1247.0625</v>
      </c>
      <c r="AD103" s="111">
        <v>1247.0625</v>
      </c>
      <c r="AE103" s="111">
        <v>1247.0625</v>
      </c>
      <c r="AF103" s="111">
        <v>1247.0625</v>
      </c>
      <c r="AG103" s="111">
        <v>1247.0625</v>
      </c>
      <c r="AH103" s="111">
        <v>1247.0625</v>
      </c>
      <c r="AI103" s="111">
        <v>1247.0625</v>
      </c>
      <c r="AJ103" s="111">
        <v>1247.0625</v>
      </c>
      <c r="AK103" s="111">
        <v>1247.0625</v>
      </c>
      <c r="AL103" s="111">
        <v>1247.0625</v>
      </c>
      <c r="AM103" s="111">
        <v>1247.0625</v>
      </c>
      <c r="AN103" s="111">
        <v>705.8125</v>
      </c>
      <c r="AO103" s="111">
        <v>0</v>
      </c>
      <c r="AP103" s="111">
        <v>0</v>
      </c>
      <c r="AQ103" s="111">
        <v>0</v>
      </c>
      <c r="AR103" s="111">
        <v>0</v>
      </c>
      <c r="AS103" s="111">
        <v>0</v>
      </c>
      <c r="AT103" s="111">
        <v>0</v>
      </c>
      <c r="AU103" s="111">
        <v>0</v>
      </c>
      <c r="AV103" s="111">
        <v>0</v>
      </c>
      <c r="AW103" s="111">
        <v>0</v>
      </c>
      <c r="AX103" s="111">
        <v>0</v>
      </c>
      <c r="AY103" s="111">
        <v>89.968339587242014</v>
      </c>
    </row>
    <row r="104" spans="1:52" x14ac:dyDescent="0.25">
      <c r="A104" s="114"/>
      <c r="B104" s="132">
        <v>5</v>
      </c>
      <c r="C104" s="111"/>
      <c r="D104" s="111">
        <v>0</v>
      </c>
      <c r="E104" s="111">
        <v>0</v>
      </c>
      <c r="F104" s="111">
        <v>0</v>
      </c>
      <c r="G104" s="111">
        <v>0</v>
      </c>
      <c r="H104" s="111">
        <v>0</v>
      </c>
      <c r="I104" s="111">
        <v>0</v>
      </c>
      <c r="J104" s="111">
        <v>0</v>
      </c>
      <c r="K104" s="111">
        <v>519.125</v>
      </c>
      <c r="L104" s="111">
        <v>1247.0625</v>
      </c>
      <c r="M104" s="111">
        <v>1106.4375</v>
      </c>
      <c r="N104" s="111">
        <v>1247.0625</v>
      </c>
      <c r="O104" s="111">
        <v>1247.0625</v>
      </c>
      <c r="P104" s="111">
        <v>1247.0625</v>
      </c>
      <c r="Q104" s="111">
        <v>1247.0625</v>
      </c>
      <c r="R104" s="111">
        <v>1247.0625</v>
      </c>
      <c r="S104" s="111">
        <v>1247.0625</v>
      </c>
      <c r="T104" s="111">
        <v>1247.0625</v>
      </c>
      <c r="U104" s="111">
        <v>1247.0625</v>
      </c>
      <c r="V104" s="111">
        <v>1247.0625</v>
      </c>
      <c r="W104" s="111">
        <v>1247.0625</v>
      </c>
      <c r="X104" s="111">
        <v>1247.0625</v>
      </c>
      <c r="Y104" s="111">
        <v>1247.0625</v>
      </c>
      <c r="Z104" s="111">
        <v>1247.0625</v>
      </c>
      <c r="AA104" s="111">
        <v>1247.0625</v>
      </c>
      <c r="AB104" s="111">
        <v>1247.0625</v>
      </c>
      <c r="AC104" s="111">
        <v>1247.0625</v>
      </c>
      <c r="AD104" s="111">
        <v>1247.0625</v>
      </c>
      <c r="AE104" s="111">
        <v>1247.0625</v>
      </c>
      <c r="AF104" s="111">
        <v>1247.0625</v>
      </c>
      <c r="AG104" s="111">
        <v>1247.0625</v>
      </c>
      <c r="AH104" s="111">
        <v>1247.0625</v>
      </c>
      <c r="AI104" s="111">
        <v>1247.0625</v>
      </c>
      <c r="AJ104" s="111">
        <v>1247.0625</v>
      </c>
      <c r="AK104" s="111">
        <v>1247.0625</v>
      </c>
      <c r="AL104" s="111">
        <v>1117.625</v>
      </c>
      <c r="AM104" s="111">
        <v>157.6875</v>
      </c>
      <c r="AN104" s="111">
        <v>0</v>
      </c>
      <c r="AO104" s="111">
        <v>0</v>
      </c>
      <c r="AP104" s="111">
        <v>0</v>
      </c>
      <c r="AQ104" s="111">
        <v>0</v>
      </c>
      <c r="AR104" s="111">
        <v>0</v>
      </c>
      <c r="AS104" s="111">
        <v>0</v>
      </c>
      <c r="AT104" s="111">
        <v>0</v>
      </c>
      <c r="AU104" s="111">
        <v>0</v>
      </c>
      <c r="AV104" s="111">
        <v>0</v>
      </c>
      <c r="AW104" s="111">
        <v>0</v>
      </c>
      <c r="AX104" s="111">
        <v>0</v>
      </c>
      <c r="AY104" s="111">
        <v>0</v>
      </c>
    </row>
    <row r="105" spans="1:52" x14ac:dyDescent="0.25">
      <c r="A105" s="114"/>
      <c r="B105" s="132">
        <v>6</v>
      </c>
      <c r="C105" s="111"/>
      <c r="D105" s="111">
        <v>0</v>
      </c>
      <c r="E105" s="111">
        <v>0</v>
      </c>
      <c r="F105" s="111">
        <v>0</v>
      </c>
      <c r="G105" s="111">
        <v>0</v>
      </c>
      <c r="H105" s="111">
        <v>0</v>
      </c>
      <c r="I105" s="111">
        <v>0</v>
      </c>
      <c r="J105" s="111">
        <v>0</v>
      </c>
      <c r="K105" s="111">
        <v>0</v>
      </c>
      <c r="L105" s="111">
        <v>66.125</v>
      </c>
      <c r="M105" s="111">
        <v>811.1875</v>
      </c>
      <c r="N105" s="111">
        <v>1106.4375</v>
      </c>
      <c r="O105" s="111">
        <v>1247.0625</v>
      </c>
      <c r="P105" s="111">
        <v>1247.0625</v>
      </c>
      <c r="Q105" s="111">
        <v>1247.0625</v>
      </c>
      <c r="R105" s="111">
        <v>1247.0625</v>
      </c>
      <c r="S105" s="111">
        <v>1247.0625</v>
      </c>
      <c r="T105" s="111">
        <v>1247.0625</v>
      </c>
      <c r="U105" s="111">
        <v>1247.0625</v>
      </c>
      <c r="V105" s="111">
        <v>1247.0625</v>
      </c>
      <c r="W105" s="111">
        <v>1247.0625</v>
      </c>
      <c r="X105" s="111">
        <v>1247.0625</v>
      </c>
      <c r="Y105" s="111">
        <v>1247.0625</v>
      </c>
      <c r="Z105" s="111">
        <v>1247.0625</v>
      </c>
      <c r="AA105" s="111">
        <v>1247.0625</v>
      </c>
      <c r="AB105" s="111">
        <v>1247.0625</v>
      </c>
      <c r="AC105" s="111">
        <v>1247.0625</v>
      </c>
      <c r="AD105" s="111">
        <v>1247.0625</v>
      </c>
      <c r="AE105" s="111">
        <v>1247.0625</v>
      </c>
      <c r="AF105" s="111">
        <v>1247.0625</v>
      </c>
      <c r="AG105" s="111">
        <v>1247.0625</v>
      </c>
      <c r="AH105" s="111">
        <v>1247.0625</v>
      </c>
      <c r="AI105" s="111">
        <v>1247.0625</v>
      </c>
      <c r="AJ105" s="111">
        <v>1247.0625</v>
      </c>
      <c r="AK105" s="111">
        <v>958.5</v>
      </c>
      <c r="AL105" s="111">
        <v>0</v>
      </c>
      <c r="AM105" s="111">
        <v>0</v>
      </c>
      <c r="AN105" s="111">
        <v>0</v>
      </c>
      <c r="AO105" s="111">
        <v>0</v>
      </c>
      <c r="AP105" s="111">
        <v>0</v>
      </c>
      <c r="AQ105" s="111">
        <v>0</v>
      </c>
      <c r="AR105" s="111">
        <v>0</v>
      </c>
      <c r="AS105" s="111">
        <v>0</v>
      </c>
      <c r="AT105" s="111">
        <v>0</v>
      </c>
      <c r="AU105" s="111">
        <v>0</v>
      </c>
      <c r="AV105" s="111">
        <v>0</v>
      </c>
      <c r="AW105" s="111">
        <v>0</v>
      </c>
      <c r="AX105" s="111">
        <v>0</v>
      </c>
      <c r="AY105" s="111">
        <v>0</v>
      </c>
    </row>
    <row r="106" spans="1:52" x14ac:dyDescent="0.25">
      <c r="A106" s="114"/>
      <c r="B106" s="135">
        <v>7</v>
      </c>
      <c r="C106" s="111"/>
      <c r="D106" s="111">
        <v>0</v>
      </c>
      <c r="E106" s="111">
        <v>0</v>
      </c>
      <c r="F106" s="111">
        <v>0</v>
      </c>
      <c r="G106" s="111">
        <v>0</v>
      </c>
      <c r="H106" s="111">
        <v>0</v>
      </c>
      <c r="I106" s="111">
        <v>0</v>
      </c>
      <c r="J106" s="111">
        <v>0</v>
      </c>
      <c r="K106" s="111">
        <v>0</v>
      </c>
      <c r="L106" s="111">
        <v>0</v>
      </c>
      <c r="M106" s="111">
        <v>0</v>
      </c>
      <c r="N106" s="111">
        <v>218.1875</v>
      </c>
      <c r="O106" s="111">
        <v>804.625</v>
      </c>
      <c r="P106" s="111">
        <v>1247.0625</v>
      </c>
      <c r="Q106" s="111">
        <v>1247.0625</v>
      </c>
      <c r="R106" s="111">
        <v>1247.0625</v>
      </c>
      <c r="S106" s="111">
        <v>1247.0625</v>
      </c>
      <c r="T106" s="111">
        <v>1247.0625</v>
      </c>
      <c r="U106" s="111">
        <v>1247.0625</v>
      </c>
      <c r="V106" s="111">
        <v>1247.0625</v>
      </c>
      <c r="W106" s="111">
        <v>1247.0625</v>
      </c>
      <c r="X106" s="111">
        <v>1247.0625</v>
      </c>
      <c r="Y106" s="111">
        <v>1247.0625</v>
      </c>
      <c r="Z106" s="111">
        <v>1247.0625</v>
      </c>
      <c r="AA106" s="111">
        <v>1247.0625</v>
      </c>
      <c r="AB106" s="111">
        <v>1247.0625</v>
      </c>
      <c r="AC106" s="111">
        <v>1247.0625</v>
      </c>
      <c r="AD106" s="111">
        <v>1247.0625</v>
      </c>
      <c r="AE106" s="111">
        <v>1247.0625</v>
      </c>
      <c r="AF106" s="111">
        <v>1247.0625</v>
      </c>
      <c r="AG106" s="111">
        <v>1247.0625</v>
      </c>
      <c r="AH106" s="111">
        <v>1247.0625</v>
      </c>
      <c r="AI106" s="111">
        <v>880.3125</v>
      </c>
      <c r="AJ106" s="111">
        <v>604.375</v>
      </c>
      <c r="AK106" s="111">
        <v>0</v>
      </c>
      <c r="AL106" s="111">
        <v>0</v>
      </c>
      <c r="AM106" s="111">
        <v>0</v>
      </c>
      <c r="AN106" s="111">
        <v>0</v>
      </c>
      <c r="AO106" s="111">
        <v>0</v>
      </c>
      <c r="AP106" s="111">
        <v>0</v>
      </c>
      <c r="AQ106" s="111">
        <v>0</v>
      </c>
      <c r="AR106" s="111">
        <v>0</v>
      </c>
      <c r="AS106" s="111">
        <v>0</v>
      </c>
      <c r="AT106" s="111">
        <v>0</v>
      </c>
      <c r="AU106" s="111">
        <v>0</v>
      </c>
      <c r="AV106" s="111">
        <v>0</v>
      </c>
      <c r="AW106" s="111">
        <v>0</v>
      </c>
      <c r="AX106" s="111">
        <v>0</v>
      </c>
      <c r="AY106" s="111">
        <v>0</v>
      </c>
    </row>
    <row r="107" spans="1:52" x14ac:dyDescent="0.25">
      <c r="A107" s="114"/>
      <c r="B107" s="135">
        <v>8</v>
      </c>
      <c r="C107" s="111"/>
      <c r="D107" s="111">
        <v>0</v>
      </c>
      <c r="E107" s="111">
        <v>0</v>
      </c>
      <c r="F107" s="111">
        <v>0</v>
      </c>
      <c r="G107" s="111">
        <v>0</v>
      </c>
      <c r="H107" s="111">
        <v>0</v>
      </c>
      <c r="I107" s="111">
        <v>0</v>
      </c>
      <c r="J107" s="111">
        <v>0</v>
      </c>
      <c r="K107" s="111">
        <v>0</v>
      </c>
      <c r="L107" s="111">
        <v>0</v>
      </c>
      <c r="M107" s="111">
        <v>0</v>
      </c>
      <c r="N107" s="111">
        <v>0</v>
      </c>
      <c r="O107" s="111">
        <v>0</v>
      </c>
      <c r="P107" s="111">
        <v>257.625</v>
      </c>
      <c r="Q107" s="111">
        <v>928.6875</v>
      </c>
      <c r="R107" s="111">
        <v>1247.0625</v>
      </c>
      <c r="S107" s="111">
        <v>1247.0625</v>
      </c>
      <c r="T107" s="111">
        <v>1247.0625</v>
      </c>
      <c r="U107" s="111">
        <v>1247.0625</v>
      </c>
      <c r="V107" s="111">
        <v>1247.0625</v>
      </c>
      <c r="W107" s="111">
        <v>1247.0625</v>
      </c>
      <c r="X107" s="111">
        <v>1247.0625</v>
      </c>
      <c r="Y107" s="111">
        <v>1247.0625</v>
      </c>
      <c r="Z107" s="111">
        <v>1247.0625</v>
      </c>
      <c r="AA107" s="111">
        <v>1247.0625</v>
      </c>
      <c r="AB107" s="111">
        <v>1247.0625</v>
      </c>
      <c r="AC107" s="111">
        <v>1247.0625</v>
      </c>
      <c r="AD107" s="111">
        <v>1247.0625</v>
      </c>
      <c r="AE107" s="111">
        <v>1177.125</v>
      </c>
      <c r="AF107" s="111">
        <v>1247.0625</v>
      </c>
      <c r="AG107" s="111">
        <v>886.125</v>
      </c>
      <c r="AH107" s="111">
        <v>294.1875</v>
      </c>
      <c r="AI107" s="111">
        <v>0</v>
      </c>
      <c r="AJ107" s="111">
        <v>0</v>
      </c>
      <c r="AK107" s="111">
        <v>0</v>
      </c>
      <c r="AL107" s="111">
        <v>0</v>
      </c>
      <c r="AM107" s="111">
        <v>0</v>
      </c>
      <c r="AN107" s="111">
        <v>0</v>
      </c>
      <c r="AO107" s="111">
        <v>0</v>
      </c>
      <c r="AP107" s="111">
        <v>0</v>
      </c>
      <c r="AQ107" s="111">
        <v>0</v>
      </c>
      <c r="AR107" s="111">
        <v>0</v>
      </c>
      <c r="AS107" s="111">
        <v>0</v>
      </c>
      <c r="AT107" s="111">
        <v>0</v>
      </c>
      <c r="AU107" s="111">
        <v>0</v>
      </c>
      <c r="AV107" s="111">
        <v>0</v>
      </c>
      <c r="AW107" s="111">
        <v>0</v>
      </c>
      <c r="AX107" s="111">
        <v>0</v>
      </c>
      <c r="AY107" s="111">
        <v>0</v>
      </c>
    </row>
    <row r="108" spans="1:52" x14ac:dyDescent="0.25">
      <c r="A108" s="133"/>
      <c r="B108" s="137" t="s">
        <v>295</v>
      </c>
      <c r="C108" s="119"/>
      <c r="D108" s="130">
        <v>0</v>
      </c>
      <c r="E108" s="130">
        <v>0</v>
      </c>
      <c r="F108" s="130">
        <v>0</v>
      </c>
      <c r="G108" s="130">
        <v>0</v>
      </c>
      <c r="H108" s="130">
        <v>0</v>
      </c>
      <c r="I108" s="130">
        <v>0</v>
      </c>
      <c r="J108" s="130">
        <v>0</v>
      </c>
      <c r="K108" s="130">
        <v>0</v>
      </c>
      <c r="L108" s="130">
        <v>0</v>
      </c>
      <c r="M108" s="130">
        <v>0</v>
      </c>
      <c r="N108" s="130">
        <v>0</v>
      </c>
      <c r="O108" s="130">
        <v>0</v>
      </c>
      <c r="P108" s="130">
        <v>0</v>
      </c>
      <c r="Q108" s="130">
        <v>0</v>
      </c>
      <c r="R108" s="130">
        <v>287.6875</v>
      </c>
      <c r="S108" s="130">
        <v>665.0625</v>
      </c>
      <c r="T108" s="130">
        <v>531.0625</v>
      </c>
      <c r="U108" s="130">
        <v>483.0625</v>
      </c>
      <c r="V108" s="130">
        <v>455.0625</v>
      </c>
      <c r="W108" s="130">
        <v>477.0625</v>
      </c>
      <c r="X108" s="130">
        <v>356.0625</v>
      </c>
      <c r="Y108" s="130">
        <v>239.0625</v>
      </c>
      <c r="Z108" s="130">
        <v>372.0625</v>
      </c>
      <c r="AA108" s="130">
        <v>400.0625</v>
      </c>
      <c r="AB108" s="130">
        <v>268.0625</v>
      </c>
      <c r="AC108" s="130">
        <v>39.0625</v>
      </c>
      <c r="AD108" s="130">
        <v>125.0625</v>
      </c>
      <c r="AE108" s="130">
        <v>0</v>
      </c>
      <c r="AF108" s="130">
        <v>94.125</v>
      </c>
      <c r="AG108" s="130">
        <v>0</v>
      </c>
      <c r="AH108" s="130">
        <v>0</v>
      </c>
      <c r="AI108" s="130">
        <v>0</v>
      </c>
      <c r="AJ108" s="130">
        <v>0</v>
      </c>
      <c r="AK108" s="130">
        <v>0</v>
      </c>
      <c r="AL108" s="130">
        <v>0</v>
      </c>
      <c r="AM108" s="130">
        <v>0</v>
      </c>
      <c r="AN108" s="130">
        <v>0</v>
      </c>
      <c r="AO108" s="130">
        <v>0</v>
      </c>
      <c r="AP108" s="130">
        <v>0</v>
      </c>
      <c r="AQ108" s="130">
        <v>0</v>
      </c>
      <c r="AR108" s="130">
        <v>0</v>
      </c>
      <c r="AS108" s="130">
        <v>0</v>
      </c>
      <c r="AT108" s="130">
        <v>0</v>
      </c>
      <c r="AU108" s="130">
        <v>0</v>
      </c>
      <c r="AV108" s="130">
        <v>0</v>
      </c>
      <c r="AW108" s="130">
        <v>0</v>
      </c>
      <c r="AX108" s="130">
        <v>0</v>
      </c>
      <c r="AY108" s="130">
        <v>0</v>
      </c>
      <c r="AZ108" s="112">
        <f>SUM($D108:$AY108)</f>
        <v>4792.5625</v>
      </c>
    </row>
    <row r="109" spans="1:52" x14ac:dyDescent="0.25">
      <c r="A109" s="136" t="s">
        <v>134</v>
      </c>
      <c r="B109" s="124">
        <v>1</v>
      </c>
      <c r="C109" s="111"/>
      <c r="D109" s="111">
        <v>0</v>
      </c>
      <c r="E109" s="111">
        <v>0</v>
      </c>
      <c r="F109" s="111">
        <v>0</v>
      </c>
      <c r="G109" s="111">
        <v>597.48150000000021</v>
      </c>
      <c r="H109" s="111">
        <v>376.1718938555349</v>
      </c>
      <c r="I109" s="111">
        <v>1250.0109810060978</v>
      </c>
      <c r="J109" s="111">
        <v>804.80071879842899</v>
      </c>
      <c r="K109" s="111">
        <v>815.64115905762844</v>
      </c>
      <c r="L109" s="111">
        <v>1674.6719804043439</v>
      </c>
      <c r="M109" s="111">
        <v>1596.6023327600096</v>
      </c>
      <c r="N109" s="111">
        <v>1479.4002207968206</v>
      </c>
      <c r="O109" s="111">
        <v>1527.0692701595847</v>
      </c>
      <c r="P109" s="111">
        <v>1410.3488989620791</v>
      </c>
      <c r="Q109" s="111">
        <v>1448.6970343253515</v>
      </c>
      <c r="R109" s="111">
        <v>1366.6458223114789</v>
      </c>
      <c r="S109" s="111">
        <v>1221.6181029827617</v>
      </c>
      <c r="T109" s="111">
        <v>1419.4051984584951</v>
      </c>
      <c r="U109" s="111">
        <v>1390.0789244952075</v>
      </c>
      <c r="V109" s="111">
        <v>1344.9328009218852</v>
      </c>
      <c r="W109" s="111">
        <v>1344.3426517436908</v>
      </c>
      <c r="X109" s="111">
        <v>1274.8993924889339</v>
      </c>
      <c r="Y109" s="111">
        <v>1076.7552969564565</v>
      </c>
      <c r="Z109" s="111">
        <v>834.51550118304738</v>
      </c>
      <c r="AA109" s="111">
        <v>1416.8502802717953</v>
      </c>
      <c r="AB109" s="111">
        <v>762.92768217666708</v>
      </c>
      <c r="AC109" s="111">
        <v>1409.8250389120194</v>
      </c>
      <c r="AD109" s="111">
        <v>1297.3837297956272</v>
      </c>
      <c r="AE109" s="111">
        <v>1221.0357555116232</v>
      </c>
      <c r="AF109" s="111">
        <v>1045.01115993809</v>
      </c>
      <c r="AG109" s="111">
        <v>1124.8323351042241</v>
      </c>
      <c r="AH109" s="111">
        <v>889.6676866732804</v>
      </c>
      <c r="AI109" s="111">
        <v>717.90951932074711</v>
      </c>
      <c r="AJ109" s="111">
        <v>853.88991457537122</v>
      </c>
      <c r="AK109" s="111">
        <v>897.18757111564241</v>
      </c>
      <c r="AL109" s="111">
        <v>90.596794583516584</v>
      </c>
      <c r="AM109" s="111">
        <v>388.95473733583515</v>
      </c>
      <c r="AN109" s="111">
        <v>806.00826266416504</v>
      </c>
      <c r="AO109" s="111">
        <v>455.46493921200778</v>
      </c>
      <c r="AP109" s="111">
        <v>74.774873358348984</v>
      </c>
      <c r="AQ109" s="111">
        <v>798.6083893058161</v>
      </c>
      <c r="AR109" s="111">
        <v>554.37666885553483</v>
      </c>
      <c r="AS109" s="111">
        <v>46.488750000000003</v>
      </c>
      <c r="AT109" s="111">
        <v>389.58677298311471</v>
      </c>
      <c r="AU109" s="111">
        <v>275.26972701688544</v>
      </c>
      <c r="AV109" s="111">
        <v>1077.7153311444654</v>
      </c>
      <c r="AW109" s="111">
        <v>600.86541885553481</v>
      </c>
      <c r="AX109" s="111">
        <v>392.97069183864954</v>
      </c>
      <c r="AY109" s="111">
        <v>70.758918855534716</v>
      </c>
    </row>
    <row r="110" spans="1:52" x14ac:dyDescent="0.25">
      <c r="A110" s="114"/>
      <c r="B110" s="124">
        <v>2</v>
      </c>
      <c r="C110" s="111"/>
      <c r="D110" s="111">
        <v>0</v>
      </c>
      <c r="E110" s="111">
        <v>0</v>
      </c>
      <c r="F110" s="111">
        <v>0</v>
      </c>
      <c r="G110" s="111">
        <v>0</v>
      </c>
      <c r="H110" s="111">
        <v>356.48150000000021</v>
      </c>
      <c r="I110" s="111">
        <v>376.1718938555349</v>
      </c>
      <c r="J110" s="111">
        <v>1250.0109810060978</v>
      </c>
      <c r="K110" s="111">
        <v>804.80071879842899</v>
      </c>
      <c r="L110" s="111">
        <v>815.64115905762844</v>
      </c>
      <c r="M110" s="111">
        <v>1674.6719804043439</v>
      </c>
      <c r="N110" s="111">
        <v>1596.6023327600096</v>
      </c>
      <c r="O110" s="111">
        <v>1479.4002207968206</v>
      </c>
      <c r="P110" s="111">
        <v>1527.0692701595847</v>
      </c>
      <c r="Q110" s="111">
        <v>1410.3488989620791</v>
      </c>
      <c r="R110" s="111">
        <v>1448.6970343253515</v>
      </c>
      <c r="S110" s="111">
        <v>1366.6458223114789</v>
      </c>
      <c r="T110" s="111">
        <v>1221.6181029827617</v>
      </c>
      <c r="U110" s="111">
        <v>1419.4051984584951</v>
      </c>
      <c r="V110" s="111">
        <v>1390.0789244952075</v>
      </c>
      <c r="W110" s="111">
        <v>1344.9328009218852</v>
      </c>
      <c r="X110" s="111">
        <v>1344.3426517436908</v>
      </c>
      <c r="Y110" s="111">
        <v>1274.8993924889339</v>
      </c>
      <c r="Z110" s="111">
        <v>1076.7552969564565</v>
      </c>
      <c r="AA110" s="111">
        <v>834.51550118304738</v>
      </c>
      <c r="AB110" s="111">
        <v>1416.8502802717953</v>
      </c>
      <c r="AC110" s="111">
        <v>762.92768217666708</v>
      </c>
      <c r="AD110" s="111">
        <v>1409.8250389120194</v>
      </c>
      <c r="AE110" s="111">
        <v>1297.3837297956272</v>
      </c>
      <c r="AF110" s="111">
        <v>1221.0357555116232</v>
      </c>
      <c r="AG110" s="111">
        <v>1045.01115993809</v>
      </c>
      <c r="AH110" s="111">
        <v>1124.8323351042241</v>
      </c>
      <c r="AI110" s="111">
        <v>889.6676866732804</v>
      </c>
      <c r="AJ110" s="111">
        <v>717.90951932074711</v>
      </c>
      <c r="AK110" s="111">
        <v>853.88991457537122</v>
      </c>
      <c r="AL110" s="111">
        <v>897.18757111564241</v>
      </c>
      <c r="AM110" s="111">
        <v>90.596794583516584</v>
      </c>
      <c r="AN110" s="111">
        <v>388.95473733583515</v>
      </c>
      <c r="AO110" s="111">
        <v>806.00826266416504</v>
      </c>
      <c r="AP110" s="111">
        <v>455.46493921200778</v>
      </c>
      <c r="AQ110" s="111">
        <v>0</v>
      </c>
      <c r="AR110" s="111">
        <v>0</v>
      </c>
      <c r="AS110" s="111">
        <v>0</v>
      </c>
      <c r="AT110" s="111">
        <v>0</v>
      </c>
      <c r="AU110" s="111">
        <v>0</v>
      </c>
      <c r="AV110" s="111">
        <v>0</v>
      </c>
      <c r="AW110" s="111">
        <v>0</v>
      </c>
      <c r="AX110" s="111">
        <v>0</v>
      </c>
      <c r="AY110" s="111">
        <v>0</v>
      </c>
    </row>
    <row r="111" spans="1:52" x14ac:dyDescent="0.25">
      <c r="A111" s="114"/>
      <c r="B111" s="124">
        <v>3</v>
      </c>
      <c r="C111" s="111"/>
      <c r="D111" s="111">
        <v>0</v>
      </c>
      <c r="E111" s="111">
        <v>0</v>
      </c>
      <c r="F111" s="111">
        <v>0</v>
      </c>
      <c r="G111" s="111">
        <v>0</v>
      </c>
      <c r="H111" s="111">
        <v>0</v>
      </c>
      <c r="I111" s="111">
        <v>34.48150000000021</v>
      </c>
      <c r="J111" s="111">
        <v>38.653393855535114</v>
      </c>
      <c r="K111" s="111">
        <v>966.66437486163295</v>
      </c>
      <c r="L111" s="111">
        <v>804.80071879842899</v>
      </c>
      <c r="M111" s="111">
        <v>815.64115905762844</v>
      </c>
      <c r="N111" s="111">
        <v>1674.6719804043439</v>
      </c>
      <c r="O111" s="111">
        <v>1596.6023327600096</v>
      </c>
      <c r="P111" s="111">
        <v>1479.4002207968206</v>
      </c>
      <c r="Q111" s="111">
        <v>1527.0692701595847</v>
      </c>
      <c r="R111" s="111">
        <v>1410.3488989620791</v>
      </c>
      <c r="S111" s="111">
        <v>1448.6970343253515</v>
      </c>
      <c r="T111" s="111">
        <v>1366.6458223114789</v>
      </c>
      <c r="U111" s="111">
        <v>1221.6181029827617</v>
      </c>
      <c r="V111" s="111">
        <v>1419.4051984584951</v>
      </c>
      <c r="W111" s="111">
        <v>1390.0789244952075</v>
      </c>
      <c r="X111" s="111">
        <v>1344.9328009218852</v>
      </c>
      <c r="Y111" s="111">
        <v>1344.3426517436908</v>
      </c>
      <c r="Z111" s="111">
        <v>1274.8993924889339</v>
      </c>
      <c r="AA111" s="111">
        <v>1076.7552969564565</v>
      </c>
      <c r="AB111" s="111">
        <v>834.51550118304738</v>
      </c>
      <c r="AC111" s="111">
        <v>1416.8502802717953</v>
      </c>
      <c r="AD111" s="111">
        <v>762.92768217666708</v>
      </c>
      <c r="AE111" s="111">
        <v>1409.8250389120194</v>
      </c>
      <c r="AF111" s="111">
        <v>1297.3837297956272</v>
      </c>
      <c r="AG111" s="111">
        <v>1221.0357555116232</v>
      </c>
      <c r="AH111" s="111">
        <v>1045.01115993809</v>
      </c>
      <c r="AI111" s="111">
        <v>1124.8323351042241</v>
      </c>
      <c r="AJ111" s="111">
        <v>889.6676866732804</v>
      </c>
      <c r="AK111" s="111">
        <v>717.90951932074711</v>
      </c>
      <c r="AL111" s="111">
        <v>853.88991457537122</v>
      </c>
      <c r="AM111" s="111">
        <v>897.18757111564241</v>
      </c>
      <c r="AN111" s="111">
        <v>90.596794583516584</v>
      </c>
      <c r="AO111" s="111">
        <v>388.95473733583515</v>
      </c>
      <c r="AP111" s="111">
        <v>806.00826266416504</v>
      </c>
      <c r="AQ111" s="111">
        <v>0</v>
      </c>
      <c r="AR111" s="111">
        <v>0</v>
      </c>
      <c r="AS111" s="111">
        <v>0</v>
      </c>
      <c r="AT111" s="111">
        <v>0</v>
      </c>
      <c r="AU111" s="111">
        <v>0</v>
      </c>
      <c r="AV111" s="111">
        <v>0</v>
      </c>
      <c r="AW111" s="111">
        <v>0</v>
      </c>
      <c r="AX111" s="111">
        <v>0</v>
      </c>
      <c r="AY111" s="111">
        <v>0</v>
      </c>
    </row>
    <row r="112" spans="1:52" x14ac:dyDescent="0.25">
      <c r="A112" s="114"/>
      <c r="B112" s="125">
        <v>4</v>
      </c>
      <c r="C112" s="111"/>
      <c r="D112" s="111">
        <v>0</v>
      </c>
      <c r="E112" s="111">
        <v>0</v>
      </c>
      <c r="F112" s="111">
        <v>0</v>
      </c>
      <c r="G112" s="111">
        <v>0</v>
      </c>
      <c r="H112" s="111">
        <v>0</v>
      </c>
      <c r="I112" s="111">
        <v>0</v>
      </c>
      <c r="J112" s="111">
        <v>0</v>
      </c>
      <c r="K112" s="111">
        <v>0</v>
      </c>
      <c r="L112" s="111">
        <v>580.66437486163295</v>
      </c>
      <c r="M112" s="111">
        <v>804.80071879842899</v>
      </c>
      <c r="N112" s="111">
        <v>815.64115905762844</v>
      </c>
      <c r="O112" s="111">
        <v>1674.6719804043439</v>
      </c>
      <c r="P112" s="111">
        <v>1596.6023327600096</v>
      </c>
      <c r="Q112" s="111">
        <v>1479.4002207968206</v>
      </c>
      <c r="R112" s="111">
        <v>1527.0692701595847</v>
      </c>
      <c r="S112" s="111">
        <v>1410.3488989620791</v>
      </c>
      <c r="T112" s="111">
        <v>1448.6970343253515</v>
      </c>
      <c r="U112" s="111">
        <v>1366.6458223114789</v>
      </c>
      <c r="V112" s="111">
        <v>1221.6181029827617</v>
      </c>
      <c r="W112" s="111">
        <v>1419.4051984584951</v>
      </c>
      <c r="X112" s="111">
        <v>1390.0789244952075</v>
      </c>
      <c r="Y112" s="111">
        <v>1344.9328009218852</v>
      </c>
      <c r="Z112" s="111">
        <v>1344.3426517436908</v>
      </c>
      <c r="AA112" s="111">
        <v>1274.8993924889339</v>
      </c>
      <c r="AB112" s="111">
        <v>1076.7552969564565</v>
      </c>
      <c r="AC112" s="111">
        <v>834.51550118304738</v>
      </c>
      <c r="AD112" s="111">
        <v>1416.8502802717953</v>
      </c>
      <c r="AE112" s="111">
        <v>762.92768217666708</v>
      </c>
      <c r="AF112" s="111">
        <v>1409.8250389120194</v>
      </c>
      <c r="AG112" s="111">
        <v>1297.3837297956272</v>
      </c>
      <c r="AH112" s="111">
        <v>1221.0357555116232</v>
      </c>
      <c r="AI112" s="111">
        <v>1045.01115993809</v>
      </c>
      <c r="AJ112" s="111">
        <v>1124.8323351042241</v>
      </c>
      <c r="AK112" s="111">
        <v>889.6676866732804</v>
      </c>
      <c r="AL112" s="111">
        <v>717.90951932074711</v>
      </c>
      <c r="AM112" s="111">
        <v>853.88991457537122</v>
      </c>
      <c r="AN112" s="111">
        <v>897.18757111564241</v>
      </c>
      <c r="AO112" s="111">
        <v>90.596794583516584</v>
      </c>
      <c r="AP112" s="111">
        <v>388.95473733583515</v>
      </c>
      <c r="AQ112" s="111">
        <v>0</v>
      </c>
      <c r="AR112" s="111">
        <v>0</v>
      </c>
      <c r="AS112" s="111">
        <v>0</v>
      </c>
      <c r="AT112" s="111">
        <v>0</v>
      </c>
      <c r="AU112" s="111">
        <v>0</v>
      </c>
      <c r="AV112" s="111">
        <v>0</v>
      </c>
      <c r="AW112" s="111">
        <v>0</v>
      </c>
      <c r="AX112" s="111">
        <v>0</v>
      </c>
      <c r="AY112" s="111">
        <v>0</v>
      </c>
    </row>
    <row r="113" spans="1:52" x14ac:dyDescent="0.25">
      <c r="A113" s="114"/>
      <c r="B113" s="125">
        <v>5</v>
      </c>
      <c r="C113" s="111"/>
      <c r="D113" s="111">
        <v>0</v>
      </c>
      <c r="E113" s="111">
        <v>0</v>
      </c>
      <c r="F113" s="111">
        <v>0</v>
      </c>
      <c r="G113" s="111">
        <v>0</v>
      </c>
      <c r="H113" s="111">
        <v>0</v>
      </c>
      <c r="I113" s="111">
        <v>0</v>
      </c>
      <c r="J113" s="111">
        <v>0</v>
      </c>
      <c r="K113" s="111">
        <v>0</v>
      </c>
      <c r="L113" s="111">
        <v>0</v>
      </c>
      <c r="M113" s="111">
        <v>164.66437486163295</v>
      </c>
      <c r="N113" s="111">
        <v>547.46509366006194</v>
      </c>
      <c r="O113" s="111">
        <v>815.64115905762844</v>
      </c>
      <c r="P113" s="111">
        <v>1674.6719804043439</v>
      </c>
      <c r="Q113" s="111">
        <v>1596.6023327600096</v>
      </c>
      <c r="R113" s="111">
        <v>1479.4002207968206</v>
      </c>
      <c r="S113" s="111">
        <v>1527.0692701595847</v>
      </c>
      <c r="T113" s="111">
        <v>1410.3488989620791</v>
      </c>
      <c r="U113" s="111">
        <v>1448.6970343253515</v>
      </c>
      <c r="V113" s="111">
        <v>1366.6458223114789</v>
      </c>
      <c r="W113" s="111">
        <v>1221.6181029827617</v>
      </c>
      <c r="X113" s="111">
        <v>1419.4051984584951</v>
      </c>
      <c r="Y113" s="111">
        <v>1390.0789244952075</v>
      </c>
      <c r="Z113" s="111">
        <v>1344.9328009218852</v>
      </c>
      <c r="AA113" s="111">
        <v>1344.3426517436908</v>
      </c>
      <c r="AB113" s="111">
        <v>1274.8993924889339</v>
      </c>
      <c r="AC113" s="111">
        <v>1076.7552969564565</v>
      </c>
      <c r="AD113" s="111">
        <v>834.51550118304738</v>
      </c>
      <c r="AE113" s="111">
        <v>1416.8502802717953</v>
      </c>
      <c r="AF113" s="111">
        <v>762.92768217666708</v>
      </c>
      <c r="AG113" s="111">
        <v>1409.8250389120194</v>
      </c>
      <c r="AH113" s="111">
        <v>1297.3837297956272</v>
      </c>
      <c r="AI113" s="111">
        <v>1221.0357555116232</v>
      </c>
      <c r="AJ113" s="111">
        <v>1045.01115993809</v>
      </c>
      <c r="AK113" s="111">
        <v>1124.8323351042241</v>
      </c>
      <c r="AL113" s="111">
        <v>889.6676866732804</v>
      </c>
      <c r="AM113" s="111">
        <v>717.90951932074711</v>
      </c>
      <c r="AN113" s="111">
        <v>853.88991457537122</v>
      </c>
      <c r="AO113" s="111">
        <v>897.18757111564241</v>
      </c>
      <c r="AP113" s="111">
        <v>90.596794583516584</v>
      </c>
      <c r="AQ113" s="111">
        <v>0</v>
      </c>
      <c r="AR113" s="111">
        <v>0</v>
      </c>
      <c r="AS113" s="111">
        <v>0</v>
      </c>
      <c r="AT113" s="111">
        <v>0</v>
      </c>
      <c r="AU113" s="111">
        <v>0</v>
      </c>
      <c r="AV113" s="111">
        <v>0</v>
      </c>
      <c r="AW113" s="111">
        <v>0</v>
      </c>
      <c r="AX113" s="111">
        <v>0</v>
      </c>
      <c r="AY113" s="111">
        <v>0</v>
      </c>
    </row>
    <row r="114" spans="1:52" x14ac:dyDescent="0.25">
      <c r="A114" s="114"/>
      <c r="B114" s="125">
        <v>6</v>
      </c>
      <c r="C114" s="111"/>
      <c r="D114" s="111">
        <v>0</v>
      </c>
      <c r="E114" s="111">
        <v>0</v>
      </c>
      <c r="F114" s="111">
        <v>0</v>
      </c>
      <c r="G114" s="111">
        <v>0</v>
      </c>
      <c r="H114" s="111">
        <v>0</v>
      </c>
      <c r="I114" s="111">
        <v>0</v>
      </c>
      <c r="J114" s="111">
        <v>0</v>
      </c>
      <c r="K114" s="111">
        <v>0</v>
      </c>
      <c r="L114" s="111">
        <v>0</v>
      </c>
      <c r="M114" s="111">
        <v>0</v>
      </c>
      <c r="N114" s="111">
        <v>0</v>
      </c>
      <c r="O114" s="111">
        <v>194.46509366006194</v>
      </c>
      <c r="P114" s="111">
        <v>542.10625271769038</v>
      </c>
      <c r="Q114" s="111">
        <v>1672.7782331220342</v>
      </c>
      <c r="R114" s="111">
        <v>1596.6023327600096</v>
      </c>
      <c r="S114" s="111">
        <v>1479.4002207968206</v>
      </c>
      <c r="T114" s="111">
        <v>1527.0692701595847</v>
      </c>
      <c r="U114" s="111">
        <v>1410.3488989620791</v>
      </c>
      <c r="V114" s="111">
        <v>1448.6970343253515</v>
      </c>
      <c r="W114" s="111">
        <v>1366.6458223114789</v>
      </c>
      <c r="X114" s="111">
        <v>1221.6181029827617</v>
      </c>
      <c r="Y114" s="111">
        <v>1419.4051984584951</v>
      </c>
      <c r="Z114" s="111">
        <v>1390.0789244952075</v>
      </c>
      <c r="AA114" s="111">
        <v>1344.9328009218852</v>
      </c>
      <c r="AB114" s="111">
        <v>1344.3426517436908</v>
      </c>
      <c r="AC114" s="111">
        <v>1274.8993924889339</v>
      </c>
      <c r="AD114" s="111">
        <v>1076.7552969564565</v>
      </c>
      <c r="AE114" s="111">
        <v>834.51550118304738</v>
      </c>
      <c r="AF114" s="111">
        <v>1416.8502802717953</v>
      </c>
      <c r="AG114" s="111">
        <v>762.92768217666708</v>
      </c>
      <c r="AH114" s="111">
        <v>1409.8250389120194</v>
      </c>
      <c r="AI114" s="111">
        <v>1297.3837297956272</v>
      </c>
      <c r="AJ114" s="111">
        <v>1221.0357555116232</v>
      </c>
      <c r="AK114" s="111">
        <v>1045.01115993809</v>
      </c>
      <c r="AL114" s="111">
        <v>1124.8323351042241</v>
      </c>
      <c r="AM114" s="111">
        <v>889.6676866732804</v>
      </c>
      <c r="AN114" s="111">
        <v>717.90951932074711</v>
      </c>
      <c r="AO114" s="111">
        <v>853.88991457537122</v>
      </c>
      <c r="AP114" s="111">
        <v>561.96631668910163</v>
      </c>
      <c r="AQ114" s="111">
        <v>0</v>
      </c>
      <c r="AR114" s="111">
        <v>0</v>
      </c>
      <c r="AS114" s="111">
        <v>0</v>
      </c>
      <c r="AT114" s="111">
        <v>0</v>
      </c>
      <c r="AU114" s="111">
        <v>0</v>
      </c>
      <c r="AV114" s="111">
        <v>0</v>
      </c>
      <c r="AW114" s="111">
        <v>0</v>
      </c>
      <c r="AX114" s="111">
        <v>0</v>
      </c>
      <c r="AY114" s="111">
        <v>0</v>
      </c>
    </row>
    <row r="115" spans="1:52" x14ac:dyDescent="0.25">
      <c r="A115" s="114"/>
      <c r="B115" s="132">
        <v>7</v>
      </c>
      <c r="C115" s="111"/>
      <c r="D115" s="111">
        <v>0</v>
      </c>
      <c r="E115" s="111">
        <v>0</v>
      </c>
      <c r="F115" s="111">
        <v>0</v>
      </c>
      <c r="G115" s="111">
        <v>0</v>
      </c>
      <c r="H115" s="111">
        <v>0</v>
      </c>
      <c r="I115" s="111">
        <v>0</v>
      </c>
      <c r="J115" s="111">
        <v>0</v>
      </c>
      <c r="K115" s="111">
        <v>0</v>
      </c>
      <c r="L115" s="111">
        <v>0</v>
      </c>
      <c r="M115" s="111">
        <v>0</v>
      </c>
      <c r="N115" s="111">
        <v>0</v>
      </c>
      <c r="O115" s="111">
        <v>0</v>
      </c>
      <c r="P115" s="111">
        <v>0</v>
      </c>
      <c r="Q115" s="111">
        <v>0</v>
      </c>
      <c r="R115" s="111">
        <v>1231.7782331220342</v>
      </c>
      <c r="S115" s="111">
        <v>1596.6023327600096</v>
      </c>
      <c r="T115" s="111">
        <v>1479.4002207968206</v>
      </c>
      <c r="U115" s="111">
        <v>1527.0692701595847</v>
      </c>
      <c r="V115" s="111">
        <v>1410.3488989620791</v>
      </c>
      <c r="W115" s="111">
        <v>1448.6970343253515</v>
      </c>
      <c r="X115" s="111">
        <v>1366.6458223114789</v>
      </c>
      <c r="Y115" s="111">
        <v>1221.6181029827617</v>
      </c>
      <c r="Z115" s="111">
        <v>1419.4051984584951</v>
      </c>
      <c r="AA115" s="111">
        <v>1390.0789244952075</v>
      </c>
      <c r="AB115" s="111">
        <v>1344.9328009218852</v>
      </c>
      <c r="AC115" s="111">
        <v>1344.3426517436908</v>
      </c>
      <c r="AD115" s="111">
        <v>1274.8993924889339</v>
      </c>
      <c r="AE115" s="111">
        <v>1076.7552969564565</v>
      </c>
      <c r="AF115" s="111">
        <v>834.51550118304738</v>
      </c>
      <c r="AG115" s="111">
        <v>1416.8502802717953</v>
      </c>
      <c r="AH115" s="111">
        <v>762.92768217666708</v>
      </c>
      <c r="AI115" s="111">
        <v>1409.8250389120194</v>
      </c>
      <c r="AJ115" s="111">
        <v>1297.3837297956272</v>
      </c>
      <c r="AK115" s="111">
        <v>1221.0357555116232</v>
      </c>
      <c r="AL115" s="111">
        <v>1045.01115993809</v>
      </c>
      <c r="AM115" s="111">
        <v>1124.8323351042241</v>
      </c>
      <c r="AN115" s="111">
        <v>889.6676866732804</v>
      </c>
      <c r="AO115" s="111">
        <v>717.90951932074711</v>
      </c>
      <c r="AP115" s="111">
        <v>0</v>
      </c>
      <c r="AQ115" s="111">
        <v>0</v>
      </c>
      <c r="AR115" s="111">
        <v>0</v>
      </c>
      <c r="AS115" s="111">
        <v>0</v>
      </c>
      <c r="AT115" s="111">
        <v>0</v>
      </c>
      <c r="AU115" s="111">
        <v>0</v>
      </c>
      <c r="AV115" s="111">
        <v>0</v>
      </c>
      <c r="AW115" s="111">
        <v>0</v>
      </c>
      <c r="AX115" s="111">
        <v>0</v>
      </c>
      <c r="AY115" s="111">
        <v>0</v>
      </c>
    </row>
    <row r="116" spans="1:52" x14ac:dyDescent="0.25">
      <c r="A116" s="114"/>
      <c r="B116" s="132">
        <v>8</v>
      </c>
      <c r="C116" s="111"/>
      <c r="D116" s="111">
        <v>0</v>
      </c>
      <c r="E116" s="111">
        <v>0</v>
      </c>
      <c r="F116" s="111">
        <v>0</v>
      </c>
      <c r="G116" s="111">
        <v>0</v>
      </c>
      <c r="H116" s="111">
        <v>0</v>
      </c>
      <c r="I116" s="111">
        <v>0</v>
      </c>
      <c r="J116" s="111">
        <v>0</v>
      </c>
      <c r="K116" s="111">
        <v>0</v>
      </c>
      <c r="L116" s="111">
        <v>0</v>
      </c>
      <c r="M116" s="111">
        <v>0</v>
      </c>
      <c r="N116" s="111">
        <v>0</v>
      </c>
      <c r="O116" s="111">
        <v>0</v>
      </c>
      <c r="P116" s="111">
        <v>0</v>
      </c>
      <c r="Q116" s="111">
        <v>0</v>
      </c>
      <c r="R116" s="111">
        <v>0</v>
      </c>
      <c r="S116" s="111">
        <v>806.77823312203418</v>
      </c>
      <c r="T116" s="111">
        <v>1596.6023327600096</v>
      </c>
      <c r="U116" s="111">
        <v>1479.4002207968206</v>
      </c>
      <c r="V116" s="111">
        <v>1527.0692701595847</v>
      </c>
      <c r="W116" s="111">
        <v>1410.3488989620791</v>
      </c>
      <c r="X116" s="111">
        <v>1448.6970343253515</v>
      </c>
      <c r="Y116" s="111">
        <v>1366.6458223114789</v>
      </c>
      <c r="Z116" s="111">
        <v>1221.6181029827617</v>
      </c>
      <c r="AA116" s="111">
        <v>1419.4051984584951</v>
      </c>
      <c r="AB116" s="111">
        <v>1390.0789244952075</v>
      </c>
      <c r="AC116" s="111">
        <v>1344.9328009218852</v>
      </c>
      <c r="AD116" s="111">
        <v>1344.3426517436908</v>
      </c>
      <c r="AE116" s="111">
        <v>1274.8993924889339</v>
      </c>
      <c r="AF116" s="111">
        <v>1076.7552969564565</v>
      </c>
      <c r="AG116" s="111">
        <v>834.51550118304738</v>
      </c>
      <c r="AH116" s="111">
        <v>1416.8502802717953</v>
      </c>
      <c r="AI116" s="111">
        <v>762.92768217666708</v>
      </c>
      <c r="AJ116" s="111">
        <v>1409.8250389120194</v>
      </c>
      <c r="AK116" s="111">
        <v>1297.3837297956272</v>
      </c>
      <c r="AL116" s="111">
        <v>1221.0357555116232</v>
      </c>
      <c r="AM116" s="111">
        <v>1045.01115993809</v>
      </c>
      <c r="AN116" s="111">
        <v>1124.8323351042241</v>
      </c>
      <c r="AO116" s="111">
        <v>889.6676866732804</v>
      </c>
      <c r="AP116" s="111">
        <v>0</v>
      </c>
      <c r="AQ116" s="111">
        <v>0</v>
      </c>
      <c r="AR116" s="111">
        <v>0</v>
      </c>
      <c r="AS116" s="111">
        <v>0</v>
      </c>
      <c r="AT116" s="111">
        <v>0</v>
      </c>
      <c r="AU116" s="111">
        <v>0</v>
      </c>
      <c r="AV116" s="111">
        <v>0</v>
      </c>
      <c r="AW116" s="111">
        <v>0</v>
      </c>
      <c r="AX116" s="111">
        <v>0</v>
      </c>
      <c r="AY116" s="111">
        <v>0</v>
      </c>
    </row>
    <row r="117" spans="1:52" x14ac:dyDescent="0.25">
      <c r="A117" s="114"/>
      <c r="B117" s="132">
        <v>9</v>
      </c>
      <c r="C117" s="111"/>
      <c r="D117" s="111">
        <v>0</v>
      </c>
      <c r="E117" s="111">
        <v>0</v>
      </c>
      <c r="F117" s="111">
        <v>0</v>
      </c>
      <c r="G117" s="111">
        <v>0</v>
      </c>
      <c r="H117" s="111">
        <v>0</v>
      </c>
      <c r="I117" s="111">
        <v>0</v>
      </c>
      <c r="J117" s="111">
        <v>0</v>
      </c>
      <c r="K117" s="111">
        <v>0</v>
      </c>
      <c r="L117" s="111">
        <v>0</v>
      </c>
      <c r="M117" s="111">
        <v>0</v>
      </c>
      <c r="N117" s="111">
        <v>0</v>
      </c>
      <c r="O117" s="111">
        <v>0</v>
      </c>
      <c r="P117" s="111">
        <v>0</v>
      </c>
      <c r="Q117" s="111">
        <v>0</v>
      </c>
      <c r="R117" s="111">
        <v>0</v>
      </c>
      <c r="S117" s="111">
        <v>0</v>
      </c>
      <c r="T117" s="111">
        <v>327.77823312203418</v>
      </c>
      <c r="U117" s="111">
        <v>1156.3805658820438</v>
      </c>
      <c r="V117" s="111">
        <v>1479.4002207968206</v>
      </c>
      <c r="W117" s="111">
        <v>1527.0692701595847</v>
      </c>
      <c r="X117" s="111">
        <v>1410.3488989620791</v>
      </c>
      <c r="Y117" s="111">
        <v>1448.6970343253515</v>
      </c>
      <c r="Z117" s="111">
        <v>1366.6458223114789</v>
      </c>
      <c r="AA117" s="111">
        <v>1221.6181029827617</v>
      </c>
      <c r="AB117" s="111">
        <v>1419.4051984584951</v>
      </c>
      <c r="AC117" s="111">
        <v>1390.0789244952075</v>
      </c>
      <c r="AD117" s="111">
        <v>1344.9328009218852</v>
      </c>
      <c r="AE117" s="111">
        <v>1344.3426517436908</v>
      </c>
      <c r="AF117" s="111">
        <v>1274.8993924889339</v>
      </c>
      <c r="AG117" s="111">
        <v>1076.7552969564565</v>
      </c>
      <c r="AH117" s="111">
        <v>834.51550118304738</v>
      </c>
      <c r="AI117" s="111">
        <v>1416.8502802717953</v>
      </c>
      <c r="AJ117" s="111">
        <v>762.92768217666708</v>
      </c>
      <c r="AK117" s="111">
        <v>1409.8250389120194</v>
      </c>
      <c r="AL117" s="111">
        <v>1297.3837297956272</v>
      </c>
      <c r="AM117" s="111">
        <v>1221.0357555116232</v>
      </c>
      <c r="AN117" s="111">
        <v>1045.01115993809</v>
      </c>
      <c r="AO117" s="111">
        <v>270.31162500406003</v>
      </c>
      <c r="AP117" s="111">
        <v>0</v>
      </c>
      <c r="AQ117" s="111">
        <v>0</v>
      </c>
      <c r="AR117" s="111">
        <v>0</v>
      </c>
      <c r="AS117" s="111">
        <v>0</v>
      </c>
      <c r="AT117" s="111">
        <v>0</v>
      </c>
      <c r="AU117" s="111">
        <v>0</v>
      </c>
      <c r="AV117" s="111">
        <v>0</v>
      </c>
      <c r="AW117" s="111">
        <v>0</v>
      </c>
      <c r="AX117" s="111">
        <v>0</v>
      </c>
      <c r="AY117" s="111">
        <v>0</v>
      </c>
    </row>
    <row r="118" spans="1:52" x14ac:dyDescent="0.25">
      <c r="A118" s="114"/>
      <c r="B118" s="135">
        <v>10</v>
      </c>
      <c r="C118" s="111"/>
      <c r="D118" s="111">
        <v>0</v>
      </c>
      <c r="E118" s="111">
        <v>0</v>
      </c>
      <c r="F118" s="111">
        <v>0</v>
      </c>
      <c r="G118" s="111">
        <v>0</v>
      </c>
      <c r="H118" s="111">
        <v>0</v>
      </c>
      <c r="I118" s="111">
        <v>0</v>
      </c>
      <c r="J118" s="111">
        <v>0</v>
      </c>
      <c r="K118" s="111">
        <v>0</v>
      </c>
      <c r="L118" s="111">
        <v>0</v>
      </c>
      <c r="M118" s="111">
        <v>0</v>
      </c>
      <c r="N118" s="111">
        <v>0</v>
      </c>
      <c r="O118" s="111">
        <v>0</v>
      </c>
      <c r="P118" s="111">
        <v>0</v>
      </c>
      <c r="Q118" s="111">
        <v>0</v>
      </c>
      <c r="R118" s="111">
        <v>0</v>
      </c>
      <c r="S118" s="111">
        <v>0</v>
      </c>
      <c r="T118" s="111">
        <v>0</v>
      </c>
      <c r="U118" s="111">
        <v>0</v>
      </c>
      <c r="V118" s="111">
        <v>554.38056588204381</v>
      </c>
      <c r="W118" s="111">
        <v>1369.7807866788644</v>
      </c>
      <c r="X118" s="111">
        <v>1527.0692701595847</v>
      </c>
      <c r="Y118" s="111">
        <v>1410.3488989620791</v>
      </c>
      <c r="Z118" s="111">
        <v>1448.6970343253515</v>
      </c>
      <c r="AA118" s="111">
        <v>1366.6458223114789</v>
      </c>
      <c r="AB118" s="111">
        <v>1221.6181029827617</v>
      </c>
      <c r="AC118" s="111">
        <v>1419.4051984584951</v>
      </c>
      <c r="AD118" s="111">
        <v>1390.0789244952075</v>
      </c>
      <c r="AE118" s="111">
        <v>1344.9328009218852</v>
      </c>
      <c r="AF118" s="111">
        <v>1344.3426517436908</v>
      </c>
      <c r="AG118" s="111">
        <v>1274.8993924889339</v>
      </c>
      <c r="AH118" s="111">
        <v>1076.7552969564565</v>
      </c>
      <c r="AI118" s="111">
        <v>834.51550118304738</v>
      </c>
      <c r="AJ118" s="111">
        <v>1416.8502802717953</v>
      </c>
      <c r="AK118" s="111">
        <v>762.92768217666708</v>
      </c>
      <c r="AL118" s="111">
        <v>1409.8250389120194</v>
      </c>
      <c r="AM118" s="111">
        <v>1203.4323744501228</v>
      </c>
      <c r="AN118" s="111">
        <v>692.46812996174594</v>
      </c>
      <c r="AO118" s="111">
        <v>0</v>
      </c>
      <c r="AP118" s="111">
        <v>0</v>
      </c>
      <c r="AQ118" s="111">
        <v>0</v>
      </c>
      <c r="AR118" s="111">
        <v>0</v>
      </c>
      <c r="AS118" s="111">
        <v>0</v>
      </c>
      <c r="AT118" s="111">
        <v>0</v>
      </c>
      <c r="AU118" s="111">
        <v>0</v>
      </c>
      <c r="AV118" s="111">
        <v>0</v>
      </c>
      <c r="AW118" s="111">
        <v>0</v>
      </c>
      <c r="AX118" s="111">
        <v>0</v>
      </c>
      <c r="AY118" s="111">
        <v>0</v>
      </c>
    </row>
    <row r="119" spans="1:52" x14ac:dyDescent="0.25">
      <c r="A119" s="114"/>
      <c r="B119" s="135">
        <v>11</v>
      </c>
      <c r="C119" s="111"/>
      <c r="D119" s="111">
        <v>0</v>
      </c>
      <c r="E119" s="111">
        <v>0</v>
      </c>
      <c r="F119" s="111">
        <v>0</v>
      </c>
      <c r="G119" s="111">
        <v>0</v>
      </c>
      <c r="H119" s="111">
        <v>0</v>
      </c>
      <c r="I119" s="111">
        <v>0</v>
      </c>
      <c r="J119" s="111">
        <v>0</v>
      </c>
      <c r="K119" s="111">
        <v>0</v>
      </c>
      <c r="L119" s="111">
        <v>0</v>
      </c>
      <c r="M119" s="111">
        <v>0</v>
      </c>
      <c r="N119" s="111">
        <v>0</v>
      </c>
      <c r="O119" s="111">
        <v>0</v>
      </c>
      <c r="P119" s="111">
        <v>0</v>
      </c>
      <c r="Q119" s="111">
        <v>0</v>
      </c>
      <c r="R119" s="111">
        <v>0</v>
      </c>
      <c r="S119" s="111">
        <v>0</v>
      </c>
      <c r="T119" s="111">
        <v>0</v>
      </c>
      <c r="U119" s="111">
        <v>0</v>
      </c>
      <c r="V119" s="111">
        <v>0</v>
      </c>
      <c r="W119" s="111">
        <v>0</v>
      </c>
      <c r="X119" s="111">
        <v>781.78078667886439</v>
      </c>
      <c r="Y119" s="111">
        <v>1463.8500568384491</v>
      </c>
      <c r="Z119" s="111">
        <v>1410.3488989620791</v>
      </c>
      <c r="AA119" s="111">
        <v>1448.6970343253515</v>
      </c>
      <c r="AB119" s="111">
        <v>1366.6458223114789</v>
      </c>
      <c r="AC119" s="111">
        <v>1221.6181029827617</v>
      </c>
      <c r="AD119" s="111">
        <v>1419.4051984584951</v>
      </c>
      <c r="AE119" s="111">
        <v>1390.0789244952075</v>
      </c>
      <c r="AF119" s="111">
        <v>1344.9328009218852</v>
      </c>
      <c r="AG119" s="111">
        <v>1344.3426517436908</v>
      </c>
      <c r="AH119" s="111">
        <v>1274.8993924889339</v>
      </c>
      <c r="AI119" s="111">
        <v>1076.7552969564565</v>
      </c>
      <c r="AJ119" s="111">
        <v>834.51550118304738</v>
      </c>
      <c r="AK119" s="111">
        <v>1416.8502802717953</v>
      </c>
      <c r="AL119" s="111">
        <v>450.22360574247614</v>
      </c>
      <c r="AM119" s="111">
        <v>0</v>
      </c>
      <c r="AN119" s="111">
        <v>0</v>
      </c>
      <c r="AO119" s="111">
        <v>0</v>
      </c>
      <c r="AP119" s="111">
        <v>0</v>
      </c>
      <c r="AQ119" s="111">
        <v>0</v>
      </c>
      <c r="AR119" s="111">
        <v>0</v>
      </c>
      <c r="AS119" s="111">
        <v>0</v>
      </c>
      <c r="AT119" s="111">
        <v>0</v>
      </c>
      <c r="AU119" s="111">
        <v>0</v>
      </c>
      <c r="AV119" s="111">
        <v>0</v>
      </c>
      <c r="AW119" s="111">
        <v>0</v>
      </c>
      <c r="AX119" s="111">
        <v>0</v>
      </c>
      <c r="AY119" s="111">
        <v>0</v>
      </c>
    </row>
    <row r="120" spans="1:52" x14ac:dyDescent="0.25">
      <c r="A120" s="114"/>
      <c r="B120" s="135">
        <v>12</v>
      </c>
      <c r="C120" s="111"/>
      <c r="D120" s="111">
        <v>0</v>
      </c>
      <c r="E120" s="111">
        <v>0</v>
      </c>
      <c r="F120" s="111">
        <v>0</v>
      </c>
      <c r="G120" s="111">
        <v>0</v>
      </c>
      <c r="H120" s="111">
        <v>0</v>
      </c>
      <c r="I120" s="111">
        <v>0</v>
      </c>
      <c r="J120" s="111">
        <v>0</v>
      </c>
      <c r="K120" s="111">
        <v>0</v>
      </c>
      <c r="L120" s="111">
        <v>0</v>
      </c>
      <c r="M120" s="111">
        <v>0</v>
      </c>
      <c r="N120" s="111">
        <v>0</v>
      </c>
      <c r="O120" s="111">
        <v>0</v>
      </c>
      <c r="P120" s="111">
        <v>0</v>
      </c>
      <c r="Q120" s="111">
        <v>0</v>
      </c>
      <c r="R120" s="111">
        <v>0</v>
      </c>
      <c r="S120" s="111">
        <v>0</v>
      </c>
      <c r="T120" s="111">
        <v>0</v>
      </c>
      <c r="U120" s="111">
        <v>0</v>
      </c>
      <c r="V120" s="111">
        <v>0</v>
      </c>
      <c r="W120" s="111">
        <v>0</v>
      </c>
      <c r="X120" s="111">
        <v>0</v>
      </c>
      <c r="Y120" s="111">
        <v>0</v>
      </c>
      <c r="Z120" s="111">
        <v>730.85005683844906</v>
      </c>
      <c r="AA120" s="111">
        <v>1349.1989558005282</v>
      </c>
      <c r="AB120" s="111">
        <v>1448.6970343253515</v>
      </c>
      <c r="AC120" s="111">
        <v>1366.6458223114789</v>
      </c>
      <c r="AD120" s="111">
        <v>1221.6181029827617</v>
      </c>
      <c r="AE120" s="111">
        <v>1419.4051984584951</v>
      </c>
      <c r="AF120" s="111">
        <v>1390.0789244952075</v>
      </c>
      <c r="AG120" s="111">
        <v>1344.9328009218852</v>
      </c>
      <c r="AH120" s="111">
        <v>1270.275452665576</v>
      </c>
      <c r="AI120" s="111">
        <v>1153.17484515451</v>
      </c>
      <c r="AJ120" s="111">
        <v>681.93014211096647</v>
      </c>
      <c r="AK120" s="111">
        <v>100.44564329401385</v>
      </c>
      <c r="AL120" s="111">
        <v>0</v>
      </c>
      <c r="AM120" s="111">
        <v>0</v>
      </c>
      <c r="AN120" s="111">
        <v>0</v>
      </c>
      <c r="AO120" s="111">
        <v>0</v>
      </c>
      <c r="AP120" s="111">
        <v>0</v>
      </c>
      <c r="AQ120" s="111">
        <v>0</v>
      </c>
      <c r="AR120" s="111">
        <v>0</v>
      </c>
      <c r="AS120" s="111">
        <v>0</v>
      </c>
      <c r="AT120" s="111">
        <v>0</v>
      </c>
      <c r="AU120" s="111">
        <v>0</v>
      </c>
      <c r="AV120" s="111">
        <v>0</v>
      </c>
      <c r="AW120" s="111">
        <v>0</v>
      </c>
      <c r="AX120" s="111">
        <v>0</v>
      </c>
      <c r="AY120" s="111">
        <v>0</v>
      </c>
    </row>
    <row r="121" spans="1:52" x14ac:dyDescent="0.25">
      <c r="A121" s="133"/>
      <c r="B121" s="137" t="s">
        <v>295</v>
      </c>
      <c r="C121" s="119"/>
      <c r="D121" s="130">
        <v>0</v>
      </c>
      <c r="E121" s="130">
        <v>0</v>
      </c>
      <c r="F121" s="130">
        <v>0</v>
      </c>
      <c r="G121" s="130">
        <v>0</v>
      </c>
      <c r="H121" s="130">
        <v>0</v>
      </c>
      <c r="I121" s="130">
        <v>0</v>
      </c>
      <c r="J121" s="130">
        <v>0</v>
      </c>
      <c r="K121" s="130">
        <v>0</v>
      </c>
      <c r="L121" s="130">
        <v>0</v>
      </c>
      <c r="M121" s="130">
        <v>0</v>
      </c>
      <c r="N121" s="130">
        <v>0</v>
      </c>
      <c r="O121" s="130">
        <v>0</v>
      </c>
      <c r="P121" s="130">
        <v>0</v>
      </c>
      <c r="Q121" s="130">
        <v>0</v>
      </c>
      <c r="R121" s="130">
        <v>0</v>
      </c>
      <c r="S121" s="130">
        <v>0</v>
      </c>
      <c r="T121" s="130">
        <v>0</v>
      </c>
      <c r="U121" s="130">
        <v>0</v>
      </c>
      <c r="V121" s="130">
        <v>0</v>
      </c>
      <c r="W121" s="130">
        <v>0</v>
      </c>
      <c r="X121" s="130">
        <v>0</v>
      </c>
      <c r="Y121" s="130">
        <v>0</v>
      </c>
      <c r="Z121" s="130">
        <v>0</v>
      </c>
      <c r="AA121" s="130">
        <v>0</v>
      </c>
      <c r="AB121" s="130">
        <v>605.19895580052821</v>
      </c>
      <c r="AC121" s="130">
        <v>547.69703432535152</v>
      </c>
      <c r="AD121" s="130">
        <v>521.64582231147892</v>
      </c>
      <c r="AE121" s="130">
        <v>186.61810298276168</v>
      </c>
      <c r="AF121" s="130">
        <v>384.40519845849508</v>
      </c>
      <c r="AG121" s="130">
        <v>145.0789244952075</v>
      </c>
      <c r="AH121" s="130">
        <v>0</v>
      </c>
      <c r="AI121" s="130">
        <v>0</v>
      </c>
      <c r="AJ121" s="130">
        <v>0</v>
      </c>
      <c r="AK121" s="130">
        <v>0</v>
      </c>
      <c r="AL121" s="130">
        <v>0</v>
      </c>
      <c r="AM121" s="130">
        <v>0</v>
      </c>
      <c r="AN121" s="130">
        <v>0</v>
      </c>
      <c r="AO121" s="130">
        <v>0</v>
      </c>
      <c r="AP121" s="130">
        <v>0</v>
      </c>
      <c r="AQ121" s="130">
        <v>0</v>
      </c>
      <c r="AR121" s="130">
        <v>0</v>
      </c>
      <c r="AS121" s="130">
        <v>0</v>
      </c>
      <c r="AT121" s="130">
        <v>0</v>
      </c>
      <c r="AU121" s="130">
        <v>0</v>
      </c>
      <c r="AV121" s="130">
        <v>0</v>
      </c>
      <c r="AW121" s="130">
        <v>0</v>
      </c>
      <c r="AX121" s="130">
        <v>0</v>
      </c>
      <c r="AY121" s="130">
        <v>0</v>
      </c>
      <c r="AZ121" s="112">
        <f>SUM($D121:$AY121)</f>
        <v>2390.6440383738227</v>
      </c>
    </row>
    <row r="122" spans="1:52" x14ac:dyDescent="0.25">
      <c r="A122" s="136" t="s">
        <v>123</v>
      </c>
      <c r="B122" s="124">
        <v>1</v>
      </c>
      <c r="C122" s="111"/>
      <c r="D122" s="111">
        <v>0</v>
      </c>
      <c r="E122" s="111">
        <v>0</v>
      </c>
      <c r="F122" s="111">
        <v>1707.0900000000006</v>
      </c>
      <c r="G122" s="111">
        <v>202.16833958724206</v>
      </c>
      <c r="H122" s="111">
        <v>1707.0900000000006</v>
      </c>
      <c r="I122" s="111">
        <v>132.82500000000002</v>
      </c>
      <c r="J122" s="111">
        <v>1122.7734052532842</v>
      </c>
      <c r="K122" s="111">
        <v>1583.9333395872425</v>
      </c>
      <c r="L122" s="111">
        <v>1695.6158442776741</v>
      </c>
      <c r="M122" s="111">
        <v>1451.1083395872424</v>
      </c>
      <c r="N122" s="111">
        <v>1695.6158442776741</v>
      </c>
      <c r="O122" s="111">
        <v>1451.1083395872424</v>
      </c>
      <c r="P122" s="111">
        <v>1707.0900000000006</v>
      </c>
      <c r="Q122" s="111">
        <v>1451.1083395872424</v>
      </c>
      <c r="R122" s="111">
        <v>1111.2992495309577</v>
      </c>
      <c r="S122" s="111">
        <v>1583.9333395872425</v>
      </c>
      <c r="T122" s="111">
        <v>1695.6158442776741</v>
      </c>
      <c r="U122" s="111">
        <v>1583.9333395872425</v>
      </c>
      <c r="V122" s="111">
        <v>1695.6158442776741</v>
      </c>
      <c r="W122" s="111">
        <v>1583.9333395872425</v>
      </c>
      <c r="X122" s="111">
        <v>1111.2992495309577</v>
      </c>
      <c r="Y122" s="111">
        <v>202.16833958724206</v>
      </c>
      <c r="Z122" s="111">
        <v>1707.0900000000006</v>
      </c>
      <c r="AA122" s="111">
        <v>69.343339587242042</v>
      </c>
      <c r="AB122" s="111">
        <v>1695.6158442776741</v>
      </c>
      <c r="AC122" s="111">
        <v>1583.9333395872425</v>
      </c>
      <c r="AD122" s="111">
        <v>1707.0900000000006</v>
      </c>
      <c r="AE122" s="111">
        <v>1451.1083395872424</v>
      </c>
      <c r="AF122" s="111">
        <v>1707.0900000000006</v>
      </c>
      <c r="AG122" s="111">
        <v>1583.9333395872425</v>
      </c>
      <c r="AH122" s="111">
        <v>1122.7734052532842</v>
      </c>
      <c r="AI122" s="111">
        <v>1451.1083395872424</v>
      </c>
      <c r="AJ122" s="111">
        <v>1695.6158442776741</v>
      </c>
      <c r="AK122" s="111">
        <v>202.16833958724206</v>
      </c>
      <c r="AL122" s="111">
        <v>1111.2992495309577</v>
      </c>
      <c r="AM122" s="111">
        <v>202.16833958724206</v>
      </c>
      <c r="AN122" s="111">
        <v>1111.2992495309577</v>
      </c>
      <c r="AO122" s="111">
        <v>202.16833958724206</v>
      </c>
      <c r="AP122" s="111">
        <v>1574.2650000000003</v>
      </c>
      <c r="AQ122" s="111">
        <v>1583.9333395872425</v>
      </c>
      <c r="AR122" s="111">
        <v>132.82500000000002</v>
      </c>
      <c r="AS122" s="111">
        <v>989.94840525328414</v>
      </c>
      <c r="AT122" s="111">
        <v>202.16833958724206</v>
      </c>
      <c r="AU122" s="111">
        <v>1574.2650000000003</v>
      </c>
      <c r="AV122" s="111">
        <v>1583.9333395872425</v>
      </c>
      <c r="AW122" s="111">
        <v>1122.7734052532842</v>
      </c>
      <c r="AX122" s="111">
        <v>202.16833958724206</v>
      </c>
      <c r="AY122" s="111">
        <v>192.50000000000009</v>
      </c>
    </row>
    <row r="123" spans="1:52" x14ac:dyDescent="0.25">
      <c r="A123" s="114"/>
      <c r="B123" s="124">
        <v>2</v>
      </c>
      <c r="C123" s="111"/>
      <c r="D123" s="111">
        <v>0</v>
      </c>
      <c r="E123" s="111">
        <v>0</v>
      </c>
      <c r="F123" s="111">
        <v>0</v>
      </c>
      <c r="G123" s="111">
        <v>872.6085000000005</v>
      </c>
      <c r="H123" s="111">
        <v>1513.1744207317076</v>
      </c>
      <c r="I123" s="111">
        <v>1109.6085000000005</v>
      </c>
      <c r="J123" s="111">
        <v>86.336250000000021</v>
      </c>
      <c r="K123" s="111">
        <v>1314.119308161351</v>
      </c>
      <c r="L123" s="111">
        <v>1029.5566707317078</v>
      </c>
      <c r="M123" s="111">
        <v>1113.6244545028146</v>
      </c>
      <c r="N123" s="111">
        <v>1199.2020811444656</v>
      </c>
      <c r="O123" s="111">
        <v>1113.6244545028146</v>
      </c>
      <c r="P123" s="111">
        <v>1076.0454207317075</v>
      </c>
      <c r="Q123" s="111">
        <v>1109.6085000000005</v>
      </c>
      <c r="R123" s="111">
        <v>1199.2020811444656</v>
      </c>
      <c r="S123" s="111">
        <v>1318.1352626641653</v>
      </c>
      <c r="T123" s="111">
        <v>1029.5566707317078</v>
      </c>
      <c r="U123" s="111">
        <v>1102.1502987804881</v>
      </c>
      <c r="V123" s="111">
        <v>1152.7133311444657</v>
      </c>
      <c r="W123" s="111">
        <v>1102.1502987804881</v>
      </c>
      <c r="X123" s="111">
        <v>1029.5566707317078</v>
      </c>
      <c r="Y123" s="111">
        <v>1306.6611069418389</v>
      </c>
      <c r="Z123" s="111">
        <v>1513.1744207317076</v>
      </c>
      <c r="AA123" s="111">
        <v>1109.6085000000005</v>
      </c>
      <c r="AB123" s="111">
        <v>1559.6631707317076</v>
      </c>
      <c r="AC123" s="111">
        <v>1113.6244545028146</v>
      </c>
      <c r="AD123" s="111">
        <v>1152.7133311444657</v>
      </c>
      <c r="AE123" s="111">
        <v>1109.6085000000005</v>
      </c>
      <c r="AF123" s="111">
        <v>1199.2020811444656</v>
      </c>
      <c r="AG123" s="111">
        <v>957.97433662213052</v>
      </c>
      <c r="AH123" s="111">
        <v>928.3966499488505</v>
      </c>
      <c r="AI123" s="111">
        <v>988.57713062810387</v>
      </c>
      <c r="AJ123" s="111">
        <v>867.77721605273314</v>
      </c>
      <c r="AK123" s="111">
        <v>56.679644937091098</v>
      </c>
      <c r="AL123" s="111">
        <v>2.8421709430404007E-14</v>
      </c>
      <c r="AM123" s="111">
        <v>595.79075046904279</v>
      </c>
      <c r="AN123" s="111">
        <v>190.02914821763599</v>
      </c>
      <c r="AO123" s="111">
        <v>11.474155722326486</v>
      </c>
      <c r="AP123" s="111">
        <v>123.15666041275796</v>
      </c>
      <c r="AQ123" s="111">
        <v>0</v>
      </c>
      <c r="AR123" s="111">
        <v>0</v>
      </c>
      <c r="AS123" s="111">
        <v>0</v>
      </c>
      <c r="AT123" s="111">
        <v>584.31659474671642</v>
      </c>
      <c r="AU123" s="111">
        <v>1504.9216604127582</v>
      </c>
      <c r="AV123" s="111">
        <v>132.82500000000005</v>
      </c>
      <c r="AW123" s="111">
        <v>2.2737367544323206E-13</v>
      </c>
      <c r="AX123" s="111">
        <v>0</v>
      </c>
      <c r="AY123" s="111">
        <v>0</v>
      </c>
    </row>
    <row r="124" spans="1:52" x14ac:dyDescent="0.25">
      <c r="A124" s="114"/>
      <c r="B124" s="124">
        <v>3</v>
      </c>
      <c r="C124" s="111"/>
      <c r="D124" s="111">
        <v>0</v>
      </c>
      <c r="E124" s="111">
        <v>0</v>
      </c>
      <c r="F124" s="111">
        <v>0</v>
      </c>
      <c r="G124" s="111">
        <v>0</v>
      </c>
      <c r="H124" s="111">
        <v>351.19552500000032</v>
      </c>
      <c r="I124" s="111">
        <v>1056.9971251383681</v>
      </c>
      <c r="J124" s="111">
        <v>721.24552500000038</v>
      </c>
      <c r="K124" s="111">
        <v>1437.8835625000004</v>
      </c>
      <c r="L124" s="111">
        <v>854.1775503048782</v>
      </c>
      <c r="M124" s="111">
        <v>792.36849638836793</v>
      </c>
      <c r="N124" s="111">
        <v>723.85589542682953</v>
      </c>
      <c r="O124" s="111">
        <v>779.48135274390268</v>
      </c>
      <c r="P124" s="111">
        <v>723.85589542682953</v>
      </c>
      <c r="Q124" s="111">
        <v>822.58618388836794</v>
      </c>
      <c r="R124" s="111">
        <v>721.24552500000038</v>
      </c>
      <c r="S124" s="111">
        <v>779.48135274390268</v>
      </c>
      <c r="T124" s="111">
        <v>856.78792073170746</v>
      </c>
      <c r="U124" s="111">
        <v>792.36849638836793</v>
      </c>
      <c r="V124" s="111">
        <v>727.87184992964376</v>
      </c>
      <c r="W124" s="111">
        <v>749.26366524390266</v>
      </c>
      <c r="X124" s="111">
        <v>727.87184992964376</v>
      </c>
      <c r="Y124" s="111">
        <v>792.36849638836793</v>
      </c>
      <c r="Z124" s="111">
        <v>827.87923718770742</v>
      </c>
      <c r="AA124" s="111">
        <v>1000.8415380603777</v>
      </c>
      <c r="AB124" s="111">
        <v>721.24552500000038</v>
      </c>
      <c r="AC124" s="111">
        <v>1009.2528624688778</v>
      </c>
      <c r="AD124" s="111">
        <v>628.87025603160009</v>
      </c>
      <c r="AE124" s="111">
        <v>425.02933166444274</v>
      </c>
      <c r="AF124" s="111">
        <v>307.51459058188817</v>
      </c>
      <c r="AG124" s="111">
        <v>0</v>
      </c>
      <c r="AH124" s="111">
        <v>0</v>
      </c>
      <c r="AI124" s="111">
        <v>0</v>
      </c>
      <c r="AJ124" s="111">
        <v>0</v>
      </c>
      <c r="AK124" s="111">
        <v>0</v>
      </c>
      <c r="AL124" s="111">
        <v>0</v>
      </c>
      <c r="AM124" s="111">
        <v>1504.9216604127582</v>
      </c>
      <c r="AN124" s="111">
        <v>0</v>
      </c>
      <c r="AO124" s="111">
        <v>0</v>
      </c>
      <c r="AP124" s="111">
        <v>584.31659474671631</v>
      </c>
      <c r="AQ124" s="111">
        <v>0</v>
      </c>
      <c r="AR124" s="111">
        <v>0</v>
      </c>
      <c r="AS124" s="111">
        <v>123.15666041275796</v>
      </c>
      <c r="AT124" s="111">
        <v>0</v>
      </c>
      <c r="AU124" s="111">
        <v>0</v>
      </c>
      <c r="AV124" s="111">
        <v>0</v>
      </c>
      <c r="AW124" s="111">
        <v>0</v>
      </c>
      <c r="AX124" s="111">
        <v>0</v>
      </c>
      <c r="AY124" s="111">
        <v>584.31659474671631</v>
      </c>
    </row>
    <row r="125" spans="1:52" x14ac:dyDescent="0.25">
      <c r="A125" s="114"/>
      <c r="B125" s="124">
        <v>4</v>
      </c>
      <c r="C125" s="111"/>
      <c r="D125" s="111">
        <v>0</v>
      </c>
      <c r="E125" s="111">
        <v>0</v>
      </c>
      <c r="F125" s="111">
        <v>0</v>
      </c>
      <c r="G125" s="111">
        <v>0</v>
      </c>
      <c r="H125" s="111">
        <v>0</v>
      </c>
      <c r="I125" s="111">
        <v>0</v>
      </c>
      <c r="J125" s="111">
        <v>400.04813133993935</v>
      </c>
      <c r="K125" s="111">
        <v>448.84087662096084</v>
      </c>
      <c r="L125" s="111">
        <v>934.62431562500024</v>
      </c>
      <c r="M125" s="111">
        <v>555.21540769817079</v>
      </c>
      <c r="N125" s="111">
        <v>515.03952265243913</v>
      </c>
      <c r="O125" s="111">
        <v>470.50633202743921</v>
      </c>
      <c r="P125" s="111">
        <v>506.66287928353677</v>
      </c>
      <c r="Q125" s="111">
        <v>470.50633202743921</v>
      </c>
      <c r="R125" s="111">
        <v>458.59058141818127</v>
      </c>
      <c r="S125" s="111">
        <v>373.89346917181808</v>
      </c>
      <c r="T125" s="111">
        <v>389.6936342452185</v>
      </c>
      <c r="U125" s="111">
        <v>364.21301073500194</v>
      </c>
      <c r="V125" s="111">
        <v>264.77797963019043</v>
      </c>
      <c r="W125" s="111">
        <v>207.22238921389226</v>
      </c>
      <c r="X125" s="111">
        <v>207.71593539756668</v>
      </c>
      <c r="Y125" s="111">
        <v>83.132060462686866</v>
      </c>
      <c r="Z125" s="111">
        <v>0</v>
      </c>
      <c r="AA125" s="111">
        <v>0</v>
      </c>
      <c r="AB125" s="111">
        <v>51.546999739245507</v>
      </c>
      <c r="AC125" s="111">
        <v>0</v>
      </c>
      <c r="AD125" s="111">
        <v>0</v>
      </c>
      <c r="AE125" s="111">
        <v>0</v>
      </c>
      <c r="AF125" s="111">
        <v>0</v>
      </c>
      <c r="AG125" s="111">
        <v>0</v>
      </c>
      <c r="AH125" s="111">
        <v>0</v>
      </c>
      <c r="AI125" s="111">
        <v>0</v>
      </c>
      <c r="AJ125" s="111">
        <v>0</v>
      </c>
      <c r="AK125" s="111">
        <v>0</v>
      </c>
      <c r="AL125" s="111">
        <v>0</v>
      </c>
      <c r="AM125" s="111">
        <v>0</v>
      </c>
      <c r="AN125" s="111">
        <v>0</v>
      </c>
      <c r="AO125" s="111">
        <v>0</v>
      </c>
      <c r="AP125" s="111">
        <v>0</v>
      </c>
      <c r="AQ125" s="111">
        <v>0</v>
      </c>
      <c r="AR125" s="111">
        <v>0</v>
      </c>
      <c r="AS125" s="111">
        <v>0</v>
      </c>
      <c r="AT125" s="111">
        <v>0</v>
      </c>
      <c r="AU125" s="111">
        <v>0</v>
      </c>
      <c r="AV125" s="111">
        <v>0</v>
      </c>
      <c r="AW125" s="111">
        <v>0</v>
      </c>
      <c r="AX125" s="111">
        <v>0</v>
      </c>
      <c r="AY125" s="111">
        <v>123.15666041275796</v>
      </c>
    </row>
    <row r="126" spans="1:52" x14ac:dyDescent="0.25">
      <c r="A126" s="114"/>
      <c r="B126" s="124">
        <v>5</v>
      </c>
      <c r="C126" s="111"/>
      <c r="D126" s="111">
        <v>0</v>
      </c>
      <c r="E126" s="111">
        <v>0</v>
      </c>
      <c r="F126" s="111">
        <v>0</v>
      </c>
      <c r="G126" s="111">
        <v>0</v>
      </c>
      <c r="H126" s="111">
        <v>0</v>
      </c>
      <c r="I126" s="111">
        <v>0</v>
      </c>
      <c r="J126" s="111">
        <v>0</v>
      </c>
      <c r="K126" s="111">
        <v>0</v>
      </c>
      <c r="L126" s="111">
        <v>47.746569803624539</v>
      </c>
      <c r="M126" s="111">
        <v>314.54107552860614</v>
      </c>
      <c r="N126" s="111">
        <v>229.341714097405</v>
      </c>
      <c r="O126" s="111">
        <v>214.8478038873987</v>
      </c>
      <c r="P126" s="111">
        <v>125.48018834464463</v>
      </c>
      <c r="Q126" s="111">
        <v>50.892993958317902</v>
      </c>
      <c r="R126" s="111">
        <v>0</v>
      </c>
      <c r="S126" s="111">
        <v>0</v>
      </c>
      <c r="T126" s="111">
        <v>0</v>
      </c>
      <c r="U126" s="111">
        <v>0</v>
      </c>
      <c r="V126" s="111">
        <v>0</v>
      </c>
      <c r="W126" s="111">
        <v>0</v>
      </c>
      <c r="X126" s="111">
        <v>0</v>
      </c>
      <c r="Y126" s="111">
        <v>0</v>
      </c>
      <c r="Z126" s="111">
        <v>0</v>
      </c>
      <c r="AA126" s="111">
        <v>0</v>
      </c>
      <c r="AB126" s="111">
        <v>0</v>
      </c>
      <c r="AC126" s="111">
        <v>0</v>
      </c>
      <c r="AD126" s="111">
        <v>0</v>
      </c>
      <c r="AE126" s="111">
        <v>0</v>
      </c>
      <c r="AF126" s="111">
        <v>0</v>
      </c>
      <c r="AG126" s="111">
        <v>0</v>
      </c>
      <c r="AH126" s="111">
        <v>0</v>
      </c>
      <c r="AI126" s="111">
        <v>0</v>
      </c>
      <c r="AJ126" s="111">
        <v>0</v>
      </c>
      <c r="AK126" s="111">
        <v>0</v>
      </c>
      <c r="AL126" s="111">
        <v>0</v>
      </c>
      <c r="AM126" s="111">
        <v>0</v>
      </c>
      <c r="AN126" s="111">
        <v>0</v>
      </c>
      <c r="AO126" s="111">
        <v>0</v>
      </c>
      <c r="AP126" s="111">
        <v>0</v>
      </c>
      <c r="AQ126" s="111">
        <v>0</v>
      </c>
      <c r="AR126" s="111">
        <v>0</v>
      </c>
      <c r="AS126" s="111">
        <v>0</v>
      </c>
      <c r="AT126" s="111">
        <v>0</v>
      </c>
      <c r="AU126" s="111">
        <v>0</v>
      </c>
      <c r="AV126" s="111">
        <v>0</v>
      </c>
      <c r="AW126" s="111">
        <v>0</v>
      </c>
      <c r="AX126" s="111">
        <v>0</v>
      </c>
      <c r="AY126" s="111">
        <v>0</v>
      </c>
    </row>
    <row r="127" spans="1:52" x14ac:dyDescent="0.25">
      <c r="A127" s="114"/>
      <c r="B127" s="124">
        <v>6</v>
      </c>
      <c r="C127" s="111"/>
      <c r="D127" s="111">
        <v>0</v>
      </c>
      <c r="E127" s="111">
        <v>0</v>
      </c>
      <c r="F127" s="111">
        <v>0</v>
      </c>
      <c r="G127" s="111">
        <v>0</v>
      </c>
      <c r="H127" s="111">
        <v>0</v>
      </c>
      <c r="I127" s="111">
        <v>0</v>
      </c>
      <c r="J127" s="111">
        <v>0</v>
      </c>
      <c r="K127" s="111">
        <v>0</v>
      </c>
      <c r="L127" s="111">
        <v>0</v>
      </c>
      <c r="M127" s="111">
        <v>0</v>
      </c>
      <c r="N127" s="111">
        <v>0</v>
      </c>
      <c r="O127" s="111">
        <v>0</v>
      </c>
      <c r="P127" s="111">
        <v>0</v>
      </c>
      <c r="Q127" s="111">
        <v>0</v>
      </c>
      <c r="R127" s="111">
        <v>0</v>
      </c>
      <c r="S127" s="111">
        <v>0</v>
      </c>
      <c r="T127" s="111">
        <v>0</v>
      </c>
      <c r="U127" s="111">
        <v>0</v>
      </c>
      <c r="V127" s="111">
        <v>0</v>
      </c>
      <c r="W127" s="111">
        <v>0</v>
      </c>
      <c r="X127" s="111">
        <v>0</v>
      </c>
      <c r="Y127" s="111">
        <v>0</v>
      </c>
      <c r="Z127" s="111">
        <v>0</v>
      </c>
      <c r="AA127" s="111">
        <v>0</v>
      </c>
      <c r="AB127" s="111">
        <v>0</v>
      </c>
      <c r="AC127" s="111">
        <v>0</v>
      </c>
      <c r="AD127" s="111">
        <v>0</v>
      </c>
      <c r="AE127" s="111">
        <v>0</v>
      </c>
      <c r="AF127" s="111">
        <v>0</v>
      </c>
      <c r="AG127" s="111">
        <v>0</v>
      </c>
      <c r="AH127" s="111">
        <v>0</v>
      </c>
      <c r="AI127" s="111">
        <v>0</v>
      </c>
      <c r="AJ127" s="111">
        <v>0</v>
      </c>
      <c r="AK127" s="111">
        <v>0</v>
      </c>
      <c r="AL127" s="111">
        <v>0</v>
      </c>
      <c r="AM127" s="111">
        <v>0</v>
      </c>
      <c r="AN127" s="111">
        <v>0</v>
      </c>
      <c r="AO127" s="111">
        <v>0</v>
      </c>
      <c r="AP127" s="111">
        <v>0</v>
      </c>
      <c r="AQ127" s="111">
        <v>0</v>
      </c>
      <c r="AR127" s="111">
        <v>0</v>
      </c>
      <c r="AS127" s="111">
        <v>0</v>
      </c>
      <c r="AT127" s="111">
        <v>0</v>
      </c>
      <c r="AU127" s="111">
        <v>0</v>
      </c>
      <c r="AV127" s="111">
        <v>0</v>
      </c>
      <c r="AW127" s="111">
        <v>0</v>
      </c>
      <c r="AX127" s="111">
        <v>0</v>
      </c>
      <c r="AY127" s="111">
        <v>0</v>
      </c>
    </row>
    <row r="128" spans="1:52" x14ac:dyDescent="0.25">
      <c r="A128" s="114"/>
      <c r="B128" s="124">
        <v>7</v>
      </c>
      <c r="C128" s="111"/>
      <c r="D128" s="111">
        <v>0</v>
      </c>
      <c r="E128" s="111">
        <v>0</v>
      </c>
      <c r="F128" s="111">
        <v>0</v>
      </c>
      <c r="G128" s="111">
        <v>0</v>
      </c>
      <c r="H128" s="111">
        <v>0</v>
      </c>
      <c r="I128" s="111">
        <v>0</v>
      </c>
      <c r="J128" s="111">
        <v>0</v>
      </c>
      <c r="K128" s="111">
        <v>0</v>
      </c>
      <c r="L128" s="111">
        <v>0</v>
      </c>
      <c r="M128" s="111">
        <v>0</v>
      </c>
      <c r="N128" s="111">
        <v>0</v>
      </c>
      <c r="O128" s="111">
        <v>0</v>
      </c>
      <c r="P128" s="111">
        <v>0</v>
      </c>
      <c r="Q128" s="111">
        <v>0</v>
      </c>
      <c r="R128" s="111">
        <v>0</v>
      </c>
      <c r="S128" s="111">
        <v>0</v>
      </c>
      <c r="T128" s="111">
        <v>0</v>
      </c>
      <c r="U128" s="111">
        <v>0</v>
      </c>
      <c r="V128" s="111">
        <v>0</v>
      </c>
      <c r="W128" s="111">
        <v>0</v>
      </c>
      <c r="X128" s="111">
        <v>0</v>
      </c>
      <c r="Y128" s="111">
        <v>0</v>
      </c>
      <c r="Z128" s="111">
        <v>0</v>
      </c>
      <c r="AA128" s="111">
        <v>0</v>
      </c>
      <c r="AB128" s="111">
        <v>0</v>
      </c>
      <c r="AC128" s="111">
        <v>0</v>
      </c>
      <c r="AD128" s="111">
        <v>0</v>
      </c>
      <c r="AE128" s="111">
        <v>0</v>
      </c>
      <c r="AF128" s="111">
        <v>0</v>
      </c>
      <c r="AG128" s="111">
        <v>0</v>
      </c>
      <c r="AH128" s="111">
        <v>0</v>
      </c>
      <c r="AI128" s="111">
        <v>0</v>
      </c>
      <c r="AJ128" s="111">
        <v>0</v>
      </c>
      <c r="AK128" s="111">
        <v>0</v>
      </c>
      <c r="AL128" s="111">
        <v>0</v>
      </c>
      <c r="AM128" s="111">
        <v>0</v>
      </c>
      <c r="AN128" s="111">
        <v>0</v>
      </c>
      <c r="AO128" s="111">
        <v>0</v>
      </c>
      <c r="AP128" s="111">
        <v>0</v>
      </c>
      <c r="AQ128" s="111">
        <v>0</v>
      </c>
      <c r="AR128" s="111">
        <v>0</v>
      </c>
      <c r="AS128" s="111">
        <v>0</v>
      </c>
      <c r="AT128" s="111">
        <v>0</v>
      </c>
      <c r="AU128" s="111">
        <v>0</v>
      </c>
      <c r="AV128" s="111">
        <v>0</v>
      </c>
      <c r="AW128" s="111">
        <v>0</v>
      </c>
      <c r="AX128" s="111">
        <v>0</v>
      </c>
      <c r="AY128" s="111">
        <v>0</v>
      </c>
    </row>
    <row r="129" spans="1:51" x14ac:dyDescent="0.25">
      <c r="A129" s="114"/>
      <c r="B129" s="124">
        <v>8</v>
      </c>
      <c r="C129" s="111"/>
      <c r="D129" s="111">
        <v>0</v>
      </c>
      <c r="E129" s="111">
        <v>0</v>
      </c>
      <c r="F129" s="111">
        <v>0</v>
      </c>
      <c r="G129" s="111">
        <v>0</v>
      </c>
      <c r="H129" s="111">
        <v>0</v>
      </c>
      <c r="I129" s="111">
        <v>0</v>
      </c>
      <c r="J129" s="111">
        <v>0</v>
      </c>
      <c r="K129" s="111">
        <v>0</v>
      </c>
      <c r="L129" s="111">
        <v>0</v>
      </c>
      <c r="M129" s="111">
        <v>0</v>
      </c>
      <c r="N129" s="111">
        <v>0</v>
      </c>
      <c r="O129" s="111">
        <v>0</v>
      </c>
      <c r="P129" s="111">
        <v>0</v>
      </c>
      <c r="Q129" s="111">
        <v>0</v>
      </c>
      <c r="R129" s="111">
        <v>0</v>
      </c>
      <c r="S129" s="111">
        <v>0</v>
      </c>
      <c r="T129" s="111">
        <v>0</v>
      </c>
      <c r="U129" s="111">
        <v>0</v>
      </c>
      <c r="V129" s="111">
        <v>0</v>
      </c>
      <c r="W129" s="111">
        <v>0</v>
      </c>
      <c r="X129" s="111">
        <v>0</v>
      </c>
      <c r="Y129" s="111">
        <v>0</v>
      </c>
      <c r="Z129" s="111">
        <v>0</v>
      </c>
      <c r="AA129" s="111">
        <v>0</v>
      </c>
      <c r="AB129" s="111">
        <v>0</v>
      </c>
      <c r="AC129" s="111">
        <v>0</v>
      </c>
      <c r="AD129" s="111">
        <v>0</v>
      </c>
      <c r="AE129" s="111">
        <v>0</v>
      </c>
      <c r="AF129" s="111">
        <v>0</v>
      </c>
      <c r="AG129" s="111">
        <v>0</v>
      </c>
      <c r="AH129" s="111">
        <v>0</v>
      </c>
      <c r="AI129" s="111">
        <v>0</v>
      </c>
      <c r="AJ129" s="111">
        <v>0</v>
      </c>
      <c r="AK129" s="111">
        <v>0</v>
      </c>
      <c r="AL129" s="111">
        <v>0</v>
      </c>
      <c r="AM129" s="111">
        <v>0</v>
      </c>
      <c r="AN129" s="111">
        <v>0</v>
      </c>
      <c r="AO129" s="111">
        <v>0</v>
      </c>
      <c r="AP129" s="111">
        <v>0</v>
      </c>
      <c r="AQ129" s="111">
        <v>0</v>
      </c>
      <c r="AR129" s="111">
        <v>0</v>
      </c>
      <c r="AS129" s="111">
        <v>0</v>
      </c>
      <c r="AT129" s="111">
        <v>0</v>
      </c>
      <c r="AU129" s="111">
        <v>0</v>
      </c>
      <c r="AV129" s="111">
        <v>0</v>
      </c>
      <c r="AW129" s="111">
        <v>0</v>
      </c>
      <c r="AX129" s="111">
        <v>0</v>
      </c>
      <c r="AY129" s="111">
        <v>0</v>
      </c>
    </row>
    <row r="130" spans="1:51" x14ac:dyDescent="0.25">
      <c r="A130" s="114"/>
      <c r="B130" s="124">
        <v>9</v>
      </c>
      <c r="C130" s="111"/>
      <c r="D130" s="111">
        <v>0</v>
      </c>
      <c r="E130" s="111">
        <v>0</v>
      </c>
      <c r="F130" s="111">
        <v>0</v>
      </c>
      <c r="G130" s="111">
        <v>0</v>
      </c>
      <c r="H130" s="111">
        <v>0</v>
      </c>
      <c r="I130" s="111">
        <v>0</v>
      </c>
      <c r="J130" s="111">
        <v>0</v>
      </c>
      <c r="K130" s="111">
        <v>0</v>
      </c>
      <c r="L130" s="111">
        <v>0</v>
      </c>
      <c r="M130" s="111">
        <v>0</v>
      </c>
      <c r="N130" s="111">
        <v>0</v>
      </c>
      <c r="O130" s="111">
        <v>0</v>
      </c>
      <c r="P130" s="111">
        <v>0</v>
      </c>
      <c r="Q130" s="111">
        <v>0</v>
      </c>
      <c r="R130" s="111">
        <v>0</v>
      </c>
      <c r="S130" s="111">
        <v>0</v>
      </c>
      <c r="T130" s="111">
        <v>0</v>
      </c>
      <c r="U130" s="111">
        <v>0</v>
      </c>
      <c r="V130" s="111">
        <v>0</v>
      </c>
      <c r="W130" s="111">
        <v>0</v>
      </c>
      <c r="X130" s="111">
        <v>0</v>
      </c>
      <c r="Y130" s="111">
        <v>0</v>
      </c>
      <c r="Z130" s="111">
        <v>0</v>
      </c>
      <c r="AA130" s="111">
        <v>0</v>
      </c>
      <c r="AB130" s="111">
        <v>0</v>
      </c>
      <c r="AC130" s="111">
        <v>0</v>
      </c>
      <c r="AD130" s="111">
        <v>0</v>
      </c>
      <c r="AE130" s="111">
        <v>0</v>
      </c>
      <c r="AF130" s="111">
        <v>0</v>
      </c>
      <c r="AG130" s="111">
        <v>0</v>
      </c>
      <c r="AH130" s="111">
        <v>0</v>
      </c>
      <c r="AI130" s="111">
        <v>0</v>
      </c>
      <c r="AJ130" s="111">
        <v>0</v>
      </c>
      <c r="AK130" s="111">
        <v>0</v>
      </c>
      <c r="AL130" s="111">
        <v>0</v>
      </c>
      <c r="AM130" s="111">
        <v>0</v>
      </c>
      <c r="AN130" s="111">
        <v>0</v>
      </c>
      <c r="AO130" s="111">
        <v>0</v>
      </c>
      <c r="AP130" s="111">
        <v>0</v>
      </c>
      <c r="AQ130" s="111">
        <v>0</v>
      </c>
      <c r="AR130" s="111">
        <v>0</v>
      </c>
      <c r="AS130" s="111">
        <v>0</v>
      </c>
      <c r="AT130" s="111">
        <v>0</v>
      </c>
      <c r="AU130" s="111">
        <v>0</v>
      </c>
      <c r="AV130" s="111">
        <v>0</v>
      </c>
      <c r="AW130" s="111">
        <v>0</v>
      </c>
      <c r="AX130" s="111">
        <v>0</v>
      </c>
      <c r="AY130" s="111">
        <v>0</v>
      </c>
    </row>
    <row r="131" spans="1:51" x14ac:dyDescent="0.25">
      <c r="A131" s="114"/>
      <c r="B131" s="124">
        <v>10</v>
      </c>
      <c r="C131" s="111"/>
      <c r="D131" s="111">
        <v>0</v>
      </c>
      <c r="E131" s="111">
        <v>0</v>
      </c>
      <c r="F131" s="111">
        <v>0</v>
      </c>
      <c r="G131" s="111">
        <v>0</v>
      </c>
      <c r="H131" s="111">
        <v>0</v>
      </c>
      <c r="I131" s="111">
        <v>0</v>
      </c>
      <c r="J131" s="111">
        <v>0</v>
      </c>
      <c r="K131" s="111">
        <v>0</v>
      </c>
      <c r="L131" s="111">
        <v>0</v>
      </c>
      <c r="M131" s="111">
        <v>0</v>
      </c>
      <c r="N131" s="111">
        <v>0</v>
      </c>
      <c r="O131" s="111">
        <v>0</v>
      </c>
      <c r="P131" s="111">
        <v>0</v>
      </c>
      <c r="Q131" s="111">
        <v>0</v>
      </c>
      <c r="R131" s="111">
        <v>0</v>
      </c>
      <c r="S131" s="111">
        <v>0</v>
      </c>
      <c r="T131" s="111">
        <v>0</v>
      </c>
      <c r="U131" s="111">
        <v>0</v>
      </c>
      <c r="V131" s="111">
        <v>0</v>
      </c>
      <c r="W131" s="111">
        <v>0</v>
      </c>
      <c r="X131" s="111">
        <v>0</v>
      </c>
      <c r="Y131" s="111">
        <v>0</v>
      </c>
      <c r="Z131" s="111">
        <v>0</v>
      </c>
      <c r="AA131" s="111">
        <v>0</v>
      </c>
      <c r="AB131" s="111">
        <v>0</v>
      </c>
      <c r="AC131" s="111">
        <v>0</v>
      </c>
      <c r="AD131" s="111">
        <v>0</v>
      </c>
      <c r="AE131" s="111">
        <v>0</v>
      </c>
      <c r="AF131" s="111">
        <v>0</v>
      </c>
      <c r="AG131" s="111">
        <v>0</v>
      </c>
      <c r="AH131" s="111">
        <v>0</v>
      </c>
      <c r="AI131" s="111">
        <v>0</v>
      </c>
      <c r="AJ131" s="111">
        <v>0</v>
      </c>
      <c r="AK131" s="111">
        <v>0</v>
      </c>
      <c r="AL131" s="111">
        <v>0</v>
      </c>
      <c r="AM131" s="111">
        <v>0</v>
      </c>
      <c r="AN131" s="111">
        <v>0</v>
      </c>
      <c r="AO131" s="111">
        <v>0</v>
      </c>
      <c r="AP131" s="111">
        <v>0</v>
      </c>
      <c r="AQ131" s="111">
        <v>0</v>
      </c>
      <c r="AR131" s="111">
        <v>0</v>
      </c>
      <c r="AS131" s="111">
        <v>0</v>
      </c>
      <c r="AT131" s="111">
        <v>0</v>
      </c>
      <c r="AU131" s="111">
        <v>0</v>
      </c>
      <c r="AV131" s="111">
        <v>0</v>
      </c>
      <c r="AW131" s="111">
        <v>0</v>
      </c>
      <c r="AX131" s="111">
        <v>0</v>
      </c>
      <c r="AY131" s="111">
        <v>0</v>
      </c>
    </row>
    <row r="132" spans="1:51" x14ac:dyDescent="0.25">
      <c r="A132" s="114"/>
      <c r="B132" s="124">
        <v>11</v>
      </c>
      <c r="C132" s="111"/>
      <c r="D132" s="111">
        <v>0</v>
      </c>
      <c r="E132" s="111">
        <v>0</v>
      </c>
      <c r="F132" s="111">
        <v>0</v>
      </c>
      <c r="G132" s="111">
        <v>0</v>
      </c>
      <c r="H132" s="111">
        <v>0</v>
      </c>
      <c r="I132" s="111">
        <v>0</v>
      </c>
      <c r="J132" s="111">
        <v>0</v>
      </c>
      <c r="K132" s="111">
        <v>0</v>
      </c>
      <c r="L132" s="111">
        <v>0</v>
      </c>
      <c r="M132" s="111">
        <v>0</v>
      </c>
      <c r="N132" s="111">
        <v>0</v>
      </c>
      <c r="O132" s="111">
        <v>0</v>
      </c>
      <c r="P132" s="111">
        <v>0</v>
      </c>
      <c r="Q132" s="111">
        <v>0</v>
      </c>
      <c r="R132" s="111">
        <v>0</v>
      </c>
      <c r="S132" s="111">
        <v>0</v>
      </c>
      <c r="T132" s="111">
        <v>0</v>
      </c>
      <c r="U132" s="111">
        <v>0</v>
      </c>
      <c r="V132" s="111">
        <v>0</v>
      </c>
      <c r="W132" s="111">
        <v>0</v>
      </c>
      <c r="X132" s="111">
        <v>0</v>
      </c>
      <c r="Y132" s="111">
        <v>0</v>
      </c>
      <c r="Z132" s="111">
        <v>0</v>
      </c>
      <c r="AA132" s="111">
        <v>0</v>
      </c>
      <c r="AB132" s="111">
        <v>0</v>
      </c>
      <c r="AC132" s="111">
        <v>0</v>
      </c>
      <c r="AD132" s="111">
        <v>0</v>
      </c>
      <c r="AE132" s="111">
        <v>0</v>
      </c>
      <c r="AF132" s="111">
        <v>0</v>
      </c>
      <c r="AG132" s="111">
        <v>0</v>
      </c>
      <c r="AH132" s="111">
        <v>0</v>
      </c>
      <c r="AI132" s="111">
        <v>0</v>
      </c>
      <c r="AJ132" s="111">
        <v>0</v>
      </c>
      <c r="AK132" s="111">
        <v>0</v>
      </c>
      <c r="AL132" s="111">
        <v>0</v>
      </c>
      <c r="AM132" s="111">
        <v>0</v>
      </c>
      <c r="AN132" s="111">
        <v>0</v>
      </c>
      <c r="AO132" s="111">
        <v>0</v>
      </c>
      <c r="AP132" s="111">
        <v>0</v>
      </c>
      <c r="AQ132" s="111">
        <v>0</v>
      </c>
      <c r="AR132" s="111">
        <v>0</v>
      </c>
      <c r="AS132" s="111">
        <v>0</v>
      </c>
      <c r="AT132" s="111">
        <v>0</v>
      </c>
      <c r="AU132" s="111">
        <v>0</v>
      </c>
      <c r="AV132" s="111">
        <v>0</v>
      </c>
      <c r="AW132" s="111">
        <v>0</v>
      </c>
      <c r="AX132" s="111">
        <v>0</v>
      </c>
      <c r="AY132" s="111">
        <v>0</v>
      </c>
    </row>
    <row r="133" spans="1:51" x14ac:dyDescent="0.25">
      <c r="A133" s="114"/>
      <c r="B133" s="124">
        <v>12</v>
      </c>
      <c r="C133" s="111"/>
      <c r="D133" s="111">
        <v>0</v>
      </c>
      <c r="E133" s="111">
        <v>0</v>
      </c>
      <c r="F133" s="111">
        <v>0</v>
      </c>
      <c r="G133" s="111">
        <v>0</v>
      </c>
      <c r="H133" s="111">
        <v>0</v>
      </c>
      <c r="I133" s="111">
        <v>0</v>
      </c>
      <c r="J133" s="111">
        <v>0</v>
      </c>
      <c r="K133" s="111">
        <v>0</v>
      </c>
      <c r="L133" s="111">
        <v>0</v>
      </c>
      <c r="M133" s="111">
        <v>0</v>
      </c>
      <c r="N133" s="111">
        <v>0</v>
      </c>
      <c r="O133" s="111">
        <v>0</v>
      </c>
      <c r="P133" s="111">
        <v>0</v>
      </c>
      <c r="Q133" s="111">
        <v>0</v>
      </c>
      <c r="R133" s="111">
        <v>0</v>
      </c>
      <c r="S133" s="111">
        <v>0</v>
      </c>
      <c r="T133" s="111">
        <v>0</v>
      </c>
      <c r="U133" s="111">
        <v>0</v>
      </c>
      <c r="V133" s="111">
        <v>0</v>
      </c>
      <c r="W133" s="111">
        <v>0</v>
      </c>
      <c r="X133" s="111">
        <v>0</v>
      </c>
      <c r="Y133" s="111">
        <v>0</v>
      </c>
      <c r="Z133" s="111">
        <v>0</v>
      </c>
      <c r="AA133" s="111">
        <v>0</v>
      </c>
      <c r="AB133" s="111">
        <v>0</v>
      </c>
      <c r="AC133" s="111">
        <v>0</v>
      </c>
      <c r="AD133" s="111">
        <v>0</v>
      </c>
      <c r="AE133" s="111">
        <v>0</v>
      </c>
      <c r="AF133" s="111">
        <v>0</v>
      </c>
      <c r="AG133" s="111">
        <v>0</v>
      </c>
      <c r="AH133" s="111">
        <v>0</v>
      </c>
      <c r="AI133" s="111">
        <v>0</v>
      </c>
      <c r="AJ133" s="111">
        <v>0</v>
      </c>
      <c r="AK133" s="111">
        <v>0</v>
      </c>
      <c r="AL133" s="111">
        <v>0</v>
      </c>
      <c r="AM133" s="111">
        <v>0</v>
      </c>
      <c r="AN133" s="111">
        <v>0</v>
      </c>
      <c r="AO133" s="111">
        <v>0</v>
      </c>
      <c r="AP133" s="111">
        <v>0</v>
      </c>
      <c r="AQ133" s="111">
        <v>0</v>
      </c>
      <c r="AR133" s="111">
        <v>0</v>
      </c>
      <c r="AS133" s="111">
        <v>0</v>
      </c>
      <c r="AT133" s="111">
        <v>0</v>
      </c>
      <c r="AU133" s="111">
        <v>0</v>
      </c>
      <c r="AV133" s="111">
        <v>0</v>
      </c>
      <c r="AW133" s="111">
        <v>0</v>
      </c>
      <c r="AX133" s="111">
        <v>0</v>
      </c>
      <c r="AY133" s="111">
        <v>0</v>
      </c>
    </row>
    <row r="134" spans="1:51" x14ac:dyDescent="0.25">
      <c r="A134" s="114"/>
      <c r="B134" s="125">
        <v>13</v>
      </c>
      <c r="C134" s="111"/>
      <c r="D134" s="111">
        <v>0</v>
      </c>
      <c r="E134" s="111">
        <v>0</v>
      </c>
      <c r="F134" s="111">
        <v>0</v>
      </c>
      <c r="G134" s="111">
        <v>0</v>
      </c>
      <c r="H134" s="111">
        <v>0</v>
      </c>
      <c r="I134" s="111">
        <v>0</v>
      </c>
      <c r="J134" s="111">
        <v>0</v>
      </c>
      <c r="K134" s="111">
        <v>0</v>
      </c>
      <c r="L134" s="111">
        <v>0</v>
      </c>
      <c r="M134" s="111">
        <v>0</v>
      </c>
      <c r="N134" s="111">
        <v>0</v>
      </c>
      <c r="O134" s="111">
        <v>0</v>
      </c>
      <c r="P134" s="111">
        <v>0</v>
      </c>
      <c r="Q134" s="111">
        <v>0</v>
      </c>
      <c r="R134" s="111">
        <v>0</v>
      </c>
      <c r="S134" s="111">
        <v>0</v>
      </c>
      <c r="T134" s="111">
        <v>0</v>
      </c>
      <c r="U134" s="111">
        <v>0</v>
      </c>
      <c r="V134" s="111">
        <v>0</v>
      </c>
      <c r="W134" s="111">
        <v>0</v>
      </c>
      <c r="X134" s="111">
        <v>0</v>
      </c>
      <c r="Y134" s="111">
        <v>0</v>
      </c>
      <c r="Z134" s="111">
        <v>0</v>
      </c>
      <c r="AA134" s="111">
        <v>0</v>
      </c>
      <c r="AB134" s="111">
        <v>0</v>
      </c>
      <c r="AC134" s="111">
        <v>0</v>
      </c>
      <c r="AD134" s="111">
        <v>0</v>
      </c>
      <c r="AE134" s="111">
        <v>0</v>
      </c>
      <c r="AF134" s="111">
        <v>0</v>
      </c>
      <c r="AG134" s="111">
        <v>0</v>
      </c>
      <c r="AH134" s="111">
        <v>0</v>
      </c>
      <c r="AI134" s="111">
        <v>0</v>
      </c>
      <c r="AJ134" s="111">
        <v>0</v>
      </c>
      <c r="AK134" s="111">
        <v>0</v>
      </c>
      <c r="AL134" s="111">
        <v>0</v>
      </c>
      <c r="AM134" s="111">
        <v>0</v>
      </c>
      <c r="AN134" s="111">
        <v>0</v>
      </c>
      <c r="AO134" s="111">
        <v>0</v>
      </c>
      <c r="AP134" s="111">
        <v>0</v>
      </c>
      <c r="AQ134" s="111">
        <v>0</v>
      </c>
      <c r="AR134" s="111">
        <v>0</v>
      </c>
      <c r="AS134" s="111">
        <v>0</v>
      </c>
      <c r="AT134" s="111">
        <v>0</v>
      </c>
      <c r="AU134" s="111">
        <v>0</v>
      </c>
      <c r="AV134" s="111">
        <v>0</v>
      </c>
      <c r="AW134" s="111">
        <v>0</v>
      </c>
      <c r="AX134" s="111">
        <v>0</v>
      </c>
      <c r="AY134" s="111">
        <v>0</v>
      </c>
    </row>
    <row r="135" spans="1:51" x14ac:dyDescent="0.25">
      <c r="A135" s="114"/>
      <c r="B135" s="125">
        <v>14</v>
      </c>
      <c r="C135" s="111"/>
      <c r="D135" s="111">
        <v>0</v>
      </c>
      <c r="E135" s="111">
        <v>0</v>
      </c>
      <c r="F135" s="111">
        <v>0</v>
      </c>
      <c r="G135" s="111">
        <v>0</v>
      </c>
      <c r="H135" s="111">
        <v>0</v>
      </c>
      <c r="I135" s="111">
        <v>0</v>
      </c>
      <c r="J135" s="111">
        <v>0</v>
      </c>
      <c r="K135" s="111">
        <v>0</v>
      </c>
      <c r="L135" s="111">
        <v>0</v>
      </c>
      <c r="M135" s="111">
        <v>0</v>
      </c>
      <c r="N135" s="111">
        <v>0</v>
      </c>
      <c r="O135" s="111">
        <v>0</v>
      </c>
      <c r="P135" s="111">
        <v>0</v>
      </c>
      <c r="Q135" s="111">
        <v>0</v>
      </c>
      <c r="R135" s="111">
        <v>0</v>
      </c>
      <c r="S135" s="111">
        <v>0</v>
      </c>
      <c r="T135" s="111">
        <v>0</v>
      </c>
      <c r="U135" s="111">
        <v>0</v>
      </c>
      <c r="V135" s="111">
        <v>0</v>
      </c>
      <c r="W135" s="111">
        <v>0</v>
      </c>
      <c r="X135" s="111">
        <v>0</v>
      </c>
      <c r="Y135" s="111">
        <v>0</v>
      </c>
      <c r="Z135" s="111">
        <v>0</v>
      </c>
      <c r="AA135" s="111">
        <v>0</v>
      </c>
      <c r="AB135" s="111">
        <v>0</v>
      </c>
      <c r="AC135" s="111">
        <v>0</v>
      </c>
      <c r="AD135" s="111">
        <v>0</v>
      </c>
      <c r="AE135" s="111">
        <v>0</v>
      </c>
      <c r="AF135" s="111">
        <v>0</v>
      </c>
      <c r="AG135" s="111">
        <v>0</v>
      </c>
      <c r="AH135" s="111">
        <v>0</v>
      </c>
      <c r="AI135" s="111">
        <v>0</v>
      </c>
      <c r="AJ135" s="111">
        <v>0</v>
      </c>
      <c r="AK135" s="111">
        <v>0</v>
      </c>
      <c r="AL135" s="111">
        <v>0</v>
      </c>
      <c r="AM135" s="111">
        <v>0</v>
      </c>
      <c r="AN135" s="111">
        <v>0</v>
      </c>
      <c r="AO135" s="111">
        <v>0</v>
      </c>
      <c r="AP135" s="111">
        <v>0</v>
      </c>
      <c r="AQ135" s="111">
        <v>0</v>
      </c>
      <c r="AR135" s="111">
        <v>0</v>
      </c>
      <c r="AS135" s="111">
        <v>0</v>
      </c>
      <c r="AT135" s="111">
        <v>0</v>
      </c>
      <c r="AU135" s="111">
        <v>0</v>
      </c>
      <c r="AV135" s="111">
        <v>0</v>
      </c>
      <c r="AW135" s="111">
        <v>0</v>
      </c>
      <c r="AX135" s="111">
        <v>0</v>
      </c>
      <c r="AY135" s="111">
        <v>0</v>
      </c>
    </row>
    <row r="136" spans="1:51" x14ac:dyDescent="0.25">
      <c r="A136" s="114"/>
      <c r="B136" s="125">
        <v>15</v>
      </c>
      <c r="C136" s="111"/>
      <c r="D136" s="111">
        <v>0</v>
      </c>
      <c r="E136" s="111">
        <v>0</v>
      </c>
      <c r="F136" s="111">
        <v>0</v>
      </c>
      <c r="G136" s="111">
        <v>0</v>
      </c>
      <c r="H136" s="111">
        <v>0</v>
      </c>
      <c r="I136" s="111">
        <v>0</v>
      </c>
      <c r="J136" s="111">
        <v>0</v>
      </c>
      <c r="K136" s="111">
        <v>0</v>
      </c>
      <c r="L136" s="111">
        <v>0</v>
      </c>
      <c r="M136" s="111">
        <v>0</v>
      </c>
      <c r="N136" s="111">
        <v>0</v>
      </c>
      <c r="O136" s="111">
        <v>0</v>
      </c>
      <c r="P136" s="111">
        <v>0</v>
      </c>
      <c r="Q136" s="111">
        <v>0</v>
      </c>
      <c r="R136" s="111">
        <v>0</v>
      </c>
      <c r="S136" s="111">
        <v>0</v>
      </c>
      <c r="T136" s="111">
        <v>0</v>
      </c>
      <c r="U136" s="111">
        <v>0</v>
      </c>
      <c r="V136" s="111">
        <v>0</v>
      </c>
      <c r="W136" s="111">
        <v>0</v>
      </c>
      <c r="X136" s="111">
        <v>0</v>
      </c>
      <c r="Y136" s="111">
        <v>0</v>
      </c>
      <c r="Z136" s="111">
        <v>0</v>
      </c>
      <c r="AA136" s="111">
        <v>0</v>
      </c>
      <c r="AB136" s="111">
        <v>0</v>
      </c>
      <c r="AC136" s="111">
        <v>0</v>
      </c>
      <c r="AD136" s="111">
        <v>0</v>
      </c>
      <c r="AE136" s="111">
        <v>0</v>
      </c>
      <c r="AF136" s="111">
        <v>0</v>
      </c>
      <c r="AG136" s="111">
        <v>0</v>
      </c>
      <c r="AH136" s="111">
        <v>0</v>
      </c>
      <c r="AI136" s="111">
        <v>0</v>
      </c>
      <c r="AJ136" s="111">
        <v>0</v>
      </c>
      <c r="AK136" s="111">
        <v>0</v>
      </c>
      <c r="AL136" s="111">
        <v>0</v>
      </c>
      <c r="AM136" s="111">
        <v>0</v>
      </c>
      <c r="AN136" s="111">
        <v>0</v>
      </c>
      <c r="AO136" s="111">
        <v>0</v>
      </c>
      <c r="AP136" s="111">
        <v>0</v>
      </c>
      <c r="AQ136" s="111">
        <v>0</v>
      </c>
      <c r="AR136" s="111">
        <v>0</v>
      </c>
      <c r="AS136" s="111">
        <v>0</v>
      </c>
      <c r="AT136" s="111">
        <v>0</v>
      </c>
      <c r="AU136" s="111">
        <v>0</v>
      </c>
      <c r="AV136" s="111">
        <v>0</v>
      </c>
      <c r="AW136" s="111">
        <v>0</v>
      </c>
      <c r="AX136" s="111">
        <v>0</v>
      </c>
      <c r="AY136" s="111">
        <v>0</v>
      </c>
    </row>
    <row r="137" spans="1:51" x14ac:dyDescent="0.25">
      <c r="A137" s="114"/>
      <c r="B137" s="125">
        <v>16</v>
      </c>
      <c r="C137" s="111"/>
      <c r="D137" s="111">
        <v>0</v>
      </c>
      <c r="E137" s="111">
        <v>0</v>
      </c>
      <c r="F137" s="111">
        <v>0</v>
      </c>
      <c r="G137" s="111">
        <v>0</v>
      </c>
      <c r="H137" s="111">
        <v>0</v>
      </c>
      <c r="I137" s="111">
        <v>0</v>
      </c>
      <c r="J137" s="111">
        <v>0</v>
      </c>
      <c r="K137" s="111">
        <v>0</v>
      </c>
      <c r="L137" s="111">
        <v>0</v>
      </c>
      <c r="M137" s="111">
        <v>0</v>
      </c>
      <c r="N137" s="111">
        <v>0</v>
      </c>
      <c r="O137" s="111">
        <v>0</v>
      </c>
      <c r="P137" s="111">
        <v>0</v>
      </c>
      <c r="Q137" s="111">
        <v>0</v>
      </c>
      <c r="R137" s="111">
        <v>0</v>
      </c>
      <c r="S137" s="111">
        <v>0</v>
      </c>
      <c r="T137" s="111">
        <v>0</v>
      </c>
      <c r="U137" s="111">
        <v>0</v>
      </c>
      <c r="V137" s="111">
        <v>0</v>
      </c>
      <c r="W137" s="111">
        <v>0</v>
      </c>
      <c r="X137" s="111">
        <v>0</v>
      </c>
      <c r="Y137" s="111">
        <v>0</v>
      </c>
      <c r="Z137" s="111">
        <v>0</v>
      </c>
      <c r="AA137" s="111">
        <v>0</v>
      </c>
      <c r="AB137" s="111">
        <v>0</v>
      </c>
      <c r="AC137" s="111">
        <v>0</v>
      </c>
      <c r="AD137" s="111">
        <v>0</v>
      </c>
      <c r="AE137" s="111">
        <v>0</v>
      </c>
      <c r="AF137" s="111">
        <v>0</v>
      </c>
      <c r="AG137" s="111">
        <v>0</v>
      </c>
      <c r="AH137" s="111">
        <v>0</v>
      </c>
      <c r="AI137" s="111">
        <v>0</v>
      </c>
      <c r="AJ137" s="111">
        <v>0</v>
      </c>
      <c r="AK137" s="111">
        <v>0</v>
      </c>
      <c r="AL137" s="111">
        <v>0</v>
      </c>
      <c r="AM137" s="111">
        <v>0</v>
      </c>
      <c r="AN137" s="111">
        <v>0</v>
      </c>
      <c r="AO137" s="111">
        <v>0</v>
      </c>
      <c r="AP137" s="111">
        <v>0</v>
      </c>
      <c r="AQ137" s="111">
        <v>0</v>
      </c>
      <c r="AR137" s="111">
        <v>0</v>
      </c>
      <c r="AS137" s="111">
        <v>0</v>
      </c>
      <c r="AT137" s="111">
        <v>0</v>
      </c>
      <c r="AU137" s="111">
        <v>0</v>
      </c>
      <c r="AV137" s="111">
        <v>0</v>
      </c>
      <c r="AW137" s="111">
        <v>0</v>
      </c>
      <c r="AX137" s="111">
        <v>0</v>
      </c>
      <c r="AY137" s="111">
        <v>0</v>
      </c>
    </row>
    <row r="138" spans="1:51" x14ac:dyDescent="0.25">
      <c r="A138" s="114"/>
      <c r="B138" s="125">
        <v>17</v>
      </c>
      <c r="C138" s="111"/>
      <c r="D138" s="111">
        <v>0</v>
      </c>
      <c r="E138" s="111">
        <v>0</v>
      </c>
      <c r="F138" s="111">
        <v>0</v>
      </c>
      <c r="G138" s="111">
        <v>0</v>
      </c>
      <c r="H138" s="111">
        <v>0</v>
      </c>
      <c r="I138" s="111">
        <v>0</v>
      </c>
      <c r="J138" s="111">
        <v>0</v>
      </c>
      <c r="K138" s="111">
        <v>0</v>
      </c>
      <c r="L138" s="111">
        <v>0</v>
      </c>
      <c r="M138" s="111">
        <v>0</v>
      </c>
      <c r="N138" s="111">
        <v>0</v>
      </c>
      <c r="O138" s="111">
        <v>0</v>
      </c>
      <c r="P138" s="111">
        <v>0</v>
      </c>
      <c r="Q138" s="111">
        <v>0</v>
      </c>
      <c r="R138" s="111">
        <v>0</v>
      </c>
      <c r="S138" s="111">
        <v>0</v>
      </c>
      <c r="T138" s="111">
        <v>0</v>
      </c>
      <c r="U138" s="111">
        <v>0</v>
      </c>
      <c r="V138" s="111">
        <v>0</v>
      </c>
      <c r="W138" s="111">
        <v>0</v>
      </c>
      <c r="X138" s="111">
        <v>0</v>
      </c>
      <c r="Y138" s="111">
        <v>0</v>
      </c>
      <c r="Z138" s="111">
        <v>0</v>
      </c>
      <c r="AA138" s="111">
        <v>0</v>
      </c>
      <c r="AB138" s="111">
        <v>0</v>
      </c>
      <c r="AC138" s="111">
        <v>0</v>
      </c>
      <c r="AD138" s="111">
        <v>0</v>
      </c>
      <c r="AE138" s="111">
        <v>0</v>
      </c>
      <c r="AF138" s="111">
        <v>0</v>
      </c>
      <c r="AG138" s="111">
        <v>0</v>
      </c>
      <c r="AH138" s="111">
        <v>0</v>
      </c>
      <c r="AI138" s="111">
        <v>0</v>
      </c>
      <c r="AJ138" s="111">
        <v>0</v>
      </c>
      <c r="AK138" s="111">
        <v>0</v>
      </c>
      <c r="AL138" s="111">
        <v>0</v>
      </c>
      <c r="AM138" s="111">
        <v>0</v>
      </c>
      <c r="AN138" s="111">
        <v>0</v>
      </c>
      <c r="AO138" s="111">
        <v>0</v>
      </c>
      <c r="AP138" s="111">
        <v>0</v>
      </c>
      <c r="AQ138" s="111">
        <v>0</v>
      </c>
      <c r="AR138" s="111">
        <v>0</v>
      </c>
      <c r="AS138" s="111">
        <v>0</v>
      </c>
      <c r="AT138" s="111">
        <v>0</v>
      </c>
      <c r="AU138" s="111">
        <v>0</v>
      </c>
      <c r="AV138" s="111">
        <v>0</v>
      </c>
      <c r="AW138" s="111">
        <v>0</v>
      </c>
      <c r="AX138" s="111">
        <v>0</v>
      </c>
      <c r="AY138" s="111">
        <v>0</v>
      </c>
    </row>
    <row r="139" spans="1:51" x14ac:dyDescent="0.25">
      <c r="A139" s="114"/>
      <c r="B139" s="125">
        <v>18</v>
      </c>
      <c r="C139" s="111"/>
      <c r="D139" s="111">
        <v>0</v>
      </c>
      <c r="E139" s="111">
        <v>0</v>
      </c>
      <c r="F139" s="111">
        <v>0</v>
      </c>
      <c r="G139" s="111">
        <v>0</v>
      </c>
      <c r="H139" s="111">
        <v>0</v>
      </c>
      <c r="I139" s="111">
        <v>0</v>
      </c>
      <c r="J139" s="111">
        <v>0</v>
      </c>
      <c r="K139" s="111">
        <v>0</v>
      </c>
      <c r="L139" s="111">
        <v>0</v>
      </c>
      <c r="M139" s="111">
        <v>0</v>
      </c>
      <c r="N139" s="111">
        <v>0</v>
      </c>
      <c r="O139" s="111">
        <v>0</v>
      </c>
      <c r="P139" s="111">
        <v>0</v>
      </c>
      <c r="Q139" s="111">
        <v>0</v>
      </c>
      <c r="R139" s="111">
        <v>0</v>
      </c>
      <c r="S139" s="111">
        <v>0</v>
      </c>
      <c r="T139" s="111">
        <v>0</v>
      </c>
      <c r="U139" s="111">
        <v>0</v>
      </c>
      <c r="V139" s="111">
        <v>0</v>
      </c>
      <c r="W139" s="111">
        <v>0</v>
      </c>
      <c r="X139" s="111">
        <v>0</v>
      </c>
      <c r="Y139" s="111">
        <v>0</v>
      </c>
      <c r="Z139" s="111">
        <v>0</v>
      </c>
      <c r="AA139" s="111">
        <v>0</v>
      </c>
      <c r="AB139" s="111">
        <v>0</v>
      </c>
      <c r="AC139" s="111">
        <v>0</v>
      </c>
      <c r="AD139" s="111">
        <v>0</v>
      </c>
      <c r="AE139" s="111">
        <v>0</v>
      </c>
      <c r="AF139" s="111">
        <v>0</v>
      </c>
      <c r="AG139" s="111">
        <v>0</v>
      </c>
      <c r="AH139" s="111">
        <v>0</v>
      </c>
      <c r="AI139" s="111">
        <v>0</v>
      </c>
      <c r="AJ139" s="111">
        <v>0</v>
      </c>
      <c r="AK139" s="111">
        <v>0</v>
      </c>
      <c r="AL139" s="111">
        <v>0</v>
      </c>
      <c r="AM139" s="111">
        <v>0</v>
      </c>
      <c r="AN139" s="111">
        <v>0</v>
      </c>
      <c r="AO139" s="111">
        <v>0</v>
      </c>
      <c r="AP139" s="111">
        <v>0</v>
      </c>
      <c r="AQ139" s="111">
        <v>0</v>
      </c>
      <c r="AR139" s="111">
        <v>0</v>
      </c>
      <c r="AS139" s="111">
        <v>0</v>
      </c>
      <c r="AT139" s="111">
        <v>0</v>
      </c>
      <c r="AU139" s="111">
        <v>0</v>
      </c>
      <c r="AV139" s="111">
        <v>0</v>
      </c>
      <c r="AW139" s="111">
        <v>0</v>
      </c>
      <c r="AX139" s="111">
        <v>0</v>
      </c>
      <c r="AY139" s="111">
        <v>0</v>
      </c>
    </row>
    <row r="140" spans="1:51" x14ac:dyDescent="0.25">
      <c r="A140" s="114"/>
      <c r="B140" s="125">
        <v>19</v>
      </c>
      <c r="C140" s="111"/>
      <c r="D140" s="111">
        <v>0</v>
      </c>
      <c r="E140" s="111">
        <v>0</v>
      </c>
      <c r="F140" s="111">
        <v>0</v>
      </c>
      <c r="G140" s="111">
        <v>0</v>
      </c>
      <c r="H140" s="111">
        <v>0</v>
      </c>
      <c r="I140" s="111">
        <v>0</v>
      </c>
      <c r="J140" s="111">
        <v>0</v>
      </c>
      <c r="K140" s="111">
        <v>0</v>
      </c>
      <c r="L140" s="111">
        <v>0</v>
      </c>
      <c r="M140" s="111">
        <v>0</v>
      </c>
      <c r="N140" s="111">
        <v>0</v>
      </c>
      <c r="O140" s="111">
        <v>0</v>
      </c>
      <c r="P140" s="111">
        <v>0</v>
      </c>
      <c r="Q140" s="111">
        <v>0</v>
      </c>
      <c r="R140" s="111">
        <v>0</v>
      </c>
      <c r="S140" s="111">
        <v>0</v>
      </c>
      <c r="T140" s="111">
        <v>0</v>
      </c>
      <c r="U140" s="111">
        <v>0</v>
      </c>
      <c r="V140" s="111">
        <v>0</v>
      </c>
      <c r="W140" s="111">
        <v>0</v>
      </c>
      <c r="X140" s="111">
        <v>0</v>
      </c>
      <c r="Y140" s="111">
        <v>0</v>
      </c>
      <c r="Z140" s="111">
        <v>0</v>
      </c>
      <c r="AA140" s="111">
        <v>0</v>
      </c>
      <c r="AB140" s="111">
        <v>0</v>
      </c>
      <c r="AC140" s="111">
        <v>0</v>
      </c>
      <c r="AD140" s="111">
        <v>0</v>
      </c>
      <c r="AE140" s="111">
        <v>0</v>
      </c>
      <c r="AF140" s="111">
        <v>0</v>
      </c>
      <c r="AG140" s="111">
        <v>0</v>
      </c>
      <c r="AH140" s="111">
        <v>0</v>
      </c>
      <c r="AI140" s="111">
        <v>0</v>
      </c>
      <c r="AJ140" s="111">
        <v>0</v>
      </c>
      <c r="AK140" s="111">
        <v>0</v>
      </c>
      <c r="AL140" s="111">
        <v>0</v>
      </c>
      <c r="AM140" s="111">
        <v>0</v>
      </c>
      <c r="AN140" s="111">
        <v>0</v>
      </c>
      <c r="AO140" s="111">
        <v>0</v>
      </c>
      <c r="AP140" s="111">
        <v>0</v>
      </c>
      <c r="AQ140" s="111">
        <v>0</v>
      </c>
      <c r="AR140" s="111">
        <v>0</v>
      </c>
      <c r="AS140" s="111">
        <v>0</v>
      </c>
      <c r="AT140" s="111">
        <v>0</v>
      </c>
      <c r="AU140" s="111">
        <v>0</v>
      </c>
      <c r="AV140" s="111">
        <v>0</v>
      </c>
      <c r="AW140" s="111">
        <v>0</v>
      </c>
      <c r="AX140" s="111">
        <v>0</v>
      </c>
      <c r="AY140" s="111">
        <v>0</v>
      </c>
    </row>
    <row r="141" spans="1:51" x14ac:dyDescent="0.25">
      <c r="A141" s="114"/>
      <c r="B141" s="125">
        <v>20</v>
      </c>
      <c r="C141" s="111"/>
      <c r="D141" s="111">
        <v>0</v>
      </c>
      <c r="E141" s="111">
        <v>0</v>
      </c>
      <c r="F141" s="111">
        <v>0</v>
      </c>
      <c r="G141" s="111">
        <v>0</v>
      </c>
      <c r="H141" s="111">
        <v>0</v>
      </c>
      <c r="I141" s="111">
        <v>0</v>
      </c>
      <c r="J141" s="111">
        <v>0</v>
      </c>
      <c r="K141" s="111">
        <v>0</v>
      </c>
      <c r="L141" s="111">
        <v>0</v>
      </c>
      <c r="M141" s="111">
        <v>0</v>
      </c>
      <c r="N141" s="111">
        <v>0</v>
      </c>
      <c r="O141" s="111">
        <v>0</v>
      </c>
      <c r="P141" s="111">
        <v>0</v>
      </c>
      <c r="Q141" s="111">
        <v>0</v>
      </c>
      <c r="R141" s="111">
        <v>0</v>
      </c>
      <c r="S141" s="111">
        <v>0</v>
      </c>
      <c r="T141" s="111">
        <v>0</v>
      </c>
      <c r="U141" s="111">
        <v>0</v>
      </c>
      <c r="V141" s="111">
        <v>0</v>
      </c>
      <c r="W141" s="111">
        <v>0</v>
      </c>
      <c r="X141" s="111">
        <v>0</v>
      </c>
      <c r="Y141" s="111">
        <v>0</v>
      </c>
      <c r="Z141" s="111">
        <v>0</v>
      </c>
      <c r="AA141" s="111">
        <v>0</v>
      </c>
      <c r="AB141" s="111">
        <v>0</v>
      </c>
      <c r="AC141" s="111">
        <v>0</v>
      </c>
      <c r="AD141" s="111">
        <v>0</v>
      </c>
      <c r="AE141" s="111">
        <v>0</v>
      </c>
      <c r="AF141" s="111">
        <v>0</v>
      </c>
      <c r="AG141" s="111">
        <v>0</v>
      </c>
      <c r="AH141" s="111">
        <v>0</v>
      </c>
      <c r="AI141" s="111">
        <v>0</v>
      </c>
      <c r="AJ141" s="111">
        <v>0</v>
      </c>
      <c r="AK141" s="111">
        <v>0</v>
      </c>
      <c r="AL141" s="111">
        <v>0</v>
      </c>
      <c r="AM141" s="111">
        <v>0</v>
      </c>
      <c r="AN141" s="111">
        <v>0</v>
      </c>
      <c r="AO141" s="111">
        <v>0</v>
      </c>
      <c r="AP141" s="111">
        <v>0</v>
      </c>
      <c r="AQ141" s="111">
        <v>0</v>
      </c>
      <c r="AR141" s="111">
        <v>0</v>
      </c>
      <c r="AS141" s="111">
        <v>0</v>
      </c>
      <c r="AT141" s="111">
        <v>0</v>
      </c>
      <c r="AU141" s="111">
        <v>0</v>
      </c>
      <c r="AV141" s="111">
        <v>0</v>
      </c>
      <c r="AW141" s="111">
        <v>0</v>
      </c>
      <c r="AX141" s="111">
        <v>0</v>
      </c>
      <c r="AY141" s="111">
        <v>0</v>
      </c>
    </row>
    <row r="142" spans="1:51" x14ac:dyDescent="0.25">
      <c r="A142" s="114"/>
      <c r="B142" s="125">
        <v>21</v>
      </c>
      <c r="C142" s="111"/>
      <c r="D142" s="111">
        <v>0</v>
      </c>
      <c r="E142" s="111">
        <v>0</v>
      </c>
      <c r="F142" s="111">
        <v>0</v>
      </c>
      <c r="G142" s="111">
        <v>0</v>
      </c>
      <c r="H142" s="111">
        <v>0</v>
      </c>
      <c r="I142" s="111">
        <v>0</v>
      </c>
      <c r="J142" s="111">
        <v>0</v>
      </c>
      <c r="K142" s="111">
        <v>0</v>
      </c>
      <c r="L142" s="111">
        <v>0</v>
      </c>
      <c r="M142" s="111">
        <v>0</v>
      </c>
      <c r="N142" s="111">
        <v>0</v>
      </c>
      <c r="O142" s="111">
        <v>0</v>
      </c>
      <c r="P142" s="111">
        <v>0</v>
      </c>
      <c r="Q142" s="111">
        <v>0</v>
      </c>
      <c r="R142" s="111">
        <v>0</v>
      </c>
      <c r="S142" s="111">
        <v>0</v>
      </c>
      <c r="T142" s="111">
        <v>0</v>
      </c>
      <c r="U142" s="111">
        <v>0</v>
      </c>
      <c r="V142" s="111">
        <v>0</v>
      </c>
      <c r="W142" s="111">
        <v>0</v>
      </c>
      <c r="X142" s="111">
        <v>0</v>
      </c>
      <c r="Y142" s="111">
        <v>0</v>
      </c>
      <c r="Z142" s="111">
        <v>0</v>
      </c>
      <c r="AA142" s="111">
        <v>0</v>
      </c>
      <c r="AB142" s="111">
        <v>0</v>
      </c>
      <c r="AC142" s="111">
        <v>0</v>
      </c>
      <c r="AD142" s="111">
        <v>0</v>
      </c>
      <c r="AE142" s="111">
        <v>0</v>
      </c>
      <c r="AF142" s="111">
        <v>0</v>
      </c>
      <c r="AG142" s="111">
        <v>0</v>
      </c>
      <c r="AH142" s="111">
        <v>0</v>
      </c>
      <c r="AI142" s="111">
        <v>0</v>
      </c>
      <c r="AJ142" s="111">
        <v>0</v>
      </c>
      <c r="AK142" s="111">
        <v>0</v>
      </c>
      <c r="AL142" s="111">
        <v>0</v>
      </c>
      <c r="AM142" s="111">
        <v>0</v>
      </c>
      <c r="AN142" s="111">
        <v>0</v>
      </c>
      <c r="AO142" s="111">
        <v>0</v>
      </c>
      <c r="AP142" s="111">
        <v>0</v>
      </c>
      <c r="AQ142" s="111">
        <v>0</v>
      </c>
      <c r="AR142" s="111">
        <v>0</v>
      </c>
      <c r="AS142" s="111">
        <v>0</v>
      </c>
      <c r="AT142" s="111">
        <v>0</v>
      </c>
      <c r="AU142" s="111">
        <v>0</v>
      </c>
      <c r="AV142" s="111">
        <v>0</v>
      </c>
      <c r="AW142" s="111">
        <v>0</v>
      </c>
      <c r="AX142" s="111">
        <v>0</v>
      </c>
      <c r="AY142" s="111">
        <v>0</v>
      </c>
    </row>
    <row r="143" spans="1:51" x14ac:dyDescent="0.25">
      <c r="A143" s="114"/>
      <c r="B143" s="125">
        <v>22</v>
      </c>
      <c r="C143" s="111"/>
      <c r="D143" s="111">
        <v>0</v>
      </c>
      <c r="E143" s="111">
        <v>0</v>
      </c>
      <c r="F143" s="111">
        <v>0</v>
      </c>
      <c r="G143" s="111">
        <v>0</v>
      </c>
      <c r="H143" s="111">
        <v>0</v>
      </c>
      <c r="I143" s="111">
        <v>0</v>
      </c>
      <c r="J143" s="111">
        <v>0</v>
      </c>
      <c r="K143" s="111">
        <v>0</v>
      </c>
      <c r="L143" s="111">
        <v>0</v>
      </c>
      <c r="M143" s="111">
        <v>0</v>
      </c>
      <c r="N143" s="111">
        <v>0</v>
      </c>
      <c r="O143" s="111">
        <v>0</v>
      </c>
      <c r="P143" s="111">
        <v>0</v>
      </c>
      <c r="Q143" s="111">
        <v>0</v>
      </c>
      <c r="R143" s="111">
        <v>0</v>
      </c>
      <c r="S143" s="111">
        <v>0</v>
      </c>
      <c r="T143" s="111">
        <v>0</v>
      </c>
      <c r="U143" s="111">
        <v>0</v>
      </c>
      <c r="V143" s="111">
        <v>0</v>
      </c>
      <c r="W143" s="111">
        <v>0</v>
      </c>
      <c r="X143" s="111">
        <v>0</v>
      </c>
      <c r="Y143" s="111">
        <v>0</v>
      </c>
      <c r="Z143" s="111">
        <v>0</v>
      </c>
      <c r="AA143" s="111">
        <v>0</v>
      </c>
      <c r="AB143" s="111">
        <v>0</v>
      </c>
      <c r="AC143" s="111">
        <v>0</v>
      </c>
      <c r="AD143" s="111">
        <v>0</v>
      </c>
      <c r="AE143" s="111">
        <v>0</v>
      </c>
      <c r="AF143" s="111">
        <v>0</v>
      </c>
      <c r="AG143" s="111">
        <v>0</v>
      </c>
      <c r="AH143" s="111">
        <v>0</v>
      </c>
      <c r="AI143" s="111">
        <v>0</v>
      </c>
      <c r="AJ143" s="111">
        <v>0</v>
      </c>
      <c r="AK143" s="111">
        <v>0</v>
      </c>
      <c r="AL143" s="111">
        <v>0</v>
      </c>
      <c r="AM143" s="111">
        <v>0</v>
      </c>
      <c r="AN143" s="111">
        <v>0</v>
      </c>
      <c r="AO143" s="111">
        <v>0</v>
      </c>
      <c r="AP143" s="111">
        <v>0</v>
      </c>
      <c r="AQ143" s="111">
        <v>0</v>
      </c>
      <c r="AR143" s="111">
        <v>0</v>
      </c>
      <c r="AS143" s="111">
        <v>0</v>
      </c>
      <c r="AT143" s="111">
        <v>0</v>
      </c>
      <c r="AU143" s="111">
        <v>0</v>
      </c>
      <c r="AV143" s="111">
        <v>0</v>
      </c>
      <c r="AW143" s="111">
        <v>0</v>
      </c>
      <c r="AX143" s="111">
        <v>0</v>
      </c>
      <c r="AY143" s="111">
        <v>0</v>
      </c>
    </row>
    <row r="144" spans="1:51" x14ac:dyDescent="0.25">
      <c r="A144" s="114"/>
      <c r="B144" s="125">
        <v>23</v>
      </c>
      <c r="C144" s="111"/>
      <c r="D144" s="111">
        <v>0</v>
      </c>
      <c r="E144" s="111">
        <v>0</v>
      </c>
      <c r="F144" s="111">
        <v>0</v>
      </c>
      <c r="G144" s="111">
        <v>0</v>
      </c>
      <c r="H144" s="111">
        <v>0</v>
      </c>
      <c r="I144" s="111">
        <v>0</v>
      </c>
      <c r="J144" s="111">
        <v>0</v>
      </c>
      <c r="K144" s="111">
        <v>0</v>
      </c>
      <c r="L144" s="111">
        <v>0</v>
      </c>
      <c r="M144" s="111">
        <v>0</v>
      </c>
      <c r="N144" s="111">
        <v>0</v>
      </c>
      <c r="O144" s="111">
        <v>0</v>
      </c>
      <c r="P144" s="111">
        <v>0</v>
      </c>
      <c r="Q144" s="111">
        <v>0</v>
      </c>
      <c r="R144" s="111">
        <v>0</v>
      </c>
      <c r="S144" s="111">
        <v>0</v>
      </c>
      <c r="T144" s="111">
        <v>0</v>
      </c>
      <c r="U144" s="111">
        <v>0</v>
      </c>
      <c r="V144" s="111">
        <v>0</v>
      </c>
      <c r="W144" s="111">
        <v>0</v>
      </c>
      <c r="X144" s="111">
        <v>0</v>
      </c>
      <c r="Y144" s="111">
        <v>0</v>
      </c>
      <c r="Z144" s="111">
        <v>0</v>
      </c>
      <c r="AA144" s="111">
        <v>0</v>
      </c>
      <c r="AB144" s="111">
        <v>0</v>
      </c>
      <c r="AC144" s="111">
        <v>0</v>
      </c>
      <c r="AD144" s="111">
        <v>0</v>
      </c>
      <c r="AE144" s="111">
        <v>0</v>
      </c>
      <c r="AF144" s="111">
        <v>0</v>
      </c>
      <c r="AG144" s="111">
        <v>0</v>
      </c>
      <c r="AH144" s="111">
        <v>0</v>
      </c>
      <c r="AI144" s="111">
        <v>0</v>
      </c>
      <c r="AJ144" s="111">
        <v>0</v>
      </c>
      <c r="AK144" s="111">
        <v>0</v>
      </c>
      <c r="AL144" s="111">
        <v>0</v>
      </c>
      <c r="AM144" s="111">
        <v>0</v>
      </c>
      <c r="AN144" s="111">
        <v>0</v>
      </c>
      <c r="AO144" s="111">
        <v>0</v>
      </c>
      <c r="AP144" s="111">
        <v>0</v>
      </c>
      <c r="AQ144" s="111">
        <v>0</v>
      </c>
      <c r="AR144" s="111">
        <v>0</v>
      </c>
      <c r="AS144" s="111">
        <v>0</v>
      </c>
      <c r="AT144" s="111">
        <v>0</v>
      </c>
      <c r="AU144" s="111">
        <v>0</v>
      </c>
      <c r="AV144" s="111">
        <v>0</v>
      </c>
      <c r="AW144" s="111">
        <v>0</v>
      </c>
      <c r="AX144" s="111">
        <v>0</v>
      </c>
      <c r="AY144" s="111">
        <v>0</v>
      </c>
    </row>
    <row r="145" spans="1:51" x14ac:dyDescent="0.25">
      <c r="A145" s="114"/>
      <c r="B145" s="125">
        <v>24</v>
      </c>
      <c r="C145" s="111"/>
      <c r="D145" s="111">
        <v>0</v>
      </c>
      <c r="E145" s="111">
        <v>0</v>
      </c>
      <c r="F145" s="111">
        <v>0</v>
      </c>
      <c r="G145" s="111">
        <v>0</v>
      </c>
      <c r="H145" s="111">
        <v>0</v>
      </c>
      <c r="I145" s="111">
        <v>0</v>
      </c>
      <c r="J145" s="111">
        <v>0</v>
      </c>
      <c r="K145" s="111">
        <v>0</v>
      </c>
      <c r="L145" s="111">
        <v>0</v>
      </c>
      <c r="M145" s="111">
        <v>0</v>
      </c>
      <c r="N145" s="111">
        <v>0</v>
      </c>
      <c r="O145" s="111">
        <v>0</v>
      </c>
      <c r="P145" s="111">
        <v>0</v>
      </c>
      <c r="Q145" s="111">
        <v>0</v>
      </c>
      <c r="R145" s="111">
        <v>0</v>
      </c>
      <c r="S145" s="111">
        <v>0</v>
      </c>
      <c r="T145" s="111">
        <v>0</v>
      </c>
      <c r="U145" s="111">
        <v>0</v>
      </c>
      <c r="V145" s="111">
        <v>0</v>
      </c>
      <c r="W145" s="111">
        <v>0</v>
      </c>
      <c r="X145" s="111">
        <v>0</v>
      </c>
      <c r="Y145" s="111">
        <v>0</v>
      </c>
      <c r="Z145" s="111">
        <v>0</v>
      </c>
      <c r="AA145" s="111">
        <v>0</v>
      </c>
      <c r="AB145" s="111">
        <v>0</v>
      </c>
      <c r="AC145" s="111">
        <v>0</v>
      </c>
      <c r="AD145" s="111">
        <v>0</v>
      </c>
      <c r="AE145" s="111">
        <v>0</v>
      </c>
      <c r="AF145" s="111">
        <v>0</v>
      </c>
      <c r="AG145" s="111">
        <v>0</v>
      </c>
      <c r="AH145" s="111">
        <v>0</v>
      </c>
      <c r="AI145" s="111">
        <v>0</v>
      </c>
      <c r="AJ145" s="111">
        <v>0</v>
      </c>
      <c r="AK145" s="111">
        <v>0</v>
      </c>
      <c r="AL145" s="111">
        <v>0</v>
      </c>
      <c r="AM145" s="111">
        <v>0</v>
      </c>
      <c r="AN145" s="111">
        <v>0</v>
      </c>
      <c r="AO145" s="111">
        <v>0</v>
      </c>
      <c r="AP145" s="111">
        <v>0</v>
      </c>
      <c r="AQ145" s="111">
        <v>0</v>
      </c>
      <c r="AR145" s="111">
        <v>0</v>
      </c>
      <c r="AS145" s="111">
        <v>0</v>
      </c>
      <c r="AT145" s="111">
        <v>0</v>
      </c>
      <c r="AU145" s="111">
        <v>0</v>
      </c>
      <c r="AV145" s="111">
        <v>0</v>
      </c>
      <c r="AW145" s="111">
        <v>0</v>
      </c>
      <c r="AX145" s="111">
        <v>0</v>
      </c>
      <c r="AY145" s="111">
        <v>0</v>
      </c>
    </row>
    <row r="146" spans="1:51" x14ac:dyDescent="0.25">
      <c r="A146" s="114"/>
      <c r="B146" s="132">
        <v>25</v>
      </c>
      <c r="C146" s="111"/>
      <c r="D146" s="111">
        <v>0</v>
      </c>
      <c r="E146" s="111">
        <v>0</v>
      </c>
      <c r="F146" s="111">
        <v>0</v>
      </c>
      <c r="G146" s="111">
        <v>0</v>
      </c>
      <c r="H146" s="111">
        <v>0</v>
      </c>
      <c r="I146" s="111">
        <v>0</v>
      </c>
      <c r="J146" s="111">
        <v>0</v>
      </c>
      <c r="K146" s="111">
        <v>0</v>
      </c>
      <c r="L146" s="111">
        <v>0</v>
      </c>
      <c r="M146" s="111">
        <v>0</v>
      </c>
      <c r="N146" s="111">
        <v>0</v>
      </c>
      <c r="O146" s="111">
        <v>0</v>
      </c>
      <c r="P146" s="111">
        <v>0</v>
      </c>
      <c r="Q146" s="111">
        <v>0</v>
      </c>
      <c r="R146" s="111">
        <v>0</v>
      </c>
      <c r="S146" s="111">
        <v>0</v>
      </c>
      <c r="T146" s="111">
        <v>0</v>
      </c>
      <c r="U146" s="111">
        <v>0</v>
      </c>
      <c r="V146" s="111">
        <v>0</v>
      </c>
      <c r="W146" s="111">
        <v>0</v>
      </c>
      <c r="X146" s="111">
        <v>0</v>
      </c>
      <c r="Y146" s="111">
        <v>0</v>
      </c>
      <c r="Z146" s="111">
        <v>0</v>
      </c>
      <c r="AA146" s="111">
        <v>0</v>
      </c>
      <c r="AB146" s="111">
        <v>0</v>
      </c>
      <c r="AC146" s="111">
        <v>0</v>
      </c>
      <c r="AD146" s="111">
        <v>0</v>
      </c>
      <c r="AE146" s="111">
        <v>0</v>
      </c>
      <c r="AF146" s="111">
        <v>0</v>
      </c>
      <c r="AG146" s="111">
        <v>0</v>
      </c>
      <c r="AH146" s="111">
        <v>0</v>
      </c>
      <c r="AI146" s="111">
        <v>0</v>
      </c>
      <c r="AJ146" s="111">
        <v>0</v>
      </c>
      <c r="AK146" s="111">
        <v>0</v>
      </c>
      <c r="AL146" s="111">
        <v>0</v>
      </c>
      <c r="AM146" s="111">
        <v>0</v>
      </c>
      <c r="AN146" s="111">
        <v>0</v>
      </c>
      <c r="AO146" s="111">
        <v>0</v>
      </c>
      <c r="AP146" s="111">
        <v>0</v>
      </c>
      <c r="AQ146" s="111">
        <v>0</v>
      </c>
      <c r="AR146" s="111">
        <v>0</v>
      </c>
      <c r="AS146" s="111">
        <v>0</v>
      </c>
      <c r="AT146" s="111">
        <v>0</v>
      </c>
      <c r="AU146" s="111">
        <v>0</v>
      </c>
      <c r="AV146" s="111">
        <v>0</v>
      </c>
      <c r="AW146" s="111">
        <v>0</v>
      </c>
      <c r="AX146" s="111">
        <v>0</v>
      </c>
      <c r="AY146" s="111">
        <v>0</v>
      </c>
    </row>
    <row r="147" spans="1:51" x14ac:dyDescent="0.25">
      <c r="A147" s="114"/>
      <c r="B147" s="132">
        <v>26</v>
      </c>
      <c r="C147" s="111"/>
      <c r="D147" s="111">
        <v>0</v>
      </c>
      <c r="E147" s="111">
        <v>0</v>
      </c>
      <c r="F147" s="111">
        <v>0</v>
      </c>
      <c r="G147" s="111">
        <v>0</v>
      </c>
      <c r="H147" s="111">
        <v>0</v>
      </c>
      <c r="I147" s="111">
        <v>0</v>
      </c>
      <c r="J147" s="111">
        <v>0</v>
      </c>
      <c r="K147" s="111">
        <v>0</v>
      </c>
      <c r="L147" s="111">
        <v>0</v>
      </c>
      <c r="M147" s="111">
        <v>0</v>
      </c>
      <c r="N147" s="111">
        <v>0</v>
      </c>
      <c r="O147" s="111">
        <v>0</v>
      </c>
      <c r="P147" s="111">
        <v>0</v>
      </c>
      <c r="Q147" s="111">
        <v>0</v>
      </c>
      <c r="R147" s="111">
        <v>0</v>
      </c>
      <c r="S147" s="111">
        <v>0</v>
      </c>
      <c r="T147" s="111">
        <v>0</v>
      </c>
      <c r="U147" s="111">
        <v>0</v>
      </c>
      <c r="V147" s="111">
        <v>0</v>
      </c>
      <c r="W147" s="111">
        <v>0</v>
      </c>
      <c r="X147" s="111">
        <v>0</v>
      </c>
      <c r="Y147" s="111">
        <v>0</v>
      </c>
      <c r="Z147" s="111">
        <v>0</v>
      </c>
      <c r="AA147" s="111">
        <v>0</v>
      </c>
      <c r="AB147" s="111">
        <v>0</v>
      </c>
      <c r="AC147" s="111">
        <v>0</v>
      </c>
      <c r="AD147" s="111">
        <v>0</v>
      </c>
      <c r="AE147" s="111">
        <v>0</v>
      </c>
      <c r="AF147" s="111">
        <v>0</v>
      </c>
      <c r="AG147" s="111">
        <v>0</v>
      </c>
      <c r="AH147" s="111">
        <v>0</v>
      </c>
      <c r="AI147" s="111">
        <v>0</v>
      </c>
      <c r="AJ147" s="111">
        <v>0</v>
      </c>
      <c r="AK147" s="111">
        <v>0</v>
      </c>
      <c r="AL147" s="111">
        <v>0</v>
      </c>
      <c r="AM147" s="111">
        <v>0</v>
      </c>
      <c r="AN147" s="111">
        <v>0</v>
      </c>
      <c r="AO147" s="111">
        <v>0</v>
      </c>
      <c r="AP147" s="111">
        <v>0</v>
      </c>
      <c r="AQ147" s="111">
        <v>0</v>
      </c>
      <c r="AR147" s="111">
        <v>0</v>
      </c>
      <c r="AS147" s="111">
        <v>0</v>
      </c>
      <c r="AT147" s="111">
        <v>0</v>
      </c>
      <c r="AU147" s="111">
        <v>0</v>
      </c>
      <c r="AV147" s="111">
        <v>0</v>
      </c>
      <c r="AW147" s="111">
        <v>0</v>
      </c>
      <c r="AX147" s="111">
        <v>0</v>
      </c>
      <c r="AY147" s="111">
        <v>0</v>
      </c>
    </row>
    <row r="148" spans="1:51" x14ac:dyDescent="0.25">
      <c r="A148" s="114"/>
      <c r="B148" s="132">
        <v>27</v>
      </c>
      <c r="C148" s="111"/>
      <c r="D148" s="111">
        <v>0</v>
      </c>
      <c r="E148" s="111">
        <v>0</v>
      </c>
      <c r="F148" s="111">
        <v>0</v>
      </c>
      <c r="G148" s="111">
        <v>0</v>
      </c>
      <c r="H148" s="111">
        <v>0</v>
      </c>
      <c r="I148" s="111">
        <v>0</v>
      </c>
      <c r="J148" s="111">
        <v>0</v>
      </c>
      <c r="K148" s="111">
        <v>0</v>
      </c>
      <c r="L148" s="111">
        <v>0</v>
      </c>
      <c r="M148" s="111">
        <v>0</v>
      </c>
      <c r="N148" s="111">
        <v>0</v>
      </c>
      <c r="O148" s="111">
        <v>0</v>
      </c>
      <c r="P148" s="111">
        <v>0</v>
      </c>
      <c r="Q148" s="111">
        <v>0</v>
      </c>
      <c r="R148" s="111">
        <v>0</v>
      </c>
      <c r="S148" s="111">
        <v>0</v>
      </c>
      <c r="T148" s="111">
        <v>0</v>
      </c>
      <c r="U148" s="111">
        <v>0</v>
      </c>
      <c r="V148" s="111">
        <v>0</v>
      </c>
      <c r="W148" s="111">
        <v>0</v>
      </c>
      <c r="X148" s="111">
        <v>0</v>
      </c>
      <c r="Y148" s="111">
        <v>0</v>
      </c>
      <c r="Z148" s="111">
        <v>0</v>
      </c>
      <c r="AA148" s="111">
        <v>0</v>
      </c>
      <c r="AB148" s="111">
        <v>0</v>
      </c>
      <c r="AC148" s="111">
        <v>0</v>
      </c>
      <c r="AD148" s="111">
        <v>0</v>
      </c>
      <c r="AE148" s="111">
        <v>0</v>
      </c>
      <c r="AF148" s="111">
        <v>0</v>
      </c>
      <c r="AG148" s="111">
        <v>0</v>
      </c>
      <c r="AH148" s="111">
        <v>0</v>
      </c>
      <c r="AI148" s="111">
        <v>0</v>
      </c>
      <c r="AJ148" s="111">
        <v>0</v>
      </c>
      <c r="AK148" s="111">
        <v>0</v>
      </c>
      <c r="AL148" s="111">
        <v>0</v>
      </c>
      <c r="AM148" s="111">
        <v>0</v>
      </c>
      <c r="AN148" s="111">
        <v>0</v>
      </c>
      <c r="AO148" s="111">
        <v>0</v>
      </c>
      <c r="AP148" s="111">
        <v>0</v>
      </c>
      <c r="AQ148" s="111">
        <v>0</v>
      </c>
      <c r="AR148" s="111">
        <v>0</v>
      </c>
      <c r="AS148" s="111">
        <v>0</v>
      </c>
      <c r="AT148" s="111">
        <v>0</v>
      </c>
      <c r="AU148" s="111">
        <v>0</v>
      </c>
      <c r="AV148" s="111">
        <v>0</v>
      </c>
      <c r="AW148" s="111">
        <v>0</v>
      </c>
      <c r="AX148" s="111">
        <v>0</v>
      </c>
      <c r="AY148" s="111">
        <v>0</v>
      </c>
    </row>
    <row r="149" spans="1:51" x14ac:dyDescent="0.25">
      <c r="A149" s="114"/>
      <c r="B149" s="132">
        <v>28</v>
      </c>
      <c r="C149" s="111"/>
      <c r="D149" s="111">
        <v>0</v>
      </c>
      <c r="E149" s="111">
        <v>0</v>
      </c>
      <c r="F149" s="111">
        <v>0</v>
      </c>
      <c r="G149" s="111">
        <v>0</v>
      </c>
      <c r="H149" s="111">
        <v>0</v>
      </c>
      <c r="I149" s="111">
        <v>0</v>
      </c>
      <c r="J149" s="111">
        <v>0</v>
      </c>
      <c r="K149" s="111">
        <v>0</v>
      </c>
      <c r="L149" s="111">
        <v>0</v>
      </c>
      <c r="M149" s="111">
        <v>0</v>
      </c>
      <c r="N149" s="111">
        <v>0</v>
      </c>
      <c r="O149" s="111">
        <v>0</v>
      </c>
      <c r="P149" s="111">
        <v>0</v>
      </c>
      <c r="Q149" s="111">
        <v>0</v>
      </c>
      <c r="R149" s="111">
        <v>0</v>
      </c>
      <c r="S149" s="111">
        <v>0</v>
      </c>
      <c r="T149" s="111">
        <v>0</v>
      </c>
      <c r="U149" s="111">
        <v>0</v>
      </c>
      <c r="V149" s="111">
        <v>0</v>
      </c>
      <c r="W149" s="111">
        <v>0</v>
      </c>
      <c r="X149" s="111">
        <v>0</v>
      </c>
      <c r="Y149" s="111">
        <v>0</v>
      </c>
      <c r="Z149" s="111">
        <v>0</v>
      </c>
      <c r="AA149" s="111">
        <v>0</v>
      </c>
      <c r="AB149" s="111">
        <v>0</v>
      </c>
      <c r="AC149" s="111">
        <v>0</v>
      </c>
      <c r="AD149" s="111">
        <v>0</v>
      </c>
      <c r="AE149" s="111">
        <v>0</v>
      </c>
      <c r="AF149" s="111">
        <v>0</v>
      </c>
      <c r="AG149" s="111">
        <v>0</v>
      </c>
      <c r="AH149" s="111">
        <v>0</v>
      </c>
      <c r="AI149" s="111">
        <v>0</v>
      </c>
      <c r="AJ149" s="111">
        <v>0</v>
      </c>
      <c r="AK149" s="111">
        <v>0</v>
      </c>
      <c r="AL149" s="111">
        <v>0</v>
      </c>
      <c r="AM149" s="111">
        <v>0</v>
      </c>
      <c r="AN149" s="111">
        <v>0</v>
      </c>
      <c r="AO149" s="111">
        <v>0</v>
      </c>
      <c r="AP149" s="111">
        <v>0</v>
      </c>
      <c r="AQ149" s="111">
        <v>0</v>
      </c>
      <c r="AR149" s="111">
        <v>0</v>
      </c>
      <c r="AS149" s="111">
        <v>0</v>
      </c>
      <c r="AT149" s="111">
        <v>0</v>
      </c>
      <c r="AU149" s="111">
        <v>0</v>
      </c>
      <c r="AV149" s="111">
        <v>0</v>
      </c>
      <c r="AW149" s="111">
        <v>0</v>
      </c>
      <c r="AX149" s="111">
        <v>0</v>
      </c>
      <c r="AY149" s="111">
        <v>0</v>
      </c>
    </row>
    <row r="150" spans="1:51" x14ac:dyDescent="0.25">
      <c r="A150" s="114"/>
      <c r="B150" s="132">
        <v>29</v>
      </c>
      <c r="C150" s="111"/>
      <c r="D150" s="111">
        <v>0</v>
      </c>
      <c r="E150" s="111">
        <v>0</v>
      </c>
      <c r="F150" s="111">
        <v>0</v>
      </c>
      <c r="G150" s="111">
        <v>0</v>
      </c>
      <c r="H150" s="111">
        <v>0</v>
      </c>
      <c r="I150" s="111">
        <v>0</v>
      </c>
      <c r="J150" s="111">
        <v>0</v>
      </c>
      <c r="K150" s="111">
        <v>0</v>
      </c>
      <c r="L150" s="111">
        <v>0</v>
      </c>
      <c r="M150" s="111">
        <v>0</v>
      </c>
      <c r="N150" s="111">
        <v>0</v>
      </c>
      <c r="O150" s="111">
        <v>0</v>
      </c>
      <c r="P150" s="111">
        <v>0</v>
      </c>
      <c r="Q150" s="111">
        <v>0</v>
      </c>
      <c r="R150" s="111">
        <v>0</v>
      </c>
      <c r="S150" s="111">
        <v>0</v>
      </c>
      <c r="T150" s="111">
        <v>0</v>
      </c>
      <c r="U150" s="111">
        <v>0</v>
      </c>
      <c r="V150" s="111">
        <v>0</v>
      </c>
      <c r="W150" s="111">
        <v>0</v>
      </c>
      <c r="X150" s="111">
        <v>0</v>
      </c>
      <c r="Y150" s="111">
        <v>0</v>
      </c>
      <c r="Z150" s="111">
        <v>0</v>
      </c>
      <c r="AA150" s="111">
        <v>0</v>
      </c>
      <c r="AB150" s="111">
        <v>0</v>
      </c>
      <c r="AC150" s="111">
        <v>0</v>
      </c>
      <c r="AD150" s="111">
        <v>0</v>
      </c>
      <c r="AE150" s="111">
        <v>0</v>
      </c>
      <c r="AF150" s="111">
        <v>0</v>
      </c>
      <c r="AG150" s="111">
        <v>0</v>
      </c>
      <c r="AH150" s="111">
        <v>0</v>
      </c>
      <c r="AI150" s="111">
        <v>0</v>
      </c>
      <c r="AJ150" s="111">
        <v>0</v>
      </c>
      <c r="AK150" s="111">
        <v>0</v>
      </c>
      <c r="AL150" s="111">
        <v>0</v>
      </c>
      <c r="AM150" s="111">
        <v>0</v>
      </c>
      <c r="AN150" s="111">
        <v>0</v>
      </c>
      <c r="AO150" s="111">
        <v>0</v>
      </c>
      <c r="AP150" s="111">
        <v>0</v>
      </c>
      <c r="AQ150" s="111">
        <v>0</v>
      </c>
      <c r="AR150" s="111">
        <v>0</v>
      </c>
      <c r="AS150" s="111">
        <v>0</v>
      </c>
      <c r="AT150" s="111">
        <v>0</v>
      </c>
      <c r="AU150" s="111">
        <v>0</v>
      </c>
      <c r="AV150" s="111">
        <v>0</v>
      </c>
      <c r="AW150" s="111">
        <v>0</v>
      </c>
      <c r="AX150" s="111">
        <v>0</v>
      </c>
      <c r="AY150" s="111">
        <v>0</v>
      </c>
    </row>
    <row r="151" spans="1:51" x14ac:dyDescent="0.25">
      <c r="A151" s="114"/>
      <c r="B151" s="132">
        <v>30</v>
      </c>
      <c r="C151" s="111"/>
      <c r="D151" s="111">
        <v>0</v>
      </c>
      <c r="E151" s="111">
        <v>0</v>
      </c>
      <c r="F151" s="111">
        <v>0</v>
      </c>
      <c r="G151" s="111">
        <v>0</v>
      </c>
      <c r="H151" s="111">
        <v>0</v>
      </c>
      <c r="I151" s="111">
        <v>0</v>
      </c>
      <c r="J151" s="111">
        <v>0</v>
      </c>
      <c r="K151" s="111">
        <v>0</v>
      </c>
      <c r="L151" s="111">
        <v>0</v>
      </c>
      <c r="M151" s="111">
        <v>0</v>
      </c>
      <c r="N151" s="111">
        <v>0</v>
      </c>
      <c r="O151" s="111">
        <v>0</v>
      </c>
      <c r="P151" s="111">
        <v>0</v>
      </c>
      <c r="Q151" s="111">
        <v>0</v>
      </c>
      <c r="R151" s="111">
        <v>0</v>
      </c>
      <c r="S151" s="111">
        <v>0</v>
      </c>
      <c r="T151" s="111">
        <v>0</v>
      </c>
      <c r="U151" s="111">
        <v>0</v>
      </c>
      <c r="V151" s="111">
        <v>0</v>
      </c>
      <c r="W151" s="111">
        <v>0</v>
      </c>
      <c r="X151" s="111">
        <v>0</v>
      </c>
      <c r="Y151" s="111">
        <v>0</v>
      </c>
      <c r="Z151" s="111">
        <v>0</v>
      </c>
      <c r="AA151" s="111">
        <v>0</v>
      </c>
      <c r="AB151" s="111">
        <v>0</v>
      </c>
      <c r="AC151" s="111">
        <v>0</v>
      </c>
      <c r="AD151" s="111">
        <v>0</v>
      </c>
      <c r="AE151" s="111">
        <v>0</v>
      </c>
      <c r="AF151" s="111">
        <v>0</v>
      </c>
      <c r="AG151" s="111">
        <v>0</v>
      </c>
      <c r="AH151" s="111">
        <v>0</v>
      </c>
      <c r="AI151" s="111">
        <v>0</v>
      </c>
      <c r="AJ151" s="111">
        <v>0</v>
      </c>
      <c r="AK151" s="111">
        <v>0</v>
      </c>
      <c r="AL151" s="111">
        <v>0</v>
      </c>
      <c r="AM151" s="111">
        <v>0</v>
      </c>
      <c r="AN151" s="111">
        <v>0</v>
      </c>
      <c r="AO151" s="111">
        <v>0</v>
      </c>
      <c r="AP151" s="111">
        <v>0</v>
      </c>
      <c r="AQ151" s="111">
        <v>0</v>
      </c>
      <c r="AR151" s="111">
        <v>0</v>
      </c>
      <c r="AS151" s="111">
        <v>0</v>
      </c>
      <c r="AT151" s="111">
        <v>0</v>
      </c>
      <c r="AU151" s="111">
        <v>0</v>
      </c>
      <c r="AV151" s="111">
        <v>0</v>
      </c>
      <c r="AW151" s="111">
        <v>0</v>
      </c>
      <c r="AX151" s="111">
        <v>0</v>
      </c>
      <c r="AY151" s="111">
        <v>0</v>
      </c>
    </row>
    <row r="152" spans="1:51" x14ac:dyDescent="0.25">
      <c r="A152" s="114"/>
      <c r="B152" s="132">
        <v>31</v>
      </c>
      <c r="C152" s="111"/>
      <c r="D152" s="111">
        <v>0</v>
      </c>
      <c r="E152" s="111">
        <v>0</v>
      </c>
      <c r="F152" s="111">
        <v>0</v>
      </c>
      <c r="G152" s="111">
        <v>0</v>
      </c>
      <c r="H152" s="111">
        <v>0</v>
      </c>
      <c r="I152" s="111">
        <v>0</v>
      </c>
      <c r="J152" s="111">
        <v>0</v>
      </c>
      <c r="K152" s="111">
        <v>0</v>
      </c>
      <c r="L152" s="111">
        <v>0</v>
      </c>
      <c r="M152" s="111">
        <v>0</v>
      </c>
      <c r="N152" s="111">
        <v>0</v>
      </c>
      <c r="O152" s="111">
        <v>0</v>
      </c>
      <c r="P152" s="111">
        <v>0</v>
      </c>
      <c r="Q152" s="111">
        <v>0</v>
      </c>
      <c r="R152" s="111">
        <v>0</v>
      </c>
      <c r="S152" s="111">
        <v>0</v>
      </c>
      <c r="T152" s="111">
        <v>0</v>
      </c>
      <c r="U152" s="111">
        <v>0</v>
      </c>
      <c r="V152" s="111">
        <v>0</v>
      </c>
      <c r="W152" s="111">
        <v>0</v>
      </c>
      <c r="X152" s="111">
        <v>0</v>
      </c>
      <c r="Y152" s="111">
        <v>0</v>
      </c>
      <c r="Z152" s="111">
        <v>0</v>
      </c>
      <c r="AA152" s="111">
        <v>0</v>
      </c>
      <c r="AB152" s="111">
        <v>0</v>
      </c>
      <c r="AC152" s="111">
        <v>0</v>
      </c>
      <c r="AD152" s="111">
        <v>0</v>
      </c>
      <c r="AE152" s="111">
        <v>0</v>
      </c>
      <c r="AF152" s="111">
        <v>0</v>
      </c>
      <c r="AG152" s="111">
        <v>0</v>
      </c>
      <c r="AH152" s="111">
        <v>0</v>
      </c>
      <c r="AI152" s="111">
        <v>0</v>
      </c>
      <c r="AJ152" s="111">
        <v>0</v>
      </c>
      <c r="AK152" s="111">
        <v>0</v>
      </c>
      <c r="AL152" s="111">
        <v>0</v>
      </c>
      <c r="AM152" s="111">
        <v>0</v>
      </c>
      <c r="AN152" s="111">
        <v>0</v>
      </c>
      <c r="AO152" s="111">
        <v>0</v>
      </c>
      <c r="AP152" s="111">
        <v>0</v>
      </c>
      <c r="AQ152" s="111">
        <v>0</v>
      </c>
      <c r="AR152" s="111">
        <v>0</v>
      </c>
      <c r="AS152" s="111">
        <v>0</v>
      </c>
      <c r="AT152" s="111">
        <v>0</v>
      </c>
      <c r="AU152" s="111">
        <v>0</v>
      </c>
      <c r="AV152" s="111">
        <v>0</v>
      </c>
      <c r="AW152" s="111">
        <v>0</v>
      </c>
      <c r="AX152" s="111">
        <v>0</v>
      </c>
      <c r="AY152" s="111">
        <v>0</v>
      </c>
    </row>
    <row r="153" spans="1:51" x14ac:dyDescent="0.25">
      <c r="A153" s="114"/>
      <c r="B153" s="132">
        <v>32</v>
      </c>
      <c r="C153" s="111"/>
      <c r="D153" s="111">
        <v>0</v>
      </c>
      <c r="E153" s="111">
        <v>0</v>
      </c>
      <c r="F153" s="111">
        <v>0</v>
      </c>
      <c r="G153" s="111">
        <v>0</v>
      </c>
      <c r="H153" s="111">
        <v>0</v>
      </c>
      <c r="I153" s="111">
        <v>0</v>
      </c>
      <c r="J153" s="111">
        <v>0</v>
      </c>
      <c r="K153" s="111">
        <v>0</v>
      </c>
      <c r="L153" s="111">
        <v>0</v>
      </c>
      <c r="M153" s="111">
        <v>0</v>
      </c>
      <c r="N153" s="111">
        <v>0</v>
      </c>
      <c r="O153" s="111">
        <v>0</v>
      </c>
      <c r="P153" s="111">
        <v>0</v>
      </c>
      <c r="Q153" s="111">
        <v>0</v>
      </c>
      <c r="R153" s="111">
        <v>0</v>
      </c>
      <c r="S153" s="111">
        <v>0</v>
      </c>
      <c r="T153" s="111">
        <v>0</v>
      </c>
      <c r="U153" s="111">
        <v>0</v>
      </c>
      <c r="V153" s="111">
        <v>0</v>
      </c>
      <c r="W153" s="111">
        <v>0</v>
      </c>
      <c r="X153" s="111">
        <v>0</v>
      </c>
      <c r="Y153" s="111">
        <v>0</v>
      </c>
      <c r="Z153" s="111">
        <v>0</v>
      </c>
      <c r="AA153" s="111">
        <v>0</v>
      </c>
      <c r="AB153" s="111">
        <v>0</v>
      </c>
      <c r="AC153" s="111">
        <v>0</v>
      </c>
      <c r="AD153" s="111">
        <v>0</v>
      </c>
      <c r="AE153" s="111">
        <v>0</v>
      </c>
      <c r="AF153" s="111">
        <v>0</v>
      </c>
      <c r="AG153" s="111">
        <v>0</v>
      </c>
      <c r="AH153" s="111">
        <v>0</v>
      </c>
      <c r="AI153" s="111">
        <v>0</v>
      </c>
      <c r="AJ153" s="111">
        <v>0</v>
      </c>
      <c r="AK153" s="111">
        <v>0</v>
      </c>
      <c r="AL153" s="111">
        <v>0</v>
      </c>
      <c r="AM153" s="111">
        <v>0</v>
      </c>
      <c r="AN153" s="111">
        <v>0</v>
      </c>
      <c r="AO153" s="111">
        <v>0</v>
      </c>
      <c r="AP153" s="111">
        <v>0</v>
      </c>
      <c r="AQ153" s="111">
        <v>0</v>
      </c>
      <c r="AR153" s="111">
        <v>0</v>
      </c>
      <c r="AS153" s="111">
        <v>0</v>
      </c>
      <c r="AT153" s="111">
        <v>0</v>
      </c>
      <c r="AU153" s="111">
        <v>0</v>
      </c>
      <c r="AV153" s="111">
        <v>0</v>
      </c>
      <c r="AW153" s="111">
        <v>0</v>
      </c>
      <c r="AX153" s="111">
        <v>0</v>
      </c>
      <c r="AY153" s="111">
        <v>0</v>
      </c>
    </row>
    <row r="154" spans="1:51" x14ac:dyDescent="0.25">
      <c r="A154" s="114"/>
      <c r="B154" s="132">
        <v>33</v>
      </c>
      <c r="C154" s="111"/>
      <c r="D154" s="111">
        <v>0</v>
      </c>
      <c r="E154" s="111">
        <v>0</v>
      </c>
      <c r="F154" s="111">
        <v>0</v>
      </c>
      <c r="G154" s="111">
        <v>0</v>
      </c>
      <c r="H154" s="111">
        <v>0</v>
      </c>
      <c r="I154" s="111">
        <v>0</v>
      </c>
      <c r="J154" s="111">
        <v>0</v>
      </c>
      <c r="K154" s="111">
        <v>0</v>
      </c>
      <c r="L154" s="111">
        <v>0</v>
      </c>
      <c r="M154" s="111">
        <v>0</v>
      </c>
      <c r="N154" s="111">
        <v>0</v>
      </c>
      <c r="O154" s="111">
        <v>0</v>
      </c>
      <c r="P154" s="111">
        <v>0</v>
      </c>
      <c r="Q154" s="111">
        <v>0</v>
      </c>
      <c r="R154" s="111">
        <v>0</v>
      </c>
      <c r="S154" s="111">
        <v>0</v>
      </c>
      <c r="T154" s="111">
        <v>0</v>
      </c>
      <c r="U154" s="111">
        <v>0</v>
      </c>
      <c r="V154" s="111">
        <v>0</v>
      </c>
      <c r="W154" s="111">
        <v>0</v>
      </c>
      <c r="X154" s="111">
        <v>0</v>
      </c>
      <c r="Y154" s="111">
        <v>0</v>
      </c>
      <c r="Z154" s="111">
        <v>0</v>
      </c>
      <c r="AA154" s="111">
        <v>0</v>
      </c>
      <c r="AB154" s="111">
        <v>0</v>
      </c>
      <c r="AC154" s="111">
        <v>0</v>
      </c>
      <c r="AD154" s="111">
        <v>0</v>
      </c>
      <c r="AE154" s="111">
        <v>0</v>
      </c>
      <c r="AF154" s="111">
        <v>0</v>
      </c>
      <c r="AG154" s="111">
        <v>0</v>
      </c>
      <c r="AH154" s="111">
        <v>0</v>
      </c>
      <c r="AI154" s="111">
        <v>0</v>
      </c>
      <c r="AJ154" s="111">
        <v>0</v>
      </c>
      <c r="AK154" s="111">
        <v>0</v>
      </c>
      <c r="AL154" s="111">
        <v>0</v>
      </c>
      <c r="AM154" s="111">
        <v>0</v>
      </c>
      <c r="AN154" s="111">
        <v>0</v>
      </c>
      <c r="AO154" s="111">
        <v>0</v>
      </c>
      <c r="AP154" s="111">
        <v>0</v>
      </c>
      <c r="AQ154" s="111">
        <v>0</v>
      </c>
      <c r="AR154" s="111">
        <v>0</v>
      </c>
      <c r="AS154" s="111">
        <v>0</v>
      </c>
      <c r="AT154" s="111">
        <v>0</v>
      </c>
      <c r="AU154" s="111">
        <v>0</v>
      </c>
      <c r="AV154" s="111">
        <v>0</v>
      </c>
      <c r="AW154" s="111">
        <v>0</v>
      </c>
      <c r="AX154" s="111">
        <v>0</v>
      </c>
      <c r="AY154" s="111">
        <v>0</v>
      </c>
    </row>
    <row r="155" spans="1:51" x14ac:dyDescent="0.25">
      <c r="A155" s="114"/>
      <c r="B155" s="132">
        <v>34</v>
      </c>
      <c r="C155" s="111"/>
      <c r="D155" s="111">
        <v>0</v>
      </c>
      <c r="E155" s="111">
        <v>0</v>
      </c>
      <c r="F155" s="111">
        <v>0</v>
      </c>
      <c r="G155" s="111">
        <v>0</v>
      </c>
      <c r="H155" s="111">
        <v>0</v>
      </c>
      <c r="I155" s="111">
        <v>0</v>
      </c>
      <c r="J155" s="111">
        <v>0</v>
      </c>
      <c r="K155" s="111">
        <v>0</v>
      </c>
      <c r="L155" s="111">
        <v>0</v>
      </c>
      <c r="M155" s="111">
        <v>0</v>
      </c>
      <c r="N155" s="111">
        <v>0</v>
      </c>
      <c r="O155" s="111">
        <v>0</v>
      </c>
      <c r="P155" s="111">
        <v>0</v>
      </c>
      <c r="Q155" s="111">
        <v>0</v>
      </c>
      <c r="R155" s="111">
        <v>0</v>
      </c>
      <c r="S155" s="111">
        <v>0</v>
      </c>
      <c r="T155" s="111">
        <v>0</v>
      </c>
      <c r="U155" s="111">
        <v>0</v>
      </c>
      <c r="V155" s="111">
        <v>0</v>
      </c>
      <c r="W155" s="111">
        <v>0</v>
      </c>
      <c r="X155" s="111">
        <v>0</v>
      </c>
      <c r="Y155" s="111">
        <v>0</v>
      </c>
      <c r="Z155" s="111">
        <v>0</v>
      </c>
      <c r="AA155" s="111">
        <v>0</v>
      </c>
      <c r="AB155" s="111">
        <v>0</v>
      </c>
      <c r="AC155" s="111">
        <v>0</v>
      </c>
      <c r="AD155" s="111">
        <v>0</v>
      </c>
      <c r="AE155" s="111">
        <v>0</v>
      </c>
      <c r="AF155" s="111">
        <v>0</v>
      </c>
      <c r="AG155" s="111">
        <v>0</v>
      </c>
      <c r="AH155" s="111">
        <v>0</v>
      </c>
      <c r="AI155" s="111">
        <v>0</v>
      </c>
      <c r="AJ155" s="111">
        <v>0</v>
      </c>
      <c r="AK155" s="111">
        <v>0</v>
      </c>
      <c r="AL155" s="111">
        <v>0</v>
      </c>
      <c r="AM155" s="111">
        <v>0</v>
      </c>
      <c r="AN155" s="111">
        <v>0</v>
      </c>
      <c r="AO155" s="111">
        <v>0</v>
      </c>
      <c r="AP155" s="111">
        <v>0</v>
      </c>
      <c r="AQ155" s="111">
        <v>0</v>
      </c>
      <c r="AR155" s="111">
        <v>0</v>
      </c>
      <c r="AS155" s="111">
        <v>0</v>
      </c>
      <c r="AT155" s="111">
        <v>0</v>
      </c>
      <c r="AU155" s="111">
        <v>0</v>
      </c>
      <c r="AV155" s="111">
        <v>0</v>
      </c>
      <c r="AW155" s="111">
        <v>0</v>
      </c>
      <c r="AX155" s="111">
        <v>0</v>
      </c>
      <c r="AY155" s="111">
        <v>0</v>
      </c>
    </row>
    <row r="156" spans="1:51" x14ac:dyDescent="0.25">
      <c r="A156" s="114"/>
      <c r="B156" s="132">
        <v>35</v>
      </c>
      <c r="C156" s="111"/>
      <c r="D156" s="111">
        <v>0</v>
      </c>
      <c r="E156" s="111">
        <v>0</v>
      </c>
      <c r="F156" s="111">
        <v>0</v>
      </c>
      <c r="G156" s="111">
        <v>0</v>
      </c>
      <c r="H156" s="111">
        <v>0</v>
      </c>
      <c r="I156" s="111">
        <v>0</v>
      </c>
      <c r="J156" s="111">
        <v>0</v>
      </c>
      <c r="K156" s="111">
        <v>0</v>
      </c>
      <c r="L156" s="111">
        <v>0</v>
      </c>
      <c r="M156" s="111">
        <v>0</v>
      </c>
      <c r="N156" s="111">
        <v>0</v>
      </c>
      <c r="O156" s="111">
        <v>0</v>
      </c>
      <c r="P156" s="111">
        <v>0</v>
      </c>
      <c r="Q156" s="111">
        <v>0</v>
      </c>
      <c r="R156" s="111">
        <v>0</v>
      </c>
      <c r="S156" s="111">
        <v>0</v>
      </c>
      <c r="T156" s="111">
        <v>0</v>
      </c>
      <c r="U156" s="111">
        <v>0</v>
      </c>
      <c r="V156" s="111">
        <v>0</v>
      </c>
      <c r="W156" s="111">
        <v>0</v>
      </c>
      <c r="X156" s="111">
        <v>0</v>
      </c>
      <c r="Y156" s="111">
        <v>0</v>
      </c>
      <c r="Z156" s="111">
        <v>0</v>
      </c>
      <c r="AA156" s="111">
        <v>0</v>
      </c>
      <c r="AB156" s="111">
        <v>0</v>
      </c>
      <c r="AC156" s="111">
        <v>0</v>
      </c>
      <c r="AD156" s="111">
        <v>0</v>
      </c>
      <c r="AE156" s="111">
        <v>0</v>
      </c>
      <c r="AF156" s="111">
        <v>0</v>
      </c>
      <c r="AG156" s="111">
        <v>0</v>
      </c>
      <c r="AH156" s="111">
        <v>0</v>
      </c>
      <c r="AI156" s="111">
        <v>0</v>
      </c>
      <c r="AJ156" s="111">
        <v>0</v>
      </c>
      <c r="AK156" s="111">
        <v>0</v>
      </c>
      <c r="AL156" s="111">
        <v>0</v>
      </c>
      <c r="AM156" s="111">
        <v>0</v>
      </c>
      <c r="AN156" s="111">
        <v>0</v>
      </c>
      <c r="AO156" s="111">
        <v>0</v>
      </c>
      <c r="AP156" s="111">
        <v>0</v>
      </c>
      <c r="AQ156" s="111">
        <v>0</v>
      </c>
      <c r="AR156" s="111">
        <v>0</v>
      </c>
      <c r="AS156" s="111">
        <v>0</v>
      </c>
      <c r="AT156" s="111">
        <v>0</v>
      </c>
      <c r="AU156" s="111">
        <v>0</v>
      </c>
      <c r="AV156" s="111">
        <v>0</v>
      </c>
      <c r="AW156" s="111">
        <v>0</v>
      </c>
      <c r="AX156" s="111">
        <v>0</v>
      </c>
      <c r="AY156" s="111">
        <v>0</v>
      </c>
    </row>
    <row r="157" spans="1:51" x14ac:dyDescent="0.25">
      <c r="A157" s="114"/>
      <c r="B157" s="132">
        <v>36</v>
      </c>
      <c r="C157" s="111"/>
      <c r="D157" s="111">
        <v>0</v>
      </c>
      <c r="E157" s="111">
        <v>0</v>
      </c>
      <c r="F157" s="111">
        <v>0</v>
      </c>
      <c r="G157" s="111">
        <v>0</v>
      </c>
      <c r="H157" s="111">
        <v>0</v>
      </c>
      <c r="I157" s="111">
        <v>0</v>
      </c>
      <c r="J157" s="111">
        <v>0</v>
      </c>
      <c r="K157" s="111">
        <v>0</v>
      </c>
      <c r="L157" s="111">
        <v>0</v>
      </c>
      <c r="M157" s="111">
        <v>0</v>
      </c>
      <c r="N157" s="111">
        <v>0</v>
      </c>
      <c r="O157" s="111">
        <v>0</v>
      </c>
      <c r="P157" s="111">
        <v>0</v>
      </c>
      <c r="Q157" s="111">
        <v>0</v>
      </c>
      <c r="R157" s="111">
        <v>0</v>
      </c>
      <c r="S157" s="111">
        <v>0</v>
      </c>
      <c r="T157" s="111">
        <v>0</v>
      </c>
      <c r="U157" s="111">
        <v>0</v>
      </c>
      <c r="V157" s="111">
        <v>0</v>
      </c>
      <c r="W157" s="111">
        <v>0</v>
      </c>
      <c r="X157" s="111">
        <v>0</v>
      </c>
      <c r="Y157" s="111">
        <v>0</v>
      </c>
      <c r="Z157" s="111">
        <v>0</v>
      </c>
      <c r="AA157" s="111">
        <v>0</v>
      </c>
      <c r="AB157" s="111">
        <v>0</v>
      </c>
      <c r="AC157" s="111">
        <v>0</v>
      </c>
      <c r="AD157" s="111">
        <v>0</v>
      </c>
      <c r="AE157" s="111">
        <v>0</v>
      </c>
      <c r="AF157" s="111">
        <v>0</v>
      </c>
      <c r="AG157" s="111">
        <v>0</v>
      </c>
      <c r="AH157" s="111">
        <v>0</v>
      </c>
      <c r="AI157" s="111">
        <v>0</v>
      </c>
      <c r="AJ157" s="111">
        <v>0</v>
      </c>
      <c r="AK157" s="111">
        <v>0</v>
      </c>
      <c r="AL157" s="111">
        <v>0</v>
      </c>
      <c r="AM157" s="111">
        <v>0</v>
      </c>
      <c r="AN157" s="111">
        <v>0</v>
      </c>
      <c r="AO157" s="111">
        <v>0</v>
      </c>
      <c r="AP157" s="111">
        <v>0</v>
      </c>
      <c r="AQ157" s="111">
        <v>0</v>
      </c>
      <c r="AR157" s="111">
        <v>0</v>
      </c>
      <c r="AS157" s="111">
        <v>0</v>
      </c>
      <c r="AT157" s="111">
        <v>0</v>
      </c>
      <c r="AU157" s="111">
        <v>0</v>
      </c>
      <c r="AV157" s="111">
        <v>0</v>
      </c>
      <c r="AW157" s="111">
        <v>0</v>
      </c>
      <c r="AX157" s="111">
        <v>0</v>
      </c>
      <c r="AY157" s="111">
        <v>0</v>
      </c>
    </row>
    <row r="158" spans="1:51" x14ac:dyDescent="0.25">
      <c r="A158" s="114"/>
      <c r="B158" s="135">
        <v>37</v>
      </c>
      <c r="C158" s="111"/>
      <c r="D158" s="111">
        <v>0</v>
      </c>
      <c r="E158" s="111">
        <v>0</v>
      </c>
      <c r="F158" s="111">
        <v>0</v>
      </c>
      <c r="G158" s="111">
        <v>0</v>
      </c>
      <c r="H158" s="111">
        <v>0</v>
      </c>
      <c r="I158" s="111">
        <v>0</v>
      </c>
      <c r="J158" s="111">
        <v>0</v>
      </c>
      <c r="K158" s="111">
        <v>0</v>
      </c>
      <c r="L158" s="111">
        <v>0</v>
      </c>
      <c r="M158" s="111">
        <v>0</v>
      </c>
      <c r="N158" s="111">
        <v>0</v>
      </c>
      <c r="O158" s="111">
        <v>0</v>
      </c>
      <c r="P158" s="111">
        <v>0</v>
      </c>
      <c r="Q158" s="111">
        <v>0</v>
      </c>
      <c r="R158" s="111">
        <v>0</v>
      </c>
      <c r="S158" s="111">
        <v>0</v>
      </c>
      <c r="T158" s="111">
        <v>0</v>
      </c>
      <c r="U158" s="111">
        <v>0</v>
      </c>
      <c r="V158" s="111">
        <v>0</v>
      </c>
      <c r="W158" s="111">
        <v>0</v>
      </c>
      <c r="X158" s="111">
        <v>0</v>
      </c>
      <c r="Y158" s="111">
        <v>0</v>
      </c>
      <c r="Z158" s="111">
        <v>0</v>
      </c>
      <c r="AA158" s="111">
        <v>0</v>
      </c>
      <c r="AB158" s="111">
        <v>0</v>
      </c>
      <c r="AC158" s="111">
        <v>0</v>
      </c>
      <c r="AD158" s="111">
        <v>0</v>
      </c>
      <c r="AE158" s="111">
        <v>0</v>
      </c>
      <c r="AF158" s="111">
        <v>0</v>
      </c>
      <c r="AG158" s="111">
        <v>0</v>
      </c>
      <c r="AH158" s="111">
        <v>0</v>
      </c>
      <c r="AI158" s="111">
        <v>0</v>
      </c>
      <c r="AJ158" s="111">
        <v>0</v>
      </c>
      <c r="AK158" s="111">
        <v>0</v>
      </c>
      <c r="AL158" s="111">
        <v>0</v>
      </c>
      <c r="AM158" s="111">
        <v>0</v>
      </c>
      <c r="AN158" s="111">
        <v>0</v>
      </c>
      <c r="AO158" s="111">
        <v>0</v>
      </c>
      <c r="AP158" s="111">
        <v>0</v>
      </c>
      <c r="AQ158" s="111">
        <v>0</v>
      </c>
      <c r="AR158" s="111">
        <v>0</v>
      </c>
      <c r="AS158" s="111">
        <v>0</v>
      </c>
      <c r="AT158" s="111">
        <v>0</v>
      </c>
      <c r="AU158" s="111">
        <v>0</v>
      </c>
      <c r="AV158" s="111">
        <v>0</v>
      </c>
      <c r="AW158" s="111">
        <v>0</v>
      </c>
      <c r="AX158" s="111">
        <v>0</v>
      </c>
      <c r="AY158" s="111">
        <v>0</v>
      </c>
    </row>
    <row r="159" spans="1:51" x14ac:dyDescent="0.25">
      <c r="A159" s="114"/>
      <c r="B159" s="135">
        <v>38</v>
      </c>
      <c r="C159" s="111"/>
      <c r="D159" s="111">
        <v>0</v>
      </c>
      <c r="E159" s="111">
        <v>0</v>
      </c>
      <c r="F159" s="111">
        <v>0</v>
      </c>
      <c r="G159" s="111">
        <v>0</v>
      </c>
      <c r="H159" s="111">
        <v>0</v>
      </c>
      <c r="I159" s="111">
        <v>0</v>
      </c>
      <c r="J159" s="111">
        <v>0</v>
      </c>
      <c r="K159" s="111">
        <v>0</v>
      </c>
      <c r="L159" s="111">
        <v>0</v>
      </c>
      <c r="M159" s="111">
        <v>0</v>
      </c>
      <c r="N159" s="111">
        <v>0</v>
      </c>
      <c r="O159" s="111">
        <v>0</v>
      </c>
      <c r="P159" s="111">
        <v>0</v>
      </c>
      <c r="Q159" s="111">
        <v>0</v>
      </c>
      <c r="R159" s="111">
        <v>0</v>
      </c>
      <c r="S159" s="111">
        <v>0</v>
      </c>
      <c r="T159" s="111">
        <v>0</v>
      </c>
      <c r="U159" s="111">
        <v>0</v>
      </c>
      <c r="V159" s="111">
        <v>0</v>
      </c>
      <c r="W159" s="111">
        <v>0</v>
      </c>
      <c r="X159" s="111">
        <v>0</v>
      </c>
      <c r="Y159" s="111">
        <v>0</v>
      </c>
      <c r="Z159" s="111">
        <v>0</v>
      </c>
      <c r="AA159" s="111">
        <v>0</v>
      </c>
      <c r="AB159" s="111">
        <v>0</v>
      </c>
      <c r="AC159" s="111">
        <v>0</v>
      </c>
      <c r="AD159" s="111">
        <v>0</v>
      </c>
      <c r="AE159" s="111">
        <v>0</v>
      </c>
      <c r="AF159" s="111">
        <v>0</v>
      </c>
      <c r="AG159" s="111">
        <v>0</v>
      </c>
      <c r="AH159" s="111">
        <v>0</v>
      </c>
      <c r="AI159" s="111">
        <v>0</v>
      </c>
      <c r="AJ159" s="111">
        <v>0</v>
      </c>
      <c r="AK159" s="111">
        <v>0</v>
      </c>
      <c r="AL159" s="111">
        <v>0</v>
      </c>
      <c r="AM159" s="111">
        <v>0</v>
      </c>
      <c r="AN159" s="111">
        <v>0</v>
      </c>
      <c r="AO159" s="111">
        <v>0</v>
      </c>
      <c r="AP159" s="111">
        <v>0</v>
      </c>
      <c r="AQ159" s="111">
        <v>0</v>
      </c>
      <c r="AR159" s="111">
        <v>0</v>
      </c>
      <c r="AS159" s="111">
        <v>0</v>
      </c>
      <c r="AT159" s="111">
        <v>0</v>
      </c>
      <c r="AU159" s="111">
        <v>0</v>
      </c>
      <c r="AV159" s="111">
        <v>0</v>
      </c>
      <c r="AW159" s="111">
        <v>0</v>
      </c>
      <c r="AX159" s="111">
        <v>0</v>
      </c>
      <c r="AY159" s="111">
        <v>0</v>
      </c>
    </row>
    <row r="160" spans="1:51" x14ac:dyDescent="0.25">
      <c r="A160" s="114"/>
      <c r="B160" s="135">
        <v>39</v>
      </c>
      <c r="C160" s="111"/>
      <c r="D160" s="111">
        <v>0</v>
      </c>
      <c r="E160" s="111">
        <v>0</v>
      </c>
      <c r="F160" s="111">
        <v>0</v>
      </c>
      <c r="G160" s="111">
        <v>0</v>
      </c>
      <c r="H160" s="111">
        <v>0</v>
      </c>
      <c r="I160" s="111">
        <v>0</v>
      </c>
      <c r="J160" s="111">
        <v>0</v>
      </c>
      <c r="K160" s="111">
        <v>0</v>
      </c>
      <c r="L160" s="111">
        <v>0</v>
      </c>
      <c r="M160" s="111">
        <v>0</v>
      </c>
      <c r="N160" s="111">
        <v>0</v>
      </c>
      <c r="O160" s="111">
        <v>0</v>
      </c>
      <c r="P160" s="111">
        <v>0</v>
      </c>
      <c r="Q160" s="111">
        <v>0</v>
      </c>
      <c r="R160" s="111">
        <v>0</v>
      </c>
      <c r="S160" s="111">
        <v>0</v>
      </c>
      <c r="T160" s="111">
        <v>0</v>
      </c>
      <c r="U160" s="111">
        <v>0</v>
      </c>
      <c r="V160" s="111">
        <v>0</v>
      </c>
      <c r="W160" s="111">
        <v>0</v>
      </c>
      <c r="X160" s="111">
        <v>0</v>
      </c>
      <c r="Y160" s="111">
        <v>0</v>
      </c>
      <c r="Z160" s="111">
        <v>0</v>
      </c>
      <c r="AA160" s="111">
        <v>0</v>
      </c>
      <c r="AB160" s="111">
        <v>0</v>
      </c>
      <c r="AC160" s="111">
        <v>0</v>
      </c>
      <c r="AD160" s="111">
        <v>0</v>
      </c>
      <c r="AE160" s="111">
        <v>0</v>
      </c>
      <c r="AF160" s="111">
        <v>0</v>
      </c>
      <c r="AG160" s="111">
        <v>0</v>
      </c>
      <c r="AH160" s="111">
        <v>0</v>
      </c>
      <c r="AI160" s="111">
        <v>0</v>
      </c>
      <c r="AJ160" s="111">
        <v>0</v>
      </c>
      <c r="AK160" s="111">
        <v>0</v>
      </c>
      <c r="AL160" s="111">
        <v>0</v>
      </c>
      <c r="AM160" s="111">
        <v>0</v>
      </c>
      <c r="AN160" s="111">
        <v>0</v>
      </c>
      <c r="AO160" s="111">
        <v>0</v>
      </c>
      <c r="AP160" s="111">
        <v>0</v>
      </c>
      <c r="AQ160" s="111">
        <v>0</v>
      </c>
      <c r="AR160" s="111">
        <v>0</v>
      </c>
      <c r="AS160" s="111">
        <v>0</v>
      </c>
      <c r="AT160" s="111">
        <v>0</v>
      </c>
      <c r="AU160" s="111">
        <v>0</v>
      </c>
      <c r="AV160" s="111">
        <v>0</v>
      </c>
      <c r="AW160" s="111">
        <v>0</v>
      </c>
      <c r="AX160" s="111">
        <v>0</v>
      </c>
      <c r="AY160" s="111">
        <v>0</v>
      </c>
    </row>
    <row r="161" spans="1:52" x14ac:dyDescent="0.25">
      <c r="A161" s="114"/>
      <c r="B161" s="135">
        <v>40</v>
      </c>
      <c r="C161" s="111"/>
      <c r="D161" s="111">
        <v>0</v>
      </c>
      <c r="E161" s="111">
        <v>0</v>
      </c>
      <c r="F161" s="111">
        <v>0</v>
      </c>
      <c r="G161" s="111">
        <v>0</v>
      </c>
      <c r="H161" s="111">
        <v>0</v>
      </c>
      <c r="I161" s="111">
        <v>0</v>
      </c>
      <c r="J161" s="111">
        <v>0</v>
      </c>
      <c r="K161" s="111">
        <v>0</v>
      </c>
      <c r="L161" s="111">
        <v>0</v>
      </c>
      <c r="M161" s="111">
        <v>0</v>
      </c>
      <c r="N161" s="111">
        <v>0</v>
      </c>
      <c r="O161" s="111">
        <v>0</v>
      </c>
      <c r="P161" s="111">
        <v>0</v>
      </c>
      <c r="Q161" s="111">
        <v>0</v>
      </c>
      <c r="R161" s="111">
        <v>0</v>
      </c>
      <c r="S161" s="111">
        <v>0</v>
      </c>
      <c r="T161" s="111">
        <v>0</v>
      </c>
      <c r="U161" s="111">
        <v>0</v>
      </c>
      <c r="V161" s="111">
        <v>0</v>
      </c>
      <c r="W161" s="111">
        <v>0</v>
      </c>
      <c r="X161" s="111">
        <v>0</v>
      </c>
      <c r="Y161" s="111">
        <v>0</v>
      </c>
      <c r="Z161" s="111">
        <v>0</v>
      </c>
      <c r="AA161" s="111">
        <v>0</v>
      </c>
      <c r="AB161" s="111">
        <v>0</v>
      </c>
      <c r="AC161" s="111">
        <v>0</v>
      </c>
      <c r="AD161" s="111">
        <v>0</v>
      </c>
      <c r="AE161" s="111">
        <v>0</v>
      </c>
      <c r="AF161" s="111">
        <v>0</v>
      </c>
      <c r="AG161" s="111">
        <v>0</v>
      </c>
      <c r="AH161" s="111">
        <v>0</v>
      </c>
      <c r="AI161" s="111">
        <v>0</v>
      </c>
      <c r="AJ161" s="111">
        <v>0</v>
      </c>
      <c r="AK161" s="111">
        <v>0</v>
      </c>
      <c r="AL161" s="111">
        <v>0</v>
      </c>
      <c r="AM161" s="111">
        <v>0</v>
      </c>
      <c r="AN161" s="111">
        <v>0</v>
      </c>
      <c r="AO161" s="111">
        <v>0</v>
      </c>
      <c r="AP161" s="111">
        <v>0</v>
      </c>
      <c r="AQ161" s="111">
        <v>0</v>
      </c>
      <c r="AR161" s="111">
        <v>0</v>
      </c>
      <c r="AS161" s="111">
        <v>0</v>
      </c>
      <c r="AT161" s="111">
        <v>0</v>
      </c>
      <c r="AU161" s="111">
        <v>0</v>
      </c>
      <c r="AV161" s="111">
        <v>0</v>
      </c>
      <c r="AW161" s="111">
        <v>0</v>
      </c>
      <c r="AX161" s="111">
        <v>0</v>
      </c>
      <c r="AY161" s="111">
        <v>0</v>
      </c>
    </row>
    <row r="162" spans="1:52" x14ac:dyDescent="0.25">
      <c r="A162" s="114"/>
      <c r="B162" s="135">
        <v>41</v>
      </c>
      <c r="C162" s="111"/>
      <c r="D162" s="111">
        <v>0</v>
      </c>
      <c r="E162" s="111">
        <v>0</v>
      </c>
      <c r="F162" s="111">
        <v>0</v>
      </c>
      <c r="G162" s="111">
        <v>0</v>
      </c>
      <c r="H162" s="111">
        <v>0</v>
      </c>
      <c r="I162" s="111">
        <v>0</v>
      </c>
      <c r="J162" s="111">
        <v>0</v>
      </c>
      <c r="K162" s="111">
        <v>0</v>
      </c>
      <c r="L162" s="111">
        <v>0</v>
      </c>
      <c r="M162" s="111">
        <v>0</v>
      </c>
      <c r="N162" s="111">
        <v>0</v>
      </c>
      <c r="O162" s="111">
        <v>0</v>
      </c>
      <c r="P162" s="111">
        <v>0</v>
      </c>
      <c r="Q162" s="111">
        <v>0</v>
      </c>
      <c r="R162" s="111">
        <v>0</v>
      </c>
      <c r="S162" s="111">
        <v>0</v>
      </c>
      <c r="T162" s="111">
        <v>0</v>
      </c>
      <c r="U162" s="111">
        <v>0</v>
      </c>
      <c r="V162" s="111">
        <v>0</v>
      </c>
      <c r="W162" s="111">
        <v>0</v>
      </c>
      <c r="X162" s="111">
        <v>0</v>
      </c>
      <c r="Y162" s="111">
        <v>0</v>
      </c>
      <c r="Z162" s="111">
        <v>0</v>
      </c>
      <c r="AA162" s="111">
        <v>0</v>
      </c>
      <c r="AB162" s="111">
        <v>0</v>
      </c>
      <c r="AC162" s="111">
        <v>0</v>
      </c>
      <c r="AD162" s="111">
        <v>0</v>
      </c>
      <c r="AE162" s="111">
        <v>0</v>
      </c>
      <c r="AF162" s="111">
        <v>0</v>
      </c>
      <c r="AG162" s="111">
        <v>0</v>
      </c>
      <c r="AH162" s="111">
        <v>0</v>
      </c>
      <c r="AI162" s="111">
        <v>0</v>
      </c>
      <c r="AJ162" s="111">
        <v>0</v>
      </c>
      <c r="AK162" s="111">
        <v>0</v>
      </c>
      <c r="AL162" s="111">
        <v>0</v>
      </c>
      <c r="AM162" s="111">
        <v>0</v>
      </c>
      <c r="AN162" s="111">
        <v>0</v>
      </c>
      <c r="AO162" s="111">
        <v>0</v>
      </c>
      <c r="AP162" s="111">
        <v>0</v>
      </c>
      <c r="AQ162" s="111">
        <v>0</v>
      </c>
      <c r="AR162" s="111">
        <v>0</v>
      </c>
      <c r="AS162" s="111">
        <v>0</v>
      </c>
      <c r="AT162" s="111">
        <v>0</v>
      </c>
      <c r="AU162" s="111">
        <v>0</v>
      </c>
      <c r="AV162" s="111">
        <v>0</v>
      </c>
      <c r="AW162" s="111">
        <v>0</v>
      </c>
      <c r="AX162" s="111">
        <v>0</v>
      </c>
      <c r="AY162" s="111">
        <v>0</v>
      </c>
    </row>
    <row r="163" spans="1:52" x14ac:dyDescent="0.25">
      <c r="A163" s="114"/>
      <c r="B163" s="135">
        <v>42</v>
      </c>
      <c r="C163" s="111"/>
      <c r="D163" s="111">
        <v>0</v>
      </c>
      <c r="E163" s="111">
        <v>0</v>
      </c>
      <c r="F163" s="111">
        <v>0</v>
      </c>
      <c r="G163" s="111">
        <v>0</v>
      </c>
      <c r="H163" s="111">
        <v>0</v>
      </c>
      <c r="I163" s="111">
        <v>0</v>
      </c>
      <c r="J163" s="111">
        <v>0</v>
      </c>
      <c r="K163" s="111">
        <v>0</v>
      </c>
      <c r="L163" s="111">
        <v>0</v>
      </c>
      <c r="M163" s="111">
        <v>0</v>
      </c>
      <c r="N163" s="111">
        <v>0</v>
      </c>
      <c r="O163" s="111">
        <v>0</v>
      </c>
      <c r="P163" s="111">
        <v>0</v>
      </c>
      <c r="Q163" s="111">
        <v>0</v>
      </c>
      <c r="R163" s="111">
        <v>0</v>
      </c>
      <c r="S163" s="111">
        <v>0</v>
      </c>
      <c r="T163" s="111">
        <v>0</v>
      </c>
      <c r="U163" s="111">
        <v>0</v>
      </c>
      <c r="V163" s="111">
        <v>0</v>
      </c>
      <c r="W163" s="111">
        <v>0</v>
      </c>
      <c r="X163" s="111">
        <v>0</v>
      </c>
      <c r="Y163" s="111">
        <v>0</v>
      </c>
      <c r="Z163" s="111">
        <v>0</v>
      </c>
      <c r="AA163" s="111">
        <v>0</v>
      </c>
      <c r="AB163" s="111">
        <v>0</v>
      </c>
      <c r="AC163" s="111">
        <v>0</v>
      </c>
      <c r="AD163" s="111">
        <v>0</v>
      </c>
      <c r="AE163" s="111">
        <v>0</v>
      </c>
      <c r="AF163" s="111">
        <v>0</v>
      </c>
      <c r="AG163" s="111">
        <v>0</v>
      </c>
      <c r="AH163" s="111">
        <v>0</v>
      </c>
      <c r="AI163" s="111">
        <v>0</v>
      </c>
      <c r="AJ163" s="111">
        <v>0</v>
      </c>
      <c r="AK163" s="111">
        <v>0</v>
      </c>
      <c r="AL163" s="111">
        <v>0</v>
      </c>
      <c r="AM163" s="111">
        <v>0</v>
      </c>
      <c r="AN163" s="111">
        <v>0</v>
      </c>
      <c r="AO163" s="111">
        <v>0</v>
      </c>
      <c r="AP163" s="111">
        <v>0</v>
      </c>
      <c r="AQ163" s="111">
        <v>0</v>
      </c>
      <c r="AR163" s="111">
        <v>0</v>
      </c>
      <c r="AS163" s="111">
        <v>0</v>
      </c>
      <c r="AT163" s="111">
        <v>0</v>
      </c>
      <c r="AU163" s="111">
        <v>0</v>
      </c>
      <c r="AV163" s="111">
        <v>0</v>
      </c>
      <c r="AW163" s="111">
        <v>0</v>
      </c>
      <c r="AX163" s="111">
        <v>0</v>
      </c>
      <c r="AY163" s="111">
        <v>0</v>
      </c>
    </row>
    <row r="164" spans="1:52" x14ac:dyDescent="0.25">
      <c r="A164" s="114"/>
      <c r="B164" s="135">
        <v>43</v>
      </c>
      <c r="C164" s="111"/>
      <c r="D164" s="111">
        <v>0</v>
      </c>
      <c r="E164" s="111">
        <v>0</v>
      </c>
      <c r="F164" s="111">
        <v>0</v>
      </c>
      <c r="G164" s="111">
        <v>0</v>
      </c>
      <c r="H164" s="111">
        <v>0</v>
      </c>
      <c r="I164" s="111">
        <v>0</v>
      </c>
      <c r="J164" s="111">
        <v>0</v>
      </c>
      <c r="K164" s="111">
        <v>0</v>
      </c>
      <c r="L164" s="111">
        <v>0</v>
      </c>
      <c r="M164" s="111">
        <v>0</v>
      </c>
      <c r="N164" s="111">
        <v>0</v>
      </c>
      <c r="O164" s="111">
        <v>0</v>
      </c>
      <c r="P164" s="111">
        <v>0</v>
      </c>
      <c r="Q164" s="111">
        <v>0</v>
      </c>
      <c r="R164" s="111">
        <v>0</v>
      </c>
      <c r="S164" s="111">
        <v>0</v>
      </c>
      <c r="T164" s="111">
        <v>0</v>
      </c>
      <c r="U164" s="111">
        <v>0</v>
      </c>
      <c r="V164" s="111">
        <v>0</v>
      </c>
      <c r="W164" s="111">
        <v>0</v>
      </c>
      <c r="X164" s="111">
        <v>0</v>
      </c>
      <c r="Y164" s="111">
        <v>0</v>
      </c>
      <c r="Z164" s="111">
        <v>0</v>
      </c>
      <c r="AA164" s="111">
        <v>0</v>
      </c>
      <c r="AB164" s="111">
        <v>0</v>
      </c>
      <c r="AC164" s="111">
        <v>0</v>
      </c>
      <c r="AD164" s="111">
        <v>0</v>
      </c>
      <c r="AE164" s="111">
        <v>0</v>
      </c>
      <c r="AF164" s="111">
        <v>0</v>
      </c>
      <c r="AG164" s="111">
        <v>0</v>
      </c>
      <c r="AH164" s="111">
        <v>0</v>
      </c>
      <c r="AI164" s="111">
        <v>0</v>
      </c>
      <c r="AJ164" s="111">
        <v>0</v>
      </c>
      <c r="AK164" s="111">
        <v>0</v>
      </c>
      <c r="AL164" s="111">
        <v>0</v>
      </c>
      <c r="AM164" s="111">
        <v>0</v>
      </c>
      <c r="AN164" s="111">
        <v>0</v>
      </c>
      <c r="AO164" s="111">
        <v>0</v>
      </c>
      <c r="AP164" s="111">
        <v>0</v>
      </c>
      <c r="AQ164" s="111">
        <v>0</v>
      </c>
      <c r="AR164" s="111">
        <v>0</v>
      </c>
      <c r="AS164" s="111">
        <v>0</v>
      </c>
      <c r="AT164" s="111">
        <v>0</v>
      </c>
      <c r="AU164" s="111">
        <v>0</v>
      </c>
      <c r="AV164" s="111">
        <v>0</v>
      </c>
      <c r="AW164" s="111">
        <v>0</v>
      </c>
      <c r="AX164" s="111">
        <v>0</v>
      </c>
      <c r="AY164" s="111">
        <v>0</v>
      </c>
    </row>
    <row r="165" spans="1:52" x14ac:dyDescent="0.25">
      <c r="A165" s="114"/>
      <c r="B165" s="135">
        <v>44</v>
      </c>
      <c r="C165" s="111"/>
      <c r="D165" s="111">
        <v>0</v>
      </c>
      <c r="E165" s="111">
        <v>0</v>
      </c>
      <c r="F165" s="111">
        <v>0</v>
      </c>
      <c r="G165" s="111">
        <v>0</v>
      </c>
      <c r="H165" s="111">
        <v>0</v>
      </c>
      <c r="I165" s="111">
        <v>0</v>
      </c>
      <c r="J165" s="111">
        <v>0</v>
      </c>
      <c r="K165" s="111">
        <v>0</v>
      </c>
      <c r="L165" s="111">
        <v>0</v>
      </c>
      <c r="M165" s="111">
        <v>0</v>
      </c>
      <c r="N165" s="111">
        <v>0</v>
      </c>
      <c r="O165" s="111">
        <v>0</v>
      </c>
      <c r="P165" s="111">
        <v>0</v>
      </c>
      <c r="Q165" s="111">
        <v>0</v>
      </c>
      <c r="R165" s="111">
        <v>0</v>
      </c>
      <c r="S165" s="111">
        <v>0</v>
      </c>
      <c r="T165" s="111">
        <v>0</v>
      </c>
      <c r="U165" s="111">
        <v>0</v>
      </c>
      <c r="V165" s="111">
        <v>0</v>
      </c>
      <c r="W165" s="111">
        <v>0</v>
      </c>
      <c r="X165" s="111">
        <v>0</v>
      </c>
      <c r="Y165" s="111">
        <v>0</v>
      </c>
      <c r="Z165" s="111">
        <v>0</v>
      </c>
      <c r="AA165" s="111">
        <v>0</v>
      </c>
      <c r="AB165" s="111">
        <v>0</v>
      </c>
      <c r="AC165" s="111">
        <v>0</v>
      </c>
      <c r="AD165" s="111">
        <v>0</v>
      </c>
      <c r="AE165" s="111">
        <v>0</v>
      </c>
      <c r="AF165" s="111">
        <v>0</v>
      </c>
      <c r="AG165" s="111">
        <v>0</v>
      </c>
      <c r="AH165" s="111">
        <v>0</v>
      </c>
      <c r="AI165" s="111">
        <v>0</v>
      </c>
      <c r="AJ165" s="111">
        <v>0</v>
      </c>
      <c r="AK165" s="111">
        <v>0</v>
      </c>
      <c r="AL165" s="111">
        <v>0</v>
      </c>
      <c r="AM165" s="111">
        <v>0</v>
      </c>
      <c r="AN165" s="111">
        <v>0</v>
      </c>
      <c r="AO165" s="111">
        <v>0</v>
      </c>
      <c r="AP165" s="111">
        <v>0</v>
      </c>
      <c r="AQ165" s="111">
        <v>0</v>
      </c>
      <c r="AR165" s="111">
        <v>0</v>
      </c>
      <c r="AS165" s="111">
        <v>0</v>
      </c>
      <c r="AT165" s="111">
        <v>0</v>
      </c>
      <c r="AU165" s="111">
        <v>0</v>
      </c>
      <c r="AV165" s="111">
        <v>0</v>
      </c>
      <c r="AW165" s="111">
        <v>0</v>
      </c>
      <c r="AX165" s="111">
        <v>0</v>
      </c>
      <c r="AY165" s="111">
        <v>0</v>
      </c>
    </row>
    <row r="166" spans="1:52" x14ac:dyDescent="0.25">
      <c r="A166" s="114"/>
      <c r="B166" s="135">
        <v>45</v>
      </c>
      <c r="C166" s="111"/>
      <c r="D166" s="111">
        <v>0</v>
      </c>
      <c r="E166" s="111">
        <v>0</v>
      </c>
      <c r="F166" s="111">
        <v>0</v>
      </c>
      <c r="G166" s="111">
        <v>0</v>
      </c>
      <c r="H166" s="111">
        <v>0</v>
      </c>
      <c r="I166" s="111">
        <v>0</v>
      </c>
      <c r="J166" s="111">
        <v>0</v>
      </c>
      <c r="K166" s="111">
        <v>0</v>
      </c>
      <c r="L166" s="111">
        <v>0</v>
      </c>
      <c r="M166" s="111">
        <v>0</v>
      </c>
      <c r="N166" s="111">
        <v>0</v>
      </c>
      <c r="O166" s="111">
        <v>0</v>
      </c>
      <c r="P166" s="111">
        <v>0</v>
      </c>
      <c r="Q166" s="111">
        <v>0</v>
      </c>
      <c r="R166" s="111">
        <v>0</v>
      </c>
      <c r="S166" s="111">
        <v>0</v>
      </c>
      <c r="T166" s="111">
        <v>0</v>
      </c>
      <c r="U166" s="111">
        <v>0</v>
      </c>
      <c r="V166" s="111">
        <v>0</v>
      </c>
      <c r="W166" s="111">
        <v>0</v>
      </c>
      <c r="X166" s="111">
        <v>0</v>
      </c>
      <c r="Y166" s="111">
        <v>0</v>
      </c>
      <c r="Z166" s="111">
        <v>0</v>
      </c>
      <c r="AA166" s="111">
        <v>0</v>
      </c>
      <c r="AB166" s="111">
        <v>0</v>
      </c>
      <c r="AC166" s="111">
        <v>0</v>
      </c>
      <c r="AD166" s="111">
        <v>0</v>
      </c>
      <c r="AE166" s="111">
        <v>0</v>
      </c>
      <c r="AF166" s="111">
        <v>0</v>
      </c>
      <c r="AG166" s="111">
        <v>0</v>
      </c>
      <c r="AH166" s="111">
        <v>0</v>
      </c>
      <c r="AI166" s="111">
        <v>0</v>
      </c>
      <c r="AJ166" s="111">
        <v>0</v>
      </c>
      <c r="AK166" s="111">
        <v>0</v>
      </c>
      <c r="AL166" s="111">
        <v>0</v>
      </c>
      <c r="AM166" s="111">
        <v>0</v>
      </c>
      <c r="AN166" s="111">
        <v>0</v>
      </c>
      <c r="AO166" s="111">
        <v>0</v>
      </c>
      <c r="AP166" s="111">
        <v>0</v>
      </c>
      <c r="AQ166" s="111">
        <v>0</v>
      </c>
      <c r="AR166" s="111">
        <v>0</v>
      </c>
      <c r="AS166" s="111">
        <v>0</v>
      </c>
      <c r="AT166" s="111">
        <v>0</v>
      </c>
      <c r="AU166" s="111">
        <v>0</v>
      </c>
      <c r="AV166" s="111">
        <v>0</v>
      </c>
      <c r="AW166" s="111">
        <v>0</v>
      </c>
      <c r="AX166" s="111">
        <v>0</v>
      </c>
      <c r="AY166" s="111">
        <v>0</v>
      </c>
    </row>
    <row r="167" spans="1:52" x14ac:dyDescent="0.25">
      <c r="A167" s="114"/>
      <c r="B167" s="135">
        <v>46</v>
      </c>
      <c r="C167" s="111"/>
      <c r="D167" s="111">
        <v>0</v>
      </c>
      <c r="E167" s="111">
        <v>0</v>
      </c>
      <c r="F167" s="111">
        <v>0</v>
      </c>
      <c r="G167" s="111">
        <v>0</v>
      </c>
      <c r="H167" s="111">
        <v>0</v>
      </c>
      <c r="I167" s="111">
        <v>0</v>
      </c>
      <c r="J167" s="111">
        <v>0</v>
      </c>
      <c r="K167" s="111">
        <v>0</v>
      </c>
      <c r="L167" s="111">
        <v>0</v>
      </c>
      <c r="M167" s="111">
        <v>0</v>
      </c>
      <c r="N167" s="111">
        <v>0</v>
      </c>
      <c r="O167" s="111">
        <v>0</v>
      </c>
      <c r="P167" s="111">
        <v>0</v>
      </c>
      <c r="Q167" s="111">
        <v>0</v>
      </c>
      <c r="R167" s="111">
        <v>0</v>
      </c>
      <c r="S167" s="111">
        <v>0</v>
      </c>
      <c r="T167" s="111">
        <v>0</v>
      </c>
      <c r="U167" s="111">
        <v>0</v>
      </c>
      <c r="V167" s="111">
        <v>0</v>
      </c>
      <c r="W167" s="111">
        <v>0</v>
      </c>
      <c r="X167" s="111">
        <v>0</v>
      </c>
      <c r="Y167" s="111">
        <v>0</v>
      </c>
      <c r="Z167" s="111">
        <v>0</v>
      </c>
      <c r="AA167" s="111">
        <v>0</v>
      </c>
      <c r="AB167" s="111">
        <v>0</v>
      </c>
      <c r="AC167" s="111">
        <v>0</v>
      </c>
      <c r="AD167" s="111">
        <v>0</v>
      </c>
      <c r="AE167" s="111">
        <v>0</v>
      </c>
      <c r="AF167" s="111">
        <v>0</v>
      </c>
      <c r="AG167" s="111">
        <v>0</v>
      </c>
      <c r="AH167" s="111">
        <v>0</v>
      </c>
      <c r="AI167" s="111">
        <v>0</v>
      </c>
      <c r="AJ167" s="111">
        <v>0</v>
      </c>
      <c r="AK167" s="111">
        <v>0</v>
      </c>
      <c r="AL167" s="111">
        <v>0</v>
      </c>
      <c r="AM167" s="111">
        <v>0</v>
      </c>
      <c r="AN167" s="111">
        <v>0</v>
      </c>
      <c r="AO167" s="111">
        <v>0</v>
      </c>
      <c r="AP167" s="111">
        <v>0</v>
      </c>
      <c r="AQ167" s="111">
        <v>0</v>
      </c>
      <c r="AR167" s="111">
        <v>0</v>
      </c>
      <c r="AS167" s="111">
        <v>0</v>
      </c>
      <c r="AT167" s="111">
        <v>0</v>
      </c>
      <c r="AU167" s="111">
        <v>0</v>
      </c>
      <c r="AV167" s="111">
        <v>0</v>
      </c>
      <c r="AW167" s="111">
        <v>0</v>
      </c>
      <c r="AX167" s="111">
        <v>0</v>
      </c>
      <c r="AY167" s="111">
        <v>0</v>
      </c>
    </row>
    <row r="168" spans="1:52" x14ac:dyDescent="0.25">
      <c r="A168" s="114"/>
      <c r="B168" s="135">
        <v>47</v>
      </c>
      <c r="C168" s="111"/>
      <c r="D168" s="111">
        <v>0</v>
      </c>
      <c r="E168" s="111">
        <v>0</v>
      </c>
      <c r="F168" s="111">
        <v>0</v>
      </c>
      <c r="G168" s="111">
        <v>0</v>
      </c>
      <c r="H168" s="111">
        <v>0</v>
      </c>
      <c r="I168" s="111">
        <v>0</v>
      </c>
      <c r="J168" s="111">
        <v>0</v>
      </c>
      <c r="K168" s="111">
        <v>0</v>
      </c>
      <c r="L168" s="111">
        <v>0</v>
      </c>
      <c r="M168" s="111">
        <v>0</v>
      </c>
      <c r="N168" s="111">
        <v>0</v>
      </c>
      <c r="O168" s="111">
        <v>0</v>
      </c>
      <c r="P168" s="111">
        <v>0</v>
      </c>
      <c r="Q168" s="111">
        <v>0</v>
      </c>
      <c r="R168" s="111">
        <v>0</v>
      </c>
      <c r="S168" s="111">
        <v>0</v>
      </c>
      <c r="T168" s="111">
        <v>0</v>
      </c>
      <c r="U168" s="111">
        <v>0</v>
      </c>
      <c r="V168" s="111">
        <v>0</v>
      </c>
      <c r="W168" s="111">
        <v>0</v>
      </c>
      <c r="X168" s="111">
        <v>0</v>
      </c>
      <c r="Y168" s="111">
        <v>0</v>
      </c>
      <c r="Z168" s="111">
        <v>0</v>
      </c>
      <c r="AA168" s="111">
        <v>0</v>
      </c>
      <c r="AB168" s="111">
        <v>0</v>
      </c>
      <c r="AC168" s="111">
        <v>0</v>
      </c>
      <c r="AD168" s="111">
        <v>0</v>
      </c>
      <c r="AE168" s="111">
        <v>0</v>
      </c>
      <c r="AF168" s="111">
        <v>0</v>
      </c>
      <c r="AG168" s="111">
        <v>0</v>
      </c>
      <c r="AH168" s="111">
        <v>0</v>
      </c>
      <c r="AI168" s="111">
        <v>0</v>
      </c>
      <c r="AJ168" s="111">
        <v>0</v>
      </c>
      <c r="AK168" s="111">
        <v>0</v>
      </c>
      <c r="AL168" s="111">
        <v>0</v>
      </c>
      <c r="AM168" s="111">
        <v>0</v>
      </c>
      <c r="AN168" s="111">
        <v>0</v>
      </c>
      <c r="AO168" s="111">
        <v>0</v>
      </c>
      <c r="AP168" s="111">
        <v>0</v>
      </c>
      <c r="AQ168" s="111">
        <v>0</v>
      </c>
      <c r="AR168" s="111">
        <v>0</v>
      </c>
      <c r="AS168" s="111">
        <v>0</v>
      </c>
      <c r="AT168" s="111">
        <v>0</v>
      </c>
      <c r="AU168" s="111">
        <v>0</v>
      </c>
      <c r="AV168" s="111">
        <v>0</v>
      </c>
      <c r="AW168" s="111">
        <v>0</v>
      </c>
      <c r="AX168" s="111">
        <v>0</v>
      </c>
      <c r="AY168" s="111">
        <v>0</v>
      </c>
    </row>
    <row r="169" spans="1:52" x14ac:dyDescent="0.25">
      <c r="A169" s="114"/>
      <c r="B169" s="135">
        <v>48</v>
      </c>
      <c r="C169" s="111"/>
      <c r="D169" s="111">
        <v>0</v>
      </c>
      <c r="E169" s="111">
        <v>0</v>
      </c>
      <c r="F169" s="111">
        <v>0</v>
      </c>
      <c r="G169" s="111">
        <v>0</v>
      </c>
      <c r="H169" s="111">
        <v>0</v>
      </c>
      <c r="I169" s="111">
        <v>0</v>
      </c>
      <c r="J169" s="111">
        <v>0</v>
      </c>
      <c r="K169" s="111">
        <v>0</v>
      </c>
      <c r="L169" s="111">
        <v>0</v>
      </c>
      <c r="M169" s="111">
        <v>0</v>
      </c>
      <c r="N169" s="111">
        <v>0</v>
      </c>
      <c r="O169" s="111">
        <v>0</v>
      </c>
      <c r="P169" s="111">
        <v>0</v>
      </c>
      <c r="Q169" s="111">
        <v>0</v>
      </c>
      <c r="R169" s="111">
        <v>0</v>
      </c>
      <c r="S169" s="111">
        <v>0</v>
      </c>
      <c r="T169" s="111">
        <v>0</v>
      </c>
      <c r="U169" s="111">
        <v>0</v>
      </c>
      <c r="V169" s="111">
        <v>0</v>
      </c>
      <c r="W169" s="111">
        <v>0</v>
      </c>
      <c r="X169" s="111">
        <v>0</v>
      </c>
      <c r="Y169" s="111">
        <v>0</v>
      </c>
      <c r="Z169" s="111">
        <v>0</v>
      </c>
      <c r="AA169" s="111">
        <v>0</v>
      </c>
      <c r="AB169" s="111">
        <v>0</v>
      </c>
      <c r="AC169" s="111">
        <v>0</v>
      </c>
      <c r="AD169" s="111">
        <v>0</v>
      </c>
      <c r="AE169" s="111">
        <v>0</v>
      </c>
      <c r="AF169" s="111">
        <v>0</v>
      </c>
      <c r="AG169" s="111">
        <v>0</v>
      </c>
      <c r="AH169" s="111">
        <v>0</v>
      </c>
      <c r="AI169" s="111">
        <v>0</v>
      </c>
      <c r="AJ169" s="111">
        <v>0</v>
      </c>
      <c r="AK169" s="111">
        <v>0</v>
      </c>
      <c r="AL169" s="111">
        <v>0</v>
      </c>
      <c r="AM169" s="111">
        <v>0</v>
      </c>
      <c r="AN169" s="111">
        <v>0</v>
      </c>
      <c r="AO169" s="111">
        <v>0</v>
      </c>
      <c r="AP169" s="111">
        <v>0</v>
      </c>
      <c r="AQ169" s="111">
        <v>0</v>
      </c>
      <c r="AR169" s="111">
        <v>0</v>
      </c>
      <c r="AS169" s="111">
        <v>0</v>
      </c>
      <c r="AT169" s="111">
        <v>0</v>
      </c>
      <c r="AU169" s="111">
        <v>0</v>
      </c>
      <c r="AV169" s="111">
        <v>0</v>
      </c>
      <c r="AW169" s="111">
        <v>0</v>
      </c>
      <c r="AX169" s="111">
        <v>0</v>
      </c>
      <c r="AY169" s="111">
        <v>0</v>
      </c>
    </row>
    <row r="170" spans="1:52" x14ac:dyDescent="0.25">
      <c r="A170" s="133"/>
      <c r="B170" s="137" t="s">
        <v>295</v>
      </c>
      <c r="C170" s="119"/>
      <c r="D170" s="130">
        <v>0</v>
      </c>
      <c r="E170" s="130">
        <v>0</v>
      </c>
      <c r="F170" s="130">
        <v>0</v>
      </c>
      <c r="G170" s="130">
        <v>0</v>
      </c>
      <c r="H170" s="130">
        <v>0</v>
      </c>
      <c r="I170" s="130">
        <v>0</v>
      </c>
      <c r="J170" s="130">
        <v>0</v>
      </c>
      <c r="K170" s="130">
        <v>0</v>
      </c>
      <c r="L170" s="130">
        <v>0</v>
      </c>
      <c r="M170" s="130">
        <v>0</v>
      </c>
      <c r="N170" s="130">
        <v>0</v>
      </c>
      <c r="O170" s="130">
        <v>0</v>
      </c>
      <c r="P170" s="130">
        <v>0</v>
      </c>
      <c r="Q170" s="130">
        <v>0</v>
      </c>
      <c r="R170" s="130">
        <v>0</v>
      </c>
      <c r="S170" s="130">
        <v>0</v>
      </c>
      <c r="T170" s="130">
        <v>0</v>
      </c>
      <c r="U170" s="130">
        <v>0</v>
      </c>
      <c r="V170" s="130">
        <v>0</v>
      </c>
      <c r="W170" s="130">
        <v>0</v>
      </c>
      <c r="X170" s="130">
        <v>0</v>
      </c>
      <c r="Y170" s="130">
        <v>0</v>
      </c>
      <c r="Z170" s="130">
        <v>0</v>
      </c>
      <c r="AA170" s="130">
        <v>0</v>
      </c>
      <c r="AB170" s="130">
        <v>0</v>
      </c>
      <c r="AC170" s="130">
        <v>0</v>
      </c>
      <c r="AD170" s="130">
        <v>0</v>
      </c>
      <c r="AE170" s="130">
        <v>0</v>
      </c>
      <c r="AF170" s="130">
        <v>0</v>
      </c>
      <c r="AG170" s="130">
        <v>0</v>
      </c>
      <c r="AH170" s="130">
        <v>0</v>
      </c>
      <c r="AI170" s="130">
        <v>0</v>
      </c>
      <c r="AJ170" s="130">
        <v>0</v>
      </c>
      <c r="AK170" s="130">
        <v>0</v>
      </c>
      <c r="AL170" s="130">
        <v>0</v>
      </c>
      <c r="AM170" s="130">
        <v>0</v>
      </c>
      <c r="AN170" s="130">
        <v>0</v>
      </c>
      <c r="AO170" s="130">
        <v>0</v>
      </c>
      <c r="AP170" s="130">
        <v>0</v>
      </c>
      <c r="AQ170" s="130">
        <v>0</v>
      </c>
      <c r="AR170" s="130">
        <v>0</v>
      </c>
      <c r="AS170" s="130">
        <v>0</v>
      </c>
      <c r="AT170" s="130">
        <v>0</v>
      </c>
      <c r="AU170" s="130">
        <v>0</v>
      </c>
      <c r="AV170" s="130">
        <v>0</v>
      </c>
      <c r="AW170" s="130">
        <v>0</v>
      </c>
      <c r="AX170" s="130">
        <v>0</v>
      </c>
      <c r="AY170" s="130">
        <v>0</v>
      </c>
      <c r="AZ170" s="112">
        <f>SUM($D170:$AY170)</f>
        <v>0</v>
      </c>
    </row>
    <row r="172" spans="1:52" x14ac:dyDescent="0.25">
      <c r="A172" s="107" t="s">
        <v>124</v>
      </c>
      <c r="B172" s="138" t="s">
        <v>296</v>
      </c>
      <c r="C172" s="139"/>
      <c r="D172" s="139">
        <v>0.35</v>
      </c>
      <c r="E172" s="139">
        <v>0.35</v>
      </c>
      <c r="F172" s="139">
        <v>0.35</v>
      </c>
      <c r="G172" s="139">
        <v>0.35</v>
      </c>
      <c r="H172" s="139">
        <v>0.35</v>
      </c>
      <c r="I172" s="139">
        <v>0.35</v>
      </c>
      <c r="J172" s="139">
        <v>0.35</v>
      </c>
      <c r="K172" s="139">
        <v>0.35</v>
      </c>
      <c r="L172" s="139">
        <v>0.35</v>
      </c>
      <c r="M172" s="139">
        <v>0.35</v>
      </c>
      <c r="N172" s="139">
        <v>0.35</v>
      </c>
      <c r="O172" s="139">
        <v>0.35</v>
      </c>
      <c r="P172" s="139">
        <v>0.35</v>
      </c>
      <c r="Q172" s="139">
        <v>0.35</v>
      </c>
      <c r="R172" s="139">
        <v>0.35</v>
      </c>
      <c r="S172" s="139">
        <v>0.35</v>
      </c>
      <c r="T172" s="139">
        <v>0.35</v>
      </c>
      <c r="U172" s="139">
        <v>0.35</v>
      </c>
      <c r="V172" s="139">
        <v>0.35</v>
      </c>
      <c r="W172" s="139">
        <v>0.35</v>
      </c>
      <c r="X172" s="139">
        <v>0.35</v>
      </c>
      <c r="Y172" s="139">
        <v>0.35</v>
      </c>
      <c r="Z172" s="139">
        <v>0.35</v>
      </c>
      <c r="AA172" s="139">
        <v>0.35</v>
      </c>
      <c r="AB172" s="139">
        <v>0.35</v>
      </c>
      <c r="AC172" s="139">
        <v>0.35</v>
      </c>
      <c r="AD172" s="139">
        <v>0.35</v>
      </c>
      <c r="AE172" s="139">
        <v>0.35</v>
      </c>
      <c r="AF172" s="139">
        <v>0.35</v>
      </c>
      <c r="AG172" s="139">
        <v>0.35</v>
      </c>
      <c r="AH172" s="139">
        <v>0.35</v>
      </c>
      <c r="AI172" s="139">
        <v>0.35</v>
      </c>
      <c r="AJ172" s="139">
        <v>0.35</v>
      </c>
      <c r="AK172" s="139">
        <v>0.35</v>
      </c>
      <c r="AL172" s="139">
        <v>0.35</v>
      </c>
      <c r="AM172" s="139">
        <v>0.35</v>
      </c>
      <c r="AN172" s="139">
        <v>0.35</v>
      </c>
      <c r="AO172" s="139">
        <v>0.35</v>
      </c>
      <c r="AP172" s="139">
        <v>0.35</v>
      </c>
      <c r="AQ172" s="139">
        <v>0.35</v>
      </c>
      <c r="AR172" s="139">
        <v>0.35</v>
      </c>
      <c r="AS172" s="139">
        <v>0.35</v>
      </c>
      <c r="AT172" s="139">
        <v>0.35</v>
      </c>
      <c r="AU172" s="139">
        <v>0.35</v>
      </c>
      <c r="AV172" s="139">
        <v>0.35</v>
      </c>
      <c r="AW172" s="139">
        <v>0.35</v>
      </c>
      <c r="AX172" s="139">
        <v>0.35</v>
      </c>
      <c r="AY172" s="139">
        <v>0.35</v>
      </c>
    </row>
    <row r="174" spans="1:52" x14ac:dyDescent="0.25">
      <c r="A174" s="107" t="s">
        <v>271</v>
      </c>
    </row>
    <row r="175" spans="1:52" x14ac:dyDescent="0.25">
      <c r="A175" s="140" t="s">
        <v>125</v>
      </c>
      <c r="B175" s="140" t="s">
        <v>297</v>
      </c>
      <c r="C175" s="129" t="s">
        <v>292</v>
      </c>
      <c r="D175" s="129">
        <f t="shared" ref="D175:AY175" si="1">SUM(D95:D98)</f>
        <v>0</v>
      </c>
      <c r="E175" s="129">
        <f t="shared" si="1"/>
        <v>0</v>
      </c>
      <c r="F175" s="129">
        <f t="shared" si="1"/>
        <v>0</v>
      </c>
      <c r="G175" s="129">
        <f t="shared" si="1"/>
        <v>0</v>
      </c>
      <c r="H175" s="129">
        <f t="shared" si="1"/>
        <v>0</v>
      </c>
      <c r="I175" s="129">
        <f t="shared" si="1"/>
        <v>0</v>
      </c>
      <c r="J175" s="129">
        <f t="shared" si="1"/>
        <v>0</v>
      </c>
      <c r="K175" s="129">
        <f t="shared" si="1"/>
        <v>0</v>
      </c>
      <c r="L175" s="129">
        <f t="shared" si="1"/>
        <v>0</v>
      </c>
      <c r="M175" s="129">
        <f t="shared" si="1"/>
        <v>0</v>
      </c>
      <c r="N175" s="129">
        <f t="shared" si="1"/>
        <v>0</v>
      </c>
      <c r="O175" s="129">
        <f t="shared" si="1"/>
        <v>0</v>
      </c>
      <c r="P175" s="129">
        <f t="shared" si="1"/>
        <v>0</v>
      </c>
      <c r="Q175" s="129">
        <f t="shared" si="1"/>
        <v>0</v>
      </c>
      <c r="R175" s="129">
        <f t="shared" si="1"/>
        <v>0</v>
      </c>
      <c r="S175" s="129">
        <f t="shared" si="1"/>
        <v>0</v>
      </c>
      <c r="T175" s="129">
        <f t="shared" si="1"/>
        <v>0</v>
      </c>
      <c r="U175" s="129">
        <f t="shared" si="1"/>
        <v>0</v>
      </c>
      <c r="V175" s="129">
        <f t="shared" si="1"/>
        <v>0</v>
      </c>
      <c r="W175" s="129">
        <f t="shared" si="1"/>
        <v>0</v>
      </c>
      <c r="X175" s="129">
        <f t="shared" si="1"/>
        <v>0</v>
      </c>
      <c r="Y175" s="129">
        <f t="shared" si="1"/>
        <v>0</v>
      </c>
      <c r="Z175" s="129">
        <f t="shared" si="1"/>
        <v>0</v>
      </c>
      <c r="AA175" s="129">
        <f t="shared" si="1"/>
        <v>0</v>
      </c>
      <c r="AB175" s="129">
        <f t="shared" si="1"/>
        <v>0</v>
      </c>
      <c r="AC175" s="129">
        <f t="shared" si="1"/>
        <v>0</v>
      </c>
      <c r="AD175" s="129">
        <f t="shared" si="1"/>
        <v>0</v>
      </c>
      <c r="AE175" s="129">
        <f t="shared" si="1"/>
        <v>0</v>
      </c>
      <c r="AF175" s="129">
        <f t="shared" si="1"/>
        <v>0</v>
      </c>
      <c r="AG175" s="129">
        <f t="shared" si="1"/>
        <v>0</v>
      </c>
      <c r="AH175" s="129">
        <f t="shared" si="1"/>
        <v>0</v>
      </c>
      <c r="AI175" s="129">
        <f t="shared" si="1"/>
        <v>0</v>
      </c>
      <c r="AJ175" s="129">
        <f t="shared" si="1"/>
        <v>0</v>
      </c>
      <c r="AK175" s="129">
        <f t="shared" si="1"/>
        <v>0</v>
      </c>
      <c r="AL175" s="129">
        <f t="shared" si="1"/>
        <v>0</v>
      </c>
      <c r="AM175" s="129">
        <f t="shared" si="1"/>
        <v>0</v>
      </c>
      <c r="AN175" s="129">
        <f t="shared" si="1"/>
        <v>0</v>
      </c>
      <c r="AO175" s="129">
        <f t="shared" si="1"/>
        <v>0</v>
      </c>
      <c r="AP175" s="129">
        <f t="shared" si="1"/>
        <v>0</v>
      </c>
      <c r="AQ175" s="129">
        <f t="shared" si="1"/>
        <v>0</v>
      </c>
      <c r="AR175" s="129">
        <f t="shared" si="1"/>
        <v>0</v>
      </c>
      <c r="AS175" s="129">
        <f t="shared" si="1"/>
        <v>0</v>
      </c>
      <c r="AT175" s="129">
        <f t="shared" si="1"/>
        <v>0</v>
      </c>
      <c r="AU175" s="129">
        <f t="shared" si="1"/>
        <v>0</v>
      </c>
      <c r="AV175" s="129">
        <f t="shared" si="1"/>
        <v>0</v>
      </c>
      <c r="AW175" s="129">
        <f t="shared" si="1"/>
        <v>0</v>
      </c>
      <c r="AX175" s="129">
        <f t="shared" si="1"/>
        <v>0</v>
      </c>
      <c r="AY175" s="129">
        <f t="shared" si="1"/>
        <v>0</v>
      </c>
    </row>
    <row r="176" spans="1:52" x14ac:dyDescent="0.25">
      <c r="A176" s="130"/>
      <c r="B176" s="141" t="s">
        <v>298</v>
      </c>
      <c r="C176" s="130" t="s">
        <v>292</v>
      </c>
      <c r="D176" s="130">
        <v>0</v>
      </c>
      <c r="E176" s="130">
        <v>0</v>
      </c>
      <c r="F176" s="130">
        <v>0</v>
      </c>
      <c r="G176" s="130">
        <v>0</v>
      </c>
      <c r="H176" s="130">
        <v>0</v>
      </c>
      <c r="I176" s="130">
        <v>0</v>
      </c>
      <c r="J176" s="130">
        <v>0</v>
      </c>
      <c r="K176" s="130">
        <v>0</v>
      </c>
      <c r="L176" s="130">
        <v>0</v>
      </c>
      <c r="M176" s="130">
        <v>0</v>
      </c>
      <c r="N176" s="130">
        <v>0</v>
      </c>
      <c r="O176" s="130">
        <v>0</v>
      </c>
      <c r="P176" s="130">
        <v>0</v>
      </c>
      <c r="Q176" s="130">
        <v>0</v>
      </c>
      <c r="R176" s="130">
        <v>0</v>
      </c>
      <c r="S176" s="130">
        <v>0</v>
      </c>
      <c r="T176" s="130">
        <v>0</v>
      </c>
      <c r="U176" s="130">
        <v>0</v>
      </c>
      <c r="V176" s="130">
        <v>0</v>
      </c>
      <c r="W176" s="130">
        <v>0</v>
      </c>
      <c r="X176" s="130">
        <v>0</v>
      </c>
      <c r="Y176" s="130">
        <v>0</v>
      </c>
      <c r="Z176" s="130">
        <v>0</v>
      </c>
      <c r="AA176" s="130">
        <v>0</v>
      </c>
      <c r="AB176" s="130">
        <v>0</v>
      </c>
      <c r="AC176" s="130">
        <v>0</v>
      </c>
      <c r="AD176" s="130">
        <v>0</v>
      </c>
      <c r="AE176" s="130">
        <v>0</v>
      </c>
      <c r="AF176" s="130">
        <v>0</v>
      </c>
      <c r="AG176" s="130">
        <v>0</v>
      </c>
      <c r="AH176" s="130">
        <v>0</v>
      </c>
      <c r="AI176" s="130">
        <v>0</v>
      </c>
      <c r="AJ176" s="130">
        <v>0</v>
      </c>
      <c r="AK176" s="130">
        <v>0</v>
      </c>
      <c r="AL176" s="130">
        <v>0</v>
      </c>
      <c r="AM176" s="130">
        <v>0</v>
      </c>
      <c r="AN176" s="130">
        <v>0</v>
      </c>
      <c r="AO176" s="130">
        <v>0</v>
      </c>
      <c r="AP176" s="130">
        <v>0</v>
      </c>
      <c r="AQ176" s="130">
        <v>0</v>
      </c>
      <c r="AR176" s="130">
        <v>0</v>
      </c>
      <c r="AS176" s="130">
        <v>0</v>
      </c>
      <c r="AT176" s="130">
        <v>0</v>
      </c>
      <c r="AU176" s="130">
        <v>0</v>
      </c>
      <c r="AV176" s="130">
        <v>0</v>
      </c>
      <c r="AW176" s="130">
        <v>0</v>
      </c>
      <c r="AX176" s="130">
        <v>0</v>
      </c>
      <c r="AY176" s="130">
        <v>0</v>
      </c>
    </row>
    <row r="177" spans="1:51" x14ac:dyDescent="0.25">
      <c r="A177" s="140" t="s">
        <v>133</v>
      </c>
      <c r="B177" s="140" t="s">
        <v>297</v>
      </c>
      <c r="C177" s="129" t="s">
        <v>292</v>
      </c>
      <c r="D177" s="129">
        <f t="shared" ref="D177:AY177" si="2">SUM(D100:D107)</f>
        <v>0</v>
      </c>
      <c r="E177" s="129">
        <f t="shared" si="2"/>
        <v>0</v>
      </c>
      <c r="F177" s="129">
        <f t="shared" si="2"/>
        <v>1247.0625</v>
      </c>
      <c r="G177" s="129">
        <f t="shared" si="2"/>
        <v>965.75041041275801</v>
      </c>
      <c r="H177" s="129">
        <f t="shared" si="2"/>
        <v>2897.2191604127579</v>
      </c>
      <c r="I177" s="129">
        <f t="shared" si="2"/>
        <v>2632.21875</v>
      </c>
      <c r="J177" s="129">
        <f t="shared" si="2"/>
        <v>3032.4265947467165</v>
      </c>
      <c r="K177" s="129">
        <f t="shared" si="2"/>
        <v>5276.7816604127584</v>
      </c>
      <c r="L177" s="129">
        <f t="shared" si="2"/>
        <v>6062.4620661350846</v>
      </c>
      <c r="M177" s="129">
        <f t="shared" si="2"/>
        <v>6718.8754104127584</v>
      </c>
      <c r="N177" s="129">
        <f t="shared" si="2"/>
        <v>7551.5554057223262</v>
      </c>
      <c r="O177" s="129">
        <f t="shared" si="2"/>
        <v>8100.0004104127584</v>
      </c>
      <c r="P177" s="129">
        <f t="shared" si="2"/>
        <v>8897.0941604127584</v>
      </c>
      <c r="Q177" s="129">
        <f t="shared" si="2"/>
        <v>9471.1254104127584</v>
      </c>
      <c r="R177" s="129">
        <f t="shared" si="2"/>
        <v>9541.2632504690428</v>
      </c>
      <c r="S177" s="129">
        <f t="shared" si="2"/>
        <v>9886.5316604127584</v>
      </c>
      <c r="T177" s="129">
        <f t="shared" si="2"/>
        <v>9878.1495661350855</v>
      </c>
      <c r="U177" s="129">
        <f t="shared" si="2"/>
        <v>9878.1495661350855</v>
      </c>
      <c r="V177" s="129">
        <f t="shared" si="2"/>
        <v>9968.1179057223271</v>
      </c>
      <c r="W177" s="129">
        <f t="shared" si="2"/>
        <v>9878.1495661350855</v>
      </c>
      <c r="X177" s="129">
        <f t="shared" si="2"/>
        <v>9451.2949108818011</v>
      </c>
      <c r="Y177" s="129">
        <f t="shared" si="2"/>
        <v>8868.7433161350855</v>
      </c>
      <c r="Z177" s="129">
        <f t="shared" si="2"/>
        <v>9886.5316604127584</v>
      </c>
      <c r="AA177" s="129">
        <f t="shared" si="2"/>
        <v>8780.0941604127584</v>
      </c>
      <c r="AB177" s="129">
        <f t="shared" si="2"/>
        <v>9878.1495661350855</v>
      </c>
      <c r="AC177" s="129">
        <f t="shared" si="2"/>
        <v>9886.5316604127584</v>
      </c>
      <c r="AD177" s="129">
        <f t="shared" si="2"/>
        <v>9976.5</v>
      </c>
      <c r="AE177" s="129">
        <f t="shared" si="2"/>
        <v>9719.5629104127584</v>
      </c>
      <c r="AF177" s="129">
        <f t="shared" si="2"/>
        <v>9976.5</v>
      </c>
      <c r="AG177" s="129">
        <f t="shared" si="2"/>
        <v>9525.5941604127584</v>
      </c>
      <c r="AH177" s="129">
        <f t="shared" si="2"/>
        <v>8596.7703447467175</v>
      </c>
      <c r="AI177" s="129">
        <f t="shared" si="2"/>
        <v>8175.6879104127584</v>
      </c>
      <c r="AJ177" s="129">
        <f t="shared" si="2"/>
        <v>8078.3679057223262</v>
      </c>
      <c r="AK177" s="129">
        <f t="shared" si="2"/>
        <v>6094.4379104127584</v>
      </c>
      <c r="AL177" s="129">
        <f t="shared" si="2"/>
        <v>4571.2636608818011</v>
      </c>
      <c r="AM177" s="129">
        <f t="shared" si="2"/>
        <v>4046.5629104127579</v>
      </c>
      <c r="AN177" s="129">
        <f t="shared" si="2"/>
        <v>3002.3570004690428</v>
      </c>
      <c r="AO177" s="129">
        <f t="shared" si="2"/>
        <v>156.07000469043177</v>
      </c>
      <c r="AP177" s="129">
        <f t="shared" si="2"/>
        <v>1666.8542448405256</v>
      </c>
      <c r="AQ177" s="129">
        <f t="shared" si="2"/>
        <v>1157.0941604127579</v>
      </c>
      <c r="AR177" s="129">
        <f t="shared" si="2"/>
        <v>97.03125</v>
      </c>
      <c r="AS177" s="129">
        <f t="shared" si="2"/>
        <v>813.14493433395853</v>
      </c>
      <c r="AT177" s="129">
        <f t="shared" si="2"/>
        <v>574.54256566604147</v>
      </c>
      <c r="AU177" s="129">
        <f t="shared" si="2"/>
        <v>2249.4058395872421</v>
      </c>
      <c r="AV177" s="129">
        <f t="shared" si="2"/>
        <v>1254.1254104127579</v>
      </c>
      <c r="AW177" s="129">
        <f t="shared" si="2"/>
        <v>820.20784474671655</v>
      </c>
      <c r="AX177" s="129">
        <f t="shared" si="2"/>
        <v>147.68791041275799</v>
      </c>
      <c r="AY177" s="129">
        <f t="shared" si="2"/>
        <v>657.44799484052544</v>
      </c>
    </row>
    <row r="178" spans="1:51" x14ac:dyDescent="0.25">
      <c r="A178" s="130"/>
      <c r="B178" s="141" t="s">
        <v>298</v>
      </c>
      <c r="C178" s="130" t="s">
        <v>292</v>
      </c>
      <c r="D178" s="130">
        <v>0</v>
      </c>
      <c r="E178" s="130">
        <v>0</v>
      </c>
      <c r="F178" s="130">
        <v>429</v>
      </c>
      <c r="G178" s="130">
        <v>325</v>
      </c>
      <c r="H178" s="130">
        <v>452</v>
      </c>
      <c r="I178" s="130">
        <v>420</v>
      </c>
      <c r="J178" s="130">
        <v>349</v>
      </c>
      <c r="K178" s="130">
        <v>453</v>
      </c>
      <c r="L178" s="130">
        <v>502</v>
      </c>
      <c r="M178" s="130">
        <v>593</v>
      </c>
      <c r="N178" s="130">
        <v>520</v>
      </c>
      <c r="O178" s="130">
        <v>547</v>
      </c>
      <c r="P178" s="130">
        <v>576</v>
      </c>
      <c r="Q178" s="130">
        <v>641</v>
      </c>
      <c r="R178" s="130">
        <v>582</v>
      </c>
      <c r="S178" s="130">
        <v>716</v>
      </c>
      <c r="T178" s="130">
        <v>764</v>
      </c>
      <c r="U178" s="130">
        <v>792</v>
      </c>
      <c r="V178" s="130">
        <v>770</v>
      </c>
      <c r="W178" s="130">
        <v>891</v>
      </c>
      <c r="X178" s="130">
        <v>1008</v>
      </c>
      <c r="Y178" s="130">
        <v>875</v>
      </c>
      <c r="Z178" s="130">
        <v>847</v>
      </c>
      <c r="AA178" s="130">
        <v>979</v>
      </c>
      <c r="AB178" s="130">
        <v>1208</v>
      </c>
      <c r="AC178" s="130">
        <v>1122</v>
      </c>
      <c r="AD178" s="130">
        <v>1317</v>
      </c>
      <c r="AE178" s="130">
        <v>1083</v>
      </c>
      <c r="AF178" s="130">
        <v>1608</v>
      </c>
      <c r="AG178" s="130">
        <v>1839</v>
      </c>
      <c r="AH178" s="130">
        <v>1908</v>
      </c>
      <c r="AI178" s="130">
        <v>1523</v>
      </c>
      <c r="AJ178" s="130">
        <v>2140</v>
      </c>
      <c r="AK178" s="130">
        <v>2335</v>
      </c>
      <c r="AL178" s="130">
        <v>2207</v>
      </c>
      <c r="AM178" s="130">
        <v>1946</v>
      </c>
      <c r="AN178" s="130">
        <v>3002.3570004690428</v>
      </c>
      <c r="AO178" s="130">
        <v>156.07000469043177</v>
      </c>
      <c r="AP178" s="130">
        <v>1666.8542448405256</v>
      </c>
      <c r="AQ178" s="130">
        <v>1157.0941604127579</v>
      </c>
      <c r="AR178" s="130">
        <v>97.03125</v>
      </c>
      <c r="AS178" s="130">
        <v>813.14493433395853</v>
      </c>
      <c r="AT178" s="130">
        <v>574.54256566604147</v>
      </c>
      <c r="AU178" s="130">
        <v>2249.4058395872421</v>
      </c>
      <c r="AV178" s="130">
        <v>1254.1254104127579</v>
      </c>
      <c r="AW178" s="130">
        <v>820.20784474671655</v>
      </c>
      <c r="AX178" s="130">
        <v>147.68791041275799</v>
      </c>
      <c r="AY178" s="130">
        <v>657.44799484052544</v>
      </c>
    </row>
    <row r="179" spans="1:51" x14ac:dyDescent="0.25">
      <c r="A179" s="140" t="s">
        <v>134</v>
      </c>
      <c r="B179" s="140" t="s">
        <v>297</v>
      </c>
      <c r="C179" s="129" t="s">
        <v>292</v>
      </c>
      <c r="D179" s="129">
        <f t="shared" ref="D179:AY179" si="3">SUM(D109:D120)</f>
        <v>0</v>
      </c>
      <c r="E179" s="129">
        <f t="shared" si="3"/>
        <v>0</v>
      </c>
      <c r="F179" s="129">
        <f t="shared" si="3"/>
        <v>0</v>
      </c>
      <c r="G179" s="129">
        <f t="shared" si="3"/>
        <v>597.48150000000021</v>
      </c>
      <c r="H179" s="129">
        <f t="shared" si="3"/>
        <v>732.65339385553511</v>
      </c>
      <c r="I179" s="129">
        <f t="shared" si="3"/>
        <v>1660.664374861633</v>
      </c>
      <c r="J179" s="129">
        <f t="shared" si="3"/>
        <v>2093.4650936600619</v>
      </c>
      <c r="K179" s="129">
        <f t="shared" si="3"/>
        <v>2587.1062527176905</v>
      </c>
      <c r="L179" s="129">
        <f t="shared" si="3"/>
        <v>3875.7782331220342</v>
      </c>
      <c r="M179" s="129">
        <f t="shared" si="3"/>
        <v>5056.3805658820438</v>
      </c>
      <c r="N179" s="129">
        <f t="shared" si="3"/>
        <v>6113.7807866788644</v>
      </c>
      <c r="O179" s="129">
        <f t="shared" si="3"/>
        <v>7287.8500568384488</v>
      </c>
      <c r="P179" s="129">
        <f t="shared" si="3"/>
        <v>8230.198955800528</v>
      </c>
      <c r="Q179" s="129">
        <f t="shared" si="3"/>
        <v>9134.8959901258786</v>
      </c>
      <c r="R179" s="129">
        <f t="shared" si="3"/>
        <v>10060.541812437357</v>
      </c>
      <c r="S179" s="129">
        <f t="shared" si="3"/>
        <v>10857.159915420118</v>
      </c>
      <c r="T179" s="129">
        <f t="shared" si="3"/>
        <v>11797.565113878616</v>
      </c>
      <c r="U179" s="129">
        <f t="shared" si="3"/>
        <v>12419.644038373825</v>
      </c>
      <c r="V179" s="129">
        <f t="shared" si="3"/>
        <v>13162.576839295709</v>
      </c>
      <c r="W179" s="129">
        <f t="shared" si="3"/>
        <v>13842.919491039398</v>
      </c>
      <c r="X179" s="129">
        <f t="shared" si="3"/>
        <v>14529.818883528331</v>
      </c>
      <c r="Y179" s="129">
        <f t="shared" si="3"/>
        <v>14761.574180484788</v>
      </c>
      <c r="Z179" s="129">
        <f t="shared" si="3"/>
        <v>14863.089681667838</v>
      </c>
      <c r="AA179" s="129">
        <f t="shared" si="3"/>
        <v>15487.93996193963</v>
      </c>
      <c r="AB179" s="129">
        <f t="shared" si="3"/>
        <v>14901.668688315771</v>
      </c>
      <c r="AC179" s="129">
        <f t="shared" si="3"/>
        <v>14862.796692902439</v>
      </c>
      <c r="AD179" s="129">
        <f t="shared" si="3"/>
        <v>14793.534600386587</v>
      </c>
      <c r="AE179" s="129">
        <f t="shared" si="3"/>
        <v>14792.952252915449</v>
      </c>
      <c r="AF179" s="129">
        <f t="shared" si="3"/>
        <v>14418.558214395041</v>
      </c>
      <c r="AG179" s="129">
        <f t="shared" si="3"/>
        <v>14153.311625004062</v>
      </c>
      <c r="AH179" s="129">
        <f t="shared" si="3"/>
        <v>13623.97931167734</v>
      </c>
      <c r="AI179" s="129">
        <f t="shared" si="3"/>
        <v>12949.888830998087</v>
      </c>
      <c r="AJ179" s="129">
        <f t="shared" si="3"/>
        <v>12255.77874557346</v>
      </c>
      <c r="AK179" s="129">
        <f t="shared" si="3"/>
        <v>11736.966316689102</v>
      </c>
      <c r="AL179" s="129">
        <f t="shared" si="3"/>
        <v>9997.5631112726169</v>
      </c>
      <c r="AM179" s="129">
        <f t="shared" si="3"/>
        <v>8432.5178486084533</v>
      </c>
      <c r="AN179" s="129">
        <f t="shared" si="3"/>
        <v>7506.5261112726175</v>
      </c>
      <c r="AO179" s="129">
        <f t="shared" si="3"/>
        <v>5369.9910504846257</v>
      </c>
      <c r="AP179" s="129">
        <f t="shared" si="3"/>
        <v>2377.7659238429751</v>
      </c>
      <c r="AQ179" s="129">
        <f t="shared" si="3"/>
        <v>798.6083893058161</v>
      </c>
      <c r="AR179" s="129">
        <f t="shared" si="3"/>
        <v>554.37666885553483</v>
      </c>
      <c r="AS179" s="129">
        <f t="shared" si="3"/>
        <v>46.488750000000003</v>
      </c>
      <c r="AT179" s="129">
        <f t="shared" si="3"/>
        <v>389.58677298311471</v>
      </c>
      <c r="AU179" s="129">
        <f t="shared" si="3"/>
        <v>275.26972701688544</v>
      </c>
      <c r="AV179" s="129">
        <f t="shared" si="3"/>
        <v>1077.7153311444654</v>
      </c>
      <c r="AW179" s="129">
        <f t="shared" si="3"/>
        <v>600.86541885553481</v>
      </c>
      <c r="AX179" s="129">
        <f t="shared" si="3"/>
        <v>392.97069183864954</v>
      </c>
      <c r="AY179" s="129">
        <f t="shared" si="3"/>
        <v>70.758918855534716</v>
      </c>
    </row>
    <row r="180" spans="1:51" x14ac:dyDescent="0.25">
      <c r="A180" s="130"/>
      <c r="B180" s="141" t="s">
        <v>298</v>
      </c>
      <c r="C180" s="130" t="s">
        <v>292</v>
      </c>
      <c r="D180" s="130">
        <v>0</v>
      </c>
      <c r="E180" s="130">
        <v>0</v>
      </c>
      <c r="F180" s="130">
        <v>0</v>
      </c>
      <c r="G180" s="130">
        <v>241</v>
      </c>
      <c r="H180" s="130">
        <v>322</v>
      </c>
      <c r="I180" s="130">
        <v>372</v>
      </c>
      <c r="J180" s="130">
        <v>322</v>
      </c>
      <c r="K180" s="130">
        <v>386</v>
      </c>
      <c r="L180" s="130">
        <v>416</v>
      </c>
      <c r="M180" s="130">
        <v>422</v>
      </c>
      <c r="N180" s="130">
        <v>353</v>
      </c>
      <c r="O180" s="130">
        <v>468</v>
      </c>
      <c r="P180" s="130">
        <v>544</v>
      </c>
      <c r="Q180" s="130">
        <v>441</v>
      </c>
      <c r="R180" s="130">
        <v>425</v>
      </c>
      <c r="S180" s="130">
        <v>479</v>
      </c>
      <c r="T180" s="130">
        <v>768</v>
      </c>
      <c r="U180" s="130">
        <v>602</v>
      </c>
      <c r="V180" s="130">
        <v>664</v>
      </c>
      <c r="W180" s="130">
        <v>588</v>
      </c>
      <c r="X180" s="130">
        <v>845</v>
      </c>
      <c r="Y180" s="130">
        <v>733</v>
      </c>
      <c r="Z180" s="130">
        <v>792</v>
      </c>
      <c r="AA180" s="130">
        <v>744</v>
      </c>
      <c r="AB180" s="130">
        <v>901</v>
      </c>
      <c r="AC180" s="130">
        <v>845</v>
      </c>
      <c r="AD180" s="130">
        <v>1035</v>
      </c>
      <c r="AE180" s="130">
        <v>1035</v>
      </c>
      <c r="AF180" s="130">
        <v>1245</v>
      </c>
      <c r="AG180" s="130">
        <v>1419</v>
      </c>
      <c r="AH180" s="130">
        <v>1392</v>
      </c>
      <c r="AI180" s="130">
        <v>1548</v>
      </c>
      <c r="AJ180" s="130">
        <v>1416</v>
      </c>
      <c r="AK180" s="130">
        <v>1830</v>
      </c>
      <c r="AL180" s="130">
        <v>1954</v>
      </c>
      <c r="AM180" s="130">
        <v>1732</v>
      </c>
      <c r="AN180" s="130">
        <v>2592</v>
      </c>
      <c r="AO180" s="130">
        <v>3067</v>
      </c>
      <c r="AP180" s="130">
        <v>2377.7659238429751</v>
      </c>
      <c r="AQ180" s="130">
        <v>798.6083893058161</v>
      </c>
      <c r="AR180" s="130">
        <v>554.37666885553483</v>
      </c>
      <c r="AS180" s="130">
        <v>46.488750000000003</v>
      </c>
      <c r="AT180" s="130">
        <v>389.58677298311471</v>
      </c>
      <c r="AU180" s="130">
        <v>275.26972701688544</v>
      </c>
      <c r="AV180" s="130">
        <v>1077.7153311444654</v>
      </c>
      <c r="AW180" s="130">
        <v>600.86541885553481</v>
      </c>
      <c r="AX180" s="130">
        <v>392.97069183864954</v>
      </c>
      <c r="AY180" s="130">
        <v>70.758918855534716</v>
      </c>
    </row>
    <row r="181" spans="1:51" x14ac:dyDescent="0.25">
      <c r="A181" s="140" t="s">
        <v>123</v>
      </c>
      <c r="B181" s="140" t="s">
        <v>297</v>
      </c>
      <c r="C181" s="129" t="s">
        <v>292</v>
      </c>
      <c r="D181" s="129">
        <f t="shared" ref="D181:AY181" si="4">(1-D172)*SUM(D122:D169)</f>
        <v>0</v>
      </c>
      <c r="E181" s="129">
        <f t="shared" si="4"/>
        <v>0</v>
      </c>
      <c r="F181" s="129">
        <f t="shared" si="4"/>
        <v>1109.6085000000005</v>
      </c>
      <c r="G181" s="129">
        <f t="shared" si="4"/>
        <v>698.60494573170774</v>
      </c>
      <c r="H181" s="129">
        <f t="shared" si="4"/>
        <v>2321.4489647256105</v>
      </c>
      <c r="I181" s="129">
        <f t="shared" si="4"/>
        <v>1494.6299063399397</v>
      </c>
      <c r="J181" s="129">
        <f t="shared" si="4"/>
        <v>1514.7621525355958</v>
      </c>
      <c r="K181" s="129">
        <f t="shared" si="4"/>
        <v>3110.1051064652106</v>
      </c>
      <c r="L181" s="129">
        <f t="shared" si="4"/>
        <v>2965.1186179828755</v>
      </c>
      <c r="M181" s="129">
        <f t="shared" si="4"/>
        <v>2747.4575529083813</v>
      </c>
      <c r="N181" s="129">
        <f t="shared" si="4"/>
        <v>2835.9857874392292</v>
      </c>
      <c r="O181" s="129">
        <f t="shared" si="4"/>
        <v>2619.2193837867185</v>
      </c>
      <c r="P181" s="129">
        <f t="shared" si="4"/>
        <v>2690.4373494613674</v>
      </c>
      <c r="Q181" s="129">
        <f t="shared" si="4"/>
        <v>2538.0565271498895</v>
      </c>
      <c r="R181" s="129">
        <f t="shared" si="4"/>
        <v>2268.7193341108436</v>
      </c>
      <c r="S181" s="129">
        <f t="shared" si="4"/>
        <v>2636.0382257086339</v>
      </c>
      <c r="T181" s="129">
        <f t="shared" si="4"/>
        <v>2581.5751454911001</v>
      </c>
      <c r="U181" s="129">
        <f t="shared" si="4"/>
        <v>2497.7323445692155</v>
      </c>
      <c r="V181" s="129">
        <f t="shared" si="4"/>
        <v>2496.6363532382829</v>
      </c>
      <c r="W181" s="129">
        <f t="shared" si="4"/>
        <v>2367.6703003365919</v>
      </c>
      <c r="X181" s="129">
        <f t="shared" si="4"/>
        <v>1999.6884086334196</v>
      </c>
      <c r="Y181" s="129">
        <f t="shared" si="4"/>
        <v>1549.8145021970881</v>
      </c>
      <c r="Z181" s="129">
        <f t="shared" si="4"/>
        <v>2631.2933776476202</v>
      </c>
      <c r="AA181" s="129">
        <f t="shared" si="4"/>
        <v>1416.8656954709531</v>
      </c>
      <c r="AB181" s="129">
        <f t="shared" si="4"/>
        <v>2618.246500836608</v>
      </c>
      <c r="AC181" s="129">
        <f t="shared" si="4"/>
        <v>2409.4269267633081</v>
      </c>
      <c r="AD181" s="129">
        <f t="shared" si="4"/>
        <v>2267.6378316644432</v>
      </c>
      <c r="AE181" s="129">
        <f t="shared" si="4"/>
        <v>1940.735011313596</v>
      </c>
      <c r="AF181" s="129">
        <f t="shared" si="4"/>
        <v>2088.9743366221305</v>
      </c>
      <c r="AG181" s="129">
        <f t="shared" si="4"/>
        <v>1652.2399895360923</v>
      </c>
      <c r="AH181" s="129">
        <f t="shared" si="4"/>
        <v>1333.2605358813876</v>
      </c>
      <c r="AI181" s="129">
        <f t="shared" si="4"/>
        <v>1585.7955556399752</v>
      </c>
      <c r="AJ181" s="129">
        <f t="shared" si="4"/>
        <v>1666.2054892147646</v>
      </c>
      <c r="AK181" s="129">
        <f t="shared" si="4"/>
        <v>168.25118994081654</v>
      </c>
      <c r="AL181" s="129">
        <f t="shared" si="4"/>
        <v>722.34451219512255</v>
      </c>
      <c r="AM181" s="129">
        <f t="shared" si="4"/>
        <v>1496.8724878048781</v>
      </c>
      <c r="AN181" s="129">
        <f t="shared" si="4"/>
        <v>845.86345853658599</v>
      </c>
      <c r="AO181" s="129">
        <f t="shared" si="4"/>
        <v>138.86762195121955</v>
      </c>
      <c r="AP181" s="129">
        <f t="shared" si="4"/>
        <v>1483.1298658536587</v>
      </c>
      <c r="AQ181" s="129">
        <f t="shared" si="4"/>
        <v>1029.5566707317078</v>
      </c>
      <c r="AR181" s="129">
        <f t="shared" si="4"/>
        <v>86.336250000000021</v>
      </c>
      <c r="AS181" s="129">
        <f t="shared" si="4"/>
        <v>723.51829268292738</v>
      </c>
      <c r="AT181" s="129">
        <f t="shared" si="4"/>
        <v>511.21520731707301</v>
      </c>
      <c r="AU181" s="129">
        <f t="shared" si="4"/>
        <v>2001.4713292682932</v>
      </c>
      <c r="AV181" s="129">
        <f t="shared" si="4"/>
        <v>1115.8929207317076</v>
      </c>
      <c r="AW181" s="129">
        <f t="shared" si="4"/>
        <v>729.80271341463492</v>
      </c>
      <c r="AX181" s="129">
        <f t="shared" si="4"/>
        <v>131.40942073170734</v>
      </c>
      <c r="AY181" s="129">
        <f t="shared" si="4"/>
        <v>584.98261585365833</v>
      </c>
    </row>
    <row r="182" spans="1:51" x14ac:dyDescent="0.25">
      <c r="A182" s="130"/>
      <c r="B182" s="141" t="s">
        <v>298</v>
      </c>
      <c r="C182" s="130" t="s">
        <v>292</v>
      </c>
      <c r="D182" s="130">
        <v>0</v>
      </c>
      <c r="E182" s="130">
        <v>0</v>
      </c>
      <c r="F182" s="130">
        <v>237</v>
      </c>
      <c r="G182" s="130">
        <v>216</v>
      </c>
      <c r="H182" s="130">
        <v>278</v>
      </c>
      <c r="I182" s="130">
        <v>287</v>
      </c>
      <c r="J182" s="130">
        <v>280</v>
      </c>
      <c r="K182" s="130">
        <v>244</v>
      </c>
      <c r="L182" s="130">
        <v>324</v>
      </c>
      <c r="M182" s="130">
        <v>336</v>
      </c>
      <c r="N182" s="130">
        <v>269</v>
      </c>
      <c r="O182" s="130">
        <v>320</v>
      </c>
      <c r="P182" s="130">
        <v>360</v>
      </c>
      <c r="Q182" s="130">
        <v>415</v>
      </c>
      <c r="R182" s="130">
        <v>393</v>
      </c>
      <c r="S182" s="130">
        <v>360</v>
      </c>
      <c r="T182" s="130">
        <v>446</v>
      </c>
      <c r="U182" s="130">
        <v>487</v>
      </c>
      <c r="V182" s="130">
        <v>438</v>
      </c>
      <c r="W182" s="130">
        <v>414</v>
      </c>
      <c r="X182" s="130">
        <v>525</v>
      </c>
      <c r="Y182" s="130">
        <v>602</v>
      </c>
      <c r="Z182" s="130">
        <v>644</v>
      </c>
      <c r="AA182" s="130">
        <v>599</v>
      </c>
      <c r="AB182" s="130">
        <v>630</v>
      </c>
      <c r="AC182" s="130">
        <v>751</v>
      </c>
      <c r="AD182" s="130">
        <v>733</v>
      </c>
      <c r="AE182" s="130">
        <v>690</v>
      </c>
      <c r="AF182" s="130">
        <v>1131</v>
      </c>
      <c r="AG182" s="130">
        <v>847</v>
      </c>
      <c r="AH182" s="130">
        <v>929</v>
      </c>
      <c r="AI182" s="130">
        <v>974</v>
      </c>
      <c r="AJ182" s="130">
        <v>1621</v>
      </c>
      <c r="AK182" s="130">
        <v>168.25118994081654</v>
      </c>
      <c r="AL182" s="130">
        <v>722.34451219512255</v>
      </c>
      <c r="AM182" s="130">
        <v>1430</v>
      </c>
      <c r="AN182" s="130">
        <v>845.86345853658599</v>
      </c>
      <c r="AO182" s="130">
        <v>138.86762195121955</v>
      </c>
      <c r="AP182" s="130">
        <v>1483.1298658536587</v>
      </c>
      <c r="AQ182" s="130">
        <v>1029.5566707317078</v>
      </c>
      <c r="AR182" s="130">
        <v>86.336250000000021</v>
      </c>
      <c r="AS182" s="130">
        <v>723.51829268292738</v>
      </c>
      <c r="AT182" s="130">
        <v>511.21520731707301</v>
      </c>
      <c r="AU182" s="130">
        <v>2001.4713292682932</v>
      </c>
      <c r="AV182" s="130">
        <v>1115.8929207317076</v>
      </c>
      <c r="AW182" s="130">
        <v>729.80271341463492</v>
      </c>
      <c r="AX182" s="130">
        <v>131.40942073170734</v>
      </c>
      <c r="AY182" s="130">
        <v>584.98261585365833</v>
      </c>
    </row>
    <row r="184" spans="1:51" x14ac:dyDescent="0.25">
      <c r="A184" s="107" t="s">
        <v>299</v>
      </c>
    </row>
    <row r="185" spans="1:51" x14ac:dyDescent="0.25">
      <c r="A185" s="131" t="s">
        <v>125</v>
      </c>
      <c r="B185" s="128">
        <v>1</v>
      </c>
      <c r="C185" s="129"/>
      <c r="D185" s="129">
        <v>0</v>
      </c>
      <c r="E185" s="129">
        <v>0</v>
      </c>
      <c r="F185" s="129">
        <v>0</v>
      </c>
      <c r="G185" s="129">
        <v>0</v>
      </c>
      <c r="H185" s="129">
        <v>0</v>
      </c>
      <c r="I185" s="129">
        <v>0</v>
      </c>
      <c r="J185" s="129">
        <v>0</v>
      </c>
      <c r="K185" s="129">
        <v>0</v>
      </c>
      <c r="L185" s="129">
        <v>0</v>
      </c>
      <c r="M185" s="129">
        <v>0</v>
      </c>
      <c r="N185" s="129">
        <v>0</v>
      </c>
      <c r="O185" s="129">
        <v>0</v>
      </c>
      <c r="P185" s="129">
        <v>0</v>
      </c>
      <c r="Q185" s="129">
        <v>0</v>
      </c>
      <c r="R185" s="129">
        <v>0</v>
      </c>
      <c r="S185" s="129">
        <v>0</v>
      </c>
      <c r="T185" s="129">
        <v>0</v>
      </c>
      <c r="U185" s="129">
        <v>0</v>
      </c>
      <c r="V185" s="129">
        <v>0</v>
      </c>
      <c r="W185" s="129">
        <v>0</v>
      </c>
      <c r="X185" s="129">
        <v>0</v>
      </c>
      <c r="Y185" s="129">
        <v>0</v>
      </c>
      <c r="Z185" s="129">
        <v>0</v>
      </c>
      <c r="AA185" s="129">
        <v>0</v>
      </c>
      <c r="AB185" s="129">
        <v>0</v>
      </c>
      <c r="AC185" s="129">
        <v>0</v>
      </c>
      <c r="AD185" s="129">
        <v>0</v>
      </c>
      <c r="AE185" s="129">
        <v>0</v>
      </c>
      <c r="AF185" s="129">
        <v>0</v>
      </c>
      <c r="AG185" s="129">
        <v>0</v>
      </c>
      <c r="AH185" s="129">
        <v>0</v>
      </c>
      <c r="AI185" s="129">
        <v>0</v>
      </c>
      <c r="AJ185" s="129">
        <v>0</v>
      </c>
      <c r="AK185" s="129">
        <v>0</v>
      </c>
      <c r="AL185" s="129">
        <v>0</v>
      </c>
      <c r="AM185" s="129">
        <v>0</v>
      </c>
      <c r="AN185" s="129">
        <v>0</v>
      </c>
      <c r="AO185" s="129">
        <v>0</v>
      </c>
      <c r="AP185" s="129">
        <v>0</v>
      </c>
      <c r="AQ185" s="129">
        <v>0</v>
      </c>
      <c r="AR185" s="129">
        <v>0</v>
      </c>
      <c r="AS185" s="129">
        <v>0</v>
      </c>
      <c r="AT185" s="129">
        <v>0</v>
      </c>
      <c r="AU185" s="129">
        <v>0</v>
      </c>
      <c r="AV185" s="129">
        <v>0</v>
      </c>
      <c r="AW185" s="129">
        <v>0</v>
      </c>
      <c r="AX185" s="129">
        <v>0</v>
      </c>
      <c r="AY185" s="129">
        <v>0</v>
      </c>
    </row>
    <row r="186" spans="1:51" x14ac:dyDescent="0.25">
      <c r="A186" s="114"/>
      <c r="B186" s="125">
        <v>2</v>
      </c>
      <c r="C186" s="111"/>
      <c r="D186" s="111">
        <v>0</v>
      </c>
      <c r="E186" s="111">
        <v>0</v>
      </c>
      <c r="F186" s="111">
        <v>0</v>
      </c>
      <c r="G186" s="111">
        <v>0</v>
      </c>
      <c r="H186" s="111">
        <v>0</v>
      </c>
      <c r="I186" s="111">
        <v>0</v>
      </c>
      <c r="J186" s="111">
        <v>0</v>
      </c>
      <c r="K186" s="111">
        <v>0</v>
      </c>
      <c r="L186" s="111">
        <v>0</v>
      </c>
      <c r="M186" s="111">
        <v>0</v>
      </c>
      <c r="N186" s="111">
        <v>0</v>
      </c>
      <c r="O186" s="111">
        <v>0</v>
      </c>
      <c r="P186" s="111">
        <v>0</v>
      </c>
      <c r="Q186" s="111">
        <v>0</v>
      </c>
      <c r="R186" s="111">
        <v>0</v>
      </c>
      <c r="S186" s="111">
        <v>0</v>
      </c>
      <c r="T186" s="111">
        <v>0</v>
      </c>
      <c r="U186" s="111">
        <v>0</v>
      </c>
      <c r="V186" s="111">
        <v>0</v>
      </c>
      <c r="W186" s="111">
        <v>0</v>
      </c>
      <c r="X186" s="111">
        <v>0</v>
      </c>
      <c r="Y186" s="111">
        <v>0</v>
      </c>
      <c r="Z186" s="111">
        <v>0</v>
      </c>
      <c r="AA186" s="111">
        <v>0</v>
      </c>
      <c r="AB186" s="111">
        <v>0</v>
      </c>
      <c r="AC186" s="111">
        <v>0</v>
      </c>
      <c r="AD186" s="111">
        <v>0</v>
      </c>
      <c r="AE186" s="111">
        <v>0</v>
      </c>
      <c r="AF186" s="111">
        <v>0</v>
      </c>
      <c r="AG186" s="111">
        <v>0</v>
      </c>
      <c r="AH186" s="111">
        <v>0</v>
      </c>
      <c r="AI186" s="111">
        <v>0</v>
      </c>
      <c r="AJ186" s="111">
        <v>0</v>
      </c>
      <c r="AK186" s="111">
        <v>0</v>
      </c>
      <c r="AL186" s="111">
        <v>0</v>
      </c>
      <c r="AM186" s="111">
        <v>0</v>
      </c>
      <c r="AN186" s="111">
        <v>0</v>
      </c>
      <c r="AO186" s="111">
        <v>0</v>
      </c>
      <c r="AP186" s="111">
        <v>0</v>
      </c>
      <c r="AQ186" s="111">
        <v>0</v>
      </c>
      <c r="AR186" s="111">
        <v>0</v>
      </c>
      <c r="AS186" s="111">
        <v>0</v>
      </c>
      <c r="AT186" s="111">
        <v>0</v>
      </c>
      <c r="AU186" s="111">
        <v>0</v>
      </c>
      <c r="AV186" s="111">
        <v>0</v>
      </c>
      <c r="AW186" s="111">
        <v>0</v>
      </c>
      <c r="AX186" s="111">
        <v>0</v>
      </c>
      <c r="AY186" s="111">
        <v>0</v>
      </c>
    </row>
    <row r="187" spans="1:51" x14ac:dyDescent="0.25">
      <c r="A187" s="114"/>
      <c r="B187" s="132">
        <v>3</v>
      </c>
      <c r="C187" s="111"/>
      <c r="D187" s="111">
        <v>0</v>
      </c>
      <c r="E187" s="111">
        <v>0</v>
      </c>
      <c r="F187" s="111">
        <v>0</v>
      </c>
      <c r="G187" s="111">
        <v>0</v>
      </c>
      <c r="H187" s="111">
        <v>0</v>
      </c>
      <c r="I187" s="111">
        <v>0</v>
      </c>
      <c r="J187" s="111">
        <v>0</v>
      </c>
      <c r="K187" s="111">
        <v>0</v>
      </c>
      <c r="L187" s="111">
        <v>0</v>
      </c>
      <c r="M187" s="111">
        <v>0</v>
      </c>
      <c r="N187" s="111">
        <v>0</v>
      </c>
      <c r="O187" s="111">
        <v>0</v>
      </c>
      <c r="P187" s="111">
        <v>0</v>
      </c>
      <c r="Q187" s="111">
        <v>0</v>
      </c>
      <c r="R187" s="111">
        <v>0</v>
      </c>
      <c r="S187" s="111">
        <v>0</v>
      </c>
      <c r="T187" s="111">
        <v>0</v>
      </c>
      <c r="U187" s="111">
        <v>0</v>
      </c>
      <c r="V187" s="111">
        <v>0</v>
      </c>
      <c r="W187" s="111">
        <v>0</v>
      </c>
      <c r="X187" s="111">
        <v>0</v>
      </c>
      <c r="Y187" s="111">
        <v>0</v>
      </c>
      <c r="Z187" s="111">
        <v>0</v>
      </c>
      <c r="AA187" s="111">
        <v>0</v>
      </c>
      <c r="AB187" s="111">
        <v>0</v>
      </c>
      <c r="AC187" s="111">
        <v>0</v>
      </c>
      <c r="AD187" s="111">
        <v>0</v>
      </c>
      <c r="AE187" s="111">
        <v>0</v>
      </c>
      <c r="AF187" s="111">
        <v>0</v>
      </c>
      <c r="AG187" s="111">
        <v>0</v>
      </c>
      <c r="AH187" s="111">
        <v>0</v>
      </c>
      <c r="AI187" s="111">
        <v>0</v>
      </c>
      <c r="AJ187" s="111">
        <v>0</v>
      </c>
      <c r="AK187" s="111">
        <v>0</v>
      </c>
      <c r="AL187" s="111">
        <v>0</v>
      </c>
      <c r="AM187" s="111">
        <v>0</v>
      </c>
      <c r="AN187" s="111">
        <v>0</v>
      </c>
      <c r="AO187" s="111">
        <v>0</v>
      </c>
      <c r="AP187" s="111">
        <v>0</v>
      </c>
      <c r="AQ187" s="111">
        <v>0</v>
      </c>
      <c r="AR187" s="111">
        <v>0</v>
      </c>
      <c r="AS187" s="111">
        <v>0</v>
      </c>
      <c r="AT187" s="111">
        <v>0</v>
      </c>
      <c r="AU187" s="111">
        <v>0</v>
      </c>
      <c r="AV187" s="111">
        <v>0</v>
      </c>
      <c r="AW187" s="111">
        <v>0</v>
      </c>
      <c r="AX187" s="111">
        <v>0</v>
      </c>
      <c r="AY187" s="111">
        <v>0</v>
      </c>
    </row>
    <row r="188" spans="1:51" x14ac:dyDescent="0.25">
      <c r="A188" s="133"/>
      <c r="B188" s="134">
        <v>4</v>
      </c>
      <c r="C188" s="111"/>
      <c r="D188" s="111">
        <v>0</v>
      </c>
      <c r="E188" s="111">
        <v>0</v>
      </c>
      <c r="F188" s="111">
        <v>0</v>
      </c>
      <c r="G188" s="111">
        <v>0</v>
      </c>
      <c r="H188" s="111">
        <v>0</v>
      </c>
      <c r="I188" s="111">
        <v>0</v>
      </c>
      <c r="J188" s="111">
        <v>0</v>
      </c>
      <c r="K188" s="111">
        <v>0</v>
      </c>
      <c r="L188" s="111">
        <v>0</v>
      </c>
      <c r="M188" s="111">
        <v>0</v>
      </c>
      <c r="N188" s="111">
        <v>0</v>
      </c>
      <c r="O188" s="111">
        <v>0</v>
      </c>
      <c r="P188" s="111">
        <v>0</v>
      </c>
      <c r="Q188" s="111">
        <v>0</v>
      </c>
      <c r="R188" s="111">
        <v>0</v>
      </c>
      <c r="S188" s="111">
        <v>0</v>
      </c>
      <c r="T188" s="111">
        <v>0</v>
      </c>
      <c r="U188" s="111">
        <v>0</v>
      </c>
      <c r="V188" s="111">
        <v>0</v>
      </c>
      <c r="W188" s="111">
        <v>0</v>
      </c>
      <c r="X188" s="111">
        <v>0</v>
      </c>
      <c r="Y188" s="111">
        <v>0</v>
      </c>
      <c r="Z188" s="111">
        <v>0</v>
      </c>
      <c r="AA188" s="111">
        <v>0</v>
      </c>
      <c r="AB188" s="111">
        <v>0</v>
      </c>
      <c r="AC188" s="111">
        <v>0</v>
      </c>
      <c r="AD188" s="111">
        <v>0</v>
      </c>
      <c r="AE188" s="111">
        <v>0</v>
      </c>
      <c r="AF188" s="111">
        <v>0</v>
      </c>
      <c r="AG188" s="111">
        <v>0</v>
      </c>
      <c r="AH188" s="111">
        <v>0</v>
      </c>
      <c r="AI188" s="111">
        <v>0</v>
      </c>
      <c r="AJ188" s="111">
        <v>0</v>
      </c>
      <c r="AK188" s="111">
        <v>0</v>
      </c>
      <c r="AL188" s="111">
        <v>0</v>
      </c>
      <c r="AM188" s="111">
        <v>0</v>
      </c>
      <c r="AN188" s="111">
        <v>0</v>
      </c>
      <c r="AO188" s="111">
        <v>0</v>
      </c>
      <c r="AP188" s="111">
        <v>0</v>
      </c>
      <c r="AQ188" s="111">
        <v>0</v>
      </c>
      <c r="AR188" s="111">
        <v>0</v>
      </c>
      <c r="AS188" s="111">
        <v>0</v>
      </c>
      <c r="AT188" s="111">
        <v>0</v>
      </c>
      <c r="AU188" s="111">
        <v>0</v>
      </c>
      <c r="AV188" s="111">
        <v>0</v>
      </c>
      <c r="AW188" s="111">
        <v>0</v>
      </c>
      <c r="AX188" s="111">
        <v>0</v>
      </c>
      <c r="AY188" s="111">
        <v>0</v>
      </c>
    </row>
    <row r="189" spans="1:51" x14ac:dyDescent="0.25">
      <c r="A189" s="131" t="s">
        <v>133</v>
      </c>
      <c r="B189" s="128">
        <v>1</v>
      </c>
      <c r="C189" s="129"/>
      <c r="D189" s="129">
        <v>0</v>
      </c>
      <c r="E189" s="129">
        <v>0</v>
      </c>
      <c r="F189" s="129">
        <v>429</v>
      </c>
      <c r="G189" s="129">
        <v>0</v>
      </c>
      <c r="H189" s="129">
        <v>0</v>
      </c>
      <c r="I189" s="129">
        <v>0</v>
      </c>
      <c r="J189" s="129">
        <v>0</v>
      </c>
      <c r="K189" s="129">
        <v>0</v>
      </c>
      <c r="L189" s="129">
        <v>0</v>
      </c>
      <c r="M189" s="129">
        <v>0</v>
      </c>
      <c r="N189" s="129">
        <v>0</v>
      </c>
      <c r="O189" s="129">
        <v>0</v>
      </c>
      <c r="P189" s="129">
        <v>0</v>
      </c>
      <c r="Q189" s="129">
        <v>0</v>
      </c>
      <c r="R189" s="129">
        <v>0</v>
      </c>
      <c r="S189" s="129">
        <v>0</v>
      </c>
      <c r="T189" s="129">
        <v>0</v>
      </c>
      <c r="U189" s="129">
        <v>0</v>
      </c>
      <c r="V189" s="129">
        <v>0</v>
      </c>
      <c r="W189" s="129">
        <v>0</v>
      </c>
      <c r="X189" s="129">
        <v>0</v>
      </c>
      <c r="Y189" s="129">
        <v>0</v>
      </c>
      <c r="Z189" s="129">
        <v>0</v>
      </c>
      <c r="AA189" s="129">
        <v>0</v>
      </c>
      <c r="AB189" s="129">
        <v>0</v>
      </c>
      <c r="AC189" s="129">
        <v>0</v>
      </c>
      <c r="AD189" s="129">
        <v>0</v>
      </c>
      <c r="AE189" s="129">
        <v>0</v>
      </c>
      <c r="AF189" s="129">
        <v>0</v>
      </c>
      <c r="AG189" s="129">
        <v>0</v>
      </c>
      <c r="AH189" s="129">
        <v>0</v>
      </c>
      <c r="AI189" s="129">
        <v>0</v>
      </c>
      <c r="AJ189" s="129">
        <v>0</v>
      </c>
      <c r="AK189" s="129">
        <v>0</v>
      </c>
      <c r="AL189" s="129">
        <v>0</v>
      </c>
      <c r="AM189" s="129">
        <v>0</v>
      </c>
      <c r="AN189" s="129">
        <v>811.82575046904276</v>
      </c>
      <c r="AO189" s="129">
        <v>147.68791041275799</v>
      </c>
      <c r="AP189" s="129">
        <v>1150.03125</v>
      </c>
      <c r="AQ189" s="129">
        <v>1157.0941604127579</v>
      </c>
      <c r="AR189" s="129">
        <v>97.03125</v>
      </c>
      <c r="AS189" s="129">
        <v>723.17659474671655</v>
      </c>
      <c r="AT189" s="129">
        <v>147.68791041275799</v>
      </c>
      <c r="AU189" s="129">
        <v>1150.03125</v>
      </c>
      <c r="AV189" s="129">
        <v>1157.0941604127579</v>
      </c>
      <c r="AW189" s="129">
        <v>820.20784474671655</v>
      </c>
      <c r="AX189" s="129">
        <v>147.68791041275799</v>
      </c>
      <c r="AY189" s="129">
        <v>140.625</v>
      </c>
    </row>
    <row r="190" spans="1:51" x14ac:dyDescent="0.25">
      <c r="A190" s="114"/>
      <c r="B190" s="124">
        <v>2</v>
      </c>
      <c r="C190" s="111"/>
      <c r="D190" s="111">
        <v>0</v>
      </c>
      <c r="E190" s="111">
        <v>0</v>
      </c>
      <c r="F190" s="111">
        <v>0</v>
      </c>
      <c r="G190" s="111">
        <v>325</v>
      </c>
      <c r="H190" s="111">
        <v>0</v>
      </c>
      <c r="I190" s="111">
        <v>0</v>
      </c>
      <c r="J190" s="111">
        <v>0</v>
      </c>
      <c r="K190" s="111">
        <v>0</v>
      </c>
      <c r="L190" s="111">
        <v>0</v>
      </c>
      <c r="M190" s="111">
        <v>0</v>
      </c>
      <c r="N190" s="111">
        <v>0</v>
      </c>
      <c r="O190" s="111">
        <v>0</v>
      </c>
      <c r="P190" s="111">
        <v>0</v>
      </c>
      <c r="Q190" s="111">
        <v>0</v>
      </c>
      <c r="R190" s="111">
        <v>0</v>
      </c>
      <c r="S190" s="111">
        <v>0</v>
      </c>
      <c r="T190" s="111">
        <v>0</v>
      </c>
      <c r="U190" s="111">
        <v>0</v>
      </c>
      <c r="V190" s="111">
        <v>0</v>
      </c>
      <c r="W190" s="111">
        <v>0</v>
      </c>
      <c r="X190" s="111">
        <v>0</v>
      </c>
      <c r="Y190" s="111">
        <v>0</v>
      </c>
      <c r="Z190" s="111">
        <v>0</v>
      </c>
      <c r="AA190" s="111">
        <v>0</v>
      </c>
      <c r="AB190" s="111">
        <v>0</v>
      </c>
      <c r="AC190" s="111">
        <v>0</v>
      </c>
      <c r="AD190" s="111">
        <v>0</v>
      </c>
      <c r="AE190" s="111">
        <v>0</v>
      </c>
      <c r="AF190" s="111">
        <v>0</v>
      </c>
      <c r="AG190" s="111">
        <v>0</v>
      </c>
      <c r="AH190" s="111">
        <v>0</v>
      </c>
      <c r="AI190" s="111">
        <v>0</v>
      </c>
      <c r="AJ190" s="111">
        <v>0</v>
      </c>
      <c r="AK190" s="111">
        <v>0</v>
      </c>
      <c r="AL190" s="111">
        <v>0</v>
      </c>
      <c r="AM190" s="111">
        <v>0</v>
      </c>
      <c r="AN190" s="111">
        <v>237.65625</v>
      </c>
      <c r="AO190" s="111">
        <v>8.3820942776737866</v>
      </c>
      <c r="AP190" s="111">
        <v>89.968339587242014</v>
      </c>
      <c r="AQ190" s="111">
        <v>0</v>
      </c>
      <c r="AR190" s="111">
        <v>0</v>
      </c>
      <c r="AS190" s="111">
        <v>0</v>
      </c>
      <c r="AT190" s="111">
        <v>426.85465525328345</v>
      </c>
      <c r="AU190" s="111">
        <v>1099.3745895872421</v>
      </c>
      <c r="AV190" s="111">
        <v>97.03125</v>
      </c>
      <c r="AW190" s="111">
        <v>0</v>
      </c>
      <c r="AX190" s="111">
        <v>0</v>
      </c>
      <c r="AY190" s="111">
        <v>0</v>
      </c>
    </row>
    <row r="191" spans="1:51" x14ac:dyDescent="0.25">
      <c r="A191" s="114"/>
      <c r="B191" s="125">
        <v>3</v>
      </c>
      <c r="C191" s="111"/>
      <c r="D191" s="111">
        <v>0</v>
      </c>
      <c r="E191" s="111">
        <v>0</v>
      </c>
      <c r="F191" s="111">
        <v>0</v>
      </c>
      <c r="G191" s="111">
        <v>0</v>
      </c>
      <c r="H191" s="111">
        <v>452</v>
      </c>
      <c r="I191" s="111">
        <v>378.9375</v>
      </c>
      <c r="J191" s="111">
        <v>0</v>
      </c>
      <c r="K191" s="111">
        <v>0</v>
      </c>
      <c r="L191" s="111">
        <v>0</v>
      </c>
      <c r="M191" s="111">
        <v>0</v>
      </c>
      <c r="N191" s="111">
        <v>0</v>
      </c>
      <c r="O191" s="111">
        <v>0</v>
      </c>
      <c r="P191" s="111">
        <v>0</v>
      </c>
      <c r="Q191" s="111">
        <v>0</v>
      </c>
      <c r="R191" s="111">
        <v>0</v>
      </c>
      <c r="S191" s="111">
        <v>0</v>
      </c>
      <c r="T191" s="111">
        <v>0</v>
      </c>
      <c r="U191" s="111">
        <v>0</v>
      </c>
      <c r="V191" s="111">
        <v>0</v>
      </c>
      <c r="W191" s="111">
        <v>0</v>
      </c>
      <c r="X191" s="111">
        <v>0</v>
      </c>
      <c r="Y191" s="111">
        <v>0</v>
      </c>
      <c r="Z191" s="111">
        <v>0</v>
      </c>
      <c r="AA191" s="111">
        <v>0</v>
      </c>
      <c r="AB191" s="111">
        <v>0</v>
      </c>
      <c r="AC191" s="111">
        <v>0</v>
      </c>
      <c r="AD191" s="111">
        <v>0</v>
      </c>
      <c r="AE191" s="111">
        <v>0</v>
      </c>
      <c r="AF191" s="111">
        <v>0</v>
      </c>
      <c r="AG191" s="111">
        <v>0</v>
      </c>
      <c r="AH191" s="111">
        <v>0</v>
      </c>
      <c r="AI191" s="111">
        <v>0</v>
      </c>
      <c r="AJ191" s="111">
        <v>0</v>
      </c>
      <c r="AK191" s="111">
        <v>0</v>
      </c>
      <c r="AL191" s="111">
        <v>0</v>
      </c>
      <c r="AM191" s="111">
        <v>541.25</v>
      </c>
      <c r="AN191" s="111">
        <v>1247.0625</v>
      </c>
      <c r="AO191" s="111">
        <v>0</v>
      </c>
      <c r="AP191" s="111">
        <v>426.85465525328345</v>
      </c>
      <c r="AQ191" s="111">
        <v>0</v>
      </c>
      <c r="AR191" s="111">
        <v>0</v>
      </c>
      <c r="AS191" s="111">
        <v>89.968339587242014</v>
      </c>
      <c r="AT191" s="111">
        <v>0</v>
      </c>
      <c r="AU191" s="111">
        <v>0</v>
      </c>
      <c r="AV191" s="111">
        <v>0</v>
      </c>
      <c r="AW191" s="111">
        <v>0</v>
      </c>
      <c r="AX191" s="111">
        <v>0</v>
      </c>
      <c r="AY191" s="111">
        <v>426.85465525328345</v>
      </c>
    </row>
    <row r="192" spans="1:51" x14ac:dyDescent="0.25">
      <c r="A192" s="114"/>
      <c r="B192" s="125">
        <v>4</v>
      </c>
      <c r="C192" s="111"/>
      <c r="D192" s="111">
        <v>0</v>
      </c>
      <c r="E192" s="111">
        <v>0</v>
      </c>
      <c r="F192" s="111">
        <v>0</v>
      </c>
      <c r="G192" s="111">
        <v>0</v>
      </c>
      <c r="H192" s="111">
        <v>0</v>
      </c>
      <c r="I192" s="111">
        <v>41.0625</v>
      </c>
      <c r="J192" s="111">
        <v>349</v>
      </c>
      <c r="K192" s="111">
        <v>0</v>
      </c>
      <c r="L192" s="111">
        <v>0</v>
      </c>
      <c r="M192" s="111">
        <v>0</v>
      </c>
      <c r="N192" s="111">
        <v>0</v>
      </c>
      <c r="O192" s="111">
        <v>0</v>
      </c>
      <c r="P192" s="111">
        <v>0</v>
      </c>
      <c r="Q192" s="111">
        <v>0</v>
      </c>
      <c r="R192" s="111">
        <v>0</v>
      </c>
      <c r="S192" s="111">
        <v>0</v>
      </c>
      <c r="T192" s="111">
        <v>0</v>
      </c>
      <c r="U192" s="111">
        <v>0</v>
      </c>
      <c r="V192" s="111">
        <v>0</v>
      </c>
      <c r="W192" s="111">
        <v>0</v>
      </c>
      <c r="X192" s="111">
        <v>0</v>
      </c>
      <c r="Y192" s="111">
        <v>0</v>
      </c>
      <c r="Z192" s="111">
        <v>0</v>
      </c>
      <c r="AA192" s="111">
        <v>0</v>
      </c>
      <c r="AB192" s="111">
        <v>0</v>
      </c>
      <c r="AC192" s="111">
        <v>0</v>
      </c>
      <c r="AD192" s="111">
        <v>0</v>
      </c>
      <c r="AE192" s="111">
        <v>0</v>
      </c>
      <c r="AF192" s="111">
        <v>0</v>
      </c>
      <c r="AG192" s="111">
        <v>0</v>
      </c>
      <c r="AH192" s="111">
        <v>0</v>
      </c>
      <c r="AI192" s="111">
        <v>0</v>
      </c>
      <c r="AJ192" s="111">
        <v>0</v>
      </c>
      <c r="AK192" s="111">
        <v>129.4375</v>
      </c>
      <c r="AL192" s="111">
        <v>1089.375</v>
      </c>
      <c r="AM192" s="111">
        <v>1247.0625</v>
      </c>
      <c r="AN192" s="111">
        <v>705.8125</v>
      </c>
      <c r="AO192" s="111">
        <v>0</v>
      </c>
      <c r="AP192" s="111">
        <v>0</v>
      </c>
      <c r="AQ192" s="111">
        <v>0</v>
      </c>
      <c r="AR192" s="111">
        <v>0</v>
      </c>
      <c r="AS192" s="111">
        <v>0</v>
      </c>
      <c r="AT192" s="111">
        <v>0</v>
      </c>
      <c r="AU192" s="111">
        <v>0</v>
      </c>
      <c r="AV192" s="111">
        <v>0</v>
      </c>
      <c r="AW192" s="111">
        <v>0</v>
      </c>
      <c r="AX192" s="111">
        <v>0</v>
      </c>
      <c r="AY192" s="111">
        <v>89.968339587242014</v>
      </c>
    </row>
    <row r="193" spans="1:51" x14ac:dyDescent="0.25">
      <c r="A193" s="114"/>
      <c r="B193" s="132">
        <v>5</v>
      </c>
      <c r="C193" s="111"/>
      <c r="D193" s="111">
        <v>0</v>
      </c>
      <c r="E193" s="111">
        <v>0</v>
      </c>
      <c r="F193" s="111">
        <v>0</v>
      </c>
      <c r="G193" s="111">
        <v>0</v>
      </c>
      <c r="H193" s="111">
        <v>0</v>
      </c>
      <c r="I193" s="111">
        <v>0</v>
      </c>
      <c r="J193" s="111">
        <v>0</v>
      </c>
      <c r="K193" s="111">
        <v>453</v>
      </c>
      <c r="L193" s="111">
        <v>435.875</v>
      </c>
      <c r="M193" s="111">
        <v>0</v>
      </c>
      <c r="N193" s="111">
        <v>0</v>
      </c>
      <c r="O193" s="111">
        <v>0</v>
      </c>
      <c r="P193" s="111">
        <v>0</v>
      </c>
      <c r="Q193" s="111">
        <v>0</v>
      </c>
      <c r="R193" s="111">
        <v>0</v>
      </c>
      <c r="S193" s="111">
        <v>0</v>
      </c>
      <c r="T193" s="111">
        <v>0</v>
      </c>
      <c r="U193" s="111">
        <v>0</v>
      </c>
      <c r="V193" s="111">
        <v>0</v>
      </c>
      <c r="W193" s="111">
        <v>0</v>
      </c>
      <c r="X193" s="111">
        <v>0</v>
      </c>
      <c r="Y193" s="111">
        <v>0</v>
      </c>
      <c r="Z193" s="111">
        <v>0</v>
      </c>
      <c r="AA193" s="111">
        <v>0</v>
      </c>
      <c r="AB193" s="111">
        <v>0</v>
      </c>
      <c r="AC193" s="111">
        <v>0</v>
      </c>
      <c r="AD193" s="111">
        <v>0</v>
      </c>
      <c r="AE193" s="111">
        <v>0</v>
      </c>
      <c r="AF193" s="111">
        <v>0</v>
      </c>
      <c r="AG193" s="111">
        <v>0</v>
      </c>
      <c r="AH193" s="111">
        <v>0</v>
      </c>
      <c r="AI193" s="111">
        <v>0</v>
      </c>
      <c r="AJ193" s="111">
        <v>288.5625</v>
      </c>
      <c r="AK193" s="111">
        <v>1247.0625</v>
      </c>
      <c r="AL193" s="111">
        <v>1117.625</v>
      </c>
      <c r="AM193" s="111">
        <v>157.6875</v>
      </c>
      <c r="AN193" s="111">
        <v>0</v>
      </c>
      <c r="AO193" s="111">
        <v>0</v>
      </c>
      <c r="AP193" s="111">
        <v>0</v>
      </c>
      <c r="AQ193" s="111">
        <v>0</v>
      </c>
      <c r="AR193" s="111">
        <v>0</v>
      </c>
      <c r="AS193" s="111">
        <v>0</v>
      </c>
      <c r="AT193" s="111">
        <v>0</v>
      </c>
      <c r="AU193" s="111">
        <v>0</v>
      </c>
      <c r="AV193" s="111">
        <v>0</v>
      </c>
      <c r="AW193" s="111">
        <v>0</v>
      </c>
      <c r="AX193" s="111">
        <v>0</v>
      </c>
      <c r="AY193" s="111">
        <v>0</v>
      </c>
    </row>
    <row r="194" spans="1:51" x14ac:dyDescent="0.25">
      <c r="A194" s="114"/>
      <c r="B194" s="132">
        <v>6</v>
      </c>
      <c r="C194" s="111"/>
      <c r="D194" s="111">
        <v>0</v>
      </c>
      <c r="E194" s="111">
        <v>0</v>
      </c>
      <c r="F194" s="111">
        <v>0</v>
      </c>
      <c r="G194" s="111">
        <v>0</v>
      </c>
      <c r="H194" s="111">
        <v>0</v>
      </c>
      <c r="I194" s="111">
        <v>0</v>
      </c>
      <c r="J194" s="111">
        <v>0</v>
      </c>
      <c r="K194" s="111">
        <v>0</v>
      </c>
      <c r="L194" s="111">
        <v>66.125</v>
      </c>
      <c r="M194" s="111">
        <v>593</v>
      </c>
      <c r="N194" s="111">
        <v>301.8125</v>
      </c>
      <c r="O194" s="111">
        <v>0</v>
      </c>
      <c r="P194" s="111">
        <v>0</v>
      </c>
      <c r="Q194" s="111">
        <v>0</v>
      </c>
      <c r="R194" s="111">
        <v>0</v>
      </c>
      <c r="S194" s="111">
        <v>0</v>
      </c>
      <c r="T194" s="111">
        <v>0</v>
      </c>
      <c r="U194" s="111">
        <v>0</v>
      </c>
      <c r="V194" s="111">
        <v>0</v>
      </c>
      <c r="W194" s="111">
        <v>0</v>
      </c>
      <c r="X194" s="111">
        <v>0</v>
      </c>
      <c r="Y194" s="111">
        <v>0</v>
      </c>
      <c r="Z194" s="111">
        <v>0</v>
      </c>
      <c r="AA194" s="111">
        <v>0</v>
      </c>
      <c r="AB194" s="111">
        <v>0</v>
      </c>
      <c r="AC194" s="111">
        <v>0</v>
      </c>
      <c r="AD194" s="111">
        <v>0</v>
      </c>
      <c r="AE194" s="111">
        <v>0</v>
      </c>
      <c r="AF194" s="111">
        <v>0</v>
      </c>
      <c r="AG194" s="111">
        <v>0</v>
      </c>
      <c r="AH194" s="111">
        <v>366.75</v>
      </c>
      <c r="AI194" s="111">
        <v>642.6875</v>
      </c>
      <c r="AJ194" s="111">
        <v>1247.0625</v>
      </c>
      <c r="AK194" s="111">
        <v>958.5</v>
      </c>
      <c r="AL194" s="111">
        <v>0</v>
      </c>
      <c r="AM194" s="111">
        <v>0</v>
      </c>
      <c r="AN194" s="111">
        <v>0</v>
      </c>
      <c r="AO194" s="111">
        <v>0</v>
      </c>
      <c r="AP194" s="111">
        <v>0</v>
      </c>
      <c r="AQ194" s="111">
        <v>0</v>
      </c>
      <c r="AR194" s="111">
        <v>0</v>
      </c>
      <c r="AS194" s="111">
        <v>0</v>
      </c>
      <c r="AT194" s="111">
        <v>0</v>
      </c>
      <c r="AU194" s="111">
        <v>0</v>
      </c>
      <c r="AV194" s="111">
        <v>0</v>
      </c>
      <c r="AW194" s="111">
        <v>0</v>
      </c>
      <c r="AX194" s="111">
        <v>0</v>
      </c>
      <c r="AY194" s="111">
        <v>0</v>
      </c>
    </row>
    <row r="195" spans="1:51" x14ac:dyDescent="0.25">
      <c r="A195" s="114"/>
      <c r="B195" s="135">
        <v>7</v>
      </c>
      <c r="C195" s="111"/>
      <c r="D195" s="111">
        <v>0</v>
      </c>
      <c r="E195" s="111">
        <v>0</v>
      </c>
      <c r="F195" s="111">
        <v>0</v>
      </c>
      <c r="G195" s="111">
        <v>0</v>
      </c>
      <c r="H195" s="111">
        <v>0</v>
      </c>
      <c r="I195" s="111">
        <v>0</v>
      </c>
      <c r="J195" s="111">
        <v>0</v>
      </c>
      <c r="K195" s="111">
        <v>0</v>
      </c>
      <c r="L195" s="111">
        <v>0</v>
      </c>
      <c r="M195" s="111">
        <v>0</v>
      </c>
      <c r="N195" s="111">
        <v>218.1875</v>
      </c>
      <c r="O195" s="111">
        <v>547</v>
      </c>
      <c r="P195" s="111">
        <v>318.375</v>
      </c>
      <c r="Q195" s="111">
        <v>0</v>
      </c>
      <c r="R195" s="111">
        <v>0</v>
      </c>
      <c r="S195" s="111">
        <v>0</v>
      </c>
      <c r="T195" s="111">
        <v>0</v>
      </c>
      <c r="U195" s="111">
        <v>0</v>
      </c>
      <c r="V195" s="111">
        <v>0</v>
      </c>
      <c r="W195" s="111">
        <v>0</v>
      </c>
      <c r="X195" s="111">
        <v>0</v>
      </c>
      <c r="Y195" s="111">
        <v>0</v>
      </c>
      <c r="Z195" s="111">
        <v>0</v>
      </c>
      <c r="AA195" s="111">
        <v>0</v>
      </c>
      <c r="AB195" s="111">
        <v>0</v>
      </c>
      <c r="AC195" s="111">
        <v>0</v>
      </c>
      <c r="AD195" s="111">
        <v>69.9375</v>
      </c>
      <c r="AE195" s="111">
        <v>0</v>
      </c>
      <c r="AF195" s="111">
        <v>360.9375</v>
      </c>
      <c r="AG195" s="111">
        <v>952.875</v>
      </c>
      <c r="AH195" s="111">
        <v>1247.0625</v>
      </c>
      <c r="AI195" s="111">
        <v>880.3125</v>
      </c>
      <c r="AJ195" s="111">
        <v>604.375</v>
      </c>
      <c r="AK195" s="111">
        <v>0</v>
      </c>
      <c r="AL195" s="111">
        <v>0</v>
      </c>
      <c r="AM195" s="111">
        <v>0</v>
      </c>
      <c r="AN195" s="111">
        <v>0</v>
      </c>
      <c r="AO195" s="111">
        <v>0</v>
      </c>
      <c r="AP195" s="111">
        <v>0</v>
      </c>
      <c r="AQ195" s="111">
        <v>0</v>
      </c>
      <c r="AR195" s="111">
        <v>0</v>
      </c>
      <c r="AS195" s="111">
        <v>0</v>
      </c>
      <c r="AT195" s="111">
        <v>0</v>
      </c>
      <c r="AU195" s="111">
        <v>0</v>
      </c>
      <c r="AV195" s="111">
        <v>0</v>
      </c>
      <c r="AW195" s="111">
        <v>0</v>
      </c>
      <c r="AX195" s="111">
        <v>0</v>
      </c>
      <c r="AY195" s="111">
        <v>0</v>
      </c>
    </row>
    <row r="196" spans="1:51" x14ac:dyDescent="0.25">
      <c r="A196" s="133"/>
      <c r="B196" s="134">
        <v>8</v>
      </c>
      <c r="C196" s="119"/>
      <c r="D196" s="119">
        <v>0</v>
      </c>
      <c r="E196" s="119">
        <v>0</v>
      </c>
      <c r="F196" s="119">
        <v>0</v>
      </c>
      <c r="G196" s="119">
        <v>0</v>
      </c>
      <c r="H196" s="119">
        <v>0</v>
      </c>
      <c r="I196" s="119">
        <v>0</v>
      </c>
      <c r="J196" s="119">
        <v>0</v>
      </c>
      <c r="K196" s="119">
        <v>0</v>
      </c>
      <c r="L196" s="119">
        <v>0</v>
      </c>
      <c r="M196" s="119">
        <v>0</v>
      </c>
      <c r="N196" s="119">
        <v>0</v>
      </c>
      <c r="O196" s="119">
        <v>0</v>
      </c>
      <c r="P196" s="119">
        <v>257.625</v>
      </c>
      <c r="Q196" s="119">
        <v>641</v>
      </c>
      <c r="R196" s="119">
        <v>582</v>
      </c>
      <c r="S196" s="119">
        <v>716</v>
      </c>
      <c r="T196" s="119">
        <v>764</v>
      </c>
      <c r="U196" s="119">
        <v>792</v>
      </c>
      <c r="V196" s="119">
        <v>770</v>
      </c>
      <c r="W196" s="119">
        <v>891</v>
      </c>
      <c r="X196" s="119">
        <v>1008</v>
      </c>
      <c r="Y196" s="119">
        <v>875</v>
      </c>
      <c r="Z196" s="119">
        <v>847</v>
      </c>
      <c r="AA196" s="119">
        <v>979</v>
      </c>
      <c r="AB196" s="119">
        <v>1208</v>
      </c>
      <c r="AC196" s="119">
        <v>1122</v>
      </c>
      <c r="AD196" s="119">
        <v>1247.0625</v>
      </c>
      <c r="AE196" s="119">
        <v>1083</v>
      </c>
      <c r="AF196" s="119">
        <v>1247.0625</v>
      </c>
      <c r="AG196" s="119">
        <v>886.125</v>
      </c>
      <c r="AH196" s="119">
        <v>294.1875</v>
      </c>
      <c r="AI196" s="119">
        <v>0</v>
      </c>
      <c r="AJ196" s="119">
        <v>0</v>
      </c>
      <c r="AK196" s="119">
        <v>0</v>
      </c>
      <c r="AL196" s="119">
        <v>0</v>
      </c>
      <c r="AM196" s="119">
        <v>0</v>
      </c>
      <c r="AN196" s="119">
        <v>0</v>
      </c>
      <c r="AO196" s="119">
        <v>0</v>
      </c>
      <c r="AP196" s="119">
        <v>0</v>
      </c>
      <c r="AQ196" s="119">
        <v>0</v>
      </c>
      <c r="AR196" s="119">
        <v>0</v>
      </c>
      <c r="AS196" s="119">
        <v>0</v>
      </c>
      <c r="AT196" s="119">
        <v>0</v>
      </c>
      <c r="AU196" s="119">
        <v>0</v>
      </c>
      <c r="AV196" s="119">
        <v>0</v>
      </c>
      <c r="AW196" s="119">
        <v>0</v>
      </c>
      <c r="AX196" s="119">
        <v>0</v>
      </c>
      <c r="AY196" s="119">
        <v>0</v>
      </c>
    </row>
    <row r="197" spans="1:51" x14ac:dyDescent="0.25">
      <c r="A197" s="136" t="s">
        <v>134</v>
      </c>
      <c r="B197" s="124">
        <v>1</v>
      </c>
      <c r="C197" s="111"/>
      <c r="D197" s="111">
        <v>0</v>
      </c>
      <c r="E197" s="111">
        <v>0</v>
      </c>
      <c r="F197" s="111">
        <v>0</v>
      </c>
      <c r="G197" s="111">
        <v>241</v>
      </c>
      <c r="H197" s="111">
        <v>0</v>
      </c>
      <c r="I197" s="111">
        <v>0</v>
      </c>
      <c r="J197" s="111">
        <v>0</v>
      </c>
      <c r="K197" s="111">
        <v>0</v>
      </c>
      <c r="L197" s="111">
        <v>0</v>
      </c>
      <c r="M197" s="111">
        <v>0</v>
      </c>
      <c r="N197" s="111">
        <v>0</v>
      </c>
      <c r="O197" s="111">
        <v>0</v>
      </c>
      <c r="P197" s="111">
        <v>0</v>
      </c>
      <c r="Q197" s="111">
        <v>0</v>
      </c>
      <c r="R197" s="111">
        <v>0</v>
      </c>
      <c r="S197" s="111">
        <v>0</v>
      </c>
      <c r="T197" s="111">
        <v>0</v>
      </c>
      <c r="U197" s="111">
        <v>0</v>
      </c>
      <c r="V197" s="111">
        <v>0</v>
      </c>
      <c r="W197" s="111">
        <v>0</v>
      </c>
      <c r="X197" s="111">
        <v>0</v>
      </c>
      <c r="Y197" s="111">
        <v>0</v>
      </c>
      <c r="Z197" s="111">
        <v>0</v>
      </c>
      <c r="AA197" s="111">
        <v>0</v>
      </c>
      <c r="AB197" s="111">
        <v>0</v>
      </c>
      <c r="AC197" s="111">
        <v>0</v>
      </c>
      <c r="AD197" s="111">
        <v>0</v>
      </c>
      <c r="AE197" s="111">
        <v>0</v>
      </c>
      <c r="AF197" s="111">
        <v>0</v>
      </c>
      <c r="AG197" s="111">
        <v>0</v>
      </c>
      <c r="AH197" s="111">
        <v>0</v>
      </c>
      <c r="AI197" s="111">
        <v>0</v>
      </c>
      <c r="AJ197" s="111">
        <v>0</v>
      </c>
      <c r="AK197" s="111">
        <v>0</v>
      </c>
      <c r="AL197" s="111">
        <v>0</v>
      </c>
      <c r="AM197" s="111">
        <v>0</v>
      </c>
      <c r="AN197" s="111">
        <v>0</v>
      </c>
      <c r="AO197" s="111">
        <v>0</v>
      </c>
      <c r="AP197" s="111">
        <v>74.774873358348984</v>
      </c>
      <c r="AQ197" s="111">
        <v>798.6083893058161</v>
      </c>
      <c r="AR197" s="111">
        <v>554.37666885553483</v>
      </c>
      <c r="AS197" s="111">
        <v>46.488750000000003</v>
      </c>
      <c r="AT197" s="111">
        <v>389.58677298311471</v>
      </c>
      <c r="AU197" s="111">
        <v>275.26972701688544</v>
      </c>
      <c r="AV197" s="111">
        <v>1077.7153311444654</v>
      </c>
      <c r="AW197" s="111">
        <v>600.86541885553481</v>
      </c>
      <c r="AX197" s="111">
        <v>392.97069183864954</v>
      </c>
      <c r="AY197" s="111">
        <v>70.758918855534716</v>
      </c>
    </row>
    <row r="198" spans="1:51" x14ac:dyDescent="0.25">
      <c r="A198" s="114"/>
      <c r="B198" s="124">
        <v>2</v>
      </c>
      <c r="C198" s="111"/>
      <c r="D198" s="111">
        <v>0</v>
      </c>
      <c r="E198" s="111">
        <v>0</v>
      </c>
      <c r="F198" s="111">
        <v>0</v>
      </c>
      <c r="G198" s="111">
        <v>0</v>
      </c>
      <c r="H198" s="111">
        <v>322</v>
      </c>
      <c r="I198" s="111">
        <v>337.51849999999979</v>
      </c>
      <c r="J198" s="111">
        <v>283.34660614446489</v>
      </c>
      <c r="K198" s="111">
        <v>0</v>
      </c>
      <c r="L198" s="111">
        <v>0</v>
      </c>
      <c r="M198" s="111">
        <v>0</v>
      </c>
      <c r="N198" s="111">
        <v>0</v>
      </c>
      <c r="O198" s="111">
        <v>0</v>
      </c>
      <c r="P198" s="111">
        <v>0</v>
      </c>
      <c r="Q198" s="111">
        <v>0</v>
      </c>
      <c r="R198" s="111">
        <v>0</v>
      </c>
      <c r="S198" s="111">
        <v>0</v>
      </c>
      <c r="T198" s="111">
        <v>0</v>
      </c>
      <c r="U198" s="111">
        <v>0</v>
      </c>
      <c r="V198" s="111">
        <v>0</v>
      </c>
      <c r="W198" s="111">
        <v>0</v>
      </c>
      <c r="X198" s="111">
        <v>0</v>
      </c>
      <c r="Y198" s="111">
        <v>0</v>
      </c>
      <c r="Z198" s="111">
        <v>0</v>
      </c>
      <c r="AA198" s="111">
        <v>0</v>
      </c>
      <c r="AB198" s="111">
        <v>0</v>
      </c>
      <c r="AC198" s="111">
        <v>0</v>
      </c>
      <c r="AD198" s="111">
        <v>0</v>
      </c>
      <c r="AE198" s="111">
        <v>0</v>
      </c>
      <c r="AF198" s="111">
        <v>0</v>
      </c>
      <c r="AG198" s="111">
        <v>0</v>
      </c>
      <c r="AH198" s="111">
        <v>0</v>
      </c>
      <c r="AI198" s="111">
        <v>0</v>
      </c>
      <c r="AJ198" s="111">
        <v>0</v>
      </c>
      <c r="AK198" s="111">
        <v>0</v>
      </c>
      <c r="AL198" s="111">
        <v>0</v>
      </c>
      <c r="AM198" s="111">
        <v>0</v>
      </c>
      <c r="AN198" s="111">
        <v>0</v>
      </c>
      <c r="AO198" s="111">
        <v>0</v>
      </c>
      <c r="AP198" s="111">
        <v>455.46493921200778</v>
      </c>
      <c r="AQ198" s="111">
        <v>0</v>
      </c>
      <c r="AR198" s="111">
        <v>0</v>
      </c>
      <c r="AS198" s="111">
        <v>0</v>
      </c>
      <c r="AT198" s="111">
        <v>0</v>
      </c>
      <c r="AU198" s="111">
        <v>0</v>
      </c>
      <c r="AV198" s="111">
        <v>0</v>
      </c>
      <c r="AW198" s="111">
        <v>0</v>
      </c>
      <c r="AX198" s="111">
        <v>0</v>
      </c>
      <c r="AY198" s="111">
        <v>0</v>
      </c>
    </row>
    <row r="199" spans="1:51" x14ac:dyDescent="0.25">
      <c r="A199" s="114"/>
      <c r="B199" s="124">
        <v>3</v>
      </c>
      <c r="C199" s="111"/>
      <c r="D199" s="111">
        <v>0</v>
      </c>
      <c r="E199" s="111">
        <v>0</v>
      </c>
      <c r="F199" s="111">
        <v>0</v>
      </c>
      <c r="G199" s="111">
        <v>0</v>
      </c>
      <c r="H199" s="111">
        <v>0</v>
      </c>
      <c r="I199" s="111">
        <v>34.48150000000021</v>
      </c>
      <c r="J199" s="111">
        <v>38.653393855535114</v>
      </c>
      <c r="K199" s="111">
        <v>386</v>
      </c>
      <c r="L199" s="111">
        <v>0</v>
      </c>
      <c r="M199" s="111">
        <v>0</v>
      </c>
      <c r="N199" s="111">
        <v>0</v>
      </c>
      <c r="O199" s="111">
        <v>0</v>
      </c>
      <c r="P199" s="111">
        <v>0</v>
      </c>
      <c r="Q199" s="111">
        <v>0</v>
      </c>
      <c r="R199" s="111">
        <v>0</v>
      </c>
      <c r="S199" s="111">
        <v>0</v>
      </c>
      <c r="T199" s="111">
        <v>0</v>
      </c>
      <c r="U199" s="111">
        <v>0</v>
      </c>
      <c r="V199" s="111">
        <v>0</v>
      </c>
      <c r="W199" s="111">
        <v>0</v>
      </c>
      <c r="X199" s="111">
        <v>0</v>
      </c>
      <c r="Y199" s="111">
        <v>0</v>
      </c>
      <c r="Z199" s="111">
        <v>0</v>
      </c>
      <c r="AA199" s="111">
        <v>0</v>
      </c>
      <c r="AB199" s="111">
        <v>0</v>
      </c>
      <c r="AC199" s="111">
        <v>0</v>
      </c>
      <c r="AD199" s="111">
        <v>0</v>
      </c>
      <c r="AE199" s="111">
        <v>0</v>
      </c>
      <c r="AF199" s="111">
        <v>0</v>
      </c>
      <c r="AG199" s="111">
        <v>0</v>
      </c>
      <c r="AH199" s="111">
        <v>0</v>
      </c>
      <c r="AI199" s="111">
        <v>0</v>
      </c>
      <c r="AJ199" s="111">
        <v>0</v>
      </c>
      <c r="AK199" s="111">
        <v>0</v>
      </c>
      <c r="AL199" s="111">
        <v>0</v>
      </c>
      <c r="AM199" s="111">
        <v>0</v>
      </c>
      <c r="AN199" s="111">
        <v>0</v>
      </c>
      <c r="AO199" s="111">
        <v>0</v>
      </c>
      <c r="AP199" s="111">
        <v>806.00826266416504</v>
      </c>
      <c r="AQ199" s="111">
        <v>0</v>
      </c>
      <c r="AR199" s="111">
        <v>0</v>
      </c>
      <c r="AS199" s="111">
        <v>0</v>
      </c>
      <c r="AT199" s="111">
        <v>0</v>
      </c>
      <c r="AU199" s="111">
        <v>0</v>
      </c>
      <c r="AV199" s="111">
        <v>0</v>
      </c>
      <c r="AW199" s="111">
        <v>0</v>
      </c>
      <c r="AX199" s="111">
        <v>0</v>
      </c>
      <c r="AY199" s="111">
        <v>0</v>
      </c>
    </row>
    <row r="200" spans="1:51" x14ac:dyDescent="0.25">
      <c r="A200" s="114"/>
      <c r="B200" s="125">
        <v>4</v>
      </c>
      <c r="C200" s="111"/>
      <c r="D200" s="111">
        <v>0</v>
      </c>
      <c r="E200" s="111">
        <v>0</v>
      </c>
      <c r="F200" s="111">
        <v>0</v>
      </c>
      <c r="G200" s="111">
        <v>0</v>
      </c>
      <c r="H200" s="111">
        <v>0</v>
      </c>
      <c r="I200" s="111">
        <v>0</v>
      </c>
      <c r="J200" s="111">
        <v>0</v>
      </c>
      <c r="K200" s="111">
        <v>0</v>
      </c>
      <c r="L200" s="111">
        <v>416</v>
      </c>
      <c r="M200" s="111">
        <v>257.33562513836705</v>
      </c>
      <c r="N200" s="111">
        <v>0</v>
      </c>
      <c r="O200" s="111">
        <v>0</v>
      </c>
      <c r="P200" s="111">
        <v>0</v>
      </c>
      <c r="Q200" s="111">
        <v>0</v>
      </c>
      <c r="R200" s="111">
        <v>0</v>
      </c>
      <c r="S200" s="111">
        <v>0</v>
      </c>
      <c r="T200" s="111">
        <v>0</v>
      </c>
      <c r="U200" s="111">
        <v>0</v>
      </c>
      <c r="V200" s="111">
        <v>0</v>
      </c>
      <c r="W200" s="111">
        <v>0</v>
      </c>
      <c r="X200" s="111">
        <v>0</v>
      </c>
      <c r="Y200" s="111">
        <v>0</v>
      </c>
      <c r="Z200" s="111">
        <v>0</v>
      </c>
      <c r="AA200" s="111">
        <v>0</v>
      </c>
      <c r="AB200" s="111">
        <v>0</v>
      </c>
      <c r="AC200" s="111">
        <v>0</v>
      </c>
      <c r="AD200" s="111">
        <v>0</v>
      </c>
      <c r="AE200" s="111">
        <v>0</v>
      </c>
      <c r="AF200" s="111">
        <v>0</v>
      </c>
      <c r="AG200" s="111">
        <v>0</v>
      </c>
      <c r="AH200" s="111">
        <v>0</v>
      </c>
      <c r="AI200" s="111">
        <v>0</v>
      </c>
      <c r="AJ200" s="111">
        <v>0</v>
      </c>
      <c r="AK200" s="111">
        <v>0</v>
      </c>
      <c r="AL200" s="111">
        <v>0</v>
      </c>
      <c r="AM200" s="111">
        <v>0</v>
      </c>
      <c r="AN200" s="111">
        <v>0</v>
      </c>
      <c r="AO200" s="111">
        <v>0</v>
      </c>
      <c r="AP200" s="111">
        <v>388.95473733583515</v>
      </c>
      <c r="AQ200" s="111">
        <v>0</v>
      </c>
      <c r="AR200" s="111">
        <v>0</v>
      </c>
      <c r="AS200" s="111">
        <v>0</v>
      </c>
      <c r="AT200" s="111">
        <v>0</v>
      </c>
      <c r="AU200" s="111">
        <v>0</v>
      </c>
      <c r="AV200" s="111">
        <v>0</v>
      </c>
      <c r="AW200" s="111">
        <v>0</v>
      </c>
      <c r="AX200" s="111">
        <v>0</v>
      </c>
      <c r="AY200" s="111">
        <v>0</v>
      </c>
    </row>
    <row r="201" spans="1:51" x14ac:dyDescent="0.25">
      <c r="A201" s="114"/>
      <c r="B201" s="125">
        <v>5</v>
      </c>
      <c r="C201" s="111"/>
      <c r="D201" s="111">
        <v>0</v>
      </c>
      <c r="E201" s="111">
        <v>0</v>
      </c>
      <c r="F201" s="111">
        <v>0</v>
      </c>
      <c r="G201" s="111">
        <v>0</v>
      </c>
      <c r="H201" s="111">
        <v>0</v>
      </c>
      <c r="I201" s="111">
        <v>0</v>
      </c>
      <c r="J201" s="111">
        <v>0</v>
      </c>
      <c r="K201" s="111">
        <v>0</v>
      </c>
      <c r="L201" s="111">
        <v>0</v>
      </c>
      <c r="M201" s="111">
        <v>164.66437486163295</v>
      </c>
      <c r="N201" s="111">
        <v>353</v>
      </c>
      <c r="O201" s="111">
        <v>273.53490633993806</v>
      </c>
      <c r="P201" s="111">
        <v>1.8937472823096186</v>
      </c>
      <c r="Q201" s="111">
        <v>0</v>
      </c>
      <c r="R201" s="111">
        <v>0</v>
      </c>
      <c r="S201" s="111">
        <v>0</v>
      </c>
      <c r="T201" s="111">
        <v>0</v>
      </c>
      <c r="U201" s="111">
        <v>0</v>
      </c>
      <c r="V201" s="111">
        <v>0</v>
      </c>
      <c r="W201" s="111">
        <v>0</v>
      </c>
      <c r="X201" s="111">
        <v>0</v>
      </c>
      <c r="Y201" s="111">
        <v>0</v>
      </c>
      <c r="Z201" s="111">
        <v>0</v>
      </c>
      <c r="AA201" s="111">
        <v>0</v>
      </c>
      <c r="AB201" s="111">
        <v>0</v>
      </c>
      <c r="AC201" s="111">
        <v>0</v>
      </c>
      <c r="AD201" s="111">
        <v>0</v>
      </c>
      <c r="AE201" s="111">
        <v>0</v>
      </c>
      <c r="AF201" s="111">
        <v>0</v>
      </c>
      <c r="AG201" s="111">
        <v>0</v>
      </c>
      <c r="AH201" s="111">
        <v>0</v>
      </c>
      <c r="AI201" s="111">
        <v>0</v>
      </c>
      <c r="AJ201" s="111">
        <v>0</v>
      </c>
      <c r="AK201" s="111">
        <v>0</v>
      </c>
      <c r="AL201" s="111">
        <v>0</v>
      </c>
      <c r="AM201" s="111">
        <v>0</v>
      </c>
      <c r="AN201" s="111">
        <v>0</v>
      </c>
      <c r="AO201" s="111">
        <v>335.22125442654078</v>
      </c>
      <c r="AP201" s="111">
        <v>90.596794583516584</v>
      </c>
      <c r="AQ201" s="111">
        <v>0</v>
      </c>
      <c r="AR201" s="111">
        <v>0</v>
      </c>
      <c r="AS201" s="111">
        <v>0</v>
      </c>
      <c r="AT201" s="111">
        <v>0</v>
      </c>
      <c r="AU201" s="111">
        <v>0</v>
      </c>
      <c r="AV201" s="111">
        <v>0</v>
      </c>
      <c r="AW201" s="111">
        <v>0</v>
      </c>
      <c r="AX201" s="111">
        <v>0</v>
      </c>
      <c r="AY201" s="111">
        <v>0</v>
      </c>
    </row>
    <row r="202" spans="1:51" x14ac:dyDescent="0.25">
      <c r="A202" s="114"/>
      <c r="B202" s="125">
        <v>6</v>
      </c>
      <c r="C202" s="111"/>
      <c r="D202" s="111">
        <v>0</v>
      </c>
      <c r="E202" s="111">
        <v>0</v>
      </c>
      <c r="F202" s="111">
        <v>0</v>
      </c>
      <c r="G202" s="111">
        <v>0</v>
      </c>
      <c r="H202" s="111">
        <v>0</v>
      </c>
      <c r="I202" s="111">
        <v>0</v>
      </c>
      <c r="J202" s="111">
        <v>0</v>
      </c>
      <c r="K202" s="111">
        <v>0</v>
      </c>
      <c r="L202" s="111">
        <v>0</v>
      </c>
      <c r="M202" s="111">
        <v>0</v>
      </c>
      <c r="N202" s="111">
        <v>0</v>
      </c>
      <c r="O202" s="111">
        <v>194.46509366006194</v>
      </c>
      <c r="P202" s="111">
        <v>542.10625271769038</v>
      </c>
      <c r="Q202" s="111">
        <v>441</v>
      </c>
      <c r="R202" s="111">
        <v>0</v>
      </c>
      <c r="S202" s="111">
        <v>0</v>
      </c>
      <c r="T202" s="111">
        <v>0</v>
      </c>
      <c r="U202" s="111">
        <v>0</v>
      </c>
      <c r="V202" s="111">
        <v>0</v>
      </c>
      <c r="W202" s="111">
        <v>0</v>
      </c>
      <c r="X202" s="111">
        <v>0</v>
      </c>
      <c r="Y202" s="111">
        <v>0</v>
      </c>
      <c r="Z202" s="111">
        <v>0</v>
      </c>
      <c r="AA202" s="111">
        <v>0</v>
      </c>
      <c r="AB202" s="111">
        <v>0</v>
      </c>
      <c r="AC202" s="111">
        <v>0</v>
      </c>
      <c r="AD202" s="111">
        <v>0</v>
      </c>
      <c r="AE202" s="111">
        <v>0</v>
      </c>
      <c r="AF202" s="111">
        <v>0</v>
      </c>
      <c r="AG202" s="111">
        <v>0</v>
      </c>
      <c r="AH202" s="111">
        <v>0</v>
      </c>
      <c r="AI202" s="111">
        <v>0</v>
      </c>
      <c r="AJ202" s="111">
        <v>0</v>
      </c>
      <c r="AK202" s="111">
        <v>0</v>
      </c>
      <c r="AL202" s="111">
        <v>0</v>
      </c>
      <c r="AM202" s="111">
        <v>0</v>
      </c>
      <c r="AN202" s="111">
        <v>0</v>
      </c>
      <c r="AO202" s="111">
        <v>853.88991457537122</v>
      </c>
      <c r="AP202" s="111">
        <v>561.96631668910163</v>
      </c>
      <c r="AQ202" s="111">
        <v>0</v>
      </c>
      <c r="AR202" s="111">
        <v>0</v>
      </c>
      <c r="AS202" s="111">
        <v>0</v>
      </c>
      <c r="AT202" s="111">
        <v>0</v>
      </c>
      <c r="AU202" s="111">
        <v>0</v>
      </c>
      <c r="AV202" s="111">
        <v>0</v>
      </c>
      <c r="AW202" s="111">
        <v>0</v>
      </c>
      <c r="AX202" s="111">
        <v>0</v>
      </c>
      <c r="AY202" s="111">
        <v>0</v>
      </c>
    </row>
    <row r="203" spans="1:51" x14ac:dyDescent="0.25">
      <c r="A203" s="114"/>
      <c r="B203" s="132">
        <v>7</v>
      </c>
      <c r="C203" s="111"/>
      <c r="D203" s="111">
        <v>0</v>
      </c>
      <c r="E203" s="111">
        <v>0</v>
      </c>
      <c r="F203" s="111">
        <v>0</v>
      </c>
      <c r="G203" s="111">
        <v>0</v>
      </c>
      <c r="H203" s="111">
        <v>0</v>
      </c>
      <c r="I203" s="111">
        <v>0</v>
      </c>
      <c r="J203" s="111">
        <v>0</v>
      </c>
      <c r="K203" s="111">
        <v>0</v>
      </c>
      <c r="L203" s="111">
        <v>0</v>
      </c>
      <c r="M203" s="111">
        <v>0</v>
      </c>
      <c r="N203" s="111">
        <v>0</v>
      </c>
      <c r="O203" s="111">
        <v>0</v>
      </c>
      <c r="P203" s="111">
        <v>0</v>
      </c>
      <c r="Q203" s="111">
        <v>0</v>
      </c>
      <c r="R203" s="111">
        <v>425</v>
      </c>
      <c r="S203" s="111">
        <v>0</v>
      </c>
      <c r="T203" s="111">
        <v>0</v>
      </c>
      <c r="U203" s="111">
        <v>0</v>
      </c>
      <c r="V203" s="111">
        <v>0</v>
      </c>
      <c r="W203" s="111">
        <v>0</v>
      </c>
      <c r="X203" s="111">
        <v>0</v>
      </c>
      <c r="Y203" s="111">
        <v>0</v>
      </c>
      <c r="Z203" s="111">
        <v>0</v>
      </c>
      <c r="AA203" s="111">
        <v>0</v>
      </c>
      <c r="AB203" s="111">
        <v>0</v>
      </c>
      <c r="AC203" s="111">
        <v>0</v>
      </c>
      <c r="AD203" s="111">
        <v>0</v>
      </c>
      <c r="AE203" s="111">
        <v>0</v>
      </c>
      <c r="AF203" s="111">
        <v>0</v>
      </c>
      <c r="AG203" s="111">
        <v>0</v>
      </c>
      <c r="AH203" s="111">
        <v>0</v>
      </c>
      <c r="AI203" s="111">
        <v>0</v>
      </c>
      <c r="AJ203" s="111">
        <v>0</v>
      </c>
      <c r="AK203" s="111">
        <v>0</v>
      </c>
      <c r="AL203" s="111">
        <v>0</v>
      </c>
      <c r="AM203" s="111">
        <v>0</v>
      </c>
      <c r="AN203" s="111">
        <v>0</v>
      </c>
      <c r="AO203" s="111">
        <v>717.90951932074711</v>
      </c>
      <c r="AP203" s="111">
        <v>0</v>
      </c>
      <c r="AQ203" s="111">
        <v>0</v>
      </c>
      <c r="AR203" s="111">
        <v>0</v>
      </c>
      <c r="AS203" s="111">
        <v>0</v>
      </c>
      <c r="AT203" s="111">
        <v>0</v>
      </c>
      <c r="AU203" s="111">
        <v>0</v>
      </c>
      <c r="AV203" s="111">
        <v>0</v>
      </c>
      <c r="AW203" s="111">
        <v>0</v>
      </c>
      <c r="AX203" s="111">
        <v>0</v>
      </c>
      <c r="AY203" s="111">
        <v>0</v>
      </c>
    </row>
    <row r="204" spans="1:51" x14ac:dyDescent="0.25">
      <c r="A204" s="114"/>
      <c r="B204" s="132">
        <v>8</v>
      </c>
      <c r="C204" s="111"/>
      <c r="D204" s="111">
        <v>0</v>
      </c>
      <c r="E204" s="111">
        <v>0</v>
      </c>
      <c r="F204" s="111">
        <v>0</v>
      </c>
      <c r="G204" s="111">
        <v>0</v>
      </c>
      <c r="H204" s="111">
        <v>0</v>
      </c>
      <c r="I204" s="111">
        <v>0</v>
      </c>
      <c r="J204" s="111">
        <v>0</v>
      </c>
      <c r="K204" s="111">
        <v>0</v>
      </c>
      <c r="L204" s="111">
        <v>0</v>
      </c>
      <c r="M204" s="111">
        <v>0</v>
      </c>
      <c r="N204" s="111">
        <v>0</v>
      </c>
      <c r="O204" s="111">
        <v>0</v>
      </c>
      <c r="P204" s="111">
        <v>0</v>
      </c>
      <c r="Q204" s="111">
        <v>0</v>
      </c>
      <c r="R204" s="111">
        <v>0</v>
      </c>
      <c r="S204" s="111">
        <v>479</v>
      </c>
      <c r="T204" s="111">
        <v>440.22176687796582</v>
      </c>
      <c r="U204" s="111">
        <v>0</v>
      </c>
      <c r="V204" s="111">
        <v>0</v>
      </c>
      <c r="W204" s="111">
        <v>0</v>
      </c>
      <c r="X204" s="111">
        <v>0</v>
      </c>
      <c r="Y204" s="111">
        <v>0</v>
      </c>
      <c r="Z204" s="111">
        <v>0</v>
      </c>
      <c r="AA204" s="111">
        <v>0</v>
      </c>
      <c r="AB204" s="111">
        <v>0</v>
      </c>
      <c r="AC204" s="111">
        <v>0</v>
      </c>
      <c r="AD204" s="111">
        <v>0</v>
      </c>
      <c r="AE204" s="111">
        <v>0</v>
      </c>
      <c r="AF204" s="111">
        <v>0</v>
      </c>
      <c r="AG204" s="111">
        <v>0</v>
      </c>
      <c r="AH204" s="111">
        <v>0</v>
      </c>
      <c r="AI204" s="111">
        <v>0</v>
      </c>
      <c r="AJ204" s="111">
        <v>0</v>
      </c>
      <c r="AK204" s="111">
        <v>0</v>
      </c>
      <c r="AL204" s="111">
        <v>0</v>
      </c>
      <c r="AM204" s="111">
        <v>0</v>
      </c>
      <c r="AN204" s="111">
        <v>854.52071010016402</v>
      </c>
      <c r="AO204" s="111">
        <v>889.6676866732804</v>
      </c>
      <c r="AP204" s="111">
        <v>0</v>
      </c>
      <c r="AQ204" s="111">
        <v>0</v>
      </c>
      <c r="AR204" s="111">
        <v>0</v>
      </c>
      <c r="AS204" s="111">
        <v>0</v>
      </c>
      <c r="AT204" s="111">
        <v>0</v>
      </c>
      <c r="AU204" s="111">
        <v>0</v>
      </c>
      <c r="AV204" s="111">
        <v>0</v>
      </c>
      <c r="AW204" s="111">
        <v>0</v>
      </c>
      <c r="AX204" s="111">
        <v>0</v>
      </c>
      <c r="AY204" s="111">
        <v>0</v>
      </c>
    </row>
    <row r="205" spans="1:51" x14ac:dyDescent="0.25">
      <c r="A205" s="114"/>
      <c r="B205" s="132">
        <v>9</v>
      </c>
      <c r="C205" s="111"/>
      <c r="D205" s="111">
        <v>0</v>
      </c>
      <c r="E205" s="111">
        <v>0</v>
      </c>
      <c r="F205" s="111">
        <v>0</v>
      </c>
      <c r="G205" s="111">
        <v>0</v>
      </c>
      <c r="H205" s="111">
        <v>0</v>
      </c>
      <c r="I205" s="111">
        <v>0</v>
      </c>
      <c r="J205" s="111">
        <v>0</v>
      </c>
      <c r="K205" s="111">
        <v>0</v>
      </c>
      <c r="L205" s="111">
        <v>0</v>
      </c>
      <c r="M205" s="111">
        <v>0</v>
      </c>
      <c r="N205" s="111">
        <v>0</v>
      </c>
      <c r="O205" s="111">
        <v>0</v>
      </c>
      <c r="P205" s="111">
        <v>0</v>
      </c>
      <c r="Q205" s="111">
        <v>0</v>
      </c>
      <c r="R205" s="111">
        <v>0</v>
      </c>
      <c r="S205" s="111">
        <v>0</v>
      </c>
      <c r="T205" s="111">
        <v>327.77823312203418</v>
      </c>
      <c r="U205" s="111">
        <v>602</v>
      </c>
      <c r="V205" s="111">
        <v>109.61943411795619</v>
      </c>
      <c r="W205" s="111">
        <v>0</v>
      </c>
      <c r="X205" s="111">
        <v>0</v>
      </c>
      <c r="Y205" s="111">
        <v>0</v>
      </c>
      <c r="Z205" s="111">
        <v>0</v>
      </c>
      <c r="AA205" s="111">
        <v>0</v>
      </c>
      <c r="AB205" s="111">
        <v>0</v>
      </c>
      <c r="AC205" s="111">
        <v>0</v>
      </c>
      <c r="AD205" s="111">
        <v>0</v>
      </c>
      <c r="AE205" s="111">
        <v>0</v>
      </c>
      <c r="AF205" s="111">
        <v>0</v>
      </c>
      <c r="AG205" s="111">
        <v>0</v>
      </c>
      <c r="AH205" s="111">
        <v>0</v>
      </c>
      <c r="AI205" s="111">
        <v>0</v>
      </c>
      <c r="AJ205" s="111">
        <v>0</v>
      </c>
      <c r="AK205" s="111">
        <v>0</v>
      </c>
      <c r="AL205" s="111">
        <v>93.951355345504453</v>
      </c>
      <c r="AM205" s="111">
        <v>528.56762554987722</v>
      </c>
      <c r="AN205" s="111">
        <v>1045.01115993809</v>
      </c>
      <c r="AO205" s="111">
        <v>270.31162500406003</v>
      </c>
      <c r="AP205" s="111">
        <v>0</v>
      </c>
      <c r="AQ205" s="111">
        <v>0</v>
      </c>
      <c r="AR205" s="111">
        <v>0</v>
      </c>
      <c r="AS205" s="111">
        <v>0</v>
      </c>
      <c r="AT205" s="111">
        <v>0</v>
      </c>
      <c r="AU205" s="111">
        <v>0</v>
      </c>
      <c r="AV205" s="111">
        <v>0</v>
      </c>
      <c r="AW205" s="111">
        <v>0</v>
      </c>
      <c r="AX205" s="111">
        <v>0</v>
      </c>
      <c r="AY205" s="111">
        <v>0</v>
      </c>
    </row>
    <row r="206" spans="1:51" x14ac:dyDescent="0.25">
      <c r="A206" s="114"/>
      <c r="B206" s="135">
        <v>10</v>
      </c>
      <c r="C206" s="111"/>
      <c r="D206" s="111">
        <v>0</v>
      </c>
      <c r="E206" s="111">
        <v>0</v>
      </c>
      <c r="F206" s="111">
        <v>0</v>
      </c>
      <c r="G206" s="111">
        <v>0</v>
      </c>
      <c r="H206" s="111">
        <v>0</v>
      </c>
      <c r="I206" s="111">
        <v>0</v>
      </c>
      <c r="J206" s="111">
        <v>0</v>
      </c>
      <c r="K206" s="111">
        <v>0</v>
      </c>
      <c r="L206" s="111">
        <v>0</v>
      </c>
      <c r="M206" s="111">
        <v>0</v>
      </c>
      <c r="N206" s="111">
        <v>0</v>
      </c>
      <c r="O206" s="111">
        <v>0</v>
      </c>
      <c r="P206" s="111">
        <v>0</v>
      </c>
      <c r="Q206" s="111">
        <v>0</v>
      </c>
      <c r="R206" s="111">
        <v>0</v>
      </c>
      <c r="S206" s="111">
        <v>0</v>
      </c>
      <c r="T206" s="111">
        <v>0</v>
      </c>
      <c r="U206" s="111">
        <v>0</v>
      </c>
      <c r="V206" s="111">
        <v>554.38056588204381</v>
      </c>
      <c r="W206" s="111">
        <v>588</v>
      </c>
      <c r="X206" s="111">
        <v>63.219213321135612</v>
      </c>
      <c r="Y206" s="111">
        <v>0</v>
      </c>
      <c r="Z206" s="111">
        <v>0</v>
      </c>
      <c r="AA206" s="111">
        <v>0</v>
      </c>
      <c r="AB206" s="111">
        <v>0</v>
      </c>
      <c r="AC206" s="111">
        <v>0</v>
      </c>
      <c r="AD206" s="111">
        <v>0</v>
      </c>
      <c r="AE206" s="111">
        <v>0</v>
      </c>
      <c r="AF206" s="111">
        <v>0</v>
      </c>
      <c r="AG206" s="111">
        <v>0</v>
      </c>
      <c r="AH206" s="111">
        <v>0</v>
      </c>
      <c r="AI206" s="111">
        <v>0</v>
      </c>
      <c r="AJ206" s="111">
        <v>0</v>
      </c>
      <c r="AK206" s="111">
        <v>312.70407643419094</v>
      </c>
      <c r="AL206" s="111">
        <v>1409.8250389120194</v>
      </c>
      <c r="AM206" s="111">
        <v>1203.4323744501228</v>
      </c>
      <c r="AN206" s="111">
        <v>692.46812996174594</v>
      </c>
      <c r="AO206" s="111">
        <v>0</v>
      </c>
      <c r="AP206" s="111">
        <v>0</v>
      </c>
      <c r="AQ206" s="111">
        <v>0</v>
      </c>
      <c r="AR206" s="111">
        <v>0</v>
      </c>
      <c r="AS206" s="111">
        <v>0</v>
      </c>
      <c r="AT206" s="111">
        <v>0</v>
      </c>
      <c r="AU206" s="111">
        <v>0</v>
      </c>
      <c r="AV206" s="111">
        <v>0</v>
      </c>
      <c r="AW206" s="111">
        <v>0</v>
      </c>
      <c r="AX206" s="111">
        <v>0</v>
      </c>
      <c r="AY206" s="111">
        <v>0</v>
      </c>
    </row>
    <row r="207" spans="1:51" x14ac:dyDescent="0.25">
      <c r="A207" s="114"/>
      <c r="B207" s="135">
        <v>11</v>
      </c>
      <c r="C207" s="111"/>
      <c r="D207" s="111">
        <v>0</v>
      </c>
      <c r="E207" s="111">
        <v>0</v>
      </c>
      <c r="F207" s="111">
        <v>0</v>
      </c>
      <c r="G207" s="111">
        <v>0</v>
      </c>
      <c r="H207" s="111">
        <v>0</v>
      </c>
      <c r="I207" s="111">
        <v>0</v>
      </c>
      <c r="J207" s="111">
        <v>0</v>
      </c>
      <c r="K207" s="111">
        <v>0</v>
      </c>
      <c r="L207" s="111">
        <v>0</v>
      </c>
      <c r="M207" s="111">
        <v>0</v>
      </c>
      <c r="N207" s="111">
        <v>0</v>
      </c>
      <c r="O207" s="111">
        <v>0</v>
      </c>
      <c r="P207" s="111">
        <v>0</v>
      </c>
      <c r="Q207" s="111">
        <v>0</v>
      </c>
      <c r="R207" s="111">
        <v>0</v>
      </c>
      <c r="S207" s="111">
        <v>0</v>
      </c>
      <c r="T207" s="111">
        <v>0</v>
      </c>
      <c r="U207" s="111">
        <v>0</v>
      </c>
      <c r="V207" s="111">
        <v>0</v>
      </c>
      <c r="W207" s="111">
        <v>0</v>
      </c>
      <c r="X207" s="111">
        <v>781.78078667886439</v>
      </c>
      <c r="Y207" s="111">
        <v>733</v>
      </c>
      <c r="Z207" s="111">
        <v>61.149943161550937</v>
      </c>
      <c r="AA207" s="111">
        <v>0</v>
      </c>
      <c r="AB207" s="111">
        <v>0</v>
      </c>
      <c r="AC207" s="111">
        <v>0</v>
      </c>
      <c r="AD207" s="111">
        <v>0</v>
      </c>
      <c r="AE207" s="111">
        <v>0</v>
      </c>
      <c r="AF207" s="111">
        <v>0</v>
      </c>
      <c r="AG207" s="111">
        <v>74.067199078114754</v>
      </c>
      <c r="AH207" s="111">
        <v>121.72454733442396</v>
      </c>
      <c r="AI207" s="111">
        <v>394.82515484549003</v>
      </c>
      <c r="AJ207" s="111">
        <v>734.06985788903353</v>
      </c>
      <c r="AK207" s="111">
        <v>1416.8502802717953</v>
      </c>
      <c r="AL207" s="111">
        <v>450.22360574247614</v>
      </c>
      <c r="AM207" s="111">
        <v>0</v>
      </c>
      <c r="AN207" s="111">
        <v>0</v>
      </c>
      <c r="AO207" s="111">
        <v>0</v>
      </c>
      <c r="AP207" s="111">
        <v>0</v>
      </c>
      <c r="AQ207" s="111">
        <v>0</v>
      </c>
      <c r="AR207" s="111">
        <v>0</v>
      </c>
      <c r="AS207" s="111">
        <v>0</v>
      </c>
      <c r="AT207" s="111">
        <v>0</v>
      </c>
      <c r="AU207" s="111">
        <v>0</v>
      </c>
      <c r="AV207" s="111">
        <v>0</v>
      </c>
      <c r="AW207" s="111">
        <v>0</v>
      </c>
      <c r="AX207" s="111">
        <v>0</v>
      </c>
      <c r="AY207" s="111">
        <v>0</v>
      </c>
    </row>
    <row r="208" spans="1:51" x14ac:dyDescent="0.25">
      <c r="A208" s="114"/>
      <c r="B208" s="135">
        <v>12</v>
      </c>
      <c r="C208" s="111"/>
      <c r="D208" s="111">
        <v>0</v>
      </c>
      <c r="E208" s="111">
        <v>0</v>
      </c>
      <c r="F208" s="111">
        <v>0</v>
      </c>
      <c r="G208" s="111">
        <v>0</v>
      </c>
      <c r="H208" s="111">
        <v>0</v>
      </c>
      <c r="I208" s="111">
        <v>0</v>
      </c>
      <c r="J208" s="111">
        <v>0</v>
      </c>
      <c r="K208" s="111">
        <v>0</v>
      </c>
      <c r="L208" s="111">
        <v>0</v>
      </c>
      <c r="M208" s="111">
        <v>0</v>
      </c>
      <c r="N208" s="111">
        <v>0</v>
      </c>
      <c r="O208" s="111">
        <v>0</v>
      </c>
      <c r="P208" s="111">
        <v>0</v>
      </c>
      <c r="Q208" s="111">
        <v>0</v>
      </c>
      <c r="R208" s="111">
        <v>0</v>
      </c>
      <c r="S208" s="111">
        <v>0</v>
      </c>
      <c r="T208" s="111">
        <v>0</v>
      </c>
      <c r="U208" s="111">
        <v>0</v>
      </c>
      <c r="V208" s="111">
        <v>0</v>
      </c>
      <c r="W208" s="111">
        <v>0</v>
      </c>
      <c r="X208" s="111">
        <v>0</v>
      </c>
      <c r="Y208" s="111">
        <v>0</v>
      </c>
      <c r="Z208" s="111">
        <v>730.85005683844906</v>
      </c>
      <c r="AA208" s="111">
        <v>744</v>
      </c>
      <c r="AB208" s="111">
        <v>901</v>
      </c>
      <c r="AC208" s="111">
        <v>845</v>
      </c>
      <c r="AD208" s="111">
        <v>1035</v>
      </c>
      <c r="AE208" s="111">
        <v>1035</v>
      </c>
      <c r="AF208" s="111">
        <v>1245</v>
      </c>
      <c r="AG208" s="111">
        <v>1344.9328009218852</v>
      </c>
      <c r="AH208" s="111">
        <v>1270.275452665576</v>
      </c>
      <c r="AI208" s="111">
        <v>1153.17484515451</v>
      </c>
      <c r="AJ208" s="111">
        <v>681.93014211096647</v>
      </c>
      <c r="AK208" s="111">
        <v>100.44564329401385</v>
      </c>
      <c r="AL208" s="111">
        <v>0</v>
      </c>
      <c r="AM208" s="111">
        <v>0</v>
      </c>
      <c r="AN208" s="111">
        <v>0</v>
      </c>
      <c r="AO208" s="111">
        <v>0</v>
      </c>
      <c r="AP208" s="111">
        <v>0</v>
      </c>
      <c r="AQ208" s="111">
        <v>0</v>
      </c>
      <c r="AR208" s="111">
        <v>0</v>
      </c>
      <c r="AS208" s="111">
        <v>0</v>
      </c>
      <c r="AT208" s="111">
        <v>0</v>
      </c>
      <c r="AU208" s="111">
        <v>0</v>
      </c>
      <c r="AV208" s="111">
        <v>0</v>
      </c>
      <c r="AW208" s="111">
        <v>0</v>
      </c>
      <c r="AX208" s="111">
        <v>0</v>
      </c>
      <c r="AY208" s="111">
        <v>0</v>
      </c>
    </row>
    <row r="209" spans="1:51" x14ac:dyDescent="0.25">
      <c r="A209" s="131" t="s">
        <v>123</v>
      </c>
      <c r="B209" s="128">
        <v>1</v>
      </c>
      <c r="C209" s="129"/>
      <c r="D209" s="129">
        <v>0</v>
      </c>
      <c r="E209" s="129">
        <v>0</v>
      </c>
      <c r="F209" s="129">
        <v>237</v>
      </c>
      <c r="G209" s="129">
        <v>0</v>
      </c>
      <c r="H209" s="129">
        <v>0</v>
      </c>
      <c r="I209" s="129">
        <v>0</v>
      </c>
      <c r="J209" s="129">
        <v>0</v>
      </c>
      <c r="K209" s="129">
        <v>0</v>
      </c>
      <c r="L209" s="129">
        <v>0</v>
      </c>
      <c r="M209" s="129">
        <v>0</v>
      </c>
      <c r="N209" s="129">
        <v>0</v>
      </c>
      <c r="O209" s="129">
        <v>0</v>
      </c>
      <c r="P209" s="129">
        <v>0</v>
      </c>
      <c r="Q209" s="129">
        <v>0</v>
      </c>
      <c r="R209" s="129">
        <v>0</v>
      </c>
      <c r="S209" s="129">
        <v>0</v>
      </c>
      <c r="T209" s="129">
        <v>0</v>
      </c>
      <c r="U209" s="129">
        <v>0</v>
      </c>
      <c r="V209" s="129">
        <v>0</v>
      </c>
      <c r="W209" s="129">
        <v>0</v>
      </c>
      <c r="X209" s="129">
        <v>0</v>
      </c>
      <c r="Y209" s="129">
        <v>0</v>
      </c>
      <c r="Z209" s="129">
        <v>0</v>
      </c>
      <c r="AA209" s="129">
        <v>0</v>
      </c>
      <c r="AB209" s="129">
        <v>0</v>
      </c>
      <c r="AC209" s="129">
        <v>0</v>
      </c>
      <c r="AD209" s="129">
        <v>0</v>
      </c>
      <c r="AE209" s="129">
        <v>0</v>
      </c>
      <c r="AF209" s="129">
        <v>151.63416337786998</v>
      </c>
      <c r="AG209" s="129">
        <v>224.31668119561516</v>
      </c>
      <c r="AH209" s="129">
        <v>325.54217753324713</v>
      </c>
      <c r="AI209" s="129">
        <v>331.4248650917325</v>
      </c>
      <c r="AJ209" s="129">
        <v>1056.9448095657235</v>
      </c>
      <c r="AK209" s="129">
        <v>131.40942073170731</v>
      </c>
      <c r="AL209" s="129">
        <v>722.34451219512255</v>
      </c>
      <c r="AM209" s="129">
        <v>64.536932926829309</v>
      </c>
      <c r="AN209" s="129">
        <v>722.34451219512255</v>
      </c>
      <c r="AO209" s="129">
        <v>131.40942073170734</v>
      </c>
      <c r="AP209" s="129">
        <v>1023.2722500000002</v>
      </c>
      <c r="AQ209" s="129">
        <v>1029.5566707317078</v>
      </c>
      <c r="AR209" s="129">
        <v>86.336250000000021</v>
      </c>
      <c r="AS209" s="129">
        <v>643.46646341463475</v>
      </c>
      <c r="AT209" s="129">
        <v>131.40942073170731</v>
      </c>
      <c r="AU209" s="129">
        <v>1023.2722500000002</v>
      </c>
      <c r="AV209" s="129">
        <v>1029.5566707317075</v>
      </c>
      <c r="AW209" s="129">
        <v>729.8027134146347</v>
      </c>
      <c r="AX209" s="129">
        <v>131.40942073170734</v>
      </c>
      <c r="AY209" s="129">
        <v>125.125</v>
      </c>
    </row>
    <row r="210" spans="1:51" x14ac:dyDescent="0.25">
      <c r="A210" s="114"/>
      <c r="B210" s="124">
        <v>2</v>
      </c>
      <c r="C210" s="111"/>
      <c r="D210" s="115">
        <v>0</v>
      </c>
      <c r="E210" s="115">
        <v>0</v>
      </c>
      <c r="F210" s="115">
        <v>0</v>
      </c>
      <c r="G210" s="115">
        <v>216</v>
      </c>
      <c r="H210" s="115">
        <v>49.722908749999789</v>
      </c>
      <c r="I210" s="115">
        <v>0</v>
      </c>
      <c r="J210" s="115">
        <v>0</v>
      </c>
      <c r="K210" s="115">
        <v>0</v>
      </c>
      <c r="L210" s="115">
        <v>0</v>
      </c>
      <c r="M210" s="115">
        <v>0</v>
      </c>
      <c r="N210" s="115">
        <v>0</v>
      </c>
      <c r="O210" s="115">
        <v>0</v>
      </c>
      <c r="P210" s="115">
        <v>0</v>
      </c>
      <c r="Q210" s="115">
        <v>0</v>
      </c>
      <c r="R210" s="115">
        <v>0</v>
      </c>
      <c r="S210" s="115">
        <v>0</v>
      </c>
      <c r="T210" s="115">
        <v>0</v>
      </c>
      <c r="U210" s="115">
        <v>0</v>
      </c>
      <c r="V210" s="115">
        <v>0</v>
      </c>
      <c r="W210" s="115">
        <v>0</v>
      </c>
      <c r="X210" s="115">
        <v>0</v>
      </c>
      <c r="Y210" s="115">
        <v>32.92463804681438</v>
      </c>
      <c r="Z210" s="115">
        <v>105.87849582799015</v>
      </c>
      <c r="AA210" s="115">
        <v>0</v>
      </c>
      <c r="AB210" s="115">
        <v>127.68485891949013</v>
      </c>
      <c r="AC210" s="115">
        <v>94.985639395229441</v>
      </c>
      <c r="AD210" s="115">
        <v>324.23433357945993</v>
      </c>
      <c r="AE210" s="115">
        <v>413.73093441811221</v>
      </c>
      <c r="AF210" s="115">
        <v>779.48135274390268</v>
      </c>
      <c r="AG210" s="115">
        <v>622.68331880438484</v>
      </c>
      <c r="AH210" s="115">
        <v>603.45782246675287</v>
      </c>
      <c r="AI210" s="115">
        <v>642.5751349082675</v>
      </c>
      <c r="AJ210" s="115">
        <v>564.0551904342766</v>
      </c>
      <c r="AK210" s="115">
        <v>36.841769209109216</v>
      </c>
      <c r="AL210" s="115">
        <v>1.8474111129762605E-14</v>
      </c>
      <c r="AM210" s="115">
        <v>387.26398780487784</v>
      </c>
      <c r="AN210" s="115">
        <v>123.5189463414634</v>
      </c>
      <c r="AO210" s="115">
        <v>7.4582012195122163</v>
      </c>
      <c r="AP210" s="115">
        <v>80.051829268292678</v>
      </c>
      <c r="AQ210" s="115">
        <v>0</v>
      </c>
      <c r="AR210" s="115">
        <v>0</v>
      </c>
      <c r="AS210" s="115">
        <v>0</v>
      </c>
      <c r="AT210" s="115">
        <v>379.80578658536569</v>
      </c>
      <c r="AU210" s="115">
        <v>978.19907926829285</v>
      </c>
      <c r="AV210" s="115">
        <v>86.336250000000035</v>
      </c>
      <c r="AW210" s="115">
        <v>1.4779288903810084E-13</v>
      </c>
      <c r="AX210" s="115">
        <v>0</v>
      </c>
      <c r="AY210" s="115">
        <v>0</v>
      </c>
    </row>
    <row r="211" spans="1:51" x14ac:dyDescent="0.25">
      <c r="A211" s="114"/>
      <c r="B211" s="124">
        <v>3</v>
      </c>
      <c r="C211" s="111"/>
      <c r="D211" s="115">
        <v>0</v>
      </c>
      <c r="E211" s="115">
        <v>0</v>
      </c>
      <c r="F211" s="115">
        <v>0</v>
      </c>
      <c r="G211" s="115">
        <v>0</v>
      </c>
      <c r="H211" s="115">
        <v>228.27709125000021</v>
      </c>
      <c r="I211" s="115">
        <v>287</v>
      </c>
      <c r="J211" s="115">
        <v>19.968714629039425</v>
      </c>
      <c r="K211" s="115">
        <v>0</v>
      </c>
      <c r="L211" s="115">
        <v>0</v>
      </c>
      <c r="M211" s="115">
        <v>0</v>
      </c>
      <c r="N211" s="115">
        <v>0</v>
      </c>
      <c r="O211" s="115">
        <v>0</v>
      </c>
      <c r="P211" s="115">
        <v>0</v>
      </c>
      <c r="Q211" s="115">
        <v>76.090438109257889</v>
      </c>
      <c r="R211" s="115">
        <v>94.916122078182184</v>
      </c>
      <c r="S211" s="115">
        <v>116.96924503831823</v>
      </c>
      <c r="T211" s="115">
        <v>192.69913774060797</v>
      </c>
      <c r="U211" s="115">
        <v>250.26154302224873</v>
      </c>
      <c r="V211" s="115">
        <v>265.89431324037622</v>
      </c>
      <c r="W211" s="115">
        <v>279.30544701097006</v>
      </c>
      <c r="X211" s="115">
        <v>389.98464199158161</v>
      </c>
      <c r="Y211" s="115">
        <v>515.03952265243913</v>
      </c>
      <c r="Z211" s="115">
        <v>538.12150417200985</v>
      </c>
      <c r="AA211" s="115">
        <v>599</v>
      </c>
      <c r="AB211" s="115">
        <v>468.80959125000027</v>
      </c>
      <c r="AC211" s="115">
        <v>656.01436060477056</v>
      </c>
      <c r="AD211" s="115">
        <v>408.76566642054007</v>
      </c>
      <c r="AE211" s="115">
        <v>276.26906558188779</v>
      </c>
      <c r="AF211" s="115">
        <v>199.88448387822731</v>
      </c>
      <c r="AG211" s="115">
        <v>0</v>
      </c>
      <c r="AH211" s="115">
        <v>0</v>
      </c>
      <c r="AI211" s="115">
        <v>0</v>
      </c>
      <c r="AJ211" s="115">
        <v>0</v>
      </c>
      <c r="AK211" s="115">
        <v>0</v>
      </c>
      <c r="AL211" s="115">
        <v>0</v>
      </c>
      <c r="AM211" s="115">
        <v>978.19907926829285</v>
      </c>
      <c r="AN211" s="115">
        <v>0</v>
      </c>
      <c r="AO211" s="115">
        <v>0</v>
      </c>
      <c r="AP211" s="115">
        <v>379.80578658536564</v>
      </c>
      <c r="AQ211" s="115">
        <v>0</v>
      </c>
      <c r="AR211" s="115">
        <v>0</v>
      </c>
      <c r="AS211" s="115">
        <v>80.051829268292678</v>
      </c>
      <c r="AT211" s="115">
        <v>0</v>
      </c>
      <c r="AU211" s="115">
        <v>0</v>
      </c>
      <c r="AV211" s="115">
        <v>0</v>
      </c>
      <c r="AW211" s="115">
        <v>0</v>
      </c>
      <c r="AX211" s="115">
        <v>0</v>
      </c>
      <c r="AY211" s="115">
        <v>379.80578658536564</v>
      </c>
    </row>
    <row r="212" spans="1:51" x14ac:dyDescent="0.25">
      <c r="A212" s="114"/>
      <c r="B212" s="124">
        <v>4</v>
      </c>
      <c r="C212" s="111"/>
      <c r="D212" s="115">
        <v>0</v>
      </c>
      <c r="E212" s="115">
        <v>0</v>
      </c>
      <c r="F212" s="115">
        <v>0</v>
      </c>
      <c r="G212" s="115">
        <v>0</v>
      </c>
      <c r="H212" s="115">
        <v>0</v>
      </c>
      <c r="I212" s="115">
        <v>0</v>
      </c>
      <c r="J212" s="115">
        <v>260.03128537096057</v>
      </c>
      <c r="K212" s="115">
        <v>244</v>
      </c>
      <c r="L212" s="115">
        <v>292.96472962764403</v>
      </c>
      <c r="M212" s="115">
        <v>131.54830090640601</v>
      </c>
      <c r="N212" s="115">
        <v>119.92788583668676</v>
      </c>
      <c r="O212" s="115">
        <v>180.34892747319086</v>
      </c>
      <c r="P212" s="115">
        <v>278.43787757598102</v>
      </c>
      <c r="Q212" s="115">
        <v>305.82911581783549</v>
      </c>
      <c r="R212" s="115">
        <v>298.08387792181782</v>
      </c>
      <c r="S212" s="115">
        <v>243.03075496168177</v>
      </c>
      <c r="T212" s="115">
        <v>253.30086225939203</v>
      </c>
      <c r="U212" s="115">
        <v>236.73845697775127</v>
      </c>
      <c r="V212" s="115">
        <v>172.10568675962378</v>
      </c>
      <c r="W212" s="115">
        <v>134.69455298902997</v>
      </c>
      <c r="X212" s="115">
        <v>135.01535800841836</v>
      </c>
      <c r="Y212" s="115">
        <v>54.035839300746467</v>
      </c>
      <c r="Z212" s="115">
        <v>0</v>
      </c>
      <c r="AA212" s="115">
        <v>0</v>
      </c>
      <c r="AB212" s="115">
        <v>33.50554983050958</v>
      </c>
      <c r="AC212" s="115">
        <v>0</v>
      </c>
      <c r="AD212" s="115">
        <v>0</v>
      </c>
      <c r="AE212" s="115">
        <v>0</v>
      </c>
      <c r="AF212" s="115">
        <v>0</v>
      </c>
      <c r="AG212" s="115">
        <v>0</v>
      </c>
      <c r="AH212" s="115">
        <v>0</v>
      </c>
      <c r="AI212" s="115">
        <v>0</v>
      </c>
      <c r="AJ212" s="115">
        <v>0</v>
      </c>
      <c r="AK212" s="115">
        <v>0</v>
      </c>
      <c r="AL212" s="115">
        <v>0</v>
      </c>
      <c r="AM212" s="115">
        <v>0</v>
      </c>
      <c r="AN212" s="115">
        <v>0</v>
      </c>
      <c r="AO212" s="115">
        <v>0</v>
      </c>
      <c r="AP212" s="115">
        <v>0</v>
      </c>
      <c r="AQ212" s="115">
        <v>0</v>
      </c>
      <c r="AR212" s="115">
        <v>0</v>
      </c>
      <c r="AS212" s="115">
        <v>0</v>
      </c>
      <c r="AT212" s="115">
        <v>0</v>
      </c>
      <c r="AU212" s="115">
        <v>0</v>
      </c>
      <c r="AV212" s="115">
        <v>0</v>
      </c>
      <c r="AW212" s="115">
        <v>0</v>
      </c>
      <c r="AX212" s="115">
        <v>0</v>
      </c>
      <c r="AY212" s="115">
        <v>80.051829268292678</v>
      </c>
    </row>
    <row r="213" spans="1:51" x14ac:dyDescent="0.25">
      <c r="A213" s="114"/>
      <c r="B213" s="124">
        <v>5</v>
      </c>
      <c r="C213" s="111"/>
      <c r="D213" s="115">
        <v>0</v>
      </c>
      <c r="E213" s="115">
        <v>0</v>
      </c>
      <c r="F213" s="115">
        <v>0</v>
      </c>
      <c r="G213" s="115">
        <v>0</v>
      </c>
      <c r="H213" s="115">
        <v>0</v>
      </c>
      <c r="I213" s="115">
        <v>0</v>
      </c>
      <c r="J213" s="115">
        <v>0</v>
      </c>
      <c r="K213" s="115">
        <v>0</v>
      </c>
      <c r="L213" s="115">
        <v>31.035270372355949</v>
      </c>
      <c r="M213" s="115">
        <v>204.45169909359399</v>
      </c>
      <c r="N213" s="115">
        <v>149.07211416331324</v>
      </c>
      <c r="O213" s="115">
        <v>139.65107252680914</v>
      </c>
      <c r="P213" s="115">
        <v>81.562122424019009</v>
      </c>
      <c r="Q213" s="115">
        <v>33.080446072906639</v>
      </c>
      <c r="R213" s="115">
        <v>0</v>
      </c>
      <c r="S213" s="115">
        <v>0</v>
      </c>
      <c r="T213" s="115">
        <v>0</v>
      </c>
      <c r="U213" s="115">
        <v>0</v>
      </c>
      <c r="V213" s="115">
        <v>0</v>
      </c>
      <c r="W213" s="115">
        <v>0</v>
      </c>
      <c r="X213" s="115">
        <v>0</v>
      </c>
      <c r="Y213" s="115">
        <v>0</v>
      </c>
      <c r="Z213" s="115">
        <v>0</v>
      </c>
      <c r="AA213" s="115">
        <v>0</v>
      </c>
      <c r="AB213" s="115">
        <v>0</v>
      </c>
      <c r="AC213" s="115">
        <v>0</v>
      </c>
      <c r="AD213" s="115">
        <v>0</v>
      </c>
      <c r="AE213" s="115">
        <v>0</v>
      </c>
      <c r="AF213" s="115">
        <v>0</v>
      </c>
      <c r="AG213" s="115">
        <v>0</v>
      </c>
      <c r="AH213" s="115">
        <v>0</v>
      </c>
      <c r="AI213" s="115">
        <v>0</v>
      </c>
      <c r="AJ213" s="115">
        <v>0</v>
      </c>
      <c r="AK213" s="115">
        <v>0</v>
      </c>
      <c r="AL213" s="115">
        <v>0</v>
      </c>
      <c r="AM213" s="115">
        <v>0</v>
      </c>
      <c r="AN213" s="115">
        <v>0</v>
      </c>
      <c r="AO213" s="115">
        <v>0</v>
      </c>
      <c r="AP213" s="115">
        <v>0</v>
      </c>
      <c r="AQ213" s="115">
        <v>0</v>
      </c>
      <c r="AR213" s="115">
        <v>0</v>
      </c>
      <c r="AS213" s="115">
        <v>0</v>
      </c>
      <c r="AT213" s="115">
        <v>0</v>
      </c>
      <c r="AU213" s="115">
        <v>0</v>
      </c>
      <c r="AV213" s="115">
        <v>0</v>
      </c>
      <c r="AW213" s="115">
        <v>0</v>
      </c>
      <c r="AX213" s="115">
        <v>0</v>
      </c>
      <c r="AY213" s="115">
        <v>0</v>
      </c>
    </row>
    <row r="214" spans="1:51" x14ac:dyDescent="0.25">
      <c r="A214" s="114"/>
      <c r="B214" s="124">
        <v>6</v>
      </c>
      <c r="C214" s="111"/>
      <c r="D214" s="115">
        <v>0</v>
      </c>
      <c r="E214" s="115">
        <v>0</v>
      </c>
      <c r="F214" s="115">
        <v>0</v>
      </c>
      <c r="G214" s="115">
        <v>0</v>
      </c>
      <c r="H214" s="115">
        <v>0</v>
      </c>
      <c r="I214" s="115">
        <v>0</v>
      </c>
      <c r="J214" s="115">
        <v>0</v>
      </c>
      <c r="K214" s="115">
        <v>0</v>
      </c>
      <c r="L214" s="115">
        <v>0</v>
      </c>
      <c r="M214" s="115">
        <v>0</v>
      </c>
      <c r="N214" s="115">
        <v>0</v>
      </c>
      <c r="O214" s="115">
        <v>0</v>
      </c>
      <c r="P214" s="115">
        <v>0</v>
      </c>
      <c r="Q214" s="115">
        <v>0</v>
      </c>
      <c r="R214" s="115">
        <v>0</v>
      </c>
      <c r="S214" s="115">
        <v>0</v>
      </c>
      <c r="T214" s="115">
        <v>0</v>
      </c>
      <c r="U214" s="115">
        <v>0</v>
      </c>
      <c r="V214" s="115">
        <v>0</v>
      </c>
      <c r="W214" s="115">
        <v>0</v>
      </c>
      <c r="X214" s="115">
        <v>0</v>
      </c>
      <c r="Y214" s="115">
        <v>0</v>
      </c>
      <c r="Z214" s="115">
        <v>0</v>
      </c>
      <c r="AA214" s="115">
        <v>0</v>
      </c>
      <c r="AB214" s="115">
        <v>0</v>
      </c>
      <c r="AC214" s="115">
        <v>0</v>
      </c>
      <c r="AD214" s="115">
        <v>0</v>
      </c>
      <c r="AE214" s="115">
        <v>0</v>
      </c>
      <c r="AF214" s="115">
        <v>0</v>
      </c>
      <c r="AG214" s="115">
        <v>0</v>
      </c>
      <c r="AH214" s="115">
        <v>0</v>
      </c>
      <c r="AI214" s="115">
        <v>0</v>
      </c>
      <c r="AJ214" s="115">
        <v>0</v>
      </c>
      <c r="AK214" s="115">
        <v>0</v>
      </c>
      <c r="AL214" s="115">
        <v>0</v>
      </c>
      <c r="AM214" s="115">
        <v>0</v>
      </c>
      <c r="AN214" s="115">
        <v>0</v>
      </c>
      <c r="AO214" s="115">
        <v>0</v>
      </c>
      <c r="AP214" s="115">
        <v>0</v>
      </c>
      <c r="AQ214" s="115">
        <v>0</v>
      </c>
      <c r="AR214" s="115">
        <v>0</v>
      </c>
      <c r="AS214" s="115">
        <v>0</v>
      </c>
      <c r="AT214" s="115">
        <v>0</v>
      </c>
      <c r="AU214" s="115">
        <v>0</v>
      </c>
      <c r="AV214" s="115">
        <v>0</v>
      </c>
      <c r="AW214" s="115">
        <v>0</v>
      </c>
      <c r="AX214" s="115">
        <v>0</v>
      </c>
      <c r="AY214" s="115">
        <v>0</v>
      </c>
    </row>
    <row r="215" spans="1:51" x14ac:dyDescent="0.25">
      <c r="A215" s="114"/>
      <c r="B215" s="124">
        <v>7</v>
      </c>
      <c r="C215" s="111"/>
      <c r="D215" s="115">
        <v>0</v>
      </c>
      <c r="E215" s="115">
        <v>0</v>
      </c>
      <c r="F215" s="115">
        <v>0</v>
      </c>
      <c r="G215" s="115">
        <v>0</v>
      </c>
      <c r="H215" s="115">
        <v>0</v>
      </c>
      <c r="I215" s="115">
        <v>0</v>
      </c>
      <c r="J215" s="115">
        <v>0</v>
      </c>
      <c r="K215" s="115">
        <v>0</v>
      </c>
      <c r="L215" s="115">
        <v>0</v>
      </c>
      <c r="M215" s="115">
        <v>0</v>
      </c>
      <c r="N215" s="115">
        <v>0</v>
      </c>
      <c r="O215" s="115">
        <v>0</v>
      </c>
      <c r="P215" s="115">
        <v>0</v>
      </c>
      <c r="Q215" s="115">
        <v>0</v>
      </c>
      <c r="R215" s="115">
        <v>0</v>
      </c>
      <c r="S215" s="115">
        <v>0</v>
      </c>
      <c r="T215" s="115">
        <v>0</v>
      </c>
      <c r="U215" s="115">
        <v>0</v>
      </c>
      <c r="V215" s="115">
        <v>0</v>
      </c>
      <c r="W215" s="115">
        <v>0</v>
      </c>
      <c r="X215" s="115">
        <v>0</v>
      </c>
      <c r="Y215" s="115">
        <v>0</v>
      </c>
      <c r="Z215" s="115">
        <v>0</v>
      </c>
      <c r="AA215" s="115">
        <v>0</v>
      </c>
      <c r="AB215" s="115">
        <v>0</v>
      </c>
      <c r="AC215" s="115">
        <v>0</v>
      </c>
      <c r="AD215" s="115">
        <v>0</v>
      </c>
      <c r="AE215" s="115">
        <v>0</v>
      </c>
      <c r="AF215" s="115">
        <v>0</v>
      </c>
      <c r="AG215" s="115">
        <v>0</v>
      </c>
      <c r="AH215" s="115">
        <v>0</v>
      </c>
      <c r="AI215" s="115">
        <v>0</v>
      </c>
      <c r="AJ215" s="115">
        <v>0</v>
      </c>
      <c r="AK215" s="115">
        <v>0</v>
      </c>
      <c r="AL215" s="115">
        <v>0</v>
      </c>
      <c r="AM215" s="115">
        <v>0</v>
      </c>
      <c r="AN215" s="115">
        <v>0</v>
      </c>
      <c r="AO215" s="115">
        <v>0</v>
      </c>
      <c r="AP215" s="115">
        <v>0</v>
      </c>
      <c r="AQ215" s="115">
        <v>0</v>
      </c>
      <c r="AR215" s="115">
        <v>0</v>
      </c>
      <c r="AS215" s="115">
        <v>0</v>
      </c>
      <c r="AT215" s="115">
        <v>0</v>
      </c>
      <c r="AU215" s="115">
        <v>0</v>
      </c>
      <c r="AV215" s="115">
        <v>0</v>
      </c>
      <c r="AW215" s="115">
        <v>0</v>
      </c>
      <c r="AX215" s="115">
        <v>0</v>
      </c>
      <c r="AY215" s="115">
        <v>0</v>
      </c>
    </row>
    <row r="216" spans="1:51" x14ac:dyDescent="0.25">
      <c r="A216" s="114"/>
      <c r="B216" s="124">
        <v>8</v>
      </c>
      <c r="C216" s="111"/>
      <c r="D216" s="115">
        <v>0</v>
      </c>
      <c r="E216" s="115">
        <v>0</v>
      </c>
      <c r="F216" s="115">
        <v>0</v>
      </c>
      <c r="G216" s="115">
        <v>0</v>
      </c>
      <c r="H216" s="115">
        <v>0</v>
      </c>
      <c r="I216" s="115">
        <v>0</v>
      </c>
      <c r="J216" s="115">
        <v>0</v>
      </c>
      <c r="K216" s="115">
        <v>0</v>
      </c>
      <c r="L216" s="115">
        <v>0</v>
      </c>
      <c r="M216" s="115">
        <v>0</v>
      </c>
      <c r="N216" s="115">
        <v>0</v>
      </c>
      <c r="O216" s="115">
        <v>0</v>
      </c>
      <c r="P216" s="115">
        <v>0</v>
      </c>
      <c r="Q216" s="115">
        <v>0</v>
      </c>
      <c r="R216" s="115">
        <v>0</v>
      </c>
      <c r="S216" s="115">
        <v>0</v>
      </c>
      <c r="T216" s="115">
        <v>0</v>
      </c>
      <c r="U216" s="115">
        <v>0</v>
      </c>
      <c r="V216" s="115">
        <v>0</v>
      </c>
      <c r="W216" s="115">
        <v>0</v>
      </c>
      <c r="X216" s="115">
        <v>0</v>
      </c>
      <c r="Y216" s="115">
        <v>0</v>
      </c>
      <c r="Z216" s="115">
        <v>0</v>
      </c>
      <c r="AA216" s="115">
        <v>0</v>
      </c>
      <c r="AB216" s="115">
        <v>0</v>
      </c>
      <c r="AC216" s="115">
        <v>0</v>
      </c>
      <c r="AD216" s="115">
        <v>0</v>
      </c>
      <c r="AE216" s="115">
        <v>0</v>
      </c>
      <c r="AF216" s="115">
        <v>0</v>
      </c>
      <c r="AG216" s="115">
        <v>0</v>
      </c>
      <c r="AH216" s="115">
        <v>0</v>
      </c>
      <c r="AI216" s="115">
        <v>0</v>
      </c>
      <c r="AJ216" s="115">
        <v>0</v>
      </c>
      <c r="AK216" s="115">
        <v>0</v>
      </c>
      <c r="AL216" s="115">
        <v>0</v>
      </c>
      <c r="AM216" s="115">
        <v>0</v>
      </c>
      <c r="AN216" s="115">
        <v>0</v>
      </c>
      <c r="AO216" s="115">
        <v>0</v>
      </c>
      <c r="AP216" s="115">
        <v>0</v>
      </c>
      <c r="AQ216" s="115">
        <v>0</v>
      </c>
      <c r="AR216" s="115">
        <v>0</v>
      </c>
      <c r="AS216" s="115">
        <v>0</v>
      </c>
      <c r="AT216" s="115">
        <v>0</v>
      </c>
      <c r="AU216" s="115">
        <v>0</v>
      </c>
      <c r="AV216" s="115">
        <v>0</v>
      </c>
      <c r="AW216" s="115">
        <v>0</v>
      </c>
      <c r="AX216" s="115">
        <v>0</v>
      </c>
      <c r="AY216" s="115">
        <v>0</v>
      </c>
    </row>
    <row r="217" spans="1:51" x14ac:dyDescent="0.25">
      <c r="A217" s="114"/>
      <c r="B217" s="124">
        <v>9</v>
      </c>
      <c r="C217" s="111"/>
      <c r="D217" s="115">
        <v>0</v>
      </c>
      <c r="E217" s="115">
        <v>0</v>
      </c>
      <c r="F217" s="115">
        <v>0</v>
      </c>
      <c r="G217" s="115">
        <v>0</v>
      </c>
      <c r="H217" s="115">
        <v>0</v>
      </c>
      <c r="I217" s="115">
        <v>0</v>
      </c>
      <c r="J217" s="115">
        <v>0</v>
      </c>
      <c r="K217" s="115">
        <v>0</v>
      </c>
      <c r="L217" s="115">
        <v>0</v>
      </c>
      <c r="M217" s="115">
        <v>0</v>
      </c>
      <c r="N217" s="115">
        <v>0</v>
      </c>
      <c r="O217" s="115">
        <v>0</v>
      </c>
      <c r="P217" s="115">
        <v>0</v>
      </c>
      <c r="Q217" s="115">
        <v>0</v>
      </c>
      <c r="R217" s="115">
        <v>0</v>
      </c>
      <c r="S217" s="115">
        <v>0</v>
      </c>
      <c r="T217" s="115">
        <v>0</v>
      </c>
      <c r="U217" s="115">
        <v>0</v>
      </c>
      <c r="V217" s="115">
        <v>0</v>
      </c>
      <c r="W217" s="115">
        <v>0</v>
      </c>
      <c r="X217" s="115">
        <v>0</v>
      </c>
      <c r="Y217" s="115">
        <v>0</v>
      </c>
      <c r="Z217" s="115">
        <v>0</v>
      </c>
      <c r="AA217" s="115">
        <v>0</v>
      </c>
      <c r="AB217" s="115">
        <v>0</v>
      </c>
      <c r="AC217" s="115">
        <v>0</v>
      </c>
      <c r="AD217" s="115">
        <v>0</v>
      </c>
      <c r="AE217" s="115">
        <v>0</v>
      </c>
      <c r="AF217" s="115">
        <v>0</v>
      </c>
      <c r="AG217" s="115">
        <v>0</v>
      </c>
      <c r="AH217" s="115">
        <v>0</v>
      </c>
      <c r="AI217" s="115">
        <v>0</v>
      </c>
      <c r="AJ217" s="115">
        <v>0</v>
      </c>
      <c r="AK217" s="115">
        <v>0</v>
      </c>
      <c r="AL217" s="115">
        <v>0</v>
      </c>
      <c r="AM217" s="115">
        <v>0</v>
      </c>
      <c r="AN217" s="115">
        <v>0</v>
      </c>
      <c r="AO217" s="115">
        <v>0</v>
      </c>
      <c r="AP217" s="115">
        <v>0</v>
      </c>
      <c r="AQ217" s="115">
        <v>0</v>
      </c>
      <c r="AR217" s="115">
        <v>0</v>
      </c>
      <c r="AS217" s="115">
        <v>0</v>
      </c>
      <c r="AT217" s="115">
        <v>0</v>
      </c>
      <c r="AU217" s="115">
        <v>0</v>
      </c>
      <c r="AV217" s="115">
        <v>0</v>
      </c>
      <c r="AW217" s="115">
        <v>0</v>
      </c>
      <c r="AX217" s="115">
        <v>0</v>
      </c>
      <c r="AY217" s="115">
        <v>0</v>
      </c>
    </row>
    <row r="218" spans="1:51" x14ac:dyDescent="0.25">
      <c r="A218" s="114"/>
      <c r="B218" s="124">
        <v>10</v>
      </c>
      <c r="C218" s="111"/>
      <c r="D218" s="115">
        <v>0</v>
      </c>
      <c r="E218" s="115">
        <v>0</v>
      </c>
      <c r="F218" s="115">
        <v>0</v>
      </c>
      <c r="G218" s="115">
        <v>0</v>
      </c>
      <c r="H218" s="115">
        <v>0</v>
      </c>
      <c r="I218" s="115">
        <v>0</v>
      </c>
      <c r="J218" s="115">
        <v>0</v>
      </c>
      <c r="K218" s="115">
        <v>0</v>
      </c>
      <c r="L218" s="115">
        <v>0</v>
      </c>
      <c r="M218" s="115">
        <v>0</v>
      </c>
      <c r="N218" s="115">
        <v>0</v>
      </c>
      <c r="O218" s="115">
        <v>0</v>
      </c>
      <c r="P218" s="115">
        <v>0</v>
      </c>
      <c r="Q218" s="115">
        <v>0</v>
      </c>
      <c r="R218" s="115">
        <v>0</v>
      </c>
      <c r="S218" s="115">
        <v>0</v>
      </c>
      <c r="T218" s="115">
        <v>0</v>
      </c>
      <c r="U218" s="115">
        <v>0</v>
      </c>
      <c r="V218" s="115">
        <v>0</v>
      </c>
      <c r="W218" s="115">
        <v>0</v>
      </c>
      <c r="X218" s="115">
        <v>0</v>
      </c>
      <c r="Y218" s="115">
        <v>0</v>
      </c>
      <c r="Z218" s="115">
        <v>0</v>
      </c>
      <c r="AA218" s="115">
        <v>0</v>
      </c>
      <c r="AB218" s="115">
        <v>0</v>
      </c>
      <c r="AC218" s="115">
        <v>0</v>
      </c>
      <c r="AD218" s="115">
        <v>0</v>
      </c>
      <c r="AE218" s="115">
        <v>0</v>
      </c>
      <c r="AF218" s="115">
        <v>0</v>
      </c>
      <c r="AG218" s="115">
        <v>0</v>
      </c>
      <c r="AH218" s="115">
        <v>0</v>
      </c>
      <c r="AI218" s="115">
        <v>0</v>
      </c>
      <c r="AJ218" s="115">
        <v>0</v>
      </c>
      <c r="AK218" s="115">
        <v>0</v>
      </c>
      <c r="AL218" s="115">
        <v>0</v>
      </c>
      <c r="AM218" s="115">
        <v>0</v>
      </c>
      <c r="AN218" s="115">
        <v>0</v>
      </c>
      <c r="AO218" s="115">
        <v>0</v>
      </c>
      <c r="AP218" s="115">
        <v>0</v>
      </c>
      <c r="AQ218" s="115">
        <v>0</v>
      </c>
      <c r="AR218" s="115">
        <v>0</v>
      </c>
      <c r="AS218" s="115">
        <v>0</v>
      </c>
      <c r="AT218" s="115">
        <v>0</v>
      </c>
      <c r="AU218" s="115">
        <v>0</v>
      </c>
      <c r="AV218" s="115">
        <v>0</v>
      </c>
      <c r="AW218" s="115">
        <v>0</v>
      </c>
      <c r="AX218" s="115">
        <v>0</v>
      </c>
      <c r="AY218" s="115">
        <v>0</v>
      </c>
    </row>
    <row r="219" spans="1:51" x14ac:dyDescent="0.25">
      <c r="A219" s="114"/>
      <c r="B219" s="124">
        <v>11</v>
      </c>
      <c r="C219" s="111"/>
      <c r="D219" s="115">
        <v>0</v>
      </c>
      <c r="E219" s="115">
        <v>0</v>
      </c>
      <c r="F219" s="115">
        <v>0</v>
      </c>
      <c r="G219" s="115">
        <v>0</v>
      </c>
      <c r="H219" s="115">
        <v>0</v>
      </c>
      <c r="I219" s="115">
        <v>0</v>
      </c>
      <c r="J219" s="115">
        <v>0</v>
      </c>
      <c r="K219" s="115">
        <v>0</v>
      </c>
      <c r="L219" s="115">
        <v>0</v>
      </c>
      <c r="M219" s="115">
        <v>0</v>
      </c>
      <c r="N219" s="115">
        <v>0</v>
      </c>
      <c r="O219" s="115">
        <v>0</v>
      </c>
      <c r="P219" s="115">
        <v>0</v>
      </c>
      <c r="Q219" s="115">
        <v>0</v>
      </c>
      <c r="R219" s="115">
        <v>0</v>
      </c>
      <c r="S219" s="115">
        <v>0</v>
      </c>
      <c r="T219" s="115">
        <v>0</v>
      </c>
      <c r="U219" s="115">
        <v>0</v>
      </c>
      <c r="V219" s="115">
        <v>0</v>
      </c>
      <c r="W219" s="115">
        <v>0</v>
      </c>
      <c r="X219" s="115">
        <v>0</v>
      </c>
      <c r="Y219" s="115">
        <v>0</v>
      </c>
      <c r="Z219" s="115">
        <v>0</v>
      </c>
      <c r="AA219" s="115">
        <v>0</v>
      </c>
      <c r="AB219" s="115">
        <v>0</v>
      </c>
      <c r="AC219" s="115">
        <v>0</v>
      </c>
      <c r="AD219" s="115">
        <v>0</v>
      </c>
      <c r="AE219" s="115">
        <v>0</v>
      </c>
      <c r="AF219" s="115">
        <v>0</v>
      </c>
      <c r="AG219" s="115">
        <v>0</v>
      </c>
      <c r="AH219" s="115">
        <v>0</v>
      </c>
      <c r="AI219" s="115">
        <v>0</v>
      </c>
      <c r="AJ219" s="115">
        <v>0</v>
      </c>
      <c r="AK219" s="115">
        <v>0</v>
      </c>
      <c r="AL219" s="115">
        <v>0</v>
      </c>
      <c r="AM219" s="115">
        <v>0</v>
      </c>
      <c r="AN219" s="115">
        <v>0</v>
      </c>
      <c r="AO219" s="115">
        <v>0</v>
      </c>
      <c r="AP219" s="115">
        <v>0</v>
      </c>
      <c r="AQ219" s="115">
        <v>0</v>
      </c>
      <c r="AR219" s="115">
        <v>0</v>
      </c>
      <c r="AS219" s="115">
        <v>0</v>
      </c>
      <c r="AT219" s="115">
        <v>0</v>
      </c>
      <c r="AU219" s="115">
        <v>0</v>
      </c>
      <c r="AV219" s="115">
        <v>0</v>
      </c>
      <c r="AW219" s="115">
        <v>0</v>
      </c>
      <c r="AX219" s="115">
        <v>0</v>
      </c>
      <c r="AY219" s="115">
        <v>0</v>
      </c>
    </row>
    <row r="220" spans="1:51" x14ac:dyDescent="0.25">
      <c r="A220" s="114"/>
      <c r="B220" s="124">
        <v>12</v>
      </c>
      <c r="C220" s="111"/>
      <c r="D220" s="115">
        <v>0</v>
      </c>
      <c r="E220" s="115">
        <v>0</v>
      </c>
      <c r="F220" s="115">
        <v>0</v>
      </c>
      <c r="G220" s="115">
        <v>0</v>
      </c>
      <c r="H220" s="115">
        <v>0</v>
      </c>
      <c r="I220" s="115">
        <v>0</v>
      </c>
      <c r="J220" s="115">
        <v>0</v>
      </c>
      <c r="K220" s="115">
        <v>0</v>
      </c>
      <c r="L220" s="115">
        <v>0</v>
      </c>
      <c r="M220" s="115">
        <v>0</v>
      </c>
      <c r="N220" s="115">
        <v>0</v>
      </c>
      <c r="O220" s="115">
        <v>0</v>
      </c>
      <c r="P220" s="115">
        <v>0</v>
      </c>
      <c r="Q220" s="115">
        <v>0</v>
      </c>
      <c r="R220" s="115">
        <v>0</v>
      </c>
      <c r="S220" s="115">
        <v>0</v>
      </c>
      <c r="T220" s="115">
        <v>0</v>
      </c>
      <c r="U220" s="115">
        <v>0</v>
      </c>
      <c r="V220" s="115">
        <v>0</v>
      </c>
      <c r="W220" s="115">
        <v>0</v>
      </c>
      <c r="X220" s="115">
        <v>0</v>
      </c>
      <c r="Y220" s="115">
        <v>0</v>
      </c>
      <c r="Z220" s="115">
        <v>0</v>
      </c>
      <c r="AA220" s="115">
        <v>0</v>
      </c>
      <c r="AB220" s="115">
        <v>0</v>
      </c>
      <c r="AC220" s="115">
        <v>0</v>
      </c>
      <c r="AD220" s="115">
        <v>0</v>
      </c>
      <c r="AE220" s="115">
        <v>0</v>
      </c>
      <c r="AF220" s="115">
        <v>0</v>
      </c>
      <c r="AG220" s="115">
        <v>0</v>
      </c>
      <c r="AH220" s="115">
        <v>0</v>
      </c>
      <c r="AI220" s="115">
        <v>0</v>
      </c>
      <c r="AJ220" s="115">
        <v>0</v>
      </c>
      <c r="AK220" s="115">
        <v>0</v>
      </c>
      <c r="AL220" s="115">
        <v>0</v>
      </c>
      <c r="AM220" s="115">
        <v>0</v>
      </c>
      <c r="AN220" s="115">
        <v>0</v>
      </c>
      <c r="AO220" s="115">
        <v>0</v>
      </c>
      <c r="AP220" s="115">
        <v>0</v>
      </c>
      <c r="AQ220" s="115">
        <v>0</v>
      </c>
      <c r="AR220" s="115">
        <v>0</v>
      </c>
      <c r="AS220" s="115">
        <v>0</v>
      </c>
      <c r="AT220" s="115">
        <v>0</v>
      </c>
      <c r="AU220" s="115">
        <v>0</v>
      </c>
      <c r="AV220" s="115">
        <v>0</v>
      </c>
      <c r="AW220" s="115">
        <v>0</v>
      </c>
      <c r="AX220" s="115">
        <v>0</v>
      </c>
      <c r="AY220" s="115">
        <v>0</v>
      </c>
    </row>
    <row r="221" spans="1:51" x14ac:dyDescent="0.25">
      <c r="A221" s="114"/>
      <c r="B221" s="125">
        <v>13</v>
      </c>
      <c r="C221" s="111"/>
      <c r="D221" s="115">
        <v>0</v>
      </c>
      <c r="E221" s="115">
        <v>0</v>
      </c>
      <c r="F221" s="115">
        <v>0</v>
      </c>
      <c r="G221" s="115">
        <v>0</v>
      </c>
      <c r="H221" s="115">
        <v>0</v>
      </c>
      <c r="I221" s="115">
        <v>0</v>
      </c>
      <c r="J221" s="115">
        <v>0</v>
      </c>
      <c r="K221" s="115">
        <v>0</v>
      </c>
      <c r="L221" s="115">
        <v>0</v>
      </c>
      <c r="M221" s="115">
        <v>0</v>
      </c>
      <c r="N221" s="115">
        <v>0</v>
      </c>
      <c r="O221" s="115">
        <v>0</v>
      </c>
      <c r="P221" s="115">
        <v>0</v>
      </c>
      <c r="Q221" s="115">
        <v>0</v>
      </c>
      <c r="R221" s="115">
        <v>0</v>
      </c>
      <c r="S221" s="115">
        <v>0</v>
      </c>
      <c r="T221" s="115">
        <v>0</v>
      </c>
      <c r="U221" s="115">
        <v>0</v>
      </c>
      <c r="V221" s="115">
        <v>0</v>
      </c>
      <c r="W221" s="115">
        <v>0</v>
      </c>
      <c r="X221" s="115">
        <v>0</v>
      </c>
      <c r="Y221" s="115">
        <v>0</v>
      </c>
      <c r="Z221" s="115">
        <v>0</v>
      </c>
      <c r="AA221" s="115">
        <v>0</v>
      </c>
      <c r="AB221" s="115">
        <v>0</v>
      </c>
      <c r="AC221" s="115">
        <v>0</v>
      </c>
      <c r="AD221" s="115">
        <v>0</v>
      </c>
      <c r="AE221" s="115">
        <v>0</v>
      </c>
      <c r="AF221" s="115">
        <v>0</v>
      </c>
      <c r="AG221" s="115">
        <v>0</v>
      </c>
      <c r="AH221" s="115">
        <v>0</v>
      </c>
      <c r="AI221" s="115">
        <v>0</v>
      </c>
      <c r="AJ221" s="115">
        <v>0</v>
      </c>
      <c r="AK221" s="115">
        <v>0</v>
      </c>
      <c r="AL221" s="115">
        <v>0</v>
      </c>
      <c r="AM221" s="115">
        <v>0</v>
      </c>
      <c r="AN221" s="115">
        <v>0</v>
      </c>
      <c r="AO221" s="115">
        <v>0</v>
      </c>
      <c r="AP221" s="115">
        <v>0</v>
      </c>
      <c r="AQ221" s="115">
        <v>0</v>
      </c>
      <c r="AR221" s="115">
        <v>0</v>
      </c>
      <c r="AS221" s="115">
        <v>0</v>
      </c>
      <c r="AT221" s="115">
        <v>0</v>
      </c>
      <c r="AU221" s="115">
        <v>0</v>
      </c>
      <c r="AV221" s="115">
        <v>0</v>
      </c>
      <c r="AW221" s="115">
        <v>0</v>
      </c>
      <c r="AX221" s="115">
        <v>0</v>
      </c>
      <c r="AY221" s="115">
        <v>0</v>
      </c>
    </row>
    <row r="222" spans="1:51" x14ac:dyDescent="0.25">
      <c r="A222" s="114"/>
      <c r="B222" s="125">
        <v>14</v>
      </c>
      <c r="C222" s="111"/>
      <c r="D222" s="115">
        <v>0</v>
      </c>
      <c r="E222" s="115">
        <v>0</v>
      </c>
      <c r="F222" s="115">
        <v>0</v>
      </c>
      <c r="G222" s="115">
        <v>0</v>
      </c>
      <c r="H222" s="115">
        <v>0</v>
      </c>
      <c r="I222" s="115">
        <v>0</v>
      </c>
      <c r="J222" s="115">
        <v>0</v>
      </c>
      <c r="K222" s="115">
        <v>0</v>
      </c>
      <c r="L222" s="115">
        <v>0</v>
      </c>
      <c r="M222" s="115">
        <v>0</v>
      </c>
      <c r="N222" s="115">
        <v>0</v>
      </c>
      <c r="O222" s="115">
        <v>0</v>
      </c>
      <c r="P222" s="115">
        <v>0</v>
      </c>
      <c r="Q222" s="115">
        <v>0</v>
      </c>
      <c r="R222" s="115">
        <v>0</v>
      </c>
      <c r="S222" s="115">
        <v>0</v>
      </c>
      <c r="T222" s="115">
        <v>0</v>
      </c>
      <c r="U222" s="115">
        <v>0</v>
      </c>
      <c r="V222" s="115">
        <v>0</v>
      </c>
      <c r="W222" s="115">
        <v>0</v>
      </c>
      <c r="X222" s="115">
        <v>0</v>
      </c>
      <c r="Y222" s="115">
        <v>0</v>
      </c>
      <c r="Z222" s="115">
        <v>0</v>
      </c>
      <c r="AA222" s="115">
        <v>0</v>
      </c>
      <c r="AB222" s="115">
        <v>0</v>
      </c>
      <c r="AC222" s="115">
        <v>0</v>
      </c>
      <c r="AD222" s="115">
        <v>0</v>
      </c>
      <c r="AE222" s="115">
        <v>0</v>
      </c>
      <c r="AF222" s="115">
        <v>0</v>
      </c>
      <c r="AG222" s="115">
        <v>0</v>
      </c>
      <c r="AH222" s="115">
        <v>0</v>
      </c>
      <c r="AI222" s="115">
        <v>0</v>
      </c>
      <c r="AJ222" s="115">
        <v>0</v>
      </c>
      <c r="AK222" s="115">
        <v>0</v>
      </c>
      <c r="AL222" s="115">
        <v>0</v>
      </c>
      <c r="AM222" s="115">
        <v>0</v>
      </c>
      <c r="AN222" s="115">
        <v>0</v>
      </c>
      <c r="AO222" s="115">
        <v>0</v>
      </c>
      <c r="AP222" s="115">
        <v>0</v>
      </c>
      <c r="AQ222" s="115">
        <v>0</v>
      </c>
      <c r="AR222" s="115">
        <v>0</v>
      </c>
      <c r="AS222" s="115">
        <v>0</v>
      </c>
      <c r="AT222" s="115">
        <v>0</v>
      </c>
      <c r="AU222" s="115">
        <v>0</v>
      </c>
      <c r="AV222" s="115">
        <v>0</v>
      </c>
      <c r="AW222" s="115">
        <v>0</v>
      </c>
      <c r="AX222" s="115">
        <v>0</v>
      </c>
      <c r="AY222" s="115">
        <v>0</v>
      </c>
    </row>
    <row r="223" spans="1:51" x14ac:dyDescent="0.25">
      <c r="A223" s="114"/>
      <c r="B223" s="125">
        <v>15</v>
      </c>
      <c r="C223" s="111"/>
      <c r="D223" s="115">
        <v>0</v>
      </c>
      <c r="E223" s="115">
        <v>0</v>
      </c>
      <c r="F223" s="115">
        <v>0</v>
      </c>
      <c r="G223" s="115">
        <v>0</v>
      </c>
      <c r="H223" s="115">
        <v>0</v>
      </c>
      <c r="I223" s="115">
        <v>0</v>
      </c>
      <c r="J223" s="115">
        <v>0</v>
      </c>
      <c r="K223" s="115">
        <v>0</v>
      </c>
      <c r="L223" s="115">
        <v>0</v>
      </c>
      <c r="M223" s="115">
        <v>0</v>
      </c>
      <c r="N223" s="115">
        <v>0</v>
      </c>
      <c r="O223" s="115">
        <v>0</v>
      </c>
      <c r="P223" s="115">
        <v>0</v>
      </c>
      <c r="Q223" s="115">
        <v>0</v>
      </c>
      <c r="R223" s="115">
        <v>0</v>
      </c>
      <c r="S223" s="115">
        <v>0</v>
      </c>
      <c r="T223" s="115">
        <v>0</v>
      </c>
      <c r="U223" s="115">
        <v>0</v>
      </c>
      <c r="V223" s="115">
        <v>0</v>
      </c>
      <c r="W223" s="115">
        <v>0</v>
      </c>
      <c r="X223" s="115">
        <v>0</v>
      </c>
      <c r="Y223" s="115">
        <v>0</v>
      </c>
      <c r="Z223" s="115">
        <v>0</v>
      </c>
      <c r="AA223" s="115">
        <v>0</v>
      </c>
      <c r="AB223" s="115">
        <v>0</v>
      </c>
      <c r="AC223" s="115">
        <v>0</v>
      </c>
      <c r="AD223" s="115">
        <v>0</v>
      </c>
      <c r="AE223" s="115">
        <v>0</v>
      </c>
      <c r="AF223" s="115">
        <v>0</v>
      </c>
      <c r="AG223" s="115">
        <v>0</v>
      </c>
      <c r="AH223" s="115">
        <v>0</v>
      </c>
      <c r="AI223" s="115">
        <v>0</v>
      </c>
      <c r="AJ223" s="115">
        <v>0</v>
      </c>
      <c r="AK223" s="115">
        <v>0</v>
      </c>
      <c r="AL223" s="115">
        <v>0</v>
      </c>
      <c r="AM223" s="115">
        <v>0</v>
      </c>
      <c r="AN223" s="115">
        <v>0</v>
      </c>
      <c r="AO223" s="115">
        <v>0</v>
      </c>
      <c r="AP223" s="115">
        <v>0</v>
      </c>
      <c r="AQ223" s="115">
        <v>0</v>
      </c>
      <c r="AR223" s="115">
        <v>0</v>
      </c>
      <c r="AS223" s="115">
        <v>0</v>
      </c>
      <c r="AT223" s="115">
        <v>0</v>
      </c>
      <c r="AU223" s="115">
        <v>0</v>
      </c>
      <c r="AV223" s="115">
        <v>0</v>
      </c>
      <c r="AW223" s="115">
        <v>0</v>
      </c>
      <c r="AX223" s="115">
        <v>0</v>
      </c>
      <c r="AY223" s="115">
        <v>0</v>
      </c>
    </row>
    <row r="224" spans="1:51" x14ac:dyDescent="0.25">
      <c r="A224" s="114"/>
      <c r="B224" s="125">
        <v>16</v>
      </c>
      <c r="C224" s="111"/>
      <c r="D224" s="115">
        <v>0</v>
      </c>
      <c r="E224" s="115">
        <v>0</v>
      </c>
      <c r="F224" s="115">
        <v>0</v>
      </c>
      <c r="G224" s="115">
        <v>0</v>
      </c>
      <c r="H224" s="115">
        <v>0</v>
      </c>
      <c r="I224" s="115">
        <v>0</v>
      </c>
      <c r="J224" s="115">
        <v>0</v>
      </c>
      <c r="K224" s="115">
        <v>0</v>
      </c>
      <c r="L224" s="115">
        <v>0</v>
      </c>
      <c r="M224" s="115">
        <v>0</v>
      </c>
      <c r="N224" s="115">
        <v>0</v>
      </c>
      <c r="O224" s="115">
        <v>0</v>
      </c>
      <c r="P224" s="115">
        <v>0</v>
      </c>
      <c r="Q224" s="115">
        <v>0</v>
      </c>
      <c r="R224" s="115">
        <v>0</v>
      </c>
      <c r="S224" s="115">
        <v>0</v>
      </c>
      <c r="T224" s="115">
        <v>0</v>
      </c>
      <c r="U224" s="115">
        <v>0</v>
      </c>
      <c r="V224" s="115">
        <v>0</v>
      </c>
      <c r="W224" s="115">
        <v>0</v>
      </c>
      <c r="X224" s="115">
        <v>0</v>
      </c>
      <c r="Y224" s="115">
        <v>0</v>
      </c>
      <c r="Z224" s="115">
        <v>0</v>
      </c>
      <c r="AA224" s="115">
        <v>0</v>
      </c>
      <c r="AB224" s="115">
        <v>0</v>
      </c>
      <c r="AC224" s="115">
        <v>0</v>
      </c>
      <c r="AD224" s="115">
        <v>0</v>
      </c>
      <c r="AE224" s="115">
        <v>0</v>
      </c>
      <c r="AF224" s="115">
        <v>0</v>
      </c>
      <c r="AG224" s="115">
        <v>0</v>
      </c>
      <c r="AH224" s="115">
        <v>0</v>
      </c>
      <c r="AI224" s="115">
        <v>0</v>
      </c>
      <c r="AJ224" s="115">
        <v>0</v>
      </c>
      <c r="AK224" s="115">
        <v>0</v>
      </c>
      <c r="AL224" s="115">
        <v>0</v>
      </c>
      <c r="AM224" s="115">
        <v>0</v>
      </c>
      <c r="AN224" s="115">
        <v>0</v>
      </c>
      <c r="AO224" s="115">
        <v>0</v>
      </c>
      <c r="AP224" s="115">
        <v>0</v>
      </c>
      <c r="AQ224" s="115">
        <v>0</v>
      </c>
      <c r="AR224" s="115">
        <v>0</v>
      </c>
      <c r="AS224" s="115">
        <v>0</v>
      </c>
      <c r="AT224" s="115">
        <v>0</v>
      </c>
      <c r="AU224" s="115">
        <v>0</v>
      </c>
      <c r="AV224" s="115">
        <v>0</v>
      </c>
      <c r="AW224" s="115">
        <v>0</v>
      </c>
      <c r="AX224" s="115">
        <v>0</v>
      </c>
      <c r="AY224" s="115">
        <v>0</v>
      </c>
    </row>
    <row r="225" spans="1:51" x14ac:dyDescent="0.25">
      <c r="A225" s="114"/>
      <c r="B225" s="125">
        <v>17</v>
      </c>
      <c r="C225" s="111"/>
      <c r="D225" s="115">
        <v>0</v>
      </c>
      <c r="E225" s="115">
        <v>0</v>
      </c>
      <c r="F225" s="115">
        <v>0</v>
      </c>
      <c r="G225" s="115">
        <v>0</v>
      </c>
      <c r="H225" s="115">
        <v>0</v>
      </c>
      <c r="I225" s="115">
        <v>0</v>
      </c>
      <c r="J225" s="115">
        <v>0</v>
      </c>
      <c r="K225" s="115">
        <v>0</v>
      </c>
      <c r="L225" s="115">
        <v>0</v>
      </c>
      <c r="M225" s="115">
        <v>0</v>
      </c>
      <c r="N225" s="115">
        <v>0</v>
      </c>
      <c r="O225" s="115">
        <v>0</v>
      </c>
      <c r="P225" s="115">
        <v>0</v>
      </c>
      <c r="Q225" s="115">
        <v>0</v>
      </c>
      <c r="R225" s="115">
        <v>0</v>
      </c>
      <c r="S225" s="115">
        <v>0</v>
      </c>
      <c r="T225" s="115">
        <v>0</v>
      </c>
      <c r="U225" s="115">
        <v>0</v>
      </c>
      <c r="V225" s="115">
        <v>0</v>
      </c>
      <c r="W225" s="115">
        <v>0</v>
      </c>
      <c r="X225" s="115">
        <v>0</v>
      </c>
      <c r="Y225" s="115">
        <v>0</v>
      </c>
      <c r="Z225" s="115">
        <v>0</v>
      </c>
      <c r="AA225" s="115">
        <v>0</v>
      </c>
      <c r="AB225" s="115">
        <v>0</v>
      </c>
      <c r="AC225" s="115">
        <v>0</v>
      </c>
      <c r="AD225" s="115">
        <v>0</v>
      </c>
      <c r="AE225" s="115">
        <v>0</v>
      </c>
      <c r="AF225" s="115">
        <v>0</v>
      </c>
      <c r="AG225" s="115">
        <v>0</v>
      </c>
      <c r="AH225" s="115">
        <v>0</v>
      </c>
      <c r="AI225" s="115">
        <v>0</v>
      </c>
      <c r="AJ225" s="115">
        <v>0</v>
      </c>
      <c r="AK225" s="115">
        <v>0</v>
      </c>
      <c r="AL225" s="115">
        <v>0</v>
      </c>
      <c r="AM225" s="115">
        <v>0</v>
      </c>
      <c r="AN225" s="115">
        <v>0</v>
      </c>
      <c r="AO225" s="115">
        <v>0</v>
      </c>
      <c r="AP225" s="115">
        <v>0</v>
      </c>
      <c r="AQ225" s="115">
        <v>0</v>
      </c>
      <c r="AR225" s="115">
        <v>0</v>
      </c>
      <c r="AS225" s="115">
        <v>0</v>
      </c>
      <c r="AT225" s="115">
        <v>0</v>
      </c>
      <c r="AU225" s="115">
        <v>0</v>
      </c>
      <c r="AV225" s="115">
        <v>0</v>
      </c>
      <c r="AW225" s="115">
        <v>0</v>
      </c>
      <c r="AX225" s="115">
        <v>0</v>
      </c>
      <c r="AY225" s="115">
        <v>0</v>
      </c>
    </row>
    <row r="226" spans="1:51" x14ac:dyDescent="0.25">
      <c r="A226" s="114"/>
      <c r="B226" s="125">
        <v>18</v>
      </c>
      <c r="C226" s="111"/>
      <c r="D226" s="115">
        <v>0</v>
      </c>
      <c r="E226" s="115">
        <v>0</v>
      </c>
      <c r="F226" s="115">
        <v>0</v>
      </c>
      <c r="G226" s="115">
        <v>0</v>
      </c>
      <c r="H226" s="115">
        <v>0</v>
      </c>
      <c r="I226" s="115">
        <v>0</v>
      </c>
      <c r="J226" s="115">
        <v>0</v>
      </c>
      <c r="K226" s="115">
        <v>0</v>
      </c>
      <c r="L226" s="115">
        <v>0</v>
      </c>
      <c r="M226" s="115">
        <v>0</v>
      </c>
      <c r="N226" s="115">
        <v>0</v>
      </c>
      <c r="O226" s="115">
        <v>0</v>
      </c>
      <c r="P226" s="115">
        <v>0</v>
      </c>
      <c r="Q226" s="115">
        <v>0</v>
      </c>
      <c r="R226" s="115">
        <v>0</v>
      </c>
      <c r="S226" s="115">
        <v>0</v>
      </c>
      <c r="T226" s="115">
        <v>0</v>
      </c>
      <c r="U226" s="115">
        <v>0</v>
      </c>
      <c r="V226" s="115">
        <v>0</v>
      </c>
      <c r="W226" s="115">
        <v>0</v>
      </c>
      <c r="X226" s="115">
        <v>0</v>
      </c>
      <c r="Y226" s="115">
        <v>0</v>
      </c>
      <c r="Z226" s="115">
        <v>0</v>
      </c>
      <c r="AA226" s="115">
        <v>0</v>
      </c>
      <c r="AB226" s="115">
        <v>0</v>
      </c>
      <c r="AC226" s="115">
        <v>0</v>
      </c>
      <c r="AD226" s="115">
        <v>0</v>
      </c>
      <c r="AE226" s="115">
        <v>0</v>
      </c>
      <c r="AF226" s="115">
        <v>0</v>
      </c>
      <c r="AG226" s="115">
        <v>0</v>
      </c>
      <c r="AH226" s="115">
        <v>0</v>
      </c>
      <c r="AI226" s="115">
        <v>0</v>
      </c>
      <c r="AJ226" s="115">
        <v>0</v>
      </c>
      <c r="AK226" s="115">
        <v>0</v>
      </c>
      <c r="AL226" s="115">
        <v>0</v>
      </c>
      <c r="AM226" s="115">
        <v>0</v>
      </c>
      <c r="AN226" s="115">
        <v>0</v>
      </c>
      <c r="AO226" s="115">
        <v>0</v>
      </c>
      <c r="AP226" s="115">
        <v>0</v>
      </c>
      <c r="AQ226" s="115">
        <v>0</v>
      </c>
      <c r="AR226" s="115">
        <v>0</v>
      </c>
      <c r="AS226" s="115">
        <v>0</v>
      </c>
      <c r="AT226" s="115">
        <v>0</v>
      </c>
      <c r="AU226" s="115">
        <v>0</v>
      </c>
      <c r="AV226" s="115">
        <v>0</v>
      </c>
      <c r="AW226" s="115">
        <v>0</v>
      </c>
      <c r="AX226" s="115">
        <v>0</v>
      </c>
      <c r="AY226" s="115">
        <v>0</v>
      </c>
    </row>
    <row r="227" spans="1:51" x14ac:dyDescent="0.25">
      <c r="A227" s="114"/>
      <c r="B227" s="125">
        <v>19</v>
      </c>
      <c r="C227" s="111"/>
      <c r="D227" s="115">
        <v>0</v>
      </c>
      <c r="E227" s="115">
        <v>0</v>
      </c>
      <c r="F227" s="115">
        <v>0</v>
      </c>
      <c r="G227" s="115">
        <v>0</v>
      </c>
      <c r="H227" s="115">
        <v>0</v>
      </c>
      <c r="I227" s="115">
        <v>0</v>
      </c>
      <c r="J227" s="115">
        <v>0</v>
      </c>
      <c r="K227" s="115">
        <v>0</v>
      </c>
      <c r="L227" s="115">
        <v>0</v>
      </c>
      <c r="M227" s="115">
        <v>0</v>
      </c>
      <c r="N227" s="115">
        <v>0</v>
      </c>
      <c r="O227" s="115">
        <v>0</v>
      </c>
      <c r="P227" s="115">
        <v>0</v>
      </c>
      <c r="Q227" s="115">
        <v>0</v>
      </c>
      <c r="R227" s="115">
        <v>0</v>
      </c>
      <c r="S227" s="115">
        <v>0</v>
      </c>
      <c r="T227" s="115">
        <v>0</v>
      </c>
      <c r="U227" s="115">
        <v>0</v>
      </c>
      <c r="V227" s="115">
        <v>0</v>
      </c>
      <c r="W227" s="115">
        <v>0</v>
      </c>
      <c r="X227" s="115">
        <v>0</v>
      </c>
      <c r="Y227" s="115">
        <v>0</v>
      </c>
      <c r="Z227" s="115">
        <v>0</v>
      </c>
      <c r="AA227" s="115">
        <v>0</v>
      </c>
      <c r="AB227" s="115">
        <v>0</v>
      </c>
      <c r="AC227" s="115">
        <v>0</v>
      </c>
      <c r="AD227" s="115">
        <v>0</v>
      </c>
      <c r="AE227" s="115">
        <v>0</v>
      </c>
      <c r="AF227" s="115">
        <v>0</v>
      </c>
      <c r="AG227" s="115">
        <v>0</v>
      </c>
      <c r="AH227" s="115">
        <v>0</v>
      </c>
      <c r="AI227" s="115">
        <v>0</v>
      </c>
      <c r="AJ227" s="115">
        <v>0</v>
      </c>
      <c r="AK227" s="115">
        <v>0</v>
      </c>
      <c r="AL227" s="115">
        <v>0</v>
      </c>
      <c r="AM227" s="115">
        <v>0</v>
      </c>
      <c r="AN227" s="115">
        <v>0</v>
      </c>
      <c r="AO227" s="115">
        <v>0</v>
      </c>
      <c r="AP227" s="115">
        <v>0</v>
      </c>
      <c r="AQ227" s="115">
        <v>0</v>
      </c>
      <c r="AR227" s="115">
        <v>0</v>
      </c>
      <c r="AS227" s="115">
        <v>0</v>
      </c>
      <c r="AT227" s="115">
        <v>0</v>
      </c>
      <c r="AU227" s="115">
        <v>0</v>
      </c>
      <c r="AV227" s="115">
        <v>0</v>
      </c>
      <c r="AW227" s="115">
        <v>0</v>
      </c>
      <c r="AX227" s="115">
        <v>0</v>
      </c>
      <c r="AY227" s="115">
        <v>0</v>
      </c>
    </row>
    <row r="228" spans="1:51" x14ac:dyDescent="0.25">
      <c r="A228" s="114"/>
      <c r="B228" s="125">
        <v>20</v>
      </c>
      <c r="C228" s="111"/>
      <c r="D228" s="115">
        <v>0</v>
      </c>
      <c r="E228" s="115">
        <v>0</v>
      </c>
      <c r="F228" s="115">
        <v>0</v>
      </c>
      <c r="G228" s="115">
        <v>0</v>
      </c>
      <c r="H228" s="115">
        <v>0</v>
      </c>
      <c r="I228" s="115">
        <v>0</v>
      </c>
      <c r="J228" s="115">
        <v>0</v>
      </c>
      <c r="K228" s="115">
        <v>0</v>
      </c>
      <c r="L228" s="115">
        <v>0</v>
      </c>
      <c r="M228" s="115">
        <v>0</v>
      </c>
      <c r="N228" s="115">
        <v>0</v>
      </c>
      <c r="O228" s="115">
        <v>0</v>
      </c>
      <c r="P228" s="115">
        <v>0</v>
      </c>
      <c r="Q228" s="115">
        <v>0</v>
      </c>
      <c r="R228" s="115">
        <v>0</v>
      </c>
      <c r="S228" s="115">
        <v>0</v>
      </c>
      <c r="T228" s="115">
        <v>0</v>
      </c>
      <c r="U228" s="115">
        <v>0</v>
      </c>
      <c r="V228" s="115">
        <v>0</v>
      </c>
      <c r="W228" s="115">
        <v>0</v>
      </c>
      <c r="X228" s="115">
        <v>0</v>
      </c>
      <c r="Y228" s="115">
        <v>0</v>
      </c>
      <c r="Z228" s="115">
        <v>0</v>
      </c>
      <c r="AA228" s="115">
        <v>0</v>
      </c>
      <c r="AB228" s="115">
        <v>0</v>
      </c>
      <c r="AC228" s="115">
        <v>0</v>
      </c>
      <c r="AD228" s="115">
        <v>0</v>
      </c>
      <c r="AE228" s="115">
        <v>0</v>
      </c>
      <c r="AF228" s="115">
        <v>0</v>
      </c>
      <c r="AG228" s="115">
        <v>0</v>
      </c>
      <c r="AH228" s="115">
        <v>0</v>
      </c>
      <c r="AI228" s="115">
        <v>0</v>
      </c>
      <c r="AJ228" s="115">
        <v>0</v>
      </c>
      <c r="AK228" s="115">
        <v>0</v>
      </c>
      <c r="AL228" s="115">
        <v>0</v>
      </c>
      <c r="AM228" s="115">
        <v>0</v>
      </c>
      <c r="AN228" s="115">
        <v>0</v>
      </c>
      <c r="AO228" s="115">
        <v>0</v>
      </c>
      <c r="AP228" s="115">
        <v>0</v>
      </c>
      <c r="AQ228" s="115">
        <v>0</v>
      </c>
      <c r="AR228" s="115">
        <v>0</v>
      </c>
      <c r="AS228" s="115">
        <v>0</v>
      </c>
      <c r="AT228" s="115">
        <v>0</v>
      </c>
      <c r="AU228" s="115">
        <v>0</v>
      </c>
      <c r="AV228" s="115">
        <v>0</v>
      </c>
      <c r="AW228" s="115">
        <v>0</v>
      </c>
      <c r="AX228" s="115">
        <v>0</v>
      </c>
      <c r="AY228" s="115">
        <v>0</v>
      </c>
    </row>
    <row r="229" spans="1:51" x14ac:dyDescent="0.25">
      <c r="A229" s="114"/>
      <c r="B229" s="125">
        <v>21</v>
      </c>
      <c r="C229" s="111"/>
      <c r="D229" s="115">
        <v>0</v>
      </c>
      <c r="E229" s="115">
        <v>0</v>
      </c>
      <c r="F229" s="115">
        <v>0</v>
      </c>
      <c r="G229" s="115">
        <v>0</v>
      </c>
      <c r="H229" s="115">
        <v>0</v>
      </c>
      <c r="I229" s="115">
        <v>0</v>
      </c>
      <c r="J229" s="115">
        <v>0</v>
      </c>
      <c r="K229" s="115">
        <v>0</v>
      </c>
      <c r="L229" s="115">
        <v>0</v>
      </c>
      <c r="M229" s="115">
        <v>0</v>
      </c>
      <c r="N229" s="115">
        <v>0</v>
      </c>
      <c r="O229" s="115">
        <v>0</v>
      </c>
      <c r="P229" s="115">
        <v>0</v>
      </c>
      <c r="Q229" s="115">
        <v>0</v>
      </c>
      <c r="R229" s="115">
        <v>0</v>
      </c>
      <c r="S229" s="115">
        <v>0</v>
      </c>
      <c r="T229" s="115">
        <v>0</v>
      </c>
      <c r="U229" s="115">
        <v>0</v>
      </c>
      <c r="V229" s="115">
        <v>0</v>
      </c>
      <c r="W229" s="115">
        <v>0</v>
      </c>
      <c r="X229" s="115">
        <v>0</v>
      </c>
      <c r="Y229" s="115">
        <v>0</v>
      </c>
      <c r="Z229" s="115">
        <v>0</v>
      </c>
      <c r="AA229" s="115">
        <v>0</v>
      </c>
      <c r="AB229" s="115">
        <v>0</v>
      </c>
      <c r="AC229" s="115">
        <v>0</v>
      </c>
      <c r="AD229" s="115">
        <v>0</v>
      </c>
      <c r="AE229" s="115">
        <v>0</v>
      </c>
      <c r="AF229" s="115">
        <v>0</v>
      </c>
      <c r="AG229" s="115">
        <v>0</v>
      </c>
      <c r="AH229" s="115">
        <v>0</v>
      </c>
      <c r="AI229" s="115">
        <v>0</v>
      </c>
      <c r="AJ229" s="115">
        <v>0</v>
      </c>
      <c r="AK229" s="115">
        <v>0</v>
      </c>
      <c r="AL229" s="115">
        <v>0</v>
      </c>
      <c r="AM229" s="115">
        <v>0</v>
      </c>
      <c r="AN229" s="115">
        <v>0</v>
      </c>
      <c r="AO229" s="115">
        <v>0</v>
      </c>
      <c r="AP229" s="115">
        <v>0</v>
      </c>
      <c r="AQ229" s="115">
        <v>0</v>
      </c>
      <c r="AR229" s="115">
        <v>0</v>
      </c>
      <c r="AS229" s="115">
        <v>0</v>
      </c>
      <c r="AT229" s="115">
        <v>0</v>
      </c>
      <c r="AU229" s="115">
        <v>0</v>
      </c>
      <c r="AV229" s="115">
        <v>0</v>
      </c>
      <c r="AW229" s="115">
        <v>0</v>
      </c>
      <c r="AX229" s="115">
        <v>0</v>
      </c>
      <c r="AY229" s="115">
        <v>0</v>
      </c>
    </row>
    <row r="230" spans="1:51" x14ac:dyDescent="0.25">
      <c r="A230" s="114"/>
      <c r="B230" s="125">
        <v>22</v>
      </c>
      <c r="C230" s="111"/>
      <c r="D230" s="115">
        <v>0</v>
      </c>
      <c r="E230" s="115">
        <v>0</v>
      </c>
      <c r="F230" s="115">
        <v>0</v>
      </c>
      <c r="G230" s="115">
        <v>0</v>
      </c>
      <c r="H230" s="115">
        <v>0</v>
      </c>
      <c r="I230" s="115">
        <v>0</v>
      </c>
      <c r="J230" s="115">
        <v>0</v>
      </c>
      <c r="K230" s="115">
        <v>0</v>
      </c>
      <c r="L230" s="115">
        <v>0</v>
      </c>
      <c r="M230" s="115">
        <v>0</v>
      </c>
      <c r="N230" s="115">
        <v>0</v>
      </c>
      <c r="O230" s="115">
        <v>0</v>
      </c>
      <c r="P230" s="115">
        <v>0</v>
      </c>
      <c r="Q230" s="115">
        <v>0</v>
      </c>
      <c r="R230" s="115">
        <v>0</v>
      </c>
      <c r="S230" s="115">
        <v>0</v>
      </c>
      <c r="T230" s="115">
        <v>0</v>
      </c>
      <c r="U230" s="115">
        <v>0</v>
      </c>
      <c r="V230" s="115">
        <v>0</v>
      </c>
      <c r="W230" s="115">
        <v>0</v>
      </c>
      <c r="X230" s="115">
        <v>0</v>
      </c>
      <c r="Y230" s="115">
        <v>0</v>
      </c>
      <c r="Z230" s="115">
        <v>0</v>
      </c>
      <c r="AA230" s="115">
        <v>0</v>
      </c>
      <c r="AB230" s="115">
        <v>0</v>
      </c>
      <c r="AC230" s="115">
        <v>0</v>
      </c>
      <c r="AD230" s="115">
        <v>0</v>
      </c>
      <c r="AE230" s="115">
        <v>0</v>
      </c>
      <c r="AF230" s="115">
        <v>0</v>
      </c>
      <c r="AG230" s="115">
        <v>0</v>
      </c>
      <c r="AH230" s="115">
        <v>0</v>
      </c>
      <c r="AI230" s="115">
        <v>0</v>
      </c>
      <c r="AJ230" s="115">
        <v>0</v>
      </c>
      <c r="AK230" s="115">
        <v>0</v>
      </c>
      <c r="AL230" s="115">
        <v>0</v>
      </c>
      <c r="AM230" s="115">
        <v>0</v>
      </c>
      <c r="AN230" s="115">
        <v>0</v>
      </c>
      <c r="AO230" s="115">
        <v>0</v>
      </c>
      <c r="AP230" s="115">
        <v>0</v>
      </c>
      <c r="AQ230" s="115">
        <v>0</v>
      </c>
      <c r="AR230" s="115">
        <v>0</v>
      </c>
      <c r="AS230" s="115">
        <v>0</v>
      </c>
      <c r="AT230" s="115">
        <v>0</v>
      </c>
      <c r="AU230" s="115">
        <v>0</v>
      </c>
      <c r="AV230" s="115">
        <v>0</v>
      </c>
      <c r="AW230" s="115">
        <v>0</v>
      </c>
      <c r="AX230" s="115">
        <v>0</v>
      </c>
      <c r="AY230" s="115">
        <v>0</v>
      </c>
    </row>
    <row r="231" spans="1:51" x14ac:dyDescent="0.25">
      <c r="A231" s="114"/>
      <c r="B231" s="125">
        <v>23</v>
      </c>
      <c r="C231" s="111"/>
      <c r="D231" s="115">
        <v>0</v>
      </c>
      <c r="E231" s="115">
        <v>0</v>
      </c>
      <c r="F231" s="115">
        <v>0</v>
      </c>
      <c r="G231" s="115">
        <v>0</v>
      </c>
      <c r="H231" s="115">
        <v>0</v>
      </c>
      <c r="I231" s="115">
        <v>0</v>
      </c>
      <c r="J231" s="115">
        <v>0</v>
      </c>
      <c r="K231" s="115">
        <v>0</v>
      </c>
      <c r="L231" s="115">
        <v>0</v>
      </c>
      <c r="M231" s="115">
        <v>0</v>
      </c>
      <c r="N231" s="115">
        <v>0</v>
      </c>
      <c r="O231" s="115">
        <v>0</v>
      </c>
      <c r="P231" s="115">
        <v>0</v>
      </c>
      <c r="Q231" s="115">
        <v>0</v>
      </c>
      <c r="R231" s="115">
        <v>0</v>
      </c>
      <c r="S231" s="115">
        <v>0</v>
      </c>
      <c r="T231" s="115">
        <v>0</v>
      </c>
      <c r="U231" s="115">
        <v>0</v>
      </c>
      <c r="V231" s="115">
        <v>0</v>
      </c>
      <c r="W231" s="115">
        <v>0</v>
      </c>
      <c r="X231" s="115">
        <v>0</v>
      </c>
      <c r="Y231" s="115">
        <v>0</v>
      </c>
      <c r="Z231" s="115">
        <v>0</v>
      </c>
      <c r="AA231" s="115">
        <v>0</v>
      </c>
      <c r="AB231" s="115">
        <v>0</v>
      </c>
      <c r="AC231" s="115">
        <v>0</v>
      </c>
      <c r="AD231" s="115">
        <v>0</v>
      </c>
      <c r="AE231" s="115">
        <v>0</v>
      </c>
      <c r="AF231" s="115">
        <v>0</v>
      </c>
      <c r="AG231" s="115">
        <v>0</v>
      </c>
      <c r="AH231" s="115">
        <v>0</v>
      </c>
      <c r="AI231" s="115">
        <v>0</v>
      </c>
      <c r="AJ231" s="115">
        <v>0</v>
      </c>
      <c r="AK231" s="115">
        <v>0</v>
      </c>
      <c r="AL231" s="115">
        <v>0</v>
      </c>
      <c r="AM231" s="115">
        <v>0</v>
      </c>
      <c r="AN231" s="115">
        <v>0</v>
      </c>
      <c r="AO231" s="115">
        <v>0</v>
      </c>
      <c r="AP231" s="115">
        <v>0</v>
      </c>
      <c r="AQ231" s="115">
        <v>0</v>
      </c>
      <c r="AR231" s="115">
        <v>0</v>
      </c>
      <c r="AS231" s="115">
        <v>0</v>
      </c>
      <c r="AT231" s="115">
        <v>0</v>
      </c>
      <c r="AU231" s="115">
        <v>0</v>
      </c>
      <c r="AV231" s="115">
        <v>0</v>
      </c>
      <c r="AW231" s="115">
        <v>0</v>
      </c>
      <c r="AX231" s="115">
        <v>0</v>
      </c>
      <c r="AY231" s="115">
        <v>0</v>
      </c>
    </row>
    <row r="232" spans="1:51" x14ac:dyDescent="0.25">
      <c r="A232" s="114"/>
      <c r="B232" s="125">
        <v>24</v>
      </c>
      <c r="C232" s="111"/>
      <c r="D232" s="115">
        <v>0</v>
      </c>
      <c r="E232" s="115">
        <v>0</v>
      </c>
      <c r="F232" s="115">
        <v>0</v>
      </c>
      <c r="G232" s="115">
        <v>0</v>
      </c>
      <c r="H232" s="115">
        <v>0</v>
      </c>
      <c r="I232" s="115">
        <v>0</v>
      </c>
      <c r="J232" s="115">
        <v>0</v>
      </c>
      <c r="K232" s="115">
        <v>0</v>
      </c>
      <c r="L232" s="115">
        <v>0</v>
      </c>
      <c r="M232" s="115">
        <v>0</v>
      </c>
      <c r="N232" s="115">
        <v>0</v>
      </c>
      <c r="O232" s="115">
        <v>0</v>
      </c>
      <c r="P232" s="115">
        <v>0</v>
      </c>
      <c r="Q232" s="115">
        <v>0</v>
      </c>
      <c r="R232" s="115">
        <v>0</v>
      </c>
      <c r="S232" s="115">
        <v>0</v>
      </c>
      <c r="T232" s="115">
        <v>0</v>
      </c>
      <c r="U232" s="115">
        <v>0</v>
      </c>
      <c r="V232" s="115">
        <v>0</v>
      </c>
      <c r="W232" s="115">
        <v>0</v>
      </c>
      <c r="X232" s="115">
        <v>0</v>
      </c>
      <c r="Y232" s="115">
        <v>0</v>
      </c>
      <c r="Z232" s="115">
        <v>0</v>
      </c>
      <c r="AA232" s="115">
        <v>0</v>
      </c>
      <c r="AB232" s="115">
        <v>0</v>
      </c>
      <c r="AC232" s="115">
        <v>0</v>
      </c>
      <c r="AD232" s="115">
        <v>0</v>
      </c>
      <c r="AE232" s="115">
        <v>0</v>
      </c>
      <c r="AF232" s="115">
        <v>0</v>
      </c>
      <c r="AG232" s="115">
        <v>0</v>
      </c>
      <c r="AH232" s="115">
        <v>0</v>
      </c>
      <c r="AI232" s="115">
        <v>0</v>
      </c>
      <c r="AJ232" s="115">
        <v>0</v>
      </c>
      <c r="AK232" s="115">
        <v>0</v>
      </c>
      <c r="AL232" s="115">
        <v>0</v>
      </c>
      <c r="AM232" s="115">
        <v>0</v>
      </c>
      <c r="AN232" s="115">
        <v>0</v>
      </c>
      <c r="AO232" s="115">
        <v>0</v>
      </c>
      <c r="AP232" s="115">
        <v>0</v>
      </c>
      <c r="AQ232" s="115">
        <v>0</v>
      </c>
      <c r="AR232" s="115">
        <v>0</v>
      </c>
      <c r="AS232" s="115">
        <v>0</v>
      </c>
      <c r="AT232" s="115">
        <v>0</v>
      </c>
      <c r="AU232" s="115">
        <v>0</v>
      </c>
      <c r="AV232" s="115">
        <v>0</v>
      </c>
      <c r="AW232" s="115">
        <v>0</v>
      </c>
      <c r="AX232" s="115">
        <v>0</v>
      </c>
      <c r="AY232" s="115">
        <v>0</v>
      </c>
    </row>
    <row r="233" spans="1:51" x14ac:dyDescent="0.25">
      <c r="A233" s="114"/>
      <c r="B233" s="132">
        <v>25</v>
      </c>
      <c r="C233" s="111"/>
      <c r="D233" s="115">
        <v>0</v>
      </c>
      <c r="E233" s="115">
        <v>0</v>
      </c>
      <c r="F233" s="115">
        <v>0</v>
      </c>
      <c r="G233" s="115">
        <v>0</v>
      </c>
      <c r="H233" s="115">
        <v>0</v>
      </c>
      <c r="I233" s="115">
        <v>0</v>
      </c>
      <c r="J233" s="115">
        <v>0</v>
      </c>
      <c r="K233" s="115">
        <v>0</v>
      </c>
      <c r="L233" s="115">
        <v>0</v>
      </c>
      <c r="M233" s="115">
        <v>0</v>
      </c>
      <c r="N233" s="115">
        <v>0</v>
      </c>
      <c r="O233" s="115">
        <v>0</v>
      </c>
      <c r="P233" s="115">
        <v>0</v>
      </c>
      <c r="Q233" s="115">
        <v>0</v>
      </c>
      <c r="R233" s="115">
        <v>0</v>
      </c>
      <c r="S233" s="115">
        <v>0</v>
      </c>
      <c r="T233" s="115">
        <v>0</v>
      </c>
      <c r="U233" s="115">
        <v>0</v>
      </c>
      <c r="V233" s="115">
        <v>0</v>
      </c>
      <c r="W233" s="115">
        <v>0</v>
      </c>
      <c r="X233" s="115">
        <v>0</v>
      </c>
      <c r="Y233" s="115">
        <v>0</v>
      </c>
      <c r="Z233" s="115">
        <v>0</v>
      </c>
      <c r="AA233" s="115">
        <v>0</v>
      </c>
      <c r="AB233" s="115">
        <v>0</v>
      </c>
      <c r="AC233" s="115">
        <v>0</v>
      </c>
      <c r="AD233" s="115">
        <v>0</v>
      </c>
      <c r="AE233" s="115">
        <v>0</v>
      </c>
      <c r="AF233" s="115">
        <v>0</v>
      </c>
      <c r="AG233" s="115">
        <v>0</v>
      </c>
      <c r="AH233" s="115">
        <v>0</v>
      </c>
      <c r="AI233" s="115">
        <v>0</v>
      </c>
      <c r="AJ233" s="115">
        <v>0</v>
      </c>
      <c r="AK233" s="115">
        <v>0</v>
      </c>
      <c r="AL233" s="115">
        <v>0</v>
      </c>
      <c r="AM233" s="115">
        <v>0</v>
      </c>
      <c r="AN233" s="115">
        <v>0</v>
      </c>
      <c r="AO233" s="115">
        <v>0</v>
      </c>
      <c r="AP233" s="115">
        <v>0</v>
      </c>
      <c r="AQ233" s="115">
        <v>0</v>
      </c>
      <c r="AR233" s="115">
        <v>0</v>
      </c>
      <c r="AS233" s="115">
        <v>0</v>
      </c>
      <c r="AT233" s="115">
        <v>0</v>
      </c>
      <c r="AU233" s="115">
        <v>0</v>
      </c>
      <c r="AV233" s="115">
        <v>0</v>
      </c>
      <c r="AW233" s="115">
        <v>0</v>
      </c>
      <c r="AX233" s="115">
        <v>0</v>
      </c>
      <c r="AY233" s="115">
        <v>0</v>
      </c>
    </row>
    <row r="234" spans="1:51" x14ac:dyDescent="0.25">
      <c r="A234" s="114"/>
      <c r="B234" s="132">
        <v>26</v>
      </c>
      <c r="C234" s="111"/>
      <c r="D234" s="115">
        <v>0</v>
      </c>
      <c r="E234" s="115">
        <v>0</v>
      </c>
      <c r="F234" s="115">
        <v>0</v>
      </c>
      <c r="G234" s="115">
        <v>0</v>
      </c>
      <c r="H234" s="115">
        <v>0</v>
      </c>
      <c r="I234" s="115">
        <v>0</v>
      </c>
      <c r="J234" s="115">
        <v>0</v>
      </c>
      <c r="K234" s="115">
        <v>0</v>
      </c>
      <c r="L234" s="115">
        <v>0</v>
      </c>
      <c r="M234" s="115">
        <v>0</v>
      </c>
      <c r="N234" s="115">
        <v>0</v>
      </c>
      <c r="O234" s="115">
        <v>0</v>
      </c>
      <c r="P234" s="115">
        <v>0</v>
      </c>
      <c r="Q234" s="115">
        <v>0</v>
      </c>
      <c r="R234" s="115">
        <v>0</v>
      </c>
      <c r="S234" s="115">
        <v>0</v>
      </c>
      <c r="T234" s="115">
        <v>0</v>
      </c>
      <c r="U234" s="115">
        <v>0</v>
      </c>
      <c r="V234" s="115">
        <v>0</v>
      </c>
      <c r="W234" s="115">
        <v>0</v>
      </c>
      <c r="X234" s="115">
        <v>0</v>
      </c>
      <c r="Y234" s="115">
        <v>0</v>
      </c>
      <c r="Z234" s="115">
        <v>0</v>
      </c>
      <c r="AA234" s="115">
        <v>0</v>
      </c>
      <c r="AB234" s="115">
        <v>0</v>
      </c>
      <c r="AC234" s="115">
        <v>0</v>
      </c>
      <c r="AD234" s="115">
        <v>0</v>
      </c>
      <c r="AE234" s="115">
        <v>0</v>
      </c>
      <c r="AF234" s="115">
        <v>0</v>
      </c>
      <c r="AG234" s="115">
        <v>0</v>
      </c>
      <c r="AH234" s="115">
        <v>0</v>
      </c>
      <c r="AI234" s="115">
        <v>0</v>
      </c>
      <c r="AJ234" s="115">
        <v>0</v>
      </c>
      <c r="AK234" s="115">
        <v>0</v>
      </c>
      <c r="AL234" s="115">
        <v>0</v>
      </c>
      <c r="AM234" s="115">
        <v>0</v>
      </c>
      <c r="AN234" s="115">
        <v>0</v>
      </c>
      <c r="AO234" s="115">
        <v>0</v>
      </c>
      <c r="AP234" s="115">
        <v>0</v>
      </c>
      <c r="AQ234" s="115">
        <v>0</v>
      </c>
      <c r="AR234" s="115">
        <v>0</v>
      </c>
      <c r="AS234" s="115">
        <v>0</v>
      </c>
      <c r="AT234" s="115">
        <v>0</v>
      </c>
      <c r="AU234" s="115">
        <v>0</v>
      </c>
      <c r="AV234" s="115">
        <v>0</v>
      </c>
      <c r="AW234" s="115">
        <v>0</v>
      </c>
      <c r="AX234" s="115">
        <v>0</v>
      </c>
      <c r="AY234" s="115">
        <v>0</v>
      </c>
    </row>
    <row r="235" spans="1:51" x14ac:dyDescent="0.25">
      <c r="A235" s="114"/>
      <c r="B235" s="132">
        <v>27</v>
      </c>
      <c r="C235" s="111"/>
      <c r="D235" s="115">
        <v>0</v>
      </c>
      <c r="E235" s="115">
        <v>0</v>
      </c>
      <c r="F235" s="115">
        <v>0</v>
      </c>
      <c r="G235" s="115">
        <v>0</v>
      </c>
      <c r="H235" s="115">
        <v>0</v>
      </c>
      <c r="I235" s="115">
        <v>0</v>
      </c>
      <c r="J235" s="115">
        <v>0</v>
      </c>
      <c r="K235" s="115">
        <v>0</v>
      </c>
      <c r="L235" s="115">
        <v>0</v>
      </c>
      <c r="M235" s="115">
        <v>0</v>
      </c>
      <c r="N235" s="115">
        <v>0</v>
      </c>
      <c r="O235" s="115">
        <v>0</v>
      </c>
      <c r="P235" s="115">
        <v>0</v>
      </c>
      <c r="Q235" s="115">
        <v>0</v>
      </c>
      <c r="R235" s="115">
        <v>0</v>
      </c>
      <c r="S235" s="115">
        <v>0</v>
      </c>
      <c r="T235" s="115">
        <v>0</v>
      </c>
      <c r="U235" s="115">
        <v>0</v>
      </c>
      <c r="V235" s="115">
        <v>0</v>
      </c>
      <c r="W235" s="115">
        <v>0</v>
      </c>
      <c r="X235" s="115">
        <v>0</v>
      </c>
      <c r="Y235" s="115">
        <v>0</v>
      </c>
      <c r="Z235" s="115">
        <v>0</v>
      </c>
      <c r="AA235" s="115">
        <v>0</v>
      </c>
      <c r="AB235" s="115">
        <v>0</v>
      </c>
      <c r="AC235" s="115">
        <v>0</v>
      </c>
      <c r="AD235" s="115">
        <v>0</v>
      </c>
      <c r="AE235" s="115">
        <v>0</v>
      </c>
      <c r="AF235" s="115">
        <v>0</v>
      </c>
      <c r="AG235" s="115">
        <v>0</v>
      </c>
      <c r="AH235" s="115">
        <v>0</v>
      </c>
      <c r="AI235" s="115">
        <v>0</v>
      </c>
      <c r="AJ235" s="115">
        <v>0</v>
      </c>
      <c r="AK235" s="115">
        <v>0</v>
      </c>
      <c r="AL235" s="115">
        <v>0</v>
      </c>
      <c r="AM235" s="115">
        <v>0</v>
      </c>
      <c r="AN235" s="115">
        <v>0</v>
      </c>
      <c r="AO235" s="115">
        <v>0</v>
      </c>
      <c r="AP235" s="115">
        <v>0</v>
      </c>
      <c r="AQ235" s="115">
        <v>0</v>
      </c>
      <c r="AR235" s="115">
        <v>0</v>
      </c>
      <c r="AS235" s="115">
        <v>0</v>
      </c>
      <c r="AT235" s="115">
        <v>0</v>
      </c>
      <c r="AU235" s="115">
        <v>0</v>
      </c>
      <c r="AV235" s="115">
        <v>0</v>
      </c>
      <c r="AW235" s="115">
        <v>0</v>
      </c>
      <c r="AX235" s="115">
        <v>0</v>
      </c>
      <c r="AY235" s="115">
        <v>0</v>
      </c>
    </row>
    <row r="236" spans="1:51" x14ac:dyDescent="0.25">
      <c r="A236" s="114"/>
      <c r="B236" s="132">
        <v>28</v>
      </c>
      <c r="C236" s="111"/>
      <c r="D236" s="115">
        <v>0</v>
      </c>
      <c r="E236" s="115">
        <v>0</v>
      </c>
      <c r="F236" s="115">
        <v>0</v>
      </c>
      <c r="G236" s="115">
        <v>0</v>
      </c>
      <c r="H236" s="115">
        <v>0</v>
      </c>
      <c r="I236" s="115">
        <v>0</v>
      </c>
      <c r="J236" s="115">
        <v>0</v>
      </c>
      <c r="K236" s="115">
        <v>0</v>
      </c>
      <c r="L236" s="115">
        <v>0</v>
      </c>
      <c r="M236" s="115">
        <v>0</v>
      </c>
      <c r="N236" s="115">
        <v>0</v>
      </c>
      <c r="O236" s="115">
        <v>0</v>
      </c>
      <c r="P236" s="115">
        <v>0</v>
      </c>
      <c r="Q236" s="115">
        <v>0</v>
      </c>
      <c r="R236" s="115">
        <v>0</v>
      </c>
      <c r="S236" s="115">
        <v>0</v>
      </c>
      <c r="T236" s="115">
        <v>0</v>
      </c>
      <c r="U236" s="115">
        <v>0</v>
      </c>
      <c r="V236" s="115">
        <v>0</v>
      </c>
      <c r="W236" s="115">
        <v>0</v>
      </c>
      <c r="X236" s="115">
        <v>0</v>
      </c>
      <c r="Y236" s="115">
        <v>0</v>
      </c>
      <c r="Z236" s="115">
        <v>0</v>
      </c>
      <c r="AA236" s="115">
        <v>0</v>
      </c>
      <c r="AB236" s="115">
        <v>0</v>
      </c>
      <c r="AC236" s="115">
        <v>0</v>
      </c>
      <c r="AD236" s="115">
        <v>0</v>
      </c>
      <c r="AE236" s="115">
        <v>0</v>
      </c>
      <c r="AF236" s="115">
        <v>0</v>
      </c>
      <c r="AG236" s="115">
        <v>0</v>
      </c>
      <c r="AH236" s="115">
        <v>0</v>
      </c>
      <c r="AI236" s="115">
        <v>0</v>
      </c>
      <c r="AJ236" s="115">
        <v>0</v>
      </c>
      <c r="AK236" s="115">
        <v>0</v>
      </c>
      <c r="AL236" s="115">
        <v>0</v>
      </c>
      <c r="AM236" s="115">
        <v>0</v>
      </c>
      <c r="AN236" s="115">
        <v>0</v>
      </c>
      <c r="AO236" s="115">
        <v>0</v>
      </c>
      <c r="AP236" s="115">
        <v>0</v>
      </c>
      <c r="AQ236" s="115">
        <v>0</v>
      </c>
      <c r="AR236" s="115">
        <v>0</v>
      </c>
      <c r="AS236" s="115">
        <v>0</v>
      </c>
      <c r="AT236" s="115">
        <v>0</v>
      </c>
      <c r="AU236" s="115">
        <v>0</v>
      </c>
      <c r="AV236" s="115">
        <v>0</v>
      </c>
      <c r="AW236" s="115">
        <v>0</v>
      </c>
      <c r="AX236" s="115">
        <v>0</v>
      </c>
      <c r="AY236" s="115">
        <v>0</v>
      </c>
    </row>
    <row r="237" spans="1:51" x14ac:dyDescent="0.25">
      <c r="A237" s="114"/>
      <c r="B237" s="132">
        <v>29</v>
      </c>
      <c r="C237" s="111"/>
      <c r="D237" s="115">
        <v>0</v>
      </c>
      <c r="E237" s="115">
        <v>0</v>
      </c>
      <c r="F237" s="115">
        <v>0</v>
      </c>
      <c r="G237" s="115">
        <v>0</v>
      </c>
      <c r="H237" s="115">
        <v>0</v>
      </c>
      <c r="I237" s="115">
        <v>0</v>
      </c>
      <c r="J237" s="115">
        <v>0</v>
      </c>
      <c r="K237" s="115">
        <v>0</v>
      </c>
      <c r="L237" s="115">
        <v>0</v>
      </c>
      <c r="M237" s="115">
        <v>0</v>
      </c>
      <c r="N237" s="115">
        <v>0</v>
      </c>
      <c r="O237" s="115">
        <v>0</v>
      </c>
      <c r="P237" s="115">
        <v>0</v>
      </c>
      <c r="Q237" s="115">
        <v>0</v>
      </c>
      <c r="R237" s="115">
        <v>0</v>
      </c>
      <c r="S237" s="115">
        <v>0</v>
      </c>
      <c r="T237" s="115">
        <v>0</v>
      </c>
      <c r="U237" s="115">
        <v>0</v>
      </c>
      <c r="V237" s="115">
        <v>0</v>
      </c>
      <c r="W237" s="115">
        <v>0</v>
      </c>
      <c r="X237" s="115">
        <v>0</v>
      </c>
      <c r="Y237" s="115">
        <v>0</v>
      </c>
      <c r="Z237" s="115">
        <v>0</v>
      </c>
      <c r="AA237" s="115">
        <v>0</v>
      </c>
      <c r="AB237" s="115">
        <v>0</v>
      </c>
      <c r="AC237" s="115">
        <v>0</v>
      </c>
      <c r="AD237" s="115">
        <v>0</v>
      </c>
      <c r="AE237" s="115">
        <v>0</v>
      </c>
      <c r="AF237" s="115">
        <v>0</v>
      </c>
      <c r="AG237" s="115">
        <v>0</v>
      </c>
      <c r="AH237" s="115">
        <v>0</v>
      </c>
      <c r="AI237" s="115">
        <v>0</v>
      </c>
      <c r="AJ237" s="115">
        <v>0</v>
      </c>
      <c r="AK237" s="115">
        <v>0</v>
      </c>
      <c r="AL237" s="115">
        <v>0</v>
      </c>
      <c r="AM237" s="115">
        <v>0</v>
      </c>
      <c r="AN237" s="115">
        <v>0</v>
      </c>
      <c r="AO237" s="115">
        <v>0</v>
      </c>
      <c r="AP237" s="115">
        <v>0</v>
      </c>
      <c r="AQ237" s="115">
        <v>0</v>
      </c>
      <c r="AR237" s="115">
        <v>0</v>
      </c>
      <c r="AS237" s="115">
        <v>0</v>
      </c>
      <c r="AT237" s="115">
        <v>0</v>
      </c>
      <c r="AU237" s="115">
        <v>0</v>
      </c>
      <c r="AV237" s="115">
        <v>0</v>
      </c>
      <c r="AW237" s="115">
        <v>0</v>
      </c>
      <c r="AX237" s="115">
        <v>0</v>
      </c>
      <c r="AY237" s="115">
        <v>0</v>
      </c>
    </row>
    <row r="238" spans="1:51" x14ac:dyDescent="0.25">
      <c r="A238" s="114"/>
      <c r="B238" s="132">
        <v>30</v>
      </c>
      <c r="C238" s="111"/>
      <c r="D238" s="115">
        <v>0</v>
      </c>
      <c r="E238" s="115">
        <v>0</v>
      </c>
      <c r="F238" s="115">
        <v>0</v>
      </c>
      <c r="G238" s="115">
        <v>0</v>
      </c>
      <c r="H238" s="115">
        <v>0</v>
      </c>
      <c r="I238" s="115">
        <v>0</v>
      </c>
      <c r="J238" s="115">
        <v>0</v>
      </c>
      <c r="K238" s="115">
        <v>0</v>
      </c>
      <c r="L238" s="115">
        <v>0</v>
      </c>
      <c r="M238" s="115">
        <v>0</v>
      </c>
      <c r="N238" s="115">
        <v>0</v>
      </c>
      <c r="O238" s="115">
        <v>0</v>
      </c>
      <c r="P238" s="115">
        <v>0</v>
      </c>
      <c r="Q238" s="115">
        <v>0</v>
      </c>
      <c r="R238" s="115">
        <v>0</v>
      </c>
      <c r="S238" s="115">
        <v>0</v>
      </c>
      <c r="T238" s="115">
        <v>0</v>
      </c>
      <c r="U238" s="115">
        <v>0</v>
      </c>
      <c r="V238" s="115">
        <v>0</v>
      </c>
      <c r="W238" s="115">
        <v>0</v>
      </c>
      <c r="X238" s="115">
        <v>0</v>
      </c>
      <c r="Y238" s="115">
        <v>0</v>
      </c>
      <c r="Z238" s="115">
        <v>0</v>
      </c>
      <c r="AA238" s="115">
        <v>0</v>
      </c>
      <c r="AB238" s="115">
        <v>0</v>
      </c>
      <c r="AC238" s="115">
        <v>0</v>
      </c>
      <c r="AD238" s="115">
        <v>0</v>
      </c>
      <c r="AE238" s="115">
        <v>0</v>
      </c>
      <c r="AF238" s="115">
        <v>0</v>
      </c>
      <c r="AG238" s="115">
        <v>0</v>
      </c>
      <c r="AH238" s="115">
        <v>0</v>
      </c>
      <c r="AI238" s="115">
        <v>0</v>
      </c>
      <c r="AJ238" s="115">
        <v>0</v>
      </c>
      <c r="AK238" s="115">
        <v>0</v>
      </c>
      <c r="AL238" s="115">
        <v>0</v>
      </c>
      <c r="AM238" s="115">
        <v>0</v>
      </c>
      <c r="AN238" s="115">
        <v>0</v>
      </c>
      <c r="AO238" s="115">
        <v>0</v>
      </c>
      <c r="AP238" s="115">
        <v>0</v>
      </c>
      <c r="AQ238" s="115">
        <v>0</v>
      </c>
      <c r="AR238" s="115">
        <v>0</v>
      </c>
      <c r="AS238" s="115">
        <v>0</v>
      </c>
      <c r="AT238" s="115">
        <v>0</v>
      </c>
      <c r="AU238" s="115">
        <v>0</v>
      </c>
      <c r="AV238" s="115">
        <v>0</v>
      </c>
      <c r="AW238" s="115">
        <v>0</v>
      </c>
      <c r="AX238" s="115">
        <v>0</v>
      </c>
      <c r="AY238" s="115">
        <v>0</v>
      </c>
    </row>
    <row r="239" spans="1:51" x14ac:dyDescent="0.25">
      <c r="A239" s="114"/>
      <c r="B239" s="132">
        <v>31</v>
      </c>
      <c r="C239" s="111"/>
      <c r="D239" s="115">
        <v>0</v>
      </c>
      <c r="E239" s="115">
        <v>0</v>
      </c>
      <c r="F239" s="115">
        <v>0</v>
      </c>
      <c r="G239" s="115">
        <v>0</v>
      </c>
      <c r="H239" s="115">
        <v>0</v>
      </c>
      <c r="I239" s="115">
        <v>0</v>
      </c>
      <c r="J239" s="115">
        <v>0</v>
      </c>
      <c r="K239" s="115">
        <v>0</v>
      </c>
      <c r="L239" s="115">
        <v>0</v>
      </c>
      <c r="M239" s="115">
        <v>0</v>
      </c>
      <c r="N239" s="115">
        <v>0</v>
      </c>
      <c r="O239" s="115">
        <v>0</v>
      </c>
      <c r="P239" s="115">
        <v>0</v>
      </c>
      <c r="Q239" s="115">
        <v>0</v>
      </c>
      <c r="R239" s="115">
        <v>0</v>
      </c>
      <c r="S239" s="115">
        <v>0</v>
      </c>
      <c r="T239" s="115">
        <v>0</v>
      </c>
      <c r="U239" s="115">
        <v>0</v>
      </c>
      <c r="V239" s="115">
        <v>0</v>
      </c>
      <c r="W239" s="115">
        <v>0</v>
      </c>
      <c r="X239" s="115">
        <v>0</v>
      </c>
      <c r="Y239" s="115">
        <v>0</v>
      </c>
      <c r="Z239" s="115">
        <v>0</v>
      </c>
      <c r="AA239" s="115">
        <v>0</v>
      </c>
      <c r="AB239" s="115">
        <v>0</v>
      </c>
      <c r="AC239" s="115">
        <v>0</v>
      </c>
      <c r="AD239" s="115">
        <v>0</v>
      </c>
      <c r="AE239" s="115">
        <v>0</v>
      </c>
      <c r="AF239" s="115">
        <v>0</v>
      </c>
      <c r="AG239" s="115">
        <v>0</v>
      </c>
      <c r="AH239" s="115">
        <v>0</v>
      </c>
      <c r="AI239" s="115">
        <v>0</v>
      </c>
      <c r="AJ239" s="115">
        <v>0</v>
      </c>
      <c r="AK239" s="115">
        <v>0</v>
      </c>
      <c r="AL239" s="115">
        <v>0</v>
      </c>
      <c r="AM239" s="115">
        <v>0</v>
      </c>
      <c r="AN239" s="115">
        <v>0</v>
      </c>
      <c r="AO239" s="115">
        <v>0</v>
      </c>
      <c r="AP239" s="115">
        <v>0</v>
      </c>
      <c r="AQ239" s="115">
        <v>0</v>
      </c>
      <c r="AR239" s="115">
        <v>0</v>
      </c>
      <c r="AS239" s="115">
        <v>0</v>
      </c>
      <c r="AT239" s="115">
        <v>0</v>
      </c>
      <c r="AU239" s="115">
        <v>0</v>
      </c>
      <c r="AV239" s="115">
        <v>0</v>
      </c>
      <c r="AW239" s="115">
        <v>0</v>
      </c>
      <c r="AX239" s="115">
        <v>0</v>
      </c>
      <c r="AY239" s="115">
        <v>0</v>
      </c>
    </row>
    <row r="240" spans="1:51" x14ac:dyDescent="0.25">
      <c r="A240" s="114"/>
      <c r="B240" s="132">
        <v>32</v>
      </c>
      <c r="C240" s="111"/>
      <c r="D240" s="115">
        <v>0</v>
      </c>
      <c r="E240" s="115">
        <v>0</v>
      </c>
      <c r="F240" s="115">
        <v>0</v>
      </c>
      <c r="G240" s="115">
        <v>0</v>
      </c>
      <c r="H240" s="115">
        <v>0</v>
      </c>
      <c r="I240" s="115">
        <v>0</v>
      </c>
      <c r="J240" s="115">
        <v>0</v>
      </c>
      <c r="K240" s="115">
        <v>0</v>
      </c>
      <c r="L240" s="115">
        <v>0</v>
      </c>
      <c r="M240" s="115">
        <v>0</v>
      </c>
      <c r="N240" s="115">
        <v>0</v>
      </c>
      <c r="O240" s="115">
        <v>0</v>
      </c>
      <c r="P240" s="115">
        <v>0</v>
      </c>
      <c r="Q240" s="115">
        <v>0</v>
      </c>
      <c r="R240" s="115">
        <v>0</v>
      </c>
      <c r="S240" s="115">
        <v>0</v>
      </c>
      <c r="T240" s="115">
        <v>0</v>
      </c>
      <c r="U240" s="115">
        <v>0</v>
      </c>
      <c r="V240" s="115">
        <v>0</v>
      </c>
      <c r="W240" s="115">
        <v>0</v>
      </c>
      <c r="X240" s="115">
        <v>0</v>
      </c>
      <c r="Y240" s="115">
        <v>0</v>
      </c>
      <c r="Z240" s="115">
        <v>0</v>
      </c>
      <c r="AA240" s="115">
        <v>0</v>
      </c>
      <c r="AB240" s="115">
        <v>0</v>
      </c>
      <c r="AC240" s="115">
        <v>0</v>
      </c>
      <c r="AD240" s="115">
        <v>0</v>
      </c>
      <c r="AE240" s="115">
        <v>0</v>
      </c>
      <c r="AF240" s="115">
        <v>0</v>
      </c>
      <c r="AG240" s="115">
        <v>0</v>
      </c>
      <c r="AH240" s="115">
        <v>0</v>
      </c>
      <c r="AI240" s="115">
        <v>0</v>
      </c>
      <c r="AJ240" s="115">
        <v>0</v>
      </c>
      <c r="AK240" s="115">
        <v>0</v>
      </c>
      <c r="AL240" s="115">
        <v>0</v>
      </c>
      <c r="AM240" s="115">
        <v>0</v>
      </c>
      <c r="AN240" s="115">
        <v>0</v>
      </c>
      <c r="AO240" s="115">
        <v>0</v>
      </c>
      <c r="AP240" s="115">
        <v>0</v>
      </c>
      <c r="AQ240" s="115">
        <v>0</v>
      </c>
      <c r="AR240" s="115">
        <v>0</v>
      </c>
      <c r="AS240" s="115">
        <v>0</v>
      </c>
      <c r="AT240" s="115">
        <v>0</v>
      </c>
      <c r="AU240" s="115">
        <v>0</v>
      </c>
      <c r="AV240" s="115">
        <v>0</v>
      </c>
      <c r="AW240" s="115">
        <v>0</v>
      </c>
      <c r="AX240" s="115">
        <v>0</v>
      </c>
      <c r="AY240" s="115">
        <v>0</v>
      </c>
    </row>
    <row r="241" spans="1:51" x14ac:dyDescent="0.25">
      <c r="A241" s="114"/>
      <c r="B241" s="132">
        <v>33</v>
      </c>
      <c r="C241" s="111"/>
      <c r="D241" s="115">
        <v>0</v>
      </c>
      <c r="E241" s="115">
        <v>0</v>
      </c>
      <c r="F241" s="115">
        <v>0</v>
      </c>
      <c r="G241" s="115">
        <v>0</v>
      </c>
      <c r="H241" s="115">
        <v>0</v>
      </c>
      <c r="I241" s="115">
        <v>0</v>
      </c>
      <c r="J241" s="115">
        <v>0</v>
      </c>
      <c r="K241" s="115">
        <v>0</v>
      </c>
      <c r="L241" s="115">
        <v>0</v>
      </c>
      <c r="M241" s="115">
        <v>0</v>
      </c>
      <c r="N241" s="115">
        <v>0</v>
      </c>
      <c r="O241" s="115">
        <v>0</v>
      </c>
      <c r="P241" s="115">
        <v>0</v>
      </c>
      <c r="Q241" s="115">
        <v>0</v>
      </c>
      <c r="R241" s="115">
        <v>0</v>
      </c>
      <c r="S241" s="115">
        <v>0</v>
      </c>
      <c r="T241" s="115">
        <v>0</v>
      </c>
      <c r="U241" s="115">
        <v>0</v>
      </c>
      <c r="V241" s="115">
        <v>0</v>
      </c>
      <c r="W241" s="115">
        <v>0</v>
      </c>
      <c r="X241" s="115">
        <v>0</v>
      </c>
      <c r="Y241" s="115">
        <v>0</v>
      </c>
      <c r="Z241" s="115">
        <v>0</v>
      </c>
      <c r="AA241" s="115">
        <v>0</v>
      </c>
      <c r="AB241" s="115">
        <v>0</v>
      </c>
      <c r="AC241" s="115">
        <v>0</v>
      </c>
      <c r="AD241" s="115">
        <v>0</v>
      </c>
      <c r="AE241" s="115">
        <v>0</v>
      </c>
      <c r="AF241" s="115">
        <v>0</v>
      </c>
      <c r="AG241" s="115">
        <v>0</v>
      </c>
      <c r="AH241" s="115">
        <v>0</v>
      </c>
      <c r="AI241" s="115">
        <v>0</v>
      </c>
      <c r="AJ241" s="115">
        <v>0</v>
      </c>
      <c r="AK241" s="115">
        <v>0</v>
      </c>
      <c r="AL241" s="115">
        <v>0</v>
      </c>
      <c r="AM241" s="115">
        <v>0</v>
      </c>
      <c r="AN241" s="115">
        <v>0</v>
      </c>
      <c r="AO241" s="115">
        <v>0</v>
      </c>
      <c r="AP241" s="115">
        <v>0</v>
      </c>
      <c r="AQ241" s="115">
        <v>0</v>
      </c>
      <c r="AR241" s="115">
        <v>0</v>
      </c>
      <c r="AS241" s="115">
        <v>0</v>
      </c>
      <c r="AT241" s="115">
        <v>0</v>
      </c>
      <c r="AU241" s="115">
        <v>0</v>
      </c>
      <c r="AV241" s="115">
        <v>0</v>
      </c>
      <c r="AW241" s="115">
        <v>0</v>
      </c>
      <c r="AX241" s="115">
        <v>0</v>
      </c>
      <c r="AY241" s="115">
        <v>0</v>
      </c>
    </row>
    <row r="242" spans="1:51" x14ac:dyDescent="0.25">
      <c r="A242" s="114"/>
      <c r="B242" s="132">
        <v>34</v>
      </c>
      <c r="C242" s="111"/>
      <c r="D242" s="115">
        <v>0</v>
      </c>
      <c r="E242" s="115">
        <v>0</v>
      </c>
      <c r="F242" s="115">
        <v>0</v>
      </c>
      <c r="G242" s="115">
        <v>0</v>
      </c>
      <c r="H242" s="115">
        <v>0</v>
      </c>
      <c r="I242" s="115">
        <v>0</v>
      </c>
      <c r="J242" s="115">
        <v>0</v>
      </c>
      <c r="K242" s="115">
        <v>0</v>
      </c>
      <c r="L242" s="115">
        <v>0</v>
      </c>
      <c r="M242" s="115">
        <v>0</v>
      </c>
      <c r="N242" s="115">
        <v>0</v>
      </c>
      <c r="O242" s="115">
        <v>0</v>
      </c>
      <c r="P242" s="115">
        <v>0</v>
      </c>
      <c r="Q242" s="115">
        <v>0</v>
      </c>
      <c r="R242" s="115">
        <v>0</v>
      </c>
      <c r="S242" s="115">
        <v>0</v>
      </c>
      <c r="T242" s="115">
        <v>0</v>
      </c>
      <c r="U242" s="115">
        <v>0</v>
      </c>
      <c r="V242" s="115">
        <v>0</v>
      </c>
      <c r="W242" s="115">
        <v>0</v>
      </c>
      <c r="X242" s="115">
        <v>0</v>
      </c>
      <c r="Y242" s="115">
        <v>0</v>
      </c>
      <c r="Z242" s="115">
        <v>0</v>
      </c>
      <c r="AA242" s="115">
        <v>0</v>
      </c>
      <c r="AB242" s="115">
        <v>0</v>
      </c>
      <c r="AC242" s="115">
        <v>0</v>
      </c>
      <c r="AD242" s="115">
        <v>0</v>
      </c>
      <c r="AE242" s="115">
        <v>0</v>
      </c>
      <c r="AF242" s="115">
        <v>0</v>
      </c>
      <c r="AG242" s="115">
        <v>0</v>
      </c>
      <c r="AH242" s="115">
        <v>0</v>
      </c>
      <c r="AI242" s="115">
        <v>0</v>
      </c>
      <c r="AJ242" s="115">
        <v>0</v>
      </c>
      <c r="AK242" s="115">
        <v>0</v>
      </c>
      <c r="AL242" s="115">
        <v>0</v>
      </c>
      <c r="AM242" s="115">
        <v>0</v>
      </c>
      <c r="AN242" s="115">
        <v>0</v>
      </c>
      <c r="AO242" s="115">
        <v>0</v>
      </c>
      <c r="AP242" s="115">
        <v>0</v>
      </c>
      <c r="AQ242" s="115">
        <v>0</v>
      </c>
      <c r="AR242" s="115">
        <v>0</v>
      </c>
      <c r="AS242" s="115">
        <v>0</v>
      </c>
      <c r="AT242" s="115">
        <v>0</v>
      </c>
      <c r="AU242" s="115">
        <v>0</v>
      </c>
      <c r="AV242" s="115">
        <v>0</v>
      </c>
      <c r="AW242" s="115">
        <v>0</v>
      </c>
      <c r="AX242" s="115">
        <v>0</v>
      </c>
      <c r="AY242" s="115">
        <v>0</v>
      </c>
    </row>
    <row r="243" spans="1:51" x14ac:dyDescent="0.25">
      <c r="A243" s="114"/>
      <c r="B243" s="132">
        <v>35</v>
      </c>
      <c r="C243" s="111"/>
      <c r="D243" s="115">
        <v>0</v>
      </c>
      <c r="E243" s="115">
        <v>0</v>
      </c>
      <c r="F243" s="115">
        <v>0</v>
      </c>
      <c r="G243" s="115">
        <v>0</v>
      </c>
      <c r="H243" s="115">
        <v>0</v>
      </c>
      <c r="I243" s="115">
        <v>0</v>
      </c>
      <c r="J243" s="115">
        <v>0</v>
      </c>
      <c r="K243" s="115">
        <v>0</v>
      </c>
      <c r="L243" s="115">
        <v>0</v>
      </c>
      <c r="M243" s="115">
        <v>0</v>
      </c>
      <c r="N243" s="115">
        <v>0</v>
      </c>
      <c r="O243" s="115">
        <v>0</v>
      </c>
      <c r="P243" s="115">
        <v>0</v>
      </c>
      <c r="Q243" s="115">
        <v>0</v>
      </c>
      <c r="R243" s="115">
        <v>0</v>
      </c>
      <c r="S243" s="115">
        <v>0</v>
      </c>
      <c r="T243" s="115">
        <v>0</v>
      </c>
      <c r="U243" s="115">
        <v>0</v>
      </c>
      <c r="V243" s="115">
        <v>0</v>
      </c>
      <c r="W243" s="115">
        <v>0</v>
      </c>
      <c r="X243" s="115">
        <v>0</v>
      </c>
      <c r="Y243" s="115">
        <v>0</v>
      </c>
      <c r="Z243" s="115">
        <v>0</v>
      </c>
      <c r="AA243" s="115">
        <v>0</v>
      </c>
      <c r="AB243" s="115">
        <v>0</v>
      </c>
      <c r="AC243" s="115">
        <v>0</v>
      </c>
      <c r="AD243" s="115">
        <v>0</v>
      </c>
      <c r="AE243" s="115">
        <v>0</v>
      </c>
      <c r="AF243" s="115">
        <v>0</v>
      </c>
      <c r="AG243" s="115">
        <v>0</v>
      </c>
      <c r="AH243" s="115">
        <v>0</v>
      </c>
      <c r="AI243" s="115">
        <v>0</v>
      </c>
      <c r="AJ243" s="115">
        <v>0</v>
      </c>
      <c r="AK243" s="115">
        <v>0</v>
      </c>
      <c r="AL243" s="115">
        <v>0</v>
      </c>
      <c r="AM243" s="115">
        <v>0</v>
      </c>
      <c r="AN243" s="115">
        <v>0</v>
      </c>
      <c r="AO243" s="115">
        <v>0</v>
      </c>
      <c r="AP243" s="115">
        <v>0</v>
      </c>
      <c r="AQ243" s="115">
        <v>0</v>
      </c>
      <c r="AR243" s="115">
        <v>0</v>
      </c>
      <c r="AS243" s="115">
        <v>0</v>
      </c>
      <c r="AT243" s="115">
        <v>0</v>
      </c>
      <c r="AU243" s="115">
        <v>0</v>
      </c>
      <c r="AV243" s="115">
        <v>0</v>
      </c>
      <c r="AW243" s="115">
        <v>0</v>
      </c>
      <c r="AX243" s="115">
        <v>0</v>
      </c>
      <c r="AY243" s="115">
        <v>0</v>
      </c>
    </row>
    <row r="244" spans="1:51" x14ac:dyDescent="0.25">
      <c r="A244" s="114"/>
      <c r="B244" s="132">
        <v>36</v>
      </c>
      <c r="C244" s="111"/>
      <c r="D244" s="115">
        <v>0</v>
      </c>
      <c r="E244" s="115">
        <v>0</v>
      </c>
      <c r="F244" s="115">
        <v>0</v>
      </c>
      <c r="G244" s="115">
        <v>0</v>
      </c>
      <c r="H244" s="115">
        <v>0</v>
      </c>
      <c r="I244" s="115">
        <v>0</v>
      </c>
      <c r="J244" s="115">
        <v>0</v>
      </c>
      <c r="K244" s="115">
        <v>0</v>
      </c>
      <c r="L244" s="115">
        <v>0</v>
      </c>
      <c r="M244" s="115">
        <v>0</v>
      </c>
      <c r="N244" s="115">
        <v>0</v>
      </c>
      <c r="O244" s="115">
        <v>0</v>
      </c>
      <c r="P244" s="115">
        <v>0</v>
      </c>
      <c r="Q244" s="115">
        <v>0</v>
      </c>
      <c r="R244" s="115">
        <v>0</v>
      </c>
      <c r="S244" s="115">
        <v>0</v>
      </c>
      <c r="T244" s="115">
        <v>0</v>
      </c>
      <c r="U244" s="115">
        <v>0</v>
      </c>
      <c r="V244" s="115">
        <v>0</v>
      </c>
      <c r="W244" s="115">
        <v>0</v>
      </c>
      <c r="X244" s="115">
        <v>0</v>
      </c>
      <c r="Y244" s="115">
        <v>0</v>
      </c>
      <c r="Z244" s="115">
        <v>0</v>
      </c>
      <c r="AA244" s="115">
        <v>0</v>
      </c>
      <c r="AB244" s="115">
        <v>0</v>
      </c>
      <c r="AC244" s="115">
        <v>0</v>
      </c>
      <c r="AD244" s="115">
        <v>0</v>
      </c>
      <c r="AE244" s="115">
        <v>0</v>
      </c>
      <c r="AF244" s="115">
        <v>0</v>
      </c>
      <c r="AG244" s="115">
        <v>0</v>
      </c>
      <c r="AH244" s="115">
        <v>0</v>
      </c>
      <c r="AI244" s="115">
        <v>0</v>
      </c>
      <c r="AJ244" s="115">
        <v>0</v>
      </c>
      <c r="AK244" s="115">
        <v>0</v>
      </c>
      <c r="AL244" s="115">
        <v>0</v>
      </c>
      <c r="AM244" s="115">
        <v>0</v>
      </c>
      <c r="AN244" s="115">
        <v>0</v>
      </c>
      <c r="AO244" s="115">
        <v>0</v>
      </c>
      <c r="AP244" s="115">
        <v>0</v>
      </c>
      <c r="AQ244" s="115">
        <v>0</v>
      </c>
      <c r="AR244" s="115">
        <v>0</v>
      </c>
      <c r="AS244" s="115">
        <v>0</v>
      </c>
      <c r="AT244" s="115">
        <v>0</v>
      </c>
      <c r="AU244" s="115">
        <v>0</v>
      </c>
      <c r="AV244" s="115">
        <v>0</v>
      </c>
      <c r="AW244" s="115">
        <v>0</v>
      </c>
      <c r="AX244" s="115">
        <v>0</v>
      </c>
      <c r="AY244" s="115">
        <v>0</v>
      </c>
    </row>
    <row r="245" spans="1:51" x14ac:dyDescent="0.25">
      <c r="A245" s="114"/>
      <c r="B245" s="135">
        <v>37</v>
      </c>
      <c r="C245" s="111"/>
      <c r="D245" s="115">
        <v>0</v>
      </c>
      <c r="E245" s="115">
        <v>0</v>
      </c>
      <c r="F245" s="115">
        <v>0</v>
      </c>
      <c r="G245" s="115">
        <v>0</v>
      </c>
      <c r="H245" s="115">
        <v>0</v>
      </c>
      <c r="I245" s="115">
        <v>0</v>
      </c>
      <c r="J245" s="115">
        <v>0</v>
      </c>
      <c r="K245" s="115">
        <v>0</v>
      </c>
      <c r="L245" s="115">
        <v>0</v>
      </c>
      <c r="M245" s="115">
        <v>0</v>
      </c>
      <c r="N245" s="115">
        <v>0</v>
      </c>
      <c r="O245" s="115">
        <v>0</v>
      </c>
      <c r="P245" s="115">
        <v>0</v>
      </c>
      <c r="Q245" s="115">
        <v>0</v>
      </c>
      <c r="R245" s="115">
        <v>0</v>
      </c>
      <c r="S245" s="115">
        <v>0</v>
      </c>
      <c r="T245" s="115">
        <v>0</v>
      </c>
      <c r="U245" s="115">
        <v>0</v>
      </c>
      <c r="V245" s="115">
        <v>0</v>
      </c>
      <c r="W245" s="115">
        <v>0</v>
      </c>
      <c r="X245" s="115">
        <v>0</v>
      </c>
      <c r="Y245" s="115">
        <v>0</v>
      </c>
      <c r="Z245" s="115">
        <v>0</v>
      </c>
      <c r="AA245" s="115">
        <v>0</v>
      </c>
      <c r="AB245" s="115">
        <v>0</v>
      </c>
      <c r="AC245" s="115">
        <v>0</v>
      </c>
      <c r="AD245" s="115">
        <v>0</v>
      </c>
      <c r="AE245" s="115">
        <v>0</v>
      </c>
      <c r="AF245" s="115">
        <v>0</v>
      </c>
      <c r="AG245" s="115">
        <v>0</v>
      </c>
      <c r="AH245" s="115">
        <v>0</v>
      </c>
      <c r="AI245" s="115">
        <v>0</v>
      </c>
      <c r="AJ245" s="115">
        <v>0</v>
      </c>
      <c r="AK245" s="115">
        <v>0</v>
      </c>
      <c r="AL245" s="115">
        <v>0</v>
      </c>
      <c r="AM245" s="115">
        <v>0</v>
      </c>
      <c r="AN245" s="115">
        <v>0</v>
      </c>
      <c r="AO245" s="115">
        <v>0</v>
      </c>
      <c r="AP245" s="115">
        <v>0</v>
      </c>
      <c r="AQ245" s="115">
        <v>0</v>
      </c>
      <c r="AR245" s="115">
        <v>0</v>
      </c>
      <c r="AS245" s="115">
        <v>0</v>
      </c>
      <c r="AT245" s="115">
        <v>0</v>
      </c>
      <c r="AU245" s="115">
        <v>0</v>
      </c>
      <c r="AV245" s="115">
        <v>0</v>
      </c>
      <c r="AW245" s="115">
        <v>0</v>
      </c>
      <c r="AX245" s="115">
        <v>0</v>
      </c>
      <c r="AY245" s="115">
        <v>0</v>
      </c>
    </row>
    <row r="246" spans="1:51" x14ac:dyDescent="0.25">
      <c r="A246" s="114"/>
      <c r="B246" s="135">
        <v>38</v>
      </c>
      <c r="C246" s="111"/>
      <c r="D246" s="115">
        <v>0</v>
      </c>
      <c r="E246" s="115">
        <v>0</v>
      </c>
      <c r="F246" s="115">
        <v>0</v>
      </c>
      <c r="G246" s="115">
        <v>0</v>
      </c>
      <c r="H246" s="115">
        <v>0</v>
      </c>
      <c r="I246" s="115">
        <v>0</v>
      </c>
      <c r="J246" s="115">
        <v>0</v>
      </c>
      <c r="K246" s="115">
        <v>0</v>
      </c>
      <c r="L246" s="115">
        <v>0</v>
      </c>
      <c r="M246" s="115">
        <v>0</v>
      </c>
      <c r="N246" s="115">
        <v>0</v>
      </c>
      <c r="O246" s="115">
        <v>0</v>
      </c>
      <c r="P246" s="115">
        <v>0</v>
      </c>
      <c r="Q246" s="115">
        <v>0</v>
      </c>
      <c r="R246" s="115">
        <v>0</v>
      </c>
      <c r="S246" s="115">
        <v>0</v>
      </c>
      <c r="T246" s="115">
        <v>0</v>
      </c>
      <c r="U246" s="115">
        <v>0</v>
      </c>
      <c r="V246" s="115">
        <v>0</v>
      </c>
      <c r="W246" s="115">
        <v>0</v>
      </c>
      <c r="X246" s="115">
        <v>0</v>
      </c>
      <c r="Y246" s="115">
        <v>0</v>
      </c>
      <c r="Z246" s="115">
        <v>0</v>
      </c>
      <c r="AA246" s="115">
        <v>0</v>
      </c>
      <c r="AB246" s="115">
        <v>0</v>
      </c>
      <c r="AC246" s="115">
        <v>0</v>
      </c>
      <c r="AD246" s="115">
        <v>0</v>
      </c>
      <c r="AE246" s="115">
        <v>0</v>
      </c>
      <c r="AF246" s="115">
        <v>0</v>
      </c>
      <c r="AG246" s="115">
        <v>0</v>
      </c>
      <c r="AH246" s="115">
        <v>0</v>
      </c>
      <c r="AI246" s="115">
        <v>0</v>
      </c>
      <c r="AJ246" s="115">
        <v>0</v>
      </c>
      <c r="AK246" s="115">
        <v>0</v>
      </c>
      <c r="AL246" s="115">
        <v>0</v>
      </c>
      <c r="AM246" s="115">
        <v>0</v>
      </c>
      <c r="AN246" s="115">
        <v>0</v>
      </c>
      <c r="AO246" s="115">
        <v>0</v>
      </c>
      <c r="AP246" s="115">
        <v>0</v>
      </c>
      <c r="AQ246" s="115">
        <v>0</v>
      </c>
      <c r="AR246" s="115">
        <v>0</v>
      </c>
      <c r="AS246" s="115">
        <v>0</v>
      </c>
      <c r="AT246" s="115">
        <v>0</v>
      </c>
      <c r="AU246" s="115">
        <v>0</v>
      </c>
      <c r="AV246" s="115">
        <v>0</v>
      </c>
      <c r="AW246" s="115">
        <v>0</v>
      </c>
      <c r="AX246" s="115">
        <v>0</v>
      </c>
      <c r="AY246" s="115">
        <v>0</v>
      </c>
    </row>
    <row r="247" spans="1:51" x14ac:dyDescent="0.25">
      <c r="A247" s="114"/>
      <c r="B247" s="135">
        <v>39</v>
      </c>
      <c r="C247" s="111"/>
      <c r="D247" s="115">
        <v>0</v>
      </c>
      <c r="E247" s="115">
        <v>0</v>
      </c>
      <c r="F247" s="115">
        <v>0</v>
      </c>
      <c r="G247" s="115">
        <v>0</v>
      </c>
      <c r="H247" s="115">
        <v>0</v>
      </c>
      <c r="I247" s="115">
        <v>0</v>
      </c>
      <c r="J247" s="115">
        <v>0</v>
      </c>
      <c r="K247" s="115">
        <v>0</v>
      </c>
      <c r="L247" s="115">
        <v>0</v>
      </c>
      <c r="M247" s="115">
        <v>0</v>
      </c>
      <c r="N247" s="115">
        <v>0</v>
      </c>
      <c r="O247" s="115">
        <v>0</v>
      </c>
      <c r="P247" s="115">
        <v>0</v>
      </c>
      <c r="Q247" s="115">
        <v>0</v>
      </c>
      <c r="R247" s="115">
        <v>0</v>
      </c>
      <c r="S247" s="115">
        <v>0</v>
      </c>
      <c r="T247" s="115">
        <v>0</v>
      </c>
      <c r="U247" s="115">
        <v>0</v>
      </c>
      <c r="V247" s="115">
        <v>0</v>
      </c>
      <c r="W247" s="115">
        <v>0</v>
      </c>
      <c r="X247" s="115">
        <v>0</v>
      </c>
      <c r="Y247" s="115">
        <v>0</v>
      </c>
      <c r="Z247" s="115">
        <v>0</v>
      </c>
      <c r="AA247" s="115">
        <v>0</v>
      </c>
      <c r="AB247" s="115">
        <v>0</v>
      </c>
      <c r="AC247" s="115">
        <v>0</v>
      </c>
      <c r="AD247" s="115">
        <v>0</v>
      </c>
      <c r="AE247" s="115">
        <v>0</v>
      </c>
      <c r="AF247" s="115">
        <v>0</v>
      </c>
      <c r="AG247" s="115">
        <v>0</v>
      </c>
      <c r="AH247" s="115">
        <v>0</v>
      </c>
      <c r="AI247" s="115">
        <v>0</v>
      </c>
      <c r="AJ247" s="115">
        <v>0</v>
      </c>
      <c r="AK247" s="115">
        <v>0</v>
      </c>
      <c r="AL247" s="115">
        <v>0</v>
      </c>
      <c r="AM247" s="115">
        <v>0</v>
      </c>
      <c r="AN247" s="115">
        <v>0</v>
      </c>
      <c r="AO247" s="115">
        <v>0</v>
      </c>
      <c r="AP247" s="115">
        <v>0</v>
      </c>
      <c r="AQ247" s="115">
        <v>0</v>
      </c>
      <c r="AR247" s="115">
        <v>0</v>
      </c>
      <c r="AS247" s="115">
        <v>0</v>
      </c>
      <c r="AT247" s="115">
        <v>0</v>
      </c>
      <c r="AU247" s="115">
        <v>0</v>
      </c>
      <c r="AV247" s="115">
        <v>0</v>
      </c>
      <c r="AW247" s="115">
        <v>0</v>
      </c>
      <c r="AX247" s="115">
        <v>0</v>
      </c>
      <c r="AY247" s="115">
        <v>0</v>
      </c>
    </row>
    <row r="248" spans="1:51" x14ac:dyDescent="0.25">
      <c r="A248" s="114"/>
      <c r="B248" s="135">
        <v>40</v>
      </c>
      <c r="C248" s="111"/>
      <c r="D248" s="115">
        <v>0</v>
      </c>
      <c r="E248" s="115">
        <v>0</v>
      </c>
      <c r="F248" s="115">
        <v>0</v>
      </c>
      <c r="G248" s="115">
        <v>0</v>
      </c>
      <c r="H248" s="115">
        <v>0</v>
      </c>
      <c r="I248" s="115">
        <v>0</v>
      </c>
      <c r="J248" s="115">
        <v>0</v>
      </c>
      <c r="K248" s="115">
        <v>0</v>
      </c>
      <c r="L248" s="115">
        <v>0</v>
      </c>
      <c r="M248" s="115">
        <v>0</v>
      </c>
      <c r="N248" s="115">
        <v>0</v>
      </c>
      <c r="O248" s="115">
        <v>0</v>
      </c>
      <c r="P248" s="115">
        <v>0</v>
      </c>
      <c r="Q248" s="115">
        <v>0</v>
      </c>
      <c r="R248" s="115">
        <v>0</v>
      </c>
      <c r="S248" s="115">
        <v>0</v>
      </c>
      <c r="T248" s="115">
        <v>0</v>
      </c>
      <c r="U248" s="115">
        <v>0</v>
      </c>
      <c r="V248" s="115">
        <v>0</v>
      </c>
      <c r="W248" s="115">
        <v>0</v>
      </c>
      <c r="X248" s="115">
        <v>0</v>
      </c>
      <c r="Y248" s="115">
        <v>0</v>
      </c>
      <c r="Z248" s="115">
        <v>0</v>
      </c>
      <c r="AA248" s="115">
        <v>0</v>
      </c>
      <c r="AB248" s="115">
        <v>0</v>
      </c>
      <c r="AC248" s="115">
        <v>0</v>
      </c>
      <c r="AD248" s="115">
        <v>0</v>
      </c>
      <c r="AE248" s="115">
        <v>0</v>
      </c>
      <c r="AF248" s="115">
        <v>0</v>
      </c>
      <c r="AG248" s="115">
        <v>0</v>
      </c>
      <c r="AH248" s="115">
        <v>0</v>
      </c>
      <c r="AI248" s="115">
        <v>0</v>
      </c>
      <c r="AJ248" s="115">
        <v>0</v>
      </c>
      <c r="AK248" s="115">
        <v>0</v>
      </c>
      <c r="AL248" s="115">
        <v>0</v>
      </c>
      <c r="AM248" s="115">
        <v>0</v>
      </c>
      <c r="AN248" s="115">
        <v>0</v>
      </c>
      <c r="AO248" s="115">
        <v>0</v>
      </c>
      <c r="AP248" s="115">
        <v>0</v>
      </c>
      <c r="AQ248" s="115">
        <v>0</v>
      </c>
      <c r="AR248" s="115">
        <v>0</v>
      </c>
      <c r="AS248" s="115">
        <v>0</v>
      </c>
      <c r="AT248" s="115">
        <v>0</v>
      </c>
      <c r="AU248" s="115">
        <v>0</v>
      </c>
      <c r="AV248" s="115">
        <v>0</v>
      </c>
      <c r="AW248" s="115">
        <v>0</v>
      </c>
      <c r="AX248" s="115">
        <v>0</v>
      </c>
      <c r="AY248" s="115">
        <v>0</v>
      </c>
    </row>
    <row r="249" spans="1:51" x14ac:dyDescent="0.25">
      <c r="A249" s="114"/>
      <c r="B249" s="135">
        <v>41</v>
      </c>
      <c r="C249" s="111"/>
      <c r="D249" s="115">
        <v>0</v>
      </c>
      <c r="E249" s="115">
        <v>0</v>
      </c>
      <c r="F249" s="115">
        <v>0</v>
      </c>
      <c r="G249" s="115">
        <v>0</v>
      </c>
      <c r="H249" s="115">
        <v>0</v>
      </c>
      <c r="I249" s="115">
        <v>0</v>
      </c>
      <c r="J249" s="115">
        <v>0</v>
      </c>
      <c r="K249" s="115">
        <v>0</v>
      </c>
      <c r="L249" s="115">
        <v>0</v>
      </c>
      <c r="M249" s="115">
        <v>0</v>
      </c>
      <c r="N249" s="115">
        <v>0</v>
      </c>
      <c r="O249" s="115">
        <v>0</v>
      </c>
      <c r="P249" s="115">
        <v>0</v>
      </c>
      <c r="Q249" s="115">
        <v>0</v>
      </c>
      <c r="R249" s="115">
        <v>0</v>
      </c>
      <c r="S249" s="115">
        <v>0</v>
      </c>
      <c r="T249" s="115">
        <v>0</v>
      </c>
      <c r="U249" s="115">
        <v>0</v>
      </c>
      <c r="V249" s="115">
        <v>0</v>
      </c>
      <c r="W249" s="115">
        <v>0</v>
      </c>
      <c r="X249" s="115">
        <v>0</v>
      </c>
      <c r="Y249" s="115">
        <v>0</v>
      </c>
      <c r="Z249" s="115">
        <v>0</v>
      </c>
      <c r="AA249" s="115">
        <v>0</v>
      </c>
      <c r="AB249" s="115">
        <v>0</v>
      </c>
      <c r="AC249" s="115">
        <v>0</v>
      </c>
      <c r="AD249" s="115">
        <v>0</v>
      </c>
      <c r="AE249" s="115">
        <v>0</v>
      </c>
      <c r="AF249" s="115">
        <v>0</v>
      </c>
      <c r="AG249" s="115">
        <v>0</v>
      </c>
      <c r="AH249" s="115">
        <v>0</v>
      </c>
      <c r="AI249" s="115">
        <v>0</v>
      </c>
      <c r="AJ249" s="115">
        <v>0</v>
      </c>
      <c r="AK249" s="115">
        <v>0</v>
      </c>
      <c r="AL249" s="115">
        <v>0</v>
      </c>
      <c r="AM249" s="115">
        <v>0</v>
      </c>
      <c r="AN249" s="115">
        <v>0</v>
      </c>
      <c r="AO249" s="115">
        <v>0</v>
      </c>
      <c r="AP249" s="115">
        <v>0</v>
      </c>
      <c r="AQ249" s="115">
        <v>0</v>
      </c>
      <c r="AR249" s="115">
        <v>0</v>
      </c>
      <c r="AS249" s="115">
        <v>0</v>
      </c>
      <c r="AT249" s="115">
        <v>0</v>
      </c>
      <c r="AU249" s="115">
        <v>0</v>
      </c>
      <c r="AV249" s="115">
        <v>0</v>
      </c>
      <c r="AW249" s="115">
        <v>0</v>
      </c>
      <c r="AX249" s="115">
        <v>0</v>
      </c>
      <c r="AY249" s="115">
        <v>0</v>
      </c>
    </row>
    <row r="250" spans="1:51" x14ac:dyDescent="0.25">
      <c r="A250" s="114"/>
      <c r="B250" s="135">
        <v>42</v>
      </c>
      <c r="C250" s="111"/>
      <c r="D250" s="115">
        <v>0</v>
      </c>
      <c r="E250" s="115">
        <v>0</v>
      </c>
      <c r="F250" s="115">
        <v>0</v>
      </c>
      <c r="G250" s="115">
        <v>0</v>
      </c>
      <c r="H250" s="115">
        <v>0</v>
      </c>
      <c r="I250" s="115">
        <v>0</v>
      </c>
      <c r="J250" s="115">
        <v>0</v>
      </c>
      <c r="K250" s="115">
        <v>0</v>
      </c>
      <c r="L250" s="115">
        <v>0</v>
      </c>
      <c r="M250" s="115">
        <v>0</v>
      </c>
      <c r="N250" s="115">
        <v>0</v>
      </c>
      <c r="O250" s="115">
        <v>0</v>
      </c>
      <c r="P250" s="115">
        <v>0</v>
      </c>
      <c r="Q250" s="115">
        <v>0</v>
      </c>
      <c r="R250" s="115">
        <v>0</v>
      </c>
      <c r="S250" s="115">
        <v>0</v>
      </c>
      <c r="T250" s="115">
        <v>0</v>
      </c>
      <c r="U250" s="115">
        <v>0</v>
      </c>
      <c r="V250" s="115">
        <v>0</v>
      </c>
      <c r="W250" s="115">
        <v>0</v>
      </c>
      <c r="X250" s="115">
        <v>0</v>
      </c>
      <c r="Y250" s="115">
        <v>0</v>
      </c>
      <c r="Z250" s="115">
        <v>0</v>
      </c>
      <c r="AA250" s="115">
        <v>0</v>
      </c>
      <c r="AB250" s="115">
        <v>0</v>
      </c>
      <c r="AC250" s="115">
        <v>0</v>
      </c>
      <c r="AD250" s="115">
        <v>0</v>
      </c>
      <c r="AE250" s="115">
        <v>0</v>
      </c>
      <c r="AF250" s="115">
        <v>0</v>
      </c>
      <c r="AG250" s="115">
        <v>0</v>
      </c>
      <c r="AH250" s="115">
        <v>0</v>
      </c>
      <c r="AI250" s="115">
        <v>0</v>
      </c>
      <c r="AJ250" s="115">
        <v>0</v>
      </c>
      <c r="AK250" s="115">
        <v>0</v>
      </c>
      <c r="AL250" s="115">
        <v>0</v>
      </c>
      <c r="AM250" s="115">
        <v>0</v>
      </c>
      <c r="AN250" s="115">
        <v>0</v>
      </c>
      <c r="AO250" s="115">
        <v>0</v>
      </c>
      <c r="AP250" s="115">
        <v>0</v>
      </c>
      <c r="AQ250" s="115">
        <v>0</v>
      </c>
      <c r="AR250" s="115">
        <v>0</v>
      </c>
      <c r="AS250" s="115">
        <v>0</v>
      </c>
      <c r="AT250" s="115">
        <v>0</v>
      </c>
      <c r="AU250" s="115">
        <v>0</v>
      </c>
      <c r="AV250" s="115">
        <v>0</v>
      </c>
      <c r="AW250" s="115">
        <v>0</v>
      </c>
      <c r="AX250" s="115">
        <v>0</v>
      </c>
      <c r="AY250" s="115">
        <v>0</v>
      </c>
    </row>
    <row r="251" spans="1:51" x14ac:dyDescent="0.25">
      <c r="A251" s="114"/>
      <c r="B251" s="135">
        <v>43</v>
      </c>
      <c r="C251" s="111"/>
      <c r="D251" s="115">
        <v>0</v>
      </c>
      <c r="E251" s="115">
        <v>0</v>
      </c>
      <c r="F251" s="115">
        <v>0</v>
      </c>
      <c r="G251" s="115">
        <v>0</v>
      </c>
      <c r="H251" s="115">
        <v>0</v>
      </c>
      <c r="I251" s="115">
        <v>0</v>
      </c>
      <c r="J251" s="115">
        <v>0</v>
      </c>
      <c r="K251" s="115">
        <v>0</v>
      </c>
      <c r="L251" s="115">
        <v>0</v>
      </c>
      <c r="M251" s="115">
        <v>0</v>
      </c>
      <c r="N251" s="115">
        <v>0</v>
      </c>
      <c r="O251" s="115">
        <v>0</v>
      </c>
      <c r="P251" s="115">
        <v>0</v>
      </c>
      <c r="Q251" s="115">
        <v>0</v>
      </c>
      <c r="R251" s="115">
        <v>0</v>
      </c>
      <c r="S251" s="115">
        <v>0</v>
      </c>
      <c r="T251" s="115">
        <v>0</v>
      </c>
      <c r="U251" s="115">
        <v>0</v>
      </c>
      <c r="V251" s="115">
        <v>0</v>
      </c>
      <c r="W251" s="115">
        <v>0</v>
      </c>
      <c r="X251" s="115">
        <v>0</v>
      </c>
      <c r="Y251" s="115">
        <v>0</v>
      </c>
      <c r="Z251" s="115">
        <v>0</v>
      </c>
      <c r="AA251" s="115">
        <v>0</v>
      </c>
      <c r="AB251" s="115">
        <v>0</v>
      </c>
      <c r="AC251" s="115">
        <v>0</v>
      </c>
      <c r="AD251" s="115">
        <v>0</v>
      </c>
      <c r="AE251" s="115">
        <v>0</v>
      </c>
      <c r="AF251" s="115">
        <v>0</v>
      </c>
      <c r="AG251" s="115">
        <v>0</v>
      </c>
      <c r="AH251" s="115">
        <v>0</v>
      </c>
      <c r="AI251" s="115">
        <v>0</v>
      </c>
      <c r="AJ251" s="115">
        <v>0</v>
      </c>
      <c r="AK251" s="115">
        <v>0</v>
      </c>
      <c r="AL251" s="115">
        <v>0</v>
      </c>
      <c r="AM251" s="115">
        <v>0</v>
      </c>
      <c r="AN251" s="115">
        <v>0</v>
      </c>
      <c r="AO251" s="115">
        <v>0</v>
      </c>
      <c r="AP251" s="115">
        <v>0</v>
      </c>
      <c r="AQ251" s="115">
        <v>0</v>
      </c>
      <c r="AR251" s="115">
        <v>0</v>
      </c>
      <c r="AS251" s="115">
        <v>0</v>
      </c>
      <c r="AT251" s="115">
        <v>0</v>
      </c>
      <c r="AU251" s="115">
        <v>0</v>
      </c>
      <c r="AV251" s="115">
        <v>0</v>
      </c>
      <c r="AW251" s="115">
        <v>0</v>
      </c>
      <c r="AX251" s="115">
        <v>0</v>
      </c>
      <c r="AY251" s="115">
        <v>0</v>
      </c>
    </row>
    <row r="252" spans="1:51" x14ac:dyDescent="0.25">
      <c r="A252" s="114"/>
      <c r="B252" s="135">
        <v>44</v>
      </c>
      <c r="C252" s="111"/>
      <c r="D252" s="115">
        <v>0</v>
      </c>
      <c r="E252" s="115">
        <v>0</v>
      </c>
      <c r="F252" s="115">
        <v>0</v>
      </c>
      <c r="G252" s="115">
        <v>0</v>
      </c>
      <c r="H252" s="115">
        <v>0</v>
      </c>
      <c r="I252" s="115">
        <v>0</v>
      </c>
      <c r="J252" s="115">
        <v>0</v>
      </c>
      <c r="K252" s="115">
        <v>0</v>
      </c>
      <c r="L252" s="115">
        <v>0</v>
      </c>
      <c r="M252" s="115">
        <v>0</v>
      </c>
      <c r="N252" s="115">
        <v>0</v>
      </c>
      <c r="O252" s="115">
        <v>0</v>
      </c>
      <c r="P252" s="115">
        <v>0</v>
      </c>
      <c r="Q252" s="115">
        <v>0</v>
      </c>
      <c r="R252" s="115">
        <v>0</v>
      </c>
      <c r="S252" s="115">
        <v>0</v>
      </c>
      <c r="T252" s="115">
        <v>0</v>
      </c>
      <c r="U252" s="115">
        <v>0</v>
      </c>
      <c r="V252" s="115">
        <v>0</v>
      </c>
      <c r="W252" s="115">
        <v>0</v>
      </c>
      <c r="X252" s="115">
        <v>0</v>
      </c>
      <c r="Y252" s="115">
        <v>0</v>
      </c>
      <c r="Z252" s="115">
        <v>0</v>
      </c>
      <c r="AA252" s="115">
        <v>0</v>
      </c>
      <c r="AB252" s="115">
        <v>0</v>
      </c>
      <c r="AC252" s="115">
        <v>0</v>
      </c>
      <c r="AD252" s="115">
        <v>0</v>
      </c>
      <c r="AE252" s="115">
        <v>0</v>
      </c>
      <c r="AF252" s="115">
        <v>0</v>
      </c>
      <c r="AG252" s="115">
        <v>0</v>
      </c>
      <c r="AH252" s="115">
        <v>0</v>
      </c>
      <c r="AI252" s="115">
        <v>0</v>
      </c>
      <c r="AJ252" s="115">
        <v>0</v>
      </c>
      <c r="AK252" s="115">
        <v>0</v>
      </c>
      <c r="AL252" s="115">
        <v>0</v>
      </c>
      <c r="AM252" s="115">
        <v>0</v>
      </c>
      <c r="AN252" s="115">
        <v>0</v>
      </c>
      <c r="AO252" s="115">
        <v>0</v>
      </c>
      <c r="AP252" s="115">
        <v>0</v>
      </c>
      <c r="AQ252" s="115">
        <v>0</v>
      </c>
      <c r="AR252" s="115">
        <v>0</v>
      </c>
      <c r="AS252" s="115">
        <v>0</v>
      </c>
      <c r="AT252" s="115">
        <v>0</v>
      </c>
      <c r="AU252" s="115">
        <v>0</v>
      </c>
      <c r="AV252" s="115">
        <v>0</v>
      </c>
      <c r="AW252" s="115">
        <v>0</v>
      </c>
      <c r="AX252" s="115">
        <v>0</v>
      </c>
      <c r="AY252" s="115">
        <v>0</v>
      </c>
    </row>
    <row r="253" spans="1:51" x14ac:dyDescent="0.25">
      <c r="A253" s="114"/>
      <c r="B253" s="135">
        <v>45</v>
      </c>
      <c r="C253" s="111"/>
      <c r="D253" s="115">
        <v>0</v>
      </c>
      <c r="E253" s="115">
        <v>0</v>
      </c>
      <c r="F253" s="115">
        <v>0</v>
      </c>
      <c r="G253" s="115">
        <v>0</v>
      </c>
      <c r="H253" s="115">
        <v>0</v>
      </c>
      <c r="I253" s="115">
        <v>0</v>
      </c>
      <c r="J253" s="115">
        <v>0</v>
      </c>
      <c r="K253" s="115">
        <v>0</v>
      </c>
      <c r="L253" s="115">
        <v>0</v>
      </c>
      <c r="M253" s="115">
        <v>0</v>
      </c>
      <c r="N253" s="115">
        <v>0</v>
      </c>
      <c r="O253" s="115">
        <v>0</v>
      </c>
      <c r="P253" s="115">
        <v>0</v>
      </c>
      <c r="Q253" s="115">
        <v>0</v>
      </c>
      <c r="R253" s="115">
        <v>0</v>
      </c>
      <c r="S253" s="115">
        <v>0</v>
      </c>
      <c r="T253" s="115">
        <v>0</v>
      </c>
      <c r="U253" s="115">
        <v>0</v>
      </c>
      <c r="V253" s="115">
        <v>0</v>
      </c>
      <c r="W253" s="115">
        <v>0</v>
      </c>
      <c r="X253" s="115">
        <v>0</v>
      </c>
      <c r="Y253" s="115">
        <v>0</v>
      </c>
      <c r="Z253" s="115">
        <v>0</v>
      </c>
      <c r="AA253" s="115">
        <v>0</v>
      </c>
      <c r="AB253" s="115">
        <v>0</v>
      </c>
      <c r="AC253" s="115">
        <v>0</v>
      </c>
      <c r="AD253" s="115">
        <v>0</v>
      </c>
      <c r="AE253" s="115">
        <v>0</v>
      </c>
      <c r="AF253" s="115">
        <v>0</v>
      </c>
      <c r="AG253" s="115">
        <v>0</v>
      </c>
      <c r="AH253" s="115">
        <v>0</v>
      </c>
      <c r="AI253" s="115">
        <v>0</v>
      </c>
      <c r="AJ253" s="115">
        <v>0</v>
      </c>
      <c r="AK253" s="115">
        <v>0</v>
      </c>
      <c r="AL253" s="115">
        <v>0</v>
      </c>
      <c r="AM253" s="115">
        <v>0</v>
      </c>
      <c r="AN253" s="115">
        <v>0</v>
      </c>
      <c r="AO253" s="115">
        <v>0</v>
      </c>
      <c r="AP253" s="115">
        <v>0</v>
      </c>
      <c r="AQ253" s="115">
        <v>0</v>
      </c>
      <c r="AR253" s="115">
        <v>0</v>
      </c>
      <c r="AS253" s="115">
        <v>0</v>
      </c>
      <c r="AT253" s="115">
        <v>0</v>
      </c>
      <c r="AU253" s="115">
        <v>0</v>
      </c>
      <c r="AV253" s="115">
        <v>0</v>
      </c>
      <c r="AW253" s="115">
        <v>0</v>
      </c>
      <c r="AX253" s="115">
        <v>0</v>
      </c>
      <c r="AY253" s="115">
        <v>0</v>
      </c>
    </row>
    <row r="254" spans="1:51" x14ac:dyDescent="0.25">
      <c r="A254" s="114"/>
      <c r="B254" s="135">
        <v>46</v>
      </c>
      <c r="C254" s="111"/>
      <c r="D254" s="115">
        <v>0</v>
      </c>
      <c r="E254" s="115">
        <v>0</v>
      </c>
      <c r="F254" s="115">
        <v>0</v>
      </c>
      <c r="G254" s="115">
        <v>0</v>
      </c>
      <c r="H254" s="115">
        <v>0</v>
      </c>
      <c r="I254" s="115">
        <v>0</v>
      </c>
      <c r="J254" s="115">
        <v>0</v>
      </c>
      <c r="K254" s="115">
        <v>0</v>
      </c>
      <c r="L254" s="115">
        <v>0</v>
      </c>
      <c r="M254" s="115">
        <v>0</v>
      </c>
      <c r="N254" s="115">
        <v>0</v>
      </c>
      <c r="O254" s="115">
        <v>0</v>
      </c>
      <c r="P254" s="115">
        <v>0</v>
      </c>
      <c r="Q254" s="115">
        <v>0</v>
      </c>
      <c r="R254" s="115">
        <v>0</v>
      </c>
      <c r="S254" s="115">
        <v>0</v>
      </c>
      <c r="T254" s="115">
        <v>0</v>
      </c>
      <c r="U254" s="115">
        <v>0</v>
      </c>
      <c r="V254" s="115">
        <v>0</v>
      </c>
      <c r="W254" s="115">
        <v>0</v>
      </c>
      <c r="X254" s="115">
        <v>0</v>
      </c>
      <c r="Y254" s="115">
        <v>0</v>
      </c>
      <c r="Z254" s="115">
        <v>0</v>
      </c>
      <c r="AA254" s="115">
        <v>0</v>
      </c>
      <c r="AB254" s="115">
        <v>0</v>
      </c>
      <c r="AC254" s="115">
        <v>0</v>
      </c>
      <c r="AD254" s="115">
        <v>0</v>
      </c>
      <c r="AE254" s="115">
        <v>0</v>
      </c>
      <c r="AF254" s="115">
        <v>0</v>
      </c>
      <c r="AG254" s="115">
        <v>0</v>
      </c>
      <c r="AH254" s="115">
        <v>0</v>
      </c>
      <c r="AI254" s="115">
        <v>0</v>
      </c>
      <c r="AJ254" s="115">
        <v>0</v>
      </c>
      <c r="AK254" s="115">
        <v>0</v>
      </c>
      <c r="AL254" s="115">
        <v>0</v>
      </c>
      <c r="AM254" s="115">
        <v>0</v>
      </c>
      <c r="AN254" s="115">
        <v>0</v>
      </c>
      <c r="AO254" s="115">
        <v>0</v>
      </c>
      <c r="AP254" s="115">
        <v>0</v>
      </c>
      <c r="AQ254" s="115">
        <v>0</v>
      </c>
      <c r="AR254" s="115">
        <v>0</v>
      </c>
      <c r="AS254" s="115">
        <v>0</v>
      </c>
      <c r="AT254" s="115">
        <v>0</v>
      </c>
      <c r="AU254" s="115">
        <v>0</v>
      </c>
      <c r="AV254" s="115">
        <v>0</v>
      </c>
      <c r="AW254" s="115">
        <v>0</v>
      </c>
      <c r="AX254" s="115">
        <v>0</v>
      </c>
      <c r="AY254" s="115">
        <v>0</v>
      </c>
    </row>
    <row r="255" spans="1:51" x14ac:dyDescent="0.25">
      <c r="A255" s="114"/>
      <c r="B255" s="135">
        <v>47</v>
      </c>
      <c r="C255" s="111"/>
      <c r="D255" s="115">
        <v>0</v>
      </c>
      <c r="E255" s="115">
        <v>0</v>
      </c>
      <c r="F255" s="115">
        <v>0</v>
      </c>
      <c r="G255" s="115">
        <v>0</v>
      </c>
      <c r="H255" s="115">
        <v>0</v>
      </c>
      <c r="I255" s="115">
        <v>0</v>
      </c>
      <c r="J255" s="115">
        <v>0</v>
      </c>
      <c r="K255" s="115">
        <v>0</v>
      </c>
      <c r="L255" s="115">
        <v>0</v>
      </c>
      <c r="M255" s="115">
        <v>0</v>
      </c>
      <c r="N255" s="115">
        <v>0</v>
      </c>
      <c r="O255" s="115">
        <v>0</v>
      </c>
      <c r="P255" s="115">
        <v>0</v>
      </c>
      <c r="Q255" s="115">
        <v>0</v>
      </c>
      <c r="R255" s="115">
        <v>0</v>
      </c>
      <c r="S255" s="115">
        <v>0</v>
      </c>
      <c r="T255" s="115">
        <v>0</v>
      </c>
      <c r="U255" s="115">
        <v>0</v>
      </c>
      <c r="V255" s="115">
        <v>0</v>
      </c>
      <c r="W255" s="115">
        <v>0</v>
      </c>
      <c r="X255" s="115">
        <v>0</v>
      </c>
      <c r="Y255" s="115">
        <v>0</v>
      </c>
      <c r="Z255" s="115">
        <v>0</v>
      </c>
      <c r="AA255" s="115">
        <v>0</v>
      </c>
      <c r="AB255" s="115">
        <v>0</v>
      </c>
      <c r="AC255" s="115">
        <v>0</v>
      </c>
      <c r="AD255" s="115">
        <v>0</v>
      </c>
      <c r="AE255" s="115">
        <v>0</v>
      </c>
      <c r="AF255" s="115">
        <v>0</v>
      </c>
      <c r="AG255" s="115">
        <v>0</v>
      </c>
      <c r="AH255" s="115">
        <v>0</v>
      </c>
      <c r="AI255" s="115">
        <v>0</v>
      </c>
      <c r="AJ255" s="115">
        <v>0</v>
      </c>
      <c r="AK255" s="115">
        <v>0</v>
      </c>
      <c r="AL255" s="115">
        <v>0</v>
      </c>
      <c r="AM255" s="115">
        <v>0</v>
      </c>
      <c r="AN255" s="115">
        <v>0</v>
      </c>
      <c r="AO255" s="115">
        <v>0</v>
      </c>
      <c r="AP255" s="115">
        <v>0</v>
      </c>
      <c r="AQ255" s="115">
        <v>0</v>
      </c>
      <c r="AR255" s="115">
        <v>0</v>
      </c>
      <c r="AS255" s="115">
        <v>0</v>
      </c>
      <c r="AT255" s="115">
        <v>0</v>
      </c>
      <c r="AU255" s="115">
        <v>0</v>
      </c>
      <c r="AV255" s="115">
        <v>0</v>
      </c>
      <c r="AW255" s="115">
        <v>0</v>
      </c>
      <c r="AX255" s="115">
        <v>0</v>
      </c>
      <c r="AY255" s="115">
        <v>0</v>
      </c>
    </row>
    <row r="256" spans="1:51" x14ac:dyDescent="0.25">
      <c r="A256" s="133"/>
      <c r="B256" s="134">
        <v>48</v>
      </c>
      <c r="C256" s="119"/>
      <c r="D256" s="130">
        <v>0</v>
      </c>
      <c r="E256" s="130">
        <v>0</v>
      </c>
      <c r="F256" s="130">
        <v>0</v>
      </c>
      <c r="G256" s="130">
        <v>0</v>
      </c>
      <c r="H256" s="130">
        <v>0</v>
      </c>
      <c r="I256" s="130">
        <v>0</v>
      </c>
      <c r="J256" s="130">
        <v>0</v>
      </c>
      <c r="K256" s="130">
        <v>0</v>
      </c>
      <c r="L256" s="130">
        <v>0</v>
      </c>
      <c r="M256" s="130">
        <v>0</v>
      </c>
      <c r="N256" s="130">
        <v>0</v>
      </c>
      <c r="O256" s="130">
        <v>0</v>
      </c>
      <c r="P256" s="130">
        <v>0</v>
      </c>
      <c r="Q256" s="130">
        <v>0</v>
      </c>
      <c r="R256" s="130">
        <v>0</v>
      </c>
      <c r="S256" s="130">
        <v>0</v>
      </c>
      <c r="T256" s="130">
        <v>0</v>
      </c>
      <c r="U256" s="130">
        <v>0</v>
      </c>
      <c r="V256" s="130">
        <v>0</v>
      </c>
      <c r="W256" s="130">
        <v>0</v>
      </c>
      <c r="X256" s="130">
        <v>0</v>
      </c>
      <c r="Y256" s="130">
        <v>0</v>
      </c>
      <c r="Z256" s="130">
        <v>0</v>
      </c>
      <c r="AA256" s="130">
        <v>0</v>
      </c>
      <c r="AB256" s="130">
        <v>0</v>
      </c>
      <c r="AC256" s="130">
        <v>0</v>
      </c>
      <c r="AD256" s="130">
        <v>0</v>
      </c>
      <c r="AE256" s="130">
        <v>0</v>
      </c>
      <c r="AF256" s="130">
        <v>0</v>
      </c>
      <c r="AG256" s="130">
        <v>0</v>
      </c>
      <c r="AH256" s="130">
        <v>0</v>
      </c>
      <c r="AI256" s="130">
        <v>0</v>
      </c>
      <c r="AJ256" s="130">
        <v>0</v>
      </c>
      <c r="AK256" s="130">
        <v>0</v>
      </c>
      <c r="AL256" s="130">
        <v>0</v>
      </c>
      <c r="AM256" s="130">
        <v>0</v>
      </c>
      <c r="AN256" s="130">
        <v>0</v>
      </c>
      <c r="AO256" s="130">
        <v>0</v>
      </c>
      <c r="AP256" s="130">
        <v>0</v>
      </c>
      <c r="AQ256" s="130">
        <v>0</v>
      </c>
      <c r="AR256" s="130">
        <v>0</v>
      </c>
      <c r="AS256" s="130">
        <v>0</v>
      </c>
      <c r="AT256" s="130">
        <v>0</v>
      </c>
      <c r="AU256" s="130">
        <v>0</v>
      </c>
      <c r="AV256" s="130">
        <v>0</v>
      </c>
      <c r="AW256" s="130">
        <v>0</v>
      </c>
      <c r="AX256" s="130">
        <v>0</v>
      </c>
      <c r="AY256" s="130">
        <v>0</v>
      </c>
    </row>
    <row r="258" spans="1:52" x14ac:dyDescent="0.25">
      <c r="A258" s="107" t="s">
        <v>300</v>
      </c>
    </row>
    <row r="259" spans="1:52" x14ac:dyDescent="0.25">
      <c r="A259" s="142" t="s">
        <v>124</v>
      </c>
      <c r="B259" s="143">
        <v>650</v>
      </c>
      <c r="C259" s="129" t="s">
        <v>292</v>
      </c>
      <c r="D259" s="129">
        <f>E$14*$B$259</f>
        <v>0</v>
      </c>
      <c r="E259" s="129">
        <f t="shared" ref="E259:AX259" si="5">F$14*$B$259</f>
        <v>0</v>
      </c>
      <c r="F259" s="129">
        <f t="shared" si="5"/>
        <v>388362.97500000015</v>
      </c>
      <c r="G259" s="129">
        <f t="shared" si="5"/>
        <v>244511.73100609769</v>
      </c>
      <c r="H259" s="129">
        <f t="shared" si="5"/>
        <v>812507.13765396364</v>
      </c>
      <c r="I259" s="129">
        <f t="shared" si="5"/>
        <v>523120.46721897885</v>
      </c>
      <c r="J259" s="129">
        <f t="shared" si="5"/>
        <v>530166.75338745851</v>
      </c>
      <c r="K259" s="129">
        <f t="shared" si="5"/>
        <v>1088536.7872628234</v>
      </c>
      <c r="L259" s="129">
        <f t="shared" si="5"/>
        <v>1037791.5162940063</v>
      </c>
      <c r="M259" s="129">
        <f t="shared" si="5"/>
        <v>961610.14351793332</v>
      </c>
      <c r="N259" s="129">
        <f t="shared" si="5"/>
        <v>992595.02560373</v>
      </c>
      <c r="O259" s="129">
        <f t="shared" si="5"/>
        <v>916726.78432535147</v>
      </c>
      <c r="P259" s="129">
        <f t="shared" si="5"/>
        <v>941653.07231147843</v>
      </c>
      <c r="Q259" s="129">
        <f t="shared" si="5"/>
        <v>888319.78450246132</v>
      </c>
      <c r="R259" s="129">
        <f t="shared" si="5"/>
        <v>794051.7669387951</v>
      </c>
      <c r="S259" s="129">
        <f t="shared" si="5"/>
        <v>922613.37899802183</v>
      </c>
      <c r="T259" s="129">
        <f t="shared" si="5"/>
        <v>903551.30092188483</v>
      </c>
      <c r="U259" s="129">
        <f t="shared" si="5"/>
        <v>874206.32059922547</v>
      </c>
      <c r="V259" s="129">
        <f t="shared" si="5"/>
        <v>873822.723633399</v>
      </c>
      <c r="W259" s="129">
        <f t="shared" si="5"/>
        <v>828684.60511780705</v>
      </c>
      <c r="X259" s="129">
        <f t="shared" si="5"/>
        <v>699890.94302169676</v>
      </c>
      <c r="Y259" s="129">
        <f t="shared" si="5"/>
        <v>542435.07576898078</v>
      </c>
      <c r="Z259" s="129">
        <f t="shared" si="5"/>
        <v>920952.68217666692</v>
      </c>
      <c r="AA259" s="129">
        <f t="shared" si="5"/>
        <v>495902.99341483362</v>
      </c>
      <c r="AB259" s="129">
        <f t="shared" si="5"/>
        <v>916386.27529281261</v>
      </c>
      <c r="AC259" s="129">
        <f t="shared" si="5"/>
        <v>843299.42436715774</v>
      </c>
      <c r="AD259" s="129">
        <f t="shared" si="5"/>
        <v>793673.24108255503</v>
      </c>
      <c r="AE259" s="129">
        <f t="shared" si="5"/>
        <v>679257.25395975856</v>
      </c>
      <c r="AF259" s="129">
        <f t="shared" si="5"/>
        <v>731141.01781774568</v>
      </c>
      <c r="AG259" s="129">
        <f t="shared" si="5"/>
        <v>578283.9963376323</v>
      </c>
      <c r="AH259" s="129">
        <f t="shared" si="5"/>
        <v>466641.1875584856</v>
      </c>
      <c r="AI259" s="129">
        <f t="shared" si="5"/>
        <v>555028.44447399129</v>
      </c>
      <c r="AJ259" s="129">
        <f t="shared" si="5"/>
        <v>583171.92122516758</v>
      </c>
      <c r="AK259" s="129">
        <f t="shared" si="5"/>
        <v>58887.916479285777</v>
      </c>
      <c r="AL259" s="129">
        <f t="shared" si="5"/>
        <v>252820.57926829284</v>
      </c>
      <c r="AM259" s="129">
        <f t="shared" si="5"/>
        <v>523905.37073170725</v>
      </c>
      <c r="AN259" s="129">
        <f t="shared" si="5"/>
        <v>296052.21048780507</v>
      </c>
      <c r="AO259" s="129">
        <f t="shared" si="5"/>
        <v>48603.66768292684</v>
      </c>
      <c r="AP259" s="129">
        <f t="shared" si="5"/>
        <v>519095.45304878044</v>
      </c>
      <c r="AQ259" s="129">
        <f t="shared" si="5"/>
        <v>360344.83475609764</v>
      </c>
      <c r="AR259" s="129">
        <f t="shared" si="5"/>
        <v>30217.687500000004</v>
      </c>
      <c r="AS259" s="129">
        <f t="shared" si="5"/>
        <v>253231.40243902456</v>
      </c>
      <c r="AT259" s="129">
        <f t="shared" si="5"/>
        <v>178925.32256097553</v>
      </c>
      <c r="AU259" s="129">
        <f t="shared" si="5"/>
        <v>700514.96524390252</v>
      </c>
      <c r="AV259" s="129">
        <f t="shared" si="5"/>
        <v>390562.52225609764</v>
      </c>
      <c r="AW259" s="129">
        <f t="shared" si="5"/>
        <v>255430.9496951222</v>
      </c>
      <c r="AX259" s="129">
        <f t="shared" si="5"/>
        <v>45993.297256097569</v>
      </c>
      <c r="AY259" s="129">
        <f>AZ$14*$B$259</f>
        <v>204743.91554878038</v>
      </c>
      <c r="AZ259" s="144">
        <f>SUM($D259:$AY259)</f>
        <v>27448226.825745806</v>
      </c>
    </row>
    <row r="260" spans="1:52" x14ac:dyDescent="0.25">
      <c r="A260" s="145" t="s">
        <v>301</v>
      </c>
      <c r="B260" s="119">
        <v>60</v>
      </c>
      <c r="C260" s="130" t="s">
        <v>292</v>
      </c>
      <c r="D260" s="130">
        <f>(D$175-D$176+D$177-D$178+D$179-D$180+D$181-D$182)*$B$260</f>
        <v>0</v>
      </c>
      <c r="E260" s="130">
        <f t="shared" ref="E260:AY260" si="6">(E$175-E$176+E$177-E$178+E$179-E$180+E$181-E$182)*$B$260</f>
        <v>0</v>
      </c>
      <c r="F260" s="130">
        <f t="shared" si="6"/>
        <v>101440.26000000002</v>
      </c>
      <c r="G260" s="130">
        <f t="shared" si="6"/>
        <v>88790.211368667951</v>
      </c>
      <c r="H260" s="130">
        <f t="shared" si="6"/>
        <v>293959.29113963421</v>
      </c>
      <c r="I260" s="130">
        <f t="shared" si="6"/>
        <v>282510.78187209438</v>
      </c>
      <c r="J260" s="130">
        <f t="shared" si="6"/>
        <v>341379.23045654246</v>
      </c>
      <c r="K260" s="130">
        <f t="shared" si="6"/>
        <v>593459.58117573964</v>
      </c>
      <c r="L260" s="130">
        <f t="shared" si="6"/>
        <v>699681.53503439971</v>
      </c>
      <c r="M260" s="130">
        <f t="shared" si="6"/>
        <v>790302.81175219105</v>
      </c>
      <c r="N260" s="130">
        <f t="shared" si="6"/>
        <v>921559.3187904252</v>
      </c>
      <c r="O260" s="130">
        <f t="shared" si="6"/>
        <v>1000324.1910622756</v>
      </c>
      <c r="P260" s="130">
        <f t="shared" si="6"/>
        <v>1100263.8279404794</v>
      </c>
      <c r="Q260" s="130">
        <f t="shared" si="6"/>
        <v>1178824.6756613115</v>
      </c>
      <c r="R260" s="130">
        <f t="shared" si="6"/>
        <v>1228231.4638210346</v>
      </c>
      <c r="S260" s="130">
        <f t="shared" si="6"/>
        <v>1309483.7880924908</v>
      </c>
      <c r="T260" s="130">
        <f t="shared" si="6"/>
        <v>1336757.3895302881</v>
      </c>
      <c r="U260" s="130">
        <f t="shared" si="6"/>
        <v>1374871.5569446874</v>
      </c>
      <c r="V260" s="130">
        <f t="shared" si="6"/>
        <v>1425319.8658953791</v>
      </c>
      <c r="W260" s="130">
        <f t="shared" si="6"/>
        <v>1451744.3614506647</v>
      </c>
      <c r="X260" s="130">
        <f t="shared" si="6"/>
        <v>1416168.1321826132</v>
      </c>
      <c r="Y260" s="130">
        <f t="shared" si="6"/>
        <v>1378207.9199290175</v>
      </c>
      <c r="Z260" s="130">
        <f t="shared" si="6"/>
        <v>1505874.8831836928</v>
      </c>
      <c r="AA260" s="130">
        <f t="shared" si="6"/>
        <v>1401773.9890694004</v>
      </c>
      <c r="AB260" s="130">
        <f t="shared" si="6"/>
        <v>1479543.8853172478</v>
      </c>
      <c r="AC260" s="130">
        <f t="shared" si="6"/>
        <v>1466445.3168047103</v>
      </c>
      <c r="AD260" s="130">
        <f t="shared" si="6"/>
        <v>1437160.3459230617</v>
      </c>
      <c r="AE260" s="130">
        <f t="shared" si="6"/>
        <v>1418715.0104785082</v>
      </c>
      <c r="AF260" s="130">
        <f t="shared" si="6"/>
        <v>1350001.9530610302</v>
      </c>
      <c r="AG260" s="130">
        <f t="shared" si="6"/>
        <v>1273568.746497175</v>
      </c>
      <c r="AH260" s="130">
        <f t="shared" si="6"/>
        <v>1159500.6115383268</v>
      </c>
      <c r="AI260" s="130">
        <f t="shared" si="6"/>
        <v>1119982.3378230492</v>
      </c>
      <c r="AJ260" s="130">
        <f t="shared" si="6"/>
        <v>1009401.128430633</v>
      </c>
      <c r="AK260" s="130">
        <f t="shared" si="6"/>
        <v>819984.25362611166</v>
      </c>
      <c r="AL260" s="130">
        <f t="shared" si="6"/>
        <v>624469.60632926505</v>
      </c>
      <c r="AM260" s="130">
        <f t="shared" si="6"/>
        <v>532077.19480956532</v>
      </c>
      <c r="AN260" s="130">
        <f t="shared" si="6"/>
        <v>294871.56667635706</v>
      </c>
      <c r="AO260" s="130">
        <f t="shared" si="6"/>
        <v>138179.46302907754</v>
      </c>
      <c r="AP260" s="130">
        <f t="shared" si="6"/>
        <v>0</v>
      </c>
      <c r="AQ260" s="130">
        <f t="shared" si="6"/>
        <v>0</v>
      </c>
      <c r="AR260" s="130">
        <f t="shared" si="6"/>
        <v>0</v>
      </c>
      <c r="AS260" s="130">
        <f t="shared" si="6"/>
        <v>0</v>
      </c>
      <c r="AT260" s="130">
        <f t="shared" si="6"/>
        <v>0</v>
      </c>
      <c r="AU260" s="130">
        <f t="shared" si="6"/>
        <v>0</v>
      </c>
      <c r="AV260" s="130">
        <f t="shared" si="6"/>
        <v>0</v>
      </c>
      <c r="AW260" s="130">
        <f t="shared" si="6"/>
        <v>0</v>
      </c>
      <c r="AX260" s="130">
        <f t="shared" si="6"/>
        <v>0</v>
      </c>
      <c r="AY260" s="130">
        <f t="shared" si="6"/>
        <v>0</v>
      </c>
      <c r="AZ260" s="146">
        <f>SUM($D260:$AY260)</f>
        <v>35344830.486697137</v>
      </c>
    </row>
  </sheetData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3.2" x14ac:dyDescent="0.25"/>
  <cols>
    <col min="1" max="16384" width="8.88671875" style="105"/>
  </cols>
  <sheetData>
    <row r="2" spans="1:99" x14ac:dyDescent="0.25">
      <c r="B2" s="107" t="s">
        <v>271</v>
      </c>
    </row>
    <row r="3" spans="1:99" x14ac:dyDescent="0.25">
      <c r="B3" s="108" t="s">
        <v>282</v>
      </c>
    </row>
    <row r="4" spans="1:99" x14ac:dyDescent="0.25">
      <c r="A4" s="106"/>
      <c r="B4" s="106"/>
      <c r="C4" s="104" t="s">
        <v>273</v>
      </c>
      <c r="D4" s="104" t="s">
        <v>92</v>
      </c>
      <c r="E4" s="106"/>
      <c r="F4" s="106"/>
      <c r="G4" s="106"/>
      <c r="H4" s="106"/>
      <c r="I4" s="106"/>
      <c r="J4" s="106"/>
      <c r="K4" s="106"/>
      <c r="L4" s="104" t="s">
        <v>93</v>
      </c>
      <c r="M4" s="106"/>
      <c r="N4" s="106"/>
      <c r="O4" s="106"/>
      <c r="P4" s="106"/>
      <c r="Q4" s="106"/>
      <c r="R4" s="106"/>
      <c r="S4" s="106"/>
      <c r="T4" s="104" t="s">
        <v>94</v>
      </c>
      <c r="U4" s="106"/>
      <c r="V4" s="106"/>
      <c r="W4" s="106"/>
      <c r="X4" s="106"/>
      <c r="Y4" s="106"/>
      <c r="Z4" s="106"/>
      <c r="AA4" s="106"/>
      <c r="AB4" s="104" t="s">
        <v>95</v>
      </c>
      <c r="AC4" s="106"/>
      <c r="AD4" s="106"/>
      <c r="AE4" s="106"/>
      <c r="AF4" s="106"/>
      <c r="AG4" s="106"/>
      <c r="AH4" s="106"/>
      <c r="AI4" s="106"/>
      <c r="AJ4" s="104" t="s">
        <v>96</v>
      </c>
      <c r="AK4" s="106"/>
      <c r="AL4" s="106"/>
      <c r="AM4" s="106"/>
      <c r="AN4" s="106"/>
      <c r="AO4" s="106"/>
      <c r="AP4" s="106"/>
      <c r="AQ4" s="106"/>
      <c r="AR4" s="104" t="s">
        <v>97</v>
      </c>
      <c r="AS4" s="106"/>
      <c r="AT4" s="106"/>
      <c r="AU4" s="106"/>
      <c r="AV4" s="106"/>
      <c r="AW4" s="106"/>
      <c r="AX4" s="106"/>
      <c r="AY4" s="106"/>
      <c r="AZ4" s="104" t="s">
        <v>98</v>
      </c>
      <c r="BA4" s="106"/>
      <c r="BB4" s="106"/>
      <c r="BC4" s="106"/>
      <c r="BD4" s="106"/>
      <c r="BE4" s="106"/>
      <c r="BF4" s="106"/>
      <c r="BG4" s="106"/>
      <c r="BH4" s="104" t="s">
        <v>99</v>
      </c>
      <c r="BI4" s="106"/>
      <c r="BJ4" s="106"/>
      <c r="BK4" s="106"/>
      <c r="BL4" s="106"/>
      <c r="BM4" s="106"/>
      <c r="BN4" s="106"/>
      <c r="BO4" s="106"/>
      <c r="BP4" s="104" t="s">
        <v>100</v>
      </c>
      <c r="BQ4" s="106"/>
      <c r="BR4" s="106"/>
      <c r="BS4" s="106"/>
      <c r="BT4" s="106"/>
      <c r="BU4" s="106"/>
      <c r="BV4" s="106"/>
      <c r="BW4" s="106"/>
      <c r="BX4" s="104" t="s">
        <v>101</v>
      </c>
      <c r="BY4" s="106"/>
      <c r="BZ4" s="106"/>
      <c r="CA4" s="106"/>
      <c r="CB4" s="106"/>
      <c r="CC4" s="106"/>
      <c r="CD4" s="106"/>
      <c r="CE4" s="106"/>
      <c r="CF4" s="104" t="s">
        <v>102</v>
      </c>
      <c r="CG4" s="106"/>
      <c r="CH4" s="106"/>
      <c r="CI4" s="106"/>
      <c r="CJ4" s="106"/>
      <c r="CK4" s="106"/>
      <c r="CL4" s="106"/>
      <c r="CM4" s="106"/>
      <c r="CN4" s="104" t="s">
        <v>103</v>
      </c>
      <c r="CO4" s="106"/>
      <c r="CP4" s="106"/>
      <c r="CQ4" s="106"/>
      <c r="CR4" s="106"/>
      <c r="CS4" s="106"/>
      <c r="CT4" s="106"/>
      <c r="CU4" s="106"/>
    </row>
    <row r="5" spans="1:99" x14ac:dyDescent="0.25">
      <c r="B5" s="104" t="s">
        <v>166</v>
      </c>
      <c r="C5" s="104" t="s">
        <v>274</v>
      </c>
      <c r="D5" s="104">
        <v>1</v>
      </c>
      <c r="E5" s="104"/>
      <c r="F5" s="104">
        <v>2</v>
      </c>
      <c r="G5" s="104"/>
      <c r="H5" s="104">
        <v>3</v>
      </c>
      <c r="I5" s="104"/>
      <c r="J5" s="104">
        <v>4</v>
      </c>
      <c r="K5" s="104"/>
      <c r="L5" s="104">
        <v>1</v>
      </c>
      <c r="M5" s="104"/>
      <c r="N5" s="104">
        <v>2</v>
      </c>
      <c r="O5" s="104"/>
      <c r="P5" s="104">
        <v>3</v>
      </c>
      <c r="Q5" s="104"/>
      <c r="R5" s="104">
        <v>4</v>
      </c>
      <c r="S5" s="104"/>
      <c r="T5" s="104">
        <v>1</v>
      </c>
      <c r="U5" s="104"/>
      <c r="V5" s="104">
        <v>2</v>
      </c>
      <c r="W5" s="104"/>
      <c r="X5" s="104">
        <v>3</v>
      </c>
      <c r="Y5" s="104"/>
      <c r="Z5" s="104">
        <v>4</v>
      </c>
      <c r="AA5" s="104"/>
      <c r="AB5" s="104">
        <v>1</v>
      </c>
      <c r="AC5" s="104"/>
      <c r="AD5" s="104">
        <v>2</v>
      </c>
      <c r="AE5" s="104"/>
      <c r="AF5" s="104">
        <v>3</v>
      </c>
      <c r="AG5" s="104"/>
      <c r="AH5" s="104">
        <v>4</v>
      </c>
      <c r="AI5" s="104"/>
      <c r="AJ5" s="104">
        <v>1</v>
      </c>
      <c r="AK5" s="104"/>
      <c r="AL5" s="104">
        <v>2</v>
      </c>
      <c r="AM5" s="104"/>
      <c r="AN5" s="104">
        <v>3</v>
      </c>
      <c r="AO5" s="104"/>
      <c r="AP5" s="104">
        <v>4</v>
      </c>
      <c r="AQ5" s="104"/>
      <c r="AR5" s="104">
        <v>1</v>
      </c>
      <c r="AS5" s="104"/>
      <c r="AT5" s="104">
        <v>2</v>
      </c>
      <c r="AU5" s="104"/>
      <c r="AV5" s="104">
        <v>3</v>
      </c>
      <c r="AW5" s="104"/>
      <c r="AX5" s="104">
        <v>4</v>
      </c>
      <c r="AY5" s="104"/>
      <c r="AZ5" s="104">
        <v>1</v>
      </c>
      <c r="BA5" s="104"/>
      <c r="BB5" s="104">
        <v>2</v>
      </c>
      <c r="BC5" s="104"/>
      <c r="BD5" s="104">
        <v>3</v>
      </c>
      <c r="BE5" s="104"/>
      <c r="BF5" s="104">
        <v>4</v>
      </c>
      <c r="BG5" s="104"/>
      <c r="BH5" s="104">
        <v>1</v>
      </c>
      <c r="BI5" s="104"/>
      <c r="BJ5" s="104">
        <v>2</v>
      </c>
      <c r="BK5" s="104"/>
      <c r="BL5" s="104">
        <v>3</v>
      </c>
      <c r="BM5" s="104"/>
      <c r="BN5" s="104">
        <v>4</v>
      </c>
      <c r="BO5" s="104"/>
      <c r="BP5" s="104">
        <v>1</v>
      </c>
      <c r="BQ5" s="104"/>
      <c r="BR5" s="104">
        <v>2</v>
      </c>
      <c r="BS5" s="104"/>
      <c r="BT5" s="104">
        <v>3</v>
      </c>
      <c r="BU5" s="104"/>
      <c r="BV5" s="104">
        <v>4</v>
      </c>
      <c r="BW5" s="104"/>
      <c r="BX5" s="104">
        <v>1</v>
      </c>
      <c r="BY5" s="104"/>
      <c r="BZ5" s="104">
        <v>2</v>
      </c>
      <c r="CA5" s="104"/>
      <c r="CB5" s="104">
        <v>3</v>
      </c>
      <c r="CC5" s="104"/>
      <c r="CD5" s="104">
        <v>4</v>
      </c>
      <c r="CE5" s="104"/>
      <c r="CF5" s="104">
        <v>1</v>
      </c>
      <c r="CG5" s="104"/>
      <c r="CH5" s="104">
        <v>2</v>
      </c>
      <c r="CI5" s="104"/>
      <c r="CJ5" s="104">
        <v>3</v>
      </c>
      <c r="CK5" s="104"/>
      <c r="CL5" s="104">
        <v>4</v>
      </c>
      <c r="CM5" s="104"/>
      <c r="CN5" s="104">
        <v>1</v>
      </c>
      <c r="CO5" s="104"/>
      <c r="CP5" s="104">
        <v>2</v>
      </c>
      <c r="CQ5" s="104"/>
      <c r="CR5" s="104">
        <v>3</v>
      </c>
      <c r="CS5" s="104"/>
      <c r="CT5" s="104">
        <v>4</v>
      </c>
      <c r="CU5" s="104"/>
    </row>
    <row r="6" spans="1:99" x14ac:dyDescent="0.25">
      <c r="B6" s="104" t="s">
        <v>126</v>
      </c>
      <c r="C6" s="104" t="s">
        <v>171</v>
      </c>
      <c r="D6" s="105">
        <v>0</v>
      </c>
      <c r="E6" s="105">
        <v>0</v>
      </c>
      <c r="F6" s="105">
        <v>0</v>
      </c>
      <c r="G6" s="105">
        <v>0</v>
      </c>
      <c r="H6" s="105">
        <v>0</v>
      </c>
      <c r="I6" s="105">
        <v>0</v>
      </c>
      <c r="J6" s="105">
        <v>0</v>
      </c>
      <c r="K6" s="105">
        <v>0</v>
      </c>
      <c r="L6" s="105">
        <v>0</v>
      </c>
      <c r="M6" s="105">
        <v>0</v>
      </c>
      <c r="N6" s="105">
        <v>0</v>
      </c>
      <c r="O6" s="105">
        <v>0</v>
      </c>
      <c r="P6" s="105">
        <v>0</v>
      </c>
      <c r="Q6" s="105">
        <v>0</v>
      </c>
      <c r="R6" s="105">
        <v>0</v>
      </c>
      <c r="S6" s="105">
        <v>0</v>
      </c>
      <c r="T6" s="105">
        <v>0</v>
      </c>
      <c r="U6" s="105">
        <v>0</v>
      </c>
      <c r="V6" s="105">
        <v>0</v>
      </c>
      <c r="W6" s="105">
        <v>0</v>
      </c>
      <c r="X6" s="105">
        <v>0</v>
      </c>
      <c r="Y6" s="105">
        <v>0</v>
      </c>
      <c r="Z6" s="105">
        <v>0</v>
      </c>
      <c r="AA6" s="105">
        <v>0</v>
      </c>
      <c r="AB6" s="105">
        <v>0</v>
      </c>
      <c r="AC6" s="105">
        <v>0</v>
      </c>
      <c r="AD6" s="105">
        <v>0</v>
      </c>
      <c r="AE6" s="105">
        <v>0</v>
      </c>
      <c r="AF6" s="105">
        <v>0</v>
      </c>
      <c r="AG6" s="105">
        <v>0</v>
      </c>
      <c r="AH6" s="105">
        <v>0</v>
      </c>
      <c r="AI6" s="105">
        <v>0</v>
      </c>
      <c r="AJ6" s="105">
        <v>0</v>
      </c>
      <c r="AK6" s="105">
        <v>0</v>
      </c>
      <c r="AL6" s="105">
        <v>0</v>
      </c>
      <c r="AM6" s="105">
        <v>0</v>
      </c>
      <c r="AN6" s="105">
        <v>0</v>
      </c>
      <c r="AO6" s="105">
        <v>0</v>
      </c>
      <c r="AP6" s="105">
        <v>0</v>
      </c>
      <c r="AQ6" s="105">
        <v>0</v>
      </c>
      <c r="AR6" s="105">
        <v>0</v>
      </c>
      <c r="AS6" s="105">
        <v>0</v>
      </c>
      <c r="AT6" s="105">
        <v>0</v>
      </c>
      <c r="AU6" s="105">
        <v>0</v>
      </c>
      <c r="AV6" s="105">
        <v>0</v>
      </c>
      <c r="AW6" s="105">
        <v>0</v>
      </c>
      <c r="AX6" s="105">
        <v>0</v>
      </c>
      <c r="AY6" s="105">
        <v>0</v>
      </c>
      <c r="AZ6" s="105">
        <v>0</v>
      </c>
      <c r="BA6" s="105">
        <v>0</v>
      </c>
      <c r="BB6" s="105">
        <v>0</v>
      </c>
      <c r="BC6" s="105">
        <v>0</v>
      </c>
      <c r="BD6" s="105">
        <v>0</v>
      </c>
      <c r="BE6" s="105">
        <v>0</v>
      </c>
      <c r="BF6" s="105">
        <v>0</v>
      </c>
      <c r="BG6" s="105">
        <v>0</v>
      </c>
      <c r="BH6" s="105">
        <v>0</v>
      </c>
      <c r="BI6" s="105">
        <v>0</v>
      </c>
      <c r="BJ6" s="105">
        <v>0</v>
      </c>
      <c r="BK6" s="105">
        <v>0</v>
      </c>
      <c r="BL6" s="105">
        <v>0</v>
      </c>
      <c r="BM6" s="105">
        <v>0</v>
      </c>
      <c r="BN6" s="105">
        <v>0</v>
      </c>
      <c r="BO6" s="105">
        <v>0</v>
      </c>
      <c r="BP6" s="105">
        <v>0</v>
      </c>
      <c r="BQ6" s="105">
        <v>0</v>
      </c>
      <c r="BR6" s="105">
        <v>0</v>
      </c>
      <c r="BS6" s="105">
        <v>0</v>
      </c>
      <c r="BT6" s="105">
        <v>0</v>
      </c>
      <c r="BU6" s="105">
        <v>0</v>
      </c>
      <c r="BV6" s="105">
        <v>0</v>
      </c>
      <c r="BW6" s="105">
        <v>0</v>
      </c>
      <c r="BX6" s="105">
        <v>0</v>
      </c>
      <c r="BY6" s="105">
        <v>0</v>
      </c>
      <c r="BZ6" s="105">
        <v>0</v>
      </c>
      <c r="CA6" s="105">
        <v>0</v>
      </c>
      <c r="CB6" s="105">
        <v>0</v>
      </c>
      <c r="CC6" s="105">
        <v>0</v>
      </c>
      <c r="CD6" s="105">
        <v>0</v>
      </c>
      <c r="CE6" s="105">
        <v>0</v>
      </c>
      <c r="CF6" s="105">
        <v>0</v>
      </c>
      <c r="CG6" s="105">
        <v>0</v>
      </c>
      <c r="CH6" s="105">
        <v>0</v>
      </c>
      <c r="CI6" s="105">
        <v>0</v>
      </c>
      <c r="CJ6" s="105">
        <v>0</v>
      </c>
      <c r="CK6" s="105">
        <v>0</v>
      </c>
      <c r="CL6" s="105">
        <v>0</v>
      </c>
      <c r="CM6" s="105">
        <v>0</v>
      </c>
      <c r="CN6" s="105">
        <v>0</v>
      </c>
      <c r="CO6" s="105">
        <v>0</v>
      </c>
      <c r="CP6" s="105">
        <v>0</v>
      </c>
      <c r="CQ6" s="105">
        <v>0</v>
      </c>
      <c r="CR6" s="105">
        <v>0</v>
      </c>
      <c r="CS6" s="105">
        <v>0</v>
      </c>
      <c r="CT6" s="105">
        <v>0</v>
      </c>
      <c r="CU6" s="105">
        <v>0</v>
      </c>
    </row>
    <row r="7" spans="1:99" x14ac:dyDescent="0.25">
      <c r="C7" s="104" t="s">
        <v>172</v>
      </c>
      <c r="D7" s="105">
        <v>0</v>
      </c>
      <c r="E7" s="105">
        <v>0</v>
      </c>
      <c r="F7" s="105">
        <v>0</v>
      </c>
      <c r="G7" s="105">
        <v>0</v>
      </c>
      <c r="H7" s="105">
        <v>0</v>
      </c>
      <c r="I7" s="105">
        <v>0</v>
      </c>
      <c r="J7" s="105">
        <v>0</v>
      </c>
      <c r="K7" s="105">
        <v>0</v>
      </c>
      <c r="L7" s="105">
        <v>0</v>
      </c>
      <c r="M7" s="105">
        <v>0</v>
      </c>
      <c r="N7" s="105">
        <v>0</v>
      </c>
      <c r="O7" s="105">
        <v>0</v>
      </c>
      <c r="P7" s="105">
        <v>0</v>
      </c>
      <c r="Q7" s="105">
        <v>0</v>
      </c>
      <c r="R7" s="105">
        <v>0</v>
      </c>
      <c r="S7" s="105">
        <v>0</v>
      </c>
      <c r="T7" s="105">
        <v>0</v>
      </c>
      <c r="U7" s="105">
        <v>0</v>
      </c>
      <c r="V7" s="105">
        <v>0</v>
      </c>
      <c r="W7" s="105">
        <v>0</v>
      </c>
      <c r="X7" s="105">
        <v>0</v>
      </c>
      <c r="Y7" s="105">
        <v>0</v>
      </c>
      <c r="Z7" s="105">
        <v>0</v>
      </c>
      <c r="AA7" s="105">
        <v>0</v>
      </c>
      <c r="AB7" s="105">
        <v>0</v>
      </c>
      <c r="AC7" s="105">
        <v>0</v>
      </c>
      <c r="AD7" s="105">
        <v>0</v>
      </c>
      <c r="AE7" s="105">
        <v>0</v>
      </c>
      <c r="AF7" s="105">
        <v>0</v>
      </c>
      <c r="AG7" s="105">
        <v>0</v>
      </c>
      <c r="AH7" s="105">
        <v>0</v>
      </c>
      <c r="AI7" s="105">
        <v>0</v>
      </c>
      <c r="AJ7" s="105">
        <v>0</v>
      </c>
      <c r="AK7" s="105">
        <v>0</v>
      </c>
      <c r="AL7" s="105">
        <v>0</v>
      </c>
      <c r="AM7" s="105">
        <v>0</v>
      </c>
      <c r="AN7" s="105">
        <v>0</v>
      </c>
      <c r="AO7" s="105">
        <v>0</v>
      </c>
      <c r="AP7" s="105">
        <v>0</v>
      </c>
      <c r="AQ7" s="105">
        <v>0</v>
      </c>
      <c r="AR7" s="105">
        <v>0</v>
      </c>
      <c r="AS7" s="105">
        <v>0</v>
      </c>
      <c r="AT7" s="105">
        <v>0</v>
      </c>
      <c r="AU7" s="105">
        <v>0</v>
      </c>
      <c r="AV7" s="105">
        <v>0</v>
      </c>
      <c r="AW7" s="105">
        <v>0</v>
      </c>
      <c r="AX7" s="105">
        <v>0</v>
      </c>
      <c r="AY7" s="105">
        <v>0</v>
      </c>
      <c r="AZ7" s="105">
        <v>0</v>
      </c>
      <c r="BA7" s="105">
        <v>0</v>
      </c>
      <c r="BB7" s="105">
        <v>0</v>
      </c>
      <c r="BC7" s="105">
        <v>0</v>
      </c>
      <c r="BD7" s="105">
        <v>0</v>
      </c>
      <c r="BE7" s="105">
        <v>0</v>
      </c>
      <c r="BF7" s="105">
        <v>0</v>
      </c>
      <c r="BG7" s="105">
        <v>0</v>
      </c>
      <c r="BH7" s="105">
        <v>0</v>
      </c>
      <c r="BI7" s="105">
        <v>0</v>
      </c>
      <c r="BJ7" s="105">
        <v>0</v>
      </c>
      <c r="BK7" s="105">
        <v>0</v>
      </c>
      <c r="BL7" s="105">
        <v>0</v>
      </c>
      <c r="BM7" s="105">
        <v>0</v>
      </c>
      <c r="BN7" s="105">
        <v>0</v>
      </c>
      <c r="BO7" s="105">
        <v>0</v>
      </c>
      <c r="BP7" s="105">
        <v>0</v>
      </c>
      <c r="BQ7" s="105">
        <v>0</v>
      </c>
      <c r="BR7" s="105">
        <v>0</v>
      </c>
      <c r="BS7" s="105">
        <v>0</v>
      </c>
      <c r="BT7" s="105">
        <v>0</v>
      </c>
      <c r="BU7" s="105">
        <v>0</v>
      </c>
      <c r="BV7" s="105">
        <v>0</v>
      </c>
      <c r="BW7" s="105">
        <v>0</v>
      </c>
      <c r="BX7" s="105">
        <v>0</v>
      </c>
      <c r="BY7" s="105">
        <v>0</v>
      </c>
      <c r="BZ7" s="105">
        <v>0</v>
      </c>
      <c r="CA7" s="105">
        <v>0</v>
      </c>
      <c r="CB7" s="105">
        <v>0</v>
      </c>
      <c r="CC7" s="105">
        <v>0</v>
      </c>
      <c r="CD7" s="105">
        <v>0</v>
      </c>
      <c r="CE7" s="105">
        <v>0</v>
      </c>
      <c r="CF7" s="105">
        <v>0</v>
      </c>
      <c r="CG7" s="105">
        <v>0</v>
      </c>
      <c r="CH7" s="105">
        <v>0</v>
      </c>
      <c r="CI7" s="105">
        <v>0</v>
      </c>
      <c r="CJ7" s="105">
        <v>0</v>
      </c>
      <c r="CK7" s="105">
        <v>0</v>
      </c>
      <c r="CL7" s="105">
        <v>0</v>
      </c>
      <c r="CM7" s="105">
        <v>0</v>
      </c>
      <c r="CN7" s="105">
        <v>0</v>
      </c>
      <c r="CO7" s="105">
        <v>0</v>
      </c>
      <c r="CP7" s="105">
        <v>0</v>
      </c>
      <c r="CQ7" s="105">
        <v>0</v>
      </c>
      <c r="CR7" s="105">
        <v>0</v>
      </c>
      <c r="CS7" s="105">
        <v>0</v>
      </c>
      <c r="CT7" s="105">
        <v>0</v>
      </c>
      <c r="CU7" s="105">
        <v>0</v>
      </c>
    </row>
    <row r="8" spans="1:99" x14ac:dyDescent="0.25">
      <c r="C8" s="104" t="s">
        <v>173</v>
      </c>
      <c r="D8" s="105">
        <v>0</v>
      </c>
      <c r="E8" s="105">
        <v>0</v>
      </c>
      <c r="F8" s="105">
        <v>0</v>
      </c>
      <c r="G8" s="105">
        <v>0</v>
      </c>
      <c r="H8" s="105">
        <v>0</v>
      </c>
      <c r="I8" s="105">
        <v>0</v>
      </c>
      <c r="J8" s="105">
        <v>0</v>
      </c>
      <c r="K8" s="105">
        <v>0</v>
      </c>
      <c r="L8" s="105">
        <v>0</v>
      </c>
      <c r="M8" s="105">
        <v>0</v>
      </c>
      <c r="N8" s="105">
        <v>0</v>
      </c>
      <c r="O8" s="105">
        <v>0</v>
      </c>
      <c r="P8" s="105">
        <v>0</v>
      </c>
      <c r="Q8" s="105">
        <v>0</v>
      </c>
      <c r="R8" s="105">
        <v>0</v>
      </c>
      <c r="S8" s="105">
        <v>0</v>
      </c>
      <c r="T8" s="105">
        <v>0</v>
      </c>
      <c r="U8" s="105">
        <v>0</v>
      </c>
      <c r="V8" s="105">
        <v>0</v>
      </c>
      <c r="W8" s="105">
        <v>0</v>
      </c>
      <c r="X8" s="105">
        <v>0</v>
      </c>
      <c r="Y8" s="105">
        <v>0</v>
      </c>
      <c r="Z8" s="105">
        <v>0</v>
      </c>
      <c r="AA8" s="105">
        <v>0</v>
      </c>
      <c r="AB8" s="105">
        <v>0</v>
      </c>
      <c r="AC8" s="105">
        <v>0</v>
      </c>
      <c r="AD8" s="105">
        <v>0</v>
      </c>
      <c r="AE8" s="105">
        <v>0</v>
      </c>
      <c r="AF8" s="105">
        <v>0</v>
      </c>
      <c r="AG8" s="105">
        <v>0</v>
      </c>
      <c r="AH8" s="105">
        <v>0</v>
      </c>
      <c r="AI8" s="105">
        <v>0</v>
      </c>
      <c r="AJ8" s="105">
        <v>0</v>
      </c>
      <c r="AK8" s="105">
        <v>0</v>
      </c>
      <c r="AL8" s="105">
        <v>0</v>
      </c>
      <c r="AM8" s="105">
        <v>0</v>
      </c>
      <c r="AN8" s="105">
        <v>0</v>
      </c>
      <c r="AO8" s="105">
        <v>0</v>
      </c>
      <c r="AP8" s="105">
        <v>0</v>
      </c>
      <c r="AQ8" s="105">
        <v>0</v>
      </c>
      <c r="AR8" s="105">
        <v>0</v>
      </c>
      <c r="AS8" s="105">
        <v>0</v>
      </c>
      <c r="AT8" s="105">
        <v>0</v>
      </c>
      <c r="AU8" s="105">
        <v>0</v>
      </c>
      <c r="AV8" s="105">
        <v>0</v>
      </c>
      <c r="AW8" s="105">
        <v>0</v>
      </c>
      <c r="AX8" s="105">
        <v>0</v>
      </c>
      <c r="AY8" s="105">
        <v>0</v>
      </c>
      <c r="AZ8" s="105">
        <v>0</v>
      </c>
      <c r="BA8" s="105">
        <v>0</v>
      </c>
      <c r="BB8" s="105">
        <v>0</v>
      </c>
      <c r="BC8" s="105">
        <v>0</v>
      </c>
      <c r="BD8" s="105">
        <v>0</v>
      </c>
      <c r="BE8" s="105">
        <v>0</v>
      </c>
      <c r="BF8" s="105">
        <v>0</v>
      </c>
      <c r="BG8" s="105">
        <v>0</v>
      </c>
      <c r="BH8" s="105">
        <v>0</v>
      </c>
      <c r="BI8" s="105">
        <v>0</v>
      </c>
      <c r="BJ8" s="105">
        <v>0</v>
      </c>
      <c r="BK8" s="105">
        <v>0</v>
      </c>
      <c r="BL8" s="105">
        <v>0</v>
      </c>
      <c r="BM8" s="105">
        <v>0</v>
      </c>
      <c r="BN8" s="105">
        <v>0</v>
      </c>
      <c r="BO8" s="105">
        <v>0</v>
      </c>
      <c r="BP8" s="105">
        <v>0</v>
      </c>
      <c r="BQ8" s="105">
        <v>0</v>
      </c>
      <c r="BR8" s="105">
        <v>0</v>
      </c>
      <c r="BS8" s="105">
        <v>0</v>
      </c>
      <c r="BT8" s="105">
        <v>0</v>
      </c>
      <c r="BU8" s="105">
        <v>0</v>
      </c>
      <c r="BV8" s="105">
        <v>0</v>
      </c>
      <c r="BW8" s="105">
        <v>0</v>
      </c>
      <c r="BX8" s="105">
        <v>0</v>
      </c>
      <c r="BY8" s="105">
        <v>0</v>
      </c>
      <c r="BZ8" s="105">
        <v>0</v>
      </c>
      <c r="CA8" s="105">
        <v>0</v>
      </c>
      <c r="CB8" s="105">
        <v>0</v>
      </c>
      <c r="CC8" s="105">
        <v>0</v>
      </c>
      <c r="CD8" s="105">
        <v>0</v>
      </c>
      <c r="CE8" s="105">
        <v>0</v>
      </c>
      <c r="CF8" s="105">
        <v>0</v>
      </c>
      <c r="CG8" s="105">
        <v>0</v>
      </c>
      <c r="CH8" s="105">
        <v>0</v>
      </c>
      <c r="CI8" s="105">
        <v>0</v>
      </c>
      <c r="CJ8" s="105">
        <v>0</v>
      </c>
      <c r="CK8" s="105">
        <v>0</v>
      </c>
      <c r="CL8" s="105">
        <v>0</v>
      </c>
      <c r="CM8" s="105">
        <v>0</v>
      </c>
      <c r="CN8" s="105">
        <v>0</v>
      </c>
      <c r="CO8" s="105">
        <v>0</v>
      </c>
      <c r="CP8" s="105">
        <v>0</v>
      </c>
      <c r="CQ8" s="105">
        <v>0</v>
      </c>
      <c r="CR8" s="105">
        <v>0</v>
      </c>
      <c r="CS8" s="105">
        <v>0</v>
      </c>
      <c r="CT8" s="105">
        <v>0</v>
      </c>
      <c r="CU8" s="105">
        <v>0</v>
      </c>
    </row>
    <row r="9" spans="1:99" x14ac:dyDescent="0.25">
      <c r="C9" s="104" t="s">
        <v>174</v>
      </c>
      <c r="D9" s="105">
        <v>0</v>
      </c>
      <c r="E9" s="105">
        <v>0</v>
      </c>
      <c r="F9" s="105">
        <v>0</v>
      </c>
      <c r="G9" s="105">
        <v>0</v>
      </c>
      <c r="H9" s="105">
        <v>0</v>
      </c>
      <c r="I9" s="105">
        <v>0</v>
      </c>
      <c r="J9" s="105">
        <v>0</v>
      </c>
      <c r="K9" s="105">
        <v>0</v>
      </c>
      <c r="L9" s="105">
        <v>0</v>
      </c>
      <c r="M9" s="105">
        <v>0</v>
      </c>
      <c r="N9" s="105">
        <v>0</v>
      </c>
      <c r="O9" s="105">
        <v>0</v>
      </c>
      <c r="P9" s="105">
        <v>0</v>
      </c>
      <c r="Q9" s="105">
        <v>0</v>
      </c>
      <c r="R9" s="105">
        <v>0</v>
      </c>
      <c r="S9" s="105">
        <v>0</v>
      </c>
      <c r="T9" s="105">
        <v>0</v>
      </c>
      <c r="U9" s="105">
        <v>0</v>
      </c>
      <c r="V9" s="105">
        <v>0</v>
      </c>
      <c r="W9" s="105">
        <v>0</v>
      </c>
      <c r="X9" s="105">
        <v>0</v>
      </c>
      <c r="Y9" s="105">
        <v>0</v>
      </c>
      <c r="Z9" s="105">
        <v>0</v>
      </c>
      <c r="AA9" s="105">
        <v>0</v>
      </c>
      <c r="AB9" s="105">
        <v>0</v>
      </c>
      <c r="AC9" s="105">
        <v>0</v>
      </c>
      <c r="AD9" s="105">
        <v>0</v>
      </c>
      <c r="AE9" s="105">
        <v>0</v>
      </c>
      <c r="AF9" s="105">
        <v>0</v>
      </c>
      <c r="AG9" s="105">
        <v>0</v>
      </c>
      <c r="AH9" s="105">
        <v>0</v>
      </c>
      <c r="AI9" s="105">
        <v>0</v>
      </c>
      <c r="AJ9" s="105">
        <v>0</v>
      </c>
      <c r="AK9" s="105">
        <v>0</v>
      </c>
      <c r="AL9" s="105">
        <v>0</v>
      </c>
      <c r="AM9" s="105">
        <v>0</v>
      </c>
      <c r="AN9" s="105">
        <v>0</v>
      </c>
      <c r="AO9" s="105">
        <v>0</v>
      </c>
      <c r="AP9" s="105">
        <v>0</v>
      </c>
      <c r="AQ9" s="105">
        <v>0</v>
      </c>
      <c r="AR9" s="105">
        <v>0</v>
      </c>
      <c r="AS9" s="105">
        <v>0</v>
      </c>
      <c r="AT9" s="105">
        <v>0</v>
      </c>
      <c r="AU9" s="105">
        <v>0</v>
      </c>
      <c r="AV9" s="105">
        <v>0</v>
      </c>
      <c r="AW9" s="105">
        <v>0</v>
      </c>
      <c r="AX9" s="105">
        <v>0</v>
      </c>
      <c r="AY9" s="105">
        <v>0</v>
      </c>
      <c r="AZ9" s="105">
        <v>0</v>
      </c>
      <c r="BA9" s="105">
        <v>0</v>
      </c>
      <c r="BB9" s="105">
        <v>0</v>
      </c>
      <c r="BC9" s="105">
        <v>0</v>
      </c>
      <c r="BD9" s="105">
        <v>0</v>
      </c>
      <c r="BE9" s="105">
        <v>0</v>
      </c>
      <c r="BF9" s="105">
        <v>0</v>
      </c>
      <c r="BG9" s="105">
        <v>0</v>
      </c>
      <c r="BH9" s="105">
        <v>0</v>
      </c>
      <c r="BI9" s="105">
        <v>0</v>
      </c>
      <c r="BJ9" s="105">
        <v>0</v>
      </c>
      <c r="BK9" s="105">
        <v>0</v>
      </c>
      <c r="BL9" s="105">
        <v>0</v>
      </c>
      <c r="BM9" s="105">
        <v>0</v>
      </c>
      <c r="BN9" s="105">
        <v>0</v>
      </c>
      <c r="BO9" s="105">
        <v>0</v>
      </c>
      <c r="BP9" s="105">
        <v>0</v>
      </c>
      <c r="BQ9" s="105">
        <v>0</v>
      </c>
      <c r="BR9" s="105">
        <v>0</v>
      </c>
      <c r="BS9" s="105">
        <v>0</v>
      </c>
      <c r="BT9" s="105">
        <v>0</v>
      </c>
      <c r="BU9" s="105">
        <v>0</v>
      </c>
      <c r="BV9" s="105">
        <v>0</v>
      </c>
      <c r="BW9" s="105">
        <v>0</v>
      </c>
      <c r="BX9" s="105">
        <v>0</v>
      </c>
      <c r="BY9" s="105">
        <v>0</v>
      </c>
      <c r="BZ9" s="105">
        <v>0</v>
      </c>
      <c r="CA9" s="105">
        <v>0</v>
      </c>
      <c r="CB9" s="105">
        <v>0</v>
      </c>
      <c r="CC9" s="105">
        <v>0</v>
      </c>
      <c r="CD9" s="105">
        <v>0</v>
      </c>
      <c r="CE9" s="105">
        <v>0</v>
      </c>
      <c r="CF9" s="105">
        <v>0</v>
      </c>
      <c r="CG9" s="105">
        <v>0</v>
      </c>
      <c r="CH9" s="105">
        <v>0</v>
      </c>
      <c r="CI9" s="105">
        <v>0</v>
      </c>
      <c r="CJ9" s="105">
        <v>0</v>
      </c>
      <c r="CK9" s="105">
        <v>0</v>
      </c>
      <c r="CL9" s="105">
        <v>0</v>
      </c>
      <c r="CM9" s="105">
        <v>0</v>
      </c>
      <c r="CN9" s="105">
        <v>0</v>
      </c>
      <c r="CO9" s="105">
        <v>0</v>
      </c>
      <c r="CP9" s="105">
        <v>0</v>
      </c>
      <c r="CQ9" s="105">
        <v>0</v>
      </c>
      <c r="CR9" s="105">
        <v>0</v>
      </c>
      <c r="CS9" s="105">
        <v>0</v>
      </c>
      <c r="CT9" s="105">
        <v>0</v>
      </c>
      <c r="CU9" s="105">
        <v>0</v>
      </c>
    </row>
    <row r="10" spans="1:99" x14ac:dyDescent="0.25">
      <c r="C10" s="104" t="s">
        <v>175</v>
      </c>
      <c r="D10" s="105">
        <v>0</v>
      </c>
      <c r="E10" s="105">
        <v>0</v>
      </c>
      <c r="F10" s="105">
        <v>0</v>
      </c>
      <c r="G10" s="105">
        <v>0</v>
      </c>
      <c r="H10" s="105">
        <v>0</v>
      </c>
      <c r="I10" s="105">
        <v>0</v>
      </c>
      <c r="J10" s="105">
        <v>0</v>
      </c>
      <c r="K10" s="105">
        <v>0</v>
      </c>
      <c r="L10" s="105">
        <v>0</v>
      </c>
      <c r="M10" s="105">
        <v>0</v>
      </c>
      <c r="N10" s="105">
        <v>0</v>
      </c>
      <c r="O10" s="105">
        <v>0</v>
      </c>
      <c r="P10" s="105">
        <v>0</v>
      </c>
      <c r="Q10" s="105">
        <v>0</v>
      </c>
      <c r="R10" s="105">
        <v>0</v>
      </c>
      <c r="S10" s="105">
        <v>0</v>
      </c>
      <c r="T10" s="105">
        <v>0</v>
      </c>
      <c r="U10" s="105">
        <v>0</v>
      </c>
      <c r="V10" s="105">
        <v>0</v>
      </c>
      <c r="W10" s="105">
        <v>0</v>
      </c>
      <c r="X10" s="105">
        <v>0</v>
      </c>
      <c r="Y10" s="105">
        <v>0</v>
      </c>
      <c r="Z10" s="105">
        <v>0</v>
      </c>
      <c r="AA10" s="105">
        <v>0</v>
      </c>
      <c r="AB10" s="105">
        <v>0</v>
      </c>
      <c r="AC10" s="105">
        <v>0</v>
      </c>
      <c r="AD10" s="105">
        <v>0</v>
      </c>
      <c r="AE10" s="105">
        <v>0</v>
      </c>
      <c r="AF10" s="105">
        <v>0</v>
      </c>
      <c r="AG10" s="105">
        <v>0</v>
      </c>
      <c r="AH10" s="105">
        <v>0</v>
      </c>
      <c r="AI10" s="105">
        <v>0</v>
      </c>
      <c r="AJ10" s="105">
        <v>0</v>
      </c>
      <c r="AK10" s="105">
        <v>0</v>
      </c>
      <c r="AL10" s="105">
        <v>0</v>
      </c>
      <c r="AM10" s="105">
        <v>0</v>
      </c>
      <c r="AN10" s="105">
        <v>0</v>
      </c>
      <c r="AO10" s="105">
        <v>0</v>
      </c>
      <c r="AP10" s="105">
        <v>0</v>
      </c>
      <c r="AQ10" s="105">
        <v>0</v>
      </c>
      <c r="AR10" s="105">
        <v>0</v>
      </c>
      <c r="AS10" s="105">
        <v>0</v>
      </c>
      <c r="AT10" s="105">
        <v>0</v>
      </c>
      <c r="AU10" s="105">
        <v>0</v>
      </c>
      <c r="AV10" s="105">
        <v>0</v>
      </c>
      <c r="AW10" s="105">
        <v>0</v>
      </c>
      <c r="AX10" s="105">
        <v>0</v>
      </c>
      <c r="AY10" s="105">
        <v>0</v>
      </c>
      <c r="AZ10" s="105">
        <v>0</v>
      </c>
      <c r="BA10" s="105">
        <v>0</v>
      </c>
      <c r="BB10" s="105">
        <v>0</v>
      </c>
      <c r="BC10" s="105">
        <v>0</v>
      </c>
      <c r="BD10" s="105">
        <v>0</v>
      </c>
      <c r="BE10" s="105">
        <v>0</v>
      </c>
      <c r="BF10" s="105">
        <v>0</v>
      </c>
      <c r="BG10" s="105">
        <v>0</v>
      </c>
      <c r="BH10" s="105">
        <v>0</v>
      </c>
      <c r="BI10" s="105">
        <v>0</v>
      </c>
      <c r="BJ10" s="105">
        <v>0</v>
      </c>
      <c r="BK10" s="105">
        <v>0</v>
      </c>
      <c r="BL10" s="105">
        <v>0</v>
      </c>
      <c r="BM10" s="105">
        <v>0</v>
      </c>
      <c r="BN10" s="105">
        <v>0</v>
      </c>
      <c r="BO10" s="105">
        <v>0</v>
      </c>
      <c r="BP10" s="105">
        <v>0</v>
      </c>
      <c r="BQ10" s="105">
        <v>0</v>
      </c>
      <c r="BR10" s="105">
        <v>0</v>
      </c>
      <c r="BS10" s="105">
        <v>0</v>
      </c>
      <c r="BT10" s="105">
        <v>0</v>
      </c>
      <c r="BU10" s="105">
        <v>0</v>
      </c>
      <c r="BV10" s="105">
        <v>0</v>
      </c>
      <c r="BW10" s="105">
        <v>0</v>
      </c>
      <c r="BX10" s="105">
        <v>0</v>
      </c>
      <c r="BY10" s="105">
        <v>0</v>
      </c>
      <c r="BZ10" s="105">
        <v>0</v>
      </c>
      <c r="CA10" s="105">
        <v>0</v>
      </c>
      <c r="CB10" s="105">
        <v>0</v>
      </c>
      <c r="CC10" s="105">
        <v>0</v>
      </c>
      <c r="CD10" s="105">
        <v>0</v>
      </c>
      <c r="CE10" s="105">
        <v>0</v>
      </c>
      <c r="CF10" s="105">
        <v>0</v>
      </c>
      <c r="CG10" s="105">
        <v>0</v>
      </c>
      <c r="CH10" s="105">
        <v>0</v>
      </c>
      <c r="CI10" s="105">
        <v>0</v>
      </c>
      <c r="CJ10" s="105">
        <v>0</v>
      </c>
      <c r="CK10" s="105">
        <v>0</v>
      </c>
      <c r="CL10" s="105">
        <v>0</v>
      </c>
      <c r="CM10" s="105">
        <v>0</v>
      </c>
      <c r="CN10" s="105">
        <v>0</v>
      </c>
      <c r="CO10" s="105">
        <v>0</v>
      </c>
      <c r="CP10" s="105">
        <v>0</v>
      </c>
      <c r="CQ10" s="105">
        <v>0</v>
      </c>
      <c r="CR10" s="105">
        <v>0</v>
      </c>
      <c r="CS10" s="105">
        <v>0</v>
      </c>
      <c r="CT10" s="105">
        <v>0</v>
      </c>
      <c r="CU10" s="105">
        <v>0</v>
      </c>
    </row>
    <row r="11" spans="1:99" x14ac:dyDescent="0.25">
      <c r="C11" s="104" t="s">
        <v>176</v>
      </c>
      <c r="D11" s="105">
        <v>0</v>
      </c>
      <c r="E11" s="105">
        <v>0</v>
      </c>
      <c r="F11" s="105">
        <v>0</v>
      </c>
      <c r="G11" s="105">
        <v>0</v>
      </c>
      <c r="H11" s="105">
        <v>0</v>
      </c>
      <c r="I11" s="105">
        <v>0</v>
      </c>
      <c r="J11" s="105">
        <v>0</v>
      </c>
      <c r="K11" s="105">
        <v>0</v>
      </c>
      <c r="L11" s="105">
        <v>0</v>
      </c>
      <c r="M11" s="105">
        <v>0</v>
      </c>
      <c r="N11" s="105">
        <v>0</v>
      </c>
      <c r="O11" s="105">
        <v>0</v>
      </c>
      <c r="P11" s="105">
        <v>0</v>
      </c>
      <c r="Q11" s="105">
        <v>0</v>
      </c>
      <c r="R11" s="105">
        <v>0</v>
      </c>
      <c r="S11" s="105">
        <v>0</v>
      </c>
      <c r="T11" s="105">
        <v>0</v>
      </c>
      <c r="U11" s="105">
        <v>0</v>
      </c>
      <c r="V11" s="105">
        <v>0</v>
      </c>
      <c r="W11" s="105">
        <v>0</v>
      </c>
      <c r="X11" s="105">
        <v>0</v>
      </c>
      <c r="Y11" s="105">
        <v>0</v>
      </c>
      <c r="Z11" s="105">
        <v>0</v>
      </c>
      <c r="AA11" s="105">
        <v>0</v>
      </c>
      <c r="AB11" s="105">
        <v>0</v>
      </c>
      <c r="AC11" s="105">
        <v>0</v>
      </c>
      <c r="AD11" s="105">
        <v>0</v>
      </c>
      <c r="AE11" s="105">
        <v>0</v>
      </c>
      <c r="AF11" s="105">
        <v>0</v>
      </c>
      <c r="AG11" s="105">
        <v>0</v>
      </c>
      <c r="AH11" s="105">
        <v>0</v>
      </c>
      <c r="AI11" s="105">
        <v>0</v>
      </c>
      <c r="AJ11" s="105">
        <v>0</v>
      </c>
      <c r="AK11" s="105">
        <v>0</v>
      </c>
      <c r="AL11" s="105">
        <v>0</v>
      </c>
      <c r="AM11" s="105">
        <v>0</v>
      </c>
      <c r="AN11" s="105">
        <v>0</v>
      </c>
      <c r="AO11" s="105">
        <v>0</v>
      </c>
      <c r="AP11" s="105">
        <v>0</v>
      </c>
      <c r="AQ11" s="105">
        <v>0</v>
      </c>
      <c r="AR11" s="105">
        <v>0</v>
      </c>
      <c r="AS11" s="105">
        <v>0</v>
      </c>
      <c r="AT11" s="105">
        <v>0</v>
      </c>
      <c r="AU11" s="105">
        <v>0</v>
      </c>
      <c r="AV11" s="105">
        <v>0</v>
      </c>
      <c r="AW11" s="105">
        <v>0</v>
      </c>
      <c r="AX11" s="105">
        <v>0</v>
      </c>
      <c r="AY11" s="105">
        <v>0</v>
      </c>
      <c r="AZ11" s="105">
        <v>0</v>
      </c>
      <c r="BA11" s="105">
        <v>0</v>
      </c>
      <c r="BB11" s="105">
        <v>0</v>
      </c>
      <c r="BC11" s="105">
        <v>0</v>
      </c>
      <c r="BD11" s="105">
        <v>0</v>
      </c>
      <c r="BE11" s="105">
        <v>0</v>
      </c>
      <c r="BF11" s="105">
        <v>0</v>
      </c>
      <c r="BG11" s="105">
        <v>0</v>
      </c>
      <c r="BH11" s="105">
        <v>0</v>
      </c>
      <c r="BI11" s="105">
        <v>0</v>
      </c>
      <c r="BJ11" s="105">
        <v>0</v>
      </c>
      <c r="BK11" s="105">
        <v>0</v>
      </c>
      <c r="BL11" s="105">
        <v>0</v>
      </c>
      <c r="BM11" s="105">
        <v>0</v>
      </c>
      <c r="BN11" s="105">
        <v>0</v>
      </c>
      <c r="BO11" s="105">
        <v>0</v>
      </c>
      <c r="BP11" s="105">
        <v>0</v>
      </c>
      <c r="BQ11" s="105">
        <v>0</v>
      </c>
      <c r="BR11" s="105">
        <v>0</v>
      </c>
      <c r="BS11" s="105">
        <v>0</v>
      </c>
      <c r="BT11" s="105">
        <v>0</v>
      </c>
      <c r="BU11" s="105">
        <v>0</v>
      </c>
      <c r="BV11" s="105">
        <v>0</v>
      </c>
      <c r="BW11" s="105">
        <v>0</v>
      </c>
      <c r="BX11" s="105">
        <v>0</v>
      </c>
      <c r="BY11" s="105">
        <v>0</v>
      </c>
      <c r="BZ11" s="105">
        <v>0</v>
      </c>
      <c r="CA11" s="105">
        <v>0</v>
      </c>
      <c r="CB11" s="105">
        <v>0</v>
      </c>
      <c r="CC11" s="105">
        <v>0</v>
      </c>
      <c r="CD11" s="105">
        <v>0</v>
      </c>
      <c r="CE11" s="105">
        <v>0</v>
      </c>
      <c r="CF11" s="105">
        <v>0</v>
      </c>
      <c r="CG11" s="105">
        <v>0</v>
      </c>
      <c r="CH11" s="105">
        <v>0</v>
      </c>
      <c r="CI11" s="105">
        <v>0</v>
      </c>
      <c r="CJ11" s="105">
        <v>0</v>
      </c>
      <c r="CK11" s="105">
        <v>0</v>
      </c>
      <c r="CL11" s="105">
        <v>0</v>
      </c>
      <c r="CM11" s="105">
        <v>0</v>
      </c>
      <c r="CN11" s="105">
        <v>0</v>
      </c>
      <c r="CO11" s="105">
        <v>0</v>
      </c>
      <c r="CP11" s="105">
        <v>0</v>
      </c>
      <c r="CQ11" s="105">
        <v>0</v>
      </c>
      <c r="CR11" s="105">
        <v>0</v>
      </c>
      <c r="CS11" s="105">
        <v>0</v>
      </c>
      <c r="CT11" s="105">
        <v>0</v>
      </c>
      <c r="CU11" s="105">
        <v>0</v>
      </c>
    </row>
    <row r="12" spans="1:99" x14ac:dyDescent="0.25">
      <c r="C12" s="104" t="s">
        <v>177</v>
      </c>
      <c r="D12" s="105">
        <v>0</v>
      </c>
      <c r="E12" s="105">
        <v>0</v>
      </c>
      <c r="F12" s="105">
        <v>0</v>
      </c>
      <c r="G12" s="105">
        <v>0</v>
      </c>
      <c r="H12" s="105">
        <v>0</v>
      </c>
      <c r="I12" s="105">
        <v>0</v>
      </c>
      <c r="J12" s="105">
        <v>0</v>
      </c>
      <c r="K12" s="105">
        <v>0</v>
      </c>
      <c r="L12" s="105">
        <v>0</v>
      </c>
      <c r="M12" s="105">
        <v>0</v>
      </c>
      <c r="N12" s="105">
        <v>0</v>
      </c>
      <c r="O12" s="105">
        <v>0</v>
      </c>
      <c r="P12" s="105">
        <v>0</v>
      </c>
      <c r="Q12" s="105">
        <v>0</v>
      </c>
      <c r="R12" s="105">
        <v>0</v>
      </c>
      <c r="S12" s="105">
        <v>0</v>
      </c>
      <c r="T12" s="105">
        <v>0</v>
      </c>
      <c r="U12" s="105">
        <v>0</v>
      </c>
      <c r="V12" s="105">
        <v>0</v>
      </c>
      <c r="W12" s="105">
        <v>0</v>
      </c>
      <c r="X12" s="105">
        <v>0</v>
      </c>
      <c r="Y12" s="105">
        <v>0</v>
      </c>
      <c r="Z12" s="105">
        <v>0</v>
      </c>
      <c r="AA12" s="105">
        <v>0</v>
      </c>
      <c r="AB12" s="105">
        <v>0</v>
      </c>
      <c r="AC12" s="105">
        <v>0</v>
      </c>
      <c r="AD12" s="105">
        <v>0</v>
      </c>
      <c r="AE12" s="105">
        <v>0</v>
      </c>
      <c r="AF12" s="105">
        <v>0</v>
      </c>
      <c r="AG12" s="105">
        <v>0</v>
      </c>
      <c r="AH12" s="105">
        <v>0</v>
      </c>
      <c r="AI12" s="105">
        <v>0</v>
      </c>
      <c r="AJ12" s="105">
        <v>0</v>
      </c>
      <c r="AK12" s="105">
        <v>0</v>
      </c>
      <c r="AL12" s="105">
        <v>0</v>
      </c>
      <c r="AM12" s="105">
        <v>0</v>
      </c>
      <c r="AN12" s="105">
        <v>0</v>
      </c>
      <c r="AO12" s="105">
        <v>0</v>
      </c>
      <c r="AP12" s="105">
        <v>0</v>
      </c>
      <c r="AQ12" s="105">
        <v>0</v>
      </c>
      <c r="AR12" s="105">
        <v>0</v>
      </c>
      <c r="AS12" s="105">
        <v>0</v>
      </c>
      <c r="AT12" s="105">
        <v>0</v>
      </c>
      <c r="AU12" s="105">
        <v>0</v>
      </c>
      <c r="AV12" s="105">
        <v>0</v>
      </c>
      <c r="AW12" s="105">
        <v>0</v>
      </c>
      <c r="AX12" s="105">
        <v>0</v>
      </c>
      <c r="AY12" s="105">
        <v>0</v>
      </c>
      <c r="AZ12" s="105">
        <v>0</v>
      </c>
      <c r="BA12" s="105">
        <v>0</v>
      </c>
      <c r="BB12" s="105">
        <v>0</v>
      </c>
      <c r="BC12" s="105">
        <v>0</v>
      </c>
      <c r="BD12" s="105">
        <v>0</v>
      </c>
      <c r="BE12" s="105">
        <v>0</v>
      </c>
      <c r="BF12" s="105">
        <v>0</v>
      </c>
      <c r="BG12" s="105">
        <v>0</v>
      </c>
      <c r="BH12" s="105">
        <v>0</v>
      </c>
      <c r="BI12" s="105">
        <v>0</v>
      </c>
      <c r="BJ12" s="105">
        <v>0</v>
      </c>
      <c r="BK12" s="105">
        <v>0</v>
      </c>
      <c r="BL12" s="105">
        <v>0</v>
      </c>
      <c r="BM12" s="105">
        <v>0</v>
      </c>
      <c r="BN12" s="105">
        <v>0</v>
      </c>
      <c r="BO12" s="105">
        <v>0</v>
      </c>
      <c r="BP12" s="105">
        <v>0</v>
      </c>
      <c r="BQ12" s="105">
        <v>0</v>
      </c>
      <c r="BR12" s="105">
        <v>0</v>
      </c>
      <c r="BS12" s="105">
        <v>0</v>
      </c>
      <c r="BT12" s="105">
        <v>0</v>
      </c>
      <c r="BU12" s="105">
        <v>0</v>
      </c>
      <c r="BV12" s="105">
        <v>0</v>
      </c>
      <c r="BW12" s="105">
        <v>0</v>
      </c>
      <c r="BX12" s="105">
        <v>0</v>
      </c>
      <c r="BY12" s="105">
        <v>0</v>
      </c>
      <c r="BZ12" s="105">
        <v>0</v>
      </c>
      <c r="CA12" s="105">
        <v>0</v>
      </c>
      <c r="CB12" s="105">
        <v>0</v>
      </c>
      <c r="CC12" s="105">
        <v>0</v>
      </c>
      <c r="CD12" s="105">
        <v>0</v>
      </c>
      <c r="CE12" s="105">
        <v>0</v>
      </c>
      <c r="CF12" s="105">
        <v>0</v>
      </c>
      <c r="CG12" s="105">
        <v>0</v>
      </c>
      <c r="CH12" s="105">
        <v>0</v>
      </c>
      <c r="CI12" s="105">
        <v>0</v>
      </c>
      <c r="CJ12" s="105">
        <v>0</v>
      </c>
      <c r="CK12" s="105">
        <v>0</v>
      </c>
      <c r="CL12" s="105">
        <v>0</v>
      </c>
      <c r="CM12" s="105">
        <v>0</v>
      </c>
      <c r="CN12" s="105">
        <v>0</v>
      </c>
      <c r="CO12" s="105">
        <v>0</v>
      </c>
      <c r="CP12" s="105">
        <v>0</v>
      </c>
      <c r="CQ12" s="105">
        <v>0</v>
      </c>
      <c r="CR12" s="105">
        <v>0</v>
      </c>
      <c r="CS12" s="105">
        <v>0</v>
      </c>
      <c r="CT12" s="105">
        <v>0</v>
      </c>
      <c r="CU12" s="105">
        <v>0</v>
      </c>
    </row>
    <row r="13" spans="1:99" x14ac:dyDescent="0.25">
      <c r="C13" s="104" t="s">
        <v>178</v>
      </c>
      <c r="D13" s="105">
        <v>0</v>
      </c>
      <c r="E13" s="105">
        <v>0</v>
      </c>
      <c r="F13" s="105">
        <v>0</v>
      </c>
      <c r="G13" s="105">
        <v>0</v>
      </c>
      <c r="H13" s="105">
        <v>0</v>
      </c>
      <c r="I13" s="105">
        <v>0</v>
      </c>
      <c r="J13" s="105">
        <v>0</v>
      </c>
      <c r="K13" s="105">
        <v>0</v>
      </c>
      <c r="L13" s="105">
        <v>0</v>
      </c>
      <c r="M13" s="105">
        <v>0</v>
      </c>
      <c r="N13" s="105">
        <v>0</v>
      </c>
      <c r="O13" s="105">
        <v>0</v>
      </c>
      <c r="P13" s="105">
        <v>0</v>
      </c>
      <c r="Q13" s="105">
        <v>0</v>
      </c>
      <c r="R13" s="105">
        <v>0</v>
      </c>
      <c r="S13" s="105">
        <v>0</v>
      </c>
      <c r="T13" s="105">
        <v>0</v>
      </c>
      <c r="U13" s="105">
        <v>0</v>
      </c>
      <c r="V13" s="105">
        <v>0</v>
      </c>
      <c r="W13" s="105">
        <v>0</v>
      </c>
      <c r="X13" s="105">
        <v>0</v>
      </c>
      <c r="Y13" s="105">
        <v>0</v>
      </c>
      <c r="Z13" s="105">
        <v>0</v>
      </c>
      <c r="AA13" s="105">
        <v>0</v>
      </c>
      <c r="AB13" s="105">
        <v>0</v>
      </c>
      <c r="AC13" s="105">
        <v>0</v>
      </c>
      <c r="AD13" s="105">
        <v>0</v>
      </c>
      <c r="AE13" s="105">
        <v>0</v>
      </c>
      <c r="AF13" s="105">
        <v>0</v>
      </c>
      <c r="AG13" s="105">
        <v>0</v>
      </c>
      <c r="AH13" s="105">
        <v>0</v>
      </c>
      <c r="AI13" s="105">
        <v>0</v>
      </c>
      <c r="AJ13" s="105">
        <v>0</v>
      </c>
      <c r="AK13" s="105">
        <v>0</v>
      </c>
      <c r="AL13" s="105">
        <v>0</v>
      </c>
      <c r="AM13" s="105">
        <v>0</v>
      </c>
      <c r="AN13" s="105">
        <v>0</v>
      </c>
      <c r="AO13" s="105">
        <v>0</v>
      </c>
      <c r="AP13" s="105">
        <v>0</v>
      </c>
      <c r="AQ13" s="105">
        <v>0</v>
      </c>
      <c r="AR13" s="105">
        <v>0</v>
      </c>
      <c r="AS13" s="105">
        <v>0</v>
      </c>
      <c r="AT13" s="105">
        <v>0</v>
      </c>
      <c r="AU13" s="105">
        <v>0</v>
      </c>
      <c r="AV13" s="105">
        <v>0</v>
      </c>
      <c r="AW13" s="105">
        <v>0</v>
      </c>
      <c r="AX13" s="105">
        <v>0</v>
      </c>
      <c r="AY13" s="105">
        <v>0</v>
      </c>
      <c r="AZ13" s="105">
        <v>0</v>
      </c>
      <c r="BA13" s="105">
        <v>0</v>
      </c>
      <c r="BB13" s="105">
        <v>0</v>
      </c>
      <c r="BC13" s="105">
        <v>0</v>
      </c>
      <c r="BD13" s="105">
        <v>0</v>
      </c>
      <c r="BE13" s="105">
        <v>0</v>
      </c>
      <c r="BF13" s="105">
        <v>0</v>
      </c>
      <c r="BG13" s="105">
        <v>0</v>
      </c>
      <c r="BH13" s="105">
        <v>0</v>
      </c>
      <c r="BI13" s="105">
        <v>0</v>
      </c>
      <c r="BJ13" s="105">
        <v>0</v>
      </c>
      <c r="BK13" s="105">
        <v>0</v>
      </c>
      <c r="BL13" s="105">
        <v>0</v>
      </c>
      <c r="BM13" s="105">
        <v>0</v>
      </c>
      <c r="BN13" s="105">
        <v>0</v>
      </c>
      <c r="BO13" s="105">
        <v>0</v>
      </c>
      <c r="BP13" s="105">
        <v>0</v>
      </c>
      <c r="BQ13" s="105">
        <v>0</v>
      </c>
      <c r="BR13" s="105">
        <v>0</v>
      </c>
      <c r="BS13" s="105">
        <v>0</v>
      </c>
      <c r="BT13" s="105">
        <v>0</v>
      </c>
      <c r="BU13" s="105">
        <v>0</v>
      </c>
      <c r="BV13" s="105">
        <v>0</v>
      </c>
      <c r="BW13" s="105">
        <v>0</v>
      </c>
      <c r="BX13" s="105">
        <v>0</v>
      </c>
      <c r="BY13" s="105">
        <v>0</v>
      </c>
      <c r="BZ13" s="105">
        <v>0</v>
      </c>
      <c r="CA13" s="105">
        <v>0</v>
      </c>
      <c r="CB13" s="105">
        <v>0</v>
      </c>
      <c r="CC13" s="105">
        <v>0</v>
      </c>
      <c r="CD13" s="105">
        <v>0</v>
      </c>
      <c r="CE13" s="105">
        <v>0</v>
      </c>
      <c r="CF13" s="105">
        <v>0</v>
      </c>
      <c r="CG13" s="105">
        <v>0</v>
      </c>
      <c r="CH13" s="105">
        <v>0</v>
      </c>
      <c r="CI13" s="105">
        <v>0</v>
      </c>
      <c r="CJ13" s="105">
        <v>0</v>
      </c>
      <c r="CK13" s="105">
        <v>0</v>
      </c>
      <c r="CL13" s="105">
        <v>0</v>
      </c>
      <c r="CM13" s="105">
        <v>0</v>
      </c>
      <c r="CN13" s="105">
        <v>0</v>
      </c>
      <c r="CO13" s="105">
        <v>0</v>
      </c>
      <c r="CP13" s="105">
        <v>0</v>
      </c>
      <c r="CQ13" s="105">
        <v>0</v>
      </c>
      <c r="CR13" s="105">
        <v>0</v>
      </c>
      <c r="CS13" s="105">
        <v>0</v>
      </c>
      <c r="CT13" s="105">
        <v>0</v>
      </c>
      <c r="CU13" s="105">
        <v>0</v>
      </c>
    </row>
    <row r="14" spans="1:99" x14ac:dyDescent="0.25">
      <c r="C14" s="104" t="s">
        <v>179</v>
      </c>
      <c r="D14" s="105">
        <v>0</v>
      </c>
      <c r="E14" s="105">
        <v>0</v>
      </c>
      <c r="F14" s="105">
        <v>0</v>
      </c>
      <c r="G14" s="105">
        <v>0</v>
      </c>
      <c r="H14" s="105">
        <v>0</v>
      </c>
      <c r="I14" s="105">
        <v>0</v>
      </c>
      <c r="J14" s="105">
        <v>0</v>
      </c>
      <c r="K14" s="105">
        <v>0</v>
      </c>
      <c r="L14" s="105">
        <v>0</v>
      </c>
      <c r="M14" s="105">
        <v>0</v>
      </c>
      <c r="N14" s="105">
        <v>0</v>
      </c>
      <c r="O14" s="105">
        <v>0</v>
      </c>
      <c r="P14" s="105">
        <v>0</v>
      </c>
      <c r="Q14" s="105">
        <v>0</v>
      </c>
      <c r="R14" s="105">
        <v>0</v>
      </c>
      <c r="S14" s="105">
        <v>0</v>
      </c>
      <c r="T14" s="105">
        <v>0</v>
      </c>
      <c r="U14" s="105">
        <v>0</v>
      </c>
      <c r="V14" s="105">
        <v>0</v>
      </c>
      <c r="W14" s="105">
        <v>0</v>
      </c>
      <c r="X14" s="105">
        <v>0</v>
      </c>
      <c r="Y14" s="105">
        <v>0</v>
      </c>
      <c r="Z14" s="105">
        <v>0</v>
      </c>
      <c r="AA14" s="105">
        <v>0</v>
      </c>
      <c r="AB14" s="105">
        <v>0</v>
      </c>
      <c r="AC14" s="105">
        <v>0</v>
      </c>
      <c r="AD14" s="105">
        <v>0</v>
      </c>
      <c r="AE14" s="105">
        <v>0</v>
      </c>
      <c r="AF14" s="105">
        <v>0</v>
      </c>
      <c r="AG14" s="105">
        <v>0</v>
      </c>
      <c r="AH14" s="105">
        <v>0</v>
      </c>
      <c r="AI14" s="105">
        <v>0</v>
      </c>
      <c r="AJ14" s="105">
        <v>0</v>
      </c>
      <c r="AK14" s="105">
        <v>0</v>
      </c>
      <c r="AL14" s="105">
        <v>0</v>
      </c>
      <c r="AM14" s="105">
        <v>0</v>
      </c>
      <c r="AN14" s="105">
        <v>0</v>
      </c>
      <c r="AO14" s="105">
        <v>0</v>
      </c>
      <c r="AP14" s="105">
        <v>0</v>
      </c>
      <c r="AQ14" s="105">
        <v>0</v>
      </c>
      <c r="AR14" s="105">
        <v>0</v>
      </c>
      <c r="AS14" s="105">
        <v>0</v>
      </c>
      <c r="AT14" s="105">
        <v>0</v>
      </c>
      <c r="AU14" s="105">
        <v>0</v>
      </c>
      <c r="AV14" s="105">
        <v>0</v>
      </c>
      <c r="AW14" s="105">
        <v>0</v>
      </c>
      <c r="AX14" s="105">
        <v>0</v>
      </c>
      <c r="AY14" s="105">
        <v>0</v>
      </c>
      <c r="AZ14" s="105">
        <v>0</v>
      </c>
      <c r="BA14" s="105">
        <v>0</v>
      </c>
      <c r="BB14" s="105">
        <v>0</v>
      </c>
      <c r="BC14" s="105">
        <v>0</v>
      </c>
      <c r="BD14" s="105">
        <v>0</v>
      </c>
      <c r="BE14" s="105">
        <v>0</v>
      </c>
      <c r="BF14" s="105">
        <v>0</v>
      </c>
      <c r="BG14" s="105">
        <v>0</v>
      </c>
      <c r="BH14" s="105">
        <v>0</v>
      </c>
      <c r="BI14" s="105">
        <v>0</v>
      </c>
      <c r="BJ14" s="105">
        <v>0</v>
      </c>
      <c r="BK14" s="105">
        <v>0</v>
      </c>
      <c r="BL14" s="105">
        <v>0</v>
      </c>
      <c r="BM14" s="105">
        <v>0</v>
      </c>
      <c r="BN14" s="105">
        <v>0</v>
      </c>
      <c r="BO14" s="105">
        <v>0</v>
      </c>
      <c r="BP14" s="105">
        <v>0</v>
      </c>
      <c r="BQ14" s="105">
        <v>0</v>
      </c>
      <c r="BR14" s="105">
        <v>0</v>
      </c>
      <c r="BS14" s="105">
        <v>0</v>
      </c>
      <c r="BT14" s="105">
        <v>0</v>
      </c>
      <c r="BU14" s="105">
        <v>0</v>
      </c>
      <c r="BV14" s="105">
        <v>0</v>
      </c>
      <c r="BW14" s="105">
        <v>0</v>
      </c>
      <c r="BX14" s="105">
        <v>0</v>
      </c>
      <c r="BY14" s="105">
        <v>0</v>
      </c>
      <c r="BZ14" s="105">
        <v>0</v>
      </c>
      <c r="CA14" s="105">
        <v>0</v>
      </c>
      <c r="CB14" s="105">
        <v>0</v>
      </c>
      <c r="CC14" s="105">
        <v>0</v>
      </c>
      <c r="CD14" s="105">
        <v>0</v>
      </c>
      <c r="CE14" s="105">
        <v>0</v>
      </c>
      <c r="CF14" s="105">
        <v>0</v>
      </c>
      <c r="CG14" s="105">
        <v>0</v>
      </c>
      <c r="CH14" s="105">
        <v>0</v>
      </c>
      <c r="CI14" s="105">
        <v>0</v>
      </c>
      <c r="CJ14" s="105">
        <v>0</v>
      </c>
      <c r="CK14" s="105">
        <v>0</v>
      </c>
      <c r="CL14" s="105">
        <v>0</v>
      </c>
      <c r="CM14" s="105">
        <v>0</v>
      </c>
      <c r="CN14" s="105">
        <v>0</v>
      </c>
      <c r="CO14" s="105">
        <v>0</v>
      </c>
      <c r="CP14" s="105">
        <v>0</v>
      </c>
      <c r="CQ14" s="105">
        <v>0</v>
      </c>
      <c r="CR14" s="105">
        <v>0</v>
      </c>
      <c r="CS14" s="105">
        <v>0</v>
      </c>
      <c r="CT14" s="105">
        <v>0</v>
      </c>
      <c r="CU14" s="105">
        <v>0</v>
      </c>
    </row>
    <row r="15" spans="1:99" x14ac:dyDescent="0.25">
      <c r="C15" s="104" t="s">
        <v>180</v>
      </c>
      <c r="D15" s="105">
        <v>0</v>
      </c>
      <c r="E15" s="105">
        <v>0</v>
      </c>
      <c r="F15" s="105">
        <v>0</v>
      </c>
      <c r="G15" s="105">
        <v>0</v>
      </c>
      <c r="H15" s="105">
        <v>0</v>
      </c>
      <c r="I15" s="105">
        <v>0</v>
      </c>
      <c r="J15" s="105">
        <v>0</v>
      </c>
      <c r="K15" s="105">
        <v>0</v>
      </c>
      <c r="L15" s="105">
        <v>0</v>
      </c>
      <c r="M15" s="105">
        <v>0</v>
      </c>
      <c r="N15" s="105">
        <v>0</v>
      </c>
      <c r="O15" s="105">
        <v>0</v>
      </c>
      <c r="P15" s="105">
        <v>0</v>
      </c>
      <c r="Q15" s="105">
        <v>0</v>
      </c>
      <c r="R15" s="105">
        <v>0</v>
      </c>
      <c r="S15" s="105">
        <v>0</v>
      </c>
      <c r="T15" s="105">
        <v>0</v>
      </c>
      <c r="U15" s="105">
        <v>0</v>
      </c>
      <c r="V15" s="105">
        <v>0</v>
      </c>
      <c r="W15" s="105">
        <v>0</v>
      </c>
      <c r="X15" s="105">
        <v>0</v>
      </c>
      <c r="Y15" s="105">
        <v>0</v>
      </c>
      <c r="Z15" s="105">
        <v>0</v>
      </c>
      <c r="AA15" s="105">
        <v>0</v>
      </c>
      <c r="AB15" s="105">
        <v>0</v>
      </c>
      <c r="AC15" s="105">
        <v>0</v>
      </c>
      <c r="AD15" s="105">
        <v>0</v>
      </c>
      <c r="AE15" s="105">
        <v>0</v>
      </c>
      <c r="AF15" s="105">
        <v>0</v>
      </c>
      <c r="AG15" s="105">
        <v>0</v>
      </c>
      <c r="AH15" s="105">
        <v>0</v>
      </c>
      <c r="AI15" s="105">
        <v>0</v>
      </c>
      <c r="AJ15" s="105">
        <v>0</v>
      </c>
      <c r="AK15" s="105">
        <v>0</v>
      </c>
      <c r="AL15" s="105">
        <v>0</v>
      </c>
      <c r="AM15" s="105">
        <v>0</v>
      </c>
      <c r="AN15" s="105">
        <v>0</v>
      </c>
      <c r="AO15" s="105">
        <v>0</v>
      </c>
      <c r="AP15" s="105">
        <v>0</v>
      </c>
      <c r="AQ15" s="105">
        <v>0</v>
      </c>
      <c r="AR15" s="105">
        <v>0</v>
      </c>
      <c r="AS15" s="105">
        <v>0</v>
      </c>
      <c r="AT15" s="105">
        <v>0</v>
      </c>
      <c r="AU15" s="105">
        <v>0</v>
      </c>
      <c r="AV15" s="105">
        <v>0</v>
      </c>
      <c r="AW15" s="105">
        <v>0</v>
      </c>
      <c r="AX15" s="105">
        <v>0</v>
      </c>
      <c r="AY15" s="105">
        <v>0</v>
      </c>
      <c r="AZ15" s="105">
        <v>0</v>
      </c>
      <c r="BA15" s="105">
        <v>0</v>
      </c>
      <c r="BB15" s="105">
        <v>0</v>
      </c>
      <c r="BC15" s="105">
        <v>0</v>
      </c>
      <c r="BD15" s="105">
        <v>0</v>
      </c>
      <c r="BE15" s="105">
        <v>0</v>
      </c>
      <c r="BF15" s="105">
        <v>0</v>
      </c>
      <c r="BG15" s="105">
        <v>0</v>
      </c>
      <c r="BH15" s="105">
        <v>0</v>
      </c>
      <c r="BI15" s="105">
        <v>0</v>
      </c>
      <c r="BJ15" s="105">
        <v>0</v>
      </c>
      <c r="BK15" s="105">
        <v>0</v>
      </c>
      <c r="BL15" s="105">
        <v>0</v>
      </c>
      <c r="BM15" s="105">
        <v>0</v>
      </c>
      <c r="BN15" s="105">
        <v>0</v>
      </c>
      <c r="BO15" s="105">
        <v>0</v>
      </c>
      <c r="BP15" s="105">
        <v>0</v>
      </c>
      <c r="BQ15" s="105">
        <v>0</v>
      </c>
      <c r="BR15" s="105">
        <v>0</v>
      </c>
      <c r="BS15" s="105">
        <v>0</v>
      </c>
      <c r="BT15" s="105">
        <v>0</v>
      </c>
      <c r="BU15" s="105">
        <v>0</v>
      </c>
      <c r="BV15" s="105">
        <v>0</v>
      </c>
      <c r="BW15" s="105">
        <v>0</v>
      </c>
      <c r="BX15" s="105">
        <v>0</v>
      </c>
      <c r="BY15" s="105">
        <v>0</v>
      </c>
      <c r="BZ15" s="105">
        <v>0</v>
      </c>
      <c r="CA15" s="105">
        <v>0</v>
      </c>
      <c r="CB15" s="105">
        <v>0</v>
      </c>
      <c r="CC15" s="105">
        <v>0</v>
      </c>
      <c r="CD15" s="105">
        <v>0</v>
      </c>
      <c r="CE15" s="105">
        <v>0</v>
      </c>
      <c r="CF15" s="105">
        <v>0</v>
      </c>
      <c r="CG15" s="105">
        <v>0</v>
      </c>
      <c r="CH15" s="105">
        <v>0</v>
      </c>
      <c r="CI15" s="105">
        <v>0</v>
      </c>
      <c r="CJ15" s="105">
        <v>0</v>
      </c>
      <c r="CK15" s="105">
        <v>0</v>
      </c>
      <c r="CL15" s="105">
        <v>0</v>
      </c>
      <c r="CM15" s="105">
        <v>0</v>
      </c>
      <c r="CN15" s="105">
        <v>0</v>
      </c>
      <c r="CO15" s="105">
        <v>0</v>
      </c>
      <c r="CP15" s="105">
        <v>0</v>
      </c>
      <c r="CQ15" s="105">
        <v>0</v>
      </c>
      <c r="CR15" s="105">
        <v>0</v>
      </c>
      <c r="CS15" s="105">
        <v>0</v>
      </c>
      <c r="CT15" s="105">
        <v>0</v>
      </c>
      <c r="CU15" s="105">
        <v>0</v>
      </c>
    </row>
    <row r="16" spans="1:99" x14ac:dyDescent="0.25">
      <c r="C16" s="104" t="s">
        <v>181</v>
      </c>
      <c r="D16" s="105">
        <v>0</v>
      </c>
      <c r="E16" s="105">
        <v>0</v>
      </c>
      <c r="F16" s="105">
        <v>0</v>
      </c>
      <c r="G16" s="105">
        <v>0</v>
      </c>
      <c r="H16" s="105">
        <v>0</v>
      </c>
      <c r="I16" s="105">
        <v>0</v>
      </c>
      <c r="J16" s="105">
        <v>0</v>
      </c>
      <c r="K16" s="105">
        <v>0</v>
      </c>
      <c r="L16" s="105">
        <v>0</v>
      </c>
      <c r="M16" s="105">
        <v>0</v>
      </c>
      <c r="N16" s="105">
        <v>0</v>
      </c>
      <c r="O16" s="105">
        <v>0</v>
      </c>
      <c r="P16" s="105">
        <v>0</v>
      </c>
      <c r="Q16" s="105">
        <v>0</v>
      </c>
      <c r="R16" s="105">
        <v>0</v>
      </c>
      <c r="S16" s="105">
        <v>0</v>
      </c>
      <c r="T16" s="105">
        <v>0</v>
      </c>
      <c r="U16" s="105">
        <v>0</v>
      </c>
      <c r="V16" s="105">
        <v>0</v>
      </c>
      <c r="W16" s="105">
        <v>0</v>
      </c>
      <c r="X16" s="105">
        <v>0</v>
      </c>
      <c r="Y16" s="105">
        <v>0</v>
      </c>
      <c r="Z16" s="105">
        <v>0</v>
      </c>
      <c r="AA16" s="105">
        <v>0</v>
      </c>
      <c r="AB16" s="105">
        <v>0</v>
      </c>
      <c r="AC16" s="105">
        <v>0</v>
      </c>
      <c r="AD16" s="105">
        <v>0</v>
      </c>
      <c r="AE16" s="105">
        <v>0</v>
      </c>
      <c r="AF16" s="105">
        <v>0</v>
      </c>
      <c r="AG16" s="105">
        <v>0</v>
      </c>
      <c r="AH16" s="105">
        <v>0</v>
      </c>
      <c r="AI16" s="105">
        <v>0</v>
      </c>
      <c r="AJ16" s="105">
        <v>0</v>
      </c>
      <c r="AK16" s="105">
        <v>0</v>
      </c>
      <c r="AL16" s="105">
        <v>0</v>
      </c>
      <c r="AM16" s="105">
        <v>0</v>
      </c>
      <c r="AN16" s="105">
        <v>0</v>
      </c>
      <c r="AO16" s="105">
        <v>0</v>
      </c>
      <c r="AP16" s="105">
        <v>0</v>
      </c>
      <c r="AQ16" s="105">
        <v>0</v>
      </c>
      <c r="AR16" s="105">
        <v>0</v>
      </c>
      <c r="AS16" s="105">
        <v>0</v>
      </c>
      <c r="AT16" s="105">
        <v>0</v>
      </c>
      <c r="AU16" s="105">
        <v>0</v>
      </c>
      <c r="AV16" s="105">
        <v>0</v>
      </c>
      <c r="AW16" s="105">
        <v>0</v>
      </c>
      <c r="AX16" s="105">
        <v>0</v>
      </c>
      <c r="AY16" s="105">
        <v>0</v>
      </c>
      <c r="AZ16" s="105">
        <v>0</v>
      </c>
      <c r="BA16" s="105">
        <v>0</v>
      </c>
      <c r="BB16" s="105">
        <v>0</v>
      </c>
      <c r="BC16" s="105">
        <v>0</v>
      </c>
      <c r="BD16" s="105">
        <v>0</v>
      </c>
      <c r="BE16" s="105">
        <v>0</v>
      </c>
      <c r="BF16" s="105">
        <v>0</v>
      </c>
      <c r="BG16" s="105">
        <v>0</v>
      </c>
      <c r="BH16" s="105">
        <v>0</v>
      </c>
      <c r="BI16" s="105">
        <v>0</v>
      </c>
      <c r="BJ16" s="105">
        <v>0</v>
      </c>
      <c r="BK16" s="105">
        <v>0</v>
      </c>
      <c r="BL16" s="105">
        <v>0</v>
      </c>
      <c r="BM16" s="105">
        <v>0</v>
      </c>
      <c r="BN16" s="105">
        <v>0</v>
      </c>
      <c r="BO16" s="105">
        <v>0</v>
      </c>
      <c r="BP16" s="105">
        <v>0</v>
      </c>
      <c r="BQ16" s="105">
        <v>0</v>
      </c>
      <c r="BR16" s="105">
        <v>0</v>
      </c>
      <c r="BS16" s="105">
        <v>0</v>
      </c>
      <c r="BT16" s="105">
        <v>0</v>
      </c>
      <c r="BU16" s="105">
        <v>0</v>
      </c>
      <c r="BV16" s="105">
        <v>0</v>
      </c>
      <c r="BW16" s="105">
        <v>0</v>
      </c>
      <c r="BX16" s="105">
        <v>0</v>
      </c>
      <c r="BY16" s="105">
        <v>0</v>
      </c>
      <c r="BZ16" s="105">
        <v>0</v>
      </c>
      <c r="CA16" s="105">
        <v>0</v>
      </c>
      <c r="CB16" s="105">
        <v>0</v>
      </c>
      <c r="CC16" s="105">
        <v>0</v>
      </c>
      <c r="CD16" s="105">
        <v>0</v>
      </c>
      <c r="CE16" s="105">
        <v>0</v>
      </c>
      <c r="CF16" s="105">
        <v>0</v>
      </c>
      <c r="CG16" s="105">
        <v>0</v>
      </c>
      <c r="CH16" s="105">
        <v>0</v>
      </c>
      <c r="CI16" s="105">
        <v>0</v>
      </c>
      <c r="CJ16" s="105">
        <v>0</v>
      </c>
      <c r="CK16" s="105">
        <v>0</v>
      </c>
      <c r="CL16" s="105">
        <v>0</v>
      </c>
      <c r="CM16" s="105">
        <v>0</v>
      </c>
      <c r="CN16" s="105">
        <v>0</v>
      </c>
      <c r="CO16" s="105">
        <v>0</v>
      </c>
      <c r="CP16" s="105">
        <v>0</v>
      </c>
      <c r="CQ16" s="105">
        <v>0</v>
      </c>
      <c r="CR16" s="105">
        <v>0</v>
      </c>
      <c r="CS16" s="105">
        <v>0</v>
      </c>
      <c r="CT16" s="105">
        <v>0</v>
      </c>
      <c r="CU16" s="105">
        <v>0</v>
      </c>
    </row>
    <row r="17" spans="2:99" x14ac:dyDescent="0.25">
      <c r="C17" s="104" t="s">
        <v>182</v>
      </c>
      <c r="D17" s="105">
        <v>0</v>
      </c>
      <c r="E17" s="105">
        <v>0</v>
      </c>
      <c r="F17" s="105">
        <v>0</v>
      </c>
      <c r="G17" s="105">
        <v>0</v>
      </c>
      <c r="H17" s="105">
        <v>0</v>
      </c>
      <c r="I17" s="105">
        <v>0</v>
      </c>
      <c r="J17" s="105">
        <v>0</v>
      </c>
      <c r="K17" s="105">
        <v>0</v>
      </c>
      <c r="L17" s="105">
        <v>0</v>
      </c>
      <c r="M17" s="105">
        <v>0</v>
      </c>
      <c r="N17" s="105">
        <v>0</v>
      </c>
      <c r="O17" s="105">
        <v>0</v>
      </c>
      <c r="P17" s="105">
        <v>0</v>
      </c>
      <c r="Q17" s="105">
        <v>0</v>
      </c>
      <c r="R17" s="105">
        <v>0</v>
      </c>
      <c r="S17" s="105">
        <v>0</v>
      </c>
      <c r="T17" s="105">
        <v>0</v>
      </c>
      <c r="U17" s="105">
        <v>0</v>
      </c>
      <c r="V17" s="105">
        <v>0</v>
      </c>
      <c r="W17" s="105">
        <v>0</v>
      </c>
      <c r="X17" s="105">
        <v>0</v>
      </c>
      <c r="Y17" s="105">
        <v>0</v>
      </c>
      <c r="Z17" s="105">
        <v>0</v>
      </c>
      <c r="AA17" s="105">
        <v>0</v>
      </c>
      <c r="AB17" s="105">
        <v>0</v>
      </c>
      <c r="AC17" s="105">
        <v>0</v>
      </c>
      <c r="AD17" s="105">
        <v>0</v>
      </c>
      <c r="AE17" s="105">
        <v>0</v>
      </c>
      <c r="AF17" s="105">
        <v>0</v>
      </c>
      <c r="AG17" s="105">
        <v>0</v>
      </c>
      <c r="AH17" s="105">
        <v>0</v>
      </c>
      <c r="AI17" s="105">
        <v>0</v>
      </c>
      <c r="AJ17" s="105">
        <v>0</v>
      </c>
      <c r="AK17" s="105">
        <v>0</v>
      </c>
      <c r="AL17" s="105">
        <v>0</v>
      </c>
      <c r="AM17" s="105">
        <v>0</v>
      </c>
      <c r="AN17" s="105">
        <v>0</v>
      </c>
      <c r="AO17" s="105">
        <v>0</v>
      </c>
      <c r="AP17" s="105">
        <v>0</v>
      </c>
      <c r="AQ17" s="105">
        <v>0</v>
      </c>
      <c r="AR17" s="105">
        <v>0</v>
      </c>
      <c r="AS17" s="105">
        <v>0</v>
      </c>
      <c r="AT17" s="105">
        <v>0</v>
      </c>
      <c r="AU17" s="105">
        <v>0</v>
      </c>
      <c r="AV17" s="105">
        <v>0</v>
      </c>
      <c r="AW17" s="105">
        <v>0</v>
      </c>
      <c r="AX17" s="105">
        <v>0</v>
      </c>
      <c r="AY17" s="105">
        <v>0</v>
      </c>
      <c r="AZ17" s="105">
        <v>0</v>
      </c>
      <c r="BA17" s="105">
        <v>0</v>
      </c>
      <c r="BB17" s="105">
        <v>0</v>
      </c>
      <c r="BC17" s="105">
        <v>0</v>
      </c>
      <c r="BD17" s="105">
        <v>0</v>
      </c>
      <c r="BE17" s="105">
        <v>0</v>
      </c>
      <c r="BF17" s="105">
        <v>0</v>
      </c>
      <c r="BG17" s="105">
        <v>0</v>
      </c>
      <c r="BH17" s="105">
        <v>0</v>
      </c>
      <c r="BI17" s="105">
        <v>0</v>
      </c>
      <c r="BJ17" s="105">
        <v>0</v>
      </c>
      <c r="BK17" s="105">
        <v>0</v>
      </c>
      <c r="BL17" s="105">
        <v>0</v>
      </c>
      <c r="BM17" s="105">
        <v>0</v>
      </c>
      <c r="BN17" s="105">
        <v>0</v>
      </c>
      <c r="BO17" s="105">
        <v>0</v>
      </c>
      <c r="BP17" s="105">
        <v>0</v>
      </c>
      <c r="BQ17" s="105">
        <v>0</v>
      </c>
      <c r="BR17" s="105">
        <v>0</v>
      </c>
      <c r="BS17" s="105">
        <v>0</v>
      </c>
      <c r="BT17" s="105">
        <v>0</v>
      </c>
      <c r="BU17" s="105">
        <v>0</v>
      </c>
      <c r="BV17" s="105">
        <v>0</v>
      </c>
      <c r="BW17" s="105">
        <v>0</v>
      </c>
      <c r="BX17" s="105">
        <v>0</v>
      </c>
      <c r="BY17" s="105">
        <v>0</v>
      </c>
      <c r="BZ17" s="105">
        <v>0</v>
      </c>
      <c r="CA17" s="105">
        <v>0</v>
      </c>
      <c r="CB17" s="105">
        <v>0</v>
      </c>
      <c r="CC17" s="105">
        <v>0</v>
      </c>
      <c r="CD17" s="105">
        <v>0</v>
      </c>
      <c r="CE17" s="105">
        <v>0</v>
      </c>
      <c r="CF17" s="105">
        <v>0</v>
      </c>
      <c r="CG17" s="105">
        <v>0</v>
      </c>
      <c r="CH17" s="105">
        <v>0</v>
      </c>
      <c r="CI17" s="105">
        <v>0</v>
      </c>
      <c r="CJ17" s="105">
        <v>0</v>
      </c>
      <c r="CK17" s="105">
        <v>0</v>
      </c>
      <c r="CL17" s="105">
        <v>0</v>
      </c>
      <c r="CM17" s="105">
        <v>0</v>
      </c>
      <c r="CN17" s="105">
        <v>0</v>
      </c>
      <c r="CO17" s="105">
        <v>0</v>
      </c>
      <c r="CP17" s="105">
        <v>0</v>
      </c>
      <c r="CQ17" s="105">
        <v>0</v>
      </c>
      <c r="CR17" s="105">
        <v>0</v>
      </c>
      <c r="CS17" s="105">
        <v>0</v>
      </c>
      <c r="CT17" s="105">
        <v>0</v>
      </c>
      <c r="CU17" s="105">
        <v>0</v>
      </c>
    </row>
    <row r="18" spans="2:99" x14ac:dyDescent="0.25">
      <c r="C18" s="104" t="s">
        <v>183</v>
      </c>
      <c r="D18" s="105">
        <v>0</v>
      </c>
      <c r="E18" s="105">
        <v>0</v>
      </c>
      <c r="F18" s="105">
        <v>0</v>
      </c>
      <c r="G18" s="105">
        <v>0</v>
      </c>
      <c r="H18" s="105">
        <v>0</v>
      </c>
      <c r="I18" s="105">
        <v>0</v>
      </c>
      <c r="J18" s="105">
        <v>0</v>
      </c>
      <c r="K18" s="105">
        <v>0</v>
      </c>
      <c r="L18" s="105">
        <v>0</v>
      </c>
      <c r="M18" s="105">
        <v>0</v>
      </c>
      <c r="N18" s="105">
        <v>0</v>
      </c>
      <c r="O18" s="105">
        <v>0</v>
      </c>
      <c r="P18" s="105">
        <v>0</v>
      </c>
      <c r="Q18" s="105">
        <v>0</v>
      </c>
      <c r="R18" s="105">
        <v>0</v>
      </c>
      <c r="S18" s="105">
        <v>0</v>
      </c>
      <c r="T18" s="105">
        <v>0</v>
      </c>
      <c r="U18" s="105">
        <v>0</v>
      </c>
      <c r="V18" s="105">
        <v>0</v>
      </c>
      <c r="W18" s="105">
        <v>0</v>
      </c>
      <c r="X18" s="105">
        <v>0</v>
      </c>
      <c r="Y18" s="105">
        <v>0</v>
      </c>
      <c r="Z18" s="105">
        <v>0</v>
      </c>
      <c r="AA18" s="105">
        <v>0</v>
      </c>
      <c r="AB18" s="105">
        <v>0</v>
      </c>
      <c r="AC18" s="105">
        <v>0</v>
      </c>
      <c r="AD18" s="105">
        <v>0</v>
      </c>
      <c r="AE18" s="105">
        <v>0</v>
      </c>
      <c r="AF18" s="105">
        <v>0</v>
      </c>
      <c r="AG18" s="105">
        <v>0</v>
      </c>
      <c r="AH18" s="105">
        <v>0</v>
      </c>
      <c r="AI18" s="105">
        <v>0</v>
      </c>
      <c r="AJ18" s="105">
        <v>0</v>
      </c>
      <c r="AK18" s="105">
        <v>0</v>
      </c>
      <c r="AL18" s="105">
        <v>0</v>
      </c>
      <c r="AM18" s="105">
        <v>0</v>
      </c>
      <c r="AN18" s="105">
        <v>0</v>
      </c>
      <c r="AO18" s="105">
        <v>0</v>
      </c>
      <c r="AP18" s="105">
        <v>0</v>
      </c>
      <c r="AQ18" s="105">
        <v>0</v>
      </c>
      <c r="AR18" s="105">
        <v>0</v>
      </c>
      <c r="AS18" s="105">
        <v>0</v>
      </c>
      <c r="AT18" s="105">
        <v>0</v>
      </c>
      <c r="AU18" s="105">
        <v>0</v>
      </c>
      <c r="AV18" s="105">
        <v>0</v>
      </c>
      <c r="AW18" s="105">
        <v>0</v>
      </c>
      <c r="AX18" s="105">
        <v>0</v>
      </c>
      <c r="AY18" s="105">
        <v>0</v>
      </c>
      <c r="AZ18" s="105">
        <v>0</v>
      </c>
      <c r="BA18" s="105">
        <v>0</v>
      </c>
      <c r="BB18" s="105">
        <v>0</v>
      </c>
      <c r="BC18" s="105">
        <v>0</v>
      </c>
      <c r="BD18" s="105">
        <v>0</v>
      </c>
      <c r="BE18" s="105">
        <v>0</v>
      </c>
      <c r="BF18" s="105">
        <v>0</v>
      </c>
      <c r="BG18" s="105">
        <v>0</v>
      </c>
      <c r="BH18" s="105">
        <v>0</v>
      </c>
      <c r="BI18" s="105">
        <v>0</v>
      </c>
      <c r="BJ18" s="105">
        <v>0</v>
      </c>
      <c r="BK18" s="105">
        <v>0</v>
      </c>
      <c r="BL18" s="105">
        <v>0</v>
      </c>
      <c r="BM18" s="105">
        <v>0</v>
      </c>
      <c r="BN18" s="105">
        <v>0</v>
      </c>
      <c r="BO18" s="105">
        <v>0</v>
      </c>
      <c r="BP18" s="105">
        <v>0</v>
      </c>
      <c r="BQ18" s="105">
        <v>0</v>
      </c>
      <c r="BR18" s="105">
        <v>0</v>
      </c>
      <c r="BS18" s="105">
        <v>0</v>
      </c>
      <c r="BT18" s="105">
        <v>0</v>
      </c>
      <c r="BU18" s="105">
        <v>0</v>
      </c>
      <c r="BV18" s="105">
        <v>0</v>
      </c>
      <c r="BW18" s="105">
        <v>0</v>
      </c>
      <c r="BX18" s="105">
        <v>0</v>
      </c>
      <c r="BY18" s="105">
        <v>0</v>
      </c>
      <c r="BZ18" s="105">
        <v>0</v>
      </c>
      <c r="CA18" s="105">
        <v>0</v>
      </c>
      <c r="CB18" s="105">
        <v>0</v>
      </c>
      <c r="CC18" s="105">
        <v>0</v>
      </c>
      <c r="CD18" s="105">
        <v>0</v>
      </c>
      <c r="CE18" s="105">
        <v>0</v>
      </c>
      <c r="CF18" s="105">
        <v>0</v>
      </c>
      <c r="CG18" s="105">
        <v>0</v>
      </c>
      <c r="CH18" s="105">
        <v>0</v>
      </c>
      <c r="CI18" s="105">
        <v>0</v>
      </c>
      <c r="CJ18" s="105">
        <v>0</v>
      </c>
      <c r="CK18" s="105">
        <v>0</v>
      </c>
      <c r="CL18" s="105">
        <v>0</v>
      </c>
      <c r="CM18" s="105">
        <v>0</v>
      </c>
      <c r="CN18" s="105">
        <v>0</v>
      </c>
      <c r="CO18" s="105">
        <v>0</v>
      </c>
      <c r="CP18" s="105">
        <v>0</v>
      </c>
      <c r="CQ18" s="105">
        <v>0</v>
      </c>
      <c r="CR18" s="105">
        <v>0</v>
      </c>
      <c r="CS18" s="105">
        <v>0</v>
      </c>
      <c r="CT18" s="105">
        <v>0</v>
      </c>
      <c r="CU18" s="105">
        <v>0</v>
      </c>
    </row>
    <row r="19" spans="2:99" x14ac:dyDescent="0.25">
      <c r="C19" s="104" t="s">
        <v>184</v>
      </c>
      <c r="D19" s="105">
        <v>0</v>
      </c>
      <c r="E19" s="105">
        <v>0</v>
      </c>
      <c r="F19" s="105">
        <v>0</v>
      </c>
      <c r="G19" s="105">
        <v>0</v>
      </c>
      <c r="H19" s="105">
        <v>0</v>
      </c>
      <c r="I19" s="105">
        <v>0</v>
      </c>
      <c r="J19" s="105">
        <v>0</v>
      </c>
      <c r="K19" s="105">
        <v>0</v>
      </c>
      <c r="L19" s="105">
        <v>0</v>
      </c>
      <c r="M19" s="105">
        <v>0</v>
      </c>
      <c r="N19" s="105">
        <v>0</v>
      </c>
      <c r="O19" s="105">
        <v>0</v>
      </c>
      <c r="P19" s="105">
        <v>0</v>
      </c>
      <c r="Q19" s="105">
        <v>0</v>
      </c>
      <c r="R19" s="105">
        <v>0</v>
      </c>
      <c r="S19" s="105">
        <v>0</v>
      </c>
      <c r="T19" s="105">
        <v>0</v>
      </c>
      <c r="U19" s="105">
        <v>0</v>
      </c>
      <c r="V19" s="105">
        <v>0</v>
      </c>
      <c r="W19" s="105">
        <v>0</v>
      </c>
      <c r="X19" s="105">
        <v>0</v>
      </c>
      <c r="Y19" s="105">
        <v>0</v>
      </c>
      <c r="Z19" s="105">
        <v>0</v>
      </c>
      <c r="AA19" s="105">
        <v>0</v>
      </c>
      <c r="AB19" s="105">
        <v>0</v>
      </c>
      <c r="AC19" s="105">
        <v>0</v>
      </c>
      <c r="AD19" s="105">
        <v>0</v>
      </c>
      <c r="AE19" s="105">
        <v>0</v>
      </c>
      <c r="AF19" s="105">
        <v>0</v>
      </c>
      <c r="AG19" s="105">
        <v>0</v>
      </c>
      <c r="AH19" s="105">
        <v>0</v>
      </c>
      <c r="AI19" s="105">
        <v>0</v>
      </c>
      <c r="AJ19" s="105">
        <v>0</v>
      </c>
      <c r="AK19" s="105">
        <v>0</v>
      </c>
      <c r="AL19" s="105">
        <v>0</v>
      </c>
      <c r="AM19" s="105">
        <v>0</v>
      </c>
      <c r="AN19" s="105">
        <v>0</v>
      </c>
      <c r="AO19" s="105">
        <v>0</v>
      </c>
      <c r="AP19" s="105">
        <v>0</v>
      </c>
      <c r="AQ19" s="105">
        <v>0</v>
      </c>
      <c r="AR19" s="105">
        <v>0</v>
      </c>
      <c r="AS19" s="105">
        <v>0</v>
      </c>
      <c r="AT19" s="105">
        <v>0</v>
      </c>
      <c r="AU19" s="105">
        <v>0</v>
      </c>
      <c r="AV19" s="105">
        <v>0</v>
      </c>
      <c r="AW19" s="105">
        <v>0</v>
      </c>
      <c r="AX19" s="105">
        <v>0</v>
      </c>
      <c r="AY19" s="105">
        <v>0</v>
      </c>
      <c r="AZ19" s="105">
        <v>0</v>
      </c>
      <c r="BA19" s="105">
        <v>0</v>
      </c>
      <c r="BB19" s="105">
        <v>0</v>
      </c>
      <c r="BC19" s="105">
        <v>0</v>
      </c>
      <c r="BD19" s="105">
        <v>0</v>
      </c>
      <c r="BE19" s="105">
        <v>0</v>
      </c>
      <c r="BF19" s="105">
        <v>0</v>
      </c>
      <c r="BG19" s="105">
        <v>0</v>
      </c>
      <c r="BH19" s="105">
        <v>0</v>
      </c>
      <c r="BI19" s="105">
        <v>0</v>
      </c>
      <c r="BJ19" s="105">
        <v>0</v>
      </c>
      <c r="BK19" s="105">
        <v>0</v>
      </c>
      <c r="BL19" s="105">
        <v>0</v>
      </c>
      <c r="BM19" s="105">
        <v>0</v>
      </c>
      <c r="BN19" s="105">
        <v>0</v>
      </c>
      <c r="BO19" s="105">
        <v>0</v>
      </c>
      <c r="BP19" s="105">
        <v>0</v>
      </c>
      <c r="BQ19" s="105">
        <v>0</v>
      </c>
      <c r="BR19" s="105">
        <v>0</v>
      </c>
      <c r="BS19" s="105">
        <v>0</v>
      </c>
      <c r="BT19" s="105">
        <v>0</v>
      </c>
      <c r="BU19" s="105">
        <v>0</v>
      </c>
      <c r="BV19" s="105">
        <v>0</v>
      </c>
      <c r="BW19" s="105">
        <v>0</v>
      </c>
      <c r="BX19" s="105">
        <v>0</v>
      </c>
      <c r="BY19" s="105">
        <v>0</v>
      </c>
      <c r="BZ19" s="105">
        <v>0</v>
      </c>
      <c r="CA19" s="105">
        <v>0</v>
      </c>
      <c r="CB19" s="105">
        <v>0</v>
      </c>
      <c r="CC19" s="105">
        <v>0</v>
      </c>
      <c r="CD19" s="105">
        <v>0</v>
      </c>
      <c r="CE19" s="105">
        <v>0</v>
      </c>
      <c r="CF19" s="105">
        <v>0</v>
      </c>
      <c r="CG19" s="105">
        <v>0</v>
      </c>
      <c r="CH19" s="105">
        <v>0</v>
      </c>
      <c r="CI19" s="105">
        <v>0</v>
      </c>
      <c r="CJ19" s="105">
        <v>0</v>
      </c>
      <c r="CK19" s="105">
        <v>0</v>
      </c>
      <c r="CL19" s="105">
        <v>0</v>
      </c>
      <c r="CM19" s="105">
        <v>0</v>
      </c>
      <c r="CN19" s="105">
        <v>0</v>
      </c>
      <c r="CO19" s="105">
        <v>0</v>
      </c>
      <c r="CP19" s="105">
        <v>0</v>
      </c>
      <c r="CQ19" s="105">
        <v>0</v>
      </c>
      <c r="CR19" s="105">
        <v>0</v>
      </c>
      <c r="CS19" s="105">
        <v>0</v>
      </c>
      <c r="CT19" s="105">
        <v>0</v>
      </c>
      <c r="CU19" s="105">
        <v>0</v>
      </c>
    </row>
    <row r="20" spans="2:99" x14ac:dyDescent="0.25">
      <c r="B20" s="104" t="s">
        <v>127</v>
      </c>
      <c r="C20" s="104" t="s">
        <v>185</v>
      </c>
      <c r="D20" s="105">
        <v>0</v>
      </c>
      <c r="E20" s="105">
        <v>0</v>
      </c>
      <c r="F20" s="105">
        <v>0</v>
      </c>
      <c r="G20" s="105">
        <v>0</v>
      </c>
      <c r="H20" s="105">
        <v>0</v>
      </c>
      <c r="I20" s="105">
        <v>0</v>
      </c>
      <c r="J20" s="105">
        <v>0</v>
      </c>
      <c r="K20" s="105">
        <v>0</v>
      </c>
      <c r="L20" s="105">
        <v>0</v>
      </c>
      <c r="M20" s="105">
        <v>0</v>
      </c>
      <c r="N20" s="105">
        <v>0</v>
      </c>
      <c r="O20" s="105">
        <v>0</v>
      </c>
      <c r="P20" s="105">
        <v>0</v>
      </c>
      <c r="Q20" s="105">
        <v>0</v>
      </c>
      <c r="R20" s="105">
        <v>0</v>
      </c>
      <c r="S20" s="105">
        <v>0</v>
      </c>
      <c r="T20" s="105">
        <v>0</v>
      </c>
      <c r="U20" s="105">
        <v>0</v>
      </c>
      <c r="V20" s="105">
        <v>0</v>
      </c>
      <c r="W20" s="105">
        <v>0</v>
      </c>
      <c r="X20" s="105">
        <v>0</v>
      </c>
      <c r="Y20" s="105">
        <v>0</v>
      </c>
      <c r="Z20" s="105">
        <v>0</v>
      </c>
      <c r="AA20" s="105">
        <v>0</v>
      </c>
      <c r="AB20" s="105">
        <v>0</v>
      </c>
      <c r="AC20" s="105">
        <v>0</v>
      </c>
      <c r="AD20" s="105">
        <v>0</v>
      </c>
      <c r="AE20" s="105">
        <v>0</v>
      </c>
      <c r="AF20" s="105">
        <v>0</v>
      </c>
      <c r="AG20" s="105">
        <v>0</v>
      </c>
      <c r="AH20" s="105">
        <v>0</v>
      </c>
      <c r="AI20" s="105">
        <v>0</v>
      </c>
      <c r="AJ20" s="105">
        <v>0</v>
      </c>
      <c r="AK20" s="105">
        <v>0</v>
      </c>
      <c r="AL20" s="105">
        <v>0</v>
      </c>
      <c r="AM20" s="105">
        <v>0</v>
      </c>
      <c r="AN20" s="105">
        <v>0</v>
      </c>
      <c r="AO20" s="105">
        <v>0</v>
      </c>
      <c r="AP20" s="105">
        <v>0</v>
      </c>
      <c r="AQ20" s="105">
        <v>0</v>
      </c>
      <c r="AR20" s="105">
        <v>0</v>
      </c>
      <c r="AS20" s="105">
        <v>0</v>
      </c>
      <c r="AT20" s="105">
        <v>0</v>
      </c>
      <c r="AU20" s="105">
        <v>0</v>
      </c>
      <c r="AV20" s="105">
        <v>0</v>
      </c>
      <c r="AW20" s="105">
        <v>0</v>
      </c>
      <c r="AX20" s="105">
        <v>0</v>
      </c>
      <c r="AY20" s="105">
        <v>0</v>
      </c>
      <c r="AZ20" s="105">
        <v>0</v>
      </c>
      <c r="BA20" s="105">
        <v>0</v>
      </c>
      <c r="BB20" s="105">
        <v>0</v>
      </c>
      <c r="BC20" s="105">
        <v>0</v>
      </c>
      <c r="BD20" s="105">
        <v>0</v>
      </c>
      <c r="BE20" s="105">
        <v>0</v>
      </c>
      <c r="BF20" s="105">
        <v>0</v>
      </c>
      <c r="BG20" s="105">
        <v>0</v>
      </c>
      <c r="BH20" s="105">
        <v>0</v>
      </c>
      <c r="BI20" s="105">
        <v>0</v>
      </c>
      <c r="BJ20" s="105">
        <v>0</v>
      </c>
      <c r="BK20" s="105">
        <v>0</v>
      </c>
      <c r="BL20" s="105">
        <v>0</v>
      </c>
      <c r="BM20" s="105">
        <v>0</v>
      </c>
      <c r="BN20" s="105">
        <v>0</v>
      </c>
      <c r="BO20" s="105">
        <v>0</v>
      </c>
      <c r="BP20" s="105">
        <v>0</v>
      </c>
      <c r="BQ20" s="105">
        <v>0</v>
      </c>
      <c r="BR20" s="105">
        <v>0</v>
      </c>
      <c r="BS20" s="105">
        <v>0</v>
      </c>
      <c r="BT20" s="105">
        <v>0</v>
      </c>
      <c r="BU20" s="105">
        <v>0</v>
      </c>
      <c r="BV20" s="105">
        <v>0</v>
      </c>
      <c r="BW20" s="105">
        <v>0</v>
      </c>
      <c r="BX20" s="105">
        <v>0</v>
      </c>
      <c r="BY20" s="105">
        <v>0</v>
      </c>
      <c r="BZ20" s="105">
        <v>0</v>
      </c>
      <c r="CA20" s="105">
        <v>0</v>
      </c>
      <c r="CB20" s="105">
        <v>0</v>
      </c>
      <c r="CC20" s="105">
        <v>0</v>
      </c>
      <c r="CD20" s="105">
        <v>0</v>
      </c>
      <c r="CE20" s="105">
        <v>0</v>
      </c>
      <c r="CF20" s="105">
        <v>0</v>
      </c>
      <c r="CG20" s="105">
        <v>0</v>
      </c>
      <c r="CH20" s="105">
        <v>0</v>
      </c>
      <c r="CI20" s="105">
        <v>0</v>
      </c>
      <c r="CJ20" s="105">
        <v>0</v>
      </c>
      <c r="CK20" s="105">
        <v>0</v>
      </c>
      <c r="CL20" s="105">
        <v>0</v>
      </c>
      <c r="CM20" s="105">
        <v>0</v>
      </c>
      <c r="CN20" s="105">
        <v>0</v>
      </c>
      <c r="CO20" s="105">
        <v>0</v>
      </c>
      <c r="CP20" s="105">
        <v>0</v>
      </c>
      <c r="CQ20" s="105">
        <v>0</v>
      </c>
      <c r="CR20" s="105">
        <v>0</v>
      </c>
      <c r="CS20" s="105">
        <v>0</v>
      </c>
      <c r="CT20" s="105">
        <v>0</v>
      </c>
      <c r="CU20" s="105">
        <v>0</v>
      </c>
    </row>
    <row r="21" spans="2:99" x14ac:dyDescent="0.25">
      <c r="C21" s="104" t="s">
        <v>186</v>
      </c>
      <c r="D21" s="105">
        <v>0</v>
      </c>
      <c r="E21" s="105">
        <v>0</v>
      </c>
      <c r="F21" s="105">
        <v>0</v>
      </c>
      <c r="G21" s="105">
        <v>0</v>
      </c>
      <c r="H21" s="105">
        <v>0</v>
      </c>
      <c r="I21" s="105">
        <v>0</v>
      </c>
      <c r="J21" s="105">
        <v>0</v>
      </c>
      <c r="K21" s="105">
        <v>0</v>
      </c>
      <c r="L21" s="105">
        <v>0</v>
      </c>
      <c r="M21" s="105">
        <v>0</v>
      </c>
      <c r="N21" s="105">
        <v>0</v>
      </c>
      <c r="O21" s="105">
        <v>0</v>
      </c>
      <c r="P21" s="105">
        <v>0</v>
      </c>
      <c r="Q21" s="105">
        <v>0</v>
      </c>
      <c r="R21" s="105">
        <v>0</v>
      </c>
      <c r="S21" s="105">
        <v>0</v>
      </c>
      <c r="T21" s="105">
        <v>0</v>
      </c>
      <c r="U21" s="105">
        <v>0</v>
      </c>
      <c r="V21" s="105">
        <v>0</v>
      </c>
      <c r="W21" s="105">
        <v>0</v>
      </c>
      <c r="X21" s="105">
        <v>0</v>
      </c>
      <c r="Y21" s="105">
        <v>0</v>
      </c>
      <c r="Z21" s="105">
        <v>0</v>
      </c>
      <c r="AA21" s="105">
        <v>0</v>
      </c>
      <c r="AB21" s="105">
        <v>0</v>
      </c>
      <c r="AC21" s="105">
        <v>0</v>
      </c>
      <c r="AD21" s="105">
        <v>0</v>
      </c>
      <c r="AE21" s="105">
        <v>0</v>
      </c>
      <c r="AF21" s="105">
        <v>0</v>
      </c>
      <c r="AG21" s="105">
        <v>0</v>
      </c>
      <c r="AH21" s="105">
        <v>0</v>
      </c>
      <c r="AI21" s="105">
        <v>0</v>
      </c>
      <c r="AJ21" s="105">
        <v>0</v>
      </c>
      <c r="AK21" s="105">
        <v>0</v>
      </c>
      <c r="AL21" s="105">
        <v>0</v>
      </c>
      <c r="AM21" s="105">
        <v>0</v>
      </c>
      <c r="AN21" s="105">
        <v>0</v>
      </c>
      <c r="AO21" s="105">
        <v>0</v>
      </c>
      <c r="AP21" s="105">
        <v>0</v>
      </c>
      <c r="AQ21" s="105">
        <v>0</v>
      </c>
      <c r="AR21" s="105">
        <v>0</v>
      </c>
      <c r="AS21" s="105">
        <v>0</v>
      </c>
      <c r="AT21" s="105">
        <v>0</v>
      </c>
      <c r="AU21" s="105">
        <v>0</v>
      </c>
      <c r="AV21" s="105">
        <v>0</v>
      </c>
      <c r="AW21" s="105">
        <v>0</v>
      </c>
      <c r="AX21" s="105">
        <v>0</v>
      </c>
      <c r="AY21" s="105">
        <v>0</v>
      </c>
      <c r="AZ21" s="105">
        <v>0</v>
      </c>
      <c r="BA21" s="105">
        <v>0</v>
      </c>
      <c r="BB21" s="105">
        <v>0</v>
      </c>
      <c r="BC21" s="105">
        <v>0</v>
      </c>
      <c r="BD21" s="105">
        <v>0</v>
      </c>
      <c r="BE21" s="105">
        <v>0</v>
      </c>
      <c r="BF21" s="105">
        <v>0</v>
      </c>
      <c r="BG21" s="105">
        <v>0</v>
      </c>
      <c r="BH21" s="105">
        <v>0</v>
      </c>
      <c r="BI21" s="105">
        <v>0</v>
      </c>
      <c r="BJ21" s="105">
        <v>0</v>
      </c>
      <c r="BK21" s="105">
        <v>0</v>
      </c>
      <c r="BL21" s="105">
        <v>0</v>
      </c>
      <c r="BM21" s="105">
        <v>0</v>
      </c>
      <c r="BN21" s="105">
        <v>0</v>
      </c>
      <c r="BO21" s="105">
        <v>0</v>
      </c>
      <c r="BP21" s="105">
        <v>0</v>
      </c>
      <c r="BQ21" s="105">
        <v>0</v>
      </c>
      <c r="BR21" s="105">
        <v>0</v>
      </c>
      <c r="BS21" s="105">
        <v>0</v>
      </c>
      <c r="BT21" s="105">
        <v>0</v>
      </c>
      <c r="BU21" s="105">
        <v>0</v>
      </c>
      <c r="BV21" s="105">
        <v>0</v>
      </c>
      <c r="BW21" s="105">
        <v>0</v>
      </c>
      <c r="BX21" s="105">
        <v>0</v>
      </c>
      <c r="BY21" s="105">
        <v>0</v>
      </c>
      <c r="BZ21" s="105">
        <v>0</v>
      </c>
      <c r="CA21" s="105">
        <v>0</v>
      </c>
      <c r="CB21" s="105">
        <v>0</v>
      </c>
      <c r="CC21" s="105">
        <v>0</v>
      </c>
      <c r="CD21" s="105">
        <v>0</v>
      </c>
      <c r="CE21" s="105">
        <v>0</v>
      </c>
      <c r="CF21" s="105">
        <v>0</v>
      </c>
      <c r="CG21" s="105">
        <v>0</v>
      </c>
      <c r="CH21" s="105">
        <v>0</v>
      </c>
      <c r="CI21" s="105">
        <v>0</v>
      </c>
      <c r="CJ21" s="105">
        <v>0</v>
      </c>
      <c r="CK21" s="105">
        <v>0</v>
      </c>
      <c r="CL21" s="105">
        <v>0</v>
      </c>
      <c r="CM21" s="105">
        <v>0</v>
      </c>
      <c r="CN21" s="105">
        <v>0</v>
      </c>
      <c r="CO21" s="105">
        <v>0</v>
      </c>
      <c r="CP21" s="105">
        <v>0</v>
      </c>
      <c r="CQ21" s="105">
        <v>0</v>
      </c>
      <c r="CR21" s="105">
        <v>0</v>
      </c>
      <c r="CS21" s="105">
        <v>0</v>
      </c>
      <c r="CT21" s="105">
        <v>0</v>
      </c>
      <c r="CU21" s="105">
        <v>0</v>
      </c>
    </row>
    <row r="22" spans="2:99" x14ac:dyDescent="0.25">
      <c r="C22" s="104" t="s">
        <v>187</v>
      </c>
      <c r="D22" s="105">
        <v>0</v>
      </c>
      <c r="E22" s="105">
        <v>0</v>
      </c>
      <c r="F22" s="105">
        <v>0</v>
      </c>
      <c r="G22" s="105">
        <v>0</v>
      </c>
      <c r="H22" s="105">
        <v>0</v>
      </c>
      <c r="I22" s="105">
        <v>0</v>
      </c>
      <c r="J22" s="105">
        <v>0</v>
      </c>
      <c r="K22" s="105">
        <v>0</v>
      </c>
      <c r="L22" s="105">
        <v>0</v>
      </c>
      <c r="M22" s="105">
        <v>0</v>
      </c>
      <c r="N22" s="105">
        <v>0</v>
      </c>
      <c r="O22" s="105">
        <v>0</v>
      </c>
      <c r="P22" s="105">
        <v>0</v>
      </c>
      <c r="Q22" s="105">
        <v>0</v>
      </c>
      <c r="R22" s="105">
        <v>0</v>
      </c>
      <c r="S22" s="105">
        <v>0</v>
      </c>
      <c r="T22" s="105">
        <v>0</v>
      </c>
      <c r="U22" s="105">
        <v>0</v>
      </c>
      <c r="V22" s="105">
        <v>0</v>
      </c>
      <c r="W22" s="105">
        <v>0</v>
      </c>
      <c r="X22" s="105">
        <v>0</v>
      </c>
      <c r="Y22" s="105">
        <v>0</v>
      </c>
      <c r="Z22" s="105">
        <v>0</v>
      </c>
      <c r="AA22" s="105">
        <v>0</v>
      </c>
      <c r="AB22" s="105">
        <v>0</v>
      </c>
      <c r="AC22" s="105">
        <v>0</v>
      </c>
      <c r="AD22" s="105">
        <v>0</v>
      </c>
      <c r="AE22" s="105">
        <v>0</v>
      </c>
      <c r="AF22" s="105">
        <v>0</v>
      </c>
      <c r="AG22" s="105">
        <v>0</v>
      </c>
      <c r="AH22" s="105">
        <v>0</v>
      </c>
      <c r="AI22" s="105">
        <v>0</v>
      </c>
      <c r="AJ22" s="105">
        <v>0</v>
      </c>
      <c r="AK22" s="105">
        <v>0</v>
      </c>
      <c r="AL22" s="105">
        <v>0</v>
      </c>
      <c r="AM22" s="105">
        <v>0</v>
      </c>
      <c r="AN22" s="105">
        <v>0</v>
      </c>
      <c r="AO22" s="105">
        <v>0</v>
      </c>
      <c r="AP22" s="105">
        <v>0</v>
      </c>
      <c r="AQ22" s="105">
        <v>0</v>
      </c>
      <c r="AR22" s="105">
        <v>0</v>
      </c>
      <c r="AS22" s="105">
        <v>0</v>
      </c>
      <c r="AT22" s="105">
        <v>0</v>
      </c>
      <c r="AU22" s="105">
        <v>0</v>
      </c>
      <c r="AV22" s="105">
        <v>0</v>
      </c>
      <c r="AW22" s="105">
        <v>0</v>
      </c>
      <c r="AX22" s="105">
        <v>0</v>
      </c>
      <c r="AY22" s="105">
        <v>0</v>
      </c>
      <c r="AZ22" s="105">
        <v>0</v>
      </c>
      <c r="BA22" s="105">
        <v>0</v>
      </c>
      <c r="BB22" s="105">
        <v>0</v>
      </c>
      <c r="BC22" s="105">
        <v>0</v>
      </c>
      <c r="BD22" s="105">
        <v>0</v>
      </c>
      <c r="BE22" s="105">
        <v>0</v>
      </c>
      <c r="BF22" s="105">
        <v>0</v>
      </c>
      <c r="BG22" s="105">
        <v>0</v>
      </c>
      <c r="BH22" s="105">
        <v>0</v>
      </c>
      <c r="BI22" s="105">
        <v>0</v>
      </c>
      <c r="BJ22" s="105">
        <v>0</v>
      </c>
      <c r="BK22" s="105">
        <v>0</v>
      </c>
      <c r="BL22" s="105">
        <v>0</v>
      </c>
      <c r="BM22" s="105">
        <v>0</v>
      </c>
      <c r="BN22" s="105">
        <v>0</v>
      </c>
      <c r="BO22" s="105">
        <v>0</v>
      </c>
      <c r="BP22" s="105">
        <v>0</v>
      </c>
      <c r="BQ22" s="105">
        <v>0</v>
      </c>
      <c r="BR22" s="105">
        <v>0</v>
      </c>
      <c r="BS22" s="105">
        <v>0</v>
      </c>
      <c r="BT22" s="105">
        <v>0</v>
      </c>
      <c r="BU22" s="105">
        <v>0</v>
      </c>
      <c r="BV22" s="105">
        <v>0</v>
      </c>
      <c r="BW22" s="105">
        <v>0</v>
      </c>
      <c r="BX22" s="105">
        <v>0</v>
      </c>
      <c r="BY22" s="105">
        <v>0</v>
      </c>
      <c r="BZ22" s="105">
        <v>0</v>
      </c>
      <c r="CA22" s="105">
        <v>0</v>
      </c>
      <c r="CB22" s="105">
        <v>0</v>
      </c>
      <c r="CC22" s="105">
        <v>0</v>
      </c>
      <c r="CD22" s="105">
        <v>0</v>
      </c>
      <c r="CE22" s="105">
        <v>0</v>
      </c>
      <c r="CF22" s="105">
        <v>0</v>
      </c>
      <c r="CG22" s="105">
        <v>0</v>
      </c>
      <c r="CH22" s="105">
        <v>0</v>
      </c>
      <c r="CI22" s="105">
        <v>0</v>
      </c>
      <c r="CJ22" s="105">
        <v>0</v>
      </c>
      <c r="CK22" s="105">
        <v>0</v>
      </c>
      <c r="CL22" s="105">
        <v>0</v>
      </c>
      <c r="CM22" s="105">
        <v>0</v>
      </c>
      <c r="CN22" s="105">
        <v>0</v>
      </c>
      <c r="CO22" s="105">
        <v>0</v>
      </c>
      <c r="CP22" s="105">
        <v>0</v>
      </c>
      <c r="CQ22" s="105">
        <v>0</v>
      </c>
      <c r="CR22" s="105">
        <v>0</v>
      </c>
      <c r="CS22" s="105">
        <v>0</v>
      </c>
      <c r="CT22" s="105">
        <v>0</v>
      </c>
      <c r="CU22" s="105">
        <v>0</v>
      </c>
    </row>
    <row r="23" spans="2:99" x14ac:dyDescent="0.25">
      <c r="C23" s="104" t="s">
        <v>188</v>
      </c>
      <c r="D23" s="105">
        <v>0</v>
      </c>
      <c r="E23" s="105">
        <v>0</v>
      </c>
      <c r="F23" s="105">
        <v>0</v>
      </c>
      <c r="G23" s="105">
        <v>0</v>
      </c>
      <c r="H23" s="105">
        <v>0</v>
      </c>
      <c r="I23" s="105">
        <v>0</v>
      </c>
      <c r="J23" s="105">
        <v>0</v>
      </c>
      <c r="K23" s="105">
        <v>0</v>
      </c>
      <c r="L23" s="105">
        <v>0</v>
      </c>
      <c r="M23" s="105">
        <v>0</v>
      </c>
      <c r="N23" s="105">
        <v>0</v>
      </c>
      <c r="O23" s="105">
        <v>0</v>
      </c>
      <c r="P23" s="105">
        <v>0</v>
      </c>
      <c r="Q23" s="105">
        <v>0</v>
      </c>
      <c r="R23" s="105">
        <v>0</v>
      </c>
      <c r="S23" s="105">
        <v>0</v>
      </c>
      <c r="T23" s="105">
        <v>0</v>
      </c>
      <c r="U23" s="105">
        <v>0</v>
      </c>
      <c r="V23" s="105">
        <v>0</v>
      </c>
      <c r="W23" s="105">
        <v>0</v>
      </c>
      <c r="X23" s="105">
        <v>0</v>
      </c>
      <c r="Y23" s="105">
        <v>0</v>
      </c>
      <c r="Z23" s="105">
        <v>0</v>
      </c>
      <c r="AA23" s="105">
        <v>0</v>
      </c>
      <c r="AB23" s="105">
        <v>0</v>
      </c>
      <c r="AC23" s="105">
        <v>0</v>
      </c>
      <c r="AD23" s="105">
        <v>0</v>
      </c>
      <c r="AE23" s="105">
        <v>0</v>
      </c>
      <c r="AF23" s="105">
        <v>0</v>
      </c>
      <c r="AG23" s="105">
        <v>0</v>
      </c>
      <c r="AH23" s="105">
        <v>0</v>
      </c>
      <c r="AI23" s="105">
        <v>0</v>
      </c>
      <c r="AJ23" s="105">
        <v>0</v>
      </c>
      <c r="AK23" s="105">
        <v>0</v>
      </c>
      <c r="AL23" s="105">
        <v>0</v>
      </c>
      <c r="AM23" s="105">
        <v>0</v>
      </c>
      <c r="AN23" s="105">
        <v>0</v>
      </c>
      <c r="AO23" s="105">
        <v>0</v>
      </c>
      <c r="AP23" s="105">
        <v>0</v>
      </c>
      <c r="AQ23" s="105">
        <v>0</v>
      </c>
      <c r="AR23" s="105">
        <v>0</v>
      </c>
      <c r="AS23" s="105">
        <v>0</v>
      </c>
      <c r="AT23" s="105">
        <v>0</v>
      </c>
      <c r="AU23" s="105">
        <v>0</v>
      </c>
      <c r="AV23" s="105">
        <v>0</v>
      </c>
      <c r="AW23" s="105">
        <v>0</v>
      </c>
      <c r="AX23" s="105">
        <v>0</v>
      </c>
      <c r="AY23" s="105">
        <v>0</v>
      </c>
      <c r="AZ23" s="105">
        <v>0</v>
      </c>
      <c r="BA23" s="105">
        <v>0</v>
      </c>
      <c r="BB23" s="105">
        <v>0</v>
      </c>
      <c r="BC23" s="105">
        <v>0</v>
      </c>
      <c r="BD23" s="105">
        <v>0</v>
      </c>
      <c r="BE23" s="105">
        <v>0</v>
      </c>
      <c r="BF23" s="105">
        <v>0</v>
      </c>
      <c r="BG23" s="105">
        <v>0</v>
      </c>
      <c r="BH23" s="105">
        <v>0</v>
      </c>
      <c r="BI23" s="105">
        <v>0</v>
      </c>
      <c r="BJ23" s="105">
        <v>0</v>
      </c>
      <c r="BK23" s="105">
        <v>0</v>
      </c>
      <c r="BL23" s="105">
        <v>0</v>
      </c>
      <c r="BM23" s="105">
        <v>0</v>
      </c>
      <c r="BN23" s="105">
        <v>0</v>
      </c>
      <c r="BO23" s="105">
        <v>0</v>
      </c>
      <c r="BP23" s="105">
        <v>0</v>
      </c>
      <c r="BQ23" s="105">
        <v>0</v>
      </c>
      <c r="BR23" s="105">
        <v>0</v>
      </c>
      <c r="BS23" s="105">
        <v>0</v>
      </c>
      <c r="BT23" s="105">
        <v>0</v>
      </c>
      <c r="BU23" s="105">
        <v>0</v>
      </c>
      <c r="BV23" s="105">
        <v>0</v>
      </c>
      <c r="BW23" s="105">
        <v>0</v>
      </c>
      <c r="BX23" s="105">
        <v>0</v>
      </c>
      <c r="BY23" s="105">
        <v>0</v>
      </c>
      <c r="BZ23" s="105">
        <v>0</v>
      </c>
      <c r="CA23" s="105">
        <v>0</v>
      </c>
      <c r="CB23" s="105">
        <v>0</v>
      </c>
      <c r="CC23" s="105">
        <v>0</v>
      </c>
      <c r="CD23" s="105">
        <v>0</v>
      </c>
      <c r="CE23" s="105">
        <v>0</v>
      </c>
      <c r="CF23" s="105">
        <v>0</v>
      </c>
      <c r="CG23" s="105">
        <v>0</v>
      </c>
      <c r="CH23" s="105">
        <v>0</v>
      </c>
      <c r="CI23" s="105">
        <v>0</v>
      </c>
      <c r="CJ23" s="105">
        <v>0</v>
      </c>
      <c r="CK23" s="105">
        <v>0</v>
      </c>
      <c r="CL23" s="105">
        <v>0</v>
      </c>
      <c r="CM23" s="105">
        <v>0</v>
      </c>
      <c r="CN23" s="105">
        <v>0</v>
      </c>
      <c r="CO23" s="105">
        <v>0</v>
      </c>
      <c r="CP23" s="105">
        <v>0</v>
      </c>
      <c r="CQ23" s="105">
        <v>0</v>
      </c>
      <c r="CR23" s="105">
        <v>0</v>
      </c>
      <c r="CS23" s="105">
        <v>0</v>
      </c>
      <c r="CT23" s="105">
        <v>0</v>
      </c>
      <c r="CU23" s="105">
        <v>0</v>
      </c>
    </row>
    <row r="24" spans="2:99" x14ac:dyDescent="0.25">
      <c r="C24" s="104" t="s">
        <v>189</v>
      </c>
      <c r="D24" s="105">
        <v>0</v>
      </c>
      <c r="E24" s="105">
        <v>0</v>
      </c>
      <c r="F24" s="105">
        <v>0</v>
      </c>
      <c r="G24" s="105">
        <v>0</v>
      </c>
      <c r="H24" s="105">
        <v>0</v>
      </c>
      <c r="I24" s="105">
        <v>0</v>
      </c>
      <c r="J24" s="105">
        <v>0</v>
      </c>
      <c r="K24" s="105">
        <v>0</v>
      </c>
      <c r="L24" s="105">
        <v>0</v>
      </c>
      <c r="M24" s="105">
        <v>0</v>
      </c>
      <c r="N24" s="105">
        <v>0</v>
      </c>
      <c r="O24" s="105">
        <v>0</v>
      </c>
      <c r="P24" s="105">
        <v>0</v>
      </c>
      <c r="Q24" s="105">
        <v>0</v>
      </c>
      <c r="R24" s="105">
        <v>0</v>
      </c>
      <c r="S24" s="105">
        <v>0</v>
      </c>
      <c r="T24" s="105">
        <v>0</v>
      </c>
      <c r="U24" s="105">
        <v>0</v>
      </c>
      <c r="V24" s="105">
        <v>0</v>
      </c>
      <c r="W24" s="105">
        <v>0</v>
      </c>
      <c r="X24" s="105">
        <v>0</v>
      </c>
      <c r="Y24" s="105">
        <v>0</v>
      </c>
      <c r="Z24" s="105">
        <v>0</v>
      </c>
      <c r="AA24" s="105">
        <v>0</v>
      </c>
      <c r="AB24" s="105">
        <v>0</v>
      </c>
      <c r="AC24" s="105">
        <v>0</v>
      </c>
      <c r="AD24" s="105">
        <v>0</v>
      </c>
      <c r="AE24" s="105">
        <v>0</v>
      </c>
      <c r="AF24" s="105">
        <v>0</v>
      </c>
      <c r="AG24" s="105">
        <v>0</v>
      </c>
      <c r="AH24" s="105">
        <v>0</v>
      </c>
      <c r="AI24" s="105">
        <v>0</v>
      </c>
      <c r="AJ24" s="105">
        <v>0</v>
      </c>
      <c r="AK24" s="105">
        <v>0</v>
      </c>
      <c r="AL24" s="105">
        <v>0</v>
      </c>
      <c r="AM24" s="105">
        <v>0</v>
      </c>
      <c r="AN24" s="105">
        <v>0</v>
      </c>
      <c r="AO24" s="105">
        <v>0</v>
      </c>
      <c r="AP24" s="105">
        <v>0</v>
      </c>
      <c r="AQ24" s="105">
        <v>0</v>
      </c>
      <c r="AR24" s="105">
        <v>0</v>
      </c>
      <c r="AS24" s="105">
        <v>0</v>
      </c>
      <c r="AT24" s="105">
        <v>0</v>
      </c>
      <c r="AU24" s="105">
        <v>0</v>
      </c>
      <c r="AV24" s="105">
        <v>0</v>
      </c>
      <c r="AW24" s="105">
        <v>0</v>
      </c>
      <c r="AX24" s="105">
        <v>0</v>
      </c>
      <c r="AY24" s="105">
        <v>0</v>
      </c>
      <c r="AZ24" s="105">
        <v>0</v>
      </c>
      <c r="BA24" s="105">
        <v>0</v>
      </c>
      <c r="BB24" s="105">
        <v>0</v>
      </c>
      <c r="BC24" s="105">
        <v>0</v>
      </c>
      <c r="BD24" s="105">
        <v>0</v>
      </c>
      <c r="BE24" s="105">
        <v>0</v>
      </c>
      <c r="BF24" s="105">
        <v>0</v>
      </c>
      <c r="BG24" s="105">
        <v>0</v>
      </c>
      <c r="BH24" s="105">
        <v>0</v>
      </c>
      <c r="BI24" s="105">
        <v>0</v>
      </c>
      <c r="BJ24" s="105">
        <v>0</v>
      </c>
      <c r="BK24" s="105">
        <v>0</v>
      </c>
      <c r="BL24" s="105">
        <v>0</v>
      </c>
      <c r="BM24" s="105">
        <v>0</v>
      </c>
      <c r="BN24" s="105">
        <v>0</v>
      </c>
      <c r="BO24" s="105">
        <v>0</v>
      </c>
      <c r="BP24" s="105">
        <v>0</v>
      </c>
      <c r="BQ24" s="105">
        <v>0</v>
      </c>
      <c r="BR24" s="105">
        <v>0</v>
      </c>
      <c r="BS24" s="105">
        <v>0</v>
      </c>
      <c r="BT24" s="105">
        <v>0</v>
      </c>
      <c r="BU24" s="105">
        <v>0</v>
      </c>
      <c r="BV24" s="105">
        <v>0</v>
      </c>
      <c r="BW24" s="105">
        <v>0</v>
      </c>
      <c r="BX24" s="105">
        <v>0</v>
      </c>
      <c r="BY24" s="105">
        <v>0</v>
      </c>
      <c r="BZ24" s="105">
        <v>0</v>
      </c>
      <c r="CA24" s="105">
        <v>0</v>
      </c>
      <c r="CB24" s="105">
        <v>0</v>
      </c>
      <c r="CC24" s="105">
        <v>0</v>
      </c>
      <c r="CD24" s="105">
        <v>0</v>
      </c>
      <c r="CE24" s="105">
        <v>0</v>
      </c>
      <c r="CF24" s="105">
        <v>0</v>
      </c>
      <c r="CG24" s="105">
        <v>0</v>
      </c>
      <c r="CH24" s="105">
        <v>0</v>
      </c>
      <c r="CI24" s="105">
        <v>0</v>
      </c>
      <c r="CJ24" s="105">
        <v>0</v>
      </c>
      <c r="CK24" s="105">
        <v>0</v>
      </c>
      <c r="CL24" s="105">
        <v>0</v>
      </c>
      <c r="CM24" s="105">
        <v>0</v>
      </c>
      <c r="CN24" s="105">
        <v>0</v>
      </c>
      <c r="CO24" s="105">
        <v>0</v>
      </c>
      <c r="CP24" s="105">
        <v>0</v>
      </c>
      <c r="CQ24" s="105">
        <v>0</v>
      </c>
      <c r="CR24" s="105">
        <v>0</v>
      </c>
      <c r="CS24" s="105">
        <v>0</v>
      </c>
      <c r="CT24" s="105">
        <v>0</v>
      </c>
      <c r="CU24" s="105">
        <v>0</v>
      </c>
    </row>
    <row r="25" spans="2:99" x14ac:dyDescent="0.25">
      <c r="C25" s="104" t="s">
        <v>190</v>
      </c>
      <c r="D25" s="105">
        <v>0</v>
      </c>
      <c r="E25" s="105">
        <v>0</v>
      </c>
      <c r="F25" s="105">
        <v>0</v>
      </c>
      <c r="G25" s="105">
        <v>0</v>
      </c>
      <c r="H25" s="105">
        <v>0</v>
      </c>
      <c r="I25" s="105">
        <v>0</v>
      </c>
      <c r="J25" s="105">
        <v>0</v>
      </c>
      <c r="K25" s="105">
        <v>0</v>
      </c>
      <c r="L25" s="105">
        <v>0</v>
      </c>
      <c r="M25" s="105">
        <v>0</v>
      </c>
      <c r="N25" s="105">
        <v>0</v>
      </c>
      <c r="O25" s="105">
        <v>0</v>
      </c>
      <c r="P25" s="105">
        <v>0</v>
      </c>
      <c r="Q25" s="105">
        <v>0</v>
      </c>
      <c r="R25" s="105">
        <v>0</v>
      </c>
      <c r="S25" s="105">
        <v>0</v>
      </c>
      <c r="T25" s="105">
        <v>0</v>
      </c>
      <c r="U25" s="105">
        <v>0</v>
      </c>
      <c r="V25" s="105">
        <v>0</v>
      </c>
      <c r="W25" s="105">
        <v>0</v>
      </c>
      <c r="X25" s="105">
        <v>0</v>
      </c>
      <c r="Y25" s="105">
        <v>0</v>
      </c>
      <c r="Z25" s="105">
        <v>0</v>
      </c>
      <c r="AA25" s="105">
        <v>0</v>
      </c>
      <c r="AB25" s="105">
        <v>0</v>
      </c>
      <c r="AC25" s="105">
        <v>0</v>
      </c>
      <c r="AD25" s="105">
        <v>0</v>
      </c>
      <c r="AE25" s="105">
        <v>0</v>
      </c>
      <c r="AF25" s="105">
        <v>0</v>
      </c>
      <c r="AG25" s="105">
        <v>0</v>
      </c>
      <c r="AH25" s="105">
        <v>0</v>
      </c>
      <c r="AI25" s="105">
        <v>0</v>
      </c>
      <c r="AJ25" s="105">
        <v>0</v>
      </c>
      <c r="AK25" s="105">
        <v>0</v>
      </c>
      <c r="AL25" s="105">
        <v>0</v>
      </c>
      <c r="AM25" s="105">
        <v>0</v>
      </c>
      <c r="AN25" s="105">
        <v>0</v>
      </c>
      <c r="AO25" s="105">
        <v>0</v>
      </c>
      <c r="AP25" s="105">
        <v>0</v>
      </c>
      <c r="AQ25" s="105">
        <v>0</v>
      </c>
      <c r="AR25" s="105">
        <v>0</v>
      </c>
      <c r="AS25" s="105">
        <v>0</v>
      </c>
      <c r="AT25" s="105">
        <v>0</v>
      </c>
      <c r="AU25" s="105">
        <v>0</v>
      </c>
      <c r="AV25" s="105">
        <v>0</v>
      </c>
      <c r="AW25" s="105">
        <v>0</v>
      </c>
      <c r="AX25" s="105">
        <v>0</v>
      </c>
      <c r="AY25" s="105">
        <v>0</v>
      </c>
      <c r="AZ25" s="105">
        <v>0</v>
      </c>
      <c r="BA25" s="105">
        <v>0</v>
      </c>
      <c r="BB25" s="105">
        <v>0</v>
      </c>
      <c r="BC25" s="105">
        <v>0</v>
      </c>
      <c r="BD25" s="105">
        <v>0</v>
      </c>
      <c r="BE25" s="105">
        <v>0</v>
      </c>
      <c r="BF25" s="105">
        <v>0</v>
      </c>
      <c r="BG25" s="105">
        <v>0</v>
      </c>
      <c r="BH25" s="105">
        <v>0</v>
      </c>
      <c r="BI25" s="105">
        <v>0</v>
      </c>
      <c r="BJ25" s="105">
        <v>0</v>
      </c>
      <c r="BK25" s="105">
        <v>0</v>
      </c>
      <c r="BL25" s="105">
        <v>0</v>
      </c>
      <c r="BM25" s="105">
        <v>0</v>
      </c>
      <c r="BN25" s="105">
        <v>0</v>
      </c>
      <c r="BO25" s="105">
        <v>0</v>
      </c>
      <c r="BP25" s="105">
        <v>0</v>
      </c>
      <c r="BQ25" s="105">
        <v>0</v>
      </c>
      <c r="BR25" s="105">
        <v>0</v>
      </c>
      <c r="BS25" s="105">
        <v>0</v>
      </c>
      <c r="BT25" s="105">
        <v>0</v>
      </c>
      <c r="BU25" s="105">
        <v>0</v>
      </c>
      <c r="BV25" s="105">
        <v>0</v>
      </c>
      <c r="BW25" s="105">
        <v>0</v>
      </c>
      <c r="BX25" s="105">
        <v>0</v>
      </c>
      <c r="BY25" s="105">
        <v>0</v>
      </c>
      <c r="BZ25" s="105">
        <v>0</v>
      </c>
      <c r="CA25" s="105">
        <v>0</v>
      </c>
      <c r="CB25" s="105">
        <v>0</v>
      </c>
      <c r="CC25" s="105">
        <v>0</v>
      </c>
      <c r="CD25" s="105">
        <v>0</v>
      </c>
      <c r="CE25" s="105">
        <v>0</v>
      </c>
      <c r="CF25" s="105">
        <v>0</v>
      </c>
      <c r="CG25" s="105">
        <v>0</v>
      </c>
      <c r="CH25" s="105">
        <v>0</v>
      </c>
      <c r="CI25" s="105">
        <v>0</v>
      </c>
      <c r="CJ25" s="105">
        <v>0</v>
      </c>
      <c r="CK25" s="105">
        <v>0</v>
      </c>
      <c r="CL25" s="105">
        <v>0</v>
      </c>
      <c r="CM25" s="105">
        <v>0</v>
      </c>
      <c r="CN25" s="105">
        <v>0</v>
      </c>
      <c r="CO25" s="105">
        <v>0</v>
      </c>
      <c r="CP25" s="105">
        <v>0</v>
      </c>
      <c r="CQ25" s="105">
        <v>0</v>
      </c>
      <c r="CR25" s="105">
        <v>0</v>
      </c>
      <c r="CS25" s="105">
        <v>0</v>
      </c>
      <c r="CT25" s="105">
        <v>0</v>
      </c>
      <c r="CU25" s="105">
        <v>0</v>
      </c>
    </row>
    <row r="26" spans="2:99" x14ac:dyDescent="0.25">
      <c r="C26" s="104" t="s">
        <v>191</v>
      </c>
      <c r="D26" s="105">
        <v>0</v>
      </c>
      <c r="E26" s="105">
        <v>0</v>
      </c>
      <c r="F26" s="105">
        <v>0</v>
      </c>
      <c r="G26" s="105">
        <v>0</v>
      </c>
      <c r="H26" s="105">
        <v>0</v>
      </c>
      <c r="I26" s="105">
        <v>0</v>
      </c>
      <c r="J26" s="105">
        <v>0</v>
      </c>
      <c r="K26" s="105">
        <v>0</v>
      </c>
      <c r="L26" s="105">
        <v>0</v>
      </c>
      <c r="M26" s="105">
        <v>0</v>
      </c>
      <c r="N26" s="105">
        <v>0</v>
      </c>
      <c r="O26" s="105">
        <v>0</v>
      </c>
      <c r="P26" s="105">
        <v>0</v>
      </c>
      <c r="Q26" s="105">
        <v>0</v>
      </c>
      <c r="R26" s="105">
        <v>0</v>
      </c>
      <c r="S26" s="105">
        <v>0</v>
      </c>
      <c r="T26" s="105">
        <v>0</v>
      </c>
      <c r="U26" s="105">
        <v>0</v>
      </c>
      <c r="V26" s="105">
        <v>0</v>
      </c>
      <c r="W26" s="105">
        <v>0</v>
      </c>
      <c r="X26" s="105">
        <v>0</v>
      </c>
      <c r="Y26" s="105">
        <v>0</v>
      </c>
      <c r="Z26" s="105">
        <v>0</v>
      </c>
      <c r="AA26" s="105">
        <v>0</v>
      </c>
      <c r="AB26" s="105">
        <v>0</v>
      </c>
      <c r="AC26" s="105">
        <v>0</v>
      </c>
      <c r="AD26" s="105">
        <v>0</v>
      </c>
      <c r="AE26" s="105">
        <v>0</v>
      </c>
      <c r="AF26" s="105">
        <v>0</v>
      </c>
      <c r="AG26" s="105">
        <v>0</v>
      </c>
      <c r="AH26" s="105">
        <v>0</v>
      </c>
      <c r="AI26" s="105">
        <v>0</v>
      </c>
      <c r="AJ26" s="105">
        <v>0</v>
      </c>
      <c r="AK26" s="105">
        <v>0</v>
      </c>
      <c r="AL26" s="105">
        <v>0</v>
      </c>
      <c r="AM26" s="105">
        <v>0</v>
      </c>
      <c r="AN26" s="105">
        <v>0</v>
      </c>
      <c r="AO26" s="105">
        <v>0</v>
      </c>
      <c r="AP26" s="105">
        <v>0</v>
      </c>
      <c r="AQ26" s="105">
        <v>0</v>
      </c>
      <c r="AR26" s="105">
        <v>0</v>
      </c>
      <c r="AS26" s="105">
        <v>0</v>
      </c>
      <c r="AT26" s="105">
        <v>0</v>
      </c>
      <c r="AU26" s="105">
        <v>0</v>
      </c>
      <c r="AV26" s="105">
        <v>0</v>
      </c>
      <c r="AW26" s="105">
        <v>0</v>
      </c>
      <c r="AX26" s="105">
        <v>0</v>
      </c>
      <c r="AY26" s="105">
        <v>0</v>
      </c>
      <c r="AZ26" s="105">
        <v>0</v>
      </c>
      <c r="BA26" s="105">
        <v>0</v>
      </c>
      <c r="BB26" s="105">
        <v>0</v>
      </c>
      <c r="BC26" s="105">
        <v>0</v>
      </c>
      <c r="BD26" s="105">
        <v>0</v>
      </c>
      <c r="BE26" s="105">
        <v>0</v>
      </c>
      <c r="BF26" s="105">
        <v>0</v>
      </c>
      <c r="BG26" s="105">
        <v>0</v>
      </c>
      <c r="BH26" s="105">
        <v>0</v>
      </c>
      <c r="BI26" s="105">
        <v>0</v>
      </c>
      <c r="BJ26" s="105">
        <v>0</v>
      </c>
      <c r="BK26" s="105">
        <v>0</v>
      </c>
      <c r="BL26" s="105">
        <v>0</v>
      </c>
      <c r="BM26" s="105">
        <v>0</v>
      </c>
      <c r="BN26" s="105">
        <v>0</v>
      </c>
      <c r="BO26" s="105">
        <v>0</v>
      </c>
      <c r="BP26" s="105">
        <v>0</v>
      </c>
      <c r="BQ26" s="105">
        <v>0</v>
      </c>
      <c r="BR26" s="105">
        <v>0</v>
      </c>
      <c r="BS26" s="105">
        <v>0</v>
      </c>
      <c r="BT26" s="105">
        <v>0</v>
      </c>
      <c r="BU26" s="105">
        <v>0</v>
      </c>
      <c r="BV26" s="105">
        <v>0</v>
      </c>
      <c r="BW26" s="105">
        <v>0</v>
      </c>
      <c r="BX26" s="105">
        <v>0</v>
      </c>
      <c r="BY26" s="105">
        <v>0</v>
      </c>
      <c r="BZ26" s="105">
        <v>0</v>
      </c>
      <c r="CA26" s="105">
        <v>0</v>
      </c>
      <c r="CB26" s="105">
        <v>0</v>
      </c>
      <c r="CC26" s="105">
        <v>0</v>
      </c>
      <c r="CD26" s="105">
        <v>0</v>
      </c>
      <c r="CE26" s="105">
        <v>0</v>
      </c>
      <c r="CF26" s="105">
        <v>0</v>
      </c>
      <c r="CG26" s="105">
        <v>0</v>
      </c>
      <c r="CH26" s="105">
        <v>0</v>
      </c>
      <c r="CI26" s="105">
        <v>0</v>
      </c>
      <c r="CJ26" s="105">
        <v>0</v>
      </c>
      <c r="CK26" s="105">
        <v>0</v>
      </c>
      <c r="CL26" s="105">
        <v>0</v>
      </c>
      <c r="CM26" s="105">
        <v>0</v>
      </c>
      <c r="CN26" s="105">
        <v>0</v>
      </c>
      <c r="CO26" s="105">
        <v>0</v>
      </c>
      <c r="CP26" s="105">
        <v>0</v>
      </c>
      <c r="CQ26" s="105">
        <v>0</v>
      </c>
      <c r="CR26" s="105">
        <v>0</v>
      </c>
      <c r="CS26" s="105">
        <v>0</v>
      </c>
      <c r="CT26" s="105">
        <v>0</v>
      </c>
      <c r="CU26" s="105">
        <v>0</v>
      </c>
    </row>
    <row r="27" spans="2:99" x14ac:dyDescent="0.25">
      <c r="C27" s="104" t="s">
        <v>192</v>
      </c>
      <c r="D27" s="105">
        <v>0</v>
      </c>
      <c r="E27" s="105">
        <v>0</v>
      </c>
      <c r="F27" s="105">
        <v>0</v>
      </c>
      <c r="G27" s="105">
        <v>0</v>
      </c>
      <c r="H27" s="105">
        <v>0</v>
      </c>
      <c r="I27" s="105">
        <v>0</v>
      </c>
      <c r="J27" s="105">
        <v>0</v>
      </c>
      <c r="K27" s="105">
        <v>0</v>
      </c>
      <c r="L27" s="105">
        <v>0</v>
      </c>
      <c r="M27" s="105">
        <v>0</v>
      </c>
      <c r="N27" s="105">
        <v>0</v>
      </c>
      <c r="O27" s="105">
        <v>0</v>
      </c>
      <c r="P27" s="105">
        <v>0</v>
      </c>
      <c r="Q27" s="105">
        <v>0</v>
      </c>
      <c r="R27" s="105">
        <v>0</v>
      </c>
      <c r="S27" s="105">
        <v>0</v>
      </c>
      <c r="T27" s="105">
        <v>0</v>
      </c>
      <c r="U27" s="105">
        <v>0</v>
      </c>
      <c r="V27" s="105">
        <v>0</v>
      </c>
      <c r="W27" s="105">
        <v>0</v>
      </c>
      <c r="X27" s="105">
        <v>0</v>
      </c>
      <c r="Y27" s="105">
        <v>0</v>
      </c>
      <c r="Z27" s="105">
        <v>0</v>
      </c>
      <c r="AA27" s="105">
        <v>0</v>
      </c>
      <c r="AB27" s="105">
        <v>0</v>
      </c>
      <c r="AC27" s="105">
        <v>0</v>
      </c>
      <c r="AD27" s="105">
        <v>0</v>
      </c>
      <c r="AE27" s="105">
        <v>0</v>
      </c>
      <c r="AF27" s="105">
        <v>0</v>
      </c>
      <c r="AG27" s="105">
        <v>0</v>
      </c>
      <c r="AH27" s="105">
        <v>0</v>
      </c>
      <c r="AI27" s="105">
        <v>0</v>
      </c>
      <c r="AJ27" s="105">
        <v>0</v>
      </c>
      <c r="AK27" s="105">
        <v>0</v>
      </c>
      <c r="AL27" s="105">
        <v>0</v>
      </c>
      <c r="AM27" s="105">
        <v>0</v>
      </c>
      <c r="AN27" s="105">
        <v>0</v>
      </c>
      <c r="AO27" s="105">
        <v>0</v>
      </c>
      <c r="AP27" s="105">
        <v>0</v>
      </c>
      <c r="AQ27" s="105">
        <v>0</v>
      </c>
      <c r="AR27" s="105">
        <v>0</v>
      </c>
      <c r="AS27" s="105">
        <v>0</v>
      </c>
      <c r="AT27" s="105">
        <v>0</v>
      </c>
      <c r="AU27" s="105">
        <v>0</v>
      </c>
      <c r="AV27" s="105">
        <v>0</v>
      </c>
      <c r="AW27" s="105">
        <v>0</v>
      </c>
      <c r="AX27" s="105">
        <v>0</v>
      </c>
      <c r="AY27" s="105">
        <v>0</v>
      </c>
      <c r="AZ27" s="105">
        <v>0</v>
      </c>
      <c r="BA27" s="105">
        <v>0</v>
      </c>
      <c r="BB27" s="105">
        <v>0</v>
      </c>
      <c r="BC27" s="105">
        <v>0</v>
      </c>
      <c r="BD27" s="105">
        <v>0</v>
      </c>
      <c r="BE27" s="105">
        <v>0</v>
      </c>
      <c r="BF27" s="105">
        <v>0</v>
      </c>
      <c r="BG27" s="105">
        <v>0</v>
      </c>
      <c r="BH27" s="105">
        <v>0</v>
      </c>
      <c r="BI27" s="105">
        <v>0</v>
      </c>
      <c r="BJ27" s="105">
        <v>0</v>
      </c>
      <c r="BK27" s="105">
        <v>0</v>
      </c>
      <c r="BL27" s="105">
        <v>0</v>
      </c>
      <c r="BM27" s="105">
        <v>0</v>
      </c>
      <c r="BN27" s="105">
        <v>0</v>
      </c>
      <c r="BO27" s="105">
        <v>0</v>
      </c>
      <c r="BP27" s="105">
        <v>0</v>
      </c>
      <c r="BQ27" s="105">
        <v>0</v>
      </c>
      <c r="BR27" s="105">
        <v>0</v>
      </c>
      <c r="BS27" s="105">
        <v>0</v>
      </c>
      <c r="BT27" s="105">
        <v>0</v>
      </c>
      <c r="BU27" s="105">
        <v>0</v>
      </c>
      <c r="BV27" s="105">
        <v>0</v>
      </c>
      <c r="BW27" s="105">
        <v>0</v>
      </c>
      <c r="BX27" s="105">
        <v>0</v>
      </c>
      <c r="BY27" s="105">
        <v>0</v>
      </c>
      <c r="BZ27" s="105">
        <v>0</v>
      </c>
      <c r="CA27" s="105">
        <v>0</v>
      </c>
      <c r="CB27" s="105">
        <v>0</v>
      </c>
      <c r="CC27" s="105">
        <v>0</v>
      </c>
      <c r="CD27" s="105">
        <v>0</v>
      </c>
      <c r="CE27" s="105">
        <v>0</v>
      </c>
      <c r="CF27" s="105">
        <v>0</v>
      </c>
      <c r="CG27" s="105">
        <v>0</v>
      </c>
      <c r="CH27" s="105">
        <v>0</v>
      </c>
      <c r="CI27" s="105">
        <v>0</v>
      </c>
      <c r="CJ27" s="105">
        <v>0</v>
      </c>
      <c r="CK27" s="105">
        <v>0</v>
      </c>
      <c r="CL27" s="105">
        <v>0</v>
      </c>
      <c r="CM27" s="105">
        <v>0</v>
      </c>
      <c r="CN27" s="105">
        <v>0</v>
      </c>
      <c r="CO27" s="105">
        <v>0</v>
      </c>
      <c r="CP27" s="105">
        <v>0</v>
      </c>
      <c r="CQ27" s="105">
        <v>0</v>
      </c>
      <c r="CR27" s="105">
        <v>0</v>
      </c>
      <c r="CS27" s="105">
        <v>0</v>
      </c>
      <c r="CT27" s="105">
        <v>0</v>
      </c>
      <c r="CU27" s="105">
        <v>0</v>
      </c>
    </row>
    <row r="28" spans="2:99" x14ac:dyDescent="0.25">
      <c r="C28" s="104" t="s">
        <v>193</v>
      </c>
      <c r="D28" s="105">
        <v>0</v>
      </c>
      <c r="E28" s="105">
        <v>0</v>
      </c>
      <c r="F28" s="105">
        <v>0</v>
      </c>
      <c r="G28" s="105">
        <v>0</v>
      </c>
      <c r="H28" s="105">
        <v>0</v>
      </c>
      <c r="I28" s="105">
        <v>0</v>
      </c>
      <c r="J28" s="105">
        <v>0</v>
      </c>
      <c r="K28" s="105">
        <v>0</v>
      </c>
      <c r="L28" s="105">
        <v>0</v>
      </c>
      <c r="M28" s="105">
        <v>0</v>
      </c>
      <c r="N28" s="105">
        <v>0</v>
      </c>
      <c r="O28" s="105">
        <v>0</v>
      </c>
      <c r="P28" s="105">
        <v>0</v>
      </c>
      <c r="Q28" s="105">
        <v>0</v>
      </c>
      <c r="R28" s="105">
        <v>0</v>
      </c>
      <c r="S28" s="105">
        <v>0</v>
      </c>
      <c r="T28" s="105">
        <v>0</v>
      </c>
      <c r="U28" s="105">
        <v>0</v>
      </c>
      <c r="V28" s="105">
        <v>0</v>
      </c>
      <c r="W28" s="105">
        <v>0</v>
      </c>
      <c r="X28" s="105">
        <v>0</v>
      </c>
      <c r="Y28" s="105">
        <v>0</v>
      </c>
      <c r="Z28" s="105">
        <v>0</v>
      </c>
      <c r="AA28" s="105">
        <v>0</v>
      </c>
      <c r="AB28" s="105">
        <v>0</v>
      </c>
      <c r="AC28" s="105">
        <v>0</v>
      </c>
      <c r="AD28" s="105">
        <v>0</v>
      </c>
      <c r="AE28" s="105">
        <v>0</v>
      </c>
      <c r="AF28" s="105">
        <v>0</v>
      </c>
      <c r="AG28" s="105">
        <v>0</v>
      </c>
      <c r="AH28" s="105">
        <v>0</v>
      </c>
      <c r="AI28" s="105">
        <v>0</v>
      </c>
      <c r="AJ28" s="105">
        <v>0</v>
      </c>
      <c r="AK28" s="105">
        <v>0</v>
      </c>
      <c r="AL28" s="105">
        <v>0</v>
      </c>
      <c r="AM28" s="105">
        <v>0</v>
      </c>
      <c r="AN28" s="105">
        <v>0</v>
      </c>
      <c r="AO28" s="105">
        <v>0</v>
      </c>
      <c r="AP28" s="105">
        <v>0</v>
      </c>
      <c r="AQ28" s="105">
        <v>0</v>
      </c>
      <c r="AR28" s="105">
        <v>0</v>
      </c>
      <c r="AS28" s="105">
        <v>0</v>
      </c>
      <c r="AT28" s="105">
        <v>0</v>
      </c>
      <c r="AU28" s="105">
        <v>0</v>
      </c>
      <c r="AV28" s="105">
        <v>0</v>
      </c>
      <c r="AW28" s="105">
        <v>0</v>
      </c>
      <c r="AX28" s="105">
        <v>0</v>
      </c>
      <c r="AY28" s="105">
        <v>0</v>
      </c>
      <c r="AZ28" s="105">
        <v>0</v>
      </c>
      <c r="BA28" s="105">
        <v>0</v>
      </c>
      <c r="BB28" s="105">
        <v>0</v>
      </c>
      <c r="BC28" s="105">
        <v>0</v>
      </c>
      <c r="BD28" s="105">
        <v>0</v>
      </c>
      <c r="BE28" s="105">
        <v>0</v>
      </c>
      <c r="BF28" s="105">
        <v>0</v>
      </c>
      <c r="BG28" s="105">
        <v>0</v>
      </c>
      <c r="BH28" s="105">
        <v>0</v>
      </c>
      <c r="BI28" s="105">
        <v>0</v>
      </c>
      <c r="BJ28" s="105">
        <v>0</v>
      </c>
      <c r="BK28" s="105">
        <v>0</v>
      </c>
      <c r="BL28" s="105">
        <v>0</v>
      </c>
      <c r="BM28" s="105">
        <v>0</v>
      </c>
      <c r="BN28" s="105">
        <v>0</v>
      </c>
      <c r="BO28" s="105">
        <v>0</v>
      </c>
      <c r="BP28" s="105">
        <v>0</v>
      </c>
      <c r="BQ28" s="105">
        <v>0</v>
      </c>
      <c r="BR28" s="105">
        <v>0</v>
      </c>
      <c r="BS28" s="105">
        <v>0</v>
      </c>
      <c r="BT28" s="105">
        <v>0</v>
      </c>
      <c r="BU28" s="105">
        <v>0</v>
      </c>
      <c r="BV28" s="105">
        <v>0</v>
      </c>
      <c r="BW28" s="105">
        <v>0</v>
      </c>
      <c r="BX28" s="105">
        <v>0</v>
      </c>
      <c r="BY28" s="105">
        <v>0</v>
      </c>
      <c r="BZ28" s="105">
        <v>0</v>
      </c>
      <c r="CA28" s="105">
        <v>0</v>
      </c>
      <c r="CB28" s="105">
        <v>0</v>
      </c>
      <c r="CC28" s="105">
        <v>0</v>
      </c>
      <c r="CD28" s="105">
        <v>0</v>
      </c>
      <c r="CE28" s="105">
        <v>0</v>
      </c>
      <c r="CF28" s="105">
        <v>0</v>
      </c>
      <c r="CG28" s="105">
        <v>0</v>
      </c>
      <c r="CH28" s="105">
        <v>0</v>
      </c>
      <c r="CI28" s="105">
        <v>0</v>
      </c>
      <c r="CJ28" s="105">
        <v>0</v>
      </c>
      <c r="CK28" s="105">
        <v>0</v>
      </c>
      <c r="CL28" s="105">
        <v>0</v>
      </c>
      <c r="CM28" s="105">
        <v>0</v>
      </c>
      <c r="CN28" s="105">
        <v>0</v>
      </c>
      <c r="CO28" s="105">
        <v>0</v>
      </c>
      <c r="CP28" s="105">
        <v>0</v>
      </c>
      <c r="CQ28" s="105">
        <v>0</v>
      </c>
      <c r="CR28" s="105">
        <v>0</v>
      </c>
      <c r="CS28" s="105">
        <v>0</v>
      </c>
      <c r="CT28" s="105">
        <v>0</v>
      </c>
      <c r="CU28" s="105">
        <v>0</v>
      </c>
    </row>
    <row r="29" spans="2:99" x14ac:dyDescent="0.25">
      <c r="C29" s="104" t="s">
        <v>194</v>
      </c>
      <c r="D29" s="105">
        <v>0</v>
      </c>
      <c r="E29" s="105">
        <v>0</v>
      </c>
      <c r="F29" s="105">
        <v>0</v>
      </c>
      <c r="G29" s="105">
        <v>0</v>
      </c>
      <c r="H29" s="105">
        <v>0</v>
      </c>
      <c r="I29" s="105">
        <v>0</v>
      </c>
      <c r="J29" s="105">
        <v>0</v>
      </c>
      <c r="K29" s="105">
        <v>0</v>
      </c>
      <c r="L29" s="105">
        <v>0</v>
      </c>
      <c r="M29" s="105">
        <v>0</v>
      </c>
      <c r="N29" s="105">
        <v>0</v>
      </c>
      <c r="O29" s="105">
        <v>0</v>
      </c>
      <c r="P29" s="105">
        <v>0</v>
      </c>
      <c r="Q29" s="105">
        <v>0</v>
      </c>
      <c r="R29" s="105">
        <v>0</v>
      </c>
      <c r="S29" s="105">
        <v>0</v>
      </c>
      <c r="T29" s="105">
        <v>0</v>
      </c>
      <c r="U29" s="105">
        <v>0</v>
      </c>
      <c r="V29" s="105">
        <v>0</v>
      </c>
      <c r="W29" s="105">
        <v>0</v>
      </c>
      <c r="X29" s="105">
        <v>0</v>
      </c>
      <c r="Y29" s="105">
        <v>0</v>
      </c>
      <c r="Z29" s="105">
        <v>0</v>
      </c>
      <c r="AA29" s="105">
        <v>0</v>
      </c>
      <c r="AB29" s="105">
        <v>0</v>
      </c>
      <c r="AC29" s="105">
        <v>0</v>
      </c>
      <c r="AD29" s="105">
        <v>0</v>
      </c>
      <c r="AE29" s="105">
        <v>0</v>
      </c>
      <c r="AF29" s="105">
        <v>0</v>
      </c>
      <c r="AG29" s="105">
        <v>0</v>
      </c>
      <c r="AH29" s="105">
        <v>0</v>
      </c>
      <c r="AI29" s="105">
        <v>0</v>
      </c>
      <c r="AJ29" s="105">
        <v>0</v>
      </c>
      <c r="AK29" s="105">
        <v>0</v>
      </c>
      <c r="AL29" s="105">
        <v>0</v>
      </c>
      <c r="AM29" s="105">
        <v>0</v>
      </c>
      <c r="AN29" s="105">
        <v>0</v>
      </c>
      <c r="AO29" s="105">
        <v>0</v>
      </c>
      <c r="AP29" s="105">
        <v>0</v>
      </c>
      <c r="AQ29" s="105">
        <v>0</v>
      </c>
      <c r="AR29" s="105">
        <v>0</v>
      </c>
      <c r="AS29" s="105">
        <v>0</v>
      </c>
      <c r="AT29" s="105">
        <v>0</v>
      </c>
      <c r="AU29" s="105">
        <v>0</v>
      </c>
      <c r="AV29" s="105">
        <v>0</v>
      </c>
      <c r="AW29" s="105">
        <v>0</v>
      </c>
      <c r="AX29" s="105">
        <v>0</v>
      </c>
      <c r="AY29" s="105">
        <v>0</v>
      </c>
      <c r="AZ29" s="105">
        <v>0</v>
      </c>
      <c r="BA29" s="105">
        <v>0</v>
      </c>
      <c r="BB29" s="105">
        <v>0</v>
      </c>
      <c r="BC29" s="105">
        <v>0</v>
      </c>
      <c r="BD29" s="105">
        <v>0</v>
      </c>
      <c r="BE29" s="105">
        <v>0</v>
      </c>
      <c r="BF29" s="105">
        <v>0</v>
      </c>
      <c r="BG29" s="105">
        <v>0</v>
      </c>
      <c r="BH29" s="105">
        <v>0</v>
      </c>
      <c r="BI29" s="105">
        <v>0</v>
      </c>
      <c r="BJ29" s="105">
        <v>0</v>
      </c>
      <c r="BK29" s="105">
        <v>0</v>
      </c>
      <c r="BL29" s="105">
        <v>0</v>
      </c>
      <c r="BM29" s="105">
        <v>0</v>
      </c>
      <c r="BN29" s="105">
        <v>0</v>
      </c>
      <c r="BO29" s="105">
        <v>0</v>
      </c>
      <c r="BP29" s="105">
        <v>0</v>
      </c>
      <c r="BQ29" s="105">
        <v>0</v>
      </c>
      <c r="BR29" s="105">
        <v>0</v>
      </c>
      <c r="BS29" s="105">
        <v>0</v>
      </c>
      <c r="BT29" s="105">
        <v>0</v>
      </c>
      <c r="BU29" s="105">
        <v>0</v>
      </c>
      <c r="BV29" s="105">
        <v>0</v>
      </c>
      <c r="BW29" s="105">
        <v>0</v>
      </c>
      <c r="BX29" s="105">
        <v>0</v>
      </c>
      <c r="BY29" s="105">
        <v>0</v>
      </c>
      <c r="BZ29" s="105">
        <v>0</v>
      </c>
      <c r="CA29" s="105">
        <v>0</v>
      </c>
      <c r="CB29" s="105">
        <v>0</v>
      </c>
      <c r="CC29" s="105">
        <v>0</v>
      </c>
      <c r="CD29" s="105">
        <v>0</v>
      </c>
      <c r="CE29" s="105">
        <v>0</v>
      </c>
      <c r="CF29" s="105">
        <v>0</v>
      </c>
      <c r="CG29" s="105">
        <v>0</v>
      </c>
      <c r="CH29" s="105">
        <v>0</v>
      </c>
      <c r="CI29" s="105">
        <v>0</v>
      </c>
      <c r="CJ29" s="105">
        <v>0</v>
      </c>
      <c r="CK29" s="105">
        <v>0</v>
      </c>
      <c r="CL29" s="105">
        <v>0</v>
      </c>
      <c r="CM29" s="105">
        <v>0</v>
      </c>
      <c r="CN29" s="105">
        <v>0</v>
      </c>
      <c r="CO29" s="105">
        <v>0</v>
      </c>
      <c r="CP29" s="105">
        <v>0</v>
      </c>
      <c r="CQ29" s="105">
        <v>0</v>
      </c>
      <c r="CR29" s="105">
        <v>0</v>
      </c>
      <c r="CS29" s="105">
        <v>0</v>
      </c>
      <c r="CT29" s="105">
        <v>0</v>
      </c>
      <c r="CU29" s="105">
        <v>0</v>
      </c>
    </row>
    <row r="30" spans="2:99" x14ac:dyDescent="0.25">
      <c r="C30" s="104" t="s">
        <v>195</v>
      </c>
      <c r="D30" s="105">
        <v>0</v>
      </c>
      <c r="E30" s="105">
        <v>0</v>
      </c>
      <c r="F30" s="105">
        <v>0</v>
      </c>
      <c r="G30" s="105">
        <v>0</v>
      </c>
      <c r="H30" s="105">
        <v>0</v>
      </c>
      <c r="I30" s="105">
        <v>0</v>
      </c>
      <c r="J30" s="105">
        <v>0</v>
      </c>
      <c r="K30" s="105">
        <v>0</v>
      </c>
      <c r="L30" s="105">
        <v>0</v>
      </c>
      <c r="M30" s="105">
        <v>0</v>
      </c>
      <c r="N30" s="105">
        <v>0</v>
      </c>
      <c r="O30" s="105">
        <v>0</v>
      </c>
      <c r="P30" s="105">
        <v>0</v>
      </c>
      <c r="Q30" s="105">
        <v>0</v>
      </c>
      <c r="R30" s="105">
        <v>0</v>
      </c>
      <c r="S30" s="105">
        <v>0</v>
      </c>
      <c r="T30" s="105">
        <v>0</v>
      </c>
      <c r="U30" s="105">
        <v>0</v>
      </c>
      <c r="V30" s="105">
        <v>0</v>
      </c>
      <c r="W30" s="105">
        <v>0</v>
      </c>
      <c r="X30" s="105">
        <v>0</v>
      </c>
      <c r="Y30" s="105">
        <v>0</v>
      </c>
      <c r="Z30" s="105">
        <v>0</v>
      </c>
      <c r="AA30" s="105">
        <v>0</v>
      </c>
      <c r="AB30" s="105">
        <v>0</v>
      </c>
      <c r="AC30" s="105">
        <v>0</v>
      </c>
      <c r="AD30" s="105">
        <v>0</v>
      </c>
      <c r="AE30" s="105">
        <v>0</v>
      </c>
      <c r="AF30" s="105">
        <v>0</v>
      </c>
      <c r="AG30" s="105">
        <v>0</v>
      </c>
      <c r="AH30" s="105">
        <v>0</v>
      </c>
      <c r="AI30" s="105">
        <v>0</v>
      </c>
      <c r="AJ30" s="105">
        <v>0</v>
      </c>
      <c r="AK30" s="105">
        <v>0</v>
      </c>
      <c r="AL30" s="105">
        <v>0</v>
      </c>
      <c r="AM30" s="105">
        <v>0</v>
      </c>
      <c r="AN30" s="105">
        <v>0</v>
      </c>
      <c r="AO30" s="105">
        <v>0</v>
      </c>
      <c r="AP30" s="105">
        <v>0</v>
      </c>
      <c r="AQ30" s="105">
        <v>0</v>
      </c>
      <c r="AR30" s="105">
        <v>0</v>
      </c>
      <c r="AS30" s="105">
        <v>0</v>
      </c>
      <c r="AT30" s="105">
        <v>0</v>
      </c>
      <c r="AU30" s="105">
        <v>0</v>
      </c>
      <c r="AV30" s="105">
        <v>0</v>
      </c>
      <c r="AW30" s="105">
        <v>0</v>
      </c>
      <c r="AX30" s="105">
        <v>0</v>
      </c>
      <c r="AY30" s="105">
        <v>0</v>
      </c>
      <c r="AZ30" s="105">
        <v>0</v>
      </c>
      <c r="BA30" s="105">
        <v>0</v>
      </c>
      <c r="BB30" s="105">
        <v>0</v>
      </c>
      <c r="BC30" s="105">
        <v>0</v>
      </c>
      <c r="BD30" s="105">
        <v>0</v>
      </c>
      <c r="BE30" s="105">
        <v>0</v>
      </c>
      <c r="BF30" s="105">
        <v>0</v>
      </c>
      <c r="BG30" s="105">
        <v>0</v>
      </c>
      <c r="BH30" s="105">
        <v>0</v>
      </c>
      <c r="BI30" s="105">
        <v>0</v>
      </c>
      <c r="BJ30" s="105">
        <v>0</v>
      </c>
      <c r="BK30" s="105">
        <v>0</v>
      </c>
      <c r="BL30" s="105">
        <v>0</v>
      </c>
      <c r="BM30" s="105">
        <v>0</v>
      </c>
      <c r="BN30" s="105">
        <v>0</v>
      </c>
      <c r="BO30" s="105">
        <v>0</v>
      </c>
      <c r="BP30" s="105">
        <v>0</v>
      </c>
      <c r="BQ30" s="105">
        <v>0</v>
      </c>
      <c r="BR30" s="105">
        <v>0</v>
      </c>
      <c r="BS30" s="105">
        <v>0</v>
      </c>
      <c r="BT30" s="105">
        <v>0</v>
      </c>
      <c r="BU30" s="105">
        <v>0</v>
      </c>
      <c r="BV30" s="105">
        <v>0</v>
      </c>
      <c r="BW30" s="105">
        <v>0</v>
      </c>
      <c r="BX30" s="105">
        <v>0</v>
      </c>
      <c r="BY30" s="105">
        <v>0</v>
      </c>
      <c r="BZ30" s="105">
        <v>0</v>
      </c>
      <c r="CA30" s="105">
        <v>0</v>
      </c>
      <c r="CB30" s="105">
        <v>0</v>
      </c>
      <c r="CC30" s="105">
        <v>0</v>
      </c>
      <c r="CD30" s="105">
        <v>0</v>
      </c>
      <c r="CE30" s="105">
        <v>0</v>
      </c>
      <c r="CF30" s="105">
        <v>0</v>
      </c>
      <c r="CG30" s="105">
        <v>0</v>
      </c>
      <c r="CH30" s="105">
        <v>0</v>
      </c>
      <c r="CI30" s="105">
        <v>0</v>
      </c>
      <c r="CJ30" s="105">
        <v>0</v>
      </c>
      <c r="CK30" s="105">
        <v>0</v>
      </c>
      <c r="CL30" s="105">
        <v>0</v>
      </c>
      <c r="CM30" s="105">
        <v>0</v>
      </c>
      <c r="CN30" s="105">
        <v>0</v>
      </c>
      <c r="CO30" s="105">
        <v>0</v>
      </c>
      <c r="CP30" s="105">
        <v>0</v>
      </c>
      <c r="CQ30" s="105">
        <v>0</v>
      </c>
      <c r="CR30" s="105">
        <v>0</v>
      </c>
      <c r="CS30" s="105">
        <v>0</v>
      </c>
      <c r="CT30" s="105">
        <v>0</v>
      </c>
      <c r="CU30" s="105">
        <v>0</v>
      </c>
    </row>
    <row r="31" spans="2:99" x14ac:dyDescent="0.25">
      <c r="C31" s="104" t="s">
        <v>196</v>
      </c>
      <c r="D31" s="105">
        <v>0</v>
      </c>
      <c r="E31" s="105">
        <v>0</v>
      </c>
      <c r="F31" s="105">
        <v>0</v>
      </c>
      <c r="G31" s="105">
        <v>0</v>
      </c>
      <c r="H31" s="105">
        <v>0</v>
      </c>
      <c r="I31" s="105">
        <v>0</v>
      </c>
      <c r="J31" s="105">
        <v>0</v>
      </c>
      <c r="K31" s="105">
        <v>0</v>
      </c>
      <c r="L31" s="105">
        <v>0</v>
      </c>
      <c r="M31" s="105">
        <v>0</v>
      </c>
      <c r="N31" s="105">
        <v>0</v>
      </c>
      <c r="O31" s="105">
        <v>0</v>
      </c>
      <c r="P31" s="105">
        <v>0</v>
      </c>
      <c r="Q31" s="105">
        <v>0</v>
      </c>
      <c r="R31" s="105">
        <v>0</v>
      </c>
      <c r="S31" s="105">
        <v>0</v>
      </c>
      <c r="T31" s="105">
        <v>0</v>
      </c>
      <c r="U31" s="105">
        <v>0</v>
      </c>
      <c r="V31" s="105">
        <v>0</v>
      </c>
      <c r="W31" s="105">
        <v>0</v>
      </c>
      <c r="X31" s="105">
        <v>0</v>
      </c>
      <c r="Y31" s="105">
        <v>0</v>
      </c>
      <c r="Z31" s="105">
        <v>0</v>
      </c>
      <c r="AA31" s="105">
        <v>0</v>
      </c>
      <c r="AB31" s="105">
        <v>0</v>
      </c>
      <c r="AC31" s="105">
        <v>0</v>
      </c>
      <c r="AD31" s="105">
        <v>0</v>
      </c>
      <c r="AE31" s="105">
        <v>0</v>
      </c>
      <c r="AF31" s="105">
        <v>0</v>
      </c>
      <c r="AG31" s="105">
        <v>0</v>
      </c>
      <c r="AH31" s="105">
        <v>0</v>
      </c>
      <c r="AI31" s="105">
        <v>0</v>
      </c>
      <c r="AJ31" s="105">
        <v>0</v>
      </c>
      <c r="AK31" s="105">
        <v>0</v>
      </c>
      <c r="AL31" s="105">
        <v>0</v>
      </c>
      <c r="AM31" s="105">
        <v>0</v>
      </c>
      <c r="AN31" s="105">
        <v>0</v>
      </c>
      <c r="AO31" s="105">
        <v>0</v>
      </c>
      <c r="AP31" s="105">
        <v>0</v>
      </c>
      <c r="AQ31" s="105">
        <v>0</v>
      </c>
      <c r="AR31" s="105">
        <v>0</v>
      </c>
      <c r="AS31" s="105">
        <v>0</v>
      </c>
      <c r="AT31" s="105">
        <v>0</v>
      </c>
      <c r="AU31" s="105">
        <v>0</v>
      </c>
      <c r="AV31" s="105">
        <v>0</v>
      </c>
      <c r="AW31" s="105">
        <v>0</v>
      </c>
      <c r="AX31" s="105">
        <v>0</v>
      </c>
      <c r="AY31" s="105">
        <v>0</v>
      </c>
      <c r="AZ31" s="105">
        <v>0</v>
      </c>
      <c r="BA31" s="105">
        <v>0</v>
      </c>
      <c r="BB31" s="105">
        <v>0</v>
      </c>
      <c r="BC31" s="105">
        <v>0</v>
      </c>
      <c r="BD31" s="105">
        <v>0</v>
      </c>
      <c r="BE31" s="105">
        <v>0</v>
      </c>
      <c r="BF31" s="105">
        <v>0</v>
      </c>
      <c r="BG31" s="105">
        <v>0</v>
      </c>
      <c r="BH31" s="105">
        <v>0</v>
      </c>
      <c r="BI31" s="105">
        <v>0</v>
      </c>
      <c r="BJ31" s="105">
        <v>0</v>
      </c>
      <c r="BK31" s="105">
        <v>0</v>
      </c>
      <c r="BL31" s="105">
        <v>0</v>
      </c>
      <c r="BM31" s="105">
        <v>0</v>
      </c>
      <c r="BN31" s="105">
        <v>0</v>
      </c>
      <c r="BO31" s="105">
        <v>0</v>
      </c>
      <c r="BP31" s="105">
        <v>0</v>
      </c>
      <c r="BQ31" s="105">
        <v>0</v>
      </c>
      <c r="BR31" s="105">
        <v>0</v>
      </c>
      <c r="BS31" s="105">
        <v>0</v>
      </c>
      <c r="BT31" s="105">
        <v>0</v>
      </c>
      <c r="BU31" s="105">
        <v>0</v>
      </c>
      <c r="BV31" s="105">
        <v>0</v>
      </c>
      <c r="BW31" s="105">
        <v>0</v>
      </c>
      <c r="BX31" s="105">
        <v>0</v>
      </c>
      <c r="BY31" s="105">
        <v>0</v>
      </c>
      <c r="BZ31" s="105">
        <v>0</v>
      </c>
      <c r="CA31" s="105">
        <v>0</v>
      </c>
      <c r="CB31" s="105">
        <v>0</v>
      </c>
      <c r="CC31" s="105">
        <v>0</v>
      </c>
      <c r="CD31" s="105">
        <v>0</v>
      </c>
      <c r="CE31" s="105">
        <v>0</v>
      </c>
      <c r="CF31" s="105">
        <v>0</v>
      </c>
      <c r="CG31" s="105">
        <v>0</v>
      </c>
      <c r="CH31" s="105">
        <v>0</v>
      </c>
      <c r="CI31" s="105">
        <v>0</v>
      </c>
      <c r="CJ31" s="105">
        <v>0</v>
      </c>
      <c r="CK31" s="105">
        <v>0</v>
      </c>
      <c r="CL31" s="105">
        <v>0</v>
      </c>
      <c r="CM31" s="105">
        <v>0</v>
      </c>
      <c r="CN31" s="105">
        <v>0</v>
      </c>
      <c r="CO31" s="105">
        <v>0</v>
      </c>
      <c r="CP31" s="105">
        <v>0</v>
      </c>
      <c r="CQ31" s="105">
        <v>0</v>
      </c>
      <c r="CR31" s="105">
        <v>0</v>
      </c>
      <c r="CS31" s="105">
        <v>0</v>
      </c>
      <c r="CT31" s="105">
        <v>0</v>
      </c>
      <c r="CU31" s="105">
        <v>0</v>
      </c>
    </row>
    <row r="32" spans="2:99" x14ac:dyDescent="0.25">
      <c r="C32" s="104" t="s">
        <v>197</v>
      </c>
      <c r="D32" s="105">
        <v>0</v>
      </c>
      <c r="E32" s="105">
        <v>0</v>
      </c>
      <c r="F32" s="105">
        <v>0</v>
      </c>
      <c r="G32" s="105">
        <v>0</v>
      </c>
      <c r="H32" s="105">
        <v>0</v>
      </c>
      <c r="I32" s="105">
        <v>0</v>
      </c>
      <c r="J32" s="105">
        <v>0</v>
      </c>
      <c r="K32" s="105">
        <v>0</v>
      </c>
      <c r="L32" s="105">
        <v>0</v>
      </c>
      <c r="M32" s="105">
        <v>0</v>
      </c>
      <c r="N32" s="105">
        <v>0</v>
      </c>
      <c r="O32" s="105">
        <v>0</v>
      </c>
      <c r="P32" s="105">
        <v>0</v>
      </c>
      <c r="Q32" s="105">
        <v>0</v>
      </c>
      <c r="R32" s="105">
        <v>0</v>
      </c>
      <c r="S32" s="105">
        <v>0</v>
      </c>
      <c r="T32" s="105">
        <v>0</v>
      </c>
      <c r="U32" s="105">
        <v>0</v>
      </c>
      <c r="V32" s="105">
        <v>0</v>
      </c>
      <c r="W32" s="105">
        <v>0</v>
      </c>
      <c r="X32" s="105">
        <v>0</v>
      </c>
      <c r="Y32" s="105">
        <v>0</v>
      </c>
      <c r="Z32" s="105">
        <v>0</v>
      </c>
      <c r="AA32" s="105">
        <v>0</v>
      </c>
      <c r="AB32" s="105">
        <v>0</v>
      </c>
      <c r="AC32" s="105">
        <v>0</v>
      </c>
      <c r="AD32" s="105">
        <v>0</v>
      </c>
      <c r="AE32" s="105">
        <v>0</v>
      </c>
      <c r="AF32" s="105">
        <v>0</v>
      </c>
      <c r="AG32" s="105">
        <v>0</v>
      </c>
      <c r="AH32" s="105">
        <v>0</v>
      </c>
      <c r="AI32" s="105">
        <v>0</v>
      </c>
      <c r="AJ32" s="105">
        <v>0</v>
      </c>
      <c r="AK32" s="105">
        <v>0</v>
      </c>
      <c r="AL32" s="105">
        <v>0</v>
      </c>
      <c r="AM32" s="105">
        <v>0</v>
      </c>
      <c r="AN32" s="105">
        <v>0</v>
      </c>
      <c r="AO32" s="105">
        <v>0</v>
      </c>
      <c r="AP32" s="105">
        <v>0</v>
      </c>
      <c r="AQ32" s="105">
        <v>0</v>
      </c>
      <c r="AR32" s="105">
        <v>0</v>
      </c>
      <c r="AS32" s="105">
        <v>0</v>
      </c>
      <c r="AT32" s="105">
        <v>0</v>
      </c>
      <c r="AU32" s="105">
        <v>0</v>
      </c>
      <c r="AV32" s="105">
        <v>0</v>
      </c>
      <c r="AW32" s="105">
        <v>0</v>
      </c>
      <c r="AX32" s="105">
        <v>0</v>
      </c>
      <c r="AY32" s="105">
        <v>0</v>
      </c>
      <c r="AZ32" s="105">
        <v>0</v>
      </c>
      <c r="BA32" s="105">
        <v>0</v>
      </c>
      <c r="BB32" s="105">
        <v>0</v>
      </c>
      <c r="BC32" s="105">
        <v>0</v>
      </c>
      <c r="BD32" s="105">
        <v>0</v>
      </c>
      <c r="BE32" s="105">
        <v>0</v>
      </c>
      <c r="BF32" s="105">
        <v>0</v>
      </c>
      <c r="BG32" s="105">
        <v>0</v>
      </c>
      <c r="BH32" s="105">
        <v>0</v>
      </c>
      <c r="BI32" s="105">
        <v>0</v>
      </c>
      <c r="BJ32" s="105">
        <v>0</v>
      </c>
      <c r="BK32" s="105">
        <v>0</v>
      </c>
      <c r="BL32" s="105">
        <v>0</v>
      </c>
      <c r="BM32" s="105">
        <v>0</v>
      </c>
      <c r="BN32" s="105">
        <v>0</v>
      </c>
      <c r="BO32" s="105">
        <v>0</v>
      </c>
      <c r="BP32" s="105">
        <v>0</v>
      </c>
      <c r="BQ32" s="105">
        <v>0</v>
      </c>
      <c r="BR32" s="105">
        <v>0</v>
      </c>
      <c r="BS32" s="105">
        <v>0</v>
      </c>
      <c r="BT32" s="105">
        <v>0</v>
      </c>
      <c r="BU32" s="105">
        <v>0</v>
      </c>
      <c r="BV32" s="105">
        <v>0</v>
      </c>
      <c r="BW32" s="105">
        <v>0</v>
      </c>
      <c r="BX32" s="105">
        <v>0</v>
      </c>
      <c r="BY32" s="105">
        <v>0</v>
      </c>
      <c r="BZ32" s="105">
        <v>0</v>
      </c>
      <c r="CA32" s="105">
        <v>0</v>
      </c>
      <c r="CB32" s="105">
        <v>0</v>
      </c>
      <c r="CC32" s="105">
        <v>0</v>
      </c>
      <c r="CD32" s="105">
        <v>0</v>
      </c>
      <c r="CE32" s="105">
        <v>0</v>
      </c>
      <c r="CF32" s="105">
        <v>0</v>
      </c>
      <c r="CG32" s="105">
        <v>0</v>
      </c>
      <c r="CH32" s="105">
        <v>0</v>
      </c>
      <c r="CI32" s="105">
        <v>0</v>
      </c>
      <c r="CJ32" s="105">
        <v>0</v>
      </c>
      <c r="CK32" s="105">
        <v>0</v>
      </c>
      <c r="CL32" s="105">
        <v>0</v>
      </c>
      <c r="CM32" s="105">
        <v>0</v>
      </c>
      <c r="CN32" s="105">
        <v>0</v>
      </c>
      <c r="CO32" s="105">
        <v>0</v>
      </c>
      <c r="CP32" s="105">
        <v>0</v>
      </c>
      <c r="CQ32" s="105">
        <v>0</v>
      </c>
      <c r="CR32" s="105">
        <v>0</v>
      </c>
      <c r="CS32" s="105">
        <v>0</v>
      </c>
      <c r="CT32" s="105">
        <v>0</v>
      </c>
      <c r="CU32" s="105">
        <v>0</v>
      </c>
    </row>
    <row r="33" spans="2:99" x14ac:dyDescent="0.25">
      <c r="C33" s="104" t="s">
        <v>198</v>
      </c>
      <c r="D33" s="105">
        <v>0</v>
      </c>
      <c r="E33" s="105">
        <v>0</v>
      </c>
      <c r="F33" s="105">
        <v>0</v>
      </c>
      <c r="G33" s="105">
        <v>0</v>
      </c>
      <c r="H33" s="105">
        <v>0</v>
      </c>
      <c r="I33" s="105">
        <v>0</v>
      </c>
      <c r="J33" s="105">
        <v>0</v>
      </c>
      <c r="K33" s="105">
        <v>0</v>
      </c>
      <c r="L33" s="105">
        <v>0</v>
      </c>
      <c r="M33" s="105">
        <v>0</v>
      </c>
      <c r="N33" s="105">
        <v>0</v>
      </c>
      <c r="O33" s="105">
        <v>0</v>
      </c>
      <c r="P33" s="105">
        <v>0</v>
      </c>
      <c r="Q33" s="105">
        <v>0</v>
      </c>
      <c r="R33" s="105">
        <v>0</v>
      </c>
      <c r="S33" s="105">
        <v>0</v>
      </c>
      <c r="T33" s="105">
        <v>0</v>
      </c>
      <c r="U33" s="105">
        <v>0</v>
      </c>
      <c r="V33" s="105">
        <v>0</v>
      </c>
      <c r="W33" s="105">
        <v>0</v>
      </c>
      <c r="X33" s="105">
        <v>0</v>
      </c>
      <c r="Y33" s="105">
        <v>0</v>
      </c>
      <c r="Z33" s="105">
        <v>0</v>
      </c>
      <c r="AA33" s="105">
        <v>0</v>
      </c>
      <c r="AB33" s="105">
        <v>0</v>
      </c>
      <c r="AC33" s="105">
        <v>0</v>
      </c>
      <c r="AD33" s="105">
        <v>0</v>
      </c>
      <c r="AE33" s="105">
        <v>0</v>
      </c>
      <c r="AF33" s="105">
        <v>0</v>
      </c>
      <c r="AG33" s="105">
        <v>0</v>
      </c>
      <c r="AH33" s="105">
        <v>0</v>
      </c>
      <c r="AI33" s="105">
        <v>0</v>
      </c>
      <c r="AJ33" s="105">
        <v>0</v>
      </c>
      <c r="AK33" s="105">
        <v>0</v>
      </c>
      <c r="AL33" s="105">
        <v>0</v>
      </c>
      <c r="AM33" s="105">
        <v>0</v>
      </c>
      <c r="AN33" s="105">
        <v>0</v>
      </c>
      <c r="AO33" s="105">
        <v>0</v>
      </c>
      <c r="AP33" s="105">
        <v>0</v>
      </c>
      <c r="AQ33" s="105">
        <v>0</v>
      </c>
      <c r="AR33" s="105">
        <v>0</v>
      </c>
      <c r="AS33" s="105">
        <v>0</v>
      </c>
      <c r="AT33" s="105">
        <v>0</v>
      </c>
      <c r="AU33" s="105">
        <v>0</v>
      </c>
      <c r="AV33" s="105">
        <v>0</v>
      </c>
      <c r="AW33" s="105">
        <v>0</v>
      </c>
      <c r="AX33" s="105">
        <v>0</v>
      </c>
      <c r="AY33" s="105">
        <v>0</v>
      </c>
      <c r="AZ33" s="105">
        <v>0</v>
      </c>
      <c r="BA33" s="105">
        <v>0</v>
      </c>
      <c r="BB33" s="105">
        <v>0</v>
      </c>
      <c r="BC33" s="105">
        <v>0</v>
      </c>
      <c r="BD33" s="105">
        <v>0</v>
      </c>
      <c r="BE33" s="105">
        <v>0</v>
      </c>
      <c r="BF33" s="105">
        <v>0</v>
      </c>
      <c r="BG33" s="105">
        <v>0</v>
      </c>
      <c r="BH33" s="105">
        <v>0</v>
      </c>
      <c r="BI33" s="105">
        <v>0</v>
      </c>
      <c r="BJ33" s="105">
        <v>0</v>
      </c>
      <c r="BK33" s="105">
        <v>0</v>
      </c>
      <c r="BL33" s="105">
        <v>0</v>
      </c>
      <c r="BM33" s="105">
        <v>0</v>
      </c>
      <c r="BN33" s="105">
        <v>0</v>
      </c>
      <c r="BO33" s="105">
        <v>0</v>
      </c>
      <c r="BP33" s="105">
        <v>0</v>
      </c>
      <c r="BQ33" s="105">
        <v>0</v>
      </c>
      <c r="BR33" s="105">
        <v>0</v>
      </c>
      <c r="BS33" s="105">
        <v>0</v>
      </c>
      <c r="BT33" s="105">
        <v>0</v>
      </c>
      <c r="BU33" s="105">
        <v>0</v>
      </c>
      <c r="BV33" s="105">
        <v>0</v>
      </c>
      <c r="BW33" s="105">
        <v>0</v>
      </c>
      <c r="BX33" s="105">
        <v>0</v>
      </c>
      <c r="BY33" s="105">
        <v>0</v>
      </c>
      <c r="BZ33" s="105">
        <v>0</v>
      </c>
      <c r="CA33" s="105">
        <v>0</v>
      </c>
      <c r="CB33" s="105">
        <v>0</v>
      </c>
      <c r="CC33" s="105">
        <v>0</v>
      </c>
      <c r="CD33" s="105">
        <v>0</v>
      </c>
      <c r="CE33" s="105">
        <v>0</v>
      </c>
      <c r="CF33" s="105">
        <v>0</v>
      </c>
      <c r="CG33" s="105">
        <v>0</v>
      </c>
      <c r="CH33" s="105">
        <v>0</v>
      </c>
      <c r="CI33" s="105">
        <v>0</v>
      </c>
      <c r="CJ33" s="105">
        <v>0</v>
      </c>
      <c r="CK33" s="105">
        <v>0</v>
      </c>
      <c r="CL33" s="105">
        <v>0</v>
      </c>
      <c r="CM33" s="105">
        <v>0</v>
      </c>
      <c r="CN33" s="105">
        <v>0</v>
      </c>
      <c r="CO33" s="105">
        <v>0</v>
      </c>
      <c r="CP33" s="105">
        <v>0</v>
      </c>
      <c r="CQ33" s="105">
        <v>0</v>
      </c>
      <c r="CR33" s="105">
        <v>0</v>
      </c>
      <c r="CS33" s="105">
        <v>0</v>
      </c>
      <c r="CT33" s="105">
        <v>0</v>
      </c>
      <c r="CU33" s="105">
        <v>0</v>
      </c>
    </row>
    <row r="34" spans="2:99" x14ac:dyDescent="0.25">
      <c r="C34" s="104" t="s">
        <v>199</v>
      </c>
      <c r="D34" s="105">
        <v>0</v>
      </c>
      <c r="E34" s="105">
        <v>0</v>
      </c>
      <c r="F34" s="105">
        <v>0</v>
      </c>
      <c r="G34" s="105">
        <v>0</v>
      </c>
      <c r="H34" s="105">
        <v>0</v>
      </c>
      <c r="I34" s="105">
        <v>0</v>
      </c>
      <c r="J34" s="105">
        <v>0</v>
      </c>
      <c r="K34" s="105">
        <v>0</v>
      </c>
      <c r="L34" s="105">
        <v>0</v>
      </c>
      <c r="M34" s="105">
        <v>0</v>
      </c>
      <c r="N34" s="105">
        <v>0</v>
      </c>
      <c r="O34" s="105">
        <v>0</v>
      </c>
      <c r="P34" s="105">
        <v>0</v>
      </c>
      <c r="Q34" s="105">
        <v>0</v>
      </c>
      <c r="R34" s="105">
        <v>0</v>
      </c>
      <c r="S34" s="105">
        <v>0</v>
      </c>
      <c r="T34" s="105">
        <v>0</v>
      </c>
      <c r="U34" s="105">
        <v>0</v>
      </c>
      <c r="V34" s="105">
        <v>0</v>
      </c>
      <c r="W34" s="105">
        <v>0</v>
      </c>
      <c r="X34" s="105">
        <v>0</v>
      </c>
      <c r="Y34" s="105">
        <v>0</v>
      </c>
      <c r="Z34" s="105">
        <v>0</v>
      </c>
      <c r="AA34" s="105">
        <v>0</v>
      </c>
      <c r="AB34" s="105">
        <v>0</v>
      </c>
      <c r="AC34" s="105">
        <v>0</v>
      </c>
      <c r="AD34" s="105">
        <v>0</v>
      </c>
      <c r="AE34" s="105">
        <v>0</v>
      </c>
      <c r="AF34" s="105">
        <v>0</v>
      </c>
      <c r="AG34" s="105">
        <v>0</v>
      </c>
      <c r="AH34" s="105">
        <v>0</v>
      </c>
      <c r="AI34" s="105">
        <v>0</v>
      </c>
      <c r="AJ34" s="105">
        <v>0</v>
      </c>
      <c r="AK34" s="105">
        <v>0</v>
      </c>
      <c r="AL34" s="105">
        <v>0</v>
      </c>
      <c r="AM34" s="105">
        <v>0</v>
      </c>
      <c r="AN34" s="105">
        <v>0</v>
      </c>
      <c r="AO34" s="105">
        <v>0</v>
      </c>
      <c r="AP34" s="105">
        <v>0</v>
      </c>
      <c r="AQ34" s="105">
        <v>0</v>
      </c>
      <c r="AR34" s="105">
        <v>0</v>
      </c>
      <c r="AS34" s="105">
        <v>0</v>
      </c>
      <c r="AT34" s="105">
        <v>0</v>
      </c>
      <c r="AU34" s="105">
        <v>0</v>
      </c>
      <c r="AV34" s="105">
        <v>0</v>
      </c>
      <c r="AW34" s="105">
        <v>0</v>
      </c>
      <c r="AX34" s="105">
        <v>0</v>
      </c>
      <c r="AY34" s="105">
        <v>0</v>
      </c>
      <c r="AZ34" s="105">
        <v>0</v>
      </c>
      <c r="BA34" s="105">
        <v>0</v>
      </c>
      <c r="BB34" s="105">
        <v>0</v>
      </c>
      <c r="BC34" s="105">
        <v>0</v>
      </c>
      <c r="BD34" s="105">
        <v>0</v>
      </c>
      <c r="BE34" s="105">
        <v>0</v>
      </c>
      <c r="BF34" s="105">
        <v>0</v>
      </c>
      <c r="BG34" s="105">
        <v>0</v>
      </c>
      <c r="BH34" s="105">
        <v>0</v>
      </c>
      <c r="BI34" s="105">
        <v>0</v>
      </c>
      <c r="BJ34" s="105">
        <v>0</v>
      </c>
      <c r="BK34" s="105">
        <v>0</v>
      </c>
      <c r="BL34" s="105">
        <v>0</v>
      </c>
      <c r="BM34" s="105">
        <v>0</v>
      </c>
      <c r="BN34" s="105">
        <v>0</v>
      </c>
      <c r="BO34" s="105">
        <v>0</v>
      </c>
      <c r="BP34" s="105">
        <v>0</v>
      </c>
      <c r="BQ34" s="105">
        <v>0</v>
      </c>
      <c r="BR34" s="105">
        <v>0</v>
      </c>
      <c r="BS34" s="105">
        <v>0</v>
      </c>
      <c r="BT34" s="105">
        <v>0</v>
      </c>
      <c r="BU34" s="105">
        <v>0</v>
      </c>
      <c r="BV34" s="105">
        <v>0</v>
      </c>
      <c r="BW34" s="105">
        <v>0</v>
      </c>
      <c r="BX34" s="105">
        <v>0</v>
      </c>
      <c r="BY34" s="105">
        <v>0</v>
      </c>
      <c r="BZ34" s="105">
        <v>0</v>
      </c>
      <c r="CA34" s="105">
        <v>0</v>
      </c>
      <c r="CB34" s="105">
        <v>0</v>
      </c>
      <c r="CC34" s="105">
        <v>0</v>
      </c>
      <c r="CD34" s="105">
        <v>0</v>
      </c>
      <c r="CE34" s="105">
        <v>0</v>
      </c>
      <c r="CF34" s="105">
        <v>0</v>
      </c>
      <c r="CG34" s="105">
        <v>0</v>
      </c>
      <c r="CH34" s="105">
        <v>0</v>
      </c>
      <c r="CI34" s="105">
        <v>0</v>
      </c>
      <c r="CJ34" s="105">
        <v>0</v>
      </c>
      <c r="CK34" s="105">
        <v>0</v>
      </c>
      <c r="CL34" s="105">
        <v>0</v>
      </c>
      <c r="CM34" s="105">
        <v>0</v>
      </c>
      <c r="CN34" s="105">
        <v>0</v>
      </c>
      <c r="CO34" s="105">
        <v>0</v>
      </c>
      <c r="CP34" s="105">
        <v>0</v>
      </c>
      <c r="CQ34" s="105">
        <v>0</v>
      </c>
      <c r="CR34" s="105">
        <v>0</v>
      </c>
      <c r="CS34" s="105">
        <v>0</v>
      </c>
      <c r="CT34" s="105">
        <v>0</v>
      </c>
      <c r="CU34" s="105">
        <v>0</v>
      </c>
    </row>
    <row r="35" spans="2:99" x14ac:dyDescent="0.25">
      <c r="C35" s="104" t="s">
        <v>200</v>
      </c>
      <c r="D35" s="105">
        <v>0</v>
      </c>
      <c r="E35" s="105">
        <v>0</v>
      </c>
      <c r="F35" s="105">
        <v>0</v>
      </c>
      <c r="G35" s="105">
        <v>0</v>
      </c>
      <c r="H35" s="105">
        <v>0</v>
      </c>
      <c r="I35" s="105">
        <v>0</v>
      </c>
      <c r="J35" s="105">
        <v>0</v>
      </c>
      <c r="K35" s="105">
        <v>0</v>
      </c>
      <c r="L35" s="105">
        <v>0</v>
      </c>
      <c r="M35" s="105">
        <v>0</v>
      </c>
      <c r="N35" s="105">
        <v>0</v>
      </c>
      <c r="O35" s="105">
        <v>0</v>
      </c>
      <c r="P35" s="105">
        <v>0</v>
      </c>
      <c r="Q35" s="105">
        <v>0</v>
      </c>
      <c r="R35" s="105">
        <v>0</v>
      </c>
      <c r="S35" s="105">
        <v>0</v>
      </c>
      <c r="T35" s="105">
        <v>0</v>
      </c>
      <c r="U35" s="105">
        <v>0</v>
      </c>
      <c r="V35" s="105">
        <v>0</v>
      </c>
      <c r="W35" s="105">
        <v>0</v>
      </c>
      <c r="X35" s="105">
        <v>0</v>
      </c>
      <c r="Y35" s="105">
        <v>0</v>
      </c>
      <c r="Z35" s="105">
        <v>0</v>
      </c>
      <c r="AA35" s="105">
        <v>0</v>
      </c>
      <c r="AB35" s="105">
        <v>0</v>
      </c>
      <c r="AC35" s="105">
        <v>0</v>
      </c>
      <c r="AD35" s="105">
        <v>0</v>
      </c>
      <c r="AE35" s="105">
        <v>0</v>
      </c>
      <c r="AF35" s="105">
        <v>0</v>
      </c>
      <c r="AG35" s="105">
        <v>0</v>
      </c>
      <c r="AH35" s="105">
        <v>0</v>
      </c>
      <c r="AI35" s="105">
        <v>0</v>
      </c>
      <c r="AJ35" s="105">
        <v>0</v>
      </c>
      <c r="AK35" s="105">
        <v>0</v>
      </c>
      <c r="AL35" s="105">
        <v>0</v>
      </c>
      <c r="AM35" s="105">
        <v>0</v>
      </c>
      <c r="AN35" s="105">
        <v>0</v>
      </c>
      <c r="AO35" s="105">
        <v>0</v>
      </c>
      <c r="AP35" s="105">
        <v>0</v>
      </c>
      <c r="AQ35" s="105">
        <v>0</v>
      </c>
      <c r="AR35" s="105">
        <v>0</v>
      </c>
      <c r="AS35" s="105">
        <v>0</v>
      </c>
      <c r="AT35" s="105">
        <v>0</v>
      </c>
      <c r="AU35" s="105">
        <v>0</v>
      </c>
      <c r="AV35" s="105">
        <v>0</v>
      </c>
      <c r="AW35" s="105">
        <v>0</v>
      </c>
      <c r="AX35" s="105">
        <v>0</v>
      </c>
      <c r="AY35" s="105">
        <v>0</v>
      </c>
      <c r="AZ35" s="105">
        <v>0</v>
      </c>
      <c r="BA35" s="105">
        <v>0</v>
      </c>
      <c r="BB35" s="105">
        <v>0</v>
      </c>
      <c r="BC35" s="105">
        <v>0</v>
      </c>
      <c r="BD35" s="105">
        <v>0</v>
      </c>
      <c r="BE35" s="105">
        <v>0</v>
      </c>
      <c r="BF35" s="105">
        <v>0</v>
      </c>
      <c r="BG35" s="105">
        <v>0</v>
      </c>
      <c r="BH35" s="105">
        <v>0</v>
      </c>
      <c r="BI35" s="105">
        <v>0</v>
      </c>
      <c r="BJ35" s="105">
        <v>0</v>
      </c>
      <c r="BK35" s="105">
        <v>0</v>
      </c>
      <c r="BL35" s="105">
        <v>0</v>
      </c>
      <c r="BM35" s="105">
        <v>0</v>
      </c>
      <c r="BN35" s="105">
        <v>0</v>
      </c>
      <c r="BO35" s="105">
        <v>0</v>
      </c>
      <c r="BP35" s="105">
        <v>0</v>
      </c>
      <c r="BQ35" s="105">
        <v>0</v>
      </c>
      <c r="BR35" s="105">
        <v>0</v>
      </c>
      <c r="BS35" s="105">
        <v>0</v>
      </c>
      <c r="BT35" s="105">
        <v>0</v>
      </c>
      <c r="BU35" s="105">
        <v>0</v>
      </c>
      <c r="BV35" s="105">
        <v>0</v>
      </c>
      <c r="BW35" s="105">
        <v>0</v>
      </c>
      <c r="BX35" s="105">
        <v>0</v>
      </c>
      <c r="BY35" s="105">
        <v>0</v>
      </c>
      <c r="BZ35" s="105">
        <v>0</v>
      </c>
      <c r="CA35" s="105">
        <v>0</v>
      </c>
      <c r="CB35" s="105">
        <v>0</v>
      </c>
      <c r="CC35" s="105">
        <v>0</v>
      </c>
      <c r="CD35" s="105">
        <v>0</v>
      </c>
      <c r="CE35" s="105">
        <v>0</v>
      </c>
      <c r="CF35" s="105">
        <v>0</v>
      </c>
      <c r="CG35" s="105">
        <v>0</v>
      </c>
      <c r="CH35" s="105">
        <v>0</v>
      </c>
      <c r="CI35" s="105">
        <v>0</v>
      </c>
      <c r="CJ35" s="105">
        <v>0</v>
      </c>
      <c r="CK35" s="105">
        <v>0</v>
      </c>
      <c r="CL35" s="105">
        <v>0</v>
      </c>
      <c r="CM35" s="105">
        <v>0</v>
      </c>
      <c r="CN35" s="105">
        <v>0</v>
      </c>
      <c r="CO35" s="105">
        <v>0</v>
      </c>
      <c r="CP35" s="105">
        <v>0</v>
      </c>
      <c r="CQ35" s="105">
        <v>0</v>
      </c>
      <c r="CR35" s="105">
        <v>0</v>
      </c>
      <c r="CS35" s="105">
        <v>0</v>
      </c>
      <c r="CT35" s="105">
        <v>0</v>
      </c>
      <c r="CU35" s="105">
        <v>0</v>
      </c>
    </row>
    <row r="36" spans="2:99" x14ac:dyDescent="0.25">
      <c r="C36" s="104" t="s">
        <v>201</v>
      </c>
      <c r="D36" s="105">
        <v>0</v>
      </c>
      <c r="E36" s="105">
        <v>0</v>
      </c>
      <c r="F36" s="105">
        <v>0</v>
      </c>
      <c r="G36" s="105">
        <v>0</v>
      </c>
      <c r="H36" s="105">
        <v>0</v>
      </c>
      <c r="I36" s="105">
        <v>0</v>
      </c>
      <c r="J36" s="105">
        <v>0</v>
      </c>
      <c r="K36" s="105">
        <v>0</v>
      </c>
      <c r="L36" s="105">
        <v>0</v>
      </c>
      <c r="M36" s="105">
        <v>0</v>
      </c>
      <c r="N36" s="105">
        <v>0</v>
      </c>
      <c r="O36" s="105">
        <v>0</v>
      </c>
      <c r="P36" s="105">
        <v>0</v>
      </c>
      <c r="Q36" s="105">
        <v>0</v>
      </c>
      <c r="R36" s="105">
        <v>0</v>
      </c>
      <c r="S36" s="105">
        <v>0</v>
      </c>
      <c r="T36" s="105">
        <v>0</v>
      </c>
      <c r="U36" s="105">
        <v>0</v>
      </c>
      <c r="V36" s="105">
        <v>0</v>
      </c>
      <c r="W36" s="105">
        <v>0</v>
      </c>
      <c r="X36" s="105">
        <v>0</v>
      </c>
      <c r="Y36" s="105">
        <v>0</v>
      </c>
      <c r="Z36" s="105">
        <v>0</v>
      </c>
      <c r="AA36" s="105">
        <v>0</v>
      </c>
      <c r="AB36" s="105">
        <v>0</v>
      </c>
      <c r="AC36" s="105">
        <v>0</v>
      </c>
      <c r="AD36" s="105">
        <v>0</v>
      </c>
      <c r="AE36" s="105">
        <v>0</v>
      </c>
      <c r="AF36" s="105">
        <v>0</v>
      </c>
      <c r="AG36" s="105">
        <v>0</v>
      </c>
      <c r="AH36" s="105">
        <v>0</v>
      </c>
      <c r="AI36" s="105">
        <v>0</v>
      </c>
      <c r="AJ36" s="105">
        <v>0</v>
      </c>
      <c r="AK36" s="105">
        <v>0</v>
      </c>
      <c r="AL36" s="105">
        <v>0</v>
      </c>
      <c r="AM36" s="105">
        <v>0</v>
      </c>
      <c r="AN36" s="105">
        <v>0</v>
      </c>
      <c r="AO36" s="105">
        <v>0</v>
      </c>
      <c r="AP36" s="105">
        <v>0</v>
      </c>
      <c r="AQ36" s="105">
        <v>0</v>
      </c>
      <c r="AR36" s="105">
        <v>0</v>
      </c>
      <c r="AS36" s="105">
        <v>0</v>
      </c>
      <c r="AT36" s="105">
        <v>0</v>
      </c>
      <c r="AU36" s="105">
        <v>0</v>
      </c>
      <c r="AV36" s="105">
        <v>0</v>
      </c>
      <c r="AW36" s="105">
        <v>0</v>
      </c>
      <c r="AX36" s="105">
        <v>0</v>
      </c>
      <c r="AY36" s="105">
        <v>0</v>
      </c>
      <c r="AZ36" s="105">
        <v>0</v>
      </c>
      <c r="BA36" s="105">
        <v>0</v>
      </c>
      <c r="BB36" s="105">
        <v>0</v>
      </c>
      <c r="BC36" s="105">
        <v>0</v>
      </c>
      <c r="BD36" s="105">
        <v>0</v>
      </c>
      <c r="BE36" s="105">
        <v>0</v>
      </c>
      <c r="BF36" s="105">
        <v>0</v>
      </c>
      <c r="BG36" s="105">
        <v>0</v>
      </c>
      <c r="BH36" s="105">
        <v>0</v>
      </c>
      <c r="BI36" s="105">
        <v>0</v>
      </c>
      <c r="BJ36" s="105">
        <v>0</v>
      </c>
      <c r="BK36" s="105">
        <v>0</v>
      </c>
      <c r="BL36" s="105">
        <v>0</v>
      </c>
      <c r="BM36" s="105">
        <v>0</v>
      </c>
      <c r="BN36" s="105">
        <v>0</v>
      </c>
      <c r="BO36" s="105">
        <v>0</v>
      </c>
      <c r="BP36" s="105">
        <v>0</v>
      </c>
      <c r="BQ36" s="105">
        <v>0</v>
      </c>
      <c r="BR36" s="105">
        <v>0</v>
      </c>
      <c r="BS36" s="105">
        <v>0</v>
      </c>
      <c r="BT36" s="105">
        <v>0</v>
      </c>
      <c r="BU36" s="105">
        <v>0</v>
      </c>
      <c r="BV36" s="105">
        <v>0</v>
      </c>
      <c r="BW36" s="105">
        <v>0</v>
      </c>
      <c r="BX36" s="105">
        <v>0</v>
      </c>
      <c r="BY36" s="105">
        <v>0</v>
      </c>
      <c r="BZ36" s="105">
        <v>0</v>
      </c>
      <c r="CA36" s="105">
        <v>0</v>
      </c>
      <c r="CB36" s="105">
        <v>0</v>
      </c>
      <c r="CC36" s="105">
        <v>0</v>
      </c>
      <c r="CD36" s="105">
        <v>0</v>
      </c>
      <c r="CE36" s="105">
        <v>0</v>
      </c>
      <c r="CF36" s="105">
        <v>0</v>
      </c>
      <c r="CG36" s="105">
        <v>0</v>
      </c>
      <c r="CH36" s="105">
        <v>0</v>
      </c>
      <c r="CI36" s="105">
        <v>0</v>
      </c>
      <c r="CJ36" s="105">
        <v>0</v>
      </c>
      <c r="CK36" s="105">
        <v>0</v>
      </c>
      <c r="CL36" s="105">
        <v>0</v>
      </c>
      <c r="CM36" s="105">
        <v>0</v>
      </c>
      <c r="CN36" s="105">
        <v>0</v>
      </c>
      <c r="CO36" s="105">
        <v>0</v>
      </c>
      <c r="CP36" s="105">
        <v>0</v>
      </c>
      <c r="CQ36" s="105">
        <v>0</v>
      </c>
      <c r="CR36" s="105">
        <v>0</v>
      </c>
      <c r="CS36" s="105">
        <v>0</v>
      </c>
      <c r="CT36" s="105">
        <v>0</v>
      </c>
      <c r="CU36" s="105">
        <v>0</v>
      </c>
    </row>
    <row r="37" spans="2:99" x14ac:dyDescent="0.25">
      <c r="B37" s="104" t="s">
        <v>128</v>
      </c>
      <c r="C37" s="104" t="s">
        <v>202</v>
      </c>
      <c r="D37" s="105">
        <v>0</v>
      </c>
      <c r="E37" s="105">
        <v>0</v>
      </c>
      <c r="F37" s="105">
        <v>0</v>
      </c>
      <c r="G37" s="105">
        <v>0</v>
      </c>
      <c r="H37" s="105">
        <v>0</v>
      </c>
      <c r="I37" s="105">
        <v>0</v>
      </c>
      <c r="J37" s="105">
        <v>0</v>
      </c>
      <c r="K37" s="105">
        <v>0</v>
      </c>
      <c r="L37" s="105">
        <v>0</v>
      </c>
      <c r="M37" s="105">
        <v>0</v>
      </c>
      <c r="N37" s="105">
        <v>0</v>
      </c>
      <c r="O37" s="105">
        <v>0</v>
      </c>
      <c r="P37" s="105">
        <v>0</v>
      </c>
      <c r="Q37" s="105">
        <v>0</v>
      </c>
      <c r="R37" s="105">
        <v>0</v>
      </c>
      <c r="S37" s="105">
        <v>0</v>
      </c>
      <c r="T37" s="105">
        <v>0</v>
      </c>
      <c r="U37" s="105">
        <v>0</v>
      </c>
      <c r="V37" s="105">
        <v>0</v>
      </c>
      <c r="W37" s="105">
        <v>0</v>
      </c>
      <c r="X37" s="105">
        <v>0</v>
      </c>
      <c r="Y37" s="105">
        <v>0</v>
      </c>
      <c r="Z37" s="105">
        <v>0</v>
      </c>
      <c r="AA37" s="105">
        <v>0</v>
      </c>
      <c r="AB37" s="105">
        <v>0</v>
      </c>
      <c r="AC37" s="105">
        <v>0</v>
      </c>
      <c r="AD37" s="105">
        <v>0</v>
      </c>
      <c r="AE37" s="105">
        <v>0</v>
      </c>
      <c r="AF37" s="105">
        <v>0</v>
      </c>
      <c r="AG37" s="105">
        <v>0</v>
      </c>
      <c r="AH37" s="105">
        <v>0</v>
      </c>
      <c r="AI37" s="105">
        <v>0</v>
      </c>
      <c r="AJ37" s="105">
        <v>0</v>
      </c>
      <c r="AK37" s="105">
        <v>0</v>
      </c>
      <c r="AL37" s="105">
        <v>0</v>
      </c>
      <c r="AM37" s="105">
        <v>0</v>
      </c>
      <c r="AN37" s="105">
        <v>0</v>
      </c>
      <c r="AO37" s="105">
        <v>0</v>
      </c>
      <c r="AP37" s="105">
        <v>0</v>
      </c>
      <c r="AQ37" s="105">
        <v>0</v>
      </c>
      <c r="AR37" s="105">
        <v>0</v>
      </c>
      <c r="AS37" s="105">
        <v>0</v>
      </c>
      <c r="AT37" s="105">
        <v>0</v>
      </c>
      <c r="AU37" s="105">
        <v>0</v>
      </c>
      <c r="AV37" s="105">
        <v>0</v>
      </c>
      <c r="AW37" s="105">
        <v>0</v>
      </c>
      <c r="AX37" s="105">
        <v>0</v>
      </c>
      <c r="AY37" s="105">
        <v>0</v>
      </c>
      <c r="AZ37" s="105">
        <v>0</v>
      </c>
      <c r="BA37" s="105">
        <v>0</v>
      </c>
      <c r="BB37" s="105">
        <v>0</v>
      </c>
      <c r="BC37" s="105">
        <v>0</v>
      </c>
      <c r="BD37" s="105">
        <v>0</v>
      </c>
      <c r="BE37" s="105">
        <v>0</v>
      </c>
      <c r="BF37" s="105">
        <v>0</v>
      </c>
      <c r="BG37" s="105">
        <v>0</v>
      </c>
      <c r="BH37" s="105">
        <v>0</v>
      </c>
      <c r="BI37" s="105">
        <v>0</v>
      </c>
      <c r="BJ37" s="105">
        <v>0</v>
      </c>
      <c r="BK37" s="105">
        <v>0</v>
      </c>
      <c r="BL37" s="105">
        <v>0</v>
      </c>
      <c r="BM37" s="105">
        <v>0</v>
      </c>
      <c r="BN37" s="105">
        <v>0</v>
      </c>
      <c r="BO37" s="105">
        <v>0</v>
      </c>
      <c r="BP37" s="105">
        <v>0</v>
      </c>
      <c r="BQ37" s="105">
        <v>0</v>
      </c>
      <c r="BR37" s="105">
        <v>0</v>
      </c>
      <c r="BS37" s="105">
        <v>0</v>
      </c>
      <c r="BT37" s="105">
        <v>0</v>
      </c>
      <c r="BU37" s="105">
        <v>0</v>
      </c>
      <c r="BV37" s="105">
        <v>0</v>
      </c>
      <c r="BW37" s="105">
        <v>0</v>
      </c>
      <c r="BX37" s="105">
        <v>0</v>
      </c>
      <c r="BY37" s="105">
        <v>0</v>
      </c>
      <c r="BZ37" s="105">
        <v>0</v>
      </c>
      <c r="CA37" s="105">
        <v>0</v>
      </c>
      <c r="CB37" s="105">
        <v>0</v>
      </c>
      <c r="CC37" s="105">
        <v>0</v>
      </c>
      <c r="CD37" s="105">
        <v>0</v>
      </c>
      <c r="CE37" s="105">
        <v>0</v>
      </c>
      <c r="CF37" s="105">
        <v>0</v>
      </c>
      <c r="CG37" s="105">
        <v>0</v>
      </c>
      <c r="CH37" s="105">
        <v>0</v>
      </c>
      <c r="CI37" s="105">
        <v>0</v>
      </c>
      <c r="CJ37" s="105">
        <v>0</v>
      </c>
      <c r="CK37" s="105">
        <v>0</v>
      </c>
      <c r="CL37" s="105">
        <v>0</v>
      </c>
      <c r="CM37" s="105">
        <v>0</v>
      </c>
      <c r="CN37" s="105">
        <v>0</v>
      </c>
      <c r="CO37" s="105">
        <v>0</v>
      </c>
      <c r="CP37" s="105">
        <v>0</v>
      </c>
      <c r="CQ37" s="105">
        <v>0</v>
      </c>
      <c r="CR37" s="105">
        <v>0</v>
      </c>
      <c r="CS37" s="105">
        <v>0</v>
      </c>
      <c r="CT37" s="105">
        <v>0</v>
      </c>
      <c r="CU37" s="105">
        <v>0</v>
      </c>
    </row>
    <row r="38" spans="2:99" x14ac:dyDescent="0.25">
      <c r="C38" s="104" t="s">
        <v>203</v>
      </c>
      <c r="D38" s="105">
        <v>0</v>
      </c>
      <c r="E38" s="105">
        <v>0</v>
      </c>
      <c r="F38" s="105">
        <v>0</v>
      </c>
      <c r="G38" s="105">
        <v>0</v>
      </c>
      <c r="H38" s="105">
        <v>0</v>
      </c>
      <c r="I38" s="105">
        <v>0</v>
      </c>
      <c r="J38" s="105">
        <v>0</v>
      </c>
      <c r="K38" s="105">
        <v>0</v>
      </c>
      <c r="L38" s="105">
        <v>0</v>
      </c>
      <c r="M38" s="105">
        <v>0</v>
      </c>
      <c r="N38" s="105">
        <v>0</v>
      </c>
      <c r="O38" s="105">
        <v>0</v>
      </c>
      <c r="P38" s="105">
        <v>0</v>
      </c>
      <c r="Q38" s="105">
        <v>0</v>
      </c>
      <c r="R38" s="105">
        <v>0</v>
      </c>
      <c r="S38" s="105">
        <v>0</v>
      </c>
      <c r="T38" s="105">
        <v>0</v>
      </c>
      <c r="U38" s="105">
        <v>0</v>
      </c>
      <c r="V38" s="105">
        <v>0</v>
      </c>
      <c r="W38" s="105">
        <v>0</v>
      </c>
      <c r="X38" s="105">
        <v>0</v>
      </c>
      <c r="Y38" s="105">
        <v>0</v>
      </c>
      <c r="Z38" s="105">
        <v>0</v>
      </c>
      <c r="AA38" s="105">
        <v>0</v>
      </c>
      <c r="AB38" s="105">
        <v>0</v>
      </c>
      <c r="AC38" s="105">
        <v>0</v>
      </c>
      <c r="AD38" s="105">
        <v>0</v>
      </c>
      <c r="AE38" s="105">
        <v>0</v>
      </c>
      <c r="AF38" s="105">
        <v>0</v>
      </c>
      <c r="AG38" s="105">
        <v>0</v>
      </c>
      <c r="AH38" s="105">
        <v>0</v>
      </c>
      <c r="AI38" s="105">
        <v>0</v>
      </c>
      <c r="AJ38" s="105">
        <v>0</v>
      </c>
      <c r="AK38" s="105">
        <v>0</v>
      </c>
      <c r="AL38" s="105">
        <v>0</v>
      </c>
      <c r="AM38" s="105">
        <v>0</v>
      </c>
      <c r="AN38" s="105">
        <v>0</v>
      </c>
      <c r="AO38" s="105">
        <v>0</v>
      </c>
      <c r="AP38" s="105">
        <v>0</v>
      </c>
      <c r="AQ38" s="105">
        <v>0</v>
      </c>
      <c r="AR38" s="105">
        <v>0</v>
      </c>
      <c r="AS38" s="105">
        <v>0</v>
      </c>
      <c r="AT38" s="105">
        <v>0</v>
      </c>
      <c r="AU38" s="105">
        <v>0</v>
      </c>
      <c r="AV38" s="105">
        <v>0</v>
      </c>
      <c r="AW38" s="105">
        <v>0</v>
      </c>
      <c r="AX38" s="105">
        <v>0</v>
      </c>
      <c r="AY38" s="105">
        <v>0</v>
      </c>
      <c r="AZ38" s="105">
        <v>0</v>
      </c>
      <c r="BA38" s="105">
        <v>0</v>
      </c>
      <c r="BB38" s="105">
        <v>0</v>
      </c>
      <c r="BC38" s="105">
        <v>0</v>
      </c>
      <c r="BD38" s="105">
        <v>0</v>
      </c>
      <c r="BE38" s="105">
        <v>0</v>
      </c>
      <c r="BF38" s="105">
        <v>0</v>
      </c>
      <c r="BG38" s="105">
        <v>0</v>
      </c>
      <c r="BH38" s="105">
        <v>0</v>
      </c>
      <c r="BI38" s="105">
        <v>0</v>
      </c>
      <c r="BJ38" s="105">
        <v>0</v>
      </c>
      <c r="BK38" s="105">
        <v>0</v>
      </c>
      <c r="BL38" s="105">
        <v>0</v>
      </c>
      <c r="BM38" s="105">
        <v>0</v>
      </c>
      <c r="BN38" s="105">
        <v>0</v>
      </c>
      <c r="BO38" s="105">
        <v>0</v>
      </c>
      <c r="BP38" s="105">
        <v>0</v>
      </c>
      <c r="BQ38" s="105">
        <v>0</v>
      </c>
      <c r="BR38" s="105">
        <v>0</v>
      </c>
      <c r="BS38" s="105">
        <v>0</v>
      </c>
      <c r="BT38" s="105">
        <v>0</v>
      </c>
      <c r="BU38" s="105">
        <v>0</v>
      </c>
      <c r="BV38" s="105">
        <v>0</v>
      </c>
      <c r="BW38" s="105">
        <v>0</v>
      </c>
      <c r="BX38" s="105">
        <v>0</v>
      </c>
      <c r="BY38" s="105">
        <v>0</v>
      </c>
      <c r="BZ38" s="105">
        <v>0</v>
      </c>
      <c r="CA38" s="105">
        <v>0</v>
      </c>
      <c r="CB38" s="105">
        <v>0</v>
      </c>
      <c r="CC38" s="105">
        <v>0</v>
      </c>
      <c r="CD38" s="105">
        <v>0</v>
      </c>
      <c r="CE38" s="105">
        <v>0</v>
      </c>
      <c r="CF38" s="105">
        <v>0</v>
      </c>
      <c r="CG38" s="105">
        <v>0</v>
      </c>
      <c r="CH38" s="105">
        <v>0</v>
      </c>
      <c r="CI38" s="105">
        <v>0</v>
      </c>
      <c r="CJ38" s="105">
        <v>0</v>
      </c>
      <c r="CK38" s="105">
        <v>0</v>
      </c>
      <c r="CL38" s="105">
        <v>0</v>
      </c>
      <c r="CM38" s="105">
        <v>0</v>
      </c>
      <c r="CN38" s="105">
        <v>0</v>
      </c>
      <c r="CO38" s="105">
        <v>0</v>
      </c>
      <c r="CP38" s="105">
        <v>0</v>
      </c>
      <c r="CQ38" s="105">
        <v>0</v>
      </c>
      <c r="CR38" s="105">
        <v>0</v>
      </c>
      <c r="CS38" s="105">
        <v>0</v>
      </c>
      <c r="CT38" s="105">
        <v>0</v>
      </c>
      <c r="CU38" s="105">
        <v>0</v>
      </c>
    </row>
    <row r="39" spans="2:99" x14ac:dyDescent="0.25">
      <c r="C39" s="104" t="s">
        <v>204</v>
      </c>
      <c r="D39" s="105">
        <v>0</v>
      </c>
      <c r="E39" s="105">
        <v>0</v>
      </c>
      <c r="F39" s="105">
        <v>0</v>
      </c>
      <c r="G39" s="105">
        <v>0</v>
      </c>
      <c r="H39" s="105">
        <v>0</v>
      </c>
      <c r="I39" s="105">
        <v>0</v>
      </c>
      <c r="J39" s="105">
        <v>0</v>
      </c>
      <c r="K39" s="105">
        <v>0</v>
      </c>
      <c r="L39" s="105">
        <v>0</v>
      </c>
      <c r="M39" s="105">
        <v>0</v>
      </c>
      <c r="N39" s="105">
        <v>0</v>
      </c>
      <c r="O39" s="105">
        <v>0</v>
      </c>
      <c r="P39" s="105">
        <v>0</v>
      </c>
      <c r="Q39" s="105">
        <v>0</v>
      </c>
      <c r="R39" s="105">
        <v>0</v>
      </c>
      <c r="S39" s="105">
        <v>0</v>
      </c>
      <c r="T39" s="105">
        <v>0</v>
      </c>
      <c r="U39" s="105">
        <v>0</v>
      </c>
      <c r="V39" s="105">
        <v>0</v>
      </c>
      <c r="W39" s="105">
        <v>0</v>
      </c>
      <c r="X39" s="105">
        <v>0</v>
      </c>
      <c r="Y39" s="105">
        <v>0</v>
      </c>
      <c r="Z39" s="105">
        <v>0</v>
      </c>
      <c r="AA39" s="105">
        <v>0</v>
      </c>
      <c r="AB39" s="105">
        <v>0</v>
      </c>
      <c r="AC39" s="105">
        <v>0</v>
      </c>
      <c r="AD39" s="105">
        <v>0</v>
      </c>
      <c r="AE39" s="105">
        <v>0</v>
      </c>
      <c r="AF39" s="105">
        <v>0</v>
      </c>
      <c r="AG39" s="105">
        <v>0</v>
      </c>
      <c r="AH39" s="105">
        <v>0</v>
      </c>
      <c r="AI39" s="105">
        <v>0</v>
      </c>
      <c r="AJ39" s="105">
        <v>0</v>
      </c>
      <c r="AK39" s="105">
        <v>0</v>
      </c>
      <c r="AL39" s="105">
        <v>0</v>
      </c>
      <c r="AM39" s="105">
        <v>0</v>
      </c>
      <c r="AN39" s="105">
        <v>0</v>
      </c>
      <c r="AO39" s="105">
        <v>0</v>
      </c>
      <c r="AP39" s="105">
        <v>0</v>
      </c>
      <c r="AQ39" s="105">
        <v>0</v>
      </c>
      <c r="AR39" s="105">
        <v>0</v>
      </c>
      <c r="AS39" s="105">
        <v>0</v>
      </c>
      <c r="AT39" s="105">
        <v>0</v>
      </c>
      <c r="AU39" s="105">
        <v>0</v>
      </c>
      <c r="AV39" s="105">
        <v>0</v>
      </c>
      <c r="AW39" s="105">
        <v>0</v>
      </c>
      <c r="AX39" s="105">
        <v>0</v>
      </c>
      <c r="AY39" s="105">
        <v>0</v>
      </c>
      <c r="AZ39" s="105">
        <v>0</v>
      </c>
      <c r="BA39" s="105">
        <v>0</v>
      </c>
      <c r="BB39" s="105">
        <v>0</v>
      </c>
      <c r="BC39" s="105">
        <v>0</v>
      </c>
      <c r="BD39" s="105">
        <v>0</v>
      </c>
      <c r="BE39" s="105">
        <v>0</v>
      </c>
      <c r="BF39" s="105">
        <v>0</v>
      </c>
      <c r="BG39" s="105">
        <v>0</v>
      </c>
      <c r="BH39" s="105">
        <v>0</v>
      </c>
      <c r="BI39" s="105">
        <v>0</v>
      </c>
      <c r="BJ39" s="105">
        <v>0</v>
      </c>
      <c r="BK39" s="105">
        <v>0</v>
      </c>
      <c r="BL39" s="105">
        <v>0</v>
      </c>
      <c r="BM39" s="105">
        <v>0</v>
      </c>
      <c r="BN39" s="105">
        <v>0</v>
      </c>
      <c r="BO39" s="105">
        <v>0</v>
      </c>
      <c r="BP39" s="105">
        <v>0</v>
      </c>
      <c r="BQ39" s="105">
        <v>0</v>
      </c>
      <c r="BR39" s="105">
        <v>0</v>
      </c>
      <c r="BS39" s="105">
        <v>0</v>
      </c>
      <c r="BT39" s="105">
        <v>0</v>
      </c>
      <c r="BU39" s="105">
        <v>0</v>
      </c>
      <c r="BV39" s="105">
        <v>0</v>
      </c>
      <c r="BW39" s="105">
        <v>0</v>
      </c>
      <c r="BX39" s="105">
        <v>0</v>
      </c>
      <c r="BY39" s="105">
        <v>0</v>
      </c>
      <c r="BZ39" s="105">
        <v>0</v>
      </c>
      <c r="CA39" s="105">
        <v>0</v>
      </c>
      <c r="CB39" s="105">
        <v>0</v>
      </c>
      <c r="CC39" s="105">
        <v>0</v>
      </c>
      <c r="CD39" s="105">
        <v>0</v>
      </c>
      <c r="CE39" s="105">
        <v>0</v>
      </c>
      <c r="CF39" s="105">
        <v>0</v>
      </c>
      <c r="CG39" s="105">
        <v>0</v>
      </c>
      <c r="CH39" s="105">
        <v>0</v>
      </c>
      <c r="CI39" s="105">
        <v>0</v>
      </c>
      <c r="CJ39" s="105">
        <v>0</v>
      </c>
      <c r="CK39" s="105">
        <v>0</v>
      </c>
      <c r="CL39" s="105">
        <v>0</v>
      </c>
      <c r="CM39" s="105">
        <v>0</v>
      </c>
      <c r="CN39" s="105">
        <v>0</v>
      </c>
      <c r="CO39" s="105">
        <v>0</v>
      </c>
      <c r="CP39" s="105">
        <v>0</v>
      </c>
      <c r="CQ39" s="105">
        <v>0</v>
      </c>
      <c r="CR39" s="105">
        <v>0</v>
      </c>
      <c r="CS39" s="105">
        <v>0</v>
      </c>
      <c r="CT39" s="105">
        <v>0</v>
      </c>
      <c r="CU39" s="105">
        <v>0</v>
      </c>
    </row>
    <row r="40" spans="2:99" x14ac:dyDescent="0.25">
      <c r="C40" s="104" t="s">
        <v>205</v>
      </c>
      <c r="D40" s="105">
        <v>0</v>
      </c>
      <c r="E40" s="105">
        <v>0</v>
      </c>
      <c r="F40" s="105">
        <v>0</v>
      </c>
      <c r="G40" s="105">
        <v>0</v>
      </c>
      <c r="H40" s="105">
        <v>0</v>
      </c>
      <c r="I40" s="105">
        <v>0</v>
      </c>
      <c r="J40" s="105">
        <v>0</v>
      </c>
      <c r="K40" s="105">
        <v>0</v>
      </c>
      <c r="L40" s="105">
        <v>0</v>
      </c>
      <c r="M40" s="105">
        <v>0</v>
      </c>
      <c r="N40" s="105">
        <v>0</v>
      </c>
      <c r="O40" s="105">
        <v>0</v>
      </c>
      <c r="P40" s="105">
        <v>0</v>
      </c>
      <c r="Q40" s="105">
        <v>0</v>
      </c>
      <c r="R40" s="105">
        <v>0</v>
      </c>
      <c r="S40" s="105">
        <v>0</v>
      </c>
      <c r="T40" s="105">
        <v>0</v>
      </c>
      <c r="U40" s="105">
        <v>0</v>
      </c>
      <c r="V40" s="105">
        <v>0</v>
      </c>
      <c r="W40" s="105">
        <v>0</v>
      </c>
      <c r="X40" s="105">
        <v>0</v>
      </c>
      <c r="Y40" s="105">
        <v>0</v>
      </c>
      <c r="Z40" s="105">
        <v>0</v>
      </c>
      <c r="AA40" s="105">
        <v>0</v>
      </c>
      <c r="AB40" s="105">
        <v>0</v>
      </c>
      <c r="AC40" s="105">
        <v>0</v>
      </c>
      <c r="AD40" s="105">
        <v>0</v>
      </c>
      <c r="AE40" s="105">
        <v>0</v>
      </c>
      <c r="AF40" s="105">
        <v>0</v>
      </c>
      <c r="AG40" s="105">
        <v>0</v>
      </c>
      <c r="AH40" s="105">
        <v>0</v>
      </c>
      <c r="AI40" s="105">
        <v>0</v>
      </c>
      <c r="AJ40" s="105">
        <v>0</v>
      </c>
      <c r="AK40" s="105">
        <v>0</v>
      </c>
      <c r="AL40" s="105">
        <v>0</v>
      </c>
      <c r="AM40" s="105">
        <v>0</v>
      </c>
      <c r="AN40" s="105">
        <v>0</v>
      </c>
      <c r="AO40" s="105">
        <v>0</v>
      </c>
      <c r="AP40" s="105">
        <v>0</v>
      </c>
      <c r="AQ40" s="105">
        <v>0</v>
      </c>
      <c r="AR40" s="105">
        <v>0</v>
      </c>
      <c r="AS40" s="105">
        <v>0</v>
      </c>
      <c r="AT40" s="105">
        <v>0</v>
      </c>
      <c r="AU40" s="105">
        <v>0</v>
      </c>
      <c r="AV40" s="105">
        <v>0</v>
      </c>
      <c r="AW40" s="105">
        <v>0</v>
      </c>
      <c r="AX40" s="105">
        <v>0</v>
      </c>
      <c r="AY40" s="105">
        <v>0</v>
      </c>
      <c r="AZ40" s="105">
        <v>0</v>
      </c>
      <c r="BA40" s="105">
        <v>0</v>
      </c>
      <c r="BB40" s="105">
        <v>0</v>
      </c>
      <c r="BC40" s="105">
        <v>0</v>
      </c>
      <c r="BD40" s="105">
        <v>0</v>
      </c>
      <c r="BE40" s="105">
        <v>0</v>
      </c>
      <c r="BF40" s="105">
        <v>0</v>
      </c>
      <c r="BG40" s="105">
        <v>0</v>
      </c>
      <c r="BH40" s="105">
        <v>0</v>
      </c>
      <c r="BI40" s="105">
        <v>0</v>
      </c>
      <c r="BJ40" s="105">
        <v>0</v>
      </c>
      <c r="BK40" s="105">
        <v>0</v>
      </c>
      <c r="BL40" s="105">
        <v>0</v>
      </c>
      <c r="BM40" s="105">
        <v>0</v>
      </c>
      <c r="BN40" s="105">
        <v>0</v>
      </c>
      <c r="BO40" s="105">
        <v>0</v>
      </c>
      <c r="BP40" s="105">
        <v>0</v>
      </c>
      <c r="BQ40" s="105">
        <v>0</v>
      </c>
      <c r="BR40" s="105">
        <v>0</v>
      </c>
      <c r="BS40" s="105">
        <v>0</v>
      </c>
      <c r="BT40" s="105">
        <v>0</v>
      </c>
      <c r="BU40" s="105">
        <v>0</v>
      </c>
      <c r="BV40" s="105">
        <v>0</v>
      </c>
      <c r="BW40" s="105">
        <v>0</v>
      </c>
      <c r="BX40" s="105">
        <v>0</v>
      </c>
      <c r="BY40" s="105">
        <v>0</v>
      </c>
      <c r="BZ40" s="105">
        <v>0</v>
      </c>
      <c r="CA40" s="105">
        <v>0</v>
      </c>
      <c r="CB40" s="105">
        <v>0</v>
      </c>
      <c r="CC40" s="105">
        <v>0</v>
      </c>
      <c r="CD40" s="105">
        <v>0</v>
      </c>
      <c r="CE40" s="105">
        <v>0</v>
      </c>
      <c r="CF40" s="105">
        <v>0</v>
      </c>
      <c r="CG40" s="105">
        <v>0</v>
      </c>
      <c r="CH40" s="105">
        <v>0</v>
      </c>
      <c r="CI40" s="105">
        <v>0</v>
      </c>
      <c r="CJ40" s="105">
        <v>0</v>
      </c>
      <c r="CK40" s="105">
        <v>0</v>
      </c>
      <c r="CL40" s="105">
        <v>0</v>
      </c>
      <c r="CM40" s="105">
        <v>0</v>
      </c>
      <c r="CN40" s="105">
        <v>0</v>
      </c>
      <c r="CO40" s="105">
        <v>0</v>
      </c>
      <c r="CP40" s="105">
        <v>0</v>
      </c>
      <c r="CQ40" s="105">
        <v>0</v>
      </c>
      <c r="CR40" s="105">
        <v>0</v>
      </c>
      <c r="CS40" s="105">
        <v>0</v>
      </c>
      <c r="CT40" s="105">
        <v>0</v>
      </c>
      <c r="CU40" s="105">
        <v>0</v>
      </c>
    </row>
    <row r="41" spans="2:99" x14ac:dyDescent="0.25">
      <c r="C41" s="104" t="s">
        <v>206</v>
      </c>
      <c r="D41" s="105">
        <v>0</v>
      </c>
      <c r="E41" s="105">
        <v>0</v>
      </c>
      <c r="F41" s="105">
        <v>0</v>
      </c>
      <c r="G41" s="105">
        <v>0</v>
      </c>
      <c r="H41" s="105">
        <v>0</v>
      </c>
      <c r="I41" s="105">
        <v>0</v>
      </c>
      <c r="J41" s="105">
        <v>0</v>
      </c>
      <c r="K41" s="105">
        <v>0</v>
      </c>
      <c r="L41" s="105">
        <v>0</v>
      </c>
      <c r="M41" s="105">
        <v>0</v>
      </c>
      <c r="N41" s="105">
        <v>0</v>
      </c>
      <c r="O41" s="105">
        <v>0</v>
      </c>
      <c r="P41" s="105">
        <v>0</v>
      </c>
      <c r="Q41" s="105">
        <v>0</v>
      </c>
      <c r="R41" s="105">
        <v>0</v>
      </c>
      <c r="S41" s="105">
        <v>0</v>
      </c>
      <c r="T41" s="105">
        <v>0</v>
      </c>
      <c r="U41" s="105">
        <v>0</v>
      </c>
      <c r="V41" s="105">
        <v>0</v>
      </c>
      <c r="W41" s="105">
        <v>0</v>
      </c>
      <c r="X41" s="105">
        <v>0</v>
      </c>
      <c r="Y41" s="105">
        <v>0</v>
      </c>
      <c r="Z41" s="105">
        <v>0</v>
      </c>
      <c r="AA41" s="105">
        <v>0</v>
      </c>
      <c r="AB41" s="105">
        <v>0</v>
      </c>
      <c r="AC41" s="105">
        <v>0</v>
      </c>
      <c r="AD41" s="105">
        <v>0</v>
      </c>
      <c r="AE41" s="105">
        <v>0</v>
      </c>
      <c r="AF41" s="105">
        <v>0</v>
      </c>
      <c r="AG41" s="105">
        <v>0</v>
      </c>
      <c r="AH41" s="105">
        <v>0</v>
      </c>
      <c r="AI41" s="105">
        <v>0</v>
      </c>
      <c r="AJ41" s="105">
        <v>0</v>
      </c>
      <c r="AK41" s="105">
        <v>0</v>
      </c>
      <c r="AL41" s="105">
        <v>0</v>
      </c>
      <c r="AM41" s="105">
        <v>0</v>
      </c>
      <c r="AN41" s="105">
        <v>0</v>
      </c>
      <c r="AO41" s="105">
        <v>0</v>
      </c>
      <c r="AP41" s="105">
        <v>0</v>
      </c>
      <c r="AQ41" s="105">
        <v>0</v>
      </c>
      <c r="AR41" s="105">
        <v>0</v>
      </c>
      <c r="AS41" s="105">
        <v>0</v>
      </c>
      <c r="AT41" s="105">
        <v>0</v>
      </c>
      <c r="AU41" s="105">
        <v>0</v>
      </c>
      <c r="AV41" s="105">
        <v>0</v>
      </c>
      <c r="AW41" s="105">
        <v>0</v>
      </c>
      <c r="AX41" s="105">
        <v>0</v>
      </c>
      <c r="AY41" s="105">
        <v>0</v>
      </c>
      <c r="AZ41" s="105">
        <v>0</v>
      </c>
      <c r="BA41" s="105">
        <v>0</v>
      </c>
      <c r="BB41" s="105">
        <v>0</v>
      </c>
      <c r="BC41" s="105">
        <v>0</v>
      </c>
      <c r="BD41" s="105">
        <v>0</v>
      </c>
      <c r="BE41" s="105">
        <v>0</v>
      </c>
      <c r="BF41" s="105">
        <v>0</v>
      </c>
      <c r="BG41" s="105">
        <v>0</v>
      </c>
      <c r="BH41" s="105">
        <v>0</v>
      </c>
      <c r="BI41" s="105">
        <v>0</v>
      </c>
      <c r="BJ41" s="105">
        <v>0</v>
      </c>
      <c r="BK41" s="105">
        <v>0</v>
      </c>
      <c r="BL41" s="105">
        <v>0</v>
      </c>
      <c r="BM41" s="105">
        <v>0</v>
      </c>
      <c r="BN41" s="105">
        <v>0</v>
      </c>
      <c r="BO41" s="105">
        <v>0</v>
      </c>
      <c r="BP41" s="105">
        <v>0</v>
      </c>
      <c r="BQ41" s="105">
        <v>0</v>
      </c>
      <c r="BR41" s="105">
        <v>0</v>
      </c>
      <c r="BS41" s="105">
        <v>0</v>
      </c>
      <c r="BT41" s="105">
        <v>0</v>
      </c>
      <c r="BU41" s="105">
        <v>0</v>
      </c>
      <c r="BV41" s="105">
        <v>0</v>
      </c>
      <c r="BW41" s="105">
        <v>0</v>
      </c>
      <c r="BX41" s="105">
        <v>0</v>
      </c>
      <c r="BY41" s="105">
        <v>0</v>
      </c>
      <c r="BZ41" s="105">
        <v>0</v>
      </c>
      <c r="CA41" s="105">
        <v>0</v>
      </c>
      <c r="CB41" s="105">
        <v>0</v>
      </c>
      <c r="CC41" s="105">
        <v>0</v>
      </c>
      <c r="CD41" s="105">
        <v>0</v>
      </c>
      <c r="CE41" s="105">
        <v>0</v>
      </c>
      <c r="CF41" s="105">
        <v>0</v>
      </c>
      <c r="CG41" s="105">
        <v>0</v>
      </c>
      <c r="CH41" s="105">
        <v>0</v>
      </c>
      <c r="CI41" s="105">
        <v>0</v>
      </c>
      <c r="CJ41" s="105">
        <v>0</v>
      </c>
      <c r="CK41" s="105">
        <v>0</v>
      </c>
      <c r="CL41" s="105">
        <v>0</v>
      </c>
      <c r="CM41" s="105">
        <v>0</v>
      </c>
      <c r="CN41" s="105">
        <v>0</v>
      </c>
      <c r="CO41" s="105">
        <v>0</v>
      </c>
      <c r="CP41" s="105">
        <v>0</v>
      </c>
      <c r="CQ41" s="105">
        <v>0</v>
      </c>
      <c r="CR41" s="105">
        <v>0</v>
      </c>
      <c r="CS41" s="105">
        <v>0</v>
      </c>
      <c r="CT41" s="105">
        <v>0</v>
      </c>
      <c r="CU41" s="105">
        <v>0</v>
      </c>
    </row>
    <row r="42" spans="2:99" x14ac:dyDescent="0.25">
      <c r="C42" s="104" t="s">
        <v>207</v>
      </c>
      <c r="D42" s="105">
        <v>0</v>
      </c>
      <c r="E42" s="105">
        <v>0</v>
      </c>
      <c r="F42" s="105">
        <v>0</v>
      </c>
      <c r="G42" s="105">
        <v>0</v>
      </c>
      <c r="H42" s="105">
        <v>0</v>
      </c>
      <c r="I42" s="105">
        <v>0</v>
      </c>
      <c r="J42" s="105">
        <v>0</v>
      </c>
      <c r="K42" s="105">
        <v>0</v>
      </c>
      <c r="L42" s="105">
        <v>0</v>
      </c>
      <c r="M42" s="105">
        <v>0</v>
      </c>
      <c r="N42" s="105">
        <v>0</v>
      </c>
      <c r="O42" s="105">
        <v>0</v>
      </c>
      <c r="P42" s="105">
        <v>0</v>
      </c>
      <c r="Q42" s="105">
        <v>0</v>
      </c>
      <c r="R42" s="105">
        <v>0</v>
      </c>
      <c r="S42" s="105">
        <v>0</v>
      </c>
      <c r="T42" s="105">
        <v>0</v>
      </c>
      <c r="U42" s="105">
        <v>0</v>
      </c>
      <c r="V42" s="105">
        <v>0</v>
      </c>
      <c r="W42" s="105">
        <v>0</v>
      </c>
      <c r="X42" s="105">
        <v>0</v>
      </c>
      <c r="Y42" s="105">
        <v>0</v>
      </c>
      <c r="Z42" s="105">
        <v>0</v>
      </c>
      <c r="AA42" s="105">
        <v>0</v>
      </c>
      <c r="AB42" s="105">
        <v>0</v>
      </c>
      <c r="AC42" s="105">
        <v>0</v>
      </c>
      <c r="AD42" s="105">
        <v>0</v>
      </c>
      <c r="AE42" s="105">
        <v>0</v>
      </c>
      <c r="AF42" s="105">
        <v>0</v>
      </c>
      <c r="AG42" s="105">
        <v>0</v>
      </c>
      <c r="AH42" s="105">
        <v>0</v>
      </c>
      <c r="AI42" s="105">
        <v>0</v>
      </c>
      <c r="AJ42" s="105">
        <v>0</v>
      </c>
      <c r="AK42" s="105">
        <v>0</v>
      </c>
      <c r="AL42" s="105">
        <v>0</v>
      </c>
      <c r="AM42" s="105">
        <v>0</v>
      </c>
      <c r="AN42" s="105">
        <v>0</v>
      </c>
      <c r="AO42" s="105">
        <v>0</v>
      </c>
      <c r="AP42" s="105">
        <v>0</v>
      </c>
      <c r="AQ42" s="105">
        <v>0</v>
      </c>
      <c r="AR42" s="105">
        <v>0</v>
      </c>
      <c r="AS42" s="105">
        <v>0</v>
      </c>
      <c r="AT42" s="105">
        <v>0</v>
      </c>
      <c r="AU42" s="105">
        <v>0</v>
      </c>
      <c r="AV42" s="105">
        <v>0</v>
      </c>
      <c r="AW42" s="105">
        <v>0</v>
      </c>
      <c r="AX42" s="105">
        <v>0</v>
      </c>
      <c r="AY42" s="105">
        <v>0</v>
      </c>
      <c r="AZ42" s="105">
        <v>0</v>
      </c>
      <c r="BA42" s="105">
        <v>0</v>
      </c>
      <c r="BB42" s="105">
        <v>0</v>
      </c>
      <c r="BC42" s="105">
        <v>0</v>
      </c>
      <c r="BD42" s="105">
        <v>0</v>
      </c>
      <c r="BE42" s="105">
        <v>0</v>
      </c>
      <c r="BF42" s="105">
        <v>0</v>
      </c>
      <c r="BG42" s="105">
        <v>0</v>
      </c>
      <c r="BH42" s="105">
        <v>0</v>
      </c>
      <c r="BI42" s="105">
        <v>0</v>
      </c>
      <c r="BJ42" s="105">
        <v>0</v>
      </c>
      <c r="BK42" s="105">
        <v>0</v>
      </c>
      <c r="BL42" s="105">
        <v>0</v>
      </c>
      <c r="BM42" s="105">
        <v>0</v>
      </c>
      <c r="BN42" s="105">
        <v>0</v>
      </c>
      <c r="BO42" s="105">
        <v>0</v>
      </c>
      <c r="BP42" s="105">
        <v>0</v>
      </c>
      <c r="BQ42" s="105">
        <v>0</v>
      </c>
      <c r="BR42" s="105">
        <v>0</v>
      </c>
      <c r="BS42" s="105">
        <v>0</v>
      </c>
      <c r="BT42" s="105">
        <v>0</v>
      </c>
      <c r="BU42" s="105">
        <v>0</v>
      </c>
      <c r="BV42" s="105">
        <v>0</v>
      </c>
      <c r="BW42" s="105">
        <v>0</v>
      </c>
      <c r="BX42" s="105">
        <v>0</v>
      </c>
      <c r="BY42" s="105">
        <v>0</v>
      </c>
      <c r="BZ42" s="105">
        <v>0</v>
      </c>
      <c r="CA42" s="105">
        <v>0</v>
      </c>
      <c r="CB42" s="105">
        <v>0</v>
      </c>
      <c r="CC42" s="105">
        <v>0</v>
      </c>
      <c r="CD42" s="105">
        <v>0</v>
      </c>
      <c r="CE42" s="105">
        <v>0</v>
      </c>
      <c r="CF42" s="105">
        <v>0</v>
      </c>
      <c r="CG42" s="105">
        <v>0</v>
      </c>
      <c r="CH42" s="105">
        <v>0</v>
      </c>
      <c r="CI42" s="105">
        <v>0</v>
      </c>
      <c r="CJ42" s="105">
        <v>0</v>
      </c>
      <c r="CK42" s="105">
        <v>0</v>
      </c>
      <c r="CL42" s="105">
        <v>0</v>
      </c>
      <c r="CM42" s="105">
        <v>0</v>
      </c>
      <c r="CN42" s="105">
        <v>0</v>
      </c>
      <c r="CO42" s="105">
        <v>0</v>
      </c>
      <c r="CP42" s="105">
        <v>0</v>
      </c>
      <c r="CQ42" s="105">
        <v>0</v>
      </c>
      <c r="CR42" s="105">
        <v>0</v>
      </c>
      <c r="CS42" s="105">
        <v>0</v>
      </c>
      <c r="CT42" s="105">
        <v>0</v>
      </c>
      <c r="CU42" s="105">
        <v>0</v>
      </c>
    </row>
    <row r="43" spans="2:99" x14ac:dyDescent="0.25">
      <c r="C43" s="104" t="s">
        <v>208</v>
      </c>
      <c r="D43" s="105">
        <v>0</v>
      </c>
      <c r="E43" s="105">
        <v>0</v>
      </c>
      <c r="F43" s="105">
        <v>0</v>
      </c>
      <c r="G43" s="105">
        <v>0</v>
      </c>
      <c r="H43" s="105">
        <v>0</v>
      </c>
      <c r="I43" s="105">
        <v>0</v>
      </c>
      <c r="J43" s="105">
        <v>0</v>
      </c>
      <c r="K43" s="105">
        <v>0</v>
      </c>
      <c r="L43" s="105">
        <v>0</v>
      </c>
      <c r="M43" s="105">
        <v>0</v>
      </c>
      <c r="N43" s="105">
        <v>0</v>
      </c>
      <c r="O43" s="105">
        <v>0</v>
      </c>
      <c r="P43" s="105">
        <v>0</v>
      </c>
      <c r="Q43" s="105">
        <v>0</v>
      </c>
      <c r="R43" s="105">
        <v>0</v>
      </c>
      <c r="S43" s="105">
        <v>0</v>
      </c>
      <c r="T43" s="105">
        <v>0</v>
      </c>
      <c r="U43" s="105">
        <v>0</v>
      </c>
      <c r="V43" s="105">
        <v>0</v>
      </c>
      <c r="W43" s="105">
        <v>0</v>
      </c>
      <c r="X43" s="105">
        <v>0</v>
      </c>
      <c r="Y43" s="105">
        <v>0</v>
      </c>
      <c r="Z43" s="105">
        <v>0</v>
      </c>
      <c r="AA43" s="105">
        <v>0</v>
      </c>
      <c r="AB43" s="105">
        <v>0</v>
      </c>
      <c r="AC43" s="105">
        <v>0</v>
      </c>
      <c r="AD43" s="105">
        <v>0</v>
      </c>
      <c r="AE43" s="105">
        <v>0</v>
      </c>
      <c r="AF43" s="105">
        <v>0</v>
      </c>
      <c r="AG43" s="105">
        <v>0</v>
      </c>
      <c r="AH43" s="105">
        <v>0</v>
      </c>
      <c r="AI43" s="105">
        <v>0</v>
      </c>
      <c r="AJ43" s="105">
        <v>0</v>
      </c>
      <c r="AK43" s="105">
        <v>0</v>
      </c>
      <c r="AL43" s="105">
        <v>0</v>
      </c>
      <c r="AM43" s="105">
        <v>0</v>
      </c>
      <c r="AN43" s="105">
        <v>0</v>
      </c>
      <c r="AO43" s="105">
        <v>0</v>
      </c>
      <c r="AP43" s="105">
        <v>0</v>
      </c>
      <c r="AQ43" s="105">
        <v>0</v>
      </c>
      <c r="AR43" s="105">
        <v>0</v>
      </c>
      <c r="AS43" s="105">
        <v>0</v>
      </c>
      <c r="AT43" s="105">
        <v>0</v>
      </c>
      <c r="AU43" s="105">
        <v>0</v>
      </c>
      <c r="AV43" s="105">
        <v>0</v>
      </c>
      <c r="AW43" s="105">
        <v>0</v>
      </c>
      <c r="AX43" s="105">
        <v>0</v>
      </c>
      <c r="AY43" s="105">
        <v>0</v>
      </c>
      <c r="AZ43" s="105">
        <v>0</v>
      </c>
      <c r="BA43" s="105">
        <v>0</v>
      </c>
      <c r="BB43" s="105">
        <v>0</v>
      </c>
      <c r="BC43" s="105">
        <v>0</v>
      </c>
      <c r="BD43" s="105">
        <v>0</v>
      </c>
      <c r="BE43" s="105">
        <v>0</v>
      </c>
      <c r="BF43" s="105">
        <v>0</v>
      </c>
      <c r="BG43" s="105">
        <v>0</v>
      </c>
      <c r="BH43" s="105">
        <v>0</v>
      </c>
      <c r="BI43" s="105">
        <v>0</v>
      </c>
      <c r="BJ43" s="105">
        <v>0</v>
      </c>
      <c r="BK43" s="105">
        <v>0</v>
      </c>
      <c r="BL43" s="105">
        <v>0</v>
      </c>
      <c r="BM43" s="105">
        <v>0</v>
      </c>
      <c r="BN43" s="105">
        <v>0</v>
      </c>
      <c r="BO43" s="105">
        <v>0</v>
      </c>
      <c r="BP43" s="105">
        <v>0</v>
      </c>
      <c r="BQ43" s="105">
        <v>0</v>
      </c>
      <c r="BR43" s="105">
        <v>0</v>
      </c>
      <c r="BS43" s="105">
        <v>0</v>
      </c>
      <c r="BT43" s="105">
        <v>0</v>
      </c>
      <c r="BU43" s="105">
        <v>0</v>
      </c>
      <c r="BV43" s="105">
        <v>0</v>
      </c>
      <c r="BW43" s="105">
        <v>0</v>
      </c>
      <c r="BX43" s="105">
        <v>0</v>
      </c>
      <c r="BY43" s="105">
        <v>0</v>
      </c>
      <c r="BZ43" s="105">
        <v>0</v>
      </c>
      <c r="CA43" s="105">
        <v>0</v>
      </c>
      <c r="CB43" s="105">
        <v>0</v>
      </c>
      <c r="CC43" s="105">
        <v>0</v>
      </c>
      <c r="CD43" s="105">
        <v>0</v>
      </c>
      <c r="CE43" s="105">
        <v>0</v>
      </c>
      <c r="CF43" s="105">
        <v>0</v>
      </c>
      <c r="CG43" s="105">
        <v>0</v>
      </c>
      <c r="CH43" s="105">
        <v>0</v>
      </c>
      <c r="CI43" s="105">
        <v>0</v>
      </c>
      <c r="CJ43" s="105">
        <v>0</v>
      </c>
      <c r="CK43" s="105">
        <v>0</v>
      </c>
      <c r="CL43" s="105">
        <v>0</v>
      </c>
      <c r="CM43" s="105">
        <v>0</v>
      </c>
      <c r="CN43" s="105">
        <v>0</v>
      </c>
      <c r="CO43" s="105">
        <v>0</v>
      </c>
      <c r="CP43" s="105">
        <v>0</v>
      </c>
      <c r="CQ43" s="105">
        <v>0</v>
      </c>
      <c r="CR43" s="105">
        <v>0</v>
      </c>
      <c r="CS43" s="105">
        <v>0</v>
      </c>
      <c r="CT43" s="105">
        <v>0</v>
      </c>
      <c r="CU43" s="105">
        <v>0</v>
      </c>
    </row>
    <row r="44" spans="2:99" x14ac:dyDescent="0.25">
      <c r="C44" s="104" t="s">
        <v>209</v>
      </c>
      <c r="D44" s="105">
        <v>0</v>
      </c>
      <c r="E44" s="105">
        <v>0</v>
      </c>
      <c r="F44" s="105">
        <v>0</v>
      </c>
      <c r="G44" s="105">
        <v>0</v>
      </c>
      <c r="H44" s="105">
        <v>0</v>
      </c>
      <c r="I44" s="105">
        <v>0</v>
      </c>
      <c r="J44" s="105">
        <v>0</v>
      </c>
      <c r="K44" s="105">
        <v>0</v>
      </c>
      <c r="L44" s="105">
        <v>0</v>
      </c>
      <c r="M44" s="105">
        <v>0</v>
      </c>
      <c r="N44" s="105">
        <v>0</v>
      </c>
      <c r="O44" s="105">
        <v>0</v>
      </c>
      <c r="P44" s="105">
        <v>0</v>
      </c>
      <c r="Q44" s="105">
        <v>0</v>
      </c>
      <c r="R44" s="105">
        <v>0</v>
      </c>
      <c r="S44" s="105">
        <v>0</v>
      </c>
      <c r="T44" s="105">
        <v>0</v>
      </c>
      <c r="U44" s="105">
        <v>0</v>
      </c>
      <c r="V44" s="105">
        <v>0</v>
      </c>
      <c r="W44" s="105">
        <v>0</v>
      </c>
      <c r="X44" s="105">
        <v>0</v>
      </c>
      <c r="Y44" s="105">
        <v>0</v>
      </c>
      <c r="Z44" s="105">
        <v>0</v>
      </c>
      <c r="AA44" s="105">
        <v>0</v>
      </c>
      <c r="AB44" s="105">
        <v>0</v>
      </c>
      <c r="AC44" s="105">
        <v>0</v>
      </c>
      <c r="AD44" s="105">
        <v>0</v>
      </c>
      <c r="AE44" s="105">
        <v>0</v>
      </c>
      <c r="AF44" s="105">
        <v>0</v>
      </c>
      <c r="AG44" s="105">
        <v>0</v>
      </c>
      <c r="AH44" s="105">
        <v>0</v>
      </c>
      <c r="AI44" s="105">
        <v>0</v>
      </c>
      <c r="AJ44" s="105">
        <v>0</v>
      </c>
      <c r="AK44" s="105">
        <v>0</v>
      </c>
      <c r="AL44" s="105">
        <v>0</v>
      </c>
      <c r="AM44" s="105">
        <v>0</v>
      </c>
      <c r="AN44" s="105">
        <v>0</v>
      </c>
      <c r="AO44" s="105">
        <v>0</v>
      </c>
      <c r="AP44" s="105">
        <v>0</v>
      </c>
      <c r="AQ44" s="105">
        <v>0</v>
      </c>
      <c r="AR44" s="105">
        <v>0</v>
      </c>
      <c r="AS44" s="105">
        <v>0</v>
      </c>
      <c r="AT44" s="105">
        <v>0</v>
      </c>
      <c r="AU44" s="105">
        <v>0</v>
      </c>
      <c r="AV44" s="105">
        <v>0</v>
      </c>
      <c r="AW44" s="105">
        <v>0</v>
      </c>
      <c r="AX44" s="105">
        <v>0</v>
      </c>
      <c r="AY44" s="105">
        <v>0</v>
      </c>
      <c r="AZ44" s="105">
        <v>0</v>
      </c>
      <c r="BA44" s="105">
        <v>0</v>
      </c>
      <c r="BB44" s="105">
        <v>0</v>
      </c>
      <c r="BC44" s="105">
        <v>0</v>
      </c>
      <c r="BD44" s="105">
        <v>0</v>
      </c>
      <c r="BE44" s="105">
        <v>0</v>
      </c>
      <c r="BF44" s="105">
        <v>0</v>
      </c>
      <c r="BG44" s="105">
        <v>0</v>
      </c>
      <c r="BH44" s="105">
        <v>0</v>
      </c>
      <c r="BI44" s="105">
        <v>0</v>
      </c>
      <c r="BJ44" s="105">
        <v>0</v>
      </c>
      <c r="BK44" s="105">
        <v>0</v>
      </c>
      <c r="BL44" s="105">
        <v>0</v>
      </c>
      <c r="BM44" s="105">
        <v>0</v>
      </c>
      <c r="BN44" s="105">
        <v>0</v>
      </c>
      <c r="BO44" s="105">
        <v>0</v>
      </c>
      <c r="BP44" s="105">
        <v>0</v>
      </c>
      <c r="BQ44" s="105">
        <v>0</v>
      </c>
      <c r="BR44" s="105">
        <v>0</v>
      </c>
      <c r="BS44" s="105">
        <v>0</v>
      </c>
      <c r="BT44" s="105">
        <v>0</v>
      </c>
      <c r="BU44" s="105">
        <v>0</v>
      </c>
      <c r="BV44" s="105">
        <v>0</v>
      </c>
      <c r="BW44" s="105">
        <v>0</v>
      </c>
      <c r="BX44" s="105">
        <v>0</v>
      </c>
      <c r="BY44" s="105">
        <v>0</v>
      </c>
      <c r="BZ44" s="105">
        <v>0</v>
      </c>
      <c r="CA44" s="105">
        <v>0</v>
      </c>
      <c r="CB44" s="105">
        <v>0</v>
      </c>
      <c r="CC44" s="105">
        <v>0</v>
      </c>
      <c r="CD44" s="105">
        <v>0</v>
      </c>
      <c r="CE44" s="105">
        <v>0</v>
      </c>
      <c r="CF44" s="105">
        <v>0</v>
      </c>
      <c r="CG44" s="105">
        <v>0</v>
      </c>
      <c r="CH44" s="105">
        <v>0</v>
      </c>
      <c r="CI44" s="105">
        <v>0</v>
      </c>
      <c r="CJ44" s="105">
        <v>0</v>
      </c>
      <c r="CK44" s="105">
        <v>0</v>
      </c>
      <c r="CL44" s="105">
        <v>0</v>
      </c>
      <c r="CM44" s="105">
        <v>0</v>
      </c>
      <c r="CN44" s="105">
        <v>0</v>
      </c>
      <c r="CO44" s="105">
        <v>0</v>
      </c>
      <c r="CP44" s="105">
        <v>0</v>
      </c>
      <c r="CQ44" s="105">
        <v>0</v>
      </c>
      <c r="CR44" s="105">
        <v>0</v>
      </c>
      <c r="CS44" s="105">
        <v>0</v>
      </c>
      <c r="CT44" s="105">
        <v>0</v>
      </c>
      <c r="CU44" s="105">
        <v>0</v>
      </c>
    </row>
    <row r="45" spans="2:99" x14ac:dyDescent="0.25">
      <c r="C45" s="104" t="s">
        <v>210</v>
      </c>
      <c r="D45" s="105">
        <v>0</v>
      </c>
      <c r="E45" s="105">
        <v>0</v>
      </c>
      <c r="F45" s="105">
        <v>0</v>
      </c>
      <c r="G45" s="105">
        <v>0</v>
      </c>
      <c r="H45" s="105">
        <v>0</v>
      </c>
      <c r="I45" s="105">
        <v>0</v>
      </c>
      <c r="J45" s="105">
        <v>0</v>
      </c>
      <c r="K45" s="105">
        <v>0</v>
      </c>
      <c r="L45" s="105">
        <v>0</v>
      </c>
      <c r="M45" s="105">
        <v>0</v>
      </c>
      <c r="N45" s="105">
        <v>0</v>
      </c>
      <c r="O45" s="105">
        <v>0</v>
      </c>
      <c r="P45" s="105">
        <v>0</v>
      </c>
      <c r="Q45" s="105">
        <v>0</v>
      </c>
      <c r="R45" s="105">
        <v>0</v>
      </c>
      <c r="S45" s="105">
        <v>0</v>
      </c>
      <c r="T45" s="105">
        <v>0</v>
      </c>
      <c r="U45" s="105">
        <v>0</v>
      </c>
      <c r="V45" s="105">
        <v>0</v>
      </c>
      <c r="W45" s="105">
        <v>0</v>
      </c>
      <c r="X45" s="105">
        <v>0</v>
      </c>
      <c r="Y45" s="105">
        <v>0</v>
      </c>
      <c r="Z45" s="105">
        <v>0</v>
      </c>
      <c r="AA45" s="105">
        <v>0</v>
      </c>
      <c r="AB45" s="105">
        <v>0</v>
      </c>
      <c r="AC45" s="105">
        <v>0</v>
      </c>
      <c r="AD45" s="105">
        <v>0</v>
      </c>
      <c r="AE45" s="105">
        <v>0</v>
      </c>
      <c r="AF45" s="105">
        <v>0</v>
      </c>
      <c r="AG45" s="105">
        <v>0</v>
      </c>
      <c r="AH45" s="105">
        <v>0</v>
      </c>
      <c r="AI45" s="105">
        <v>0</v>
      </c>
      <c r="AJ45" s="105">
        <v>0</v>
      </c>
      <c r="AK45" s="105">
        <v>0</v>
      </c>
      <c r="AL45" s="105">
        <v>0</v>
      </c>
      <c r="AM45" s="105">
        <v>0</v>
      </c>
      <c r="AN45" s="105">
        <v>0</v>
      </c>
      <c r="AO45" s="105">
        <v>0</v>
      </c>
      <c r="AP45" s="105">
        <v>0</v>
      </c>
      <c r="AQ45" s="105">
        <v>0</v>
      </c>
      <c r="AR45" s="105">
        <v>0</v>
      </c>
      <c r="AS45" s="105">
        <v>0</v>
      </c>
      <c r="AT45" s="105">
        <v>0</v>
      </c>
      <c r="AU45" s="105">
        <v>0</v>
      </c>
      <c r="AV45" s="105">
        <v>0</v>
      </c>
      <c r="AW45" s="105">
        <v>0</v>
      </c>
      <c r="AX45" s="105">
        <v>0</v>
      </c>
      <c r="AY45" s="105">
        <v>0</v>
      </c>
      <c r="AZ45" s="105">
        <v>0</v>
      </c>
      <c r="BA45" s="105">
        <v>0</v>
      </c>
      <c r="BB45" s="105">
        <v>0</v>
      </c>
      <c r="BC45" s="105">
        <v>0</v>
      </c>
      <c r="BD45" s="105">
        <v>0</v>
      </c>
      <c r="BE45" s="105">
        <v>0</v>
      </c>
      <c r="BF45" s="105">
        <v>0</v>
      </c>
      <c r="BG45" s="105">
        <v>0</v>
      </c>
      <c r="BH45" s="105">
        <v>0</v>
      </c>
      <c r="BI45" s="105">
        <v>0</v>
      </c>
      <c r="BJ45" s="105">
        <v>0</v>
      </c>
      <c r="BK45" s="105">
        <v>0</v>
      </c>
      <c r="BL45" s="105">
        <v>0</v>
      </c>
      <c r="BM45" s="105">
        <v>0</v>
      </c>
      <c r="BN45" s="105">
        <v>0</v>
      </c>
      <c r="BO45" s="105">
        <v>0</v>
      </c>
      <c r="BP45" s="105">
        <v>0</v>
      </c>
      <c r="BQ45" s="105">
        <v>0</v>
      </c>
      <c r="BR45" s="105">
        <v>0</v>
      </c>
      <c r="BS45" s="105">
        <v>0</v>
      </c>
      <c r="BT45" s="105">
        <v>0</v>
      </c>
      <c r="BU45" s="105">
        <v>0</v>
      </c>
      <c r="BV45" s="105">
        <v>0</v>
      </c>
      <c r="BW45" s="105">
        <v>0</v>
      </c>
      <c r="BX45" s="105">
        <v>0</v>
      </c>
      <c r="BY45" s="105">
        <v>0</v>
      </c>
      <c r="BZ45" s="105">
        <v>0</v>
      </c>
      <c r="CA45" s="105">
        <v>0</v>
      </c>
      <c r="CB45" s="105">
        <v>0</v>
      </c>
      <c r="CC45" s="105">
        <v>0</v>
      </c>
      <c r="CD45" s="105">
        <v>0</v>
      </c>
      <c r="CE45" s="105">
        <v>0</v>
      </c>
      <c r="CF45" s="105">
        <v>0</v>
      </c>
      <c r="CG45" s="105">
        <v>0</v>
      </c>
      <c r="CH45" s="105">
        <v>0</v>
      </c>
      <c r="CI45" s="105">
        <v>0</v>
      </c>
      <c r="CJ45" s="105">
        <v>0</v>
      </c>
      <c r="CK45" s="105">
        <v>0</v>
      </c>
      <c r="CL45" s="105">
        <v>0</v>
      </c>
      <c r="CM45" s="105">
        <v>0</v>
      </c>
      <c r="CN45" s="105">
        <v>0</v>
      </c>
      <c r="CO45" s="105">
        <v>0</v>
      </c>
      <c r="CP45" s="105">
        <v>0</v>
      </c>
      <c r="CQ45" s="105">
        <v>0</v>
      </c>
      <c r="CR45" s="105">
        <v>0</v>
      </c>
      <c r="CS45" s="105">
        <v>0</v>
      </c>
      <c r="CT45" s="105">
        <v>0</v>
      </c>
      <c r="CU45" s="105">
        <v>0</v>
      </c>
    </row>
    <row r="46" spans="2:99" x14ac:dyDescent="0.25">
      <c r="C46" s="104" t="s">
        <v>211</v>
      </c>
      <c r="D46" s="105">
        <v>0</v>
      </c>
      <c r="E46" s="105">
        <v>0</v>
      </c>
      <c r="F46" s="105">
        <v>0</v>
      </c>
      <c r="G46" s="105">
        <v>0</v>
      </c>
      <c r="H46" s="105">
        <v>0</v>
      </c>
      <c r="I46" s="105">
        <v>0</v>
      </c>
      <c r="J46" s="105">
        <v>0</v>
      </c>
      <c r="K46" s="105">
        <v>0</v>
      </c>
      <c r="L46" s="105">
        <v>0</v>
      </c>
      <c r="M46" s="105">
        <v>0</v>
      </c>
      <c r="N46" s="105">
        <v>0</v>
      </c>
      <c r="O46" s="105">
        <v>0</v>
      </c>
      <c r="P46" s="105">
        <v>0</v>
      </c>
      <c r="Q46" s="105">
        <v>0</v>
      </c>
      <c r="R46" s="105">
        <v>0</v>
      </c>
      <c r="S46" s="105">
        <v>0</v>
      </c>
      <c r="T46" s="105">
        <v>0</v>
      </c>
      <c r="U46" s="105">
        <v>0</v>
      </c>
      <c r="V46" s="105">
        <v>0</v>
      </c>
      <c r="W46" s="105">
        <v>0</v>
      </c>
      <c r="X46" s="105">
        <v>0</v>
      </c>
      <c r="Y46" s="105">
        <v>0</v>
      </c>
      <c r="Z46" s="105">
        <v>0</v>
      </c>
      <c r="AA46" s="105">
        <v>0</v>
      </c>
      <c r="AB46" s="105">
        <v>0</v>
      </c>
      <c r="AC46" s="105">
        <v>0</v>
      </c>
      <c r="AD46" s="105">
        <v>0</v>
      </c>
      <c r="AE46" s="105">
        <v>0</v>
      </c>
      <c r="AF46" s="105">
        <v>0</v>
      </c>
      <c r="AG46" s="105">
        <v>0</v>
      </c>
      <c r="AH46" s="105">
        <v>0</v>
      </c>
      <c r="AI46" s="105">
        <v>0</v>
      </c>
      <c r="AJ46" s="105">
        <v>0</v>
      </c>
      <c r="AK46" s="105">
        <v>0</v>
      </c>
      <c r="AL46" s="105">
        <v>0</v>
      </c>
      <c r="AM46" s="105">
        <v>0</v>
      </c>
      <c r="AN46" s="105">
        <v>0</v>
      </c>
      <c r="AO46" s="105">
        <v>0</v>
      </c>
      <c r="AP46" s="105">
        <v>0</v>
      </c>
      <c r="AQ46" s="105">
        <v>0</v>
      </c>
      <c r="AR46" s="105">
        <v>0</v>
      </c>
      <c r="AS46" s="105">
        <v>0</v>
      </c>
      <c r="AT46" s="105">
        <v>0</v>
      </c>
      <c r="AU46" s="105">
        <v>0</v>
      </c>
      <c r="AV46" s="105">
        <v>0</v>
      </c>
      <c r="AW46" s="105">
        <v>0</v>
      </c>
      <c r="AX46" s="105">
        <v>0</v>
      </c>
      <c r="AY46" s="105">
        <v>0</v>
      </c>
      <c r="AZ46" s="105">
        <v>0</v>
      </c>
      <c r="BA46" s="105">
        <v>0</v>
      </c>
      <c r="BB46" s="105">
        <v>0</v>
      </c>
      <c r="BC46" s="105">
        <v>0</v>
      </c>
      <c r="BD46" s="105">
        <v>0</v>
      </c>
      <c r="BE46" s="105">
        <v>0</v>
      </c>
      <c r="BF46" s="105">
        <v>0</v>
      </c>
      <c r="BG46" s="105">
        <v>0</v>
      </c>
      <c r="BH46" s="105">
        <v>0</v>
      </c>
      <c r="BI46" s="105">
        <v>0</v>
      </c>
      <c r="BJ46" s="105">
        <v>0</v>
      </c>
      <c r="BK46" s="105">
        <v>0</v>
      </c>
      <c r="BL46" s="105">
        <v>0</v>
      </c>
      <c r="BM46" s="105">
        <v>0</v>
      </c>
      <c r="BN46" s="105">
        <v>0</v>
      </c>
      <c r="BO46" s="105">
        <v>0</v>
      </c>
      <c r="BP46" s="105">
        <v>0</v>
      </c>
      <c r="BQ46" s="105">
        <v>0</v>
      </c>
      <c r="BR46" s="105">
        <v>0</v>
      </c>
      <c r="BS46" s="105">
        <v>0</v>
      </c>
      <c r="BT46" s="105">
        <v>0</v>
      </c>
      <c r="BU46" s="105">
        <v>0</v>
      </c>
      <c r="BV46" s="105">
        <v>0</v>
      </c>
      <c r="BW46" s="105">
        <v>0</v>
      </c>
      <c r="BX46" s="105">
        <v>0</v>
      </c>
      <c r="BY46" s="105">
        <v>0</v>
      </c>
      <c r="BZ46" s="105">
        <v>0</v>
      </c>
      <c r="CA46" s="105">
        <v>0</v>
      </c>
      <c r="CB46" s="105">
        <v>0</v>
      </c>
      <c r="CC46" s="105">
        <v>0</v>
      </c>
      <c r="CD46" s="105">
        <v>0</v>
      </c>
      <c r="CE46" s="105">
        <v>0</v>
      </c>
      <c r="CF46" s="105">
        <v>0</v>
      </c>
      <c r="CG46" s="105">
        <v>0</v>
      </c>
      <c r="CH46" s="105">
        <v>0</v>
      </c>
      <c r="CI46" s="105">
        <v>0</v>
      </c>
      <c r="CJ46" s="105">
        <v>0</v>
      </c>
      <c r="CK46" s="105">
        <v>0</v>
      </c>
      <c r="CL46" s="105">
        <v>0</v>
      </c>
      <c r="CM46" s="105">
        <v>0</v>
      </c>
      <c r="CN46" s="105">
        <v>0</v>
      </c>
      <c r="CO46" s="105">
        <v>0</v>
      </c>
      <c r="CP46" s="105">
        <v>0</v>
      </c>
      <c r="CQ46" s="105">
        <v>0</v>
      </c>
      <c r="CR46" s="105">
        <v>0</v>
      </c>
      <c r="CS46" s="105">
        <v>0</v>
      </c>
      <c r="CT46" s="105">
        <v>0</v>
      </c>
      <c r="CU46" s="105">
        <v>0</v>
      </c>
    </row>
    <row r="47" spans="2:99" x14ac:dyDescent="0.25">
      <c r="C47" s="104" t="s">
        <v>212</v>
      </c>
      <c r="D47" s="105">
        <v>0</v>
      </c>
      <c r="E47" s="105">
        <v>0</v>
      </c>
      <c r="F47" s="105">
        <v>0</v>
      </c>
      <c r="G47" s="105">
        <v>0</v>
      </c>
      <c r="H47" s="105">
        <v>0</v>
      </c>
      <c r="I47" s="105">
        <v>0</v>
      </c>
      <c r="J47" s="105">
        <v>0</v>
      </c>
      <c r="K47" s="105">
        <v>0</v>
      </c>
      <c r="L47" s="105">
        <v>0</v>
      </c>
      <c r="M47" s="105">
        <v>0</v>
      </c>
      <c r="N47" s="105">
        <v>0</v>
      </c>
      <c r="O47" s="105">
        <v>0</v>
      </c>
      <c r="P47" s="105">
        <v>0</v>
      </c>
      <c r="Q47" s="105">
        <v>0</v>
      </c>
      <c r="R47" s="105">
        <v>0</v>
      </c>
      <c r="S47" s="105">
        <v>0</v>
      </c>
      <c r="T47" s="105">
        <v>0</v>
      </c>
      <c r="U47" s="105">
        <v>0</v>
      </c>
      <c r="V47" s="105">
        <v>0</v>
      </c>
      <c r="W47" s="105">
        <v>0</v>
      </c>
      <c r="X47" s="105">
        <v>0</v>
      </c>
      <c r="Y47" s="105">
        <v>0</v>
      </c>
      <c r="Z47" s="105">
        <v>0</v>
      </c>
      <c r="AA47" s="105">
        <v>0</v>
      </c>
      <c r="AB47" s="105">
        <v>0</v>
      </c>
      <c r="AC47" s="105">
        <v>0</v>
      </c>
      <c r="AD47" s="105">
        <v>0</v>
      </c>
      <c r="AE47" s="105">
        <v>0</v>
      </c>
      <c r="AF47" s="105">
        <v>0</v>
      </c>
      <c r="AG47" s="105">
        <v>0</v>
      </c>
      <c r="AH47" s="105">
        <v>0</v>
      </c>
      <c r="AI47" s="105">
        <v>0</v>
      </c>
      <c r="AJ47" s="105">
        <v>0</v>
      </c>
      <c r="AK47" s="105">
        <v>0</v>
      </c>
      <c r="AL47" s="105">
        <v>0</v>
      </c>
      <c r="AM47" s="105">
        <v>0</v>
      </c>
      <c r="AN47" s="105">
        <v>0</v>
      </c>
      <c r="AO47" s="105">
        <v>0</v>
      </c>
      <c r="AP47" s="105">
        <v>0</v>
      </c>
      <c r="AQ47" s="105">
        <v>0</v>
      </c>
      <c r="AR47" s="105">
        <v>0</v>
      </c>
      <c r="AS47" s="105">
        <v>0</v>
      </c>
      <c r="AT47" s="105">
        <v>0</v>
      </c>
      <c r="AU47" s="105">
        <v>0</v>
      </c>
      <c r="AV47" s="105">
        <v>0</v>
      </c>
      <c r="AW47" s="105">
        <v>0</v>
      </c>
      <c r="AX47" s="105">
        <v>0</v>
      </c>
      <c r="AY47" s="105">
        <v>0</v>
      </c>
      <c r="AZ47" s="105">
        <v>0</v>
      </c>
      <c r="BA47" s="105">
        <v>0</v>
      </c>
      <c r="BB47" s="105">
        <v>0</v>
      </c>
      <c r="BC47" s="105">
        <v>0</v>
      </c>
      <c r="BD47" s="105">
        <v>0</v>
      </c>
      <c r="BE47" s="105">
        <v>0</v>
      </c>
      <c r="BF47" s="105">
        <v>0</v>
      </c>
      <c r="BG47" s="105">
        <v>0</v>
      </c>
      <c r="BH47" s="105">
        <v>0</v>
      </c>
      <c r="BI47" s="105">
        <v>0</v>
      </c>
      <c r="BJ47" s="105">
        <v>0</v>
      </c>
      <c r="BK47" s="105">
        <v>0</v>
      </c>
      <c r="BL47" s="105">
        <v>0</v>
      </c>
      <c r="BM47" s="105">
        <v>0</v>
      </c>
      <c r="BN47" s="105">
        <v>0</v>
      </c>
      <c r="BO47" s="105">
        <v>0</v>
      </c>
      <c r="BP47" s="105">
        <v>0</v>
      </c>
      <c r="BQ47" s="105">
        <v>0</v>
      </c>
      <c r="BR47" s="105">
        <v>0</v>
      </c>
      <c r="BS47" s="105">
        <v>0</v>
      </c>
      <c r="BT47" s="105">
        <v>0</v>
      </c>
      <c r="BU47" s="105">
        <v>0</v>
      </c>
      <c r="BV47" s="105">
        <v>0</v>
      </c>
      <c r="BW47" s="105">
        <v>0</v>
      </c>
      <c r="BX47" s="105">
        <v>0</v>
      </c>
      <c r="BY47" s="105">
        <v>0</v>
      </c>
      <c r="BZ47" s="105">
        <v>0</v>
      </c>
      <c r="CA47" s="105">
        <v>0</v>
      </c>
      <c r="CB47" s="105">
        <v>0</v>
      </c>
      <c r="CC47" s="105">
        <v>0</v>
      </c>
      <c r="CD47" s="105">
        <v>0</v>
      </c>
      <c r="CE47" s="105">
        <v>0</v>
      </c>
      <c r="CF47" s="105">
        <v>0</v>
      </c>
      <c r="CG47" s="105">
        <v>0</v>
      </c>
      <c r="CH47" s="105">
        <v>0</v>
      </c>
      <c r="CI47" s="105">
        <v>0</v>
      </c>
      <c r="CJ47" s="105">
        <v>0</v>
      </c>
      <c r="CK47" s="105">
        <v>0</v>
      </c>
      <c r="CL47" s="105">
        <v>0</v>
      </c>
      <c r="CM47" s="105">
        <v>0</v>
      </c>
      <c r="CN47" s="105">
        <v>0</v>
      </c>
      <c r="CO47" s="105">
        <v>0</v>
      </c>
      <c r="CP47" s="105">
        <v>0</v>
      </c>
      <c r="CQ47" s="105">
        <v>0</v>
      </c>
      <c r="CR47" s="105">
        <v>0</v>
      </c>
      <c r="CS47" s="105">
        <v>0</v>
      </c>
      <c r="CT47" s="105">
        <v>0</v>
      </c>
      <c r="CU47" s="105">
        <v>0</v>
      </c>
    </row>
    <row r="48" spans="2:99" x14ac:dyDescent="0.25">
      <c r="C48" s="104" t="s">
        <v>213</v>
      </c>
      <c r="D48" s="105">
        <v>0</v>
      </c>
      <c r="E48" s="105">
        <v>0</v>
      </c>
      <c r="F48" s="105">
        <v>0</v>
      </c>
      <c r="G48" s="105">
        <v>0</v>
      </c>
      <c r="H48" s="105">
        <v>0</v>
      </c>
      <c r="I48" s="105">
        <v>0</v>
      </c>
      <c r="J48" s="105">
        <v>0</v>
      </c>
      <c r="K48" s="105">
        <v>0</v>
      </c>
      <c r="L48" s="105">
        <v>0</v>
      </c>
      <c r="M48" s="105">
        <v>0</v>
      </c>
      <c r="N48" s="105">
        <v>0</v>
      </c>
      <c r="O48" s="105">
        <v>0</v>
      </c>
      <c r="P48" s="105">
        <v>0</v>
      </c>
      <c r="Q48" s="105">
        <v>0</v>
      </c>
      <c r="R48" s="105">
        <v>0</v>
      </c>
      <c r="S48" s="105">
        <v>0</v>
      </c>
      <c r="T48" s="105">
        <v>0</v>
      </c>
      <c r="U48" s="105">
        <v>0</v>
      </c>
      <c r="V48" s="105">
        <v>0</v>
      </c>
      <c r="W48" s="105">
        <v>0</v>
      </c>
      <c r="X48" s="105">
        <v>0</v>
      </c>
      <c r="Y48" s="105">
        <v>0</v>
      </c>
      <c r="Z48" s="105">
        <v>0</v>
      </c>
      <c r="AA48" s="105">
        <v>0</v>
      </c>
      <c r="AB48" s="105">
        <v>0</v>
      </c>
      <c r="AC48" s="105">
        <v>0</v>
      </c>
      <c r="AD48" s="105">
        <v>0</v>
      </c>
      <c r="AE48" s="105">
        <v>0</v>
      </c>
      <c r="AF48" s="105">
        <v>0</v>
      </c>
      <c r="AG48" s="105">
        <v>0</v>
      </c>
      <c r="AH48" s="105">
        <v>0</v>
      </c>
      <c r="AI48" s="105">
        <v>0</v>
      </c>
      <c r="AJ48" s="105">
        <v>0</v>
      </c>
      <c r="AK48" s="105">
        <v>0</v>
      </c>
      <c r="AL48" s="105">
        <v>0</v>
      </c>
      <c r="AM48" s="105">
        <v>0</v>
      </c>
      <c r="AN48" s="105">
        <v>0</v>
      </c>
      <c r="AO48" s="105">
        <v>0</v>
      </c>
      <c r="AP48" s="105">
        <v>0</v>
      </c>
      <c r="AQ48" s="105">
        <v>0</v>
      </c>
      <c r="AR48" s="105">
        <v>0</v>
      </c>
      <c r="AS48" s="105">
        <v>0</v>
      </c>
      <c r="AT48" s="105">
        <v>0</v>
      </c>
      <c r="AU48" s="105">
        <v>0</v>
      </c>
      <c r="AV48" s="105">
        <v>0</v>
      </c>
      <c r="AW48" s="105">
        <v>0</v>
      </c>
      <c r="AX48" s="105">
        <v>0</v>
      </c>
      <c r="AY48" s="105">
        <v>0</v>
      </c>
      <c r="AZ48" s="105">
        <v>0</v>
      </c>
      <c r="BA48" s="105">
        <v>0</v>
      </c>
      <c r="BB48" s="105">
        <v>0</v>
      </c>
      <c r="BC48" s="105">
        <v>0</v>
      </c>
      <c r="BD48" s="105">
        <v>0</v>
      </c>
      <c r="BE48" s="105">
        <v>0</v>
      </c>
      <c r="BF48" s="105">
        <v>0</v>
      </c>
      <c r="BG48" s="105">
        <v>0</v>
      </c>
      <c r="BH48" s="105">
        <v>0</v>
      </c>
      <c r="BI48" s="105">
        <v>0</v>
      </c>
      <c r="BJ48" s="105">
        <v>0</v>
      </c>
      <c r="BK48" s="105">
        <v>0</v>
      </c>
      <c r="BL48" s="105">
        <v>0</v>
      </c>
      <c r="BM48" s="105">
        <v>0</v>
      </c>
      <c r="BN48" s="105">
        <v>0</v>
      </c>
      <c r="BO48" s="105">
        <v>0</v>
      </c>
      <c r="BP48" s="105">
        <v>0</v>
      </c>
      <c r="BQ48" s="105">
        <v>0</v>
      </c>
      <c r="BR48" s="105">
        <v>0</v>
      </c>
      <c r="BS48" s="105">
        <v>0</v>
      </c>
      <c r="BT48" s="105">
        <v>0</v>
      </c>
      <c r="BU48" s="105">
        <v>0</v>
      </c>
      <c r="BV48" s="105">
        <v>0</v>
      </c>
      <c r="BW48" s="105">
        <v>0</v>
      </c>
      <c r="BX48" s="105">
        <v>0</v>
      </c>
      <c r="BY48" s="105">
        <v>0</v>
      </c>
      <c r="BZ48" s="105">
        <v>0</v>
      </c>
      <c r="CA48" s="105">
        <v>0</v>
      </c>
      <c r="CB48" s="105">
        <v>0</v>
      </c>
      <c r="CC48" s="105">
        <v>0</v>
      </c>
      <c r="CD48" s="105">
        <v>0</v>
      </c>
      <c r="CE48" s="105">
        <v>0</v>
      </c>
      <c r="CF48" s="105">
        <v>0</v>
      </c>
      <c r="CG48" s="105">
        <v>0</v>
      </c>
      <c r="CH48" s="105">
        <v>0</v>
      </c>
      <c r="CI48" s="105">
        <v>0</v>
      </c>
      <c r="CJ48" s="105">
        <v>0</v>
      </c>
      <c r="CK48" s="105">
        <v>0</v>
      </c>
      <c r="CL48" s="105">
        <v>0</v>
      </c>
      <c r="CM48" s="105">
        <v>0</v>
      </c>
      <c r="CN48" s="105">
        <v>0</v>
      </c>
      <c r="CO48" s="105">
        <v>0</v>
      </c>
      <c r="CP48" s="105">
        <v>0</v>
      </c>
      <c r="CQ48" s="105">
        <v>0</v>
      </c>
      <c r="CR48" s="105">
        <v>0</v>
      </c>
      <c r="CS48" s="105">
        <v>0</v>
      </c>
      <c r="CT48" s="105">
        <v>0</v>
      </c>
      <c r="CU48" s="105">
        <v>0</v>
      </c>
    </row>
    <row r="49" spans="2:99" x14ac:dyDescent="0.25">
      <c r="B49" s="104" t="s">
        <v>129</v>
      </c>
      <c r="C49" s="104" t="s">
        <v>214</v>
      </c>
      <c r="D49" s="105">
        <v>0</v>
      </c>
      <c r="E49" s="105">
        <v>0</v>
      </c>
      <c r="F49" s="105">
        <v>0</v>
      </c>
      <c r="G49" s="105">
        <v>0</v>
      </c>
      <c r="H49" s="105">
        <v>0</v>
      </c>
      <c r="I49" s="105">
        <v>0</v>
      </c>
      <c r="J49" s="105">
        <v>0</v>
      </c>
      <c r="K49" s="105">
        <v>0</v>
      </c>
      <c r="L49" s="105">
        <v>0</v>
      </c>
      <c r="M49" s="105">
        <v>0</v>
      </c>
      <c r="N49" s="105">
        <v>0</v>
      </c>
      <c r="O49" s="105">
        <v>0</v>
      </c>
      <c r="P49" s="105">
        <v>0</v>
      </c>
      <c r="Q49" s="105">
        <v>0</v>
      </c>
      <c r="R49" s="105">
        <v>0</v>
      </c>
      <c r="S49" s="105">
        <v>0</v>
      </c>
      <c r="T49" s="105">
        <v>0</v>
      </c>
      <c r="U49" s="105">
        <v>0</v>
      </c>
      <c r="V49" s="105">
        <v>0</v>
      </c>
      <c r="W49" s="105">
        <v>0</v>
      </c>
      <c r="X49" s="105">
        <v>0</v>
      </c>
      <c r="Y49" s="105">
        <v>0</v>
      </c>
      <c r="Z49" s="105">
        <v>0</v>
      </c>
      <c r="AA49" s="105">
        <v>0</v>
      </c>
      <c r="AB49" s="105">
        <v>0</v>
      </c>
      <c r="AC49" s="105">
        <v>0</v>
      </c>
      <c r="AD49" s="105">
        <v>0</v>
      </c>
      <c r="AE49" s="105">
        <v>0</v>
      </c>
      <c r="AF49" s="105">
        <v>0</v>
      </c>
      <c r="AG49" s="105">
        <v>0</v>
      </c>
      <c r="AH49" s="105">
        <v>0</v>
      </c>
      <c r="AI49" s="105">
        <v>0</v>
      </c>
      <c r="AJ49" s="105">
        <v>0</v>
      </c>
      <c r="AK49" s="105">
        <v>0</v>
      </c>
      <c r="AL49" s="105">
        <v>0</v>
      </c>
      <c r="AM49" s="105">
        <v>0</v>
      </c>
      <c r="AN49" s="105">
        <v>0</v>
      </c>
      <c r="AO49" s="105">
        <v>0</v>
      </c>
      <c r="AP49" s="105">
        <v>0</v>
      </c>
      <c r="AQ49" s="105">
        <v>0</v>
      </c>
      <c r="AR49" s="105">
        <v>0</v>
      </c>
      <c r="AS49" s="105">
        <v>0</v>
      </c>
      <c r="AT49" s="105">
        <v>0</v>
      </c>
      <c r="AU49" s="105">
        <v>0</v>
      </c>
      <c r="AV49" s="105">
        <v>0</v>
      </c>
      <c r="AW49" s="105">
        <v>0</v>
      </c>
      <c r="AX49" s="105">
        <v>0</v>
      </c>
      <c r="AY49" s="105">
        <v>0</v>
      </c>
      <c r="AZ49" s="105">
        <v>0</v>
      </c>
      <c r="BA49" s="105">
        <v>0</v>
      </c>
      <c r="BB49" s="105">
        <v>0</v>
      </c>
      <c r="BC49" s="105">
        <v>0</v>
      </c>
      <c r="BD49" s="105">
        <v>0</v>
      </c>
      <c r="BE49" s="105">
        <v>0</v>
      </c>
      <c r="BF49" s="105">
        <v>0</v>
      </c>
      <c r="BG49" s="105">
        <v>0</v>
      </c>
      <c r="BH49" s="105">
        <v>0</v>
      </c>
      <c r="BI49" s="105">
        <v>0</v>
      </c>
      <c r="BJ49" s="105">
        <v>0</v>
      </c>
      <c r="BK49" s="105">
        <v>0</v>
      </c>
      <c r="BL49" s="105">
        <v>0</v>
      </c>
      <c r="BM49" s="105">
        <v>0</v>
      </c>
      <c r="BN49" s="105">
        <v>0</v>
      </c>
      <c r="BO49" s="105">
        <v>0</v>
      </c>
      <c r="BP49" s="105">
        <v>0</v>
      </c>
      <c r="BQ49" s="105">
        <v>0</v>
      </c>
      <c r="BR49" s="105">
        <v>0</v>
      </c>
      <c r="BS49" s="105">
        <v>0</v>
      </c>
      <c r="BT49" s="105">
        <v>0</v>
      </c>
      <c r="BU49" s="105">
        <v>0</v>
      </c>
      <c r="BV49" s="105">
        <v>0</v>
      </c>
      <c r="BW49" s="105">
        <v>0</v>
      </c>
      <c r="BX49" s="105">
        <v>0</v>
      </c>
      <c r="BY49" s="105">
        <v>0</v>
      </c>
      <c r="BZ49" s="105">
        <v>0</v>
      </c>
      <c r="CA49" s="105">
        <v>0</v>
      </c>
      <c r="CB49" s="105">
        <v>0</v>
      </c>
      <c r="CC49" s="105">
        <v>0</v>
      </c>
      <c r="CD49" s="105">
        <v>0</v>
      </c>
      <c r="CE49" s="105">
        <v>0</v>
      </c>
      <c r="CF49" s="105">
        <v>0</v>
      </c>
      <c r="CG49" s="105">
        <v>0</v>
      </c>
      <c r="CH49" s="105">
        <v>0</v>
      </c>
      <c r="CI49" s="105">
        <v>0</v>
      </c>
      <c r="CJ49" s="105">
        <v>0</v>
      </c>
      <c r="CK49" s="105">
        <v>0</v>
      </c>
      <c r="CL49" s="105">
        <v>0</v>
      </c>
      <c r="CM49" s="105">
        <v>0</v>
      </c>
      <c r="CN49" s="105">
        <v>0</v>
      </c>
      <c r="CO49" s="105">
        <v>0</v>
      </c>
      <c r="CP49" s="105">
        <v>0</v>
      </c>
      <c r="CQ49" s="105">
        <v>0</v>
      </c>
      <c r="CR49" s="105">
        <v>0</v>
      </c>
      <c r="CS49" s="105">
        <v>0</v>
      </c>
      <c r="CT49" s="105">
        <v>0</v>
      </c>
      <c r="CU49" s="105">
        <v>0</v>
      </c>
    </row>
    <row r="50" spans="2:99" x14ac:dyDescent="0.25">
      <c r="C50" s="104" t="s">
        <v>215</v>
      </c>
      <c r="D50" s="105">
        <v>0</v>
      </c>
      <c r="E50" s="105">
        <v>0</v>
      </c>
      <c r="F50" s="105">
        <v>0</v>
      </c>
      <c r="G50" s="105">
        <v>0</v>
      </c>
      <c r="H50" s="105">
        <v>0</v>
      </c>
      <c r="I50" s="105">
        <v>0</v>
      </c>
      <c r="J50" s="105">
        <v>0</v>
      </c>
      <c r="K50" s="105">
        <v>0</v>
      </c>
      <c r="L50" s="105">
        <v>0</v>
      </c>
      <c r="M50" s="105">
        <v>0</v>
      </c>
      <c r="N50" s="105">
        <v>0</v>
      </c>
      <c r="O50" s="105">
        <v>0</v>
      </c>
      <c r="P50" s="105">
        <v>0</v>
      </c>
      <c r="Q50" s="105">
        <v>0</v>
      </c>
      <c r="R50" s="105">
        <v>0</v>
      </c>
      <c r="S50" s="105">
        <v>0</v>
      </c>
      <c r="T50" s="105">
        <v>0</v>
      </c>
      <c r="U50" s="105">
        <v>0</v>
      </c>
      <c r="V50" s="105">
        <v>0</v>
      </c>
      <c r="W50" s="105">
        <v>0</v>
      </c>
      <c r="X50" s="105">
        <v>0</v>
      </c>
      <c r="Y50" s="105">
        <v>0</v>
      </c>
      <c r="Z50" s="105">
        <v>0</v>
      </c>
      <c r="AA50" s="105">
        <v>0</v>
      </c>
      <c r="AB50" s="105">
        <v>0</v>
      </c>
      <c r="AC50" s="105">
        <v>0</v>
      </c>
      <c r="AD50" s="105">
        <v>0</v>
      </c>
      <c r="AE50" s="105">
        <v>0</v>
      </c>
      <c r="AF50" s="105">
        <v>0</v>
      </c>
      <c r="AG50" s="105">
        <v>0</v>
      </c>
      <c r="AH50" s="105">
        <v>0</v>
      </c>
      <c r="AI50" s="105">
        <v>0</v>
      </c>
      <c r="AJ50" s="105">
        <v>0</v>
      </c>
      <c r="AK50" s="105">
        <v>0</v>
      </c>
      <c r="AL50" s="105">
        <v>0</v>
      </c>
      <c r="AM50" s="105">
        <v>0</v>
      </c>
      <c r="AN50" s="105">
        <v>0</v>
      </c>
      <c r="AO50" s="105">
        <v>0</v>
      </c>
      <c r="AP50" s="105">
        <v>0</v>
      </c>
      <c r="AQ50" s="105">
        <v>0</v>
      </c>
      <c r="AR50" s="105">
        <v>0</v>
      </c>
      <c r="AS50" s="105">
        <v>0</v>
      </c>
      <c r="AT50" s="105">
        <v>0</v>
      </c>
      <c r="AU50" s="105">
        <v>0</v>
      </c>
      <c r="AV50" s="105">
        <v>0</v>
      </c>
      <c r="AW50" s="105">
        <v>0</v>
      </c>
      <c r="AX50" s="105">
        <v>0</v>
      </c>
      <c r="AY50" s="105">
        <v>0</v>
      </c>
      <c r="AZ50" s="105">
        <v>0</v>
      </c>
      <c r="BA50" s="105">
        <v>0</v>
      </c>
      <c r="BB50" s="105">
        <v>0</v>
      </c>
      <c r="BC50" s="105">
        <v>0</v>
      </c>
      <c r="BD50" s="105">
        <v>0</v>
      </c>
      <c r="BE50" s="105">
        <v>0</v>
      </c>
      <c r="BF50" s="105">
        <v>0</v>
      </c>
      <c r="BG50" s="105">
        <v>0</v>
      </c>
      <c r="BH50" s="105">
        <v>0</v>
      </c>
      <c r="BI50" s="105">
        <v>0</v>
      </c>
      <c r="BJ50" s="105">
        <v>0</v>
      </c>
      <c r="BK50" s="105">
        <v>0</v>
      </c>
      <c r="BL50" s="105">
        <v>0</v>
      </c>
      <c r="BM50" s="105">
        <v>0</v>
      </c>
      <c r="BN50" s="105">
        <v>0</v>
      </c>
      <c r="BO50" s="105">
        <v>0</v>
      </c>
      <c r="BP50" s="105">
        <v>0</v>
      </c>
      <c r="BQ50" s="105">
        <v>0</v>
      </c>
      <c r="BR50" s="105">
        <v>0</v>
      </c>
      <c r="BS50" s="105">
        <v>0</v>
      </c>
      <c r="BT50" s="105">
        <v>0</v>
      </c>
      <c r="BU50" s="105">
        <v>0</v>
      </c>
      <c r="BV50" s="105">
        <v>0</v>
      </c>
      <c r="BW50" s="105">
        <v>0</v>
      </c>
      <c r="BX50" s="105">
        <v>0</v>
      </c>
      <c r="BY50" s="105">
        <v>0</v>
      </c>
      <c r="BZ50" s="105">
        <v>0</v>
      </c>
      <c r="CA50" s="105">
        <v>0</v>
      </c>
      <c r="CB50" s="105">
        <v>0</v>
      </c>
      <c r="CC50" s="105">
        <v>0</v>
      </c>
      <c r="CD50" s="105">
        <v>0</v>
      </c>
      <c r="CE50" s="105">
        <v>0</v>
      </c>
      <c r="CF50" s="105">
        <v>0</v>
      </c>
      <c r="CG50" s="105">
        <v>0</v>
      </c>
      <c r="CH50" s="105">
        <v>0</v>
      </c>
      <c r="CI50" s="105">
        <v>0</v>
      </c>
      <c r="CJ50" s="105">
        <v>0</v>
      </c>
      <c r="CK50" s="105">
        <v>0</v>
      </c>
      <c r="CL50" s="105">
        <v>0</v>
      </c>
      <c r="CM50" s="105">
        <v>0</v>
      </c>
      <c r="CN50" s="105">
        <v>0</v>
      </c>
      <c r="CO50" s="105">
        <v>0</v>
      </c>
      <c r="CP50" s="105">
        <v>0</v>
      </c>
      <c r="CQ50" s="105">
        <v>0</v>
      </c>
      <c r="CR50" s="105">
        <v>0</v>
      </c>
      <c r="CS50" s="105">
        <v>0</v>
      </c>
      <c r="CT50" s="105">
        <v>0</v>
      </c>
      <c r="CU50" s="105">
        <v>0</v>
      </c>
    </row>
    <row r="51" spans="2:99" x14ac:dyDescent="0.25">
      <c r="C51" s="104" t="s">
        <v>216</v>
      </c>
      <c r="D51" s="105">
        <v>0</v>
      </c>
      <c r="E51" s="105">
        <v>0</v>
      </c>
      <c r="F51" s="105">
        <v>0</v>
      </c>
      <c r="G51" s="105">
        <v>0</v>
      </c>
      <c r="H51" s="105">
        <v>0</v>
      </c>
      <c r="I51" s="105">
        <v>0</v>
      </c>
      <c r="J51" s="105">
        <v>0</v>
      </c>
      <c r="K51" s="105">
        <v>0</v>
      </c>
      <c r="L51" s="105">
        <v>0</v>
      </c>
      <c r="M51" s="105">
        <v>0</v>
      </c>
      <c r="N51" s="105">
        <v>0</v>
      </c>
      <c r="O51" s="105">
        <v>0</v>
      </c>
      <c r="P51" s="105">
        <v>0</v>
      </c>
      <c r="Q51" s="105">
        <v>0</v>
      </c>
      <c r="R51" s="105">
        <v>0</v>
      </c>
      <c r="S51" s="105">
        <v>0</v>
      </c>
      <c r="T51" s="105">
        <v>0</v>
      </c>
      <c r="U51" s="105">
        <v>0</v>
      </c>
      <c r="V51" s="105">
        <v>0</v>
      </c>
      <c r="W51" s="105">
        <v>0</v>
      </c>
      <c r="X51" s="105">
        <v>0</v>
      </c>
      <c r="Y51" s="105">
        <v>0</v>
      </c>
      <c r="Z51" s="105">
        <v>0</v>
      </c>
      <c r="AA51" s="105">
        <v>0</v>
      </c>
      <c r="AB51" s="105">
        <v>0</v>
      </c>
      <c r="AC51" s="105">
        <v>0</v>
      </c>
      <c r="AD51" s="105">
        <v>0</v>
      </c>
      <c r="AE51" s="105">
        <v>0</v>
      </c>
      <c r="AF51" s="105">
        <v>0</v>
      </c>
      <c r="AG51" s="105">
        <v>0</v>
      </c>
      <c r="AH51" s="105">
        <v>0</v>
      </c>
      <c r="AI51" s="105">
        <v>0</v>
      </c>
      <c r="AJ51" s="105">
        <v>0</v>
      </c>
      <c r="AK51" s="105">
        <v>0</v>
      </c>
      <c r="AL51" s="105">
        <v>0</v>
      </c>
      <c r="AM51" s="105">
        <v>0</v>
      </c>
      <c r="AN51" s="105">
        <v>0</v>
      </c>
      <c r="AO51" s="105">
        <v>0</v>
      </c>
      <c r="AP51" s="105">
        <v>0</v>
      </c>
      <c r="AQ51" s="105">
        <v>0</v>
      </c>
      <c r="AR51" s="105">
        <v>0</v>
      </c>
      <c r="AS51" s="105">
        <v>0</v>
      </c>
      <c r="AT51" s="105">
        <v>0</v>
      </c>
      <c r="AU51" s="105">
        <v>0</v>
      </c>
      <c r="AV51" s="105">
        <v>0</v>
      </c>
      <c r="AW51" s="105">
        <v>0</v>
      </c>
      <c r="AX51" s="105">
        <v>0</v>
      </c>
      <c r="AY51" s="105">
        <v>0</v>
      </c>
      <c r="AZ51" s="105">
        <v>0</v>
      </c>
      <c r="BA51" s="105">
        <v>0</v>
      </c>
      <c r="BB51" s="105">
        <v>0</v>
      </c>
      <c r="BC51" s="105">
        <v>0</v>
      </c>
      <c r="BD51" s="105">
        <v>0</v>
      </c>
      <c r="BE51" s="105">
        <v>0</v>
      </c>
      <c r="BF51" s="105">
        <v>0</v>
      </c>
      <c r="BG51" s="105">
        <v>0</v>
      </c>
      <c r="BH51" s="105">
        <v>0</v>
      </c>
      <c r="BI51" s="105">
        <v>0</v>
      </c>
      <c r="BJ51" s="105">
        <v>0</v>
      </c>
      <c r="BK51" s="105">
        <v>0</v>
      </c>
      <c r="BL51" s="105">
        <v>0</v>
      </c>
      <c r="BM51" s="105">
        <v>0</v>
      </c>
      <c r="BN51" s="105">
        <v>0</v>
      </c>
      <c r="BO51" s="105">
        <v>0</v>
      </c>
      <c r="BP51" s="105">
        <v>0</v>
      </c>
      <c r="BQ51" s="105">
        <v>0</v>
      </c>
      <c r="BR51" s="105">
        <v>0</v>
      </c>
      <c r="BS51" s="105">
        <v>0</v>
      </c>
      <c r="BT51" s="105">
        <v>0</v>
      </c>
      <c r="BU51" s="105">
        <v>0</v>
      </c>
      <c r="BV51" s="105">
        <v>0</v>
      </c>
      <c r="BW51" s="105">
        <v>0</v>
      </c>
      <c r="BX51" s="105">
        <v>0</v>
      </c>
      <c r="BY51" s="105">
        <v>0</v>
      </c>
      <c r="BZ51" s="105">
        <v>0</v>
      </c>
      <c r="CA51" s="105">
        <v>0</v>
      </c>
      <c r="CB51" s="105">
        <v>0</v>
      </c>
      <c r="CC51" s="105">
        <v>0</v>
      </c>
      <c r="CD51" s="105">
        <v>0</v>
      </c>
      <c r="CE51" s="105">
        <v>0</v>
      </c>
      <c r="CF51" s="105">
        <v>0</v>
      </c>
      <c r="CG51" s="105">
        <v>0</v>
      </c>
      <c r="CH51" s="105">
        <v>0</v>
      </c>
      <c r="CI51" s="105">
        <v>0</v>
      </c>
      <c r="CJ51" s="105">
        <v>0</v>
      </c>
      <c r="CK51" s="105">
        <v>0</v>
      </c>
      <c r="CL51" s="105">
        <v>0</v>
      </c>
      <c r="CM51" s="105">
        <v>0</v>
      </c>
      <c r="CN51" s="105">
        <v>0</v>
      </c>
      <c r="CO51" s="105">
        <v>0</v>
      </c>
      <c r="CP51" s="105">
        <v>0</v>
      </c>
      <c r="CQ51" s="105">
        <v>0</v>
      </c>
      <c r="CR51" s="105">
        <v>0</v>
      </c>
      <c r="CS51" s="105">
        <v>0</v>
      </c>
      <c r="CT51" s="105">
        <v>0</v>
      </c>
      <c r="CU51" s="105">
        <v>0</v>
      </c>
    </row>
    <row r="52" spans="2:99" x14ac:dyDescent="0.25">
      <c r="C52" s="104" t="s">
        <v>217</v>
      </c>
      <c r="D52" s="105">
        <v>0</v>
      </c>
      <c r="E52" s="105">
        <v>0</v>
      </c>
      <c r="F52" s="105">
        <v>0</v>
      </c>
      <c r="G52" s="105">
        <v>0</v>
      </c>
      <c r="H52" s="105">
        <v>0</v>
      </c>
      <c r="I52" s="105">
        <v>0</v>
      </c>
      <c r="J52" s="105">
        <v>0</v>
      </c>
      <c r="K52" s="105">
        <v>0</v>
      </c>
      <c r="L52" s="105">
        <v>0</v>
      </c>
      <c r="M52" s="105">
        <v>0</v>
      </c>
      <c r="N52" s="105">
        <v>0</v>
      </c>
      <c r="O52" s="105">
        <v>0</v>
      </c>
      <c r="P52" s="105">
        <v>0</v>
      </c>
      <c r="Q52" s="105">
        <v>0</v>
      </c>
      <c r="R52" s="105">
        <v>0</v>
      </c>
      <c r="S52" s="105">
        <v>0</v>
      </c>
      <c r="T52" s="105">
        <v>0</v>
      </c>
      <c r="U52" s="105">
        <v>0</v>
      </c>
      <c r="V52" s="105">
        <v>0</v>
      </c>
      <c r="W52" s="105">
        <v>0</v>
      </c>
      <c r="X52" s="105">
        <v>0</v>
      </c>
      <c r="Y52" s="105">
        <v>0</v>
      </c>
      <c r="Z52" s="105">
        <v>0</v>
      </c>
      <c r="AA52" s="105">
        <v>0</v>
      </c>
      <c r="AB52" s="105">
        <v>0</v>
      </c>
      <c r="AC52" s="105">
        <v>0</v>
      </c>
      <c r="AD52" s="105">
        <v>0</v>
      </c>
      <c r="AE52" s="105">
        <v>0</v>
      </c>
      <c r="AF52" s="105">
        <v>0</v>
      </c>
      <c r="AG52" s="105">
        <v>0</v>
      </c>
      <c r="AH52" s="105">
        <v>0</v>
      </c>
      <c r="AI52" s="105">
        <v>0</v>
      </c>
      <c r="AJ52" s="105">
        <v>0</v>
      </c>
      <c r="AK52" s="105">
        <v>0</v>
      </c>
      <c r="AL52" s="105">
        <v>0</v>
      </c>
      <c r="AM52" s="105">
        <v>0</v>
      </c>
      <c r="AN52" s="105">
        <v>0</v>
      </c>
      <c r="AO52" s="105">
        <v>0</v>
      </c>
      <c r="AP52" s="105">
        <v>0</v>
      </c>
      <c r="AQ52" s="105">
        <v>0</v>
      </c>
      <c r="AR52" s="105">
        <v>0</v>
      </c>
      <c r="AS52" s="105">
        <v>0</v>
      </c>
      <c r="AT52" s="105">
        <v>0</v>
      </c>
      <c r="AU52" s="105">
        <v>0</v>
      </c>
      <c r="AV52" s="105">
        <v>0</v>
      </c>
      <c r="AW52" s="105">
        <v>0</v>
      </c>
      <c r="AX52" s="105">
        <v>0</v>
      </c>
      <c r="AY52" s="105">
        <v>0</v>
      </c>
      <c r="AZ52" s="105">
        <v>0</v>
      </c>
      <c r="BA52" s="105">
        <v>0</v>
      </c>
      <c r="BB52" s="105">
        <v>0</v>
      </c>
      <c r="BC52" s="105">
        <v>0</v>
      </c>
      <c r="BD52" s="105">
        <v>0</v>
      </c>
      <c r="BE52" s="105">
        <v>0</v>
      </c>
      <c r="BF52" s="105">
        <v>0</v>
      </c>
      <c r="BG52" s="105">
        <v>0</v>
      </c>
      <c r="BH52" s="105">
        <v>0</v>
      </c>
      <c r="BI52" s="105">
        <v>0</v>
      </c>
      <c r="BJ52" s="105">
        <v>0</v>
      </c>
      <c r="BK52" s="105">
        <v>0</v>
      </c>
      <c r="BL52" s="105">
        <v>0</v>
      </c>
      <c r="BM52" s="105">
        <v>0</v>
      </c>
      <c r="BN52" s="105">
        <v>0</v>
      </c>
      <c r="BO52" s="105">
        <v>0</v>
      </c>
      <c r="BP52" s="105">
        <v>0</v>
      </c>
      <c r="BQ52" s="105">
        <v>0</v>
      </c>
      <c r="BR52" s="105">
        <v>0</v>
      </c>
      <c r="BS52" s="105">
        <v>0</v>
      </c>
      <c r="BT52" s="105">
        <v>0</v>
      </c>
      <c r="BU52" s="105">
        <v>0</v>
      </c>
      <c r="BV52" s="105">
        <v>0</v>
      </c>
      <c r="BW52" s="105">
        <v>0</v>
      </c>
      <c r="BX52" s="105">
        <v>0</v>
      </c>
      <c r="BY52" s="105">
        <v>0</v>
      </c>
      <c r="BZ52" s="105">
        <v>0</v>
      </c>
      <c r="CA52" s="105">
        <v>0</v>
      </c>
      <c r="CB52" s="105">
        <v>0</v>
      </c>
      <c r="CC52" s="105">
        <v>0</v>
      </c>
      <c r="CD52" s="105">
        <v>0</v>
      </c>
      <c r="CE52" s="105">
        <v>0</v>
      </c>
      <c r="CF52" s="105">
        <v>0</v>
      </c>
      <c r="CG52" s="105">
        <v>0</v>
      </c>
      <c r="CH52" s="105">
        <v>0</v>
      </c>
      <c r="CI52" s="105">
        <v>0</v>
      </c>
      <c r="CJ52" s="105">
        <v>0</v>
      </c>
      <c r="CK52" s="105">
        <v>0</v>
      </c>
      <c r="CL52" s="105">
        <v>0</v>
      </c>
      <c r="CM52" s="105">
        <v>0</v>
      </c>
      <c r="CN52" s="105">
        <v>0</v>
      </c>
      <c r="CO52" s="105">
        <v>0</v>
      </c>
      <c r="CP52" s="105">
        <v>0</v>
      </c>
      <c r="CQ52" s="105">
        <v>0</v>
      </c>
      <c r="CR52" s="105">
        <v>0</v>
      </c>
      <c r="CS52" s="105">
        <v>0</v>
      </c>
      <c r="CT52" s="105">
        <v>0</v>
      </c>
      <c r="CU52" s="105">
        <v>0</v>
      </c>
    </row>
    <row r="53" spans="2:99" x14ac:dyDescent="0.25">
      <c r="C53" s="104" t="s">
        <v>218</v>
      </c>
      <c r="D53" s="105">
        <v>0</v>
      </c>
      <c r="E53" s="105">
        <v>0</v>
      </c>
      <c r="F53" s="105">
        <v>0</v>
      </c>
      <c r="G53" s="105">
        <v>0</v>
      </c>
      <c r="H53" s="105">
        <v>0</v>
      </c>
      <c r="I53" s="105">
        <v>0</v>
      </c>
      <c r="J53" s="105">
        <v>0</v>
      </c>
      <c r="K53" s="105">
        <v>0</v>
      </c>
      <c r="L53" s="105">
        <v>0</v>
      </c>
      <c r="M53" s="105">
        <v>0</v>
      </c>
      <c r="N53" s="105">
        <v>0</v>
      </c>
      <c r="O53" s="105">
        <v>0</v>
      </c>
      <c r="P53" s="105">
        <v>0</v>
      </c>
      <c r="Q53" s="105">
        <v>0</v>
      </c>
      <c r="R53" s="105">
        <v>0</v>
      </c>
      <c r="S53" s="105">
        <v>0</v>
      </c>
      <c r="T53" s="105">
        <v>0</v>
      </c>
      <c r="U53" s="105">
        <v>0</v>
      </c>
      <c r="V53" s="105">
        <v>0</v>
      </c>
      <c r="W53" s="105">
        <v>0</v>
      </c>
      <c r="X53" s="105">
        <v>0</v>
      </c>
      <c r="Y53" s="105">
        <v>0</v>
      </c>
      <c r="Z53" s="105">
        <v>0</v>
      </c>
      <c r="AA53" s="105">
        <v>0</v>
      </c>
      <c r="AB53" s="105">
        <v>0</v>
      </c>
      <c r="AC53" s="105">
        <v>0</v>
      </c>
      <c r="AD53" s="105">
        <v>0</v>
      </c>
      <c r="AE53" s="105">
        <v>0</v>
      </c>
      <c r="AF53" s="105">
        <v>0</v>
      </c>
      <c r="AG53" s="105">
        <v>0</v>
      </c>
      <c r="AH53" s="105">
        <v>0</v>
      </c>
      <c r="AI53" s="105">
        <v>0</v>
      </c>
      <c r="AJ53" s="105">
        <v>0</v>
      </c>
      <c r="AK53" s="105">
        <v>0</v>
      </c>
      <c r="AL53" s="105">
        <v>0</v>
      </c>
      <c r="AM53" s="105">
        <v>0</v>
      </c>
      <c r="AN53" s="105">
        <v>0</v>
      </c>
      <c r="AO53" s="105">
        <v>0</v>
      </c>
      <c r="AP53" s="105">
        <v>0</v>
      </c>
      <c r="AQ53" s="105">
        <v>0</v>
      </c>
      <c r="AR53" s="105">
        <v>0</v>
      </c>
      <c r="AS53" s="105">
        <v>0</v>
      </c>
      <c r="AT53" s="105">
        <v>0</v>
      </c>
      <c r="AU53" s="105">
        <v>0</v>
      </c>
      <c r="AV53" s="105">
        <v>0</v>
      </c>
      <c r="AW53" s="105">
        <v>0</v>
      </c>
      <c r="AX53" s="105">
        <v>0</v>
      </c>
      <c r="AY53" s="105">
        <v>0</v>
      </c>
      <c r="AZ53" s="105">
        <v>0</v>
      </c>
      <c r="BA53" s="105">
        <v>0</v>
      </c>
      <c r="BB53" s="105">
        <v>0</v>
      </c>
      <c r="BC53" s="105">
        <v>0</v>
      </c>
      <c r="BD53" s="105">
        <v>0</v>
      </c>
      <c r="BE53" s="105">
        <v>0</v>
      </c>
      <c r="BF53" s="105">
        <v>0</v>
      </c>
      <c r="BG53" s="105">
        <v>0</v>
      </c>
      <c r="BH53" s="105">
        <v>0</v>
      </c>
      <c r="BI53" s="105">
        <v>0</v>
      </c>
      <c r="BJ53" s="105">
        <v>0</v>
      </c>
      <c r="BK53" s="105">
        <v>0</v>
      </c>
      <c r="BL53" s="105">
        <v>0</v>
      </c>
      <c r="BM53" s="105">
        <v>0</v>
      </c>
      <c r="BN53" s="105">
        <v>0</v>
      </c>
      <c r="BO53" s="105">
        <v>0</v>
      </c>
      <c r="BP53" s="105">
        <v>0</v>
      </c>
      <c r="BQ53" s="105">
        <v>0</v>
      </c>
      <c r="BR53" s="105">
        <v>0</v>
      </c>
      <c r="BS53" s="105">
        <v>0</v>
      </c>
      <c r="BT53" s="105">
        <v>0</v>
      </c>
      <c r="BU53" s="105">
        <v>0</v>
      </c>
      <c r="BV53" s="105">
        <v>0</v>
      </c>
      <c r="BW53" s="105">
        <v>0</v>
      </c>
      <c r="BX53" s="105">
        <v>0</v>
      </c>
      <c r="BY53" s="105">
        <v>0</v>
      </c>
      <c r="BZ53" s="105">
        <v>0</v>
      </c>
      <c r="CA53" s="105">
        <v>0</v>
      </c>
      <c r="CB53" s="105">
        <v>0</v>
      </c>
      <c r="CC53" s="105">
        <v>0</v>
      </c>
      <c r="CD53" s="105">
        <v>0</v>
      </c>
      <c r="CE53" s="105">
        <v>0</v>
      </c>
      <c r="CF53" s="105">
        <v>0</v>
      </c>
      <c r="CG53" s="105">
        <v>0</v>
      </c>
      <c r="CH53" s="105">
        <v>0</v>
      </c>
      <c r="CI53" s="105">
        <v>0</v>
      </c>
      <c r="CJ53" s="105">
        <v>0</v>
      </c>
      <c r="CK53" s="105">
        <v>0</v>
      </c>
      <c r="CL53" s="105">
        <v>0</v>
      </c>
      <c r="CM53" s="105">
        <v>0</v>
      </c>
      <c r="CN53" s="105">
        <v>0</v>
      </c>
      <c r="CO53" s="105">
        <v>0</v>
      </c>
      <c r="CP53" s="105">
        <v>0</v>
      </c>
      <c r="CQ53" s="105">
        <v>0</v>
      </c>
      <c r="CR53" s="105">
        <v>0</v>
      </c>
      <c r="CS53" s="105">
        <v>0</v>
      </c>
      <c r="CT53" s="105">
        <v>0</v>
      </c>
      <c r="CU53" s="105">
        <v>0</v>
      </c>
    </row>
    <row r="54" spans="2:99" x14ac:dyDescent="0.25">
      <c r="C54" s="104" t="s">
        <v>219</v>
      </c>
      <c r="D54" s="105">
        <v>0</v>
      </c>
      <c r="E54" s="105">
        <v>0</v>
      </c>
      <c r="F54" s="105">
        <v>0</v>
      </c>
      <c r="G54" s="105">
        <v>0</v>
      </c>
      <c r="H54" s="105">
        <v>0</v>
      </c>
      <c r="I54" s="105">
        <v>0</v>
      </c>
      <c r="J54" s="105">
        <v>0</v>
      </c>
      <c r="K54" s="105">
        <v>0</v>
      </c>
      <c r="L54" s="105">
        <v>0</v>
      </c>
      <c r="M54" s="105">
        <v>0</v>
      </c>
      <c r="N54" s="105">
        <v>0</v>
      </c>
      <c r="O54" s="105">
        <v>0</v>
      </c>
      <c r="P54" s="105">
        <v>0</v>
      </c>
      <c r="Q54" s="105">
        <v>0</v>
      </c>
      <c r="R54" s="105">
        <v>0</v>
      </c>
      <c r="S54" s="105">
        <v>0</v>
      </c>
      <c r="T54" s="105">
        <v>0</v>
      </c>
      <c r="U54" s="105">
        <v>0</v>
      </c>
      <c r="V54" s="105">
        <v>0</v>
      </c>
      <c r="W54" s="105">
        <v>0</v>
      </c>
      <c r="X54" s="105">
        <v>0</v>
      </c>
      <c r="Y54" s="105">
        <v>0</v>
      </c>
      <c r="Z54" s="105">
        <v>0</v>
      </c>
      <c r="AA54" s="105">
        <v>0</v>
      </c>
      <c r="AB54" s="105">
        <v>0</v>
      </c>
      <c r="AC54" s="105">
        <v>0</v>
      </c>
      <c r="AD54" s="105">
        <v>0</v>
      </c>
      <c r="AE54" s="105">
        <v>0</v>
      </c>
      <c r="AF54" s="105">
        <v>0</v>
      </c>
      <c r="AG54" s="105">
        <v>0</v>
      </c>
      <c r="AH54" s="105">
        <v>0</v>
      </c>
      <c r="AI54" s="105">
        <v>0</v>
      </c>
      <c r="AJ54" s="105">
        <v>0</v>
      </c>
      <c r="AK54" s="105">
        <v>0</v>
      </c>
      <c r="AL54" s="105">
        <v>0</v>
      </c>
      <c r="AM54" s="105">
        <v>0</v>
      </c>
      <c r="AN54" s="105">
        <v>0</v>
      </c>
      <c r="AO54" s="105">
        <v>0</v>
      </c>
      <c r="AP54" s="105">
        <v>0</v>
      </c>
      <c r="AQ54" s="105">
        <v>0</v>
      </c>
      <c r="AR54" s="105">
        <v>0</v>
      </c>
      <c r="AS54" s="105">
        <v>0</v>
      </c>
      <c r="AT54" s="105">
        <v>0</v>
      </c>
      <c r="AU54" s="105">
        <v>0</v>
      </c>
      <c r="AV54" s="105">
        <v>0</v>
      </c>
      <c r="AW54" s="105">
        <v>0</v>
      </c>
      <c r="AX54" s="105">
        <v>0</v>
      </c>
      <c r="AY54" s="105">
        <v>0</v>
      </c>
      <c r="AZ54" s="105">
        <v>0</v>
      </c>
      <c r="BA54" s="105">
        <v>0</v>
      </c>
      <c r="BB54" s="105">
        <v>0</v>
      </c>
      <c r="BC54" s="105">
        <v>0</v>
      </c>
      <c r="BD54" s="105">
        <v>0</v>
      </c>
      <c r="BE54" s="105">
        <v>0</v>
      </c>
      <c r="BF54" s="105">
        <v>0</v>
      </c>
      <c r="BG54" s="105">
        <v>0</v>
      </c>
      <c r="BH54" s="105">
        <v>0</v>
      </c>
      <c r="BI54" s="105">
        <v>0</v>
      </c>
      <c r="BJ54" s="105">
        <v>0</v>
      </c>
      <c r="BK54" s="105">
        <v>0</v>
      </c>
      <c r="BL54" s="105">
        <v>0</v>
      </c>
      <c r="BM54" s="105">
        <v>0</v>
      </c>
      <c r="BN54" s="105">
        <v>0</v>
      </c>
      <c r="BO54" s="105">
        <v>0</v>
      </c>
      <c r="BP54" s="105">
        <v>0</v>
      </c>
      <c r="BQ54" s="105">
        <v>0</v>
      </c>
      <c r="BR54" s="105">
        <v>0</v>
      </c>
      <c r="BS54" s="105">
        <v>0</v>
      </c>
      <c r="BT54" s="105">
        <v>0</v>
      </c>
      <c r="BU54" s="105">
        <v>0</v>
      </c>
      <c r="BV54" s="105">
        <v>0</v>
      </c>
      <c r="BW54" s="105">
        <v>0</v>
      </c>
      <c r="BX54" s="105">
        <v>0</v>
      </c>
      <c r="BY54" s="105">
        <v>0</v>
      </c>
      <c r="BZ54" s="105">
        <v>0</v>
      </c>
      <c r="CA54" s="105">
        <v>0</v>
      </c>
      <c r="CB54" s="105">
        <v>0</v>
      </c>
      <c r="CC54" s="105">
        <v>0</v>
      </c>
      <c r="CD54" s="105">
        <v>0</v>
      </c>
      <c r="CE54" s="105">
        <v>0</v>
      </c>
      <c r="CF54" s="105">
        <v>0</v>
      </c>
      <c r="CG54" s="105">
        <v>0</v>
      </c>
      <c r="CH54" s="105">
        <v>0</v>
      </c>
      <c r="CI54" s="105">
        <v>0</v>
      </c>
      <c r="CJ54" s="105">
        <v>0</v>
      </c>
      <c r="CK54" s="105">
        <v>0</v>
      </c>
      <c r="CL54" s="105">
        <v>0</v>
      </c>
      <c r="CM54" s="105">
        <v>0</v>
      </c>
      <c r="CN54" s="105">
        <v>0</v>
      </c>
      <c r="CO54" s="105">
        <v>0</v>
      </c>
      <c r="CP54" s="105">
        <v>0</v>
      </c>
      <c r="CQ54" s="105">
        <v>0</v>
      </c>
      <c r="CR54" s="105">
        <v>0</v>
      </c>
      <c r="CS54" s="105">
        <v>0</v>
      </c>
      <c r="CT54" s="105">
        <v>0</v>
      </c>
      <c r="CU54" s="105">
        <v>0</v>
      </c>
    </row>
    <row r="55" spans="2:99" x14ac:dyDescent="0.25">
      <c r="C55" s="104" t="s">
        <v>220</v>
      </c>
      <c r="D55" s="105">
        <v>0</v>
      </c>
      <c r="E55" s="105">
        <v>0</v>
      </c>
      <c r="F55" s="105">
        <v>0</v>
      </c>
      <c r="G55" s="105">
        <v>0</v>
      </c>
      <c r="H55" s="105">
        <v>0</v>
      </c>
      <c r="I55" s="105">
        <v>0</v>
      </c>
      <c r="J55" s="105">
        <v>0</v>
      </c>
      <c r="K55" s="105">
        <v>0</v>
      </c>
      <c r="L55" s="105">
        <v>0</v>
      </c>
      <c r="M55" s="105">
        <v>0</v>
      </c>
      <c r="N55" s="105">
        <v>0</v>
      </c>
      <c r="O55" s="105">
        <v>0</v>
      </c>
      <c r="P55" s="105">
        <v>0</v>
      </c>
      <c r="Q55" s="105">
        <v>0</v>
      </c>
      <c r="R55" s="105">
        <v>0</v>
      </c>
      <c r="S55" s="105">
        <v>0</v>
      </c>
      <c r="T55" s="105">
        <v>0</v>
      </c>
      <c r="U55" s="105">
        <v>0</v>
      </c>
      <c r="V55" s="105">
        <v>0</v>
      </c>
      <c r="W55" s="105">
        <v>0</v>
      </c>
      <c r="X55" s="105">
        <v>0</v>
      </c>
      <c r="Y55" s="105">
        <v>0</v>
      </c>
      <c r="Z55" s="105">
        <v>0</v>
      </c>
      <c r="AA55" s="105">
        <v>0</v>
      </c>
      <c r="AB55" s="105">
        <v>0</v>
      </c>
      <c r="AC55" s="105">
        <v>0</v>
      </c>
      <c r="AD55" s="105">
        <v>0</v>
      </c>
      <c r="AE55" s="105">
        <v>0</v>
      </c>
      <c r="AF55" s="105">
        <v>0</v>
      </c>
      <c r="AG55" s="105">
        <v>0</v>
      </c>
      <c r="AH55" s="105">
        <v>0</v>
      </c>
      <c r="AI55" s="105">
        <v>0</v>
      </c>
      <c r="AJ55" s="105">
        <v>0</v>
      </c>
      <c r="AK55" s="105">
        <v>0</v>
      </c>
      <c r="AL55" s="105">
        <v>0</v>
      </c>
      <c r="AM55" s="105">
        <v>0</v>
      </c>
      <c r="AN55" s="105">
        <v>0</v>
      </c>
      <c r="AO55" s="105">
        <v>0</v>
      </c>
      <c r="AP55" s="105">
        <v>0</v>
      </c>
      <c r="AQ55" s="105">
        <v>0</v>
      </c>
      <c r="AR55" s="105">
        <v>0</v>
      </c>
      <c r="AS55" s="105">
        <v>0</v>
      </c>
      <c r="AT55" s="105">
        <v>0</v>
      </c>
      <c r="AU55" s="105">
        <v>0</v>
      </c>
      <c r="AV55" s="105">
        <v>0</v>
      </c>
      <c r="AW55" s="105">
        <v>0</v>
      </c>
      <c r="AX55" s="105">
        <v>0</v>
      </c>
      <c r="AY55" s="105">
        <v>0</v>
      </c>
      <c r="AZ55" s="105">
        <v>0</v>
      </c>
      <c r="BA55" s="105">
        <v>0</v>
      </c>
      <c r="BB55" s="105">
        <v>0</v>
      </c>
      <c r="BC55" s="105">
        <v>0</v>
      </c>
      <c r="BD55" s="105">
        <v>0</v>
      </c>
      <c r="BE55" s="105">
        <v>0</v>
      </c>
      <c r="BF55" s="105">
        <v>0</v>
      </c>
      <c r="BG55" s="105">
        <v>0</v>
      </c>
      <c r="BH55" s="105">
        <v>0</v>
      </c>
      <c r="BI55" s="105">
        <v>0</v>
      </c>
      <c r="BJ55" s="105">
        <v>0</v>
      </c>
      <c r="BK55" s="105">
        <v>0</v>
      </c>
      <c r="BL55" s="105">
        <v>0</v>
      </c>
      <c r="BM55" s="105">
        <v>0</v>
      </c>
      <c r="BN55" s="105">
        <v>0</v>
      </c>
      <c r="BO55" s="105">
        <v>0</v>
      </c>
      <c r="BP55" s="105">
        <v>0</v>
      </c>
      <c r="BQ55" s="105">
        <v>0</v>
      </c>
      <c r="BR55" s="105">
        <v>0</v>
      </c>
      <c r="BS55" s="105">
        <v>0</v>
      </c>
      <c r="BT55" s="105">
        <v>0</v>
      </c>
      <c r="BU55" s="105">
        <v>0</v>
      </c>
      <c r="BV55" s="105">
        <v>0</v>
      </c>
      <c r="BW55" s="105">
        <v>0</v>
      </c>
      <c r="BX55" s="105">
        <v>0</v>
      </c>
      <c r="BY55" s="105">
        <v>0</v>
      </c>
      <c r="BZ55" s="105">
        <v>0</v>
      </c>
      <c r="CA55" s="105">
        <v>0</v>
      </c>
      <c r="CB55" s="105">
        <v>0</v>
      </c>
      <c r="CC55" s="105">
        <v>0</v>
      </c>
      <c r="CD55" s="105">
        <v>0</v>
      </c>
      <c r="CE55" s="105">
        <v>0</v>
      </c>
      <c r="CF55" s="105">
        <v>0</v>
      </c>
      <c r="CG55" s="105">
        <v>0</v>
      </c>
      <c r="CH55" s="105">
        <v>0</v>
      </c>
      <c r="CI55" s="105">
        <v>0</v>
      </c>
      <c r="CJ55" s="105">
        <v>0</v>
      </c>
      <c r="CK55" s="105">
        <v>0</v>
      </c>
      <c r="CL55" s="105">
        <v>0</v>
      </c>
      <c r="CM55" s="105">
        <v>0</v>
      </c>
      <c r="CN55" s="105">
        <v>0</v>
      </c>
      <c r="CO55" s="105">
        <v>0</v>
      </c>
      <c r="CP55" s="105">
        <v>0</v>
      </c>
      <c r="CQ55" s="105">
        <v>0</v>
      </c>
      <c r="CR55" s="105">
        <v>0</v>
      </c>
      <c r="CS55" s="105">
        <v>0</v>
      </c>
      <c r="CT55" s="105">
        <v>0</v>
      </c>
      <c r="CU55" s="105">
        <v>0</v>
      </c>
    </row>
    <row r="56" spans="2:99" x14ac:dyDescent="0.25">
      <c r="C56" s="104" t="s">
        <v>221</v>
      </c>
      <c r="D56" s="105">
        <v>0</v>
      </c>
      <c r="E56" s="105">
        <v>0</v>
      </c>
      <c r="F56" s="105">
        <v>0</v>
      </c>
      <c r="G56" s="105">
        <v>0</v>
      </c>
      <c r="H56" s="105">
        <v>0</v>
      </c>
      <c r="I56" s="105">
        <v>0</v>
      </c>
      <c r="J56" s="105">
        <v>0</v>
      </c>
      <c r="K56" s="105">
        <v>0</v>
      </c>
      <c r="L56" s="105">
        <v>0</v>
      </c>
      <c r="M56" s="105">
        <v>0</v>
      </c>
      <c r="N56" s="105">
        <v>0</v>
      </c>
      <c r="O56" s="105">
        <v>0</v>
      </c>
      <c r="P56" s="105">
        <v>0</v>
      </c>
      <c r="Q56" s="105">
        <v>0</v>
      </c>
      <c r="R56" s="105">
        <v>0</v>
      </c>
      <c r="S56" s="105">
        <v>0</v>
      </c>
      <c r="T56" s="105">
        <v>0</v>
      </c>
      <c r="U56" s="105">
        <v>0</v>
      </c>
      <c r="V56" s="105">
        <v>0</v>
      </c>
      <c r="W56" s="105">
        <v>0</v>
      </c>
      <c r="X56" s="105">
        <v>0</v>
      </c>
      <c r="Y56" s="105">
        <v>0</v>
      </c>
      <c r="Z56" s="105">
        <v>0</v>
      </c>
      <c r="AA56" s="105">
        <v>0</v>
      </c>
      <c r="AB56" s="105">
        <v>0</v>
      </c>
      <c r="AC56" s="105">
        <v>0</v>
      </c>
      <c r="AD56" s="105">
        <v>0</v>
      </c>
      <c r="AE56" s="105">
        <v>0</v>
      </c>
      <c r="AF56" s="105">
        <v>0</v>
      </c>
      <c r="AG56" s="105">
        <v>0</v>
      </c>
      <c r="AH56" s="105">
        <v>0</v>
      </c>
      <c r="AI56" s="105">
        <v>0</v>
      </c>
      <c r="AJ56" s="105">
        <v>0</v>
      </c>
      <c r="AK56" s="105">
        <v>0</v>
      </c>
      <c r="AL56" s="105">
        <v>0</v>
      </c>
      <c r="AM56" s="105">
        <v>0</v>
      </c>
      <c r="AN56" s="105">
        <v>0</v>
      </c>
      <c r="AO56" s="105">
        <v>0</v>
      </c>
      <c r="AP56" s="105">
        <v>0</v>
      </c>
      <c r="AQ56" s="105">
        <v>0</v>
      </c>
      <c r="AR56" s="105">
        <v>0</v>
      </c>
      <c r="AS56" s="105">
        <v>0</v>
      </c>
      <c r="AT56" s="105">
        <v>0</v>
      </c>
      <c r="AU56" s="105">
        <v>0</v>
      </c>
      <c r="AV56" s="105">
        <v>0</v>
      </c>
      <c r="AW56" s="105">
        <v>0</v>
      </c>
      <c r="AX56" s="105">
        <v>0</v>
      </c>
      <c r="AY56" s="105">
        <v>0</v>
      </c>
      <c r="AZ56" s="105">
        <v>0</v>
      </c>
      <c r="BA56" s="105">
        <v>0</v>
      </c>
      <c r="BB56" s="105">
        <v>0</v>
      </c>
      <c r="BC56" s="105">
        <v>0</v>
      </c>
      <c r="BD56" s="105">
        <v>0</v>
      </c>
      <c r="BE56" s="105">
        <v>0</v>
      </c>
      <c r="BF56" s="105">
        <v>0</v>
      </c>
      <c r="BG56" s="105">
        <v>0</v>
      </c>
      <c r="BH56" s="105">
        <v>0</v>
      </c>
      <c r="BI56" s="105">
        <v>0</v>
      </c>
      <c r="BJ56" s="105">
        <v>0</v>
      </c>
      <c r="BK56" s="105">
        <v>0</v>
      </c>
      <c r="BL56" s="105">
        <v>0</v>
      </c>
      <c r="BM56" s="105">
        <v>0</v>
      </c>
      <c r="BN56" s="105">
        <v>0</v>
      </c>
      <c r="BO56" s="105">
        <v>0</v>
      </c>
      <c r="BP56" s="105">
        <v>0</v>
      </c>
      <c r="BQ56" s="105">
        <v>0</v>
      </c>
      <c r="BR56" s="105">
        <v>0</v>
      </c>
      <c r="BS56" s="105">
        <v>0</v>
      </c>
      <c r="BT56" s="105">
        <v>0</v>
      </c>
      <c r="BU56" s="105">
        <v>0</v>
      </c>
      <c r="BV56" s="105">
        <v>0</v>
      </c>
      <c r="BW56" s="105">
        <v>0</v>
      </c>
      <c r="BX56" s="105">
        <v>0</v>
      </c>
      <c r="BY56" s="105">
        <v>0</v>
      </c>
      <c r="BZ56" s="105">
        <v>0</v>
      </c>
      <c r="CA56" s="105">
        <v>0</v>
      </c>
      <c r="CB56" s="105">
        <v>0</v>
      </c>
      <c r="CC56" s="105">
        <v>0</v>
      </c>
      <c r="CD56" s="105">
        <v>0</v>
      </c>
      <c r="CE56" s="105">
        <v>0</v>
      </c>
      <c r="CF56" s="105">
        <v>0</v>
      </c>
      <c r="CG56" s="105">
        <v>0</v>
      </c>
      <c r="CH56" s="105">
        <v>0</v>
      </c>
      <c r="CI56" s="105">
        <v>0</v>
      </c>
      <c r="CJ56" s="105">
        <v>0</v>
      </c>
      <c r="CK56" s="105">
        <v>0</v>
      </c>
      <c r="CL56" s="105">
        <v>0</v>
      </c>
      <c r="CM56" s="105">
        <v>0</v>
      </c>
      <c r="CN56" s="105">
        <v>0</v>
      </c>
      <c r="CO56" s="105">
        <v>0</v>
      </c>
      <c r="CP56" s="105">
        <v>0</v>
      </c>
      <c r="CQ56" s="105">
        <v>0</v>
      </c>
      <c r="CR56" s="105">
        <v>0</v>
      </c>
      <c r="CS56" s="105">
        <v>0</v>
      </c>
      <c r="CT56" s="105">
        <v>0</v>
      </c>
      <c r="CU56" s="105">
        <v>0</v>
      </c>
    </row>
    <row r="57" spans="2:99" x14ac:dyDescent="0.25">
      <c r="C57" s="104" t="s">
        <v>222</v>
      </c>
      <c r="D57" s="105">
        <v>0</v>
      </c>
      <c r="E57" s="105">
        <v>0</v>
      </c>
      <c r="F57" s="105">
        <v>0</v>
      </c>
      <c r="G57" s="105">
        <v>0</v>
      </c>
      <c r="H57" s="105">
        <v>0</v>
      </c>
      <c r="I57" s="105">
        <v>0</v>
      </c>
      <c r="J57" s="105">
        <v>0</v>
      </c>
      <c r="K57" s="105">
        <v>0</v>
      </c>
      <c r="L57" s="105">
        <v>0</v>
      </c>
      <c r="M57" s="105">
        <v>0</v>
      </c>
      <c r="N57" s="105">
        <v>0</v>
      </c>
      <c r="O57" s="105">
        <v>0</v>
      </c>
      <c r="P57" s="105">
        <v>0</v>
      </c>
      <c r="Q57" s="105">
        <v>0</v>
      </c>
      <c r="R57" s="105">
        <v>0</v>
      </c>
      <c r="S57" s="105">
        <v>0</v>
      </c>
      <c r="T57" s="105">
        <v>0</v>
      </c>
      <c r="U57" s="105">
        <v>0</v>
      </c>
      <c r="V57" s="105">
        <v>0</v>
      </c>
      <c r="W57" s="105">
        <v>0</v>
      </c>
      <c r="X57" s="105">
        <v>0</v>
      </c>
      <c r="Y57" s="105">
        <v>0</v>
      </c>
      <c r="Z57" s="105">
        <v>0</v>
      </c>
      <c r="AA57" s="105">
        <v>0</v>
      </c>
      <c r="AB57" s="105">
        <v>0</v>
      </c>
      <c r="AC57" s="105">
        <v>0</v>
      </c>
      <c r="AD57" s="105">
        <v>0</v>
      </c>
      <c r="AE57" s="105">
        <v>0</v>
      </c>
      <c r="AF57" s="105">
        <v>0</v>
      </c>
      <c r="AG57" s="105">
        <v>0</v>
      </c>
      <c r="AH57" s="105">
        <v>0</v>
      </c>
      <c r="AI57" s="105">
        <v>0</v>
      </c>
      <c r="AJ57" s="105">
        <v>0</v>
      </c>
      <c r="AK57" s="105">
        <v>0</v>
      </c>
      <c r="AL57" s="105">
        <v>0</v>
      </c>
      <c r="AM57" s="105">
        <v>0</v>
      </c>
      <c r="AN57" s="105">
        <v>0</v>
      </c>
      <c r="AO57" s="105">
        <v>0</v>
      </c>
      <c r="AP57" s="105">
        <v>0</v>
      </c>
      <c r="AQ57" s="105">
        <v>0</v>
      </c>
      <c r="AR57" s="105">
        <v>0</v>
      </c>
      <c r="AS57" s="105">
        <v>0</v>
      </c>
      <c r="AT57" s="105">
        <v>0</v>
      </c>
      <c r="AU57" s="105">
        <v>0</v>
      </c>
      <c r="AV57" s="105">
        <v>0</v>
      </c>
      <c r="AW57" s="105">
        <v>0</v>
      </c>
      <c r="AX57" s="105">
        <v>0</v>
      </c>
      <c r="AY57" s="105">
        <v>0</v>
      </c>
      <c r="AZ57" s="105">
        <v>0</v>
      </c>
      <c r="BA57" s="105">
        <v>0</v>
      </c>
      <c r="BB57" s="105">
        <v>0</v>
      </c>
      <c r="BC57" s="105">
        <v>0</v>
      </c>
      <c r="BD57" s="105">
        <v>0</v>
      </c>
      <c r="BE57" s="105">
        <v>0</v>
      </c>
      <c r="BF57" s="105">
        <v>0</v>
      </c>
      <c r="BG57" s="105">
        <v>0</v>
      </c>
      <c r="BH57" s="105">
        <v>0</v>
      </c>
      <c r="BI57" s="105">
        <v>0</v>
      </c>
      <c r="BJ57" s="105">
        <v>0</v>
      </c>
      <c r="BK57" s="105">
        <v>0</v>
      </c>
      <c r="BL57" s="105">
        <v>0</v>
      </c>
      <c r="BM57" s="105">
        <v>0</v>
      </c>
      <c r="BN57" s="105">
        <v>0</v>
      </c>
      <c r="BO57" s="105">
        <v>0</v>
      </c>
      <c r="BP57" s="105">
        <v>0</v>
      </c>
      <c r="BQ57" s="105">
        <v>0</v>
      </c>
      <c r="BR57" s="105">
        <v>0</v>
      </c>
      <c r="BS57" s="105">
        <v>0</v>
      </c>
      <c r="BT57" s="105">
        <v>0</v>
      </c>
      <c r="BU57" s="105">
        <v>0</v>
      </c>
      <c r="BV57" s="105">
        <v>0</v>
      </c>
      <c r="BW57" s="105">
        <v>0</v>
      </c>
      <c r="BX57" s="105">
        <v>0</v>
      </c>
      <c r="BY57" s="105">
        <v>0</v>
      </c>
      <c r="BZ57" s="105">
        <v>0</v>
      </c>
      <c r="CA57" s="105">
        <v>0</v>
      </c>
      <c r="CB57" s="105">
        <v>0</v>
      </c>
      <c r="CC57" s="105">
        <v>0</v>
      </c>
      <c r="CD57" s="105">
        <v>0</v>
      </c>
      <c r="CE57" s="105">
        <v>0</v>
      </c>
      <c r="CF57" s="105">
        <v>0</v>
      </c>
      <c r="CG57" s="105">
        <v>0</v>
      </c>
      <c r="CH57" s="105">
        <v>0</v>
      </c>
      <c r="CI57" s="105">
        <v>0</v>
      </c>
      <c r="CJ57" s="105">
        <v>0</v>
      </c>
      <c r="CK57" s="105">
        <v>0</v>
      </c>
      <c r="CL57" s="105">
        <v>0</v>
      </c>
      <c r="CM57" s="105">
        <v>0</v>
      </c>
      <c r="CN57" s="105">
        <v>0</v>
      </c>
      <c r="CO57" s="105">
        <v>0</v>
      </c>
      <c r="CP57" s="105">
        <v>0</v>
      </c>
      <c r="CQ57" s="105">
        <v>0</v>
      </c>
      <c r="CR57" s="105">
        <v>0</v>
      </c>
      <c r="CS57" s="105">
        <v>0</v>
      </c>
      <c r="CT57" s="105">
        <v>0</v>
      </c>
      <c r="CU57" s="105">
        <v>0</v>
      </c>
    </row>
    <row r="58" spans="2:99" x14ac:dyDescent="0.25">
      <c r="C58" s="104" t="s">
        <v>223</v>
      </c>
      <c r="D58" s="105">
        <v>0</v>
      </c>
      <c r="E58" s="105">
        <v>0</v>
      </c>
      <c r="F58" s="105">
        <v>0</v>
      </c>
      <c r="G58" s="105">
        <v>0</v>
      </c>
      <c r="H58" s="105">
        <v>0</v>
      </c>
      <c r="I58" s="105">
        <v>0</v>
      </c>
      <c r="J58" s="105">
        <v>0</v>
      </c>
      <c r="K58" s="105">
        <v>0</v>
      </c>
      <c r="L58" s="105">
        <v>0</v>
      </c>
      <c r="M58" s="105">
        <v>0</v>
      </c>
      <c r="N58" s="105">
        <v>0</v>
      </c>
      <c r="O58" s="105">
        <v>0</v>
      </c>
      <c r="P58" s="105">
        <v>0</v>
      </c>
      <c r="Q58" s="105">
        <v>0</v>
      </c>
      <c r="R58" s="105">
        <v>0</v>
      </c>
      <c r="S58" s="105">
        <v>0</v>
      </c>
      <c r="T58" s="105">
        <v>0</v>
      </c>
      <c r="U58" s="105">
        <v>0</v>
      </c>
      <c r="V58" s="105">
        <v>0</v>
      </c>
      <c r="W58" s="105">
        <v>0</v>
      </c>
      <c r="X58" s="105">
        <v>0</v>
      </c>
      <c r="Y58" s="105">
        <v>0</v>
      </c>
      <c r="Z58" s="105">
        <v>0</v>
      </c>
      <c r="AA58" s="105">
        <v>0</v>
      </c>
      <c r="AB58" s="105">
        <v>0</v>
      </c>
      <c r="AC58" s="105">
        <v>0</v>
      </c>
      <c r="AD58" s="105">
        <v>0</v>
      </c>
      <c r="AE58" s="105">
        <v>0</v>
      </c>
      <c r="AF58" s="105">
        <v>0</v>
      </c>
      <c r="AG58" s="105">
        <v>0</v>
      </c>
      <c r="AH58" s="105">
        <v>0</v>
      </c>
      <c r="AI58" s="105">
        <v>0</v>
      </c>
      <c r="AJ58" s="105">
        <v>0</v>
      </c>
      <c r="AK58" s="105">
        <v>0</v>
      </c>
      <c r="AL58" s="105">
        <v>0</v>
      </c>
      <c r="AM58" s="105">
        <v>0</v>
      </c>
      <c r="AN58" s="105">
        <v>0</v>
      </c>
      <c r="AO58" s="105">
        <v>0</v>
      </c>
      <c r="AP58" s="105">
        <v>0</v>
      </c>
      <c r="AQ58" s="105">
        <v>0</v>
      </c>
      <c r="AR58" s="105">
        <v>0</v>
      </c>
      <c r="AS58" s="105">
        <v>0</v>
      </c>
      <c r="AT58" s="105">
        <v>0</v>
      </c>
      <c r="AU58" s="105">
        <v>0</v>
      </c>
      <c r="AV58" s="105">
        <v>0</v>
      </c>
      <c r="AW58" s="105">
        <v>0</v>
      </c>
      <c r="AX58" s="105">
        <v>0</v>
      </c>
      <c r="AY58" s="105">
        <v>0</v>
      </c>
      <c r="AZ58" s="105">
        <v>0</v>
      </c>
      <c r="BA58" s="105">
        <v>0</v>
      </c>
      <c r="BB58" s="105">
        <v>0</v>
      </c>
      <c r="BC58" s="105">
        <v>0</v>
      </c>
      <c r="BD58" s="105">
        <v>0</v>
      </c>
      <c r="BE58" s="105">
        <v>0</v>
      </c>
      <c r="BF58" s="105">
        <v>0</v>
      </c>
      <c r="BG58" s="105">
        <v>0</v>
      </c>
      <c r="BH58" s="105">
        <v>0</v>
      </c>
      <c r="BI58" s="105">
        <v>0</v>
      </c>
      <c r="BJ58" s="105">
        <v>0</v>
      </c>
      <c r="BK58" s="105">
        <v>0</v>
      </c>
      <c r="BL58" s="105">
        <v>0</v>
      </c>
      <c r="BM58" s="105">
        <v>0</v>
      </c>
      <c r="BN58" s="105">
        <v>0</v>
      </c>
      <c r="BO58" s="105">
        <v>0</v>
      </c>
      <c r="BP58" s="105">
        <v>0</v>
      </c>
      <c r="BQ58" s="105">
        <v>0</v>
      </c>
      <c r="BR58" s="105">
        <v>0</v>
      </c>
      <c r="BS58" s="105">
        <v>0</v>
      </c>
      <c r="BT58" s="105">
        <v>0</v>
      </c>
      <c r="BU58" s="105">
        <v>0</v>
      </c>
      <c r="BV58" s="105">
        <v>0</v>
      </c>
      <c r="BW58" s="105">
        <v>0</v>
      </c>
      <c r="BX58" s="105">
        <v>0</v>
      </c>
      <c r="BY58" s="105">
        <v>0</v>
      </c>
      <c r="BZ58" s="105">
        <v>0</v>
      </c>
      <c r="CA58" s="105">
        <v>0</v>
      </c>
      <c r="CB58" s="105">
        <v>0</v>
      </c>
      <c r="CC58" s="105">
        <v>0</v>
      </c>
      <c r="CD58" s="105">
        <v>0</v>
      </c>
      <c r="CE58" s="105">
        <v>0</v>
      </c>
      <c r="CF58" s="105">
        <v>0</v>
      </c>
      <c r="CG58" s="105">
        <v>0</v>
      </c>
      <c r="CH58" s="105">
        <v>0</v>
      </c>
      <c r="CI58" s="105">
        <v>0</v>
      </c>
      <c r="CJ58" s="105">
        <v>0</v>
      </c>
      <c r="CK58" s="105">
        <v>0</v>
      </c>
      <c r="CL58" s="105">
        <v>0</v>
      </c>
      <c r="CM58" s="105">
        <v>0</v>
      </c>
      <c r="CN58" s="105">
        <v>0</v>
      </c>
      <c r="CO58" s="105">
        <v>0</v>
      </c>
      <c r="CP58" s="105">
        <v>0</v>
      </c>
      <c r="CQ58" s="105">
        <v>0</v>
      </c>
      <c r="CR58" s="105">
        <v>0</v>
      </c>
      <c r="CS58" s="105">
        <v>0</v>
      </c>
      <c r="CT58" s="105">
        <v>0</v>
      </c>
      <c r="CU58" s="105">
        <v>0</v>
      </c>
    </row>
    <row r="59" spans="2:99" x14ac:dyDescent="0.25">
      <c r="C59" s="104" t="s">
        <v>224</v>
      </c>
      <c r="D59" s="105">
        <v>0</v>
      </c>
      <c r="E59" s="105">
        <v>0</v>
      </c>
      <c r="F59" s="105">
        <v>0</v>
      </c>
      <c r="G59" s="105">
        <v>0</v>
      </c>
      <c r="H59" s="105">
        <v>0</v>
      </c>
      <c r="I59" s="105">
        <v>0</v>
      </c>
      <c r="J59" s="105">
        <v>0</v>
      </c>
      <c r="K59" s="105">
        <v>0</v>
      </c>
      <c r="L59" s="105">
        <v>0</v>
      </c>
      <c r="M59" s="105">
        <v>0</v>
      </c>
      <c r="N59" s="105">
        <v>0</v>
      </c>
      <c r="O59" s="105">
        <v>0</v>
      </c>
      <c r="P59" s="105">
        <v>0</v>
      </c>
      <c r="Q59" s="105">
        <v>0</v>
      </c>
      <c r="R59" s="105">
        <v>0</v>
      </c>
      <c r="S59" s="105">
        <v>0</v>
      </c>
      <c r="T59" s="105">
        <v>0</v>
      </c>
      <c r="U59" s="105">
        <v>0</v>
      </c>
      <c r="V59" s="105">
        <v>0</v>
      </c>
      <c r="W59" s="105">
        <v>0</v>
      </c>
      <c r="X59" s="105">
        <v>0</v>
      </c>
      <c r="Y59" s="105">
        <v>0</v>
      </c>
      <c r="Z59" s="105">
        <v>0</v>
      </c>
      <c r="AA59" s="105">
        <v>0</v>
      </c>
      <c r="AB59" s="105">
        <v>0</v>
      </c>
      <c r="AC59" s="105">
        <v>0</v>
      </c>
      <c r="AD59" s="105">
        <v>0</v>
      </c>
      <c r="AE59" s="105">
        <v>0</v>
      </c>
      <c r="AF59" s="105">
        <v>0</v>
      </c>
      <c r="AG59" s="105">
        <v>0</v>
      </c>
      <c r="AH59" s="105">
        <v>0</v>
      </c>
      <c r="AI59" s="105">
        <v>0</v>
      </c>
      <c r="AJ59" s="105">
        <v>0</v>
      </c>
      <c r="AK59" s="105">
        <v>0</v>
      </c>
      <c r="AL59" s="105">
        <v>0</v>
      </c>
      <c r="AM59" s="105">
        <v>0</v>
      </c>
      <c r="AN59" s="105">
        <v>0</v>
      </c>
      <c r="AO59" s="105">
        <v>0</v>
      </c>
      <c r="AP59" s="105">
        <v>0</v>
      </c>
      <c r="AQ59" s="105">
        <v>0</v>
      </c>
      <c r="AR59" s="105">
        <v>0</v>
      </c>
      <c r="AS59" s="105">
        <v>0</v>
      </c>
      <c r="AT59" s="105">
        <v>0</v>
      </c>
      <c r="AU59" s="105">
        <v>0</v>
      </c>
      <c r="AV59" s="105">
        <v>0</v>
      </c>
      <c r="AW59" s="105">
        <v>0</v>
      </c>
      <c r="AX59" s="105">
        <v>0</v>
      </c>
      <c r="AY59" s="105">
        <v>0</v>
      </c>
      <c r="AZ59" s="105">
        <v>0</v>
      </c>
      <c r="BA59" s="105">
        <v>0</v>
      </c>
      <c r="BB59" s="105">
        <v>0</v>
      </c>
      <c r="BC59" s="105">
        <v>0</v>
      </c>
      <c r="BD59" s="105">
        <v>0</v>
      </c>
      <c r="BE59" s="105">
        <v>0</v>
      </c>
      <c r="BF59" s="105">
        <v>0</v>
      </c>
      <c r="BG59" s="105">
        <v>0</v>
      </c>
      <c r="BH59" s="105">
        <v>0</v>
      </c>
      <c r="BI59" s="105">
        <v>0</v>
      </c>
      <c r="BJ59" s="105">
        <v>0</v>
      </c>
      <c r="BK59" s="105">
        <v>0</v>
      </c>
      <c r="BL59" s="105">
        <v>0</v>
      </c>
      <c r="BM59" s="105">
        <v>0</v>
      </c>
      <c r="BN59" s="105">
        <v>0</v>
      </c>
      <c r="BO59" s="105">
        <v>0</v>
      </c>
      <c r="BP59" s="105">
        <v>0</v>
      </c>
      <c r="BQ59" s="105">
        <v>0</v>
      </c>
      <c r="BR59" s="105">
        <v>0</v>
      </c>
      <c r="BS59" s="105">
        <v>0</v>
      </c>
      <c r="BT59" s="105">
        <v>0</v>
      </c>
      <c r="BU59" s="105">
        <v>0</v>
      </c>
      <c r="BV59" s="105">
        <v>0</v>
      </c>
      <c r="BW59" s="105">
        <v>0</v>
      </c>
      <c r="BX59" s="105">
        <v>0</v>
      </c>
      <c r="BY59" s="105">
        <v>0</v>
      </c>
      <c r="BZ59" s="105">
        <v>0</v>
      </c>
      <c r="CA59" s="105">
        <v>0</v>
      </c>
      <c r="CB59" s="105">
        <v>0</v>
      </c>
      <c r="CC59" s="105">
        <v>0</v>
      </c>
      <c r="CD59" s="105">
        <v>0</v>
      </c>
      <c r="CE59" s="105">
        <v>0</v>
      </c>
      <c r="CF59" s="105">
        <v>0</v>
      </c>
      <c r="CG59" s="105">
        <v>0</v>
      </c>
      <c r="CH59" s="105">
        <v>0</v>
      </c>
      <c r="CI59" s="105">
        <v>0</v>
      </c>
      <c r="CJ59" s="105">
        <v>0</v>
      </c>
      <c r="CK59" s="105">
        <v>0</v>
      </c>
      <c r="CL59" s="105">
        <v>0</v>
      </c>
      <c r="CM59" s="105">
        <v>0</v>
      </c>
      <c r="CN59" s="105">
        <v>0</v>
      </c>
      <c r="CO59" s="105">
        <v>0</v>
      </c>
      <c r="CP59" s="105">
        <v>0</v>
      </c>
      <c r="CQ59" s="105">
        <v>0</v>
      </c>
      <c r="CR59" s="105">
        <v>0</v>
      </c>
      <c r="CS59" s="105">
        <v>0</v>
      </c>
      <c r="CT59" s="105">
        <v>0</v>
      </c>
      <c r="CU59" s="105">
        <v>0</v>
      </c>
    </row>
    <row r="60" spans="2:99" x14ac:dyDescent="0.25">
      <c r="C60" s="104" t="s">
        <v>225</v>
      </c>
      <c r="D60" s="105">
        <v>0</v>
      </c>
      <c r="E60" s="105">
        <v>0</v>
      </c>
      <c r="F60" s="105">
        <v>0</v>
      </c>
      <c r="G60" s="105">
        <v>0</v>
      </c>
      <c r="H60" s="105">
        <v>0</v>
      </c>
      <c r="I60" s="105">
        <v>0</v>
      </c>
      <c r="J60" s="105">
        <v>0</v>
      </c>
      <c r="K60" s="105">
        <v>0</v>
      </c>
      <c r="L60" s="105">
        <v>0</v>
      </c>
      <c r="M60" s="105">
        <v>0</v>
      </c>
      <c r="N60" s="105">
        <v>0</v>
      </c>
      <c r="O60" s="105">
        <v>0</v>
      </c>
      <c r="P60" s="105">
        <v>0</v>
      </c>
      <c r="Q60" s="105">
        <v>0</v>
      </c>
      <c r="R60" s="105">
        <v>0</v>
      </c>
      <c r="S60" s="105">
        <v>0</v>
      </c>
      <c r="T60" s="105">
        <v>0</v>
      </c>
      <c r="U60" s="105">
        <v>0</v>
      </c>
      <c r="V60" s="105">
        <v>0</v>
      </c>
      <c r="W60" s="105">
        <v>0</v>
      </c>
      <c r="X60" s="105">
        <v>0</v>
      </c>
      <c r="Y60" s="105">
        <v>0</v>
      </c>
      <c r="Z60" s="105">
        <v>0</v>
      </c>
      <c r="AA60" s="105">
        <v>0</v>
      </c>
      <c r="AB60" s="105">
        <v>0</v>
      </c>
      <c r="AC60" s="105">
        <v>0</v>
      </c>
      <c r="AD60" s="105">
        <v>0</v>
      </c>
      <c r="AE60" s="105">
        <v>0</v>
      </c>
      <c r="AF60" s="105">
        <v>0</v>
      </c>
      <c r="AG60" s="105">
        <v>0</v>
      </c>
      <c r="AH60" s="105">
        <v>0</v>
      </c>
      <c r="AI60" s="105">
        <v>0</v>
      </c>
      <c r="AJ60" s="105">
        <v>0</v>
      </c>
      <c r="AK60" s="105">
        <v>0</v>
      </c>
      <c r="AL60" s="105">
        <v>0</v>
      </c>
      <c r="AM60" s="105">
        <v>0</v>
      </c>
      <c r="AN60" s="105">
        <v>0</v>
      </c>
      <c r="AO60" s="105">
        <v>0</v>
      </c>
      <c r="AP60" s="105">
        <v>0</v>
      </c>
      <c r="AQ60" s="105">
        <v>0</v>
      </c>
      <c r="AR60" s="105">
        <v>0</v>
      </c>
      <c r="AS60" s="105">
        <v>0</v>
      </c>
      <c r="AT60" s="105">
        <v>0</v>
      </c>
      <c r="AU60" s="105">
        <v>0</v>
      </c>
      <c r="AV60" s="105">
        <v>0</v>
      </c>
      <c r="AW60" s="105">
        <v>0</v>
      </c>
      <c r="AX60" s="105">
        <v>0</v>
      </c>
      <c r="AY60" s="105">
        <v>0</v>
      </c>
      <c r="AZ60" s="105">
        <v>0</v>
      </c>
      <c r="BA60" s="105">
        <v>0</v>
      </c>
      <c r="BB60" s="105">
        <v>0</v>
      </c>
      <c r="BC60" s="105">
        <v>0</v>
      </c>
      <c r="BD60" s="105">
        <v>0</v>
      </c>
      <c r="BE60" s="105">
        <v>0</v>
      </c>
      <c r="BF60" s="105">
        <v>0</v>
      </c>
      <c r="BG60" s="105">
        <v>0</v>
      </c>
      <c r="BH60" s="105">
        <v>0</v>
      </c>
      <c r="BI60" s="105">
        <v>0</v>
      </c>
      <c r="BJ60" s="105">
        <v>0</v>
      </c>
      <c r="BK60" s="105">
        <v>0</v>
      </c>
      <c r="BL60" s="105">
        <v>0</v>
      </c>
      <c r="BM60" s="105">
        <v>0</v>
      </c>
      <c r="BN60" s="105">
        <v>0</v>
      </c>
      <c r="BO60" s="105">
        <v>0</v>
      </c>
      <c r="BP60" s="105">
        <v>0</v>
      </c>
      <c r="BQ60" s="105">
        <v>0</v>
      </c>
      <c r="BR60" s="105">
        <v>0</v>
      </c>
      <c r="BS60" s="105">
        <v>0</v>
      </c>
      <c r="BT60" s="105">
        <v>0</v>
      </c>
      <c r="BU60" s="105">
        <v>0</v>
      </c>
      <c r="BV60" s="105">
        <v>0</v>
      </c>
      <c r="BW60" s="105">
        <v>0</v>
      </c>
      <c r="BX60" s="105">
        <v>0</v>
      </c>
      <c r="BY60" s="105">
        <v>0</v>
      </c>
      <c r="BZ60" s="105">
        <v>0</v>
      </c>
      <c r="CA60" s="105">
        <v>0</v>
      </c>
      <c r="CB60" s="105">
        <v>0</v>
      </c>
      <c r="CC60" s="105">
        <v>0</v>
      </c>
      <c r="CD60" s="105">
        <v>0</v>
      </c>
      <c r="CE60" s="105">
        <v>0</v>
      </c>
      <c r="CF60" s="105">
        <v>0</v>
      </c>
      <c r="CG60" s="105">
        <v>0</v>
      </c>
      <c r="CH60" s="105">
        <v>0</v>
      </c>
      <c r="CI60" s="105">
        <v>0</v>
      </c>
      <c r="CJ60" s="105">
        <v>0</v>
      </c>
      <c r="CK60" s="105">
        <v>0</v>
      </c>
      <c r="CL60" s="105">
        <v>0</v>
      </c>
      <c r="CM60" s="105">
        <v>0</v>
      </c>
      <c r="CN60" s="105">
        <v>0</v>
      </c>
      <c r="CO60" s="105">
        <v>0</v>
      </c>
      <c r="CP60" s="105">
        <v>0</v>
      </c>
      <c r="CQ60" s="105">
        <v>0</v>
      </c>
      <c r="CR60" s="105">
        <v>0</v>
      </c>
      <c r="CS60" s="105">
        <v>0</v>
      </c>
      <c r="CT60" s="105">
        <v>0</v>
      </c>
      <c r="CU60" s="105">
        <v>0</v>
      </c>
    </row>
    <row r="61" spans="2:99" x14ac:dyDescent="0.25">
      <c r="C61" s="104" t="s">
        <v>226</v>
      </c>
      <c r="D61" s="105">
        <v>0</v>
      </c>
      <c r="E61" s="105">
        <v>0</v>
      </c>
      <c r="F61" s="105">
        <v>0</v>
      </c>
      <c r="G61" s="105">
        <v>0</v>
      </c>
      <c r="H61" s="105">
        <v>0</v>
      </c>
      <c r="I61" s="105">
        <v>0</v>
      </c>
      <c r="J61" s="105">
        <v>0</v>
      </c>
      <c r="K61" s="105">
        <v>0</v>
      </c>
      <c r="L61" s="105">
        <v>0</v>
      </c>
      <c r="M61" s="105">
        <v>0</v>
      </c>
      <c r="N61" s="105">
        <v>0</v>
      </c>
      <c r="O61" s="105">
        <v>0</v>
      </c>
      <c r="P61" s="105">
        <v>0</v>
      </c>
      <c r="Q61" s="105">
        <v>0</v>
      </c>
      <c r="R61" s="105">
        <v>0</v>
      </c>
      <c r="S61" s="105">
        <v>0</v>
      </c>
      <c r="T61" s="105">
        <v>0</v>
      </c>
      <c r="U61" s="105">
        <v>0</v>
      </c>
      <c r="V61" s="105">
        <v>0</v>
      </c>
      <c r="W61" s="105">
        <v>0</v>
      </c>
      <c r="X61" s="105">
        <v>0</v>
      </c>
      <c r="Y61" s="105">
        <v>0</v>
      </c>
      <c r="Z61" s="105">
        <v>0</v>
      </c>
      <c r="AA61" s="105">
        <v>0</v>
      </c>
      <c r="AB61" s="105">
        <v>0</v>
      </c>
      <c r="AC61" s="105">
        <v>0</v>
      </c>
      <c r="AD61" s="105">
        <v>0</v>
      </c>
      <c r="AE61" s="105">
        <v>0</v>
      </c>
      <c r="AF61" s="105">
        <v>0</v>
      </c>
      <c r="AG61" s="105">
        <v>0</v>
      </c>
      <c r="AH61" s="105">
        <v>0</v>
      </c>
      <c r="AI61" s="105">
        <v>0</v>
      </c>
      <c r="AJ61" s="105">
        <v>0</v>
      </c>
      <c r="AK61" s="105">
        <v>0</v>
      </c>
      <c r="AL61" s="105">
        <v>0</v>
      </c>
      <c r="AM61" s="105">
        <v>0</v>
      </c>
      <c r="AN61" s="105">
        <v>0</v>
      </c>
      <c r="AO61" s="105">
        <v>0</v>
      </c>
      <c r="AP61" s="105">
        <v>0</v>
      </c>
      <c r="AQ61" s="105">
        <v>0</v>
      </c>
      <c r="AR61" s="105">
        <v>0</v>
      </c>
      <c r="AS61" s="105">
        <v>0</v>
      </c>
      <c r="AT61" s="105">
        <v>0</v>
      </c>
      <c r="AU61" s="105">
        <v>0</v>
      </c>
      <c r="AV61" s="105">
        <v>0</v>
      </c>
      <c r="AW61" s="105">
        <v>0</v>
      </c>
      <c r="AX61" s="105">
        <v>0</v>
      </c>
      <c r="AY61" s="105">
        <v>0</v>
      </c>
      <c r="AZ61" s="105">
        <v>0</v>
      </c>
      <c r="BA61" s="105">
        <v>0</v>
      </c>
      <c r="BB61" s="105">
        <v>0</v>
      </c>
      <c r="BC61" s="105">
        <v>0</v>
      </c>
      <c r="BD61" s="105">
        <v>0</v>
      </c>
      <c r="BE61" s="105">
        <v>0</v>
      </c>
      <c r="BF61" s="105">
        <v>0</v>
      </c>
      <c r="BG61" s="105">
        <v>0</v>
      </c>
      <c r="BH61" s="105">
        <v>0</v>
      </c>
      <c r="BI61" s="105">
        <v>0</v>
      </c>
      <c r="BJ61" s="105">
        <v>0</v>
      </c>
      <c r="BK61" s="105">
        <v>0</v>
      </c>
      <c r="BL61" s="105">
        <v>0</v>
      </c>
      <c r="BM61" s="105">
        <v>0</v>
      </c>
      <c r="BN61" s="105">
        <v>0</v>
      </c>
      <c r="BO61" s="105">
        <v>0</v>
      </c>
      <c r="BP61" s="105">
        <v>0</v>
      </c>
      <c r="BQ61" s="105">
        <v>0</v>
      </c>
      <c r="BR61" s="105">
        <v>0</v>
      </c>
      <c r="BS61" s="105">
        <v>0</v>
      </c>
      <c r="BT61" s="105">
        <v>0</v>
      </c>
      <c r="BU61" s="105">
        <v>0</v>
      </c>
      <c r="BV61" s="105">
        <v>0</v>
      </c>
      <c r="BW61" s="105">
        <v>0</v>
      </c>
      <c r="BX61" s="105">
        <v>0</v>
      </c>
      <c r="BY61" s="105">
        <v>0</v>
      </c>
      <c r="BZ61" s="105">
        <v>0</v>
      </c>
      <c r="CA61" s="105">
        <v>0</v>
      </c>
      <c r="CB61" s="105">
        <v>0</v>
      </c>
      <c r="CC61" s="105">
        <v>0</v>
      </c>
      <c r="CD61" s="105">
        <v>0</v>
      </c>
      <c r="CE61" s="105">
        <v>0</v>
      </c>
      <c r="CF61" s="105">
        <v>0</v>
      </c>
      <c r="CG61" s="105">
        <v>0</v>
      </c>
      <c r="CH61" s="105">
        <v>0</v>
      </c>
      <c r="CI61" s="105">
        <v>0</v>
      </c>
      <c r="CJ61" s="105">
        <v>0</v>
      </c>
      <c r="CK61" s="105">
        <v>0</v>
      </c>
      <c r="CL61" s="105">
        <v>0</v>
      </c>
      <c r="CM61" s="105">
        <v>0</v>
      </c>
      <c r="CN61" s="105">
        <v>0</v>
      </c>
      <c r="CO61" s="105">
        <v>0</v>
      </c>
      <c r="CP61" s="105">
        <v>0</v>
      </c>
      <c r="CQ61" s="105">
        <v>0</v>
      </c>
      <c r="CR61" s="105">
        <v>0</v>
      </c>
      <c r="CS61" s="105">
        <v>0</v>
      </c>
      <c r="CT61" s="105">
        <v>0</v>
      </c>
      <c r="CU61" s="105">
        <v>0</v>
      </c>
    </row>
    <row r="62" spans="2:99" x14ac:dyDescent="0.25">
      <c r="C62" s="104" t="s">
        <v>227</v>
      </c>
      <c r="D62" s="105">
        <v>0</v>
      </c>
      <c r="E62" s="105">
        <v>0</v>
      </c>
      <c r="F62" s="105">
        <v>0</v>
      </c>
      <c r="G62" s="105">
        <v>0</v>
      </c>
      <c r="H62" s="105">
        <v>0</v>
      </c>
      <c r="I62" s="105">
        <v>0</v>
      </c>
      <c r="J62" s="105">
        <v>0</v>
      </c>
      <c r="K62" s="105">
        <v>0</v>
      </c>
      <c r="L62" s="105">
        <v>0</v>
      </c>
      <c r="M62" s="105">
        <v>0</v>
      </c>
      <c r="N62" s="105">
        <v>0</v>
      </c>
      <c r="O62" s="105">
        <v>0</v>
      </c>
      <c r="P62" s="105">
        <v>0</v>
      </c>
      <c r="Q62" s="105">
        <v>0</v>
      </c>
      <c r="R62" s="105">
        <v>0</v>
      </c>
      <c r="S62" s="105">
        <v>0</v>
      </c>
      <c r="T62" s="105">
        <v>0</v>
      </c>
      <c r="U62" s="105">
        <v>0</v>
      </c>
      <c r="V62" s="105">
        <v>0</v>
      </c>
      <c r="W62" s="105">
        <v>0</v>
      </c>
      <c r="X62" s="105">
        <v>0</v>
      </c>
      <c r="Y62" s="105">
        <v>0</v>
      </c>
      <c r="Z62" s="105">
        <v>0</v>
      </c>
      <c r="AA62" s="105">
        <v>0</v>
      </c>
      <c r="AB62" s="105">
        <v>0</v>
      </c>
      <c r="AC62" s="105">
        <v>0</v>
      </c>
      <c r="AD62" s="105">
        <v>0</v>
      </c>
      <c r="AE62" s="105">
        <v>0</v>
      </c>
      <c r="AF62" s="105">
        <v>0</v>
      </c>
      <c r="AG62" s="105">
        <v>0</v>
      </c>
      <c r="AH62" s="105">
        <v>0</v>
      </c>
      <c r="AI62" s="105">
        <v>0</v>
      </c>
      <c r="AJ62" s="105">
        <v>0</v>
      </c>
      <c r="AK62" s="105">
        <v>0</v>
      </c>
      <c r="AL62" s="105">
        <v>0</v>
      </c>
      <c r="AM62" s="105">
        <v>0</v>
      </c>
      <c r="AN62" s="105">
        <v>0</v>
      </c>
      <c r="AO62" s="105">
        <v>0</v>
      </c>
      <c r="AP62" s="105">
        <v>0</v>
      </c>
      <c r="AQ62" s="105">
        <v>0</v>
      </c>
      <c r="AR62" s="105">
        <v>0</v>
      </c>
      <c r="AS62" s="105">
        <v>0</v>
      </c>
      <c r="AT62" s="105">
        <v>0</v>
      </c>
      <c r="AU62" s="105">
        <v>0</v>
      </c>
      <c r="AV62" s="105">
        <v>0</v>
      </c>
      <c r="AW62" s="105">
        <v>0</v>
      </c>
      <c r="AX62" s="105">
        <v>0</v>
      </c>
      <c r="AY62" s="105">
        <v>0</v>
      </c>
      <c r="AZ62" s="105">
        <v>0</v>
      </c>
      <c r="BA62" s="105">
        <v>0</v>
      </c>
      <c r="BB62" s="105">
        <v>0</v>
      </c>
      <c r="BC62" s="105">
        <v>0</v>
      </c>
      <c r="BD62" s="105">
        <v>0</v>
      </c>
      <c r="BE62" s="105">
        <v>0</v>
      </c>
      <c r="BF62" s="105">
        <v>0</v>
      </c>
      <c r="BG62" s="105">
        <v>0</v>
      </c>
      <c r="BH62" s="105">
        <v>0</v>
      </c>
      <c r="BI62" s="105">
        <v>0</v>
      </c>
      <c r="BJ62" s="105">
        <v>0</v>
      </c>
      <c r="BK62" s="105">
        <v>0</v>
      </c>
      <c r="BL62" s="105">
        <v>0</v>
      </c>
      <c r="BM62" s="105">
        <v>0</v>
      </c>
      <c r="BN62" s="105">
        <v>0</v>
      </c>
      <c r="BO62" s="105">
        <v>0</v>
      </c>
      <c r="BP62" s="105">
        <v>0</v>
      </c>
      <c r="BQ62" s="105">
        <v>0</v>
      </c>
      <c r="BR62" s="105">
        <v>0</v>
      </c>
      <c r="BS62" s="105">
        <v>0</v>
      </c>
      <c r="BT62" s="105">
        <v>0</v>
      </c>
      <c r="BU62" s="105">
        <v>0</v>
      </c>
      <c r="BV62" s="105">
        <v>0</v>
      </c>
      <c r="BW62" s="105">
        <v>0</v>
      </c>
      <c r="BX62" s="105">
        <v>0</v>
      </c>
      <c r="BY62" s="105">
        <v>0</v>
      </c>
      <c r="BZ62" s="105">
        <v>0</v>
      </c>
      <c r="CA62" s="105">
        <v>0</v>
      </c>
      <c r="CB62" s="105">
        <v>0</v>
      </c>
      <c r="CC62" s="105">
        <v>0</v>
      </c>
      <c r="CD62" s="105">
        <v>0</v>
      </c>
      <c r="CE62" s="105">
        <v>0</v>
      </c>
      <c r="CF62" s="105">
        <v>0</v>
      </c>
      <c r="CG62" s="105">
        <v>0</v>
      </c>
      <c r="CH62" s="105">
        <v>0</v>
      </c>
      <c r="CI62" s="105">
        <v>0</v>
      </c>
      <c r="CJ62" s="105">
        <v>0</v>
      </c>
      <c r="CK62" s="105">
        <v>0</v>
      </c>
      <c r="CL62" s="105">
        <v>0</v>
      </c>
      <c r="CM62" s="105">
        <v>0</v>
      </c>
      <c r="CN62" s="105">
        <v>0</v>
      </c>
      <c r="CO62" s="105">
        <v>0</v>
      </c>
      <c r="CP62" s="105">
        <v>0</v>
      </c>
      <c r="CQ62" s="105">
        <v>0</v>
      </c>
      <c r="CR62" s="105">
        <v>0</v>
      </c>
      <c r="CS62" s="105">
        <v>0</v>
      </c>
      <c r="CT62" s="105">
        <v>0</v>
      </c>
      <c r="CU62" s="105">
        <v>0</v>
      </c>
    </row>
    <row r="63" spans="2:99" x14ac:dyDescent="0.25">
      <c r="C63" s="104" t="s">
        <v>228</v>
      </c>
      <c r="D63" s="105">
        <v>0</v>
      </c>
      <c r="E63" s="105">
        <v>0</v>
      </c>
      <c r="F63" s="105">
        <v>0</v>
      </c>
      <c r="G63" s="105">
        <v>0</v>
      </c>
      <c r="H63" s="105">
        <v>0</v>
      </c>
      <c r="I63" s="105">
        <v>0</v>
      </c>
      <c r="J63" s="105">
        <v>0</v>
      </c>
      <c r="K63" s="105">
        <v>0</v>
      </c>
      <c r="L63" s="105">
        <v>0</v>
      </c>
      <c r="M63" s="105">
        <v>0</v>
      </c>
      <c r="N63" s="105">
        <v>0</v>
      </c>
      <c r="O63" s="105">
        <v>0</v>
      </c>
      <c r="P63" s="105">
        <v>0</v>
      </c>
      <c r="Q63" s="105">
        <v>0</v>
      </c>
      <c r="R63" s="105">
        <v>0</v>
      </c>
      <c r="S63" s="105">
        <v>0</v>
      </c>
      <c r="T63" s="105">
        <v>0</v>
      </c>
      <c r="U63" s="105">
        <v>0</v>
      </c>
      <c r="V63" s="105">
        <v>0</v>
      </c>
      <c r="W63" s="105">
        <v>0</v>
      </c>
      <c r="X63" s="105">
        <v>0</v>
      </c>
      <c r="Y63" s="105">
        <v>0</v>
      </c>
      <c r="Z63" s="105">
        <v>0</v>
      </c>
      <c r="AA63" s="105">
        <v>0</v>
      </c>
      <c r="AB63" s="105">
        <v>0</v>
      </c>
      <c r="AC63" s="105">
        <v>0</v>
      </c>
      <c r="AD63" s="105">
        <v>0</v>
      </c>
      <c r="AE63" s="105">
        <v>0</v>
      </c>
      <c r="AF63" s="105">
        <v>0</v>
      </c>
      <c r="AG63" s="105">
        <v>0</v>
      </c>
      <c r="AH63" s="105">
        <v>0</v>
      </c>
      <c r="AI63" s="105">
        <v>0</v>
      </c>
      <c r="AJ63" s="105">
        <v>0</v>
      </c>
      <c r="AK63" s="105">
        <v>0</v>
      </c>
      <c r="AL63" s="105">
        <v>0</v>
      </c>
      <c r="AM63" s="105">
        <v>0</v>
      </c>
      <c r="AN63" s="105">
        <v>0</v>
      </c>
      <c r="AO63" s="105">
        <v>0</v>
      </c>
      <c r="AP63" s="105">
        <v>0</v>
      </c>
      <c r="AQ63" s="105">
        <v>0</v>
      </c>
      <c r="AR63" s="105">
        <v>0</v>
      </c>
      <c r="AS63" s="105">
        <v>0</v>
      </c>
      <c r="AT63" s="105">
        <v>0</v>
      </c>
      <c r="AU63" s="105">
        <v>0</v>
      </c>
      <c r="AV63" s="105">
        <v>0</v>
      </c>
      <c r="AW63" s="105">
        <v>0</v>
      </c>
      <c r="AX63" s="105">
        <v>0</v>
      </c>
      <c r="AY63" s="105">
        <v>0</v>
      </c>
      <c r="AZ63" s="105">
        <v>0</v>
      </c>
      <c r="BA63" s="105">
        <v>0</v>
      </c>
      <c r="BB63" s="105">
        <v>0</v>
      </c>
      <c r="BC63" s="105">
        <v>0</v>
      </c>
      <c r="BD63" s="105">
        <v>0</v>
      </c>
      <c r="BE63" s="105">
        <v>0</v>
      </c>
      <c r="BF63" s="105">
        <v>0</v>
      </c>
      <c r="BG63" s="105">
        <v>0</v>
      </c>
      <c r="BH63" s="105">
        <v>0</v>
      </c>
      <c r="BI63" s="105">
        <v>0</v>
      </c>
      <c r="BJ63" s="105">
        <v>0</v>
      </c>
      <c r="BK63" s="105">
        <v>0</v>
      </c>
      <c r="BL63" s="105">
        <v>0</v>
      </c>
      <c r="BM63" s="105">
        <v>0</v>
      </c>
      <c r="BN63" s="105">
        <v>0</v>
      </c>
      <c r="BO63" s="105">
        <v>0</v>
      </c>
      <c r="BP63" s="105">
        <v>0</v>
      </c>
      <c r="BQ63" s="105">
        <v>0</v>
      </c>
      <c r="BR63" s="105">
        <v>0</v>
      </c>
      <c r="BS63" s="105">
        <v>0</v>
      </c>
      <c r="BT63" s="105">
        <v>0</v>
      </c>
      <c r="BU63" s="105">
        <v>0</v>
      </c>
      <c r="BV63" s="105">
        <v>0</v>
      </c>
      <c r="BW63" s="105">
        <v>0</v>
      </c>
      <c r="BX63" s="105">
        <v>0</v>
      </c>
      <c r="BY63" s="105">
        <v>0</v>
      </c>
      <c r="BZ63" s="105">
        <v>0</v>
      </c>
      <c r="CA63" s="105">
        <v>0</v>
      </c>
      <c r="CB63" s="105">
        <v>0</v>
      </c>
      <c r="CC63" s="105">
        <v>0</v>
      </c>
      <c r="CD63" s="105">
        <v>0</v>
      </c>
      <c r="CE63" s="105">
        <v>0</v>
      </c>
      <c r="CF63" s="105">
        <v>0</v>
      </c>
      <c r="CG63" s="105">
        <v>0</v>
      </c>
      <c r="CH63" s="105">
        <v>0</v>
      </c>
      <c r="CI63" s="105">
        <v>0</v>
      </c>
      <c r="CJ63" s="105">
        <v>0</v>
      </c>
      <c r="CK63" s="105">
        <v>0</v>
      </c>
      <c r="CL63" s="105">
        <v>0</v>
      </c>
      <c r="CM63" s="105">
        <v>0</v>
      </c>
      <c r="CN63" s="105">
        <v>0</v>
      </c>
      <c r="CO63" s="105">
        <v>0</v>
      </c>
      <c r="CP63" s="105">
        <v>0</v>
      </c>
      <c r="CQ63" s="105">
        <v>0</v>
      </c>
      <c r="CR63" s="105">
        <v>0</v>
      </c>
      <c r="CS63" s="105">
        <v>0</v>
      </c>
      <c r="CT63" s="105">
        <v>0</v>
      </c>
      <c r="CU63" s="105">
        <v>0</v>
      </c>
    </row>
    <row r="64" spans="2:99" x14ac:dyDescent="0.25">
      <c r="C64" s="104" t="s">
        <v>229</v>
      </c>
      <c r="D64" s="105">
        <v>0</v>
      </c>
      <c r="E64" s="105">
        <v>0</v>
      </c>
      <c r="F64" s="105">
        <v>0</v>
      </c>
      <c r="G64" s="105">
        <v>0</v>
      </c>
      <c r="H64" s="105">
        <v>0</v>
      </c>
      <c r="I64" s="105">
        <v>0</v>
      </c>
      <c r="J64" s="105">
        <v>0</v>
      </c>
      <c r="K64" s="105">
        <v>0</v>
      </c>
      <c r="L64" s="105">
        <v>0</v>
      </c>
      <c r="M64" s="105">
        <v>0</v>
      </c>
      <c r="N64" s="105">
        <v>0</v>
      </c>
      <c r="O64" s="105">
        <v>0</v>
      </c>
      <c r="P64" s="105">
        <v>0</v>
      </c>
      <c r="Q64" s="105">
        <v>0</v>
      </c>
      <c r="R64" s="105">
        <v>0</v>
      </c>
      <c r="S64" s="105">
        <v>0</v>
      </c>
      <c r="T64" s="105">
        <v>0</v>
      </c>
      <c r="U64" s="105">
        <v>0</v>
      </c>
      <c r="V64" s="105">
        <v>0</v>
      </c>
      <c r="W64" s="105">
        <v>0</v>
      </c>
      <c r="X64" s="105">
        <v>0</v>
      </c>
      <c r="Y64" s="105">
        <v>0</v>
      </c>
      <c r="Z64" s="105">
        <v>0</v>
      </c>
      <c r="AA64" s="105">
        <v>0</v>
      </c>
      <c r="AB64" s="105">
        <v>0</v>
      </c>
      <c r="AC64" s="105">
        <v>0</v>
      </c>
      <c r="AD64" s="105">
        <v>0</v>
      </c>
      <c r="AE64" s="105">
        <v>0</v>
      </c>
      <c r="AF64" s="105">
        <v>0</v>
      </c>
      <c r="AG64" s="105">
        <v>0</v>
      </c>
      <c r="AH64" s="105">
        <v>0</v>
      </c>
      <c r="AI64" s="105">
        <v>0</v>
      </c>
      <c r="AJ64" s="105">
        <v>0</v>
      </c>
      <c r="AK64" s="105">
        <v>0</v>
      </c>
      <c r="AL64" s="105">
        <v>0</v>
      </c>
      <c r="AM64" s="105">
        <v>0</v>
      </c>
      <c r="AN64" s="105">
        <v>0</v>
      </c>
      <c r="AO64" s="105">
        <v>0</v>
      </c>
      <c r="AP64" s="105">
        <v>0</v>
      </c>
      <c r="AQ64" s="105">
        <v>0</v>
      </c>
      <c r="AR64" s="105">
        <v>0</v>
      </c>
      <c r="AS64" s="105">
        <v>0</v>
      </c>
      <c r="AT64" s="105">
        <v>0</v>
      </c>
      <c r="AU64" s="105">
        <v>0</v>
      </c>
      <c r="AV64" s="105">
        <v>0</v>
      </c>
      <c r="AW64" s="105">
        <v>0</v>
      </c>
      <c r="AX64" s="105">
        <v>0</v>
      </c>
      <c r="AY64" s="105">
        <v>0</v>
      </c>
      <c r="AZ64" s="105">
        <v>0</v>
      </c>
      <c r="BA64" s="105">
        <v>0</v>
      </c>
      <c r="BB64" s="105">
        <v>0</v>
      </c>
      <c r="BC64" s="105">
        <v>0</v>
      </c>
      <c r="BD64" s="105">
        <v>0</v>
      </c>
      <c r="BE64" s="105">
        <v>0</v>
      </c>
      <c r="BF64" s="105">
        <v>0</v>
      </c>
      <c r="BG64" s="105">
        <v>0</v>
      </c>
      <c r="BH64" s="105">
        <v>0</v>
      </c>
      <c r="BI64" s="105">
        <v>0</v>
      </c>
      <c r="BJ64" s="105">
        <v>0</v>
      </c>
      <c r="BK64" s="105">
        <v>0</v>
      </c>
      <c r="BL64" s="105">
        <v>0</v>
      </c>
      <c r="BM64" s="105">
        <v>0</v>
      </c>
      <c r="BN64" s="105">
        <v>0</v>
      </c>
      <c r="BO64" s="105">
        <v>0</v>
      </c>
      <c r="BP64" s="105">
        <v>0</v>
      </c>
      <c r="BQ64" s="105">
        <v>0</v>
      </c>
      <c r="BR64" s="105">
        <v>0</v>
      </c>
      <c r="BS64" s="105">
        <v>0</v>
      </c>
      <c r="BT64" s="105">
        <v>0</v>
      </c>
      <c r="BU64" s="105">
        <v>0</v>
      </c>
      <c r="BV64" s="105">
        <v>0</v>
      </c>
      <c r="BW64" s="105">
        <v>0</v>
      </c>
      <c r="BX64" s="105">
        <v>0</v>
      </c>
      <c r="BY64" s="105">
        <v>0</v>
      </c>
      <c r="BZ64" s="105">
        <v>0</v>
      </c>
      <c r="CA64" s="105">
        <v>0</v>
      </c>
      <c r="CB64" s="105">
        <v>0</v>
      </c>
      <c r="CC64" s="105">
        <v>0</v>
      </c>
      <c r="CD64" s="105">
        <v>0</v>
      </c>
      <c r="CE64" s="105">
        <v>0</v>
      </c>
      <c r="CF64" s="105">
        <v>0</v>
      </c>
      <c r="CG64" s="105">
        <v>0</v>
      </c>
      <c r="CH64" s="105">
        <v>0</v>
      </c>
      <c r="CI64" s="105">
        <v>0</v>
      </c>
      <c r="CJ64" s="105">
        <v>0</v>
      </c>
      <c r="CK64" s="105">
        <v>0</v>
      </c>
      <c r="CL64" s="105">
        <v>0</v>
      </c>
      <c r="CM64" s="105">
        <v>0</v>
      </c>
      <c r="CN64" s="105">
        <v>0</v>
      </c>
      <c r="CO64" s="105">
        <v>0</v>
      </c>
      <c r="CP64" s="105">
        <v>0</v>
      </c>
      <c r="CQ64" s="105">
        <v>0</v>
      </c>
      <c r="CR64" s="105">
        <v>0</v>
      </c>
      <c r="CS64" s="105">
        <v>0</v>
      </c>
      <c r="CT64" s="105">
        <v>0</v>
      </c>
      <c r="CU64" s="105">
        <v>0</v>
      </c>
    </row>
    <row r="65" spans="2:99" x14ac:dyDescent="0.25">
      <c r="C65" s="104" t="s">
        <v>230</v>
      </c>
      <c r="D65" s="105">
        <v>0</v>
      </c>
      <c r="E65" s="105">
        <v>0</v>
      </c>
      <c r="F65" s="105">
        <v>0</v>
      </c>
      <c r="G65" s="105">
        <v>0</v>
      </c>
      <c r="H65" s="105">
        <v>0</v>
      </c>
      <c r="I65" s="105">
        <v>0</v>
      </c>
      <c r="J65" s="105">
        <v>0</v>
      </c>
      <c r="K65" s="105">
        <v>0</v>
      </c>
      <c r="L65" s="105">
        <v>0</v>
      </c>
      <c r="M65" s="105">
        <v>0</v>
      </c>
      <c r="N65" s="105">
        <v>0</v>
      </c>
      <c r="O65" s="105">
        <v>0</v>
      </c>
      <c r="P65" s="105">
        <v>0</v>
      </c>
      <c r="Q65" s="105">
        <v>0</v>
      </c>
      <c r="R65" s="105">
        <v>0</v>
      </c>
      <c r="S65" s="105">
        <v>0</v>
      </c>
      <c r="T65" s="105">
        <v>0</v>
      </c>
      <c r="U65" s="105">
        <v>0</v>
      </c>
      <c r="V65" s="105">
        <v>0</v>
      </c>
      <c r="W65" s="105">
        <v>0</v>
      </c>
      <c r="X65" s="105">
        <v>0</v>
      </c>
      <c r="Y65" s="105">
        <v>0</v>
      </c>
      <c r="Z65" s="105">
        <v>0</v>
      </c>
      <c r="AA65" s="105">
        <v>0</v>
      </c>
      <c r="AB65" s="105">
        <v>0</v>
      </c>
      <c r="AC65" s="105">
        <v>0</v>
      </c>
      <c r="AD65" s="105">
        <v>0</v>
      </c>
      <c r="AE65" s="105">
        <v>0</v>
      </c>
      <c r="AF65" s="105">
        <v>0</v>
      </c>
      <c r="AG65" s="105">
        <v>0</v>
      </c>
      <c r="AH65" s="105">
        <v>0</v>
      </c>
      <c r="AI65" s="105">
        <v>0</v>
      </c>
      <c r="AJ65" s="105">
        <v>0</v>
      </c>
      <c r="AK65" s="105">
        <v>0</v>
      </c>
      <c r="AL65" s="105">
        <v>0</v>
      </c>
      <c r="AM65" s="105">
        <v>0</v>
      </c>
      <c r="AN65" s="105">
        <v>0</v>
      </c>
      <c r="AO65" s="105">
        <v>0</v>
      </c>
      <c r="AP65" s="105">
        <v>0</v>
      </c>
      <c r="AQ65" s="105">
        <v>0</v>
      </c>
      <c r="AR65" s="105">
        <v>0</v>
      </c>
      <c r="AS65" s="105">
        <v>0</v>
      </c>
      <c r="AT65" s="105">
        <v>0</v>
      </c>
      <c r="AU65" s="105">
        <v>0</v>
      </c>
      <c r="AV65" s="105">
        <v>0</v>
      </c>
      <c r="AW65" s="105">
        <v>0</v>
      </c>
      <c r="AX65" s="105">
        <v>0</v>
      </c>
      <c r="AY65" s="105">
        <v>0</v>
      </c>
      <c r="AZ65" s="105">
        <v>0</v>
      </c>
      <c r="BA65" s="105">
        <v>0</v>
      </c>
      <c r="BB65" s="105">
        <v>0</v>
      </c>
      <c r="BC65" s="105">
        <v>0</v>
      </c>
      <c r="BD65" s="105">
        <v>0</v>
      </c>
      <c r="BE65" s="105">
        <v>0</v>
      </c>
      <c r="BF65" s="105">
        <v>0</v>
      </c>
      <c r="BG65" s="105">
        <v>0</v>
      </c>
      <c r="BH65" s="105">
        <v>0</v>
      </c>
      <c r="BI65" s="105">
        <v>0</v>
      </c>
      <c r="BJ65" s="105">
        <v>0</v>
      </c>
      <c r="BK65" s="105">
        <v>0</v>
      </c>
      <c r="BL65" s="105">
        <v>0</v>
      </c>
      <c r="BM65" s="105">
        <v>0</v>
      </c>
      <c r="BN65" s="105">
        <v>0</v>
      </c>
      <c r="BO65" s="105">
        <v>0</v>
      </c>
      <c r="BP65" s="105">
        <v>0</v>
      </c>
      <c r="BQ65" s="105">
        <v>0</v>
      </c>
      <c r="BR65" s="105">
        <v>0</v>
      </c>
      <c r="BS65" s="105">
        <v>0</v>
      </c>
      <c r="BT65" s="105">
        <v>0</v>
      </c>
      <c r="BU65" s="105">
        <v>0</v>
      </c>
      <c r="BV65" s="105">
        <v>0</v>
      </c>
      <c r="BW65" s="105">
        <v>0</v>
      </c>
      <c r="BX65" s="105">
        <v>0</v>
      </c>
      <c r="BY65" s="105">
        <v>0</v>
      </c>
      <c r="BZ65" s="105">
        <v>0</v>
      </c>
      <c r="CA65" s="105">
        <v>0</v>
      </c>
      <c r="CB65" s="105">
        <v>0</v>
      </c>
      <c r="CC65" s="105">
        <v>0</v>
      </c>
      <c r="CD65" s="105">
        <v>0</v>
      </c>
      <c r="CE65" s="105">
        <v>0</v>
      </c>
      <c r="CF65" s="105">
        <v>0</v>
      </c>
      <c r="CG65" s="105">
        <v>0</v>
      </c>
      <c r="CH65" s="105">
        <v>0</v>
      </c>
      <c r="CI65" s="105">
        <v>0</v>
      </c>
      <c r="CJ65" s="105">
        <v>0</v>
      </c>
      <c r="CK65" s="105">
        <v>0</v>
      </c>
      <c r="CL65" s="105">
        <v>0</v>
      </c>
      <c r="CM65" s="105">
        <v>0</v>
      </c>
      <c r="CN65" s="105">
        <v>0</v>
      </c>
      <c r="CO65" s="105">
        <v>0</v>
      </c>
      <c r="CP65" s="105">
        <v>0</v>
      </c>
      <c r="CQ65" s="105">
        <v>0</v>
      </c>
      <c r="CR65" s="105">
        <v>0</v>
      </c>
      <c r="CS65" s="105">
        <v>0</v>
      </c>
      <c r="CT65" s="105">
        <v>0</v>
      </c>
      <c r="CU65" s="105">
        <v>0</v>
      </c>
    </row>
    <row r="66" spans="2:99" x14ac:dyDescent="0.25">
      <c r="C66" s="104" t="s">
        <v>231</v>
      </c>
      <c r="D66" s="105">
        <v>0</v>
      </c>
      <c r="E66" s="105">
        <v>0</v>
      </c>
      <c r="F66" s="105">
        <v>0</v>
      </c>
      <c r="G66" s="105">
        <v>0</v>
      </c>
      <c r="H66" s="105">
        <v>0</v>
      </c>
      <c r="I66" s="105">
        <v>0</v>
      </c>
      <c r="J66" s="105">
        <v>0</v>
      </c>
      <c r="K66" s="105">
        <v>0</v>
      </c>
      <c r="L66" s="105">
        <v>0</v>
      </c>
      <c r="M66" s="105">
        <v>0</v>
      </c>
      <c r="N66" s="105">
        <v>0</v>
      </c>
      <c r="O66" s="105">
        <v>0</v>
      </c>
      <c r="P66" s="105">
        <v>0</v>
      </c>
      <c r="Q66" s="105">
        <v>0</v>
      </c>
      <c r="R66" s="105">
        <v>0</v>
      </c>
      <c r="S66" s="105">
        <v>0</v>
      </c>
      <c r="T66" s="105">
        <v>0</v>
      </c>
      <c r="U66" s="105">
        <v>0</v>
      </c>
      <c r="V66" s="105">
        <v>0</v>
      </c>
      <c r="W66" s="105">
        <v>0</v>
      </c>
      <c r="X66" s="105">
        <v>0</v>
      </c>
      <c r="Y66" s="105">
        <v>0</v>
      </c>
      <c r="Z66" s="105">
        <v>0</v>
      </c>
      <c r="AA66" s="105">
        <v>0</v>
      </c>
      <c r="AB66" s="105">
        <v>0</v>
      </c>
      <c r="AC66" s="105">
        <v>0</v>
      </c>
      <c r="AD66" s="105">
        <v>0</v>
      </c>
      <c r="AE66" s="105">
        <v>0</v>
      </c>
      <c r="AF66" s="105">
        <v>0</v>
      </c>
      <c r="AG66" s="105">
        <v>0</v>
      </c>
      <c r="AH66" s="105">
        <v>0</v>
      </c>
      <c r="AI66" s="105">
        <v>0</v>
      </c>
      <c r="AJ66" s="105">
        <v>0</v>
      </c>
      <c r="AK66" s="105">
        <v>0</v>
      </c>
      <c r="AL66" s="105">
        <v>0</v>
      </c>
      <c r="AM66" s="105">
        <v>0</v>
      </c>
      <c r="AN66" s="105">
        <v>0</v>
      </c>
      <c r="AO66" s="105">
        <v>0</v>
      </c>
      <c r="AP66" s="105">
        <v>0</v>
      </c>
      <c r="AQ66" s="105">
        <v>0</v>
      </c>
      <c r="AR66" s="105">
        <v>0</v>
      </c>
      <c r="AS66" s="105">
        <v>0</v>
      </c>
      <c r="AT66" s="105">
        <v>0</v>
      </c>
      <c r="AU66" s="105">
        <v>0</v>
      </c>
      <c r="AV66" s="105">
        <v>0</v>
      </c>
      <c r="AW66" s="105">
        <v>0</v>
      </c>
      <c r="AX66" s="105">
        <v>0</v>
      </c>
      <c r="AY66" s="105">
        <v>0</v>
      </c>
      <c r="AZ66" s="105">
        <v>0</v>
      </c>
      <c r="BA66" s="105">
        <v>0</v>
      </c>
      <c r="BB66" s="105">
        <v>0</v>
      </c>
      <c r="BC66" s="105">
        <v>0</v>
      </c>
      <c r="BD66" s="105">
        <v>0</v>
      </c>
      <c r="BE66" s="105">
        <v>0</v>
      </c>
      <c r="BF66" s="105">
        <v>0</v>
      </c>
      <c r="BG66" s="105">
        <v>0</v>
      </c>
      <c r="BH66" s="105">
        <v>0</v>
      </c>
      <c r="BI66" s="105">
        <v>0</v>
      </c>
      <c r="BJ66" s="105">
        <v>0</v>
      </c>
      <c r="BK66" s="105">
        <v>0</v>
      </c>
      <c r="BL66" s="105">
        <v>0</v>
      </c>
      <c r="BM66" s="105">
        <v>0</v>
      </c>
      <c r="BN66" s="105">
        <v>0</v>
      </c>
      <c r="BO66" s="105">
        <v>0</v>
      </c>
      <c r="BP66" s="105">
        <v>0</v>
      </c>
      <c r="BQ66" s="105">
        <v>0</v>
      </c>
      <c r="BR66" s="105">
        <v>0</v>
      </c>
      <c r="BS66" s="105">
        <v>0</v>
      </c>
      <c r="BT66" s="105">
        <v>0</v>
      </c>
      <c r="BU66" s="105">
        <v>0</v>
      </c>
      <c r="BV66" s="105">
        <v>0</v>
      </c>
      <c r="BW66" s="105">
        <v>0</v>
      </c>
      <c r="BX66" s="105">
        <v>0</v>
      </c>
      <c r="BY66" s="105">
        <v>0</v>
      </c>
      <c r="BZ66" s="105">
        <v>0</v>
      </c>
      <c r="CA66" s="105">
        <v>0</v>
      </c>
      <c r="CB66" s="105">
        <v>0</v>
      </c>
      <c r="CC66" s="105">
        <v>0</v>
      </c>
      <c r="CD66" s="105">
        <v>0</v>
      </c>
      <c r="CE66" s="105">
        <v>0</v>
      </c>
      <c r="CF66" s="105">
        <v>0</v>
      </c>
      <c r="CG66" s="105">
        <v>0</v>
      </c>
      <c r="CH66" s="105">
        <v>0</v>
      </c>
      <c r="CI66" s="105">
        <v>0</v>
      </c>
      <c r="CJ66" s="105">
        <v>0</v>
      </c>
      <c r="CK66" s="105">
        <v>0</v>
      </c>
      <c r="CL66" s="105">
        <v>0</v>
      </c>
      <c r="CM66" s="105">
        <v>0</v>
      </c>
      <c r="CN66" s="105">
        <v>0</v>
      </c>
      <c r="CO66" s="105">
        <v>0</v>
      </c>
      <c r="CP66" s="105">
        <v>0</v>
      </c>
      <c r="CQ66" s="105">
        <v>0</v>
      </c>
      <c r="CR66" s="105">
        <v>0</v>
      </c>
      <c r="CS66" s="105">
        <v>0</v>
      </c>
      <c r="CT66" s="105">
        <v>0</v>
      </c>
      <c r="CU66" s="105">
        <v>0</v>
      </c>
    </row>
    <row r="67" spans="2:99" x14ac:dyDescent="0.25">
      <c r="C67" s="104" t="s">
        <v>232</v>
      </c>
      <c r="D67" s="105">
        <v>0</v>
      </c>
      <c r="E67" s="105">
        <v>0</v>
      </c>
      <c r="F67" s="105">
        <v>0</v>
      </c>
      <c r="G67" s="105">
        <v>0</v>
      </c>
      <c r="H67" s="105">
        <v>0</v>
      </c>
      <c r="I67" s="105">
        <v>0</v>
      </c>
      <c r="J67" s="105">
        <v>0</v>
      </c>
      <c r="K67" s="105">
        <v>0</v>
      </c>
      <c r="L67" s="105">
        <v>0</v>
      </c>
      <c r="M67" s="105">
        <v>0</v>
      </c>
      <c r="N67" s="105">
        <v>0</v>
      </c>
      <c r="O67" s="105">
        <v>0</v>
      </c>
      <c r="P67" s="105">
        <v>0</v>
      </c>
      <c r="Q67" s="105">
        <v>0</v>
      </c>
      <c r="R67" s="105">
        <v>0</v>
      </c>
      <c r="S67" s="105">
        <v>0</v>
      </c>
      <c r="T67" s="105">
        <v>0</v>
      </c>
      <c r="U67" s="105">
        <v>0</v>
      </c>
      <c r="V67" s="105">
        <v>0</v>
      </c>
      <c r="W67" s="105">
        <v>0</v>
      </c>
      <c r="X67" s="105">
        <v>0</v>
      </c>
      <c r="Y67" s="105">
        <v>0</v>
      </c>
      <c r="Z67" s="105">
        <v>0</v>
      </c>
      <c r="AA67" s="105">
        <v>0</v>
      </c>
      <c r="AB67" s="105">
        <v>0</v>
      </c>
      <c r="AC67" s="105">
        <v>0</v>
      </c>
      <c r="AD67" s="105">
        <v>0</v>
      </c>
      <c r="AE67" s="105">
        <v>0</v>
      </c>
      <c r="AF67" s="105">
        <v>0</v>
      </c>
      <c r="AG67" s="105">
        <v>0</v>
      </c>
      <c r="AH67" s="105">
        <v>0</v>
      </c>
      <c r="AI67" s="105">
        <v>0</v>
      </c>
      <c r="AJ67" s="105">
        <v>0</v>
      </c>
      <c r="AK67" s="105">
        <v>0</v>
      </c>
      <c r="AL67" s="105">
        <v>0</v>
      </c>
      <c r="AM67" s="105">
        <v>0</v>
      </c>
      <c r="AN67" s="105">
        <v>0</v>
      </c>
      <c r="AO67" s="105">
        <v>0</v>
      </c>
      <c r="AP67" s="105">
        <v>0</v>
      </c>
      <c r="AQ67" s="105">
        <v>0</v>
      </c>
      <c r="AR67" s="105">
        <v>0</v>
      </c>
      <c r="AS67" s="105">
        <v>0</v>
      </c>
      <c r="AT67" s="105">
        <v>0</v>
      </c>
      <c r="AU67" s="105">
        <v>0</v>
      </c>
      <c r="AV67" s="105">
        <v>0</v>
      </c>
      <c r="AW67" s="105">
        <v>0</v>
      </c>
      <c r="AX67" s="105">
        <v>0</v>
      </c>
      <c r="AY67" s="105">
        <v>0</v>
      </c>
      <c r="AZ67" s="105">
        <v>0</v>
      </c>
      <c r="BA67" s="105">
        <v>0</v>
      </c>
      <c r="BB67" s="105">
        <v>0</v>
      </c>
      <c r="BC67" s="105">
        <v>0</v>
      </c>
      <c r="BD67" s="105">
        <v>0</v>
      </c>
      <c r="BE67" s="105">
        <v>0</v>
      </c>
      <c r="BF67" s="105">
        <v>0</v>
      </c>
      <c r="BG67" s="105">
        <v>0</v>
      </c>
      <c r="BH67" s="105">
        <v>0</v>
      </c>
      <c r="BI67" s="105">
        <v>0</v>
      </c>
      <c r="BJ67" s="105">
        <v>0</v>
      </c>
      <c r="BK67" s="105">
        <v>0</v>
      </c>
      <c r="BL67" s="105">
        <v>0</v>
      </c>
      <c r="BM67" s="105">
        <v>0</v>
      </c>
      <c r="BN67" s="105">
        <v>0</v>
      </c>
      <c r="BO67" s="105">
        <v>0</v>
      </c>
      <c r="BP67" s="105">
        <v>0</v>
      </c>
      <c r="BQ67" s="105">
        <v>0</v>
      </c>
      <c r="BR67" s="105">
        <v>0</v>
      </c>
      <c r="BS67" s="105">
        <v>0</v>
      </c>
      <c r="BT67" s="105">
        <v>0</v>
      </c>
      <c r="BU67" s="105">
        <v>0</v>
      </c>
      <c r="BV67" s="105">
        <v>0</v>
      </c>
      <c r="BW67" s="105">
        <v>0</v>
      </c>
      <c r="BX67" s="105">
        <v>0</v>
      </c>
      <c r="BY67" s="105">
        <v>0</v>
      </c>
      <c r="BZ67" s="105">
        <v>0</v>
      </c>
      <c r="CA67" s="105">
        <v>0</v>
      </c>
      <c r="CB67" s="105">
        <v>0</v>
      </c>
      <c r="CC67" s="105">
        <v>0</v>
      </c>
      <c r="CD67" s="105">
        <v>0</v>
      </c>
      <c r="CE67" s="105">
        <v>0</v>
      </c>
      <c r="CF67" s="105">
        <v>0</v>
      </c>
      <c r="CG67" s="105">
        <v>0</v>
      </c>
      <c r="CH67" s="105">
        <v>0</v>
      </c>
      <c r="CI67" s="105">
        <v>0</v>
      </c>
      <c r="CJ67" s="105">
        <v>0</v>
      </c>
      <c r="CK67" s="105">
        <v>0</v>
      </c>
      <c r="CL67" s="105">
        <v>0</v>
      </c>
      <c r="CM67" s="105">
        <v>0</v>
      </c>
      <c r="CN67" s="105">
        <v>0</v>
      </c>
      <c r="CO67" s="105">
        <v>0</v>
      </c>
      <c r="CP67" s="105">
        <v>0</v>
      </c>
      <c r="CQ67" s="105">
        <v>0</v>
      </c>
      <c r="CR67" s="105">
        <v>0</v>
      </c>
      <c r="CS67" s="105">
        <v>0</v>
      </c>
      <c r="CT67" s="105">
        <v>0</v>
      </c>
      <c r="CU67" s="105">
        <v>0</v>
      </c>
    </row>
    <row r="68" spans="2:99" x14ac:dyDescent="0.25">
      <c r="C68" s="104" t="s">
        <v>233</v>
      </c>
      <c r="D68" s="105">
        <v>0</v>
      </c>
      <c r="E68" s="105">
        <v>0</v>
      </c>
      <c r="F68" s="105">
        <v>0</v>
      </c>
      <c r="G68" s="105">
        <v>0</v>
      </c>
      <c r="H68" s="105">
        <v>0</v>
      </c>
      <c r="I68" s="105">
        <v>0</v>
      </c>
      <c r="J68" s="105">
        <v>0</v>
      </c>
      <c r="K68" s="105">
        <v>0</v>
      </c>
      <c r="L68" s="105">
        <v>0</v>
      </c>
      <c r="M68" s="105">
        <v>0</v>
      </c>
      <c r="N68" s="105">
        <v>0</v>
      </c>
      <c r="O68" s="105">
        <v>0</v>
      </c>
      <c r="P68" s="105">
        <v>0</v>
      </c>
      <c r="Q68" s="105">
        <v>0</v>
      </c>
      <c r="R68" s="105">
        <v>0</v>
      </c>
      <c r="S68" s="105">
        <v>0</v>
      </c>
      <c r="T68" s="105">
        <v>0</v>
      </c>
      <c r="U68" s="105">
        <v>0</v>
      </c>
      <c r="V68" s="105">
        <v>0</v>
      </c>
      <c r="W68" s="105">
        <v>0</v>
      </c>
      <c r="X68" s="105">
        <v>0</v>
      </c>
      <c r="Y68" s="105">
        <v>0</v>
      </c>
      <c r="Z68" s="105">
        <v>0</v>
      </c>
      <c r="AA68" s="105">
        <v>0</v>
      </c>
      <c r="AB68" s="105">
        <v>0</v>
      </c>
      <c r="AC68" s="105">
        <v>0</v>
      </c>
      <c r="AD68" s="105">
        <v>0</v>
      </c>
      <c r="AE68" s="105">
        <v>0</v>
      </c>
      <c r="AF68" s="105">
        <v>0</v>
      </c>
      <c r="AG68" s="105">
        <v>0</v>
      </c>
      <c r="AH68" s="105">
        <v>0</v>
      </c>
      <c r="AI68" s="105">
        <v>0</v>
      </c>
      <c r="AJ68" s="105">
        <v>0</v>
      </c>
      <c r="AK68" s="105">
        <v>0</v>
      </c>
      <c r="AL68" s="105">
        <v>0</v>
      </c>
      <c r="AM68" s="105">
        <v>0</v>
      </c>
      <c r="AN68" s="105">
        <v>0</v>
      </c>
      <c r="AO68" s="105">
        <v>0</v>
      </c>
      <c r="AP68" s="105">
        <v>0</v>
      </c>
      <c r="AQ68" s="105">
        <v>0</v>
      </c>
      <c r="AR68" s="105">
        <v>0</v>
      </c>
      <c r="AS68" s="105">
        <v>0</v>
      </c>
      <c r="AT68" s="105">
        <v>0</v>
      </c>
      <c r="AU68" s="105">
        <v>0</v>
      </c>
      <c r="AV68" s="105">
        <v>0</v>
      </c>
      <c r="AW68" s="105">
        <v>0</v>
      </c>
      <c r="AX68" s="105">
        <v>0</v>
      </c>
      <c r="AY68" s="105">
        <v>0</v>
      </c>
      <c r="AZ68" s="105">
        <v>0</v>
      </c>
      <c r="BA68" s="105">
        <v>0</v>
      </c>
      <c r="BB68" s="105">
        <v>0</v>
      </c>
      <c r="BC68" s="105">
        <v>0</v>
      </c>
      <c r="BD68" s="105">
        <v>0</v>
      </c>
      <c r="BE68" s="105">
        <v>0</v>
      </c>
      <c r="BF68" s="105">
        <v>0</v>
      </c>
      <c r="BG68" s="105">
        <v>0</v>
      </c>
      <c r="BH68" s="105">
        <v>0</v>
      </c>
      <c r="BI68" s="105">
        <v>0</v>
      </c>
      <c r="BJ68" s="105">
        <v>0</v>
      </c>
      <c r="BK68" s="105">
        <v>0</v>
      </c>
      <c r="BL68" s="105">
        <v>0</v>
      </c>
      <c r="BM68" s="105">
        <v>0</v>
      </c>
      <c r="BN68" s="105">
        <v>0</v>
      </c>
      <c r="BO68" s="105">
        <v>0</v>
      </c>
      <c r="BP68" s="105">
        <v>0</v>
      </c>
      <c r="BQ68" s="105">
        <v>0</v>
      </c>
      <c r="BR68" s="105">
        <v>0</v>
      </c>
      <c r="BS68" s="105">
        <v>0</v>
      </c>
      <c r="BT68" s="105">
        <v>0</v>
      </c>
      <c r="BU68" s="105">
        <v>0</v>
      </c>
      <c r="BV68" s="105">
        <v>0</v>
      </c>
      <c r="BW68" s="105">
        <v>0</v>
      </c>
      <c r="BX68" s="105">
        <v>0</v>
      </c>
      <c r="BY68" s="105">
        <v>0</v>
      </c>
      <c r="BZ68" s="105">
        <v>0</v>
      </c>
      <c r="CA68" s="105">
        <v>0</v>
      </c>
      <c r="CB68" s="105">
        <v>0</v>
      </c>
      <c r="CC68" s="105">
        <v>0</v>
      </c>
      <c r="CD68" s="105">
        <v>0</v>
      </c>
      <c r="CE68" s="105">
        <v>0</v>
      </c>
      <c r="CF68" s="105">
        <v>0</v>
      </c>
      <c r="CG68" s="105">
        <v>0</v>
      </c>
      <c r="CH68" s="105">
        <v>0</v>
      </c>
      <c r="CI68" s="105">
        <v>0</v>
      </c>
      <c r="CJ68" s="105">
        <v>0</v>
      </c>
      <c r="CK68" s="105">
        <v>0</v>
      </c>
      <c r="CL68" s="105">
        <v>0</v>
      </c>
      <c r="CM68" s="105">
        <v>0</v>
      </c>
      <c r="CN68" s="105">
        <v>0</v>
      </c>
      <c r="CO68" s="105">
        <v>0</v>
      </c>
      <c r="CP68" s="105">
        <v>0</v>
      </c>
      <c r="CQ68" s="105">
        <v>0</v>
      </c>
      <c r="CR68" s="105">
        <v>0</v>
      </c>
      <c r="CS68" s="105">
        <v>0</v>
      </c>
      <c r="CT68" s="105">
        <v>0</v>
      </c>
      <c r="CU68" s="105">
        <v>0</v>
      </c>
    </row>
    <row r="69" spans="2:99" x14ac:dyDescent="0.25">
      <c r="C69" s="104" t="s">
        <v>234</v>
      </c>
      <c r="D69" s="105">
        <v>0</v>
      </c>
      <c r="E69" s="105">
        <v>0</v>
      </c>
      <c r="F69" s="105">
        <v>0</v>
      </c>
      <c r="G69" s="105">
        <v>0</v>
      </c>
      <c r="H69" s="105">
        <v>0</v>
      </c>
      <c r="I69" s="105">
        <v>0</v>
      </c>
      <c r="J69" s="105">
        <v>0</v>
      </c>
      <c r="K69" s="105">
        <v>0</v>
      </c>
      <c r="L69" s="105">
        <v>0</v>
      </c>
      <c r="M69" s="105">
        <v>0</v>
      </c>
      <c r="N69" s="105">
        <v>0</v>
      </c>
      <c r="O69" s="105">
        <v>0</v>
      </c>
      <c r="P69" s="105">
        <v>0</v>
      </c>
      <c r="Q69" s="105">
        <v>0</v>
      </c>
      <c r="R69" s="105">
        <v>0</v>
      </c>
      <c r="S69" s="105">
        <v>0</v>
      </c>
      <c r="T69" s="105">
        <v>0</v>
      </c>
      <c r="U69" s="105">
        <v>0</v>
      </c>
      <c r="V69" s="105">
        <v>0</v>
      </c>
      <c r="W69" s="105">
        <v>0</v>
      </c>
      <c r="X69" s="105">
        <v>0</v>
      </c>
      <c r="Y69" s="105">
        <v>0</v>
      </c>
      <c r="Z69" s="105">
        <v>0</v>
      </c>
      <c r="AA69" s="105">
        <v>0</v>
      </c>
      <c r="AB69" s="105">
        <v>0</v>
      </c>
      <c r="AC69" s="105">
        <v>0</v>
      </c>
      <c r="AD69" s="105">
        <v>0</v>
      </c>
      <c r="AE69" s="105">
        <v>0</v>
      </c>
      <c r="AF69" s="105">
        <v>0</v>
      </c>
      <c r="AG69" s="105">
        <v>0</v>
      </c>
      <c r="AH69" s="105">
        <v>0</v>
      </c>
      <c r="AI69" s="105">
        <v>0</v>
      </c>
      <c r="AJ69" s="105">
        <v>0</v>
      </c>
      <c r="AK69" s="105">
        <v>0</v>
      </c>
      <c r="AL69" s="105">
        <v>0</v>
      </c>
      <c r="AM69" s="105">
        <v>0</v>
      </c>
      <c r="AN69" s="105">
        <v>0</v>
      </c>
      <c r="AO69" s="105">
        <v>0</v>
      </c>
      <c r="AP69" s="105">
        <v>0</v>
      </c>
      <c r="AQ69" s="105">
        <v>0</v>
      </c>
      <c r="AR69" s="105">
        <v>0</v>
      </c>
      <c r="AS69" s="105">
        <v>0</v>
      </c>
      <c r="AT69" s="105">
        <v>0</v>
      </c>
      <c r="AU69" s="105">
        <v>0</v>
      </c>
      <c r="AV69" s="105">
        <v>0</v>
      </c>
      <c r="AW69" s="105">
        <v>0</v>
      </c>
      <c r="AX69" s="105">
        <v>0</v>
      </c>
      <c r="AY69" s="105">
        <v>0</v>
      </c>
      <c r="AZ69" s="105">
        <v>0</v>
      </c>
      <c r="BA69" s="105">
        <v>0</v>
      </c>
      <c r="BB69" s="105">
        <v>0</v>
      </c>
      <c r="BC69" s="105">
        <v>0</v>
      </c>
      <c r="BD69" s="105">
        <v>0</v>
      </c>
      <c r="BE69" s="105">
        <v>0</v>
      </c>
      <c r="BF69" s="105">
        <v>0</v>
      </c>
      <c r="BG69" s="105">
        <v>0</v>
      </c>
      <c r="BH69" s="105">
        <v>0</v>
      </c>
      <c r="BI69" s="105">
        <v>0</v>
      </c>
      <c r="BJ69" s="105">
        <v>0</v>
      </c>
      <c r="BK69" s="105">
        <v>0</v>
      </c>
      <c r="BL69" s="105">
        <v>0</v>
      </c>
      <c r="BM69" s="105">
        <v>0</v>
      </c>
      <c r="BN69" s="105">
        <v>0</v>
      </c>
      <c r="BO69" s="105">
        <v>0</v>
      </c>
      <c r="BP69" s="105">
        <v>0</v>
      </c>
      <c r="BQ69" s="105">
        <v>0</v>
      </c>
      <c r="BR69" s="105">
        <v>0</v>
      </c>
      <c r="BS69" s="105">
        <v>0</v>
      </c>
      <c r="BT69" s="105">
        <v>0</v>
      </c>
      <c r="BU69" s="105">
        <v>0</v>
      </c>
      <c r="BV69" s="105">
        <v>0</v>
      </c>
      <c r="BW69" s="105">
        <v>0</v>
      </c>
      <c r="BX69" s="105">
        <v>0</v>
      </c>
      <c r="BY69" s="105">
        <v>0</v>
      </c>
      <c r="BZ69" s="105">
        <v>0</v>
      </c>
      <c r="CA69" s="105">
        <v>0</v>
      </c>
      <c r="CB69" s="105">
        <v>0</v>
      </c>
      <c r="CC69" s="105">
        <v>0</v>
      </c>
      <c r="CD69" s="105">
        <v>0</v>
      </c>
      <c r="CE69" s="105">
        <v>0</v>
      </c>
      <c r="CF69" s="105">
        <v>0</v>
      </c>
      <c r="CG69" s="105">
        <v>0</v>
      </c>
      <c r="CH69" s="105">
        <v>0</v>
      </c>
      <c r="CI69" s="105">
        <v>0</v>
      </c>
      <c r="CJ69" s="105">
        <v>0</v>
      </c>
      <c r="CK69" s="105">
        <v>0</v>
      </c>
      <c r="CL69" s="105">
        <v>0</v>
      </c>
      <c r="CM69" s="105">
        <v>0</v>
      </c>
      <c r="CN69" s="105">
        <v>0</v>
      </c>
      <c r="CO69" s="105">
        <v>0</v>
      </c>
      <c r="CP69" s="105">
        <v>0</v>
      </c>
      <c r="CQ69" s="105">
        <v>0</v>
      </c>
      <c r="CR69" s="105">
        <v>0</v>
      </c>
      <c r="CS69" s="105">
        <v>0</v>
      </c>
      <c r="CT69" s="105">
        <v>0</v>
      </c>
      <c r="CU69" s="105">
        <v>0</v>
      </c>
    </row>
    <row r="70" spans="2:99" x14ac:dyDescent="0.25">
      <c r="C70" s="104" t="s">
        <v>235</v>
      </c>
      <c r="D70" s="105">
        <v>0</v>
      </c>
      <c r="E70" s="105">
        <v>0</v>
      </c>
      <c r="F70" s="105">
        <v>0</v>
      </c>
      <c r="G70" s="105">
        <v>0</v>
      </c>
      <c r="H70" s="105">
        <v>0</v>
      </c>
      <c r="I70" s="105">
        <v>0</v>
      </c>
      <c r="J70" s="105">
        <v>0</v>
      </c>
      <c r="K70" s="105">
        <v>0</v>
      </c>
      <c r="L70" s="105">
        <v>0</v>
      </c>
      <c r="M70" s="105">
        <v>0</v>
      </c>
      <c r="N70" s="105">
        <v>0</v>
      </c>
      <c r="O70" s="105">
        <v>0</v>
      </c>
      <c r="P70" s="105">
        <v>0</v>
      </c>
      <c r="Q70" s="105">
        <v>0</v>
      </c>
      <c r="R70" s="105">
        <v>0</v>
      </c>
      <c r="S70" s="105">
        <v>0</v>
      </c>
      <c r="T70" s="105">
        <v>0</v>
      </c>
      <c r="U70" s="105">
        <v>0</v>
      </c>
      <c r="V70" s="105">
        <v>0</v>
      </c>
      <c r="W70" s="105">
        <v>0</v>
      </c>
      <c r="X70" s="105">
        <v>0</v>
      </c>
      <c r="Y70" s="105">
        <v>0</v>
      </c>
      <c r="Z70" s="105">
        <v>0</v>
      </c>
      <c r="AA70" s="105">
        <v>0</v>
      </c>
      <c r="AB70" s="105">
        <v>0</v>
      </c>
      <c r="AC70" s="105">
        <v>0</v>
      </c>
      <c r="AD70" s="105">
        <v>0</v>
      </c>
      <c r="AE70" s="105">
        <v>0</v>
      </c>
      <c r="AF70" s="105">
        <v>0</v>
      </c>
      <c r="AG70" s="105">
        <v>0</v>
      </c>
      <c r="AH70" s="105">
        <v>0</v>
      </c>
      <c r="AI70" s="105">
        <v>0</v>
      </c>
      <c r="AJ70" s="105">
        <v>0</v>
      </c>
      <c r="AK70" s="105">
        <v>0</v>
      </c>
      <c r="AL70" s="105">
        <v>0</v>
      </c>
      <c r="AM70" s="105">
        <v>0</v>
      </c>
      <c r="AN70" s="105">
        <v>0</v>
      </c>
      <c r="AO70" s="105">
        <v>0</v>
      </c>
      <c r="AP70" s="105">
        <v>0</v>
      </c>
      <c r="AQ70" s="105">
        <v>0</v>
      </c>
      <c r="AR70" s="105">
        <v>0</v>
      </c>
      <c r="AS70" s="105">
        <v>0</v>
      </c>
      <c r="AT70" s="105">
        <v>0</v>
      </c>
      <c r="AU70" s="105">
        <v>0</v>
      </c>
      <c r="AV70" s="105">
        <v>0</v>
      </c>
      <c r="AW70" s="105">
        <v>0</v>
      </c>
      <c r="AX70" s="105">
        <v>0</v>
      </c>
      <c r="AY70" s="105">
        <v>0</v>
      </c>
      <c r="AZ70" s="105">
        <v>0</v>
      </c>
      <c r="BA70" s="105">
        <v>0</v>
      </c>
      <c r="BB70" s="105">
        <v>0</v>
      </c>
      <c r="BC70" s="105">
        <v>0</v>
      </c>
      <c r="BD70" s="105">
        <v>0</v>
      </c>
      <c r="BE70" s="105">
        <v>0</v>
      </c>
      <c r="BF70" s="105">
        <v>0</v>
      </c>
      <c r="BG70" s="105">
        <v>0</v>
      </c>
      <c r="BH70" s="105">
        <v>0</v>
      </c>
      <c r="BI70" s="105">
        <v>0</v>
      </c>
      <c r="BJ70" s="105">
        <v>0</v>
      </c>
      <c r="BK70" s="105">
        <v>0</v>
      </c>
      <c r="BL70" s="105">
        <v>0</v>
      </c>
      <c r="BM70" s="105">
        <v>0</v>
      </c>
      <c r="BN70" s="105">
        <v>0</v>
      </c>
      <c r="BO70" s="105">
        <v>0</v>
      </c>
      <c r="BP70" s="105">
        <v>0</v>
      </c>
      <c r="BQ70" s="105">
        <v>0</v>
      </c>
      <c r="BR70" s="105">
        <v>0</v>
      </c>
      <c r="BS70" s="105">
        <v>0</v>
      </c>
      <c r="BT70" s="105">
        <v>0</v>
      </c>
      <c r="BU70" s="105">
        <v>0</v>
      </c>
      <c r="BV70" s="105">
        <v>0</v>
      </c>
      <c r="BW70" s="105">
        <v>0</v>
      </c>
      <c r="BX70" s="105">
        <v>0</v>
      </c>
      <c r="BY70" s="105">
        <v>0</v>
      </c>
      <c r="BZ70" s="105">
        <v>0</v>
      </c>
      <c r="CA70" s="105">
        <v>0</v>
      </c>
      <c r="CB70" s="105">
        <v>0</v>
      </c>
      <c r="CC70" s="105">
        <v>0</v>
      </c>
      <c r="CD70" s="105">
        <v>0</v>
      </c>
      <c r="CE70" s="105">
        <v>0</v>
      </c>
      <c r="CF70" s="105">
        <v>0</v>
      </c>
      <c r="CG70" s="105">
        <v>0</v>
      </c>
      <c r="CH70" s="105">
        <v>0</v>
      </c>
      <c r="CI70" s="105">
        <v>0</v>
      </c>
      <c r="CJ70" s="105">
        <v>0</v>
      </c>
      <c r="CK70" s="105">
        <v>0</v>
      </c>
      <c r="CL70" s="105">
        <v>0</v>
      </c>
      <c r="CM70" s="105">
        <v>0</v>
      </c>
      <c r="CN70" s="105">
        <v>0</v>
      </c>
      <c r="CO70" s="105">
        <v>0</v>
      </c>
      <c r="CP70" s="105">
        <v>0</v>
      </c>
      <c r="CQ70" s="105">
        <v>0</v>
      </c>
      <c r="CR70" s="105">
        <v>0</v>
      </c>
      <c r="CS70" s="105">
        <v>0</v>
      </c>
      <c r="CT70" s="105">
        <v>0</v>
      </c>
      <c r="CU70" s="105">
        <v>0</v>
      </c>
    </row>
    <row r="71" spans="2:99" x14ac:dyDescent="0.25">
      <c r="B71" s="104" t="s">
        <v>130</v>
      </c>
      <c r="C71" s="104" t="s">
        <v>236</v>
      </c>
      <c r="D71" s="105">
        <v>0</v>
      </c>
      <c r="E71" s="105">
        <v>0</v>
      </c>
      <c r="F71" s="105">
        <v>0</v>
      </c>
      <c r="G71" s="105">
        <v>0</v>
      </c>
      <c r="H71" s="105">
        <v>0</v>
      </c>
      <c r="I71" s="105">
        <v>0</v>
      </c>
      <c r="J71" s="105">
        <v>0</v>
      </c>
      <c r="K71" s="105">
        <v>0</v>
      </c>
      <c r="L71" s="105">
        <v>0</v>
      </c>
      <c r="M71" s="105">
        <v>0</v>
      </c>
      <c r="N71" s="105">
        <v>0</v>
      </c>
      <c r="O71" s="105">
        <v>0</v>
      </c>
      <c r="P71" s="105">
        <v>0</v>
      </c>
      <c r="Q71" s="105">
        <v>0</v>
      </c>
      <c r="R71" s="105">
        <v>0</v>
      </c>
      <c r="S71" s="105">
        <v>0</v>
      </c>
      <c r="T71" s="105">
        <v>0</v>
      </c>
      <c r="U71" s="105">
        <v>0</v>
      </c>
      <c r="V71" s="105">
        <v>0</v>
      </c>
      <c r="W71" s="105">
        <v>0</v>
      </c>
      <c r="X71" s="105">
        <v>0</v>
      </c>
      <c r="Y71" s="105">
        <v>0</v>
      </c>
      <c r="Z71" s="105">
        <v>0</v>
      </c>
      <c r="AA71" s="105">
        <v>0</v>
      </c>
      <c r="AB71" s="105">
        <v>0</v>
      </c>
      <c r="AC71" s="105">
        <v>0</v>
      </c>
      <c r="AD71" s="105">
        <v>0</v>
      </c>
      <c r="AE71" s="105">
        <v>0</v>
      </c>
      <c r="AF71" s="105">
        <v>0</v>
      </c>
      <c r="AG71" s="105">
        <v>0</v>
      </c>
      <c r="AH71" s="105">
        <v>0</v>
      </c>
      <c r="AI71" s="105">
        <v>0</v>
      </c>
      <c r="AJ71" s="105">
        <v>0</v>
      </c>
      <c r="AK71" s="105">
        <v>0</v>
      </c>
      <c r="AL71" s="105">
        <v>0</v>
      </c>
      <c r="AM71" s="105">
        <v>0</v>
      </c>
      <c r="AN71" s="105">
        <v>0</v>
      </c>
      <c r="AO71" s="105">
        <v>0</v>
      </c>
      <c r="AP71" s="105">
        <v>0</v>
      </c>
      <c r="AQ71" s="105">
        <v>0</v>
      </c>
      <c r="AR71" s="105">
        <v>0</v>
      </c>
      <c r="AS71" s="105">
        <v>0</v>
      </c>
      <c r="AT71" s="105">
        <v>0</v>
      </c>
      <c r="AU71" s="105">
        <v>0</v>
      </c>
      <c r="AV71" s="105">
        <v>0</v>
      </c>
      <c r="AW71" s="105">
        <v>0</v>
      </c>
      <c r="AX71" s="105">
        <v>0</v>
      </c>
      <c r="AY71" s="105">
        <v>0</v>
      </c>
      <c r="AZ71" s="105">
        <v>0</v>
      </c>
      <c r="BA71" s="105">
        <v>0</v>
      </c>
      <c r="BB71" s="105">
        <v>0</v>
      </c>
      <c r="BC71" s="105">
        <v>0</v>
      </c>
      <c r="BD71" s="105">
        <v>0</v>
      </c>
      <c r="BE71" s="105">
        <v>0</v>
      </c>
      <c r="BF71" s="105">
        <v>0</v>
      </c>
      <c r="BG71" s="105">
        <v>0</v>
      </c>
      <c r="BH71" s="105">
        <v>0</v>
      </c>
      <c r="BI71" s="105">
        <v>0</v>
      </c>
      <c r="BJ71" s="105">
        <v>0</v>
      </c>
      <c r="BK71" s="105">
        <v>0</v>
      </c>
      <c r="BL71" s="105">
        <v>0</v>
      </c>
      <c r="BM71" s="105">
        <v>0</v>
      </c>
      <c r="BN71" s="105">
        <v>0</v>
      </c>
      <c r="BO71" s="105">
        <v>0</v>
      </c>
      <c r="BP71" s="105">
        <v>0</v>
      </c>
      <c r="BQ71" s="105">
        <v>0</v>
      </c>
      <c r="BR71" s="105">
        <v>0</v>
      </c>
      <c r="BS71" s="105">
        <v>0</v>
      </c>
      <c r="BT71" s="105">
        <v>0</v>
      </c>
      <c r="BU71" s="105">
        <v>0</v>
      </c>
      <c r="BV71" s="105">
        <v>0</v>
      </c>
      <c r="BW71" s="105">
        <v>0</v>
      </c>
      <c r="BX71" s="105">
        <v>0</v>
      </c>
      <c r="BY71" s="105">
        <v>0</v>
      </c>
      <c r="BZ71" s="105">
        <v>0</v>
      </c>
      <c r="CA71" s="105">
        <v>0</v>
      </c>
      <c r="CB71" s="105">
        <v>0</v>
      </c>
      <c r="CC71" s="105">
        <v>0</v>
      </c>
      <c r="CD71" s="105">
        <v>0</v>
      </c>
      <c r="CE71" s="105">
        <v>0</v>
      </c>
      <c r="CF71" s="105">
        <v>0</v>
      </c>
      <c r="CG71" s="105">
        <v>0</v>
      </c>
      <c r="CH71" s="105">
        <v>0</v>
      </c>
      <c r="CI71" s="105">
        <v>0</v>
      </c>
      <c r="CJ71" s="105">
        <v>0</v>
      </c>
      <c r="CK71" s="105">
        <v>0</v>
      </c>
      <c r="CL71" s="105">
        <v>0</v>
      </c>
      <c r="CM71" s="105">
        <v>0</v>
      </c>
      <c r="CN71" s="105">
        <v>0</v>
      </c>
      <c r="CO71" s="105">
        <v>0</v>
      </c>
      <c r="CP71" s="105">
        <v>0</v>
      </c>
      <c r="CQ71" s="105">
        <v>0</v>
      </c>
      <c r="CR71" s="105">
        <v>0</v>
      </c>
      <c r="CS71" s="105">
        <v>0</v>
      </c>
      <c r="CT71" s="105">
        <v>0</v>
      </c>
      <c r="CU71" s="105">
        <v>0</v>
      </c>
    </row>
    <row r="72" spans="2:99" x14ac:dyDescent="0.25">
      <c r="C72" s="104" t="s">
        <v>237</v>
      </c>
      <c r="D72" s="105">
        <v>0</v>
      </c>
      <c r="E72" s="105">
        <v>0</v>
      </c>
      <c r="F72" s="105">
        <v>0</v>
      </c>
      <c r="G72" s="105">
        <v>0</v>
      </c>
      <c r="H72" s="105">
        <v>0</v>
      </c>
      <c r="I72" s="105">
        <v>0</v>
      </c>
      <c r="J72" s="105">
        <v>0</v>
      </c>
      <c r="K72" s="105">
        <v>0</v>
      </c>
      <c r="L72" s="105">
        <v>0</v>
      </c>
      <c r="M72" s="105">
        <v>0</v>
      </c>
      <c r="N72" s="105">
        <v>0</v>
      </c>
      <c r="O72" s="105">
        <v>0</v>
      </c>
      <c r="P72" s="105">
        <v>0</v>
      </c>
      <c r="Q72" s="105">
        <v>0</v>
      </c>
      <c r="R72" s="105">
        <v>0</v>
      </c>
      <c r="S72" s="105">
        <v>0</v>
      </c>
      <c r="T72" s="105">
        <v>0</v>
      </c>
      <c r="U72" s="105">
        <v>0</v>
      </c>
      <c r="V72" s="105">
        <v>0</v>
      </c>
      <c r="W72" s="105">
        <v>0</v>
      </c>
      <c r="X72" s="105">
        <v>0</v>
      </c>
      <c r="Y72" s="105">
        <v>0</v>
      </c>
      <c r="Z72" s="105">
        <v>0</v>
      </c>
      <c r="AA72" s="105">
        <v>0</v>
      </c>
      <c r="AB72" s="105">
        <v>0</v>
      </c>
      <c r="AC72" s="105">
        <v>0</v>
      </c>
      <c r="AD72" s="105">
        <v>0</v>
      </c>
      <c r="AE72" s="105">
        <v>0</v>
      </c>
      <c r="AF72" s="105">
        <v>0</v>
      </c>
      <c r="AG72" s="105">
        <v>0</v>
      </c>
      <c r="AH72" s="105">
        <v>0</v>
      </c>
      <c r="AI72" s="105">
        <v>0</v>
      </c>
      <c r="AJ72" s="105">
        <v>0</v>
      </c>
      <c r="AK72" s="105">
        <v>0</v>
      </c>
      <c r="AL72" s="105">
        <v>0</v>
      </c>
      <c r="AM72" s="105">
        <v>0</v>
      </c>
      <c r="AN72" s="105">
        <v>0</v>
      </c>
      <c r="AO72" s="105">
        <v>0</v>
      </c>
      <c r="AP72" s="105">
        <v>0</v>
      </c>
      <c r="AQ72" s="105">
        <v>0</v>
      </c>
      <c r="AR72" s="105">
        <v>0</v>
      </c>
      <c r="AS72" s="105">
        <v>0</v>
      </c>
      <c r="AT72" s="105">
        <v>0</v>
      </c>
      <c r="AU72" s="105">
        <v>0</v>
      </c>
      <c r="AV72" s="105">
        <v>0</v>
      </c>
      <c r="AW72" s="105">
        <v>0</v>
      </c>
      <c r="AX72" s="105">
        <v>0</v>
      </c>
      <c r="AY72" s="105">
        <v>0</v>
      </c>
      <c r="AZ72" s="105">
        <v>0</v>
      </c>
      <c r="BA72" s="105">
        <v>0</v>
      </c>
      <c r="BB72" s="105">
        <v>0</v>
      </c>
      <c r="BC72" s="105">
        <v>0</v>
      </c>
      <c r="BD72" s="105">
        <v>0</v>
      </c>
      <c r="BE72" s="105">
        <v>0</v>
      </c>
      <c r="BF72" s="105">
        <v>0</v>
      </c>
      <c r="BG72" s="105">
        <v>0</v>
      </c>
      <c r="BH72" s="105">
        <v>0</v>
      </c>
      <c r="BI72" s="105">
        <v>0</v>
      </c>
      <c r="BJ72" s="105">
        <v>0</v>
      </c>
      <c r="BK72" s="105">
        <v>0</v>
      </c>
      <c r="BL72" s="105">
        <v>0</v>
      </c>
      <c r="BM72" s="105">
        <v>0</v>
      </c>
      <c r="BN72" s="105">
        <v>0</v>
      </c>
      <c r="BO72" s="105">
        <v>0</v>
      </c>
      <c r="BP72" s="105">
        <v>0</v>
      </c>
      <c r="BQ72" s="105">
        <v>0</v>
      </c>
      <c r="BR72" s="105">
        <v>0</v>
      </c>
      <c r="BS72" s="105">
        <v>0</v>
      </c>
      <c r="BT72" s="105">
        <v>0</v>
      </c>
      <c r="BU72" s="105">
        <v>0</v>
      </c>
      <c r="BV72" s="105">
        <v>0</v>
      </c>
      <c r="BW72" s="105">
        <v>0</v>
      </c>
      <c r="BX72" s="105">
        <v>0</v>
      </c>
      <c r="BY72" s="105">
        <v>0</v>
      </c>
      <c r="BZ72" s="105">
        <v>0</v>
      </c>
      <c r="CA72" s="105">
        <v>0</v>
      </c>
      <c r="CB72" s="105">
        <v>0</v>
      </c>
      <c r="CC72" s="105">
        <v>0</v>
      </c>
      <c r="CD72" s="105">
        <v>0</v>
      </c>
      <c r="CE72" s="105">
        <v>0</v>
      </c>
      <c r="CF72" s="105">
        <v>0</v>
      </c>
      <c r="CG72" s="105">
        <v>0</v>
      </c>
      <c r="CH72" s="105">
        <v>0</v>
      </c>
      <c r="CI72" s="105">
        <v>0</v>
      </c>
      <c r="CJ72" s="105">
        <v>0</v>
      </c>
      <c r="CK72" s="105">
        <v>0</v>
      </c>
      <c r="CL72" s="105">
        <v>0</v>
      </c>
      <c r="CM72" s="105">
        <v>0</v>
      </c>
      <c r="CN72" s="105">
        <v>0</v>
      </c>
      <c r="CO72" s="105">
        <v>0</v>
      </c>
      <c r="CP72" s="105">
        <v>0</v>
      </c>
      <c r="CQ72" s="105">
        <v>0</v>
      </c>
      <c r="CR72" s="105">
        <v>0</v>
      </c>
      <c r="CS72" s="105">
        <v>0</v>
      </c>
      <c r="CT72" s="105">
        <v>0</v>
      </c>
      <c r="CU72" s="105">
        <v>0</v>
      </c>
    </row>
    <row r="73" spans="2:99" x14ac:dyDescent="0.25">
      <c r="C73" s="104" t="s">
        <v>238</v>
      </c>
      <c r="D73" s="105">
        <v>0</v>
      </c>
      <c r="E73" s="105">
        <v>0</v>
      </c>
      <c r="F73" s="105">
        <v>0</v>
      </c>
      <c r="G73" s="105">
        <v>0</v>
      </c>
      <c r="H73" s="105">
        <v>0</v>
      </c>
      <c r="I73" s="105">
        <v>0</v>
      </c>
      <c r="J73" s="105">
        <v>0</v>
      </c>
      <c r="K73" s="105">
        <v>0</v>
      </c>
      <c r="L73" s="105">
        <v>0</v>
      </c>
      <c r="M73" s="105">
        <v>0</v>
      </c>
      <c r="N73" s="105">
        <v>0</v>
      </c>
      <c r="O73" s="105">
        <v>0</v>
      </c>
      <c r="P73" s="105">
        <v>0</v>
      </c>
      <c r="Q73" s="105">
        <v>0</v>
      </c>
      <c r="R73" s="105">
        <v>0</v>
      </c>
      <c r="S73" s="105">
        <v>0</v>
      </c>
      <c r="T73" s="105">
        <v>0</v>
      </c>
      <c r="U73" s="105">
        <v>0</v>
      </c>
      <c r="V73" s="105">
        <v>0</v>
      </c>
      <c r="W73" s="105">
        <v>0</v>
      </c>
      <c r="X73" s="105">
        <v>0</v>
      </c>
      <c r="Y73" s="105">
        <v>0</v>
      </c>
      <c r="Z73" s="105">
        <v>0</v>
      </c>
      <c r="AA73" s="105">
        <v>0</v>
      </c>
      <c r="AB73" s="105">
        <v>0</v>
      </c>
      <c r="AC73" s="105">
        <v>0</v>
      </c>
      <c r="AD73" s="105">
        <v>0</v>
      </c>
      <c r="AE73" s="105">
        <v>0</v>
      </c>
      <c r="AF73" s="105">
        <v>0</v>
      </c>
      <c r="AG73" s="105">
        <v>0</v>
      </c>
      <c r="AH73" s="105">
        <v>0</v>
      </c>
      <c r="AI73" s="105">
        <v>0</v>
      </c>
      <c r="AJ73" s="105">
        <v>0</v>
      </c>
      <c r="AK73" s="105">
        <v>0</v>
      </c>
      <c r="AL73" s="105">
        <v>0</v>
      </c>
      <c r="AM73" s="105">
        <v>0</v>
      </c>
      <c r="AN73" s="105">
        <v>0</v>
      </c>
      <c r="AO73" s="105">
        <v>0</v>
      </c>
      <c r="AP73" s="105">
        <v>0</v>
      </c>
      <c r="AQ73" s="105">
        <v>0</v>
      </c>
      <c r="AR73" s="105">
        <v>0</v>
      </c>
      <c r="AS73" s="105">
        <v>0</v>
      </c>
      <c r="AT73" s="105">
        <v>0</v>
      </c>
      <c r="AU73" s="105">
        <v>0</v>
      </c>
      <c r="AV73" s="105">
        <v>0</v>
      </c>
      <c r="AW73" s="105">
        <v>0</v>
      </c>
      <c r="AX73" s="105">
        <v>0</v>
      </c>
      <c r="AY73" s="105">
        <v>0</v>
      </c>
      <c r="AZ73" s="105">
        <v>0</v>
      </c>
      <c r="BA73" s="105">
        <v>0</v>
      </c>
      <c r="BB73" s="105">
        <v>0</v>
      </c>
      <c r="BC73" s="105">
        <v>0</v>
      </c>
      <c r="BD73" s="105">
        <v>0</v>
      </c>
      <c r="BE73" s="105">
        <v>0</v>
      </c>
      <c r="BF73" s="105">
        <v>0</v>
      </c>
      <c r="BG73" s="105">
        <v>0</v>
      </c>
      <c r="BH73" s="105">
        <v>0</v>
      </c>
      <c r="BI73" s="105">
        <v>0</v>
      </c>
      <c r="BJ73" s="105">
        <v>0</v>
      </c>
      <c r="BK73" s="105">
        <v>0</v>
      </c>
      <c r="BL73" s="105">
        <v>0</v>
      </c>
      <c r="BM73" s="105">
        <v>0</v>
      </c>
      <c r="BN73" s="105">
        <v>0</v>
      </c>
      <c r="BO73" s="105">
        <v>0</v>
      </c>
      <c r="BP73" s="105">
        <v>0</v>
      </c>
      <c r="BQ73" s="105">
        <v>0</v>
      </c>
      <c r="BR73" s="105">
        <v>0</v>
      </c>
      <c r="BS73" s="105">
        <v>0</v>
      </c>
      <c r="BT73" s="105">
        <v>0</v>
      </c>
      <c r="BU73" s="105">
        <v>0</v>
      </c>
      <c r="BV73" s="105">
        <v>0</v>
      </c>
      <c r="BW73" s="105">
        <v>0</v>
      </c>
      <c r="BX73" s="105">
        <v>0</v>
      </c>
      <c r="BY73" s="105">
        <v>0</v>
      </c>
      <c r="BZ73" s="105">
        <v>0</v>
      </c>
      <c r="CA73" s="105">
        <v>0</v>
      </c>
      <c r="CB73" s="105">
        <v>0</v>
      </c>
      <c r="CC73" s="105">
        <v>0</v>
      </c>
      <c r="CD73" s="105">
        <v>0</v>
      </c>
      <c r="CE73" s="105">
        <v>0</v>
      </c>
      <c r="CF73" s="105">
        <v>0</v>
      </c>
      <c r="CG73" s="105">
        <v>0</v>
      </c>
      <c r="CH73" s="105">
        <v>0</v>
      </c>
      <c r="CI73" s="105">
        <v>0</v>
      </c>
      <c r="CJ73" s="105">
        <v>0</v>
      </c>
      <c r="CK73" s="105">
        <v>0</v>
      </c>
      <c r="CL73" s="105">
        <v>0</v>
      </c>
      <c r="CM73" s="105">
        <v>0</v>
      </c>
      <c r="CN73" s="105">
        <v>0</v>
      </c>
      <c r="CO73" s="105">
        <v>0</v>
      </c>
      <c r="CP73" s="105">
        <v>0</v>
      </c>
      <c r="CQ73" s="105">
        <v>0</v>
      </c>
      <c r="CR73" s="105">
        <v>0</v>
      </c>
      <c r="CS73" s="105">
        <v>0</v>
      </c>
      <c r="CT73" s="105">
        <v>0</v>
      </c>
      <c r="CU73" s="105">
        <v>0</v>
      </c>
    </row>
    <row r="74" spans="2:99" x14ac:dyDescent="0.25">
      <c r="C74" s="104" t="s">
        <v>239</v>
      </c>
      <c r="D74" s="105">
        <v>0</v>
      </c>
      <c r="E74" s="105">
        <v>0</v>
      </c>
      <c r="F74" s="105">
        <v>0</v>
      </c>
      <c r="G74" s="105">
        <v>0</v>
      </c>
      <c r="H74" s="105">
        <v>0</v>
      </c>
      <c r="I74" s="105">
        <v>0</v>
      </c>
      <c r="J74" s="105">
        <v>0</v>
      </c>
      <c r="K74" s="105">
        <v>0</v>
      </c>
      <c r="L74" s="105">
        <v>0</v>
      </c>
      <c r="M74" s="105">
        <v>0</v>
      </c>
      <c r="N74" s="105">
        <v>0</v>
      </c>
      <c r="O74" s="105">
        <v>0</v>
      </c>
      <c r="P74" s="105">
        <v>0</v>
      </c>
      <c r="Q74" s="105">
        <v>0</v>
      </c>
      <c r="R74" s="105">
        <v>0</v>
      </c>
      <c r="S74" s="105">
        <v>0</v>
      </c>
      <c r="T74" s="105">
        <v>0</v>
      </c>
      <c r="U74" s="105">
        <v>0</v>
      </c>
      <c r="V74" s="105">
        <v>0</v>
      </c>
      <c r="W74" s="105">
        <v>0</v>
      </c>
      <c r="X74" s="105">
        <v>0</v>
      </c>
      <c r="Y74" s="105">
        <v>0</v>
      </c>
      <c r="Z74" s="105">
        <v>0</v>
      </c>
      <c r="AA74" s="105">
        <v>0</v>
      </c>
      <c r="AB74" s="105">
        <v>0</v>
      </c>
      <c r="AC74" s="105">
        <v>0</v>
      </c>
      <c r="AD74" s="105">
        <v>0</v>
      </c>
      <c r="AE74" s="105">
        <v>0</v>
      </c>
      <c r="AF74" s="105">
        <v>0</v>
      </c>
      <c r="AG74" s="105">
        <v>0</v>
      </c>
      <c r="AH74" s="105">
        <v>0</v>
      </c>
      <c r="AI74" s="105">
        <v>0</v>
      </c>
      <c r="AJ74" s="105">
        <v>0</v>
      </c>
      <c r="AK74" s="105">
        <v>0</v>
      </c>
      <c r="AL74" s="105">
        <v>0</v>
      </c>
      <c r="AM74" s="105">
        <v>0</v>
      </c>
      <c r="AN74" s="105">
        <v>0</v>
      </c>
      <c r="AO74" s="105">
        <v>0</v>
      </c>
      <c r="AP74" s="105">
        <v>0</v>
      </c>
      <c r="AQ74" s="105">
        <v>0</v>
      </c>
      <c r="AR74" s="105">
        <v>0</v>
      </c>
      <c r="AS74" s="105">
        <v>0</v>
      </c>
      <c r="AT74" s="105">
        <v>0</v>
      </c>
      <c r="AU74" s="105">
        <v>0</v>
      </c>
      <c r="AV74" s="105">
        <v>0</v>
      </c>
      <c r="AW74" s="105">
        <v>0</v>
      </c>
      <c r="AX74" s="105">
        <v>0</v>
      </c>
      <c r="AY74" s="105">
        <v>0</v>
      </c>
      <c r="AZ74" s="105">
        <v>0</v>
      </c>
      <c r="BA74" s="105">
        <v>0</v>
      </c>
      <c r="BB74" s="105">
        <v>0</v>
      </c>
      <c r="BC74" s="105">
        <v>0</v>
      </c>
      <c r="BD74" s="105">
        <v>0</v>
      </c>
      <c r="BE74" s="105">
        <v>0</v>
      </c>
      <c r="BF74" s="105">
        <v>0</v>
      </c>
      <c r="BG74" s="105">
        <v>0</v>
      </c>
      <c r="BH74" s="105">
        <v>0</v>
      </c>
      <c r="BI74" s="105">
        <v>0</v>
      </c>
      <c r="BJ74" s="105">
        <v>0</v>
      </c>
      <c r="BK74" s="105">
        <v>0</v>
      </c>
      <c r="BL74" s="105">
        <v>0</v>
      </c>
      <c r="BM74" s="105">
        <v>0</v>
      </c>
      <c r="BN74" s="105">
        <v>0</v>
      </c>
      <c r="BO74" s="105">
        <v>0</v>
      </c>
      <c r="BP74" s="105">
        <v>0</v>
      </c>
      <c r="BQ74" s="105">
        <v>0</v>
      </c>
      <c r="BR74" s="105">
        <v>0</v>
      </c>
      <c r="BS74" s="105">
        <v>0</v>
      </c>
      <c r="BT74" s="105">
        <v>0</v>
      </c>
      <c r="BU74" s="105">
        <v>0</v>
      </c>
      <c r="BV74" s="105">
        <v>0</v>
      </c>
      <c r="BW74" s="105">
        <v>0</v>
      </c>
      <c r="BX74" s="105">
        <v>0</v>
      </c>
      <c r="BY74" s="105">
        <v>0</v>
      </c>
      <c r="BZ74" s="105">
        <v>0</v>
      </c>
      <c r="CA74" s="105">
        <v>0</v>
      </c>
      <c r="CB74" s="105">
        <v>0</v>
      </c>
      <c r="CC74" s="105">
        <v>0</v>
      </c>
      <c r="CD74" s="105">
        <v>0</v>
      </c>
      <c r="CE74" s="105">
        <v>0</v>
      </c>
      <c r="CF74" s="105">
        <v>0</v>
      </c>
      <c r="CG74" s="105">
        <v>0</v>
      </c>
      <c r="CH74" s="105">
        <v>0</v>
      </c>
      <c r="CI74" s="105">
        <v>0</v>
      </c>
      <c r="CJ74" s="105">
        <v>0</v>
      </c>
      <c r="CK74" s="105">
        <v>0</v>
      </c>
      <c r="CL74" s="105">
        <v>0</v>
      </c>
      <c r="CM74" s="105">
        <v>0</v>
      </c>
      <c r="CN74" s="105">
        <v>0</v>
      </c>
      <c r="CO74" s="105">
        <v>0</v>
      </c>
      <c r="CP74" s="105">
        <v>0</v>
      </c>
      <c r="CQ74" s="105">
        <v>0</v>
      </c>
      <c r="CR74" s="105">
        <v>0</v>
      </c>
      <c r="CS74" s="105">
        <v>0</v>
      </c>
      <c r="CT74" s="105">
        <v>0</v>
      </c>
      <c r="CU74" s="105">
        <v>0</v>
      </c>
    </row>
    <row r="75" spans="2:99" x14ac:dyDescent="0.25">
      <c r="C75" s="104" t="s">
        <v>240</v>
      </c>
      <c r="D75" s="105">
        <v>0</v>
      </c>
      <c r="E75" s="105">
        <v>0</v>
      </c>
      <c r="F75" s="105">
        <v>0</v>
      </c>
      <c r="G75" s="105">
        <v>0</v>
      </c>
      <c r="H75" s="105">
        <v>0</v>
      </c>
      <c r="I75" s="105">
        <v>0</v>
      </c>
      <c r="J75" s="105">
        <v>0</v>
      </c>
      <c r="K75" s="105">
        <v>0</v>
      </c>
      <c r="L75" s="105">
        <v>0</v>
      </c>
      <c r="M75" s="105">
        <v>0</v>
      </c>
      <c r="N75" s="105">
        <v>0</v>
      </c>
      <c r="O75" s="105">
        <v>0</v>
      </c>
      <c r="P75" s="105">
        <v>0</v>
      </c>
      <c r="Q75" s="105">
        <v>0</v>
      </c>
      <c r="R75" s="105">
        <v>0</v>
      </c>
      <c r="S75" s="105">
        <v>0</v>
      </c>
      <c r="T75" s="105">
        <v>0</v>
      </c>
      <c r="U75" s="105">
        <v>0</v>
      </c>
      <c r="V75" s="105">
        <v>0</v>
      </c>
      <c r="W75" s="105">
        <v>0</v>
      </c>
      <c r="X75" s="105">
        <v>0</v>
      </c>
      <c r="Y75" s="105">
        <v>0</v>
      </c>
      <c r="Z75" s="105">
        <v>0</v>
      </c>
      <c r="AA75" s="105">
        <v>0</v>
      </c>
      <c r="AB75" s="105">
        <v>0</v>
      </c>
      <c r="AC75" s="105">
        <v>0</v>
      </c>
      <c r="AD75" s="105">
        <v>0</v>
      </c>
      <c r="AE75" s="105">
        <v>0</v>
      </c>
      <c r="AF75" s="105">
        <v>0</v>
      </c>
      <c r="AG75" s="105">
        <v>0</v>
      </c>
      <c r="AH75" s="105">
        <v>0</v>
      </c>
      <c r="AI75" s="105">
        <v>0</v>
      </c>
      <c r="AJ75" s="105">
        <v>0</v>
      </c>
      <c r="AK75" s="105">
        <v>0</v>
      </c>
      <c r="AL75" s="105">
        <v>0</v>
      </c>
      <c r="AM75" s="105">
        <v>0</v>
      </c>
      <c r="AN75" s="105">
        <v>0</v>
      </c>
      <c r="AO75" s="105">
        <v>0</v>
      </c>
      <c r="AP75" s="105">
        <v>0</v>
      </c>
      <c r="AQ75" s="105">
        <v>0</v>
      </c>
      <c r="AR75" s="105">
        <v>0</v>
      </c>
      <c r="AS75" s="105">
        <v>0</v>
      </c>
      <c r="AT75" s="105">
        <v>0</v>
      </c>
      <c r="AU75" s="105">
        <v>0</v>
      </c>
      <c r="AV75" s="105">
        <v>0</v>
      </c>
      <c r="AW75" s="105">
        <v>0</v>
      </c>
      <c r="AX75" s="105">
        <v>0</v>
      </c>
      <c r="AY75" s="105">
        <v>0</v>
      </c>
      <c r="AZ75" s="105">
        <v>0</v>
      </c>
      <c r="BA75" s="105">
        <v>0</v>
      </c>
      <c r="BB75" s="105">
        <v>0</v>
      </c>
      <c r="BC75" s="105">
        <v>0</v>
      </c>
      <c r="BD75" s="105">
        <v>0</v>
      </c>
      <c r="BE75" s="105">
        <v>0</v>
      </c>
      <c r="BF75" s="105">
        <v>0</v>
      </c>
      <c r="BG75" s="105">
        <v>0</v>
      </c>
      <c r="BH75" s="105">
        <v>0</v>
      </c>
      <c r="BI75" s="105">
        <v>0</v>
      </c>
      <c r="BJ75" s="105">
        <v>0</v>
      </c>
      <c r="BK75" s="105">
        <v>0</v>
      </c>
      <c r="BL75" s="105">
        <v>0</v>
      </c>
      <c r="BM75" s="105">
        <v>0</v>
      </c>
      <c r="BN75" s="105">
        <v>0</v>
      </c>
      <c r="BO75" s="105">
        <v>0</v>
      </c>
      <c r="BP75" s="105">
        <v>0</v>
      </c>
      <c r="BQ75" s="105">
        <v>0</v>
      </c>
      <c r="BR75" s="105">
        <v>0</v>
      </c>
      <c r="BS75" s="105">
        <v>0</v>
      </c>
      <c r="BT75" s="105">
        <v>0</v>
      </c>
      <c r="BU75" s="105">
        <v>0</v>
      </c>
      <c r="BV75" s="105">
        <v>0</v>
      </c>
      <c r="BW75" s="105">
        <v>0</v>
      </c>
      <c r="BX75" s="105">
        <v>0</v>
      </c>
      <c r="BY75" s="105">
        <v>0</v>
      </c>
      <c r="BZ75" s="105">
        <v>0</v>
      </c>
      <c r="CA75" s="105">
        <v>0</v>
      </c>
      <c r="CB75" s="105">
        <v>0</v>
      </c>
      <c r="CC75" s="105">
        <v>0</v>
      </c>
      <c r="CD75" s="105">
        <v>0</v>
      </c>
      <c r="CE75" s="105">
        <v>0</v>
      </c>
      <c r="CF75" s="105">
        <v>0</v>
      </c>
      <c r="CG75" s="105">
        <v>0</v>
      </c>
      <c r="CH75" s="105">
        <v>0</v>
      </c>
      <c r="CI75" s="105">
        <v>0</v>
      </c>
      <c r="CJ75" s="105">
        <v>0</v>
      </c>
      <c r="CK75" s="105">
        <v>0</v>
      </c>
      <c r="CL75" s="105">
        <v>0</v>
      </c>
      <c r="CM75" s="105">
        <v>0</v>
      </c>
      <c r="CN75" s="105">
        <v>0</v>
      </c>
      <c r="CO75" s="105">
        <v>0</v>
      </c>
      <c r="CP75" s="105">
        <v>0</v>
      </c>
      <c r="CQ75" s="105">
        <v>0</v>
      </c>
      <c r="CR75" s="105">
        <v>0</v>
      </c>
      <c r="CS75" s="105">
        <v>0</v>
      </c>
      <c r="CT75" s="105">
        <v>0</v>
      </c>
      <c r="CU75" s="105">
        <v>0</v>
      </c>
    </row>
    <row r="76" spans="2:99" x14ac:dyDescent="0.25">
      <c r="C76" s="104" t="s">
        <v>241</v>
      </c>
      <c r="D76" s="105">
        <v>0</v>
      </c>
      <c r="E76" s="105">
        <v>0</v>
      </c>
      <c r="F76" s="105">
        <v>0</v>
      </c>
      <c r="G76" s="105">
        <v>0</v>
      </c>
      <c r="H76" s="105">
        <v>0</v>
      </c>
      <c r="I76" s="105">
        <v>0</v>
      </c>
      <c r="J76" s="105">
        <v>0</v>
      </c>
      <c r="K76" s="105">
        <v>0</v>
      </c>
      <c r="L76" s="105">
        <v>0</v>
      </c>
      <c r="M76" s="105">
        <v>0</v>
      </c>
      <c r="N76" s="105">
        <v>0</v>
      </c>
      <c r="O76" s="105">
        <v>0</v>
      </c>
      <c r="P76" s="105">
        <v>0</v>
      </c>
      <c r="Q76" s="105">
        <v>0</v>
      </c>
      <c r="R76" s="105">
        <v>0</v>
      </c>
      <c r="S76" s="105">
        <v>0</v>
      </c>
      <c r="T76" s="105">
        <v>0</v>
      </c>
      <c r="U76" s="105">
        <v>0</v>
      </c>
      <c r="V76" s="105">
        <v>0</v>
      </c>
      <c r="W76" s="105">
        <v>0</v>
      </c>
      <c r="X76" s="105">
        <v>0</v>
      </c>
      <c r="Y76" s="105">
        <v>0</v>
      </c>
      <c r="Z76" s="105">
        <v>0</v>
      </c>
      <c r="AA76" s="105">
        <v>0</v>
      </c>
      <c r="AB76" s="105">
        <v>0</v>
      </c>
      <c r="AC76" s="105">
        <v>0</v>
      </c>
      <c r="AD76" s="105">
        <v>0</v>
      </c>
      <c r="AE76" s="105">
        <v>0</v>
      </c>
      <c r="AF76" s="105">
        <v>0</v>
      </c>
      <c r="AG76" s="105">
        <v>0</v>
      </c>
      <c r="AH76" s="105">
        <v>0</v>
      </c>
      <c r="AI76" s="105">
        <v>0</v>
      </c>
      <c r="AJ76" s="105">
        <v>0</v>
      </c>
      <c r="AK76" s="105">
        <v>0</v>
      </c>
      <c r="AL76" s="105">
        <v>0</v>
      </c>
      <c r="AM76" s="105">
        <v>0</v>
      </c>
      <c r="AN76" s="105">
        <v>0</v>
      </c>
      <c r="AO76" s="105">
        <v>0</v>
      </c>
      <c r="AP76" s="105">
        <v>0</v>
      </c>
      <c r="AQ76" s="105">
        <v>0</v>
      </c>
      <c r="AR76" s="105">
        <v>0</v>
      </c>
      <c r="AS76" s="105">
        <v>0</v>
      </c>
      <c r="AT76" s="105">
        <v>0</v>
      </c>
      <c r="AU76" s="105">
        <v>0</v>
      </c>
      <c r="AV76" s="105">
        <v>0</v>
      </c>
      <c r="AW76" s="105">
        <v>0</v>
      </c>
      <c r="AX76" s="105">
        <v>0</v>
      </c>
      <c r="AY76" s="105">
        <v>0</v>
      </c>
      <c r="AZ76" s="105">
        <v>0</v>
      </c>
      <c r="BA76" s="105">
        <v>0</v>
      </c>
      <c r="BB76" s="105">
        <v>0</v>
      </c>
      <c r="BC76" s="105">
        <v>0</v>
      </c>
      <c r="BD76" s="105">
        <v>0</v>
      </c>
      <c r="BE76" s="105">
        <v>0</v>
      </c>
      <c r="BF76" s="105">
        <v>0</v>
      </c>
      <c r="BG76" s="105">
        <v>0</v>
      </c>
      <c r="BH76" s="105">
        <v>0</v>
      </c>
      <c r="BI76" s="105">
        <v>0</v>
      </c>
      <c r="BJ76" s="105">
        <v>0</v>
      </c>
      <c r="BK76" s="105">
        <v>0</v>
      </c>
      <c r="BL76" s="105">
        <v>0</v>
      </c>
      <c r="BM76" s="105">
        <v>0</v>
      </c>
      <c r="BN76" s="105">
        <v>0</v>
      </c>
      <c r="BO76" s="105">
        <v>0</v>
      </c>
      <c r="BP76" s="105">
        <v>0</v>
      </c>
      <c r="BQ76" s="105">
        <v>0</v>
      </c>
      <c r="BR76" s="105">
        <v>0</v>
      </c>
      <c r="BS76" s="105">
        <v>0</v>
      </c>
      <c r="BT76" s="105">
        <v>0</v>
      </c>
      <c r="BU76" s="105">
        <v>0</v>
      </c>
      <c r="BV76" s="105">
        <v>0</v>
      </c>
      <c r="BW76" s="105">
        <v>0</v>
      </c>
      <c r="BX76" s="105">
        <v>0</v>
      </c>
      <c r="BY76" s="105">
        <v>0</v>
      </c>
      <c r="BZ76" s="105">
        <v>0</v>
      </c>
      <c r="CA76" s="105">
        <v>0</v>
      </c>
      <c r="CB76" s="105">
        <v>0</v>
      </c>
      <c r="CC76" s="105">
        <v>0</v>
      </c>
      <c r="CD76" s="105">
        <v>0</v>
      </c>
      <c r="CE76" s="105">
        <v>0</v>
      </c>
      <c r="CF76" s="105">
        <v>0</v>
      </c>
      <c r="CG76" s="105">
        <v>0</v>
      </c>
      <c r="CH76" s="105">
        <v>0</v>
      </c>
      <c r="CI76" s="105">
        <v>0</v>
      </c>
      <c r="CJ76" s="105">
        <v>0</v>
      </c>
      <c r="CK76" s="105">
        <v>0</v>
      </c>
      <c r="CL76" s="105">
        <v>0</v>
      </c>
      <c r="CM76" s="105">
        <v>0</v>
      </c>
      <c r="CN76" s="105">
        <v>0</v>
      </c>
      <c r="CO76" s="105">
        <v>0</v>
      </c>
      <c r="CP76" s="105">
        <v>0</v>
      </c>
      <c r="CQ76" s="105">
        <v>0</v>
      </c>
      <c r="CR76" s="105">
        <v>0</v>
      </c>
      <c r="CS76" s="105">
        <v>0</v>
      </c>
      <c r="CT76" s="105">
        <v>0</v>
      </c>
      <c r="CU76" s="105">
        <v>0</v>
      </c>
    </row>
    <row r="77" spans="2:99" x14ac:dyDescent="0.25">
      <c r="C77" s="104" t="s">
        <v>242</v>
      </c>
      <c r="D77" s="105">
        <v>0</v>
      </c>
      <c r="E77" s="105">
        <v>0</v>
      </c>
      <c r="F77" s="105">
        <v>0</v>
      </c>
      <c r="G77" s="105">
        <v>0</v>
      </c>
      <c r="H77" s="105">
        <v>0</v>
      </c>
      <c r="I77" s="105">
        <v>0</v>
      </c>
      <c r="J77" s="105">
        <v>0</v>
      </c>
      <c r="K77" s="105">
        <v>0</v>
      </c>
      <c r="L77" s="105">
        <v>0</v>
      </c>
      <c r="M77" s="105">
        <v>0</v>
      </c>
      <c r="N77" s="105">
        <v>0</v>
      </c>
      <c r="O77" s="105">
        <v>0</v>
      </c>
      <c r="P77" s="105">
        <v>0</v>
      </c>
      <c r="Q77" s="105">
        <v>0</v>
      </c>
      <c r="R77" s="105">
        <v>0</v>
      </c>
      <c r="S77" s="105">
        <v>0</v>
      </c>
      <c r="T77" s="105">
        <v>0</v>
      </c>
      <c r="U77" s="105">
        <v>0</v>
      </c>
      <c r="V77" s="105">
        <v>0</v>
      </c>
      <c r="W77" s="105">
        <v>0</v>
      </c>
      <c r="X77" s="105">
        <v>0</v>
      </c>
      <c r="Y77" s="105">
        <v>0</v>
      </c>
      <c r="Z77" s="105">
        <v>0</v>
      </c>
      <c r="AA77" s="105">
        <v>0</v>
      </c>
      <c r="AB77" s="105">
        <v>0</v>
      </c>
      <c r="AC77" s="105">
        <v>0</v>
      </c>
      <c r="AD77" s="105">
        <v>0</v>
      </c>
      <c r="AE77" s="105">
        <v>0</v>
      </c>
      <c r="AF77" s="105">
        <v>0</v>
      </c>
      <c r="AG77" s="105">
        <v>0</v>
      </c>
      <c r="AH77" s="105">
        <v>0</v>
      </c>
      <c r="AI77" s="105">
        <v>0</v>
      </c>
      <c r="AJ77" s="105">
        <v>0</v>
      </c>
      <c r="AK77" s="105">
        <v>0</v>
      </c>
      <c r="AL77" s="105">
        <v>0</v>
      </c>
      <c r="AM77" s="105">
        <v>0</v>
      </c>
      <c r="AN77" s="105">
        <v>0</v>
      </c>
      <c r="AO77" s="105">
        <v>0</v>
      </c>
      <c r="AP77" s="105">
        <v>0</v>
      </c>
      <c r="AQ77" s="105">
        <v>0</v>
      </c>
      <c r="AR77" s="105">
        <v>0</v>
      </c>
      <c r="AS77" s="105">
        <v>0</v>
      </c>
      <c r="AT77" s="105">
        <v>0</v>
      </c>
      <c r="AU77" s="105">
        <v>0</v>
      </c>
      <c r="AV77" s="105">
        <v>0</v>
      </c>
      <c r="AW77" s="105">
        <v>0</v>
      </c>
      <c r="AX77" s="105">
        <v>0</v>
      </c>
      <c r="AY77" s="105">
        <v>0</v>
      </c>
      <c r="AZ77" s="105">
        <v>0</v>
      </c>
      <c r="BA77" s="105">
        <v>0</v>
      </c>
      <c r="BB77" s="105">
        <v>0</v>
      </c>
      <c r="BC77" s="105">
        <v>0</v>
      </c>
      <c r="BD77" s="105">
        <v>0</v>
      </c>
      <c r="BE77" s="105">
        <v>0</v>
      </c>
      <c r="BF77" s="105">
        <v>0</v>
      </c>
      <c r="BG77" s="105">
        <v>0</v>
      </c>
      <c r="BH77" s="105">
        <v>0</v>
      </c>
      <c r="BI77" s="105">
        <v>0</v>
      </c>
      <c r="BJ77" s="105">
        <v>0</v>
      </c>
      <c r="BK77" s="105">
        <v>0</v>
      </c>
      <c r="BL77" s="105">
        <v>0</v>
      </c>
      <c r="BM77" s="105">
        <v>0</v>
      </c>
      <c r="BN77" s="105">
        <v>0</v>
      </c>
      <c r="BO77" s="105">
        <v>0</v>
      </c>
      <c r="BP77" s="105">
        <v>0</v>
      </c>
      <c r="BQ77" s="105">
        <v>0</v>
      </c>
      <c r="BR77" s="105">
        <v>0</v>
      </c>
      <c r="BS77" s="105">
        <v>0</v>
      </c>
      <c r="BT77" s="105">
        <v>0</v>
      </c>
      <c r="BU77" s="105">
        <v>0</v>
      </c>
      <c r="BV77" s="105">
        <v>0</v>
      </c>
      <c r="BW77" s="105">
        <v>0</v>
      </c>
      <c r="BX77" s="105">
        <v>0</v>
      </c>
      <c r="BY77" s="105">
        <v>0</v>
      </c>
      <c r="BZ77" s="105">
        <v>0</v>
      </c>
      <c r="CA77" s="105">
        <v>0</v>
      </c>
      <c r="CB77" s="105">
        <v>0</v>
      </c>
      <c r="CC77" s="105">
        <v>0</v>
      </c>
      <c r="CD77" s="105">
        <v>0</v>
      </c>
      <c r="CE77" s="105">
        <v>0</v>
      </c>
      <c r="CF77" s="105">
        <v>0</v>
      </c>
      <c r="CG77" s="105">
        <v>0</v>
      </c>
      <c r="CH77" s="105">
        <v>0</v>
      </c>
      <c r="CI77" s="105">
        <v>0</v>
      </c>
      <c r="CJ77" s="105">
        <v>0</v>
      </c>
      <c r="CK77" s="105">
        <v>0</v>
      </c>
      <c r="CL77" s="105">
        <v>0</v>
      </c>
      <c r="CM77" s="105">
        <v>0</v>
      </c>
      <c r="CN77" s="105">
        <v>0</v>
      </c>
      <c r="CO77" s="105">
        <v>0</v>
      </c>
      <c r="CP77" s="105">
        <v>0</v>
      </c>
      <c r="CQ77" s="105">
        <v>0</v>
      </c>
      <c r="CR77" s="105">
        <v>0</v>
      </c>
      <c r="CS77" s="105">
        <v>0</v>
      </c>
      <c r="CT77" s="105">
        <v>0</v>
      </c>
      <c r="CU77" s="105">
        <v>0</v>
      </c>
    </row>
    <row r="78" spans="2:99" x14ac:dyDescent="0.25">
      <c r="C78" s="104" t="s">
        <v>243</v>
      </c>
      <c r="D78" s="105">
        <v>0</v>
      </c>
      <c r="E78" s="105">
        <v>0</v>
      </c>
      <c r="F78" s="105">
        <v>0</v>
      </c>
      <c r="G78" s="105">
        <v>0</v>
      </c>
      <c r="H78" s="105">
        <v>0</v>
      </c>
      <c r="I78" s="105">
        <v>0</v>
      </c>
      <c r="J78" s="105">
        <v>0</v>
      </c>
      <c r="K78" s="105">
        <v>0</v>
      </c>
      <c r="L78" s="105">
        <v>0</v>
      </c>
      <c r="M78" s="105">
        <v>0</v>
      </c>
      <c r="N78" s="105">
        <v>0</v>
      </c>
      <c r="O78" s="105">
        <v>0</v>
      </c>
      <c r="P78" s="105">
        <v>0</v>
      </c>
      <c r="Q78" s="105">
        <v>0</v>
      </c>
      <c r="R78" s="105">
        <v>0</v>
      </c>
      <c r="S78" s="105">
        <v>0</v>
      </c>
      <c r="T78" s="105">
        <v>0</v>
      </c>
      <c r="U78" s="105">
        <v>0</v>
      </c>
      <c r="V78" s="105">
        <v>0</v>
      </c>
      <c r="W78" s="105">
        <v>0</v>
      </c>
      <c r="X78" s="105">
        <v>0</v>
      </c>
      <c r="Y78" s="105">
        <v>0</v>
      </c>
      <c r="Z78" s="105">
        <v>0</v>
      </c>
      <c r="AA78" s="105">
        <v>0</v>
      </c>
      <c r="AB78" s="105">
        <v>0</v>
      </c>
      <c r="AC78" s="105">
        <v>0</v>
      </c>
      <c r="AD78" s="105">
        <v>0</v>
      </c>
      <c r="AE78" s="105">
        <v>0</v>
      </c>
      <c r="AF78" s="105">
        <v>0</v>
      </c>
      <c r="AG78" s="105">
        <v>0</v>
      </c>
      <c r="AH78" s="105">
        <v>0</v>
      </c>
      <c r="AI78" s="105">
        <v>0</v>
      </c>
      <c r="AJ78" s="105">
        <v>0</v>
      </c>
      <c r="AK78" s="105">
        <v>0</v>
      </c>
      <c r="AL78" s="105">
        <v>0</v>
      </c>
      <c r="AM78" s="105">
        <v>0</v>
      </c>
      <c r="AN78" s="105">
        <v>0</v>
      </c>
      <c r="AO78" s="105">
        <v>0</v>
      </c>
      <c r="AP78" s="105">
        <v>0</v>
      </c>
      <c r="AQ78" s="105">
        <v>0</v>
      </c>
      <c r="AR78" s="105">
        <v>0</v>
      </c>
      <c r="AS78" s="105">
        <v>0</v>
      </c>
      <c r="AT78" s="105">
        <v>0</v>
      </c>
      <c r="AU78" s="105">
        <v>0</v>
      </c>
      <c r="AV78" s="105">
        <v>0</v>
      </c>
      <c r="AW78" s="105">
        <v>0</v>
      </c>
      <c r="AX78" s="105">
        <v>0</v>
      </c>
      <c r="AY78" s="105">
        <v>0</v>
      </c>
      <c r="AZ78" s="105">
        <v>0</v>
      </c>
      <c r="BA78" s="105">
        <v>0</v>
      </c>
      <c r="BB78" s="105">
        <v>0</v>
      </c>
      <c r="BC78" s="105">
        <v>0</v>
      </c>
      <c r="BD78" s="105">
        <v>0</v>
      </c>
      <c r="BE78" s="105">
        <v>0</v>
      </c>
      <c r="BF78" s="105">
        <v>0</v>
      </c>
      <c r="BG78" s="105">
        <v>0</v>
      </c>
      <c r="BH78" s="105">
        <v>0</v>
      </c>
      <c r="BI78" s="105">
        <v>0</v>
      </c>
      <c r="BJ78" s="105">
        <v>0</v>
      </c>
      <c r="BK78" s="105">
        <v>0</v>
      </c>
      <c r="BL78" s="105">
        <v>0</v>
      </c>
      <c r="BM78" s="105">
        <v>0</v>
      </c>
      <c r="BN78" s="105">
        <v>0</v>
      </c>
      <c r="BO78" s="105">
        <v>0</v>
      </c>
      <c r="BP78" s="105">
        <v>0</v>
      </c>
      <c r="BQ78" s="105">
        <v>0</v>
      </c>
      <c r="BR78" s="105">
        <v>0</v>
      </c>
      <c r="BS78" s="105">
        <v>0</v>
      </c>
      <c r="BT78" s="105">
        <v>0</v>
      </c>
      <c r="BU78" s="105">
        <v>0</v>
      </c>
      <c r="BV78" s="105">
        <v>0</v>
      </c>
      <c r="BW78" s="105">
        <v>0</v>
      </c>
      <c r="BX78" s="105">
        <v>0</v>
      </c>
      <c r="BY78" s="105">
        <v>0</v>
      </c>
      <c r="BZ78" s="105">
        <v>0</v>
      </c>
      <c r="CA78" s="105">
        <v>0</v>
      </c>
      <c r="CB78" s="105">
        <v>0</v>
      </c>
      <c r="CC78" s="105">
        <v>0</v>
      </c>
      <c r="CD78" s="105">
        <v>0</v>
      </c>
      <c r="CE78" s="105">
        <v>0</v>
      </c>
      <c r="CF78" s="105">
        <v>0</v>
      </c>
      <c r="CG78" s="105">
        <v>0</v>
      </c>
      <c r="CH78" s="105">
        <v>0</v>
      </c>
      <c r="CI78" s="105">
        <v>0</v>
      </c>
      <c r="CJ78" s="105">
        <v>0</v>
      </c>
      <c r="CK78" s="105">
        <v>0</v>
      </c>
      <c r="CL78" s="105">
        <v>0</v>
      </c>
      <c r="CM78" s="105">
        <v>0</v>
      </c>
      <c r="CN78" s="105">
        <v>0</v>
      </c>
      <c r="CO78" s="105">
        <v>0</v>
      </c>
      <c r="CP78" s="105">
        <v>0</v>
      </c>
      <c r="CQ78" s="105">
        <v>0</v>
      </c>
      <c r="CR78" s="105">
        <v>0</v>
      </c>
      <c r="CS78" s="105">
        <v>0</v>
      </c>
      <c r="CT78" s="105">
        <v>0</v>
      </c>
      <c r="CU78" s="105">
        <v>0</v>
      </c>
    </row>
    <row r="79" spans="2:99" x14ac:dyDescent="0.25">
      <c r="C79" s="104" t="s">
        <v>244</v>
      </c>
      <c r="D79" s="105">
        <v>0</v>
      </c>
      <c r="E79" s="105">
        <v>0</v>
      </c>
      <c r="F79" s="105">
        <v>0</v>
      </c>
      <c r="G79" s="105">
        <v>0</v>
      </c>
      <c r="H79" s="105">
        <v>0</v>
      </c>
      <c r="I79" s="105">
        <v>0</v>
      </c>
      <c r="J79" s="105">
        <v>0</v>
      </c>
      <c r="K79" s="105">
        <v>0</v>
      </c>
      <c r="L79" s="105">
        <v>0</v>
      </c>
      <c r="M79" s="105">
        <v>0</v>
      </c>
      <c r="N79" s="105">
        <v>0</v>
      </c>
      <c r="O79" s="105">
        <v>0</v>
      </c>
      <c r="P79" s="105">
        <v>0</v>
      </c>
      <c r="Q79" s="105">
        <v>0</v>
      </c>
      <c r="R79" s="105">
        <v>0</v>
      </c>
      <c r="S79" s="105">
        <v>0</v>
      </c>
      <c r="T79" s="105">
        <v>0</v>
      </c>
      <c r="U79" s="105">
        <v>0</v>
      </c>
      <c r="V79" s="105">
        <v>0</v>
      </c>
      <c r="W79" s="105">
        <v>0</v>
      </c>
      <c r="X79" s="105">
        <v>0</v>
      </c>
      <c r="Y79" s="105">
        <v>0</v>
      </c>
      <c r="Z79" s="105">
        <v>0</v>
      </c>
      <c r="AA79" s="105">
        <v>0</v>
      </c>
      <c r="AB79" s="105">
        <v>0</v>
      </c>
      <c r="AC79" s="105">
        <v>0</v>
      </c>
      <c r="AD79" s="105">
        <v>0</v>
      </c>
      <c r="AE79" s="105">
        <v>0</v>
      </c>
      <c r="AF79" s="105">
        <v>0</v>
      </c>
      <c r="AG79" s="105">
        <v>0</v>
      </c>
      <c r="AH79" s="105">
        <v>0</v>
      </c>
      <c r="AI79" s="105">
        <v>0</v>
      </c>
      <c r="AJ79" s="105">
        <v>0</v>
      </c>
      <c r="AK79" s="105">
        <v>0</v>
      </c>
      <c r="AL79" s="105">
        <v>0</v>
      </c>
      <c r="AM79" s="105">
        <v>0</v>
      </c>
      <c r="AN79" s="105">
        <v>0</v>
      </c>
      <c r="AO79" s="105">
        <v>0</v>
      </c>
      <c r="AP79" s="105">
        <v>0</v>
      </c>
      <c r="AQ79" s="105">
        <v>0</v>
      </c>
      <c r="AR79" s="105">
        <v>0</v>
      </c>
      <c r="AS79" s="105">
        <v>0</v>
      </c>
      <c r="AT79" s="105">
        <v>0</v>
      </c>
      <c r="AU79" s="105">
        <v>0</v>
      </c>
      <c r="AV79" s="105">
        <v>0</v>
      </c>
      <c r="AW79" s="105">
        <v>0</v>
      </c>
      <c r="AX79" s="105">
        <v>0</v>
      </c>
      <c r="AY79" s="105">
        <v>0</v>
      </c>
      <c r="AZ79" s="105">
        <v>0</v>
      </c>
      <c r="BA79" s="105">
        <v>0</v>
      </c>
      <c r="BB79" s="105">
        <v>0</v>
      </c>
      <c r="BC79" s="105">
        <v>0</v>
      </c>
      <c r="BD79" s="105">
        <v>0</v>
      </c>
      <c r="BE79" s="105">
        <v>0</v>
      </c>
      <c r="BF79" s="105">
        <v>0</v>
      </c>
      <c r="BG79" s="105">
        <v>0</v>
      </c>
      <c r="BH79" s="105">
        <v>0</v>
      </c>
      <c r="BI79" s="105">
        <v>0</v>
      </c>
      <c r="BJ79" s="105">
        <v>0</v>
      </c>
      <c r="BK79" s="105">
        <v>0</v>
      </c>
      <c r="BL79" s="105">
        <v>0</v>
      </c>
      <c r="BM79" s="105">
        <v>0</v>
      </c>
      <c r="BN79" s="105">
        <v>0</v>
      </c>
      <c r="BO79" s="105">
        <v>0</v>
      </c>
      <c r="BP79" s="105">
        <v>0</v>
      </c>
      <c r="BQ79" s="105">
        <v>0</v>
      </c>
      <c r="BR79" s="105">
        <v>0</v>
      </c>
      <c r="BS79" s="105">
        <v>0</v>
      </c>
      <c r="BT79" s="105">
        <v>0</v>
      </c>
      <c r="BU79" s="105">
        <v>0</v>
      </c>
      <c r="BV79" s="105">
        <v>0</v>
      </c>
      <c r="BW79" s="105">
        <v>0</v>
      </c>
      <c r="BX79" s="105">
        <v>0</v>
      </c>
      <c r="BY79" s="105">
        <v>0</v>
      </c>
      <c r="BZ79" s="105">
        <v>0</v>
      </c>
      <c r="CA79" s="105">
        <v>0</v>
      </c>
      <c r="CB79" s="105">
        <v>0</v>
      </c>
      <c r="CC79" s="105">
        <v>0</v>
      </c>
      <c r="CD79" s="105">
        <v>0</v>
      </c>
      <c r="CE79" s="105">
        <v>0</v>
      </c>
      <c r="CF79" s="105">
        <v>0</v>
      </c>
      <c r="CG79" s="105">
        <v>0</v>
      </c>
      <c r="CH79" s="105">
        <v>0</v>
      </c>
      <c r="CI79" s="105">
        <v>0</v>
      </c>
      <c r="CJ79" s="105">
        <v>0</v>
      </c>
      <c r="CK79" s="105">
        <v>0</v>
      </c>
      <c r="CL79" s="105">
        <v>0</v>
      </c>
      <c r="CM79" s="105">
        <v>0</v>
      </c>
      <c r="CN79" s="105">
        <v>0</v>
      </c>
      <c r="CO79" s="105">
        <v>0</v>
      </c>
      <c r="CP79" s="105">
        <v>0</v>
      </c>
      <c r="CQ79" s="105">
        <v>0</v>
      </c>
      <c r="CR79" s="105">
        <v>0</v>
      </c>
      <c r="CS79" s="105">
        <v>0</v>
      </c>
      <c r="CT79" s="105">
        <v>0</v>
      </c>
      <c r="CU79" s="105">
        <v>0</v>
      </c>
    </row>
    <row r="80" spans="2:99" x14ac:dyDescent="0.25">
      <c r="C80" s="104" t="s">
        <v>245</v>
      </c>
      <c r="D80" s="105">
        <v>0</v>
      </c>
      <c r="E80" s="105">
        <v>0</v>
      </c>
      <c r="F80" s="105">
        <v>0</v>
      </c>
      <c r="G80" s="105">
        <v>0</v>
      </c>
      <c r="H80" s="105">
        <v>0</v>
      </c>
      <c r="I80" s="105">
        <v>0</v>
      </c>
      <c r="J80" s="105">
        <v>0</v>
      </c>
      <c r="K80" s="105">
        <v>0</v>
      </c>
      <c r="L80" s="105">
        <v>0</v>
      </c>
      <c r="M80" s="105">
        <v>0</v>
      </c>
      <c r="N80" s="105">
        <v>0</v>
      </c>
      <c r="O80" s="105">
        <v>0</v>
      </c>
      <c r="P80" s="105">
        <v>0</v>
      </c>
      <c r="Q80" s="105">
        <v>0</v>
      </c>
      <c r="R80" s="105">
        <v>0</v>
      </c>
      <c r="S80" s="105">
        <v>0</v>
      </c>
      <c r="T80" s="105">
        <v>0</v>
      </c>
      <c r="U80" s="105">
        <v>0</v>
      </c>
      <c r="V80" s="105">
        <v>0</v>
      </c>
      <c r="W80" s="105">
        <v>0</v>
      </c>
      <c r="X80" s="105">
        <v>0</v>
      </c>
      <c r="Y80" s="105">
        <v>0</v>
      </c>
      <c r="Z80" s="105">
        <v>0</v>
      </c>
      <c r="AA80" s="105">
        <v>0</v>
      </c>
      <c r="AB80" s="105">
        <v>0</v>
      </c>
      <c r="AC80" s="105">
        <v>0</v>
      </c>
      <c r="AD80" s="105">
        <v>0</v>
      </c>
      <c r="AE80" s="105">
        <v>0</v>
      </c>
      <c r="AF80" s="105">
        <v>0</v>
      </c>
      <c r="AG80" s="105">
        <v>0</v>
      </c>
      <c r="AH80" s="105">
        <v>0</v>
      </c>
      <c r="AI80" s="105">
        <v>0</v>
      </c>
      <c r="AJ80" s="105">
        <v>0</v>
      </c>
      <c r="AK80" s="105">
        <v>0</v>
      </c>
      <c r="AL80" s="105">
        <v>0</v>
      </c>
      <c r="AM80" s="105">
        <v>0</v>
      </c>
      <c r="AN80" s="105">
        <v>0</v>
      </c>
      <c r="AO80" s="105">
        <v>0</v>
      </c>
      <c r="AP80" s="105">
        <v>0</v>
      </c>
      <c r="AQ80" s="105">
        <v>0</v>
      </c>
      <c r="AR80" s="105">
        <v>0</v>
      </c>
      <c r="AS80" s="105">
        <v>0</v>
      </c>
      <c r="AT80" s="105">
        <v>0</v>
      </c>
      <c r="AU80" s="105">
        <v>0</v>
      </c>
      <c r="AV80" s="105">
        <v>0</v>
      </c>
      <c r="AW80" s="105">
        <v>0</v>
      </c>
      <c r="AX80" s="105">
        <v>0</v>
      </c>
      <c r="AY80" s="105">
        <v>0</v>
      </c>
      <c r="AZ80" s="105">
        <v>0</v>
      </c>
      <c r="BA80" s="105">
        <v>0</v>
      </c>
      <c r="BB80" s="105">
        <v>0</v>
      </c>
      <c r="BC80" s="105">
        <v>0</v>
      </c>
      <c r="BD80" s="105">
        <v>0</v>
      </c>
      <c r="BE80" s="105">
        <v>0</v>
      </c>
      <c r="BF80" s="105">
        <v>0</v>
      </c>
      <c r="BG80" s="105">
        <v>0</v>
      </c>
      <c r="BH80" s="105">
        <v>0</v>
      </c>
      <c r="BI80" s="105">
        <v>0</v>
      </c>
      <c r="BJ80" s="105">
        <v>0</v>
      </c>
      <c r="BK80" s="105">
        <v>0</v>
      </c>
      <c r="BL80" s="105">
        <v>0</v>
      </c>
      <c r="BM80" s="105">
        <v>0</v>
      </c>
      <c r="BN80" s="105">
        <v>0</v>
      </c>
      <c r="BO80" s="105">
        <v>0</v>
      </c>
      <c r="BP80" s="105">
        <v>0</v>
      </c>
      <c r="BQ80" s="105">
        <v>0</v>
      </c>
      <c r="BR80" s="105">
        <v>0</v>
      </c>
      <c r="BS80" s="105">
        <v>0</v>
      </c>
      <c r="BT80" s="105">
        <v>0</v>
      </c>
      <c r="BU80" s="105">
        <v>0</v>
      </c>
      <c r="BV80" s="105">
        <v>0</v>
      </c>
      <c r="BW80" s="105">
        <v>0</v>
      </c>
      <c r="BX80" s="105">
        <v>0</v>
      </c>
      <c r="BY80" s="105">
        <v>0</v>
      </c>
      <c r="BZ80" s="105">
        <v>0</v>
      </c>
      <c r="CA80" s="105">
        <v>0</v>
      </c>
      <c r="CB80" s="105">
        <v>0</v>
      </c>
      <c r="CC80" s="105">
        <v>0</v>
      </c>
      <c r="CD80" s="105">
        <v>0</v>
      </c>
      <c r="CE80" s="105">
        <v>0</v>
      </c>
      <c r="CF80" s="105">
        <v>0</v>
      </c>
      <c r="CG80" s="105">
        <v>0</v>
      </c>
      <c r="CH80" s="105">
        <v>0</v>
      </c>
      <c r="CI80" s="105">
        <v>0</v>
      </c>
      <c r="CJ80" s="105">
        <v>0</v>
      </c>
      <c r="CK80" s="105">
        <v>0</v>
      </c>
      <c r="CL80" s="105">
        <v>0</v>
      </c>
      <c r="CM80" s="105">
        <v>0</v>
      </c>
      <c r="CN80" s="105">
        <v>0</v>
      </c>
      <c r="CO80" s="105">
        <v>0</v>
      </c>
      <c r="CP80" s="105">
        <v>0</v>
      </c>
      <c r="CQ80" s="105">
        <v>0</v>
      </c>
      <c r="CR80" s="105">
        <v>0</v>
      </c>
      <c r="CS80" s="105">
        <v>0</v>
      </c>
      <c r="CT80" s="105">
        <v>0</v>
      </c>
      <c r="CU80" s="105">
        <v>0</v>
      </c>
    </row>
    <row r="81" spans="2:99" x14ac:dyDescent="0.25">
      <c r="C81" s="104" t="s">
        <v>246</v>
      </c>
      <c r="D81" s="105">
        <v>0</v>
      </c>
      <c r="E81" s="105">
        <v>0</v>
      </c>
      <c r="F81" s="105">
        <v>0</v>
      </c>
      <c r="G81" s="105">
        <v>0</v>
      </c>
      <c r="H81" s="105">
        <v>0</v>
      </c>
      <c r="I81" s="105">
        <v>0</v>
      </c>
      <c r="J81" s="105">
        <v>0</v>
      </c>
      <c r="K81" s="105">
        <v>0</v>
      </c>
      <c r="L81" s="105">
        <v>0</v>
      </c>
      <c r="M81" s="105">
        <v>0</v>
      </c>
      <c r="N81" s="105">
        <v>0</v>
      </c>
      <c r="O81" s="105">
        <v>0</v>
      </c>
      <c r="P81" s="105">
        <v>0</v>
      </c>
      <c r="Q81" s="105">
        <v>0</v>
      </c>
      <c r="R81" s="105">
        <v>0</v>
      </c>
      <c r="S81" s="105">
        <v>0</v>
      </c>
      <c r="T81" s="105">
        <v>0</v>
      </c>
      <c r="U81" s="105">
        <v>0</v>
      </c>
      <c r="V81" s="105">
        <v>0</v>
      </c>
      <c r="W81" s="105">
        <v>0</v>
      </c>
      <c r="X81" s="105">
        <v>0</v>
      </c>
      <c r="Y81" s="105">
        <v>0</v>
      </c>
      <c r="Z81" s="105">
        <v>0</v>
      </c>
      <c r="AA81" s="105">
        <v>0</v>
      </c>
      <c r="AB81" s="105">
        <v>0</v>
      </c>
      <c r="AC81" s="105">
        <v>0</v>
      </c>
      <c r="AD81" s="105">
        <v>0</v>
      </c>
      <c r="AE81" s="105">
        <v>0</v>
      </c>
      <c r="AF81" s="105">
        <v>0</v>
      </c>
      <c r="AG81" s="105">
        <v>0</v>
      </c>
      <c r="AH81" s="105">
        <v>0</v>
      </c>
      <c r="AI81" s="105">
        <v>0</v>
      </c>
      <c r="AJ81" s="105">
        <v>0</v>
      </c>
      <c r="AK81" s="105">
        <v>0</v>
      </c>
      <c r="AL81" s="105">
        <v>0</v>
      </c>
      <c r="AM81" s="105">
        <v>0</v>
      </c>
      <c r="AN81" s="105">
        <v>0</v>
      </c>
      <c r="AO81" s="105">
        <v>0</v>
      </c>
      <c r="AP81" s="105">
        <v>0</v>
      </c>
      <c r="AQ81" s="105">
        <v>0</v>
      </c>
      <c r="AR81" s="105">
        <v>0</v>
      </c>
      <c r="AS81" s="105">
        <v>0</v>
      </c>
      <c r="AT81" s="105">
        <v>0</v>
      </c>
      <c r="AU81" s="105">
        <v>0</v>
      </c>
      <c r="AV81" s="105">
        <v>0</v>
      </c>
      <c r="AW81" s="105">
        <v>0</v>
      </c>
      <c r="AX81" s="105">
        <v>0</v>
      </c>
      <c r="AY81" s="105">
        <v>0</v>
      </c>
      <c r="AZ81" s="105">
        <v>0</v>
      </c>
      <c r="BA81" s="105">
        <v>0</v>
      </c>
      <c r="BB81" s="105">
        <v>0</v>
      </c>
      <c r="BC81" s="105">
        <v>0</v>
      </c>
      <c r="BD81" s="105">
        <v>0</v>
      </c>
      <c r="BE81" s="105">
        <v>0</v>
      </c>
      <c r="BF81" s="105">
        <v>0</v>
      </c>
      <c r="BG81" s="105">
        <v>0</v>
      </c>
      <c r="BH81" s="105">
        <v>0</v>
      </c>
      <c r="BI81" s="105">
        <v>0</v>
      </c>
      <c r="BJ81" s="105">
        <v>0</v>
      </c>
      <c r="BK81" s="105">
        <v>0</v>
      </c>
      <c r="BL81" s="105">
        <v>0</v>
      </c>
      <c r="BM81" s="105">
        <v>0</v>
      </c>
      <c r="BN81" s="105">
        <v>0</v>
      </c>
      <c r="BO81" s="105">
        <v>0</v>
      </c>
      <c r="BP81" s="105">
        <v>0</v>
      </c>
      <c r="BQ81" s="105">
        <v>0</v>
      </c>
      <c r="BR81" s="105">
        <v>0</v>
      </c>
      <c r="BS81" s="105">
        <v>0</v>
      </c>
      <c r="BT81" s="105">
        <v>0</v>
      </c>
      <c r="BU81" s="105">
        <v>0</v>
      </c>
      <c r="BV81" s="105">
        <v>0</v>
      </c>
      <c r="BW81" s="105">
        <v>0</v>
      </c>
      <c r="BX81" s="105">
        <v>0</v>
      </c>
      <c r="BY81" s="105">
        <v>0</v>
      </c>
      <c r="BZ81" s="105">
        <v>0</v>
      </c>
      <c r="CA81" s="105">
        <v>0</v>
      </c>
      <c r="CB81" s="105">
        <v>0</v>
      </c>
      <c r="CC81" s="105">
        <v>0</v>
      </c>
      <c r="CD81" s="105">
        <v>0</v>
      </c>
      <c r="CE81" s="105">
        <v>0</v>
      </c>
      <c r="CF81" s="105">
        <v>0</v>
      </c>
      <c r="CG81" s="105">
        <v>0</v>
      </c>
      <c r="CH81" s="105">
        <v>0</v>
      </c>
      <c r="CI81" s="105">
        <v>0</v>
      </c>
      <c r="CJ81" s="105">
        <v>0</v>
      </c>
      <c r="CK81" s="105">
        <v>0</v>
      </c>
      <c r="CL81" s="105">
        <v>0</v>
      </c>
      <c r="CM81" s="105">
        <v>0</v>
      </c>
      <c r="CN81" s="105">
        <v>0</v>
      </c>
      <c r="CO81" s="105">
        <v>0</v>
      </c>
      <c r="CP81" s="105">
        <v>0</v>
      </c>
      <c r="CQ81" s="105">
        <v>0</v>
      </c>
      <c r="CR81" s="105">
        <v>0</v>
      </c>
      <c r="CS81" s="105">
        <v>0</v>
      </c>
      <c r="CT81" s="105">
        <v>0</v>
      </c>
      <c r="CU81" s="105">
        <v>0</v>
      </c>
    </row>
    <row r="82" spans="2:99" x14ac:dyDescent="0.25">
      <c r="C82" s="104" t="s">
        <v>247</v>
      </c>
      <c r="D82" s="105">
        <v>0</v>
      </c>
      <c r="E82" s="105">
        <v>0</v>
      </c>
      <c r="F82" s="105">
        <v>0</v>
      </c>
      <c r="G82" s="105">
        <v>0</v>
      </c>
      <c r="H82" s="105">
        <v>0</v>
      </c>
      <c r="I82" s="105">
        <v>0</v>
      </c>
      <c r="J82" s="105">
        <v>0</v>
      </c>
      <c r="K82" s="105">
        <v>0</v>
      </c>
      <c r="L82" s="105">
        <v>0</v>
      </c>
      <c r="M82" s="105">
        <v>0</v>
      </c>
      <c r="N82" s="105">
        <v>0</v>
      </c>
      <c r="O82" s="105">
        <v>0</v>
      </c>
      <c r="P82" s="105">
        <v>0</v>
      </c>
      <c r="Q82" s="105">
        <v>0</v>
      </c>
      <c r="R82" s="105">
        <v>0</v>
      </c>
      <c r="S82" s="105">
        <v>0</v>
      </c>
      <c r="T82" s="105">
        <v>0</v>
      </c>
      <c r="U82" s="105">
        <v>0</v>
      </c>
      <c r="V82" s="105">
        <v>0</v>
      </c>
      <c r="W82" s="105">
        <v>0</v>
      </c>
      <c r="X82" s="105">
        <v>0</v>
      </c>
      <c r="Y82" s="105">
        <v>0</v>
      </c>
      <c r="Z82" s="105">
        <v>0</v>
      </c>
      <c r="AA82" s="105">
        <v>0</v>
      </c>
      <c r="AB82" s="105">
        <v>0</v>
      </c>
      <c r="AC82" s="105">
        <v>0</v>
      </c>
      <c r="AD82" s="105">
        <v>0</v>
      </c>
      <c r="AE82" s="105">
        <v>0</v>
      </c>
      <c r="AF82" s="105">
        <v>0</v>
      </c>
      <c r="AG82" s="105">
        <v>0</v>
      </c>
      <c r="AH82" s="105">
        <v>0</v>
      </c>
      <c r="AI82" s="105">
        <v>0</v>
      </c>
      <c r="AJ82" s="105">
        <v>0</v>
      </c>
      <c r="AK82" s="105">
        <v>0</v>
      </c>
      <c r="AL82" s="105">
        <v>0</v>
      </c>
      <c r="AM82" s="105">
        <v>0</v>
      </c>
      <c r="AN82" s="105">
        <v>0</v>
      </c>
      <c r="AO82" s="105">
        <v>0</v>
      </c>
      <c r="AP82" s="105">
        <v>0</v>
      </c>
      <c r="AQ82" s="105">
        <v>0</v>
      </c>
      <c r="AR82" s="105">
        <v>0</v>
      </c>
      <c r="AS82" s="105">
        <v>0</v>
      </c>
      <c r="AT82" s="105">
        <v>0</v>
      </c>
      <c r="AU82" s="105">
        <v>0</v>
      </c>
      <c r="AV82" s="105">
        <v>0</v>
      </c>
      <c r="AW82" s="105">
        <v>0</v>
      </c>
      <c r="AX82" s="105">
        <v>0</v>
      </c>
      <c r="AY82" s="105">
        <v>0</v>
      </c>
      <c r="AZ82" s="105">
        <v>0</v>
      </c>
      <c r="BA82" s="105">
        <v>0</v>
      </c>
      <c r="BB82" s="105">
        <v>0</v>
      </c>
      <c r="BC82" s="105">
        <v>0</v>
      </c>
      <c r="BD82" s="105">
        <v>0</v>
      </c>
      <c r="BE82" s="105">
        <v>0</v>
      </c>
      <c r="BF82" s="105">
        <v>0</v>
      </c>
      <c r="BG82" s="105">
        <v>0</v>
      </c>
      <c r="BH82" s="105">
        <v>0</v>
      </c>
      <c r="BI82" s="105">
        <v>0</v>
      </c>
      <c r="BJ82" s="105">
        <v>0</v>
      </c>
      <c r="BK82" s="105">
        <v>0</v>
      </c>
      <c r="BL82" s="105">
        <v>0</v>
      </c>
      <c r="BM82" s="105">
        <v>0</v>
      </c>
      <c r="BN82" s="105">
        <v>0</v>
      </c>
      <c r="BO82" s="105">
        <v>0</v>
      </c>
      <c r="BP82" s="105">
        <v>0</v>
      </c>
      <c r="BQ82" s="105">
        <v>0</v>
      </c>
      <c r="BR82" s="105">
        <v>0</v>
      </c>
      <c r="BS82" s="105">
        <v>0</v>
      </c>
      <c r="BT82" s="105">
        <v>0</v>
      </c>
      <c r="BU82" s="105">
        <v>0</v>
      </c>
      <c r="BV82" s="105">
        <v>0</v>
      </c>
      <c r="BW82" s="105">
        <v>0</v>
      </c>
      <c r="BX82" s="105">
        <v>0</v>
      </c>
      <c r="BY82" s="105">
        <v>0</v>
      </c>
      <c r="BZ82" s="105">
        <v>0</v>
      </c>
      <c r="CA82" s="105">
        <v>0</v>
      </c>
      <c r="CB82" s="105">
        <v>0</v>
      </c>
      <c r="CC82" s="105">
        <v>0</v>
      </c>
      <c r="CD82" s="105">
        <v>0</v>
      </c>
      <c r="CE82" s="105">
        <v>0</v>
      </c>
      <c r="CF82" s="105">
        <v>0</v>
      </c>
      <c r="CG82" s="105">
        <v>0</v>
      </c>
      <c r="CH82" s="105">
        <v>0</v>
      </c>
      <c r="CI82" s="105">
        <v>0</v>
      </c>
      <c r="CJ82" s="105">
        <v>0</v>
      </c>
      <c r="CK82" s="105">
        <v>0</v>
      </c>
      <c r="CL82" s="105">
        <v>0</v>
      </c>
      <c r="CM82" s="105">
        <v>0</v>
      </c>
      <c r="CN82" s="105">
        <v>0</v>
      </c>
      <c r="CO82" s="105">
        <v>0</v>
      </c>
      <c r="CP82" s="105">
        <v>0</v>
      </c>
      <c r="CQ82" s="105">
        <v>0</v>
      </c>
      <c r="CR82" s="105">
        <v>0</v>
      </c>
      <c r="CS82" s="105">
        <v>0</v>
      </c>
      <c r="CT82" s="105">
        <v>0</v>
      </c>
      <c r="CU82" s="105">
        <v>0</v>
      </c>
    </row>
    <row r="83" spans="2:99" x14ac:dyDescent="0.25">
      <c r="C83" s="104" t="s">
        <v>248</v>
      </c>
      <c r="D83" s="105">
        <v>0</v>
      </c>
      <c r="E83" s="105">
        <v>0</v>
      </c>
      <c r="F83" s="105">
        <v>0</v>
      </c>
      <c r="G83" s="105">
        <v>0</v>
      </c>
      <c r="H83" s="105">
        <v>0</v>
      </c>
      <c r="I83" s="105">
        <v>0</v>
      </c>
      <c r="J83" s="105">
        <v>0</v>
      </c>
      <c r="K83" s="105">
        <v>0</v>
      </c>
      <c r="L83" s="105">
        <v>0</v>
      </c>
      <c r="M83" s="105">
        <v>0</v>
      </c>
      <c r="N83" s="105">
        <v>0</v>
      </c>
      <c r="O83" s="105">
        <v>0</v>
      </c>
      <c r="P83" s="105">
        <v>0</v>
      </c>
      <c r="Q83" s="105">
        <v>0</v>
      </c>
      <c r="R83" s="105">
        <v>0</v>
      </c>
      <c r="S83" s="105">
        <v>0</v>
      </c>
      <c r="T83" s="105">
        <v>0</v>
      </c>
      <c r="U83" s="105">
        <v>0</v>
      </c>
      <c r="V83" s="105">
        <v>0</v>
      </c>
      <c r="W83" s="105">
        <v>0</v>
      </c>
      <c r="X83" s="105">
        <v>0</v>
      </c>
      <c r="Y83" s="105">
        <v>0</v>
      </c>
      <c r="Z83" s="105">
        <v>0</v>
      </c>
      <c r="AA83" s="105">
        <v>0</v>
      </c>
      <c r="AB83" s="105">
        <v>0</v>
      </c>
      <c r="AC83" s="105">
        <v>0</v>
      </c>
      <c r="AD83" s="105">
        <v>0</v>
      </c>
      <c r="AE83" s="105">
        <v>0</v>
      </c>
      <c r="AF83" s="105">
        <v>0</v>
      </c>
      <c r="AG83" s="105">
        <v>0</v>
      </c>
      <c r="AH83" s="105">
        <v>0</v>
      </c>
      <c r="AI83" s="105">
        <v>0</v>
      </c>
      <c r="AJ83" s="105">
        <v>0</v>
      </c>
      <c r="AK83" s="105">
        <v>0</v>
      </c>
      <c r="AL83" s="105">
        <v>0</v>
      </c>
      <c r="AM83" s="105">
        <v>0</v>
      </c>
      <c r="AN83" s="105">
        <v>0</v>
      </c>
      <c r="AO83" s="105">
        <v>0</v>
      </c>
      <c r="AP83" s="105">
        <v>0</v>
      </c>
      <c r="AQ83" s="105">
        <v>0</v>
      </c>
      <c r="AR83" s="105">
        <v>0</v>
      </c>
      <c r="AS83" s="105">
        <v>0</v>
      </c>
      <c r="AT83" s="105">
        <v>0</v>
      </c>
      <c r="AU83" s="105">
        <v>0</v>
      </c>
      <c r="AV83" s="105">
        <v>0</v>
      </c>
      <c r="AW83" s="105">
        <v>0</v>
      </c>
      <c r="AX83" s="105">
        <v>0</v>
      </c>
      <c r="AY83" s="105">
        <v>0</v>
      </c>
      <c r="AZ83" s="105">
        <v>0</v>
      </c>
      <c r="BA83" s="105">
        <v>0</v>
      </c>
      <c r="BB83" s="105">
        <v>0</v>
      </c>
      <c r="BC83" s="105">
        <v>0</v>
      </c>
      <c r="BD83" s="105">
        <v>0</v>
      </c>
      <c r="BE83" s="105">
        <v>0</v>
      </c>
      <c r="BF83" s="105">
        <v>0</v>
      </c>
      <c r="BG83" s="105">
        <v>0</v>
      </c>
      <c r="BH83" s="105">
        <v>0</v>
      </c>
      <c r="BI83" s="105">
        <v>0</v>
      </c>
      <c r="BJ83" s="105">
        <v>0</v>
      </c>
      <c r="BK83" s="105">
        <v>0</v>
      </c>
      <c r="BL83" s="105">
        <v>0</v>
      </c>
      <c r="BM83" s="105">
        <v>0</v>
      </c>
      <c r="BN83" s="105">
        <v>0</v>
      </c>
      <c r="BO83" s="105">
        <v>0</v>
      </c>
      <c r="BP83" s="105">
        <v>0</v>
      </c>
      <c r="BQ83" s="105">
        <v>0</v>
      </c>
      <c r="BR83" s="105">
        <v>0</v>
      </c>
      <c r="BS83" s="105">
        <v>0</v>
      </c>
      <c r="BT83" s="105">
        <v>0</v>
      </c>
      <c r="BU83" s="105">
        <v>0</v>
      </c>
      <c r="BV83" s="105">
        <v>0</v>
      </c>
      <c r="BW83" s="105">
        <v>0</v>
      </c>
      <c r="BX83" s="105">
        <v>0</v>
      </c>
      <c r="BY83" s="105">
        <v>0</v>
      </c>
      <c r="BZ83" s="105">
        <v>0</v>
      </c>
      <c r="CA83" s="105">
        <v>0</v>
      </c>
      <c r="CB83" s="105">
        <v>0</v>
      </c>
      <c r="CC83" s="105">
        <v>0</v>
      </c>
      <c r="CD83" s="105">
        <v>0</v>
      </c>
      <c r="CE83" s="105">
        <v>0</v>
      </c>
      <c r="CF83" s="105">
        <v>0</v>
      </c>
      <c r="CG83" s="105">
        <v>0</v>
      </c>
      <c r="CH83" s="105">
        <v>0</v>
      </c>
      <c r="CI83" s="105">
        <v>0</v>
      </c>
      <c r="CJ83" s="105">
        <v>0</v>
      </c>
      <c r="CK83" s="105">
        <v>0</v>
      </c>
      <c r="CL83" s="105">
        <v>0</v>
      </c>
      <c r="CM83" s="105">
        <v>0</v>
      </c>
      <c r="CN83" s="105">
        <v>0</v>
      </c>
      <c r="CO83" s="105">
        <v>0</v>
      </c>
      <c r="CP83" s="105">
        <v>0</v>
      </c>
      <c r="CQ83" s="105">
        <v>0</v>
      </c>
      <c r="CR83" s="105">
        <v>0</v>
      </c>
      <c r="CS83" s="105">
        <v>0</v>
      </c>
      <c r="CT83" s="105">
        <v>0</v>
      </c>
      <c r="CU83" s="105">
        <v>0</v>
      </c>
    </row>
    <row r="84" spans="2:99" x14ac:dyDescent="0.25">
      <c r="C84" s="104" t="s">
        <v>249</v>
      </c>
      <c r="D84" s="105">
        <v>0</v>
      </c>
      <c r="E84" s="105">
        <v>0</v>
      </c>
      <c r="F84" s="105">
        <v>0</v>
      </c>
      <c r="G84" s="105">
        <v>0</v>
      </c>
      <c r="H84" s="105">
        <v>0</v>
      </c>
      <c r="I84" s="105">
        <v>0</v>
      </c>
      <c r="J84" s="105">
        <v>0</v>
      </c>
      <c r="K84" s="105">
        <v>0</v>
      </c>
      <c r="L84" s="105">
        <v>0</v>
      </c>
      <c r="M84" s="105">
        <v>0</v>
      </c>
      <c r="N84" s="105">
        <v>0</v>
      </c>
      <c r="O84" s="105">
        <v>0</v>
      </c>
      <c r="P84" s="105">
        <v>0</v>
      </c>
      <c r="Q84" s="105">
        <v>0</v>
      </c>
      <c r="R84" s="105">
        <v>0</v>
      </c>
      <c r="S84" s="105">
        <v>0</v>
      </c>
      <c r="T84" s="105">
        <v>0</v>
      </c>
      <c r="U84" s="105">
        <v>0</v>
      </c>
      <c r="V84" s="105">
        <v>0</v>
      </c>
      <c r="W84" s="105">
        <v>0</v>
      </c>
      <c r="X84" s="105">
        <v>0</v>
      </c>
      <c r="Y84" s="105">
        <v>0</v>
      </c>
      <c r="Z84" s="105">
        <v>0</v>
      </c>
      <c r="AA84" s="105">
        <v>0</v>
      </c>
      <c r="AB84" s="105">
        <v>0</v>
      </c>
      <c r="AC84" s="105">
        <v>0</v>
      </c>
      <c r="AD84" s="105">
        <v>0</v>
      </c>
      <c r="AE84" s="105">
        <v>0</v>
      </c>
      <c r="AF84" s="105">
        <v>0</v>
      </c>
      <c r="AG84" s="105">
        <v>0</v>
      </c>
      <c r="AH84" s="105">
        <v>0</v>
      </c>
      <c r="AI84" s="105">
        <v>0</v>
      </c>
      <c r="AJ84" s="105">
        <v>0</v>
      </c>
      <c r="AK84" s="105">
        <v>0</v>
      </c>
      <c r="AL84" s="105">
        <v>0</v>
      </c>
      <c r="AM84" s="105">
        <v>0</v>
      </c>
      <c r="AN84" s="105">
        <v>0</v>
      </c>
      <c r="AO84" s="105">
        <v>0</v>
      </c>
      <c r="AP84" s="105">
        <v>0</v>
      </c>
      <c r="AQ84" s="105">
        <v>0</v>
      </c>
      <c r="AR84" s="105">
        <v>0</v>
      </c>
      <c r="AS84" s="105">
        <v>0</v>
      </c>
      <c r="AT84" s="105">
        <v>0</v>
      </c>
      <c r="AU84" s="105">
        <v>0</v>
      </c>
      <c r="AV84" s="105">
        <v>0</v>
      </c>
      <c r="AW84" s="105">
        <v>0</v>
      </c>
      <c r="AX84" s="105">
        <v>0</v>
      </c>
      <c r="AY84" s="105">
        <v>0</v>
      </c>
      <c r="AZ84" s="105">
        <v>0</v>
      </c>
      <c r="BA84" s="105">
        <v>0</v>
      </c>
      <c r="BB84" s="105">
        <v>0</v>
      </c>
      <c r="BC84" s="105">
        <v>0</v>
      </c>
      <c r="BD84" s="105">
        <v>0</v>
      </c>
      <c r="BE84" s="105">
        <v>0</v>
      </c>
      <c r="BF84" s="105">
        <v>0</v>
      </c>
      <c r="BG84" s="105">
        <v>0</v>
      </c>
      <c r="BH84" s="105">
        <v>0</v>
      </c>
      <c r="BI84" s="105">
        <v>0</v>
      </c>
      <c r="BJ84" s="105">
        <v>0</v>
      </c>
      <c r="BK84" s="105">
        <v>0</v>
      </c>
      <c r="BL84" s="105">
        <v>0</v>
      </c>
      <c r="BM84" s="105">
        <v>0</v>
      </c>
      <c r="BN84" s="105">
        <v>0</v>
      </c>
      <c r="BO84" s="105">
        <v>0</v>
      </c>
      <c r="BP84" s="105">
        <v>0</v>
      </c>
      <c r="BQ84" s="105">
        <v>0</v>
      </c>
      <c r="BR84" s="105">
        <v>0</v>
      </c>
      <c r="BS84" s="105">
        <v>0</v>
      </c>
      <c r="BT84" s="105">
        <v>0</v>
      </c>
      <c r="BU84" s="105">
        <v>0</v>
      </c>
      <c r="BV84" s="105">
        <v>0</v>
      </c>
      <c r="BW84" s="105">
        <v>0</v>
      </c>
      <c r="BX84" s="105">
        <v>0</v>
      </c>
      <c r="BY84" s="105">
        <v>0</v>
      </c>
      <c r="BZ84" s="105">
        <v>0</v>
      </c>
      <c r="CA84" s="105">
        <v>0</v>
      </c>
      <c r="CB84" s="105">
        <v>0</v>
      </c>
      <c r="CC84" s="105">
        <v>0</v>
      </c>
      <c r="CD84" s="105">
        <v>0</v>
      </c>
      <c r="CE84" s="105">
        <v>0</v>
      </c>
      <c r="CF84" s="105">
        <v>0</v>
      </c>
      <c r="CG84" s="105">
        <v>0</v>
      </c>
      <c r="CH84" s="105">
        <v>0</v>
      </c>
      <c r="CI84" s="105">
        <v>0</v>
      </c>
      <c r="CJ84" s="105">
        <v>0</v>
      </c>
      <c r="CK84" s="105">
        <v>0</v>
      </c>
      <c r="CL84" s="105">
        <v>0</v>
      </c>
      <c r="CM84" s="105">
        <v>0</v>
      </c>
      <c r="CN84" s="105">
        <v>0</v>
      </c>
      <c r="CO84" s="105">
        <v>0</v>
      </c>
      <c r="CP84" s="105">
        <v>0</v>
      </c>
      <c r="CQ84" s="105">
        <v>0</v>
      </c>
      <c r="CR84" s="105">
        <v>0</v>
      </c>
      <c r="CS84" s="105">
        <v>0</v>
      </c>
      <c r="CT84" s="105">
        <v>0</v>
      </c>
      <c r="CU84" s="105">
        <v>0</v>
      </c>
    </row>
    <row r="85" spans="2:99" x14ac:dyDescent="0.25">
      <c r="C85" s="104" t="s">
        <v>250</v>
      </c>
      <c r="D85" s="105">
        <v>0</v>
      </c>
      <c r="E85" s="105">
        <v>0</v>
      </c>
      <c r="F85" s="105">
        <v>0</v>
      </c>
      <c r="G85" s="105">
        <v>0</v>
      </c>
      <c r="H85" s="105">
        <v>0</v>
      </c>
      <c r="I85" s="105">
        <v>0</v>
      </c>
      <c r="J85" s="105">
        <v>0</v>
      </c>
      <c r="K85" s="105">
        <v>0</v>
      </c>
      <c r="L85" s="105">
        <v>0</v>
      </c>
      <c r="M85" s="105">
        <v>0</v>
      </c>
      <c r="N85" s="105">
        <v>0</v>
      </c>
      <c r="O85" s="105">
        <v>0</v>
      </c>
      <c r="P85" s="105">
        <v>0</v>
      </c>
      <c r="Q85" s="105">
        <v>0</v>
      </c>
      <c r="R85" s="105">
        <v>0</v>
      </c>
      <c r="S85" s="105">
        <v>0</v>
      </c>
      <c r="T85" s="105">
        <v>0</v>
      </c>
      <c r="U85" s="105">
        <v>0</v>
      </c>
      <c r="V85" s="105">
        <v>0</v>
      </c>
      <c r="W85" s="105">
        <v>0</v>
      </c>
      <c r="X85" s="105">
        <v>0</v>
      </c>
      <c r="Y85" s="105">
        <v>0</v>
      </c>
      <c r="Z85" s="105">
        <v>0</v>
      </c>
      <c r="AA85" s="105">
        <v>0</v>
      </c>
      <c r="AB85" s="105">
        <v>0</v>
      </c>
      <c r="AC85" s="105">
        <v>0</v>
      </c>
      <c r="AD85" s="105">
        <v>0</v>
      </c>
      <c r="AE85" s="105">
        <v>0</v>
      </c>
      <c r="AF85" s="105">
        <v>0</v>
      </c>
      <c r="AG85" s="105">
        <v>0</v>
      </c>
      <c r="AH85" s="105">
        <v>0</v>
      </c>
      <c r="AI85" s="105">
        <v>0</v>
      </c>
      <c r="AJ85" s="105">
        <v>0</v>
      </c>
      <c r="AK85" s="105">
        <v>0</v>
      </c>
      <c r="AL85" s="105">
        <v>0</v>
      </c>
      <c r="AM85" s="105">
        <v>0</v>
      </c>
      <c r="AN85" s="105">
        <v>0</v>
      </c>
      <c r="AO85" s="105">
        <v>0</v>
      </c>
      <c r="AP85" s="105">
        <v>0</v>
      </c>
      <c r="AQ85" s="105">
        <v>0</v>
      </c>
      <c r="AR85" s="105">
        <v>0</v>
      </c>
      <c r="AS85" s="105">
        <v>0</v>
      </c>
      <c r="AT85" s="105">
        <v>0</v>
      </c>
      <c r="AU85" s="105">
        <v>0</v>
      </c>
      <c r="AV85" s="105">
        <v>0</v>
      </c>
      <c r="AW85" s="105">
        <v>0</v>
      </c>
      <c r="AX85" s="105">
        <v>0</v>
      </c>
      <c r="AY85" s="105">
        <v>0</v>
      </c>
      <c r="AZ85" s="105">
        <v>0</v>
      </c>
      <c r="BA85" s="105">
        <v>0</v>
      </c>
      <c r="BB85" s="105">
        <v>0</v>
      </c>
      <c r="BC85" s="105">
        <v>0</v>
      </c>
      <c r="BD85" s="105">
        <v>0</v>
      </c>
      <c r="BE85" s="105">
        <v>0</v>
      </c>
      <c r="BF85" s="105">
        <v>0</v>
      </c>
      <c r="BG85" s="105">
        <v>0</v>
      </c>
      <c r="BH85" s="105">
        <v>0</v>
      </c>
      <c r="BI85" s="105">
        <v>0</v>
      </c>
      <c r="BJ85" s="105">
        <v>0</v>
      </c>
      <c r="BK85" s="105">
        <v>0</v>
      </c>
      <c r="BL85" s="105">
        <v>0</v>
      </c>
      <c r="BM85" s="105">
        <v>0</v>
      </c>
      <c r="BN85" s="105">
        <v>0</v>
      </c>
      <c r="BO85" s="105">
        <v>0</v>
      </c>
      <c r="BP85" s="105">
        <v>0</v>
      </c>
      <c r="BQ85" s="105">
        <v>0</v>
      </c>
      <c r="BR85" s="105">
        <v>0</v>
      </c>
      <c r="BS85" s="105">
        <v>0</v>
      </c>
      <c r="BT85" s="105">
        <v>0</v>
      </c>
      <c r="BU85" s="105">
        <v>0</v>
      </c>
      <c r="BV85" s="105">
        <v>0</v>
      </c>
      <c r="BW85" s="105">
        <v>0</v>
      </c>
      <c r="BX85" s="105">
        <v>0</v>
      </c>
      <c r="BY85" s="105">
        <v>0</v>
      </c>
      <c r="BZ85" s="105">
        <v>0</v>
      </c>
      <c r="CA85" s="105">
        <v>0</v>
      </c>
      <c r="CB85" s="105">
        <v>0</v>
      </c>
      <c r="CC85" s="105">
        <v>0</v>
      </c>
      <c r="CD85" s="105">
        <v>0</v>
      </c>
      <c r="CE85" s="105">
        <v>0</v>
      </c>
      <c r="CF85" s="105">
        <v>0</v>
      </c>
      <c r="CG85" s="105">
        <v>0</v>
      </c>
      <c r="CH85" s="105">
        <v>0</v>
      </c>
      <c r="CI85" s="105">
        <v>0</v>
      </c>
      <c r="CJ85" s="105">
        <v>0</v>
      </c>
      <c r="CK85" s="105">
        <v>0</v>
      </c>
      <c r="CL85" s="105">
        <v>0</v>
      </c>
      <c r="CM85" s="105">
        <v>0</v>
      </c>
      <c r="CN85" s="105">
        <v>0</v>
      </c>
      <c r="CO85" s="105">
        <v>0</v>
      </c>
      <c r="CP85" s="105">
        <v>0</v>
      </c>
      <c r="CQ85" s="105">
        <v>0</v>
      </c>
      <c r="CR85" s="105">
        <v>0</v>
      </c>
      <c r="CS85" s="105">
        <v>0</v>
      </c>
      <c r="CT85" s="105">
        <v>0</v>
      </c>
      <c r="CU85" s="105">
        <v>0</v>
      </c>
    </row>
    <row r="86" spans="2:99" x14ac:dyDescent="0.25">
      <c r="C86" s="104" t="s">
        <v>251</v>
      </c>
      <c r="D86" s="105">
        <v>0</v>
      </c>
      <c r="E86" s="105">
        <v>0</v>
      </c>
      <c r="F86" s="105">
        <v>0</v>
      </c>
      <c r="G86" s="105">
        <v>0</v>
      </c>
      <c r="H86" s="105">
        <v>0</v>
      </c>
      <c r="I86" s="105">
        <v>0</v>
      </c>
      <c r="J86" s="105">
        <v>0</v>
      </c>
      <c r="K86" s="105">
        <v>0</v>
      </c>
      <c r="L86" s="105">
        <v>0</v>
      </c>
      <c r="M86" s="105">
        <v>0</v>
      </c>
      <c r="N86" s="105">
        <v>0</v>
      </c>
      <c r="O86" s="105">
        <v>0</v>
      </c>
      <c r="P86" s="105">
        <v>0</v>
      </c>
      <c r="Q86" s="105">
        <v>0</v>
      </c>
      <c r="R86" s="105">
        <v>0</v>
      </c>
      <c r="S86" s="105">
        <v>0</v>
      </c>
      <c r="T86" s="105">
        <v>0</v>
      </c>
      <c r="U86" s="105">
        <v>0</v>
      </c>
      <c r="V86" s="105">
        <v>0</v>
      </c>
      <c r="W86" s="105">
        <v>0</v>
      </c>
      <c r="X86" s="105">
        <v>0</v>
      </c>
      <c r="Y86" s="105">
        <v>0</v>
      </c>
      <c r="Z86" s="105">
        <v>0</v>
      </c>
      <c r="AA86" s="105">
        <v>0</v>
      </c>
      <c r="AB86" s="105">
        <v>0</v>
      </c>
      <c r="AC86" s="105">
        <v>0</v>
      </c>
      <c r="AD86" s="105">
        <v>0</v>
      </c>
      <c r="AE86" s="105">
        <v>0</v>
      </c>
      <c r="AF86" s="105">
        <v>0</v>
      </c>
      <c r="AG86" s="105">
        <v>0</v>
      </c>
      <c r="AH86" s="105">
        <v>0</v>
      </c>
      <c r="AI86" s="105">
        <v>0</v>
      </c>
      <c r="AJ86" s="105">
        <v>0</v>
      </c>
      <c r="AK86" s="105">
        <v>0</v>
      </c>
      <c r="AL86" s="105">
        <v>0</v>
      </c>
      <c r="AM86" s="105">
        <v>0</v>
      </c>
      <c r="AN86" s="105">
        <v>0</v>
      </c>
      <c r="AO86" s="105">
        <v>0</v>
      </c>
      <c r="AP86" s="105">
        <v>0</v>
      </c>
      <c r="AQ86" s="105">
        <v>0</v>
      </c>
      <c r="AR86" s="105">
        <v>0</v>
      </c>
      <c r="AS86" s="105">
        <v>0</v>
      </c>
      <c r="AT86" s="105">
        <v>0</v>
      </c>
      <c r="AU86" s="105">
        <v>0</v>
      </c>
      <c r="AV86" s="105">
        <v>0</v>
      </c>
      <c r="AW86" s="105">
        <v>0</v>
      </c>
      <c r="AX86" s="105">
        <v>0</v>
      </c>
      <c r="AY86" s="105">
        <v>0</v>
      </c>
      <c r="AZ86" s="105">
        <v>0</v>
      </c>
      <c r="BA86" s="105">
        <v>0</v>
      </c>
      <c r="BB86" s="105">
        <v>0</v>
      </c>
      <c r="BC86" s="105">
        <v>0</v>
      </c>
      <c r="BD86" s="105">
        <v>0</v>
      </c>
      <c r="BE86" s="105">
        <v>0</v>
      </c>
      <c r="BF86" s="105">
        <v>0</v>
      </c>
      <c r="BG86" s="105">
        <v>0</v>
      </c>
      <c r="BH86" s="105">
        <v>0</v>
      </c>
      <c r="BI86" s="105">
        <v>0</v>
      </c>
      <c r="BJ86" s="105">
        <v>0</v>
      </c>
      <c r="BK86" s="105">
        <v>0</v>
      </c>
      <c r="BL86" s="105">
        <v>0</v>
      </c>
      <c r="BM86" s="105">
        <v>0</v>
      </c>
      <c r="BN86" s="105">
        <v>0</v>
      </c>
      <c r="BO86" s="105">
        <v>0</v>
      </c>
      <c r="BP86" s="105">
        <v>0</v>
      </c>
      <c r="BQ86" s="105">
        <v>0</v>
      </c>
      <c r="BR86" s="105">
        <v>0</v>
      </c>
      <c r="BS86" s="105">
        <v>0</v>
      </c>
      <c r="BT86" s="105">
        <v>0</v>
      </c>
      <c r="BU86" s="105">
        <v>0</v>
      </c>
      <c r="BV86" s="105">
        <v>0</v>
      </c>
      <c r="BW86" s="105">
        <v>0</v>
      </c>
      <c r="BX86" s="105">
        <v>0</v>
      </c>
      <c r="BY86" s="105">
        <v>0</v>
      </c>
      <c r="BZ86" s="105">
        <v>0</v>
      </c>
      <c r="CA86" s="105">
        <v>0</v>
      </c>
      <c r="CB86" s="105">
        <v>0</v>
      </c>
      <c r="CC86" s="105">
        <v>0</v>
      </c>
      <c r="CD86" s="105">
        <v>0</v>
      </c>
      <c r="CE86" s="105">
        <v>0</v>
      </c>
      <c r="CF86" s="105">
        <v>0</v>
      </c>
      <c r="CG86" s="105">
        <v>0</v>
      </c>
      <c r="CH86" s="105">
        <v>0</v>
      </c>
      <c r="CI86" s="105">
        <v>0</v>
      </c>
      <c r="CJ86" s="105">
        <v>0</v>
      </c>
      <c r="CK86" s="105">
        <v>0</v>
      </c>
      <c r="CL86" s="105">
        <v>0</v>
      </c>
      <c r="CM86" s="105">
        <v>0</v>
      </c>
      <c r="CN86" s="105">
        <v>0</v>
      </c>
      <c r="CO86" s="105">
        <v>0</v>
      </c>
      <c r="CP86" s="105">
        <v>0</v>
      </c>
      <c r="CQ86" s="105">
        <v>0</v>
      </c>
      <c r="CR86" s="105">
        <v>0</v>
      </c>
      <c r="CS86" s="105">
        <v>0</v>
      </c>
      <c r="CT86" s="105">
        <v>0</v>
      </c>
      <c r="CU86" s="105">
        <v>0</v>
      </c>
    </row>
    <row r="87" spans="2:99" x14ac:dyDescent="0.25">
      <c r="B87" s="104" t="s">
        <v>131</v>
      </c>
      <c r="C87" s="104" t="s">
        <v>252</v>
      </c>
      <c r="D87" s="105">
        <v>0</v>
      </c>
      <c r="E87" s="105">
        <v>0</v>
      </c>
      <c r="F87" s="105">
        <v>0</v>
      </c>
      <c r="G87" s="105">
        <v>0</v>
      </c>
      <c r="H87" s="105">
        <v>0</v>
      </c>
      <c r="I87" s="105">
        <v>0</v>
      </c>
      <c r="J87" s="105">
        <v>0</v>
      </c>
      <c r="K87" s="105">
        <v>0</v>
      </c>
      <c r="L87" s="105">
        <v>0</v>
      </c>
      <c r="M87" s="105">
        <v>0</v>
      </c>
      <c r="N87" s="105">
        <v>0</v>
      </c>
      <c r="O87" s="105">
        <v>0</v>
      </c>
      <c r="P87" s="105">
        <v>0</v>
      </c>
      <c r="Q87" s="105">
        <v>0</v>
      </c>
      <c r="R87" s="105">
        <v>0</v>
      </c>
      <c r="S87" s="105">
        <v>0</v>
      </c>
      <c r="T87" s="105">
        <v>0</v>
      </c>
      <c r="U87" s="105">
        <v>0</v>
      </c>
      <c r="V87" s="105">
        <v>0</v>
      </c>
      <c r="W87" s="105">
        <v>0</v>
      </c>
      <c r="X87" s="105">
        <v>0</v>
      </c>
      <c r="Y87" s="105">
        <v>0</v>
      </c>
      <c r="Z87" s="105">
        <v>0</v>
      </c>
      <c r="AA87" s="105">
        <v>0</v>
      </c>
      <c r="AB87" s="105">
        <v>0</v>
      </c>
      <c r="AC87" s="105">
        <v>0</v>
      </c>
      <c r="AD87" s="105">
        <v>0</v>
      </c>
      <c r="AE87" s="105">
        <v>0</v>
      </c>
      <c r="AF87" s="105">
        <v>0</v>
      </c>
      <c r="AG87" s="105">
        <v>0</v>
      </c>
      <c r="AH87" s="105">
        <v>0</v>
      </c>
      <c r="AI87" s="105">
        <v>0</v>
      </c>
      <c r="AJ87" s="105">
        <v>0</v>
      </c>
      <c r="AK87" s="105">
        <v>0</v>
      </c>
      <c r="AL87" s="105">
        <v>0</v>
      </c>
      <c r="AM87" s="105">
        <v>0</v>
      </c>
      <c r="AN87" s="105">
        <v>0</v>
      </c>
      <c r="AO87" s="105">
        <v>0</v>
      </c>
      <c r="AP87" s="105">
        <v>0</v>
      </c>
      <c r="AQ87" s="105">
        <v>0</v>
      </c>
      <c r="AR87" s="105">
        <v>0</v>
      </c>
      <c r="AS87" s="105">
        <v>0</v>
      </c>
      <c r="AT87" s="105">
        <v>0</v>
      </c>
      <c r="AU87" s="105">
        <v>0</v>
      </c>
      <c r="AV87" s="105">
        <v>0</v>
      </c>
      <c r="AW87" s="105">
        <v>0</v>
      </c>
      <c r="AX87" s="105">
        <v>0</v>
      </c>
      <c r="AY87" s="105">
        <v>0</v>
      </c>
      <c r="AZ87" s="105">
        <v>0</v>
      </c>
      <c r="BA87" s="105">
        <v>0</v>
      </c>
      <c r="BB87" s="105">
        <v>0</v>
      </c>
      <c r="BC87" s="105">
        <v>0</v>
      </c>
      <c r="BD87" s="105">
        <v>0</v>
      </c>
      <c r="BE87" s="105">
        <v>0</v>
      </c>
      <c r="BF87" s="105">
        <v>0</v>
      </c>
      <c r="BG87" s="105">
        <v>0</v>
      </c>
      <c r="BH87" s="105">
        <v>0</v>
      </c>
      <c r="BI87" s="105">
        <v>0</v>
      </c>
      <c r="BJ87" s="105">
        <v>0</v>
      </c>
      <c r="BK87" s="105">
        <v>0</v>
      </c>
      <c r="BL87" s="105">
        <v>0</v>
      </c>
      <c r="BM87" s="105">
        <v>0</v>
      </c>
      <c r="BN87" s="105">
        <v>0</v>
      </c>
      <c r="BO87" s="105">
        <v>0</v>
      </c>
      <c r="BP87" s="105">
        <v>0</v>
      </c>
      <c r="BQ87" s="105">
        <v>0</v>
      </c>
      <c r="BR87" s="105">
        <v>0</v>
      </c>
      <c r="BS87" s="105">
        <v>0</v>
      </c>
      <c r="BT87" s="105">
        <v>0</v>
      </c>
      <c r="BU87" s="105">
        <v>0</v>
      </c>
      <c r="BV87" s="105">
        <v>0</v>
      </c>
      <c r="BW87" s="105">
        <v>0</v>
      </c>
      <c r="BX87" s="105">
        <v>0</v>
      </c>
      <c r="BY87" s="105">
        <v>0</v>
      </c>
      <c r="BZ87" s="105">
        <v>0</v>
      </c>
      <c r="CA87" s="105">
        <v>0</v>
      </c>
      <c r="CB87" s="105">
        <v>0</v>
      </c>
      <c r="CC87" s="105">
        <v>0</v>
      </c>
      <c r="CD87" s="105">
        <v>0</v>
      </c>
      <c r="CE87" s="105">
        <v>0</v>
      </c>
      <c r="CF87" s="105">
        <v>0</v>
      </c>
      <c r="CG87" s="105">
        <v>0</v>
      </c>
      <c r="CH87" s="105">
        <v>0</v>
      </c>
      <c r="CI87" s="105">
        <v>0</v>
      </c>
      <c r="CJ87" s="105">
        <v>0</v>
      </c>
      <c r="CK87" s="105">
        <v>0</v>
      </c>
      <c r="CL87" s="105">
        <v>0</v>
      </c>
      <c r="CM87" s="105">
        <v>0</v>
      </c>
      <c r="CN87" s="105">
        <v>0</v>
      </c>
      <c r="CO87" s="105">
        <v>0</v>
      </c>
      <c r="CP87" s="105">
        <v>0</v>
      </c>
      <c r="CQ87" s="105">
        <v>0</v>
      </c>
      <c r="CR87" s="105">
        <v>0</v>
      </c>
      <c r="CS87" s="105">
        <v>0</v>
      </c>
      <c r="CT87" s="105">
        <v>0</v>
      </c>
      <c r="CU87" s="105">
        <v>0</v>
      </c>
    </row>
    <row r="88" spans="2:99" x14ac:dyDescent="0.25">
      <c r="C88" s="104" t="s">
        <v>253</v>
      </c>
      <c r="D88" s="105">
        <v>0</v>
      </c>
      <c r="E88" s="105">
        <v>0</v>
      </c>
      <c r="F88" s="105">
        <v>0</v>
      </c>
      <c r="G88" s="105">
        <v>0</v>
      </c>
      <c r="H88" s="105">
        <v>0</v>
      </c>
      <c r="I88" s="105">
        <v>0</v>
      </c>
      <c r="J88" s="105">
        <v>0</v>
      </c>
      <c r="K88" s="105">
        <v>0</v>
      </c>
      <c r="L88" s="105">
        <v>0</v>
      </c>
      <c r="M88" s="105">
        <v>0</v>
      </c>
      <c r="N88" s="105">
        <v>0</v>
      </c>
      <c r="O88" s="105">
        <v>0</v>
      </c>
      <c r="P88" s="105">
        <v>0</v>
      </c>
      <c r="Q88" s="105">
        <v>0</v>
      </c>
      <c r="R88" s="105">
        <v>0</v>
      </c>
      <c r="S88" s="105">
        <v>0</v>
      </c>
      <c r="T88" s="105">
        <v>0</v>
      </c>
      <c r="U88" s="105">
        <v>0</v>
      </c>
      <c r="V88" s="105">
        <v>0</v>
      </c>
      <c r="W88" s="105">
        <v>0</v>
      </c>
      <c r="X88" s="105">
        <v>0</v>
      </c>
      <c r="Y88" s="105">
        <v>0</v>
      </c>
      <c r="Z88" s="105">
        <v>0</v>
      </c>
      <c r="AA88" s="105">
        <v>0</v>
      </c>
      <c r="AB88" s="105">
        <v>0</v>
      </c>
      <c r="AC88" s="105">
        <v>0</v>
      </c>
      <c r="AD88" s="105">
        <v>0</v>
      </c>
      <c r="AE88" s="105">
        <v>0</v>
      </c>
      <c r="AF88" s="105">
        <v>0</v>
      </c>
      <c r="AG88" s="105">
        <v>0</v>
      </c>
      <c r="AH88" s="105">
        <v>0</v>
      </c>
      <c r="AI88" s="105">
        <v>0</v>
      </c>
      <c r="AJ88" s="105">
        <v>0</v>
      </c>
      <c r="AK88" s="105">
        <v>0</v>
      </c>
      <c r="AL88" s="105">
        <v>0</v>
      </c>
      <c r="AM88" s="105">
        <v>0</v>
      </c>
      <c r="AN88" s="105">
        <v>0</v>
      </c>
      <c r="AO88" s="105">
        <v>0</v>
      </c>
      <c r="AP88" s="105">
        <v>0</v>
      </c>
      <c r="AQ88" s="105">
        <v>0</v>
      </c>
      <c r="AR88" s="105">
        <v>0</v>
      </c>
      <c r="AS88" s="105">
        <v>0</v>
      </c>
      <c r="AT88" s="105">
        <v>0</v>
      </c>
      <c r="AU88" s="105">
        <v>0</v>
      </c>
      <c r="AV88" s="105">
        <v>0</v>
      </c>
      <c r="AW88" s="105">
        <v>0</v>
      </c>
      <c r="AX88" s="105">
        <v>0</v>
      </c>
      <c r="AY88" s="105">
        <v>0</v>
      </c>
      <c r="AZ88" s="105">
        <v>0</v>
      </c>
      <c r="BA88" s="105">
        <v>0</v>
      </c>
      <c r="BB88" s="105">
        <v>0</v>
      </c>
      <c r="BC88" s="105">
        <v>0</v>
      </c>
      <c r="BD88" s="105">
        <v>0</v>
      </c>
      <c r="BE88" s="105">
        <v>0</v>
      </c>
      <c r="BF88" s="105">
        <v>0</v>
      </c>
      <c r="BG88" s="105">
        <v>0</v>
      </c>
      <c r="BH88" s="105">
        <v>0</v>
      </c>
      <c r="BI88" s="105">
        <v>0</v>
      </c>
      <c r="BJ88" s="105">
        <v>0</v>
      </c>
      <c r="BK88" s="105">
        <v>0</v>
      </c>
      <c r="BL88" s="105">
        <v>0</v>
      </c>
      <c r="BM88" s="105">
        <v>0</v>
      </c>
      <c r="BN88" s="105">
        <v>0</v>
      </c>
      <c r="BO88" s="105">
        <v>0</v>
      </c>
      <c r="BP88" s="105">
        <v>0</v>
      </c>
      <c r="BQ88" s="105">
        <v>0</v>
      </c>
      <c r="BR88" s="105">
        <v>0</v>
      </c>
      <c r="BS88" s="105">
        <v>0</v>
      </c>
      <c r="BT88" s="105">
        <v>0</v>
      </c>
      <c r="BU88" s="105">
        <v>0</v>
      </c>
      <c r="BV88" s="105">
        <v>0</v>
      </c>
      <c r="BW88" s="105">
        <v>0</v>
      </c>
      <c r="BX88" s="105">
        <v>0</v>
      </c>
      <c r="BY88" s="105">
        <v>0</v>
      </c>
      <c r="BZ88" s="105">
        <v>0</v>
      </c>
      <c r="CA88" s="105">
        <v>0</v>
      </c>
      <c r="CB88" s="105">
        <v>0</v>
      </c>
      <c r="CC88" s="105">
        <v>0</v>
      </c>
      <c r="CD88" s="105">
        <v>0</v>
      </c>
      <c r="CE88" s="105">
        <v>0</v>
      </c>
      <c r="CF88" s="105">
        <v>0</v>
      </c>
      <c r="CG88" s="105">
        <v>0</v>
      </c>
      <c r="CH88" s="105">
        <v>0</v>
      </c>
      <c r="CI88" s="105">
        <v>0</v>
      </c>
      <c r="CJ88" s="105">
        <v>0</v>
      </c>
      <c r="CK88" s="105">
        <v>0</v>
      </c>
      <c r="CL88" s="105">
        <v>0</v>
      </c>
      <c r="CM88" s="105">
        <v>0</v>
      </c>
      <c r="CN88" s="105">
        <v>0</v>
      </c>
      <c r="CO88" s="105">
        <v>0</v>
      </c>
      <c r="CP88" s="105">
        <v>0</v>
      </c>
      <c r="CQ88" s="105">
        <v>0</v>
      </c>
      <c r="CR88" s="105">
        <v>0</v>
      </c>
      <c r="CS88" s="105">
        <v>0</v>
      </c>
      <c r="CT88" s="105">
        <v>0</v>
      </c>
      <c r="CU88" s="105">
        <v>0</v>
      </c>
    </row>
    <row r="89" spans="2:99" x14ac:dyDescent="0.25">
      <c r="C89" s="104" t="s">
        <v>254</v>
      </c>
      <c r="D89" s="105">
        <v>0</v>
      </c>
      <c r="E89" s="105">
        <v>0</v>
      </c>
      <c r="F89" s="105">
        <v>0</v>
      </c>
      <c r="G89" s="105">
        <v>0</v>
      </c>
      <c r="H89" s="105">
        <v>0</v>
      </c>
      <c r="I89" s="105">
        <v>0</v>
      </c>
      <c r="J89" s="105">
        <v>0</v>
      </c>
      <c r="K89" s="105">
        <v>0</v>
      </c>
      <c r="L89" s="105">
        <v>0</v>
      </c>
      <c r="M89" s="105">
        <v>0</v>
      </c>
      <c r="N89" s="105">
        <v>0</v>
      </c>
      <c r="O89" s="105">
        <v>0</v>
      </c>
      <c r="P89" s="105">
        <v>0</v>
      </c>
      <c r="Q89" s="105">
        <v>0</v>
      </c>
      <c r="R89" s="105">
        <v>0</v>
      </c>
      <c r="S89" s="105">
        <v>0</v>
      </c>
      <c r="T89" s="105">
        <v>0</v>
      </c>
      <c r="U89" s="105">
        <v>0</v>
      </c>
      <c r="V89" s="105">
        <v>0</v>
      </c>
      <c r="W89" s="105">
        <v>0</v>
      </c>
      <c r="X89" s="105">
        <v>0</v>
      </c>
      <c r="Y89" s="105">
        <v>0</v>
      </c>
      <c r="Z89" s="105">
        <v>0</v>
      </c>
      <c r="AA89" s="105">
        <v>0</v>
      </c>
      <c r="AB89" s="105">
        <v>0</v>
      </c>
      <c r="AC89" s="105">
        <v>0</v>
      </c>
      <c r="AD89" s="105">
        <v>0</v>
      </c>
      <c r="AE89" s="105">
        <v>0</v>
      </c>
      <c r="AF89" s="105">
        <v>0</v>
      </c>
      <c r="AG89" s="105">
        <v>0</v>
      </c>
      <c r="AH89" s="105">
        <v>0</v>
      </c>
      <c r="AI89" s="105">
        <v>0</v>
      </c>
      <c r="AJ89" s="105">
        <v>0</v>
      </c>
      <c r="AK89" s="105">
        <v>0</v>
      </c>
      <c r="AL89" s="105">
        <v>0</v>
      </c>
      <c r="AM89" s="105">
        <v>0</v>
      </c>
      <c r="AN89" s="105">
        <v>0</v>
      </c>
      <c r="AO89" s="105">
        <v>0</v>
      </c>
      <c r="AP89" s="105">
        <v>0</v>
      </c>
      <c r="AQ89" s="105">
        <v>0</v>
      </c>
      <c r="AR89" s="105">
        <v>0</v>
      </c>
      <c r="AS89" s="105">
        <v>0</v>
      </c>
      <c r="AT89" s="105">
        <v>0</v>
      </c>
      <c r="AU89" s="105">
        <v>0</v>
      </c>
      <c r="AV89" s="105">
        <v>0</v>
      </c>
      <c r="AW89" s="105">
        <v>0</v>
      </c>
      <c r="AX89" s="105">
        <v>0</v>
      </c>
      <c r="AY89" s="105">
        <v>0</v>
      </c>
      <c r="AZ89" s="105">
        <v>0</v>
      </c>
      <c r="BA89" s="105">
        <v>0</v>
      </c>
      <c r="BB89" s="105">
        <v>0</v>
      </c>
      <c r="BC89" s="105">
        <v>0</v>
      </c>
      <c r="BD89" s="105">
        <v>0</v>
      </c>
      <c r="BE89" s="105">
        <v>0</v>
      </c>
      <c r="BF89" s="105">
        <v>0</v>
      </c>
      <c r="BG89" s="105">
        <v>0</v>
      </c>
      <c r="BH89" s="105">
        <v>0</v>
      </c>
      <c r="BI89" s="105">
        <v>0</v>
      </c>
      <c r="BJ89" s="105">
        <v>0</v>
      </c>
      <c r="BK89" s="105">
        <v>0</v>
      </c>
      <c r="BL89" s="105">
        <v>0</v>
      </c>
      <c r="BM89" s="105">
        <v>0</v>
      </c>
      <c r="BN89" s="105">
        <v>0</v>
      </c>
      <c r="BO89" s="105">
        <v>0</v>
      </c>
      <c r="BP89" s="105">
        <v>0</v>
      </c>
      <c r="BQ89" s="105">
        <v>0</v>
      </c>
      <c r="BR89" s="105">
        <v>0</v>
      </c>
      <c r="BS89" s="105">
        <v>0</v>
      </c>
      <c r="BT89" s="105">
        <v>0</v>
      </c>
      <c r="BU89" s="105">
        <v>0</v>
      </c>
      <c r="BV89" s="105">
        <v>0</v>
      </c>
      <c r="BW89" s="105">
        <v>0</v>
      </c>
      <c r="BX89" s="105">
        <v>0</v>
      </c>
      <c r="BY89" s="105">
        <v>0</v>
      </c>
      <c r="BZ89" s="105">
        <v>0</v>
      </c>
      <c r="CA89" s="105">
        <v>0</v>
      </c>
      <c r="CB89" s="105">
        <v>0</v>
      </c>
      <c r="CC89" s="105">
        <v>0</v>
      </c>
      <c r="CD89" s="105">
        <v>0</v>
      </c>
      <c r="CE89" s="105">
        <v>0</v>
      </c>
      <c r="CF89" s="105">
        <v>0</v>
      </c>
      <c r="CG89" s="105">
        <v>0</v>
      </c>
      <c r="CH89" s="105">
        <v>0</v>
      </c>
      <c r="CI89" s="105">
        <v>0</v>
      </c>
      <c r="CJ89" s="105">
        <v>0</v>
      </c>
      <c r="CK89" s="105">
        <v>0</v>
      </c>
      <c r="CL89" s="105">
        <v>0</v>
      </c>
      <c r="CM89" s="105">
        <v>0</v>
      </c>
      <c r="CN89" s="105">
        <v>0</v>
      </c>
      <c r="CO89" s="105">
        <v>0</v>
      </c>
      <c r="CP89" s="105">
        <v>0</v>
      </c>
      <c r="CQ89" s="105">
        <v>0</v>
      </c>
      <c r="CR89" s="105">
        <v>0</v>
      </c>
      <c r="CS89" s="105">
        <v>0</v>
      </c>
      <c r="CT89" s="105">
        <v>0</v>
      </c>
      <c r="CU89" s="105">
        <v>0</v>
      </c>
    </row>
    <row r="90" spans="2:99" x14ac:dyDescent="0.25">
      <c r="C90" s="104" t="s">
        <v>255</v>
      </c>
      <c r="D90" s="105">
        <v>0</v>
      </c>
      <c r="E90" s="105">
        <v>0</v>
      </c>
      <c r="F90" s="105">
        <v>0</v>
      </c>
      <c r="G90" s="105">
        <v>0</v>
      </c>
      <c r="H90" s="105">
        <v>0</v>
      </c>
      <c r="I90" s="105">
        <v>0</v>
      </c>
      <c r="J90" s="105">
        <v>0</v>
      </c>
      <c r="K90" s="105">
        <v>0</v>
      </c>
      <c r="L90" s="105">
        <v>0</v>
      </c>
      <c r="M90" s="105">
        <v>0</v>
      </c>
      <c r="N90" s="105">
        <v>0</v>
      </c>
      <c r="O90" s="105">
        <v>0</v>
      </c>
      <c r="P90" s="105">
        <v>0</v>
      </c>
      <c r="Q90" s="105">
        <v>0</v>
      </c>
      <c r="R90" s="105">
        <v>0</v>
      </c>
      <c r="S90" s="105">
        <v>0</v>
      </c>
      <c r="T90" s="105">
        <v>0</v>
      </c>
      <c r="U90" s="105">
        <v>0</v>
      </c>
      <c r="V90" s="105">
        <v>0</v>
      </c>
      <c r="W90" s="105">
        <v>0</v>
      </c>
      <c r="X90" s="105">
        <v>0</v>
      </c>
      <c r="Y90" s="105">
        <v>0</v>
      </c>
      <c r="Z90" s="105">
        <v>0</v>
      </c>
      <c r="AA90" s="105">
        <v>0</v>
      </c>
      <c r="AB90" s="105">
        <v>0</v>
      </c>
      <c r="AC90" s="105">
        <v>0</v>
      </c>
      <c r="AD90" s="105">
        <v>0</v>
      </c>
      <c r="AE90" s="105">
        <v>0</v>
      </c>
      <c r="AF90" s="105">
        <v>0</v>
      </c>
      <c r="AG90" s="105">
        <v>0</v>
      </c>
      <c r="AH90" s="105">
        <v>0</v>
      </c>
      <c r="AI90" s="105">
        <v>0</v>
      </c>
      <c r="AJ90" s="105">
        <v>0</v>
      </c>
      <c r="AK90" s="105">
        <v>0</v>
      </c>
      <c r="AL90" s="105">
        <v>0</v>
      </c>
      <c r="AM90" s="105">
        <v>0</v>
      </c>
      <c r="AN90" s="105">
        <v>0</v>
      </c>
      <c r="AO90" s="105">
        <v>0</v>
      </c>
      <c r="AP90" s="105">
        <v>0</v>
      </c>
      <c r="AQ90" s="105">
        <v>0</v>
      </c>
      <c r="AR90" s="105">
        <v>0</v>
      </c>
      <c r="AS90" s="105">
        <v>0</v>
      </c>
      <c r="AT90" s="105">
        <v>0</v>
      </c>
      <c r="AU90" s="105">
        <v>0</v>
      </c>
      <c r="AV90" s="105">
        <v>0</v>
      </c>
      <c r="AW90" s="105">
        <v>0</v>
      </c>
      <c r="AX90" s="105">
        <v>0</v>
      </c>
      <c r="AY90" s="105">
        <v>0</v>
      </c>
      <c r="AZ90" s="105">
        <v>0</v>
      </c>
      <c r="BA90" s="105">
        <v>0</v>
      </c>
      <c r="BB90" s="105">
        <v>0</v>
      </c>
      <c r="BC90" s="105">
        <v>0</v>
      </c>
      <c r="BD90" s="105">
        <v>0</v>
      </c>
      <c r="BE90" s="105">
        <v>0</v>
      </c>
      <c r="BF90" s="105">
        <v>0</v>
      </c>
      <c r="BG90" s="105">
        <v>0</v>
      </c>
      <c r="BH90" s="105">
        <v>0</v>
      </c>
      <c r="BI90" s="105">
        <v>0</v>
      </c>
      <c r="BJ90" s="105">
        <v>0</v>
      </c>
      <c r="BK90" s="105">
        <v>0</v>
      </c>
      <c r="BL90" s="105">
        <v>0</v>
      </c>
      <c r="BM90" s="105">
        <v>0</v>
      </c>
      <c r="BN90" s="105">
        <v>0</v>
      </c>
      <c r="BO90" s="105">
        <v>0</v>
      </c>
      <c r="BP90" s="105">
        <v>0</v>
      </c>
      <c r="BQ90" s="105">
        <v>0</v>
      </c>
      <c r="BR90" s="105">
        <v>0</v>
      </c>
      <c r="BS90" s="105">
        <v>0</v>
      </c>
      <c r="BT90" s="105">
        <v>0</v>
      </c>
      <c r="BU90" s="105">
        <v>0</v>
      </c>
      <c r="BV90" s="105">
        <v>0</v>
      </c>
      <c r="BW90" s="105">
        <v>0</v>
      </c>
      <c r="BX90" s="105">
        <v>0</v>
      </c>
      <c r="BY90" s="105">
        <v>0</v>
      </c>
      <c r="BZ90" s="105">
        <v>0</v>
      </c>
      <c r="CA90" s="105">
        <v>0</v>
      </c>
      <c r="CB90" s="105">
        <v>0</v>
      </c>
      <c r="CC90" s="105">
        <v>0</v>
      </c>
      <c r="CD90" s="105">
        <v>0</v>
      </c>
      <c r="CE90" s="105">
        <v>0</v>
      </c>
      <c r="CF90" s="105">
        <v>0</v>
      </c>
      <c r="CG90" s="105">
        <v>0</v>
      </c>
      <c r="CH90" s="105">
        <v>0</v>
      </c>
      <c r="CI90" s="105">
        <v>0</v>
      </c>
      <c r="CJ90" s="105">
        <v>0</v>
      </c>
      <c r="CK90" s="105">
        <v>0</v>
      </c>
      <c r="CL90" s="105">
        <v>0</v>
      </c>
      <c r="CM90" s="105">
        <v>0</v>
      </c>
      <c r="CN90" s="105">
        <v>0</v>
      </c>
      <c r="CO90" s="105">
        <v>0</v>
      </c>
      <c r="CP90" s="105">
        <v>0</v>
      </c>
      <c r="CQ90" s="105">
        <v>0</v>
      </c>
      <c r="CR90" s="105">
        <v>0</v>
      </c>
      <c r="CS90" s="105">
        <v>0</v>
      </c>
      <c r="CT90" s="105">
        <v>0</v>
      </c>
      <c r="CU90" s="105">
        <v>0</v>
      </c>
    </row>
    <row r="91" spans="2:99" x14ac:dyDescent="0.25">
      <c r="C91" s="104" t="s">
        <v>256</v>
      </c>
      <c r="D91" s="105">
        <v>0</v>
      </c>
      <c r="E91" s="105">
        <v>0</v>
      </c>
      <c r="F91" s="105">
        <v>0</v>
      </c>
      <c r="G91" s="105">
        <v>0</v>
      </c>
      <c r="H91" s="105">
        <v>0</v>
      </c>
      <c r="I91" s="105">
        <v>0</v>
      </c>
      <c r="J91" s="105">
        <v>0</v>
      </c>
      <c r="K91" s="105">
        <v>0</v>
      </c>
      <c r="L91" s="105">
        <v>0</v>
      </c>
      <c r="M91" s="105">
        <v>0</v>
      </c>
      <c r="N91" s="105">
        <v>0</v>
      </c>
      <c r="O91" s="105">
        <v>0</v>
      </c>
      <c r="P91" s="105">
        <v>0</v>
      </c>
      <c r="Q91" s="105">
        <v>0</v>
      </c>
      <c r="R91" s="105">
        <v>0</v>
      </c>
      <c r="S91" s="105">
        <v>0</v>
      </c>
      <c r="T91" s="105">
        <v>0</v>
      </c>
      <c r="U91" s="105">
        <v>0</v>
      </c>
      <c r="V91" s="105">
        <v>0</v>
      </c>
      <c r="W91" s="105">
        <v>0</v>
      </c>
      <c r="X91" s="105">
        <v>0</v>
      </c>
      <c r="Y91" s="105">
        <v>0</v>
      </c>
      <c r="Z91" s="105">
        <v>0</v>
      </c>
      <c r="AA91" s="105">
        <v>0</v>
      </c>
      <c r="AB91" s="105">
        <v>0</v>
      </c>
      <c r="AC91" s="105">
        <v>0</v>
      </c>
      <c r="AD91" s="105">
        <v>0</v>
      </c>
      <c r="AE91" s="105">
        <v>0</v>
      </c>
      <c r="AF91" s="105">
        <v>0</v>
      </c>
      <c r="AG91" s="105">
        <v>0</v>
      </c>
      <c r="AH91" s="105">
        <v>0</v>
      </c>
      <c r="AI91" s="105">
        <v>0</v>
      </c>
      <c r="AJ91" s="105">
        <v>0</v>
      </c>
      <c r="AK91" s="105">
        <v>0</v>
      </c>
      <c r="AL91" s="105">
        <v>0</v>
      </c>
      <c r="AM91" s="105">
        <v>0</v>
      </c>
      <c r="AN91" s="105">
        <v>0</v>
      </c>
      <c r="AO91" s="105">
        <v>0</v>
      </c>
      <c r="AP91" s="105">
        <v>0</v>
      </c>
      <c r="AQ91" s="105">
        <v>0</v>
      </c>
      <c r="AR91" s="105">
        <v>0</v>
      </c>
      <c r="AS91" s="105">
        <v>0</v>
      </c>
      <c r="AT91" s="105">
        <v>0</v>
      </c>
      <c r="AU91" s="105">
        <v>0</v>
      </c>
      <c r="AV91" s="105">
        <v>0</v>
      </c>
      <c r="AW91" s="105">
        <v>0</v>
      </c>
      <c r="AX91" s="105">
        <v>0</v>
      </c>
      <c r="AY91" s="105">
        <v>0</v>
      </c>
      <c r="AZ91" s="105">
        <v>0</v>
      </c>
      <c r="BA91" s="105">
        <v>0</v>
      </c>
      <c r="BB91" s="105">
        <v>0</v>
      </c>
      <c r="BC91" s="105">
        <v>0</v>
      </c>
      <c r="BD91" s="105">
        <v>0</v>
      </c>
      <c r="BE91" s="105">
        <v>0</v>
      </c>
      <c r="BF91" s="105">
        <v>0</v>
      </c>
      <c r="BG91" s="105">
        <v>0</v>
      </c>
      <c r="BH91" s="105">
        <v>0</v>
      </c>
      <c r="BI91" s="105">
        <v>0</v>
      </c>
      <c r="BJ91" s="105">
        <v>0</v>
      </c>
      <c r="BK91" s="105">
        <v>0</v>
      </c>
      <c r="BL91" s="105">
        <v>0</v>
      </c>
      <c r="BM91" s="105">
        <v>0</v>
      </c>
      <c r="BN91" s="105">
        <v>0</v>
      </c>
      <c r="BO91" s="105">
        <v>0</v>
      </c>
      <c r="BP91" s="105">
        <v>0</v>
      </c>
      <c r="BQ91" s="105">
        <v>0</v>
      </c>
      <c r="BR91" s="105">
        <v>0</v>
      </c>
      <c r="BS91" s="105">
        <v>0</v>
      </c>
      <c r="BT91" s="105">
        <v>0</v>
      </c>
      <c r="BU91" s="105">
        <v>0</v>
      </c>
      <c r="BV91" s="105">
        <v>0</v>
      </c>
      <c r="BW91" s="105">
        <v>0</v>
      </c>
      <c r="BX91" s="105">
        <v>0</v>
      </c>
      <c r="BY91" s="105">
        <v>0</v>
      </c>
      <c r="BZ91" s="105">
        <v>0</v>
      </c>
      <c r="CA91" s="105">
        <v>0</v>
      </c>
      <c r="CB91" s="105">
        <v>0</v>
      </c>
      <c r="CC91" s="105">
        <v>0</v>
      </c>
      <c r="CD91" s="105">
        <v>0</v>
      </c>
      <c r="CE91" s="105">
        <v>0</v>
      </c>
      <c r="CF91" s="105">
        <v>0</v>
      </c>
      <c r="CG91" s="105">
        <v>0</v>
      </c>
      <c r="CH91" s="105">
        <v>0</v>
      </c>
      <c r="CI91" s="105">
        <v>0</v>
      </c>
      <c r="CJ91" s="105">
        <v>0</v>
      </c>
      <c r="CK91" s="105">
        <v>0</v>
      </c>
      <c r="CL91" s="105">
        <v>0</v>
      </c>
      <c r="CM91" s="105">
        <v>0</v>
      </c>
      <c r="CN91" s="105">
        <v>0</v>
      </c>
      <c r="CO91" s="105">
        <v>0</v>
      </c>
      <c r="CP91" s="105">
        <v>0</v>
      </c>
      <c r="CQ91" s="105">
        <v>0</v>
      </c>
      <c r="CR91" s="105">
        <v>0</v>
      </c>
      <c r="CS91" s="105">
        <v>0</v>
      </c>
      <c r="CT91" s="105">
        <v>0</v>
      </c>
      <c r="CU91" s="105">
        <v>0</v>
      </c>
    </row>
    <row r="92" spans="2:99" x14ac:dyDescent="0.25">
      <c r="C92" s="104" t="s">
        <v>257</v>
      </c>
      <c r="D92" s="105">
        <v>0</v>
      </c>
      <c r="E92" s="105">
        <v>0</v>
      </c>
      <c r="F92" s="105">
        <v>0</v>
      </c>
      <c r="G92" s="105">
        <v>0</v>
      </c>
      <c r="H92" s="105">
        <v>0</v>
      </c>
      <c r="I92" s="105">
        <v>0</v>
      </c>
      <c r="J92" s="105">
        <v>0</v>
      </c>
      <c r="K92" s="105">
        <v>0</v>
      </c>
      <c r="L92" s="105">
        <v>0</v>
      </c>
      <c r="M92" s="105">
        <v>0</v>
      </c>
      <c r="N92" s="105">
        <v>0</v>
      </c>
      <c r="O92" s="105">
        <v>0</v>
      </c>
      <c r="P92" s="105">
        <v>0</v>
      </c>
      <c r="Q92" s="105">
        <v>0</v>
      </c>
      <c r="R92" s="105">
        <v>0</v>
      </c>
      <c r="S92" s="105">
        <v>0</v>
      </c>
      <c r="T92" s="105">
        <v>0</v>
      </c>
      <c r="U92" s="105">
        <v>0</v>
      </c>
      <c r="V92" s="105">
        <v>0</v>
      </c>
      <c r="W92" s="105">
        <v>0</v>
      </c>
      <c r="X92" s="105">
        <v>0</v>
      </c>
      <c r="Y92" s="105">
        <v>0</v>
      </c>
      <c r="Z92" s="105">
        <v>0</v>
      </c>
      <c r="AA92" s="105">
        <v>0</v>
      </c>
      <c r="AB92" s="105">
        <v>0</v>
      </c>
      <c r="AC92" s="105">
        <v>0</v>
      </c>
      <c r="AD92" s="105">
        <v>0</v>
      </c>
      <c r="AE92" s="105">
        <v>0</v>
      </c>
      <c r="AF92" s="105">
        <v>0</v>
      </c>
      <c r="AG92" s="105">
        <v>0</v>
      </c>
      <c r="AH92" s="105">
        <v>0</v>
      </c>
      <c r="AI92" s="105">
        <v>0</v>
      </c>
      <c r="AJ92" s="105">
        <v>0</v>
      </c>
      <c r="AK92" s="105">
        <v>0</v>
      </c>
      <c r="AL92" s="105">
        <v>0</v>
      </c>
      <c r="AM92" s="105">
        <v>0</v>
      </c>
      <c r="AN92" s="105">
        <v>0</v>
      </c>
      <c r="AO92" s="105">
        <v>0</v>
      </c>
      <c r="AP92" s="105">
        <v>0</v>
      </c>
      <c r="AQ92" s="105">
        <v>0</v>
      </c>
      <c r="AR92" s="105">
        <v>0</v>
      </c>
      <c r="AS92" s="105">
        <v>0</v>
      </c>
      <c r="AT92" s="105">
        <v>0</v>
      </c>
      <c r="AU92" s="105">
        <v>0</v>
      </c>
      <c r="AV92" s="105">
        <v>0</v>
      </c>
      <c r="AW92" s="105">
        <v>0</v>
      </c>
      <c r="AX92" s="105">
        <v>0</v>
      </c>
      <c r="AY92" s="105">
        <v>0</v>
      </c>
      <c r="AZ92" s="105">
        <v>0</v>
      </c>
      <c r="BA92" s="105">
        <v>0</v>
      </c>
      <c r="BB92" s="105">
        <v>0</v>
      </c>
      <c r="BC92" s="105">
        <v>0</v>
      </c>
      <c r="BD92" s="105">
        <v>0</v>
      </c>
      <c r="BE92" s="105">
        <v>0</v>
      </c>
      <c r="BF92" s="105">
        <v>0</v>
      </c>
      <c r="BG92" s="105">
        <v>0</v>
      </c>
      <c r="BH92" s="105">
        <v>0</v>
      </c>
      <c r="BI92" s="105">
        <v>0</v>
      </c>
      <c r="BJ92" s="105">
        <v>0</v>
      </c>
      <c r="BK92" s="105">
        <v>0</v>
      </c>
      <c r="BL92" s="105">
        <v>0</v>
      </c>
      <c r="BM92" s="105">
        <v>0</v>
      </c>
      <c r="BN92" s="105">
        <v>0</v>
      </c>
      <c r="BO92" s="105">
        <v>0</v>
      </c>
      <c r="BP92" s="105">
        <v>0</v>
      </c>
      <c r="BQ92" s="105">
        <v>0</v>
      </c>
      <c r="BR92" s="105">
        <v>0</v>
      </c>
      <c r="BS92" s="105">
        <v>0</v>
      </c>
      <c r="BT92" s="105">
        <v>0</v>
      </c>
      <c r="BU92" s="105">
        <v>0</v>
      </c>
      <c r="BV92" s="105">
        <v>0</v>
      </c>
      <c r="BW92" s="105">
        <v>0</v>
      </c>
      <c r="BX92" s="105">
        <v>0</v>
      </c>
      <c r="BY92" s="105">
        <v>0</v>
      </c>
      <c r="BZ92" s="105">
        <v>0</v>
      </c>
      <c r="CA92" s="105">
        <v>0</v>
      </c>
      <c r="CB92" s="105">
        <v>0</v>
      </c>
      <c r="CC92" s="105">
        <v>0</v>
      </c>
      <c r="CD92" s="105">
        <v>0</v>
      </c>
      <c r="CE92" s="105">
        <v>0</v>
      </c>
      <c r="CF92" s="105">
        <v>0</v>
      </c>
      <c r="CG92" s="105">
        <v>0</v>
      </c>
      <c r="CH92" s="105">
        <v>0</v>
      </c>
      <c r="CI92" s="105">
        <v>0</v>
      </c>
      <c r="CJ92" s="105">
        <v>0</v>
      </c>
      <c r="CK92" s="105">
        <v>0</v>
      </c>
      <c r="CL92" s="105">
        <v>0</v>
      </c>
      <c r="CM92" s="105">
        <v>0</v>
      </c>
      <c r="CN92" s="105">
        <v>0</v>
      </c>
      <c r="CO92" s="105">
        <v>0</v>
      </c>
      <c r="CP92" s="105">
        <v>0</v>
      </c>
      <c r="CQ92" s="105">
        <v>0</v>
      </c>
      <c r="CR92" s="105">
        <v>0</v>
      </c>
      <c r="CS92" s="105">
        <v>0</v>
      </c>
      <c r="CT92" s="105">
        <v>0</v>
      </c>
      <c r="CU92" s="105">
        <v>0</v>
      </c>
    </row>
    <row r="93" spans="2:99" x14ac:dyDescent="0.25">
      <c r="C93" s="104" t="s">
        <v>258</v>
      </c>
      <c r="D93" s="105">
        <v>0</v>
      </c>
      <c r="E93" s="105">
        <v>0</v>
      </c>
      <c r="F93" s="105">
        <v>0</v>
      </c>
      <c r="G93" s="105">
        <v>0</v>
      </c>
      <c r="H93" s="105">
        <v>0</v>
      </c>
      <c r="I93" s="105">
        <v>0</v>
      </c>
      <c r="J93" s="105">
        <v>0</v>
      </c>
      <c r="K93" s="105">
        <v>0</v>
      </c>
      <c r="L93" s="105">
        <v>0</v>
      </c>
      <c r="M93" s="105">
        <v>0</v>
      </c>
      <c r="N93" s="105">
        <v>0</v>
      </c>
      <c r="O93" s="105">
        <v>0</v>
      </c>
      <c r="P93" s="105">
        <v>0</v>
      </c>
      <c r="Q93" s="105">
        <v>0</v>
      </c>
      <c r="R93" s="105">
        <v>0</v>
      </c>
      <c r="S93" s="105">
        <v>0</v>
      </c>
      <c r="T93" s="105">
        <v>0</v>
      </c>
      <c r="U93" s="105">
        <v>0</v>
      </c>
      <c r="V93" s="105">
        <v>0</v>
      </c>
      <c r="W93" s="105">
        <v>0</v>
      </c>
      <c r="X93" s="105">
        <v>0</v>
      </c>
      <c r="Y93" s="105">
        <v>0</v>
      </c>
      <c r="Z93" s="105">
        <v>0</v>
      </c>
      <c r="AA93" s="105">
        <v>0</v>
      </c>
      <c r="AB93" s="105">
        <v>0</v>
      </c>
      <c r="AC93" s="105">
        <v>0</v>
      </c>
      <c r="AD93" s="105">
        <v>0</v>
      </c>
      <c r="AE93" s="105">
        <v>0</v>
      </c>
      <c r="AF93" s="105">
        <v>0</v>
      </c>
      <c r="AG93" s="105">
        <v>0</v>
      </c>
      <c r="AH93" s="105">
        <v>0</v>
      </c>
      <c r="AI93" s="105">
        <v>0</v>
      </c>
      <c r="AJ93" s="105">
        <v>0</v>
      </c>
      <c r="AK93" s="105">
        <v>0</v>
      </c>
      <c r="AL93" s="105">
        <v>0</v>
      </c>
      <c r="AM93" s="105">
        <v>0</v>
      </c>
      <c r="AN93" s="105">
        <v>0</v>
      </c>
      <c r="AO93" s="105">
        <v>0</v>
      </c>
      <c r="AP93" s="105">
        <v>0</v>
      </c>
      <c r="AQ93" s="105">
        <v>0</v>
      </c>
      <c r="AR93" s="105">
        <v>0</v>
      </c>
      <c r="AS93" s="105">
        <v>0</v>
      </c>
      <c r="AT93" s="105">
        <v>0</v>
      </c>
      <c r="AU93" s="105">
        <v>0</v>
      </c>
      <c r="AV93" s="105">
        <v>0</v>
      </c>
      <c r="AW93" s="105">
        <v>0</v>
      </c>
      <c r="AX93" s="105">
        <v>0</v>
      </c>
      <c r="AY93" s="105">
        <v>0</v>
      </c>
      <c r="AZ93" s="105">
        <v>0</v>
      </c>
      <c r="BA93" s="105">
        <v>0</v>
      </c>
      <c r="BB93" s="105">
        <v>0</v>
      </c>
      <c r="BC93" s="105">
        <v>0</v>
      </c>
      <c r="BD93" s="105">
        <v>0</v>
      </c>
      <c r="BE93" s="105">
        <v>0</v>
      </c>
      <c r="BF93" s="105">
        <v>0</v>
      </c>
      <c r="BG93" s="105">
        <v>0</v>
      </c>
      <c r="BH93" s="105">
        <v>0</v>
      </c>
      <c r="BI93" s="105">
        <v>0</v>
      </c>
      <c r="BJ93" s="105">
        <v>0</v>
      </c>
      <c r="BK93" s="105">
        <v>0</v>
      </c>
      <c r="BL93" s="105">
        <v>0</v>
      </c>
      <c r="BM93" s="105">
        <v>0</v>
      </c>
      <c r="BN93" s="105">
        <v>0</v>
      </c>
      <c r="BO93" s="105">
        <v>0</v>
      </c>
      <c r="BP93" s="105">
        <v>0</v>
      </c>
      <c r="BQ93" s="105">
        <v>0</v>
      </c>
      <c r="BR93" s="105">
        <v>0</v>
      </c>
      <c r="BS93" s="105">
        <v>0</v>
      </c>
      <c r="BT93" s="105">
        <v>0</v>
      </c>
      <c r="BU93" s="105">
        <v>0</v>
      </c>
      <c r="BV93" s="105">
        <v>0</v>
      </c>
      <c r="BW93" s="105">
        <v>0</v>
      </c>
      <c r="BX93" s="105">
        <v>0</v>
      </c>
      <c r="BY93" s="105">
        <v>0</v>
      </c>
      <c r="BZ93" s="105">
        <v>0</v>
      </c>
      <c r="CA93" s="105">
        <v>0</v>
      </c>
      <c r="CB93" s="105">
        <v>0</v>
      </c>
      <c r="CC93" s="105">
        <v>0</v>
      </c>
      <c r="CD93" s="105">
        <v>0</v>
      </c>
      <c r="CE93" s="105">
        <v>0</v>
      </c>
      <c r="CF93" s="105">
        <v>0</v>
      </c>
      <c r="CG93" s="105">
        <v>0</v>
      </c>
      <c r="CH93" s="105">
        <v>0</v>
      </c>
      <c r="CI93" s="105">
        <v>0</v>
      </c>
      <c r="CJ93" s="105">
        <v>0</v>
      </c>
      <c r="CK93" s="105">
        <v>0</v>
      </c>
      <c r="CL93" s="105">
        <v>0</v>
      </c>
      <c r="CM93" s="105">
        <v>0</v>
      </c>
      <c r="CN93" s="105">
        <v>0</v>
      </c>
      <c r="CO93" s="105">
        <v>0</v>
      </c>
      <c r="CP93" s="105">
        <v>0</v>
      </c>
      <c r="CQ93" s="105">
        <v>0</v>
      </c>
      <c r="CR93" s="105">
        <v>0</v>
      </c>
      <c r="CS93" s="105">
        <v>0</v>
      </c>
      <c r="CT93" s="105">
        <v>0</v>
      </c>
      <c r="CU93" s="105">
        <v>0</v>
      </c>
    </row>
    <row r="94" spans="2:99" x14ac:dyDescent="0.25">
      <c r="C94" s="104" t="s">
        <v>259</v>
      </c>
      <c r="D94" s="105">
        <v>0</v>
      </c>
      <c r="E94" s="105">
        <v>0</v>
      </c>
      <c r="F94" s="105">
        <v>0</v>
      </c>
      <c r="G94" s="105">
        <v>0</v>
      </c>
      <c r="H94" s="105">
        <v>0</v>
      </c>
      <c r="I94" s="105">
        <v>0</v>
      </c>
      <c r="J94" s="105">
        <v>0</v>
      </c>
      <c r="K94" s="105">
        <v>0</v>
      </c>
      <c r="L94" s="105">
        <v>0</v>
      </c>
      <c r="M94" s="105">
        <v>0</v>
      </c>
      <c r="N94" s="105">
        <v>0</v>
      </c>
      <c r="O94" s="105">
        <v>0</v>
      </c>
      <c r="P94" s="105">
        <v>0</v>
      </c>
      <c r="Q94" s="105">
        <v>0</v>
      </c>
      <c r="R94" s="105">
        <v>0</v>
      </c>
      <c r="S94" s="105">
        <v>0</v>
      </c>
      <c r="T94" s="105">
        <v>0</v>
      </c>
      <c r="U94" s="105">
        <v>0</v>
      </c>
      <c r="V94" s="105">
        <v>0</v>
      </c>
      <c r="W94" s="105">
        <v>0</v>
      </c>
      <c r="X94" s="105">
        <v>0</v>
      </c>
      <c r="Y94" s="105">
        <v>0</v>
      </c>
      <c r="Z94" s="105">
        <v>0</v>
      </c>
      <c r="AA94" s="105">
        <v>0</v>
      </c>
      <c r="AB94" s="105">
        <v>0</v>
      </c>
      <c r="AC94" s="105">
        <v>0</v>
      </c>
      <c r="AD94" s="105">
        <v>0</v>
      </c>
      <c r="AE94" s="105">
        <v>0</v>
      </c>
      <c r="AF94" s="105">
        <v>0</v>
      </c>
      <c r="AG94" s="105">
        <v>0</v>
      </c>
      <c r="AH94" s="105">
        <v>0</v>
      </c>
      <c r="AI94" s="105">
        <v>0</v>
      </c>
      <c r="AJ94" s="105">
        <v>0</v>
      </c>
      <c r="AK94" s="105">
        <v>0</v>
      </c>
      <c r="AL94" s="105">
        <v>0</v>
      </c>
      <c r="AM94" s="105">
        <v>0</v>
      </c>
      <c r="AN94" s="105">
        <v>0</v>
      </c>
      <c r="AO94" s="105">
        <v>0</v>
      </c>
      <c r="AP94" s="105">
        <v>0</v>
      </c>
      <c r="AQ94" s="105">
        <v>0</v>
      </c>
      <c r="AR94" s="105">
        <v>0</v>
      </c>
      <c r="AS94" s="105">
        <v>0</v>
      </c>
      <c r="AT94" s="105">
        <v>0</v>
      </c>
      <c r="AU94" s="105">
        <v>0</v>
      </c>
      <c r="AV94" s="105">
        <v>0</v>
      </c>
      <c r="AW94" s="105">
        <v>0</v>
      </c>
      <c r="AX94" s="105">
        <v>0</v>
      </c>
      <c r="AY94" s="105">
        <v>0</v>
      </c>
      <c r="AZ94" s="105">
        <v>0</v>
      </c>
      <c r="BA94" s="105">
        <v>0</v>
      </c>
      <c r="BB94" s="105">
        <v>0</v>
      </c>
      <c r="BC94" s="105">
        <v>0</v>
      </c>
      <c r="BD94" s="105">
        <v>0</v>
      </c>
      <c r="BE94" s="105">
        <v>0</v>
      </c>
      <c r="BF94" s="105">
        <v>0</v>
      </c>
      <c r="BG94" s="105">
        <v>0</v>
      </c>
      <c r="BH94" s="105">
        <v>0</v>
      </c>
      <c r="BI94" s="105">
        <v>0</v>
      </c>
      <c r="BJ94" s="105">
        <v>0</v>
      </c>
      <c r="BK94" s="105">
        <v>0</v>
      </c>
      <c r="BL94" s="105">
        <v>0</v>
      </c>
      <c r="BM94" s="105">
        <v>0</v>
      </c>
      <c r="BN94" s="105">
        <v>0</v>
      </c>
      <c r="BO94" s="105">
        <v>0</v>
      </c>
      <c r="BP94" s="105">
        <v>0</v>
      </c>
      <c r="BQ94" s="105">
        <v>0</v>
      </c>
      <c r="BR94" s="105">
        <v>0</v>
      </c>
      <c r="BS94" s="105">
        <v>0</v>
      </c>
      <c r="BT94" s="105">
        <v>0</v>
      </c>
      <c r="BU94" s="105">
        <v>0</v>
      </c>
      <c r="BV94" s="105">
        <v>0</v>
      </c>
      <c r="BW94" s="105">
        <v>0</v>
      </c>
      <c r="BX94" s="105">
        <v>0</v>
      </c>
      <c r="BY94" s="105">
        <v>0</v>
      </c>
      <c r="BZ94" s="105">
        <v>0</v>
      </c>
      <c r="CA94" s="105">
        <v>0</v>
      </c>
      <c r="CB94" s="105">
        <v>0</v>
      </c>
      <c r="CC94" s="105">
        <v>0</v>
      </c>
      <c r="CD94" s="105">
        <v>0</v>
      </c>
      <c r="CE94" s="105">
        <v>0</v>
      </c>
      <c r="CF94" s="105">
        <v>0</v>
      </c>
      <c r="CG94" s="105">
        <v>0</v>
      </c>
      <c r="CH94" s="105">
        <v>0</v>
      </c>
      <c r="CI94" s="105">
        <v>0</v>
      </c>
      <c r="CJ94" s="105">
        <v>0</v>
      </c>
      <c r="CK94" s="105">
        <v>0</v>
      </c>
      <c r="CL94" s="105">
        <v>0</v>
      </c>
      <c r="CM94" s="105">
        <v>0</v>
      </c>
      <c r="CN94" s="105">
        <v>0</v>
      </c>
      <c r="CO94" s="105">
        <v>0</v>
      </c>
      <c r="CP94" s="105">
        <v>0</v>
      </c>
      <c r="CQ94" s="105">
        <v>0</v>
      </c>
      <c r="CR94" s="105">
        <v>0</v>
      </c>
      <c r="CS94" s="105">
        <v>0</v>
      </c>
      <c r="CT94" s="105">
        <v>0</v>
      </c>
      <c r="CU94" s="105">
        <v>0</v>
      </c>
    </row>
    <row r="95" spans="2:99" x14ac:dyDescent="0.25">
      <c r="B95" s="104" t="s">
        <v>132</v>
      </c>
      <c r="C95" s="104" t="s">
        <v>260</v>
      </c>
      <c r="D95" s="105">
        <v>0</v>
      </c>
      <c r="E95" s="105">
        <v>0</v>
      </c>
      <c r="F95" s="105">
        <v>0</v>
      </c>
      <c r="G95" s="105">
        <v>0</v>
      </c>
      <c r="H95" s="105">
        <v>0</v>
      </c>
      <c r="I95" s="105">
        <v>0</v>
      </c>
      <c r="J95" s="105">
        <v>0</v>
      </c>
      <c r="K95" s="105">
        <v>0</v>
      </c>
      <c r="L95" s="105">
        <v>0</v>
      </c>
      <c r="M95" s="105">
        <v>0</v>
      </c>
      <c r="N95" s="105">
        <v>0</v>
      </c>
      <c r="O95" s="105">
        <v>0</v>
      </c>
      <c r="P95" s="105">
        <v>0</v>
      </c>
      <c r="Q95" s="105">
        <v>0</v>
      </c>
      <c r="R95" s="105">
        <v>0</v>
      </c>
      <c r="S95" s="105">
        <v>0</v>
      </c>
      <c r="T95" s="105">
        <v>0</v>
      </c>
      <c r="U95" s="105">
        <v>0</v>
      </c>
      <c r="V95" s="105">
        <v>0</v>
      </c>
      <c r="W95" s="105">
        <v>0</v>
      </c>
      <c r="X95" s="105">
        <v>0</v>
      </c>
      <c r="Y95" s="105">
        <v>0</v>
      </c>
      <c r="Z95" s="105">
        <v>0</v>
      </c>
      <c r="AA95" s="105">
        <v>0</v>
      </c>
      <c r="AB95" s="105">
        <v>0</v>
      </c>
      <c r="AC95" s="105">
        <v>0</v>
      </c>
      <c r="AD95" s="105">
        <v>0</v>
      </c>
      <c r="AE95" s="105">
        <v>0</v>
      </c>
      <c r="AF95" s="105">
        <v>0</v>
      </c>
      <c r="AG95" s="105">
        <v>0</v>
      </c>
      <c r="AH95" s="105">
        <v>0</v>
      </c>
      <c r="AI95" s="105">
        <v>0</v>
      </c>
      <c r="AJ95" s="105">
        <v>0</v>
      </c>
      <c r="AK95" s="105">
        <v>0</v>
      </c>
      <c r="AL95" s="105">
        <v>0</v>
      </c>
      <c r="AM95" s="105">
        <v>0</v>
      </c>
      <c r="AN95" s="105">
        <v>0</v>
      </c>
      <c r="AO95" s="105">
        <v>0</v>
      </c>
      <c r="AP95" s="105">
        <v>0</v>
      </c>
      <c r="AQ95" s="105">
        <v>0</v>
      </c>
      <c r="AR95" s="105">
        <v>0</v>
      </c>
      <c r="AS95" s="105">
        <v>0</v>
      </c>
      <c r="AT95" s="105">
        <v>0</v>
      </c>
      <c r="AU95" s="105">
        <v>0</v>
      </c>
      <c r="AV95" s="105">
        <v>0</v>
      </c>
      <c r="AW95" s="105">
        <v>0</v>
      </c>
      <c r="AX95" s="105">
        <v>0</v>
      </c>
      <c r="AY95" s="105">
        <v>0</v>
      </c>
      <c r="AZ95" s="105">
        <v>0</v>
      </c>
      <c r="BA95" s="105">
        <v>0</v>
      </c>
      <c r="BB95" s="105">
        <v>0</v>
      </c>
      <c r="BC95" s="105">
        <v>0</v>
      </c>
      <c r="BD95" s="105">
        <v>0</v>
      </c>
      <c r="BE95" s="105">
        <v>0</v>
      </c>
      <c r="BF95" s="105">
        <v>0</v>
      </c>
      <c r="BG95" s="105">
        <v>0</v>
      </c>
      <c r="BH95" s="105">
        <v>0</v>
      </c>
      <c r="BI95" s="105">
        <v>0</v>
      </c>
      <c r="BJ95" s="105">
        <v>0</v>
      </c>
      <c r="BK95" s="105">
        <v>0</v>
      </c>
      <c r="BL95" s="105">
        <v>0</v>
      </c>
      <c r="BM95" s="105">
        <v>0</v>
      </c>
      <c r="BN95" s="105">
        <v>0</v>
      </c>
      <c r="BO95" s="105">
        <v>0</v>
      </c>
      <c r="BP95" s="105">
        <v>0</v>
      </c>
      <c r="BQ95" s="105">
        <v>0</v>
      </c>
      <c r="BR95" s="105">
        <v>0</v>
      </c>
      <c r="BS95" s="105">
        <v>0</v>
      </c>
      <c r="BT95" s="105">
        <v>0</v>
      </c>
      <c r="BU95" s="105">
        <v>0</v>
      </c>
      <c r="BV95" s="105">
        <v>0</v>
      </c>
      <c r="BW95" s="105">
        <v>0</v>
      </c>
      <c r="BX95" s="105">
        <v>0</v>
      </c>
      <c r="BY95" s="105">
        <v>0</v>
      </c>
      <c r="BZ95" s="105">
        <v>0</v>
      </c>
      <c r="CA95" s="105">
        <v>0</v>
      </c>
      <c r="CB95" s="105">
        <v>0</v>
      </c>
      <c r="CC95" s="105">
        <v>0</v>
      </c>
      <c r="CD95" s="105">
        <v>0</v>
      </c>
      <c r="CE95" s="105">
        <v>0</v>
      </c>
      <c r="CF95" s="105">
        <v>0</v>
      </c>
      <c r="CG95" s="105">
        <v>0</v>
      </c>
      <c r="CH95" s="105">
        <v>0</v>
      </c>
      <c r="CI95" s="105">
        <v>0</v>
      </c>
      <c r="CJ95" s="105">
        <v>0</v>
      </c>
      <c r="CK95" s="105">
        <v>0</v>
      </c>
      <c r="CL95" s="105">
        <v>0</v>
      </c>
      <c r="CM95" s="105">
        <v>0</v>
      </c>
      <c r="CN95" s="105">
        <v>0</v>
      </c>
      <c r="CO95" s="105">
        <v>0</v>
      </c>
      <c r="CP95" s="105">
        <v>0</v>
      </c>
      <c r="CQ95" s="105">
        <v>0</v>
      </c>
      <c r="CR95" s="105">
        <v>0</v>
      </c>
      <c r="CS95" s="105">
        <v>0</v>
      </c>
      <c r="CT95" s="105">
        <v>0</v>
      </c>
      <c r="CU95" s="105">
        <v>0</v>
      </c>
    </row>
    <row r="96" spans="2:99" x14ac:dyDescent="0.25">
      <c r="C96" s="104" t="s">
        <v>261</v>
      </c>
      <c r="D96" s="105">
        <v>0</v>
      </c>
      <c r="E96" s="105">
        <v>0</v>
      </c>
      <c r="F96" s="105">
        <v>0</v>
      </c>
      <c r="G96" s="105">
        <v>0</v>
      </c>
      <c r="H96" s="105">
        <v>0</v>
      </c>
      <c r="I96" s="105">
        <v>0</v>
      </c>
      <c r="J96" s="105">
        <v>0</v>
      </c>
      <c r="K96" s="105">
        <v>0</v>
      </c>
      <c r="L96" s="105">
        <v>0</v>
      </c>
      <c r="M96" s="105">
        <v>0</v>
      </c>
      <c r="N96" s="105">
        <v>0</v>
      </c>
      <c r="O96" s="105">
        <v>0</v>
      </c>
      <c r="P96" s="105">
        <v>0</v>
      </c>
      <c r="Q96" s="105">
        <v>0</v>
      </c>
      <c r="R96" s="105">
        <v>0</v>
      </c>
      <c r="S96" s="105">
        <v>0</v>
      </c>
      <c r="T96" s="105">
        <v>0</v>
      </c>
      <c r="U96" s="105">
        <v>0</v>
      </c>
      <c r="V96" s="105">
        <v>0</v>
      </c>
      <c r="W96" s="105">
        <v>0</v>
      </c>
      <c r="X96" s="105">
        <v>0</v>
      </c>
      <c r="Y96" s="105">
        <v>0</v>
      </c>
      <c r="Z96" s="105">
        <v>0</v>
      </c>
      <c r="AA96" s="105">
        <v>0</v>
      </c>
      <c r="AB96" s="105">
        <v>0</v>
      </c>
      <c r="AC96" s="105">
        <v>0</v>
      </c>
      <c r="AD96" s="105">
        <v>0</v>
      </c>
      <c r="AE96" s="105">
        <v>0</v>
      </c>
      <c r="AF96" s="105">
        <v>0</v>
      </c>
      <c r="AG96" s="105">
        <v>0</v>
      </c>
      <c r="AH96" s="105">
        <v>0</v>
      </c>
      <c r="AI96" s="105">
        <v>0</v>
      </c>
      <c r="AJ96" s="105">
        <v>0</v>
      </c>
      <c r="AK96" s="105">
        <v>0</v>
      </c>
      <c r="AL96" s="105">
        <v>0</v>
      </c>
      <c r="AM96" s="105">
        <v>0</v>
      </c>
      <c r="AN96" s="105">
        <v>0</v>
      </c>
      <c r="AO96" s="105">
        <v>0</v>
      </c>
      <c r="AP96" s="105">
        <v>0</v>
      </c>
      <c r="AQ96" s="105">
        <v>0</v>
      </c>
      <c r="AR96" s="105">
        <v>0</v>
      </c>
      <c r="AS96" s="105">
        <v>0</v>
      </c>
      <c r="AT96" s="105">
        <v>0</v>
      </c>
      <c r="AU96" s="105">
        <v>0</v>
      </c>
      <c r="AV96" s="105">
        <v>0</v>
      </c>
      <c r="AW96" s="105">
        <v>0</v>
      </c>
      <c r="AX96" s="105">
        <v>0</v>
      </c>
      <c r="AY96" s="105">
        <v>0</v>
      </c>
      <c r="AZ96" s="105">
        <v>0</v>
      </c>
      <c r="BA96" s="105">
        <v>0</v>
      </c>
      <c r="BB96" s="105">
        <v>0</v>
      </c>
      <c r="BC96" s="105">
        <v>0</v>
      </c>
      <c r="BD96" s="105">
        <v>0</v>
      </c>
      <c r="BE96" s="105">
        <v>0</v>
      </c>
      <c r="BF96" s="105">
        <v>0</v>
      </c>
      <c r="BG96" s="105">
        <v>0</v>
      </c>
      <c r="BH96" s="105">
        <v>0</v>
      </c>
      <c r="BI96" s="105">
        <v>0</v>
      </c>
      <c r="BJ96" s="105">
        <v>0</v>
      </c>
      <c r="BK96" s="105">
        <v>0</v>
      </c>
      <c r="BL96" s="105">
        <v>0</v>
      </c>
      <c r="BM96" s="105">
        <v>0</v>
      </c>
      <c r="BN96" s="105">
        <v>0</v>
      </c>
      <c r="BO96" s="105">
        <v>0</v>
      </c>
      <c r="BP96" s="105">
        <v>0</v>
      </c>
      <c r="BQ96" s="105">
        <v>0</v>
      </c>
      <c r="BR96" s="105">
        <v>0</v>
      </c>
      <c r="BS96" s="105">
        <v>0</v>
      </c>
      <c r="BT96" s="105">
        <v>0</v>
      </c>
      <c r="BU96" s="105">
        <v>0</v>
      </c>
      <c r="BV96" s="105">
        <v>0</v>
      </c>
      <c r="BW96" s="105">
        <v>0</v>
      </c>
      <c r="BX96" s="105">
        <v>0</v>
      </c>
      <c r="BY96" s="105">
        <v>0</v>
      </c>
      <c r="BZ96" s="105">
        <v>0</v>
      </c>
      <c r="CA96" s="105">
        <v>0</v>
      </c>
      <c r="CB96" s="105">
        <v>0</v>
      </c>
      <c r="CC96" s="105">
        <v>0</v>
      </c>
      <c r="CD96" s="105">
        <v>0</v>
      </c>
      <c r="CE96" s="105">
        <v>0</v>
      </c>
      <c r="CF96" s="105">
        <v>0</v>
      </c>
      <c r="CG96" s="105">
        <v>0</v>
      </c>
      <c r="CH96" s="105">
        <v>0</v>
      </c>
      <c r="CI96" s="105">
        <v>0</v>
      </c>
      <c r="CJ96" s="105">
        <v>0</v>
      </c>
      <c r="CK96" s="105">
        <v>0</v>
      </c>
      <c r="CL96" s="105">
        <v>0</v>
      </c>
      <c r="CM96" s="105">
        <v>0</v>
      </c>
      <c r="CN96" s="105">
        <v>0</v>
      </c>
      <c r="CO96" s="105">
        <v>0</v>
      </c>
      <c r="CP96" s="105">
        <v>0</v>
      </c>
      <c r="CQ96" s="105">
        <v>0</v>
      </c>
      <c r="CR96" s="105">
        <v>0</v>
      </c>
      <c r="CS96" s="105">
        <v>0</v>
      </c>
      <c r="CT96" s="105">
        <v>0</v>
      </c>
      <c r="CU96" s="105">
        <v>0</v>
      </c>
    </row>
    <row r="97" spans="2:99" x14ac:dyDescent="0.25">
      <c r="C97" s="104" t="s">
        <v>262</v>
      </c>
      <c r="D97" s="105">
        <v>0</v>
      </c>
      <c r="E97" s="105">
        <v>0</v>
      </c>
      <c r="F97" s="105">
        <v>0</v>
      </c>
      <c r="G97" s="105">
        <v>0</v>
      </c>
      <c r="H97" s="105">
        <v>0</v>
      </c>
      <c r="I97" s="105">
        <v>0</v>
      </c>
      <c r="J97" s="105">
        <v>0</v>
      </c>
      <c r="K97" s="105">
        <v>0</v>
      </c>
      <c r="L97" s="105">
        <v>0</v>
      </c>
      <c r="M97" s="105">
        <v>0</v>
      </c>
      <c r="N97" s="105">
        <v>0</v>
      </c>
      <c r="O97" s="105">
        <v>0</v>
      </c>
      <c r="P97" s="105">
        <v>0</v>
      </c>
      <c r="Q97" s="105">
        <v>0</v>
      </c>
      <c r="R97" s="105">
        <v>0</v>
      </c>
      <c r="S97" s="105">
        <v>0</v>
      </c>
      <c r="T97" s="105">
        <v>0</v>
      </c>
      <c r="U97" s="105">
        <v>0</v>
      </c>
      <c r="V97" s="105">
        <v>0</v>
      </c>
      <c r="W97" s="105">
        <v>0</v>
      </c>
      <c r="X97" s="105">
        <v>0</v>
      </c>
      <c r="Y97" s="105">
        <v>0</v>
      </c>
      <c r="Z97" s="105">
        <v>0</v>
      </c>
      <c r="AA97" s="105">
        <v>0</v>
      </c>
      <c r="AB97" s="105">
        <v>0</v>
      </c>
      <c r="AC97" s="105">
        <v>0</v>
      </c>
      <c r="AD97" s="105">
        <v>0</v>
      </c>
      <c r="AE97" s="105">
        <v>0</v>
      </c>
      <c r="AF97" s="105">
        <v>0</v>
      </c>
      <c r="AG97" s="105">
        <v>0</v>
      </c>
      <c r="AH97" s="105">
        <v>0</v>
      </c>
      <c r="AI97" s="105">
        <v>0</v>
      </c>
      <c r="AJ97" s="105">
        <v>0</v>
      </c>
      <c r="AK97" s="105">
        <v>0</v>
      </c>
      <c r="AL97" s="105">
        <v>0</v>
      </c>
      <c r="AM97" s="105">
        <v>0</v>
      </c>
      <c r="AN97" s="105">
        <v>0</v>
      </c>
      <c r="AO97" s="105">
        <v>0</v>
      </c>
      <c r="AP97" s="105">
        <v>0</v>
      </c>
      <c r="AQ97" s="105">
        <v>0</v>
      </c>
      <c r="AR97" s="105">
        <v>0</v>
      </c>
      <c r="AS97" s="105">
        <v>0</v>
      </c>
      <c r="AT97" s="105">
        <v>0</v>
      </c>
      <c r="AU97" s="105">
        <v>0</v>
      </c>
      <c r="AV97" s="105">
        <v>0</v>
      </c>
      <c r="AW97" s="105">
        <v>0</v>
      </c>
      <c r="AX97" s="105">
        <v>0</v>
      </c>
      <c r="AY97" s="105">
        <v>0</v>
      </c>
      <c r="AZ97" s="105">
        <v>0</v>
      </c>
      <c r="BA97" s="105">
        <v>0</v>
      </c>
      <c r="BB97" s="105">
        <v>0</v>
      </c>
      <c r="BC97" s="105">
        <v>0</v>
      </c>
      <c r="BD97" s="105">
        <v>0</v>
      </c>
      <c r="BE97" s="105">
        <v>0</v>
      </c>
      <c r="BF97" s="105">
        <v>0</v>
      </c>
      <c r="BG97" s="105">
        <v>0</v>
      </c>
      <c r="BH97" s="105">
        <v>0</v>
      </c>
      <c r="BI97" s="105">
        <v>0</v>
      </c>
      <c r="BJ97" s="105">
        <v>0</v>
      </c>
      <c r="BK97" s="105">
        <v>0</v>
      </c>
      <c r="BL97" s="105">
        <v>0</v>
      </c>
      <c r="BM97" s="105">
        <v>0</v>
      </c>
      <c r="BN97" s="105">
        <v>0</v>
      </c>
      <c r="BO97" s="105">
        <v>0</v>
      </c>
      <c r="BP97" s="105">
        <v>0</v>
      </c>
      <c r="BQ97" s="105">
        <v>0</v>
      </c>
      <c r="BR97" s="105">
        <v>0</v>
      </c>
      <c r="BS97" s="105">
        <v>0</v>
      </c>
      <c r="BT97" s="105">
        <v>0</v>
      </c>
      <c r="BU97" s="105">
        <v>0</v>
      </c>
      <c r="BV97" s="105">
        <v>0</v>
      </c>
      <c r="BW97" s="105">
        <v>0</v>
      </c>
      <c r="BX97" s="105">
        <v>0</v>
      </c>
      <c r="BY97" s="105">
        <v>0</v>
      </c>
      <c r="BZ97" s="105">
        <v>0</v>
      </c>
      <c r="CA97" s="105">
        <v>0</v>
      </c>
      <c r="CB97" s="105">
        <v>0</v>
      </c>
      <c r="CC97" s="105">
        <v>0</v>
      </c>
      <c r="CD97" s="105">
        <v>0</v>
      </c>
      <c r="CE97" s="105">
        <v>0</v>
      </c>
      <c r="CF97" s="105">
        <v>0</v>
      </c>
      <c r="CG97" s="105">
        <v>0</v>
      </c>
      <c r="CH97" s="105">
        <v>0</v>
      </c>
      <c r="CI97" s="105">
        <v>0</v>
      </c>
      <c r="CJ97" s="105">
        <v>0</v>
      </c>
      <c r="CK97" s="105">
        <v>0</v>
      </c>
      <c r="CL97" s="105">
        <v>0</v>
      </c>
      <c r="CM97" s="105">
        <v>0</v>
      </c>
      <c r="CN97" s="105">
        <v>0</v>
      </c>
      <c r="CO97" s="105">
        <v>0</v>
      </c>
      <c r="CP97" s="105">
        <v>0</v>
      </c>
      <c r="CQ97" s="105">
        <v>0</v>
      </c>
      <c r="CR97" s="105">
        <v>0</v>
      </c>
      <c r="CS97" s="105">
        <v>0</v>
      </c>
      <c r="CT97" s="105">
        <v>0</v>
      </c>
      <c r="CU97" s="105">
        <v>0</v>
      </c>
    </row>
    <row r="98" spans="2:99" x14ac:dyDescent="0.25">
      <c r="C98" s="104" t="s">
        <v>263</v>
      </c>
      <c r="D98" s="105">
        <v>0</v>
      </c>
      <c r="E98" s="105">
        <v>0</v>
      </c>
      <c r="F98" s="105">
        <v>0</v>
      </c>
      <c r="G98" s="105">
        <v>0</v>
      </c>
      <c r="H98" s="105">
        <v>0</v>
      </c>
      <c r="I98" s="105">
        <v>0</v>
      </c>
      <c r="J98" s="105">
        <v>0</v>
      </c>
      <c r="K98" s="105">
        <v>0</v>
      </c>
      <c r="L98" s="105">
        <v>0</v>
      </c>
      <c r="M98" s="105">
        <v>0</v>
      </c>
      <c r="N98" s="105">
        <v>0</v>
      </c>
      <c r="O98" s="105">
        <v>0</v>
      </c>
      <c r="P98" s="105">
        <v>0</v>
      </c>
      <c r="Q98" s="105">
        <v>0</v>
      </c>
      <c r="R98" s="105">
        <v>0</v>
      </c>
      <c r="S98" s="105">
        <v>0</v>
      </c>
      <c r="T98" s="105">
        <v>0</v>
      </c>
      <c r="U98" s="105">
        <v>0</v>
      </c>
      <c r="V98" s="105">
        <v>0</v>
      </c>
      <c r="W98" s="105">
        <v>0</v>
      </c>
      <c r="X98" s="105">
        <v>0</v>
      </c>
      <c r="Y98" s="105">
        <v>0</v>
      </c>
      <c r="Z98" s="105">
        <v>0</v>
      </c>
      <c r="AA98" s="105">
        <v>0</v>
      </c>
      <c r="AB98" s="105">
        <v>0</v>
      </c>
      <c r="AC98" s="105">
        <v>0</v>
      </c>
      <c r="AD98" s="105">
        <v>0</v>
      </c>
      <c r="AE98" s="105">
        <v>0</v>
      </c>
      <c r="AF98" s="105">
        <v>0</v>
      </c>
      <c r="AG98" s="105">
        <v>0</v>
      </c>
      <c r="AH98" s="105">
        <v>0</v>
      </c>
      <c r="AI98" s="105">
        <v>0</v>
      </c>
      <c r="AJ98" s="105">
        <v>0</v>
      </c>
      <c r="AK98" s="105">
        <v>0</v>
      </c>
      <c r="AL98" s="105">
        <v>0</v>
      </c>
      <c r="AM98" s="105">
        <v>0</v>
      </c>
      <c r="AN98" s="105">
        <v>0</v>
      </c>
      <c r="AO98" s="105">
        <v>0</v>
      </c>
      <c r="AP98" s="105">
        <v>0</v>
      </c>
      <c r="AQ98" s="105">
        <v>0</v>
      </c>
      <c r="AR98" s="105">
        <v>0</v>
      </c>
      <c r="AS98" s="105">
        <v>0</v>
      </c>
      <c r="AT98" s="105">
        <v>0</v>
      </c>
      <c r="AU98" s="105">
        <v>0</v>
      </c>
      <c r="AV98" s="105">
        <v>0</v>
      </c>
      <c r="AW98" s="105">
        <v>0</v>
      </c>
      <c r="AX98" s="105">
        <v>0</v>
      </c>
      <c r="AY98" s="105">
        <v>0</v>
      </c>
      <c r="AZ98" s="105">
        <v>0</v>
      </c>
      <c r="BA98" s="105">
        <v>0</v>
      </c>
      <c r="BB98" s="105">
        <v>0</v>
      </c>
      <c r="BC98" s="105">
        <v>0</v>
      </c>
      <c r="BD98" s="105">
        <v>0</v>
      </c>
      <c r="BE98" s="105">
        <v>0</v>
      </c>
      <c r="BF98" s="105">
        <v>0</v>
      </c>
      <c r="BG98" s="105">
        <v>0</v>
      </c>
      <c r="BH98" s="105">
        <v>0</v>
      </c>
      <c r="BI98" s="105">
        <v>0</v>
      </c>
      <c r="BJ98" s="105">
        <v>0</v>
      </c>
      <c r="BK98" s="105">
        <v>0</v>
      </c>
      <c r="BL98" s="105">
        <v>0</v>
      </c>
      <c r="BM98" s="105">
        <v>0</v>
      </c>
      <c r="BN98" s="105">
        <v>0</v>
      </c>
      <c r="BO98" s="105">
        <v>0</v>
      </c>
      <c r="BP98" s="105">
        <v>0</v>
      </c>
      <c r="BQ98" s="105">
        <v>0</v>
      </c>
      <c r="BR98" s="105">
        <v>0</v>
      </c>
      <c r="BS98" s="105">
        <v>0</v>
      </c>
      <c r="BT98" s="105">
        <v>0</v>
      </c>
      <c r="BU98" s="105">
        <v>0</v>
      </c>
      <c r="BV98" s="105">
        <v>0</v>
      </c>
      <c r="BW98" s="105">
        <v>0</v>
      </c>
      <c r="BX98" s="105">
        <v>0</v>
      </c>
      <c r="BY98" s="105">
        <v>0</v>
      </c>
      <c r="BZ98" s="105">
        <v>0</v>
      </c>
      <c r="CA98" s="105">
        <v>0</v>
      </c>
      <c r="CB98" s="105">
        <v>0</v>
      </c>
      <c r="CC98" s="105">
        <v>0</v>
      </c>
      <c r="CD98" s="105">
        <v>0</v>
      </c>
      <c r="CE98" s="105">
        <v>0</v>
      </c>
      <c r="CF98" s="105">
        <v>0</v>
      </c>
      <c r="CG98" s="105">
        <v>0</v>
      </c>
      <c r="CH98" s="105">
        <v>0</v>
      </c>
      <c r="CI98" s="105">
        <v>0</v>
      </c>
      <c r="CJ98" s="105">
        <v>0</v>
      </c>
      <c r="CK98" s="105">
        <v>0</v>
      </c>
      <c r="CL98" s="105">
        <v>0</v>
      </c>
      <c r="CM98" s="105">
        <v>0</v>
      </c>
      <c r="CN98" s="105">
        <v>0</v>
      </c>
      <c r="CO98" s="105">
        <v>0</v>
      </c>
      <c r="CP98" s="105">
        <v>0</v>
      </c>
      <c r="CQ98" s="105">
        <v>0</v>
      </c>
      <c r="CR98" s="105">
        <v>0</v>
      </c>
      <c r="CS98" s="105">
        <v>0</v>
      </c>
      <c r="CT98" s="105">
        <v>0</v>
      </c>
      <c r="CU98" s="105">
        <v>0</v>
      </c>
    </row>
    <row r="99" spans="2:99" x14ac:dyDescent="0.25">
      <c r="C99" s="104" t="s">
        <v>264</v>
      </c>
      <c r="D99" s="105">
        <v>0</v>
      </c>
      <c r="E99" s="105">
        <v>0</v>
      </c>
      <c r="F99" s="105">
        <v>0</v>
      </c>
      <c r="G99" s="105">
        <v>0</v>
      </c>
      <c r="H99" s="105">
        <v>0</v>
      </c>
      <c r="I99" s="105">
        <v>0</v>
      </c>
      <c r="J99" s="105">
        <v>0</v>
      </c>
      <c r="K99" s="105">
        <v>0</v>
      </c>
      <c r="L99" s="105">
        <v>0</v>
      </c>
      <c r="M99" s="105">
        <v>0</v>
      </c>
      <c r="N99" s="105">
        <v>0</v>
      </c>
      <c r="O99" s="105">
        <v>0</v>
      </c>
      <c r="P99" s="105">
        <v>0</v>
      </c>
      <c r="Q99" s="105">
        <v>0</v>
      </c>
      <c r="R99" s="105">
        <v>0</v>
      </c>
      <c r="S99" s="105">
        <v>0</v>
      </c>
      <c r="T99" s="105">
        <v>0</v>
      </c>
      <c r="U99" s="105">
        <v>0</v>
      </c>
      <c r="V99" s="105">
        <v>0</v>
      </c>
      <c r="W99" s="105">
        <v>0</v>
      </c>
      <c r="X99" s="105">
        <v>0</v>
      </c>
      <c r="Y99" s="105">
        <v>0</v>
      </c>
      <c r="Z99" s="105">
        <v>0</v>
      </c>
      <c r="AA99" s="105">
        <v>0</v>
      </c>
      <c r="AB99" s="105">
        <v>0</v>
      </c>
      <c r="AC99" s="105">
        <v>0</v>
      </c>
      <c r="AD99" s="105">
        <v>0</v>
      </c>
      <c r="AE99" s="105">
        <v>0</v>
      </c>
      <c r="AF99" s="105">
        <v>0</v>
      </c>
      <c r="AG99" s="105">
        <v>0</v>
      </c>
      <c r="AH99" s="105">
        <v>0</v>
      </c>
      <c r="AI99" s="105">
        <v>0</v>
      </c>
      <c r="AJ99" s="105">
        <v>0</v>
      </c>
      <c r="AK99" s="105">
        <v>0</v>
      </c>
      <c r="AL99" s="105">
        <v>0</v>
      </c>
      <c r="AM99" s="105">
        <v>0</v>
      </c>
      <c r="AN99" s="105">
        <v>0</v>
      </c>
      <c r="AO99" s="105">
        <v>0</v>
      </c>
      <c r="AP99" s="105">
        <v>0</v>
      </c>
      <c r="AQ99" s="105">
        <v>0</v>
      </c>
      <c r="AR99" s="105">
        <v>0</v>
      </c>
      <c r="AS99" s="105">
        <v>0</v>
      </c>
      <c r="AT99" s="105">
        <v>0</v>
      </c>
      <c r="AU99" s="105">
        <v>0</v>
      </c>
      <c r="AV99" s="105">
        <v>0</v>
      </c>
      <c r="AW99" s="105">
        <v>0</v>
      </c>
      <c r="AX99" s="105">
        <v>0</v>
      </c>
      <c r="AY99" s="105">
        <v>0</v>
      </c>
      <c r="AZ99" s="105">
        <v>0</v>
      </c>
      <c r="BA99" s="105">
        <v>0</v>
      </c>
      <c r="BB99" s="105">
        <v>0</v>
      </c>
      <c r="BC99" s="105">
        <v>0</v>
      </c>
      <c r="BD99" s="105">
        <v>0</v>
      </c>
      <c r="BE99" s="105">
        <v>0</v>
      </c>
      <c r="BF99" s="105">
        <v>0</v>
      </c>
      <c r="BG99" s="105">
        <v>0</v>
      </c>
      <c r="BH99" s="105">
        <v>0</v>
      </c>
      <c r="BI99" s="105">
        <v>0</v>
      </c>
      <c r="BJ99" s="105">
        <v>0</v>
      </c>
      <c r="BK99" s="105">
        <v>0</v>
      </c>
      <c r="BL99" s="105">
        <v>0</v>
      </c>
      <c r="BM99" s="105">
        <v>0</v>
      </c>
      <c r="BN99" s="105">
        <v>0</v>
      </c>
      <c r="BO99" s="105">
        <v>0</v>
      </c>
      <c r="BP99" s="105">
        <v>0</v>
      </c>
      <c r="BQ99" s="105">
        <v>0</v>
      </c>
      <c r="BR99" s="105">
        <v>0</v>
      </c>
      <c r="BS99" s="105">
        <v>0</v>
      </c>
      <c r="BT99" s="105">
        <v>0</v>
      </c>
      <c r="BU99" s="105">
        <v>0</v>
      </c>
      <c r="BV99" s="105">
        <v>0</v>
      </c>
      <c r="BW99" s="105">
        <v>0</v>
      </c>
      <c r="BX99" s="105">
        <v>0</v>
      </c>
      <c r="BY99" s="105">
        <v>0</v>
      </c>
      <c r="BZ99" s="105">
        <v>0</v>
      </c>
      <c r="CA99" s="105">
        <v>0</v>
      </c>
      <c r="CB99" s="105">
        <v>0</v>
      </c>
      <c r="CC99" s="105">
        <v>0</v>
      </c>
      <c r="CD99" s="105">
        <v>0</v>
      </c>
      <c r="CE99" s="105">
        <v>0</v>
      </c>
      <c r="CF99" s="105">
        <v>0</v>
      </c>
      <c r="CG99" s="105">
        <v>0</v>
      </c>
      <c r="CH99" s="105">
        <v>0</v>
      </c>
      <c r="CI99" s="105">
        <v>0</v>
      </c>
      <c r="CJ99" s="105">
        <v>0</v>
      </c>
      <c r="CK99" s="105">
        <v>0</v>
      </c>
      <c r="CL99" s="105">
        <v>0</v>
      </c>
      <c r="CM99" s="105">
        <v>0</v>
      </c>
      <c r="CN99" s="105">
        <v>0</v>
      </c>
      <c r="CO99" s="105">
        <v>0</v>
      </c>
      <c r="CP99" s="105">
        <v>0</v>
      </c>
      <c r="CQ99" s="105">
        <v>0</v>
      </c>
      <c r="CR99" s="105">
        <v>0</v>
      </c>
      <c r="CS99" s="105">
        <v>0</v>
      </c>
      <c r="CT99" s="105">
        <v>0</v>
      </c>
      <c r="CU99" s="105">
        <v>0</v>
      </c>
    </row>
    <row r="100" spans="2:99" x14ac:dyDescent="0.25">
      <c r="C100" s="104" t="s">
        <v>265</v>
      </c>
      <c r="D100" s="105">
        <v>0</v>
      </c>
      <c r="E100" s="105">
        <v>0</v>
      </c>
      <c r="F100" s="105">
        <v>0</v>
      </c>
      <c r="G100" s="105">
        <v>0</v>
      </c>
      <c r="H100" s="105">
        <v>0</v>
      </c>
      <c r="I100" s="105">
        <v>0</v>
      </c>
      <c r="J100" s="105">
        <v>0</v>
      </c>
      <c r="K100" s="105">
        <v>0</v>
      </c>
      <c r="L100" s="105">
        <v>0</v>
      </c>
      <c r="M100" s="105">
        <v>0</v>
      </c>
      <c r="N100" s="105">
        <v>0</v>
      </c>
      <c r="O100" s="105">
        <v>0</v>
      </c>
      <c r="P100" s="105">
        <v>0</v>
      </c>
      <c r="Q100" s="105">
        <v>0</v>
      </c>
      <c r="R100" s="105">
        <v>0</v>
      </c>
      <c r="S100" s="105">
        <v>0</v>
      </c>
      <c r="T100" s="105">
        <v>0</v>
      </c>
      <c r="U100" s="105">
        <v>0</v>
      </c>
      <c r="V100" s="105">
        <v>0</v>
      </c>
      <c r="W100" s="105">
        <v>0</v>
      </c>
      <c r="X100" s="105">
        <v>0</v>
      </c>
      <c r="Y100" s="105">
        <v>0</v>
      </c>
      <c r="Z100" s="105">
        <v>0</v>
      </c>
      <c r="AA100" s="105">
        <v>0</v>
      </c>
      <c r="AB100" s="105">
        <v>0</v>
      </c>
      <c r="AC100" s="105">
        <v>0</v>
      </c>
      <c r="AD100" s="105">
        <v>0</v>
      </c>
      <c r="AE100" s="105">
        <v>0</v>
      </c>
      <c r="AF100" s="105">
        <v>0</v>
      </c>
      <c r="AG100" s="105">
        <v>0</v>
      </c>
      <c r="AH100" s="105">
        <v>0</v>
      </c>
      <c r="AI100" s="105">
        <v>0</v>
      </c>
      <c r="AJ100" s="105">
        <v>0</v>
      </c>
      <c r="AK100" s="105">
        <v>0</v>
      </c>
      <c r="AL100" s="105">
        <v>0</v>
      </c>
      <c r="AM100" s="105">
        <v>0</v>
      </c>
      <c r="AN100" s="105">
        <v>0</v>
      </c>
      <c r="AO100" s="105">
        <v>0</v>
      </c>
      <c r="AP100" s="105">
        <v>0</v>
      </c>
      <c r="AQ100" s="105">
        <v>0</v>
      </c>
      <c r="AR100" s="105">
        <v>0</v>
      </c>
      <c r="AS100" s="105">
        <v>0</v>
      </c>
      <c r="AT100" s="105">
        <v>0</v>
      </c>
      <c r="AU100" s="105">
        <v>0</v>
      </c>
      <c r="AV100" s="105">
        <v>0</v>
      </c>
      <c r="AW100" s="105">
        <v>0</v>
      </c>
      <c r="AX100" s="105">
        <v>0</v>
      </c>
      <c r="AY100" s="105">
        <v>0</v>
      </c>
      <c r="AZ100" s="105">
        <v>0</v>
      </c>
      <c r="BA100" s="105">
        <v>0</v>
      </c>
      <c r="BB100" s="105">
        <v>0</v>
      </c>
      <c r="BC100" s="105">
        <v>0</v>
      </c>
      <c r="BD100" s="105">
        <v>0</v>
      </c>
      <c r="BE100" s="105">
        <v>0</v>
      </c>
      <c r="BF100" s="105">
        <v>0</v>
      </c>
      <c r="BG100" s="105">
        <v>0</v>
      </c>
      <c r="BH100" s="105">
        <v>0</v>
      </c>
      <c r="BI100" s="105">
        <v>0</v>
      </c>
      <c r="BJ100" s="105">
        <v>0</v>
      </c>
      <c r="BK100" s="105">
        <v>0</v>
      </c>
      <c r="BL100" s="105">
        <v>0</v>
      </c>
      <c r="BM100" s="105">
        <v>0</v>
      </c>
      <c r="BN100" s="105">
        <v>0</v>
      </c>
      <c r="BO100" s="105">
        <v>0</v>
      </c>
      <c r="BP100" s="105">
        <v>0</v>
      </c>
      <c r="BQ100" s="105">
        <v>0</v>
      </c>
      <c r="BR100" s="105">
        <v>0</v>
      </c>
      <c r="BS100" s="105">
        <v>0</v>
      </c>
      <c r="BT100" s="105">
        <v>0</v>
      </c>
      <c r="BU100" s="105">
        <v>0</v>
      </c>
      <c r="BV100" s="105">
        <v>0</v>
      </c>
      <c r="BW100" s="105">
        <v>0</v>
      </c>
      <c r="BX100" s="105">
        <v>0</v>
      </c>
      <c r="BY100" s="105">
        <v>0</v>
      </c>
      <c r="BZ100" s="105">
        <v>0</v>
      </c>
      <c r="CA100" s="105">
        <v>0</v>
      </c>
      <c r="CB100" s="105">
        <v>0</v>
      </c>
      <c r="CC100" s="105">
        <v>0</v>
      </c>
      <c r="CD100" s="105">
        <v>0</v>
      </c>
      <c r="CE100" s="105">
        <v>0</v>
      </c>
      <c r="CF100" s="105">
        <v>0</v>
      </c>
      <c r="CG100" s="105">
        <v>0</v>
      </c>
      <c r="CH100" s="105">
        <v>0</v>
      </c>
      <c r="CI100" s="105">
        <v>0</v>
      </c>
      <c r="CJ100" s="105">
        <v>0</v>
      </c>
      <c r="CK100" s="105">
        <v>0</v>
      </c>
      <c r="CL100" s="105">
        <v>0</v>
      </c>
      <c r="CM100" s="105">
        <v>0</v>
      </c>
      <c r="CN100" s="105">
        <v>0</v>
      </c>
      <c r="CO100" s="105">
        <v>0</v>
      </c>
      <c r="CP100" s="105">
        <v>0</v>
      </c>
      <c r="CQ100" s="105">
        <v>0</v>
      </c>
      <c r="CR100" s="105">
        <v>0</v>
      </c>
      <c r="CS100" s="105">
        <v>0</v>
      </c>
      <c r="CT100" s="105">
        <v>0</v>
      </c>
      <c r="CU100" s="105">
        <v>0</v>
      </c>
    </row>
    <row r="101" spans="2:99" x14ac:dyDescent="0.25">
      <c r="C101" s="104" t="s">
        <v>266</v>
      </c>
      <c r="D101" s="105">
        <v>0</v>
      </c>
      <c r="E101" s="105">
        <v>0</v>
      </c>
      <c r="F101" s="105">
        <v>0</v>
      </c>
      <c r="G101" s="105">
        <v>0</v>
      </c>
      <c r="H101" s="105">
        <v>0</v>
      </c>
      <c r="I101" s="105">
        <v>0</v>
      </c>
      <c r="J101" s="105">
        <v>0</v>
      </c>
      <c r="K101" s="105">
        <v>0</v>
      </c>
      <c r="L101" s="105">
        <v>0</v>
      </c>
      <c r="M101" s="105">
        <v>0</v>
      </c>
      <c r="N101" s="105">
        <v>0</v>
      </c>
      <c r="O101" s="105">
        <v>0</v>
      </c>
      <c r="P101" s="105">
        <v>0</v>
      </c>
      <c r="Q101" s="105">
        <v>0</v>
      </c>
      <c r="R101" s="105">
        <v>0</v>
      </c>
      <c r="S101" s="105">
        <v>0</v>
      </c>
      <c r="T101" s="105">
        <v>0</v>
      </c>
      <c r="U101" s="105">
        <v>0</v>
      </c>
      <c r="V101" s="105">
        <v>0</v>
      </c>
      <c r="W101" s="105">
        <v>0</v>
      </c>
      <c r="X101" s="105">
        <v>0</v>
      </c>
      <c r="Y101" s="105">
        <v>0</v>
      </c>
      <c r="Z101" s="105">
        <v>0</v>
      </c>
      <c r="AA101" s="105">
        <v>0</v>
      </c>
      <c r="AB101" s="105">
        <v>0</v>
      </c>
      <c r="AC101" s="105">
        <v>0</v>
      </c>
      <c r="AD101" s="105">
        <v>0</v>
      </c>
      <c r="AE101" s="105">
        <v>0</v>
      </c>
      <c r="AF101" s="105">
        <v>0</v>
      </c>
      <c r="AG101" s="105">
        <v>0</v>
      </c>
      <c r="AH101" s="105">
        <v>0</v>
      </c>
      <c r="AI101" s="105">
        <v>0</v>
      </c>
      <c r="AJ101" s="105">
        <v>0</v>
      </c>
      <c r="AK101" s="105">
        <v>0</v>
      </c>
      <c r="AL101" s="105">
        <v>0</v>
      </c>
      <c r="AM101" s="105">
        <v>0</v>
      </c>
      <c r="AN101" s="105">
        <v>0</v>
      </c>
      <c r="AO101" s="105">
        <v>0</v>
      </c>
      <c r="AP101" s="105">
        <v>0</v>
      </c>
      <c r="AQ101" s="105">
        <v>0</v>
      </c>
      <c r="AR101" s="105">
        <v>0</v>
      </c>
      <c r="AS101" s="105">
        <v>0</v>
      </c>
      <c r="AT101" s="105">
        <v>0</v>
      </c>
      <c r="AU101" s="105">
        <v>0</v>
      </c>
      <c r="AV101" s="105">
        <v>0</v>
      </c>
      <c r="AW101" s="105">
        <v>0</v>
      </c>
      <c r="AX101" s="105">
        <v>0</v>
      </c>
      <c r="AY101" s="105">
        <v>0</v>
      </c>
      <c r="AZ101" s="105">
        <v>0</v>
      </c>
      <c r="BA101" s="105">
        <v>0</v>
      </c>
      <c r="BB101" s="105">
        <v>0</v>
      </c>
      <c r="BC101" s="105">
        <v>0</v>
      </c>
      <c r="BD101" s="105">
        <v>0</v>
      </c>
      <c r="BE101" s="105">
        <v>0</v>
      </c>
      <c r="BF101" s="105">
        <v>0</v>
      </c>
      <c r="BG101" s="105">
        <v>0</v>
      </c>
      <c r="BH101" s="105">
        <v>0</v>
      </c>
      <c r="BI101" s="105">
        <v>0</v>
      </c>
      <c r="BJ101" s="105">
        <v>0</v>
      </c>
      <c r="BK101" s="105">
        <v>0</v>
      </c>
      <c r="BL101" s="105">
        <v>0</v>
      </c>
      <c r="BM101" s="105">
        <v>0</v>
      </c>
      <c r="BN101" s="105">
        <v>0</v>
      </c>
      <c r="BO101" s="105">
        <v>0</v>
      </c>
      <c r="BP101" s="105">
        <v>0</v>
      </c>
      <c r="BQ101" s="105">
        <v>0</v>
      </c>
      <c r="BR101" s="105">
        <v>0</v>
      </c>
      <c r="BS101" s="105">
        <v>0</v>
      </c>
      <c r="BT101" s="105">
        <v>0</v>
      </c>
      <c r="BU101" s="105">
        <v>0</v>
      </c>
      <c r="BV101" s="105">
        <v>0</v>
      </c>
      <c r="BW101" s="105">
        <v>0</v>
      </c>
      <c r="BX101" s="105">
        <v>0</v>
      </c>
      <c r="BY101" s="105">
        <v>0</v>
      </c>
      <c r="BZ101" s="105">
        <v>0</v>
      </c>
      <c r="CA101" s="105">
        <v>0</v>
      </c>
      <c r="CB101" s="105">
        <v>0</v>
      </c>
      <c r="CC101" s="105">
        <v>0</v>
      </c>
      <c r="CD101" s="105">
        <v>0</v>
      </c>
      <c r="CE101" s="105">
        <v>0</v>
      </c>
      <c r="CF101" s="105">
        <v>0</v>
      </c>
      <c r="CG101" s="105">
        <v>0</v>
      </c>
      <c r="CH101" s="105">
        <v>0</v>
      </c>
      <c r="CI101" s="105">
        <v>0</v>
      </c>
      <c r="CJ101" s="105">
        <v>0</v>
      </c>
      <c r="CK101" s="105">
        <v>0</v>
      </c>
      <c r="CL101" s="105">
        <v>0</v>
      </c>
      <c r="CM101" s="105">
        <v>0</v>
      </c>
      <c r="CN101" s="105">
        <v>0</v>
      </c>
      <c r="CO101" s="105">
        <v>0</v>
      </c>
      <c r="CP101" s="105">
        <v>0</v>
      </c>
      <c r="CQ101" s="105">
        <v>0</v>
      </c>
      <c r="CR101" s="105">
        <v>0</v>
      </c>
      <c r="CS101" s="105">
        <v>0</v>
      </c>
      <c r="CT101" s="105">
        <v>0</v>
      </c>
      <c r="CU101" s="105">
        <v>0</v>
      </c>
    </row>
    <row r="102" spans="2:99" x14ac:dyDescent="0.25">
      <c r="C102" s="104" t="s">
        <v>267</v>
      </c>
      <c r="D102" s="105">
        <v>0</v>
      </c>
      <c r="E102" s="105">
        <v>0</v>
      </c>
      <c r="F102" s="105">
        <v>0</v>
      </c>
      <c r="G102" s="105">
        <v>0</v>
      </c>
      <c r="H102" s="105">
        <v>0</v>
      </c>
      <c r="I102" s="105">
        <v>0</v>
      </c>
      <c r="J102" s="105">
        <v>0</v>
      </c>
      <c r="K102" s="105">
        <v>0</v>
      </c>
      <c r="L102" s="105">
        <v>0</v>
      </c>
      <c r="M102" s="105">
        <v>0</v>
      </c>
      <c r="N102" s="105">
        <v>0</v>
      </c>
      <c r="O102" s="105">
        <v>0</v>
      </c>
      <c r="P102" s="105">
        <v>0</v>
      </c>
      <c r="Q102" s="105">
        <v>0</v>
      </c>
      <c r="R102" s="105">
        <v>0</v>
      </c>
      <c r="S102" s="105">
        <v>0</v>
      </c>
      <c r="T102" s="105">
        <v>0</v>
      </c>
      <c r="U102" s="105">
        <v>0</v>
      </c>
      <c r="V102" s="105">
        <v>0</v>
      </c>
      <c r="W102" s="105">
        <v>0</v>
      </c>
      <c r="X102" s="105">
        <v>0</v>
      </c>
      <c r="Y102" s="105">
        <v>0</v>
      </c>
      <c r="Z102" s="105">
        <v>0</v>
      </c>
      <c r="AA102" s="105">
        <v>0</v>
      </c>
      <c r="AB102" s="105">
        <v>0</v>
      </c>
      <c r="AC102" s="105">
        <v>0</v>
      </c>
      <c r="AD102" s="105">
        <v>0</v>
      </c>
      <c r="AE102" s="105">
        <v>0</v>
      </c>
      <c r="AF102" s="105">
        <v>0</v>
      </c>
      <c r="AG102" s="105">
        <v>0</v>
      </c>
      <c r="AH102" s="105">
        <v>0</v>
      </c>
      <c r="AI102" s="105">
        <v>0</v>
      </c>
      <c r="AJ102" s="105">
        <v>0</v>
      </c>
      <c r="AK102" s="105">
        <v>0</v>
      </c>
      <c r="AL102" s="105">
        <v>0</v>
      </c>
      <c r="AM102" s="105">
        <v>0</v>
      </c>
      <c r="AN102" s="105">
        <v>0</v>
      </c>
      <c r="AO102" s="105">
        <v>0</v>
      </c>
      <c r="AP102" s="105">
        <v>0</v>
      </c>
      <c r="AQ102" s="105">
        <v>0</v>
      </c>
      <c r="AR102" s="105">
        <v>0</v>
      </c>
      <c r="AS102" s="105">
        <v>0</v>
      </c>
      <c r="AT102" s="105">
        <v>0</v>
      </c>
      <c r="AU102" s="105">
        <v>0</v>
      </c>
      <c r="AV102" s="105">
        <v>0</v>
      </c>
      <c r="AW102" s="105">
        <v>0</v>
      </c>
      <c r="AX102" s="105">
        <v>0</v>
      </c>
      <c r="AY102" s="105">
        <v>0</v>
      </c>
      <c r="AZ102" s="105">
        <v>0</v>
      </c>
      <c r="BA102" s="105">
        <v>0</v>
      </c>
      <c r="BB102" s="105">
        <v>0</v>
      </c>
      <c r="BC102" s="105">
        <v>0</v>
      </c>
      <c r="BD102" s="105">
        <v>0</v>
      </c>
      <c r="BE102" s="105">
        <v>0</v>
      </c>
      <c r="BF102" s="105">
        <v>0</v>
      </c>
      <c r="BG102" s="105">
        <v>0</v>
      </c>
      <c r="BH102" s="105">
        <v>0</v>
      </c>
      <c r="BI102" s="105">
        <v>0</v>
      </c>
      <c r="BJ102" s="105">
        <v>0</v>
      </c>
      <c r="BK102" s="105">
        <v>0</v>
      </c>
      <c r="BL102" s="105">
        <v>0</v>
      </c>
      <c r="BM102" s="105">
        <v>0</v>
      </c>
      <c r="BN102" s="105">
        <v>0</v>
      </c>
      <c r="BO102" s="105">
        <v>0</v>
      </c>
      <c r="BP102" s="105">
        <v>0</v>
      </c>
      <c r="BQ102" s="105">
        <v>0</v>
      </c>
      <c r="BR102" s="105">
        <v>0</v>
      </c>
      <c r="BS102" s="105">
        <v>0</v>
      </c>
      <c r="BT102" s="105">
        <v>0</v>
      </c>
      <c r="BU102" s="105">
        <v>0</v>
      </c>
      <c r="BV102" s="105">
        <v>0</v>
      </c>
      <c r="BW102" s="105">
        <v>0</v>
      </c>
      <c r="BX102" s="105">
        <v>0</v>
      </c>
      <c r="BY102" s="105">
        <v>0</v>
      </c>
      <c r="BZ102" s="105">
        <v>0</v>
      </c>
      <c r="CA102" s="105">
        <v>0</v>
      </c>
      <c r="CB102" s="105">
        <v>0</v>
      </c>
      <c r="CC102" s="105">
        <v>0</v>
      </c>
      <c r="CD102" s="105">
        <v>0</v>
      </c>
      <c r="CE102" s="105">
        <v>0</v>
      </c>
      <c r="CF102" s="105">
        <v>0</v>
      </c>
      <c r="CG102" s="105">
        <v>0</v>
      </c>
      <c r="CH102" s="105">
        <v>0</v>
      </c>
      <c r="CI102" s="105">
        <v>0</v>
      </c>
      <c r="CJ102" s="105">
        <v>0</v>
      </c>
      <c r="CK102" s="105">
        <v>0</v>
      </c>
      <c r="CL102" s="105">
        <v>0</v>
      </c>
      <c r="CM102" s="105">
        <v>0</v>
      </c>
      <c r="CN102" s="105">
        <v>0</v>
      </c>
      <c r="CO102" s="105">
        <v>0</v>
      </c>
      <c r="CP102" s="105">
        <v>0</v>
      </c>
      <c r="CQ102" s="105">
        <v>0</v>
      </c>
      <c r="CR102" s="105">
        <v>0</v>
      </c>
      <c r="CS102" s="105">
        <v>0</v>
      </c>
      <c r="CT102" s="105">
        <v>0</v>
      </c>
      <c r="CU102" s="105">
        <v>0</v>
      </c>
    </row>
    <row r="103" spans="2:99" x14ac:dyDescent="0.25">
      <c r="C103" s="104" t="s">
        <v>268</v>
      </c>
      <c r="D103" s="105">
        <v>0</v>
      </c>
      <c r="E103" s="105">
        <v>0</v>
      </c>
      <c r="F103" s="105">
        <v>0</v>
      </c>
      <c r="G103" s="105">
        <v>0</v>
      </c>
      <c r="H103" s="105">
        <v>0</v>
      </c>
      <c r="I103" s="105">
        <v>0</v>
      </c>
      <c r="J103" s="105">
        <v>0</v>
      </c>
      <c r="K103" s="105">
        <v>0</v>
      </c>
      <c r="L103" s="105">
        <v>0</v>
      </c>
      <c r="M103" s="105">
        <v>0</v>
      </c>
      <c r="N103" s="105">
        <v>0</v>
      </c>
      <c r="O103" s="105">
        <v>0</v>
      </c>
      <c r="P103" s="105">
        <v>0</v>
      </c>
      <c r="Q103" s="105">
        <v>0</v>
      </c>
      <c r="R103" s="105">
        <v>0</v>
      </c>
      <c r="S103" s="105">
        <v>0</v>
      </c>
      <c r="T103" s="105">
        <v>0</v>
      </c>
      <c r="U103" s="105">
        <v>0</v>
      </c>
      <c r="V103" s="105">
        <v>0</v>
      </c>
      <c r="W103" s="105">
        <v>0</v>
      </c>
      <c r="X103" s="105">
        <v>0</v>
      </c>
      <c r="Y103" s="105">
        <v>0</v>
      </c>
      <c r="Z103" s="105">
        <v>0</v>
      </c>
      <c r="AA103" s="105">
        <v>0</v>
      </c>
      <c r="AB103" s="105">
        <v>0</v>
      </c>
      <c r="AC103" s="105">
        <v>0</v>
      </c>
      <c r="AD103" s="105">
        <v>0</v>
      </c>
      <c r="AE103" s="105">
        <v>0</v>
      </c>
      <c r="AF103" s="105">
        <v>0</v>
      </c>
      <c r="AG103" s="105">
        <v>0</v>
      </c>
      <c r="AH103" s="105">
        <v>0</v>
      </c>
      <c r="AI103" s="105">
        <v>0</v>
      </c>
      <c r="AJ103" s="105">
        <v>0</v>
      </c>
      <c r="AK103" s="105">
        <v>0</v>
      </c>
      <c r="AL103" s="105">
        <v>0</v>
      </c>
      <c r="AM103" s="105">
        <v>0</v>
      </c>
      <c r="AN103" s="105">
        <v>0</v>
      </c>
      <c r="AO103" s="105">
        <v>0</v>
      </c>
      <c r="AP103" s="105">
        <v>0</v>
      </c>
      <c r="AQ103" s="105">
        <v>0</v>
      </c>
      <c r="AR103" s="105">
        <v>0</v>
      </c>
      <c r="AS103" s="105">
        <v>0</v>
      </c>
      <c r="AT103" s="105">
        <v>0</v>
      </c>
      <c r="AU103" s="105">
        <v>0</v>
      </c>
      <c r="AV103" s="105">
        <v>0</v>
      </c>
      <c r="AW103" s="105">
        <v>0</v>
      </c>
      <c r="AX103" s="105">
        <v>0</v>
      </c>
      <c r="AY103" s="105">
        <v>0</v>
      </c>
      <c r="AZ103" s="105">
        <v>0</v>
      </c>
      <c r="BA103" s="105">
        <v>0</v>
      </c>
      <c r="BB103" s="105">
        <v>0</v>
      </c>
      <c r="BC103" s="105">
        <v>0</v>
      </c>
      <c r="BD103" s="105">
        <v>0</v>
      </c>
      <c r="BE103" s="105">
        <v>0</v>
      </c>
      <c r="BF103" s="105">
        <v>0</v>
      </c>
      <c r="BG103" s="105">
        <v>0</v>
      </c>
      <c r="BH103" s="105">
        <v>0</v>
      </c>
      <c r="BI103" s="105">
        <v>0</v>
      </c>
      <c r="BJ103" s="105">
        <v>0</v>
      </c>
      <c r="BK103" s="105">
        <v>0</v>
      </c>
      <c r="BL103" s="105">
        <v>0</v>
      </c>
      <c r="BM103" s="105">
        <v>0</v>
      </c>
      <c r="BN103" s="105">
        <v>0</v>
      </c>
      <c r="BO103" s="105">
        <v>0</v>
      </c>
      <c r="BP103" s="105">
        <v>0</v>
      </c>
      <c r="BQ103" s="105">
        <v>0</v>
      </c>
      <c r="BR103" s="105">
        <v>0</v>
      </c>
      <c r="BS103" s="105">
        <v>0</v>
      </c>
      <c r="BT103" s="105">
        <v>0</v>
      </c>
      <c r="BU103" s="105">
        <v>0</v>
      </c>
      <c r="BV103" s="105">
        <v>0</v>
      </c>
      <c r="BW103" s="105">
        <v>0</v>
      </c>
      <c r="BX103" s="105">
        <v>0</v>
      </c>
      <c r="BY103" s="105">
        <v>0</v>
      </c>
      <c r="BZ103" s="105">
        <v>0</v>
      </c>
      <c r="CA103" s="105">
        <v>0</v>
      </c>
      <c r="CB103" s="105">
        <v>0</v>
      </c>
      <c r="CC103" s="105">
        <v>0</v>
      </c>
      <c r="CD103" s="105">
        <v>0</v>
      </c>
      <c r="CE103" s="105">
        <v>0</v>
      </c>
      <c r="CF103" s="105">
        <v>0</v>
      </c>
      <c r="CG103" s="105">
        <v>0</v>
      </c>
      <c r="CH103" s="105">
        <v>0</v>
      </c>
      <c r="CI103" s="105">
        <v>0</v>
      </c>
      <c r="CJ103" s="105">
        <v>0</v>
      </c>
      <c r="CK103" s="105">
        <v>0</v>
      </c>
      <c r="CL103" s="105">
        <v>0</v>
      </c>
      <c r="CM103" s="105">
        <v>0</v>
      </c>
      <c r="CN103" s="105">
        <v>0</v>
      </c>
      <c r="CO103" s="105">
        <v>0</v>
      </c>
      <c r="CP103" s="105">
        <v>0</v>
      </c>
      <c r="CQ103" s="105">
        <v>0</v>
      </c>
      <c r="CR103" s="105">
        <v>0</v>
      </c>
      <c r="CS103" s="105">
        <v>0</v>
      </c>
      <c r="CT103" s="105">
        <v>0</v>
      </c>
      <c r="CU103" s="105">
        <v>0</v>
      </c>
    </row>
    <row r="104" spans="2:99" x14ac:dyDescent="0.25">
      <c r="C104" s="104" t="s">
        <v>269</v>
      </c>
      <c r="D104" s="105">
        <v>0</v>
      </c>
      <c r="E104" s="105">
        <v>0</v>
      </c>
      <c r="F104" s="105">
        <v>0</v>
      </c>
      <c r="G104" s="105">
        <v>0</v>
      </c>
      <c r="H104" s="105">
        <v>0</v>
      </c>
      <c r="I104" s="105">
        <v>0</v>
      </c>
      <c r="J104" s="105">
        <v>0</v>
      </c>
      <c r="K104" s="105">
        <v>0</v>
      </c>
      <c r="L104" s="105">
        <v>0</v>
      </c>
      <c r="M104" s="105">
        <v>0</v>
      </c>
      <c r="N104" s="105">
        <v>0</v>
      </c>
      <c r="O104" s="105">
        <v>0</v>
      </c>
      <c r="P104" s="105">
        <v>0</v>
      </c>
      <c r="Q104" s="105">
        <v>0</v>
      </c>
      <c r="R104" s="105">
        <v>0</v>
      </c>
      <c r="S104" s="105">
        <v>0</v>
      </c>
      <c r="T104" s="105">
        <v>0</v>
      </c>
      <c r="U104" s="105">
        <v>0</v>
      </c>
      <c r="V104" s="105">
        <v>0</v>
      </c>
      <c r="W104" s="105">
        <v>0</v>
      </c>
      <c r="X104" s="105">
        <v>0</v>
      </c>
      <c r="Y104" s="105">
        <v>0</v>
      </c>
      <c r="Z104" s="105">
        <v>0</v>
      </c>
      <c r="AA104" s="105">
        <v>0</v>
      </c>
      <c r="AB104" s="105">
        <v>0</v>
      </c>
      <c r="AC104" s="105">
        <v>0</v>
      </c>
      <c r="AD104" s="105">
        <v>0</v>
      </c>
      <c r="AE104" s="105">
        <v>0</v>
      </c>
      <c r="AF104" s="105">
        <v>0</v>
      </c>
      <c r="AG104" s="105">
        <v>0</v>
      </c>
      <c r="AH104" s="105">
        <v>0</v>
      </c>
      <c r="AI104" s="105">
        <v>0</v>
      </c>
      <c r="AJ104" s="105">
        <v>0</v>
      </c>
      <c r="AK104" s="105">
        <v>0</v>
      </c>
      <c r="AL104" s="105">
        <v>0</v>
      </c>
      <c r="AM104" s="105">
        <v>0</v>
      </c>
      <c r="AN104" s="105">
        <v>0</v>
      </c>
      <c r="AO104" s="105">
        <v>0</v>
      </c>
      <c r="AP104" s="105">
        <v>0</v>
      </c>
      <c r="AQ104" s="105">
        <v>0</v>
      </c>
      <c r="AR104" s="105">
        <v>0</v>
      </c>
      <c r="AS104" s="105">
        <v>0</v>
      </c>
      <c r="AT104" s="105">
        <v>0</v>
      </c>
      <c r="AU104" s="105">
        <v>0</v>
      </c>
      <c r="AV104" s="105">
        <v>0</v>
      </c>
      <c r="AW104" s="105">
        <v>0</v>
      </c>
      <c r="AX104" s="105">
        <v>0</v>
      </c>
      <c r="AY104" s="105">
        <v>0</v>
      </c>
      <c r="AZ104" s="105">
        <v>0</v>
      </c>
      <c r="BA104" s="105">
        <v>0</v>
      </c>
      <c r="BB104" s="105">
        <v>0</v>
      </c>
      <c r="BC104" s="105">
        <v>0</v>
      </c>
      <c r="BD104" s="105">
        <v>0</v>
      </c>
      <c r="BE104" s="105">
        <v>0</v>
      </c>
      <c r="BF104" s="105">
        <v>0</v>
      </c>
      <c r="BG104" s="105">
        <v>0</v>
      </c>
      <c r="BH104" s="105">
        <v>0</v>
      </c>
      <c r="BI104" s="105">
        <v>0</v>
      </c>
      <c r="BJ104" s="105">
        <v>0</v>
      </c>
      <c r="BK104" s="105">
        <v>0</v>
      </c>
      <c r="BL104" s="105">
        <v>0</v>
      </c>
      <c r="BM104" s="105">
        <v>0</v>
      </c>
      <c r="BN104" s="105">
        <v>0</v>
      </c>
      <c r="BO104" s="105">
        <v>0</v>
      </c>
      <c r="BP104" s="105">
        <v>0</v>
      </c>
      <c r="BQ104" s="105">
        <v>0</v>
      </c>
      <c r="BR104" s="105">
        <v>0</v>
      </c>
      <c r="BS104" s="105">
        <v>0</v>
      </c>
      <c r="BT104" s="105">
        <v>0</v>
      </c>
      <c r="BU104" s="105">
        <v>0</v>
      </c>
      <c r="BV104" s="105">
        <v>0</v>
      </c>
      <c r="BW104" s="105">
        <v>0</v>
      </c>
      <c r="BX104" s="105">
        <v>0</v>
      </c>
      <c r="BY104" s="105">
        <v>0</v>
      </c>
      <c r="BZ104" s="105">
        <v>0</v>
      </c>
      <c r="CA104" s="105">
        <v>0</v>
      </c>
      <c r="CB104" s="105">
        <v>0</v>
      </c>
      <c r="CC104" s="105">
        <v>0</v>
      </c>
      <c r="CD104" s="105">
        <v>0</v>
      </c>
      <c r="CE104" s="105">
        <v>0</v>
      </c>
      <c r="CF104" s="105">
        <v>0</v>
      </c>
      <c r="CG104" s="105">
        <v>0</v>
      </c>
      <c r="CH104" s="105">
        <v>0</v>
      </c>
      <c r="CI104" s="105">
        <v>0</v>
      </c>
      <c r="CJ104" s="105">
        <v>0</v>
      </c>
      <c r="CK104" s="105">
        <v>0</v>
      </c>
      <c r="CL104" s="105">
        <v>0</v>
      </c>
      <c r="CM104" s="105">
        <v>0</v>
      </c>
      <c r="CN104" s="105">
        <v>0</v>
      </c>
      <c r="CO104" s="105">
        <v>0</v>
      </c>
      <c r="CP104" s="105">
        <v>0</v>
      </c>
      <c r="CQ104" s="105">
        <v>0</v>
      </c>
      <c r="CR104" s="105">
        <v>0</v>
      </c>
      <c r="CS104" s="105">
        <v>0</v>
      </c>
      <c r="CT104" s="105">
        <v>0</v>
      </c>
      <c r="CU104" s="105">
        <v>0</v>
      </c>
    </row>
    <row r="105" spans="2:99" x14ac:dyDescent="0.25">
      <c r="C105" s="104" t="s">
        <v>270</v>
      </c>
      <c r="D105" s="105">
        <v>0</v>
      </c>
      <c r="E105" s="105">
        <v>0</v>
      </c>
      <c r="F105" s="105">
        <v>0</v>
      </c>
      <c r="G105" s="105">
        <v>0</v>
      </c>
      <c r="H105" s="105">
        <v>0</v>
      </c>
      <c r="I105" s="105">
        <v>0</v>
      </c>
      <c r="J105" s="105">
        <v>0</v>
      </c>
      <c r="K105" s="105">
        <v>0</v>
      </c>
      <c r="L105" s="105">
        <v>0</v>
      </c>
      <c r="M105" s="105">
        <v>0</v>
      </c>
      <c r="N105" s="105">
        <v>0</v>
      </c>
      <c r="O105" s="105">
        <v>0</v>
      </c>
      <c r="P105" s="105">
        <v>0</v>
      </c>
      <c r="Q105" s="105">
        <v>0</v>
      </c>
      <c r="R105" s="105">
        <v>0</v>
      </c>
      <c r="S105" s="105">
        <v>0</v>
      </c>
      <c r="T105" s="105">
        <v>0</v>
      </c>
      <c r="U105" s="105">
        <v>0</v>
      </c>
      <c r="V105" s="105">
        <v>0</v>
      </c>
      <c r="W105" s="105">
        <v>0</v>
      </c>
      <c r="X105" s="105">
        <v>0</v>
      </c>
      <c r="Y105" s="105">
        <v>0</v>
      </c>
      <c r="Z105" s="105">
        <v>0</v>
      </c>
      <c r="AA105" s="105">
        <v>0</v>
      </c>
      <c r="AB105" s="105">
        <v>0</v>
      </c>
      <c r="AC105" s="105">
        <v>0</v>
      </c>
      <c r="AD105" s="105">
        <v>0</v>
      </c>
      <c r="AE105" s="105">
        <v>0</v>
      </c>
      <c r="AF105" s="105">
        <v>0</v>
      </c>
      <c r="AG105" s="105">
        <v>0</v>
      </c>
      <c r="AH105" s="105">
        <v>0</v>
      </c>
      <c r="AI105" s="105">
        <v>0</v>
      </c>
      <c r="AJ105" s="105">
        <v>0</v>
      </c>
      <c r="AK105" s="105">
        <v>0</v>
      </c>
      <c r="AL105" s="105">
        <v>0</v>
      </c>
      <c r="AM105" s="105">
        <v>0</v>
      </c>
      <c r="AN105" s="105">
        <v>0</v>
      </c>
      <c r="AO105" s="105">
        <v>0</v>
      </c>
      <c r="AP105" s="105">
        <v>0</v>
      </c>
      <c r="AQ105" s="105">
        <v>0</v>
      </c>
      <c r="AR105" s="105">
        <v>0</v>
      </c>
      <c r="AS105" s="105">
        <v>0</v>
      </c>
      <c r="AT105" s="105">
        <v>0</v>
      </c>
      <c r="AU105" s="105">
        <v>0</v>
      </c>
      <c r="AV105" s="105">
        <v>0</v>
      </c>
      <c r="AW105" s="105">
        <v>0</v>
      </c>
      <c r="AX105" s="105">
        <v>0</v>
      </c>
      <c r="AY105" s="105">
        <v>0</v>
      </c>
      <c r="AZ105" s="105">
        <v>0</v>
      </c>
      <c r="BA105" s="105">
        <v>0</v>
      </c>
      <c r="BB105" s="105">
        <v>0</v>
      </c>
      <c r="BC105" s="105">
        <v>0</v>
      </c>
      <c r="BD105" s="105">
        <v>0</v>
      </c>
      <c r="BE105" s="105">
        <v>0</v>
      </c>
      <c r="BF105" s="105">
        <v>0</v>
      </c>
      <c r="BG105" s="105">
        <v>0</v>
      </c>
      <c r="BH105" s="105">
        <v>0</v>
      </c>
      <c r="BI105" s="105">
        <v>0</v>
      </c>
      <c r="BJ105" s="105">
        <v>0</v>
      </c>
      <c r="BK105" s="105">
        <v>0</v>
      </c>
      <c r="BL105" s="105">
        <v>0</v>
      </c>
      <c r="BM105" s="105">
        <v>0</v>
      </c>
      <c r="BN105" s="105">
        <v>0</v>
      </c>
      <c r="BO105" s="105">
        <v>0</v>
      </c>
      <c r="BP105" s="105">
        <v>0</v>
      </c>
      <c r="BQ105" s="105">
        <v>0</v>
      </c>
      <c r="BR105" s="105">
        <v>0</v>
      </c>
      <c r="BS105" s="105">
        <v>0</v>
      </c>
      <c r="BT105" s="105">
        <v>0</v>
      </c>
      <c r="BU105" s="105">
        <v>0</v>
      </c>
      <c r="BV105" s="105">
        <v>0</v>
      </c>
      <c r="BW105" s="105">
        <v>0</v>
      </c>
      <c r="BX105" s="105">
        <v>0</v>
      </c>
      <c r="BY105" s="105">
        <v>0</v>
      </c>
      <c r="BZ105" s="105">
        <v>0</v>
      </c>
      <c r="CA105" s="105">
        <v>0</v>
      </c>
      <c r="CB105" s="105">
        <v>0</v>
      </c>
      <c r="CC105" s="105">
        <v>0</v>
      </c>
      <c r="CD105" s="105">
        <v>0</v>
      </c>
      <c r="CE105" s="105">
        <v>0</v>
      </c>
      <c r="CF105" s="105">
        <v>0</v>
      </c>
      <c r="CG105" s="105">
        <v>0</v>
      </c>
      <c r="CH105" s="105">
        <v>0</v>
      </c>
      <c r="CI105" s="105">
        <v>0</v>
      </c>
      <c r="CJ105" s="105">
        <v>0</v>
      </c>
      <c r="CK105" s="105">
        <v>0</v>
      </c>
      <c r="CL105" s="105">
        <v>0</v>
      </c>
      <c r="CM105" s="105">
        <v>0</v>
      </c>
      <c r="CN105" s="105">
        <v>0</v>
      </c>
      <c r="CO105" s="105">
        <v>0</v>
      </c>
      <c r="CP105" s="105">
        <v>0</v>
      </c>
      <c r="CQ105" s="105">
        <v>0</v>
      </c>
      <c r="CR105" s="105">
        <v>0</v>
      </c>
      <c r="CS105" s="105">
        <v>0</v>
      </c>
      <c r="CT105" s="105">
        <v>0</v>
      </c>
      <c r="CU105" s="105">
        <v>0</v>
      </c>
    </row>
    <row r="107" spans="2:99" x14ac:dyDescent="0.25">
      <c r="B107" s="109" t="s">
        <v>275</v>
      </c>
    </row>
    <row r="108" spans="2:99" x14ac:dyDescent="0.25">
      <c r="C108" s="104" t="s">
        <v>276</v>
      </c>
      <c r="D108" s="104" t="s">
        <v>92</v>
      </c>
      <c r="E108" s="104" t="s">
        <v>93</v>
      </c>
      <c r="F108" s="104" t="s">
        <v>94</v>
      </c>
      <c r="G108" s="104" t="s">
        <v>95</v>
      </c>
      <c r="H108" s="104" t="s">
        <v>96</v>
      </c>
      <c r="I108" s="104" t="s">
        <v>97</v>
      </c>
      <c r="J108" s="104" t="s">
        <v>98</v>
      </c>
      <c r="K108" s="104" t="s">
        <v>99</v>
      </c>
      <c r="L108" s="104" t="s">
        <v>100</v>
      </c>
      <c r="M108" s="104" t="s">
        <v>101</v>
      </c>
      <c r="N108" s="104" t="s">
        <v>102</v>
      </c>
      <c r="O108" s="104" t="s">
        <v>103</v>
      </c>
    </row>
    <row r="109" spans="2:99" x14ac:dyDescent="0.25">
      <c r="C109" s="104" t="s">
        <v>126</v>
      </c>
      <c r="D109" s="105">
        <f>SUM(D$6:D$19)+SUM(F$6:F$19)+SUM(H$6:H$19)+SUM(J$6:J$19)</f>
        <v>0</v>
      </c>
      <c r="E109" s="105">
        <f>SUM(L$6:L$19)+SUM(N$6:N$19)+SUM(P$6:P$19)+SUM(R$6:R$19)</f>
        <v>0</v>
      </c>
      <c r="F109" s="105">
        <f>SUM(T$6:T$19)+SUM(V$6:V$19)+SUM(X$6:X$19)+SUM(Z$6:Z$19)</f>
        <v>0</v>
      </c>
      <c r="G109" s="105">
        <f>SUM(AB$6:AB$19)+SUM(AD$6:AD$19)+SUM(AF$6:AF$19)+SUM(AH$6:AH$19)</f>
        <v>0</v>
      </c>
      <c r="H109" s="105">
        <f>SUM(AJ$6:AJ$19)+SUM(AL$6:AL$19)+SUM(AN$6:AN$19)+SUM(AP$6:AP$19)</f>
        <v>0</v>
      </c>
      <c r="I109" s="105">
        <f>SUM(AR$6:AR$19)+SUM(AT$6:AT$19)+SUM(AV$6:AV$19)+SUM(AX$6:AX$19)</f>
        <v>0</v>
      </c>
      <c r="J109" s="105">
        <f>SUM(AZ$6:AZ$19)+SUM(BB$6:BB$19)+SUM(BD$6:BD$19)+SUM(BF$6:BF$19)</f>
        <v>0</v>
      </c>
      <c r="K109" s="105">
        <f>SUM(BH$6:BH$19)+SUM(BJ$6:BJ$19)+SUM(BL$6:BL$19)+SUM(BN$6:BN$19)</f>
        <v>0</v>
      </c>
      <c r="L109" s="105">
        <f>SUM(BP$6:BP$19)+SUM(BR$6:BR$19)+SUM(BT$6:BT$19)+SUM(BV$6:BV$19)</f>
        <v>0</v>
      </c>
      <c r="M109" s="105">
        <f>SUM(BX$6:BX$19)+SUM(BZ$6:BZ$19)+SUM(CB$6:CB$19)+SUM(CD$6:CD$19)</f>
        <v>0</v>
      </c>
      <c r="N109" s="105">
        <f>SUM(CF$6:CF$19)+SUM(CH$6:CH$19)+SUM(CJ$6:CJ$19)+SUM(CL$6:CL$19)</f>
        <v>0</v>
      </c>
      <c r="O109" s="105">
        <f>SUM(CN$6:CN$19)+SUM(CP$6:CP$19)+SUM(CR$6:CR$19)+SUM(CT$6:CT$19)</f>
        <v>0</v>
      </c>
    </row>
    <row r="110" spans="2:99" x14ac:dyDescent="0.25">
      <c r="C110" s="104" t="s">
        <v>127</v>
      </c>
      <c r="D110" s="105">
        <f>SUM(D$20:D$36)+SUM(F$20:F$36)+SUM(H$20:H$36)+SUM(J$20:J$36)</f>
        <v>0</v>
      </c>
      <c r="E110" s="105">
        <f>SUM(L$20:L$36)+SUM(N$20:N$36)+SUM(P$20:P$36)+SUM(R$20:R$36)</f>
        <v>0</v>
      </c>
      <c r="F110" s="105">
        <f>SUM(T$20:T$36)+SUM(V$20:V$36)+SUM(X$20:X$36)+SUM(Z$20:Z$36)</f>
        <v>0</v>
      </c>
      <c r="G110" s="105">
        <f>SUM(AB$20:AB$36)+SUM(AD$20:AD$36)+SUM(AF$20:AF$36)+SUM(AH$20:AH$36)</f>
        <v>0</v>
      </c>
      <c r="H110" s="105">
        <f>SUM(AJ$20:AJ$36)+SUM(AL$20:AL$36)+SUM(AN$20:AN$36)+SUM(AP$20:AP$36)</f>
        <v>0</v>
      </c>
      <c r="I110" s="105">
        <f>SUM(AR$20:AR$36)+SUM(AT$20:AT$36)+SUM(AV$20:AV$36)+SUM(AX$20:AX$36)</f>
        <v>0</v>
      </c>
      <c r="J110" s="105">
        <f>SUM(AZ$20:AZ$36)+SUM(BB$20:BB$36)+SUM(BD$20:BD$36)+SUM(BF$20:BF$36)</f>
        <v>0</v>
      </c>
      <c r="K110" s="105">
        <f>SUM(BH$20:BH$36)+SUM(BJ$20:BJ$36)+SUM(BL$20:BL$36)+SUM(BN$20:BN$36)</f>
        <v>0</v>
      </c>
      <c r="L110" s="105">
        <f>SUM(BP$20:BP$36)+SUM(BR$20:BR$36)+SUM(BT$20:BT$36)+SUM(BV$20:BV$36)</f>
        <v>0</v>
      </c>
      <c r="M110" s="105">
        <f>SUM(BX$20:BX$36)+SUM(BZ$20:BZ$36)+SUM(CB$20:CB$36)+SUM(CD$20:CD$36)</f>
        <v>0</v>
      </c>
      <c r="N110" s="105">
        <f>SUM(CF$20:CF$36)+SUM(CH$20:CH$36)+SUM(CJ$20:CJ$36)+SUM(CL$20:CL$36)</f>
        <v>0</v>
      </c>
      <c r="O110" s="105">
        <f>SUM(CN$20:CN$36)+SUM(CP$20:CP$36)+SUM(CR$20:CR$36)+SUM(CT$20:CT$36)</f>
        <v>0</v>
      </c>
    </row>
    <row r="111" spans="2:99" x14ac:dyDescent="0.25">
      <c r="C111" s="104" t="s">
        <v>128</v>
      </c>
      <c r="D111" s="105">
        <f>SUM(D$37:D$48)+SUM(F$37:F$48)+SUM(H$37:H$48)+SUM(J$37:J$48)</f>
        <v>0</v>
      </c>
      <c r="E111" s="105">
        <f>SUM(L$37:L$48)+SUM(N$37:N$48)+SUM(P$37:P$48)+SUM(R$37:R$48)</f>
        <v>0</v>
      </c>
      <c r="F111" s="105">
        <f>SUM(T$37:T$48)+SUM(V$37:V$48)+SUM(X$37:X$48)+SUM(Z$37:Z$48)</f>
        <v>0</v>
      </c>
      <c r="G111" s="105">
        <f>SUM(AB$37:AB$48)+SUM(AD$37:AD$48)+SUM(AF$37:AF$48)+SUM(AH$37:AH$48)</f>
        <v>0</v>
      </c>
      <c r="H111" s="105">
        <f>SUM(AJ$37:AJ$48)+SUM(AL$37:AL$48)+SUM(AN$37:AN$48)+SUM(AP$37:AP$48)</f>
        <v>0</v>
      </c>
      <c r="I111" s="105">
        <f>SUM(AR$37:AR$48)+SUM(AT$37:AT$48)+SUM(AV$37:AV$48)+SUM(AX$37:AX$48)</f>
        <v>0</v>
      </c>
      <c r="J111" s="105">
        <f>SUM(AZ$37:AZ$48)+SUM(BB$37:BB$48)+SUM(BD$37:BD$48)+SUM(BF$37:BF$48)</f>
        <v>0</v>
      </c>
      <c r="K111" s="105">
        <f>SUM(BH$37:BH$48)+SUM(BJ$37:BJ$48)+SUM(BL$37:BL$48)+SUM(BN$37:BN$48)</f>
        <v>0</v>
      </c>
      <c r="L111" s="105">
        <f>SUM(BP$37:BP$48)+SUM(BR$37:BR$48)+SUM(BT$37:BT$48)+SUM(BV$37:BV$48)</f>
        <v>0</v>
      </c>
      <c r="M111" s="105">
        <f>SUM(BX$37:BX$48)+SUM(BZ$37:BZ$48)+SUM(CB$37:CB$48)+SUM(CD$37:CD$48)</f>
        <v>0</v>
      </c>
      <c r="N111" s="105">
        <f>SUM(CF$37:CF$48)+SUM(CH$37:CH$48)+SUM(CJ$37:CJ$48)+SUM(CL$37:CL$48)</f>
        <v>0</v>
      </c>
      <c r="O111" s="105">
        <f>SUM(CN$37:CN$48)+SUM(CP$37:CP$48)+SUM(CR$37:CR$48)+SUM(CT$37:CT$48)</f>
        <v>0</v>
      </c>
    </row>
    <row r="112" spans="2:99" x14ac:dyDescent="0.25">
      <c r="C112" s="104" t="s">
        <v>129</v>
      </c>
      <c r="D112" s="105">
        <f>SUM(D$49:D$70)+SUM(F$49:F$70)+SUM(H$49:H$70)+SUM(J$49:J$70)</f>
        <v>0</v>
      </c>
      <c r="E112" s="105">
        <f>SUM(L$49:L$70)+SUM(N$49:N$70)+SUM(P$49:P$70)+SUM(R$49:R$70)</f>
        <v>0</v>
      </c>
      <c r="F112" s="105">
        <f>SUM(T$49:T$70)+SUM(V$49:V$70)+SUM(X$49:X$70)+SUM(Z$49:Z$70)</f>
        <v>0</v>
      </c>
      <c r="G112" s="105">
        <f>SUM(AB$49:AB$70)+SUM(AD$49:AD$70)+SUM(AF$49:AF$70)+SUM(AH$49:AH$70)</f>
        <v>0</v>
      </c>
      <c r="H112" s="105">
        <f>SUM(AJ$49:AJ$70)+SUM(AL$49:AL$70)+SUM(AN$49:AN$70)+SUM(AP$49:AP$70)</f>
        <v>0</v>
      </c>
      <c r="I112" s="105">
        <f>SUM(AR$49:AR$70)+SUM(AT$49:AT$70)+SUM(AV$49:AV$70)+SUM(AX$49:AX$70)</f>
        <v>0</v>
      </c>
      <c r="J112" s="105">
        <f>SUM(AZ$49:AZ$70)+SUM(BB$49:BB$70)+SUM(BD$49:BD$70)+SUM(BF$49:BF$70)</f>
        <v>0</v>
      </c>
      <c r="K112" s="105">
        <f>SUM(BH$49:BH$70)+SUM(BJ$49:BJ$70)+SUM(BL$49:BL$70)+SUM(BN$49:BN$70)</f>
        <v>0</v>
      </c>
      <c r="L112" s="105">
        <f>SUM(BP$49:BP$70)+SUM(BR$49:BR$70)+SUM(BT$49:BT$70)+SUM(BV$49:BV$70)</f>
        <v>0</v>
      </c>
      <c r="M112" s="105">
        <f>SUM(BX$49:BX$70)+SUM(BZ$49:BZ$70)+SUM(CB$49:CB$70)+SUM(CD$49:CD$70)</f>
        <v>0</v>
      </c>
      <c r="N112" s="105">
        <f>SUM(CF$49:CF$70)+SUM(CH$49:CH$70)+SUM(CJ$49:CJ$70)+SUM(CL$49:CL$70)</f>
        <v>0</v>
      </c>
      <c r="O112" s="105">
        <f>SUM(CN$49:CN$70)+SUM(CP$49:CP$70)+SUM(CR$49:CR$70)+SUM(CT$49:CT$70)</f>
        <v>0</v>
      </c>
    </row>
    <row r="113" spans="2:15" x14ac:dyDescent="0.25">
      <c r="C113" s="104" t="s">
        <v>130</v>
      </c>
      <c r="D113" s="105">
        <f>SUM(D$71:D$86)+SUM(F$71:F$86)+SUM(H$71:H$86)+SUM(J$71:J$86)</f>
        <v>0</v>
      </c>
      <c r="E113" s="105">
        <f>SUM(L$71:L$86)+SUM(N$71:N$86)+SUM(P$71:P$86)+SUM(R$71:R$86)</f>
        <v>0</v>
      </c>
      <c r="F113" s="105">
        <f>SUM(T$71:T$86)+SUM(V$71:V$86)+SUM(X$71:X$86)+SUM(Z$71:Z$86)</f>
        <v>0</v>
      </c>
      <c r="G113" s="105">
        <f>SUM(AB$71:AB$86)+SUM(AD$71:AD$86)+SUM(AF$71:AF$86)+SUM(AH$71:AH$86)</f>
        <v>0</v>
      </c>
      <c r="H113" s="105">
        <f>SUM(AJ$71:AJ$86)+SUM(AL$71:AL$86)+SUM(AN$71:AN$86)+SUM(AP$71:AP$86)</f>
        <v>0</v>
      </c>
      <c r="I113" s="105">
        <f>SUM(AR$71:AR$86)+SUM(AT$71:AT$86)+SUM(AV$71:AV$86)+SUM(AX$71:AX$86)</f>
        <v>0</v>
      </c>
      <c r="J113" s="105">
        <f>SUM(AZ$71:AZ$86)+SUM(BB$71:BB$86)+SUM(BD$71:BD$86)+SUM(BF$71:BF$86)</f>
        <v>0</v>
      </c>
      <c r="K113" s="105">
        <f>SUM(BH$71:BH$86)+SUM(BJ$71:BJ$86)+SUM(BL$71:BL$86)+SUM(BN$71:BN$86)</f>
        <v>0</v>
      </c>
      <c r="L113" s="105">
        <f>SUM(BP$71:BP$86)+SUM(BR$71:BR$86)+SUM(BT$71:BT$86)+SUM(BV$71:BV$86)</f>
        <v>0</v>
      </c>
      <c r="M113" s="105">
        <f>SUM(BX$71:BX$86)+SUM(BZ$71:BZ$86)+SUM(CB$71:CB$86)+SUM(CD$71:CD$86)</f>
        <v>0</v>
      </c>
      <c r="N113" s="105">
        <f>SUM(CF$71:CF$86)+SUM(CH$71:CH$86)+SUM(CJ$71:CJ$86)+SUM(CL$71:CL$86)</f>
        <v>0</v>
      </c>
      <c r="O113" s="105">
        <f>SUM(CN$71:CN$86)+SUM(CP$71:CP$86)+SUM(CR$71:CR$86)+SUM(CT$71:CT$86)</f>
        <v>0</v>
      </c>
    </row>
    <row r="114" spans="2:15" x14ac:dyDescent="0.25">
      <c r="C114" s="104" t="s">
        <v>131</v>
      </c>
      <c r="D114" s="105">
        <f>SUM(D$87:D$94)+SUM(F$87:F$94)+SUM(H$87:H$94)+SUM(J$87:J$94)</f>
        <v>0</v>
      </c>
      <c r="E114" s="105">
        <f>SUM(L$87:L$94)+SUM(N$87:N$94)+SUM(P$87:P$94)+SUM(R$87:R$94)</f>
        <v>0</v>
      </c>
      <c r="F114" s="105">
        <f>SUM(T$87:T$94)+SUM(V$87:V$94)+SUM(X$87:X$94)+SUM(Z$87:Z$94)</f>
        <v>0</v>
      </c>
      <c r="G114" s="105">
        <f>SUM(AB$87:AB$94)+SUM(AD$87:AD$94)+SUM(AF$87:AF$94)+SUM(AH$87:AH$94)</f>
        <v>0</v>
      </c>
      <c r="H114" s="105">
        <f>SUM(AJ$87:AJ$94)+SUM(AL$87:AL$94)+SUM(AN$87:AN$94)+SUM(AP$87:AP$94)</f>
        <v>0</v>
      </c>
      <c r="I114" s="105">
        <f>SUM(AR$87:AR$94)+SUM(AT$87:AT$94)+SUM(AV$87:AV$94)+SUM(AX$87:AX$94)</f>
        <v>0</v>
      </c>
      <c r="J114" s="105">
        <f>SUM(AZ$87:AZ$94)+SUM(BB$87:BB$94)+SUM(BD$87:BD$94)+SUM(BF$87:BF$94)</f>
        <v>0</v>
      </c>
      <c r="K114" s="105">
        <f>SUM(BH$87:BH$94)+SUM(BJ$87:BJ$94)+SUM(BL$87:BL$94)+SUM(BN$87:BN$94)</f>
        <v>0</v>
      </c>
      <c r="L114" s="105">
        <f>SUM(BP$87:BP$94)+SUM(BR$87:BR$94)+SUM(BT$87:BT$94)+SUM(BV$87:BV$94)</f>
        <v>0</v>
      </c>
      <c r="M114" s="105">
        <f>SUM(BX$87:BX$94)+SUM(BZ$87:BZ$94)+SUM(CB$87:CB$94)+SUM(CD$87:CD$94)</f>
        <v>0</v>
      </c>
      <c r="N114" s="105">
        <f>SUM(CF$87:CF$94)+SUM(CH$87:CH$94)+SUM(CJ$87:CJ$94)+SUM(CL$87:CL$94)</f>
        <v>0</v>
      </c>
      <c r="O114" s="105">
        <f>SUM(CN$87:CN$94)+SUM(CP$87:CP$94)+SUM(CR$87:CR$94)+SUM(CT$87:CT$94)</f>
        <v>0</v>
      </c>
    </row>
    <row r="115" spans="2:15" x14ac:dyDescent="0.25">
      <c r="C115" s="104" t="s">
        <v>132</v>
      </c>
      <c r="D115" s="105">
        <f>SUM(D$95:D$105)+SUM(F$95:F$105)+SUM(H$95:H$105)+SUM(J$95:J$105)</f>
        <v>0</v>
      </c>
      <c r="E115" s="105">
        <f>SUM(L$95:L$105)+SUM(N$95:N$105)+SUM(P$95:P$105)+SUM(R$95:R$105)</f>
        <v>0</v>
      </c>
      <c r="F115" s="105">
        <f>SUM(T$95:T$105)+SUM(V$95:V$105)+SUM(X$95:X$105)+SUM(Z$95:Z$105)</f>
        <v>0</v>
      </c>
      <c r="G115" s="105">
        <f>SUM(AB$95:AB$105)+SUM(AD$95:AD$105)+SUM(AF$95:AF$105)+SUM(AH$95:AH$105)</f>
        <v>0</v>
      </c>
      <c r="H115" s="105">
        <f>SUM(AJ$95:AJ$105)+SUM(AL$95:AL$105)+SUM(AN$95:AN$105)+SUM(AP$95:AP$105)</f>
        <v>0</v>
      </c>
      <c r="I115" s="105">
        <f>SUM(AR$95:AR$105)+SUM(AT$95:AT$105)+SUM(AV$95:AV$105)+SUM(AX$95:AX$105)</f>
        <v>0</v>
      </c>
      <c r="J115" s="105">
        <f>SUM(AZ$95:AZ$105)+SUM(BB$95:BB$105)+SUM(BD$95:BD$105)+SUM(BF$95:BF$105)</f>
        <v>0</v>
      </c>
      <c r="K115" s="105">
        <f>SUM(BH$95:BH$105)+SUM(BJ$95:BJ$105)+SUM(BL$95:BL$105)+SUM(BN$95:BN$105)</f>
        <v>0</v>
      </c>
      <c r="L115" s="105">
        <f>SUM(BP$95:BP$105)+SUM(BR$95:BR$105)+SUM(BT$95:BT$105)+SUM(BV$95:BV$105)</f>
        <v>0</v>
      </c>
      <c r="M115" s="105">
        <f>SUM(BX$95:BX$105)+SUM(BZ$95:BZ$105)+SUM(CB$95:CB$105)+SUM(CD$95:CD$105)</f>
        <v>0</v>
      </c>
      <c r="N115" s="105">
        <f>SUM(CF$95:CF$105)+SUM(CH$95:CH$105)+SUM(CJ$95:CJ$105)+SUM(CL$95:CL$105)</f>
        <v>0</v>
      </c>
      <c r="O115" s="105">
        <f>SUM(CN$95:CN$105)+SUM(CP$95:CP$105)+SUM(CR$95:CR$105)+SUM(CT$95:CT$105)</f>
        <v>0</v>
      </c>
    </row>
    <row r="116" spans="2:15" x14ac:dyDescent="0.25">
      <c r="C116" s="104" t="s">
        <v>277</v>
      </c>
      <c r="D116" s="105">
        <f t="shared" ref="D116:O116" si="0">SUM(D$109:D$115)</f>
        <v>0</v>
      </c>
      <c r="E116" s="105">
        <f t="shared" si="0"/>
        <v>0</v>
      </c>
      <c r="F116" s="105">
        <f t="shared" si="0"/>
        <v>0</v>
      </c>
      <c r="G116" s="105">
        <f t="shared" si="0"/>
        <v>0</v>
      </c>
      <c r="H116" s="105">
        <f t="shared" si="0"/>
        <v>0</v>
      </c>
      <c r="I116" s="105">
        <f t="shared" si="0"/>
        <v>0</v>
      </c>
      <c r="J116" s="105">
        <f t="shared" si="0"/>
        <v>0</v>
      </c>
      <c r="K116" s="105">
        <f t="shared" si="0"/>
        <v>0</v>
      </c>
      <c r="L116" s="105">
        <f t="shared" si="0"/>
        <v>0</v>
      </c>
      <c r="M116" s="105">
        <f t="shared" si="0"/>
        <v>0</v>
      </c>
      <c r="N116" s="105">
        <f t="shared" si="0"/>
        <v>0</v>
      </c>
      <c r="O116" s="105">
        <f t="shared" si="0"/>
        <v>0</v>
      </c>
    </row>
    <row r="118" spans="2:15" x14ac:dyDescent="0.25">
      <c r="B118" s="108" t="s">
        <v>278</v>
      </c>
    </row>
    <row r="119" spans="2:15" x14ac:dyDescent="0.25">
      <c r="C119" s="104" t="s">
        <v>276</v>
      </c>
      <c r="D119" s="104" t="s">
        <v>92</v>
      </c>
      <c r="E119" s="104" t="s">
        <v>93</v>
      </c>
      <c r="F119" s="104" t="s">
        <v>94</v>
      </c>
      <c r="G119" s="104" t="s">
        <v>95</v>
      </c>
      <c r="H119" s="104" t="s">
        <v>96</v>
      </c>
      <c r="I119" s="104" t="s">
        <v>97</v>
      </c>
      <c r="J119" s="104" t="s">
        <v>98</v>
      </c>
      <c r="K119" s="104" t="s">
        <v>99</v>
      </c>
      <c r="L119" s="104" t="s">
        <v>100</v>
      </c>
      <c r="M119" s="104" t="s">
        <v>101</v>
      </c>
      <c r="N119" s="104" t="s">
        <v>102</v>
      </c>
      <c r="O119" s="104" t="s">
        <v>103</v>
      </c>
    </row>
    <row r="120" spans="2:15" x14ac:dyDescent="0.25">
      <c r="C120" s="104" t="s">
        <v>126</v>
      </c>
      <c r="D120" s="105">
        <f>D109*pricing!D6*2000</f>
        <v>0</v>
      </c>
      <c r="E120" s="105">
        <f>E109*pricing!E6*2000</f>
        <v>0</v>
      </c>
      <c r="F120" s="105">
        <f>F109*pricing!F6*2000</f>
        <v>0</v>
      </c>
      <c r="G120" s="105">
        <f>G109*pricing!G6*2000</f>
        <v>0</v>
      </c>
      <c r="H120" s="105">
        <f>H109*pricing!H6*2000</f>
        <v>0</v>
      </c>
      <c r="I120" s="105">
        <f>I109*pricing!I6*2000</f>
        <v>0</v>
      </c>
      <c r="J120" s="105">
        <f>J109*pricing!J6*2000</f>
        <v>0</v>
      </c>
      <c r="K120" s="105">
        <f>K109*pricing!K6*2000</f>
        <v>0</v>
      </c>
      <c r="L120" s="105">
        <f>L109*pricing!L6*2000</f>
        <v>0</v>
      </c>
      <c r="M120" s="105">
        <f>M109*pricing!M6*2000</f>
        <v>0</v>
      </c>
      <c r="N120" s="105">
        <f>N109*pricing!N6*2000</f>
        <v>0</v>
      </c>
      <c r="O120" s="105">
        <f>O109*pricing!O6*2000</f>
        <v>0</v>
      </c>
    </row>
    <row r="121" spans="2:15" x14ac:dyDescent="0.25">
      <c r="C121" s="104" t="s">
        <v>127</v>
      </c>
      <c r="D121" s="105">
        <f>D110*pricing!D7*2000</f>
        <v>0</v>
      </c>
      <c r="E121" s="105">
        <f>E110*pricing!E7*2000</f>
        <v>0</v>
      </c>
      <c r="F121" s="105">
        <f>F110*pricing!F7*2000</f>
        <v>0</v>
      </c>
      <c r="G121" s="105">
        <f>G110*pricing!G7*2000</f>
        <v>0</v>
      </c>
      <c r="H121" s="105">
        <f>H110*pricing!H7*2000</f>
        <v>0</v>
      </c>
      <c r="I121" s="105">
        <f>I110*pricing!I7*2000</f>
        <v>0</v>
      </c>
      <c r="J121" s="105">
        <f>J110*pricing!J7*2000</f>
        <v>0</v>
      </c>
      <c r="K121" s="105">
        <f>K110*pricing!K7*2000</f>
        <v>0</v>
      </c>
      <c r="L121" s="105">
        <f>L110*pricing!L7*2000</f>
        <v>0</v>
      </c>
      <c r="M121" s="105">
        <f>M110*pricing!M7*2000</f>
        <v>0</v>
      </c>
      <c r="N121" s="105">
        <f>N110*pricing!N7*2000</f>
        <v>0</v>
      </c>
      <c r="O121" s="105">
        <f>O110*pricing!O7*2000</f>
        <v>0</v>
      </c>
    </row>
    <row r="122" spans="2:15" x14ac:dyDescent="0.25">
      <c r="C122" s="104" t="s">
        <v>128</v>
      </c>
      <c r="D122" s="105">
        <f>D111*pricing!D8*2000</f>
        <v>0</v>
      </c>
      <c r="E122" s="105">
        <f>E111*pricing!E8*2000</f>
        <v>0</v>
      </c>
      <c r="F122" s="105">
        <f>F111*pricing!F8*2000</f>
        <v>0</v>
      </c>
      <c r="G122" s="105">
        <f>G111*pricing!G8*2000</f>
        <v>0</v>
      </c>
      <c r="H122" s="105">
        <f>H111*pricing!H8*2000</f>
        <v>0</v>
      </c>
      <c r="I122" s="105">
        <f>I111*pricing!I8*2000</f>
        <v>0</v>
      </c>
      <c r="J122" s="105">
        <f>J111*pricing!J8*2000</f>
        <v>0</v>
      </c>
      <c r="K122" s="105">
        <f>K111*pricing!K8*2000</f>
        <v>0</v>
      </c>
      <c r="L122" s="105">
        <f>L111*pricing!L8*2000</f>
        <v>0</v>
      </c>
      <c r="M122" s="105">
        <f>M111*pricing!M8*2000</f>
        <v>0</v>
      </c>
      <c r="N122" s="105">
        <f>N111*pricing!N8*2000</f>
        <v>0</v>
      </c>
      <c r="O122" s="105">
        <f>O111*pricing!O8*2000</f>
        <v>0</v>
      </c>
    </row>
    <row r="123" spans="2:15" x14ac:dyDescent="0.25">
      <c r="C123" s="104" t="s">
        <v>129</v>
      </c>
      <c r="D123" s="105">
        <f>D112*pricing!D9*2000</f>
        <v>0</v>
      </c>
      <c r="E123" s="105">
        <f>E112*pricing!E9*2000</f>
        <v>0</v>
      </c>
      <c r="F123" s="105">
        <f>F112*pricing!F9*2000</f>
        <v>0</v>
      </c>
      <c r="G123" s="105">
        <f>G112*pricing!G9*2000</f>
        <v>0</v>
      </c>
      <c r="H123" s="105">
        <f>H112*pricing!H9*2000</f>
        <v>0</v>
      </c>
      <c r="I123" s="105">
        <f>I112*pricing!I9*2000</f>
        <v>0</v>
      </c>
      <c r="J123" s="105">
        <f>J112*pricing!J9*2000</f>
        <v>0</v>
      </c>
      <c r="K123" s="105">
        <f>K112*pricing!K9*2000</f>
        <v>0</v>
      </c>
      <c r="L123" s="105">
        <f>L112*pricing!L9*2000</f>
        <v>0</v>
      </c>
      <c r="M123" s="105">
        <f>M112*pricing!M9*2000</f>
        <v>0</v>
      </c>
      <c r="N123" s="105">
        <f>N112*pricing!N9*2000</f>
        <v>0</v>
      </c>
      <c r="O123" s="105">
        <f>O112*pricing!O9*2000</f>
        <v>0</v>
      </c>
    </row>
    <row r="124" spans="2:15" x14ac:dyDescent="0.25">
      <c r="C124" s="104" t="s">
        <v>130</v>
      </c>
      <c r="D124" s="105">
        <f>D113*pricing!D10*2000</f>
        <v>0</v>
      </c>
      <c r="E124" s="105">
        <f>E113*pricing!E10*2000</f>
        <v>0</v>
      </c>
      <c r="F124" s="105">
        <f>F113*pricing!F10*2000</f>
        <v>0</v>
      </c>
      <c r="G124" s="105">
        <f>G113*pricing!G10*2000</f>
        <v>0</v>
      </c>
      <c r="H124" s="105">
        <f>H113*pricing!H10*2000</f>
        <v>0</v>
      </c>
      <c r="I124" s="105">
        <f>I113*pricing!I10*2000</f>
        <v>0</v>
      </c>
      <c r="J124" s="105">
        <f>J113*pricing!J10*2000</f>
        <v>0</v>
      </c>
      <c r="K124" s="105">
        <f>K113*pricing!K10*2000</f>
        <v>0</v>
      </c>
      <c r="L124" s="105">
        <f>L113*pricing!L10*2000</f>
        <v>0</v>
      </c>
      <c r="M124" s="105">
        <f>M113*pricing!M10*2000</f>
        <v>0</v>
      </c>
      <c r="N124" s="105">
        <f>N113*pricing!N10*2000</f>
        <v>0</v>
      </c>
      <c r="O124" s="105">
        <f>O113*pricing!O10*2000</f>
        <v>0</v>
      </c>
    </row>
    <row r="125" spans="2:15" x14ac:dyDescent="0.25">
      <c r="C125" s="104" t="s">
        <v>131</v>
      </c>
      <c r="D125" s="105">
        <f>D114*pricing!D11*2000</f>
        <v>0</v>
      </c>
      <c r="E125" s="105">
        <f>E114*pricing!E11*2000</f>
        <v>0</v>
      </c>
      <c r="F125" s="105">
        <f>F114*pricing!F11*2000</f>
        <v>0</v>
      </c>
      <c r="G125" s="105">
        <f>G114*pricing!G11*2000</f>
        <v>0</v>
      </c>
      <c r="H125" s="105">
        <f>H114*pricing!H11*2000</f>
        <v>0</v>
      </c>
      <c r="I125" s="105">
        <f>I114*pricing!I11*2000</f>
        <v>0</v>
      </c>
      <c r="J125" s="105">
        <f>J114*pricing!J11*2000</f>
        <v>0</v>
      </c>
      <c r="K125" s="105">
        <f>K114*pricing!K11*2000</f>
        <v>0</v>
      </c>
      <c r="L125" s="105">
        <f>L114*pricing!L11*2000</f>
        <v>0</v>
      </c>
      <c r="M125" s="105">
        <f>M114*pricing!M11*2000</f>
        <v>0</v>
      </c>
      <c r="N125" s="105">
        <f>N114*pricing!N11*2000</f>
        <v>0</v>
      </c>
      <c r="O125" s="105">
        <f>O114*pricing!O11*2000</f>
        <v>0</v>
      </c>
    </row>
    <row r="126" spans="2:15" x14ac:dyDescent="0.25">
      <c r="C126" s="104" t="s">
        <v>132</v>
      </c>
      <c r="D126" s="105">
        <f>D115*pricing!D12*2000</f>
        <v>0</v>
      </c>
      <c r="E126" s="105">
        <f>E115*pricing!E12*2000</f>
        <v>0</v>
      </c>
      <c r="F126" s="105">
        <f>F115*pricing!F12*2000</f>
        <v>0</v>
      </c>
      <c r="G126" s="105">
        <f>G115*pricing!G12*2000</f>
        <v>0</v>
      </c>
      <c r="H126" s="105">
        <f>H115*pricing!H12*2000</f>
        <v>0</v>
      </c>
      <c r="I126" s="105">
        <f>I115*pricing!I12*2000</f>
        <v>0</v>
      </c>
      <c r="J126" s="105">
        <f>J115*pricing!J12*2000</f>
        <v>0</v>
      </c>
      <c r="K126" s="105">
        <f>K115*pricing!K12*2000</f>
        <v>0</v>
      </c>
      <c r="L126" s="105">
        <f>L115*pricing!L12*2000</f>
        <v>0</v>
      </c>
      <c r="M126" s="105">
        <f>M115*pricing!M12*2000</f>
        <v>0</v>
      </c>
      <c r="N126" s="105">
        <f>N115*pricing!N12*2000</f>
        <v>0</v>
      </c>
      <c r="O126" s="105">
        <f>O115*pricing!O12*2000</f>
        <v>0</v>
      </c>
    </row>
    <row r="127" spans="2:15" x14ac:dyDescent="0.25">
      <c r="C127" s="104" t="s">
        <v>277</v>
      </c>
      <c r="D127" s="105">
        <f t="shared" ref="D127:O127" si="1">SUM(D$120:D$126)</f>
        <v>0</v>
      </c>
      <c r="E127" s="105">
        <f t="shared" si="1"/>
        <v>0</v>
      </c>
      <c r="F127" s="105">
        <f t="shared" si="1"/>
        <v>0</v>
      </c>
      <c r="G127" s="105">
        <f t="shared" si="1"/>
        <v>0</v>
      </c>
      <c r="H127" s="105">
        <f t="shared" si="1"/>
        <v>0</v>
      </c>
      <c r="I127" s="105">
        <f t="shared" si="1"/>
        <v>0</v>
      </c>
      <c r="J127" s="105">
        <f t="shared" si="1"/>
        <v>0</v>
      </c>
      <c r="K127" s="105">
        <f t="shared" si="1"/>
        <v>0</v>
      </c>
      <c r="L127" s="105">
        <f t="shared" si="1"/>
        <v>0</v>
      </c>
      <c r="M127" s="105">
        <f t="shared" si="1"/>
        <v>0</v>
      </c>
      <c r="N127" s="105">
        <f t="shared" si="1"/>
        <v>0</v>
      </c>
      <c r="O127" s="105">
        <f t="shared" si="1"/>
        <v>0</v>
      </c>
    </row>
    <row r="129" spans="2:15" x14ac:dyDescent="0.25">
      <c r="B129" s="108" t="s">
        <v>279</v>
      </c>
    </row>
    <row r="130" spans="2:15" x14ac:dyDescent="0.25">
      <c r="C130" s="110" t="s">
        <v>276</v>
      </c>
      <c r="D130" s="110" t="s">
        <v>92</v>
      </c>
      <c r="E130" s="110" t="s">
        <v>93</v>
      </c>
      <c r="F130" s="110" t="s">
        <v>94</v>
      </c>
      <c r="G130" s="110" t="s">
        <v>95</v>
      </c>
      <c r="H130" s="110" t="s">
        <v>96</v>
      </c>
      <c r="I130" s="110" t="s">
        <v>97</v>
      </c>
      <c r="J130" s="110" t="s">
        <v>98</v>
      </c>
      <c r="K130" s="110" t="s">
        <v>99</v>
      </c>
      <c r="L130" s="110" t="s">
        <v>100</v>
      </c>
      <c r="M130" s="110" t="s">
        <v>101</v>
      </c>
      <c r="N130" s="110" t="s">
        <v>102</v>
      </c>
      <c r="O130" s="110" t="s">
        <v>103</v>
      </c>
    </row>
    <row r="131" spans="2:15" x14ac:dyDescent="0.25">
      <c r="C131" s="110" t="s">
        <v>126</v>
      </c>
      <c r="D131" s="111">
        <f>SUM(E$6:E$19)+SUM(G$6:G$19)+SUM(I$6:I$19)+SUM(K$6:K$19)</f>
        <v>0</v>
      </c>
      <c r="E131" s="111">
        <f>SUM(M$6:M$19)+SUM(O$6:O$19)+SUM(Q$6:Q$19)+SUM(S$6:S$19)</f>
        <v>0</v>
      </c>
      <c r="F131" s="111">
        <f>SUM(U$6:U$19)+SUM(W$6:W$19)+SUM(Y$6:Y$19)+SUM(AA$6:AA$19)</f>
        <v>0</v>
      </c>
      <c r="G131" s="111">
        <f>SUM(AC$6:AC$19)+SUM(AE$6:AE$19)+SUM(AG$6:AG$19)+SUM(AI$6:AI$19)</f>
        <v>0</v>
      </c>
      <c r="H131" s="111">
        <f>SUM(AK$6:AK$19)+SUM(AM$6:AM$19)+SUM(AO$6:AO$19)+SUM(AQ$6:AQ$19)</f>
        <v>0</v>
      </c>
      <c r="I131" s="111">
        <f>SUM(AS$6:AS$19)+SUM(AU$6:AU$19)+SUM(AW$6:AW$19)+SUM(AY$6:AY$19)</f>
        <v>0</v>
      </c>
      <c r="J131" s="111">
        <f>SUM(BA$6:BA$19)+SUM(BC$6:BC$19)+SUM(BE$6:BE$19)+SUM(BG$6:BG$19)</f>
        <v>0</v>
      </c>
      <c r="K131" s="111">
        <f>SUM(BI$6:BI$19)+SUM(BK$6:BK$19)+SUM(BM$6:BM$19)+SUM(BO$6:BO$19)</f>
        <v>0</v>
      </c>
      <c r="L131" s="111">
        <f>SUM(BQ$6:BQ$19)+SUM(BS$6:BS$19)+SUM(BU$6:BU$19)+SUM(BW$6:BW$19)</f>
        <v>0</v>
      </c>
      <c r="M131" s="111">
        <f>SUM(BY$6:BY$19)+SUM(CA$6:CA$19)+SUM(CC$6:CC$19)+SUM(CE$6:CE$19)</f>
        <v>0</v>
      </c>
      <c r="N131" s="111">
        <f>SUM(CG$6:CG$19)+SUM(CI$6:CI$19)+SUM(CK$6:CK$19)+SUM(CM$6:CM$19)</f>
        <v>0</v>
      </c>
      <c r="O131" s="111">
        <f>SUM(CO$6:CO$19)+SUM(CQ$6:CQ$19)+SUM(CS$6:CS$19)+SUM(CU$6:CU$19)</f>
        <v>0</v>
      </c>
    </row>
    <row r="132" spans="2:15" x14ac:dyDescent="0.25">
      <c r="C132" s="110" t="s">
        <v>127</v>
      </c>
      <c r="D132" s="111">
        <f>SUM(E$20:E$36)+SUM(G$20:G$36)+SUM(I$20:I$36)+SUM(K$20:K$36)</f>
        <v>0</v>
      </c>
      <c r="E132" s="111">
        <f>SUM(M$20:M$36)+SUM(O$20:O$36)+SUM(Q$20:Q$36)+SUM(S$20:S$36)</f>
        <v>0</v>
      </c>
      <c r="F132" s="111">
        <f>SUM(U$20:U$36)+SUM(W$20:W$36)+SUM(Y$20:Y$36)+SUM(AA$20:AA$36)</f>
        <v>0</v>
      </c>
      <c r="G132" s="111">
        <f>SUM(AC$20:AC$36)+SUM(AE$20:AE$36)+SUM(AG$20:AG$36)+SUM(AI$20:AI$36)</f>
        <v>0</v>
      </c>
      <c r="H132" s="111">
        <f>SUM(AK$20:AK$36)+SUM(AM$20:AM$36)+SUM(AO$20:AO$36)+SUM(AQ$20:AQ$36)</f>
        <v>0</v>
      </c>
      <c r="I132" s="111">
        <f>SUM(AS$20:AS$36)+SUM(AU$20:AU$36)+SUM(AW$20:AW$36)+SUM(AY$20:AY$36)</f>
        <v>0</v>
      </c>
      <c r="J132" s="111">
        <f>SUM(BA$20:BA$36)+SUM(BC$20:BC$36)+SUM(BE$20:BE$36)+SUM(BG$20:BG$36)</f>
        <v>0</v>
      </c>
      <c r="K132" s="111">
        <f>SUM(BI$20:BI$36)+SUM(BK$20:BK$36)+SUM(BM$20:BM$36)+SUM(BO$20:BO$36)</f>
        <v>0</v>
      </c>
      <c r="L132" s="111">
        <f>SUM(BQ$20:BQ$36)+SUM(BS$20:BS$36)+SUM(BU$20:BU$36)+SUM(BW$20:BW$36)</f>
        <v>0</v>
      </c>
      <c r="M132" s="111">
        <f>SUM(BY$20:BY$36)+SUM(CA$20:CA$36)+SUM(CC$20:CC$36)+SUM(CE$20:CE$36)</f>
        <v>0</v>
      </c>
      <c r="N132" s="111">
        <f>SUM(CG$20:CG$36)+SUM(CI$20:CI$36)+SUM(CK$20:CK$36)+SUM(CM$20:CM$36)</f>
        <v>0</v>
      </c>
      <c r="O132" s="111">
        <f>SUM(CO$20:CO$36)+SUM(CQ$20:CQ$36)+SUM(CS$20:CS$36)+SUM(CU$20:CU$36)</f>
        <v>0</v>
      </c>
    </row>
    <row r="133" spans="2:15" x14ac:dyDescent="0.25">
      <c r="C133" s="110" t="s">
        <v>128</v>
      </c>
      <c r="D133" s="111">
        <f>SUM(E$37:E$48)+SUM(G$37:G$48)+SUM(I$37:I$48)+SUM(K$37:K$48)</f>
        <v>0</v>
      </c>
      <c r="E133" s="111">
        <f>SUM(M$37:M$48)+SUM(O$37:O$48)+SUM(Q$37:Q$48)+SUM(S$37:S$48)</f>
        <v>0</v>
      </c>
      <c r="F133" s="111">
        <f>SUM(U$37:U$48)+SUM(W$37:W$48)+SUM(Y$37:Y$48)+SUM(AA$37:AA$48)</f>
        <v>0</v>
      </c>
      <c r="G133" s="111">
        <f>SUM(AC$37:AC$48)+SUM(AE$37:AE$48)+SUM(AG$37:AG$48)+SUM(AI$37:AI$48)</f>
        <v>0</v>
      </c>
      <c r="H133" s="111">
        <f>SUM(AK$37:AK$48)+SUM(AM$37:AM$48)+SUM(AO$37:AO$48)+SUM(AQ$37:AQ$48)</f>
        <v>0</v>
      </c>
      <c r="I133" s="111">
        <f>SUM(AS$37:AS$48)+SUM(AU$37:AU$48)+SUM(AW$37:AW$48)+SUM(AY$37:AY$48)</f>
        <v>0</v>
      </c>
      <c r="J133" s="111">
        <f>SUM(BA$37:BA$48)+SUM(BC$37:BC$48)+SUM(BE$37:BE$48)+SUM(BG$37:BG$48)</f>
        <v>0</v>
      </c>
      <c r="K133" s="111">
        <f>SUM(BI$37:BI$48)+SUM(BK$37:BK$48)+SUM(BM$37:BM$48)+SUM(BO$37:BO$48)</f>
        <v>0</v>
      </c>
      <c r="L133" s="111">
        <f>SUM(BQ$37:BQ$48)+SUM(BS$37:BS$48)+SUM(BU$37:BU$48)+SUM(BW$37:BW$48)</f>
        <v>0</v>
      </c>
      <c r="M133" s="111">
        <f>SUM(BY$37:BY$48)+SUM(CA$37:CA$48)+SUM(CC$37:CC$48)+SUM(CE$37:CE$48)</f>
        <v>0</v>
      </c>
      <c r="N133" s="111">
        <f>SUM(CG$37:CG$48)+SUM(CI$37:CI$48)+SUM(CK$37:CK$48)+SUM(CM$37:CM$48)</f>
        <v>0</v>
      </c>
      <c r="O133" s="111">
        <f>SUM(CO$37:CO$48)+SUM(CQ$37:CQ$48)+SUM(CS$37:CS$48)+SUM(CU$37:CU$48)</f>
        <v>0</v>
      </c>
    </row>
    <row r="134" spans="2:15" x14ac:dyDescent="0.25">
      <c r="C134" s="110" t="s">
        <v>129</v>
      </c>
      <c r="D134" s="111">
        <f>SUM(E$49:E$70)+SUM(G$49:G$70)+SUM(I$49:I$70)+SUM(K$49:K$70)</f>
        <v>0</v>
      </c>
      <c r="E134" s="111">
        <f>SUM(M$49:M$70)+SUM(O$49:O$70)+SUM(Q$49:Q$70)+SUM(S$49:S$70)</f>
        <v>0</v>
      </c>
      <c r="F134" s="111">
        <f>SUM(U$49:U$70)+SUM(W$49:W$70)+SUM(Y$49:Y$70)+SUM(AA$49:AA$70)</f>
        <v>0</v>
      </c>
      <c r="G134" s="111">
        <f>SUM(AC$49:AC$70)+SUM(AE$49:AE$70)+SUM(AG$49:AG$70)+SUM(AI$49:AI$70)</f>
        <v>0</v>
      </c>
      <c r="H134" s="111">
        <f>SUM(AK$49:AK$70)+SUM(AM$49:AM$70)+SUM(AO$49:AO$70)+SUM(AQ$49:AQ$70)</f>
        <v>0</v>
      </c>
      <c r="I134" s="111">
        <f>SUM(AS$49:AS$70)+SUM(AU$49:AU$70)+SUM(AW$49:AW$70)+SUM(AY$49:AY$70)</f>
        <v>0</v>
      </c>
      <c r="J134" s="111">
        <f>SUM(BA$49:BA$70)+SUM(BC$49:BC$70)+SUM(BE$49:BE$70)+SUM(BG$49:BG$70)</f>
        <v>0</v>
      </c>
      <c r="K134" s="111">
        <f>SUM(BI$49:BI$70)+SUM(BK$49:BK$70)+SUM(BM$49:BM$70)+SUM(BO$49:BO$70)</f>
        <v>0</v>
      </c>
      <c r="L134" s="111">
        <f>SUM(BQ$49:BQ$70)+SUM(BS$49:BS$70)+SUM(BU$49:BU$70)+SUM(BW$49:BW$70)</f>
        <v>0</v>
      </c>
      <c r="M134" s="111">
        <f>SUM(BY$49:BY$70)+SUM(CA$49:CA$70)+SUM(CC$49:CC$70)+SUM(CE$49:CE$70)</f>
        <v>0</v>
      </c>
      <c r="N134" s="111">
        <f>SUM(CG$49:CG$70)+SUM(CI$49:CI$70)+SUM(CK$49:CK$70)+SUM(CM$49:CM$70)</f>
        <v>0</v>
      </c>
      <c r="O134" s="111">
        <f>SUM(CO$49:CO$70)+SUM(CQ$49:CQ$70)+SUM(CS$49:CS$70)+SUM(CU$49:CU$70)</f>
        <v>0</v>
      </c>
    </row>
    <row r="135" spans="2:15" x14ac:dyDescent="0.25">
      <c r="C135" s="110" t="s">
        <v>130</v>
      </c>
      <c r="D135" s="111">
        <f>SUM(E$71:E$86)+SUM(G$71:G$86)+SUM(I$71:I$86)+SUM(K$71:K$86)</f>
        <v>0</v>
      </c>
      <c r="E135" s="111">
        <f>SUM(M$71:M$86)+SUM(O$71:O$86)+SUM(Q$71:Q$86)+SUM(S$71:S$86)</f>
        <v>0</v>
      </c>
      <c r="F135" s="111">
        <f>SUM(U$71:U$86)+SUM(W$71:W$86)+SUM(Y$71:Y$86)+SUM(AA$71:AA$86)</f>
        <v>0</v>
      </c>
      <c r="G135" s="111">
        <f>SUM(AC$71:AC$86)+SUM(AE$71:AE$86)+SUM(AG$71:AG$86)+SUM(AI$71:AI$86)</f>
        <v>0</v>
      </c>
      <c r="H135" s="111">
        <f>SUM(AK$71:AK$86)+SUM(AM$71:AM$86)+SUM(AO$71:AO$86)+SUM(AQ$71:AQ$86)</f>
        <v>0</v>
      </c>
      <c r="I135" s="111">
        <f>SUM(AS$71:AS$86)+SUM(AU$71:AU$86)+SUM(AW$71:AW$86)+SUM(AY$71:AY$86)</f>
        <v>0</v>
      </c>
      <c r="J135" s="111">
        <f>SUM(BA$71:BA$86)+SUM(BC$71:BC$86)+SUM(BE$71:BE$86)+SUM(BG$71:BG$86)</f>
        <v>0</v>
      </c>
      <c r="K135" s="111">
        <f>SUM(BI$71:BI$86)+SUM(BK$71:BK$86)+SUM(BM$71:BM$86)+SUM(BO$71:BO$86)</f>
        <v>0</v>
      </c>
      <c r="L135" s="111">
        <f>SUM(BQ$71:BQ$86)+SUM(BS$71:BS$86)+SUM(BU$71:BU$86)+SUM(BW$71:BW$86)</f>
        <v>0</v>
      </c>
      <c r="M135" s="111">
        <f>SUM(BY$71:BY$86)+SUM(CA$71:CA$86)+SUM(CC$71:CC$86)+SUM(CE$71:CE$86)</f>
        <v>0</v>
      </c>
      <c r="N135" s="111">
        <f>SUM(CG$71:CG$86)+SUM(CI$71:CI$86)+SUM(CK$71:CK$86)+SUM(CM$71:CM$86)</f>
        <v>0</v>
      </c>
      <c r="O135" s="111">
        <f>SUM(CO$71:CO$86)+SUM(CQ$71:CQ$86)+SUM(CS$71:CS$86)+SUM(CU$71:CU$86)</f>
        <v>0</v>
      </c>
    </row>
    <row r="136" spans="2:15" x14ac:dyDescent="0.25">
      <c r="C136" s="110" t="s">
        <v>131</v>
      </c>
      <c r="D136" s="111">
        <f>SUM(E$87:E$94)+SUM(G$87:G$94)+SUM(I$87:I$94)+SUM(K$87:K$94)</f>
        <v>0</v>
      </c>
      <c r="E136" s="111">
        <f>SUM(M$87:M$94)+SUM(O$87:O$94)+SUM(Q$87:Q$94)+SUM(S$87:S$94)</f>
        <v>0</v>
      </c>
      <c r="F136" s="111">
        <f>SUM(U$87:U$94)+SUM(W$87:W$94)+SUM(Y$87:Y$94)+SUM(AA$87:AA$94)</f>
        <v>0</v>
      </c>
      <c r="G136" s="111">
        <f>SUM(AC$87:AC$94)+SUM(AE$87:AE$94)+SUM(AG$87:AG$94)+SUM(AI$87:AI$94)</f>
        <v>0</v>
      </c>
      <c r="H136" s="111">
        <f>SUM(AK$87:AK$94)+SUM(AM$87:AM$94)+SUM(AO$87:AO$94)+SUM(AQ$87:AQ$94)</f>
        <v>0</v>
      </c>
      <c r="I136" s="111">
        <f>SUM(AS$87:AS$94)+SUM(AU$87:AU$94)+SUM(AW$87:AW$94)+SUM(AY$87:AY$94)</f>
        <v>0</v>
      </c>
      <c r="J136" s="111">
        <f>SUM(BA$87:BA$94)+SUM(BC$87:BC$94)+SUM(BE$87:BE$94)+SUM(BG$87:BG$94)</f>
        <v>0</v>
      </c>
      <c r="K136" s="111">
        <f>SUM(BI$87:BI$94)+SUM(BK$87:BK$94)+SUM(BM$87:BM$94)+SUM(BO$87:BO$94)</f>
        <v>0</v>
      </c>
      <c r="L136" s="111">
        <f>SUM(BQ$87:BQ$94)+SUM(BS$87:BS$94)+SUM(BU$87:BU$94)+SUM(BW$87:BW$94)</f>
        <v>0</v>
      </c>
      <c r="M136" s="111">
        <f>SUM(BY$87:BY$94)+SUM(CA$87:CA$94)+SUM(CC$87:CC$94)+SUM(CE$87:CE$94)</f>
        <v>0</v>
      </c>
      <c r="N136" s="111">
        <f>SUM(CG$87:CG$94)+SUM(CI$87:CI$94)+SUM(CK$87:CK$94)+SUM(CM$87:CM$94)</f>
        <v>0</v>
      </c>
      <c r="O136" s="111">
        <f>SUM(CO$87:CO$94)+SUM(CQ$87:CQ$94)+SUM(CS$87:CS$94)+SUM(CU$87:CU$94)</f>
        <v>0</v>
      </c>
    </row>
    <row r="137" spans="2:15" x14ac:dyDescent="0.25">
      <c r="C137" s="110" t="s">
        <v>132</v>
      </c>
      <c r="D137" s="111">
        <f>SUM(E$95:E$105)+SUM(G$95:G$105)+SUM(I$95:I$105)+SUM(K$95:K$105)</f>
        <v>0</v>
      </c>
      <c r="E137" s="111">
        <f>SUM(M$95:M$105)+SUM(O$95:O$105)+SUM(Q$95:Q$105)+SUM(S$95:S$105)</f>
        <v>0</v>
      </c>
      <c r="F137" s="111">
        <f>SUM(U$95:U$105)+SUM(W$95:W$105)+SUM(Y$95:Y$105)+SUM(AA$95:AA$105)</f>
        <v>0</v>
      </c>
      <c r="G137" s="111">
        <f>SUM(AC$95:AC$105)+SUM(AE$95:AE$105)+SUM(AG$95:AG$105)+SUM(AI$95:AI$105)</f>
        <v>0</v>
      </c>
      <c r="H137" s="111">
        <f>SUM(AK$95:AK$105)+SUM(AM$95:AM$105)+SUM(AO$95:AO$105)+SUM(AQ$95:AQ$105)</f>
        <v>0</v>
      </c>
      <c r="I137" s="111">
        <f>SUM(AS$95:AS$105)+SUM(AU$95:AU$105)+SUM(AW$95:AW$105)+SUM(AY$95:AY$105)</f>
        <v>0</v>
      </c>
      <c r="J137" s="111">
        <f>SUM(BA$95:BA$105)+SUM(BC$95:BC$105)+SUM(BE$95:BE$105)+SUM(BG$95:BG$105)</f>
        <v>0</v>
      </c>
      <c r="K137" s="111">
        <f>SUM(BI$95:BI$105)+SUM(BK$95:BK$105)+SUM(BM$95:BM$105)+SUM(BO$95:BO$105)</f>
        <v>0</v>
      </c>
      <c r="L137" s="111">
        <f>SUM(BQ$95:BQ$105)+SUM(BS$95:BS$105)+SUM(BU$95:BU$105)+SUM(BW$95:BW$105)</f>
        <v>0</v>
      </c>
      <c r="M137" s="111">
        <f>SUM(BY$95:BY$105)+SUM(CA$95:CA$105)+SUM(CC$95:CC$105)+SUM(CE$95:CE$105)</f>
        <v>0</v>
      </c>
      <c r="N137" s="111">
        <f>SUM(CG$95:CG$105)+SUM(CI$95:CI$105)+SUM(CK$95:CK$105)+SUM(CM$95:CM$105)</f>
        <v>0</v>
      </c>
      <c r="O137" s="111">
        <f>SUM(CO$95:CO$105)+SUM(CQ$95:CQ$105)+SUM(CS$95:CS$105)+SUM(CU$95:CU$105)</f>
        <v>0</v>
      </c>
    </row>
    <row r="138" spans="2:15" x14ac:dyDescent="0.25">
      <c r="C138" s="110" t="s">
        <v>277</v>
      </c>
      <c r="D138" s="105">
        <f t="shared" ref="D138:O138" si="2">SUM(D$131:D$137)</f>
        <v>0</v>
      </c>
      <c r="E138" s="105">
        <f t="shared" si="2"/>
        <v>0</v>
      </c>
      <c r="F138" s="105">
        <f t="shared" si="2"/>
        <v>0</v>
      </c>
      <c r="G138" s="105">
        <f t="shared" si="2"/>
        <v>0</v>
      </c>
      <c r="H138" s="105">
        <f t="shared" si="2"/>
        <v>0</v>
      </c>
      <c r="I138" s="105">
        <f t="shared" si="2"/>
        <v>0</v>
      </c>
      <c r="J138" s="105">
        <f t="shared" si="2"/>
        <v>0</v>
      </c>
      <c r="K138" s="105">
        <f t="shared" si="2"/>
        <v>0</v>
      </c>
      <c r="L138" s="105">
        <f t="shared" si="2"/>
        <v>0</v>
      </c>
      <c r="M138" s="105">
        <f t="shared" si="2"/>
        <v>0</v>
      </c>
      <c r="N138" s="105">
        <f t="shared" si="2"/>
        <v>0</v>
      </c>
      <c r="O138" s="105">
        <f t="shared" si="2"/>
        <v>0</v>
      </c>
    </row>
  </sheetData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3.2" x14ac:dyDescent="0.25"/>
  <cols>
    <col min="1" max="16384" width="8.88671875" style="105"/>
  </cols>
  <sheetData>
    <row r="2" spans="1:99" x14ac:dyDescent="0.25">
      <c r="B2" s="107" t="s">
        <v>271</v>
      </c>
    </row>
    <row r="3" spans="1:99" x14ac:dyDescent="0.25">
      <c r="B3" s="108" t="s">
        <v>281</v>
      </c>
    </row>
    <row r="4" spans="1:99" x14ac:dyDescent="0.25">
      <c r="A4" s="106"/>
      <c r="B4" s="106"/>
      <c r="C4" s="104" t="s">
        <v>273</v>
      </c>
      <c r="D4" s="104" t="s">
        <v>92</v>
      </c>
      <c r="E4" s="106"/>
      <c r="F4" s="106"/>
      <c r="G4" s="106"/>
      <c r="H4" s="106"/>
      <c r="I4" s="106"/>
      <c r="J4" s="106"/>
      <c r="K4" s="106"/>
      <c r="L4" s="104" t="s">
        <v>93</v>
      </c>
      <c r="M4" s="106"/>
      <c r="N4" s="106"/>
      <c r="O4" s="106"/>
      <c r="P4" s="106"/>
      <c r="Q4" s="106"/>
      <c r="R4" s="106"/>
      <c r="S4" s="106"/>
      <c r="T4" s="104" t="s">
        <v>94</v>
      </c>
      <c r="U4" s="106"/>
      <c r="V4" s="106"/>
      <c r="W4" s="106"/>
      <c r="X4" s="106"/>
      <c r="Y4" s="106"/>
      <c r="Z4" s="106"/>
      <c r="AA4" s="106"/>
      <c r="AB4" s="104" t="s">
        <v>95</v>
      </c>
      <c r="AC4" s="106"/>
      <c r="AD4" s="106"/>
      <c r="AE4" s="106"/>
      <c r="AF4" s="106"/>
      <c r="AG4" s="106"/>
      <c r="AH4" s="106"/>
      <c r="AI4" s="106"/>
      <c r="AJ4" s="104" t="s">
        <v>96</v>
      </c>
      <c r="AK4" s="106"/>
      <c r="AL4" s="106"/>
      <c r="AM4" s="106"/>
      <c r="AN4" s="106"/>
      <c r="AO4" s="106"/>
      <c r="AP4" s="106"/>
      <c r="AQ4" s="106"/>
      <c r="AR4" s="104" t="s">
        <v>97</v>
      </c>
      <c r="AS4" s="106"/>
      <c r="AT4" s="106"/>
      <c r="AU4" s="106"/>
      <c r="AV4" s="106"/>
      <c r="AW4" s="106"/>
      <c r="AX4" s="106"/>
      <c r="AY4" s="106"/>
      <c r="AZ4" s="104" t="s">
        <v>98</v>
      </c>
      <c r="BA4" s="106"/>
      <c r="BB4" s="106"/>
      <c r="BC4" s="106"/>
      <c r="BD4" s="106"/>
      <c r="BE4" s="106"/>
      <c r="BF4" s="106"/>
      <c r="BG4" s="106"/>
      <c r="BH4" s="104" t="s">
        <v>99</v>
      </c>
      <c r="BI4" s="106"/>
      <c r="BJ4" s="106"/>
      <c r="BK4" s="106"/>
      <c r="BL4" s="106"/>
      <c r="BM4" s="106"/>
      <c r="BN4" s="106"/>
      <c r="BO4" s="106"/>
      <c r="BP4" s="104" t="s">
        <v>100</v>
      </c>
      <c r="BQ4" s="106"/>
      <c r="BR4" s="106"/>
      <c r="BS4" s="106"/>
      <c r="BT4" s="106"/>
      <c r="BU4" s="106"/>
      <c r="BV4" s="106"/>
      <c r="BW4" s="106"/>
      <c r="BX4" s="104" t="s">
        <v>101</v>
      </c>
      <c r="BY4" s="106"/>
      <c r="BZ4" s="106"/>
      <c r="CA4" s="106"/>
      <c r="CB4" s="106"/>
      <c r="CC4" s="106"/>
      <c r="CD4" s="106"/>
      <c r="CE4" s="106"/>
      <c r="CF4" s="104" t="s">
        <v>102</v>
      </c>
      <c r="CG4" s="106"/>
      <c r="CH4" s="106"/>
      <c r="CI4" s="106"/>
      <c r="CJ4" s="106"/>
      <c r="CK4" s="106"/>
      <c r="CL4" s="106"/>
      <c r="CM4" s="106"/>
      <c r="CN4" s="104" t="s">
        <v>103</v>
      </c>
      <c r="CO4" s="106"/>
      <c r="CP4" s="106"/>
      <c r="CQ4" s="106"/>
      <c r="CR4" s="106"/>
      <c r="CS4" s="106"/>
      <c r="CT4" s="106"/>
      <c r="CU4" s="106"/>
    </row>
    <row r="5" spans="1:99" x14ac:dyDescent="0.25">
      <c r="B5" s="104" t="s">
        <v>166</v>
      </c>
      <c r="C5" s="104" t="s">
        <v>274</v>
      </c>
      <c r="D5" s="104">
        <v>1</v>
      </c>
      <c r="E5" s="104"/>
      <c r="F5" s="104">
        <v>2</v>
      </c>
      <c r="G5" s="104"/>
      <c r="H5" s="104">
        <v>3</v>
      </c>
      <c r="I5" s="104"/>
      <c r="J5" s="104">
        <v>4</v>
      </c>
      <c r="K5" s="104"/>
      <c r="L5" s="104">
        <v>1</v>
      </c>
      <c r="M5" s="104"/>
      <c r="N5" s="104">
        <v>2</v>
      </c>
      <c r="O5" s="104"/>
      <c r="P5" s="104">
        <v>3</v>
      </c>
      <c r="Q5" s="104"/>
      <c r="R5" s="104">
        <v>4</v>
      </c>
      <c r="S5" s="104"/>
      <c r="T5" s="104">
        <v>1</v>
      </c>
      <c r="U5" s="104"/>
      <c r="V5" s="104">
        <v>2</v>
      </c>
      <c r="W5" s="104"/>
      <c r="X5" s="104">
        <v>3</v>
      </c>
      <c r="Y5" s="104"/>
      <c r="Z5" s="104">
        <v>4</v>
      </c>
      <c r="AA5" s="104"/>
      <c r="AB5" s="104">
        <v>1</v>
      </c>
      <c r="AC5" s="104"/>
      <c r="AD5" s="104">
        <v>2</v>
      </c>
      <c r="AE5" s="104"/>
      <c r="AF5" s="104">
        <v>3</v>
      </c>
      <c r="AG5" s="104"/>
      <c r="AH5" s="104">
        <v>4</v>
      </c>
      <c r="AI5" s="104"/>
      <c r="AJ5" s="104">
        <v>1</v>
      </c>
      <c r="AK5" s="104"/>
      <c r="AL5" s="104">
        <v>2</v>
      </c>
      <c r="AM5" s="104"/>
      <c r="AN5" s="104">
        <v>3</v>
      </c>
      <c r="AO5" s="104"/>
      <c r="AP5" s="104">
        <v>4</v>
      </c>
      <c r="AQ5" s="104"/>
      <c r="AR5" s="104">
        <v>1</v>
      </c>
      <c r="AS5" s="104"/>
      <c r="AT5" s="104">
        <v>2</v>
      </c>
      <c r="AU5" s="104"/>
      <c r="AV5" s="104">
        <v>3</v>
      </c>
      <c r="AW5" s="104"/>
      <c r="AX5" s="104">
        <v>4</v>
      </c>
      <c r="AY5" s="104"/>
      <c r="AZ5" s="104">
        <v>1</v>
      </c>
      <c r="BA5" s="104"/>
      <c r="BB5" s="104">
        <v>2</v>
      </c>
      <c r="BC5" s="104"/>
      <c r="BD5" s="104">
        <v>3</v>
      </c>
      <c r="BE5" s="104"/>
      <c r="BF5" s="104">
        <v>4</v>
      </c>
      <c r="BG5" s="104"/>
      <c r="BH5" s="104">
        <v>1</v>
      </c>
      <c r="BI5" s="104"/>
      <c r="BJ5" s="104">
        <v>2</v>
      </c>
      <c r="BK5" s="104"/>
      <c r="BL5" s="104">
        <v>3</v>
      </c>
      <c r="BM5" s="104"/>
      <c r="BN5" s="104">
        <v>4</v>
      </c>
      <c r="BO5" s="104"/>
      <c r="BP5" s="104">
        <v>1</v>
      </c>
      <c r="BQ5" s="104"/>
      <c r="BR5" s="104">
        <v>2</v>
      </c>
      <c r="BS5" s="104"/>
      <c r="BT5" s="104">
        <v>3</v>
      </c>
      <c r="BU5" s="104"/>
      <c r="BV5" s="104">
        <v>4</v>
      </c>
      <c r="BW5" s="104"/>
      <c r="BX5" s="104">
        <v>1</v>
      </c>
      <c r="BY5" s="104"/>
      <c r="BZ5" s="104">
        <v>2</v>
      </c>
      <c r="CA5" s="104"/>
      <c r="CB5" s="104">
        <v>3</v>
      </c>
      <c r="CC5" s="104"/>
      <c r="CD5" s="104">
        <v>4</v>
      </c>
      <c r="CE5" s="104"/>
      <c r="CF5" s="104">
        <v>1</v>
      </c>
      <c r="CG5" s="104"/>
      <c r="CH5" s="104">
        <v>2</v>
      </c>
      <c r="CI5" s="104"/>
      <c r="CJ5" s="104">
        <v>3</v>
      </c>
      <c r="CK5" s="104"/>
      <c r="CL5" s="104">
        <v>4</v>
      </c>
      <c r="CM5" s="104"/>
      <c r="CN5" s="104">
        <v>1</v>
      </c>
      <c r="CO5" s="104"/>
      <c r="CP5" s="104">
        <v>2</v>
      </c>
      <c r="CQ5" s="104"/>
      <c r="CR5" s="104">
        <v>3</v>
      </c>
      <c r="CS5" s="104"/>
      <c r="CT5" s="104">
        <v>4</v>
      </c>
      <c r="CU5" s="104"/>
    </row>
    <row r="6" spans="1:99" x14ac:dyDescent="0.25">
      <c r="B6" s="104" t="s">
        <v>126</v>
      </c>
      <c r="C6" s="104" t="s">
        <v>171</v>
      </c>
      <c r="D6" s="105">
        <v>0</v>
      </c>
      <c r="E6" s="105">
        <v>0</v>
      </c>
      <c r="F6" s="105">
        <v>0</v>
      </c>
      <c r="G6" s="105">
        <v>0</v>
      </c>
      <c r="H6" s="105">
        <v>5</v>
      </c>
      <c r="I6" s="105">
        <v>2892</v>
      </c>
      <c r="J6" s="105">
        <v>5</v>
      </c>
      <c r="K6" s="105">
        <v>2892</v>
      </c>
      <c r="L6" s="105">
        <v>7</v>
      </c>
      <c r="M6" s="105">
        <v>4048.7999999999997</v>
      </c>
      <c r="N6" s="105">
        <v>7</v>
      </c>
      <c r="O6" s="105">
        <v>4048.7999999999997</v>
      </c>
      <c r="P6" s="105">
        <v>5</v>
      </c>
      <c r="Q6" s="105">
        <v>2892</v>
      </c>
      <c r="R6" s="105">
        <v>3</v>
      </c>
      <c r="S6" s="105">
        <v>1735.1999999999998</v>
      </c>
      <c r="T6" s="105">
        <v>7</v>
      </c>
      <c r="U6" s="105">
        <v>4048.7999999999997</v>
      </c>
      <c r="V6" s="105">
        <v>6</v>
      </c>
      <c r="W6" s="105">
        <v>3470.3999999999996</v>
      </c>
      <c r="X6" s="105">
        <v>7</v>
      </c>
      <c r="Y6" s="105">
        <v>4048.7999999999997</v>
      </c>
      <c r="Z6" s="105">
        <v>4</v>
      </c>
      <c r="AA6" s="105">
        <v>2313.6</v>
      </c>
      <c r="AB6" s="105">
        <v>7</v>
      </c>
      <c r="AC6" s="105">
        <v>4048.7999999999997</v>
      </c>
      <c r="AD6" s="105">
        <v>7</v>
      </c>
      <c r="AE6" s="105">
        <v>4048.7999999999997</v>
      </c>
      <c r="AF6" s="105">
        <v>10</v>
      </c>
      <c r="AG6" s="105">
        <v>5784</v>
      </c>
      <c r="AH6" s="105">
        <v>6</v>
      </c>
      <c r="AI6" s="105">
        <v>3470.3999999999996</v>
      </c>
      <c r="AJ6" s="105">
        <v>10</v>
      </c>
      <c r="AK6" s="105">
        <v>5784</v>
      </c>
      <c r="AL6" s="105">
        <v>9</v>
      </c>
      <c r="AM6" s="105">
        <v>5205.5999999999995</v>
      </c>
      <c r="AN6" s="105">
        <v>10</v>
      </c>
      <c r="AO6" s="105">
        <v>5784</v>
      </c>
      <c r="AP6" s="105">
        <v>14</v>
      </c>
      <c r="AQ6" s="105">
        <v>8097.5999999999995</v>
      </c>
      <c r="AR6" s="105">
        <v>13</v>
      </c>
      <c r="AS6" s="105">
        <v>7519.2</v>
      </c>
      <c r="AT6" s="105">
        <v>9</v>
      </c>
      <c r="AU6" s="105">
        <v>5205.5999999999995</v>
      </c>
      <c r="AV6" s="105">
        <v>8</v>
      </c>
      <c r="AW6" s="105">
        <v>4627.2</v>
      </c>
      <c r="AX6" s="105">
        <v>16</v>
      </c>
      <c r="AY6" s="105">
        <v>9254.4</v>
      </c>
      <c r="AZ6" s="105">
        <v>12</v>
      </c>
      <c r="BA6" s="105">
        <v>6940.7999999999993</v>
      </c>
      <c r="BB6" s="105">
        <v>11</v>
      </c>
      <c r="BC6" s="105">
        <v>6362.4</v>
      </c>
      <c r="BD6" s="105">
        <v>19</v>
      </c>
      <c r="BE6" s="105">
        <v>10989.6</v>
      </c>
      <c r="BF6" s="105">
        <v>19</v>
      </c>
      <c r="BG6" s="105">
        <v>10989.6</v>
      </c>
      <c r="BH6" s="105">
        <v>23</v>
      </c>
      <c r="BI6" s="105">
        <v>13303.199999999999</v>
      </c>
      <c r="BJ6" s="105">
        <v>18</v>
      </c>
      <c r="BK6" s="105">
        <v>10411.199999999999</v>
      </c>
      <c r="BL6" s="105">
        <v>27</v>
      </c>
      <c r="BM6" s="105">
        <v>15616.8</v>
      </c>
      <c r="BN6" s="105">
        <v>21</v>
      </c>
      <c r="BO6" s="105">
        <v>12146.4</v>
      </c>
      <c r="BP6" s="105">
        <v>31</v>
      </c>
      <c r="BQ6" s="105">
        <v>17930.399999999998</v>
      </c>
      <c r="BR6" s="105">
        <v>30</v>
      </c>
      <c r="BS6" s="105">
        <v>17352</v>
      </c>
      <c r="BT6" s="105">
        <v>31</v>
      </c>
      <c r="BU6" s="105">
        <v>17930.399999999998</v>
      </c>
      <c r="BV6" s="105">
        <v>32</v>
      </c>
      <c r="BW6" s="105">
        <v>18508.8</v>
      </c>
      <c r="BX6" s="105">
        <v>36.274613942166013</v>
      </c>
      <c r="BY6" s="105">
        <v>20981.236704148821</v>
      </c>
      <c r="BZ6" s="105">
        <v>1.9302947106128339</v>
      </c>
      <c r="CA6" s="105">
        <v>1116.4824606184632</v>
      </c>
      <c r="CB6" s="105">
        <v>16.540487064678711</v>
      </c>
      <c r="CC6" s="105">
        <v>9567.0177182101652</v>
      </c>
      <c r="CD6" s="105">
        <v>13.779136566747345</v>
      </c>
      <c r="CE6" s="105">
        <v>7969.852590206664</v>
      </c>
      <c r="CF6" s="105">
        <v>1.0299295774647887</v>
      </c>
      <c r="CG6" s="105">
        <v>595.71126760563379</v>
      </c>
      <c r="CH6" s="105">
        <v>9.9283108475523356</v>
      </c>
      <c r="CI6" s="105">
        <v>5742.534994224271</v>
      </c>
      <c r="CJ6" s="105">
        <v>7.8658282019602783</v>
      </c>
      <c r="CK6" s="105">
        <v>4549.5950320138245</v>
      </c>
      <c r="CL6" s="105">
        <v>27.585968395551259</v>
      </c>
      <c r="CM6" s="105">
        <v>15955.724119986848</v>
      </c>
      <c r="CN6" s="105">
        <v>17.80807682568685</v>
      </c>
      <c r="CO6" s="105">
        <v>10300.191635977273</v>
      </c>
      <c r="CP6" s="105">
        <v>12.536148496067158</v>
      </c>
      <c r="CQ6" s="105">
        <v>7250.9082901252441</v>
      </c>
      <c r="CR6" s="105">
        <v>1.5343760529239614</v>
      </c>
      <c r="CS6" s="105">
        <v>887.4831090112192</v>
      </c>
      <c r="CT6" s="105">
        <v>9.7845723330587635</v>
      </c>
      <c r="CU6" s="105">
        <v>5659.3966374411884</v>
      </c>
    </row>
    <row r="7" spans="1:99" x14ac:dyDescent="0.25">
      <c r="C7" s="104" t="s">
        <v>172</v>
      </c>
      <c r="D7" s="105">
        <v>0</v>
      </c>
      <c r="E7" s="105">
        <v>0</v>
      </c>
      <c r="F7" s="105">
        <v>0</v>
      </c>
      <c r="G7" s="105">
        <v>0</v>
      </c>
      <c r="H7" s="105">
        <v>5</v>
      </c>
      <c r="I7" s="105">
        <v>3942</v>
      </c>
      <c r="J7" s="105">
        <v>5</v>
      </c>
      <c r="K7" s="105">
        <v>3942</v>
      </c>
      <c r="L7" s="105">
        <v>6</v>
      </c>
      <c r="M7" s="105">
        <v>4730.3999999999996</v>
      </c>
      <c r="N7" s="105">
        <v>6</v>
      </c>
      <c r="O7" s="105">
        <v>4730.3999999999996</v>
      </c>
      <c r="P7" s="105">
        <v>6</v>
      </c>
      <c r="Q7" s="105">
        <v>4730.3999999999996</v>
      </c>
      <c r="R7" s="105">
        <v>4</v>
      </c>
      <c r="S7" s="105">
        <v>3153.6</v>
      </c>
      <c r="T7" s="105">
        <v>7</v>
      </c>
      <c r="U7" s="105">
        <v>5518.8</v>
      </c>
      <c r="V7" s="105">
        <v>6</v>
      </c>
      <c r="W7" s="105">
        <v>4730.3999999999996</v>
      </c>
      <c r="X7" s="105">
        <v>6</v>
      </c>
      <c r="Y7" s="105">
        <v>4730.3999999999996</v>
      </c>
      <c r="Z7" s="105">
        <v>5</v>
      </c>
      <c r="AA7" s="105">
        <v>3942</v>
      </c>
      <c r="AB7" s="105">
        <v>7</v>
      </c>
      <c r="AC7" s="105">
        <v>5518.8</v>
      </c>
      <c r="AD7" s="105">
        <v>7</v>
      </c>
      <c r="AE7" s="105">
        <v>5518.8</v>
      </c>
      <c r="AF7" s="105">
        <v>10</v>
      </c>
      <c r="AG7" s="105">
        <v>7884</v>
      </c>
      <c r="AH7" s="105">
        <v>6</v>
      </c>
      <c r="AI7" s="105">
        <v>4730.3999999999996</v>
      </c>
      <c r="AJ7" s="105">
        <v>9</v>
      </c>
      <c r="AK7" s="105">
        <v>7095.5999999999995</v>
      </c>
      <c r="AL7" s="105">
        <v>9</v>
      </c>
      <c r="AM7" s="105">
        <v>7095.5999999999995</v>
      </c>
      <c r="AN7" s="105">
        <v>10</v>
      </c>
      <c r="AO7" s="105">
        <v>7884</v>
      </c>
      <c r="AP7" s="105">
        <v>13</v>
      </c>
      <c r="AQ7" s="105">
        <v>10249.199999999999</v>
      </c>
      <c r="AR7" s="105">
        <v>14</v>
      </c>
      <c r="AS7" s="105">
        <v>11037.6</v>
      </c>
      <c r="AT7" s="105">
        <v>9</v>
      </c>
      <c r="AU7" s="105">
        <v>7095.5999999999995</v>
      </c>
      <c r="AV7" s="105">
        <v>9</v>
      </c>
      <c r="AW7" s="105">
        <v>7095.5999999999995</v>
      </c>
      <c r="AX7" s="105">
        <v>17</v>
      </c>
      <c r="AY7" s="105">
        <v>13402.8</v>
      </c>
      <c r="AZ7" s="105">
        <v>13</v>
      </c>
      <c r="BA7" s="105">
        <v>10249.199999999999</v>
      </c>
      <c r="BB7" s="105">
        <v>11</v>
      </c>
      <c r="BC7" s="105">
        <v>8672.4</v>
      </c>
      <c r="BD7" s="105">
        <v>20</v>
      </c>
      <c r="BE7" s="105">
        <v>15768</v>
      </c>
      <c r="BF7" s="105">
        <v>19</v>
      </c>
      <c r="BG7" s="105">
        <v>14979.6</v>
      </c>
      <c r="BH7" s="105">
        <v>20</v>
      </c>
      <c r="BI7" s="105">
        <v>15768</v>
      </c>
      <c r="BJ7" s="105">
        <v>20</v>
      </c>
      <c r="BK7" s="105">
        <v>15768</v>
      </c>
      <c r="BL7" s="105">
        <v>27</v>
      </c>
      <c r="BM7" s="105">
        <v>21286.799999999999</v>
      </c>
      <c r="BN7" s="105">
        <v>21</v>
      </c>
      <c r="BO7" s="105">
        <v>16556.399999999998</v>
      </c>
      <c r="BP7" s="105">
        <v>32</v>
      </c>
      <c r="BQ7" s="105">
        <v>25228.799999999999</v>
      </c>
      <c r="BR7" s="105">
        <v>29</v>
      </c>
      <c r="BS7" s="105">
        <v>22863.599999999999</v>
      </c>
      <c r="BT7" s="105">
        <v>30</v>
      </c>
      <c r="BU7" s="105">
        <v>23652</v>
      </c>
      <c r="BV7" s="105">
        <v>36</v>
      </c>
      <c r="BW7" s="105">
        <v>28382.399999999998</v>
      </c>
      <c r="BX7" s="105">
        <v>40.492592307534153</v>
      </c>
      <c r="BY7" s="105">
        <v>31924.359775259923</v>
      </c>
      <c r="BZ7" s="105">
        <v>1.9870680844543878</v>
      </c>
      <c r="CA7" s="105">
        <v>1566.6044777838392</v>
      </c>
      <c r="CB7" s="105">
        <v>14.939794768096901</v>
      </c>
      <c r="CC7" s="105">
        <v>11778.534195167596</v>
      </c>
      <c r="CD7" s="105">
        <v>13.425825372728184</v>
      </c>
      <c r="CE7" s="105">
        <v>10584.920723858901</v>
      </c>
      <c r="CF7" s="105">
        <v>1.1289612676056338</v>
      </c>
      <c r="CG7" s="105">
        <v>890.07306338028161</v>
      </c>
      <c r="CH7" s="105">
        <v>10.742106818663183</v>
      </c>
      <c r="CI7" s="105">
        <v>8469.0770158340529</v>
      </c>
      <c r="CJ7" s="105">
        <v>8.2029351249014333</v>
      </c>
      <c r="CK7" s="105">
        <v>6467.1940524722895</v>
      </c>
      <c r="CL7" s="105">
        <v>28.73538374536589</v>
      </c>
      <c r="CM7" s="105">
        <v>22654.976544846468</v>
      </c>
      <c r="CN7" s="105">
        <v>14.616063055044869</v>
      </c>
      <c r="CO7" s="105">
        <v>11523.304112597374</v>
      </c>
      <c r="CP7" s="105">
        <v>10.817482976445048</v>
      </c>
      <c r="CQ7" s="105">
        <v>8528.5035786292756</v>
      </c>
      <c r="CR7" s="105">
        <v>1.736711356606242</v>
      </c>
      <c r="CS7" s="105">
        <v>1369.2232335483611</v>
      </c>
      <c r="CT7" s="105">
        <v>9.8598382740822927</v>
      </c>
      <c r="CU7" s="105">
        <v>7773.4964952864793</v>
      </c>
    </row>
    <row r="8" spans="1:99" x14ac:dyDescent="0.25">
      <c r="C8" s="104" t="s">
        <v>173</v>
      </c>
      <c r="D8" s="105">
        <v>0</v>
      </c>
      <c r="E8" s="105">
        <v>0</v>
      </c>
      <c r="F8" s="105">
        <v>0</v>
      </c>
      <c r="G8" s="105">
        <v>0</v>
      </c>
      <c r="H8" s="105">
        <v>5</v>
      </c>
      <c r="I8" s="105">
        <v>1547.9999999999998</v>
      </c>
      <c r="J8" s="105">
        <v>5</v>
      </c>
      <c r="K8" s="105">
        <v>1547.9999999999998</v>
      </c>
      <c r="L8" s="105">
        <v>6</v>
      </c>
      <c r="M8" s="105">
        <v>1857.6</v>
      </c>
      <c r="N8" s="105">
        <v>7</v>
      </c>
      <c r="O8" s="105">
        <v>2167.1999999999998</v>
      </c>
      <c r="P8" s="105">
        <v>6</v>
      </c>
      <c r="Q8" s="105">
        <v>1857.6</v>
      </c>
      <c r="R8" s="105">
        <v>4</v>
      </c>
      <c r="S8" s="105">
        <v>1238.3999999999999</v>
      </c>
      <c r="T8" s="105">
        <v>7</v>
      </c>
      <c r="U8" s="105">
        <v>2167.1999999999998</v>
      </c>
      <c r="V8" s="105">
        <v>5</v>
      </c>
      <c r="W8" s="105">
        <v>1547.9999999999998</v>
      </c>
      <c r="X8" s="105">
        <v>6</v>
      </c>
      <c r="Y8" s="105">
        <v>1857.6</v>
      </c>
      <c r="Z8" s="105">
        <v>5</v>
      </c>
      <c r="AA8" s="105">
        <v>1547.9999999999998</v>
      </c>
      <c r="AB8" s="105">
        <v>7</v>
      </c>
      <c r="AC8" s="105">
        <v>2167.1999999999998</v>
      </c>
      <c r="AD8" s="105">
        <v>6</v>
      </c>
      <c r="AE8" s="105">
        <v>1857.6</v>
      </c>
      <c r="AF8" s="105">
        <v>11</v>
      </c>
      <c r="AG8" s="105">
        <v>3405.5999999999995</v>
      </c>
      <c r="AH8" s="105">
        <v>6</v>
      </c>
      <c r="AI8" s="105">
        <v>1857.6</v>
      </c>
      <c r="AJ8" s="105">
        <v>9</v>
      </c>
      <c r="AK8" s="105">
        <v>2786.3999999999996</v>
      </c>
      <c r="AL8" s="105">
        <v>9</v>
      </c>
      <c r="AM8" s="105">
        <v>2786.3999999999996</v>
      </c>
      <c r="AN8" s="105">
        <v>10</v>
      </c>
      <c r="AO8" s="105">
        <v>3095.9999999999995</v>
      </c>
      <c r="AP8" s="105">
        <v>12</v>
      </c>
      <c r="AQ8" s="105">
        <v>3715.2</v>
      </c>
      <c r="AR8" s="105">
        <v>13</v>
      </c>
      <c r="AS8" s="105">
        <v>4024.7999999999997</v>
      </c>
      <c r="AT8" s="105">
        <v>10</v>
      </c>
      <c r="AU8" s="105">
        <v>3095.9999999999995</v>
      </c>
      <c r="AV8" s="105">
        <v>10</v>
      </c>
      <c r="AW8" s="105">
        <v>3095.9999999999995</v>
      </c>
      <c r="AX8" s="105">
        <v>16</v>
      </c>
      <c r="AY8" s="105">
        <v>4953.5999999999995</v>
      </c>
      <c r="AZ8" s="105">
        <v>13</v>
      </c>
      <c r="BA8" s="105">
        <v>4024.7999999999997</v>
      </c>
      <c r="BB8" s="105">
        <v>11</v>
      </c>
      <c r="BC8" s="105">
        <v>3405.5999999999995</v>
      </c>
      <c r="BD8" s="105">
        <v>19</v>
      </c>
      <c r="BE8" s="105">
        <v>5882.4</v>
      </c>
      <c r="BF8" s="105">
        <v>19</v>
      </c>
      <c r="BG8" s="105">
        <v>5882.4</v>
      </c>
      <c r="BH8" s="105">
        <v>21</v>
      </c>
      <c r="BI8" s="105">
        <v>6501.5999999999995</v>
      </c>
      <c r="BJ8" s="105">
        <v>21</v>
      </c>
      <c r="BK8" s="105">
        <v>6501.5999999999995</v>
      </c>
      <c r="BL8" s="105">
        <v>26</v>
      </c>
      <c r="BM8" s="105">
        <v>8049.5999999999995</v>
      </c>
      <c r="BN8" s="105">
        <v>21</v>
      </c>
      <c r="BO8" s="105">
        <v>6501.5999999999995</v>
      </c>
      <c r="BP8" s="105">
        <v>30</v>
      </c>
      <c r="BQ8" s="105">
        <v>9287.9999999999982</v>
      </c>
      <c r="BR8" s="105">
        <v>31</v>
      </c>
      <c r="BS8" s="105">
        <v>9597.5999999999985</v>
      </c>
      <c r="BT8" s="105">
        <v>33</v>
      </c>
      <c r="BU8" s="105">
        <v>10216.799999999999</v>
      </c>
      <c r="BV8" s="105">
        <v>33</v>
      </c>
      <c r="BW8" s="105">
        <v>10216.799999999999</v>
      </c>
      <c r="BX8" s="105">
        <v>42.179783653681412</v>
      </c>
      <c r="BY8" s="105">
        <v>13058.861019179763</v>
      </c>
      <c r="BZ8" s="105">
        <v>1.87352133677128</v>
      </c>
      <c r="CA8" s="105">
        <v>580.04220586438817</v>
      </c>
      <c r="CB8" s="105">
        <v>16.006922965818106</v>
      </c>
      <c r="CC8" s="105">
        <v>4955.7433502172853</v>
      </c>
      <c r="CD8" s="105">
        <v>14.132447760766508</v>
      </c>
      <c r="CE8" s="105">
        <v>4375.4058267333103</v>
      </c>
      <c r="CF8" s="105">
        <v>1.247799295774648</v>
      </c>
      <c r="CG8" s="105">
        <v>386.31866197183098</v>
      </c>
      <c r="CH8" s="105">
        <v>10.416588430218843</v>
      </c>
      <c r="CI8" s="105">
        <v>3224.9757779957536</v>
      </c>
      <c r="CJ8" s="105">
        <v>8.315304099215151</v>
      </c>
      <c r="CK8" s="105">
        <v>2574.4181491170107</v>
      </c>
      <c r="CL8" s="105">
        <v>31.608922119902481</v>
      </c>
      <c r="CM8" s="105">
        <v>9786.122288321807</v>
      </c>
      <c r="CN8" s="105">
        <v>15.960068853209913</v>
      </c>
      <c r="CO8" s="105">
        <v>4941.2373169537886</v>
      </c>
      <c r="CP8" s="105">
        <v>12.13175660909725</v>
      </c>
      <c r="CQ8" s="105">
        <v>3755.9918461765083</v>
      </c>
      <c r="CR8" s="105">
        <v>1.905324109674809</v>
      </c>
      <c r="CS8" s="105">
        <v>589.88834435532078</v>
      </c>
      <c r="CT8" s="105">
        <v>10.461965802270525</v>
      </c>
      <c r="CU8" s="105">
        <v>3239.0246123829543</v>
      </c>
    </row>
    <row r="9" spans="1:99" x14ac:dyDescent="0.25">
      <c r="C9" s="104" t="s">
        <v>174</v>
      </c>
      <c r="D9" s="105">
        <v>0</v>
      </c>
      <c r="E9" s="105">
        <v>0</v>
      </c>
      <c r="F9" s="105">
        <v>0</v>
      </c>
      <c r="G9" s="105">
        <v>0</v>
      </c>
      <c r="H9" s="105">
        <v>5</v>
      </c>
      <c r="I9" s="105">
        <v>3510</v>
      </c>
      <c r="J9" s="105">
        <v>5</v>
      </c>
      <c r="K9" s="105">
        <v>3510</v>
      </c>
      <c r="L9" s="105">
        <v>6</v>
      </c>
      <c r="M9" s="105">
        <v>4212</v>
      </c>
      <c r="N9" s="105">
        <v>7</v>
      </c>
      <c r="O9" s="105">
        <v>4914</v>
      </c>
      <c r="P9" s="105">
        <v>6</v>
      </c>
      <c r="Q9" s="105">
        <v>4212</v>
      </c>
      <c r="R9" s="105">
        <v>3</v>
      </c>
      <c r="S9" s="105">
        <v>2106</v>
      </c>
      <c r="T9" s="105">
        <v>7</v>
      </c>
      <c r="U9" s="105">
        <v>4914</v>
      </c>
      <c r="V9" s="105">
        <v>5</v>
      </c>
      <c r="W9" s="105">
        <v>3510</v>
      </c>
      <c r="X9" s="105">
        <v>7</v>
      </c>
      <c r="Y9" s="105">
        <v>4914</v>
      </c>
      <c r="Z9" s="105">
        <v>5</v>
      </c>
      <c r="AA9" s="105">
        <v>3510</v>
      </c>
      <c r="AB9" s="105">
        <v>8</v>
      </c>
      <c r="AC9" s="105">
        <v>5616</v>
      </c>
      <c r="AD9" s="105">
        <v>7</v>
      </c>
      <c r="AE9" s="105">
        <v>4914</v>
      </c>
      <c r="AF9" s="105">
        <v>9</v>
      </c>
      <c r="AG9" s="105">
        <v>6318</v>
      </c>
      <c r="AH9" s="105">
        <v>6</v>
      </c>
      <c r="AI9" s="105">
        <v>4212</v>
      </c>
      <c r="AJ9" s="105">
        <v>9</v>
      </c>
      <c r="AK9" s="105">
        <v>6318</v>
      </c>
      <c r="AL9" s="105">
        <v>8</v>
      </c>
      <c r="AM9" s="105">
        <v>5616</v>
      </c>
      <c r="AN9" s="105">
        <v>9</v>
      </c>
      <c r="AO9" s="105">
        <v>6318</v>
      </c>
      <c r="AP9" s="105">
        <v>12</v>
      </c>
      <c r="AQ9" s="105">
        <v>8424</v>
      </c>
      <c r="AR9" s="105">
        <v>14</v>
      </c>
      <c r="AS9" s="105">
        <v>9828</v>
      </c>
      <c r="AT9" s="105">
        <v>10</v>
      </c>
      <c r="AU9" s="105">
        <v>7020</v>
      </c>
      <c r="AV9" s="105">
        <v>9</v>
      </c>
      <c r="AW9" s="105">
        <v>6318</v>
      </c>
      <c r="AX9" s="105">
        <v>17</v>
      </c>
      <c r="AY9" s="105">
        <v>11934</v>
      </c>
      <c r="AZ9" s="105">
        <v>11</v>
      </c>
      <c r="BA9" s="105">
        <v>7722</v>
      </c>
      <c r="BB9" s="105">
        <v>11</v>
      </c>
      <c r="BC9" s="105">
        <v>7722</v>
      </c>
      <c r="BD9" s="105">
        <v>20</v>
      </c>
      <c r="BE9" s="105">
        <v>14040</v>
      </c>
      <c r="BF9" s="105">
        <v>20</v>
      </c>
      <c r="BG9" s="105">
        <v>14040</v>
      </c>
      <c r="BH9" s="105">
        <v>19</v>
      </c>
      <c r="BI9" s="105">
        <v>13338</v>
      </c>
      <c r="BJ9" s="105">
        <v>20</v>
      </c>
      <c r="BK9" s="105">
        <v>14040</v>
      </c>
      <c r="BL9" s="105">
        <v>25</v>
      </c>
      <c r="BM9" s="105">
        <v>17550</v>
      </c>
      <c r="BN9" s="105">
        <v>21</v>
      </c>
      <c r="BO9" s="105">
        <v>14742</v>
      </c>
      <c r="BP9" s="105">
        <v>31</v>
      </c>
      <c r="BQ9" s="105">
        <v>21762</v>
      </c>
      <c r="BR9" s="105">
        <v>25</v>
      </c>
      <c r="BS9" s="105">
        <v>17550</v>
      </c>
      <c r="BT9" s="105">
        <v>29</v>
      </c>
      <c r="BU9" s="105">
        <v>20358</v>
      </c>
      <c r="BV9" s="105">
        <v>35</v>
      </c>
      <c r="BW9" s="105">
        <v>24570</v>
      </c>
      <c r="BX9" s="105">
        <v>42.179783653681412</v>
      </c>
      <c r="BY9" s="105">
        <v>29610.20812488435</v>
      </c>
      <c r="BZ9" s="105">
        <v>1.703201215246618</v>
      </c>
      <c r="CA9" s="105">
        <v>1195.6472531031259</v>
      </c>
      <c r="CB9" s="105">
        <v>14.406230669236297</v>
      </c>
      <c r="CC9" s="105">
        <v>10113.173929803881</v>
      </c>
      <c r="CD9" s="105">
        <v>13.779136566747345</v>
      </c>
      <c r="CE9" s="105">
        <v>9672.9538698566357</v>
      </c>
      <c r="CF9" s="105">
        <v>1.1091549295774648</v>
      </c>
      <c r="CG9" s="105">
        <v>778.62676056338023</v>
      </c>
      <c r="CH9" s="105">
        <v>10.091070041774506</v>
      </c>
      <c r="CI9" s="105">
        <v>7083.9311693257032</v>
      </c>
      <c r="CJ9" s="105">
        <v>7.4163523047054047</v>
      </c>
      <c r="CK9" s="105">
        <v>5206.2793179031942</v>
      </c>
      <c r="CL9" s="105">
        <v>27.011260720643939</v>
      </c>
      <c r="CM9" s="105">
        <v>18961.905025892047</v>
      </c>
      <c r="CN9" s="105">
        <v>15.28806595412739</v>
      </c>
      <c r="CO9" s="105">
        <v>10732.222299797428</v>
      </c>
      <c r="CP9" s="105">
        <v>12.435050524324682</v>
      </c>
      <c r="CQ9" s="105">
        <v>8729.4054680759273</v>
      </c>
      <c r="CR9" s="105">
        <v>1.5512373282308181</v>
      </c>
      <c r="CS9" s="105">
        <v>1088.9686044180344</v>
      </c>
      <c r="CT9" s="105">
        <v>9.3329766869175916</v>
      </c>
      <c r="CU9" s="105">
        <v>6551.7496342161494</v>
      </c>
    </row>
    <row r="10" spans="1:99" x14ac:dyDescent="0.25">
      <c r="C10" s="104" t="s">
        <v>175</v>
      </c>
      <c r="D10" s="105">
        <v>0</v>
      </c>
      <c r="E10" s="105">
        <v>0</v>
      </c>
      <c r="F10" s="105">
        <v>0</v>
      </c>
      <c r="G10" s="105">
        <v>0</v>
      </c>
      <c r="H10" s="105">
        <v>6</v>
      </c>
      <c r="I10" s="105">
        <v>3268.7999999999997</v>
      </c>
      <c r="J10" s="105">
        <v>5</v>
      </c>
      <c r="K10" s="105">
        <v>2724</v>
      </c>
      <c r="L10" s="105">
        <v>6</v>
      </c>
      <c r="M10" s="105">
        <v>3268.7999999999997</v>
      </c>
      <c r="N10" s="105">
        <v>6</v>
      </c>
      <c r="O10" s="105">
        <v>3268.7999999999997</v>
      </c>
      <c r="P10" s="105">
        <v>6</v>
      </c>
      <c r="Q10" s="105">
        <v>3268.7999999999997</v>
      </c>
      <c r="R10" s="105">
        <v>4</v>
      </c>
      <c r="S10" s="105">
        <v>2179.1999999999998</v>
      </c>
      <c r="T10" s="105">
        <v>6</v>
      </c>
      <c r="U10" s="105">
        <v>3268.7999999999997</v>
      </c>
      <c r="V10" s="105">
        <v>5</v>
      </c>
      <c r="W10" s="105">
        <v>2724</v>
      </c>
      <c r="X10" s="105">
        <v>6</v>
      </c>
      <c r="Y10" s="105">
        <v>3268.7999999999997</v>
      </c>
      <c r="Z10" s="105">
        <v>4</v>
      </c>
      <c r="AA10" s="105">
        <v>2179.1999999999998</v>
      </c>
      <c r="AB10" s="105">
        <v>7</v>
      </c>
      <c r="AC10" s="105">
        <v>3813.5999999999995</v>
      </c>
      <c r="AD10" s="105">
        <v>7</v>
      </c>
      <c r="AE10" s="105">
        <v>3813.5999999999995</v>
      </c>
      <c r="AF10" s="105">
        <v>9</v>
      </c>
      <c r="AG10" s="105">
        <v>4903.2</v>
      </c>
      <c r="AH10" s="105">
        <v>7</v>
      </c>
      <c r="AI10" s="105">
        <v>3813.5999999999995</v>
      </c>
      <c r="AJ10" s="105">
        <v>9</v>
      </c>
      <c r="AK10" s="105">
        <v>4903.2</v>
      </c>
      <c r="AL10" s="105">
        <v>9</v>
      </c>
      <c r="AM10" s="105">
        <v>4903.2</v>
      </c>
      <c r="AN10" s="105">
        <v>9</v>
      </c>
      <c r="AO10" s="105">
        <v>4903.2</v>
      </c>
      <c r="AP10" s="105">
        <v>12</v>
      </c>
      <c r="AQ10" s="105">
        <v>6537.5999999999995</v>
      </c>
      <c r="AR10" s="105">
        <v>13</v>
      </c>
      <c r="AS10" s="105">
        <v>7082.4</v>
      </c>
      <c r="AT10" s="105">
        <v>10</v>
      </c>
      <c r="AU10" s="105">
        <v>5448</v>
      </c>
      <c r="AV10" s="105">
        <v>9</v>
      </c>
      <c r="AW10" s="105">
        <v>4903.2</v>
      </c>
      <c r="AX10" s="105">
        <v>16</v>
      </c>
      <c r="AY10" s="105">
        <v>8716.7999999999993</v>
      </c>
      <c r="AZ10" s="105">
        <v>12</v>
      </c>
      <c r="BA10" s="105">
        <v>6537.5999999999995</v>
      </c>
      <c r="BB10" s="105">
        <v>11</v>
      </c>
      <c r="BC10" s="105">
        <v>5992.7999999999993</v>
      </c>
      <c r="BD10" s="105">
        <v>22</v>
      </c>
      <c r="BE10" s="105">
        <v>11985.599999999999</v>
      </c>
      <c r="BF10" s="105">
        <v>17</v>
      </c>
      <c r="BG10" s="105">
        <v>9261.5999999999985</v>
      </c>
      <c r="BH10" s="105">
        <v>22</v>
      </c>
      <c r="BI10" s="105">
        <v>11985.599999999999</v>
      </c>
      <c r="BJ10" s="105">
        <v>21</v>
      </c>
      <c r="BK10" s="105">
        <v>11440.8</v>
      </c>
      <c r="BL10" s="105">
        <v>24</v>
      </c>
      <c r="BM10" s="105">
        <v>13075.199999999999</v>
      </c>
      <c r="BN10" s="105">
        <v>22</v>
      </c>
      <c r="BO10" s="105">
        <v>11985.599999999999</v>
      </c>
      <c r="BP10" s="105">
        <v>28</v>
      </c>
      <c r="BQ10" s="105">
        <v>15254.399999999998</v>
      </c>
      <c r="BR10" s="105">
        <v>28</v>
      </c>
      <c r="BS10" s="105">
        <v>15254.399999999998</v>
      </c>
      <c r="BT10" s="105">
        <v>32</v>
      </c>
      <c r="BU10" s="105">
        <v>17433.599999999999</v>
      </c>
      <c r="BV10" s="105">
        <v>31</v>
      </c>
      <c r="BW10" s="105">
        <v>16888.8</v>
      </c>
      <c r="BX10" s="105">
        <v>43.023379326755034</v>
      </c>
      <c r="BY10" s="105">
        <v>23439.13705721614</v>
      </c>
      <c r="BZ10" s="105">
        <v>1.9302947106128339</v>
      </c>
      <c r="CA10" s="105">
        <v>1051.6245583418718</v>
      </c>
      <c r="CB10" s="105">
        <v>14.406230669236297</v>
      </c>
      <c r="CC10" s="105">
        <v>7848.5144685999339</v>
      </c>
      <c r="CD10" s="105">
        <v>15.545692536843159</v>
      </c>
      <c r="CE10" s="105">
        <v>8469.293294072153</v>
      </c>
      <c r="CF10" s="105">
        <v>1.0299295774647887</v>
      </c>
      <c r="CG10" s="105">
        <v>561.1056338028169</v>
      </c>
      <c r="CH10" s="105">
        <v>10.579347624441015</v>
      </c>
      <c r="CI10" s="105">
        <v>5763.6285857954645</v>
      </c>
      <c r="CJ10" s="105">
        <v>7.4163523047054047</v>
      </c>
      <c r="CK10" s="105">
        <v>4040.4287356035043</v>
      </c>
      <c r="CL10" s="105">
        <v>31.034214444995165</v>
      </c>
      <c r="CM10" s="105">
        <v>16907.440029633366</v>
      </c>
      <c r="CN10" s="105">
        <v>16.128069577980543</v>
      </c>
      <c r="CO10" s="105">
        <v>8786.572306083799</v>
      </c>
      <c r="CP10" s="105">
        <v>12.940540383037067</v>
      </c>
      <c r="CQ10" s="105">
        <v>7050.0064006785933</v>
      </c>
      <c r="CR10" s="105">
        <v>1.736711356606242</v>
      </c>
      <c r="CS10" s="105">
        <v>946.16034707908057</v>
      </c>
      <c r="CT10" s="105">
        <v>11.365157094552872</v>
      </c>
      <c r="CU10" s="105">
        <v>6191.7375851124043</v>
      </c>
    </row>
    <row r="11" spans="1:99" x14ac:dyDescent="0.25">
      <c r="C11" s="104" t="s">
        <v>176</v>
      </c>
      <c r="D11" s="105">
        <v>0</v>
      </c>
      <c r="E11" s="105">
        <v>0</v>
      </c>
      <c r="F11" s="105">
        <v>0</v>
      </c>
      <c r="G11" s="105">
        <v>0</v>
      </c>
      <c r="H11" s="105">
        <v>5</v>
      </c>
      <c r="I11" s="105">
        <v>2664</v>
      </c>
      <c r="J11" s="105">
        <v>5</v>
      </c>
      <c r="K11" s="105">
        <v>2664</v>
      </c>
      <c r="L11" s="105">
        <v>6</v>
      </c>
      <c r="M11" s="105">
        <v>3196.7999999999997</v>
      </c>
      <c r="N11" s="105">
        <v>7</v>
      </c>
      <c r="O11" s="105">
        <v>3729.5999999999995</v>
      </c>
      <c r="P11" s="105">
        <v>6</v>
      </c>
      <c r="Q11" s="105">
        <v>3196.7999999999997</v>
      </c>
      <c r="R11" s="105">
        <v>4</v>
      </c>
      <c r="S11" s="105">
        <v>2131.1999999999998</v>
      </c>
      <c r="T11" s="105">
        <v>7</v>
      </c>
      <c r="U11" s="105">
        <v>3729.5999999999995</v>
      </c>
      <c r="V11" s="105">
        <v>6</v>
      </c>
      <c r="W11" s="105">
        <v>3196.7999999999997</v>
      </c>
      <c r="X11" s="105">
        <v>6</v>
      </c>
      <c r="Y11" s="105">
        <v>3196.7999999999997</v>
      </c>
      <c r="Z11" s="105">
        <v>5</v>
      </c>
      <c r="AA11" s="105">
        <v>2664</v>
      </c>
      <c r="AB11" s="105">
        <v>7</v>
      </c>
      <c r="AC11" s="105">
        <v>3729.5999999999995</v>
      </c>
      <c r="AD11" s="105">
        <v>6</v>
      </c>
      <c r="AE11" s="105">
        <v>3196.7999999999997</v>
      </c>
      <c r="AF11" s="105">
        <v>10</v>
      </c>
      <c r="AG11" s="105">
        <v>5328</v>
      </c>
      <c r="AH11" s="105">
        <v>7</v>
      </c>
      <c r="AI11" s="105">
        <v>3729.5999999999995</v>
      </c>
      <c r="AJ11" s="105">
        <v>9</v>
      </c>
      <c r="AK11" s="105">
        <v>4795.2</v>
      </c>
      <c r="AL11" s="105">
        <v>8</v>
      </c>
      <c r="AM11" s="105">
        <v>4262.3999999999996</v>
      </c>
      <c r="AN11" s="105">
        <v>10</v>
      </c>
      <c r="AO11" s="105">
        <v>5328</v>
      </c>
      <c r="AP11" s="105">
        <v>12</v>
      </c>
      <c r="AQ11" s="105">
        <v>6393.5999999999995</v>
      </c>
      <c r="AR11" s="105">
        <v>15</v>
      </c>
      <c r="AS11" s="105">
        <v>7991.9999999999991</v>
      </c>
      <c r="AT11" s="105">
        <v>9</v>
      </c>
      <c r="AU11" s="105">
        <v>4795.2</v>
      </c>
      <c r="AV11" s="105">
        <v>9</v>
      </c>
      <c r="AW11" s="105">
        <v>4795.2</v>
      </c>
      <c r="AX11" s="105">
        <v>17</v>
      </c>
      <c r="AY11" s="105">
        <v>9057.5999999999985</v>
      </c>
      <c r="AZ11" s="105">
        <v>13</v>
      </c>
      <c r="BA11" s="105">
        <v>6926.4</v>
      </c>
      <c r="BB11" s="105">
        <v>11</v>
      </c>
      <c r="BC11" s="105">
        <v>5860.7999999999993</v>
      </c>
      <c r="BD11" s="105">
        <v>19</v>
      </c>
      <c r="BE11" s="105">
        <v>10123.199999999999</v>
      </c>
      <c r="BF11" s="105">
        <v>20</v>
      </c>
      <c r="BG11" s="105">
        <v>10656</v>
      </c>
      <c r="BH11" s="105">
        <v>21</v>
      </c>
      <c r="BI11" s="105">
        <v>11188.8</v>
      </c>
      <c r="BJ11" s="105">
        <v>19</v>
      </c>
      <c r="BK11" s="105">
        <v>10123.199999999999</v>
      </c>
      <c r="BL11" s="105">
        <v>28</v>
      </c>
      <c r="BM11" s="105">
        <v>14918.399999999998</v>
      </c>
      <c r="BN11" s="105">
        <v>22</v>
      </c>
      <c r="BO11" s="105">
        <v>11721.599999999999</v>
      </c>
      <c r="BP11" s="105">
        <v>29</v>
      </c>
      <c r="BQ11" s="105">
        <v>15451.199999999999</v>
      </c>
      <c r="BR11" s="105">
        <v>29</v>
      </c>
      <c r="BS11" s="105">
        <v>15451.199999999999</v>
      </c>
      <c r="BT11" s="105">
        <v>35</v>
      </c>
      <c r="BU11" s="105">
        <v>18648</v>
      </c>
      <c r="BV11" s="105">
        <v>32</v>
      </c>
      <c r="BW11" s="105">
        <v>17049.599999999999</v>
      </c>
      <c r="BX11" s="105">
        <v>36.274613942166013</v>
      </c>
      <c r="BY11" s="105">
        <v>19327.114308386052</v>
      </c>
      <c r="BZ11" s="105">
        <v>1.87352133677128</v>
      </c>
      <c r="CA11" s="105">
        <v>998.21216823173791</v>
      </c>
      <c r="CB11" s="105">
        <v>16.006922965818106</v>
      </c>
      <c r="CC11" s="105">
        <v>8528.4885561878855</v>
      </c>
      <c r="CD11" s="105">
        <v>13.425825372728184</v>
      </c>
      <c r="CE11" s="105">
        <v>7153.279758589576</v>
      </c>
      <c r="CF11" s="105">
        <v>1.1685739436619718</v>
      </c>
      <c r="CG11" s="105">
        <v>622.61619718309851</v>
      </c>
      <c r="CH11" s="105">
        <v>10.253829235996674</v>
      </c>
      <c r="CI11" s="105">
        <v>5463.240216939028</v>
      </c>
      <c r="CJ11" s="105">
        <v>7.7534592276465597</v>
      </c>
      <c r="CK11" s="105">
        <v>4131.0430764900866</v>
      </c>
      <c r="CL11" s="105">
        <v>26.43655304573662</v>
      </c>
      <c r="CM11" s="105">
        <v>14085.395462768471</v>
      </c>
      <c r="CN11" s="105">
        <v>15.12006522935676</v>
      </c>
      <c r="CO11" s="105">
        <v>8055.9707542012811</v>
      </c>
      <c r="CP11" s="105">
        <v>13.344932270006973</v>
      </c>
      <c r="CQ11" s="105">
        <v>7110.179913459715</v>
      </c>
      <c r="CR11" s="105">
        <v>1.6524049800719582</v>
      </c>
      <c r="CS11" s="105">
        <v>880.40137338233933</v>
      </c>
      <c r="CT11" s="105">
        <v>10.988827389435228</v>
      </c>
      <c r="CU11" s="105">
        <v>5854.847233091089</v>
      </c>
    </row>
    <row r="12" spans="1:99" x14ac:dyDescent="0.25">
      <c r="C12" s="104" t="s">
        <v>177</v>
      </c>
      <c r="D12" s="105">
        <v>0</v>
      </c>
      <c r="E12" s="105">
        <v>0</v>
      </c>
      <c r="F12" s="105">
        <v>0</v>
      </c>
      <c r="G12" s="105">
        <v>0</v>
      </c>
      <c r="H12" s="105">
        <v>5</v>
      </c>
      <c r="I12" s="105">
        <v>2814</v>
      </c>
      <c r="J12" s="105">
        <v>5</v>
      </c>
      <c r="K12" s="105">
        <v>2814</v>
      </c>
      <c r="L12" s="105">
        <v>7</v>
      </c>
      <c r="M12" s="105">
        <v>3939.5999999999995</v>
      </c>
      <c r="N12" s="105">
        <v>6</v>
      </c>
      <c r="O12" s="105">
        <v>3376.7999999999997</v>
      </c>
      <c r="P12" s="105">
        <v>6</v>
      </c>
      <c r="Q12" s="105">
        <v>3376.7999999999997</v>
      </c>
      <c r="R12" s="105">
        <v>4</v>
      </c>
      <c r="S12" s="105">
        <v>2251.1999999999998</v>
      </c>
      <c r="T12" s="105">
        <v>7</v>
      </c>
      <c r="U12" s="105">
        <v>3939.5999999999995</v>
      </c>
      <c r="V12" s="105">
        <v>6</v>
      </c>
      <c r="W12" s="105">
        <v>3376.7999999999997</v>
      </c>
      <c r="X12" s="105">
        <v>7</v>
      </c>
      <c r="Y12" s="105">
        <v>3939.5999999999995</v>
      </c>
      <c r="Z12" s="105">
        <v>5</v>
      </c>
      <c r="AA12" s="105">
        <v>2814</v>
      </c>
      <c r="AB12" s="105">
        <v>7</v>
      </c>
      <c r="AC12" s="105">
        <v>3939.5999999999995</v>
      </c>
      <c r="AD12" s="105">
        <v>7</v>
      </c>
      <c r="AE12" s="105">
        <v>3939.5999999999995</v>
      </c>
      <c r="AF12" s="105">
        <v>10</v>
      </c>
      <c r="AG12" s="105">
        <v>5628</v>
      </c>
      <c r="AH12" s="105">
        <v>7</v>
      </c>
      <c r="AI12" s="105">
        <v>3939.5999999999995</v>
      </c>
      <c r="AJ12" s="105">
        <v>9</v>
      </c>
      <c r="AK12" s="105">
        <v>5065.2</v>
      </c>
      <c r="AL12" s="105">
        <v>8</v>
      </c>
      <c r="AM12" s="105">
        <v>4502.3999999999996</v>
      </c>
      <c r="AN12" s="105">
        <v>10</v>
      </c>
      <c r="AO12" s="105">
        <v>5628</v>
      </c>
      <c r="AP12" s="105">
        <v>13</v>
      </c>
      <c r="AQ12" s="105">
        <v>7316.4</v>
      </c>
      <c r="AR12" s="105">
        <v>13</v>
      </c>
      <c r="AS12" s="105">
        <v>7316.4</v>
      </c>
      <c r="AT12" s="105">
        <v>11</v>
      </c>
      <c r="AU12" s="105">
        <v>6190.7999999999993</v>
      </c>
      <c r="AV12" s="105">
        <v>8</v>
      </c>
      <c r="AW12" s="105">
        <v>4502.3999999999996</v>
      </c>
      <c r="AX12" s="105">
        <v>18</v>
      </c>
      <c r="AY12" s="105">
        <v>10130.4</v>
      </c>
      <c r="AZ12" s="105">
        <v>13</v>
      </c>
      <c r="BA12" s="105">
        <v>7316.4</v>
      </c>
      <c r="BB12" s="105">
        <v>12</v>
      </c>
      <c r="BC12" s="105">
        <v>6753.5999999999995</v>
      </c>
      <c r="BD12" s="105">
        <v>19</v>
      </c>
      <c r="BE12" s="105">
        <v>10693.199999999999</v>
      </c>
      <c r="BF12" s="105">
        <v>19</v>
      </c>
      <c r="BG12" s="105">
        <v>10693.199999999999</v>
      </c>
      <c r="BH12" s="105">
        <v>23</v>
      </c>
      <c r="BI12" s="105">
        <v>12944.4</v>
      </c>
      <c r="BJ12" s="105">
        <v>19</v>
      </c>
      <c r="BK12" s="105">
        <v>10693.199999999999</v>
      </c>
      <c r="BL12" s="105">
        <v>25</v>
      </c>
      <c r="BM12" s="105">
        <v>14069.999999999998</v>
      </c>
      <c r="BN12" s="105">
        <v>20</v>
      </c>
      <c r="BO12" s="105">
        <v>11256</v>
      </c>
      <c r="BP12" s="105">
        <v>33</v>
      </c>
      <c r="BQ12" s="105">
        <v>18572.399999999998</v>
      </c>
      <c r="BR12" s="105">
        <v>28</v>
      </c>
      <c r="BS12" s="105">
        <v>15758.399999999998</v>
      </c>
      <c r="BT12" s="105">
        <v>32</v>
      </c>
      <c r="BU12" s="105">
        <v>18009.599999999999</v>
      </c>
      <c r="BV12" s="105">
        <v>35</v>
      </c>
      <c r="BW12" s="105">
        <v>19698</v>
      </c>
      <c r="BX12" s="105">
        <v>42.179783653681412</v>
      </c>
      <c r="BY12" s="105">
        <v>23738.782240291897</v>
      </c>
      <c r="BZ12" s="105">
        <v>2.0438414582959417</v>
      </c>
      <c r="CA12" s="105">
        <v>1150.2739727289559</v>
      </c>
      <c r="CB12" s="105">
        <v>16.006922965818106</v>
      </c>
      <c r="CC12" s="105">
        <v>9008.6962451624295</v>
      </c>
      <c r="CD12" s="105">
        <v>13.779136566747345</v>
      </c>
      <c r="CE12" s="105">
        <v>7754.8980597654054</v>
      </c>
      <c r="CF12" s="105">
        <v>1.0299295774647887</v>
      </c>
      <c r="CG12" s="105">
        <v>579.6443661971831</v>
      </c>
      <c r="CH12" s="105">
        <v>10.579347624441015</v>
      </c>
      <c r="CI12" s="105">
        <v>5954.0568430354024</v>
      </c>
      <c r="CJ12" s="105">
        <v>7.5287212790191234</v>
      </c>
      <c r="CK12" s="105">
        <v>4237.1643358319625</v>
      </c>
      <c r="CL12" s="105">
        <v>30.459506770087845</v>
      </c>
      <c r="CM12" s="105">
        <v>17142.610410205438</v>
      </c>
      <c r="CN12" s="105">
        <v>16.128069577980543</v>
      </c>
      <c r="CO12" s="105">
        <v>9076.8775584874493</v>
      </c>
      <c r="CP12" s="105">
        <v>13.142736326522021</v>
      </c>
      <c r="CQ12" s="105">
        <v>7396.7320045665929</v>
      </c>
      <c r="CR12" s="105">
        <v>1.854740283754239</v>
      </c>
      <c r="CS12" s="105">
        <v>1043.8478316968856</v>
      </c>
      <c r="CT12" s="105">
        <v>9.6340404510117068</v>
      </c>
      <c r="CU12" s="105">
        <v>5422.0379658293878</v>
      </c>
    </row>
    <row r="13" spans="1:99" x14ac:dyDescent="0.25">
      <c r="C13" s="104" t="s">
        <v>178</v>
      </c>
      <c r="D13" s="105">
        <v>0</v>
      </c>
      <c r="E13" s="105">
        <v>0</v>
      </c>
      <c r="F13" s="105">
        <v>0</v>
      </c>
      <c r="G13" s="105">
        <v>0</v>
      </c>
      <c r="H13" s="105">
        <v>5</v>
      </c>
      <c r="I13" s="105">
        <v>426</v>
      </c>
      <c r="J13" s="105">
        <v>5</v>
      </c>
      <c r="K13" s="105">
        <v>426</v>
      </c>
      <c r="L13" s="105">
        <v>7</v>
      </c>
      <c r="M13" s="105">
        <v>596.4</v>
      </c>
      <c r="N13" s="105">
        <v>7</v>
      </c>
      <c r="O13" s="105">
        <v>596.4</v>
      </c>
      <c r="P13" s="105">
        <v>5</v>
      </c>
      <c r="Q13" s="105">
        <v>426</v>
      </c>
      <c r="R13" s="105">
        <v>4</v>
      </c>
      <c r="S13" s="105">
        <v>340.8</v>
      </c>
      <c r="T13" s="105">
        <v>7</v>
      </c>
      <c r="U13" s="105">
        <v>596.4</v>
      </c>
      <c r="V13" s="105">
        <v>6</v>
      </c>
      <c r="W13" s="105">
        <v>511.20000000000005</v>
      </c>
      <c r="X13" s="105">
        <v>6</v>
      </c>
      <c r="Y13" s="105">
        <v>511.20000000000005</v>
      </c>
      <c r="Z13" s="105">
        <v>5</v>
      </c>
      <c r="AA13" s="105">
        <v>426</v>
      </c>
      <c r="AB13" s="105">
        <v>8</v>
      </c>
      <c r="AC13" s="105">
        <v>681.6</v>
      </c>
      <c r="AD13" s="105">
        <v>7</v>
      </c>
      <c r="AE13" s="105">
        <v>596.4</v>
      </c>
      <c r="AF13" s="105">
        <v>11</v>
      </c>
      <c r="AG13" s="105">
        <v>937.2</v>
      </c>
      <c r="AH13" s="105">
        <v>7</v>
      </c>
      <c r="AI13" s="105">
        <v>596.4</v>
      </c>
      <c r="AJ13" s="105">
        <v>10</v>
      </c>
      <c r="AK13" s="105">
        <v>852</v>
      </c>
      <c r="AL13" s="105">
        <v>9</v>
      </c>
      <c r="AM13" s="105">
        <v>766.80000000000007</v>
      </c>
      <c r="AN13" s="105">
        <v>10</v>
      </c>
      <c r="AO13" s="105">
        <v>852</v>
      </c>
      <c r="AP13" s="105">
        <v>12</v>
      </c>
      <c r="AQ13" s="105">
        <v>1022.4000000000001</v>
      </c>
      <c r="AR13" s="105">
        <v>15</v>
      </c>
      <c r="AS13" s="105">
        <v>1278</v>
      </c>
      <c r="AT13" s="105">
        <v>11</v>
      </c>
      <c r="AU13" s="105">
        <v>937.2</v>
      </c>
      <c r="AV13" s="105">
        <v>10</v>
      </c>
      <c r="AW13" s="105">
        <v>852</v>
      </c>
      <c r="AX13" s="105">
        <v>18</v>
      </c>
      <c r="AY13" s="105">
        <v>1533.6000000000001</v>
      </c>
      <c r="AZ13" s="105">
        <v>13</v>
      </c>
      <c r="BA13" s="105">
        <v>1107.6000000000001</v>
      </c>
      <c r="BB13" s="105">
        <v>12</v>
      </c>
      <c r="BC13" s="105">
        <v>1022.4000000000001</v>
      </c>
      <c r="BD13" s="105">
        <v>20</v>
      </c>
      <c r="BE13" s="105">
        <v>1704</v>
      </c>
      <c r="BF13" s="105">
        <v>18</v>
      </c>
      <c r="BG13" s="105">
        <v>1533.6000000000001</v>
      </c>
      <c r="BH13" s="105">
        <v>24</v>
      </c>
      <c r="BI13" s="105">
        <v>2044.8000000000002</v>
      </c>
      <c r="BJ13" s="105">
        <v>20</v>
      </c>
      <c r="BK13" s="105">
        <v>1704</v>
      </c>
      <c r="BL13" s="105">
        <v>24</v>
      </c>
      <c r="BM13" s="105">
        <v>2044.8000000000002</v>
      </c>
      <c r="BN13" s="105">
        <v>25</v>
      </c>
      <c r="BO13" s="105">
        <v>2130</v>
      </c>
      <c r="BP13" s="105">
        <v>34</v>
      </c>
      <c r="BQ13" s="105">
        <v>2896.8</v>
      </c>
      <c r="BR13" s="105">
        <v>32</v>
      </c>
      <c r="BS13" s="105">
        <v>2726.4</v>
      </c>
      <c r="BT13" s="105">
        <v>34</v>
      </c>
      <c r="BU13" s="105">
        <v>2896.8</v>
      </c>
      <c r="BV13" s="105">
        <v>34</v>
      </c>
      <c r="BW13" s="105">
        <v>2896.8</v>
      </c>
      <c r="BX13" s="105">
        <v>45.554166345975922</v>
      </c>
      <c r="BY13" s="105">
        <v>3881.2149726771486</v>
      </c>
      <c r="BZ13" s="105">
        <v>1.87352133677128</v>
      </c>
      <c r="CA13" s="105">
        <v>159.62401789291306</v>
      </c>
      <c r="CB13" s="105">
        <v>14.406230669236297</v>
      </c>
      <c r="CC13" s="105">
        <v>1227.4108530189326</v>
      </c>
      <c r="CD13" s="105">
        <v>15.192381342823996</v>
      </c>
      <c r="CE13" s="105">
        <v>1294.3908904086045</v>
      </c>
      <c r="CF13" s="105">
        <v>1.327024647887324</v>
      </c>
      <c r="CG13" s="105">
        <v>113.06250000000001</v>
      </c>
      <c r="CH13" s="105">
        <v>11.393143595551861</v>
      </c>
      <c r="CI13" s="105">
        <v>970.69583434101855</v>
      </c>
      <c r="CJ13" s="105">
        <v>8.4276730735288705</v>
      </c>
      <c r="CK13" s="105">
        <v>718.03774586465977</v>
      </c>
      <c r="CL13" s="105">
        <v>29.884799095180529</v>
      </c>
      <c r="CM13" s="105">
        <v>2546.184882909381</v>
      </c>
      <c r="CN13" s="105">
        <v>16.296070302751172</v>
      </c>
      <c r="CO13" s="105">
        <v>1388.4251897943998</v>
      </c>
      <c r="CP13" s="105">
        <v>12.435050524324682</v>
      </c>
      <c r="CQ13" s="105">
        <v>1059.4663046724629</v>
      </c>
      <c r="CR13" s="105">
        <v>2.0233530368228059</v>
      </c>
      <c r="CS13" s="105">
        <v>172.38967873730306</v>
      </c>
      <c r="CT13" s="105">
        <v>11.816752740694046</v>
      </c>
      <c r="CU13" s="105">
        <v>1006.7873335071328</v>
      </c>
    </row>
    <row r="14" spans="1:99" x14ac:dyDescent="0.25">
      <c r="C14" s="104" t="s">
        <v>179</v>
      </c>
      <c r="D14" s="105">
        <v>0</v>
      </c>
      <c r="E14" s="105">
        <v>0</v>
      </c>
      <c r="F14" s="105">
        <v>0</v>
      </c>
      <c r="G14" s="105">
        <v>0</v>
      </c>
      <c r="H14" s="105">
        <v>5</v>
      </c>
      <c r="I14" s="105">
        <v>2442</v>
      </c>
      <c r="J14" s="105">
        <v>5</v>
      </c>
      <c r="K14" s="105">
        <v>2442</v>
      </c>
      <c r="L14" s="105">
        <v>7</v>
      </c>
      <c r="M14" s="105">
        <v>3418.7999999999997</v>
      </c>
      <c r="N14" s="105">
        <v>6</v>
      </c>
      <c r="O14" s="105">
        <v>2930.3999999999996</v>
      </c>
      <c r="P14" s="105">
        <v>6</v>
      </c>
      <c r="Q14" s="105">
        <v>2930.3999999999996</v>
      </c>
      <c r="R14" s="105">
        <v>3</v>
      </c>
      <c r="S14" s="105">
        <v>1465.1999999999998</v>
      </c>
      <c r="T14" s="105">
        <v>6</v>
      </c>
      <c r="U14" s="105">
        <v>2930.3999999999996</v>
      </c>
      <c r="V14" s="105">
        <v>6</v>
      </c>
      <c r="W14" s="105">
        <v>2930.3999999999996</v>
      </c>
      <c r="X14" s="105">
        <v>6</v>
      </c>
      <c r="Y14" s="105">
        <v>2930.3999999999996</v>
      </c>
      <c r="Z14" s="105">
        <v>5</v>
      </c>
      <c r="AA14" s="105">
        <v>2442</v>
      </c>
      <c r="AB14" s="105">
        <v>7</v>
      </c>
      <c r="AC14" s="105">
        <v>3418.7999999999997</v>
      </c>
      <c r="AD14" s="105">
        <v>7</v>
      </c>
      <c r="AE14" s="105">
        <v>3418.7999999999997</v>
      </c>
      <c r="AF14" s="105">
        <v>10</v>
      </c>
      <c r="AG14" s="105">
        <v>4884</v>
      </c>
      <c r="AH14" s="105">
        <v>6</v>
      </c>
      <c r="AI14" s="105">
        <v>2930.3999999999996</v>
      </c>
      <c r="AJ14" s="105">
        <v>9</v>
      </c>
      <c r="AK14" s="105">
        <v>4395.5999999999995</v>
      </c>
      <c r="AL14" s="105">
        <v>9</v>
      </c>
      <c r="AM14" s="105">
        <v>4395.5999999999995</v>
      </c>
      <c r="AN14" s="105">
        <v>10</v>
      </c>
      <c r="AO14" s="105">
        <v>4884</v>
      </c>
      <c r="AP14" s="105">
        <v>14</v>
      </c>
      <c r="AQ14" s="105">
        <v>6837.5999999999995</v>
      </c>
      <c r="AR14" s="105">
        <v>14</v>
      </c>
      <c r="AS14" s="105">
        <v>6837.5999999999995</v>
      </c>
      <c r="AT14" s="105">
        <v>10</v>
      </c>
      <c r="AU14" s="105">
        <v>4884</v>
      </c>
      <c r="AV14" s="105">
        <v>8</v>
      </c>
      <c r="AW14" s="105">
        <v>3907.2</v>
      </c>
      <c r="AX14" s="105">
        <v>18</v>
      </c>
      <c r="AY14" s="105">
        <v>8791.1999999999989</v>
      </c>
      <c r="AZ14" s="105">
        <v>11</v>
      </c>
      <c r="BA14" s="105">
        <v>5372.4</v>
      </c>
      <c r="BB14" s="105">
        <v>10</v>
      </c>
      <c r="BC14" s="105">
        <v>4884</v>
      </c>
      <c r="BD14" s="105">
        <v>22</v>
      </c>
      <c r="BE14" s="105">
        <v>10744.8</v>
      </c>
      <c r="BF14" s="105">
        <v>18</v>
      </c>
      <c r="BG14" s="105">
        <v>8791.1999999999989</v>
      </c>
      <c r="BH14" s="105">
        <v>20</v>
      </c>
      <c r="BI14" s="105">
        <v>9768</v>
      </c>
      <c r="BJ14" s="105">
        <v>18</v>
      </c>
      <c r="BK14" s="105">
        <v>8791.1999999999989</v>
      </c>
      <c r="BL14" s="105">
        <v>28</v>
      </c>
      <c r="BM14" s="105">
        <v>13675.199999999999</v>
      </c>
      <c r="BN14" s="105">
        <v>21</v>
      </c>
      <c r="BO14" s="105">
        <v>10256.4</v>
      </c>
      <c r="BP14" s="105">
        <v>32</v>
      </c>
      <c r="BQ14" s="105">
        <v>15628.8</v>
      </c>
      <c r="BR14" s="105">
        <v>28</v>
      </c>
      <c r="BS14" s="105">
        <v>13675.199999999999</v>
      </c>
      <c r="BT14" s="105">
        <v>31</v>
      </c>
      <c r="BU14" s="105">
        <v>15140.4</v>
      </c>
      <c r="BV14" s="105">
        <v>32</v>
      </c>
      <c r="BW14" s="105">
        <v>15628.8</v>
      </c>
      <c r="BX14" s="105">
        <v>42.179783653681412</v>
      </c>
      <c r="BY14" s="105">
        <v>20600.606336458</v>
      </c>
      <c r="BZ14" s="105">
        <v>1.87352133677128</v>
      </c>
      <c r="CA14" s="105">
        <v>915.02782087909304</v>
      </c>
      <c r="CB14" s="105">
        <v>16.540487064678711</v>
      </c>
      <c r="CC14" s="105">
        <v>8078.3738823890817</v>
      </c>
      <c r="CD14" s="105">
        <v>13.779136566747345</v>
      </c>
      <c r="CE14" s="105">
        <v>6729.7302991994029</v>
      </c>
      <c r="CF14" s="105">
        <v>1.227992957746479</v>
      </c>
      <c r="CG14" s="105">
        <v>599.75176056338034</v>
      </c>
      <c r="CH14" s="105">
        <v>11.23038440132969</v>
      </c>
      <c r="CI14" s="105">
        <v>5484.9197416094203</v>
      </c>
      <c r="CJ14" s="105">
        <v>8.5400420478425882</v>
      </c>
      <c r="CK14" s="105">
        <v>4170.9565361663199</v>
      </c>
      <c r="CL14" s="105">
        <v>30.459506770087845</v>
      </c>
      <c r="CM14" s="105">
        <v>14876.423106510903</v>
      </c>
      <c r="CN14" s="105">
        <v>17.136073926604325</v>
      </c>
      <c r="CO14" s="105">
        <v>8369.2585057535525</v>
      </c>
      <c r="CP14" s="105">
        <v>13.243834298264499</v>
      </c>
      <c r="CQ14" s="105">
        <v>6468.2886712723812</v>
      </c>
      <c r="CR14" s="105">
        <v>1.6692662553788151</v>
      </c>
      <c r="CS14" s="105">
        <v>815.26963912701331</v>
      </c>
      <c r="CT14" s="105">
        <v>10.160902038176408</v>
      </c>
      <c r="CU14" s="105">
        <v>4962.5845554453572</v>
      </c>
    </row>
    <row r="15" spans="1:99" x14ac:dyDescent="0.25">
      <c r="C15" s="104" t="s">
        <v>180</v>
      </c>
      <c r="D15" s="105">
        <v>0</v>
      </c>
      <c r="E15" s="105">
        <v>0</v>
      </c>
      <c r="F15" s="105">
        <v>0</v>
      </c>
      <c r="G15" s="105">
        <v>0</v>
      </c>
      <c r="H15" s="105">
        <v>6</v>
      </c>
      <c r="I15" s="105">
        <v>4579.2</v>
      </c>
      <c r="J15" s="105">
        <v>5</v>
      </c>
      <c r="K15" s="105">
        <v>3815.9999999999995</v>
      </c>
      <c r="L15" s="105">
        <v>6</v>
      </c>
      <c r="M15" s="105">
        <v>4579.2</v>
      </c>
      <c r="N15" s="105">
        <v>7</v>
      </c>
      <c r="O15" s="105">
        <v>5342.4</v>
      </c>
      <c r="P15" s="105">
        <v>5</v>
      </c>
      <c r="Q15" s="105">
        <v>3815.9999999999995</v>
      </c>
      <c r="R15" s="105">
        <v>4</v>
      </c>
      <c r="S15" s="105">
        <v>3052.7999999999997</v>
      </c>
      <c r="T15" s="105">
        <v>6</v>
      </c>
      <c r="U15" s="105">
        <v>4579.2</v>
      </c>
      <c r="V15" s="105">
        <v>5</v>
      </c>
      <c r="W15" s="105">
        <v>3815.9999999999995</v>
      </c>
      <c r="X15" s="105">
        <v>7</v>
      </c>
      <c r="Y15" s="105">
        <v>5342.4</v>
      </c>
      <c r="Z15" s="105">
        <v>5</v>
      </c>
      <c r="AA15" s="105">
        <v>3815.9999999999995</v>
      </c>
      <c r="AB15" s="105">
        <v>7</v>
      </c>
      <c r="AC15" s="105">
        <v>5342.4</v>
      </c>
      <c r="AD15" s="105">
        <v>7</v>
      </c>
      <c r="AE15" s="105">
        <v>5342.4</v>
      </c>
      <c r="AF15" s="105">
        <v>10</v>
      </c>
      <c r="AG15" s="105">
        <v>7631.9999999999991</v>
      </c>
      <c r="AH15" s="105">
        <v>7</v>
      </c>
      <c r="AI15" s="105">
        <v>5342.4</v>
      </c>
      <c r="AJ15" s="105">
        <v>9</v>
      </c>
      <c r="AK15" s="105">
        <v>6868.7999999999993</v>
      </c>
      <c r="AL15" s="105">
        <v>8</v>
      </c>
      <c r="AM15" s="105">
        <v>6105.5999999999995</v>
      </c>
      <c r="AN15" s="105">
        <v>10</v>
      </c>
      <c r="AO15" s="105">
        <v>7631.9999999999991</v>
      </c>
      <c r="AP15" s="105">
        <v>12</v>
      </c>
      <c r="AQ15" s="105">
        <v>9158.4</v>
      </c>
      <c r="AR15" s="105">
        <v>12</v>
      </c>
      <c r="AS15" s="105">
        <v>9158.4</v>
      </c>
      <c r="AT15" s="105">
        <v>10</v>
      </c>
      <c r="AU15" s="105">
        <v>7631.9999999999991</v>
      </c>
      <c r="AV15" s="105">
        <v>9</v>
      </c>
      <c r="AW15" s="105">
        <v>6868.7999999999993</v>
      </c>
      <c r="AX15" s="105">
        <v>17</v>
      </c>
      <c r="AY15" s="105">
        <v>12974.4</v>
      </c>
      <c r="AZ15" s="105">
        <v>13</v>
      </c>
      <c r="BA15" s="105">
        <v>9921.5999999999985</v>
      </c>
      <c r="BB15" s="105">
        <v>11</v>
      </c>
      <c r="BC15" s="105">
        <v>8395.1999999999989</v>
      </c>
      <c r="BD15" s="105">
        <v>18</v>
      </c>
      <c r="BE15" s="105">
        <v>13737.599999999999</v>
      </c>
      <c r="BF15" s="105">
        <v>20</v>
      </c>
      <c r="BG15" s="105">
        <v>15263.999999999998</v>
      </c>
      <c r="BH15" s="105">
        <v>22</v>
      </c>
      <c r="BI15" s="105">
        <v>16790.399999999998</v>
      </c>
      <c r="BJ15" s="105">
        <v>19</v>
      </c>
      <c r="BK15" s="105">
        <v>14500.8</v>
      </c>
      <c r="BL15" s="105">
        <v>23</v>
      </c>
      <c r="BM15" s="105">
        <v>17553.599999999999</v>
      </c>
      <c r="BN15" s="105">
        <v>20</v>
      </c>
      <c r="BO15" s="105">
        <v>15263.999999999998</v>
      </c>
      <c r="BP15" s="105">
        <v>31</v>
      </c>
      <c r="BQ15" s="105">
        <v>23659.199999999997</v>
      </c>
      <c r="BR15" s="105">
        <v>28</v>
      </c>
      <c r="BS15" s="105">
        <v>21369.599999999999</v>
      </c>
      <c r="BT15" s="105">
        <v>28</v>
      </c>
      <c r="BU15" s="105">
        <v>21369.599999999999</v>
      </c>
      <c r="BV15" s="105">
        <v>31</v>
      </c>
      <c r="BW15" s="105">
        <v>23659.199999999997</v>
      </c>
      <c r="BX15" s="105">
        <v>39.648996634460524</v>
      </c>
      <c r="BY15" s="105">
        <v>30260.11423142027</v>
      </c>
      <c r="BZ15" s="105">
        <v>1.8167479629297261</v>
      </c>
      <c r="CA15" s="105">
        <v>1386.5420453079669</v>
      </c>
      <c r="CB15" s="105">
        <v>13.872666570375692</v>
      </c>
      <c r="CC15" s="105">
        <v>10587.619126510728</v>
      </c>
      <c r="CD15" s="105">
        <v>14.132447760766508</v>
      </c>
      <c r="CE15" s="105">
        <v>10785.884131016999</v>
      </c>
      <c r="CF15" s="105">
        <v>0.99031690140845074</v>
      </c>
      <c r="CG15" s="105">
        <v>755.80985915492954</v>
      </c>
      <c r="CH15" s="105">
        <v>9.4400332648858267</v>
      </c>
      <c r="CI15" s="105">
        <v>7204.6333877608622</v>
      </c>
      <c r="CJ15" s="105">
        <v>7.8658282019602783</v>
      </c>
      <c r="CK15" s="105">
        <v>6003.2000837360838</v>
      </c>
      <c r="CL15" s="105">
        <v>26.43655304573662</v>
      </c>
      <c r="CM15" s="105">
        <v>20176.377284506187</v>
      </c>
      <c r="CN15" s="105">
        <v>16.800072477063065</v>
      </c>
      <c r="CO15" s="105">
        <v>12821.81531449453</v>
      </c>
      <c r="CP15" s="105">
        <v>11.221874863414955</v>
      </c>
      <c r="CQ15" s="105">
        <v>8564.5348957582937</v>
      </c>
      <c r="CR15" s="105">
        <v>1.8041564578336686</v>
      </c>
      <c r="CS15" s="105">
        <v>1376.9322086186557</v>
      </c>
      <c r="CT15" s="105">
        <v>9.4835085689646483</v>
      </c>
      <c r="CU15" s="105">
        <v>7237.8137398338185</v>
      </c>
    </row>
    <row r="16" spans="1:99" x14ac:dyDescent="0.25">
      <c r="C16" s="104" t="s">
        <v>181</v>
      </c>
      <c r="D16" s="105">
        <v>0</v>
      </c>
      <c r="E16" s="105">
        <v>0</v>
      </c>
      <c r="F16" s="105">
        <v>0</v>
      </c>
      <c r="G16" s="105">
        <v>0</v>
      </c>
      <c r="H16" s="105">
        <v>5</v>
      </c>
      <c r="I16" s="105">
        <v>1704</v>
      </c>
      <c r="J16" s="105">
        <v>5</v>
      </c>
      <c r="K16" s="105">
        <v>1704</v>
      </c>
      <c r="L16" s="105">
        <v>7</v>
      </c>
      <c r="M16" s="105">
        <v>2385.6</v>
      </c>
      <c r="N16" s="105">
        <v>7</v>
      </c>
      <c r="O16" s="105">
        <v>2385.6</v>
      </c>
      <c r="P16" s="105">
        <v>6</v>
      </c>
      <c r="Q16" s="105">
        <v>2044.8000000000002</v>
      </c>
      <c r="R16" s="105">
        <v>4</v>
      </c>
      <c r="S16" s="105">
        <v>1363.2</v>
      </c>
      <c r="T16" s="105">
        <v>7</v>
      </c>
      <c r="U16" s="105">
        <v>2385.6</v>
      </c>
      <c r="V16" s="105">
        <v>6</v>
      </c>
      <c r="W16" s="105">
        <v>2044.8000000000002</v>
      </c>
      <c r="X16" s="105">
        <v>7</v>
      </c>
      <c r="Y16" s="105">
        <v>2385.6</v>
      </c>
      <c r="Z16" s="105">
        <v>5</v>
      </c>
      <c r="AA16" s="105">
        <v>1704</v>
      </c>
      <c r="AB16" s="105">
        <v>8</v>
      </c>
      <c r="AC16" s="105">
        <v>2726.4</v>
      </c>
      <c r="AD16" s="105">
        <v>6</v>
      </c>
      <c r="AE16" s="105">
        <v>2044.8000000000002</v>
      </c>
      <c r="AF16" s="105">
        <v>10</v>
      </c>
      <c r="AG16" s="105">
        <v>3408</v>
      </c>
      <c r="AH16" s="105">
        <v>7</v>
      </c>
      <c r="AI16" s="105">
        <v>2385.6</v>
      </c>
      <c r="AJ16" s="105">
        <v>9</v>
      </c>
      <c r="AK16" s="105">
        <v>3067.2000000000003</v>
      </c>
      <c r="AL16" s="105">
        <v>8</v>
      </c>
      <c r="AM16" s="105">
        <v>2726.4</v>
      </c>
      <c r="AN16" s="105">
        <v>10</v>
      </c>
      <c r="AO16" s="105">
        <v>3408</v>
      </c>
      <c r="AP16" s="105">
        <v>13</v>
      </c>
      <c r="AQ16" s="105">
        <v>4430.4000000000005</v>
      </c>
      <c r="AR16" s="105">
        <v>14</v>
      </c>
      <c r="AS16" s="105">
        <v>4771.2</v>
      </c>
      <c r="AT16" s="105">
        <v>11</v>
      </c>
      <c r="AU16" s="105">
        <v>3748.8</v>
      </c>
      <c r="AV16" s="105">
        <v>8</v>
      </c>
      <c r="AW16" s="105">
        <v>2726.4</v>
      </c>
      <c r="AX16" s="105">
        <v>15</v>
      </c>
      <c r="AY16" s="105">
        <v>5112</v>
      </c>
      <c r="AZ16" s="105">
        <v>12</v>
      </c>
      <c r="BA16" s="105">
        <v>4089.6000000000004</v>
      </c>
      <c r="BB16" s="105">
        <v>13</v>
      </c>
      <c r="BC16" s="105">
        <v>4430.4000000000005</v>
      </c>
      <c r="BD16" s="105">
        <v>21</v>
      </c>
      <c r="BE16" s="105">
        <v>7156.8</v>
      </c>
      <c r="BF16" s="105">
        <v>18</v>
      </c>
      <c r="BG16" s="105">
        <v>6134.4000000000005</v>
      </c>
      <c r="BH16" s="105">
        <v>22</v>
      </c>
      <c r="BI16" s="105">
        <v>7497.6</v>
      </c>
      <c r="BJ16" s="105">
        <v>20</v>
      </c>
      <c r="BK16" s="105">
        <v>6816</v>
      </c>
      <c r="BL16" s="105">
        <v>24</v>
      </c>
      <c r="BM16" s="105">
        <v>8179.2000000000007</v>
      </c>
      <c r="BN16" s="105">
        <v>22</v>
      </c>
      <c r="BO16" s="105">
        <v>7497.6</v>
      </c>
      <c r="BP16" s="105">
        <v>35</v>
      </c>
      <c r="BQ16" s="105">
        <v>11928</v>
      </c>
      <c r="BR16" s="105">
        <v>26</v>
      </c>
      <c r="BS16" s="105">
        <v>8860.8000000000011</v>
      </c>
      <c r="BT16" s="105">
        <v>34</v>
      </c>
      <c r="BU16" s="105">
        <v>11587.2</v>
      </c>
      <c r="BV16" s="105">
        <v>39</v>
      </c>
      <c r="BW16" s="105">
        <v>13291.2</v>
      </c>
      <c r="BX16" s="105">
        <v>41.336187980607782</v>
      </c>
      <c r="BY16" s="105">
        <v>14087.372863791134</v>
      </c>
      <c r="BZ16" s="105">
        <v>1.9870680844543878</v>
      </c>
      <c r="CA16" s="105">
        <v>677.1928031820554</v>
      </c>
      <c r="CB16" s="105">
        <v>14.406230669236297</v>
      </c>
      <c r="CC16" s="105">
        <v>4909.6434120757303</v>
      </c>
      <c r="CD16" s="105">
        <v>14.132447760766508</v>
      </c>
      <c r="CE16" s="105">
        <v>4816.3381968692265</v>
      </c>
      <c r="CF16" s="105">
        <v>1.267605633802817</v>
      </c>
      <c r="CG16" s="105">
        <v>432.00000000000006</v>
      </c>
      <c r="CH16" s="105">
        <v>11.718661983996201</v>
      </c>
      <c r="CI16" s="105">
        <v>3993.7200041459055</v>
      </c>
      <c r="CJ16" s="105">
        <v>7.7534592276465597</v>
      </c>
      <c r="CK16" s="105">
        <v>2642.3789047819478</v>
      </c>
      <c r="CL16" s="105">
        <v>27.585968395551259</v>
      </c>
      <c r="CM16" s="105">
        <v>9401.2980292038701</v>
      </c>
      <c r="CN16" s="105">
        <v>17.304074651374957</v>
      </c>
      <c r="CO16" s="105">
        <v>5897.2286411885862</v>
      </c>
      <c r="CP16" s="105">
        <v>12.637246467809636</v>
      </c>
      <c r="CQ16" s="105">
        <v>4306.7735962295237</v>
      </c>
      <c r="CR16" s="105">
        <v>1.787295182526812</v>
      </c>
      <c r="CS16" s="105">
        <v>609.11019820513752</v>
      </c>
      <c r="CT16" s="105">
        <v>10.236167979199937</v>
      </c>
      <c r="CU16" s="105">
        <v>3488.4860473113386</v>
      </c>
    </row>
    <row r="17" spans="2:99" x14ac:dyDescent="0.25">
      <c r="C17" s="104" t="s">
        <v>182</v>
      </c>
      <c r="D17" s="105">
        <v>0</v>
      </c>
      <c r="E17" s="105">
        <v>0</v>
      </c>
      <c r="F17" s="105">
        <v>0</v>
      </c>
      <c r="G17" s="105">
        <v>0</v>
      </c>
      <c r="H17" s="105">
        <v>5</v>
      </c>
      <c r="I17" s="105">
        <v>2112</v>
      </c>
      <c r="J17" s="105">
        <v>6</v>
      </c>
      <c r="K17" s="105">
        <v>2534.3999999999996</v>
      </c>
      <c r="L17" s="105">
        <v>7</v>
      </c>
      <c r="M17" s="105">
        <v>2956.7999999999997</v>
      </c>
      <c r="N17" s="105">
        <v>6</v>
      </c>
      <c r="O17" s="105">
        <v>2534.3999999999996</v>
      </c>
      <c r="P17" s="105">
        <v>5</v>
      </c>
      <c r="Q17" s="105">
        <v>2112</v>
      </c>
      <c r="R17" s="105">
        <v>4</v>
      </c>
      <c r="S17" s="105">
        <v>1689.6</v>
      </c>
      <c r="T17" s="105">
        <v>7</v>
      </c>
      <c r="U17" s="105">
        <v>2956.7999999999997</v>
      </c>
      <c r="V17" s="105">
        <v>5</v>
      </c>
      <c r="W17" s="105">
        <v>2112</v>
      </c>
      <c r="X17" s="105">
        <v>6</v>
      </c>
      <c r="Y17" s="105">
        <v>2534.3999999999996</v>
      </c>
      <c r="Z17" s="105">
        <v>5</v>
      </c>
      <c r="AA17" s="105">
        <v>2112</v>
      </c>
      <c r="AB17" s="105">
        <v>8</v>
      </c>
      <c r="AC17" s="105">
        <v>3379.2</v>
      </c>
      <c r="AD17" s="105">
        <v>7</v>
      </c>
      <c r="AE17" s="105">
        <v>2956.7999999999997</v>
      </c>
      <c r="AF17" s="105">
        <v>9</v>
      </c>
      <c r="AG17" s="105">
        <v>3801.6</v>
      </c>
      <c r="AH17" s="105">
        <v>7</v>
      </c>
      <c r="AI17" s="105">
        <v>2956.7999999999997</v>
      </c>
      <c r="AJ17" s="105">
        <v>10</v>
      </c>
      <c r="AK17" s="105">
        <v>4224</v>
      </c>
      <c r="AL17" s="105">
        <v>9</v>
      </c>
      <c r="AM17" s="105">
        <v>3801.6</v>
      </c>
      <c r="AN17" s="105">
        <v>10</v>
      </c>
      <c r="AO17" s="105">
        <v>4224</v>
      </c>
      <c r="AP17" s="105">
        <v>12</v>
      </c>
      <c r="AQ17" s="105">
        <v>5068.7999999999993</v>
      </c>
      <c r="AR17" s="105">
        <v>14</v>
      </c>
      <c r="AS17" s="105">
        <v>5913.5999999999995</v>
      </c>
      <c r="AT17" s="105">
        <v>11</v>
      </c>
      <c r="AU17" s="105">
        <v>4646.3999999999996</v>
      </c>
      <c r="AV17" s="105">
        <v>9</v>
      </c>
      <c r="AW17" s="105">
        <v>3801.6</v>
      </c>
      <c r="AX17" s="105">
        <v>15</v>
      </c>
      <c r="AY17" s="105">
        <v>6336</v>
      </c>
      <c r="AZ17" s="105">
        <v>13</v>
      </c>
      <c r="BA17" s="105">
        <v>5491.2</v>
      </c>
      <c r="BB17" s="105">
        <v>10</v>
      </c>
      <c r="BC17" s="105">
        <v>4224</v>
      </c>
      <c r="BD17" s="105">
        <v>19</v>
      </c>
      <c r="BE17" s="105">
        <v>8025.5999999999995</v>
      </c>
      <c r="BF17" s="105">
        <v>19</v>
      </c>
      <c r="BG17" s="105">
        <v>8025.5999999999995</v>
      </c>
      <c r="BH17" s="105">
        <v>22</v>
      </c>
      <c r="BI17" s="105">
        <v>9292.7999999999993</v>
      </c>
      <c r="BJ17" s="105">
        <v>19</v>
      </c>
      <c r="BK17" s="105">
        <v>8025.5999999999995</v>
      </c>
      <c r="BL17" s="105">
        <v>25</v>
      </c>
      <c r="BM17" s="105">
        <v>10560</v>
      </c>
      <c r="BN17" s="105">
        <v>22</v>
      </c>
      <c r="BO17" s="105">
        <v>9292.7999999999993</v>
      </c>
      <c r="BP17" s="105">
        <v>33</v>
      </c>
      <c r="BQ17" s="105">
        <v>13939.199999999999</v>
      </c>
      <c r="BR17" s="105">
        <v>27</v>
      </c>
      <c r="BS17" s="105">
        <v>11404.8</v>
      </c>
      <c r="BT17" s="105">
        <v>30</v>
      </c>
      <c r="BU17" s="105">
        <v>12672</v>
      </c>
      <c r="BV17" s="105">
        <v>37</v>
      </c>
      <c r="BW17" s="105">
        <v>15628.8</v>
      </c>
      <c r="BX17" s="105">
        <v>43.023379326755034</v>
      </c>
      <c r="BY17" s="105">
        <v>18173.075427621327</v>
      </c>
      <c r="BZ17" s="105">
        <v>1.7599745890881719</v>
      </c>
      <c r="CA17" s="105">
        <v>743.41326643084381</v>
      </c>
      <c r="CB17" s="105">
        <v>15.473358866957504</v>
      </c>
      <c r="CC17" s="105">
        <v>6535.9467854028499</v>
      </c>
      <c r="CD17" s="105">
        <v>15.192381342823996</v>
      </c>
      <c r="CE17" s="105">
        <v>6417.2618792088551</v>
      </c>
      <c r="CF17" s="105">
        <v>1.0695422535211268</v>
      </c>
      <c r="CG17" s="105">
        <v>451.77464788732391</v>
      </c>
      <c r="CH17" s="105">
        <v>10.253829235996674</v>
      </c>
      <c r="CI17" s="105">
        <v>4331.2174692849949</v>
      </c>
      <c r="CJ17" s="105">
        <v>8.315304099215151</v>
      </c>
      <c r="CK17" s="105">
        <v>3512.3844515084797</v>
      </c>
      <c r="CL17" s="105">
        <v>27.011260720643939</v>
      </c>
      <c r="CM17" s="105">
        <v>11409.556528399999</v>
      </c>
      <c r="CN17" s="105">
        <v>15.960068853209913</v>
      </c>
      <c r="CO17" s="105">
        <v>6741.5330835958666</v>
      </c>
      <c r="CP17" s="105">
        <v>13.142736326522021</v>
      </c>
      <c r="CQ17" s="105">
        <v>5551.4918243229013</v>
      </c>
      <c r="CR17" s="105">
        <v>1.8041564578336686</v>
      </c>
      <c r="CS17" s="105">
        <v>762.07568778894154</v>
      </c>
      <c r="CT17" s="105">
        <v>11.440423035576401</v>
      </c>
      <c r="CU17" s="105">
        <v>4832.4346902274719</v>
      </c>
    </row>
    <row r="18" spans="2:99" x14ac:dyDescent="0.25">
      <c r="C18" s="104" t="s">
        <v>183</v>
      </c>
      <c r="D18" s="105">
        <v>0</v>
      </c>
      <c r="E18" s="105">
        <v>0</v>
      </c>
      <c r="F18" s="105">
        <v>0</v>
      </c>
      <c r="G18" s="105">
        <v>0</v>
      </c>
      <c r="H18" s="105">
        <v>5</v>
      </c>
      <c r="I18" s="105">
        <v>3264</v>
      </c>
      <c r="J18" s="105">
        <v>5</v>
      </c>
      <c r="K18" s="105">
        <v>3264</v>
      </c>
      <c r="L18" s="105">
        <v>6</v>
      </c>
      <c r="M18" s="105">
        <v>3916.7999999999997</v>
      </c>
      <c r="N18" s="105">
        <v>6</v>
      </c>
      <c r="O18" s="105">
        <v>3916.7999999999997</v>
      </c>
      <c r="P18" s="105">
        <v>5</v>
      </c>
      <c r="Q18" s="105">
        <v>3264</v>
      </c>
      <c r="R18" s="105">
        <v>4</v>
      </c>
      <c r="S18" s="105">
        <v>2611.1999999999998</v>
      </c>
      <c r="T18" s="105">
        <v>6</v>
      </c>
      <c r="U18" s="105">
        <v>3916.7999999999997</v>
      </c>
      <c r="V18" s="105">
        <v>6</v>
      </c>
      <c r="W18" s="105">
        <v>3916.7999999999997</v>
      </c>
      <c r="X18" s="105">
        <v>7</v>
      </c>
      <c r="Y18" s="105">
        <v>4569.5999999999995</v>
      </c>
      <c r="Z18" s="105">
        <v>5</v>
      </c>
      <c r="AA18" s="105">
        <v>3264</v>
      </c>
      <c r="AB18" s="105">
        <v>7</v>
      </c>
      <c r="AC18" s="105">
        <v>4569.5999999999995</v>
      </c>
      <c r="AD18" s="105">
        <v>7</v>
      </c>
      <c r="AE18" s="105">
        <v>4569.5999999999995</v>
      </c>
      <c r="AF18" s="105">
        <v>10</v>
      </c>
      <c r="AG18" s="105">
        <v>6528</v>
      </c>
      <c r="AH18" s="105">
        <v>6</v>
      </c>
      <c r="AI18" s="105">
        <v>3916.7999999999997</v>
      </c>
      <c r="AJ18" s="105">
        <v>9</v>
      </c>
      <c r="AK18" s="105">
        <v>5875.2</v>
      </c>
      <c r="AL18" s="105">
        <v>9</v>
      </c>
      <c r="AM18" s="105">
        <v>5875.2</v>
      </c>
      <c r="AN18" s="105">
        <v>10</v>
      </c>
      <c r="AO18" s="105">
        <v>6528</v>
      </c>
      <c r="AP18" s="105">
        <v>11</v>
      </c>
      <c r="AQ18" s="105">
        <v>7180.7999999999993</v>
      </c>
      <c r="AR18" s="105">
        <v>13</v>
      </c>
      <c r="AS18" s="105">
        <v>8486.4</v>
      </c>
      <c r="AT18" s="105">
        <v>10</v>
      </c>
      <c r="AU18" s="105">
        <v>6528</v>
      </c>
      <c r="AV18" s="105">
        <v>9</v>
      </c>
      <c r="AW18" s="105">
        <v>5875.2</v>
      </c>
      <c r="AX18" s="105">
        <v>17</v>
      </c>
      <c r="AY18" s="105">
        <v>11097.599999999999</v>
      </c>
      <c r="AZ18" s="105">
        <v>13</v>
      </c>
      <c r="BA18" s="105">
        <v>8486.4</v>
      </c>
      <c r="BB18" s="105">
        <v>12</v>
      </c>
      <c r="BC18" s="105">
        <v>7833.5999999999995</v>
      </c>
      <c r="BD18" s="105">
        <v>20</v>
      </c>
      <c r="BE18" s="105">
        <v>13056</v>
      </c>
      <c r="BF18" s="105">
        <v>17</v>
      </c>
      <c r="BG18" s="105">
        <v>11097.599999999999</v>
      </c>
      <c r="BH18" s="105">
        <v>20</v>
      </c>
      <c r="BI18" s="105">
        <v>13056</v>
      </c>
      <c r="BJ18" s="105">
        <v>20</v>
      </c>
      <c r="BK18" s="105">
        <v>13056</v>
      </c>
      <c r="BL18" s="105">
        <v>27</v>
      </c>
      <c r="BM18" s="105">
        <v>17625.599999999999</v>
      </c>
      <c r="BN18" s="105">
        <v>20</v>
      </c>
      <c r="BO18" s="105">
        <v>13056</v>
      </c>
      <c r="BP18" s="105">
        <v>30</v>
      </c>
      <c r="BQ18" s="105">
        <v>19584</v>
      </c>
      <c r="BR18" s="105">
        <v>25</v>
      </c>
      <c r="BS18" s="105">
        <v>16319.999999999998</v>
      </c>
      <c r="BT18" s="105">
        <v>31</v>
      </c>
      <c r="BU18" s="105">
        <v>20236.8</v>
      </c>
      <c r="BV18" s="105">
        <v>37</v>
      </c>
      <c r="BW18" s="105">
        <v>24153.599999999999</v>
      </c>
      <c r="BX18" s="105">
        <v>42.179783653681412</v>
      </c>
      <c r="BY18" s="105">
        <v>27534.962769123224</v>
      </c>
      <c r="BZ18" s="105">
        <v>1.9302947106128339</v>
      </c>
      <c r="CA18" s="105">
        <v>1260.0963870880578</v>
      </c>
      <c r="CB18" s="105">
        <v>14.406230669236297</v>
      </c>
      <c r="CC18" s="105">
        <v>9404.3873808774551</v>
      </c>
      <c r="CD18" s="105">
        <v>13.425825372728184</v>
      </c>
      <c r="CE18" s="105">
        <v>8764.3788033169585</v>
      </c>
      <c r="CF18" s="105">
        <v>1.0695422535211268</v>
      </c>
      <c r="CG18" s="105">
        <v>698.19718309859149</v>
      </c>
      <c r="CH18" s="105">
        <v>9.6027924591079969</v>
      </c>
      <c r="CI18" s="105">
        <v>6268.7029173056999</v>
      </c>
      <c r="CJ18" s="105">
        <v>8.8771489707837432</v>
      </c>
      <c r="CK18" s="105">
        <v>5795.0028481276267</v>
      </c>
      <c r="CL18" s="105">
        <v>27.011260720643939</v>
      </c>
      <c r="CM18" s="105">
        <v>17632.950998436361</v>
      </c>
      <c r="CN18" s="105">
        <v>16.128069577980543</v>
      </c>
      <c r="CO18" s="105">
        <v>10528.403820505699</v>
      </c>
      <c r="CP18" s="105">
        <v>11.626266750384865</v>
      </c>
      <c r="CQ18" s="105">
        <v>7589.626934651239</v>
      </c>
      <c r="CR18" s="105">
        <v>1.736711356606242</v>
      </c>
      <c r="CS18" s="105">
        <v>1133.7251735925547</v>
      </c>
      <c r="CT18" s="105">
        <v>10.537231743294054</v>
      </c>
      <c r="CU18" s="105">
        <v>6878.7048820223581</v>
      </c>
    </row>
    <row r="19" spans="2:99" x14ac:dyDescent="0.25">
      <c r="C19" s="104" t="s">
        <v>184</v>
      </c>
      <c r="D19" s="105">
        <v>0</v>
      </c>
      <c r="E19" s="105">
        <v>0</v>
      </c>
      <c r="F19" s="105">
        <v>0</v>
      </c>
      <c r="G19" s="105">
        <v>0</v>
      </c>
      <c r="H19" s="105">
        <v>5</v>
      </c>
      <c r="I19" s="105">
        <v>1650</v>
      </c>
      <c r="J19" s="105">
        <v>5</v>
      </c>
      <c r="K19" s="105">
        <v>1650</v>
      </c>
      <c r="L19" s="105">
        <v>7</v>
      </c>
      <c r="M19" s="105">
        <v>2310</v>
      </c>
      <c r="N19" s="105">
        <v>6</v>
      </c>
      <c r="O19" s="105">
        <v>1980</v>
      </c>
      <c r="P19" s="105">
        <v>5</v>
      </c>
      <c r="Q19" s="105">
        <v>1650</v>
      </c>
      <c r="R19" s="105">
        <v>4</v>
      </c>
      <c r="S19" s="105">
        <v>1320</v>
      </c>
      <c r="T19" s="105">
        <v>7</v>
      </c>
      <c r="U19" s="105">
        <v>2310</v>
      </c>
      <c r="V19" s="105">
        <v>6</v>
      </c>
      <c r="W19" s="105">
        <v>1980</v>
      </c>
      <c r="X19" s="105">
        <v>7</v>
      </c>
      <c r="Y19" s="105">
        <v>2310</v>
      </c>
      <c r="Z19" s="105">
        <v>5</v>
      </c>
      <c r="AA19" s="105">
        <v>1650</v>
      </c>
      <c r="AB19" s="105">
        <v>8</v>
      </c>
      <c r="AC19" s="105">
        <v>2640</v>
      </c>
      <c r="AD19" s="105">
        <v>6</v>
      </c>
      <c r="AE19" s="105">
        <v>1980</v>
      </c>
      <c r="AF19" s="105">
        <v>11</v>
      </c>
      <c r="AG19" s="105">
        <v>3630</v>
      </c>
      <c r="AH19" s="105">
        <v>6</v>
      </c>
      <c r="AI19" s="105">
        <v>1980</v>
      </c>
      <c r="AJ19" s="105">
        <v>10</v>
      </c>
      <c r="AK19" s="105">
        <v>3300</v>
      </c>
      <c r="AL19" s="105">
        <v>8</v>
      </c>
      <c r="AM19" s="105">
        <v>2640</v>
      </c>
      <c r="AN19" s="105">
        <v>10</v>
      </c>
      <c r="AO19" s="105">
        <v>3300</v>
      </c>
      <c r="AP19" s="105">
        <v>14</v>
      </c>
      <c r="AQ19" s="105">
        <v>4620</v>
      </c>
      <c r="AR19" s="105">
        <v>14</v>
      </c>
      <c r="AS19" s="105">
        <v>4620</v>
      </c>
      <c r="AT19" s="105">
        <v>9</v>
      </c>
      <c r="AU19" s="105">
        <v>2970</v>
      </c>
      <c r="AV19" s="105">
        <v>9</v>
      </c>
      <c r="AW19" s="105">
        <v>2970</v>
      </c>
      <c r="AX19" s="105">
        <v>18</v>
      </c>
      <c r="AY19" s="105">
        <v>5940</v>
      </c>
      <c r="AZ19" s="105">
        <v>12</v>
      </c>
      <c r="BA19" s="105">
        <v>3960</v>
      </c>
      <c r="BB19" s="105">
        <v>13</v>
      </c>
      <c r="BC19" s="105">
        <v>4290</v>
      </c>
      <c r="BD19" s="105">
        <v>21</v>
      </c>
      <c r="BE19" s="105">
        <v>6930</v>
      </c>
      <c r="BF19" s="105">
        <v>19</v>
      </c>
      <c r="BG19" s="105">
        <v>6270</v>
      </c>
      <c r="BH19" s="105">
        <v>23</v>
      </c>
      <c r="BI19" s="105">
        <v>7590</v>
      </c>
      <c r="BJ19" s="105">
        <v>20</v>
      </c>
      <c r="BK19" s="105">
        <v>6600</v>
      </c>
      <c r="BL19" s="105">
        <v>27</v>
      </c>
      <c r="BM19" s="105">
        <v>8910</v>
      </c>
      <c r="BN19" s="105">
        <v>24</v>
      </c>
      <c r="BO19" s="105">
        <v>7920</v>
      </c>
      <c r="BP19" s="105">
        <v>30</v>
      </c>
      <c r="BQ19" s="105">
        <v>9900</v>
      </c>
      <c r="BR19" s="105">
        <v>27</v>
      </c>
      <c r="BS19" s="105">
        <v>8910</v>
      </c>
      <c r="BT19" s="105">
        <v>33</v>
      </c>
      <c r="BU19" s="105">
        <v>10890</v>
      </c>
      <c r="BV19" s="105">
        <v>32</v>
      </c>
      <c r="BW19" s="105">
        <v>10560</v>
      </c>
      <c r="BX19" s="105">
        <v>39.648996634460524</v>
      </c>
      <c r="BY19" s="105">
        <v>13084.168889371973</v>
      </c>
      <c r="BZ19" s="105">
        <v>2.1006148321374956</v>
      </c>
      <c r="CA19" s="105">
        <v>693.20289460537356</v>
      </c>
      <c r="CB19" s="105">
        <v>16.006922965818106</v>
      </c>
      <c r="CC19" s="105">
        <v>5282.2845787199749</v>
      </c>
      <c r="CD19" s="105">
        <v>14.839070148804835</v>
      </c>
      <c r="CE19" s="105">
        <v>4896.8931491055955</v>
      </c>
      <c r="CF19" s="105">
        <v>1.1091549295774648</v>
      </c>
      <c r="CG19" s="105">
        <v>366.02112676056339</v>
      </c>
      <c r="CH19" s="105">
        <v>11.718661983996201</v>
      </c>
      <c r="CI19" s="105">
        <v>3867.1584547187463</v>
      </c>
      <c r="CJ19" s="105">
        <v>8.7647799964700237</v>
      </c>
      <c r="CK19" s="105">
        <v>2892.3773988351077</v>
      </c>
      <c r="CL19" s="105">
        <v>32.758337469717119</v>
      </c>
      <c r="CM19" s="105">
        <v>10810.25136500665</v>
      </c>
      <c r="CN19" s="105">
        <v>17.136073926604325</v>
      </c>
      <c r="CO19" s="105">
        <v>5654.9043957794274</v>
      </c>
      <c r="CP19" s="105">
        <v>14.153716043946792</v>
      </c>
      <c r="CQ19" s="105">
        <v>4670.7262945024413</v>
      </c>
      <c r="CR19" s="105">
        <v>1.6524049800719582</v>
      </c>
      <c r="CS19" s="105">
        <v>545.29364342374618</v>
      </c>
      <c r="CT19" s="105">
        <v>10.988827389435228</v>
      </c>
      <c r="CU19" s="105">
        <v>3626.3130385136251</v>
      </c>
    </row>
    <row r="20" spans="2:99" x14ac:dyDescent="0.25">
      <c r="B20" s="104" t="s">
        <v>127</v>
      </c>
      <c r="C20" s="104" t="s">
        <v>185</v>
      </c>
      <c r="D20" s="105">
        <v>0</v>
      </c>
      <c r="E20" s="105">
        <v>0</v>
      </c>
      <c r="F20" s="105">
        <v>0</v>
      </c>
      <c r="G20" s="105">
        <v>0</v>
      </c>
      <c r="H20" s="105">
        <v>10</v>
      </c>
      <c r="I20" s="105">
        <v>2868</v>
      </c>
      <c r="J20" s="105">
        <v>8</v>
      </c>
      <c r="K20" s="105">
        <v>2294.4</v>
      </c>
      <c r="L20" s="105">
        <v>10</v>
      </c>
      <c r="M20" s="105">
        <v>2868</v>
      </c>
      <c r="N20" s="105">
        <v>8</v>
      </c>
      <c r="O20" s="105">
        <v>2294.4</v>
      </c>
      <c r="P20" s="105">
        <v>7</v>
      </c>
      <c r="Q20" s="105">
        <v>2007.6000000000001</v>
      </c>
      <c r="R20" s="105">
        <v>11</v>
      </c>
      <c r="S20" s="105">
        <v>3154.8</v>
      </c>
      <c r="T20" s="105">
        <v>10</v>
      </c>
      <c r="U20" s="105">
        <v>2868</v>
      </c>
      <c r="V20" s="105">
        <v>15</v>
      </c>
      <c r="W20" s="105">
        <v>4302</v>
      </c>
      <c r="X20" s="105">
        <v>14</v>
      </c>
      <c r="Y20" s="105">
        <v>4015.2000000000003</v>
      </c>
      <c r="Z20" s="105">
        <v>14</v>
      </c>
      <c r="AA20" s="105">
        <v>4015.2000000000003</v>
      </c>
      <c r="AB20" s="105">
        <v>12</v>
      </c>
      <c r="AC20" s="105">
        <v>3441.6000000000004</v>
      </c>
      <c r="AD20" s="105">
        <v>15</v>
      </c>
      <c r="AE20" s="105">
        <v>4302</v>
      </c>
      <c r="AF20" s="105">
        <v>12</v>
      </c>
      <c r="AG20" s="105">
        <v>3441.6000000000004</v>
      </c>
      <c r="AH20" s="105">
        <v>17</v>
      </c>
      <c r="AI20" s="105">
        <v>4875.6000000000004</v>
      </c>
      <c r="AJ20" s="105">
        <v>19</v>
      </c>
      <c r="AK20" s="105">
        <v>5449.2</v>
      </c>
      <c r="AL20" s="105">
        <v>22</v>
      </c>
      <c r="AM20" s="105">
        <v>6309.6</v>
      </c>
      <c r="AN20" s="105">
        <v>18</v>
      </c>
      <c r="AO20" s="105">
        <v>5162.4000000000005</v>
      </c>
      <c r="AP20" s="105">
        <v>21</v>
      </c>
      <c r="AQ20" s="105">
        <v>6022.8</v>
      </c>
      <c r="AR20" s="105">
        <v>28</v>
      </c>
      <c r="AS20" s="105">
        <v>8030.4000000000005</v>
      </c>
      <c r="AT20" s="105">
        <v>24</v>
      </c>
      <c r="AU20" s="105">
        <v>6883.2000000000007</v>
      </c>
      <c r="AV20" s="105">
        <v>21</v>
      </c>
      <c r="AW20" s="105">
        <v>6022.8</v>
      </c>
      <c r="AX20" s="105">
        <v>18</v>
      </c>
      <c r="AY20" s="105">
        <v>5162.4000000000005</v>
      </c>
      <c r="AZ20" s="105">
        <v>24</v>
      </c>
      <c r="BA20" s="105">
        <v>6883.2000000000007</v>
      </c>
      <c r="BB20" s="105">
        <v>27</v>
      </c>
      <c r="BC20" s="105">
        <v>7743.6</v>
      </c>
      <c r="BD20" s="105">
        <v>31</v>
      </c>
      <c r="BE20" s="105">
        <v>8890.8000000000011</v>
      </c>
      <c r="BF20" s="105">
        <v>23</v>
      </c>
      <c r="BG20" s="105">
        <v>6596.4000000000005</v>
      </c>
      <c r="BH20" s="105">
        <v>44</v>
      </c>
      <c r="BI20" s="105">
        <v>12619.2</v>
      </c>
      <c r="BJ20" s="105">
        <v>50</v>
      </c>
      <c r="BK20" s="105">
        <v>14340</v>
      </c>
      <c r="BL20" s="105">
        <v>53</v>
      </c>
      <c r="BM20" s="105">
        <v>15200.400000000001</v>
      </c>
      <c r="BN20" s="105">
        <v>41</v>
      </c>
      <c r="BO20" s="105">
        <v>11758.800000000001</v>
      </c>
      <c r="BP20" s="105">
        <v>53</v>
      </c>
      <c r="BQ20" s="105">
        <v>15200.400000000001</v>
      </c>
      <c r="BR20" s="105">
        <v>64</v>
      </c>
      <c r="BS20" s="105">
        <v>18355.2</v>
      </c>
      <c r="BT20" s="105">
        <v>57</v>
      </c>
      <c r="BU20" s="105">
        <v>16347.6</v>
      </c>
      <c r="BV20" s="105">
        <v>53</v>
      </c>
      <c r="BW20" s="105">
        <v>15200.400000000001</v>
      </c>
      <c r="BX20" s="105">
        <v>75.923610576626544</v>
      </c>
      <c r="BY20" s="105">
        <v>21774.891513376493</v>
      </c>
      <c r="BZ20" s="105">
        <v>3.1225355612854666</v>
      </c>
      <c r="CA20" s="105">
        <v>895.54319897667187</v>
      </c>
      <c r="CB20" s="105">
        <v>49.087897095175528</v>
      </c>
      <c r="CC20" s="105">
        <v>14078.408886896343</v>
      </c>
      <c r="CD20" s="105">
        <v>34.271185819858779</v>
      </c>
      <c r="CE20" s="105">
        <v>9828.9760931354976</v>
      </c>
      <c r="CF20" s="105">
        <v>2.2777288732394365</v>
      </c>
      <c r="CG20" s="105">
        <v>653.25264084507046</v>
      </c>
      <c r="CH20" s="105">
        <v>19.693862500882503</v>
      </c>
      <c r="CI20" s="105">
        <v>5648.1997652531018</v>
      </c>
      <c r="CJ20" s="105">
        <v>17.529559992940047</v>
      </c>
      <c r="CK20" s="105">
        <v>5027.4778059752061</v>
      </c>
      <c r="CL20" s="105">
        <v>47.126029342400059</v>
      </c>
      <c r="CM20" s="105">
        <v>13515.745215400337</v>
      </c>
      <c r="CN20" s="105">
        <v>33.096142779814237</v>
      </c>
      <c r="CO20" s="105">
        <v>9491.9737492507229</v>
      </c>
      <c r="CP20" s="105">
        <v>19.00641868758569</v>
      </c>
      <c r="CQ20" s="105">
        <v>5451.0408795995763</v>
      </c>
      <c r="CR20" s="105">
        <v>4.2153188267141797</v>
      </c>
      <c r="CS20" s="105">
        <v>1208.9534395016267</v>
      </c>
      <c r="CT20" s="105">
        <v>12.719944032976393</v>
      </c>
      <c r="CU20" s="105">
        <v>3648.0799486576298</v>
      </c>
    </row>
    <row r="21" spans="2:99" x14ac:dyDescent="0.25">
      <c r="C21" s="104" t="s">
        <v>186</v>
      </c>
      <c r="D21" s="105">
        <v>0</v>
      </c>
      <c r="E21" s="105">
        <v>0</v>
      </c>
      <c r="F21" s="105">
        <v>0</v>
      </c>
      <c r="G21" s="105">
        <v>0</v>
      </c>
      <c r="H21" s="105">
        <v>10</v>
      </c>
      <c r="I21" s="105">
        <v>624</v>
      </c>
      <c r="J21" s="105">
        <v>8</v>
      </c>
      <c r="K21" s="105">
        <v>499.2</v>
      </c>
      <c r="L21" s="105">
        <v>9</v>
      </c>
      <c r="M21" s="105">
        <v>561.6</v>
      </c>
      <c r="N21" s="105">
        <v>8</v>
      </c>
      <c r="O21" s="105">
        <v>499.2</v>
      </c>
      <c r="P21" s="105">
        <v>7</v>
      </c>
      <c r="Q21" s="105">
        <v>436.8</v>
      </c>
      <c r="R21" s="105">
        <v>11</v>
      </c>
      <c r="S21" s="105">
        <v>686.4</v>
      </c>
      <c r="T21" s="105">
        <v>9</v>
      </c>
      <c r="U21" s="105">
        <v>561.6</v>
      </c>
      <c r="V21" s="105">
        <v>17</v>
      </c>
      <c r="W21" s="105">
        <v>1060.8</v>
      </c>
      <c r="X21" s="105">
        <v>12</v>
      </c>
      <c r="Y21" s="105">
        <v>748.8</v>
      </c>
      <c r="Z21" s="105">
        <v>14</v>
      </c>
      <c r="AA21" s="105">
        <v>873.6</v>
      </c>
      <c r="AB21" s="105">
        <v>13</v>
      </c>
      <c r="AC21" s="105">
        <v>811.19999999999993</v>
      </c>
      <c r="AD21" s="105">
        <v>17</v>
      </c>
      <c r="AE21" s="105">
        <v>1060.8</v>
      </c>
      <c r="AF21" s="105">
        <v>12</v>
      </c>
      <c r="AG21" s="105">
        <v>748.8</v>
      </c>
      <c r="AH21" s="105">
        <v>18</v>
      </c>
      <c r="AI21" s="105">
        <v>1123.2</v>
      </c>
      <c r="AJ21" s="105">
        <v>19</v>
      </c>
      <c r="AK21" s="105">
        <v>1185.5999999999999</v>
      </c>
      <c r="AL21" s="105">
        <v>20</v>
      </c>
      <c r="AM21" s="105">
        <v>1248</v>
      </c>
      <c r="AN21" s="105">
        <v>19</v>
      </c>
      <c r="AO21" s="105">
        <v>1185.5999999999999</v>
      </c>
      <c r="AP21" s="105">
        <v>21</v>
      </c>
      <c r="AQ21" s="105">
        <v>1310.3999999999999</v>
      </c>
      <c r="AR21" s="105">
        <v>24</v>
      </c>
      <c r="AS21" s="105">
        <v>1497.6</v>
      </c>
      <c r="AT21" s="105">
        <v>24</v>
      </c>
      <c r="AU21" s="105">
        <v>1497.6</v>
      </c>
      <c r="AV21" s="105">
        <v>22</v>
      </c>
      <c r="AW21" s="105">
        <v>1372.8</v>
      </c>
      <c r="AX21" s="105">
        <v>19</v>
      </c>
      <c r="AY21" s="105">
        <v>1185.5999999999999</v>
      </c>
      <c r="AZ21" s="105">
        <v>26</v>
      </c>
      <c r="BA21" s="105">
        <v>1622.3999999999999</v>
      </c>
      <c r="BB21" s="105">
        <v>27</v>
      </c>
      <c r="BC21" s="105">
        <v>1684.8</v>
      </c>
      <c r="BD21" s="105">
        <v>36</v>
      </c>
      <c r="BE21" s="105">
        <v>2246.4</v>
      </c>
      <c r="BF21" s="105">
        <v>26</v>
      </c>
      <c r="BG21" s="105">
        <v>1622.3999999999999</v>
      </c>
      <c r="BH21" s="105">
        <v>54</v>
      </c>
      <c r="BI21" s="105">
        <v>3369.6</v>
      </c>
      <c r="BJ21" s="105">
        <v>55</v>
      </c>
      <c r="BK21" s="105">
        <v>3432</v>
      </c>
      <c r="BL21" s="105">
        <v>53</v>
      </c>
      <c r="BM21" s="105">
        <v>3307.2</v>
      </c>
      <c r="BN21" s="105">
        <v>35</v>
      </c>
      <c r="BO21" s="105">
        <v>2184</v>
      </c>
      <c r="BP21" s="105">
        <v>59</v>
      </c>
      <c r="BQ21" s="105">
        <v>3681.6</v>
      </c>
      <c r="BR21" s="105">
        <v>64</v>
      </c>
      <c r="BS21" s="105">
        <v>3993.6</v>
      </c>
      <c r="BT21" s="105">
        <v>54</v>
      </c>
      <c r="BU21" s="105">
        <v>3369.6</v>
      </c>
      <c r="BV21" s="105">
        <v>57</v>
      </c>
      <c r="BW21" s="105">
        <v>3556.7999999999997</v>
      </c>
      <c r="BX21" s="105">
        <v>84.359567307362823</v>
      </c>
      <c r="BY21" s="105">
        <v>5264.0369999794402</v>
      </c>
      <c r="BZ21" s="105">
        <v>3.4631758043347904</v>
      </c>
      <c r="CA21" s="105">
        <v>216.10217019049091</v>
      </c>
      <c r="CB21" s="105">
        <v>52.289281688339152</v>
      </c>
      <c r="CC21" s="105">
        <v>3262.8511773523628</v>
      </c>
      <c r="CD21" s="105">
        <v>33.917874625839623</v>
      </c>
      <c r="CE21" s="105">
        <v>2116.4753766523922</v>
      </c>
      <c r="CF21" s="105">
        <v>2.3173415492957745</v>
      </c>
      <c r="CG21" s="105">
        <v>144.60211267605632</v>
      </c>
      <c r="CH21" s="105">
        <v>22.786287191103721</v>
      </c>
      <c r="CI21" s="105">
        <v>1421.8643207248722</v>
      </c>
      <c r="CJ21" s="105">
        <v>18.540880761763511</v>
      </c>
      <c r="CK21" s="105">
        <v>1156.950959534043</v>
      </c>
      <c r="CL21" s="105">
        <v>52.87310609147324</v>
      </c>
      <c r="CM21" s="105">
        <v>3299.2818201079299</v>
      </c>
      <c r="CN21" s="105">
        <v>34.440148577979286</v>
      </c>
      <c r="CO21" s="105">
        <v>2149.0652712659075</v>
      </c>
      <c r="CP21" s="105">
        <v>22.949239585542294</v>
      </c>
      <c r="CQ21" s="105">
        <v>1432.0325501378391</v>
      </c>
      <c r="CR21" s="105">
        <v>4.6537119846924542</v>
      </c>
      <c r="CS21" s="105">
        <v>290.39162784480914</v>
      </c>
      <c r="CT21" s="105">
        <v>14.676858499588146</v>
      </c>
      <c r="CU21" s="105">
        <v>915.83597037430025</v>
      </c>
    </row>
    <row r="22" spans="2:99" x14ac:dyDescent="0.25">
      <c r="C22" s="104" t="s">
        <v>187</v>
      </c>
      <c r="D22" s="105">
        <v>0</v>
      </c>
      <c r="E22" s="105">
        <v>0</v>
      </c>
      <c r="F22" s="105">
        <v>0</v>
      </c>
      <c r="G22" s="105">
        <v>0</v>
      </c>
      <c r="H22" s="105">
        <v>11</v>
      </c>
      <c r="I22" s="105">
        <v>2059.1999999999998</v>
      </c>
      <c r="J22" s="105">
        <v>7</v>
      </c>
      <c r="K22" s="105">
        <v>1310.3999999999999</v>
      </c>
      <c r="L22" s="105">
        <v>10</v>
      </c>
      <c r="M22" s="105">
        <v>1872</v>
      </c>
      <c r="N22" s="105">
        <v>8</v>
      </c>
      <c r="O22" s="105">
        <v>1497.6</v>
      </c>
      <c r="P22" s="105">
        <v>7</v>
      </c>
      <c r="Q22" s="105">
        <v>1310.3999999999999</v>
      </c>
      <c r="R22" s="105">
        <v>12</v>
      </c>
      <c r="S22" s="105">
        <v>2246.3999999999996</v>
      </c>
      <c r="T22" s="105">
        <v>9</v>
      </c>
      <c r="U22" s="105">
        <v>1684.8</v>
      </c>
      <c r="V22" s="105">
        <v>15</v>
      </c>
      <c r="W22" s="105">
        <v>2808</v>
      </c>
      <c r="X22" s="105">
        <v>12</v>
      </c>
      <c r="Y22" s="105">
        <v>2246.3999999999996</v>
      </c>
      <c r="Z22" s="105">
        <v>15</v>
      </c>
      <c r="AA22" s="105">
        <v>2808</v>
      </c>
      <c r="AB22" s="105">
        <v>14</v>
      </c>
      <c r="AC22" s="105">
        <v>2620.7999999999997</v>
      </c>
      <c r="AD22" s="105">
        <v>16</v>
      </c>
      <c r="AE22" s="105">
        <v>2995.2</v>
      </c>
      <c r="AF22" s="105">
        <v>12</v>
      </c>
      <c r="AG22" s="105">
        <v>2246.3999999999996</v>
      </c>
      <c r="AH22" s="105">
        <v>18</v>
      </c>
      <c r="AI22" s="105">
        <v>3369.6</v>
      </c>
      <c r="AJ22" s="105">
        <v>17</v>
      </c>
      <c r="AK22" s="105">
        <v>3182.3999999999996</v>
      </c>
      <c r="AL22" s="105">
        <v>20</v>
      </c>
      <c r="AM22" s="105">
        <v>3744</v>
      </c>
      <c r="AN22" s="105">
        <v>19</v>
      </c>
      <c r="AO22" s="105">
        <v>3556.7999999999997</v>
      </c>
      <c r="AP22" s="105">
        <v>23</v>
      </c>
      <c r="AQ22" s="105">
        <v>4305.5999999999995</v>
      </c>
      <c r="AR22" s="105">
        <v>28</v>
      </c>
      <c r="AS22" s="105">
        <v>5241.5999999999995</v>
      </c>
      <c r="AT22" s="105">
        <v>21</v>
      </c>
      <c r="AU22" s="105">
        <v>3931.2</v>
      </c>
      <c r="AV22" s="105">
        <v>25</v>
      </c>
      <c r="AW22" s="105">
        <v>4680</v>
      </c>
      <c r="AX22" s="105">
        <v>20</v>
      </c>
      <c r="AY22" s="105">
        <v>3744</v>
      </c>
      <c r="AZ22" s="105">
        <v>21</v>
      </c>
      <c r="BA22" s="105">
        <v>3931.2</v>
      </c>
      <c r="BB22" s="105">
        <v>27</v>
      </c>
      <c r="BC22" s="105">
        <v>5054.3999999999996</v>
      </c>
      <c r="BD22" s="105">
        <v>38</v>
      </c>
      <c r="BE22" s="105">
        <v>7113.5999999999995</v>
      </c>
      <c r="BF22" s="105">
        <v>22</v>
      </c>
      <c r="BG22" s="105">
        <v>4118.3999999999996</v>
      </c>
      <c r="BH22" s="105">
        <v>48</v>
      </c>
      <c r="BI22" s="105">
        <v>8985.5999999999985</v>
      </c>
      <c r="BJ22" s="105">
        <v>46</v>
      </c>
      <c r="BK22" s="105">
        <v>8611.1999999999989</v>
      </c>
      <c r="BL22" s="105">
        <v>49</v>
      </c>
      <c r="BM22" s="105">
        <v>9172.7999999999993</v>
      </c>
      <c r="BN22" s="105">
        <v>36</v>
      </c>
      <c r="BO22" s="105">
        <v>6739.2</v>
      </c>
      <c r="BP22" s="105">
        <v>61</v>
      </c>
      <c r="BQ22" s="105">
        <v>11419.199999999999</v>
      </c>
      <c r="BR22" s="105">
        <v>59</v>
      </c>
      <c r="BS22" s="105">
        <v>11044.8</v>
      </c>
      <c r="BT22" s="105">
        <v>53</v>
      </c>
      <c r="BU22" s="105">
        <v>9921.5999999999985</v>
      </c>
      <c r="BV22" s="105">
        <v>57</v>
      </c>
      <c r="BW22" s="105">
        <v>10670.4</v>
      </c>
      <c r="BX22" s="105">
        <v>71.70563221125839</v>
      </c>
      <c r="BY22" s="105">
        <v>13423.29434994757</v>
      </c>
      <c r="BZ22" s="105">
        <v>3.6902692997010056</v>
      </c>
      <c r="CA22" s="105">
        <v>690.81841290402815</v>
      </c>
      <c r="CB22" s="105">
        <v>50.155025292896731</v>
      </c>
      <c r="CC22" s="105">
        <v>9389.0207348302683</v>
      </c>
      <c r="CD22" s="105">
        <v>31.798007461724644</v>
      </c>
      <c r="CE22" s="105">
        <v>5952.5869968348534</v>
      </c>
      <c r="CF22" s="105">
        <v>2.495598591549296</v>
      </c>
      <c r="CG22" s="105">
        <v>467.17605633802816</v>
      </c>
      <c r="CH22" s="105">
        <v>19.205584918215994</v>
      </c>
      <c r="CI22" s="105">
        <v>3595.2854966900341</v>
      </c>
      <c r="CJ22" s="105">
        <v>18.540880761763511</v>
      </c>
      <c r="CK22" s="105">
        <v>3470.8528786021288</v>
      </c>
      <c r="CL22" s="105">
        <v>48.275444692214698</v>
      </c>
      <c r="CM22" s="105">
        <v>9037.1632463825918</v>
      </c>
      <c r="CN22" s="105">
        <v>34.608149302749915</v>
      </c>
      <c r="CO22" s="105">
        <v>6478.6455494747834</v>
      </c>
      <c r="CP22" s="105">
        <v>21.736063924632571</v>
      </c>
      <c r="CQ22" s="105">
        <v>4068.9911666912171</v>
      </c>
      <c r="CR22" s="105">
        <v>3.9792609724181855</v>
      </c>
      <c r="CS22" s="105">
        <v>744.91765403668433</v>
      </c>
      <c r="CT22" s="105">
        <v>14.375794735494031</v>
      </c>
      <c r="CU22" s="105">
        <v>2691.1487744844826</v>
      </c>
    </row>
    <row r="23" spans="2:99" x14ac:dyDescent="0.25">
      <c r="C23" s="104" t="s">
        <v>188</v>
      </c>
      <c r="D23" s="105">
        <v>0</v>
      </c>
      <c r="E23" s="105">
        <v>0</v>
      </c>
      <c r="F23" s="105">
        <v>0</v>
      </c>
      <c r="G23" s="105">
        <v>0</v>
      </c>
      <c r="H23" s="105">
        <v>10</v>
      </c>
      <c r="I23" s="105">
        <v>2940</v>
      </c>
      <c r="J23" s="105">
        <v>8</v>
      </c>
      <c r="K23" s="105">
        <v>2352</v>
      </c>
      <c r="L23" s="105">
        <v>10</v>
      </c>
      <c r="M23" s="105">
        <v>2940</v>
      </c>
      <c r="N23" s="105">
        <v>7</v>
      </c>
      <c r="O23" s="105">
        <v>2058</v>
      </c>
      <c r="P23" s="105">
        <v>7</v>
      </c>
      <c r="Q23" s="105">
        <v>2058</v>
      </c>
      <c r="R23" s="105">
        <v>12</v>
      </c>
      <c r="S23" s="105">
        <v>3528</v>
      </c>
      <c r="T23" s="105">
        <v>9</v>
      </c>
      <c r="U23" s="105">
        <v>2646</v>
      </c>
      <c r="V23" s="105">
        <v>16</v>
      </c>
      <c r="W23" s="105">
        <v>4704</v>
      </c>
      <c r="X23" s="105">
        <v>12</v>
      </c>
      <c r="Y23" s="105">
        <v>3528</v>
      </c>
      <c r="Z23" s="105">
        <v>16</v>
      </c>
      <c r="AA23" s="105">
        <v>4704</v>
      </c>
      <c r="AB23" s="105">
        <v>13</v>
      </c>
      <c r="AC23" s="105">
        <v>3822</v>
      </c>
      <c r="AD23" s="105">
        <v>16</v>
      </c>
      <c r="AE23" s="105">
        <v>4704</v>
      </c>
      <c r="AF23" s="105">
        <v>11</v>
      </c>
      <c r="AG23" s="105">
        <v>3234</v>
      </c>
      <c r="AH23" s="105">
        <v>19</v>
      </c>
      <c r="AI23" s="105">
        <v>5586</v>
      </c>
      <c r="AJ23" s="105">
        <v>18</v>
      </c>
      <c r="AK23" s="105">
        <v>5292</v>
      </c>
      <c r="AL23" s="105">
        <v>20</v>
      </c>
      <c r="AM23" s="105">
        <v>5880</v>
      </c>
      <c r="AN23" s="105">
        <v>17</v>
      </c>
      <c r="AO23" s="105">
        <v>4998</v>
      </c>
      <c r="AP23" s="105">
        <v>21</v>
      </c>
      <c r="AQ23" s="105">
        <v>6174</v>
      </c>
      <c r="AR23" s="105">
        <v>23</v>
      </c>
      <c r="AS23" s="105">
        <v>6762</v>
      </c>
      <c r="AT23" s="105">
        <v>23</v>
      </c>
      <c r="AU23" s="105">
        <v>6762</v>
      </c>
      <c r="AV23" s="105">
        <v>24</v>
      </c>
      <c r="AW23" s="105">
        <v>7056</v>
      </c>
      <c r="AX23" s="105">
        <v>19</v>
      </c>
      <c r="AY23" s="105">
        <v>5586</v>
      </c>
      <c r="AZ23" s="105">
        <v>22</v>
      </c>
      <c r="BA23" s="105">
        <v>6468</v>
      </c>
      <c r="BB23" s="105">
        <v>30</v>
      </c>
      <c r="BC23" s="105">
        <v>8820</v>
      </c>
      <c r="BD23" s="105">
        <v>37</v>
      </c>
      <c r="BE23" s="105">
        <v>10878</v>
      </c>
      <c r="BF23" s="105">
        <v>23</v>
      </c>
      <c r="BG23" s="105">
        <v>6762</v>
      </c>
      <c r="BH23" s="105">
        <v>45</v>
      </c>
      <c r="BI23" s="105">
        <v>13230</v>
      </c>
      <c r="BJ23" s="105">
        <v>54</v>
      </c>
      <c r="BK23" s="105">
        <v>15876</v>
      </c>
      <c r="BL23" s="105">
        <v>48</v>
      </c>
      <c r="BM23" s="105">
        <v>14112</v>
      </c>
      <c r="BN23" s="105">
        <v>40</v>
      </c>
      <c r="BO23" s="105">
        <v>11760</v>
      </c>
      <c r="BP23" s="105">
        <v>54</v>
      </c>
      <c r="BQ23" s="105">
        <v>15876</v>
      </c>
      <c r="BR23" s="105">
        <v>60</v>
      </c>
      <c r="BS23" s="105">
        <v>17640</v>
      </c>
      <c r="BT23" s="105">
        <v>51</v>
      </c>
      <c r="BU23" s="105">
        <v>14994</v>
      </c>
      <c r="BV23" s="105">
        <v>51</v>
      </c>
      <c r="BW23" s="105">
        <v>14994</v>
      </c>
      <c r="BX23" s="105">
        <v>78.454397595847425</v>
      </c>
      <c r="BY23" s="105">
        <v>23065.592893179142</v>
      </c>
      <c r="BZ23" s="105">
        <v>3.3496290566516826</v>
      </c>
      <c r="CA23" s="105">
        <v>984.79094265559468</v>
      </c>
      <c r="CB23" s="105">
        <v>54.423538083781565</v>
      </c>
      <c r="CC23" s="105">
        <v>16000.52019663178</v>
      </c>
      <c r="CD23" s="105">
        <v>32.504629849762971</v>
      </c>
      <c r="CE23" s="105">
        <v>9556.3611758303141</v>
      </c>
      <c r="CF23" s="105">
        <v>2.2975352112676055</v>
      </c>
      <c r="CG23" s="105">
        <v>675.47535211267598</v>
      </c>
      <c r="CH23" s="105">
        <v>21.972491219992875</v>
      </c>
      <c r="CI23" s="105">
        <v>6459.9124186779054</v>
      </c>
      <c r="CJ23" s="105">
        <v>16.405870249802867</v>
      </c>
      <c r="CK23" s="105">
        <v>4823.3258534420429</v>
      </c>
      <c r="CL23" s="105">
        <v>48.275444692214698</v>
      </c>
      <c r="CM23" s="105">
        <v>14192.980739511122</v>
      </c>
      <c r="CN23" s="105">
        <v>32.088138431190458</v>
      </c>
      <c r="CO23" s="105">
        <v>9433.9126987699947</v>
      </c>
      <c r="CP23" s="105">
        <v>21.129476094177711</v>
      </c>
      <c r="CQ23" s="105">
        <v>6212.0659716882474</v>
      </c>
      <c r="CR23" s="105">
        <v>4.1310124501798953</v>
      </c>
      <c r="CS23" s="105">
        <v>1214.5176603528892</v>
      </c>
      <c r="CT23" s="105">
        <v>15.053188204705791</v>
      </c>
      <c r="CU23" s="105">
        <v>4425.6373321835026</v>
      </c>
    </row>
    <row r="24" spans="2:99" x14ac:dyDescent="0.25">
      <c r="C24" s="104" t="s">
        <v>189</v>
      </c>
      <c r="D24" s="105">
        <v>0</v>
      </c>
      <c r="E24" s="105">
        <v>0</v>
      </c>
      <c r="F24" s="105">
        <v>0</v>
      </c>
      <c r="G24" s="105">
        <v>0</v>
      </c>
      <c r="H24" s="105">
        <v>10</v>
      </c>
      <c r="I24" s="105">
        <v>3672</v>
      </c>
      <c r="J24" s="105">
        <v>8</v>
      </c>
      <c r="K24" s="105">
        <v>2937.6</v>
      </c>
      <c r="L24" s="105">
        <v>10</v>
      </c>
      <c r="M24" s="105">
        <v>3672</v>
      </c>
      <c r="N24" s="105">
        <v>9</v>
      </c>
      <c r="O24" s="105">
        <v>3304.7999999999997</v>
      </c>
      <c r="P24" s="105">
        <v>7</v>
      </c>
      <c r="Q24" s="105">
        <v>2570.4</v>
      </c>
      <c r="R24" s="105">
        <v>12</v>
      </c>
      <c r="S24" s="105">
        <v>4406.3999999999996</v>
      </c>
      <c r="T24" s="105">
        <v>9</v>
      </c>
      <c r="U24" s="105">
        <v>3304.7999999999997</v>
      </c>
      <c r="V24" s="105">
        <v>14</v>
      </c>
      <c r="W24" s="105">
        <v>5140.8</v>
      </c>
      <c r="X24" s="105">
        <v>13</v>
      </c>
      <c r="Y24" s="105">
        <v>4773.5999999999995</v>
      </c>
      <c r="Z24" s="105">
        <v>13</v>
      </c>
      <c r="AA24" s="105">
        <v>4773.5999999999995</v>
      </c>
      <c r="AB24" s="105">
        <v>13</v>
      </c>
      <c r="AC24" s="105">
        <v>4773.5999999999995</v>
      </c>
      <c r="AD24" s="105">
        <v>15</v>
      </c>
      <c r="AE24" s="105">
        <v>5508</v>
      </c>
      <c r="AF24" s="105">
        <v>11</v>
      </c>
      <c r="AG24" s="105">
        <v>4039.2</v>
      </c>
      <c r="AH24" s="105">
        <v>18</v>
      </c>
      <c r="AI24" s="105">
        <v>6609.5999999999995</v>
      </c>
      <c r="AJ24" s="105">
        <v>16</v>
      </c>
      <c r="AK24" s="105">
        <v>5875.2</v>
      </c>
      <c r="AL24" s="105">
        <v>18</v>
      </c>
      <c r="AM24" s="105">
        <v>6609.5999999999995</v>
      </c>
      <c r="AN24" s="105">
        <v>18</v>
      </c>
      <c r="AO24" s="105">
        <v>6609.5999999999995</v>
      </c>
      <c r="AP24" s="105">
        <v>19</v>
      </c>
      <c r="AQ24" s="105">
        <v>6976.8</v>
      </c>
      <c r="AR24" s="105">
        <v>27</v>
      </c>
      <c r="AS24" s="105">
        <v>9914.4</v>
      </c>
      <c r="AT24" s="105">
        <v>25</v>
      </c>
      <c r="AU24" s="105">
        <v>9180</v>
      </c>
      <c r="AV24" s="105">
        <v>21</v>
      </c>
      <c r="AW24" s="105">
        <v>7711.2</v>
      </c>
      <c r="AX24" s="105">
        <v>21</v>
      </c>
      <c r="AY24" s="105">
        <v>7711.2</v>
      </c>
      <c r="AZ24" s="105">
        <v>24</v>
      </c>
      <c r="BA24" s="105">
        <v>8812.7999999999993</v>
      </c>
      <c r="BB24" s="105">
        <v>26</v>
      </c>
      <c r="BC24" s="105">
        <v>9547.1999999999989</v>
      </c>
      <c r="BD24" s="105">
        <v>36</v>
      </c>
      <c r="BE24" s="105">
        <v>13219.199999999999</v>
      </c>
      <c r="BF24" s="105">
        <v>24</v>
      </c>
      <c r="BG24" s="105">
        <v>8812.7999999999993</v>
      </c>
      <c r="BH24" s="105">
        <v>49</v>
      </c>
      <c r="BI24" s="105">
        <v>17992.8</v>
      </c>
      <c r="BJ24" s="105">
        <v>48</v>
      </c>
      <c r="BK24" s="105">
        <v>17625.599999999999</v>
      </c>
      <c r="BL24" s="105">
        <v>50</v>
      </c>
      <c r="BM24" s="105">
        <v>18360</v>
      </c>
      <c r="BN24" s="105">
        <v>35</v>
      </c>
      <c r="BO24" s="105">
        <v>12852</v>
      </c>
      <c r="BP24" s="105">
        <v>59</v>
      </c>
      <c r="BQ24" s="105">
        <v>21664.799999999999</v>
      </c>
      <c r="BR24" s="105">
        <v>64</v>
      </c>
      <c r="BS24" s="105">
        <v>23500.799999999999</v>
      </c>
      <c r="BT24" s="105">
        <v>48</v>
      </c>
      <c r="BU24" s="105">
        <v>17625.599999999999</v>
      </c>
      <c r="BV24" s="105">
        <v>48</v>
      </c>
      <c r="BW24" s="105">
        <v>17625.599999999999</v>
      </c>
      <c r="BX24" s="105">
        <v>76.767206249700166</v>
      </c>
      <c r="BY24" s="105">
        <v>28188.9181348899</v>
      </c>
      <c r="BZ24" s="105">
        <v>3.5767225520178978</v>
      </c>
      <c r="CA24" s="105">
        <v>1313.3725211009721</v>
      </c>
      <c r="CB24" s="105">
        <v>47.487204798593716</v>
      </c>
      <c r="CC24" s="105">
        <v>17437.301602043612</v>
      </c>
      <c r="CD24" s="105">
        <v>33.211252237801297</v>
      </c>
      <c r="CE24" s="105">
        <v>12195.171821720636</v>
      </c>
      <c r="CF24" s="105">
        <v>2.594630281690141</v>
      </c>
      <c r="CG24" s="105">
        <v>952.74823943661977</v>
      </c>
      <c r="CH24" s="105">
        <v>20.34489927777118</v>
      </c>
      <c r="CI24" s="105">
        <v>7470.647014797577</v>
      </c>
      <c r="CJ24" s="105">
        <v>17.080084095685176</v>
      </c>
      <c r="CK24" s="105">
        <v>6271.806879935597</v>
      </c>
      <c r="CL24" s="105">
        <v>46.551321667492751</v>
      </c>
      <c r="CM24" s="105">
        <v>17093.645316303337</v>
      </c>
      <c r="CN24" s="105">
        <v>37.128160174309379</v>
      </c>
      <c r="CO24" s="105">
        <v>13633.460416006403</v>
      </c>
      <c r="CP24" s="105">
        <v>20.82618217895028</v>
      </c>
      <c r="CQ24" s="105">
        <v>7647.3740961105423</v>
      </c>
      <c r="CR24" s="105">
        <v>4.2153188267141797</v>
      </c>
      <c r="CS24" s="105">
        <v>1547.8650731694468</v>
      </c>
      <c r="CT24" s="105">
        <v>13.096273738094039</v>
      </c>
      <c r="CU24" s="105">
        <v>4808.9517166281312</v>
      </c>
    </row>
    <row r="25" spans="2:99" x14ac:dyDescent="0.25">
      <c r="C25" s="104" t="s">
        <v>190</v>
      </c>
      <c r="D25" s="105">
        <v>0</v>
      </c>
      <c r="E25" s="105">
        <v>0</v>
      </c>
      <c r="F25" s="105">
        <v>0</v>
      </c>
      <c r="G25" s="105">
        <v>0</v>
      </c>
      <c r="H25" s="105">
        <v>10</v>
      </c>
      <c r="I25" s="105">
        <v>5304</v>
      </c>
      <c r="J25" s="105">
        <v>8</v>
      </c>
      <c r="K25" s="105">
        <v>4243.2</v>
      </c>
      <c r="L25" s="105">
        <v>10</v>
      </c>
      <c r="M25" s="105">
        <v>5304</v>
      </c>
      <c r="N25" s="105">
        <v>8</v>
      </c>
      <c r="O25" s="105">
        <v>4243.2</v>
      </c>
      <c r="P25" s="105">
        <v>8</v>
      </c>
      <c r="Q25" s="105">
        <v>4243.2</v>
      </c>
      <c r="R25" s="105">
        <v>11</v>
      </c>
      <c r="S25" s="105">
        <v>5834.4</v>
      </c>
      <c r="T25" s="105">
        <v>9</v>
      </c>
      <c r="U25" s="105">
        <v>4773.5999999999995</v>
      </c>
      <c r="V25" s="105">
        <v>14</v>
      </c>
      <c r="W25" s="105">
        <v>7425.5999999999995</v>
      </c>
      <c r="X25" s="105">
        <v>13</v>
      </c>
      <c r="Y25" s="105">
        <v>6895.2</v>
      </c>
      <c r="Z25" s="105">
        <v>15</v>
      </c>
      <c r="AA25" s="105">
        <v>7956</v>
      </c>
      <c r="AB25" s="105">
        <v>13</v>
      </c>
      <c r="AC25" s="105">
        <v>6895.2</v>
      </c>
      <c r="AD25" s="105">
        <v>16</v>
      </c>
      <c r="AE25" s="105">
        <v>8486.4</v>
      </c>
      <c r="AF25" s="105">
        <v>11</v>
      </c>
      <c r="AG25" s="105">
        <v>5834.4</v>
      </c>
      <c r="AH25" s="105">
        <v>19</v>
      </c>
      <c r="AI25" s="105">
        <v>10077.6</v>
      </c>
      <c r="AJ25" s="105">
        <v>20</v>
      </c>
      <c r="AK25" s="105">
        <v>10608</v>
      </c>
      <c r="AL25" s="105">
        <v>18</v>
      </c>
      <c r="AM25" s="105">
        <v>9547.1999999999989</v>
      </c>
      <c r="AN25" s="105">
        <v>19</v>
      </c>
      <c r="AO25" s="105">
        <v>10077.6</v>
      </c>
      <c r="AP25" s="105">
        <v>22</v>
      </c>
      <c r="AQ25" s="105">
        <v>11668.8</v>
      </c>
      <c r="AR25" s="105">
        <v>26</v>
      </c>
      <c r="AS25" s="105">
        <v>13790.4</v>
      </c>
      <c r="AT25" s="105">
        <v>21</v>
      </c>
      <c r="AU25" s="105">
        <v>11138.4</v>
      </c>
      <c r="AV25" s="105">
        <v>21</v>
      </c>
      <c r="AW25" s="105">
        <v>11138.4</v>
      </c>
      <c r="AX25" s="105">
        <v>18</v>
      </c>
      <c r="AY25" s="105">
        <v>9547.1999999999989</v>
      </c>
      <c r="AZ25" s="105">
        <v>24</v>
      </c>
      <c r="BA25" s="105">
        <v>12729.599999999999</v>
      </c>
      <c r="BB25" s="105">
        <v>26</v>
      </c>
      <c r="BC25" s="105">
        <v>13790.4</v>
      </c>
      <c r="BD25" s="105">
        <v>35</v>
      </c>
      <c r="BE25" s="105">
        <v>18564</v>
      </c>
      <c r="BF25" s="105">
        <v>22</v>
      </c>
      <c r="BG25" s="105">
        <v>11668.8</v>
      </c>
      <c r="BH25" s="105">
        <v>45</v>
      </c>
      <c r="BI25" s="105">
        <v>23868</v>
      </c>
      <c r="BJ25" s="105">
        <v>45</v>
      </c>
      <c r="BK25" s="105">
        <v>23868</v>
      </c>
      <c r="BL25" s="105">
        <v>43</v>
      </c>
      <c r="BM25" s="105">
        <v>22807.200000000001</v>
      </c>
      <c r="BN25" s="105">
        <v>35</v>
      </c>
      <c r="BO25" s="105">
        <v>18564</v>
      </c>
      <c r="BP25" s="105">
        <v>59</v>
      </c>
      <c r="BQ25" s="105">
        <v>31293.599999999999</v>
      </c>
      <c r="BR25" s="105">
        <v>66</v>
      </c>
      <c r="BS25" s="105">
        <v>35006.400000000001</v>
      </c>
      <c r="BT25" s="105">
        <v>56</v>
      </c>
      <c r="BU25" s="105">
        <v>29702.399999999998</v>
      </c>
      <c r="BV25" s="105">
        <v>46</v>
      </c>
      <c r="BW25" s="105">
        <v>24398.399999999998</v>
      </c>
      <c r="BX25" s="105">
        <v>74.236419230479285</v>
      </c>
      <c r="BY25" s="105">
        <v>39374.99675984621</v>
      </c>
      <c r="BZ25" s="105">
        <v>3.0657621874439123</v>
      </c>
      <c r="CA25" s="105">
        <v>1626.0802642202509</v>
      </c>
      <c r="CB25" s="105">
        <v>44.819384304290701</v>
      </c>
      <c r="CC25" s="105">
        <v>23772.201434995786</v>
      </c>
      <c r="CD25" s="105">
        <v>34.271185819858779</v>
      </c>
      <c r="CE25" s="105">
        <v>18177.436958853097</v>
      </c>
      <c r="CF25" s="105">
        <v>2.3569542253521125</v>
      </c>
      <c r="CG25" s="105">
        <v>1250.1285211267605</v>
      </c>
      <c r="CH25" s="105">
        <v>18.066270558660808</v>
      </c>
      <c r="CI25" s="105">
        <v>9582.3499043136926</v>
      </c>
      <c r="CJ25" s="105">
        <v>15.844025378234274</v>
      </c>
      <c r="CK25" s="105">
        <v>8403.6710606154593</v>
      </c>
      <c r="CL25" s="105">
        <v>47.700737017307382</v>
      </c>
      <c r="CM25" s="105">
        <v>25300.470913979836</v>
      </c>
      <c r="CN25" s="105">
        <v>32.256139155961087</v>
      </c>
      <c r="CO25" s="105">
        <v>17108.656208321761</v>
      </c>
      <c r="CP25" s="105">
        <v>19.410810574555601</v>
      </c>
      <c r="CQ25" s="105">
        <v>10295.49392874429</v>
      </c>
      <c r="CR25" s="105">
        <v>3.9623996971113287</v>
      </c>
      <c r="CS25" s="105">
        <v>2101.6567993478488</v>
      </c>
      <c r="CT25" s="105">
        <v>12.19308244581169</v>
      </c>
      <c r="CU25" s="105">
        <v>6467.2109292585201</v>
      </c>
    </row>
    <row r="26" spans="2:99" x14ac:dyDescent="0.25">
      <c r="C26" s="104" t="s">
        <v>191</v>
      </c>
      <c r="D26" s="105">
        <v>0</v>
      </c>
      <c r="E26" s="105">
        <v>0</v>
      </c>
      <c r="F26" s="105">
        <v>0</v>
      </c>
      <c r="G26" s="105">
        <v>0</v>
      </c>
      <c r="H26" s="105">
        <v>11</v>
      </c>
      <c r="I26" s="105">
        <v>5346</v>
      </c>
      <c r="J26" s="105">
        <v>7</v>
      </c>
      <c r="K26" s="105">
        <v>3402</v>
      </c>
      <c r="L26" s="105">
        <v>9</v>
      </c>
      <c r="M26" s="105">
        <v>4374</v>
      </c>
      <c r="N26" s="105">
        <v>8</v>
      </c>
      <c r="O26" s="105">
        <v>3888</v>
      </c>
      <c r="P26" s="105">
        <v>7</v>
      </c>
      <c r="Q26" s="105">
        <v>3402</v>
      </c>
      <c r="R26" s="105">
        <v>12</v>
      </c>
      <c r="S26" s="105">
        <v>5832</v>
      </c>
      <c r="T26" s="105">
        <v>9</v>
      </c>
      <c r="U26" s="105">
        <v>4374</v>
      </c>
      <c r="V26" s="105">
        <v>15</v>
      </c>
      <c r="W26" s="105">
        <v>7290</v>
      </c>
      <c r="X26" s="105">
        <v>12</v>
      </c>
      <c r="Y26" s="105">
        <v>5832</v>
      </c>
      <c r="Z26" s="105">
        <v>14</v>
      </c>
      <c r="AA26" s="105">
        <v>6804</v>
      </c>
      <c r="AB26" s="105">
        <v>13</v>
      </c>
      <c r="AC26" s="105">
        <v>6318</v>
      </c>
      <c r="AD26" s="105">
        <v>14</v>
      </c>
      <c r="AE26" s="105">
        <v>6804</v>
      </c>
      <c r="AF26" s="105">
        <v>12</v>
      </c>
      <c r="AG26" s="105">
        <v>5832</v>
      </c>
      <c r="AH26" s="105">
        <v>20</v>
      </c>
      <c r="AI26" s="105">
        <v>9720</v>
      </c>
      <c r="AJ26" s="105">
        <v>19</v>
      </c>
      <c r="AK26" s="105">
        <v>9234</v>
      </c>
      <c r="AL26" s="105">
        <v>18</v>
      </c>
      <c r="AM26" s="105">
        <v>8748</v>
      </c>
      <c r="AN26" s="105">
        <v>18</v>
      </c>
      <c r="AO26" s="105">
        <v>8748</v>
      </c>
      <c r="AP26" s="105">
        <v>20</v>
      </c>
      <c r="AQ26" s="105">
        <v>9720</v>
      </c>
      <c r="AR26" s="105">
        <v>27</v>
      </c>
      <c r="AS26" s="105">
        <v>13122</v>
      </c>
      <c r="AT26" s="105">
        <v>22</v>
      </c>
      <c r="AU26" s="105">
        <v>10692</v>
      </c>
      <c r="AV26" s="105">
        <v>24</v>
      </c>
      <c r="AW26" s="105">
        <v>11664</v>
      </c>
      <c r="AX26" s="105">
        <v>19</v>
      </c>
      <c r="AY26" s="105">
        <v>9234</v>
      </c>
      <c r="AZ26" s="105">
        <v>21</v>
      </c>
      <c r="BA26" s="105">
        <v>10206</v>
      </c>
      <c r="BB26" s="105">
        <v>27</v>
      </c>
      <c r="BC26" s="105">
        <v>13122</v>
      </c>
      <c r="BD26" s="105">
        <v>31</v>
      </c>
      <c r="BE26" s="105">
        <v>15066</v>
      </c>
      <c r="BF26" s="105">
        <v>24</v>
      </c>
      <c r="BG26" s="105">
        <v>11664</v>
      </c>
      <c r="BH26" s="105">
        <v>51</v>
      </c>
      <c r="BI26" s="105">
        <v>24786</v>
      </c>
      <c r="BJ26" s="105">
        <v>50</v>
      </c>
      <c r="BK26" s="105">
        <v>24300</v>
      </c>
      <c r="BL26" s="105">
        <v>46</v>
      </c>
      <c r="BM26" s="105">
        <v>22356</v>
      </c>
      <c r="BN26" s="105">
        <v>34</v>
      </c>
      <c r="BO26" s="105">
        <v>16524</v>
      </c>
      <c r="BP26" s="105">
        <v>51</v>
      </c>
      <c r="BQ26" s="105">
        <v>24786</v>
      </c>
      <c r="BR26" s="105">
        <v>65</v>
      </c>
      <c r="BS26" s="105">
        <v>31590</v>
      </c>
      <c r="BT26" s="105">
        <v>55</v>
      </c>
      <c r="BU26" s="105">
        <v>26730</v>
      </c>
      <c r="BV26" s="105">
        <v>49</v>
      </c>
      <c r="BW26" s="105">
        <v>23814</v>
      </c>
      <c r="BX26" s="105">
        <v>74.236419230479285</v>
      </c>
      <c r="BY26" s="105">
        <v>36078.899746012932</v>
      </c>
      <c r="BZ26" s="105">
        <v>3.4064024304932361</v>
      </c>
      <c r="CA26" s="105">
        <v>1655.5115812197128</v>
      </c>
      <c r="CB26" s="105">
        <v>49.621461194036137</v>
      </c>
      <c r="CC26" s="105">
        <v>24116.030140301562</v>
      </c>
      <c r="CD26" s="105">
        <v>30.384762685647992</v>
      </c>
      <c r="CE26" s="105">
        <v>14766.994665224924</v>
      </c>
      <c r="CF26" s="105">
        <v>2.3569542253521125</v>
      </c>
      <c r="CG26" s="105">
        <v>1145.4797535211267</v>
      </c>
      <c r="CH26" s="105">
        <v>21.158695248882029</v>
      </c>
      <c r="CI26" s="105">
        <v>10283.125890956666</v>
      </c>
      <c r="CJ26" s="105">
        <v>18.540880761763511</v>
      </c>
      <c r="CK26" s="105">
        <v>9010.8680502170664</v>
      </c>
      <c r="CL26" s="105">
        <v>46.551321667492751</v>
      </c>
      <c r="CM26" s="105">
        <v>22623.942330401478</v>
      </c>
      <c r="CN26" s="105">
        <v>33.768145678896765</v>
      </c>
      <c r="CO26" s="105">
        <v>16411.318799943827</v>
      </c>
      <c r="CP26" s="105">
        <v>19.511908546298077</v>
      </c>
      <c r="CQ26" s="105">
        <v>9482.7875535008661</v>
      </c>
      <c r="CR26" s="105">
        <v>4.0298447983387558</v>
      </c>
      <c r="CS26" s="105">
        <v>1958.5045719926352</v>
      </c>
      <c r="CT26" s="105">
        <v>12.870475915023452</v>
      </c>
      <c r="CU26" s="105">
        <v>6255.0512947013976</v>
      </c>
    </row>
    <row r="27" spans="2:99" x14ac:dyDescent="0.25">
      <c r="C27" s="104" t="s">
        <v>192</v>
      </c>
      <c r="D27" s="105">
        <v>0</v>
      </c>
      <c r="E27" s="105">
        <v>0</v>
      </c>
      <c r="F27" s="105">
        <v>0</v>
      </c>
      <c r="G27" s="105">
        <v>0</v>
      </c>
      <c r="H27" s="105">
        <v>11</v>
      </c>
      <c r="I27" s="105">
        <v>4699.2</v>
      </c>
      <c r="J27" s="105">
        <v>8</v>
      </c>
      <c r="K27" s="105">
        <v>3417.6</v>
      </c>
      <c r="L27" s="105">
        <v>10</v>
      </c>
      <c r="M27" s="105">
        <v>4272</v>
      </c>
      <c r="N27" s="105">
        <v>8</v>
      </c>
      <c r="O27" s="105">
        <v>3417.6</v>
      </c>
      <c r="P27" s="105">
        <v>7</v>
      </c>
      <c r="Q27" s="105">
        <v>2990.4</v>
      </c>
      <c r="R27" s="105">
        <v>12</v>
      </c>
      <c r="S27" s="105">
        <v>5126.3999999999996</v>
      </c>
      <c r="T27" s="105">
        <v>10</v>
      </c>
      <c r="U27" s="105">
        <v>4272</v>
      </c>
      <c r="V27" s="105">
        <v>14</v>
      </c>
      <c r="W27" s="105">
        <v>5980.8</v>
      </c>
      <c r="X27" s="105">
        <v>12</v>
      </c>
      <c r="Y27" s="105">
        <v>5126.3999999999996</v>
      </c>
      <c r="Z27" s="105">
        <v>15</v>
      </c>
      <c r="AA27" s="105">
        <v>6408</v>
      </c>
      <c r="AB27" s="105">
        <v>13</v>
      </c>
      <c r="AC27" s="105">
        <v>5553.5999999999995</v>
      </c>
      <c r="AD27" s="105">
        <v>16</v>
      </c>
      <c r="AE27" s="105">
        <v>6835.2</v>
      </c>
      <c r="AF27" s="105">
        <v>11</v>
      </c>
      <c r="AG27" s="105">
        <v>4699.2</v>
      </c>
      <c r="AH27" s="105">
        <v>18</v>
      </c>
      <c r="AI27" s="105">
        <v>7689.5999999999995</v>
      </c>
      <c r="AJ27" s="105">
        <v>20</v>
      </c>
      <c r="AK27" s="105">
        <v>8544</v>
      </c>
      <c r="AL27" s="105">
        <v>21</v>
      </c>
      <c r="AM27" s="105">
        <v>8971.1999999999989</v>
      </c>
      <c r="AN27" s="105">
        <v>19</v>
      </c>
      <c r="AO27" s="105">
        <v>8116.8</v>
      </c>
      <c r="AP27" s="105">
        <v>23</v>
      </c>
      <c r="AQ27" s="105">
        <v>9825.6</v>
      </c>
      <c r="AR27" s="105">
        <v>26</v>
      </c>
      <c r="AS27" s="105">
        <v>11107.199999999999</v>
      </c>
      <c r="AT27" s="105">
        <v>23</v>
      </c>
      <c r="AU27" s="105">
        <v>9825.6</v>
      </c>
      <c r="AV27" s="105">
        <v>22</v>
      </c>
      <c r="AW27" s="105">
        <v>9398.4</v>
      </c>
      <c r="AX27" s="105">
        <v>20</v>
      </c>
      <c r="AY27" s="105">
        <v>8544</v>
      </c>
      <c r="AZ27" s="105">
        <v>25</v>
      </c>
      <c r="BA27" s="105">
        <v>10680</v>
      </c>
      <c r="BB27" s="105">
        <v>27</v>
      </c>
      <c r="BC27" s="105">
        <v>11534.4</v>
      </c>
      <c r="BD27" s="105">
        <v>37</v>
      </c>
      <c r="BE27" s="105">
        <v>15806.4</v>
      </c>
      <c r="BF27" s="105">
        <v>24</v>
      </c>
      <c r="BG27" s="105">
        <v>10252.799999999999</v>
      </c>
      <c r="BH27" s="105">
        <v>48</v>
      </c>
      <c r="BI27" s="105">
        <v>20505.599999999999</v>
      </c>
      <c r="BJ27" s="105">
        <v>45</v>
      </c>
      <c r="BK27" s="105">
        <v>19224</v>
      </c>
      <c r="BL27" s="105">
        <v>45</v>
      </c>
      <c r="BM27" s="105">
        <v>19224</v>
      </c>
      <c r="BN27" s="105">
        <v>37</v>
      </c>
      <c r="BO27" s="105">
        <v>15806.4</v>
      </c>
      <c r="BP27" s="105">
        <v>50</v>
      </c>
      <c r="BQ27" s="105">
        <v>21360</v>
      </c>
      <c r="BR27" s="105">
        <v>58</v>
      </c>
      <c r="BS27" s="105">
        <v>24777.599999999999</v>
      </c>
      <c r="BT27" s="105">
        <v>50</v>
      </c>
      <c r="BU27" s="105">
        <v>21360</v>
      </c>
      <c r="BV27" s="105">
        <v>46</v>
      </c>
      <c r="BW27" s="105">
        <v>19651.2</v>
      </c>
      <c r="BX27" s="105">
        <v>71.70563221125839</v>
      </c>
      <c r="BY27" s="105">
        <v>30632.646080649582</v>
      </c>
      <c r="BZ27" s="105">
        <v>3.5199491781763439</v>
      </c>
      <c r="CA27" s="105">
        <v>1503.7222889169341</v>
      </c>
      <c r="CB27" s="105">
        <v>53.356409886060355</v>
      </c>
      <c r="CC27" s="105">
        <v>22793.858303324982</v>
      </c>
      <c r="CD27" s="105">
        <v>32.504629849762971</v>
      </c>
      <c r="CE27" s="105">
        <v>13885.977871818741</v>
      </c>
      <c r="CF27" s="105">
        <v>2.475792253521127</v>
      </c>
      <c r="CG27" s="105">
        <v>1057.6584507042255</v>
      </c>
      <c r="CH27" s="105">
        <v>20.833176860437685</v>
      </c>
      <c r="CI27" s="105">
        <v>8899.9331547789789</v>
      </c>
      <c r="CJ27" s="105">
        <v>16.405870249802867</v>
      </c>
      <c r="CK27" s="105">
        <v>7008.5877707157842</v>
      </c>
      <c r="CL27" s="105">
        <v>47.700737017307382</v>
      </c>
      <c r="CM27" s="105">
        <v>20377.754853793715</v>
      </c>
      <c r="CN27" s="105">
        <v>35.784154376144329</v>
      </c>
      <c r="CO27" s="105">
        <v>15286.990749488858</v>
      </c>
      <c r="CP27" s="105">
        <v>19.410810574555601</v>
      </c>
      <c r="CQ27" s="105">
        <v>8292.2982774501525</v>
      </c>
      <c r="CR27" s="105">
        <v>4.0635673489524686</v>
      </c>
      <c r="CS27" s="105">
        <v>1735.9559714724946</v>
      </c>
      <c r="CT27" s="105">
        <v>13.02100779707051</v>
      </c>
      <c r="CU27" s="105">
        <v>5562.5745309085214</v>
      </c>
    </row>
    <row r="28" spans="2:99" x14ac:dyDescent="0.25">
      <c r="C28" s="104" t="s">
        <v>193</v>
      </c>
      <c r="D28" s="105">
        <v>0</v>
      </c>
      <c r="E28" s="105">
        <v>0</v>
      </c>
      <c r="F28" s="105">
        <v>0</v>
      </c>
      <c r="G28" s="105">
        <v>0</v>
      </c>
      <c r="H28" s="105">
        <v>11</v>
      </c>
      <c r="I28" s="105">
        <v>8118</v>
      </c>
      <c r="J28" s="105">
        <v>8</v>
      </c>
      <c r="K28" s="105">
        <v>5904</v>
      </c>
      <c r="L28" s="105">
        <v>10</v>
      </c>
      <c r="M28" s="105">
        <v>7380</v>
      </c>
      <c r="N28" s="105">
        <v>7</v>
      </c>
      <c r="O28" s="105">
        <v>5166</v>
      </c>
      <c r="P28" s="105">
        <v>7</v>
      </c>
      <c r="Q28" s="105">
        <v>5166</v>
      </c>
      <c r="R28" s="105">
        <v>11</v>
      </c>
      <c r="S28" s="105">
        <v>8118</v>
      </c>
      <c r="T28" s="105">
        <v>8</v>
      </c>
      <c r="U28" s="105">
        <v>5904</v>
      </c>
      <c r="V28" s="105">
        <v>14</v>
      </c>
      <c r="W28" s="105">
        <v>10332</v>
      </c>
      <c r="X28" s="105">
        <v>12</v>
      </c>
      <c r="Y28" s="105">
        <v>8856</v>
      </c>
      <c r="Z28" s="105">
        <v>15</v>
      </c>
      <c r="AA28" s="105">
        <v>11070</v>
      </c>
      <c r="AB28" s="105">
        <v>11</v>
      </c>
      <c r="AC28" s="105">
        <v>8118</v>
      </c>
      <c r="AD28" s="105">
        <v>15</v>
      </c>
      <c r="AE28" s="105">
        <v>11070</v>
      </c>
      <c r="AF28" s="105">
        <v>12</v>
      </c>
      <c r="AG28" s="105">
        <v>8856</v>
      </c>
      <c r="AH28" s="105">
        <v>20</v>
      </c>
      <c r="AI28" s="105">
        <v>14760</v>
      </c>
      <c r="AJ28" s="105">
        <v>17</v>
      </c>
      <c r="AK28" s="105">
        <v>12546</v>
      </c>
      <c r="AL28" s="105">
        <v>21</v>
      </c>
      <c r="AM28" s="105">
        <v>15498</v>
      </c>
      <c r="AN28" s="105">
        <v>17</v>
      </c>
      <c r="AO28" s="105">
        <v>12546</v>
      </c>
      <c r="AP28" s="105">
        <v>21</v>
      </c>
      <c r="AQ28" s="105">
        <v>15498</v>
      </c>
      <c r="AR28" s="105">
        <v>23</v>
      </c>
      <c r="AS28" s="105">
        <v>16974</v>
      </c>
      <c r="AT28" s="105">
        <v>23</v>
      </c>
      <c r="AU28" s="105">
        <v>16974</v>
      </c>
      <c r="AV28" s="105">
        <v>20</v>
      </c>
      <c r="AW28" s="105">
        <v>14760</v>
      </c>
      <c r="AX28" s="105">
        <v>21</v>
      </c>
      <c r="AY28" s="105">
        <v>15498</v>
      </c>
      <c r="AZ28" s="105">
        <v>20</v>
      </c>
      <c r="BA28" s="105">
        <v>14760</v>
      </c>
      <c r="BB28" s="105">
        <v>27</v>
      </c>
      <c r="BC28" s="105">
        <v>19926</v>
      </c>
      <c r="BD28" s="105">
        <v>34</v>
      </c>
      <c r="BE28" s="105">
        <v>25092</v>
      </c>
      <c r="BF28" s="105">
        <v>23</v>
      </c>
      <c r="BG28" s="105">
        <v>16974</v>
      </c>
      <c r="BH28" s="105">
        <v>45</v>
      </c>
      <c r="BI28" s="105">
        <v>33210</v>
      </c>
      <c r="BJ28" s="105">
        <v>52</v>
      </c>
      <c r="BK28" s="105">
        <v>38376</v>
      </c>
      <c r="BL28" s="105">
        <v>50</v>
      </c>
      <c r="BM28" s="105">
        <v>36900</v>
      </c>
      <c r="BN28" s="105">
        <v>35</v>
      </c>
      <c r="BO28" s="105">
        <v>25830</v>
      </c>
      <c r="BP28" s="105">
        <v>51</v>
      </c>
      <c r="BQ28" s="105">
        <v>37638</v>
      </c>
      <c r="BR28" s="105">
        <v>56</v>
      </c>
      <c r="BS28" s="105">
        <v>41328</v>
      </c>
      <c r="BT28" s="105">
        <v>47</v>
      </c>
      <c r="BU28" s="105">
        <v>34686</v>
      </c>
      <c r="BV28" s="105">
        <v>45</v>
      </c>
      <c r="BW28" s="105">
        <v>33210</v>
      </c>
      <c r="BX28" s="105">
        <v>74.236419230479285</v>
      </c>
      <c r="BY28" s="105">
        <v>54786.477392093715</v>
      </c>
      <c r="BZ28" s="105">
        <v>3.3496290566516826</v>
      </c>
      <c r="CA28" s="105">
        <v>2472.0262438089417</v>
      </c>
      <c r="CB28" s="105">
        <v>50.68858939175734</v>
      </c>
      <c r="CC28" s="105">
        <v>37408.178971116919</v>
      </c>
      <c r="CD28" s="105">
        <v>30.738073879667155</v>
      </c>
      <c r="CE28" s="105">
        <v>22684.698523194362</v>
      </c>
      <c r="CF28" s="105">
        <v>2.3569542253521125</v>
      </c>
      <c r="CG28" s="105">
        <v>1739.4322183098591</v>
      </c>
      <c r="CH28" s="105">
        <v>20.507658471993349</v>
      </c>
      <c r="CI28" s="105">
        <v>15134.651952331091</v>
      </c>
      <c r="CJ28" s="105">
        <v>16.405870249802867</v>
      </c>
      <c r="CK28" s="105">
        <v>12107.532244354516</v>
      </c>
      <c r="CL28" s="105">
        <v>43.677783292956157</v>
      </c>
      <c r="CM28" s="105">
        <v>32234.204070201642</v>
      </c>
      <c r="CN28" s="105">
        <v>31.584136256878566</v>
      </c>
      <c r="CO28" s="105">
        <v>23309.092557576383</v>
      </c>
      <c r="CP28" s="105">
        <v>19.107516659328169</v>
      </c>
      <c r="CQ28" s="105">
        <v>14101.34729458419</v>
      </c>
      <c r="CR28" s="105">
        <v>3.7769256687359047</v>
      </c>
      <c r="CS28" s="105">
        <v>2787.3711435270975</v>
      </c>
      <c r="CT28" s="105">
        <v>12.268348386835221</v>
      </c>
      <c r="CU28" s="105">
        <v>9054.041109484393</v>
      </c>
    </row>
    <row r="29" spans="2:99" x14ac:dyDescent="0.25">
      <c r="C29" s="104" t="s">
        <v>194</v>
      </c>
      <c r="D29" s="105">
        <v>0</v>
      </c>
      <c r="E29" s="105">
        <v>0</v>
      </c>
      <c r="F29" s="105">
        <v>0</v>
      </c>
      <c r="G29" s="105">
        <v>0</v>
      </c>
      <c r="H29" s="105">
        <v>10</v>
      </c>
      <c r="I29" s="105">
        <v>3384</v>
      </c>
      <c r="J29" s="105">
        <v>8</v>
      </c>
      <c r="K29" s="105">
        <v>2707.2</v>
      </c>
      <c r="L29" s="105">
        <v>9</v>
      </c>
      <c r="M29" s="105">
        <v>3045.6</v>
      </c>
      <c r="N29" s="105">
        <v>9</v>
      </c>
      <c r="O29" s="105">
        <v>3045.6</v>
      </c>
      <c r="P29" s="105">
        <v>7</v>
      </c>
      <c r="Q29" s="105">
        <v>2368.7999999999997</v>
      </c>
      <c r="R29" s="105">
        <v>12</v>
      </c>
      <c r="S29" s="105">
        <v>4060.7999999999997</v>
      </c>
      <c r="T29" s="105">
        <v>10</v>
      </c>
      <c r="U29" s="105">
        <v>3384</v>
      </c>
      <c r="V29" s="105">
        <v>14</v>
      </c>
      <c r="W29" s="105">
        <v>4737.5999999999995</v>
      </c>
      <c r="X29" s="105">
        <v>13</v>
      </c>
      <c r="Y29" s="105">
        <v>4399.2</v>
      </c>
      <c r="Z29" s="105">
        <v>13</v>
      </c>
      <c r="AA29" s="105">
        <v>4399.2</v>
      </c>
      <c r="AB29" s="105">
        <v>13</v>
      </c>
      <c r="AC29" s="105">
        <v>4399.2</v>
      </c>
      <c r="AD29" s="105">
        <v>15</v>
      </c>
      <c r="AE29" s="105">
        <v>5076</v>
      </c>
      <c r="AF29" s="105">
        <v>12</v>
      </c>
      <c r="AG29" s="105">
        <v>4060.7999999999997</v>
      </c>
      <c r="AH29" s="105">
        <v>18</v>
      </c>
      <c r="AI29" s="105">
        <v>6091.2</v>
      </c>
      <c r="AJ29" s="105">
        <v>17</v>
      </c>
      <c r="AK29" s="105">
        <v>5752.7999999999993</v>
      </c>
      <c r="AL29" s="105">
        <v>22</v>
      </c>
      <c r="AM29" s="105">
        <v>7444.7999999999993</v>
      </c>
      <c r="AN29" s="105">
        <v>16</v>
      </c>
      <c r="AO29" s="105">
        <v>5414.4</v>
      </c>
      <c r="AP29" s="105">
        <v>19</v>
      </c>
      <c r="AQ29" s="105">
        <v>6429.5999999999995</v>
      </c>
      <c r="AR29" s="105">
        <v>23</v>
      </c>
      <c r="AS29" s="105">
        <v>7783.2</v>
      </c>
      <c r="AT29" s="105">
        <v>25</v>
      </c>
      <c r="AU29" s="105">
        <v>8460</v>
      </c>
      <c r="AV29" s="105">
        <v>22</v>
      </c>
      <c r="AW29" s="105">
        <v>7444.7999999999993</v>
      </c>
      <c r="AX29" s="105">
        <v>21</v>
      </c>
      <c r="AY29" s="105">
        <v>7106.4</v>
      </c>
      <c r="AZ29" s="105">
        <v>21</v>
      </c>
      <c r="BA29" s="105">
        <v>7106.4</v>
      </c>
      <c r="BB29" s="105">
        <v>29</v>
      </c>
      <c r="BC29" s="105">
        <v>9813.5999999999985</v>
      </c>
      <c r="BD29" s="105">
        <v>36</v>
      </c>
      <c r="BE29" s="105">
        <v>12182.4</v>
      </c>
      <c r="BF29" s="105">
        <v>26</v>
      </c>
      <c r="BG29" s="105">
        <v>8798.4</v>
      </c>
      <c r="BH29" s="105">
        <v>48</v>
      </c>
      <c r="BI29" s="105">
        <v>16243.199999999999</v>
      </c>
      <c r="BJ29" s="105">
        <v>54</v>
      </c>
      <c r="BK29" s="105">
        <v>18273.599999999999</v>
      </c>
      <c r="BL29" s="105">
        <v>51</v>
      </c>
      <c r="BM29" s="105">
        <v>17258.399999999998</v>
      </c>
      <c r="BN29" s="105">
        <v>37</v>
      </c>
      <c r="BO29" s="105">
        <v>12520.8</v>
      </c>
      <c r="BP29" s="105">
        <v>53</v>
      </c>
      <c r="BQ29" s="105">
        <v>17935.199999999997</v>
      </c>
      <c r="BR29" s="105">
        <v>59</v>
      </c>
      <c r="BS29" s="105">
        <v>19965.599999999999</v>
      </c>
      <c r="BT29" s="105">
        <v>50</v>
      </c>
      <c r="BU29" s="105">
        <v>16920</v>
      </c>
      <c r="BV29" s="105">
        <v>51</v>
      </c>
      <c r="BW29" s="105">
        <v>17258.399999999998</v>
      </c>
      <c r="BX29" s="105">
        <v>75.923610576626544</v>
      </c>
      <c r="BY29" s="105">
        <v>25692.549819130421</v>
      </c>
      <c r="BZ29" s="105">
        <v>3.4064024304932361</v>
      </c>
      <c r="CA29" s="105">
        <v>1152.726582478911</v>
      </c>
      <c r="CB29" s="105">
        <v>53.889973984920964</v>
      </c>
      <c r="CC29" s="105">
        <v>18236.367196497253</v>
      </c>
      <c r="CD29" s="105">
        <v>31.091385073686318</v>
      </c>
      <c r="CE29" s="105">
        <v>10521.32470893545</v>
      </c>
      <c r="CF29" s="105">
        <v>2.475792253521127</v>
      </c>
      <c r="CG29" s="105">
        <v>837.80809859154931</v>
      </c>
      <c r="CH29" s="105">
        <v>20.34489927777118</v>
      </c>
      <c r="CI29" s="105">
        <v>6884.7139155977666</v>
      </c>
      <c r="CJ29" s="105">
        <v>17.754297941567486</v>
      </c>
      <c r="CK29" s="105">
        <v>6008.0544234264371</v>
      </c>
      <c r="CL29" s="105">
        <v>43.677783292956157</v>
      </c>
      <c r="CM29" s="105">
        <v>14780.561866336362</v>
      </c>
      <c r="CN29" s="105">
        <v>31.752136981649194</v>
      </c>
      <c r="CO29" s="105">
        <v>10744.923154590086</v>
      </c>
      <c r="CP29" s="105">
        <v>20.421790291980372</v>
      </c>
      <c r="CQ29" s="105">
        <v>6910.7338348061576</v>
      </c>
      <c r="CR29" s="105">
        <v>3.9286771464976153</v>
      </c>
      <c r="CS29" s="105">
        <v>1329.464346374793</v>
      </c>
      <c r="CT29" s="105">
        <v>13.547869384235211</v>
      </c>
      <c r="CU29" s="105">
        <v>4584.5989996251956</v>
      </c>
    </row>
    <row r="30" spans="2:99" x14ac:dyDescent="0.25">
      <c r="C30" s="104" t="s">
        <v>195</v>
      </c>
      <c r="D30" s="105">
        <v>0</v>
      </c>
      <c r="E30" s="105">
        <v>0</v>
      </c>
      <c r="F30" s="105">
        <v>0</v>
      </c>
      <c r="G30" s="105">
        <v>0</v>
      </c>
      <c r="H30" s="105">
        <v>10</v>
      </c>
      <c r="I30" s="105">
        <v>1392</v>
      </c>
      <c r="J30" s="105">
        <v>9</v>
      </c>
      <c r="K30" s="105">
        <v>1252.8</v>
      </c>
      <c r="L30" s="105">
        <v>9</v>
      </c>
      <c r="M30" s="105">
        <v>1252.8</v>
      </c>
      <c r="N30" s="105">
        <v>8</v>
      </c>
      <c r="O30" s="105">
        <v>1113.5999999999999</v>
      </c>
      <c r="P30" s="105">
        <v>7</v>
      </c>
      <c r="Q30" s="105">
        <v>974.39999999999986</v>
      </c>
      <c r="R30" s="105">
        <v>12</v>
      </c>
      <c r="S30" s="105">
        <v>1670.3999999999999</v>
      </c>
      <c r="T30" s="105">
        <v>10</v>
      </c>
      <c r="U30" s="105">
        <v>1392</v>
      </c>
      <c r="V30" s="105">
        <v>15</v>
      </c>
      <c r="W30" s="105">
        <v>2088</v>
      </c>
      <c r="X30" s="105">
        <v>13</v>
      </c>
      <c r="Y30" s="105">
        <v>1809.6</v>
      </c>
      <c r="Z30" s="105">
        <v>14</v>
      </c>
      <c r="AA30" s="105">
        <v>1948.7999999999997</v>
      </c>
      <c r="AB30" s="105">
        <v>13</v>
      </c>
      <c r="AC30" s="105">
        <v>1809.6</v>
      </c>
      <c r="AD30" s="105">
        <v>16</v>
      </c>
      <c r="AE30" s="105">
        <v>2227.1999999999998</v>
      </c>
      <c r="AF30" s="105">
        <v>12</v>
      </c>
      <c r="AG30" s="105">
        <v>1670.3999999999999</v>
      </c>
      <c r="AH30" s="105">
        <v>19</v>
      </c>
      <c r="AI30" s="105">
        <v>2644.7999999999997</v>
      </c>
      <c r="AJ30" s="105">
        <v>18</v>
      </c>
      <c r="AK30" s="105">
        <v>2505.6</v>
      </c>
      <c r="AL30" s="105">
        <v>19</v>
      </c>
      <c r="AM30" s="105">
        <v>2644.7999999999997</v>
      </c>
      <c r="AN30" s="105">
        <v>18</v>
      </c>
      <c r="AO30" s="105">
        <v>2505.6</v>
      </c>
      <c r="AP30" s="105">
        <v>20</v>
      </c>
      <c r="AQ30" s="105">
        <v>2784</v>
      </c>
      <c r="AR30" s="105">
        <v>28</v>
      </c>
      <c r="AS30" s="105">
        <v>3897.5999999999995</v>
      </c>
      <c r="AT30" s="105">
        <v>22</v>
      </c>
      <c r="AU30" s="105">
        <v>3062.3999999999996</v>
      </c>
      <c r="AV30" s="105">
        <v>25</v>
      </c>
      <c r="AW30" s="105">
        <v>3479.9999999999995</v>
      </c>
      <c r="AX30" s="105">
        <v>19</v>
      </c>
      <c r="AY30" s="105">
        <v>2644.7999999999997</v>
      </c>
      <c r="AZ30" s="105">
        <v>23</v>
      </c>
      <c r="BA30" s="105">
        <v>3201.6</v>
      </c>
      <c r="BB30" s="105">
        <v>28</v>
      </c>
      <c r="BC30" s="105">
        <v>3897.5999999999995</v>
      </c>
      <c r="BD30" s="105">
        <v>37</v>
      </c>
      <c r="BE30" s="105">
        <v>5150.3999999999996</v>
      </c>
      <c r="BF30" s="105">
        <v>26</v>
      </c>
      <c r="BG30" s="105">
        <v>3619.2</v>
      </c>
      <c r="BH30" s="105">
        <v>48</v>
      </c>
      <c r="BI30" s="105">
        <v>6681.5999999999995</v>
      </c>
      <c r="BJ30" s="105">
        <v>47</v>
      </c>
      <c r="BK30" s="105">
        <v>6542.4</v>
      </c>
      <c r="BL30" s="105">
        <v>45</v>
      </c>
      <c r="BM30" s="105">
        <v>6263.9999999999991</v>
      </c>
      <c r="BN30" s="105">
        <v>34</v>
      </c>
      <c r="BO30" s="105">
        <v>4732.7999999999993</v>
      </c>
      <c r="BP30" s="105">
        <v>56</v>
      </c>
      <c r="BQ30" s="105">
        <v>7795.1999999999989</v>
      </c>
      <c r="BR30" s="105">
        <v>61</v>
      </c>
      <c r="BS30" s="105">
        <v>8491.1999999999989</v>
      </c>
      <c r="BT30" s="105">
        <v>57</v>
      </c>
      <c r="BU30" s="105">
        <v>7934.4</v>
      </c>
      <c r="BV30" s="105">
        <v>51</v>
      </c>
      <c r="BW30" s="105">
        <v>7099.2</v>
      </c>
      <c r="BX30" s="105">
        <v>85.203162980436446</v>
      </c>
      <c r="BY30" s="105">
        <v>11860.280286876752</v>
      </c>
      <c r="BZ30" s="105">
        <v>3.8038160473841134</v>
      </c>
      <c r="CA30" s="105">
        <v>529.49119379586853</v>
      </c>
      <c r="CB30" s="105">
        <v>52.822845787199753</v>
      </c>
      <c r="CC30" s="105">
        <v>7352.940133578205</v>
      </c>
      <c r="CD30" s="105">
        <v>34.271185819858779</v>
      </c>
      <c r="CE30" s="105">
        <v>4770.5490661243421</v>
      </c>
      <c r="CF30" s="105">
        <v>2.2777288732394365</v>
      </c>
      <c r="CG30" s="105">
        <v>317.05985915492954</v>
      </c>
      <c r="CH30" s="105">
        <v>19.531103306660334</v>
      </c>
      <c r="CI30" s="105">
        <v>2718.7295802871181</v>
      </c>
      <c r="CJ30" s="105">
        <v>18.428511787449793</v>
      </c>
      <c r="CK30" s="105">
        <v>2565.2488408130112</v>
      </c>
      <c r="CL30" s="105">
        <v>46.551321667492751</v>
      </c>
      <c r="CM30" s="105">
        <v>6479.9439761149906</v>
      </c>
      <c r="CN30" s="105">
        <v>34.272147853208651</v>
      </c>
      <c r="CO30" s="105">
        <v>4770.6829811666439</v>
      </c>
      <c r="CP30" s="105">
        <v>22.241553783344958</v>
      </c>
      <c r="CQ30" s="105">
        <v>3096.0242866416179</v>
      </c>
      <c r="CR30" s="105">
        <v>4.3670703044758898</v>
      </c>
      <c r="CS30" s="105">
        <v>607.89618638304387</v>
      </c>
      <c r="CT30" s="105">
        <v>13.623135325258742</v>
      </c>
      <c r="CU30" s="105">
        <v>1896.3404372760167</v>
      </c>
    </row>
    <row r="31" spans="2:99" x14ac:dyDescent="0.25">
      <c r="C31" s="104" t="s">
        <v>196</v>
      </c>
      <c r="D31" s="105">
        <v>0</v>
      </c>
      <c r="E31" s="105">
        <v>0</v>
      </c>
      <c r="F31" s="105">
        <v>0</v>
      </c>
      <c r="G31" s="105">
        <v>0</v>
      </c>
      <c r="H31" s="105">
        <v>10</v>
      </c>
      <c r="I31" s="105">
        <v>3408</v>
      </c>
      <c r="J31" s="105">
        <v>8</v>
      </c>
      <c r="K31" s="105">
        <v>2726.4</v>
      </c>
      <c r="L31" s="105">
        <v>10</v>
      </c>
      <c r="M31" s="105">
        <v>3408</v>
      </c>
      <c r="N31" s="105">
        <v>8</v>
      </c>
      <c r="O31" s="105">
        <v>2726.4</v>
      </c>
      <c r="P31" s="105">
        <v>8</v>
      </c>
      <c r="Q31" s="105">
        <v>2726.4</v>
      </c>
      <c r="R31" s="105">
        <v>10</v>
      </c>
      <c r="S31" s="105">
        <v>3408</v>
      </c>
      <c r="T31" s="105">
        <v>10</v>
      </c>
      <c r="U31" s="105">
        <v>3408</v>
      </c>
      <c r="V31" s="105">
        <v>15</v>
      </c>
      <c r="W31" s="105">
        <v>5112</v>
      </c>
      <c r="X31" s="105">
        <v>13</v>
      </c>
      <c r="Y31" s="105">
        <v>4430.4000000000005</v>
      </c>
      <c r="Z31" s="105">
        <v>14</v>
      </c>
      <c r="AA31" s="105">
        <v>4771.2</v>
      </c>
      <c r="AB31" s="105">
        <v>13</v>
      </c>
      <c r="AC31" s="105">
        <v>4430.4000000000005</v>
      </c>
      <c r="AD31" s="105">
        <v>16</v>
      </c>
      <c r="AE31" s="105">
        <v>5452.8</v>
      </c>
      <c r="AF31" s="105">
        <v>11</v>
      </c>
      <c r="AG31" s="105">
        <v>3748.8</v>
      </c>
      <c r="AH31" s="105">
        <v>18</v>
      </c>
      <c r="AI31" s="105">
        <v>6134.4000000000005</v>
      </c>
      <c r="AJ31" s="105">
        <v>17</v>
      </c>
      <c r="AK31" s="105">
        <v>5793.6</v>
      </c>
      <c r="AL31" s="105">
        <v>19</v>
      </c>
      <c r="AM31" s="105">
        <v>6475.2</v>
      </c>
      <c r="AN31" s="105">
        <v>17</v>
      </c>
      <c r="AO31" s="105">
        <v>5793.6</v>
      </c>
      <c r="AP31" s="105">
        <v>19</v>
      </c>
      <c r="AQ31" s="105">
        <v>6475.2</v>
      </c>
      <c r="AR31" s="105">
        <v>23</v>
      </c>
      <c r="AS31" s="105">
        <v>7838.4000000000005</v>
      </c>
      <c r="AT31" s="105">
        <v>24</v>
      </c>
      <c r="AU31" s="105">
        <v>8179.2000000000007</v>
      </c>
      <c r="AV31" s="105">
        <v>21</v>
      </c>
      <c r="AW31" s="105">
        <v>7156.8</v>
      </c>
      <c r="AX31" s="105">
        <v>20</v>
      </c>
      <c r="AY31" s="105">
        <v>6816</v>
      </c>
      <c r="AZ31" s="105">
        <v>24</v>
      </c>
      <c r="BA31" s="105">
        <v>8179.2000000000007</v>
      </c>
      <c r="BB31" s="105">
        <v>29</v>
      </c>
      <c r="BC31" s="105">
        <v>9883.2000000000007</v>
      </c>
      <c r="BD31" s="105">
        <v>33</v>
      </c>
      <c r="BE31" s="105">
        <v>11246.4</v>
      </c>
      <c r="BF31" s="105">
        <v>26</v>
      </c>
      <c r="BG31" s="105">
        <v>8860.8000000000011</v>
      </c>
      <c r="BH31" s="105">
        <v>51</v>
      </c>
      <c r="BI31" s="105">
        <v>17380.8</v>
      </c>
      <c r="BJ31" s="105">
        <v>49</v>
      </c>
      <c r="BK31" s="105">
        <v>16699.2</v>
      </c>
      <c r="BL31" s="105">
        <v>49</v>
      </c>
      <c r="BM31" s="105">
        <v>16699.2</v>
      </c>
      <c r="BN31" s="105">
        <v>35</v>
      </c>
      <c r="BO31" s="105">
        <v>11928</v>
      </c>
      <c r="BP31" s="105">
        <v>51</v>
      </c>
      <c r="BQ31" s="105">
        <v>17380.8</v>
      </c>
      <c r="BR31" s="105">
        <v>63</v>
      </c>
      <c r="BS31" s="105">
        <v>21470.400000000001</v>
      </c>
      <c r="BT31" s="105">
        <v>48</v>
      </c>
      <c r="BU31" s="105">
        <v>16358.400000000001</v>
      </c>
      <c r="BV31" s="105">
        <v>50</v>
      </c>
      <c r="BW31" s="105">
        <v>17040</v>
      </c>
      <c r="BX31" s="105">
        <v>70.018440865111145</v>
      </c>
      <c r="BY31" s="105">
        <v>23862.284646829878</v>
      </c>
      <c r="BZ31" s="105">
        <v>3.1225355612854666</v>
      </c>
      <c r="CA31" s="105">
        <v>1064.1601192860871</v>
      </c>
      <c r="CB31" s="105">
        <v>51.222153490617941</v>
      </c>
      <c r="CC31" s="105">
        <v>17456.509909602595</v>
      </c>
      <c r="CD31" s="105">
        <v>30.738073879667155</v>
      </c>
      <c r="CE31" s="105">
        <v>10475.535578190567</v>
      </c>
      <c r="CF31" s="105">
        <v>2.455985915492958</v>
      </c>
      <c r="CG31" s="105">
        <v>837.00000000000011</v>
      </c>
      <c r="CH31" s="105">
        <v>19.042825723993822</v>
      </c>
      <c r="CI31" s="105">
        <v>6489.7950067370948</v>
      </c>
      <c r="CJ31" s="105">
        <v>15.619287429606837</v>
      </c>
      <c r="CK31" s="105">
        <v>5323.0531560100098</v>
      </c>
      <c r="CL31" s="105">
        <v>49.999567716936653</v>
      </c>
      <c r="CM31" s="105">
        <v>17039.852677932013</v>
      </c>
      <c r="CN31" s="105">
        <v>31.752136981649194</v>
      </c>
      <c r="CO31" s="105">
        <v>10821.128283346046</v>
      </c>
      <c r="CP31" s="105">
        <v>20.017398405010461</v>
      </c>
      <c r="CQ31" s="105">
        <v>6821.9293764275653</v>
      </c>
      <c r="CR31" s="105">
        <v>4.2153188267141797</v>
      </c>
      <c r="CS31" s="105">
        <v>1436.5806561441925</v>
      </c>
      <c r="CT31" s="105">
        <v>13.472603443211684</v>
      </c>
      <c r="CU31" s="105">
        <v>4591.4632534465418</v>
      </c>
    </row>
    <row r="32" spans="2:99" x14ac:dyDescent="0.25">
      <c r="C32" s="104" t="s">
        <v>197</v>
      </c>
      <c r="D32" s="105">
        <v>0</v>
      </c>
      <c r="E32" s="105">
        <v>0</v>
      </c>
      <c r="F32" s="105">
        <v>0</v>
      </c>
      <c r="G32" s="105">
        <v>0</v>
      </c>
      <c r="H32" s="105">
        <v>10</v>
      </c>
      <c r="I32" s="105">
        <v>8400</v>
      </c>
      <c r="J32" s="105">
        <v>7</v>
      </c>
      <c r="K32" s="105">
        <v>5880</v>
      </c>
      <c r="L32" s="105">
        <v>10</v>
      </c>
      <c r="M32" s="105">
        <v>8400</v>
      </c>
      <c r="N32" s="105">
        <v>7</v>
      </c>
      <c r="O32" s="105">
        <v>5880</v>
      </c>
      <c r="P32" s="105">
        <v>7</v>
      </c>
      <c r="Q32" s="105">
        <v>5880</v>
      </c>
      <c r="R32" s="105">
        <v>11</v>
      </c>
      <c r="S32" s="105">
        <v>9240</v>
      </c>
      <c r="T32" s="105">
        <v>9</v>
      </c>
      <c r="U32" s="105">
        <v>7560</v>
      </c>
      <c r="V32" s="105">
        <v>14</v>
      </c>
      <c r="W32" s="105">
        <v>11760</v>
      </c>
      <c r="X32" s="105">
        <v>12</v>
      </c>
      <c r="Y32" s="105">
        <v>10080</v>
      </c>
      <c r="Z32" s="105">
        <v>14</v>
      </c>
      <c r="AA32" s="105">
        <v>11760</v>
      </c>
      <c r="AB32" s="105">
        <v>11</v>
      </c>
      <c r="AC32" s="105">
        <v>9240</v>
      </c>
      <c r="AD32" s="105">
        <v>15</v>
      </c>
      <c r="AE32" s="105">
        <v>12600</v>
      </c>
      <c r="AF32" s="105">
        <v>12</v>
      </c>
      <c r="AG32" s="105">
        <v>10080</v>
      </c>
      <c r="AH32" s="105">
        <v>18</v>
      </c>
      <c r="AI32" s="105">
        <v>15120</v>
      </c>
      <c r="AJ32" s="105">
        <v>16</v>
      </c>
      <c r="AK32" s="105">
        <v>13440</v>
      </c>
      <c r="AL32" s="105">
        <v>18</v>
      </c>
      <c r="AM32" s="105">
        <v>15120</v>
      </c>
      <c r="AN32" s="105">
        <v>19</v>
      </c>
      <c r="AO32" s="105">
        <v>15960</v>
      </c>
      <c r="AP32" s="105">
        <v>19</v>
      </c>
      <c r="AQ32" s="105">
        <v>15960</v>
      </c>
      <c r="AR32" s="105">
        <v>26</v>
      </c>
      <c r="AS32" s="105">
        <v>21840</v>
      </c>
      <c r="AT32" s="105">
        <v>22</v>
      </c>
      <c r="AU32" s="105">
        <v>18480</v>
      </c>
      <c r="AV32" s="105">
        <v>21</v>
      </c>
      <c r="AW32" s="105">
        <v>17640</v>
      </c>
      <c r="AX32" s="105">
        <v>19</v>
      </c>
      <c r="AY32" s="105">
        <v>15960</v>
      </c>
      <c r="AZ32" s="105">
        <v>21</v>
      </c>
      <c r="BA32" s="105">
        <v>17640</v>
      </c>
      <c r="BB32" s="105">
        <v>26</v>
      </c>
      <c r="BC32" s="105">
        <v>21840</v>
      </c>
      <c r="BD32" s="105">
        <v>36</v>
      </c>
      <c r="BE32" s="105">
        <v>30240</v>
      </c>
      <c r="BF32" s="105">
        <v>21</v>
      </c>
      <c r="BG32" s="105">
        <v>17640</v>
      </c>
      <c r="BH32" s="105">
        <v>45</v>
      </c>
      <c r="BI32" s="105">
        <v>37800</v>
      </c>
      <c r="BJ32" s="105">
        <v>50</v>
      </c>
      <c r="BK32" s="105">
        <v>42000</v>
      </c>
      <c r="BL32" s="105">
        <v>50</v>
      </c>
      <c r="BM32" s="105">
        <v>42000</v>
      </c>
      <c r="BN32" s="105">
        <v>36</v>
      </c>
      <c r="BO32" s="105">
        <v>30240</v>
      </c>
      <c r="BP32" s="105">
        <v>53</v>
      </c>
      <c r="BQ32" s="105">
        <v>44520</v>
      </c>
      <c r="BR32" s="105">
        <v>53</v>
      </c>
      <c r="BS32" s="105">
        <v>44520</v>
      </c>
      <c r="BT32" s="105">
        <v>53</v>
      </c>
      <c r="BU32" s="105">
        <v>44520</v>
      </c>
      <c r="BV32" s="105">
        <v>45</v>
      </c>
      <c r="BW32" s="105">
        <v>37800</v>
      </c>
      <c r="BX32" s="105">
        <v>75.923610576626544</v>
      </c>
      <c r="BY32" s="105">
        <v>63775.832884366297</v>
      </c>
      <c r="BZ32" s="105">
        <v>2.895442065919251</v>
      </c>
      <c r="CA32" s="105">
        <v>2432.1713353721707</v>
      </c>
      <c r="CB32" s="105">
        <v>45.886512502011911</v>
      </c>
      <c r="CC32" s="105">
        <v>38544.670501690009</v>
      </c>
      <c r="CD32" s="105">
        <v>28.61820671555218</v>
      </c>
      <c r="CE32" s="105">
        <v>24039.293641063832</v>
      </c>
      <c r="CF32" s="105">
        <v>2.0994718309859155</v>
      </c>
      <c r="CG32" s="105">
        <v>1763.556338028169</v>
      </c>
      <c r="CH32" s="105">
        <v>19.368344112438166</v>
      </c>
      <c r="CI32" s="105">
        <v>16269.409054448059</v>
      </c>
      <c r="CJ32" s="105">
        <v>17.192453069998894</v>
      </c>
      <c r="CK32" s="105">
        <v>14441.660578799072</v>
      </c>
      <c r="CL32" s="105">
        <v>41.953660268234202</v>
      </c>
      <c r="CM32" s="105">
        <v>35241.074625316731</v>
      </c>
      <c r="CN32" s="105">
        <v>29.400126834860369</v>
      </c>
      <c r="CO32" s="105">
        <v>24696.106541282712</v>
      </c>
      <c r="CP32" s="105">
        <v>19.208614631070645</v>
      </c>
      <c r="CQ32" s="105">
        <v>16135.236290099343</v>
      </c>
      <c r="CR32" s="105">
        <v>3.9455384218044722</v>
      </c>
      <c r="CS32" s="105">
        <v>3314.2522743157565</v>
      </c>
      <c r="CT32" s="105">
        <v>13.472603443211684</v>
      </c>
      <c r="CU32" s="105">
        <v>11316.986892297815</v>
      </c>
    </row>
    <row r="33" spans="2:99" x14ac:dyDescent="0.25">
      <c r="C33" s="104" t="s">
        <v>198</v>
      </c>
      <c r="D33" s="105">
        <v>0</v>
      </c>
      <c r="E33" s="105">
        <v>0</v>
      </c>
      <c r="F33" s="105">
        <v>0</v>
      </c>
      <c r="G33" s="105">
        <v>0</v>
      </c>
      <c r="H33" s="105">
        <v>11</v>
      </c>
      <c r="I33" s="105">
        <v>5214</v>
      </c>
      <c r="J33" s="105">
        <v>8</v>
      </c>
      <c r="K33" s="105">
        <v>3792</v>
      </c>
      <c r="L33" s="105">
        <v>10</v>
      </c>
      <c r="M33" s="105">
        <v>4740</v>
      </c>
      <c r="N33" s="105">
        <v>8</v>
      </c>
      <c r="O33" s="105">
        <v>3792</v>
      </c>
      <c r="P33" s="105">
        <v>7</v>
      </c>
      <c r="Q33" s="105">
        <v>3318</v>
      </c>
      <c r="R33" s="105">
        <v>11</v>
      </c>
      <c r="S33" s="105">
        <v>5214</v>
      </c>
      <c r="T33" s="105">
        <v>9</v>
      </c>
      <c r="U33" s="105">
        <v>4266</v>
      </c>
      <c r="V33" s="105">
        <v>14</v>
      </c>
      <c r="W33" s="105">
        <v>6636</v>
      </c>
      <c r="X33" s="105">
        <v>13</v>
      </c>
      <c r="Y33" s="105">
        <v>6162</v>
      </c>
      <c r="Z33" s="105">
        <v>14</v>
      </c>
      <c r="AA33" s="105">
        <v>6636</v>
      </c>
      <c r="AB33" s="105">
        <v>13</v>
      </c>
      <c r="AC33" s="105">
        <v>6162</v>
      </c>
      <c r="AD33" s="105">
        <v>14</v>
      </c>
      <c r="AE33" s="105">
        <v>6636</v>
      </c>
      <c r="AF33" s="105">
        <v>11</v>
      </c>
      <c r="AG33" s="105">
        <v>5214</v>
      </c>
      <c r="AH33" s="105">
        <v>20</v>
      </c>
      <c r="AI33" s="105">
        <v>9480</v>
      </c>
      <c r="AJ33" s="105">
        <v>17</v>
      </c>
      <c r="AK33" s="105">
        <v>8058</v>
      </c>
      <c r="AL33" s="105">
        <v>21</v>
      </c>
      <c r="AM33" s="105">
        <v>9954</v>
      </c>
      <c r="AN33" s="105">
        <v>16</v>
      </c>
      <c r="AO33" s="105">
        <v>7584</v>
      </c>
      <c r="AP33" s="105">
        <v>22</v>
      </c>
      <c r="AQ33" s="105">
        <v>10428</v>
      </c>
      <c r="AR33" s="105">
        <v>27</v>
      </c>
      <c r="AS33" s="105">
        <v>12798</v>
      </c>
      <c r="AT33" s="105">
        <v>21</v>
      </c>
      <c r="AU33" s="105">
        <v>9954</v>
      </c>
      <c r="AV33" s="105">
        <v>23</v>
      </c>
      <c r="AW33" s="105">
        <v>10902</v>
      </c>
      <c r="AX33" s="105">
        <v>18</v>
      </c>
      <c r="AY33" s="105">
        <v>8532</v>
      </c>
      <c r="AZ33" s="105">
        <v>23</v>
      </c>
      <c r="BA33" s="105">
        <v>10902</v>
      </c>
      <c r="BB33" s="105">
        <v>27</v>
      </c>
      <c r="BC33" s="105">
        <v>12798</v>
      </c>
      <c r="BD33" s="105">
        <v>37</v>
      </c>
      <c r="BE33" s="105">
        <v>17538</v>
      </c>
      <c r="BF33" s="105">
        <v>24</v>
      </c>
      <c r="BG33" s="105">
        <v>11376</v>
      </c>
      <c r="BH33" s="105">
        <v>46</v>
      </c>
      <c r="BI33" s="105">
        <v>21804</v>
      </c>
      <c r="BJ33" s="105">
        <v>53</v>
      </c>
      <c r="BK33" s="105">
        <v>25122</v>
      </c>
      <c r="BL33" s="105">
        <v>44</v>
      </c>
      <c r="BM33" s="105">
        <v>20856</v>
      </c>
      <c r="BN33" s="105">
        <v>33</v>
      </c>
      <c r="BO33" s="105">
        <v>15642</v>
      </c>
      <c r="BP33" s="105">
        <v>56</v>
      </c>
      <c r="BQ33" s="105">
        <v>26544</v>
      </c>
      <c r="BR33" s="105">
        <v>60</v>
      </c>
      <c r="BS33" s="105">
        <v>28440</v>
      </c>
      <c r="BT33" s="105">
        <v>51</v>
      </c>
      <c r="BU33" s="105">
        <v>24174</v>
      </c>
      <c r="BV33" s="105">
        <v>50</v>
      </c>
      <c r="BW33" s="105">
        <v>23700</v>
      </c>
      <c r="BX33" s="105">
        <v>80.141588941994684</v>
      </c>
      <c r="BY33" s="105">
        <v>37987.113158505483</v>
      </c>
      <c r="BZ33" s="105">
        <v>3.3496290566516826</v>
      </c>
      <c r="CA33" s="105">
        <v>1587.7241728528975</v>
      </c>
      <c r="CB33" s="105">
        <v>45.352948403151302</v>
      </c>
      <c r="CC33" s="105">
        <v>21497.297543093719</v>
      </c>
      <c r="CD33" s="105">
        <v>34.624497013877942</v>
      </c>
      <c r="CE33" s="105">
        <v>16412.011584578144</v>
      </c>
      <c r="CF33" s="105">
        <v>2.495598591549296</v>
      </c>
      <c r="CG33" s="105">
        <v>1182.9137323943662</v>
      </c>
      <c r="CH33" s="105">
        <v>21.484213637326366</v>
      </c>
      <c r="CI33" s="105">
        <v>10183.517264092698</v>
      </c>
      <c r="CJ33" s="105">
        <v>17.41719101862633</v>
      </c>
      <c r="CK33" s="105">
        <v>8255.7485428288801</v>
      </c>
      <c r="CL33" s="105">
        <v>45.401906317678105</v>
      </c>
      <c r="CM33" s="105">
        <v>21520.503594579422</v>
      </c>
      <c r="CN33" s="105">
        <v>35.784154376144329</v>
      </c>
      <c r="CO33" s="105">
        <v>16961.689174292413</v>
      </c>
      <c r="CP33" s="105">
        <v>19.309712602813121</v>
      </c>
      <c r="CQ33" s="105">
        <v>9152.8037737334198</v>
      </c>
      <c r="CR33" s="105">
        <v>4.1984575514073219</v>
      </c>
      <c r="CS33" s="105">
        <v>1990.0688793670706</v>
      </c>
      <c r="CT33" s="105">
        <v>13.02100779707051</v>
      </c>
      <c r="CU33" s="105">
        <v>6171.9576958114221</v>
      </c>
    </row>
    <row r="34" spans="2:99" x14ac:dyDescent="0.25">
      <c r="C34" s="104" t="s">
        <v>199</v>
      </c>
      <c r="D34" s="105">
        <v>0</v>
      </c>
      <c r="E34" s="105">
        <v>0</v>
      </c>
      <c r="F34" s="105">
        <v>0</v>
      </c>
      <c r="G34" s="105">
        <v>0</v>
      </c>
      <c r="H34" s="105">
        <v>11</v>
      </c>
      <c r="I34" s="105">
        <v>6032.4</v>
      </c>
      <c r="J34" s="105">
        <v>8</v>
      </c>
      <c r="K34" s="105">
        <v>4387.2</v>
      </c>
      <c r="L34" s="105">
        <v>9</v>
      </c>
      <c r="M34" s="105">
        <v>4935.5999999999995</v>
      </c>
      <c r="N34" s="105">
        <v>7</v>
      </c>
      <c r="O34" s="105">
        <v>3838.7999999999997</v>
      </c>
      <c r="P34" s="105">
        <v>7</v>
      </c>
      <c r="Q34" s="105">
        <v>3838.7999999999997</v>
      </c>
      <c r="R34" s="105">
        <v>11</v>
      </c>
      <c r="S34" s="105">
        <v>6032.4</v>
      </c>
      <c r="T34" s="105">
        <v>9</v>
      </c>
      <c r="U34" s="105">
        <v>4935.5999999999995</v>
      </c>
      <c r="V34" s="105">
        <v>15</v>
      </c>
      <c r="W34" s="105">
        <v>8226</v>
      </c>
      <c r="X34" s="105">
        <v>12</v>
      </c>
      <c r="Y34" s="105">
        <v>6580.7999999999993</v>
      </c>
      <c r="Z34" s="105">
        <v>15</v>
      </c>
      <c r="AA34" s="105">
        <v>8226</v>
      </c>
      <c r="AB34" s="105">
        <v>13</v>
      </c>
      <c r="AC34" s="105">
        <v>7129.2</v>
      </c>
      <c r="AD34" s="105">
        <v>14</v>
      </c>
      <c r="AE34" s="105">
        <v>7677.5999999999995</v>
      </c>
      <c r="AF34" s="105">
        <v>12</v>
      </c>
      <c r="AG34" s="105">
        <v>6580.7999999999993</v>
      </c>
      <c r="AH34" s="105">
        <v>20</v>
      </c>
      <c r="AI34" s="105">
        <v>10968</v>
      </c>
      <c r="AJ34" s="105">
        <v>20</v>
      </c>
      <c r="AK34" s="105">
        <v>10968</v>
      </c>
      <c r="AL34" s="105">
        <v>21</v>
      </c>
      <c r="AM34" s="105">
        <v>11516.4</v>
      </c>
      <c r="AN34" s="105">
        <v>16</v>
      </c>
      <c r="AO34" s="105">
        <v>8774.4</v>
      </c>
      <c r="AP34" s="105">
        <v>23</v>
      </c>
      <c r="AQ34" s="105">
        <v>12613.199999999999</v>
      </c>
      <c r="AR34" s="105">
        <v>26</v>
      </c>
      <c r="AS34" s="105">
        <v>14258.4</v>
      </c>
      <c r="AT34" s="105">
        <v>23</v>
      </c>
      <c r="AU34" s="105">
        <v>12613.199999999999</v>
      </c>
      <c r="AV34" s="105">
        <v>24</v>
      </c>
      <c r="AW34" s="105">
        <v>13161.599999999999</v>
      </c>
      <c r="AX34" s="105">
        <v>20</v>
      </c>
      <c r="AY34" s="105">
        <v>10968</v>
      </c>
      <c r="AZ34" s="105">
        <v>22</v>
      </c>
      <c r="BA34" s="105">
        <v>12064.8</v>
      </c>
      <c r="BB34" s="105">
        <v>25</v>
      </c>
      <c r="BC34" s="105">
        <v>13710</v>
      </c>
      <c r="BD34" s="105">
        <v>31</v>
      </c>
      <c r="BE34" s="105">
        <v>17000.399999999998</v>
      </c>
      <c r="BF34" s="105">
        <v>22</v>
      </c>
      <c r="BG34" s="105">
        <v>12064.8</v>
      </c>
      <c r="BH34" s="105">
        <v>47</v>
      </c>
      <c r="BI34" s="105">
        <v>25774.799999999999</v>
      </c>
      <c r="BJ34" s="105">
        <v>49</v>
      </c>
      <c r="BK34" s="105">
        <v>26871.599999999999</v>
      </c>
      <c r="BL34" s="105">
        <v>49</v>
      </c>
      <c r="BM34" s="105">
        <v>26871.599999999999</v>
      </c>
      <c r="BN34" s="105">
        <v>34</v>
      </c>
      <c r="BO34" s="105">
        <v>18645.599999999999</v>
      </c>
      <c r="BP34" s="105">
        <v>50</v>
      </c>
      <c r="BQ34" s="105">
        <v>27420</v>
      </c>
      <c r="BR34" s="105">
        <v>55</v>
      </c>
      <c r="BS34" s="105">
        <v>30162</v>
      </c>
      <c r="BT34" s="105">
        <v>52</v>
      </c>
      <c r="BU34" s="105">
        <v>28516.799999999999</v>
      </c>
      <c r="BV34" s="105">
        <v>45</v>
      </c>
      <c r="BW34" s="105">
        <v>24678</v>
      </c>
      <c r="BX34" s="105">
        <v>67.48765384589025</v>
      </c>
      <c r="BY34" s="105">
        <v>37010.229369086213</v>
      </c>
      <c r="BZ34" s="105">
        <v>3.4631758043347904</v>
      </c>
      <c r="CA34" s="105">
        <v>1899.2056110971989</v>
      </c>
      <c r="CB34" s="105">
        <v>49.621461194036137</v>
      </c>
      <c r="CC34" s="105">
        <v>27212.409318809416</v>
      </c>
      <c r="CD34" s="105">
        <v>30.384762685647992</v>
      </c>
      <c r="CE34" s="105">
        <v>16663.003856809359</v>
      </c>
      <c r="CF34" s="105">
        <v>2.1588908450704225</v>
      </c>
      <c r="CG34" s="105">
        <v>1183.9357394366195</v>
      </c>
      <c r="CH34" s="105">
        <v>18.229029752882976</v>
      </c>
      <c r="CI34" s="105">
        <v>9996.7999164810244</v>
      </c>
      <c r="CJ34" s="105">
        <v>17.641928967253769</v>
      </c>
      <c r="CK34" s="105">
        <v>9674.833845641966</v>
      </c>
      <c r="CL34" s="105">
        <v>46.551321667492751</v>
      </c>
      <c r="CM34" s="105">
        <v>25528.744802453024</v>
      </c>
      <c r="CN34" s="105">
        <v>31.584136256878566</v>
      </c>
      <c r="CO34" s="105">
        <v>17320.740323272206</v>
      </c>
      <c r="CP34" s="105">
        <v>19.613006518040553</v>
      </c>
      <c r="CQ34" s="105">
        <v>10755.772774493438</v>
      </c>
      <c r="CR34" s="105">
        <v>4.350209029169033</v>
      </c>
      <c r="CS34" s="105">
        <v>2385.6546315962973</v>
      </c>
      <c r="CT34" s="105">
        <v>12.494146209905807</v>
      </c>
      <c r="CU34" s="105">
        <v>6851.7897815123442</v>
      </c>
    </row>
    <row r="35" spans="2:99" x14ac:dyDescent="0.25">
      <c r="C35" s="104" t="s">
        <v>200</v>
      </c>
      <c r="D35" s="105">
        <v>0</v>
      </c>
      <c r="E35" s="105">
        <v>0</v>
      </c>
      <c r="F35" s="105">
        <v>0</v>
      </c>
      <c r="G35" s="105">
        <v>0</v>
      </c>
      <c r="H35" s="105">
        <v>11</v>
      </c>
      <c r="I35" s="105">
        <v>5530.7999999999993</v>
      </c>
      <c r="J35" s="105">
        <v>8</v>
      </c>
      <c r="K35" s="105">
        <v>4022.3999999999992</v>
      </c>
      <c r="L35" s="105">
        <v>10</v>
      </c>
      <c r="M35" s="105">
        <v>5027.9999999999991</v>
      </c>
      <c r="N35" s="105">
        <v>7</v>
      </c>
      <c r="O35" s="105">
        <v>3519.5999999999995</v>
      </c>
      <c r="P35" s="105">
        <v>7</v>
      </c>
      <c r="Q35" s="105">
        <v>3519.5999999999995</v>
      </c>
      <c r="R35" s="105">
        <v>12</v>
      </c>
      <c r="S35" s="105">
        <v>6033.5999999999985</v>
      </c>
      <c r="T35" s="105">
        <v>10</v>
      </c>
      <c r="U35" s="105">
        <v>5027.9999999999991</v>
      </c>
      <c r="V35" s="105">
        <v>16</v>
      </c>
      <c r="W35" s="105">
        <v>8044.7999999999984</v>
      </c>
      <c r="X35" s="105">
        <v>13</v>
      </c>
      <c r="Y35" s="105">
        <v>6536.3999999999987</v>
      </c>
      <c r="Z35" s="105">
        <v>15</v>
      </c>
      <c r="AA35" s="105">
        <v>7541.9999999999982</v>
      </c>
      <c r="AB35" s="105">
        <v>13</v>
      </c>
      <c r="AC35" s="105">
        <v>6536.3999999999987</v>
      </c>
      <c r="AD35" s="105">
        <v>15</v>
      </c>
      <c r="AE35" s="105">
        <v>7541.9999999999982</v>
      </c>
      <c r="AF35" s="105">
        <v>11</v>
      </c>
      <c r="AG35" s="105">
        <v>5530.7999999999993</v>
      </c>
      <c r="AH35" s="105">
        <v>17</v>
      </c>
      <c r="AI35" s="105">
        <v>8547.5999999999985</v>
      </c>
      <c r="AJ35" s="105">
        <v>18</v>
      </c>
      <c r="AK35" s="105">
        <v>9050.3999999999978</v>
      </c>
      <c r="AL35" s="105">
        <v>18</v>
      </c>
      <c r="AM35" s="105">
        <v>9050.3999999999978</v>
      </c>
      <c r="AN35" s="105">
        <v>16</v>
      </c>
      <c r="AO35" s="105">
        <v>8044.7999999999984</v>
      </c>
      <c r="AP35" s="105">
        <v>20</v>
      </c>
      <c r="AQ35" s="105">
        <v>10055.999999999998</v>
      </c>
      <c r="AR35" s="105">
        <v>26</v>
      </c>
      <c r="AS35" s="105">
        <v>13072.799999999997</v>
      </c>
      <c r="AT35" s="105">
        <v>25</v>
      </c>
      <c r="AU35" s="105">
        <v>12569.999999999998</v>
      </c>
      <c r="AV35" s="105">
        <v>23</v>
      </c>
      <c r="AW35" s="105">
        <v>11564.399999999998</v>
      </c>
      <c r="AX35" s="105">
        <v>21</v>
      </c>
      <c r="AY35" s="105">
        <v>10558.799999999997</v>
      </c>
      <c r="AZ35" s="105">
        <v>23</v>
      </c>
      <c r="BA35" s="105">
        <v>11564.399999999998</v>
      </c>
      <c r="BB35" s="105">
        <v>29</v>
      </c>
      <c r="BC35" s="105">
        <v>14581.199999999997</v>
      </c>
      <c r="BD35" s="105">
        <v>36</v>
      </c>
      <c r="BE35" s="105">
        <v>18100.799999999996</v>
      </c>
      <c r="BF35" s="105">
        <v>23</v>
      </c>
      <c r="BG35" s="105">
        <v>11564.399999999998</v>
      </c>
      <c r="BH35" s="105">
        <v>44</v>
      </c>
      <c r="BI35" s="105">
        <v>22123.199999999997</v>
      </c>
      <c r="BJ35" s="105">
        <v>46</v>
      </c>
      <c r="BK35" s="105">
        <v>23128.799999999996</v>
      </c>
      <c r="BL35" s="105">
        <v>45</v>
      </c>
      <c r="BM35" s="105">
        <v>22625.999999999996</v>
      </c>
      <c r="BN35" s="105">
        <v>39</v>
      </c>
      <c r="BO35" s="105">
        <v>19609.199999999997</v>
      </c>
      <c r="BP35" s="105">
        <v>52</v>
      </c>
      <c r="BQ35" s="105">
        <v>26145.599999999995</v>
      </c>
      <c r="BR35" s="105">
        <v>57</v>
      </c>
      <c r="BS35" s="105">
        <v>28659.599999999995</v>
      </c>
      <c r="BT35" s="105">
        <v>55</v>
      </c>
      <c r="BU35" s="105">
        <v>27653.999999999993</v>
      </c>
      <c r="BV35" s="105">
        <v>54</v>
      </c>
      <c r="BW35" s="105">
        <v>27151.199999999993</v>
      </c>
      <c r="BX35" s="105">
        <v>70.018440865111145</v>
      </c>
      <c r="BY35" s="105">
        <v>35205.272066977879</v>
      </c>
      <c r="BZ35" s="105">
        <v>3.4631758043347904</v>
      </c>
      <c r="CA35" s="105">
        <v>1741.2847944195323</v>
      </c>
      <c r="CB35" s="105">
        <v>44.285820205430099</v>
      </c>
      <c r="CC35" s="105">
        <v>22266.910399290249</v>
      </c>
      <c r="CD35" s="105">
        <v>30.738073879667155</v>
      </c>
      <c r="CE35" s="105">
        <v>15455.103546696642</v>
      </c>
      <c r="CF35" s="105">
        <v>2.2381161971830985</v>
      </c>
      <c r="CG35" s="105">
        <v>1125.3248239436616</v>
      </c>
      <c r="CH35" s="105">
        <v>21.158695248882029</v>
      </c>
      <c r="CI35" s="105">
        <v>10638.591971137883</v>
      </c>
      <c r="CJ35" s="105">
        <v>15.844025378234274</v>
      </c>
      <c r="CK35" s="105">
        <v>7966.3759601761913</v>
      </c>
      <c r="CL35" s="105">
        <v>47.126029342400059</v>
      </c>
      <c r="CM35" s="105">
        <v>23694.967553358743</v>
      </c>
      <c r="CN35" s="105">
        <v>34.272147853208651</v>
      </c>
      <c r="CO35" s="105">
        <v>17232.035940593305</v>
      </c>
      <c r="CP35" s="105">
        <v>21.736063924632571</v>
      </c>
      <c r="CQ35" s="105">
        <v>10928.892941305254</v>
      </c>
      <c r="CR35" s="105">
        <v>4.3839315797827467</v>
      </c>
      <c r="CS35" s="105">
        <v>2204.2407983147646</v>
      </c>
      <c r="CT35" s="105">
        <v>14.375794735494031</v>
      </c>
      <c r="CU35" s="105">
        <v>7228.1495930063975</v>
      </c>
    </row>
    <row r="36" spans="2:99" x14ac:dyDescent="0.25">
      <c r="C36" s="104" t="s">
        <v>201</v>
      </c>
      <c r="D36" s="105">
        <v>0</v>
      </c>
      <c r="E36" s="105">
        <v>0</v>
      </c>
      <c r="F36" s="105">
        <v>0</v>
      </c>
      <c r="G36" s="105">
        <v>0</v>
      </c>
      <c r="H36" s="105">
        <v>10</v>
      </c>
      <c r="I36" s="105">
        <v>7608</v>
      </c>
      <c r="J36" s="105">
        <v>7</v>
      </c>
      <c r="K36" s="105">
        <v>5325.5999999999995</v>
      </c>
      <c r="L36" s="105">
        <v>9</v>
      </c>
      <c r="M36" s="105">
        <v>6847.2</v>
      </c>
      <c r="N36" s="105">
        <v>7</v>
      </c>
      <c r="O36" s="105">
        <v>5325.5999999999995</v>
      </c>
      <c r="P36" s="105">
        <v>8</v>
      </c>
      <c r="Q36" s="105">
        <v>6086.4</v>
      </c>
      <c r="R36" s="105">
        <v>12</v>
      </c>
      <c r="S36" s="105">
        <v>9129.5999999999985</v>
      </c>
      <c r="T36" s="105">
        <v>9</v>
      </c>
      <c r="U36" s="105">
        <v>6847.2</v>
      </c>
      <c r="V36" s="105">
        <v>15</v>
      </c>
      <c r="W36" s="105">
        <v>11412</v>
      </c>
      <c r="X36" s="105">
        <v>11</v>
      </c>
      <c r="Y36" s="105">
        <v>8368.7999999999993</v>
      </c>
      <c r="Z36" s="105">
        <v>14</v>
      </c>
      <c r="AA36" s="105">
        <v>10651.199999999999</v>
      </c>
      <c r="AB36" s="105">
        <v>13</v>
      </c>
      <c r="AC36" s="105">
        <v>9890.4</v>
      </c>
      <c r="AD36" s="105">
        <v>15</v>
      </c>
      <c r="AE36" s="105">
        <v>11412</v>
      </c>
      <c r="AF36" s="105">
        <v>11</v>
      </c>
      <c r="AG36" s="105">
        <v>8368.7999999999993</v>
      </c>
      <c r="AH36" s="105">
        <v>20</v>
      </c>
      <c r="AI36" s="105">
        <v>15216</v>
      </c>
      <c r="AJ36" s="105">
        <v>19</v>
      </c>
      <c r="AK36" s="105">
        <v>14455.199999999999</v>
      </c>
      <c r="AL36" s="105">
        <v>20</v>
      </c>
      <c r="AM36" s="105">
        <v>15216</v>
      </c>
      <c r="AN36" s="105">
        <v>16</v>
      </c>
      <c r="AO36" s="105">
        <v>12172.8</v>
      </c>
      <c r="AP36" s="105">
        <v>22</v>
      </c>
      <c r="AQ36" s="105">
        <v>16737.599999999999</v>
      </c>
      <c r="AR36" s="105">
        <v>23</v>
      </c>
      <c r="AS36" s="105">
        <v>17498.399999999998</v>
      </c>
      <c r="AT36" s="105">
        <v>22</v>
      </c>
      <c r="AU36" s="105">
        <v>16737.599999999999</v>
      </c>
      <c r="AV36" s="105">
        <v>20</v>
      </c>
      <c r="AW36" s="105">
        <v>15216</v>
      </c>
      <c r="AX36" s="105">
        <v>21</v>
      </c>
      <c r="AY36" s="105">
        <v>15976.8</v>
      </c>
      <c r="AZ36" s="105">
        <v>25</v>
      </c>
      <c r="BA36" s="105">
        <v>19020</v>
      </c>
      <c r="BB36" s="105">
        <v>26</v>
      </c>
      <c r="BC36" s="105">
        <v>19780.8</v>
      </c>
      <c r="BD36" s="105">
        <v>31</v>
      </c>
      <c r="BE36" s="105">
        <v>23584.799999999999</v>
      </c>
      <c r="BF36" s="105">
        <v>22</v>
      </c>
      <c r="BG36" s="105">
        <v>16737.599999999999</v>
      </c>
      <c r="BH36" s="105">
        <v>44</v>
      </c>
      <c r="BI36" s="105">
        <v>33475.199999999997</v>
      </c>
      <c r="BJ36" s="105">
        <v>47</v>
      </c>
      <c r="BK36" s="105">
        <v>35757.599999999999</v>
      </c>
      <c r="BL36" s="105">
        <v>42</v>
      </c>
      <c r="BM36" s="105">
        <v>31953.599999999999</v>
      </c>
      <c r="BN36" s="105">
        <v>37</v>
      </c>
      <c r="BO36" s="105">
        <v>28149.599999999999</v>
      </c>
      <c r="BP36" s="105">
        <v>54</v>
      </c>
      <c r="BQ36" s="105">
        <v>41083.199999999997</v>
      </c>
      <c r="BR36" s="105">
        <v>57</v>
      </c>
      <c r="BS36" s="105">
        <v>43365.599999999999</v>
      </c>
      <c r="BT36" s="105">
        <v>55</v>
      </c>
      <c r="BU36" s="105">
        <v>41844</v>
      </c>
      <c r="BV36" s="105">
        <v>45</v>
      </c>
      <c r="BW36" s="105">
        <v>34236</v>
      </c>
      <c r="BX36" s="105">
        <v>73.392823557405649</v>
      </c>
      <c r="BY36" s="105">
        <v>55837.260162474216</v>
      </c>
      <c r="BZ36" s="105">
        <v>3.2928556828101283</v>
      </c>
      <c r="CA36" s="105">
        <v>2505.2046034819455</v>
      </c>
      <c r="CB36" s="105">
        <v>44.819384304290701</v>
      </c>
      <c r="CC36" s="105">
        <v>34098.587578704362</v>
      </c>
      <c r="CD36" s="105">
        <v>32.151318655743808</v>
      </c>
      <c r="CE36" s="105">
        <v>24460.723233289886</v>
      </c>
      <c r="CF36" s="105">
        <v>2.436179577464789</v>
      </c>
      <c r="CG36" s="105">
        <v>1853.4454225352113</v>
      </c>
      <c r="CH36" s="105">
        <v>17.08971539332779</v>
      </c>
      <c r="CI36" s="105">
        <v>13001.855471243782</v>
      </c>
      <c r="CJ36" s="105">
        <v>16.74297717274402</v>
      </c>
      <c r="CK36" s="105">
        <v>12738.05703302365</v>
      </c>
      <c r="CL36" s="105">
        <v>45.401906317678105</v>
      </c>
      <c r="CM36" s="105">
        <v>34541.770326489503</v>
      </c>
      <c r="CN36" s="105">
        <v>29.064125385319105</v>
      </c>
      <c r="CO36" s="105">
        <v>22111.986593150774</v>
      </c>
      <c r="CP36" s="105">
        <v>17.793243026675967</v>
      </c>
      <c r="CQ36" s="105">
        <v>13537.099294695076</v>
      </c>
      <c r="CR36" s="105">
        <v>4.1141511748730393</v>
      </c>
      <c r="CS36" s="105">
        <v>3130.0462138434082</v>
      </c>
      <c r="CT36" s="105">
        <v>11.741486799670518</v>
      </c>
      <c r="CU36" s="105">
        <v>8932.9231571893306</v>
      </c>
    </row>
    <row r="37" spans="2:99" x14ac:dyDescent="0.25">
      <c r="B37" s="104" t="s">
        <v>128</v>
      </c>
      <c r="C37" s="104" t="s">
        <v>202</v>
      </c>
      <c r="D37" s="105">
        <v>0</v>
      </c>
      <c r="E37" s="105">
        <v>0</v>
      </c>
      <c r="F37" s="105">
        <v>0</v>
      </c>
      <c r="G37" s="105">
        <v>0</v>
      </c>
      <c r="H37" s="105">
        <v>6</v>
      </c>
      <c r="I37" s="105">
        <v>5162.3999999999996</v>
      </c>
      <c r="J37" s="105">
        <v>6</v>
      </c>
      <c r="K37" s="105">
        <v>5162.3999999999996</v>
      </c>
      <c r="L37" s="105">
        <v>9</v>
      </c>
      <c r="M37" s="105">
        <v>7743.5999999999995</v>
      </c>
      <c r="N37" s="105">
        <v>8</v>
      </c>
      <c r="O37" s="105">
        <v>6883.2</v>
      </c>
      <c r="P37" s="105">
        <v>5</v>
      </c>
      <c r="Q37" s="105">
        <v>4302</v>
      </c>
      <c r="R37" s="105">
        <v>8</v>
      </c>
      <c r="S37" s="105">
        <v>6883.2</v>
      </c>
      <c r="T37" s="105">
        <v>10</v>
      </c>
      <c r="U37" s="105">
        <v>8604</v>
      </c>
      <c r="V37" s="105">
        <v>9</v>
      </c>
      <c r="W37" s="105">
        <v>7743.5999999999995</v>
      </c>
      <c r="X37" s="105">
        <v>8</v>
      </c>
      <c r="Y37" s="105">
        <v>6883.2</v>
      </c>
      <c r="Z37" s="105">
        <v>6</v>
      </c>
      <c r="AA37" s="105">
        <v>5162.3999999999996</v>
      </c>
      <c r="AB37" s="105">
        <v>12</v>
      </c>
      <c r="AC37" s="105">
        <v>10324.799999999999</v>
      </c>
      <c r="AD37" s="105">
        <v>13</v>
      </c>
      <c r="AE37" s="105">
        <v>11185.199999999999</v>
      </c>
      <c r="AF37" s="105">
        <v>8</v>
      </c>
      <c r="AG37" s="105">
        <v>6883.2</v>
      </c>
      <c r="AH37" s="105">
        <v>13</v>
      </c>
      <c r="AI37" s="105">
        <v>11185.199999999999</v>
      </c>
      <c r="AJ37" s="105">
        <v>10</v>
      </c>
      <c r="AK37" s="105">
        <v>8604</v>
      </c>
      <c r="AL37" s="105">
        <v>13</v>
      </c>
      <c r="AM37" s="105">
        <v>11185.199999999999</v>
      </c>
      <c r="AN37" s="105">
        <v>14</v>
      </c>
      <c r="AO37" s="105">
        <v>12045.6</v>
      </c>
      <c r="AP37" s="105">
        <v>15</v>
      </c>
      <c r="AQ37" s="105">
        <v>12906</v>
      </c>
      <c r="AR37" s="105">
        <v>10</v>
      </c>
      <c r="AS37" s="105">
        <v>8604</v>
      </c>
      <c r="AT37" s="105">
        <v>18</v>
      </c>
      <c r="AU37" s="105">
        <v>15487.199999999999</v>
      </c>
      <c r="AV37" s="105">
        <v>13</v>
      </c>
      <c r="AW37" s="105">
        <v>11185.199999999999</v>
      </c>
      <c r="AX37" s="105">
        <v>11</v>
      </c>
      <c r="AY37" s="105">
        <v>9464.4</v>
      </c>
      <c r="AZ37" s="105">
        <v>27</v>
      </c>
      <c r="BA37" s="105">
        <v>23230.799999999999</v>
      </c>
      <c r="BB37" s="105">
        <v>20</v>
      </c>
      <c r="BC37" s="105">
        <v>17208</v>
      </c>
      <c r="BD37" s="105">
        <v>16</v>
      </c>
      <c r="BE37" s="105">
        <v>13766.4</v>
      </c>
      <c r="BF37" s="105">
        <v>16</v>
      </c>
      <c r="BG37" s="105">
        <v>13766.4</v>
      </c>
      <c r="BH37" s="105">
        <v>24</v>
      </c>
      <c r="BI37" s="105">
        <v>20649.599999999999</v>
      </c>
      <c r="BJ37" s="105">
        <v>25</v>
      </c>
      <c r="BK37" s="105">
        <v>21510</v>
      </c>
      <c r="BL37" s="105">
        <v>25</v>
      </c>
      <c r="BM37" s="105">
        <v>21510</v>
      </c>
      <c r="BN37" s="105">
        <v>26</v>
      </c>
      <c r="BO37" s="105">
        <v>22370.399999999998</v>
      </c>
      <c r="BP37" s="105">
        <v>26</v>
      </c>
      <c r="BQ37" s="105">
        <v>22370.399999999998</v>
      </c>
      <c r="BR37" s="105">
        <v>39</v>
      </c>
      <c r="BS37" s="105">
        <v>33555.599999999999</v>
      </c>
      <c r="BT37" s="105">
        <v>28</v>
      </c>
      <c r="BU37" s="105">
        <v>24091.200000000001</v>
      </c>
      <c r="BV37" s="105">
        <v>28</v>
      </c>
      <c r="BW37" s="105">
        <v>24091.200000000001</v>
      </c>
      <c r="BX37" s="105">
        <v>42.179783653681412</v>
      </c>
      <c r="BY37" s="105">
        <v>36291.485855627485</v>
      </c>
      <c r="BZ37" s="105">
        <v>3.1225355612854666</v>
      </c>
      <c r="CA37" s="105">
        <v>2686.6295969300154</v>
      </c>
      <c r="CB37" s="105">
        <v>28.812461338472595</v>
      </c>
      <c r="CC37" s="105">
        <v>24790.241735621821</v>
      </c>
      <c r="CD37" s="105">
        <v>12.365891790670695</v>
      </c>
      <c r="CE37" s="105">
        <v>10639.613296693065</v>
      </c>
      <c r="CF37" s="105">
        <v>1.6835387323943662</v>
      </c>
      <c r="CG37" s="105">
        <v>1448.5167253521126</v>
      </c>
      <c r="CH37" s="105">
        <v>12.369698760884878</v>
      </c>
      <c r="CI37" s="105">
        <v>10642.888813865349</v>
      </c>
      <c r="CJ37" s="105">
        <v>7.7534592276465597</v>
      </c>
      <c r="CK37" s="105">
        <v>6671.0763194670999</v>
      </c>
      <c r="CL37" s="105">
        <v>31.034214444995165</v>
      </c>
      <c r="CM37" s="105">
        <v>26701.838108473839</v>
      </c>
      <c r="CN37" s="105">
        <v>14.784063779815497</v>
      </c>
      <c r="CO37" s="105">
        <v>12720.208476153253</v>
      </c>
      <c r="CP37" s="105">
        <v>15.366891704856515</v>
      </c>
      <c r="CQ37" s="105">
        <v>13221.673622858545</v>
      </c>
      <c r="CR37" s="105">
        <v>2.2762721664256569</v>
      </c>
      <c r="CS37" s="105">
        <v>1958.5045719926352</v>
      </c>
      <c r="CT37" s="105">
        <v>11.59095491762346</v>
      </c>
      <c r="CU37" s="105">
        <v>9972.8576111232251</v>
      </c>
    </row>
    <row r="38" spans="2:99" x14ac:dyDescent="0.25">
      <c r="C38" s="104" t="s">
        <v>203</v>
      </c>
      <c r="D38" s="105">
        <v>0</v>
      </c>
      <c r="E38" s="105">
        <v>0</v>
      </c>
      <c r="F38" s="105">
        <v>0</v>
      </c>
      <c r="G38" s="105">
        <v>0</v>
      </c>
      <c r="H38" s="105">
        <v>6</v>
      </c>
      <c r="I38" s="105">
        <v>7452</v>
      </c>
      <c r="J38" s="105">
        <v>5</v>
      </c>
      <c r="K38" s="105">
        <v>6210</v>
      </c>
      <c r="L38" s="105">
        <v>8</v>
      </c>
      <c r="M38" s="105">
        <v>9936</v>
      </c>
      <c r="N38" s="105">
        <v>8</v>
      </c>
      <c r="O38" s="105">
        <v>9936</v>
      </c>
      <c r="P38" s="105">
        <v>4</v>
      </c>
      <c r="Q38" s="105">
        <v>4968</v>
      </c>
      <c r="R38" s="105">
        <v>8</v>
      </c>
      <c r="S38" s="105">
        <v>9936</v>
      </c>
      <c r="T38" s="105">
        <v>11</v>
      </c>
      <c r="U38" s="105">
        <v>13662</v>
      </c>
      <c r="V38" s="105">
        <v>9</v>
      </c>
      <c r="W38" s="105">
        <v>11178</v>
      </c>
      <c r="X38" s="105">
        <v>8</v>
      </c>
      <c r="Y38" s="105">
        <v>9936</v>
      </c>
      <c r="Z38" s="105">
        <v>6</v>
      </c>
      <c r="AA38" s="105">
        <v>7452</v>
      </c>
      <c r="AB38" s="105">
        <v>10</v>
      </c>
      <c r="AC38" s="105">
        <v>12420</v>
      </c>
      <c r="AD38" s="105">
        <v>13</v>
      </c>
      <c r="AE38" s="105">
        <v>16146</v>
      </c>
      <c r="AF38" s="105">
        <v>8</v>
      </c>
      <c r="AG38" s="105">
        <v>9936</v>
      </c>
      <c r="AH38" s="105">
        <v>12</v>
      </c>
      <c r="AI38" s="105">
        <v>14904</v>
      </c>
      <c r="AJ38" s="105">
        <v>9</v>
      </c>
      <c r="AK38" s="105">
        <v>11178</v>
      </c>
      <c r="AL38" s="105">
        <v>12</v>
      </c>
      <c r="AM38" s="105">
        <v>14904</v>
      </c>
      <c r="AN38" s="105">
        <v>12</v>
      </c>
      <c r="AO38" s="105">
        <v>14904</v>
      </c>
      <c r="AP38" s="105">
        <v>15</v>
      </c>
      <c r="AQ38" s="105">
        <v>18630</v>
      </c>
      <c r="AR38" s="105">
        <v>11</v>
      </c>
      <c r="AS38" s="105">
        <v>13662</v>
      </c>
      <c r="AT38" s="105">
        <v>15</v>
      </c>
      <c r="AU38" s="105">
        <v>18630</v>
      </c>
      <c r="AV38" s="105">
        <v>13</v>
      </c>
      <c r="AW38" s="105">
        <v>16146</v>
      </c>
      <c r="AX38" s="105">
        <v>10</v>
      </c>
      <c r="AY38" s="105">
        <v>12420</v>
      </c>
      <c r="AZ38" s="105">
        <v>23</v>
      </c>
      <c r="BA38" s="105">
        <v>28566</v>
      </c>
      <c r="BB38" s="105">
        <v>19</v>
      </c>
      <c r="BC38" s="105">
        <v>23598</v>
      </c>
      <c r="BD38" s="105">
        <v>13</v>
      </c>
      <c r="BE38" s="105">
        <v>16146</v>
      </c>
      <c r="BF38" s="105">
        <v>16</v>
      </c>
      <c r="BG38" s="105">
        <v>19872</v>
      </c>
      <c r="BH38" s="105">
        <v>21</v>
      </c>
      <c r="BI38" s="105">
        <v>26082</v>
      </c>
      <c r="BJ38" s="105">
        <v>20</v>
      </c>
      <c r="BK38" s="105">
        <v>24840</v>
      </c>
      <c r="BL38" s="105">
        <v>21</v>
      </c>
      <c r="BM38" s="105">
        <v>26082</v>
      </c>
      <c r="BN38" s="105">
        <v>25</v>
      </c>
      <c r="BO38" s="105">
        <v>31050</v>
      </c>
      <c r="BP38" s="105">
        <v>27</v>
      </c>
      <c r="BQ38" s="105">
        <v>33534</v>
      </c>
      <c r="BR38" s="105">
        <v>34</v>
      </c>
      <c r="BS38" s="105">
        <v>42228</v>
      </c>
      <c r="BT38" s="105">
        <v>30</v>
      </c>
      <c r="BU38" s="105">
        <v>37260</v>
      </c>
      <c r="BV38" s="105">
        <v>23</v>
      </c>
      <c r="BW38" s="105">
        <v>28566</v>
      </c>
      <c r="BX38" s="105">
        <v>42.179783653681412</v>
      </c>
      <c r="BY38" s="105">
        <v>52387.291297872311</v>
      </c>
      <c r="BZ38" s="105">
        <v>3.0657621874439123</v>
      </c>
      <c r="CA38" s="105">
        <v>3807.6766368053391</v>
      </c>
      <c r="CB38" s="105">
        <v>26.144640844169576</v>
      </c>
      <c r="CC38" s="105">
        <v>32471.643928458612</v>
      </c>
      <c r="CD38" s="105">
        <v>12.012580596651533</v>
      </c>
      <c r="CE38" s="105">
        <v>14919.625101041205</v>
      </c>
      <c r="CF38" s="105">
        <v>1.6439260563380282</v>
      </c>
      <c r="CG38" s="105">
        <v>2041.756161971831</v>
      </c>
      <c r="CH38" s="105">
        <v>11.23038440132969</v>
      </c>
      <c r="CI38" s="105">
        <v>13948.137426451476</v>
      </c>
      <c r="CJ38" s="105">
        <v>7.1916143560779684</v>
      </c>
      <c r="CK38" s="105">
        <v>8931.9850302488376</v>
      </c>
      <c r="CL38" s="105">
        <v>31.608922119902481</v>
      </c>
      <c r="CM38" s="105">
        <v>39258.281272918881</v>
      </c>
      <c r="CN38" s="105">
        <v>13.104056532109192</v>
      </c>
      <c r="CO38" s="105">
        <v>16275.238212879616</v>
      </c>
      <c r="CP38" s="105">
        <v>14.355911987431744</v>
      </c>
      <c r="CQ38" s="105">
        <v>17830.042688390226</v>
      </c>
      <c r="CR38" s="105">
        <v>2.1076594133570898</v>
      </c>
      <c r="CS38" s="105">
        <v>2617.7129913895055</v>
      </c>
      <c r="CT38" s="105">
        <v>10.236167979199937</v>
      </c>
      <c r="CU38" s="105">
        <v>12713.320630166321</v>
      </c>
    </row>
    <row r="39" spans="2:99" x14ac:dyDescent="0.25">
      <c r="C39" s="104" t="s">
        <v>204</v>
      </c>
      <c r="D39" s="105">
        <v>0</v>
      </c>
      <c r="E39" s="105">
        <v>0</v>
      </c>
      <c r="F39" s="105">
        <v>0</v>
      </c>
      <c r="G39" s="105">
        <v>0</v>
      </c>
      <c r="H39" s="105">
        <v>7</v>
      </c>
      <c r="I39" s="105">
        <v>9962.4</v>
      </c>
      <c r="J39" s="105">
        <v>5</v>
      </c>
      <c r="K39" s="105">
        <v>7116</v>
      </c>
      <c r="L39" s="105">
        <v>9</v>
      </c>
      <c r="M39" s="105">
        <v>12808.800000000001</v>
      </c>
      <c r="N39" s="105">
        <v>8</v>
      </c>
      <c r="O39" s="105">
        <v>11385.6</v>
      </c>
      <c r="P39" s="105">
        <v>5</v>
      </c>
      <c r="Q39" s="105">
        <v>7116</v>
      </c>
      <c r="R39" s="105">
        <v>7</v>
      </c>
      <c r="S39" s="105">
        <v>9962.4</v>
      </c>
      <c r="T39" s="105">
        <v>10</v>
      </c>
      <c r="U39" s="105">
        <v>14232</v>
      </c>
      <c r="V39" s="105">
        <v>10</v>
      </c>
      <c r="W39" s="105">
        <v>14232</v>
      </c>
      <c r="X39" s="105">
        <v>7</v>
      </c>
      <c r="Y39" s="105">
        <v>9962.4</v>
      </c>
      <c r="Z39" s="105">
        <v>6</v>
      </c>
      <c r="AA39" s="105">
        <v>8539.2000000000007</v>
      </c>
      <c r="AB39" s="105">
        <v>11</v>
      </c>
      <c r="AC39" s="105">
        <v>15655.2</v>
      </c>
      <c r="AD39" s="105">
        <v>12</v>
      </c>
      <c r="AE39" s="105">
        <v>17078.400000000001</v>
      </c>
      <c r="AF39" s="105">
        <v>7</v>
      </c>
      <c r="AG39" s="105">
        <v>9962.4</v>
      </c>
      <c r="AH39" s="105">
        <v>11</v>
      </c>
      <c r="AI39" s="105">
        <v>15655.2</v>
      </c>
      <c r="AJ39" s="105">
        <v>8</v>
      </c>
      <c r="AK39" s="105">
        <v>11385.6</v>
      </c>
      <c r="AL39" s="105">
        <v>12</v>
      </c>
      <c r="AM39" s="105">
        <v>17078.400000000001</v>
      </c>
      <c r="AN39" s="105">
        <v>13</v>
      </c>
      <c r="AO39" s="105">
        <v>18501.600000000002</v>
      </c>
      <c r="AP39" s="105">
        <v>14</v>
      </c>
      <c r="AQ39" s="105">
        <v>19924.8</v>
      </c>
      <c r="AR39" s="105">
        <v>10</v>
      </c>
      <c r="AS39" s="105">
        <v>14232</v>
      </c>
      <c r="AT39" s="105">
        <v>15</v>
      </c>
      <c r="AU39" s="105">
        <v>21348</v>
      </c>
      <c r="AV39" s="105">
        <v>12</v>
      </c>
      <c r="AW39" s="105">
        <v>17078.400000000001</v>
      </c>
      <c r="AX39" s="105">
        <v>10</v>
      </c>
      <c r="AY39" s="105">
        <v>14232</v>
      </c>
      <c r="AZ39" s="105">
        <v>24</v>
      </c>
      <c r="BA39" s="105">
        <v>34156.800000000003</v>
      </c>
      <c r="BB39" s="105">
        <v>20</v>
      </c>
      <c r="BC39" s="105">
        <v>28464</v>
      </c>
      <c r="BD39" s="105">
        <v>14</v>
      </c>
      <c r="BE39" s="105">
        <v>19924.8</v>
      </c>
      <c r="BF39" s="105">
        <v>15</v>
      </c>
      <c r="BG39" s="105">
        <v>21348</v>
      </c>
      <c r="BH39" s="105">
        <v>19</v>
      </c>
      <c r="BI39" s="105">
        <v>27040.799999999999</v>
      </c>
      <c r="BJ39" s="105">
        <v>21</v>
      </c>
      <c r="BK39" s="105">
        <v>29887.200000000001</v>
      </c>
      <c r="BL39" s="105">
        <v>23</v>
      </c>
      <c r="BM39" s="105">
        <v>32733.600000000002</v>
      </c>
      <c r="BN39" s="105">
        <v>21</v>
      </c>
      <c r="BO39" s="105">
        <v>29887.200000000001</v>
      </c>
      <c r="BP39" s="105">
        <v>24</v>
      </c>
      <c r="BQ39" s="105">
        <v>34156.800000000003</v>
      </c>
      <c r="BR39" s="105">
        <v>36</v>
      </c>
      <c r="BS39" s="105">
        <v>51235.200000000004</v>
      </c>
      <c r="BT39" s="105">
        <v>30</v>
      </c>
      <c r="BU39" s="105">
        <v>42696</v>
      </c>
      <c r="BV39" s="105">
        <v>22</v>
      </c>
      <c r="BW39" s="105">
        <v>31310.400000000001</v>
      </c>
      <c r="BX39" s="105">
        <v>37.961805288313272</v>
      </c>
      <c r="BY39" s="105">
        <v>54027.241286327451</v>
      </c>
      <c r="BZ39" s="105">
        <v>2.7251219443945889</v>
      </c>
      <c r="CA39" s="105">
        <v>3878.3935512623789</v>
      </c>
      <c r="CB39" s="105">
        <v>22.40969215214535</v>
      </c>
      <c r="CC39" s="105">
        <v>31893.473870933263</v>
      </c>
      <c r="CD39" s="105">
        <v>11.65926940263237</v>
      </c>
      <c r="CE39" s="105">
        <v>16593.47221382639</v>
      </c>
      <c r="CF39" s="105">
        <v>1.445862676056338</v>
      </c>
      <c r="CG39" s="105">
        <v>2057.7517605633802</v>
      </c>
      <c r="CH39" s="105">
        <v>10.742106818663183</v>
      </c>
      <c r="CI39" s="105">
        <v>15288.166424321444</v>
      </c>
      <c r="CJ39" s="105">
        <v>6.5174005101956594</v>
      </c>
      <c r="CK39" s="105">
        <v>9275.5644061104631</v>
      </c>
      <c r="CL39" s="105">
        <v>29.310091420273213</v>
      </c>
      <c r="CM39" s="105">
        <v>41714.122109332842</v>
      </c>
      <c r="CN39" s="105">
        <v>11.592050009173517</v>
      </c>
      <c r="CO39" s="105">
        <v>16497.80557305575</v>
      </c>
      <c r="CP39" s="105">
        <v>13.446030241749453</v>
      </c>
      <c r="CQ39" s="105">
        <v>19136.390240057823</v>
      </c>
      <c r="CR39" s="105">
        <v>1.854740283754239</v>
      </c>
      <c r="CS39" s="105">
        <v>2639.6663718390332</v>
      </c>
      <c r="CT39" s="105">
        <v>10.010370156129351</v>
      </c>
      <c r="CU39" s="105">
        <v>14246.758806203294</v>
      </c>
    </row>
    <row r="40" spans="2:99" x14ac:dyDescent="0.25">
      <c r="C40" s="104" t="s">
        <v>205</v>
      </c>
      <c r="D40" s="105">
        <v>0</v>
      </c>
      <c r="E40" s="105">
        <v>0</v>
      </c>
      <c r="F40" s="105">
        <v>0</v>
      </c>
      <c r="G40" s="105">
        <v>0</v>
      </c>
      <c r="H40" s="105">
        <v>6</v>
      </c>
      <c r="I40" s="105">
        <v>4348.7999999999993</v>
      </c>
      <c r="J40" s="105">
        <v>5</v>
      </c>
      <c r="K40" s="105">
        <v>3624</v>
      </c>
      <c r="L40" s="105">
        <v>9</v>
      </c>
      <c r="M40" s="105">
        <v>6523.2</v>
      </c>
      <c r="N40" s="105">
        <v>9</v>
      </c>
      <c r="O40" s="105">
        <v>6523.2</v>
      </c>
      <c r="P40" s="105">
        <v>5</v>
      </c>
      <c r="Q40" s="105">
        <v>3624</v>
      </c>
      <c r="R40" s="105">
        <v>8</v>
      </c>
      <c r="S40" s="105">
        <v>5798.4</v>
      </c>
      <c r="T40" s="105">
        <v>11</v>
      </c>
      <c r="U40" s="105">
        <v>7972.7999999999993</v>
      </c>
      <c r="V40" s="105">
        <v>11</v>
      </c>
      <c r="W40" s="105">
        <v>7972.7999999999993</v>
      </c>
      <c r="X40" s="105">
        <v>8</v>
      </c>
      <c r="Y40" s="105">
        <v>5798.4</v>
      </c>
      <c r="Z40" s="105">
        <v>6</v>
      </c>
      <c r="AA40" s="105">
        <v>4348.7999999999993</v>
      </c>
      <c r="AB40" s="105">
        <v>12</v>
      </c>
      <c r="AC40" s="105">
        <v>8697.5999999999985</v>
      </c>
      <c r="AD40" s="105">
        <v>14</v>
      </c>
      <c r="AE40" s="105">
        <v>10147.199999999999</v>
      </c>
      <c r="AF40" s="105">
        <v>8</v>
      </c>
      <c r="AG40" s="105">
        <v>5798.4</v>
      </c>
      <c r="AH40" s="105">
        <v>12</v>
      </c>
      <c r="AI40" s="105">
        <v>8697.5999999999985</v>
      </c>
      <c r="AJ40" s="105">
        <v>9</v>
      </c>
      <c r="AK40" s="105">
        <v>6523.2</v>
      </c>
      <c r="AL40" s="105">
        <v>12</v>
      </c>
      <c r="AM40" s="105">
        <v>8697.5999999999985</v>
      </c>
      <c r="AN40" s="105">
        <v>13</v>
      </c>
      <c r="AO40" s="105">
        <v>9422.4</v>
      </c>
      <c r="AP40" s="105">
        <v>15</v>
      </c>
      <c r="AQ40" s="105">
        <v>10872</v>
      </c>
      <c r="AR40" s="105">
        <v>11</v>
      </c>
      <c r="AS40" s="105">
        <v>7972.7999999999993</v>
      </c>
      <c r="AT40" s="105">
        <v>16</v>
      </c>
      <c r="AU40" s="105">
        <v>11596.8</v>
      </c>
      <c r="AV40" s="105">
        <v>14</v>
      </c>
      <c r="AW40" s="105">
        <v>10147.199999999999</v>
      </c>
      <c r="AX40" s="105">
        <v>11</v>
      </c>
      <c r="AY40" s="105">
        <v>7972.7999999999993</v>
      </c>
      <c r="AZ40" s="105">
        <v>25</v>
      </c>
      <c r="BA40" s="105">
        <v>18120</v>
      </c>
      <c r="BB40" s="105">
        <v>21</v>
      </c>
      <c r="BC40" s="105">
        <v>15220.8</v>
      </c>
      <c r="BD40" s="105">
        <v>14</v>
      </c>
      <c r="BE40" s="105">
        <v>10147.199999999999</v>
      </c>
      <c r="BF40" s="105">
        <v>19</v>
      </c>
      <c r="BG40" s="105">
        <v>13771.199999999999</v>
      </c>
      <c r="BH40" s="105">
        <v>24</v>
      </c>
      <c r="BI40" s="105">
        <v>17395.199999999997</v>
      </c>
      <c r="BJ40" s="105">
        <v>22</v>
      </c>
      <c r="BK40" s="105">
        <v>15945.599999999999</v>
      </c>
      <c r="BL40" s="105">
        <v>22</v>
      </c>
      <c r="BM40" s="105">
        <v>15945.599999999999</v>
      </c>
      <c r="BN40" s="105">
        <v>24</v>
      </c>
      <c r="BO40" s="105">
        <v>17395.199999999997</v>
      </c>
      <c r="BP40" s="105">
        <v>30</v>
      </c>
      <c r="BQ40" s="105">
        <v>21744</v>
      </c>
      <c r="BR40" s="105">
        <v>34</v>
      </c>
      <c r="BS40" s="105">
        <v>24643.199999999997</v>
      </c>
      <c r="BT40" s="105">
        <v>29</v>
      </c>
      <c r="BU40" s="105">
        <v>21019.199999999997</v>
      </c>
      <c r="BV40" s="105">
        <v>27</v>
      </c>
      <c r="BW40" s="105">
        <v>19569.599999999999</v>
      </c>
      <c r="BX40" s="105">
        <v>48.08495336519681</v>
      </c>
      <c r="BY40" s="105">
        <v>34851.974199094642</v>
      </c>
      <c r="BZ40" s="105">
        <v>3.1225355612854666</v>
      </c>
      <c r="CA40" s="105">
        <v>2263.213774819706</v>
      </c>
      <c r="CB40" s="105">
        <v>25.611076745308971</v>
      </c>
      <c r="CC40" s="105">
        <v>18562.90842499994</v>
      </c>
      <c r="CD40" s="105">
        <v>12.012580596651533</v>
      </c>
      <c r="CE40" s="105">
        <v>8706.7184164530299</v>
      </c>
      <c r="CF40" s="105">
        <v>1.7033450704225352</v>
      </c>
      <c r="CG40" s="105">
        <v>1234.5845070422536</v>
      </c>
      <c r="CH40" s="105">
        <v>10.742106818663183</v>
      </c>
      <c r="CI40" s="105">
        <v>7785.8790221670743</v>
      </c>
      <c r="CJ40" s="105">
        <v>8.2029351249014333</v>
      </c>
      <c r="CK40" s="105">
        <v>5945.4873785285581</v>
      </c>
      <c r="CL40" s="105">
        <v>35.05716816934639</v>
      </c>
      <c r="CM40" s="105">
        <v>25409.435489142263</v>
      </c>
      <c r="CN40" s="105">
        <v>13.440057981650453</v>
      </c>
      <c r="CO40" s="105">
        <v>9741.3540251002469</v>
      </c>
      <c r="CP40" s="105">
        <v>16.175675478796332</v>
      </c>
      <c r="CQ40" s="105">
        <v>11724.129587031581</v>
      </c>
      <c r="CR40" s="105">
        <v>2.2594108911188</v>
      </c>
      <c r="CS40" s="105">
        <v>1637.621013882906</v>
      </c>
      <c r="CT40" s="105">
        <v>11.515688976599931</v>
      </c>
      <c r="CU40" s="105">
        <v>8346.5713702396297</v>
      </c>
    </row>
    <row r="41" spans="2:99" x14ac:dyDescent="0.25">
      <c r="C41" s="104" t="s">
        <v>206</v>
      </c>
      <c r="D41" s="105">
        <v>0</v>
      </c>
      <c r="E41" s="105">
        <v>0</v>
      </c>
      <c r="F41" s="105">
        <v>0</v>
      </c>
      <c r="G41" s="105">
        <v>0</v>
      </c>
      <c r="H41" s="105">
        <v>7</v>
      </c>
      <c r="I41" s="105">
        <v>4620</v>
      </c>
      <c r="J41" s="105">
        <v>6</v>
      </c>
      <c r="K41" s="105">
        <v>3960</v>
      </c>
      <c r="L41" s="105">
        <v>9</v>
      </c>
      <c r="M41" s="105">
        <v>5940</v>
      </c>
      <c r="N41" s="105">
        <v>9</v>
      </c>
      <c r="O41" s="105">
        <v>5940</v>
      </c>
      <c r="P41" s="105">
        <v>5</v>
      </c>
      <c r="Q41" s="105">
        <v>3300</v>
      </c>
      <c r="R41" s="105">
        <v>8</v>
      </c>
      <c r="S41" s="105">
        <v>5280</v>
      </c>
      <c r="T41" s="105">
        <v>11</v>
      </c>
      <c r="U41" s="105">
        <v>7260</v>
      </c>
      <c r="V41" s="105">
        <v>10</v>
      </c>
      <c r="W41" s="105">
        <v>6600</v>
      </c>
      <c r="X41" s="105">
        <v>8</v>
      </c>
      <c r="Y41" s="105">
        <v>5280</v>
      </c>
      <c r="Z41" s="105">
        <v>6</v>
      </c>
      <c r="AA41" s="105">
        <v>3960</v>
      </c>
      <c r="AB41" s="105">
        <v>13</v>
      </c>
      <c r="AC41" s="105">
        <v>8580</v>
      </c>
      <c r="AD41" s="105">
        <v>13</v>
      </c>
      <c r="AE41" s="105">
        <v>8580</v>
      </c>
      <c r="AF41" s="105">
        <v>8</v>
      </c>
      <c r="AG41" s="105">
        <v>5280</v>
      </c>
      <c r="AH41" s="105">
        <v>12</v>
      </c>
      <c r="AI41" s="105">
        <v>7920</v>
      </c>
      <c r="AJ41" s="105">
        <v>10</v>
      </c>
      <c r="AK41" s="105">
        <v>6600</v>
      </c>
      <c r="AL41" s="105">
        <v>14</v>
      </c>
      <c r="AM41" s="105">
        <v>9240</v>
      </c>
      <c r="AN41" s="105">
        <v>13</v>
      </c>
      <c r="AO41" s="105">
        <v>8580</v>
      </c>
      <c r="AP41" s="105">
        <v>14</v>
      </c>
      <c r="AQ41" s="105">
        <v>9240</v>
      </c>
      <c r="AR41" s="105">
        <v>11</v>
      </c>
      <c r="AS41" s="105">
        <v>7260</v>
      </c>
      <c r="AT41" s="105">
        <v>15</v>
      </c>
      <c r="AU41" s="105">
        <v>9900</v>
      </c>
      <c r="AV41" s="105">
        <v>15</v>
      </c>
      <c r="AW41" s="105">
        <v>9900</v>
      </c>
      <c r="AX41" s="105">
        <v>10</v>
      </c>
      <c r="AY41" s="105">
        <v>6600</v>
      </c>
      <c r="AZ41" s="105">
        <v>26</v>
      </c>
      <c r="BA41" s="105">
        <v>17160</v>
      </c>
      <c r="BB41" s="105">
        <v>22</v>
      </c>
      <c r="BC41" s="105">
        <v>14520</v>
      </c>
      <c r="BD41" s="105">
        <v>14</v>
      </c>
      <c r="BE41" s="105">
        <v>9240</v>
      </c>
      <c r="BF41" s="105">
        <v>16</v>
      </c>
      <c r="BG41" s="105">
        <v>10560</v>
      </c>
      <c r="BH41" s="105">
        <v>24</v>
      </c>
      <c r="BI41" s="105">
        <v>15840</v>
      </c>
      <c r="BJ41" s="105">
        <v>23</v>
      </c>
      <c r="BK41" s="105">
        <v>15180</v>
      </c>
      <c r="BL41" s="105">
        <v>24</v>
      </c>
      <c r="BM41" s="105">
        <v>15840</v>
      </c>
      <c r="BN41" s="105">
        <v>26</v>
      </c>
      <c r="BO41" s="105">
        <v>17160</v>
      </c>
      <c r="BP41" s="105">
        <v>27</v>
      </c>
      <c r="BQ41" s="105">
        <v>17820</v>
      </c>
      <c r="BR41" s="105">
        <v>38</v>
      </c>
      <c r="BS41" s="105">
        <v>25080</v>
      </c>
      <c r="BT41" s="105">
        <v>33</v>
      </c>
      <c r="BU41" s="105">
        <v>21780</v>
      </c>
      <c r="BV41" s="105">
        <v>29</v>
      </c>
      <c r="BW41" s="105">
        <v>19140</v>
      </c>
      <c r="BX41" s="105">
        <v>42.179783653681412</v>
      </c>
      <c r="BY41" s="105">
        <v>27838.657211429731</v>
      </c>
      <c r="BZ41" s="105">
        <v>3.0089888136023588</v>
      </c>
      <c r="CA41" s="105">
        <v>1985.9326169775568</v>
      </c>
      <c r="CB41" s="105">
        <v>27.211769041890783</v>
      </c>
      <c r="CC41" s="105">
        <v>17959.767567647916</v>
      </c>
      <c r="CD41" s="105">
        <v>14.485758954785672</v>
      </c>
      <c r="CE41" s="105">
        <v>9560.6009101585423</v>
      </c>
      <c r="CF41" s="105">
        <v>1.5448943661971832</v>
      </c>
      <c r="CG41" s="105">
        <v>1019.6302816901409</v>
      </c>
      <c r="CH41" s="105">
        <v>10.904866012885353</v>
      </c>
      <c r="CI41" s="105">
        <v>7197.2115685043336</v>
      </c>
      <c r="CJ41" s="105">
        <v>7.1916143560779684</v>
      </c>
      <c r="CK41" s="105">
        <v>4746.4654750114587</v>
      </c>
      <c r="CL41" s="105">
        <v>29.884799095180529</v>
      </c>
      <c r="CM41" s="105">
        <v>19723.967402819151</v>
      </c>
      <c r="CN41" s="105">
        <v>12.76805508256793</v>
      </c>
      <c r="CO41" s="105">
        <v>8426.9163544948333</v>
      </c>
      <c r="CP41" s="105">
        <v>15.569087648341469</v>
      </c>
      <c r="CQ41" s="105">
        <v>10275.59784790537</v>
      </c>
      <c r="CR41" s="105">
        <v>2.3099947170393702</v>
      </c>
      <c r="CS41" s="105">
        <v>1524.5965132459844</v>
      </c>
      <c r="CT41" s="105">
        <v>10.988827389435228</v>
      </c>
      <c r="CU41" s="105">
        <v>7252.6260770272502</v>
      </c>
    </row>
    <row r="42" spans="2:99" x14ac:dyDescent="0.25">
      <c r="C42" s="104" t="s">
        <v>207</v>
      </c>
      <c r="D42" s="105">
        <v>0</v>
      </c>
      <c r="E42" s="105">
        <v>0</v>
      </c>
      <c r="F42" s="105">
        <v>0</v>
      </c>
      <c r="G42" s="105">
        <v>0</v>
      </c>
      <c r="H42" s="105">
        <v>6</v>
      </c>
      <c r="I42" s="105">
        <v>5076</v>
      </c>
      <c r="J42" s="105">
        <v>6</v>
      </c>
      <c r="K42" s="105">
        <v>5076</v>
      </c>
      <c r="L42" s="105">
        <v>9</v>
      </c>
      <c r="M42" s="105">
        <v>7614</v>
      </c>
      <c r="N42" s="105">
        <v>8</v>
      </c>
      <c r="O42" s="105">
        <v>6768</v>
      </c>
      <c r="P42" s="105">
        <v>5</v>
      </c>
      <c r="Q42" s="105">
        <v>4230</v>
      </c>
      <c r="R42" s="105">
        <v>9</v>
      </c>
      <c r="S42" s="105">
        <v>7614</v>
      </c>
      <c r="T42" s="105">
        <v>12</v>
      </c>
      <c r="U42" s="105">
        <v>10152</v>
      </c>
      <c r="V42" s="105">
        <v>10</v>
      </c>
      <c r="W42" s="105">
        <v>8460</v>
      </c>
      <c r="X42" s="105">
        <v>7</v>
      </c>
      <c r="Y42" s="105">
        <v>5922</v>
      </c>
      <c r="Z42" s="105">
        <v>7</v>
      </c>
      <c r="AA42" s="105">
        <v>5922</v>
      </c>
      <c r="AB42" s="105">
        <v>11</v>
      </c>
      <c r="AC42" s="105">
        <v>9306</v>
      </c>
      <c r="AD42" s="105">
        <v>14</v>
      </c>
      <c r="AE42" s="105">
        <v>11844</v>
      </c>
      <c r="AF42" s="105">
        <v>7</v>
      </c>
      <c r="AG42" s="105">
        <v>5922</v>
      </c>
      <c r="AH42" s="105">
        <v>13</v>
      </c>
      <c r="AI42" s="105">
        <v>10998</v>
      </c>
      <c r="AJ42" s="105">
        <v>9</v>
      </c>
      <c r="AK42" s="105">
        <v>7614</v>
      </c>
      <c r="AL42" s="105">
        <v>14</v>
      </c>
      <c r="AM42" s="105">
        <v>11844</v>
      </c>
      <c r="AN42" s="105">
        <v>14</v>
      </c>
      <c r="AO42" s="105">
        <v>11844</v>
      </c>
      <c r="AP42" s="105">
        <v>14</v>
      </c>
      <c r="AQ42" s="105">
        <v>11844</v>
      </c>
      <c r="AR42" s="105">
        <v>10</v>
      </c>
      <c r="AS42" s="105">
        <v>8460</v>
      </c>
      <c r="AT42" s="105">
        <v>16</v>
      </c>
      <c r="AU42" s="105">
        <v>13536</v>
      </c>
      <c r="AV42" s="105">
        <v>13</v>
      </c>
      <c r="AW42" s="105">
        <v>10998</v>
      </c>
      <c r="AX42" s="105">
        <v>10</v>
      </c>
      <c r="AY42" s="105">
        <v>8460</v>
      </c>
      <c r="AZ42" s="105">
        <v>25</v>
      </c>
      <c r="BA42" s="105">
        <v>21150</v>
      </c>
      <c r="BB42" s="105">
        <v>20</v>
      </c>
      <c r="BC42" s="105">
        <v>16920</v>
      </c>
      <c r="BD42" s="105">
        <v>13</v>
      </c>
      <c r="BE42" s="105">
        <v>10998</v>
      </c>
      <c r="BF42" s="105">
        <v>16</v>
      </c>
      <c r="BG42" s="105">
        <v>13536</v>
      </c>
      <c r="BH42" s="105">
        <v>20</v>
      </c>
      <c r="BI42" s="105">
        <v>16920</v>
      </c>
      <c r="BJ42" s="105">
        <v>23</v>
      </c>
      <c r="BK42" s="105">
        <v>19458</v>
      </c>
      <c r="BL42" s="105">
        <v>24</v>
      </c>
      <c r="BM42" s="105">
        <v>20304</v>
      </c>
      <c r="BN42" s="105">
        <v>25</v>
      </c>
      <c r="BO42" s="105">
        <v>21150</v>
      </c>
      <c r="BP42" s="105">
        <v>30</v>
      </c>
      <c r="BQ42" s="105">
        <v>25380</v>
      </c>
      <c r="BR42" s="105">
        <v>39</v>
      </c>
      <c r="BS42" s="105">
        <v>32994</v>
      </c>
      <c r="BT42" s="105">
        <v>27</v>
      </c>
      <c r="BU42" s="105">
        <v>22842</v>
      </c>
      <c r="BV42" s="105">
        <v>24</v>
      </c>
      <c r="BW42" s="105">
        <v>20304</v>
      </c>
      <c r="BX42" s="105">
        <v>48.08495336519681</v>
      </c>
      <c r="BY42" s="105">
        <v>40679.870546956503</v>
      </c>
      <c r="BZ42" s="105">
        <v>2.895442065919251</v>
      </c>
      <c r="CA42" s="105">
        <v>2449.5439877676863</v>
      </c>
      <c r="CB42" s="105">
        <v>26.144640844169576</v>
      </c>
      <c r="CC42" s="105">
        <v>22118.366154167463</v>
      </c>
      <c r="CD42" s="105">
        <v>13.425825372728184</v>
      </c>
      <c r="CE42" s="105">
        <v>11358.248265328044</v>
      </c>
      <c r="CF42" s="105">
        <v>1.5448943661971832</v>
      </c>
      <c r="CG42" s="105">
        <v>1306.980633802817</v>
      </c>
      <c r="CH42" s="105">
        <v>11.555902789774031</v>
      </c>
      <c r="CI42" s="105">
        <v>9776.2937601488302</v>
      </c>
      <c r="CJ42" s="105">
        <v>8.0905661505877156</v>
      </c>
      <c r="CK42" s="105">
        <v>6844.6189633972072</v>
      </c>
      <c r="CL42" s="105">
        <v>31.608922119902481</v>
      </c>
      <c r="CM42" s="105">
        <v>26741.148113437499</v>
      </c>
      <c r="CN42" s="105">
        <v>14.448062330274238</v>
      </c>
      <c r="CO42" s="105">
        <v>12223.060731412006</v>
      </c>
      <c r="CP42" s="105">
        <v>14.254814015689266</v>
      </c>
      <c r="CQ42" s="105">
        <v>12059.57265727312</v>
      </c>
      <c r="CR42" s="105">
        <v>2.2256883405050867</v>
      </c>
      <c r="CS42" s="105">
        <v>1882.9323360673034</v>
      </c>
      <c r="CT42" s="105">
        <v>10.838295507388169</v>
      </c>
      <c r="CU42" s="105">
        <v>9169.1979992503911</v>
      </c>
    </row>
    <row r="43" spans="2:99" x14ac:dyDescent="0.25">
      <c r="C43" s="104" t="s">
        <v>208</v>
      </c>
      <c r="D43" s="105">
        <v>0</v>
      </c>
      <c r="E43" s="105">
        <v>0</v>
      </c>
      <c r="F43" s="105">
        <v>0</v>
      </c>
      <c r="G43" s="105">
        <v>0</v>
      </c>
      <c r="H43" s="105">
        <v>6</v>
      </c>
      <c r="I43" s="105">
        <v>6134.4</v>
      </c>
      <c r="J43" s="105">
        <v>5</v>
      </c>
      <c r="K43" s="105">
        <v>5112</v>
      </c>
      <c r="L43" s="105">
        <v>8</v>
      </c>
      <c r="M43" s="105">
        <v>8179.2</v>
      </c>
      <c r="N43" s="105">
        <v>9</v>
      </c>
      <c r="O43" s="105">
        <v>9201.6</v>
      </c>
      <c r="P43" s="105">
        <v>4</v>
      </c>
      <c r="Q43" s="105">
        <v>4089.6</v>
      </c>
      <c r="R43" s="105">
        <v>8</v>
      </c>
      <c r="S43" s="105">
        <v>8179.2</v>
      </c>
      <c r="T43" s="105">
        <v>11</v>
      </c>
      <c r="U43" s="105">
        <v>11246.4</v>
      </c>
      <c r="V43" s="105">
        <v>9</v>
      </c>
      <c r="W43" s="105">
        <v>9201.6</v>
      </c>
      <c r="X43" s="105">
        <v>8</v>
      </c>
      <c r="Y43" s="105">
        <v>8179.2</v>
      </c>
      <c r="Z43" s="105">
        <v>7</v>
      </c>
      <c r="AA43" s="105">
        <v>7156.8</v>
      </c>
      <c r="AB43" s="105">
        <v>12</v>
      </c>
      <c r="AC43" s="105">
        <v>12268.8</v>
      </c>
      <c r="AD43" s="105">
        <v>13</v>
      </c>
      <c r="AE43" s="105">
        <v>13291.199999999999</v>
      </c>
      <c r="AF43" s="105">
        <v>8</v>
      </c>
      <c r="AG43" s="105">
        <v>8179.2</v>
      </c>
      <c r="AH43" s="105">
        <v>12</v>
      </c>
      <c r="AI43" s="105">
        <v>12268.8</v>
      </c>
      <c r="AJ43" s="105">
        <v>9</v>
      </c>
      <c r="AK43" s="105">
        <v>9201.6</v>
      </c>
      <c r="AL43" s="105">
        <v>12</v>
      </c>
      <c r="AM43" s="105">
        <v>12268.8</v>
      </c>
      <c r="AN43" s="105">
        <v>13</v>
      </c>
      <c r="AO43" s="105">
        <v>13291.199999999999</v>
      </c>
      <c r="AP43" s="105">
        <v>14</v>
      </c>
      <c r="AQ43" s="105">
        <v>14313.6</v>
      </c>
      <c r="AR43" s="105">
        <v>11</v>
      </c>
      <c r="AS43" s="105">
        <v>11246.4</v>
      </c>
      <c r="AT43" s="105">
        <v>17</v>
      </c>
      <c r="AU43" s="105">
        <v>17380.8</v>
      </c>
      <c r="AV43" s="105">
        <v>13</v>
      </c>
      <c r="AW43" s="105">
        <v>13291.199999999999</v>
      </c>
      <c r="AX43" s="105">
        <v>10</v>
      </c>
      <c r="AY43" s="105">
        <v>10224</v>
      </c>
      <c r="AZ43" s="105">
        <v>24</v>
      </c>
      <c r="BA43" s="105">
        <v>24537.599999999999</v>
      </c>
      <c r="BB43" s="105">
        <v>21</v>
      </c>
      <c r="BC43" s="105">
        <v>21470.399999999998</v>
      </c>
      <c r="BD43" s="105">
        <v>13</v>
      </c>
      <c r="BE43" s="105">
        <v>13291.199999999999</v>
      </c>
      <c r="BF43" s="105">
        <v>17</v>
      </c>
      <c r="BG43" s="105">
        <v>17380.8</v>
      </c>
      <c r="BH43" s="105">
        <v>22</v>
      </c>
      <c r="BI43" s="105">
        <v>22492.799999999999</v>
      </c>
      <c r="BJ43" s="105">
        <v>21</v>
      </c>
      <c r="BK43" s="105">
        <v>21470.399999999998</v>
      </c>
      <c r="BL43" s="105">
        <v>23</v>
      </c>
      <c r="BM43" s="105">
        <v>23515.200000000001</v>
      </c>
      <c r="BN43" s="105">
        <v>22</v>
      </c>
      <c r="BO43" s="105">
        <v>22492.799999999999</v>
      </c>
      <c r="BP43" s="105">
        <v>29</v>
      </c>
      <c r="BQ43" s="105">
        <v>29649.599999999999</v>
      </c>
      <c r="BR43" s="105">
        <v>33</v>
      </c>
      <c r="BS43" s="105">
        <v>33739.199999999997</v>
      </c>
      <c r="BT43" s="105">
        <v>30</v>
      </c>
      <c r="BU43" s="105">
        <v>30672</v>
      </c>
      <c r="BV43" s="105">
        <v>28</v>
      </c>
      <c r="BW43" s="105">
        <v>28627.200000000001</v>
      </c>
      <c r="BX43" s="105">
        <v>41.336187980607782</v>
      </c>
      <c r="BY43" s="105">
        <v>42262.118591373393</v>
      </c>
      <c r="BZ43" s="105">
        <v>2.9522154397608045</v>
      </c>
      <c r="CA43" s="105">
        <v>3018.3450656114464</v>
      </c>
      <c r="CB43" s="105">
        <v>27.745333140751384</v>
      </c>
      <c r="CC43" s="105">
        <v>28366.828603104215</v>
      </c>
      <c r="CD43" s="105">
        <v>12.719202984689858</v>
      </c>
      <c r="CE43" s="105">
        <v>13004.11313154691</v>
      </c>
      <c r="CF43" s="105">
        <v>1.6637323943661972</v>
      </c>
      <c r="CG43" s="105">
        <v>1701</v>
      </c>
      <c r="CH43" s="105">
        <v>10.253829235996674</v>
      </c>
      <c r="CI43" s="105">
        <v>10483.515010883</v>
      </c>
      <c r="CJ43" s="105">
        <v>7.8658282019602783</v>
      </c>
      <c r="CK43" s="105">
        <v>8042.0227536841885</v>
      </c>
      <c r="CL43" s="105">
        <v>29.310091420273213</v>
      </c>
      <c r="CM43" s="105">
        <v>29966.637468087334</v>
      </c>
      <c r="CN43" s="105">
        <v>12.93605580733856</v>
      </c>
      <c r="CO43" s="105">
        <v>13225.823457422943</v>
      </c>
      <c r="CP43" s="105">
        <v>14.86140184614413</v>
      </c>
      <c r="CQ43" s="105">
        <v>15194.297247497758</v>
      </c>
      <c r="CR43" s="105">
        <v>2.1076594133570898</v>
      </c>
      <c r="CS43" s="105">
        <v>2154.8709842162884</v>
      </c>
      <c r="CT43" s="105">
        <v>12.268348386835221</v>
      </c>
      <c r="CU43" s="105">
        <v>12543.15939070033</v>
      </c>
    </row>
    <row r="44" spans="2:99" x14ac:dyDescent="0.25">
      <c r="C44" s="104" t="s">
        <v>209</v>
      </c>
      <c r="D44" s="105">
        <v>0</v>
      </c>
      <c r="E44" s="105">
        <v>0</v>
      </c>
      <c r="F44" s="105">
        <v>0</v>
      </c>
      <c r="G44" s="105">
        <v>0</v>
      </c>
      <c r="H44" s="105">
        <v>6</v>
      </c>
      <c r="I44" s="105">
        <v>6134.4</v>
      </c>
      <c r="J44" s="105">
        <v>5</v>
      </c>
      <c r="K44" s="105">
        <v>5112</v>
      </c>
      <c r="L44" s="105">
        <v>8</v>
      </c>
      <c r="M44" s="105">
        <v>8179.2</v>
      </c>
      <c r="N44" s="105">
        <v>8</v>
      </c>
      <c r="O44" s="105">
        <v>8179.2</v>
      </c>
      <c r="P44" s="105">
        <v>5</v>
      </c>
      <c r="Q44" s="105">
        <v>5112</v>
      </c>
      <c r="R44" s="105">
        <v>8</v>
      </c>
      <c r="S44" s="105">
        <v>8179.2</v>
      </c>
      <c r="T44" s="105">
        <v>11</v>
      </c>
      <c r="U44" s="105">
        <v>11246.4</v>
      </c>
      <c r="V44" s="105">
        <v>9</v>
      </c>
      <c r="W44" s="105">
        <v>9201.6</v>
      </c>
      <c r="X44" s="105">
        <v>8</v>
      </c>
      <c r="Y44" s="105">
        <v>8179.2</v>
      </c>
      <c r="Z44" s="105">
        <v>7</v>
      </c>
      <c r="AA44" s="105">
        <v>7156.8</v>
      </c>
      <c r="AB44" s="105">
        <v>11</v>
      </c>
      <c r="AC44" s="105">
        <v>11246.4</v>
      </c>
      <c r="AD44" s="105">
        <v>13</v>
      </c>
      <c r="AE44" s="105">
        <v>13291.199999999999</v>
      </c>
      <c r="AF44" s="105">
        <v>8</v>
      </c>
      <c r="AG44" s="105">
        <v>8179.2</v>
      </c>
      <c r="AH44" s="105">
        <v>12</v>
      </c>
      <c r="AI44" s="105">
        <v>12268.8</v>
      </c>
      <c r="AJ44" s="105">
        <v>10</v>
      </c>
      <c r="AK44" s="105">
        <v>10224</v>
      </c>
      <c r="AL44" s="105">
        <v>13</v>
      </c>
      <c r="AM44" s="105">
        <v>13291.199999999999</v>
      </c>
      <c r="AN44" s="105">
        <v>12</v>
      </c>
      <c r="AO44" s="105">
        <v>12268.8</v>
      </c>
      <c r="AP44" s="105">
        <v>16</v>
      </c>
      <c r="AQ44" s="105">
        <v>16358.4</v>
      </c>
      <c r="AR44" s="105">
        <v>11</v>
      </c>
      <c r="AS44" s="105">
        <v>11246.4</v>
      </c>
      <c r="AT44" s="105">
        <v>15</v>
      </c>
      <c r="AU44" s="105">
        <v>15336</v>
      </c>
      <c r="AV44" s="105">
        <v>12</v>
      </c>
      <c r="AW44" s="105">
        <v>12268.8</v>
      </c>
      <c r="AX44" s="105">
        <v>10</v>
      </c>
      <c r="AY44" s="105">
        <v>10224</v>
      </c>
      <c r="AZ44" s="105">
        <v>27</v>
      </c>
      <c r="BA44" s="105">
        <v>27604.799999999999</v>
      </c>
      <c r="BB44" s="105">
        <v>21</v>
      </c>
      <c r="BC44" s="105">
        <v>21470.399999999998</v>
      </c>
      <c r="BD44" s="105">
        <v>14</v>
      </c>
      <c r="BE44" s="105">
        <v>14313.6</v>
      </c>
      <c r="BF44" s="105">
        <v>17</v>
      </c>
      <c r="BG44" s="105">
        <v>17380.8</v>
      </c>
      <c r="BH44" s="105">
        <v>21</v>
      </c>
      <c r="BI44" s="105">
        <v>21470.399999999998</v>
      </c>
      <c r="BJ44" s="105">
        <v>21</v>
      </c>
      <c r="BK44" s="105">
        <v>21470.399999999998</v>
      </c>
      <c r="BL44" s="105">
        <v>24</v>
      </c>
      <c r="BM44" s="105">
        <v>24537.599999999999</v>
      </c>
      <c r="BN44" s="105">
        <v>24</v>
      </c>
      <c r="BO44" s="105">
        <v>24537.599999999999</v>
      </c>
      <c r="BP44" s="105">
        <v>27</v>
      </c>
      <c r="BQ44" s="105">
        <v>27604.799999999999</v>
      </c>
      <c r="BR44" s="105">
        <v>35</v>
      </c>
      <c r="BS44" s="105">
        <v>35784</v>
      </c>
      <c r="BT44" s="105">
        <v>27</v>
      </c>
      <c r="BU44" s="105">
        <v>27604.799999999999</v>
      </c>
      <c r="BV44" s="105">
        <v>24</v>
      </c>
      <c r="BW44" s="105">
        <v>24537.599999999999</v>
      </c>
      <c r="BX44" s="105">
        <v>41.336187980607782</v>
      </c>
      <c r="BY44" s="105">
        <v>42262.118591373393</v>
      </c>
      <c r="BZ44" s="105">
        <v>3.0657621874439123</v>
      </c>
      <c r="CA44" s="105">
        <v>3134.4352604426558</v>
      </c>
      <c r="CB44" s="105">
        <v>27.745333140751384</v>
      </c>
      <c r="CC44" s="105">
        <v>28366.828603104215</v>
      </c>
      <c r="CD44" s="105">
        <v>13.072514178709021</v>
      </c>
      <c r="CE44" s="105">
        <v>13365.338496312103</v>
      </c>
      <c r="CF44" s="105">
        <v>1.5448943661971832</v>
      </c>
      <c r="CG44" s="105">
        <v>1579.5</v>
      </c>
      <c r="CH44" s="105">
        <v>10.579347624441015</v>
      </c>
      <c r="CI44" s="105">
        <v>10816.325011228493</v>
      </c>
      <c r="CJ44" s="105">
        <v>7.0792453817642507</v>
      </c>
      <c r="CK44" s="105">
        <v>7237.8204783157698</v>
      </c>
      <c r="CL44" s="105">
        <v>33.333045144624435</v>
      </c>
      <c r="CM44" s="105">
        <v>34079.705355864025</v>
      </c>
      <c r="CN44" s="105">
        <v>12.76805508256793</v>
      </c>
      <c r="CO44" s="105">
        <v>13054.059516417452</v>
      </c>
      <c r="CP44" s="105">
        <v>13.243834298264499</v>
      </c>
      <c r="CQ44" s="105">
        <v>13540.496186545624</v>
      </c>
      <c r="CR44" s="105">
        <v>2.1751045145845165</v>
      </c>
      <c r="CS44" s="105">
        <v>2223.8268557112096</v>
      </c>
      <c r="CT44" s="105">
        <v>11.214625212505814</v>
      </c>
      <c r="CU44" s="105">
        <v>11465.832817265944</v>
      </c>
    </row>
    <row r="45" spans="2:99" x14ac:dyDescent="0.25">
      <c r="C45" s="104" t="s">
        <v>210</v>
      </c>
      <c r="D45" s="105">
        <v>0</v>
      </c>
      <c r="E45" s="105">
        <v>0</v>
      </c>
      <c r="F45" s="105">
        <v>0</v>
      </c>
      <c r="G45" s="105">
        <v>0</v>
      </c>
      <c r="H45" s="105">
        <v>6</v>
      </c>
      <c r="I45" s="105">
        <v>7495.2000000000007</v>
      </c>
      <c r="J45" s="105">
        <v>5</v>
      </c>
      <c r="K45" s="105">
        <v>6246</v>
      </c>
      <c r="L45" s="105">
        <v>8</v>
      </c>
      <c r="M45" s="105">
        <v>9993.6</v>
      </c>
      <c r="N45" s="105">
        <v>9</v>
      </c>
      <c r="O45" s="105">
        <v>11242.800000000001</v>
      </c>
      <c r="P45" s="105">
        <v>4</v>
      </c>
      <c r="Q45" s="105">
        <v>4996.8</v>
      </c>
      <c r="R45" s="105">
        <v>8</v>
      </c>
      <c r="S45" s="105">
        <v>9993.6</v>
      </c>
      <c r="T45" s="105">
        <v>10</v>
      </c>
      <c r="U45" s="105">
        <v>12492</v>
      </c>
      <c r="V45" s="105">
        <v>9</v>
      </c>
      <c r="W45" s="105">
        <v>11242.800000000001</v>
      </c>
      <c r="X45" s="105">
        <v>8</v>
      </c>
      <c r="Y45" s="105">
        <v>9993.6</v>
      </c>
      <c r="Z45" s="105">
        <v>7</v>
      </c>
      <c r="AA45" s="105">
        <v>8744.4</v>
      </c>
      <c r="AB45" s="105">
        <v>11</v>
      </c>
      <c r="AC45" s="105">
        <v>13741.2</v>
      </c>
      <c r="AD45" s="105">
        <v>12</v>
      </c>
      <c r="AE45" s="105">
        <v>14990.400000000001</v>
      </c>
      <c r="AF45" s="105">
        <v>8</v>
      </c>
      <c r="AG45" s="105">
        <v>9993.6</v>
      </c>
      <c r="AH45" s="105">
        <v>12</v>
      </c>
      <c r="AI45" s="105">
        <v>14990.400000000001</v>
      </c>
      <c r="AJ45" s="105">
        <v>9</v>
      </c>
      <c r="AK45" s="105">
        <v>11242.800000000001</v>
      </c>
      <c r="AL45" s="105">
        <v>12</v>
      </c>
      <c r="AM45" s="105">
        <v>14990.400000000001</v>
      </c>
      <c r="AN45" s="105">
        <v>12</v>
      </c>
      <c r="AO45" s="105">
        <v>14990.400000000001</v>
      </c>
      <c r="AP45" s="105">
        <v>14</v>
      </c>
      <c r="AQ45" s="105">
        <v>17488.8</v>
      </c>
      <c r="AR45" s="105">
        <v>10</v>
      </c>
      <c r="AS45" s="105">
        <v>12492</v>
      </c>
      <c r="AT45" s="105">
        <v>16</v>
      </c>
      <c r="AU45" s="105">
        <v>19987.2</v>
      </c>
      <c r="AV45" s="105">
        <v>13</v>
      </c>
      <c r="AW45" s="105">
        <v>16239.6</v>
      </c>
      <c r="AX45" s="105">
        <v>10</v>
      </c>
      <c r="AY45" s="105">
        <v>12492</v>
      </c>
      <c r="AZ45" s="105">
        <v>24</v>
      </c>
      <c r="BA45" s="105">
        <v>29980.800000000003</v>
      </c>
      <c r="BB45" s="105">
        <v>20</v>
      </c>
      <c r="BC45" s="105">
        <v>24984</v>
      </c>
      <c r="BD45" s="105">
        <v>15</v>
      </c>
      <c r="BE45" s="105">
        <v>18738</v>
      </c>
      <c r="BF45" s="105">
        <v>19</v>
      </c>
      <c r="BG45" s="105">
        <v>23734.799999999999</v>
      </c>
      <c r="BH45" s="105">
        <v>20</v>
      </c>
      <c r="BI45" s="105">
        <v>24984</v>
      </c>
      <c r="BJ45" s="105">
        <v>22</v>
      </c>
      <c r="BK45" s="105">
        <v>27482.400000000001</v>
      </c>
      <c r="BL45" s="105">
        <v>22</v>
      </c>
      <c r="BM45" s="105">
        <v>27482.400000000001</v>
      </c>
      <c r="BN45" s="105">
        <v>23</v>
      </c>
      <c r="BO45" s="105">
        <v>28731.600000000002</v>
      </c>
      <c r="BP45" s="105">
        <v>29</v>
      </c>
      <c r="BQ45" s="105">
        <v>36226.800000000003</v>
      </c>
      <c r="BR45" s="105">
        <v>35</v>
      </c>
      <c r="BS45" s="105">
        <v>43722</v>
      </c>
      <c r="BT45" s="105">
        <v>29</v>
      </c>
      <c r="BU45" s="105">
        <v>36226.800000000003</v>
      </c>
      <c r="BV45" s="105">
        <v>24</v>
      </c>
      <c r="BW45" s="105">
        <v>29980.800000000003</v>
      </c>
      <c r="BX45" s="105">
        <v>42.179783653681412</v>
      </c>
      <c r="BY45" s="105">
        <v>52690.985740178825</v>
      </c>
      <c r="BZ45" s="105">
        <v>2.7251219443945889</v>
      </c>
      <c r="CA45" s="105">
        <v>3404.2223329377207</v>
      </c>
      <c r="CB45" s="105">
        <v>24.543948547587764</v>
      </c>
      <c r="CC45" s="105">
        <v>30660.300525646635</v>
      </c>
      <c r="CD45" s="105">
        <v>12.012580596651533</v>
      </c>
      <c r="CE45" s="105">
        <v>15006.115681337096</v>
      </c>
      <c r="CF45" s="105">
        <v>1.5448943661971832</v>
      </c>
      <c r="CG45" s="105">
        <v>1929.8820422535214</v>
      </c>
      <c r="CH45" s="105">
        <v>10.579347624441015</v>
      </c>
      <c r="CI45" s="105">
        <v>13215.721052451716</v>
      </c>
      <c r="CJ45" s="105">
        <v>6.6297694845093771</v>
      </c>
      <c r="CK45" s="105">
        <v>8281.9080400491148</v>
      </c>
      <c r="CL45" s="105">
        <v>28.73538374536589</v>
      </c>
      <c r="CM45" s="105">
        <v>35896.24137471107</v>
      </c>
      <c r="CN45" s="105">
        <v>12.264052908256039</v>
      </c>
      <c r="CO45" s="105">
        <v>15320.254892993444</v>
      </c>
      <c r="CP45" s="105">
        <v>14.86140184614413</v>
      </c>
      <c r="CQ45" s="105">
        <v>18564.863186203249</v>
      </c>
      <c r="CR45" s="105">
        <v>1.854740283754239</v>
      </c>
      <c r="CS45" s="105">
        <v>2316.9415624657954</v>
      </c>
      <c r="CT45" s="105">
        <v>11.064093330458755</v>
      </c>
      <c r="CU45" s="105">
        <v>13821.265388409078</v>
      </c>
    </row>
    <row r="46" spans="2:99" x14ac:dyDescent="0.25">
      <c r="C46" s="104" t="s">
        <v>211</v>
      </c>
      <c r="D46" s="105">
        <v>0</v>
      </c>
      <c r="E46" s="105">
        <v>0</v>
      </c>
      <c r="F46" s="105">
        <v>0</v>
      </c>
      <c r="G46" s="105">
        <v>0</v>
      </c>
      <c r="H46" s="105">
        <v>6</v>
      </c>
      <c r="I46" s="105">
        <v>7272</v>
      </c>
      <c r="J46" s="105">
        <v>5</v>
      </c>
      <c r="K46" s="105">
        <v>6060</v>
      </c>
      <c r="L46" s="105">
        <v>9</v>
      </c>
      <c r="M46" s="105">
        <v>10908</v>
      </c>
      <c r="N46" s="105">
        <v>9</v>
      </c>
      <c r="O46" s="105">
        <v>10908</v>
      </c>
      <c r="P46" s="105">
        <v>4</v>
      </c>
      <c r="Q46" s="105">
        <v>4848</v>
      </c>
      <c r="R46" s="105">
        <v>9</v>
      </c>
      <c r="S46" s="105">
        <v>10908</v>
      </c>
      <c r="T46" s="105">
        <v>11</v>
      </c>
      <c r="U46" s="105">
        <v>13332</v>
      </c>
      <c r="V46" s="105">
        <v>10</v>
      </c>
      <c r="W46" s="105">
        <v>12120</v>
      </c>
      <c r="X46" s="105">
        <v>7</v>
      </c>
      <c r="Y46" s="105">
        <v>8484</v>
      </c>
      <c r="Z46" s="105">
        <v>6</v>
      </c>
      <c r="AA46" s="105">
        <v>7272</v>
      </c>
      <c r="AB46" s="105">
        <v>12</v>
      </c>
      <c r="AC46" s="105">
        <v>14544</v>
      </c>
      <c r="AD46" s="105">
        <v>12</v>
      </c>
      <c r="AE46" s="105">
        <v>14544</v>
      </c>
      <c r="AF46" s="105">
        <v>8</v>
      </c>
      <c r="AG46" s="105">
        <v>9696</v>
      </c>
      <c r="AH46" s="105">
        <v>12</v>
      </c>
      <c r="AI46" s="105">
        <v>14544</v>
      </c>
      <c r="AJ46" s="105">
        <v>9</v>
      </c>
      <c r="AK46" s="105">
        <v>10908</v>
      </c>
      <c r="AL46" s="105">
        <v>11</v>
      </c>
      <c r="AM46" s="105">
        <v>13332</v>
      </c>
      <c r="AN46" s="105">
        <v>13</v>
      </c>
      <c r="AO46" s="105">
        <v>15756</v>
      </c>
      <c r="AP46" s="105">
        <v>15</v>
      </c>
      <c r="AQ46" s="105">
        <v>18180</v>
      </c>
      <c r="AR46" s="105">
        <v>10</v>
      </c>
      <c r="AS46" s="105">
        <v>12120</v>
      </c>
      <c r="AT46" s="105">
        <v>15</v>
      </c>
      <c r="AU46" s="105">
        <v>18180</v>
      </c>
      <c r="AV46" s="105">
        <v>12</v>
      </c>
      <c r="AW46" s="105">
        <v>14544</v>
      </c>
      <c r="AX46" s="105">
        <v>10</v>
      </c>
      <c r="AY46" s="105">
        <v>12120</v>
      </c>
      <c r="AZ46" s="105">
        <v>22</v>
      </c>
      <c r="BA46" s="105">
        <v>26664</v>
      </c>
      <c r="BB46" s="105">
        <v>22</v>
      </c>
      <c r="BC46" s="105">
        <v>26664</v>
      </c>
      <c r="BD46" s="105">
        <v>13</v>
      </c>
      <c r="BE46" s="105">
        <v>15756</v>
      </c>
      <c r="BF46" s="105">
        <v>17</v>
      </c>
      <c r="BG46" s="105">
        <v>20604</v>
      </c>
      <c r="BH46" s="105">
        <v>21</v>
      </c>
      <c r="BI46" s="105">
        <v>25452</v>
      </c>
      <c r="BJ46" s="105">
        <v>21</v>
      </c>
      <c r="BK46" s="105">
        <v>25452</v>
      </c>
      <c r="BL46" s="105">
        <v>23</v>
      </c>
      <c r="BM46" s="105">
        <v>27876</v>
      </c>
      <c r="BN46" s="105">
        <v>25</v>
      </c>
      <c r="BO46" s="105">
        <v>30300</v>
      </c>
      <c r="BP46" s="105">
        <v>29</v>
      </c>
      <c r="BQ46" s="105">
        <v>35148</v>
      </c>
      <c r="BR46" s="105">
        <v>37</v>
      </c>
      <c r="BS46" s="105">
        <v>44844</v>
      </c>
      <c r="BT46" s="105">
        <v>27</v>
      </c>
      <c r="BU46" s="105">
        <v>32724</v>
      </c>
      <c r="BV46" s="105">
        <v>24</v>
      </c>
      <c r="BW46" s="105">
        <v>29088</v>
      </c>
      <c r="BX46" s="105">
        <v>44.710570672902293</v>
      </c>
      <c r="BY46" s="105">
        <v>54189.211655557578</v>
      </c>
      <c r="BZ46" s="105">
        <v>3.0089888136023588</v>
      </c>
      <c r="CA46" s="105">
        <v>3646.8944420860589</v>
      </c>
      <c r="CB46" s="105">
        <v>27.745333140751384</v>
      </c>
      <c r="CC46" s="105">
        <v>33627.343766590675</v>
      </c>
      <c r="CD46" s="105">
        <v>13.425825372728184</v>
      </c>
      <c r="CE46" s="105">
        <v>16272.10035174656</v>
      </c>
      <c r="CF46" s="105">
        <v>1.7033450704225352</v>
      </c>
      <c r="CG46" s="105">
        <v>2064.4542253521126</v>
      </c>
      <c r="CH46" s="105">
        <v>10.904866012885353</v>
      </c>
      <c r="CI46" s="105">
        <v>13216.697607617049</v>
      </c>
      <c r="CJ46" s="105">
        <v>6.6297694845093771</v>
      </c>
      <c r="CK46" s="105">
        <v>8035.2806152253652</v>
      </c>
      <c r="CL46" s="105">
        <v>28.73538374536589</v>
      </c>
      <c r="CM46" s="105">
        <v>34827.285099383458</v>
      </c>
      <c r="CN46" s="105">
        <v>12.432053633026669</v>
      </c>
      <c r="CO46" s="105">
        <v>15067.649003228324</v>
      </c>
      <c r="CP46" s="105">
        <v>13.648226185234407</v>
      </c>
      <c r="CQ46" s="105">
        <v>16541.6501365041</v>
      </c>
      <c r="CR46" s="105">
        <v>2.2088270651982298</v>
      </c>
      <c r="CS46" s="105">
        <v>2677.0984030202544</v>
      </c>
      <c r="CT46" s="105">
        <v>10.537231743294054</v>
      </c>
      <c r="CU46" s="105">
        <v>12771.124872872393</v>
      </c>
    </row>
    <row r="47" spans="2:99" x14ac:dyDescent="0.25">
      <c r="C47" s="104" t="s">
        <v>212</v>
      </c>
      <c r="D47" s="105">
        <v>0</v>
      </c>
      <c r="E47" s="105">
        <v>0</v>
      </c>
      <c r="F47" s="105">
        <v>0</v>
      </c>
      <c r="G47" s="105">
        <v>0</v>
      </c>
      <c r="H47" s="105">
        <v>6</v>
      </c>
      <c r="I47" s="105">
        <v>9165.5999999999985</v>
      </c>
      <c r="J47" s="105">
        <v>5</v>
      </c>
      <c r="K47" s="105">
        <v>7638</v>
      </c>
      <c r="L47" s="105">
        <v>8</v>
      </c>
      <c r="M47" s="105">
        <v>12220.8</v>
      </c>
      <c r="N47" s="105">
        <v>8</v>
      </c>
      <c r="O47" s="105">
        <v>12220.8</v>
      </c>
      <c r="P47" s="105">
        <v>5</v>
      </c>
      <c r="Q47" s="105">
        <v>7638</v>
      </c>
      <c r="R47" s="105">
        <v>7</v>
      </c>
      <c r="S47" s="105">
        <v>10693.199999999999</v>
      </c>
      <c r="T47" s="105">
        <v>11</v>
      </c>
      <c r="U47" s="105">
        <v>16803.599999999999</v>
      </c>
      <c r="V47" s="105">
        <v>9</v>
      </c>
      <c r="W47" s="105">
        <v>13748.4</v>
      </c>
      <c r="X47" s="105">
        <v>7</v>
      </c>
      <c r="Y47" s="105">
        <v>10693.199999999999</v>
      </c>
      <c r="Z47" s="105">
        <v>6</v>
      </c>
      <c r="AA47" s="105">
        <v>9165.5999999999985</v>
      </c>
      <c r="AB47" s="105">
        <v>11</v>
      </c>
      <c r="AC47" s="105">
        <v>16803.599999999999</v>
      </c>
      <c r="AD47" s="105">
        <v>14</v>
      </c>
      <c r="AE47" s="105">
        <v>21386.399999999998</v>
      </c>
      <c r="AF47" s="105">
        <v>7</v>
      </c>
      <c r="AG47" s="105">
        <v>10693.199999999999</v>
      </c>
      <c r="AH47" s="105">
        <v>12</v>
      </c>
      <c r="AI47" s="105">
        <v>18331.199999999997</v>
      </c>
      <c r="AJ47" s="105">
        <v>9</v>
      </c>
      <c r="AK47" s="105">
        <v>13748.4</v>
      </c>
      <c r="AL47" s="105">
        <v>13</v>
      </c>
      <c r="AM47" s="105">
        <v>19858.8</v>
      </c>
      <c r="AN47" s="105">
        <v>13</v>
      </c>
      <c r="AO47" s="105">
        <v>19858.8</v>
      </c>
      <c r="AP47" s="105">
        <v>14</v>
      </c>
      <c r="AQ47" s="105">
        <v>21386.399999999998</v>
      </c>
      <c r="AR47" s="105">
        <v>9</v>
      </c>
      <c r="AS47" s="105">
        <v>13748.4</v>
      </c>
      <c r="AT47" s="105">
        <v>16</v>
      </c>
      <c r="AU47" s="105">
        <v>24441.599999999999</v>
      </c>
      <c r="AV47" s="105">
        <v>13</v>
      </c>
      <c r="AW47" s="105">
        <v>19858.8</v>
      </c>
      <c r="AX47" s="105">
        <v>10</v>
      </c>
      <c r="AY47" s="105">
        <v>15276</v>
      </c>
      <c r="AZ47" s="105">
        <v>24</v>
      </c>
      <c r="BA47" s="105">
        <v>36662.399999999994</v>
      </c>
      <c r="BB47" s="105">
        <v>21</v>
      </c>
      <c r="BC47" s="105">
        <v>32079.599999999999</v>
      </c>
      <c r="BD47" s="105">
        <v>13</v>
      </c>
      <c r="BE47" s="105">
        <v>19858.8</v>
      </c>
      <c r="BF47" s="105">
        <v>18</v>
      </c>
      <c r="BG47" s="105">
        <v>27496.799999999999</v>
      </c>
      <c r="BH47" s="105">
        <v>20</v>
      </c>
      <c r="BI47" s="105">
        <v>30552</v>
      </c>
      <c r="BJ47" s="105">
        <v>22</v>
      </c>
      <c r="BK47" s="105">
        <v>33607.199999999997</v>
      </c>
      <c r="BL47" s="105">
        <v>23</v>
      </c>
      <c r="BM47" s="105">
        <v>35134.799999999996</v>
      </c>
      <c r="BN47" s="105">
        <v>23</v>
      </c>
      <c r="BO47" s="105">
        <v>35134.799999999996</v>
      </c>
      <c r="BP47" s="105">
        <v>29</v>
      </c>
      <c r="BQ47" s="105">
        <v>44300.399999999994</v>
      </c>
      <c r="BR47" s="105">
        <v>36</v>
      </c>
      <c r="BS47" s="105">
        <v>54993.599999999999</v>
      </c>
      <c r="BT47" s="105">
        <v>28</v>
      </c>
      <c r="BU47" s="105">
        <v>42772.799999999996</v>
      </c>
      <c r="BV47" s="105">
        <v>24</v>
      </c>
      <c r="BW47" s="105">
        <v>36662.399999999994</v>
      </c>
      <c r="BX47" s="105">
        <v>37.961805288313272</v>
      </c>
      <c r="BY47" s="105">
        <v>57990.453758427349</v>
      </c>
      <c r="BZ47" s="105">
        <v>2.4980284490283733</v>
      </c>
      <c r="CA47" s="105">
        <v>3815.9882587357429</v>
      </c>
      <c r="CB47" s="105">
        <v>25.077512646448366</v>
      </c>
      <c r="CC47" s="105">
        <v>38308.408318714522</v>
      </c>
      <c r="CD47" s="105">
        <v>11.65926940263237</v>
      </c>
      <c r="CE47" s="105">
        <v>17810.699939461207</v>
      </c>
      <c r="CF47" s="105">
        <v>1.346830985915493</v>
      </c>
      <c r="CG47" s="105">
        <v>2057.4190140845071</v>
      </c>
      <c r="CH47" s="105">
        <v>10.742106818663183</v>
      </c>
      <c r="CI47" s="105">
        <v>16409.642376189877</v>
      </c>
      <c r="CJ47" s="105">
        <v>6.966876407450532</v>
      </c>
      <c r="CK47" s="105">
        <v>10642.600400021433</v>
      </c>
      <c r="CL47" s="105">
        <v>29.884799095180529</v>
      </c>
      <c r="CM47" s="105">
        <v>45652.019097797776</v>
      </c>
      <c r="CN47" s="105">
        <v>12.096052183485407</v>
      </c>
      <c r="CO47" s="105">
        <v>18477.929315492307</v>
      </c>
      <c r="CP47" s="105">
        <v>13.344932270006973</v>
      </c>
      <c r="CQ47" s="105">
        <v>20385.718535662651</v>
      </c>
      <c r="CR47" s="105">
        <v>1.7704339072199553</v>
      </c>
      <c r="CS47" s="105">
        <v>2704.5148366692038</v>
      </c>
      <c r="CT47" s="105">
        <v>10.311433920223466</v>
      </c>
      <c r="CU47" s="105">
        <v>15751.746456533367</v>
      </c>
    </row>
    <row r="48" spans="2:99" x14ac:dyDescent="0.25">
      <c r="C48" s="104" t="s">
        <v>213</v>
      </c>
      <c r="D48" s="105">
        <v>0</v>
      </c>
      <c r="E48" s="105">
        <v>0</v>
      </c>
      <c r="F48" s="105">
        <v>0</v>
      </c>
      <c r="G48" s="105">
        <v>0</v>
      </c>
      <c r="H48" s="105">
        <v>6</v>
      </c>
      <c r="I48" s="105">
        <v>5205.6000000000004</v>
      </c>
      <c r="J48" s="105">
        <v>6</v>
      </c>
      <c r="K48" s="105">
        <v>5205.6000000000004</v>
      </c>
      <c r="L48" s="105">
        <v>8</v>
      </c>
      <c r="M48" s="105">
        <v>6940.8</v>
      </c>
      <c r="N48" s="105">
        <v>8</v>
      </c>
      <c r="O48" s="105">
        <v>6940.8</v>
      </c>
      <c r="P48" s="105">
        <v>5</v>
      </c>
      <c r="Q48" s="105">
        <v>4338</v>
      </c>
      <c r="R48" s="105">
        <v>9</v>
      </c>
      <c r="S48" s="105">
        <v>7808.4000000000005</v>
      </c>
      <c r="T48" s="105">
        <v>10</v>
      </c>
      <c r="U48" s="105">
        <v>8676</v>
      </c>
      <c r="V48" s="105">
        <v>10</v>
      </c>
      <c r="W48" s="105">
        <v>8676</v>
      </c>
      <c r="X48" s="105">
        <v>7</v>
      </c>
      <c r="Y48" s="105">
        <v>6073.2</v>
      </c>
      <c r="Z48" s="105">
        <v>7</v>
      </c>
      <c r="AA48" s="105">
        <v>6073.2</v>
      </c>
      <c r="AB48" s="105">
        <v>11</v>
      </c>
      <c r="AC48" s="105">
        <v>9543.6</v>
      </c>
      <c r="AD48" s="105">
        <v>13</v>
      </c>
      <c r="AE48" s="105">
        <v>11278.800000000001</v>
      </c>
      <c r="AF48" s="105">
        <v>7</v>
      </c>
      <c r="AG48" s="105">
        <v>6073.2</v>
      </c>
      <c r="AH48" s="105">
        <v>12</v>
      </c>
      <c r="AI48" s="105">
        <v>10411.200000000001</v>
      </c>
      <c r="AJ48" s="105">
        <v>8</v>
      </c>
      <c r="AK48" s="105">
        <v>6940.8</v>
      </c>
      <c r="AL48" s="105">
        <v>12</v>
      </c>
      <c r="AM48" s="105">
        <v>10411.200000000001</v>
      </c>
      <c r="AN48" s="105">
        <v>12</v>
      </c>
      <c r="AO48" s="105">
        <v>10411.200000000001</v>
      </c>
      <c r="AP48" s="105">
        <v>13</v>
      </c>
      <c r="AQ48" s="105">
        <v>11278.800000000001</v>
      </c>
      <c r="AR48" s="105">
        <v>9</v>
      </c>
      <c r="AS48" s="105">
        <v>7808.4000000000005</v>
      </c>
      <c r="AT48" s="105">
        <v>16</v>
      </c>
      <c r="AU48" s="105">
        <v>13881.6</v>
      </c>
      <c r="AV48" s="105">
        <v>13</v>
      </c>
      <c r="AW48" s="105">
        <v>11278.800000000001</v>
      </c>
      <c r="AX48" s="105">
        <v>11</v>
      </c>
      <c r="AY48" s="105">
        <v>9543.6</v>
      </c>
      <c r="AZ48" s="105">
        <v>23</v>
      </c>
      <c r="BA48" s="105">
        <v>19954.8</v>
      </c>
      <c r="BB48" s="105">
        <v>19</v>
      </c>
      <c r="BC48" s="105">
        <v>16484.400000000001</v>
      </c>
      <c r="BD48" s="105">
        <v>15</v>
      </c>
      <c r="BE48" s="105">
        <v>13014</v>
      </c>
      <c r="BF48" s="105">
        <v>19</v>
      </c>
      <c r="BG48" s="105">
        <v>16484.400000000001</v>
      </c>
      <c r="BH48" s="105">
        <v>22</v>
      </c>
      <c r="BI48" s="105">
        <v>19087.2</v>
      </c>
      <c r="BJ48" s="105">
        <v>21</v>
      </c>
      <c r="BK48" s="105">
        <v>18219.600000000002</v>
      </c>
      <c r="BL48" s="105">
        <v>25</v>
      </c>
      <c r="BM48" s="105">
        <v>21690</v>
      </c>
      <c r="BN48" s="105">
        <v>26</v>
      </c>
      <c r="BO48" s="105">
        <v>22557.600000000002</v>
      </c>
      <c r="BP48" s="105">
        <v>31</v>
      </c>
      <c r="BQ48" s="105">
        <v>26895.600000000002</v>
      </c>
      <c r="BR48" s="105">
        <v>36</v>
      </c>
      <c r="BS48" s="105">
        <v>31233.600000000002</v>
      </c>
      <c r="BT48" s="105">
        <v>31</v>
      </c>
      <c r="BU48" s="105">
        <v>26895.600000000002</v>
      </c>
      <c r="BV48" s="105">
        <v>25</v>
      </c>
      <c r="BW48" s="105">
        <v>21690</v>
      </c>
      <c r="BX48" s="105">
        <v>43.023379326755034</v>
      </c>
      <c r="BY48" s="105">
        <v>37327.083903892672</v>
      </c>
      <c r="BZ48" s="105">
        <v>3.1793089351270205</v>
      </c>
      <c r="CA48" s="105">
        <v>2758.3684321162032</v>
      </c>
      <c r="CB48" s="105">
        <v>26.144640844169576</v>
      </c>
      <c r="CC48" s="105">
        <v>22683.090396401523</v>
      </c>
      <c r="CD48" s="105">
        <v>12.012580596651533</v>
      </c>
      <c r="CE48" s="105">
        <v>10422.114925654871</v>
      </c>
      <c r="CF48" s="105">
        <v>1.6241197183098592</v>
      </c>
      <c r="CG48" s="105">
        <v>1409.086267605634</v>
      </c>
      <c r="CH48" s="105">
        <v>11.067625207107522</v>
      </c>
      <c r="CI48" s="105">
        <v>9602.2716296864855</v>
      </c>
      <c r="CJ48" s="105">
        <v>6.8545074331368143</v>
      </c>
      <c r="CK48" s="105">
        <v>5946.9706489895007</v>
      </c>
      <c r="CL48" s="105">
        <v>31.034214444995165</v>
      </c>
      <c r="CM48" s="105">
        <v>26925.284452477805</v>
      </c>
      <c r="CN48" s="105">
        <v>12.93605580733856</v>
      </c>
      <c r="CO48" s="105">
        <v>11223.322018446936</v>
      </c>
      <c r="CP48" s="105">
        <v>14.962499817886609</v>
      </c>
      <c r="CQ48" s="105">
        <v>12981.464841998422</v>
      </c>
      <c r="CR48" s="105">
        <v>1.9727692109022361</v>
      </c>
      <c r="CS48" s="105">
        <v>1711.5745673787801</v>
      </c>
      <c r="CT48" s="105">
        <v>10.988827389435228</v>
      </c>
      <c r="CU48" s="105">
        <v>9533.906643074004</v>
      </c>
    </row>
    <row r="49" spans="2:99" x14ac:dyDescent="0.25">
      <c r="B49" s="104" t="s">
        <v>129</v>
      </c>
      <c r="C49" s="104" t="s">
        <v>214</v>
      </c>
      <c r="D49" s="105">
        <v>0</v>
      </c>
      <c r="E49" s="105">
        <v>0</v>
      </c>
      <c r="F49" s="105">
        <v>0</v>
      </c>
      <c r="G49" s="105">
        <v>0</v>
      </c>
      <c r="H49" s="105">
        <v>6</v>
      </c>
      <c r="I49" s="105">
        <v>5911.2</v>
      </c>
      <c r="J49" s="105">
        <v>3</v>
      </c>
      <c r="K49" s="105">
        <v>2955.6</v>
      </c>
      <c r="L49" s="105">
        <v>5</v>
      </c>
      <c r="M49" s="105">
        <v>4926</v>
      </c>
      <c r="N49" s="105">
        <v>5</v>
      </c>
      <c r="O49" s="105">
        <v>4926</v>
      </c>
      <c r="P49" s="105">
        <v>5</v>
      </c>
      <c r="Q49" s="105">
        <v>4926</v>
      </c>
      <c r="R49" s="105">
        <v>5</v>
      </c>
      <c r="S49" s="105">
        <v>4926</v>
      </c>
      <c r="T49" s="105">
        <v>6</v>
      </c>
      <c r="U49" s="105">
        <v>5911.2</v>
      </c>
      <c r="V49" s="105">
        <v>9</v>
      </c>
      <c r="W49" s="105">
        <v>8866.7999999999993</v>
      </c>
      <c r="X49" s="105">
        <v>6</v>
      </c>
      <c r="Y49" s="105">
        <v>5911.2</v>
      </c>
      <c r="Z49" s="105">
        <v>8</v>
      </c>
      <c r="AA49" s="105">
        <v>7881.5999999999995</v>
      </c>
      <c r="AB49" s="105">
        <v>7</v>
      </c>
      <c r="AC49" s="105">
        <v>6896.4</v>
      </c>
      <c r="AD49" s="105">
        <v>6</v>
      </c>
      <c r="AE49" s="105">
        <v>5911.2</v>
      </c>
      <c r="AF49" s="105">
        <v>8</v>
      </c>
      <c r="AG49" s="105">
        <v>7881.5999999999995</v>
      </c>
      <c r="AH49" s="105">
        <v>8</v>
      </c>
      <c r="AI49" s="105">
        <v>7881.5999999999995</v>
      </c>
      <c r="AJ49" s="105">
        <v>11</v>
      </c>
      <c r="AK49" s="105">
        <v>10837.199999999999</v>
      </c>
      <c r="AL49" s="105">
        <v>9</v>
      </c>
      <c r="AM49" s="105">
        <v>8866.7999999999993</v>
      </c>
      <c r="AN49" s="105">
        <v>9</v>
      </c>
      <c r="AO49" s="105">
        <v>8866.7999999999993</v>
      </c>
      <c r="AP49" s="105">
        <v>9</v>
      </c>
      <c r="AQ49" s="105">
        <v>8866.7999999999993</v>
      </c>
      <c r="AR49" s="105">
        <v>15</v>
      </c>
      <c r="AS49" s="105">
        <v>14777.999999999998</v>
      </c>
      <c r="AT49" s="105">
        <v>8</v>
      </c>
      <c r="AU49" s="105">
        <v>7881.5999999999995</v>
      </c>
      <c r="AV49" s="105">
        <v>9</v>
      </c>
      <c r="AW49" s="105">
        <v>8866.7999999999993</v>
      </c>
      <c r="AX49" s="105">
        <v>16</v>
      </c>
      <c r="AY49" s="105">
        <v>15763.199999999999</v>
      </c>
      <c r="AZ49" s="105">
        <v>19</v>
      </c>
      <c r="BA49" s="105">
        <v>18718.8</v>
      </c>
      <c r="BB49" s="105">
        <v>12</v>
      </c>
      <c r="BC49" s="105">
        <v>11822.4</v>
      </c>
      <c r="BD49" s="105">
        <v>14</v>
      </c>
      <c r="BE49" s="105">
        <v>13792.8</v>
      </c>
      <c r="BF49" s="105">
        <v>10</v>
      </c>
      <c r="BG49" s="105">
        <v>9852</v>
      </c>
      <c r="BH49" s="105">
        <v>14</v>
      </c>
      <c r="BI49" s="105">
        <v>13792.8</v>
      </c>
      <c r="BJ49" s="105">
        <v>25</v>
      </c>
      <c r="BK49" s="105">
        <v>24630</v>
      </c>
      <c r="BL49" s="105">
        <v>21</v>
      </c>
      <c r="BM49" s="105">
        <v>20689.199999999997</v>
      </c>
      <c r="BN49" s="105">
        <v>15</v>
      </c>
      <c r="BO49" s="105">
        <v>14777.999999999998</v>
      </c>
      <c r="BP49" s="105">
        <v>23</v>
      </c>
      <c r="BQ49" s="105">
        <v>22659.599999999999</v>
      </c>
      <c r="BR49" s="105">
        <v>23</v>
      </c>
      <c r="BS49" s="105">
        <v>22659.599999999999</v>
      </c>
      <c r="BT49" s="105">
        <v>28</v>
      </c>
      <c r="BU49" s="105">
        <v>27585.599999999999</v>
      </c>
      <c r="BV49" s="105">
        <v>15</v>
      </c>
      <c r="BW49" s="105">
        <v>14777.999999999998</v>
      </c>
      <c r="BX49" s="105">
        <v>38</v>
      </c>
      <c r="BY49" s="105">
        <v>37437.599999999999</v>
      </c>
      <c r="BZ49" s="105">
        <v>34</v>
      </c>
      <c r="CA49" s="105">
        <v>33496.799999999996</v>
      </c>
      <c r="CB49" s="105">
        <v>24.325742662848949</v>
      </c>
      <c r="CC49" s="105">
        <v>23965.721671438783</v>
      </c>
      <c r="CD49" s="105">
        <v>3.1726668726823242</v>
      </c>
      <c r="CE49" s="105">
        <v>3125.7114029666254</v>
      </c>
      <c r="CF49" s="105">
        <v>1.5200088064649813</v>
      </c>
      <c r="CG49" s="105">
        <v>1497.5126761292995</v>
      </c>
      <c r="CH49" s="105">
        <v>19.706428220842341</v>
      </c>
      <c r="CI49" s="105">
        <v>19414.773083173874</v>
      </c>
      <c r="CJ49" s="105">
        <v>13.215043530865032</v>
      </c>
      <c r="CK49" s="105">
        <v>13019.460886608229</v>
      </c>
      <c r="CL49" s="105">
        <v>41.006333788480632</v>
      </c>
      <c r="CM49" s="105">
        <v>40399.440048411117</v>
      </c>
      <c r="CN49" s="105">
        <v>3.5275679035960215</v>
      </c>
      <c r="CO49" s="105">
        <v>3475.3598986228003</v>
      </c>
      <c r="CP49" s="105">
        <v>15.5832862836267</v>
      </c>
      <c r="CQ49" s="105">
        <v>15352.653646629024</v>
      </c>
      <c r="CR49" s="105">
        <v>20.258804347826086</v>
      </c>
      <c r="CS49" s="105">
        <v>19958.974043478258</v>
      </c>
      <c r="CT49" s="105">
        <v>4.1198194249649367</v>
      </c>
      <c r="CU49" s="105">
        <v>4058.8460974754553</v>
      </c>
    </row>
    <row r="50" spans="2:99" x14ac:dyDescent="0.25">
      <c r="C50" s="104" t="s">
        <v>215</v>
      </c>
      <c r="D50" s="105">
        <v>0</v>
      </c>
      <c r="E50" s="105">
        <v>0</v>
      </c>
      <c r="F50" s="105">
        <v>0</v>
      </c>
      <c r="G50" s="105">
        <v>0</v>
      </c>
      <c r="H50" s="105">
        <v>6</v>
      </c>
      <c r="I50" s="105">
        <v>1692</v>
      </c>
      <c r="J50" s="105">
        <v>3</v>
      </c>
      <c r="K50" s="105">
        <v>846</v>
      </c>
      <c r="L50" s="105">
        <v>5</v>
      </c>
      <c r="M50" s="105">
        <v>1410</v>
      </c>
      <c r="N50" s="105">
        <v>5</v>
      </c>
      <c r="O50" s="105">
        <v>1410</v>
      </c>
      <c r="P50" s="105">
        <v>5</v>
      </c>
      <c r="Q50" s="105">
        <v>1410</v>
      </c>
      <c r="R50" s="105">
        <v>6</v>
      </c>
      <c r="S50" s="105">
        <v>1692</v>
      </c>
      <c r="T50" s="105">
        <v>6</v>
      </c>
      <c r="U50" s="105">
        <v>1692</v>
      </c>
      <c r="V50" s="105">
        <v>8</v>
      </c>
      <c r="W50" s="105">
        <v>2256</v>
      </c>
      <c r="X50" s="105">
        <v>6</v>
      </c>
      <c r="Y50" s="105">
        <v>1692</v>
      </c>
      <c r="Z50" s="105">
        <v>9</v>
      </c>
      <c r="AA50" s="105">
        <v>2538</v>
      </c>
      <c r="AB50" s="105">
        <v>7</v>
      </c>
      <c r="AC50" s="105">
        <v>1974</v>
      </c>
      <c r="AD50" s="105">
        <v>7</v>
      </c>
      <c r="AE50" s="105">
        <v>1974</v>
      </c>
      <c r="AF50" s="105">
        <v>9</v>
      </c>
      <c r="AG50" s="105">
        <v>2538</v>
      </c>
      <c r="AH50" s="105">
        <v>9</v>
      </c>
      <c r="AI50" s="105">
        <v>2538</v>
      </c>
      <c r="AJ50" s="105">
        <v>11</v>
      </c>
      <c r="AK50" s="105">
        <v>3102</v>
      </c>
      <c r="AL50" s="105">
        <v>10</v>
      </c>
      <c r="AM50" s="105">
        <v>2820</v>
      </c>
      <c r="AN50" s="105">
        <v>10</v>
      </c>
      <c r="AO50" s="105">
        <v>2820</v>
      </c>
      <c r="AP50" s="105">
        <v>10</v>
      </c>
      <c r="AQ50" s="105">
        <v>2820</v>
      </c>
      <c r="AR50" s="105">
        <v>15</v>
      </c>
      <c r="AS50" s="105">
        <v>4230</v>
      </c>
      <c r="AT50" s="105">
        <v>8</v>
      </c>
      <c r="AU50" s="105">
        <v>2256</v>
      </c>
      <c r="AV50" s="105">
        <v>11</v>
      </c>
      <c r="AW50" s="105">
        <v>3102</v>
      </c>
      <c r="AX50" s="105">
        <v>17</v>
      </c>
      <c r="AY50" s="105">
        <v>4794</v>
      </c>
      <c r="AZ50" s="105">
        <v>19</v>
      </c>
      <c r="BA50" s="105">
        <v>5358</v>
      </c>
      <c r="BB50" s="105">
        <v>16</v>
      </c>
      <c r="BC50" s="105">
        <v>4512</v>
      </c>
      <c r="BD50" s="105">
        <v>16</v>
      </c>
      <c r="BE50" s="105">
        <v>4512</v>
      </c>
      <c r="BF50" s="105">
        <v>12</v>
      </c>
      <c r="BG50" s="105">
        <v>3384</v>
      </c>
      <c r="BH50" s="105">
        <v>13</v>
      </c>
      <c r="BI50" s="105">
        <v>3666</v>
      </c>
      <c r="BJ50" s="105">
        <v>25</v>
      </c>
      <c r="BK50" s="105">
        <v>7050</v>
      </c>
      <c r="BL50" s="105">
        <v>27</v>
      </c>
      <c r="BM50" s="105">
        <v>7614</v>
      </c>
      <c r="BN50" s="105">
        <v>19</v>
      </c>
      <c r="BO50" s="105">
        <v>5358</v>
      </c>
      <c r="BP50" s="105">
        <v>25</v>
      </c>
      <c r="BQ50" s="105">
        <v>7050</v>
      </c>
      <c r="BR50" s="105">
        <v>28</v>
      </c>
      <c r="BS50" s="105">
        <v>7896</v>
      </c>
      <c r="BT50" s="105">
        <v>31</v>
      </c>
      <c r="BU50" s="105">
        <v>8742</v>
      </c>
      <c r="BV50" s="105">
        <v>17</v>
      </c>
      <c r="BW50" s="105">
        <v>4794</v>
      </c>
      <c r="BX50" s="105">
        <v>36.274613942166013</v>
      </c>
      <c r="BY50" s="105">
        <v>10229.441131690815</v>
      </c>
      <c r="BZ50" s="105">
        <v>1.9302947106128339</v>
      </c>
      <c r="CA50" s="105">
        <v>544.3431083928192</v>
      </c>
      <c r="CB50" s="105">
        <v>17.607615262399918</v>
      </c>
      <c r="CC50" s="105">
        <v>4965.347503996777</v>
      </c>
      <c r="CD50" s="105">
        <v>14.485758954785672</v>
      </c>
      <c r="CE50" s="105">
        <v>4084.9840252495592</v>
      </c>
      <c r="CF50" s="105">
        <v>1.307218309859155</v>
      </c>
      <c r="CG50" s="105">
        <v>368.63556338028172</v>
      </c>
      <c r="CH50" s="105">
        <v>10.904866012885353</v>
      </c>
      <c r="CI50" s="105">
        <v>3075.1722156336696</v>
      </c>
      <c r="CJ50" s="105">
        <v>4.8318658954898854</v>
      </c>
      <c r="CK50" s="105">
        <v>1362.5861825281477</v>
      </c>
      <c r="CL50" s="105">
        <v>40.804244918419563</v>
      </c>
      <c r="CM50" s="105">
        <v>11506.797066994317</v>
      </c>
      <c r="CN50" s="105">
        <v>19.152082623851896</v>
      </c>
      <c r="CO50" s="105">
        <v>5400.8872999262348</v>
      </c>
      <c r="CP50" s="105">
        <v>7.1779559937158721</v>
      </c>
      <c r="CQ50" s="105">
        <v>2024.183590227876</v>
      </c>
      <c r="CR50" s="105">
        <v>1.5175147776171045</v>
      </c>
      <c r="CS50" s="105">
        <v>427.9391672880235</v>
      </c>
      <c r="CT50" s="105">
        <v>9.6340404510117068</v>
      </c>
      <c r="CU50" s="105">
        <v>2716.7994071853013</v>
      </c>
    </row>
    <row r="51" spans="2:99" x14ac:dyDescent="0.25">
      <c r="C51" s="104" t="s">
        <v>216</v>
      </c>
      <c r="D51" s="105">
        <v>0</v>
      </c>
      <c r="E51" s="105">
        <v>0</v>
      </c>
      <c r="F51" s="105">
        <v>0</v>
      </c>
      <c r="G51" s="105">
        <v>0</v>
      </c>
      <c r="H51" s="105">
        <v>5</v>
      </c>
      <c r="I51" s="105">
        <v>4272</v>
      </c>
      <c r="J51" s="105">
        <v>3</v>
      </c>
      <c r="K51" s="105">
        <v>2563.1999999999998</v>
      </c>
      <c r="L51" s="105">
        <v>5</v>
      </c>
      <c r="M51" s="105">
        <v>4272</v>
      </c>
      <c r="N51" s="105">
        <v>5</v>
      </c>
      <c r="O51" s="105">
        <v>4272</v>
      </c>
      <c r="P51" s="105">
        <v>5</v>
      </c>
      <c r="Q51" s="105">
        <v>4272</v>
      </c>
      <c r="R51" s="105">
        <v>6</v>
      </c>
      <c r="S51" s="105">
        <v>5126.3999999999996</v>
      </c>
      <c r="T51" s="105">
        <v>6</v>
      </c>
      <c r="U51" s="105">
        <v>5126.3999999999996</v>
      </c>
      <c r="V51" s="105">
        <v>8</v>
      </c>
      <c r="W51" s="105">
        <v>6835.2</v>
      </c>
      <c r="X51" s="105">
        <v>7</v>
      </c>
      <c r="Y51" s="105">
        <v>5980.8</v>
      </c>
      <c r="Z51" s="105">
        <v>9</v>
      </c>
      <c r="AA51" s="105">
        <v>7689.5999999999995</v>
      </c>
      <c r="AB51" s="105">
        <v>6</v>
      </c>
      <c r="AC51" s="105">
        <v>5126.3999999999996</v>
      </c>
      <c r="AD51" s="105">
        <v>8</v>
      </c>
      <c r="AE51" s="105">
        <v>6835.2</v>
      </c>
      <c r="AF51" s="105">
        <v>7</v>
      </c>
      <c r="AG51" s="105">
        <v>5980.8</v>
      </c>
      <c r="AH51" s="105">
        <v>8</v>
      </c>
      <c r="AI51" s="105">
        <v>6835.2</v>
      </c>
      <c r="AJ51" s="105">
        <v>13</v>
      </c>
      <c r="AK51" s="105">
        <v>11107.199999999999</v>
      </c>
      <c r="AL51" s="105">
        <v>10</v>
      </c>
      <c r="AM51" s="105">
        <v>8544</v>
      </c>
      <c r="AN51" s="105">
        <v>9</v>
      </c>
      <c r="AO51" s="105">
        <v>7689.5999999999995</v>
      </c>
      <c r="AP51" s="105">
        <v>10</v>
      </c>
      <c r="AQ51" s="105">
        <v>8544</v>
      </c>
      <c r="AR51" s="105">
        <v>13</v>
      </c>
      <c r="AS51" s="105">
        <v>11107.199999999999</v>
      </c>
      <c r="AT51" s="105">
        <v>8</v>
      </c>
      <c r="AU51" s="105">
        <v>6835.2</v>
      </c>
      <c r="AV51" s="105">
        <v>10</v>
      </c>
      <c r="AW51" s="105">
        <v>8544</v>
      </c>
      <c r="AX51" s="105">
        <v>15</v>
      </c>
      <c r="AY51" s="105">
        <v>12816</v>
      </c>
      <c r="AZ51" s="105">
        <v>18</v>
      </c>
      <c r="BA51" s="105">
        <v>15379.199999999999</v>
      </c>
      <c r="BB51" s="105">
        <v>13</v>
      </c>
      <c r="BC51" s="105">
        <v>11107.199999999999</v>
      </c>
      <c r="BD51" s="105">
        <v>15</v>
      </c>
      <c r="BE51" s="105">
        <v>12816</v>
      </c>
      <c r="BF51" s="105">
        <v>10</v>
      </c>
      <c r="BG51" s="105">
        <v>8544</v>
      </c>
      <c r="BH51" s="105">
        <v>15</v>
      </c>
      <c r="BI51" s="105">
        <v>12816</v>
      </c>
      <c r="BJ51" s="105">
        <v>24</v>
      </c>
      <c r="BK51" s="105">
        <v>20505.599999999999</v>
      </c>
      <c r="BL51" s="105">
        <v>23</v>
      </c>
      <c r="BM51" s="105">
        <v>19651.2</v>
      </c>
      <c r="BN51" s="105">
        <v>16</v>
      </c>
      <c r="BO51" s="105">
        <v>13670.4</v>
      </c>
      <c r="BP51" s="105">
        <v>23</v>
      </c>
      <c r="BQ51" s="105">
        <v>19651.2</v>
      </c>
      <c r="BR51" s="105">
        <v>26</v>
      </c>
      <c r="BS51" s="105">
        <v>22214.399999999998</v>
      </c>
      <c r="BT51" s="105">
        <v>27</v>
      </c>
      <c r="BU51" s="105">
        <v>23068.799999999999</v>
      </c>
      <c r="BV51" s="105">
        <v>18</v>
      </c>
      <c r="BW51" s="105">
        <v>15379.199999999999</v>
      </c>
      <c r="BX51" s="105">
        <v>33.743826922945125</v>
      </c>
      <c r="BY51" s="105">
        <v>28830.725722964315</v>
      </c>
      <c r="BZ51" s="105">
        <v>1.7599745890881719</v>
      </c>
      <c r="CA51" s="105">
        <v>1503.7222889169341</v>
      </c>
      <c r="CB51" s="105">
        <v>15.473358866957504</v>
      </c>
      <c r="CC51" s="105">
        <v>13220.437815928492</v>
      </c>
      <c r="CD51" s="105">
        <v>13.779136566747345</v>
      </c>
      <c r="CE51" s="105">
        <v>11772.894282628931</v>
      </c>
      <c r="CF51" s="105">
        <v>1.2081866197183098</v>
      </c>
      <c r="CG51" s="105">
        <v>1032.2746478873239</v>
      </c>
      <c r="CH51" s="105">
        <v>10.253829235996674</v>
      </c>
      <c r="CI51" s="105">
        <v>8760.8716992355585</v>
      </c>
      <c r="CJ51" s="105">
        <v>4.7194969211761668</v>
      </c>
      <c r="CK51" s="105">
        <v>4032.3381694529166</v>
      </c>
      <c r="CL51" s="105">
        <v>36.781291194068345</v>
      </c>
      <c r="CM51" s="105">
        <v>31425.935196211994</v>
      </c>
      <c r="CN51" s="105">
        <v>15.960068853209913</v>
      </c>
      <c r="CO51" s="105">
        <v>13636.28282818255</v>
      </c>
      <c r="CP51" s="105">
        <v>6.2680742480335789</v>
      </c>
      <c r="CQ51" s="105">
        <v>5355.44263751989</v>
      </c>
      <c r="CR51" s="105">
        <v>1.4669309516965343</v>
      </c>
      <c r="CS51" s="105">
        <v>1253.3458051295188</v>
      </c>
      <c r="CT51" s="105">
        <v>8.580317276682301</v>
      </c>
      <c r="CU51" s="105">
        <v>7331.0230811973579</v>
      </c>
    </row>
    <row r="52" spans="2:99" x14ac:dyDescent="0.25">
      <c r="C52" s="104" t="s">
        <v>217</v>
      </c>
      <c r="D52" s="105">
        <v>0</v>
      </c>
      <c r="E52" s="105">
        <v>0</v>
      </c>
      <c r="F52" s="105">
        <v>0</v>
      </c>
      <c r="G52" s="105">
        <v>0</v>
      </c>
      <c r="H52" s="105">
        <v>6</v>
      </c>
      <c r="I52" s="105">
        <v>3240</v>
      </c>
      <c r="J52" s="105">
        <v>3</v>
      </c>
      <c r="K52" s="105">
        <v>1620</v>
      </c>
      <c r="L52" s="105">
        <v>5</v>
      </c>
      <c r="M52" s="105">
        <v>2700</v>
      </c>
      <c r="N52" s="105">
        <v>5</v>
      </c>
      <c r="O52" s="105">
        <v>2700</v>
      </c>
      <c r="P52" s="105">
        <v>5</v>
      </c>
      <c r="Q52" s="105">
        <v>2700</v>
      </c>
      <c r="R52" s="105">
        <v>5</v>
      </c>
      <c r="S52" s="105">
        <v>2700</v>
      </c>
      <c r="T52" s="105">
        <v>6</v>
      </c>
      <c r="U52" s="105">
        <v>3240</v>
      </c>
      <c r="V52" s="105">
        <v>9</v>
      </c>
      <c r="W52" s="105">
        <v>4860</v>
      </c>
      <c r="X52" s="105">
        <v>7</v>
      </c>
      <c r="Y52" s="105">
        <v>3780</v>
      </c>
      <c r="Z52" s="105">
        <v>9</v>
      </c>
      <c r="AA52" s="105">
        <v>4860</v>
      </c>
      <c r="AB52" s="105">
        <v>6</v>
      </c>
      <c r="AC52" s="105">
        <v>3240</v>
      </c>
      <c r="AD52" s="105">
        <v>7</v>
      </c>
      <c r="AE52" s="105">
        <v>3780</v>
      </c>
      <c r="AF52" s="105">
        <v>8</v>
      </c>
      <c r="AG52" s="105">
        <v>4320</v>
      </c>
      <c r="AH52" s="105">
        <v>10</v>
      </c>
      <c r="AI52" s="105">
        <v>5400</v>
      </c>
      <c r="AJ52" s="105">
        <v>12</v>
      </c>
      <c r="AK52" s="105">
        <v>6480</v>
      </c>
      <c r="AL52" s="105">
        <v>10</v>
      </c>
      <c r="AM52" s="105">
        <v>5400</v>
      </c>
      <c r="AN52" s="105">
        <v>10</v>
      </c>
      <c r="AO52" s="105">
        <v>5400</v>
      </c>
      <c r="AP52" s="105">
        <v>9</v>
      </c>
      <c r="AQ52" s="105">
        <v>4860</v>
      </c>
      <c r="AR52" s="105">
        <v>15</v>
      </c>
      <c r="AS52" s="105">
        <v>8100</v>
      </c>
      <c r="AT52" s="105">
        <v>9</v>
      </c>
      <c r="AU52" s="105">
        <v>4860</v>
      </c>
      <c r="AV52" s="105">
        <v>9</v>
      </c>
      <c r="AW52" s="105">
        <v>4860</v>
      </c>
      <c r="AX52" s="105">
        <v>16</v>
      </c>
      <c r="AY52" s="105">
        <v>8640</v>
      </c>
      <c r="AZ52" s="105">
        <v>18</v>
      </c>
      <c r="BA52" s="105">
        <v>9720</v>
      </c>
      <c r="BB52" s="105">
        <v>13</v>
      </c>
      <c r="BC52" s="105">
        <v>7020</v>
      </c>
      <c r="BD52" s="105">
        <v>15</v>
      </c>
      <c r="BE52" s="105">
        <v>8100</v>
      </c>
      <c r="BF52" s="105">
        <v>11</v>
      </c>
      <c r="BG52" s="105">
        <v>5940</v>
      </c>
      <c r="BH52" s="105">
        <v>14</v>
      </c>
      <c r="BI52" s="105">
        <v>7560</v>
      </c>
      <c r="BJ52" s="105">
        <v>25</v>
      </c>
      <c r="BK52" s="105">
        <v>13500</v>
      </c>
      <c r="BL52" s="105">
        <v>24</v>
      </c>
      <c r="BM52" s="105">
        <v>12960</v>
      </c>
      <c r="BN52" s="105">
        <v>16</v>
      </c>
      <c r="BO52" s="105">
        <v>8640</v>
      </c>
      <c r="BP52" s="105">
        <v>25</v>
      </c>
      <c r="BQ52" s="105">
        <v>13500</v>
      </c>
      <c r="BR52" s="105">
        <v>28</v>
      </c>
      <c r="BS52" s="105">
        <v>15120</v>
      </c>
      <c r="BT52" s="105">
        <v>27</v>
      </c>
      <c r="BU52" s="105">
        <v>14580</v>
      </c>
      <c r="BV52" s="105">
        <v>16</v>
      </c>
      <c r="BW52" s="105">
        <v>8640</v>
      </c>
      <c r="BX52" s="105">
        <v>38.805400961386894</v>
      </c>
      <c r="BY52" s="105">
        <v>20954.916519148923</v>
      </c>
      <c r="BZ52" s="105">
        <v>2.1006148321374956</v>
      </c>
      <c r="CA52" s="105">
        <v>1134.3320093542477</v>
      </c>
      <c r="CB52" s="105">
        <v>16.540487064678711</v>
      </c>
      <c r="CC52" s="105">
        <v>8931.8630149265045</v>
      </c>
      <c r="CD52" s="105">
        <v>14.485758954785672</v>
      </c>
      <c r="CE52" s="105">
        <v>7822.3098355842631</v>
      </c>
      <c r="CF52" s="105">
        <v>1.1685739436619718</v>
      </c>
      <c r="CG52" s="105">
        <v>631.02992957746471</v>
      </c>
      <c r="CH52" s="105">
        <v>9.7655516533301672</v>
      </c>
      <c r="CI52" s="105">
        <v>5273.3978927982898</v>
      </c>
      <c r="CJ52" s="105">
        <v>4.944234869803604</v>
      </c>
      <c r="CK52" s="105">
        <v>2669.8868296939463</v>
      </c>
      <c r="CL52" s="105">
        <v>35.631875844253706</v>
      </c>
      <c r="CM52" s="105">
        <v>19241.212955897001</v>
      </c>
      <c r="CN52" s="105">
        <v>18.816081174310636</v>
      </c>
      <c r="CO52" s="105">
        <v>10160.683834127743</v>
      </c>
      <c r="CP52" s="105">
        <v>7.279053965458349</v>
      </c>
      <c r="CQ52" s="105">
        <v>3930.6891413475087</v>
      </c>
      <c r="CR52" s="105">
        <v>1.6861275306856718</v>
      </c>
      <c r="CS52" s="105">
        <v>910.50886657026274</v>
      </c>
      <c r="CT52" s="105">
        <v>9.1071788638470039</v>
      </c>
      <c r="CU52" s="105">
        <v>4917.8765864773823</v>
      </c>
    </row>
    <row r="53" spans="2:99" x14ac:dyDescent="0.25">
      <c r="C53" s="104" t="s">
        <v>218</v>
      </c>
      <c r="D53" s="105">
        <v>0</v>
      </c>
      <c r="E53" s="105">
        <v>0</v>
      </c>
      <c r="F53" s="105">
        <v>0</v>
      </c>
      <c r="G53" s="105">
        <v>0</v>
      </c>
      <c r="H53" s="105">
        <v>6</v>
      </c>
      <c r="I53" s="105">
        <v>2440.8000000000002</v>
      </c>
      <c r="J53" s="105">
        <v>3</v>
      </c>
      <c r="K53" s="105">
        <v>1220.4000000000001</v>
      </c>
      <c r="L53" s="105">
        <v>5</v>
      </c>
      <c r="M53" s="105">
        <v>2034</v>
      </c>
      <c r="N53" s="105">
        <v>5</v>
      </c>
      <c r="O53" s="105">
        <v>2034</v>
      </c>
      <c r="P53" s="105">
        <v>5</v>
      </c>
      <c r="Q53" s="105">
        <v>2034</v>
      </c>
      <c r="R53" s="105">
        <v>6</v>
      </c>
      <c r="S53" s="105">
        <v>2440.8000000000002</v>
      </c>
      <c r="T53" s="105">
        <v>6</v>
      </c>
      <c r="U53" s="105">
        <v>2440.8000000000002</v>
      </c>
      <c r="V53" s="105">
        <v>8</v>
      </c>
      <c r="W53" s="105">
        <v>3254.4</v>
      </c>
      <c r="X53" s="105">
        <v>7</v>
      </c>
      <c r="Y53" s="105">
        <v>2847.6</v>
      </c>
      <c r="Z53" s="105">
        <v>9</v>
      </c>
      <c r="AA53" s="105">
        <v>3661.2000000000003</v>
      </c>
      <c r="AB53" s="105">
        <v>7</v>
      </c>
      <c r="AC53" s="105">
        <v>2847.6</v>
      </c>
      <c r="AD53" s="105">
        <v>7</v>
      </c>
      <c r="AE53" s="105">
        <v>2847.6</v>
      </c>
      <c r="AF53" s="105">
        <v>9</v>
      </c>
      <c r="AG53" s="105">
        <v>3661.2000000000003</v>
      </c>
      <c r="AH53" s="105">
        <v>8</v>
      </c>
      <c r="AI53" s="105">
        <v>3254.4</v>
      </c>
      <c r="AJ53" s="105">
        <v>12</v>
      </c>
      <c r="AK53" s="105">
        <v>4881.6000000000004</v>
      </c>
      <c r="AL53" s="105">
        <v>10</v>
      </c>
      <c r="AM53" s="105">
        <v>4068</v>
      </c>
      <c r="AN53" s="105">
        <v>10</v>
      </c>
      <c r="AO53" s="105">
        <v>4068</v>
      </c>
      <c r="AP53" s="105">
        <v>11</v>
      </c>
      <c r="AQ53" s="105">
        <v>4474.8</v>
      </c>
      <c r="AR53" s="105">
        <v>16</v>
      </c>
      <c r="AS53" s="105">
        <v>6508.8</v>
      </c>
      <c r="AT53" s="105">
        <v>8</v>
      </c>
      <c r="AU53" s="105">
        <v>3254.4</v>
      </c>
      <c r="AV53" s="105">
        <v>11</v>
      </c>
      <c r="AW53" s="105">
        <v>4474.8</v>
      </c>
      <c r="AX53" s="105">
        <v>15</v>
      </c>
      <c r="AY53" s="105">
        <v>6102</v>
      </c>
      <c r="AZ53" s="105">
        <v>18</v>
      </c>
      <c r="BA53" s="105">
        <v>7322.4000000000005</v>
      </c>
      <c r="BB53" s="105">
        <v>13</v>
      </c>
      <c r="BC53" s="105">
        <v>5288.4000000000005</v>
      </c>
      <c r="BD53" s="105">
        <v>14</v>
      </c>
      <c r="BE53" s="105">
        <v>5695.2</v>
      </c>
      <c r="BF53" s="105">
        <v>12</v>
      </c>
      <c r="BG53" s="105">
        <v>4881.6000000000004</v>
      </c>
      <c r="BH53" s="105">
        <v>13</v>
      </c>
      <c r="BI53" s="105">
        <v>5288.4000000000005</v>
      </c>
      <c r="BJ53" s="105">
        <v>25</v>
      </c>
      <c r="BK53" s="105">
        <v>10170</v>
      </c>
      <c r="BL53" s="105">
        <v>24</v>
      </c>
      <c r="BM53" s="105">
        <v>9763.2000000000007</v>
      </c>
      <c r="BN53" s="105">
        <v>16</v>
      </c>
      <c r="BO53" s="105">
        <v>6508.8</v>
      </c>
      <c r="BP53" s="105">
        <v>24</v>
      </c>
      <c r="BQ53" s="105">
        <v>9763.2000000000007</v>
      </c>
      <c r="BR53" s="105">
        <v>27</v>
      </c>
      <c r="BS53" s="105">
        <v>10983.6</v>
      </c>
      <c r="BT53" s="105">
        <v>30</v>
      </c>
      <c r="BU53" s="105">
        <v>12204</v>
      </c>
      <c r="BV53" s="105">
        <v>20</v>
      </c>
      <c r="BW53" s="105">
        <v>8136</v>
      </c>
      <c r="BX53" s="105">
        <v>33.743826922945125</v>
      </c>
      <c r="BY53" s="105">
        <v>13726.988792254077</v>
      </c>
      <c r="BZ53" s="105">
        <v>2.0438414582959417</v>
      </c>
      <c r="CA53" s="105">
        <v>831.43470523478913</v>
      </c>
      <c r="CB53" s="105">
        <v>16.540487064678711</v>
      </c>
      <c r="CC53" s="105">
        <v>6728.6701379113001</v>
      </c>
      <c r="CD53" s="105">
        <v>15.192381342823996</v>
      </c>
      <c r="CE53" s="105">
        <v>6180.2607302608021</v>
      </c>
      <c r="CF53" s="105">
        <v>1.1685739436619718</v>
      </c>
      <c r="CG53" s="105">
        <v>475.37588028169012</v>
      </c>
      <c r="CH53" s="105">
        <v>10.904866012885353</v>
      </c>
      <c r="CI53" s="105">
        <v>4436.0994940417622</v>
      </c>
      <c r="CJ53" s="105">
        <v>4.2700210239212941</v>
      </c>
      <c r="CK53" s="105">
        <v>1737.0445525311825</v>
      </c>
      <c r="CL53" s="105">
        <v>41.378952593326886</v>
      </c>
      <c r="CM53" s="105">
        <v>16832.957914965376</v>
      </c>
      <c r="CN53" s="105">
        <v>16.800072477063065</v>
      </c>
      <c r="CO53" s="105">
        <v>6834.2694836692554</v>
      </c>
      <c r="CP53" s="105">
        <v>6.4702701915185337</v>
      </c>
      <c r="CQ53" s="105">
        <v>2632.1059139097397</v>
      </c>
      <c r="CR53" s="105">
        <v>1.6186824294582449</v>
      </c>
      <c r="CS53" s="105">
        <v>658.4800123036141</v>
      </c>
      <c r="CT53" s="105">
        <v>8.9566469817999455</v>
      </c>
      <c r="CU53" s="105">
        <v>3643.5639921962179</v>
      </c>
    </row>
    <row r="54" spans="2:99" x14ac:dyDescent="0.25">
      <c r="C54" s="104" t="s">
        <v>219</v>
      </c>
      <c r="D54" s="105">
        <v>0</v>
      </c>
      <c r="E54" s="105">
        <v>0</v>
      </c>
      <c r="F54" s="105">
        <v>0</v>
      </c>
      <c r="G54" s="105">
        <v>0</v>
      </c>
      <c r="H54" s="105">
        <v>6</v>
      </c>
      <c r="I54" s="105">
        <v>2008.8000000000002</v>
      </c>
      <c r="J54" s="105">
        <v>3</v>
      </c>
      <c r="K54" s="105">
        <v>1004.4000000000001</v>
      </c>
      <c r="L54" s="105">
        <v>5</v>
      </c>
      <c r="M54" s="105">
        <v>1674</v>
      </c>
      <c r="N54" s="105">
        <v>5</v>
      </c>
      <c r="O54" s="105">
        <v>1674</v>
      </c>
      <c r="P54" s="105">
        <v>5</v>
      </c>
      <c r="Q54" s="105">
        <v>1674</v>
      </c>
      <c r="R54" s="105">
        <v>5</v>
      </c>
      <c r="S54" s="105">
        <v>1674</v>
      </c>
      <c r="T54" s="105">
        <v>6</v>
      </c>
      <c r="U54" s="105">
        <v>2008.8000000000002</v>
      </c>
      <c r="V54" s="105">
        <v>8</v>
      </c>
      <c r="W54" s="105">
        <v>2678.4</v>
      </c>
      <c r="X54" s="105">
        <v>7</v>
      </c>
      <c r="Y54" s="105">
        <v>2343.6</v>
      </c>
      <c r="Z54" s="105">
        <v>8</v>
      </c>
      <c r="AA54" s="105">
        <v>2678.4</v>
      </c>
      <c r="AB54" s="105">
        <v>6</v>
      </c>
      <c r="AC54" s="105">
        <v>2008.8000000000002</v>
      </c>
      <c r="AD54" s="105">
        <v>7</v>
      </c>
      <c r="AE54" s="105">
        <v>2343.6</v>
      </c>
      <c r="AF54" s="105">
        <v>9</v>
      </c>
      <c r="AG54" s="105">
        <v>3013.2000000000003</v>
      </c>
      <c r="AH54" s="105">
        <v>10</v>
      </c>
      <c r="AI54" s="105">
        <v>3348</v>
      </c>
      <c r="AJ54" s="105">
        <v>11</v>
      </c>
      <c r="AK54" s="105">
        <v>3682.8</v>
      </c>
      <c r="AL54" s="105">
        <v>10</v>
      </c>
      <c r="AM54" s="105">
        <v>3348</v>
      </c>
      <c r="AN54" s="105">
        <v>10</v>
      </c>
      <c r="AO54" s="105">
        <v>3348</v>
      </c>
      <c r="AP54" s="105">
        <v>10</v>
      </c>
      <c r="AQ54" s="105">
        <v>3348</v>
      </c>
      <c r="AR54" s="105">
        <v>13</v>
      </c>
      <c r="AS54" s="105">
        <v>4352.4000000000005</v>
      </c>
      <c r="AT54" s="105">
        <v>9</v>
      </c>
      <c r="AU54" s="105">
        <v>3013.2000000000003</v>
      </c>
      <c r="AV54" s="105">
        <v>10</v>
      </c>
      <c r="AW54" s="105">
        <v>3348</v>
      </c>
      <c r="AX54" s="105">
        <v>16</v>
      </c>
      <c r="AY54" s="105">
        <v>5356.8</v>
      </c>
      <c r="AZ54" s="105">
        <v>21</v>
      </c>
      <c r="BA54" s="105">
        <v>7030.8</v>
      </c>
      <c r="BB54" s="105">
        <v>14</v>
      </c>
      <c r="BC54" s="105">
        <v>4687.2</v>
      </c>
      <c r="BD54" s="105">
        <v>15</v>
      </c>
      <c r="BE54" s="105">
        <v>5022</v>
      </c>
      <c r="BF54" s="105">
        <v>12</v>
      </c>
      <c r="BG54" s="105">
        <v>4017.6000000000004</v>
      </c>
      <c r="BH54" s="105">
        <v>13</v>
      </c>
      <c r="BI54" s="105">
        <v>4352.4000000000005</v>
      </c>
      <c r="BJ54" s="105">
        <v>27</v>
      </c>
      <c r="BK54" s="105">
        <v>9039.6</v>
      </c>
      <c r="BL54" s="105">
        <v>27</v>
      </c>
      <c r="BM54" s="105">
        <v>9039.6</v>
      </c>
      <c r="BN54" s="105">
        <v>17</v>
      </c>
      <c r="BO54" s="105">
        <v>5691.6</v>
      </c>
      <c r="BP54" s="105">
        <v>22</v>
      </c>
      <c r="BQ54" s="105">
        <v>7365.6</v>
      </c>
      <c r="BR54" s="105">
        <v>28</v>
      </c>
      <c r="BS54" s="105">
        <v>9374.4</v>
      </c>
      <c r="BT54" s="105">
        <v>28</v>
      </c>
      <c r="BU54" s="105">
        <v>9374.4</v>
      </c>
      <c r="BV54" s="105">
        <v>19</v>
      </c>
      <c r="BW54" s="105">
        <v>6361.2</v>
      </c>
      <c r="BX54" s="105">
        <v>37.961805288313272</v>
      </c>
      <c r="BY54" s="105">
        <v>12709.612410527285</v>
      </c>
      <c r="BZ54" s="105">
        <v>2.2709349536621573</v>
      </c>
      <c r="CA54" s="105">
        <v>760.30902248609027</v>
      </c>
      <c r="CB54" s="105">
        <v>16.006922965818106</v>
      </c>
      <c r="CC54" s="105">
        <v>5359.1178089559016</v>
      </c>
      <c r="CD54" s="105">
        <v>14.132447760766508</v>
      </c>
      <c r="CE54" s="105">
        <v>4731.5435103046275</v>
      </c>
      <c r="CF54" s="105">
        <v>1.287411971830986</v>
      </c>
      <c r="CG54" s="105">
        <v>431.02552816901414</v>
      </c>
      <c r="CH54" s="105">
        <v>11.881421178218369</v>
      </c>
      <c r="CI54" s="105">
        <v>3977.8998104675102</v>
      </c>
      <c r="CJ54" s="105">
        <v>4.4947589725487305</v>
      </c>
      <c r="CK54" s="105">
        <v>1504.845304009315</v>
      </c>
      <c r="CL54" s="105">
        <v>37.930706543882977</v>
      </c>
      <c r="CM54" s="105">
        <v>12699.200550892021</v>
      </c>
      <c r="CN54" s="105">
        <v>17.976077550457482</v>
      </c>
      <c r="CO54" s="105">
        <v>6018.3907638931651</v>
      </c>
      <c r="CP54" s="105">
        <v>7.7845438241707345</v>
      </c>
      <c r="CQ54" s="105">
        <v>2606.2652723323622</v>
      </c>
      <c r="CR54" s="105">
        <v>1.601821154151388</v>
      </c>
      <c r="CS54" s="105">
        <v>536.28972240988469</v>
      </c>
      <c r="CT54" s="105">
        <v>8.580317276682301</v>
      </c>
      <c r="CU54" s="105">
        <v>2872.6902242332344</v>
      </c>
    </row>
    <row r="55" spans="2:99" x14ac:dyDescent="0.25">
      <c r="C55" s="104" t="s">
        <v>220</v>
      </c>
      <c r="D55" s="105">
        <v>0</v>
      </c>
      <c r="E55" s="105">
        <v>0</v>
      </c>
      <c r="F55" s="105">
        <v>0</v>
      </c>
      <c r="G55" s="105">
        <v>0</v>
      </c>
      <c r="H55" s="105">
        <v>6</v>
      </c>
      <c r="I55" s="105">
        <v>3981.6000000000004</v>
      </c>
      <c r="J55" s="105">
        <v>3</v>
      </c>
      <c r="K55" s="105">
        <v>1990.8000000000002</v>
      </c>
      <c r="L55" s="105">
        <v>5</v>
      </c>
      <c r="M55" s="105">
        <v>3318</v>
      </c>
      <c r="N55" s="105">
        <v>5</v>
      </c>
      <c r="O55" s="105">
        <v>3318</v>
      </c>
      <c r="P55" s="105">
        <v>5</v>
      </c>
      <c r="Q55" s="105">
        <v>3318</v>
      </c>
      <c r="R55" s="105">
        <v>5</v>
      </c>
      <c r="S55" s="105">
        <v>3318</v>
      </c>
      <c r="T55" s="105">
        <v>6</v>
      </c>
      <c r="U55" s="105">
        <v>3981.6000000000004</v>
      </c>
      <c r="V55" s="105">
        <v>7</v>
      </c>
      <c r="W55" s="105">
        <v>4645.2</v>
      </c>
      <c r="X55" s="105">
        <v>7</v>
      </c>
      <c r="Y55" s="105">
        <v>4645.2</v>
      </c>
      <c r="Z55" s="105">
        <v>8</v>
      </c>
      <c r="AA55" s="105">
        <v>5308.8</v>
      </c>
      <c r="AB55" s="105">
        <v>6</v>
      </c>
      <c r="AC55" s="105">
        <v>3981.6000000000004</v>
      </c>
      <c r="AD55" s="105">
        <v>7</v>
      </c>
      <c r="AE55" s="105">
        <v>4645.2</v>
      </c>
      <c r="AF55" s="105">
        <v>8</v>
      </c>
      <c r="AG55" s="105">
        <v>5308.8</v>
      </c>
      <c r="AH55" s="105">
        <v>8</v>
      </c>
      <c r="AI55" s="105">
        <v>5308.8</v>
      </c>
      <c r="AJ55" s="105">
        <v>12</v>
      </c>
      <c r="AK55" s="105">
        <v>7963.2000000000007</v>
      </c>
      <c r="AL55" s="105">
        <v>9</v>
      </c>
      <c r="AM55" s="105">
        <v>5972.4000000000005</v>
      </c>
      <c r="AN55" s="105">
        <v>10</v>
      </c>
      <c r="AO55" s="105">
        <v>6636</v>
      </c>
      <c r="AP55" s="105">
        <v>11</v>
      </c>
      <c r="AQ55" s="105">
        <v>7299.6</v>
      </c>
      <c r="AR55" s="105">
        <v>14</v>
      </c>
      <c r="AS55" s="105">
        <v>9290.4</v>
      </c>
      <c r="AT55" s="105">
        <v>8</v>
      </c>
      <c r="AU55" s="105">
        <v>5308.8</v>
      </c>
      <c r="AV55" s="105">
        <v>10</v>
      </c>
      <c r="AW55" s="105">
        <v>6636</v>
      </c>
      <c r="AX55" s="105">
        <v>16</v>
      </c>
      <c r="AY55" s="105">
        <v>10617.6</v>
      </c>
      <c r="AZ55" s="105">
        <v>18</v>
      </c>
      <c r="BA55" s="105">
        <v>11944.800000000001</v>
      </c>
      <c r="BB55" s="105">
        <v>15</v>
      </c>
      <c r="BC55" s="105">
        <v>9954</v>
      </c>
      <c r="BD55" s="105">
        <v>15</v>
      </c>
      <c r="BE55" s="105">
        <v>9954</v>
      </c>
      <c r="BF55" s="105">
        <v>12</v>
      </c>
      <c r="BG55" s="105">
        <v>7963.2000000000007</v>
      </c>
      <c r="BH55" s="105">
        <v>13</v>
      </c>
      <c r="BI55" s="105">
        <v>8626.8000000000011</v>
      </c>
      <c r="BJ55" s="105">
        <v>26</v>
      </c>
      <c r="BK55" s="105">
        <v>17253.600000000002</v>
      </c>
      <c r="BL55" s="105">
        <v>24</v>
      </c>
      <c r="BM55" s="105">
        <v>15926.400000000001</v>
      </c>
      <c r="BN55" s="105">
        <v>16</v>
      </c>
      <c r="BO55" s="105">
        <v>10617.6</v>
      </c>
      <c r="BP55" s="105">
        <v>22</v>
      </c>
      <c r="BQ55" s="105">
        <v>14599.2</v>
      </c>
      <c r="BR55" s="105">
        <v>27</v>
      </c>
      <c r="BS55" s="105">
        <v>17917.2</v>
      </c>
      <c r="BT55" s="105">
        <v>28</v>
      </c>
      <c r="BU55" s="105">
        <v>18580.8</v>
      </c>
      <c r="BV55" s="105">
        <v>16</v>
      </c>
      <c r="BW55" s="105">
        <v>10617.6</v>
      </c>
      <c r="BX55" s="105">
        <v>32.900231249871496</v>
      </c>
      <c r="BY55" s="105">
        <v>21832.593457414725</v>
      </c>
      <c r="BZ55" s="105">
        <v>1.9870680844543878</v>
      </c>
      <c r="CA55" s="105">
        <v>1318.6183808439318</v>
      </c>
      <c r="CB55" s="105">
        <v>16.006922965818106</v>
      </c>
      <c r="CC55" s="105">
        <v>10622.194080116895</v>
      </c>
      <c r="CD55" s="105">
        <v>13.779136566747345</v>
      </c>
      <c r="CE55" s="105">
        <v>9143.8350256935391</v>
      </c>
      <c r="CF55" s="105">
        <v>1.227992957746479</v>
      </c>
      <c r="CG55" s="105">
        <v>814.89612676056345</v>
      </c>
      <c r="CH55" s="105">
        <v>10.253829235996674</v>
      </c>
      <c r="CI55" s="105">
        <v>6804.4410810073932</v>
      </c>
      <c r="CJ55" s="105">
        <v>4.2700210239212941</v>
      </c>
      <c r="CK55" s="105">
        <v>2833.585951474171</v>
      </c>
      <c r="CL55" s="105">
        <v>37.355998868975661</v>
      </c>
      <c r="CM55" s="105">
        <v>24789.44084945225</v>
      </c>
      <c r="CN55" s="105">
        <v>15.792068128439283</v>
      </c>
      <c r="CO55" s="105">
        <v>10479.616410032308</v>
      </c>
      <c r="CP55" s="105">
        <v>6.1669762762911011</v>
      </c>
      <c r="CQ55" s="105">
        <v>4092.4054569467748</v>
      </c>
      <c r="CR55" s="105">
        <v>1.382624575162251</v>
      </c>
      <c r="CS55" s="105">
        <v>917.50966807766986</v>
      </c>
      <c r="CT55" s="105">
        <v>8.1287216305411274</v>
      </c>
      <c r="CU55" s="105">
        <v>5394.219674027092</v>
      </c>
    </row>
    <row r="56" spans="2:99" x14ac:dyDescent="0.25">
      <c r="C56" s="104" t="s">
        <v>221</v>
      </c>
      <c r="D56" s="105">
        <v>0</v>
      </c>
      <c r="E56" s="105">
        <v>0</v>
      </c>
      <c r="F56" s="105">
        <v>0</v>
      </c>
      <c r="G56" s="105">
        <v>0</v>
      </c>
      <c r="H56" s="105">
        <v>5</v>
      </c>
      <c r="I56" s="105">
        <v>5754</v>
      </c>
      <c r="J56" s="105">
        <v>3</v>
      </c>
      <c r="K56" s="105">
        <v>3452.3999999999996</v>
      </c>
      <c r="L56" s="105">
        <v>5</v>
      </c>
      <c r="M56" s="105">
        <v>5754</v>
      </c>
      <c r="N56" s="105">
        <v>5</v>
      </c>
      <c r="O56" s="105">
        <v>5754</v>
      </c>
      <c r="P56" s="105">
        <v>4</v>
      </c>
      <c r="Q56" s="105">
        <v>4603.2</v>
      </c>
      <c r="R56" s="105">
        <v>5</v>
      </c>
      <c r="S56" s="105">
        <v>5754</v>
      </c>
      <c r="T56" s="105">
        <v>7</v>
      </c>
      <c r="U56" s="105">
        <v>8055.5999999999995</v>
      </c>
      <c r="V56" s="105">
        <v>8</v>
      </c>
      <c r="W56" s="105">
        <v>9206.4</v>
      </c>
      <c r="X56" s="105">
        <v>7</v>
      </c>
      <c r="Y56" s="105">
        <v>8055.5999999999995</v>
      </c>
      <c r="Z56" s="105">
        <v>8</v>
      </c>
      <c r="AA56" s="105">
        <v>9206.4</v>
      </c>
      <c r="AB56" s="105">
        <v>6</v>
      </c>
      <c r="AC56" s="105">
        <v>6904.7999999999993</v>
      </c>
      <c r="AD56" s="105">
        <v>7</v>
      </c>
      <c r="AE56" s="105">
        <v>8055.5999999999995</v>
      </c>
      <c r="AF56" s="105">
        <v>8</v>
      </c>
      <c r="AG56" s="105">
        <v>9206.4</v>
      </c>
      <c r="AH56" s="105">
        <v>8</v>
      </c>
      <c r="AI56" s="105">
        <v>9206.4</v>
      </c>
      <c r="AJ56" s="105">
        <v>11</v>
      </c>
      <c r="AK56" s="105">
        <v>12658.8</v>
      </c>
      <c r="AL56" s="105">
        <v>9</v>
      </c>
      <c r="AM56" s="105">
        <v>10357.199999999999</v>
      </c>
      <c r="AN56" s="105">
        <v>10</v>
      </c>
      <c r="AO56" s="105">
        <v>11508</v>
      </c>
      <c r="AP56" s="105">
        <v>9</v>
      </c>
      <c r="AQ56" s="105">
        <v>10357.199999999999</v>
      </c>
      <c r="AR56" s="105">
        <v>13</v>
      </c>
      <c r="AS56" s="105">
        <v>14960.4</v>
      </c>
      <c r="AT56" s="105">
        <v>8</v>
      </c>
      <c r="AU56" s="105">
        <v>9206.4</v>
      </c>
      <c r="AV56" s="105">
        <v>10</v>
      </c>
      <c r="AW56" s="105">
        <v>11508</v>
      </c>
      <c r="AX56" s="105">
        <v>15</v>
      </c>
      <c r="AY56" s="105">
        <v>17262</v>
      </c>
      <c r="AZ56" s="105">
        <v>17</v>
      </c>
      <c r="BA56" s="105">
        <v>19563.599999999999</v>
      </c>
      <c r="BB56" s="105">
        <v>12</v>
      </c>
      <c r="BC56" s="105">
        <v>13809.599999999999</v>
      </c>
      <c r="BD56" s="105">
        <v>15</v>
      </c>
      <c r="BE56" s="105">
        <v>17262</v>
      </c>
      <c r="BF56" s="105">
        <v>11</v>
      </c>
      <c r="BG56" s="105">
        <v>12658.8</v>
      </c>
      <c r="BH56" s="105">
        <v>14</v>
      </c>
      <c r="BI56" s="105">
        <v>16111.199999999999</v>
      </c>
      <c r="BJ56" s="105">
        <v>25</v>
      </c>
      <c r="BK56" s="105">
        <v>28770</v>
      </c>
      <c r="BL56" s="105">
        <v>21</v>
      </c>
      <c r="BM56" s="105">
        <v>24166.799999999999</v>
      </c>
      <c r="BN56" s="105">
        <v>15</v>
      </c>
      <c r="BO56" s="105">
        <v>17262</v>
      </c>
      <c r="BP56" s="105">
        <v>24</v>
      </c>
      <c r="BQ56" s="105">
        <v>27619.199999999997</v>
      </c>
      <c r="BR56" s="105">
        <v>26</v>
      </c>
      <c r="BS56" s="105">
        <v>29920.799999999999</v>
      </c>
      <c r="BT56" s="105">
        <v>27</v>
      </c>
      <c r="BU56" s="105">
        <v>31071.599999999999</v>
      </c>
      <c r="BV56" s="105">
        <v>18</v>
      </c>
      <c r="BW56" s="105">
        <v>20714.399999999998</v>
      </c>
      <c r="BX56" s="105">
        <v>39</v>
      </c>
      <c r="BY56" s="105">
        <v>44881.2</v>
      </c>
      <c r="BZ56" s="105">
        <v>34</v>
      </c>
      <c r="CA56" s="105">
        <v>39127.199999999997</v>
      </c>
      <c r="CB56" s="105">
        <v>20.271452219040789</v>
      </c>
      <c r="CC56" s="105">
        <v>23328.38721367214</v>
      </c>
      <c r="CD56" s="105">
        <v>2.9082779666254637</v>
      </c>
      <c r="CE56" s="105">
        <v>3346.8462839925833</v>
      </c>
      <c r="CF56" s="105">
        <v>1.2546104434314131</v>
      </c>
      <c r="CG56" s="105">
        <v>1443.8056983008703</v>
      </c>
      <c r="CH56" s="105">
        <v>18.235799249137688</v>
      </c>
      <c r="CI56" s="105">
        <v>20985.757775907652</v>
      </c>
      <c r="CJ56" s="105">
        <v>12.892725395965885</v>
      </c>
      <c r="CK56" s="105">
        <v>14836.948385677539</v>
      </c>
      <c r="CL56" s="105">
        <v>40.334098808341608</v>
      </c>
      <c r="CM56" s="105">
        <v>46416.480908639518</v>
      </c>
      <c r="CN56" s="105">
        <v>2.9820677123182859</v>
      </c>
      <c r="CO56" s="105">
        <v>3431.7635233358833</v>
      </c>
      <c r="CP56" s="105">
        <v>13.979124460312189</v>
      </c>
      <c r="CQ56" s="105">
        <v>16087.176428927267</v>
      </c>
      <c r="CR56" s="105">
        <v>19.479619565217391</v>
      </c>
      <c r="CS56" s="105">
        <v>22417.146195652171</v>
      </c>
      <c r="CT56" s="105">
        <v>4.2798124123422161</v>
      </c>
      <c r="CU56" s="105">
        <v>4925.2081241234218</v>
      </c>
    </row>
    <row r="57" spans="2:99" x14ac:dyDescent="0.25">
      <c r="C57" s="104" t="s">
        <v>222</v>
      </c>
      <c r="D57" s="105">
        <v>0</v>
      </c>
      <c r="E57" s="105">
        <v>0</v>
      </c>
      <c r="F57" s="105">
        <v>0</v>
      </c>
      <c r="G57" s="105">
        <v>0</v>
      </c>
      <c r="H57" s="105">
        <v>6</v>
      </c>
      <c r="I57" s="105">
        <v>8467.2000000000007</v>
      </c>
      <c r="J57" s="105">
        <v>3</v>
      </c>
      <c r="K57" s="105">
        <v>4233.6000000000004</v>
      </c>
      <c r="L57" s="105">
        <v>5</v>
      </c>
      <c r="M57" s="105">
        <v>7056</v>
      </c>
      <c r="N57" s="105">
        <v>5</v>
      </c>
      <c r="O57" s="105">
        <v>7056</v>
      </c>
      <c r="P57" s="105">
        <v>5</v>
      </c>
      <c r="Q57" s="105">
        <v>7056</v>
      </c>
      <c r="R57" s="105">
        <v>5</v>
      </c>
      <c r="S57" s="105">
        <v>7056</v>
      </c>
      <c r="T57" s="105">
        <v>7</v>
      </c>
      <c r="U57" s="105">
        <v>9878.4</v>
      </c>
      <c r="V57" s="105">
        <v>7</v>
      </c>
      <c r="W57" s="105">
        <v>9878.4</v>
      </c>
      <c r="X57" s="105">
        <v>6</v>
      </c>
      <c r="Y57" s="105">
        <v>8467.2000000000007</v>
      </c>
      <c r="Z57" s="105">
        <v>8</v>
      </c>
      <c r="AA57" s="105">
        <v>11289.6</v>
      </c>
      <c r="AB57" s="105">
        <v>6</v>
      </c>
      <c r="AC57" s="105">
        <v>8467.2000000000007</v>
      </c>
      <c r="AD57" s="105">
        <v>6</v>
      </c>
      <c r="AE57" s="105">
        <v>8467.2000000000007</v>
      </c>
      <c r="AF57" s="105">
        <v>8</v>
      </c>
      <c r="AG57" s="105">
        <v>11289.6</v>
      </c>
      <c r="AH57" s="105">
        <v>8</v>
      </c>
      <c r="AI57" s="105">
        <v>11289.6</v>
      </c>
      <c r="AJ57" s="105">
        <v>11</v>
      </c>
      <c r="AK57" s="105">
        <v>15523.2</v>
      </c>
      <c r="AL57" s="105">
        <v>9</v>
      </c>
      <c r="AM57" s="105">
        <v>12700.800000000001</v>
      </c>
      <c r="AN57" s="105">
        <v>9</v>
      </c>
      <c r="AO57" s="105">
        <v>12700.800000000001</v>
      </c>
      <c r="AP57" s="105">
        <v>10</v>
      </c>
      <c r="AQ57" s="105">
        <v>14112</v>
      </c>
      <c r="AR57" s="105">
        <v>12</v>
      </c>
      <c r="AS57" s="105">
        <v>16934.400000000001</v>
      </c>
      <c r="AT57" s="105">
        <v>8</v>
      </c>
      <c r="AU57" s="105">
        <v>11289.6</v>
      </c>
      <c r="AV57" s="105">
        <v>10</v>
      </c>
      <c r="AW57" s="105">
        <v>14112</v>
      </c>
      <c r="AX57" s="105">
        <v>13</v>
      </c>
      <c r="AY57" s="105">
        <v>18345.600000000002</v>
      </c>
      <c r="AZ57" s="105">
        <v>18</v>
      </c>
      <c r="BA57" s="105">
        <v>25401.600000000002</v>
      </c>
      <c r="BB57" s="105">
        <v>13</v>
      </c>
      <c r="BC57" s="105">
        <v>18345.600000000002</v>
      </c>
      <c r="BD57" s="105">
        <v>13</v>
      </c>
      <c r="BE57" s="105">
        <v>18345.600000000002</v>
      </c>
      <c r="BF57" s="105">
        <v>12</v>
      </c>
      <c r="BG57" s="105">
        <v>16934.400000000001</v>
      </c>
      <c r="BH57" s="105">
        <v>12</v>
      </c>
      <c r="BI57" s="105">
        <v>16934.400000000001</v>
      </c>
      <c r="BJ57" s="105">
        <v>21</v>
      </c>
      <c r="BK57" s="105">
        <v>29635.200000000001</v>
      </c>
      <c r="BL57" s="105">
        <v>22</v>
      </c>
      <c r="BM57" s="105">
        <v>31046.400000000001</v>
      </c>
      <c r="BN57" s="105">
        <v>16</v>
      </c>
      <c r="BO57" s="105">
        <v>22579.200000000001</v>
      </c>
      <c r="BP57" s="105">
        <v>24</v>
      </c>
      <c r="BQ57" s="105">
        <v>33868.800000000003</v>
      </c>
      <c r="BR57" s="105">
        <v>24</v>
      </c>
      <c r="BS57" s="105">
        <v>33868.800000000003</v>
      </c>
      <c r="BT57" s="105">
        <v>26</v>
      </c>
      <c r="BU57" s="105">
        <v>36691.200000000004</v>
      </c>
      <c r="BV57" s="105">
        <v>15</v>
      </c>
      <c r="BW57" s="105">
        <v>21168</v>
      </c>
      <c r="BX57" s="105">
        <v>28.68225288450336</v>
      </c>
      <c r="BY57" s="105">
        <v>40476.395270611145</v>
      </c>
      <c r="BZ57" s="105">
        <v>1.8167479629297261</v>
      </c>
      <c r="CA57" s="105">
        <v>2563.7947252864296</v>
      </c>
      <c r="CB57" s="105">
        <v>14.939794768096901</v>
      </c>
      <c r="CC57" s="105">
        <v>21083.038376738346</v>
      </c>
      <c r="CD57" s="105">
        <v>12.012580596651533</v>
      </c>
      <c r="CE57" s="105">
        <v>16952.153737994646</v>
      </c>
      <c r="CF57" s="105">
        <v>1.0299295774647887</v>
      </c>
      <c r="CG57" s="105">
        <v>1453.4366197183099</v>
      </c>
      <c r="CH57" s="105">
        <v>8.7889964879971512</v>
      </c>
      <c r="CI57" s="105">
        <v>12403.03184386158</v>
      </c>
      <c r="CJ57" s="105">
        <v>3.7081761523527024</v>
      </c>
      <c r="CK57" s="105">
        <v>5232.9781862001337</v>
      </c>
      <c r="CL57" s="105">
        <v>33.333045144624435</v>
      </c>
      <c r="CM57" s="105">
        <v>47039.593308094001</v>
      </c>
      <c r="CN57" s="105">
        <v>13.608058706421083</v>
      </c>
      <c r="CO57" s="105">
        <v>19203.692446501434</v>
      </c>
      <c r="CP57" s="105">
        <v>6.2680742480335789</v>
      </c>
      <c r="CQ57" s="105">
        <v>8845.5063788249863</v>
      </c>
      <c r="CR57" s="105">
        <v>1.433208401082821</v>
      </c>
      <c r="CS57" s="105">
        <v>2022.5436956080771</v>
      </c>
      <c r="CT57" s="105">
        <v>6.6234028100705489</v>
      </c>
      <c r="CU57" s="105">
        <v>9346.946045571558</v>
      </c>
    </row>
    <row r="58" spans="2:99" x14ac:dyDescent="0.25">
      <c r="C58" s="104" t="s">
        <v>223</v>
      </c>
      <c r="D58" s="105">
        <v>0</v>
      </c>
      <c r="E58" s="105">
        <v>0</v>
      </c>
      <c r="F58" s="105">
        <v>0</v>
      </c>
      <c r="G58" s="105">
        <v>0</v>
      </c>
      <c r="H58" s="105">
        <v>6</v>
      </c>
      <c r="I58" s="105">
        <v>7063.2000000000007</v>
      </c>
      <c r="J58" s="105">
        <v>3</v>
      </c>
      <c r="K58" s="105">
        <v>3531.6000000000004</v>
      </c>
      <c r="L58" s="105">
        <v>5</v>
      </c>
      <c r="M58" s="105">
        <v>5886</v>
      </c>
      <c r="N58" s="105">
        <v>5</v>
      </c>
      <c r="O58" s="105">
        <v>5886</v>
      </c>
      <c r="P58" s="105">
        <v>5</v>
      </c>
      <c r="Q58" s="105">
        <v>5886</v>
      </c>
      <c r="R58" s="105">
        <v>5</v>
      </c>
      <c r="S58" s="105">
        <v>5886</v>
      </c>
      <c r="T58" s="105">
        <v>6</v>
      </c>
      <c r="U58" s="105">
        <v>7063.2000000000007</v>
      </c>
      <c r="V58" s="105">
        <v>7</v>
      </c>
      <c r="W58" s="105">
        <v>8240.4</v>
      </c>
      <c r="X58" s="105">
        <v>6</v>
      </c>
      <c r="Y58" s="105">
        <v>7063.2000000000007</v>
      </c>
      <c r="Z58" s="105">
        <v>8</v>
      </c>
      <c r="AA58" s="105">
        <v>9417.6</v>
      </c>
      <c r="AB58" s="105">
        <v>6</v>
      </c>
      <c r="AC58" s="105">
        <v>7063.2000000000007</v>
      </c>
      <c r="AD58" s="105">
        <v>7</v>
      </c>
      <c r="AE58" s="105">
        <v>8240.4</v>
      </c>
      <c r="AF58" s="105">
        <v>8</v>
      </c>
      <c r="AG58" s="105">
        <v>9417.6</v>
      </c>
      <c r="AH58" s="105">
        <v>8</v>
      </c>
      <c r="AI58" s="105">
        <v>9417.6</v>
      </c>
      <c r="AJ58" s="105">
        <v>10</v>
      </c>
      <c r="AK58" s="105">
        <v>11772</v>
      </c>
      <c r="AL58" s="105">
        <v>9</v>
      </c>
      <c r="AM58" s="105">
        <v>10594.800000000001</v>
      </c>
      <c r="AN58" s="105">
        <v>10</v>
      </c>
      <c r="AO58" s="105">
        <v>11772</v>
      </c>
      <c r="AP58" s="105">
        <v>9</v>
      </c>
      <c r="AQ58" s="105">
        <v>10594.800000000001</v>
      </c>
      <c r="AR58" s="105">
        <v>13</v>
      </c>
      <c r="AS58" s="105">
        <v>15303.6</v>
      </c>
      <c r="AT58" s="105">
        <v>8</v>
      </c>
      <c r="AU58" s="105">
        <v>9417.6</v>
      </c>
      <c r="AV58" s="105">
        <v>10</v>
      </c>
      <c r="AW58" s="105">
        <v>11772</v>
      </c>
      <c r="AX58" s="105">
        <v>15</v>
      </c>
      <c r="AY58" s="105">
        <v>17658</v>
      </c>
      <c r="AZ58" s="105">
        <v>19</v>
      </c>
      <c r="BA58" s="105">
        <v>22366.799999999999</v>
      </c>
      <c r="BB58" s="105">
        <v>14</v>
      </c>
      <c r="BC58" s="105">
        <v>16480.8</v>
      </c>
      <c r="BD58" s="105">
        <v>14</v>
      </c>
      <c r="BE58" s="105">
        <v>16480.8</v>
      </c>
      <c r="BF58" s="105">
        <v>12</v>
      </c>
      <c r="BG58" s="105">
        <v>14126.400000000001</v>
      </c>
      <c r="BH58" s="105">
        <v>14</v>
      </c>
      <c r="BI58" s="105">
        <v>16480.8</v>
      </c>
      <c r="BJ58" s="105">
        <v>23</v>
      </c>
      <c r="BK58" s="105">
        <v>27075.600000000002</v>
      </c>
      <c r="BL58" s="105">
        <v>24</v>
      </c>
      <c r="BM58" s="105">
        <v>28252.800000000003</v>
      </c>
      <c r="BN58" s="105">
        <v>17</v>
      </c>
      <c r="BO58" s="105">
        <v>20012.400000000001</v>
      </c>
      <c r="BP58" s="105">
        <v>24</v>
      </c>
      <c r="BQ58" s="105">
        <v>28252.800000000003</v>
      </c>
      <c r="BR58" s="105">
        <v>23</v>
      </c>
      <c r="BS58" s="105">
        <v>27075.600000000002</v>
      </c>
      <c r="BT58" s="105">
        <v>24</v>
      </c>
      <c r="BU58" s="105">
        <v>28252.800000000003</v>
      </c>
      <c r="BV58" s="105">
        <v>15</v>
      </c>
      <c r="BW58" s="105">
        <v>17658</v>
      </c>
      <c r="BX58" s="105">
        <v>42</v>
      </c>
      <c r="BY58" s="105">
        <v>49442.400000000001</v>
      </c>
      <c r="BZ58" s="105">
        <v>35</v>
      </c>
      <c r="CA58" s="105">
        <v>41202</v>
      </c>
      <c r="CB58" s="105">
        <v>23.514884574087315</v>
      </c>
      <c r="CC58" s="105">
        <v>27681.722120615588</v>
      </c>
      <c r="CD58" s="105">
        <v>2.9964076019777504</v>
      </c>
      <c r="CE58" s="105">
        <v>3527.3710290482077</v>
      </c>
      <c r="CF58" s="105">
        <v>1.423500310816411</v>
      </c>
      <c r="CG58" s="105">
        <v>1675.7445658930792</v>
      </c>
      <c r="CH58" s="105">
        <v>17.647547660455832</v>
      </c>
      <c r="CI58" s="105">
        <v>20774.693105888608</v>
      </c>
      <c r="CJ58" s="105">
        <v>11.925770991268443</v>
      </c>
      <c r="CK58" s="105">
        <v>14039.017610921212</v>
      </c>
      <c r="CL58" s="105">
        <v>38.31739386792453</v>
      </c>
      <c r="CM58" s="105">
        <v>45107.236061320757</v>
      </c>
      <c r="CN58" s="105">
        <v>3.0184343917368017</v>
      </c>
      <c r="CO58" s="105">
        <v>3553.3009659525633</v>
      </c>
      <c r="CP58" s="105">
        <v>15.124954334108267</v>
      </c>
      <c r="CQ58" s="105">
        <v>17805.096242112253</v>
      </c>
      <c r="CR58" s="105">
        <v>22.596358695652174</v>
      </c>
      <c r="CS58" s="105">
        <v>26600.43345652174</v>
      </c>
      <c r="CT58" s="105">
        <v>3.879829943899018</v>
      </c>
      <c r="CU58" s="105">
        <v>4567.3358099579245</v>
      </c>
    </row>
    <row r="59" spans="2:99" x14ac:dyDescent="0.25">
      <c r="C59" s="104" t="s">
        <v>224</v>
      </c>
      <c r="D59" s="105">
        <v>0</v>
      </c>
      <c r="E59" s="105">
        <v>0</v>
      </c>
      <c r="F59" s="105">
        <v>0</v>
      </c>
      <c r="G59" s="105">
        <v>0</v>
      </c>
      <c r="H59" s="105">
        <v>6</v>
      </c>
      <c r="I59" s="105">
        <v>1821.6</v>
      </c>
      <c r="J59" s="105">
        <v>3</v>
      </c>
      <c r="K59" s="105">
        <v>910.8</v>
      </c>
      <c r="L59" s="105">
        <v>5</v>
      </c>
      <c r="M59" s="105">
        <v>1517.9999999999998</v>
      </c>
      <c r="N59" s="105">
        <v>5</v>
      </c>
      <c r="O59" s="105">
        <v>1517.9999999999998</v>
      </c>
      <c r="P59" s="105">
        <v>5</v>
      </c>
      <c r="Q59" s="105">
        <v>1517.9999999999998</v>
      </c>
      <c r="R59" s="105">
        <v>6</v>
      </c>
      <c r="S59" s="105">
        <v>1821.6</v>
      </c>
      <c r="T59" s="105">
        <v>7</v>
      </c>
      <c r="U59" s="105">
        <v>2125.1999999999998</v>
      </c>
      <c r="V59" s="105">
        <v>7</v>
      </c>
      <c r="W59" s="105">
        <v>2125.1999999999998</v>
      </c>
      <c r="X59" s="105">
        <v>7</v>
      </c>
      <c r="Y59" s="105">
        <v>2125.1999999999998</v>
      </c>
      <c r="Z59" s="105">
        <v>8</v>
      </c>
      <c r="AA59" s="105">
        <v>2428.7999999999997</v>
      </c>
      <c r="AB59" s="105">
        <v>7</v>
      </c>
      <c r="AC59" s="105">
        <v>2125.1999999999998</v>
      </c>
      <c r="AD59" s="105">
        <v>7</v>
      </c>
      <c r="AE59" s="105">
        <v>2125.1999999999998</v>
      </c>
      <c r="AF59" s="105">
        <v>9</v>
      </c>
      <c r="AG59" s="105">
        <v>2732.3999999999996</v>
      </c>
      <c r="AH59" s="105">
        <v>9</v>
      </c>
      <c r="AI59" s="105">
        <v>2732.3999999999996</v>
      </c>
      <c r="AJ59" s="105">
        <v>11</v>
      </c>
      <c r="AK59" s="105">
        <v>3339.5999999999995</v>
      </c>
      <c r="AL59" s="105">
        <v>11</v>
      </c>
      <c r="AM59" s="105">
        <v>3339.5999999999995</v>
      </c>
      <c r="AN59" s="105">
        <v>10</v>
      </c>
      <c r="AO59" s="105">
        <v>3035.9999999999995</v>
      </c>
      <c r="AP59" s="105">
        <v>11</v>
      </c>
      <c r="AQ59" s="105">
        <v>3339.5999999999995</v>
      </c>
      <c r="AR59" s="105">
        <v>14</v>
      </c>
      <c r="AS59" s="105">
        <v>4250.3999999999996</v>
      </c>
      <c r="AT59" s="105">
        <v>8</v>
      </c>
      <c r="AU59" s="105">
        <v>2428.7999999999997</v>
      </c>
      <c r="AV59" s="105">
        <v>10</v>
      </c>
      <c r="AW59" s="105">
        <v>3035.9999999999995</v>
      </c>
      <c r="AX59" s="105">
        <v>15</v>
      </c>
      <c r="AY59" s="105">
        <v>4553.9999999999991</v>
      </c>
      <c r="AZ59" s="105">
        <v>18</v>
      </c>
      <c r="BA59" s="105">
        <v>5464.7999999999993</v>
      </c>
      <c r="BB59" s="105">
        <v>15</v>
      </c>
      <c r="BC59" s="105">
        <v>4553.9999999999991</v>
      </c>
      <c r="BD59" s="105">
        <v>16</v>
      </c>
      <c r="BE59" s="105">
        <v>4857.5999999999995</v>
      </c>
      <c r="BF59" s="105">
        <v>11</v>
      </c>
      <c r="BG59" s="105">
        <v>3339.5999999999995</v>
      </c>
      <c r="BH59" s="105">
        <v>14</v>
      </c>
      <c r="BI59" s="105">
        <v>4250.3999999999996</v>
      </c>
      <c r="BJ59" s="105">
        <v>26</v>
      </c>
      <c r="BK59" s="105">
        <v>7893.5999999999995</v>
      </c>
      <c r="BL59" s="105">
        <v>28</v>
      </c>
      <c r="BM59" s="105">
        <v>8500.7999999999993</v>
      </c>
      <c r="BN59" s="105">
        <v>19</v>
      </c>
      <c r="BO59" s="105">
        <v>5768.4</v>
      </c>
      <c r="BP59" s="105">
        <v>24</v>
      </c>
      <c r="BQ59" s="105">
        <v>7286.4</v>
      </c>
      <c r="BR59" s="105">
        <v>29</v>
      </c>
      <c r="BS59" s="105">
        <v>8804.4</v>
      </c>
      <c r="BT59" s="105">
        <v>28</v>
      </c>
      <c r="BU59" s="105">
        <v>8500.7999999999993</v>
      </c>
      <c r="BV59" s="105">
        <v>18</v>
      </c>
      <c r="BW59" s="105">
        <v>5464.7999999999993</v>
      </c>
      <c r="BX59" s="105">
        <v>33.743826922945125</v>
      </c>
      <c r="BY59" s="105">
        <v>10244.625853806139</v>
      </c>
      <c r="BZ59" s="105">
        <v>1.9302947106128339</v>
      </c>
      <c r="CA59" s="105">
        <v>586.03747414205634</v>
      </c>
      <c r="CB59" s="105">
        <v>17.074051163539313</v>
      </c>
      <c r="CC59" s="105">
        <v>5183.6819332505347</v>
      </c>
      <c r="CD59" s="105">
        <v>13.425825372728184</v>
      </c>
      <c r="CE59" s="105">
        <v>4076.0805831602761</v>
      </c>
      <c r="CF59" s="105">
        <v>1.2081866197183098</v>
      </c>
      <c r="CG59" s="105">
        <v>366.80545774647879</v>
      </c>
      <c r="CH59" s="105">
        <v>11.718661983996201</v>
      </c>
      <c r="CI59" s="105">
        <v>3557.785778341246</v>
      </c>
      <c r="CJ59" s="105">
        <v>4.7194969211761668</v>
      </c>
      <c r="CK59" s="105">
        <v>1432.8392652690841</v>
      </c>
      <c r="CL59" s="105">
        <v>41.378952593326886</v>
      </c>
      <c r="CM59" s="105">
        <v>12562.650007334041</v>
      </c>
      <c r="CN59" s="105">
        <v>16.800072477063065</v>
      </c>
      <c r="CO59" s="105">
        <v>5100.5020040363461</v>
      </c>
      <c r="CP59" s="105">
        <v>7.9867397676556902</v>
      </c>
      <c r="CQ59" s="105">
        <v>2424.7741934602673</v>
      </c>
      <c r="CR59" s="105">
        <v>1.5175147776171045</v>
      </c>
      <c r="CS59" s="105">
        <v>460.71748648455286</v>
      </c>
      <c r="CT59" s="105">
        <v>9.6340404510117068</v>
      </c>
      <c r="CU59" s="105">
        <v>2924.8946809271538</v>
      </c>
    </row>
    <row r="60" spans="2:99" x14ac:dyDescent="0.25">
      <c r="C60" s="104" t="s">
        <v>225</v>
      </c>
      <c r="D60" s="105">
        <v>0</v>
      </c>
      <c r="E60" s="105">
        <v>0</v>
      </c>
      <c r="F60" s="105">
        <v>0</v>
      </c>
      <c r="G60" s="105">
        <v>0</v>
      </c>
      <c r="H60" s="105">
        <v>6</v>
      </c>
      <c r="I60" s="105">
        <v>3909.6000000000004</v>
      </c>
      <c r="J60" s="105">
        <v>3</v>
      </c>
      <c r="K60" s="105">
        <v>1954.8000000000002</v>
      </c>
      <c r="L60" s="105">
        <v>5</v>
      </c>
      <c r="M60" s="105">
        <v>3258</v>
      </c>
      <c r="N60" s="105">
        <v>5</v>
      </c>
      <c r="O60" s="105">
        <v>3258</v>
      </c>
      <c r="P60" s="105">
        <v>4</v>
      </c>
      <c r="Q60" s="105">
        <v>2606.4</v>
      </c>
      <c r="R60" s="105">
        <v>6</v>
      </c>
      <c r="S60" s="105">
        <v>3909.6000000000004</v>
      </c>
      <c r="T60" s="105">
        <v>7</v>
      </c>
      <c r="U60" s="105">
        <v>4561.2</v>
      </c>
      <c r="V60" s="105">
        <v>8</v>
      </c>
      <c r="W60" s="105">
        <v>5212.8</v>
      </c>
      <c r="X60" s="105">
        <v>7</v>
      </c>
      <c r="Y60" s="105">
        <v>4561.2</v>
      </c>
      <c r="Z60" s="105">
        <v>8</v>
      </c>
      <c r="AA60" s="105">
        <v>5212.8</v>
      </c>
      <c r="AB60" s="105">
        <v>7</v>
      </c>
      <c r="AC60" s="105">
        <v>4561.2</v>
      </c>
      <c r="AD60" s="105">
        <v>8</v>
      </c>
      <c r="AE60" s="105">
        <v>5212.8</v>
      </c>
      <c r="AF60" s="105">
        <v>8</v>
      </c>
      <c r="AG60" s="105">
        <v>5212.8</v>
      </c>
      <c r="AH60" s="105">
        <v>9</v>
      </c>
      <c r="AI60" s="105">
        <v>5864.4000000000005</v>
      </c>
      <c r="AJ60" s="105">
        <v>11</v>
      </c>
      <c r="AK60" s="105">
        <v>7167.6</v>
      </c>
      <c r="AL60" s="105">
        <v>9</v>
      </c>
      <c r="AM60" s="105">
        <v>5864.4000000000005</v>
      </c>
      <c r="AN60" s="105">
        <v>10</v>
      </c>
      <c r="AO60" s="105">
        <v>6516</v>
      </c>
      <c r="AP60" s="105">
        <v>9</v>
      </c>
      <c r="AQ60" s="105">
        <v>5864.4000000000005</v>
      </c>
      <c r="AR60" s="105">
        <v>15</v>
      </c>
      <c r="AS60" s="105">
        <v>9774</v>
      </c>
      <c r="AT60" s="105">
        <v>9</v>
      </c>
      <c r="AU60" s="105">
        <v>5864.4000000000005</v>
      </c>
      <c r="AV60" s="105">
        <v>10</v>
      </c>
      <c r="AW60" s="105">
        <v>6516</v>
      </c>
      <c r="AX60" s="105">
        <v>16</v>
      </c>
      <c r="AY60" s="105">
        <v>10425.6</v>
      </c>
      <c r="AZ60" s="105">
        <v>19</v>
      </c>
      <c r="BA60" s="105">
        <v>12380.4</v>
      </c>
      <c r="BB60" s="105">
        <v>13</v>
      </c>
      <c r="BC60" s="105">
        <v>8470.8000000000011</v>
      </c>
      <c r="BD60" s="105">
        <v>16</v>
      </c>
      <c r="BE60" s="105">
        <v>10425.6</v>
      </c>
      <c r="BF60" s="105">
        <v>11</v>
      </c>
      <c r="BG60" s="105">
        <v>7167.6</v>
      </c>
      <c r="BH60" s="105">
        <v>12</v>
      </c>
      <c r="BI60" s="105">
        <v>7819.2000000000007</v>
      </c>
      <c r="BJ60" s="105">
        <v>26</v>
      </c>
      <c r="BK60" s="105">
        <v>16941.600000000002</v>
      </c>
      <c r="BL60" s="105">
        <v>23</v>
      </c>
      <c r="BM60" s="105">
        <v>14986.800000000001</v>
      </c>
      <c r="BN60" s="105">
        <v>18</v>
      </c>
      <c r="BO60" s="105">
        <v>11728.800000000001</v>
      </c>
      <c r="BP60" s="105">
        <v>21</v>
      </c>
      <c r="BQ60" s="105">
        <v>13683.6</v>
      </c>
      <c r="BR60" s="105">
        <v>24</v>
      </c>
      <c r="BS60" s="105">
        <v>15638.400000000001</v>
      </c>
      <c r="BT60" s="105">
        <v>29</v>
      </c>
      <c r="BU60" s="105">
        <v>18896.400000000001</v>
      </c>
      <c r="BV60" s="105">
        <v>17</v>
      </c>
      <c r="BW60" s="105">
        <v>11077.2</v>
      </c>
      <c r="BX60" s="105">
        <v>34.587422596018754</v>
      </c>
      <c r="BY60" s="105">
        <v>22537.164563565821</v>
      </c>
      <c r="BZ60" s="105">
        <v>1.8167479629297261</v>
      </c>
      <c r="CA60" s="105">
        <v>1183.7929726450095</v>
      </c>
      <c r="CB60" s="105">
        <v>17.074051163539313</v>
      </c>
      <c r="CC60" s="105">
        <v>11125.451738162217</v>
      </c>
      <c r="CD60" s="105">
        <v>14.839070148804835</v>
      </c>
      <c r="CE60" s="105">
        <v>9669.1381089612314</v>
      </c>
      <c r="CF60" s="105">
        <v>1.267605633802817</v>
      </c>
      <c r="CG60" s="105">
        <v>825.97183098591563</v>
      </c>
      <c r="CH60" s="105">
        <v>10.416588430218843</v>
      </c>
      <c r="CI60" s="105">
        <v>6787.4490211305983</v>
      </c>
      <c r="CJ60" s="105">
        <v>4.4947589725487305</v>
      </c>
      <c r="CK60" s="105">
        <v>2928.7849465127529</v>
      </c>
      <c r="CL60" s="105">
        <v>39.080121893697616</v>
      </c>
      <c r="CM60" s="105">
        <v>25464.607425933365</v>
      </c>
      <c r="CN60" s="105">
        <v>16.296070302751172</v>
      </c>
      <c r="CO60" s="105">
        <v>10618.519409272663</v>
      </c>
      <c r="CP60" s="105">
        <v>7.380151937200826</v>
      </c>
      <c r="CQ60" s="105">
        <v>4808.9070022800588</v>
      </c>
      <c r="CR60" s="105">
        <v>1.433208401082821</v>
      </c>
      <c r="CS60" s="105">
        <v>933.87859414556624</v>
      </c>
      <c r="CT60" s="105">
        <v>8.806115099752887</v>
      </c>
      <c r="CU60" s="105">
        <v>5738.0645989989816</v>
      </c>
    </row>
    <row r="61" spans="2:99" x14ac:dyDescent="0.25">
      <c r="C61" s="104" t="s">
        <v>226</v>
      </c>
      <c r="D61" s="105">
        <v>0</v>
      </c>
      <c r="E61" s="105">
        <v>0</v>
      </c>
      <c r="F61" s="105">
        <v>0</v>
      </c>
      <c r="G61" s="105">
        <v>0</v>
      </c>
      <c r="H61" s="105">
        <v>6</v>
      </c>
      <c r="I61" s="105">
        <v>5709.5999999999995</v>
      </c>
      <c r="J61" s="105">
        <v>3</v>
      </c>
      <c r="K61" s="105">
        <v>2854.7999999999997</v>
      </c>
      <c r="L61" s="105">
        <v>5</v>
      </c>
      <c r="M61" s="105">
        <v>4758</v>
      </c>
      <c r="N61" s="105">
        <v>5</v>
      </c>
      <c r="O61" s="105">
        <v>4758</v>
      </c>
      <c r="P61" s="105">
        <v>5</v>
      </c>
      <c r="Q61" s="105">
        <v>4758</v>
      </c>
      <c r="R61" s="105">
        <v>6</v>
      </c>
      <c r="S61" s="105">
        <v>5709.5999999999995</v>
      </c>
      <c r="T61" s="105">
        <v>6</v>
      </c>
      <c r="U61" s="105">
        <v>5709.5999999999995</v>
      </c>
      <c r="V61" s="105">
        <v>7</v>
      </c>
      <c r="W61" s="105">
        <v>6661.1999999999989</v>
      </c>
      <c r="X61" s="105">
        <v>7</v>
      </c>
      <c r="Y61" s="105">
        <v>6661.1999999999989</v>
      </c>
      <c r="Z61" s="105">
        <v>8</v>
      </c>
      <c r="AA61" s="105">
        <v>7612.7999999999993</v>
      </c>
      <c r="AB61" s="105">
        <v>6</v>
      </c>
      <c r="AC61" s="105">
        <v>5709.5999999999995</v>
      </c>
      <c r="AD61" s="105">
        <v>7</v>
      </c>
      <c r="AE61" s="105">
        <v>6661.1999999999989</v>
      </c>
      <c r="AF61" s="105">
        <v>8</v>
      </c>
      <c r="AG61" s="105">
        <v>7612.7999999999993</v>
      </c>
      <c r="AH61" s="105">
        <v>9</v>
      </c>
      <c r="AI61" s="105">
        <v>8564.4</v>
      </c>
      <c r="AJ61" s="105">
        <v>11</v>
      </c>
      <c r="AK61" s="105">
        <v>10467.599999999999</v>
      </c>
      <c r="AL61" s="105">
        <v>10</v>
      </c>
      <c r="AM61" s="105">
        <v>9516</v>
      </c>
      <c r="AN61" s="105">
        <v>10</v>
      </c>
      <c r="AO61" s="105">
        <v>9516</v>
      </c>
      <c r="AP61" s="105">
        <v>9</v>
      </c>
      <c r="AQ61" s="105">
        <v>8564.4</v>
      </c>
      <c r="AR61" s="105">
        <v>14</v>
      </c>
      <c r="AS61" s="105">
        <v>13322.399999999998</v>
      </c>
      <c r="AT61" s="105">
        <v>8</v>
      </c>
      <c r="AU61" s="105">
        <v>7612.7999999999993</v>
      </c>
      <c r="AV61" s="105">
        <v>10</v>
      </c>
      <c r="AW61" s="105">
        <v>9516</v>
      </c>
      <c r="AX61" s="105">
        <v>16</v>
      </c>
      <c r="AY61" s="105">
        <v>15225.599999999999</v>
      </c>
      <c r="AZ61" s="105">
        <v>19</v>
      </c>
      <c r="BA61" s="105">
        <v>18080.399999999998</v>
      </c>
      <c r="BB61" s="105">
        <v>12</v>
      </c>
      <c r="BC61" s="105">
        <v>11419.199999999999</v>
      </c>
      <c r="BD61" s="105">
        <v>14</v>
      </c>
      <c r="BE61" s="105">
        <v>13322.399999999998</v>
      </c>
      <c r="BF61" s="105">
        <v>11</v>
      </c>
      <c r="BG61" s="105">
        <v>10467.599999999999</v>
      </c>
      <c r="BH61" s="105">
        <v>14</v>
      </c>
      <c r="BI61" s="105">
        <v>13322.399999999998</v>
      </c>
      <c r="BJ61" s="105">
        <v>23</v>
      </c>
      <c r="BK61" s="105">
        <v>21886.799999999999</v>
      </c>
      <c r="BL61" s="105">
        <v>24</v>
      </c>
      <c r="BM61" s="105">
        <v>22838.399999999998</v>
      </c>
      <c r="BN61" s="105">
        <v>18</v>
      </c>
      <c r="BO61" s="105">
        <v>17128.8</v>
      </c>
      <c r="BP61" s="105">
        <v>22</v>
      </c>
      <c r="BQ61" s="105">
        <v>20935.199999999997</v>
      </c>
      <c r="BR61" s="105">
        <v>25</v>
      </c>
      <c r="BS61" s="105">
        <v>23789.999999999996</v>
      </c>
      <c r="BT61" s="105">
        <v>30</v>
      </c>
      <c r="BU61" s="105">
        <v>28547.999999999996</v>
      </c>
      <c r="BV61" s="105">
        <v>17</v>
      </c>
      <c r="BW61" s="105">
        <v>16177.199999999999</v>
      </c>
      <c r="BX61" s="105">
        <v>30.369444230650615</v>
      </c>
      <c r="BY61" s="105">
        <v>28899.563129887123</v>
      </c>
      <c r="BZ61" s="105">
        <v>1.8167479629297261</v>
      </c>
      <c r="CA61" s="105">
        <v>1728.817361523927</v>
      </c>
      <c r="CB61" s="105">
        <v>13.872666570375692</v>
      </c>
      <c r="CC61" s="105">
        <v>13201.229508369508</v>
      </c>
      <c r="CD61" s="105">
        <v>14.485758954785672</v>
      </c>
      <c r="CE61" s="105">
        <v>13784.648221374044</v>
      </c>
      <c r="CF61" s="105">
        <v>1.0497359154929577</v>
      </c>
      <c r="CG61" s="105">
        <v>998.92869718309851</v>
      </c>
      <c r="CH61" s="105">
        <v>10.253829235996674</v>
      </c>
      <c r="CI61" s="105">
        <v>9757.543900974435</v>
      </c>
      <c r="CJ61" s="105">
        <v>4.6071279468624482</v>
      </c>
      <c r="CK61" s="105">
        <v>4384.1429542343049</v>
      </c>
      <c r="CL61" s="105">
        <v>31.608922119902481</v>
      </c>
      <c r="CM61" s="105">
        <v>30079.050289299197</v>
      </c>
      <c r="CN61" s="105">
        <v>15.624067403668651</v>
      </c>
      <c r="CO61" s="105">
        <v>14867.862541331087</v>
      </c>
      <c r="CP61" s="105">
        <v>6.0658783045486251</v>
      </c>
      <c r="CQ61" s="105">
        <v>5772.2897946084713</v>
      </c>
      <c r="CR61" s="105">
        <v>1.3320407492416806</v>
      </c>
      <c r="CS61" s="105">
        <v>1267.5699769783832</v>
      </c>
      <c r="CT61" s="105">
        <v>7.9781897484940698</v>
      </c>
      <c r="CU61" s="105">
        <v>7592.0453646669557</v>
      </c>
    </row>
    <row r="62" spans="2:99" x14ac:dyDescent="0.25">
      <c r="C62" s="104" t="s">
        <v>227</v>
      </c>
      <c r="D62" s="105">
        <v>0</v>
      </c>
      <c r="E62" s="105">
        <v>0</v>
      </c>
      <c r="F62" s="105">
        <v>0</v>
      </c>
      <c r="G62" s="105">
        <v>0</v>
      </c>
      <c r="H62" s="105">
        <v>5</v>
      </c>
      <c r="I62" s="105">
        <v>8526</v>
      </c>
      <c r="J62" s="105">
        <v>3</v>
      </c>
      <c r="K62" s="105">
        <v>5115.6000000000004</v>
      </c>
      <c r="L62" s="105">
        <v>5</v>
      </c>
      <c r="M62" s="105">
        <v>8526</v>
      </c>
      <c r="N62" s="105">
        <v>5</v>
      </c>
      <c r="O62" s="105">
        <v>8526</v>
      </c>
      <c r="P62" s="105">
        <v>5</v>
      </c>
      <c r="Q62" s="105">
        <v>8526</v>
      </c>
      <c r="R62" s="105">
        <v>6</v>
      </c>
      <c r="S62" s="105">
        <v>10231.200000000001</v>
      </c>
      <c r="T62" s="105">
        <v>6</v>
      </c>
      <c r="U62" s="105">
        <v>10231.200000000001</v>
      </c>
      <c r="V62" s="105">
        <v>8</v>
      </c>
      <c r="W62" s="105">
        <v>13641.6</v>
      </c>
      <c r="X62" s="105">
        <v>6</v>
      </c>
      <c r="Y62" s="105">
        <v>10231.200000000001</v>
      </c>
      <c r="Z62" s="105">
        <v>8</v>
      </c>
      <c r="AA62" s="105">
        <v>13641.6</v>
      </c>
      <c r="AB62" s="105">
        <v>6</v>
      </c>
      <c r="AC62" s="105">
        <v>10231.200000000001</v>
      </c>
      <c r="AD62" s="105">
        <v>6</v>
      </c>
      <c r="AE62" s="105">
        <v>10231.200000000001</v>
      </c>
      <c r="AF62" s="105">
        <v>7</v>
      </c>
      <c r="AG62" s="105">
        <v>11936.4</v>
      </c>
      <c r="AH62" s="105">
        <v>8</v>
      </c>
      <c r="AI62" s="105">
        <v>13641.6</v>
      </c>
      <c r="AJ62" s="105">
        <v>12</v>
      </c>
      <c r="AK62" s="105">
        <v>20462.400000000001</v>
      </c>
      <c r="AL62" s="105">
        <v>10</v>
      </c>
      <c r="AM62" s="105">
        <v>17052</v>
      </c>
      <c r="AN62" s="105">
        <v>8</v>
      </c>
      <c r="AO62" s="105">
        <v>13641.6</v>
      </c>
      <c r="AP62" s="105">
        <v>9</v>
      </c>
      <c r="AQ62" s="105">
        <v>15346.800000000001</v>
      </c>
      <c r="AR62" s="105">
        <v>12</v>
      </c>
      <c r="AS62" s="105">
        <v>20462.400000000001</v>
      </c>
      <c r="AT62" s="105">
        <v>7</v>
      </c>
      <c r="AU62" s="105">
        <v>11936.4</v>
      </c>
      <c r="AV62" s="105">
        <v>8</v>
      </c>
      <c r="AW62" s="105">
        <v>13641.6</v>
      </c>
      <c r="AX62" s="105">
        <v>13</v>
      </c>
      <c r="AY62" s="105">
        <v>22167.600000000002</v>
      </c>
      <c r="AZ62" s="105">
        <v>18</v>
      </c>
      <c r="BA62" s="105">
        <v>30693.600000000002</v>
      </c>
      <c r="BB62" s="105">
        <v>12</v>
      </c>
      <c r="BC62" s="105">
        <v>20462.400000000001</v>
      </c>
      <c r="BD62" s="105">
        <v>14</v>
      </c>
      <c r="BE62" s="105">
        <v>23872.799999999999</v>
      </c>
      <c r="BF62" s="105">
        <v>10</v>
      </c>
      <c r="BG62" s="105">
        <v>17052</v>
      </c>
      <c r="BH62" s="105">
        <v>13</v>
      </c>
      <c r="BI62" s="105">
        <v>22167.600000000002</v>
      </c>
      <c r="BJ62" s="105">
        <v>22</v>
      </c>
      <c r="BK62" s="105">
        <v>37514.400000000001</v>
      </c>
      <c r="BL62" s="105">
        <v>22</v>
      </c>
      <c r="BM62" s="105">
        <v>37514.400000000001</v>
      </c>
      <c r="BN62" s="105">
        <v>15</v>
      </c>
      <c r="BO62" s="105">
        <v>25578</v>
      </c>
      <c r="BP62" s="105">
        <v>22</v>
      </c>
      <c r="BQ62" s="105">
        <v>37514.400000000001</v>
      </c>
      <c r="BR62" s="105">
        <v>25</v>
      </c>
      <c r="BS62" s="105">
        <v>42630</v>
      </c>
      <c r="BT62" s="105">
        <v>24</v>
      </c>
      <c r="BU62" s="105">
        <v>40924.800000000003</v>
      </c>
      <c r="BV62" s="105">
        <v>14</v>
      </c>
      <c r="BW62" s="105">
        <v>23872.799999999999</v>
      </c>
      <c r="BX62" s="105">
        <v>28.68225288450336</v>
      </c>
      <c r="BY62" s="105">
        <v>48908.977618655132</v>
      </c>
      <c r="BZ62" s="105">
        <v>1.703201215246618</v>
      </c>
      <c r="CA62" s="105">
        <v>2904.298712238533</v>
      </c>
      <c r="CB62" s="105">
        <v>13.872666570375692</v>
      </c>
      <c r="CC62" s="105">
        <v>23655.671035804629</v>
      </c>
      <c r="CD62" s="105">
        <v>12.365891790670695</v>
      </c>
      <c r="CE62" s="105">
        <v>21086.31868145167</v>
      </c>
      <c r="CF62" s="105">
        <v>1.0695422535211268</v>
      </c>
      <c r="CG62" s="105">
        <v>1823.7834507042253</v>
      </c>
      <c r="CH62" s="105">
        <v>8.137959711108472</v>
      </c>
      <c r="CI62" s="105">
        <v>13876.848899382167</v>
      </c>
      <c r="CJ62" s="105">
        <v>3.9329141009801392</v>
      </c>
      <c r="CK62" s="105">
        <v>6706.4051249913337</v>
      </c>
      <c r="CL62" s="105">
        <v>32.758337469717119</v>
      </c>
      <c r="CM62" s="105">
        <v>55859.517053361633</v>
      </c>
      <c r="CN62" s="105">
        <v>13.944060155962346</v>
      </c>
      <c r="CO62" s="105">
        <v>23777.411377946992</v>
      </c>
      <c r="CP62" s="105">
        <v>5.2570945306088079</v>
      </c>
      <c r="CQ62" s="105">
        <v>8964.3975935941398</v>
      </c>
      <c r="CR62" s="105">
        <v>1.1297054455594</v>
      </c>
      <c r="CS62" s="105">
        <v>1926.373725767889</v>
      </c>
      <c r="CT62" s="105">
        <v>6.6986687510940763</v>
      </c>
      <c r="CU62" s="105">
        <v>11422.569954365619</v>
      </c>
    </row>
    <row r="63" spans="2:99" x14ac:dyDescent="0.25">
      <c r="C63" s="104" t="s">
        <v>228</v>
      </c>
      <c r="D63" s="105">
        <v>0</v>
      </c>
      <c r="E63" s="105">
        <v>0</v>
      </c>
      <c r="F63" s="105">
        <v>0</v>
      </c>
      <c r="G63" s="105">
        <v>0</v>
      </c>
      <c r="H63" s="105">
        <v>5</v>
      </c>
      <c r="I63" s="105">
        <v>3978</v>
      </c>
      <c r="J63" s="105">
        <v>3</v>
      </c>
      <c r="K63" s="105">
        <v>2386.8000000000002</v>
      </c>
      <c r="L63" s="105">
        <v>5</v>
      </c>
      <c r="M63" s="105">
        <v>3978</v>
      </c>
      <c r="N63" s="105">
        <v>6</v>
      </c>
      <c r="O63" s="105">
        <v>4773.6000000000004</v>
      </c>
      <c r="P63" s="105">
        <v>5</v>
      </c>
      <c r="Q63" s="105">
        <v>3978</v>
      </c>
      <c r="R63" s="105">
        <v>6</v>
      </c>
      <c r="S63" s="105">
        <v>4773.6000000000004</v>
      </c>
      <c r="T63" s="105">
        <v>6</v>
      </c>
      <c r="U63" s="105">
        <v>4773.6000000000004</v>
      </c>
      <c r="V63" s="105">
        <v>7</v>
      </c>
      <c r="W63" s="105">
        <v>5569.2</v>
      </c>
      <c r="X63" s="105">
        <v>7</v>
      </c>
      <c r="Y63" s="105">
        <v>5569.2</v>
      </c>
      <c r="Z63" s="105">
        <v>8</v>
      </c>
      <c r="AA63" s="105">
        <v>6364.8</v>
      </c>
      <c r="AB63" s="105">
        <v>7</v>
      </c>
      <c r="AC63" s="105">
        <v>5569.2</v>
      </c>
      <c r="AD63" s="105">
        <v>7</v>
      </c>
      <c r="AE63" s="105">
        <v>5569.2</v>
      </c>
      <c r="AF63" s="105">
        <v>9</v>
      </c>
      <c r="AG63" s="105">
        <v>7160.4000000000005</v>
      </c>
      <c r="AH63" s="105">
        <v>9</v>
      </c>
      <c r="AI63" s="105">
        <v>7160.4000000000005</v>
      </c>
      <c r="AJ63" s="105">
        <v>11</v>
      </c>
      <c r="AK63" s="105">
        <v>8751.6</v>
      </c>
      <c r="AL63" s="105">
        <v>10</v>
      </c>
      <c r="AM63" s="105">
        <v>7956</v>
      </c>
      <c r="AN63" s="105">
        <v>9</v>
      </c>
      <c r="AO63" s="105">
        <v>7160.4000000000005</v>
      </c>
      <c r="AP63" s="105">
        <v>10</v>
      </c>
      <c r="AQ63" s="105">
        <v>7956</v>
      </c>
      <c r="AR63" s="105">
        <v>13</v>
      </c>
      <c r="AS63" s="105">
        <v>10342.800000000001</v>
      </c>
      <c r="AT63" s="105">
        <v>8</v>
      </c>
      <c r="AU63" s="105">
        <v>6364.8</v>
      </c>
      <c r="AV63" s="105">
        <v>10</v>
      </c>
      <c r="AW63" s="105">
        <v>7956</v>
      </c>
      <c r="AX63" s="105">
        <v>15</v>
      </c>
      <c r="AY63" s="105">
        <v>11934</v>
      </c>
      <c r="AZ63" s="105">
        <v>17</v>
      </c>
      <c r="BA63" s="105">
        <v>13525.2</v>
      </c>
      <c r="BB63" s="105">
        <v>14</v>
      </c>
      <c r="BC63" s="105">
        <v>11138.4</v>
      </c>
      <c r="BD63" s="105">
        <v>14</v>
      </c>
      <c r="BE63" s="105">
        <v>11138.4</v>
      </c>
      <c r="BF63" s="105">
        <v>12</v>
      </c>
      <c r="BG63" s="105">
        <v>9547.2000000000007</v>
      </c>
      <c r="BH63" s="105">
        <v>13</v>
      </c>
      <c r="BI63" s="105">
        <v>10342.800000000001</v>
      </c>
      <c r="BJ63" s="105">
        <v>23</v>
      </c>
      <c r="BK63" s="105">
        <v>18298.8</v>
      </c>
      <c r="BL63" s="105">
        <v>25</v>
      </c>
      <c r="BM63" s="105">
        <v>19890</v>
      </c>
      <c r="BN63" s="105">
        <v>16</v>
      </c>
      <c r="BO63" s="105">
        <v>12729.6</v>
      </c>
      <c r="BP63" s="105">
        <v>25</v>
      </c>
      <c r="BQ63" s="105">
        <v>19890</v>
      </c>
      <c r="BR63" s="105">
        <v>28</v>
      </c>
      <c r="BS63" s="105">
        <v>22276.799999999999</v>
      </c>
      <c r="BT63" s="105">
        <v>29</v>
      </c>
      <c r="BU63" s="105">
        <v>23072.400000000001</v>
      </c>
      <c r="BV63" s="105">
        <v>16</v>
      </c>
      <c r="BW63" s="105">
        <v>12729.6</v>
      </c>
      <c r="BX63" s="105">
        <v>32.056635576797873</v>
      </c>
      <c r="BY63" s="105">
        <v>25504.259264900389</v>
      </c>
      <c r="BZ63" s="105">
        <v>2.0438414582959417</v>
      </c>
      <c r="CA63" s="105">
        <v>1626.0802642202511</v>
      </c>
      <c r="CB63" s="105">
        <v>15.473358866957504</v>
      </c>
      <c r="CC63" s="105">
        <v>12310.60431455139</v>
      </c>
      <c r="CD63" s="105">
        <v>12.365891790670695</v>
      </c>
      <c r="CE63" s="105">
        <v>9838.3035086576056</v>
      </c>
      <c r="CF63" s="105">
        <v>1.1487676056338028</v>
      </c>
      <c r="CG63" s="105">
        <v>913.95950704225345</v>
      </c>
      <c r="CH63" s="105">
        <v>9.7655516533301672</v>
      </c>
      <c r="CI63" s="105">
        <v>7769.472895389481</v>
      </c>
      <c r="CJ63" s="105">
        <v>4.1576520496075755</v>
      </c>
      <c r="CK63" s="105">
        <v>3307.8279706677872</v>
      </c>
      <c r="CL63" s="105">
        <v>36.781291194068345</v>
      </c>
      <c r="CM63" s="105">
        <v>29263.195274000776</v>
      </c>
      <c r="CN63" s="105">
        <v>15.960068853209913</v>
      </c>
      <c r="CO63" s="105">
        <v>12697.830779613807</v>
      </c>
      <c r="CP63" s="105">
        <v>6.1669762762911011</v>
      </c>
      <c r="CQ63" s="105">
        <v>4906.4463254172006</v>
      </c>
      <c r="CR63" s="105">
        <v>1.4669309516965343</v>
      </c>
      <c r="CS63" s="105">
        <v>1167.0902651697627</v>
      </c>
      <c r="CT63" s="105">
        <v>7.451328161329366</v>
      </c>
      <c r="CU63" s="105">
        <v>5928.2766851536435</v>
      </c>
    </row>
    <row r="64" spans="2:99" x14ac:dyDescent="0.25">
      <c r="C64" s="104" t="s">
        <v>229</v>
      </c>
      <c r="D64" s="105">
        <v>0</v>
      </c>
      <c r="E64" s="105">
        <v>0</v>
      </c>
      <c r="F64" s="105">
        <v>0</v>
      </c>
      <c r="G64" s="105">
        <v>0</v>
      </c>
      <c r="H64" s="105">
        <v>5</v>
      </c>
      <c r="I64" s="105">
        <v>5045.9999999999991</v>
      </c>
      <c r="J64" s="105">
        <v>3</v>
      </c>
      <c r="K64" s="105">
        <v>3027.5999999999995</v>
      </c>
      <c r="L64" s="105">
        <v>5</v>
      </c>
      <c r="M64" s="105">
        <v>5045.9999999999991</v>
      </c>
      <c r="N64" s="105">
        <v>5</v>
      </c>
      <c r="O64" s="105">
        <v>5045.9999999999991</v>
      </c>
      <c r="P64" s="105">
        <v>5</v>
      </c>
      <c r="Q64" s="105">
        <v>5045.9999999999991</v>
      </c>
      <c r="R64" s="105">
        <v>6</v>
      </c>
      <c r="S64" s="105">
        <v>6055.1999999999989</v>
      </c>
      <c r="T64" s="105">
        <v>6</v>
      </c>
      <c r="U64" s="105">
        <v>6055.1999999999989</v>
      </c>
      <c r="V64" s="105">
        <v>9</v>
      </c>
      <c r="W64" s="105">
        <v>9082.7999999999993</v>
      </c>
      <c r="X64" s="105">
        <v>6</v>
      </c>
      <c r="Y64" s="105">
        <v>6055.1999999999989</v>
      </c>
      <c r="Z64" s="105">
        <v>9</v>
      </c>
      <c r="AA64" s="105">
        <v>9082.7999999999993</v>
      </c>
      <c r="AB64" s="105">
        <v>6</v>
      </c>
      <c r="AC64" s="105">
        <v>6055.1999999999989</v>
      </c>
      <c r="AD64" s="105">
        <v>7</v>
      </c>
      <c r="AE64" s="105">
        <v>7064.3999999999987</v>
      </c>
      <c r="AF64" s="105">
        <v>7</v>
      </c>
      <c r="AG64" s="105">
        <v>7064.3999999999987</v>
      </c>
      <c r="AH64" s="105">
        <v>8</v>
      </c>
      <c r="AI64" s="105">
        <v>8073.5999999999985</v>
      </c>
      <c r="AJ64" s="105">
        <v>11</v>
      </c>
      <c r="AK64" s="105">
        <v>11101.199999999997</v>
      </c>
      <c r="AL64" s="105">
        <v>9</v>
      </c>
      <c r="AM64" s="105">
        <v>9082.7999999999993</v>
      </c>
      <c r="AN64" s="105">
        <v>9</v>
      </c>
      <c r="AO64" s="105">
        <v>9082.7999999999993</v>
      </c>
      <c r="AP64" s="105">
        <v>10</v>
      </c>
      <c r="AQ64" s="105">
        <v>10091.999999999998</v>
      </c>
      <c r="AR64" s="105">
        <v>13</v>
      </c>
      <c r="AS64" s="105">
        <v>13119.599999999999</v>
      </c>
      <c r="AT64" s="105">
        <v>9</v>
      </c>
      <c r="AU64" s="105">
        <v>9082.7999999999993</v>
      </c>
      <c r="AV64" s="105">
        <v>11</v>
      </c>
      <c r="AW64" s="105">
        <v>11101.199999999997</v>
      </c>
      <c r="AX64" s="105">
        <v>16</v>
      </c>
      <c r="AY64" s="105">
        <v>16147.199999999997</v>
      </c>
      <c r="AZ64" s="105">
        <v>18</v>
      </c>
      <c r="BA64" s="105">
        <v>18165.599999999999</v>
      </c>
      <c r="BB64" s="105">
        <v>12</v>
      </c>
      <c r="BC64" s="105">
        <v>12110.399999999998</v>
      </c>
      <c r="BD64" s="105">
        <v>15</v>
      </c>
      <c r="BE64" s="105">
        <v>15137.999999999996</v>
      </c>
      <c r="BF64" s="105">
        <v>12</v>
      </c>
      <c r="BG64" s="105">
        <v>12110.399999999998</v>
      </c>
      <c r="BH64" s="105">
        <v>12</v>
      </c>
      <c r="BI64" s="105">
        <v>12110.399999999998</v>
      </c>
      <c r="BJ64" s="105">
        <v>23</v>
      </c>
      <c r="BK64" s="105">
        <v>23211.599999999995</v>
      </c>
      <c r="BL64" s="105">
        <v>21</v>
      </c>
      <c r="BM64" s="105">
        <v>21193.199999999997</v>
      </c>
      <c r="BN64" s="105">
        <v>17</v>
      </c>
      <c r="BO64" s="105">
        <v>17156.399999999998</v>
      </c>
      <c r="BP64" s="105">
        <v>24</v>
      </c>
      <c r="BQ64" s="105">
        <v>24220.799999999996</v>
      </c>
      <c r="BR64" s="105">
        <v>24</v>
      </c>
      <c r="BS64" s="105">
        <v>24220.799999999996</v>
      </c>
      <c r="BT64" s="105">
        <v>26</v>
      </c>
      <c r="BU64" s="105">
        <v>26239.199999999997</v>
      </c>
      <c r="BV64" s="105">
        <v>17</v>
      </c>
      <c r="BW64" s="105">
        <v>17156.399999999998</v>
      </c>
      <c r="BX64" s="105">
        <v>32.056635576797873</v>
      </c>
      <c r="BY64" s="105">
        <v>32351.556624104407</v>
      </c>
      <c r="BZ64" s="105">
        <v>1.8167479629297261</v>
      </c>
      <c r="CA64" s="105">
        <v>1833.4620441886793</v>
      </c>
      <c r="CB64" s="105">
        <v>14.406230669236297</v>
      </c>
      <c r="CC64" s="105">
        <v>14538.767991393268</v>
      </c>
      <c r="CD64" s="105">
        <v>14.132447760766508</v>
      </c>
      <c r="CE64" s="105">
        <v>14262.466280165558</v>
      </c>
      <c r="CF64" s="105">
        <v>1.247799295774648</v>
      </c>
      <c r="CG64" s="105">
        <v>1259.2790492957745</v>
      </c>
      <c r="CH64" s="105">
        <v>9.1145148764414881</v>
      </c>
      <c r="CI64" s="105">
        <v>9198.3684133047482</v>
      </c>
      <c r="CJ64" s="105">
        <v>4.1576520496075755</v>
      </c>
      <c r="CK64" s="105">
        <v>4195.902448463964</v>
      </c>
      <c r="CL64" s="105">
        <v>32.183629794809796</v>
      </c>
      <c r="CM64" s="105">
        <v>32479.719188922041</v>
      </c>
      <c r="CN64" s="105">
        <v>15.12006522935676</v>
      </c>
      <c r="CO64" s="105">
        <v>15259.169829466839</v>
      </c>
      <c r="CP64" s="105">
        <v>5.7625843893211934</v>
      </c>
      <c r="CQ64" s="105">
        <v>5815.6001657029474</v>
      </c>
      <c r="CR64" s="105">
        <v>1.3994858504691077</v>
      </c>
      <c r="CS64" s="105">
        <v>1412.3611202934233</v>
      </c>
      <c r="CT64" s="105">
        <v>6.9997325151881933</v>
      </c>
      <c r="CU64" s="105">
        <v>7064.1300543279231</v>
      </c>
    </row>
    <row r="65" spans="2:99" x14ac:dyDescent="0.25">
      <c r="C65" s="104" t="s">
        <v>230</v>
      </c>
      <c r="D65" s="105">
        <v>0</v>
      </c>
      <c r="E65" s="105">
        <v>0</v>
      </c>
      <c r="F65" s="105">
        <v>0</v>
      </c>
      <c r="G65" s="105">
        <v>0</v>
      </c>
      <c r="H65" s="105">
        <v>5</v>
      </c>
      <c r="I65" s="105">
        <v>5130</v>
      </c>
      <c r="J65" s="105">
        <v>3</v>
      </c>
      <c r="K65" s="105">
        <v>3078</v>
      </c>
      <c r="L65" s="105">
        <v>5</v>
      </c>
      <c r="M65" s="105">
        <v>5130</v>
      </c>
      <c r="N65" s="105">
        <v>5</v>
      </c>
      <c r="O65" s="105">
        <v>5130</v>
      </c>
      <c r="P65" s="105">
        <v>4</v>
      </c>
      <c r="Q65" s="105">
        <v>4104</v>
      </c>
      <c r="R65" s="105">
        <v>6</v>
      </c>
      <c r="S65" s="105">
        <v>6156</v>
      </c>
      <c r="T65" s="105">
        <v>6</v>
      </c>
      <c r="U65" s="105">
        <v>6156</v>
      </c>
      <c r="V65" s="105">
        <v>8</v>
      </c>
      <c r="W65" s="105">
        <v>8208</v>
      </c>
      <c r="X65" s="105">
        <v>6</v>
      </c>
      <c r="Y65" s="105">
        <v>6156</v>
      </c>
      <c r="Z65" s="105">
        <v>9</v>
      </c>
      <c r="AA65" s="105">
        <v>9234</v>
      </c>
      <c r="AB65" s="105">
        <v>6</v>
      </c>
      <c r="AC65" s="105">
        <v>6156</v>
      </c>
      <c r="AD65" s="105">
        <v>6</v>
      </c>
      <c r="AE65" s="105">
        <v>6156</v>
      </c>
      <c r="AF65" s="105">
        <v>8</v>
      </c>
      <c r="AG65" s="105">
        <v>8208</v>
      </c>
      <c r="AH65" s="105">
        <v>8</v>
      </c>
      <c r="AI65" s="105">
        <v>8208</v>
      </c>
      <c r="AJ65" s="105">
        <v>12</v>
      </c>
      <c r="AK65" s="105">
        <v>12312</v>
      </c>
      <c r="AL65" s="105">
        <v>10</v>
      </c>
      <c r="AM65" s="105">
        <v>10260</v>
      </c>
      <c r="AN65" s="105">
        <v>9</v>
      </c>
      <c r="AO65" s="105">
        <v>9234</v>
      </c>
      <c r="AP65" s="105">
        <v>10</v>
      </c>
      <c r="AQ65" s="105">
        <v>10260</v>
      </c>
      <c r="AR65" s="105">
        <v>14</v>
      </c>
      <c r="AS65" s="105">
        <v>14364</v>
      </c>
      <c r="AT65" s="105">
        <v>9</v>
      </c>
      <c r="AU65" s="105">
        <v>9234</v>
      </c>
      <c r="AV65" s="105">
        <v>9</v>
      </c>
      <c r="AW65" s="105">
        <v>9234</v>
      </c>
      <c r="AX65" s="105">
        <v>16</v>
      </c>
      <c r="AY65" s="105">
        <v>16416</v>
      </c>
      <c r="AZ65" s="105">
        <v>18</v>
      </c>
      <c r="BA65" s="105">
        <v>18468</v>
      </c>
      <c r="BB65" s="105">
        <v>13</v>
      </c>
      <c r="BC65" s="105">
        <v>13338</v>
      </c>
      <c r="BD65" s="105">
        <v>13</v>
      </c>
      <c r="BE65" s="105">
        <v>13338</v>
      </c>
      <c r="BF65" s="105">
        <v>10</v>
      </c>
      <c r="BG65" s="105">
        <v>10260</v>
      </c>
      <c r="BH65" s="105">
        <v>12</v>
      </c>
      <c r="BI65" s="105">
        <v>12312</v>
      </c>
      <c r="BJ65" s="105">
        <v>24</v>
      </c>
      <c r="BK65" s="105">
        <v>24624</v>
      </c>
      <c r="BL65" s="105">
        <v>23</v>
      </c>
      <c r="BM65" s="105">
        <v>23598</v>
      </c>
      <c r="BN65" s="105">
        <v>17</v>
      </c>
      <c r="BO65" s="105">
        <v>17442</v>
      </c>
      <c r="BP65" s="105">
        <v>20</v>
      </c>
      <c r="BQ65" s="105">
        <v>20520</v>
      </c>
      <c r="BR65" s="105">
        <v>24</v>
      </c>
      <c r="BS65" s="105">
        <v>24624</v>
      </c>
      <c r="BT65" s="105">
        <v>28</v>
      </c>
      <c r="BU65" s="105">
        <v>28728</v>
      </c>
      <c r="BV65" s="105">
        <v>17</v>
      </c>
      <c r="BW65" s="105">
        <v>17442</v>
      </c>
      <c r="BX65" s="105">
        <v>36.274613942166013</v>
      </c>
      <c r="BY65" s="105">
        <v>37217.753904662328</v>
      </c>
      <c r="BZ65" s="105">
        <v>1.9302947106128339</v>
      </c>
      <c r="CA65" s="105">
        <v>1980.4823730887676</v>
      </c>
      <c r="CB65" s="105">
        <v>14.406230669236297</v>
      </c>
      <c r="CC65" s="105">
        <v>14780.792666636442</v>
      </c>
      <c r="CD65" s="105">
        <v>12.365891790670695</v>
      </c>
      <c r="CE65" s="105">
        <v>12687.404977228132</v>
      </c>
      <c r="CF65" s="105">
        <v>1.227992957746479</v>
      </c>
      <c r="CG65" s="105">
        <v>1259.9207746478874</v>
      </c>
      <c r="CH65" s="105">
        <v>10.904866012885353</v>
      </c>
      <c r="CI65" s="105">
        <v>11188.392529220373</v>
      </c>
      <c r="CJ65" s="105">
        <v>3.9329141009801392</v>
      </c>
      <c r="CK65" s="105">
        <v>4035.1698676056226</v>
      </c>
      <c r="CL65" s="105">
        <v>32.758337469717119</v>
      </c>
      <c r="CM65" s="105">
        <v>33610.054243929764</v>
      </c>
      <c r="CN65" s="105">
        <v>17.136073926604325</v>
      </c>
      <c r="CO65" s="105">
        <v>17581.611848696037</v>
      </c>
      <c r="CP65" s="105">
        <v>6.8746620784884422</v>
      </c>
      <c r="CQ65" s="105">
        <v>7053.4032925291422</v>
      </c>
      <c r="CR65" s="105">
        <v>1.5006535023102476</v>
      </c>
      <c r="CS65" s="105">
        <v>1539.670493370314</v>
      </c>
      <c r="CT65" s="105">
        <v>7.3760622203058368</v>
      </c>
      <c r="CU65" s="105">
        <v>7567.8398380337885</v>
      </c>
    </row>
    <row r="66" spans="2:99" x14ac:dyDescent="0.25">
      <c r="C66" s="104" t="s">
        <v>231</v>
      </c>
      <c r="D66" s="105">
        <v>0</v>
      </c>
      <c r="E66" s="105">
        <v>0</v>
      </c>
      <c r="F66" s="105">
        <v>0</v>
      </c>
      <c r="G66" s="105">
        <v>0</v>
      </c>
      <c r="H66" s="105">
        <v>6</v>
      </c>
      <c r="I66" s="105">
        <v>7142.4</v>
      </c>
      <c r="J66" s="105">
        <v>3</v>
      </c>
      <c r="K66" s="105">
        <v>3571.2</v>
      </c>
      <c r="L66" s="105">
        <v>5</v>
      </c>
      <c r="M66" s="105">
        <v>5951.9999999999991</v>
      </c>
      <c r="N66" s="105">
        <v>5</v>
      </c>
      <c r="O66" s="105">
        <v>5951.9999999999991</v>
      </c>
      <c r="P66" s="105">
        <v>5</v>
      </c>
      <c r="Q66" s="105">
        <v>5951.9999999999991</v>
      </c>
      <c r="R66" s="105">
        <v>5</v>
      </c>
      <c r="S66" s="105">
        <v>5951.9999999999991</v>
      </c>
      <c r="T66" s="105">
        <v>7</v>
      </c>
      <c r="U66" s="105">
        <v>8332.7999999999993</v>
      </c>
      <c r="V66" s="105">
        <v>7</v>
      </c>
      <c r="W66" s="105">
        <v>8332.7999999999993</v>
      </c>
      <c r="X66" s="105">
        <v>7</v>
      </c>
      <c r="Y66" s="105">
        <v>8332.7999999999993</v>
      </c>
      <c r="Z66" s="105">
        <v>7</v>
      </c>
      <c r="AA66" s="105">
        <v>8332.7999999999993</v>
      </c>
      <c r="AB66" s="105">
        <v>6</v>
      </c>
      <c r="AC66" s="105">
        <v>7142.4</v>
      </c>
      <c r="AD66" s="105">
        <v>7</v>
      </c>
      <c r="AE66" s="105">
        <v>8332.7999999999993</v>
      </c>
      <c r="AF66" s="105">
        <v>8</v>
      </c>
      <c r="AG66" s="105">
        <v>9523.1999999999989</v>
      </c>
      <c r="AH66" s="105">
        <v>9</v>
      </c>
      <c r="AI66" s="105">
        <v>10713.599999999999</v>
      </c>
      <c r="AJ66" s="105">
        <v>11</v>
      </c>
      <c r="AK66" s="105">
        <v>13094.399999999998</v>
      </c>
      <c r="AL66" s="105">
        <v>10</v>
      </c>
      <c r="AM66" s="105">
        <v>11903.999999999998</v>
      </c>
      <c r="AN66" s="105">
        <v>9</v>
      </c>
      <c r="AO66" s="105">
        <v>10713.599999999999</v>
      </c>
      <c r="AP66" s="105">
        <v>9</v>
      </c>
      <c r="AQ66" s="105">
        <v>10713.599999999999</v>
      </c>
      <c r="AR66" s="105">
        <v>12</v>
      </c>
      <c r="AS66" s="105">
        <v>14284.8</v>
      </c>
      <c r="AT66" s="105">
        <v>8</v>
      </c>
      <c r="AU66" s="105">
        <v>9523.1999999999989</v>
      </c>
      <c r="AV66" s="105">
        <v>9</v>
      </c>
      <c r="AW66" s="105">
        <v>10713.599999999999</v>
      </c>
      <c r="AX66" s="105">
        <v>14</v>
      </c>
      <c r="AY66" s="105">
        <v>16665.599999999999</v>
      </c>
      <c r="AZ66" s="105">
        <v>19</v>
      </c>
      <c r="BA66" s="105">
        <v>22617.599999999999</v>
      </c>
      <c r="BB66" s="105">
        <v>13</v>
      </c>
      <c r="BC66" s="105">
        <v>15475.199999999999</v>
      </c>
      <c r="BD66" s="105">
        <v>15</v>
      </c>
      <c r="BE66" s="105">
        <v>17855.999999999996</v>
      </c>
      <c r="BF66" s="105">
        <v>12</v>
      </c>
      <c r="BG66" s="105">
        <v>14284.8</v>
      </c>
      <c r="BH66" s="105">
        <v>13</v>
      </c>
      <c r="BI66" s="105">
        <v>15475.199999999999</v>
      </c>
      <c r="BJ66" s="105">
        <v>24</v>
      </c>
      <c r="BK66" s="105">
        <v>28569.599999999999</v>
      </c>
      <c r="BL66" s="105">
        <v>23</v>
      </c>
      <c r="BM66" s="105">
        <v>27379.199999999997</v>
      </c>
      <c r="BN66" s="105">
        <v>18</v>
      </c>
      <c r="BO66" s="105">
        <v>21427.199999999997</v>
      </c>
      <c r="BP66" s="105">
        <v>24</v>
      </c>
      <c r="BQ66" s="105">
        <v>28569.599999999999</v>
      </c>
      <c r="BR66" s="105">
        <v>24</v>
      </c>
      <c r="BS66" s="105">
        <v>28569.599999999999</v>
      </c>
      <c r="BT66" s="105">
        <v>27</v>
      </c>
      <c r="BU66" s="105">
        <v>32140.799999999996</v>
      </c>
      <c r="BV66" s="105">
        <v>18</v>
      </c>
      <c r="BW66" s="105">
        <v>21427.199999999997</v>
      </c>
      <c r="BX66" s="105">
        <v>32.900231249871496</v>
      </c>
      <c r="BY66" s="105">
        <v>39164.435279847021</v>
      </c>
      <c r="BZ66" s="105">
        <v>1.7599745890881719</v>
      </c>
      <c r="CA66" s="105">
        <v>2095.0737508505595</v>
      </c>
      <c r="CB66" s="105">
        <v>16.006922965818106</v>
      </c>
      <c r="CC66" s="105">
        <v>19054.64109850987</v>
      </c>
      <c r="CD66" s="105">
        <v>14.132447760766508</v>
      </c>
      <c r="CE66" s="105">
        <v>16823.265814416449</v>
      </c>
      <c r="CF66" s="105">
        <v>1.0695422535211268</v>
      </c>
      <c r="CG66" s="105">
        <v>1273.1830985915492</v>
      </c>
      <c r="CH66" s="105">
        <v>9.1145148764414881</v>
      </c>
      <c r="CI66" s="105">
        <v>10849.918508915945</v>
      </c>
      <c r="CJ66" s="105">
        <v>4.0452830752938578</v>
      </c>
      <c r="CK66" s="105">
        <v>4815.5049728298081</v>
      </c>
      <c r="CL66" s="105">
        <v>35.631875844253706</v>
      </c>
      <c r="CM66" s="105">
        <v>42416.185004999606</v>
      </c>
      <c r="CN66" s="105">
        <v>14.616063055044869</v>
      </c>
      <c r="CO66" s="105">
        <v>17398.961460725408</v>
      </c>
      <c r="CP66" s="105">
        <v>6.6724661350034866</v>
      </c>
      <c r="CQ66" s="105">
        <v>7942.9036871081498</v>
      </c>
      <c r="CR66" s="105">
        <v>1.483792227003391</v>
      </c>
      <c r="CS66" s="105">
        <v>1766.3062670248364</v>
      </c>
      <c r="CT66" s="105">
        <v>7.3760622203058368</v>
      </c>
      <c r="CU66" s="105">
        <v>8780.4644670520665</v>
      </c>
    </row>
    <row r="67" spans="2:99" x14ac:dyDescent="0.25">
      <c r="C67" s="104" t="s">
        <v>232</v>
      </c>
      <c r="D67" s="105">
        <v>0</v>
      </c>
      <c r="E67" s="105">
        <v>0</v>
      </c>
      <c r="F67" s="105">
        <v>0</v>
      </c>
      <c r="G67" s="105">
        <v>0</v>
      </c>
      <c r="H67" s="105">
        <v>6</v>
      </c>
      <c r="I67" s="105">
        <v>6739.2000000000007</v>
      </c>
      <c r="J67" s="105">
        <v>3</v>
      </c>
      <c r="K67" s="105">
        <v>3369.6000000000004</v>
      </c>
      <c r="L67" s="105">
        <v>5</v>
      </c>
      <c r="M67" s="105">
        <v>5616</v>
      </c>
      <c r="N67" s="105">
        <v>5</v>
      </c>
      <c r="O67" s="105">
        <v>5616</v>
      </c>
      <c r="P67" s="105">
        <v>5</v>
      </c>
      <c r="Q67" s="105">
        <v>5616</v>
      </c>
      <c r="R67" s="105">
        <v>6</v>
      </c>
      <c r="S67" s="105">
        <v>6739.2000000000007</v>
      </c>
      <c r="T67" s="105">
        <v>7</v>
      </c>
      <c r="U67" s="105">
        <v>7862.4000000000005</v>
      </c>
      <c r="V67" s="105">
        <v>8</v>
      </c>
      <c r="W67" s="105">
        <v>8985.6</v>
      </c>
      <c r="X67" s="105">
        <v>7</v>
      </c>
      <c r="Y67" s="105">
        <v>7862.4000000000005</v>
      </c>
      <c r="Z67" s="105">
        <v>8</v>
      </c>
      <c r="AA67" s="105">
        <v>8985.6</v>
      </c>
      <c r="AB67" s="105">
        <v>6</v>
      </c>
      <c r="AC67" s="105">
        <v>6739.2000000000007</v>
      </c>
      <c r="AD67" s="105">
        <v>6</v>
      </c>
      <c r="AE67" s="105">
        <v>6739.2000000000007</v>
      </c>
      <c r="AF67" s="105">
        <v>8</v>
      </c>
      <c r="AG67" s="105">
        <v>8985.6</v>
      </c>
      <c r="AH67" s="105">
        <v>8</v>
      </c>
      <c r="AI67" s="105">
        <v>8985.6</v>
      </c>
      <c r="AJ67" s="105">
        <v>11</v>
      </c>
      <c r="AK67" s="105">
        <v>12355.2</v>
      </c>
      <c r="AL67" s="105">
        <v>10</v>
      </c>
      <c r="AM67" s="105">
        <v>11232</v>
      </c>
      <c r="AN67" s="105">
        <v>8</v>
      </c>
      <c r="AO67" s="105">
        <v>8985.6</v>
      </c>
      <c r="AP67" s="105">
        <v>9</v>
      </c>
      <c r="AQ67" s="105">
        <v>10108.800000000001</v>
      </c>
      <c r="AR67" s="105">
        <v>13</v>
      </c>
      <c r="AS67" s="105">
        <v>14601.6</v>
      </c>
      <c r="AT67" s="105">
        <v>7</v>
      </c>
      <c r="AU67" s="105">
        <v>7862.4000000000005</v>
      </c>
      <c r="AV67" s="105">
        <v>11</v>
      </c>
      <c r="AW67" s="105">
        <v>12355.2</v>
      </c>
      <c r="AX67" s="105">
        <v>15</v>
      </c>
      <c r="AY67" s="105">
        <v>16848</v>
      </c>
      <c r="AZ67" s="105">
        <v>18</v>
      </c>
      <c r="BA67" s="105">
        <v>20217.600000000002</v>
      </c>
      <c r="BB67" s="105">
        <v>13</v>
      </c>
      <c r="BC67" s="105">
        <v>14601.6</v>
      </c>
      <c r="BD67" s="105">
        <v>15</v>
      </c>
      <c r="BE67" s="105">
        <v>16848</v>
      </c>
      <c r="BF67" s="105">
        <v>12</v>
      </c>
      <c r="BG67" s="105">
        <v>13478.400000000001</v>
      </c>
      <c r="BH67" s="105">
        <v>12</v>
      </c>
      <c r="BI67" s="105">
        <v>13478.400000000001</v>
      </c>
      <c r="BJ67" s="105">
        <v>26</v>
      </c>
      <c r="BK67" s="105">
        <v>29203.200000000001</v>
      </c>
      <c r="BL67" s="105">
        <v>25</v>
      </c>
      <c r="BM67" s="105">
        <v>28080</v>
      </c>
      <c r="BN67" s="105">
        <v>16</v>
      </c>
      <c r="BO67" s="105">
        <v>17971.2</v>
      </c>
      <c r="BP67" s="105">
        <v>22</v>
      </c>
      <c r="BQ67" s="105">
        <v>24710.400000000001</v>
      </c>
      <c r="BR67" s="105">
        <v>23</v>
      </c>
      <c r="BS67" s="105">
        <v>25833.600000000002</v>
      </c>
      <c r="BT67" s="105">
        <v>25</v>
      </c>
      <c r="BU67" s="105">
        <v>28080</v>
      </c>
      <c r="BV67" s="105">
        <v>18</v>
      </c>
      <c r="BW67" s="105">
        <v>20217.600000000002</v>
      </c>
      <c r="BX67" s="105">
        <v>32.056635576797873</v>
      </c>
      <c r="BY67" s="105">
        <v>36006.013079859375</v>
      </c>
      <c r="BZ67" s="105">
        <v>1.8167479629297261</v>
      </c>
      <c r="CA67" s="105">
        <v>2040.5713119626685</v>
      </c>
      <c r="CB67" s="105">
        <v>14.939794768096901</v>
      </c>
      <c r="CC67" s="105">
        <v>16780.377483526441</v>
      </c>
      <c r="CD67" s="105">
        <v>12.365891790670695</v>
      </c>
      <c r="CE67" s="105">
        <v>13889.369659281325</v>
      </c>
      <c r="CF67" s="105">
        <v>1.0497359154929577</v>
      </c>
      <c r="CG67" s="105">
        <v>1179.0633802816901</v>
      </c>
      <c r="CH67" s="105">
        <v>9.1145148764414881</v>
      </c>
      <c r="CI67" s="105">
        <v>10237.42310921908</v>
      </c>
      <c r="CJ67" s="105">
        <v>4.1576520496075755</v>
      </c>
      <c r="CK67" s="105">
        <v>4669.8747821192292</v>
      </c>
      <c r="CL67" s="105">
        <v>31.608922119902481</v>
      </c>
      <c r="CM67" s="105">
        <v>35503.141325074466</v>
      </c>
      <c r="CN67" s="105">
        <v>15.12006522935676</v>
      </c>
      <c r="CO67" s="105">
        <v>16982.857265613515</v>
      </c>
      <c r="CP67" s="105">
        <v>6.4702701915185337</v>
      </c>
      <c r="CQ67" s="105">
        <v>7267.4074791136172</v>
      </c>
      <c r="CR67" s="105">
        <v>1.2983181986279673</v>
      </c>
      <c r="CS67" s="105">
        <v>1458.271000698933</v>
      </c>
      <c r="CT67" s="105">
        <v>7.5265941023528953</v>
      </c>
      <c r="CU67" s="105">
        <v>8453.8704957627724</v>
      </c>
    </row>
    <row r="68" spans="2:99" x14ac:dyDescent="0.25">
      <c r="C68" s="104" t="s">
        <v>233</v>
      </c>
      <c r="D68" s="105">
        <v>0</v>
      </c>
      <c r="E68" s="105">
        <v>0</v>
      </c>
      <c r="F68" s="105">
        <v>0</v>
      </c>
      <c r="G68" s="105">
        <v>0</v>
      </c>
      <c r="H68" s="105">
        <v>5</v>
      </c>
      <c r="I68" s="105">
        <v>5166</v>
      </c>
      <c r="J68" s="105">
        <v>3</v>
      </c>
      <c r="K68" s="105">
        <v>3099.6000000000004</v>
      </c>
      <c r="L68" s="105">
        <v>5</v>
      </c>
      <c r="M68" s="105">
        <v>5166</v>
      </c>
      <c r="N68" s="105">
        <v>5</v>
      </c>
      <c r="O68" s="105">
        <v>5166</v>
      </c>
      <c r="P68" s="105">
        <v>5</v>
      </c>
      <c r="Q68" s="105">
        <v>5166</v>
      </c>
      <c r="R68" s="105">
        <v>6</v>
      </c>
      <c r="S68" s="105">
        <v>6199.2000000000007</v>
      </c>
      <c r="T68" s="105">
        <v>7</v>
      </c>
      <c r="U68" s="105">
        <v>7232.4000000000005</v>
      </c>
      <c r="V68" s="105">
        <v>7</v>
      </c>
      <c r="W68" s="105">
        <v>7232.4000000000005</v>
      </c>
      <c r="X68" s="105">
        <v>7</v>
      </c>
      <c r="Y68" s="105">
        <v>7232.4000000000005</v>
      </c>
      <c r="Z68" s="105">
        <v>8</v>
      </c>
      <c r="AA68" s="105">
        <v>8265.6</v>
      </c>
      <c r="AB68" s="105">
        <v>6</v>
      </c>
      <c r="AC68" s="105">
        <v>6199.2000000000007</v>
      </c>
      <c r="AD68" s="105">
        <v>7</v>
      </c>
      <c r="AE68" s="105">
        <v>7232.4000000000005</v>
      </c>
      <c r="AF68" s="105">
        <v>8</v>
      </c>
      <c r="AG68" s="105">
        <v>8265.6</v>
      </c>
      <c r="AH68" s="105">
        <v>8</v>
      </c>
      <c r="AI68" s="105">
        <v>8265.6</v>
      </c>
      <c r="AJ68" s="105">
        <v>11</v>
      </c>
      <c r="AK68" s="105">
        <v>11365.2</v>
      </c>
      <c r="AL68" s="105">
        <v>9</v>
      </c>
      <c r="AM68" s="105">
        <v>9298.8000000000011</v>
      </c>
      <c r="AN68" s="105">
        <v>10</v>
      </c>
      <c r="AO68" s="105">
        <v>10332</v>
      </c>
      <c r="AP68" s="105">
        <v>9</v>
      </c>
      <c r="AQ68" s="105">
        <v>9298.8000000000011</v>
      </c>
      <c r="AR68" s="105">
        <v>14</v>
      </c>
      <c r="AS68" s="105">
        <v>14464.800000000001</v>
      </c>
      <c r="AT68" s="105">
        <v>7</v>
      </c>
      <c r="AU68" s="105">
        <v>7232.4000000000005</v>
      </c>
      <c r="AV68" s="105">
        <v>9</v>
      </c>
      <c r="AW68" s="105">
        <v>9298.8000000000011</v>
      </c>
      <c r="AX68" s="105">
        <v>15</v>
      </c>
      <c r="AY68" s="105">
        <v>15498</v>
      </c>
      <c r="AZ68" s="105">
        <v>19</v>
      </c>
      <c r="BA68" s="105">
        <v>19630.8</v>
      </c>
      <c r="BB68" s="105">
        <v>14</v>
      </c>
      <c r="BC68" s="105">
        <v>14464.800000000001</v>
      </c>
      <c r="BD68" s="105">
        <v>14</v>
      </c>
      <c r="BE68" s="105">
        <v>14464.800000000001</v>
      </c>
      <c r="BF68" s="105">
        <v>10</v>
      </c>
      <c r="BG68" s="105">
        <v>10332</v>
      </c>
      <c r="BH68" s="105">
        <v>12</v>
      </c>
      <c r="BI68" s="105">
        <v>12398.400000000001</v>
      </c>
      <c r="BJ68" s="105">
        <v>25</v>
      </c>
      <c r="BK68" s="105">
        <v>25830</v>
      </c>
      <c r="BL68" s="105">
        <v>24</v>
      </c>
      <c r="BM68" s="105">
        <v>24796.800000000003</v>
      </c>
      <c r="BN68" s="105">
        <v>15</v>
      </c>
      <c r="BO68" s="105">
        <v>15498</v>
      </c>
      <c r="BP68" s="105">
        <v>24</v>
      </c>
      <c r="BQ68" s="105">
        <v>24796.800000000003</v>
      </c>
      <c r="BR68" s="105">
        <v>24</v>
      </c>
      <c r="BS68" s="105">
        <v>24796.800000000003</v>
      </c>
      <c r="BT68" s="105">
        <v>25</v>
      </c>
      <c r="BU68" s="105">
        <v>25830</v>
      </c>
      <c r="BV68" s="105">
        <v>17</v>
      </c>
      <c r="BW68" s="105">
        <v>17564.400000000001</v>
      </c>
      <c r="BX68" s="105">
        <v>31.213039903724244</v>
      </c>
      <c r="BY68" s="105">
        <v>32249.312828527891</v>
      </c>
      <c r="BZ68" s="105">
        <v>1.9870680844543878</v>
      </c>
      <c r="CA68" s="105">
        <v>2053.0387448582737</v>
      </c>
      <c r="CB68" s="105">
        <v>15.473358866957504</v>
      </c>
      <c r="CC68" s="105">
        <v>15987.074381340493</v>
      </c>
      <c r="CD68" s="105">
        <v>13.779136566747345</v>
      </c>
      <c r="CE68" s="105">
        <v>14236.603900763357</v>
      </c>
      <c r="CF68" s="105">
        <v>1.0497359154929577</v>
      </c>
      <c r="CG68" s="105">
        <v>1084.5871478873239</v>
      </c>
      <c r="CH68" s="105">
        <v>9.9283108475523356</v>
      </c>
      <c r="CI68" s="105">
        <v>10257.930767691074</v>
      </c>
      <c r="CJ68" s="105">
        <v>3.820545126666421</v>
      </c>
      <c r="CK68" s="105">
        <v>3947.3872248717462</v>
      </c>
      <c r="CL68" s="105">
        <v>36.781291194068345</v>
      </c>
      <c r="CM68" s="105">
        <v>38002.430061711413</v>
      </c>
      <c r="CN68" s="105">
        <v>14.112060880732976</v>
      </c>
      <c r="CO68" s="105">
        <v>14580.58130197331</v>
      </c>
      <c r="CP68" s="105">
        <v>6.8746620784884422</v>
      </c>
      <c r="CQ68" s="105">
        <v>7102.9008594942588</v>
      </c>
      <c r="CR68" s="105">
        <v>1.2645956480142539</v>
      </c>
      <c r="CS68" s="105">
        <v>1306.5802235283272</v>
      </c>
      <c r="CT68" s="105">
        <v>7.5265941023528953</v>
      </c>
      <c r="CU68" s="105">
        <v>7776.4770265510115</v>
      </c>
    </row>
    <row r="69" spans="2:99" x14ac:dyDescent="0.25">
      <c r="C69" s="104" t="s">
        <v>234</v>
      </c>
      <c r="D69" s="105">
        <v>0</v>
      </c>
      <c r="E69" s="105">
        <v>0</v>
      </c>
      <c r="F69" s="105">
        <v>0</v>
      </c>
      <c r="G69" s="105">
        <v>0</v>
      </c>
      <c r="H69" s="105">
        <v>5</v>
      </c>
      <c r="I69" s="105">
        <v>3792</v>
      </c>
      <c r="J69" s="105">
        <v>3</v>
      </c>
      <c r="K69" s="105">
        <v>2275.1999999999998</v>
      </c>
      <c r="L69" s="105">
        <v>5</v>
      </c>
      <c r="M69" s="105">
        <v>3792</v>
      </c>
      <c r="N69" s="105">
        <v>5</v>
      </c>
      <c r="O69" s="105">
        <v>3792</v>
      </c>
      <c r="P69" s="105">
        <v>5</v>
      </c>
      <c r="Q69" s="105">
        <v>3792</v>
      </c>
      <c r="R69" s="105">
        <v>5</v>
      </c>
      <c r="S69" s="105">
        <v>3792</v>
      </c>
      <c r="T69" s="105">
        <v>6</v>
      </c>
      <c r="U69" s="105">
        <v>4550.3999999999996</v>
      </c>
      <c r="V69" s="105">
        <v>8</v>
      </c>
      <c r="W69" s="105">
        <v>6067.2</v>
      </c>
      <c r="X69" s="105">
        <v>6</v>
      </c>
      <c r="Y69" s="105">
        <v>4550.3999999999996</v>
      </c>
      <c r="Z69" s="105">
        <v>9</v>
      </c>
      <c r="AA69" s="105">
        <v>6825.5999999999995</v>
      </c>
      <c r="AB69" s="105">
        <v>6</v>
      </c>
      <c r="AC69" s="105">
        <v>4550.3999999999996</v>
      </c>
      <c r="AD69" s="105">
        <v>7</v>
      </c>
      <c r="AE69" s="105">
        <v>5308.8</v>
      </c>
      <c r="AF69" s="105">
        <v>8</v>
      </c>
      <c r="AG69" s="105">
        <v>6067.2</v>
      </c>
      <c r="AH69" s="105">
        <v>8</v>
      </c>
      <c r="AI69" s="105">
        <v>6067.2</v>
      </c>
      <c r="AJ69" s="105">
        <v>12</v>
      </c>
      <c r="AK69" s="105">
        <v>9100.7999999999993</v>
      </c>
      <c r="AL69" s="105">
        <v>10</v>
      </c>
      <c r="AM69" s="105">
        <v>7584</v>
      </c>
      <c r="AN69" s="105">
        <v>10</v>
      </c>
      <c r="AO69" s="105">
        <v>7584</v>
      </c>
      <c r="AP69" s="105">
        <v>11</v>
      </c>
      <c r="AQ69" s="105">
        <v>8342.4</v>
      </c>
      <c r="AR69" s="105">
        <v>13</v>
      </c>
      <c r="AS69" s="105">
        <v>9859.1999999999989</v>
      </c>
      <c r="AT69" s="105">
        <v>8</v>
      </c>
      <c r="AU69" s="105">
        <v>6067.2</v>
      </c>
      <c r="AV69" s="105">
        <v>10</v>
      </c>
      <c r="AW69" s="105">
        <v>7584</v>
      </c>
      <c r="AX69" s="105">
        <v>14</v>
      </c>
      <c r="AY69" s="105">
        <v>10617.6</v>
      </c>
      <c r="AZ69" s="105">
        <v>19</v>
      </c>
      <c r="BA69" s="105">
        <v>14409.6</v>
      </c>
      <c r="BB69" s="105">
        <v>12</v>
      </c>
      <c r="BC69" s="105">
        <v>9100.7999999999993</v>
      </c>
      <c r="BD69" s="105">
        <v>15</v>
      </c>
      <c r="BE69" s="105">
        <v>11376</v>
      </c>
      <c r="BF69" s="105">
        <v>12</v>
      </c>
      <c r="BG69" s="105">
        <v>9100.7999999999993</v>
      </c>
      <c r="BH69" s="105">
        <v>12</v>
      </c>
      <c r="BI69" s="105">
        <v>9100.7999999999993</v>
      </c>
      <c r="BJ69" s="105">
        <v>23</v>
      </c>
      <c r="BK69" s="105">
        <v>17443.2</v>
      </c>
      <c r="BL69" s="105">
        <v>23</v>
      </c>
      <c r="BM69" s="105">
        <v>17443.2</v>
      </c>
      <c r="BN69" s="105">
        <v>16</v>
      </c>
      <c r="BO69" s="105">
        <v>12134.4</v>
      </c>
      <c r="BP69" s="105">
        <v>23</v>
      </c>
      <c r="BQ69" s="105">
        <v>17443.2</v>
      </c>
      <c r="BR69" s="105">
        <v>24</v>
      </c>
      <c r="BS69" s="105">
        <v>18201.599999999999</v>
      </c>
      <c r="BT69" s="105">
        <v>27</v>
      </c>
      <c r="BU69" s="105">
        <v>20476.8</v>
      </c>
      <c r="BV69" s="105">
        <v>18</v>
      </c>
      <c r="BW69" s="105">
        <v>13651.199999999999</v>
      </c>
      <c r="BX69" s="105">
        <v>34.587422596018754</v>
      </c>
      <c r="BY69" s="105">
        <v>26231.101296820623</v>
      </c>
      <c r="BZ69" s="105">
        <v>1.9870680844543878</v>
      </c>
      <c r="CA69" s="105">
        <v>1506.9924352502076</v>
      </c>
      <c r="CB69" s="105">
        <v>15.473358866957504</v>
      </c>
      <c r="CC69" s="105">
        <v>11734.995364700571</v>
      </c>
      <c r="CD69" s="105">
        <v>15.192381342823996</v>
      </c>
      <c r="CE69" s="105">
        <v>11521.902010397718</v>
      </c>
      <c r="CF69" s="105">
        <v>1.1091549295774648</v>
      </c>
      <c r="CG69" s="105">
        <v>841.1830985915492</v>
      </c>
      <c r="CH69" s="105">
        <v>11.067625207107522</v>
      </c>
      <c r="CI69" s="105">
        <v>8393.6869570703439</v>
      </c>
      <c r="CJ69" s="105">
        <v>4.7194969211761668</v>
      </c>
      <c r="CK69" s="105">
        <v>3579.2664650200049</v>
      </c>
      <c r="CL69" s="105">
        <v>33.333045144624435</v>
      </c>
      <c r="CM69" s="105">
        <v>25279.78143768317</v>
      </c>
      <c r="CN69" s="105">
        <v>17.976077550457482</v>
      </c>
      <c r="CO69" s="105">
        <v>13633.057214266953</v>
      </c>
      <c r="CP69" s="105">
        <v>7.1779559937158721</v>
      </c>
      <c r="CQ69" s="105">
        <v>5443.7618256341175</v>
      </c>
      <c r="CR69" s="105">
        <v>1.5680986035376747</v>
      </c>
      <c r="CS69" s="105">
        <v>1189.2459809229724</v>
      </c>
      <c r="CT69" s="105">
        <v>8.0534556895175982</v>
      </c>
      <c r="CU69" s="105">
        <v>6107.740794930146</v>
      </c>
    </row>
    <row r="70" spans="2:99" x14ac:dyDescent="0.25">
      <c r="C70" s="104" t="s">
        <v>235</v>
      </c>
      <c r="D70" s="105">
        <v>0</v>
      </c>
      <c r="E70" s="105">
        <v>0</v>
      </c>
      <c r="F70" s="105">
        <v>0</v>
      </c>
      <c r="G70" s="105">
        <v>0</v>
      </c>
      <c r="H70" s="105">
        <v>5</v>
      </c>
      <c r="I70" s="105">
        <v>2675.9999999999995</v>
      </c>
      <c r="J70" s="105">
        <v>3</v>
      </c>
      <c r="K70" s="105">
        <v>1605.6</v>
      </c>
      <c r="L70" s="105">
        <v>5</v>
      </c>
      <c r="M70" s="105">
        <v>2675.9999999999995</v>
      </c>
      <c r="N70" s="105">
        <v>5</v>
      </c>
      <c r="O70" s="105">
        <v>2675.9999999999995</v>
      </c>
      <c r="P70" s="105">
        <v>5</v>
      </c>
      <c r="Q70" s="105">
        <v>2675.9999999999995</v>
      </c>
      <c r="R70" s="105">
        <v>6</v>
      </c>
      <c r="S70" s="105">
        <v>3211.2</v>
      </c>
      <c r="T70" s="105">
        <v>7</v>
      </c>
      <c r="U70" s="105">
        <v>3746.3999999999996</v>
      </c>
      <c r="V70" s="105">
        <v>8</v>
      </c>
      <c r="W70" s="105">
        <v>4281.5999999999995</v>
      </c>
      <c r="X70" s="105">
        <v>6</v>
      </c>
      <c r="Y70" s="105">
        <v>3211.2</v>
      </c>
      <c r="Z70" s="105">
        <v>8</v>
      </c>
      <c r="AA70" s="105">
        <v>4281.5999999999995</v>
      </c>
      <c r="AB70" s="105">
        <v>6</v>
      </c>
      <c r="AC70" s="105">
        <v>3211.2</v>
      </c>
      <c r="AD70" s="105">
        <v>7</v>
      </c>
      <c r="AE70" s="105">
        <v>3746.3999999999996</v>
      </c>
      <c r="AF70" s="105">
        <v>8</v>
      </c>
      <c r="AG70" s="105">
        <v>4281.5999999999995</v>
      </c>
      <c r="AH70" s="105">
        <v>9</v>
      </c>
      <c r="AI70" s="105">
        <v>4816.7999999999993</v>
      </c>
      <c r="AJ70" s="105">
        <v>12</v>
      </c>
      <c r="AK70" s="105">
        <v>6422.4</v>
      </c>
      <c r="AL70" s="105">
        <v>10</v>
      </c>
      <c r="AM70" s="105">
        <v>5351.9999999999991</v>
      </c>
      <c r="AN70" s="105">
        <v>10</v>
      </c>
      <c r="AO70" s="105">
        <v>5351.9999999999991</v>
      </c>
      <c r="AP70" s="105">
        <v>10</v>
      </c>
      <c r="AQ70" s="105">
        <v>5351.9999999999991</v>
      </c>
      <c r="AR70" s="105">
        <v>15</v>
      </c>
      <c r="AS70" s="105">
        <v>8027.9999999999991</v>
      </c>
      <c r="AT70" s="105">
        <v>9</v>
      </c>
      <c r="AU70" s="105">
        <v>4816.7999999999993</v>
      </c>
      <c r="AV70" s="105">
        <v>10</v>
      </c>
      <c r="AW70" s="105">
        <v>5351.9999999999991</v>
      </c>
      <c r="AX70" s="105">
        <v>14</v>
      </c>
      <c r="AY70" s="105">
        <v>7492.7999999999993</v>
      </c>
      <c r="AZ70" s="105">
        <v>19</v>
      </c>
      <c r="BA70" s="105">
        <v>10168.799999999999</v>
      </c>
      <c r="BB70" s="105">
        <v>14</v>
      </c>
      <c r="BC70" s="105">
        <v>7492.7999999999993</v>
      </c>
      <c r="BD70" s="105">
        <v>15</v>
      </c>
      <c r="BE70" s="105">
        <v>8027.9999999999991</v>
      </c>
      <c r="BF70" s="105">
        <v>11</v>
      </c>
      <c r="BG70" s="105">
        <v>5887.1999999999989</v>
      </c>
      <c r="BH70" s="105">
        <v>14</v>
      </c>
      <c r="BI70" s="105">
        <v>7492.7999999999993</v>
      </c>
      <c r="BJ70" s="105">
        <v>25</v>
      </c>
      <c r="BK70" s="105">
        <v>13379.999999999998</v>
      </c>
      <c r="BL70" s="105">
        <v>25</v>
      </c>
      <c r="BM70" s="105">
        <v>13379.999999999998</v>
      </c>
      <c r="BN70" s="105">
        <v>17</v>
      </c>
      <c r="BO70" s="105">
        <v>9098.4</v>
      </c>
      <c r="BP70" s="105">
        <v>25</v>
      </c>
      <c r="BQ70" s="105">
        <v>13379.999999999998</v>
      </c>
      <c r="BR70" s="105">
        <v>27</v>
      </c>
      <c r="BS70" s="105">
        <v>14450.399999999998</v>
      </c>
      <c r="BT70" s="105">
        <v>28</v>
      </c>
      <c r="BU70" s="105">
        <v>14985.599999999999</v>
      </c>
      <c r="BV70" s="105">
        <v>17</v>
      </c>
      <c r="BW70" s="105">
        <v>9098.4</v>
      </c>
      <c r="BX70" s="105">
        <v>34.587422596018754</v>
      </c>
      <c r="BY70" s="105">
        <v>18511.188573389234</v>
      </c>
      <c r="BZ70" s="105">
        <v>2.1573882059790499</v>
      </c>
      <c r="CA70" s="105">
        <v>1154.6341678399874</v>
      </c>
      <c r="CB70" s="105">
        <v>17.074051163539313</v>
      </c>
      <c r="CC70" s="105">
        <v>9138.0321827262396</v>
      </c>
      <c r="CD70" s="105">
        <v>14.132447760766508</v>
      </c>
      <c r="CE70" s="105">
        <v>7563.6860415622341</v>
      </c>
      <c r="CF70" s="105">
        <v>1.1685739436619718</v>
      </c>
      <c r="CG70" s="105">
        <v>625.42077464788724</v>
      </c>
      <c r="CH70" s="105">
        <v>10.416588430218843</v>
      </c>
      <c r="CI70" s="105">
        <v>5574.9581278531241</v>
      </c>
      <c r="CJ70" s="105">
        <v>4.6071279468624482</v>
      </c>
      <c r="CK70" s="105">
        <v>2465.7348771607822</v>
      </c>
      <c r="CL70" s="105">
        <v>33.333045144624435</v>
      </c>
      <c r="CM70" s="105">
        <v>17839.845761402994</v>
      </c>
      <c r="CN70" s="105">
        <v>17.304074651374957</v>
      </c>
      <c r="CO70" s="105">
        <v>9261.1407534158752</v>
      </c>
      <c r="CP70" s="105">
        <v>6.7735641067459635</v>
      </c>
      <c r="CQ70" s="105">
        <v>3625.2115099304392</v>
      </c>
      <c r="CR70" s="105">
        <v>1.483792227003391</v>
      </c>
      <c r="CS70" s="105">
        <v>794.12559989221472</v>
      </c>
      <c r="CT70" s="105">
        <v>8.7308491587293595</v>
      </c>
      <c r="CU70" s="105">
        <v>4672.7504697519526</v>
      </c>
    </row>
    <row r="71" spans="2:99" x14ac:dyDescent="0.25">
      <c r="B71" s="104" t="s">
        <v>130</v>
      </c>
      <c r="C71" s="104" t="s">
        <v>236</v>
      </c>
      <c r="D71" s="105">
        <v>0</v>
      </c>
      <c r="E71" s="105">
        <v>0</v>
      </c>
      <c r="F71" s="105">
        <v>0</v>
      </c>
      <c r="G71" s="105">
        <v>0</v>
      </c>
      <c r="H71" s="105">
        <v>6</v>
      </c>
      <c r="I71" s="105">
        <v>3384</v>
      </c>
      <c r="J71" s="105">
        <v>7</v>
      </c>
      <c r="K71" s="105">
        <v>3948</v>
      </c>
      <c r="L71" s="105">
        <v>8</v>
      </c>
      <c r="M71" s="105">
        <v>4512</v>
      </c>
      <c r="N71" s="105">
        <v>5</v>
      </c>
      <c r="O71" s="105">
        <v>2820</v>
      </c>
      <c r="P71" s="105">
        <v>6</v>
      </c>
      <c r="Q71" s="105">
        <v>3384</v>
      </c>
      <c r="R71" s="105">
        <v>5</v>
      </c>
      <c r="S71" s="105">
        <v>2820</v>
      </c>
      <c r="T71" s="105">
        <v>9</v>
      </c>
      <c r="U71" s="105">
        <v>5076</v>
      </c>
      <c r="V71" s="105">
        <v>8</v>
      </c>
      <c r="W71" s="105">
        <v>4512</v>
      </c>
      <c r="X71" s="105">
        <v>12</v>
      </c>
      <c r="Y71" s="105">
        <v>6768</v>
      </c>
      <c r="Z71" s="105">
        <v>10</v>
      </c>
      <c r="AA71" s="105">
        <v>5640</v>
      </c>
      <c r="AB71" s="105">
        <v>12</v>
      </c>
      <c r="AC71" s="105">
        <v>6768</v>
      </c>
      <c r="AD71" s="105">
        <v>10</v>
      </c>
      <c r="AE71" s="105">
        <v>5640</v>
      </c>
      <c r="AF71" s="105">
        <v>10</v>
      </c>
      <c r="AG71" s="105">
        <v>5640</v>
      </c>
      <c r="AH71" s="105">
        <v>11</v>
      </c>
      <c r="AI71" s="105">
        <v>6204</v>
      </c>
      <c r="AJ71" s="105">
        <v>8</v>
      </c>
      <c r="AK71" s="105">
        <v>4512</v>
      </c>
      <c r="AL71" s="105">
        <v>10</v>
      </c>
      <c r="AM71" s="105">
        <v>5640</v>
      </c>
      <c r="AN71" s="105">
        <v>14</v>
      </c>
      <c r="AO71" s="105">
        <v>7896</v>
      </c>
      <c r="AP71" s="105">
        <v>13</v>
      </c>
      <c r="AQ71" s="105">
        <v>7332</v>
      </c>
      <c r="AR71" s="105">
        <v>16</v>
      </c>
      <c r="AS71" s="105">
        <v>9024</v>
      </c>
      <c r="AT71" s="105">
        <v>15</v>
      </c>
      <c r="AU71" s="105">
        <v>8460</v>
      </c>
      <c r="AV71" s="105">
        <v>18</v>
      </c>
      <c r="AW71" s="105">
        <v>10152</v>
      </c>
      <c r="AX71" s="105">
        <v>16</v>
      </c>
      <c r="AY71" s="105">
        <v>9024</v>
      </c>
      <c r="AZ71" s="105">
        <v>20</v>
      </c>
      <c r="BA71" s="105">
        <v>11280</v>
      </c>
      <c r="BB71" s="105">
        <v>25</v>
      </c>
      <c r="BC71" s="105">
        <v>14100</v>
      </c>
      <c r="BD71" s="105">
        <v>24</v>
      </c>
      <c r="BE71" s="105">
        <v>13536</v>
      </c>
      <c r="BF71" s="105">
        <v>21</v>
      </c>
      <c r="BG71" s="105">
        <v>11844</v>
      </c>
      <c r="BH71" s="105">
        <v>36</v>
      </c>
      <c r="BI71" s="105">
        <v>20304</v>
      </c>
      <c r="BJ71" s="105">
        <v>35</v>
      </c>
      <c r="BK71" s="105">
        <v>19740</v>
      </c>
      <c r="BL71" s="105">
        <v>28</v>
      </c>
      <c r="BM71" s="105">
        <v>15792</v>
      </c>
      <c r="BN71" s="105">
        <v>23</v>
      </c>
      <c r="BO71" s="105">
        <v>12972</v>
      </c>
      <c r="BP71" s="105">
        <v>31</v>
      </c>
      <c r="BQ71" s="105">
        <v>17484</v>
      </c>
      <c r="BR71" s="105">
        <v>42</v>
      </c>
      <c r="BS71" s="105">
        <v>23688</v>
      </c>
      <c r="BT71" s="105">
        <v>41</v>
      </c>
      <c r="BU71" s="105">
        <v>23124</v>
      </c>
      <c r="BV71" s="105">
        <v>40</v>
      </c>
      <c r="BW71" s="105">
        <v>22560</v>
      </c>
      <c r="BX71" s="105">
        <v>33</v>
      </c>
      <c r="BY71" s="105">
        <v>18612</v>
      </c>
      <c r="BZ71" s="105">
        <v>61</v>
      </c>
      <c r="CA71" s="105">
        <v>34404</v>
      </c>
      <c r="CB71" s="105">
        <v>33.245181639226892</v>
      </c>
      <c r="CC71" s="105">
        <v>18750.282444523968</v>
      </c>
      <c r="CD71" s="105">
        <v>5.1996484857849197</v>
      </c>
      <c r="CE71" s="105">
        <v>2932.6017459826949</v>
      </c>
      <c r="CF71" s="105">
        <v>1.7612800455864068</v>
      </c>
      <c r="CG71" s="105">
        <v>993.36194571073349</v>
      </c>
      <c r="CH71" s="105">
        <v>27.353698873706538</v>
      </c>
      <c r="CI71" s="105">
        <v>15427.486164770487</v>
      </c>
      <c r="CJ71" s="105">
        <v>18.372133689251385</v>
      </c>
      <c r="CK71" s="105">
        <v>10361.883400737781</v>
      </c>
      <c r="CL71" s="105">
        <v>37.645158887785499</v>
      </c>
      <c r="CM71" s="105">
        <v>21231.86961271102</v>
      </c>
      <c r="CN71" s="105">
        <v>5.4550019127773526</v>
      </c>
      <c r="CO71" s="105">
        <v>3076.6210788064268</v>
      </c>
      <c r="CP71" s="105">
        <v>20.854103703088676</v>
      </c>
      <c r="CQ71" s="105">
        <v>11761.714488542013</v>
      </c>
      <c r="CR71" s="105">
        <v>23.115815217391305</v>
      </c>
      <c r="CS71" s="105">
        <v>13037.319782608696</v>
      </c>
      <c r="CT71" s="105">
        <v>4.599798387096774</v>
      </c>
      <c r="CU71" s="105">
        <v>2594.2862903225805</v>
      </c>
    </row>
    <row r="72" spans="2:99" x14ac:dyDescent="0.25">
      <c r="C72" s="104" t="s">
        <v>237</v>
      </c>
      <c r="D72" s="105">
        <v>0</v>
      </c>
      <c r="E72" s="105">
        <v>0</v>
      </c>
      <c r="F72" s="105">
        <v>0</v>
      </c>
      <c r="G72" s="105">
        <v>0</v>
      </c>
      <c r="H72" s="105">
        <v>6</v>
      </c>
      <c r="I72" s="105">
        <v>446.4</v>
      </c>
      <c r="J72" s="105">
        <v>8</v>
      </c>
      <c r="K72" s="105">
        <v>595.19999999999993</v>
      </c>
      <c r="L72" s="105">
        <v>8</v>
      </c>
      <c r="M72" s="105">
        <v>595.19999999999993</v>
      </c>
      <c r="N72" s="105">
        <v>5</v>
      </c>
      <c r="O72" s="105">
        <v>371.99999999999994</v>
      </c>
      <c r="P72" s="105">
        <v>6</v>
      </c>
      <c r="Q72" s="105">
        <v>446.4</v>
      </c>
      <c r="R72" s="105">
        <v>5</v>
      </c>
      <c r="S72" s="105">
        <v>371.99999999999994</v>
      </c>
      <c r="T72" s="105">
        <v>10</v>
      </c>
      <c r="U72" s="105">
        <v>743.99999999999989</v>
      </c>
      <c r="V72" s="105">
        <v>8</v>
      </c>
      <c r="W72" s="105">
        <v>595.19999999999993</v>
      </c>
      <c r="X72" s="105">
        <v>12</v>
      </c>
      <c r="Y72" s="105">
        <v>892.8</v>
      </c>
      <c r="Z72" s="105">
        <v>10</v>
      </c>
      <c r="AA72" s="105">
        <v>743.99999999999989</v>
      </c>
      <c r="AB72" s="105">
        <v>12</v>
      </c>
      <c r="AC72" s="105">
        <v>892.8</v>
      </c>
      <c r="AD72" s="105">
        <v>11</v>
      </c>
      <c r="AE72" s="105">
        <v>818.39999999999986</v>
      </c>
      <c r="AF72" s="105">
        <v>11</v>
      </c>
      <c r="AG72" s="105">
        <v>818.39999999999986</v>
      </c>
      <c r="AH72" s="105">
        <v>13</v>
      </c>
      <c r="AI72" s="105">
        <v>967.19999999999993</v>
      </c>
      <c r="AJ72" s="105">
        <v>8</v>
      </c>
      <c r="AK72" s="105">
        <v>595.19999999999993</v>
      </c>
      <c r="AL72" s="105">
        <v>10</v>
      </c>
      <c r="AM72" s="105">
        <v>743.99999999999989</v>
      </c>
      <c r="AN72" s="105">
        <v>13</v>
      </c>
      <c r="AO72" s="105">
        <v>967.19999999999993</v>
      </c>
      <c r="AP72" s="105">
        <v>11</v>
      </c>
      <c r="AQ72" s="105">
        <v>818.39999999999986</v>
      </c>
      <c r="AR72" s="105">
        <v>16</v>
      </c>
      <c r="AS72" s="105">
        <v>1190.3999999999999</v>
      </c>
      <c r="AT72" s="105">
        <v>17</v>
      </c>
      <c r="AU72" s="105">
        <v>1264.8</v>
      </c>
      <c r="AV72" s="105">
        <v>17</v>
      </c>
      <c r="AW72" s="105">
        <v>1264.8</v>
      </c>
      <c r="AX72" s="105">
        <v>17</v>
      </c>
      <c r="AY72" s="105">
        <v>1264.8</v>
      </c>
      <c r="AZ72" s="105">
        <v>22</v>
      </c>
      <c r="BA72" s="105">
        <v>1636.7999999999997</v>
      </c>
      <c r="BB72" s="105">
        <v>27</v>
      </c>
      <c r="BC72" s="105">
        <v>2008.7999999999997</v>
      </c>
      <c r="BD72" s="105">
        <v>22</v>
      </c>
      <c r="BE72" s="105">
        <v>1636.7999999999997</v>
      </c>
      <c r="BF72" s="105">
        <v>22</v>
      </c>
      <c r="BG72" s="105">
        <v>1636.7999999999997</v>
      </c>
      <c r="BH72" s="105">
        <v>35</v>
      </c>
      <c r="BI72" s="105">
        <v>2603.9999999999995</v>
      </c>
      <c r="BJ72" s="105">
        <v>38</v>
      </c>
      <c r="BK72" s="105">
        <v>2827.2</v>
      </c>
      <c r="BL72" s="105">
        <v>29</v>
      </c>
      <c r="BM72" s="105">
        <v>2157.6</v>
      </c>
      <c r="BN72" s="105">
        <v>22</v>
      </c>
      <c r="BO72" s="105">
        <v>1636.7999999999997</v>
      </c>
      <c r="BP72" s="105">
        <v>32</v>
      </c>
      <c r="BQ72" s="105">
        <v>2380.7999999999997</v>
      </c>
      <c r="BR72" s="105">
        <v>51</v>
      </c>
      <c r="BS72" s="105">
        <v>3794.3999999999996</v>
      </c>
      <c r="BT72" s="105">
        <v>48</v>
      </c>
      <c r="BU72" s="105">
        <v>3571.2</v>
      </c>
      <c r="BV72" s="105">
        <v>43</v>
      </c>
      <c r="BW72" s="105">
        <v>3199.2</v>
      </c>
      <c r="BX72" s="105">
        <v>41</v>
      </c>
      <c r="BY72" s="105">
        <v>3050.3999999999996</v>
      </c>
      <c r="BZ72" s="105">
        <v>63</v>
      </c>
      <c r="CA72" s="105">
        <v>4687.2</v>
      </c>
      <c r="CB72" s="105">
        <v>38.921188260558317</v>
      </c>
      <c r="CC72" s="105">
        <v>2895.7364065855386</v>
      </c>
      <c r="CD72" s="105">
        <v>5.5521670271940664</v>
      </c>
      <c r="CE72" s="105">
        <v>413.08122682323847</v>
      </c>
      <c r="CF72" s="105">
        <v>1.9784241607956901</v>
      </c>
      <c r="CG72" s="105">
        <v>147.19475756319932</v>
      </c>
      <c r="CH72" s="105">
        <v>27.353698873706538</v>
      </c>
      <c r="CI72" s="105">
        <v>2035.1151962037661</v>
      </c>
      <c r="CJ72" s="105">
        <v>19.661406228847973</v>
      </c>
      <c r="CK72" s="105">
        <v>1462.8086234262889</v>
      </c>
      <c r="CL72" s="105">
        <v>41.678568768619662</v>
      </c>
      <c r="CM72" s="105">
        <v>3100.8855163853027</v>
      </c>
      <c r="CN72" s="105">
        <v>5.5641019510328995</v>
      </c>
      <c r="CO72" s="105">
        <v>413.96918515684769</v>
      </c>
      <c r="CP72" s="105">
        <v>25.666589173032214</v>
      </c>
      <c r="CQ72" s="105">
        <v>1909.5942344735965</v>
      </c>
      <c r="CR72" s="105">
        <v>25.713097826086955</v>
      </c>
      <c r="CS72" s="105">
        <v>1913.0544782608692</v>
      </c>
      <c r="CT72" s="105">
        <v>4.9197843618513328</v>
      </c>
      <c r="CU72" s="105">
        <v>366.03195652173912</v>
      </c>
    </row>
    <row r="73" spans="2:99" x14ac:dyDescent="0.25">
      <c r="C73" s="104" t="s">
        <v>238</v>
      </c>
      <c r="D73" s="105">
        <v>0</v>
      </c>
      <c r="E73" s="105">
        <v>0</v>
      </c>
      <c r="F73" s="105">
        <v>0</v>
      </c>
      <c r="G73" s="105">
        <v>0</v>
      </c>
      <c r="H73" s="105">
        <v>7</v>
      </c>
      <c r="I73" s="105">
        <v>3914.3999999999996</v>
      </c>
      <c r="J73" s="105">
        <v>8</v>
      </c>
      <c r="K73" s="105">
        <v>4473.5999999999995</v>
      </c>
      <c r="L73" s="105">
        <v>7</v>
      </c>
      <c r="M73" s="105">
        <v>3914.3999999999996</v>
      </c>
      <c r="N73" s="105">
        <v>5</v>
      </c>
      <c r="O73" s="105">
        <v>2795.9999999999995</v>
      </c>
      <c r="P73" s="105">
        <v>7</v>
      </c>
      <c r="Q73" s="105">
        <v>3914.3999999999996</v>
      </c>
      <c r="R73" s="105">
        <v>5</v>
      </c>
      <c r="S73" s="105">
        <v>2795.9999999999995</v>
      </c>
      <c r="T73" s="105">
        <v>10</v>
      </c>
      <c r="U73" s="105">
        <v>5591.9999999999991</v>
      </c>
      <c r="V73" s="105">
        <v>8</v>
      </c>
      <c r="W73" s="105">
        <v>4473.5999999999995</v>
      </c>
      <c r="X73" s="105">
        <v>12</v>
      </c>
      <c r="Y73" s="105">
        <v>6710.4</v>
      </c>
      <c r="Z73" s="105">
        <v>10</v>
      </c>
      <c r="AA73" s="105">
        <v>5591.9999999999991</v>
      </c>
      <c r="AB73" s="105">
        <v>10</v>
      </c>
      <c r="AC73" s="105">
        <v>5591.9999999999991</v>
      </c>
      <c r="AD73" s="105">
        <v>12</v>
      </c>
      <c r="AE73" s="105">
        <v>6710.4</v>
      </c>
      <c r="AF73" s="105">
        <v>11</v>
      </c>
      <c r="AG73" s="105">
        <v>6151.1999999999989</v>
      </c>
      <c r="AH73" s="105">
        <v>12</v>
      </c>
      <c r="AI73" s="105">
        <v>6710.4</v>
      </c>
      <c r="AJ73" s="105">
        <v>9</v>
      </c>
      <c r="AK73" s="105">
        <v>5032.7999999999993</v>
      </c>
      <c r="AL73" s="105">
        <v>10</v>
      </c>
      <c r="AM73" s="105">
        <v>5591.9999999999991</v>
      </c>
      <c r="AN73" s="105">
        <v>14</v>
      </c>
      <c r="AO73" s="105">
        <v>7828.7999999999993</v>
      </c>
      <c r="AP73" s="105">
        <v>12</v>
      </c>
      <c r="AQ73" s="105">
        <v>6710.4</v>
      </c>
      <c r="AR73" s="105">
        <v>14</v>
      </c>
      <c r="AS73" s="105">
        <v>7828.7999999999993</v>
      </c>
      <c r="AT73" s="105">
        <v>16</v>
      </c>
      <c r="AU73" s="105">
        <v>8947.1999999999989</v>
      </c>
      <c r="AV73" s="105">
        <v>16</v>
      </c>
      <c r="AW73" s="105">
        <v>8947.1999999999989</v>
      </c>
      <c r="AX73" s="105">
        <v>14</v>
      </c>
      <c r="AY73" s="105">
        <v>7828.7999999999993</v>
      </c>
      <c r="AZ73" s="105">
        <v>18</v>
      </c>
      <c r="BA73" s="105">
        <v>10065.599999999999</v>
      </c>
      <c r="BB73" s="105">
        <v>24</v>
      </c>
      <c r="BC73" s="105">
        <v>13420.8</v>
      </c>
      <c r="BD73" s="105">
        <v>25</v>
      </c>
      <c r="BE73" s="105">
        <v>13979.999999999998</v>
      </c>
      <c r="BF73" s="105">
        <v>21</v>
      </c>
      <c r="BG73" s="105">
        <v>11743.199999999999</v>
      </c>
      <c r="BH73" s="105">
        <v>34</v>
      </c>
      <c r="BI73" s="105">
        <v>19012.8</v>
      </c>
      <c r="BJ73" s="105">
        <v>32</v>
      </c>
      <c r="BK73" s="105">
        <v>17894.399999999998</v>
      </c>
      <c r="BL73" s="105">
        <v>30</v>
      </c>
      <c r="BM73" s="105">
        <v>16775.999999999996</v>
      </c>
      <c r="BN73" s="105">
        <v>21</v>
      </c>
      <c r="BO73" s="105">
        <v>11743.199999999999</v>
      </c>
      <c r="BP73" s="105">
        <v>34</v>
      </c>
      <c r="BQ73" s="105">
        <v>19012.8</v>
      </c>
      <c r="BR73" s="105">
        <v>41</v>
      </c>
      <c r="BS73" s="105">
        <v>22927.199999999997</v>
      </c>
      <c r="BT73" s="105">
        <v>44</v>
      </c>
      <c r="BU73" s="105">
        <v>24604.799999999996</v>
      </c>
      <c r="BV73" s="105">
        <v>39</v>
      </c>
      <c r="BW73" s="105">
        <v>21808.799999999996</v>
      </c>
      <c r="BX73" s="105">
        <v>37</v>
      </c>
      <c r="BY73" s="105">
        <v>20690.399999999998</v>
      </c>
      <c r="BZ73" s="105">
        <v>69</v>
      </c>
      <c r="CA73" s="105">
        <v>38584.799999999996</v>
      </c>
      <c r="CB73" s="105">
        <v>33.245181639226892</v>
      </c>
      <c r="CC73" s="105">
        <v>18590.705572655675</v>
      </c>
      <c r="CD73" s="105">
        <v>5.1996484857849197</v>
      </c>
      <c r="CE73" s="105">
        <v>2907.6434332509266</v>
      </c>
      <c r="CF73" s="105">
        <v>1.9301699129714049</v>
      </c>
      <c r="CG73" s="105">
        <v>1079.3510153336094</v>
      </c>
      <c r="CH73" s="105">
        <v>28.530202051070255</v>
      </c>
      <c r="CI73" s="105">
        <v>15954.088986958484</v>
      </c>
      <c r="CJ73" s="105">
        <v>18.372133689251385</v>
      </c>
      <c r="CK73" s="105">
        <v>10273.697159029372</v>
      </c>
      <c r="CL73" s="105">
        <v>38.31739386792453</v>
      </c>
      <c r="CM73" s="105">
        <v>21427.086650943394</v>
      </c>
      <c r="CN73" s="105">
        <v>4.9458684009181333</v>
      </c>
      <c r="CO73" s="105">
        <v>2765.72960979342</v>
      </c>
      <c r="CP73" s="105">
        <v>22.229099551643969</v>
      </c>
      <c r="CQ73" s="105">
        <v>12430.512469279307</v>
      </c>
      <c r="CR73" s="105">
        <v>22.856086956521736</v>
      </c>
      <c r="CS73" s="105">
        <v>12781.123826086954</v>
      </c>
      <c r="CT73" s="105">
        <v>4.5598001402524542</v>
      </c>
      <c r="CU73" s="105">
        <v>2549.8402384291721</v>
      </c>
    </row>
    <row r="74" spans="2:99" x14ac:dyDescent="0.25">
      <c r="C74" s="104" t="s">
        <v>239</v>
      </c>
      <c r="D74" s="105">
        <v>0</v>
      </c>
      <c r="E74" s="105">
        <v>0</v>
      </c>
      <c r="F74" s="105">
        <v>0</v>
      </c>
      <c r="G74" s="105">
        <v>0</v>
      </c>
      <c r="H74" s="105">
        <v>7</v>
      </c>
      <c r="I74" s="105">
        <v>2822.4</v>
      </c>
      <c r="J74" s="105">
        <v>8</v>
      </c>
      <c r="K74" s="105">
        <v>3225.6</v>
      </c>
      <c r="L74" s="105">
        <v>7</v>
      </c>
      <c r="M74" s="105">
        <v>2822.4</v>
      </c>
      <c r="N74" s="105">
        <v>5</v>
      </c>
      <c r="O74" s="105">
        <v>2016</v>
      </c>
      <c r="P74" s="105">
        <v>6</v>
      </c>
      <c r="Q74" s="105">
        <v>2419.1999999999998</v>
      </c>
      <c r="R74" s="105">
        <v>5</v>
      </c>
      <c r="S74" s="105">
        <v>2016</v>
      </c>
      <c r="T74" s="105">
        <v>10</v>
      </c>
      <c r="U74" s="105">
        <v>4032</v>
      </c>
      <c r="V74" s="105">
        <v>8</v>
      </c>
      <c r="W74" s="105">
        <v>3225.6</v>
      </c>
      <c r="X74" s="105">
        <v>11</v>
      </c>
      <c r="Y74" s="105">
        <v>4435.2</v>
      </c>
      <c r="Z74" s="105">
        <v>11</v>
      </c>
      <c r="AA74" s="105">
        <v>4435.2</v>
      </c>
      <c r="AB74" s="105">
        <v>11</v>
      </c>
      <c r="AC74" s="105">
        <v>4435.2</v>
      </c>
      <c r="AD74" s="105">
        <v>11</v>
      </c>
      <c r="AE74" s="105">
        <v>4435.2</v>
      </c>
      <c r="AF74" s="105">
        <v>12</v>
      </c>
      <c r="AG74" s="105">
        <v>4838.3999999999996</v>
      </c>
      <c r="AH74" s="105">
        <v>11</v>
      </c>
      <c r="AI74" s="105">
        <v>4435.2</v>
      </c>
      <c r="AJ74" s="105">
        <v>8</v>
      </c>
      <c r="AK74" s="105">
        <v>3225.6</v>
      </c>
      <c r="AL74" s="105">
        <v>10</v>
      </c>
      <c r="AM74" s="105">
        <v>4032</v>
      </c>
      <c r="AN74" s="105">
        <v>14</v>
      </c>
      <c r="AO74" s="105">
        <v>5644.8</v>
      </c>
      <c r="AP74" s="105">
        <v>12</v>
      </c>
      <c r="AQ74" s="105">
        <v>4838.3999999999996</v>
      </c>
      <c r="AR74" s="105">
        <v>16</v>
      </c>
      <c r="AS74" s="105">
        <v>6451.2</v>
      </c>
      <c r="AT74" s="105">
        <v>17</v>
      </c>
      <c r="AU74" s="105">
        <v>6854.4</v>
      </c>
      <c r="AV74" s="105">
        <v>19</v>
      </c>
      <c r="AW74" s="105">
        <v>7660.8</v>
      </c>
      <c r="AX74" s="105">
        <v>16</v>
      </c>
      <c r="AY74" s="105">
        <v>6451.2</v>
      </c>
      <c r="AZ74" s="105">
        <v>20</v>
      </c>
      <c r="BA74" s="105">
        <v>8064</v>
      </c>
      <c r="BB74" s="105">
        <v>24</v>
      </c>
      <c r="BC74" s="105">
        <v>9676.7999999999993</v>
      </c>
      <c r="BD74" s="105">
        <v>23</v>
      </c>
      <c r="BE74" s="105">
        <v>9273.6</v>
      </c>
      <c r="BF74" s="105">
        <v>22</v>
      </c>
      <c r="BG74" s="105">
        <v>8870.4</v>
      </c>
      <c r="BH74" s="105">
        <v>36</v>
      </c>
      <c r="BI74" s="105">
        <v>14515.199999999999</v>
      </c>
      <c r="BJ74" s="105">
        <v>31</v>
      </c>
      <c r="BK74" s="105">
        <v>12499.199999999999</v>
      </c>
      <c r="BL74" s="105">
        <v>30</v>
      </c>
      <c r="BM74" s="105">
        <v>12096</v>
      </c>
      <c r="BN74" s="105">
        <v>20</v>
      </c>
      <c r="BO74" s="105">
        <v>8064</v>
      </c>
      <c r="BP74" s="105">
        <v>33</v>
      </c>
      <c r="BQ74" s="105">
        <v>13305.6</v>
      </c>
      <c r="BR74" s="105">
        <v>47</v>
      </c>
      <c r="BS74" s="105">
        <v>18950.399999999998</v>
      </c>
      <c r="BT74" s="105">
        <v>45</v>
      </c>
      <c r="BU74" s="105">
        <v>18144</v>
      </c>
      <c r="BV74" s="105">
        <v>41</v>
      </c>
      <c r="BW74" s="105">
        <v>16531.2</v>
      </c>
      <c r="BX74" s="105">
        <v>36</v>
      </c>
      <c r="BY74" s="105">
        <v>14515.199999999999</v>
      </c>
      <c r="BZ74" s="105">
        <v>64</v>
      </c>
      <c r="CA74" s="105">
        <v>25804.799999999999</v>
      </c>
      <c r="CB74" s="105">
        <v>33.245181639226892</v>
      </c>
      <c r="CC74" s="105">
        <v>13404.457236936283</v>
      </c>
      <c r="CD74" s="105">
        <v>5.375907756489493</v>
      </c>
      <c r="CE74" s="105">
        <v>2167.5660074165635</v>
      </c>
      <c r="CF74" s="105">
        <v>1.7854071694985494</v>
      </c>
      <c r="CG74" s="105">
        <v>719.87617074181514</v>
      </c>
      <c r="CH74" s="105">
        <v>26.177195696342814</v>
      </c>
      <c r="CI74" s="105">
        <v>10554.645304765423</v>
      </c>
      <c r="CJ74" s="105">
        <v>18.694451824150534</v>
      </c>
      <c r="CK74" s="105">
        <v>7537.6029754974952</v>
      </c>
      <c r="CL74" s="105">
        <v>41.006333788480632</v>
      </c>
      <c r="CM74" s="105">
        <v>16533.753783515389</v>
      </c>
      <c r="CN74" s="105">
        <v>5.6368353098699311</v>
      </c>
      <c r="CO74" s="105">
        <v>2272.7719969395562</v>
      </c>
      <c r="CP74" s="105">
        <v>20.166605778811025</v>
      </c>
      <c r="CQ74" s="105">
        <v>8131.1754500166053</v>
      </c>
      <c r="CR74" s="105">
        <v>22.856086956521736</v>
      </c>
      <c r="CS74" s="105">
        <v>9215.5742608695637</v>
      </c>
      <c r="CT74" s="105">
        <v>4.0398229312762979</v>
      </c>
      <c r="CU74" s="105">
        <v>1628.8566058906033</v>
      </c>
    </row>
    <row r="75" spans="2:99" x14ac:dyDescent="0.25">
      <c r="C75" s="104" t="s">
        <v>240</v>
      </c>
      <c r="D75" s="105">
        <v>0</v>
      </c>
      <c r="E75" s="105">
        <v>0</v>
      </c>
      <c r="F75" s="105">
        <v>0</v>
      </c>
      <c r="G75" s="105">
        <v>0</v>
      </c>
      <c r="H75" s="105">
        <v>6</v>
      </c>
      <c r="I75" s="105">
        <v>3859.2</v>
      </c>
      <c r="J75" s="105">
        <v>7</v>
      </c>
      <c r="K75" s="105">
        <v>4502.3999999999996</v>
      </c>
      <c r="L75" s="105">
        <v>7</v>
      </c>
      <c r="M75" s="105">
        <v>4502.3999999999996</v>
      </c>
      <c r="N75" s="105">
        <v>5</v>
      </c>
      <c r="O75" s="105">
        <v>3215.9999999999995</v>
      </c>
      <c r="P75" s="105">
        <v>6</v>
      </c>
      <c r="Q75" s="105">
        <v>3859.2</v>
      </c>
      <c r="R75" s="105">
        <v>6</v>
      </c>
      <c r="S75" s="105">
        <v>3859.2</v>
      </c>
      <c r="T75" s="105">
        <v>11</v>
      </c>
      <c r="U75" s="105">
        <v>7075.1999999999989</v>
      </c>
      <c r="V75" s="105">
        <v>7</v>
      </c>
      <c r="W75" s="105">
        <v>4502.3999999999996</v>
      </c>
      <c r="X75" s="105">
        <v>12</v>
      </c>
      <c r="Y75" s="105">
        <v>7718.4</v>
      </c>
      <c r="Z75" s="105">
        <v>10</v>
      </c>
      <c r="AA75" s="105">
        <v>6431.9999999999991</v>
      </c>
      <c r="AB75" s="105">
        <v>12</v>
      </c>
      <c r="AC75" s="105">
        <v>7718.4</v>
      </c>
      <c r="AD75" s="105">
        <v>10</v>
      </c>
      <c r="AE75" s="105">
        <v>6431.9999999999991</v>
      </c>
      <c r="AF75" s="105">
        <v>11</v>
      </c>
      <c r="AG75" s="105">
        <v>7075.1999999999989</v>
      </c>
      <c r="AH75" s="105">
        <v>12</v>
      </c>
      <c r="AI75" s="105">
        <v>7718.4</v>
      </c>
      <c r="AJ75" s="105">
        <v>9</v>
      </c>
      <c r="AK75" s="105">
        <v>5788.7999999999993</v>
      </c>
      <c r="AL75" s="105">
        <v>10</v>
      </c>
      <c r="AM75" s="105">
        <v>6431.9999999999991</v>
      </c>
      <c r="AN75" s="105">
        <v>14</v>
      </c>
      <c r="AO75" s="105">
        <v>9004.7999999999993</v>
      </c>
      <c r="AP75" s="105">
        <v>11</v>
      </c>
      <c r="AQ75" s="105">
        <v>7075.1999999999989</v>
      </c>
      <c r="AR75" s="105">
        <v>14</v>
      </c>
      <c r="AS75" s="105">
        <v>9004.7999999999993</v>
      </c>
      <c r="AT75" s="105">
        <v>15</v>
      </c>
      <c r="AU75" s="105">
        <v>9647.9999999999982</v>
      </c>
      <c r="AV75" s="105">
        <v>17</v>
      </c>
      <c r="AW75" s="105">
        <v>10934.4</v>
      </c>
      <c r="AX75" s="105">
        <v>16</v>
      </c>
      <c r="AY75" s="105">
        <v>10291.199999999999</v>
      </c>
      <c r="AZ75" s="105">
        <v>19</v>
      </c>
      <c r="BA75" s="105">
        <v>12220.8</v>
      </c>
      <c r="BB75" s="105">
        <v>22</v>
      </c>
      <c r="BC75" s="105">
        <v>14150.399999999998</v>
      </c>
      <c r="BD75" s="105">
        <v>23</v>
      </c>
      <c r="BE75" s="105">
        <v>14793.599999999999</v>
      </c>
      <c r="BF75" s="105">
        <v>19</v>
      </c>
      <c r="BG75" s="105">
        <v>12220.8</v>
      </c>
      <c r="BH75" s="105">
        <v>31</v>
      </c>
      <c r="BI75" s="105">
        <v>19939.199999999997</v>
      </c>
      <c r="BJ75" s="105">
        <v>30</v>
      </c>
      <c r="BK75" s="105">
        <v>19295.999999999996</v>
      </c>
      <c r="BL75" s="105">
        <v>29</v>
      </c>
      <c r="BM75" s="105">
        <v>18652.8</v>
      </c>
      <c r="BN75" s="105">
        <v>19</v>
      </c>
      <c r="BO75" s="105">
        <v>12220.8</v>
      </c>
      <c r="BP75" s="105">
        <v>34</v>
      </c>
      <c r="BQ75" s="105">
        <v>21868.799999999999</v>
      </c>
      <c r="BR75" s="105">
        <v>45</v>
      </c>
      <c r="BS75" s="105">
        <v>28943.999999999996</v>
      </c>
      <c r="BT75" s="105">
        <v>44</v>
      </c>
      <c r="BU75" s="105">
        <v>28300.799999999996</v>
      </c>
      <c r="BV75" s="105">
        <v>42</v>
      </c>
      <c r="BW75" s="105">
        <v>27014.399999999998</v>
      </c>
      <c r="BX75" s="105">
        <v>37</v>
      </c>
      <c r="BY75" s="105">
        <v>23798.399999999998</v>
      </c>
      <c r="BZ75" s="105">
        <v>70</v>
      </c>
      <c r="CA75" s="105">
        <v>45023.999999999993</v>
      </c>
      <c r="CB75" s="105">
        <v>34.866897816750154</v>
      </c>
      <c r="CC75" s="105">
        <v>22426.388675733695</v>
      </c>
      <c r="CD75" s="105">
        <v>5.111518850432633</v>
      </c>
      <c r="CE75" s="105">
        <v>3287.7289245982693</v>
      </c>
      <c r="CF75" s="105">
        <v>1.9784241607956901</v>
      </c>
      <c r="CG75" s="105">
        <v>1272.5224202237878</v>
      </c>
      <c r="CH75" s="105">
        <v>28.23607625672933</v>
      </c>
      <c r="CI75" s="105">
        <v>18161.444248328302</v>
      </c>
      <c r="CJ75" s="105">
        <v>19.339088093948828</v>
      </c>
      <c r="CK75" s="105">
        <v>12438.901462027885</v>
      </c>
      <c r="CL75" s="105">
        <v>36.300688927507444</v>
      </c>
      <c r="CM75" s="105">
        <v>23348.603118172785</v>
      </c>
      <c r="CN75" s="105">
        <v>5.3095351951032903</v>
      </c>
      <c r="CO75" s="105">
        <v>3415.093037490436</v>
      </c>
      <c r="CP75" s="105">
        <v>21.541601627366322</v>
      </c>
      <c r="CQ75" s="105">
        <v>13855.558166722018</v>
      </c>
      <c r="CR75" s="105">
        <v>22.336630434782606</v>
      </c>
      <c r="CS75" s="105">
        <v>14366.92069565217</v>
      </c>
      <c r="CT75" s="105">
        <v>3.7998334502103788</v>
      </c>
      <c r="CU75" s="105">
        <v>2444.0528751753154</v>
      </c>
    </row>
    <row r="76" spans="2:99" x14ac:dyDescent="0.25">
      <c r="C76" s="104" t="s">
        <v>241</v>
      </c>
      <c r="D76" s="105">
        <v>0</v>
      </c>
      <c r="E76" s="105">
        <v>0</v>
      </c>
      <c r="F76" s="105">
        <v>0</v>
      </c>
      <c r="G76" s="105">
        <v>0</v>
      </c>
      <c r="H76" s="105">
        <v>6</v>
      </c>
      <c r="I76" s="105">
        <v>4672.7999999999993</v>
      </c>
      <c r="J76" s="105">
        <v>7</v>
      </c>
      <c r="K76" s="105">
        <v>5451.5999999999995</v>
      </c>
      <c r="L76" s="105">
        <v>7</v>
      </c>
      <c r="M76" s="105">
        <v>5451.5999999999995</v>
      </c>
      <c r="N76" s="105">
        <v>5</v>
      </c>
      <c r="O76" s="105">
        <v>3894</v>
      </c>
      <c r="P76" s="105">
        <v>6</v>
      </c>
      <c r="Q76" s="105">
        <v>4672.7999999999993</v>
      </c>
      <c r="R76" s="105">
        <v>5</v>
      </c>
      <c r="S76" s="105">
        <v>3894</v>
      </c>
      <c r="T76" s="105">
        <v>10</v>
      </c>
      <c r="U76" s="105">
        <v>7788</v>
      </c>
      <c r="V76" s="105">
        <v>9</v>
      </c>
      <c r="W76" s="105">
        <v>7009.2</v>
      </c>
      <c r="X76" s="105">
        <v>12</v>
      </c>
      <c r="Y76" s="105">
        <v>9345.5999999999985</v>
      </c>
      <c r="Z76" s="105">
        <v>11</v>
      </c>
      <c r="AA76" s="105">
        <v>8566.7999999999993</v>
      </c>
      <c r="AB76" s="105">
        <v>12</v>
      </c>
      <c r="AC76" s="105">
        <v>9345.5999999999985</v>
      </c>
      <c r="AD76" s="105">
        <v>10</v>
      </c>
      <c r="AE76" s="105">
        <v>7788</v>
      </c>
      <c r="AF76" s="105">
        <v>10</v>
      </c>
      <c r="AG76" s="105">
        <v>7788</v>
      </c>
      <c r="AH76" s="105">
        <v>12</v>
      </c>
      <c r="AI76" s="105">
        <v>9345.5999999999985</v>
      </c>
      <c r="AJ76" s="105">
        <v>8</v>
      </c>
      <c r="AK76" s="105">
        <v>6230.4</v>
      </c>
      <c r="AL76" s="105">
        <v>9</v>
      </c>
      <c r="AM76" s="105">
        <v>7009.2</v>
      </c>
      <c r="AN76" s="105">
        <v>13</v>
      </c>
      <c r="AO76" s="105">
        <v>10124.4</v>
      </c>
      <c r="AP76" s="105">
        <v>12</v>
      </c>
      <c r="AQ76" s="105">
        <v>9345.5999999999985</v>
      </c>
      <c r="AR76" s="105">
        <v>14</v>
      </c>
      <c r="AS76" s="105">
        <v>10903.199999999999</v>
      </c>
      <c r="AT76" s="105">
        <v>15</v>
      </c>
      <c r="AU76" s="105">
        <v>11682</v>
      </c>
      <c r="AV76" s="105">
        <v>16</v>
      </c>
      <c r="AW76" s="105">
        <v>12460.8</v>
      </c>
      <c r="AX76" s="105">
        <v>13</v>
      </c>
      <c r="AY76" s="105">
        <v>10124.4</v>
      </c>
      <c r="AZ76" s="105">
        <v>19</v>
      </c>
      <c r="BA76" s="105">
        <v>14797.199999999999</v>
      </c>
      <c r="BB76" s="105">
        <v>25</v>
      </c>
      <c r="BC76" s="105">
        <v>19470</v>
      </c>
      <c r="BD76" s="105">
        <v>22</v>
      </c>
      <c r="BE76" s="105">
        <v>17133.599999999999</v>
      </c>
      <c r="BF76" s="105">
        <v>20</v>
      </c>
      <c r="BG76" s="105">
        <v>15576</v>
      </c>
      <c r="BH76" s="105">
        <v>32</v>
      </c>
      <c r="BI76" s="105">
        <v>24921.599999999999</v>
      </c>
      <c r="BJ76" s="105">
        <v>30</v>
      </c>
      <c r="BK76" s="105">
        <v>23364</v>
      </c>
      <c r="BL76" s="105">
        <v>27</v>
      </c>
      <c r="BM76" s="105">
        <v>21027.599999999999</v>
      </c>
      <c r="BN76" s="105">
        <v>21</v>
      </c>
      <c r="BO76" s="105">
        <v>16354.8</v>
      </c>
      <c r="BP76" s="105">
        <v>33</v>
      </c>
      <c r="BQ76" s="105">
        <v>25700.399999999998</v>
      </c>
      <c r="BR76" s="105">
        <v>46</v>
      </c>
      <c r="BS76" s="105">
        <v>35824.799999999996</v>
      </c>
      <c r="BT76" s="105">
        <v>46</v>
      </c>
      <c r="BU76" s="105">
        <v>35824.799999999996</v>
      </c>
      <c r="BV76" s="105">
        <v>41</v>
      </c>
      <c r="BW76" s="105">
        <v>31930.799999999999</v>
      </c>
      <c r="BX76" s="105">
        <v>34</v>
      </c>
      <c r="BY76" s="105">
        <v>26479.199999999997</v>
      </c>
      <c r="BZ76" s="105">
        <v>62</v>
      </c>
      <c r="CA76" s="105">
        <v>48285.599999999999</v>
      </c>
      <c r="CB76" s="105">
        <v>36.488613994273422</v>
      </c>
      <c r="CC76" s="105">
        <v>28417.332578740141</v>
      </c>
      <c r="CD76" s="105">
        <v>5.0233892150803463</v>
      </c>
      <c r="CE76" s="105">
        <v>3912.2155207045735</v>
      </c>
      <c r="CF76" s="105">
        <v>1.8095342934106919</v>
      </c>
      <c r="CG76" s="105">
        <v>1409.2653077082468</v>
      </c>
      <c r="CH76" s="105">
        <v>26.177195696342814</v>
      </c>
      <c r="CI76" s="105">
        <v>20386.800008311784</v>
      </c>
      <c r="CJ76" s="105">
        <v>19.339088093948828</v>
      </c>
      <c r="CK76" s="105">
        <v>15061.281807567346</v>
      </c>
      <c r="CL76" s="105">
        <v>36.300688927507444</v>
      </c>
      <c r="CM76" s="105">
        <v>28270.976536742797</v>
      </c>
      <c r="CN76" s="105">
        <v>5.273168515684775</v>
      </c>
      <c r="CO76" s="105">
        <v>4106.7436400153028</v>
      </c>
      <c r="CP76" s="105">
        <v>19.020775905014943</v>
      </c>
      <c r="CQ76" s="105">
        <v>14813.380274825637</v>
      </c>
      <c r="CR76" s="105">
        <v>23.895</v>
      </c>
      <c r="CS76" s="105">
        <v>18609.425999999999</v>
      </c>
      <c r="CT76" s="105">
        <v>4.319810659186536</v>
      </c>
      <c r="CU76" s="105">
        <v>3364.2685413744739</v>
      </c>
    </row>
    <row r="77" spans="2:99" x14ac:dyDescent="0.25">
      <c r="C77" s="104" t="s">
        <v>242</v>
      </c>
      <c r="D77" s="105">
        <v>0</v>
      </c>
      <c r="E77" s="105">
        <v>0</v>
      </c>
      <c r="F77" s="105">
        <v>0</v>
      </c>
      <c r="G77" s="105">
        <v>0</v>
      </c>
      <c r="H77" s="105">
        <v>7</v>
      </c>
      <c r="I77" s="105">
        <v>1948.7999999999997</v>
      </c>
      <c r="J77" s="105">
        <v>8</v>
      </c>
      <c r="K77" s="105">
        <v>2227.1999999999998</v>
      </c>
      <c r="L77" s="105">
        <v>7</v>
      </c>
      <c r="M77" s="105">
        <v>1948.7999999999997</v>
      </c>
      <c r="N77" s="105">
        <v>5</v>
      </c>
      <c r="O77" s="105">
        <v>1392</v>
      </c>
      <c r="P77" s="105">
        <v>6</v>
      </c>
      <c r="Q77" s="105">
        <v>1670.3999999999999</v>
      </c>
      <c r="R77" s="105">
        <v>5</v>
      </c>
      <c r="S77" s="105">
        <v>1392</v>
      </c>
      <c r="T77" s="105">
        <v>10</v>
      </c>
      <c r="U77" s="105">
        <v>2784</v>
      </c>
      <c r="V77" s="105">
        <v>8</v>
      </c>
      <c r="W77" s="105">
        <v>2227.1999999999998</v>
      </c>
      <c r="X77" s="105">
        <v>11</v>
      </c>
      <c r="Y77" s="105">
        <v>3062.3999999999996</v>
      </c>
      <c r="Z77" s="105">
        <v>10</v>
      </c>
      <c r="AA77" s="105">
        <v>2784</v>
      </c>
      <c r="AB77" s="105">
        <v>12</v>
      </c>
      <c r="AC77" s="105">
        <v>3340.7999999999997</v>
      </c>
      <c r="AD77" s="105">
        <v>11</v>
      </c>
      <c r="AE77" s="105">
        <v>3062.3999999999996</v>
      </c>
      <c r="AF77" s="105">
        <v>10</v>
      </c>
      <c r="AG77" s="105">
        <v>2784</v>
      </c>
      <c r="AH77" s="105">
        <v>13</v>
      </c>
      <c r="AI77" s="105">
        <v>3619.2</v>
      </c>
      <c r="AJ77" s="105">
        <v>8</v>
      </c>
      <c r="AK77" s="105">
        <v>2227.1999999999998</v>
      </c>
      <c r="AL77" s="105">
        <v>10</v>
      </c>
      <c r="AM77" s="105">
        <v>2784</v>
      </c>
      <c r="AN77" s="105">
        <v>13</v>
      </c>
      <c r="AO77" s="105">
        <v>3619.2</v>
      </c>
      <c r="AP77" s="105">
        <v>13</v>
      </c>
      <c r="AQ77" s="105">
        <v>3619.2</v>
      </c>
      <c r="AR77" s="105">
        <v>14</v>
      </c>
      <c r="AS77" s="105">
        <v>3897.5999999999995</v>
      </c>
      <c r="AT77" s="105">
        <v>16</v>
      </c>
      <c r="AU77" s="105">
        <v>4454.3999999999996</v>
      </c>
      <c r="AV77" s="105">
        <v>16</v>
      </c>
      <c r="AW77" s="105">
        <v>4454.3999999999996</v>
      </c>
      <c r="AX77" s="105">
        <v>17</v>
      </c>
      <c r="AY77" s="105">
        <v>4732.7999999999993</v>
      </c>
      <c r="AZ77" s="105">
        <v>18</v>
      </c>
      <c r="BA77" s="105">
        <v>5011.2</v>
      </c>
      <c r="BB77" s="105">
        <v>23</v>
      </c>
      <c r="BC77" s="105">
        <v>6403.2</v>
      </c>
      <c r="BD77" s="105">
        <v>25</v>
      </c>
      <c r="BE77" s="105">
        <v>6959.9999999999991</v>
      </c>
      <c r="BF77" s="105">
        <v>21</v>
      </c>
      <c r="BG77" s="105">
        <v>5846.4</v>
      </c>
      <c r="BH77" s="105">
        <v>35</v>
      </c>
      <c r="BI77" s="105">
        <v>9744</v>
      </c>
      <c r="BJ77" s="105">
        <v>36</v>
      </c>
      <c r="BK77" s="105">
        <v>10022.4</v>
      </c>
      <c r="BL77" s="105">
        <v>31</v>
      </c>
      <c r="BM77" s="105">
        <v>8630.4</v>
      </c>
      <c r="BN77" s="105">
        <v>21</v>
      </c>
      <c r="BO77" s="105">
        <v>5846.4</v>
      </c>
      <c r="BP77" s="105">
        <v>33</v>
      </c>
      <c r="BQ77" s="105">
        <v>9187.1999999999989</v>
      </c>
      <c r="BR77" s="105">
        <v>49</v>
      </c>
      <c r="BS77" s="105">
        <v>13641.599999999999</v>
      </c>
      <c r="BT77" s="105">
        <v>43</v>
      </c>
      <c r="BU77" s="105">
        <v>11971.199999999999</v>
      </c>
      <c r="BV77" s="105">
        <v>40</v>
      </c>
      <c r="BW77" s="105">
        <v>11136</v>
      </c>
      <c r="BX77" s="105">
        <v>40</v>
      </c>
      <c r="BY77" s="105">
        <v>11136</v>
      </c>
      <c r="BZ77" s="105">
        <v>67</v>
      </c>
      <c r="CA77" s="105">
        <v>18652.8</v>
      </c>
      <c r="CB77" s="105">
        <v>35.677755905511788</v>
      </c>
      <c r="CC77" s="105">
        <v>9932.6872440944808</v>
      </c>
      <c r="CD77" s="105">
        <v>5.904685568603214</v>
      </c>
      <c r="CE77" s="105">
        <v>1643.8644622991346</v>
      </c>
      <c r="CF77" s="105">
        <v>2.0749326564442603</v>
      </c>
      <c r="CG77" s="105">
        <v>577.66125155408201</v>
      </c>
      <c r="CH77" s="105">
        <v>29.412579434093047</v>
      </c>
      <c r="CI77" s="105">
        <v>8188.462114451504</v>
      </c>
      <c r="CJ77" s="105">
        <v>18.694451824150534</v>
      </c>
      <c r="CK77" s="105">
        <v>5204.535387843508</v>
      </c>
      <c r="CL77" s="105">
        <v>44.367508689175764</v>
      </c>
      <c r="CM77" s="105">
        <v>12351.914419066532</v>
      </c>
      <c r="CN77" s="105">
        <v>5.0913351185921965</v>
      </c>
      <c r="CO77" s="105">
        <v>1417.4276970160674</v>
      </c>
      <c r="CP77" s="105">
        <v>21.770767602125538</v>
      </c>
      <c r="CQ77" s="105">
        <v>6060.9817004317492</v>
      </c>
      <c r="CR77" s="105">
        <v>27.790923913043478</v>
      </c>
      <c r="CS77" s="105">
        <v>7736.9932173913039</v>
      </c>
      <c r="CT77" s="105">
        <v>4.599798387096774</v>
      </c>
      <c r="CU77" s="105">
        <v>1280.5838709677419</v>
      </c>
    </row>
    <row r="78" spans="2:99" x14ac:dyDescent="0.25">
      <c r="C78" s="104" t="s">
        <v>243</v>
      </c>
      <c r="D78" s="105">
        <v>0</v>
      </c>
      <c r="E78" s="105">
        <v>0</v>
      </c>
      <c r="F78" s="105">
        <v>0</v>
      </c>
      <c r="G78" s="105">
        <v>0</v>
      </c>
      <c r="H78" s="105">
        <v>6</v>
      </c>
      <c r="I78" s="105">
        <v>3312</v>
      </c>
      <c r="J78" s="105">
        <v>8</v>
      </c>
      <c r="K78" s="105">
        <v>4416</v>
      </c>
      <c r="L78" s="105">
        <v>7</v>
      </c>
      <c r="M78" s="105">
        <v>3864</v>
      </c>
      <c r="N78" s="105">
        <v>5</v>
      </c>
      <c r="O78" s="105">
        <v>2760</v>
      </c>
      <c r="P78" s="105">
        <v>6</v>
      </c>
      <c r="Q78" s="105">
        <v>3312</v>
      </c>
      <c r="R78" s="105">
        <v>5</v>
      </c>
      <c r="S78" s="105">
        <v>2760</v>
      </c>
      <c r="T78" s="105">
        <v>10</v>
      </c>
      <c r="U78" s="105">
        <v>5520</v>
      </c>
      <c r="V78" s="105">
        <v>8</v>
      </c>
      <c r="W78" s="105">
        <v>4416</v>
      </c>
      <c r="X78" s="105">
        <v>10</v>
      </c>
      <c r="Y78" s="105">
        <v>5520</v>
      </c>
      <c r="Z78" s="105">
        <v>11</v>
      </c>
      <c r="AA78" s="105">
        <v>6072</v>
      </c>
      <c r="AB78" s="105">
        <v>12</v>
      </c>
      <c r="AC78" s="105">
        <v>6624</v>
      </c>
      <c r="AD78" s="105">
        <v>10</v>
      </c>
      <c r="AE78" s="105">
        <v>5520</v>
      </c>
      <c r="AF78" s="105">
        <v>11</v>
      </c>
      <c r="AG78" s="105">
        <v>6072</v>
      </c>
      <c r="AH78" s="105">
        <v>11</v>
      </c>
      <c r="AI78" s="105">
        <v>6072</v>
      </c>
      <c r="AJ78" s="105">
        <v>9</v>
      </c>
      <c r="AK78" s="105">
        <v>4968</v>
      </c>
      <c r="AL78" s="105">
        <v>10</v>
      </c>
      <c r="AM78" s="105">
        <v>5520</v>
      </c>
      <c r="AN78" s="105">
        <v>15</v>
      </c>
      <c r="AO78" s="105">
        <v>8280</v>
      </c>
      <c r="AP78" s="105">
        <v>12</v>
      </c>
      <c r="AQ78" s="105">
        <v>6624</v>
      </c>
      <c r="AR78" s="105">
        <v>16</v>
      </c>
      <c r="AS78" s="105">
        <v>8832</v>
      </c>
      <c r="AT78" s="105">
        <v>17</v>
      </c>
      <c r="AU78" s="105">
        <v>9384</v>
      </c>
      <c r="AV78" s="105">
        <v>16</v>
      </c>
      <c r="AW78" s="105">
        <v>8832</v>
      </c>
      <c r="AX78" s="105">
        <v>15</v>
      </c>
      <c r="AY78" s="105">
        <v>8280</v>
      </c>
      <c r="AZ78" s="105">
        <v>20</v>
      </c>
      <c r="BA78" s="105">
        <v>11040</v>
      </c>
      <c r="BB78" s="105">
        <v>22</v>
      </c>
      <c r="BC78" s="105">
        <v>12144</v>
      </c>
      <c r="BD78" s="105">
        <v>23</v>
      </c>
      <c r="BE78" s="105">
        <v>12696</v>
      </c>
      <c r="BF78" s="105">
        <v>21</v>
      </c>
      <c r="BG78" s="105">
        <v>11592</v>
      </c>
      <c r="BH78" s="105">
        <v>31</v>
      </c>
      <c r="BI78" s="105">
        <v>17112</v>
      </c>
      <c r="BJ78" s="105">
        <v>36</v>
      </c>
      <c r="BK78" s="105">
        <v>19872</v>
      </c>
      <c r="BL78" s="105">
        <v>31</v>
      </c>
      <c r="BM78" s="105">
        <v>17112</v>
      </c>
      <c r="BN78" s="105">
        <v>23</v>
      </c>
      <c r="BO78" s="105">
        <v>12696</v>
      </c>
      <c r="BP78" s="105">
        <v>36</v>
      </c>
      <c r="BQ78" s="105">
        <v>19872</v>
      </c>
      <c r="BR78" s="105">
        <v>45</v>
      </c>
      <c r="BS78" s="105">
        <v>24840</v>
      </c>
      <c r="BT78" s="105">
        <v>48</v>
      </c>
      <c r="BU78" s="105">
        <v>26496</v>
      </c>
      <c r="BV78" s="105">
        <v>42</v>
      </c>
      <c r="BW78" s="105">
        <v>23184</v>
      </c>
      <c r="BX78" s="105">
        <v>35</v>
      </c>
      <c r="BY78" s="105">
        <v>19320</v>
      </c>
      <c r="BZ78" s="105">
        <v>71</v>
      </c>
      <c r="CA78" s="105">
        <v>39192</v>
      </c>
      <c r="CB78" s="105">
        <v>34.866897816750154</v>
      </c>
      <c r="CC78" s="105">
        <v>19246.527594846084</v>
      </c>
      <c r="CD78" s="105">
        <v>5.904685568603214</v>
      </c>
      <c r="CE78" s="105">
        <v>3259.3864338689741</v>
      </c>
      <c r="CF78" s="105">
        <v>1.7612800455864068</v>
      </c>
      <c r="CG78" s="105">
        <v>972.22658516369654</v>
      </c>
      <c r="CH78" s="105">
        <v>28.824327845411187</v>
      </c>
      <c r="CI78" s="105">
        <v>15911.028970666976</v>
      </c>
      <c r="CJ78" s="105">
        <v>19.983724363747122</v>
      </c>
      <c r="CK78" s="105">
        <v>11031.015848788411</v>
      </c>
      <c r="CL78" s="105">
        <v>37.645158887785499</v>
      </c>
      <c r="CM78" s="105">
        <v>20780.127706057596</v>
      </c>
      <c r="CN78" s="105">
        <v>5.0913351185921965</v>
      </c>
      <c r="CO78" s="105">
        <v>2810.4169854628926</v>
      </c>
      <c r="CP78" s="105">
        <v>20.624937728329456</v>
      </c>
      <c r="CQ78" s="105">
        <v>11384.96562603786</v>
      </c>
      <c r="CR78" s="105">
        <v>25.45336956521739</v>
      </c>
      <c r="CS78" s="105">
        <v>14050.259999999998</v>
      </c>
      <c r="CT78" s="105">
        <v>3.9198281907433379</v>
      </c>
      <c r="CU78" s="105">
        <v>2163.7451612903224</v>
      </c>
    </row>
    <row r="79" spans="2:99" x14ac:dyDescent="0.25">
      <c r="C79" s="104" t="s">
        <v>244</v>
      </c>
      <c r="D79" s="105">
        <v>0</v>
      </c>
      <c r="E79" s="105">
        <v>0</v>
      </c>
      <c r="F79" s="105">
        <v>0</v>
      </c>
      <c r="G79" s="105">
        <v>0</v>
      </c>
      <c r="H79" s="105">
        <v>6</v>
      </c>
      <c r="I79" s="105">
        <v>4543.2</v>
      </c>
      <c r="J79" s="105">
        <v>7</v>
      </c>
      <c r="K79" s="105">
        <v>5300.4</v>
      </c>
      <c r="L79" s="105">
        <v>8</v>
      </c>
      <c r="M79" s="105">
        <v>6057.5999999999995</v>
      </c>
      <c r="N79" s="105">
        <v>5</v>
      </c>
      <c r="O79" s="105">
        <v>3785.9999999999995</v>
      </c>
      <c r="P79" s="105">
        <v>5</v>
      </c>
      <c r="Q79" s="105">
        <v>3785.9999999999995</v>
      </c>
      <c r="R79" s="105">
        <v>5</v>
      </c>
      <c r="S79" s="105">
        <v>3785.9999999999995</v>
      </c>
      <c r="T79" s="105">
        <v>10</v>
      </c>
      <c r="U79" s="105">
        <v>7571.9999999999991</v>
      </c>
      <c r="V79" s="105">
        <v>8</v>
      </c>
      <c r="W79" s="105">
        <v>6057.5999999999995</v>
      </c>
      <c r="X79" s="105">
        <v>11</v>
      </c>
      <c r="Y79" s="105">
        <v>8329.1999999999989</v>
      </c>
      <c r="Z79" s="105">
        <v>10</v>
      </c>
      <c r="AA79" s="105">
        <v>7571.9999999999991</v>
      </c>
      <c r="AB79" s="105">
        <v>12</v>
      </c>
      <c r="AC79" s="105">
        <v>9086.4</v>
      </c>
      <c r="AD79" s="105">
        <v>11</v>
      </c>
      <c r="AE79" s="105">
        <v>8329.1999999999989</v>
      </c>
      <c r="AF79" s="105">
        <v>10</v>
      </c>
      <c r="AG79" s="105">
        <v>7571.9999999999991</v>
      </c>
      <c r="AH79" s="105">
        <v>10</v>
      </c>
      <c r="AI79" s="105">
        <v>7571.9999999999991</v>
      </c>
      <c r="AJ79" s="105">
        <v>9</v>
      </c>
      <c r="AK79" s="105">
        <v>6814.7999999999993</v>
      </c>
      <c r="AL79" s="105">
        <v>10</v>
      </c>
      <c r="AM79" s="105">
        <v>7571.9999999999991</v>
      </c>
      <c r="AN79" s="105">
        <v>12</v>
      </c>
      <c r="AO79" s="105">
        <v>9086.4</v>
      </c>
      <c r="AP79" s="105">
        <v>11</v>
      </c>
      <c r="AQ79" s="105">
        <v>8329.1999999999989</v>
      </c>
      <c r="AR79" s="105">
        <v>15</v>
      </c>
      <c r="AS79" s="105">
        <v>11357.999999999998</v>
      </c>
      <c r="AT79" s="105">
        <v>17</v>
      </c>
      <c r="AU79" s="105">
        <v>12872.4</v>
      </c>
      <c r="AV79" s="105">
        <v>16</v>
      </c>
      <c r="AW79" s="105">
        <v>12115.199999999999</v>
      </c>
      <c r="AX79" s="105">
        <v>14</v>
      </c>
      <c r="AY79" s="105">
        <v>10600.8</v>
      </c>
      <c r="AZ79" s="105">
        <v>20</v>
      </c>
      <c r="BA79" s="105">
        <v>15143.999999999998</v>
      </c>
      <c r="BB79" s="105">
        <v>22</v>
      </c>
      <c r="BC79" s="105">
        <v>16658.399999999998</v>
      </c>
      <c r="BD79" s="105">
        <v>22</v>
      </c>
      <c r="BE79" s="105">
        <v>16658.399999999998</v>
      </c>
      <c r="BF79" s="105">
        <v>21</v>
      </c>
      <c r="BG79" s="105">
        <v>15901.199999999999</v>
      </c>
      <c r="BH79" s="105">
        <v>31</v>
      </c>
      <c r="BI79" s="105">
        <v>23473.199999999997</v>
      </c>
      <c r="BJ79" s="105">
        <v>31</v>
      </c>
      <c r="BK79" s="105">
        <v>23473.199999999997</v>
      </c>
      <c r="BL79" s="105">
        <v>29</v>
      </c>
      <c r="BM79" s="105">
        <v>21958.799999999999</v>
      </c>
      <c r="BN79" s="105">
        <v>21</v>
      </c>
      <c r="BO79" s="105">
        <v>15901.199999999999</v>
      </c>
      <c r="BP79" s="105">
        <v>31</v>
      </c>
      <c r="BQ79" s="105">
        <v>23473.199999999997</v>
      </c>
      <c r="BR79" s="105">
        <v>46</v>
      </c>
      <c r="BS79" s="105">
        <v>34831.199999999997</v>
      </c>
      <c r="BT79" s="105">
        <v>45</v>
      </c>
      <c r="BU79" s="105">
        <v>34074</v>
      </c>
      <c r="BV79" s="105">
        <v>40</v>
      </c>
      <c r="BW79" s="105">
        <v>30287.999999999996</v>
      </c>
      <c r="BX79" s="105">
        <v>32</v>
      </c>
      <c r="BY79" s="105">
        <v>24230.399999999998</v>
      </c>
      <c r="BZ79" s="105">
        <v>69</v>
      </c>
      <c r="CA79" s="105">
        <v>52246.799999999996</v>
      </c>
      <c r="CB79" s="105">
        <v>36.488613994273422</v>
      </c>
      <c r="CC79" s="105">
        <v>27629.178516463831</v>
      </c>
      <c r="CD79" s="105">
        <v>5.0233892150803463</v>
      </c>
      <c r="CE79" s="105">
        <v>3803.710313658838</v>
      </c>
      <c r="CF79" s="105">
        <v>1.7612800455864068</v>
      </c>
      <c r="CG79" s="105">
        <v>1333.6412505180272</v>
      </c>
      <c r="CH79" s="105">
        <v>25.883069902001882</v>
      </c>
      <c r="CI79" s="105">
        <v>19598.660529795823</v>
      </c>
      <c r="CJ79" s="105">
        <v>18.049815554352239</v>
      </c>
      <c r="CK79" s="105">
        <v>13667.320337755515</v>
      </c>
      <c r="CL79" s="105">
        <v>38.31739386792453</v>
      </c>
      <c r="CM79" s="105">
        <v>29013.930636792451</v>
      </c>
      <c r="CN79" s="105">
        <v>5.0186017597551649</v>
      </c>
      <c r="CO79" s="105">
        <v>3800.0852524866104</v>
      </c>
      <c r="CP79" s="105">
        <v>21.083269677847888</v>
      </c>
      <c r="CQ79" s="105">
        <v>15964.251800066419</v>
      </c>
      <c r="CR79" s="105">
        <v>21.557445652173911</v>
      </c>
      <c r="CS79" s="105">
        <v>16323.297847826083</v>
      </c>
      <c r="CT79" s="105">
        <v>4.0398229312762979</v>
      </c>
      <c r="CU79" s="105">
        <v>3058.9539235624125</v>
      </c>
    </row>
    <row r="80" spans="2:99" x14ac:dyDescent="0.25">
      <c r="C80" s="104" t="s">
        <v>245</v>
      </c>
      <c r="D80" s="105">
        <v>0</v>
      </c>
      <c r="E80" s="105">
        <v>0</v>
      </c>
      <c r="F80" s="105">
        <v>0</v>
      </c>
      <c r="G80" s="105">
        <v>0</v>
      </c>
      <c r="H80" s="105">
        <v>6</v>
      </c>
      <c r="I80" s="105">
        <v>4831.2</v>
      </c>
      <c r="J80" s="105">
        <v>7</v>
      </c>
      <c r="K80" s="105">
        <v>5636.4</v>
      </c>
      <c r="L80" s="105">
        <v>8</v>
      </c>
      <c r="M80" s="105">
        <v>6441.5999999999995</v>
      </c>
      <c r="N80" s="105">
        <v>5</v>
      </c>
      <c r="O80" s="105">
        <v>4025.9999999999995</v>
      </c>
      <c r="P80" s="105">
        <v>6</v>
      </c>
      <c r="Q80" s="105">
        <v>4831.2</v>
      </c>
      <c r="R80" s="105">
        <v>6</v>
      </c>
      <c r="S80" s="105">
        <v>4831.2</v>
      </c>
      <c r="T80" s="105">
        <v>9</v>
      </c>
      <c r="U80" s="105">
        <v>7246.7999999999993</v>
      </c>
      <c r="V80" s="105">
        <v>7</v>
      </c>
      <c r="W80" s="105">
        <v>5636.4</v>
      </c>
      <c r="X80" s="105">
        <v>11</v>
      </c>
      <c r="Y80" s="105">
        <v>8857.1999999999989</v>
      </c>
      <c r="Z80" s="105">
        <v>10</v>
      </c>
      <c r="AA80" s="105">
        <v>8051.9999999999991</v>
      </c>
      <c r="AB80" s="105">
        <v>11</v>
      </c>
      <c r="AC80" s="105">
        <v>8857.1999999999989</v>
      </c>
      <c r="AD80" s="105">
        <v>10</v>
      </c>
      <c r="AE80" s="105">
        <v>8051.9999999999991</v>
      </c>
      <c r="AF80" s="105">
        <v>11</v>
      </c>
      <c r="AG80" s="105">
        <v>8857.1999999999989</v>
      </c>
      <c r="AH80" s="105">
        <v>12</v>
      </c>
      <c r="AI80" s="105">
        <v>9662.4</v>
      </c>
      <c r="AJ80" s="105">
        <v>9</v>
      </c>
      <c r="AK80" s="105">
        <v>7246.7999999999993</v>
      </c>
      <c r="AL80" s="105">
        <v>10</v>
      </c>
      <c r="AM80" s="105">
        <v>8051.9999999999991</v>
      </c>
      <c r="AN80" s="105">
        <v>14</v>
      </c>
      <c r="AO80" s="105">
        <v>11272.8</v>
      </c>
      <c r="AP80" s="105">
        <v>11</v>
      </c>
      <c r="AQ80" s="105">
        <v>8857.1999999999989</v>
      </c>
      <c r="AR80" s="105">
        <v>16</v>
      </c>
      <c r="AS80" s="105">
        <v>12883.199999999999</v>
      </c>
      <c r="AT80" s="105">
        <v>15</v>
      </c>
      <c r="AU80" s="105">
        <v>12077.999999999998</v>
      </c>
      <c r="AV80" s="105">
        <v>16</v>
      </c>
      <c r="AW80" s="105">
        <v>12883.199999999999</v>
      </c>
      <c r="AX80" s="105">
        <v>15</v>
      </c>
      <c r="AY80" s="105">
        <v>12077.999999999998</v>
      </c>
      <c r="AZ80" s="105">
        <v>19</v>
      </c>
      <c r="BA80" s="105">
        <v>15298.8</v>
      </c>
      <c r="BB80" s="105">
        <v>26</v>
      </c>
      <c r="BC80" s="105">
        <v>20935.199999999997</v>
      </c>
      <c r="BD80" s="105">
        <v>24</v>
      </c>
      <c r="BE80" s="105">
        <v>19324.8</v>
      </c>
      <c r="BF80" s="105">
        <v>19</v>
      </c>
      <c r="BG80" s="105">
        <v>15298.8</v>
      </c>
      <c r="BH80" s="105">
        <v>30</v>
      </c>
      <c r="BI80" s="105">
        <v>24155.999999999996</v>
      </c>
      <c r="BJ80" s="105">
        <v>32</v>
      </c>
      <c r="BK80" s="105">
        <v>25766.399999999998</v>
      </c>
      <c r="BL80" s="105">
        <v>27</v>
      </c>
      <c r="BM80" s="105">
        <v>21740.399999999998</v>
      </c>
      <c r="BN80" s="105">
        <v>21</v>
      </c>
      <c r="BO80" s="105">
        <v>16909.199999999997</v>
      </c>
      <c r="BP80" s="105">
        <v>34</v>
      </c>
      <c r="BQ80" s="105">
        <v>27376.799999999999</v>
      </c>
      <c r="BR80" s="105">
        <v>48</v>
      </c>
      <c r="BS80" s="105">
        <v>38649.599999999999</v>
      </c>
      <c r="BT80" s="105">
        <v>40</v>
      </c>
      <c r="BU80" s="105">
        <v>32207.999999999996</v>
      </c>
      <c r="BV80" s="105">
        <v>40</v>
      </c>
      <c r="BW80" s="105">
        <v>32207.999999999996</v>
      </c>
      <c r="BX80" s="105">
        <v>36</v>
      </c>
      <c r="BY80" s="105">
        <v>28987.199999999997</v>
      </c>
      <c r="BZ80" s="105">
        <v>64</v>
      </c>
      <c r="CA80" s="105">
        <v>51532.799999999996</v>
      </c>
      <c r="CB80" s="105">
        <v>34.866897816750154</v>
      </c>
      <c r="CC80" s="105">
        <v>28074.82612204722</v>
      </c>
      <c r="CD80" s="105">
        <v>5.0233892150803463</v>
      </c>
      <c r="CE80" s="105">
        <v>4044.8329959826947</v>
      </c>
      <c r="CF80" s="105">
        <v>1.6647715499378368</v>
      </c>
      <c r="CG80" s="105">
        <v>1340.474052009946</v>
      </c>
      <c r="CH80" s="105">
        <v>27.059573079365606</v>
      </c>
      <c r="CI80" s="105">
        <v>21788.368243505185</v>
      </c>
      <c r="CJ80" s="105">
        <v>18.049815554352239</v>
      </c>
      <c r="CK80" s="105">
        <v>14533.711484364421</v>
      </c>
      <c r="CL80" s="105">
        <v>34.95621896722939</v>
      </c>
      <c r="CM80" s="105">
        <v>28146.747512413102</v>
      </c>
      <c r="CN80" s="105">
        <v>4.9822350803366486</v>
      </c>
      <c r="CO80" s="105">
        <v>4011.6956866870692</v>
      </c>
      <c r="CP80" s="105">
        <v>21.312435652607107</v>
      </c>
      <c r="CQ80" s="105">
        <v>17160.773187479241</v>
      </c>
      <c r="CR80" s="105">
        <v>21.817173913043479</v>
      </c>
      <c r="CS80" s="105">
        <v>17567.188434782609</v>
      </c>
      <c r="CT80" s="105">
        <v>4.0398229312762979</v>
      </c>
      <c r="CU80" s="105">
        <v>3252.8654242636749</v>
      </c>
    </row>
    <row r="81" spans="2:99" x14ac:dyDescent="0.25">
      <c r="C81" s="104" t="s">
        <v>246</v>
      </c>
      <c r="D81" s="105">
        <v>0</v>
      </c>
      <c r="E81" s="105">
        <v>0</v>
      </c>
      <c r="F81" s="105">
        <v>0</v>
      </c>
      <c r="G81" s="105">
        <v>0</v>
      </c>
      <c r="H81" s="105">
        <v>6</v>
      </c>
      <c r="I81" s="105">
        <v>4521.6000000000004</v>
      </c>
      <c r="J81" s="105">
        <v>7</v>
      </c>
      <c r="K81" s="105">
        <v>5275.2</v>
      </c>
      <c r="L81" s="105">
        <v>7</v>
      </c>
      <c r="M81" s="105">
        <v>5275.2</v>
      </c>
      <c r="N81" s="105">
        <v>5</v>
      </c>
      <c r="O81" s="105">
        <v>3768</v>
      </c>
      <c r="P81" s="105">
        <v>5</v>
      </c>
      <c r="Q81" s="105">
        <v>3768</v>
      </c>
      <c r="R81" s="105">
        <v>5</v>
      </c>
      <c r="S81" s="105">
        <v>3768</v>
      </c>
      <c r="T81" s="105">
        <v>10</v>
      </c>
      <c r="U81" s="105">
        <v>7536</v>
      </c>
      <c r="V81" s="105">
        <v>8</v>
      </c>
      <c r="W81" s="105">
        <v>6028.8</v>
      </c>
      <c r="X81" s="105">
        <v>11</v>
      </c>
      <c r="Y81" s="105">
        <v>8289.6</v>
      </c>
      <c r="Z81" s="105">
        <v>11</v>
      </c>
      <c r="AA81" s="105">
        <v>8289.6</v>
      </c>
      <c r="AB81" s="105">
        <v>11</v>
      </c>
      <c r="AC81" s="105">
        <v>8289.6</v>
      </c>
      <c r="AD81" s="105">
        <v>10</v>
      </c>
      <c r="AE81" s="105">
        <v>7536</v>
      </c>
      <c r="AF81" s="105">
        <v>10</v>
      </c>
      <c r="AG81" s="105">
        <v>7536</v>
      </c>
      <c r="AH81" s="105">
        <v>10</v>
      </c>
      <c r="AI81" s="105">
        <v>7536</v>
      </c>
      <c r="AJ81" s="105">
        <v>8</v>
      </c>
      <c r="AK81" s="105">
        <v>6028.8</v>
      </c>
      <c r="AL81" s="105">
        <v>9</v>
      </c>
      <c r="AM81" s="105">
        <v>6782.4000000000005</v>
      </c>
      <c r="AN81" s="105">
        <v>13</v>
      </c>
      <c r="AO81" s="105">
        <v>9796.8000000000011</v>
      </c>
      <c r="AP81" s="105">
        <v>10</v>
      </c>
      <c r="AQ81" s="105">
        <v>7536</v>
      </c>
      <c r="AR81" s="105">
        <v>16</v>
      </c>
      <c r="AS81" s="105">
        <v>12057.6</v>
      </c>
      <c r="AT81" s="105">
        <v>16</v>
      </c>
      <c r="AU81" s="105">
        <v>12057.6</v>
      </c>
      <c r="AV81" s="105">
        <v>18</v>
      </c>
      <c r="AW81" s="105">
        <v>13564.800000000001</v>
      </c>
      <c r="AX81" s="105">
        <v>16</v>
      </c>
      <c r="AY81" s="105">
        <v>12057.6</v>
      </c>
      <c r="AZ81" s="105">
        <v>19</v>
      </c>
      <c r="BA81" s="105">
        <v>14318.4</v>
      </c>
      <c r="BB81" s="105">
        <v>24</v>
      </c>
      <c r="BC81" s="105">
        <v>18086.400000000001</v>
      </c>
      <c r="BD81" s="105">
        <v>21</v>
      </c>
      <c r="BE81" s="105">
        <v>15825.6</v>
      </c>
      <c r="BF81" s="105">
        <v>22</v>
      </c>
      <c r="BG81" s="105">
        <v>16579.2</v>
      </c>
      <c r="BH81" s="105">
        <v>34</v>
      </c>
      <c r="BI81" s="105">
        <v>25622.400000000001</v>
      </c>
      <c r="BJ81" s="105">
        <v>32</v>
      </c>
      <c r="BK81" s="105">
        <v>24115.200000000001</v>
      </c>
      <c r="BL81" s="105">
        <v>30</v>
      </c>
      <c r="BM81" s="105">
        <v>22608</v>
      </c>
      <c r="BN81" s="105">
        <v>20</v>
      </c>
      <c r="BO81" s="105">
        <v>15072</v>
      </c>
      <c r="BP81" s="105">
        <v>35</v>
      </c>
      <c r="BQ81" s="105">
        <v>26376</v>
      </c>
      <c r="BR81" s="105">
        <v>41</v>
      </c>
      <c r="BS81" s="105">
        <v>30897.600000000002</v>
      </c>
      <c r="BT81" s="105">
        <v>47</v>
      </c>
      <c r="BU81" s="105">
        <v>35419.200000000004</v>
      </c>
      <c r="BV81" s="105">
        <v>39</v>
      </c>
      <c r="BW81" s="105">
        <v>29390.400000000001</v>
      </c>
      <c r="BX81" s="105">
        <v>37</v>
      </c>
      <c r="BY81" s="105">
        <v>27883.200000000001</v>
      </c>
      <c r="BZ81" s="105">
        <v>66</v>
      </c>
      <c r="CA81" s="105">
        <v>49737.599999999999</v>
      </c>
      <c r="CB81" s="105">
        <v>34.056039727988527</v>
      </c>
      <c r="CC81" s="105">
        <v>25664.631539012153</v>
      </c>
      <c r="CD81" s="105">
        <v>5.7284262978986407</v>
      </c>
      <c r="CE81" s="105">
        <v>4316.9420580964161</v>
      </c>
      <c r="CF81" s="105">
        <v>1.9542970368835475</v>
      </c>
      <c r="CG81" s="105">
        <v>1472.7582469954414</v>
      </c>
      <c r="CH81" s="105">
        <v>28.530202051070255</v>
      </c>
      <c r="CI81" s="105">
        <v>21500.360265686544</v>
      </c>
      <c r="CJ81" s="105">
        <v>18.049815554352239</v>
      </c>
      <c r="CK81" s="105">
        <v>13602.341001759847</v>
      </c>
      <c r="CL81" s="105">
        <v>34.95621896722939</v>
      </c>
      <c r="CM81" s="105">
        <v>26343.00661370407</v>
      </c>
      <c r="CN81" s="105">
        <v>5.273168515684775</v>
      </c>
      <c r="CO81" s="105">
        <v>3973.8597934200466</v>
      </c>
      <c r="CP81" s="105">
        <v>21.312435652607107</v>
      </c>
      <c r="CQ81" s="105">
        <v>16061.051507804716</v>
      </c>
      <c r="CR81" s="105">
        <v>22.596358695652174</v>
      </c>
      <c r="CS81" s="105">
        <v>17028.615913043479</v>
      </c>
      <c r="CT81" s="105">
        <v>3.7998334502103788</v>
      </c>
      <c r="CU81" s="105">
        <v>2863.5544880785415</v>
      </c>
    </row>
    <row r="82" spans="2:99" x14ac:dyDescent="0.25">
      <c r="C82" s="104" t="s">
        <v>247</v>
      </c>
      <c r="D82" s="105">
        <v>0</v>
      </c>
      <c r="E82" s="105">
        <v>0</v>
      </c>
      <c r="F82" s="105">
        <v>0</v>
      </c>
      <c r="G82" s="105">
        <v>0</v>
      </c>
      <c r="H82" s="105">
        <v>6</v>
      </c>
      <c r="I82" s="105">
        <v>3052.7999999999993</v>
      </c>
      <c r="J82" s="105">
        <v>8</v>
      </c>
      <c r="K82" s="105">
        <v>4070.3999999999992</v>
      </c>
      <c r="L82" s="105">
        <v>8</v>
      </c>
      <c r="M82" s="105">
        <v>4070.3999999999992</v>
      </c>
      <c r="N82" s="105">
        <v>5</v>
      </c>
      <c r="O82" s="105">
        <v>2543.9999999999995</v>
      </c>
      <c r="P82" s="105">
        <v>6</v>
      </c>
      <c r="Q82" s="105">
        <v>3052.7999999999993</v>
      </c>
      <c r="R82" s="105">
        <v>6</v>
      </c>
      <c r="S82" s="105">
        <v>3052.7999999999993</v>
      </c>
      <c r="T82" s="105">
        <v>10</v>
      </c>
      <c r="U82" s="105">
        <v>5087.9999999999991</v>
      </c>
      <c r="V82" s="105">
        <v>8</v>
      </c>
      <c r="W82" s="105">
        <v>4070.3999999999992</v>
      </c>
      <c r="X82" s="105">
        <v>11</v>
      </c>
      <c r="Y82" s="105">
        <v>5596.7999999999993</v>
      </c>
      <c r="Z82" s="105">
        <v>10</v>
      </c>
      <c r="AA82" s="105">
        <v>5087.9999999999991</v>
      </c>
      <c r="AB82" s="105">
        <v>12</v>
      </c>
      <c r="AC82" s="105">
        <v>6105.5999999999985</v>
      </c>
      <c r="AD82" s="105">
        <v>11</v>
      </c>
      <c r="AE82" s="105">
        <v>5596.7999999999993</v>
      </c>
      <c r="AF82" s="105">
        <v>12</v>
      </c>
      <c r="AG82" s="105">
        <v>6105.5999999999985</v>
      </c>
      <c r="AH82" s="105">
        <v>12</v>
      </c>
      <c r="AI82" s="105">
        <v>6105.5999999999985</v>
      </c>
      <c r="AJ82" s="105">
        <v>8</v>
      </c>
      <c r="AK82" s="105">
        <v>4070.3999999999992</v>
      </c>
      <c r="AL82" s="105">
        <v>10</v>
      </c>
      <c r="AM82" s="105">
        <v>5087.9999999999991</v>
      </c>
      <c r="AN82" s="105">
        <v>14</v>
      </c>
      <c r="AO82" s="105">
        <v>7123.1999999999989</v>
      </c>
      <c r="AP82" s="105">
        <v>12</v>
      </c>
      <c r="AQ82" s="105">
        <v>6105.5999999999985</v>
      </c>
      <c r="AR82" s="105">
        <v>16</v>
      </c>
      <c r="AS82" s="105">
        <v>8140.7999999999984</v>
      </c>
      <c r="AT82" s="105">
        <v>14</v>
      </c>
      <c r="AU82" s="105">
        <v>7123.1999999999989</v>
      </c>
      <c r="AV82" s="105">
        <v>17</v>
      </c>
      <c r="AW82" s="105">
        <v>8649.5999999999985</v>
      </c>
      <c r="AX82" s="105">
        <v>14</v>
      </c>
      <c r="AY82" s="105">
        <v>7123.1999999999989</v>
      </c>
      <c r="AZ82" s="105">
        <v>19</v>
      </c>
      <c r="BA82" s="105">
        <v>9667.1999999999989</v>
      </c>
      <c r="BB82" s="105">
        <v>24</v>
      </c>
      <c r="BC82" s="105">
        <v>12211.199999999997</v>
      </c>
      <c r="BD82" s="105">
        <v>24</v>
      </c>
      <c r="BE82" s="105">
        <v>12211.199999999997</v>
      </c>
      <c r="BF82" s="105">
        <v>21</v>
      </c>
      <c r="BG82" s="105">
        <v>10684.799999999997</v>
      </c>
      <c r="BH82" s="105">
        <v>32</v>
      </c>
      <c r="BI82" s="105">
        <v>16281.599999999997</v>
      </c>
      <c r="BJ82" s="105">
        <v>36</v>
      </c>
      <c r="BK82" s="105">
        <v>18316.799999999996</v>
      </c>
      <c r="BL82" s="105">
        <v>27</v>
      </c>
      <c r="BM82" s="105">
        <v>13737.599999999997</v>
      </c>
      <c r="BN82" s="105">
        <v>23</v>
      </c>
      <c r="BO82" s="105">
        <v>11702.399999999998</v>
      </c>
      <c r="BP82" s="105">
        <v>34</v>
      </c>
      <c r="BQ82" s="105">
        <v>17299.199999999997</v>
      </c>
      <c r="BR82" s="105">
        <v>42</v>
      </c>
      <c r="BS82" s="105">
        <v>21369.599999999995</v>
      </c>
      <c r="BT82" s="105">
        <v>44</v>
      </c>
      <c r="BU82" s="105">
        <v>22387.199999999997</v>
      </c>
      <c r="BV82" s="105">
        <v>39</v>
      </c>
      <c r="BW82" s="105">
        <v>19843.199999999997</v>
      </c>
      <c r="BX82" s="105">
        <v>39</v>
      </c>
      <c r="BY82" s="105">
        <v>19843.199999999997</v>
      </c>
      <c r="BZ82" s="105">
        <v>70</v>
      </c>
      <c r="CA82" s="105">
        <v>35615.999999999993</v>
      </c>
      <c r="CB82" s="105">
        <v>35.677755905511788</v>
      </c>
      <c r="CC82" s="105">
        <v>18152.842204724395</v>
      </c>
      <c r="CD82" s="105">
        <v>6.0809448393077874</v>
      </c>
      <c r="CE82" s="105">
        <v>3093.9847342398016</v>
      </c>
      <c r="CF82" s="105">
        <v>1.9301699129714049</v>
      </c>
      <c r="CG82" s="105">
        <v>982.07045171985067</v>
      </c>
      <c r="CH82" s="105">
        <v>28.530202051070255</v>
      </c>
      <c r="CI82" s="105">
        <v>14516.166803584543</v>
      </c>
      <c r="CJ82" s="105">
        <v>21.272996903343714</v>
      </c>
      <c r="CK82" s="105">
        <v>10823.700824421279</v>
      </c>
      <c r="CL82" s="105">
        <v>38.989628848063553</v>
      </c>
      <c r="CM82" s="105">
        <v>19837.923157894733</v>
      </c>
      <c r="CN82" s="105">
        <v>4.8367683626625864</v>
      </c>
      <c r="CO82" s="105">
        <v>2460.9477429227236</v>
      </c>
      <c r="CP82" s="105">
        <v>19.479107854533378</v>
      </c>
      <c r="CQ82" s="105">
        <v>9910.9700763865803</v>
      </c>
      <c r="CR82" s="105">
        <v>26.232554347826088</v>
      </c>
      <c r="CS82" s="105">
        <v>13347.12365217391</v>
      </c>
      <c r="CT82" s="105">
        <v>4.5198018934081352</v>
      </c>
      <c r="CU82" s="105">
        <v>2299.6752033660587</v>
      </c>
    </row>
    <row r="83" spans="2:99" x14ac:dyDescent="0.25">
      <c r="C83" s="104" t="s">
        <v>248</v>
      </c>
      <c r="D83" s="105">
        <v>0</v>
      </c>
      <c r="E83" s="105">
        <v>0</v>
      </c>
      <c r="F83" s="105">
        <v>0</v>
      </c>
      <c r="G83" s="105">
        <v>0</v>
      </c>
      <c r="H83" s="105">
        <v>6</v>
      </c>
      <c r="I83" s="105">
        <v>5162.3999999999996</v>
      </c>
      <c r="J83" s="105">
        <v>7</v>
      </c>
      <c r="K83" s="105">
        <v>6022.8</v>
      </c>
      <c r="L83" s="105">
        <v>7</v>
      </c>
      <c r="M83" s="105">
        <v>6022.8</v>
      </c>
      <c r="N83" s="105">
        <v>5</v>
      </c>
      <c r="O83" s="105">
        <v>4302</v>
      </c>
      <c r="P83" s="105">
        <v>6</v>
      </c>
      <c r="Q83" s="105">
        <v>5162.3999999999996</v>
      </c>
      <c r="R83" s="105">
        <v>6</v>
      </c>
      <c r="S83" s="105">
        <v>5162.3999999999996</v>
      </c>
      <c r="T83" s="105">
        <v>11</v>
      </c>
      <c r="U83" s="105">
        <v>9464.4</v>
      </c>
      <c r="V83" s="105">
        <v>8</v>
      </c>
      <c r="W83" s="105">
        <v>6883.2</v>
      </c>
      <c r="X83" s="105">
        <v>11</v>
      </c>
      <c r="Y83" s="105">
        <v>9464.4</v>
      </c>
      <c r="Z83" s="105">
        <v>10</v>
      </c>
      <c r="AA83" s="105">
        <v>8604</v>
      </c>
      <c r="AB83" s="105">
        <v>12</v>
      </c>
      <c r="AC83" s="105">
        <v>10324.799999999999</v>
      </c>
      <c r="AD83" s="105">
        <v>11</v>
      </c>
      <c r="AE83" s="105">
        <v>9464.4</v>
      </c>
      <c r="AF83" s="105">
        <v>11</v>
      </c>
      <c r="AG83" s="105">
        <v>9464.4</v>
      </c>
      <c r="AH83" s="105">
        <v>10</v>
      </c>
      <c r="AI83" s="105">
        <v>8604</v>
      </c>
      <c r="AJ83" s="105">
        <v>8</v>
      </c>
      <c r="AK83" s="105">
        <v>6883.2</v>
      </c>
      <c r="AL83" s="105">
        <v>10</v>
      </c>
      <c r="AM83" s="105">
        <v>8604</v>
      </c>
      <c r="AN83" s="105">
        <v>12</v>
      </c>
      <c r="AO83" s="105">
        <v>10324.799999999999</v>
      </c>
      <c r="AP83" s="105">
        <v>11</v>
      </c>
      <c r="AQ83" s="105">
        <v>9464.4</v>
      </c>
      <c r="AR83" s="105">
        <v>14</v>
      </c>
      <c r="AS83" s="105">
        <v>12045.6</v>
      </c>
      <c r="AT83" s="105">
        <v>14</v>
      </c>
      <c r="AU83" s="105">
        <v>12045.6</v>
      </c>
      <c r="AV83" s="105">
        <v>18</v>
      </c>
      <c r="AW83" s="105">
        <v>15487.199999999999</v>
      </c>
      <c r="AX83" s="105">
        <v>16</v>
      </c>
      <c r="AY83" s="105">
        <v>13766.4</v>
      </c>
      <c r="AZ83" s="105">
        <v>17</v>
      </c>
      <c r="BA83" s="105">
        <v>14626.8</v>
      </c>
      <c r="BB83" s="105">
        <v>25</v>
      </c>
      <c r="BC83" s="105">
        <v>21510</v>
      </c>
      <c r="BD83" s="105">
        <v>24</v>
      </c>
      <c r="BE83" s="105">
        <v>20649.599999999999</v>
      </c>
      <c r="BF83" s="105">
        <v>20</v>
      </c>
      <c r="BG83" s="105">
        <v>17208</v>
      </c>
      <c r="BH83" s="105">
        <v>31</v>
      </c>
      <c r="BI83" s="105">
        <v>26672.399999999998</v>
      </c>
      <c r="BJ83" s="105">
        <v>31</v>
      </c>
      <c r="BK83" s="105">
        <v>26672.399999999998</v>
      </c>
      <c r="BL83" s="105">
        <v>28</v>
      </c>
      <c r="BM83" s="105">
        <v>24091.200000000001</v>
      </c>
      <c r="BN83" s="105">
        <v>22</v>
      </c>
      <c r="BO83" s="105">
        <v>18928.8</v>
      </c>
      <c r="BP83" s="105">
        <v>29</v>
      </c>
      <c r="BQ83" s="105">
        <v>24951.599999999999</v>
      </c>
      <c r="BR83" s="105">
        <v>44</v>
      </c>
      <c r="BS83" s="105">
        <v>37857.599999999999</v>
      </c>
      <c r="BT83" s="105">
        <v>45</v>
      </c>
      <c r="BU83" s="105">
        <v>38718</v>
      </c>
      <c r="BV83" s="105">
        <v>41</v>
      </c>
      <c r="BW83" s="105">
        <v>35276.400000000001</v>
      </c>
      <c r="BX83" s="105">
        <v>34</v>
      </c>
      <c r="BY83" s="105">
        <v>29253.599999999999</v>
      </c>
      <c r="BZ83" s="105">
        <v>59</v>
      </c>
      <c r="CA83" s="105">
        <v>50763.6</v>
      </c>
      <c r="CB83" s="105">
        <v>31.623465461703631</v>
      </c>
      <c r="CC83" s="105">
        <v>27208.829683249805</v>
      </c>
      <c r="CD83" s="105">
        <v>5.1996484857849197</v>
      </c>
      <c r="CE83" s="105">
        <v>4473.7775571693446</v>
      </c>
      <c r="CF83" s="105">
        <v>1.7371529216742645</v>
      </c>
      <c r="CG83" s="105">
        <v>1494.6463738085372</v>
      </c>
      <c r="CH83" s="105">
        <v>26.765447285024674</v>
      </c>
      <c r="CI83" s="105">
        <v>23028.99084403523</v>
      </c>
      <c r="CJ83" s="105">
        <v>17.0828611496548</v>
      </c>
      <c r="CK83" s="105">
        <v>14698.09373316299</v>
      </c>
      <c r="CL83" s="105">
        <v>34.95621896722939</v>
      </c>
      <c r="CM83" s="105">
        <v>30076.330799404168</v>
      </c>
      <c r="CN83" s="105">
        <v>4.6185682861514916</v>
      </c>
      <c r="CO83" s="105">
        <v>3973.8161534047431</v>
      </c>
      <c r="CP83" s="105">
        <v>20.395771753570241</v>
      </c>
      <c r="CQ83" s="105">
        <v>17548.522016771836</v>
      </c>
      <c r="CR83" s="105">
        <v>23.37554347826087</v>
      </c>
      <c r="CS83" s="105">
        <v>20112.317608695652</v>
      </c>
      <c r="CT83" s="105">
        <v>4.0398229312762979</v>
      </c>
      <c r="CU83" s="105">
        <v>3475.8636500701268</v>
      </c>
    </row>
    <row r="84" spans="2:99" x14ac:dyDescent="0.25">
      <c r="C84" s="104" t="s">
        <v>249</v>
      </c>
      <c r="D84" s="105">
        <v>0</v>
      </c>
      <c r="E84" s="105">
        <v>0</v>
      </c>
      <c r="F84" s="105">
        <v>0</v>
      </c>
      <c r="G84" s="105">
        <v>0</v>
      </c>
      <c r="H84" s="105">
        <v>6</v>
      </c>
      <c r="I84" s="105">
        <v>4687.2</v>
      </c>
      <c r="J84" s="105">
        <v>7</v>
      </c>
      <c r="K84" s="105">
        <v>5468.4</v>
      </c>
      <c r="L84" s="105">
        <v>8</v>
      </c>
      <c r="M84" s="105">
        <v>6249.5999999999995</v>
      </c>
      <c r="N84" s="105">
        <v>6</v>
      </c>
      <c r="O84" s="105">
        <v>4687.2</v>
      </c>
      <c r="P84" s="105">
        <v>6</v>
      </c>
      <c r="Q84" s="105">
        <v>4687.2</v>
      </c>
      <c r="R84" s="105">
        <v>5</v>
      </c>
      <c r="S84" s="105">
        <v>3905.9999999999995</v>
      </c>
      <c r="T84" s="105">
        <v>10</v>
      </c>
      <c r="U84" s="105">
        <v>7811.9999999999991</v>
      </c>
      <c r="V84" s="105">
        <v>8</v>
      </c>
      <c r="W84" s="105">
        <v>6249.5999999999995</v>
      </c>
      <c r="X84" s="105">
        <v>12</v>
      </c>
      <c r="Y84" s="105">
        <v>9374.4</v>
      </c>
      <c r="Z84" s="105">
        <v>10</v>
      </c>
      <c r="AA84" s="105">
        <v>7811.9999999999991</v>
      </c>
      <c r="AB84" s="105">
        <v>12</v>
      </c>
      <c r="AC84" s="105">
        <v>9374.4</v>
      </c>
      <c r="AD84" s="105">
        <v>10</v>
      </c>
      <c r="AE84" s="105">
        <v>7811.9999999999991</v>
      </c>
      <c r="AF84" s="105">
        <v>11</v>
      </c>
      <c r="AG84" s="105">
        <v>8593.1999999999989</v>
      </c>
      <c r="AH84" s="105">
        <v>11</v>
      </c>
      <c r="AI84" s="105">
        <v>8593.1999999999989</v>
      </c>
      <c r="AJ84" s="105">
        <v>8</v>
      </c>
      <c r="AK84" s="105">
        <v>6249.5999999999995</v>
      </c>
      <c r="AL84" s="105">
        <v>11</v>
      </c>
      <c r="AM84" s="105">
        <v>8593.1999999999989</v>
      </c>
      <c r="AN84" s="105">
        <v>14</v>
      </c>
      <c r="AO84" s="105">
        <v>10936.8</v>
      </c>
      <c r="AP84" s="105">
        <v>12</v>
      </c>
      <c r="AQ84" s="105">
        <v>9374.4</v>
      </c>
      <c r="AR84" s="105">
        <v>13</v>
      </c>
      <c r="AS84" s="105">
        <v>10155.599999999999</v>
      </c>
      <c r="AT84" s="105">
        <v>14</v>
      </c>
      <c r="AU84" s="105">
        <v>10936.8</v>
      </c>
      <c r="AV84" s="105">
        <v>18</v>
      </c>
      <c r="AW84" s="105">
        <v>14061.599999999999</v>
      </c>
      <c r="AX84" s="105">
        <v>14</v>
      </c>
      <c r="AY84" s="105">
        <v>10936.8</v>
      </c>
      <c r="AZ84" s="105">
        <v>20</v>
      </c>
      <c r="BA84" s="105">
        <v>15623.999999999998</v>
      </c>
      <c r="BB84" s="105">
        <v>21</v>
      </c>
      <c r="BC84" s="105">
        <v>16405.199999999997</v>
      </c>
      <c r="BD84" s="105">
        <v>24</v>
      </c>
      <c r="BE84" s="105">
        <v>18748.8</v>
      </c>
      <c r="BF84" s="105">
        <v>19</v>
      </c>
      <c r="BG84" s="105">
        <v>14842.8</v>
      </c>
      <c r="BH84" s="105">
        <v>34</v>
      </c>
      <c r="BI84" s="105">
        <v>26560.799999999999</v>
      </c>
      <c r="BJ84" s="105">
        <v>35</v>
      </c>
      <c r="BK84" s="105">
        <v>27341.999999999996</v>
      </c>
      <c r="BL84" s="105">
        <v>27</v>
      </c>
      <c r="BM84" s="105">
        <v>21092.399999999998</v>
      </c>
      <c r="BN84" s="105">
        <v>20</v>
      </c>
      <c r="BO84" s="105">
        <v>15623.999999999998</v>
      </c>
      <c r="BP84" s="105">
        <v>31</v>
      </c>
      <c r="BQ84" s="105">
        <v>24217.199999999997</v>
      </c>
      <c r="BR84" s="105">
        <v>47</v>
      </c>
      <c r="BS84" s="105">
        <v>36716.399999999994</v>
      </c>
      <c r="BT84" s="105">
        <v>46</v>
      </c>
      <c r="BU84" s="105">
        <v>35935.199999999997</v>
      </c>
      <c r="BV84" s="105">
        <v>40</v>
      </c>
      <c r="BW84" s="105">
        <v>31247.999999999996</v>
      </c>
      <c r="BX84" s="105">
        <v>37</v>
      </c>
      <c r="BY84" s="105">
        <v>28904.399999999998</v>
      </c>
      <c r="BZ84" s="105">
        <v>63</v>
      </c>
      <c r="CA84" s="105">
        <v>49215.6</v>
      </c>
      <c r="CB84" s="105">
        <v>35.677755905511788</v>
      </c>
      <c r="CC84" s="105">
        <v>27871.462913385807</v>
      </c>
      <c r="CD84" s="105">
        <v>5.0233892150803463</v>
      </c>
      <c r="CE84" s="105">
        <v>3924.2716548207663</v>
      </c>
      <c r="CF84" s="105">
        <v>1.9784241607956901</v>
      </c>
      <c r="CG84" s="105">
        <v>1545.5449544135929</v>
      </c>
      <c r="CH84" s="105">
        <v>24.706566724638162</v>
      </c>
      <c r="CI84" s="105">
        <v>19300.769925287332</v>
      </c>
      <c r="CJ84" s="105">
        <v>20.306042498646267</v>
      </c>
      <c r="CK84" s="105">
        <v>15863.080399942462</v>
      </c>
      <c r="CL84" s="105">
        <v>34.283983987090366</v>
      </c>
      <c r="CM84" s="105">
        <v>26782.648290714991</v>
      </c>
      <c r="CN84" s="105">
        <v>4.7276683244070385</v>
      </c>
      <c r="CO84" s="105">
        <v>3693.2544950267784</v>
      </c>
      <c r="CP84" s="105">
        <v>20.624937728329456</v>
      </c>
      <c r="CQ84" s="105">
        <v>16112.201353370971</v>
      </c>
      <c r="CR84" s="105">
        <v>23.37554347826087</v>
      </c>
      <c r="CS84" s="105">
        <v>18260.974565217392</v>
      </c>
      <c r="CT84" s="105">
        <v>3.6798387096774192</v>
      </c>
      <c r="CU84" s="105">
        <v>2874.6899999999996</v>
      </c>
    </row>
    <row r="85" spans="2:99" x14ac:dyDescent="0.25">
      <c r="C85" s="104" t="s">
        <v>250</v>
      </c>
      <c r="D85" s="105">
        <v>0</v>
      </c>
      <c r="E85" s="105">
        <v>0</v>
      </c>
      <c r="F85" s="105">
        <v>0</v>
      </c>
      <c r="G85" s="105">
        <v>0</v>
      </c>
      <c r="H85" s="105">
        <v>6</v>
      </c>
      <c r="I85" s="105">
        <v>900</v>
      </c>
      <c r="J85" s="105">
        <v>7</v>
      </c>
      <c r="K85" s="105">
        <v>1050</v>
      </c>
      <c r="L85" s="105">
        <v>7</v>
      </c>
      <c r="M85" s="105">
        <v>1050</v>
      </c>
      <c r="N85" s="105">
        <v>5</v>
      </c>
      <c r="O85" s="105">
        <v>750</v>
      </c>
      <c r="P85" s="105">
        <v>7</v>
      </c>
      <c r="Q85" s="105">
        <v>1050</v>
      </c>
      <c r="R85" s="105">
        <v>6</v>
      </c>
      <c r="S85" s="105">
        <v>900</v>
      </c>
      <c r="T85" s="105">
        <v>10</v>
      </c>
      <c r="U85" s="105">
        <v>1500</v>
      </c>
      <c r="V85" s="105">
        <v>9</v>
      </c>
      <c r="W85" s="105">
        <v>1350</v>
      </c>
      <c r="X85" s="105">
        <v>11</v>
      </c>
      <c r="Y85" s="105">
        <v>1650</v>
      </c>
      <c r="Z85" s="105">
        <v>10</v>
      </c>
      <c r="AA85" s="105">
        <v>1500</v>
      </c>
      <c r="AB85" s="105">
        <v>12</v>
      </c>
      <c r="AC85" s="105">
        <v>1800</v>
      </c>
      <c r="AD85" s="105">
        <v>11</v>
      </c>
      <c r="AE85" s="105">
        <v>1650</v>
      </c>
      <c r="AF85" s="105">
        <v>11</v>
      </c>
      <c r="AG85" s="105">
        <v>1650</v>
      </c>
      <c r="AH85" s="105">
        <v>12</v>
      </c>
      <c r="AI85" s="105">
        <v>1800</v>
      </c>
      <c r="AJ85" s="105">
        <v>8</v>
      </c>
      <c r="AK85" s="105">
        <v>1200</v>
      </c>
      <c r="AL85" s="105">
        <v>11</v>
      </c>
      <c r="AM85" s="105">
        <v>1650</v>
      </c>
      <c r="AN85" s="105">
        <v>13</v>
      </c>
      <c r="AO85" s="105">
        <v>1950</v>
      </c>
      <c r="AP85" s="105">
        <v>13</v>
      </c>
      <c r="AQ85" s="105">
        <v>1950</v>
      </c>
      <c r="AR85" s="105">
        <v>14</v>
      </c>
      <c r="AS85" s="105">
        <v>2100</v>
      </c>
      <c r="AT85" s="105">
        <v>15</v>
      </c>
      <c r="AU85" s="105">
        <v>2250</v>
      </c>
      <c r="AV85" s="105">
        <v>19</v>
      </c>
      <c r="AW85" s="105">
        <v>2850</v>
      </c>
      <c r="AX85" s="105">
        <v>16</v>
      </c>
      <c r="AY85" s="105">
        <v>2400</v>
      </c>
      <c r="AZ85" s="105">
        <v>19</v>
      </c>
      <c r="BA85" s="105">
        <v>2850</v>
      </c>
      <c r="BB85" s="105">
        <v>27</v>
      </c>
      <c r="BC85" s="105">
        <v>4050</v>
      </c>
      <c r="BD85" s="105">
        <v>25</v>
      </c>
      <c r="BE85" s="105">
        <v>3750</v>
      </c>
      <c r="BF85" s="105">
        <v>19</v>
      </c>
      <c r="BG85" s="105">
        <v>2850</v>
      </c>
      <c r="BH85" s="105">
        <v>35</v>
      </c>
      <c r="BI85" s="105">
        <v>5250</v>
      </c>
      <c r="BJ85" s="105">
        <v>36</v>
      </c>
      <c r="BK85" s="105">
        <v>5400</v>
      </c>
      <c r="BL85" s="105">
        <v>31</v>
      </c>
      <c r="BM85" s="105">
        <v>4650</v>
      </c>
      <c r="BN85" s="105">
        <v>20</v>
      </c>
      <c r="BO85" s="105">
        <v>3000</v>
      </c>
      <c r="BP85" s="105">
        <v>36</v>
      </c>
      <c r="BQ85" s="105">
        <v>5400</v>
      </c>
      <c r="BR85" s="105">
        <v>46</v>
      </c>
      <c r="BS85" s="105">
        <v>6900</v>
      </c>
      <c r="BT85" s="105">
        <v>49</v>
      </c>
      <c r="BU85" s="105">
        <v>7350</v>
      </c>
      <c r="BV85" s="105">
        <v>37</v>
      </c>
      <c r="BW85" s="105">
        <v>5550</v>
      </c>
      <c r="BX85" s="105">
        <v>41</v>
      </c>
      <c r="BY85" s="105">
        <v>6150</v>
      </c>
      <c r="BZ85" s="105">
        <v>71</v>
      </c>
      <c r="CA85" s="105">
        <v>10650</v>
      </c>
      <c r="CB85" s="105">
        <v>38.921188260558317</v>
      </c>
      <c r="CC85" s="105">
        <v>5838.1782390837479</v>
      </c>
      <c r="CD85" s="105">
        <v>5.5521670271940664</v>
      </c>
      <c r="CE85" s="105">
        <v>832.82505407910992</v>
      </c>
      <c r="CF85" s="105">
        <v>2.1955682760049728</v>
      </c>
      <c r="CG85" s="105">
        <v>329.33524140074593</v>
      </c>
      <c r="CH85" s="105">
        <v>30.589082611456771</v>
      </c>
      <c r="CI85" s="105">
        <v>4588.3623917185159</v>
      </c>
      <c r="CJ85" s="105">
        <v>20.306042498646267</v>
      </c>
      <c r="CK85" s="105">
        <v>3045.9063747969399</v>
      </c>
      <c r="CL85" s="105">
        <v>40.334098808341608</v>
      </c>
      <c r="CM85" s="105">
        <v>6050.1148212512408</v>
      </c>
      <c r="CN85" s="105">
        <v>5.6732019892884464</v>
      </c>
      <c r="CO85" s="105">
        <v>850.98029839326693</v>
      </c>
      <c r="CP85" s="105">
        <v>21.083269677847888</v>
      </c>
      <c r="CQ85" s="105">
        <v>3162.490451677183</v>
      </c>
      <c r="CR85" s="105">
        <v>25.193641304347825</v>
      </c>
      <c r="CS85" s="105">
        <v>3779.0461956521735</v>
      </c>
      <c r="CT85" s="105">
        <v>4.3598089060308558</v>
      </c>
      <c r="CU85" s="105">
        <v>653.9713359046284</v>
      </c>
    </row>
    <row r="86" spans="2:99" x14ac:dyDescent="0.25">
      <c r="C86" s="104" t="s">
        <v>251</v>
      </c>
      <c r="D86" s="105">
        <v>0</v>
      </c>
      <c r="E86" s="105">
        <v>0</v>
      </c>
      <c r="F86" s="105">
        <v>0</v>
      </c>
      <c r="G86" s="105">
        <v>0</v>
      </c>
      <c r="H86" s="105">
        <v>6</v>
      </c>
      <c r="I86" s="105">
        <v>3240</v>
      </c>
      <c r="J86" s="105">
        <v>7</v>
      </c>
      <c r="K86" s="105">
        <v>3780</v>
      </c>
      <c r="L86" s="105">
        <v>7</v>
      </c>
      <c r="M86" s="105">
        <v>3780</v>
      </c>
      <c r="N86" s="105">
        <v>6</v>
      </c>
      <c r="O86" s="105">
        <v>3240</v>
      </c>
      <c r="P86" s="105">
        <v>6</v>
      </c>
      <c r="Q86" s="105">
        <v>3240</v>
      </c>
      <c r="R86" s="105">
        <v>5</v>
      </c>
      <c r="S86" s="105">
        <v>2700</v>
      </c>
      <c r="T86" s="105">
        <v>10</v>
      </c>
      <c r="U86" s="105">
        <v>5400</v>
      </c>
      <c r="V86" s="105">
        <v>9</v>
      </c>
      <c r="W86" s="105">
        <v>4860</v>
      </c>
      <c r="X86" s="105">
        <v>11</v>
      </c>
      <c r="Y86" s="105">
        <v>5940</v>
      </c>
      <c r="Z86" s="105">
        <v>11</v>
      </c>
      <c r="AA86" s="105">
        <v>5940</v>
      </c>
      <c r="AB86" s="105">
        <v>13</v>
      </c>
      <c r="AC86" s="105">
        <v>7020</v>
      </c>
      <c r="AD86" s="105">
        <v>12</v>
      </c>
      <c r="AE86" s="105">
        <v>6480</v>
      </c>
      <c r="AF86" s="105">
        <v>10</v>
      </c>
      <c r="AG86" s="105">
        <v>5400</v>
      </c>
      <c r="AH86" s="105">
        <v>12</v>
      </c>
      <c r="AI86" s="105">
        <v>6480</v>
      </c>
      <c r="AJ86" s="105">
        <v>9</v>
      </c>
      <c r="AK86" s="105">
        <v>4860</v>
      </c>
      <c r="AL86" s="105">
        <v>11</v>
      </c>
      <c r="AM86" s="105">
        <v>5940</v>
      </c>
      <c r="AN86" s="105">
        <v>13</v>
      </c>
      <c r="AO86" s="105">
        <v>7020</v>
      </c>
      <c r="AP86" s="105">
        <v>11</v>
      </c>
      <c r="AQ86" s="105">
        <v>5940</v>
      </c>
      <c r="AR86" s="105">
        <v>15</v>
      </c>
      <c r="AS86" s="105">
        <v>8100</v>
      </c>
      <c r="AT86" s="105">
        <v>15</v>
      </c>
      <c r="AU86" s="105">
        <v>8100</v>
      </c>
      <c r="AV86" s="105">
        <v>19</v>
      </c>
      <c r="AW86" s="105">
        <v>10260</v>
      </c>
      <c r="AX86" s="105">
        <v>16</v>
      </c>
      <c r="AY86" s="105">
        <v>8640</v>
      </c>
      <c r="AZ86" s="105">
        <v>19</v>
      </c>
      <c r="BA86" s="105">
        <v>10260</v>
      </c>
      <c r="BB86" s="105">
        <v>22</v>
      </c>
      <c r="BC86" s="105">
        <v>11880</v>
      </c>
      <c r="BD86" s="105">
        <v>24</v>
      </c>
      <c r="BE86" s="105">
        <v>12960</v>
      </c>
      <c r="BF86" s="105">
        <v>22</v>
      </c>
      <c r="BG86" s="105">
        <v>11880</v>
      </c>
      <c r="BH86" s="105">
        <v>36</v>
      </c>
      <c r="BI86" s="105">
        <v>19440</v>
      </c>
      <c r="BJ86" s="105">
        <v>35</v>
      </c>
      <c r="BK86" s="105">
        <v>18900</v>
      </c>
      <c r="BL86" s="105">
        <v>28</v>
      </c>
      <c r="BM86" s="105">
        <v>15120</v>
      </c>
      <c r="BN86" s="105">
        <v>22</v>
      </c>
      <c r="BO86" s="105">
        <v>11880</v>
      </c>
      <c r="BP86" s="105">
        <v>34</v>
      </c>
      <c r="BQ86" s="105">
        <v>18360</v>
      </c>
      <c r="BR86" s="105">
        <v>42</v>
      </c>
      <c r="BS86" s="105">
        <v>22680</v>
      </c>
      <c r="BT86" s="105">
        <v>42</v>
      </c>
      <c r="BU86" s="105">
        <v>22680</v>
      </c>
      <c r="BV86" s="105">
        <v>37</v>
      </c>
      <c r="BW86" s="105">
        <v>19980</v>
      </c>
      <c r="BX86" s="105">
        <v>35</v>
      </c>
      <c r="BY86" s="105">
        <v>18900</v>
      </c>
      <c r="BZ86" s="105">
        <v>67</v>
      </c>
      <c r="CA86" s="105">
        <v>36180</v>
      </c>
      <c r="CB86" s="105">
        <v>31.623465461703631</v>
      </c>
      <c r="CC86" s="105">
        <v>17076.67134931996</v>
      </c>
      <c r="CD86" s="105">
        <v>6.0809448393077874</v>
      </c>
      <c r="CE86" s="105">
        <v>3283.7102132262053</v>
      </c>
      <c r="CF86" s="105">
        <v>1.9542970368835475</v>
      </c>
      <c r="CG86" s="105">
        <v>1055.3203999171155</v>
      </c>
      <c r="CH86" s="105">
        <v>30.294956817115839</v>
      </c>
      <c r="CI86" s="105">
        <v>16359.276681242553</v>
      </c>
      <c r="CJ86" s="105">
        <v>21.272996903343714</v>
      </c>
      <c r="CK86" s="105">
        <v>11487.418327805606</v>
      </c>
      <c r="CL86" s="105">
        <v>41.678568768619662</v>
      </c>
      <c r="CM86" s="105">
        <v>22506.427135054619</v>
      </c>
      <c r="CN86" s="105">
        <v>5.4550019127773526</v>
      </c>
      <c r="CO86" s="105">
        <v>2945.7010328997703</v>
      </c>
      <c r="CP86" s="105">
        <v>23.145763450680835</v>
      </c>
      <c r="CQ86" s="105">
        <v>12498.712263367652</v>
      </c>
      <c r="CR86" s="105">
        <v>22.856086956521736</v>
      </c>
      <c r="CS86" s="105">
        <v>12342.286956521737</v>
      </c>
      <c r="CT86" s="105">
        <v>4.0798211781206168</v>
      </c>
      <c r="CU86" s="105">
        <v>2203.103436185133</v>
      </c>
    </row>
    <row r="87" spans="2:99" x14ac:dyDescent="0.25">
      <c r="B87" s="104" t="s">
        <v>131</v>
      </c>
      <c r="C87" s="104" t="s">
        <v>252</v>
      </c>
      <c r="D87" s="105">
        <v>0</v>
      </c>
      <c r="E87" s="105">
        <v>0</v>
      </c>
      <c r="F87" s="105">
        <v>0</v>
      </c>
      <c r="G87" s="105">
        <v>0</v>
      </c>
      <c r="H87" s="105">
        <v>3</v>
      </c>
      <c r="I87" s="105">
        <v>5864.4</v>
      </c>
      <c r="J87" s="105">
        <v>4</v>
      </c>
      <c r="K87" s="105">
        <v>7819.2</v>
      </c>
      <c r="L87" s="105">
        <v>4</v>
      </c>
      <c r="M87" s="105">
        <v>7819.2</v>
      </c>
      <c r="N87" s="105">
        <v>5</v>
      </c>
      <c r="O87" s="105">
        <v>9774</v>
      </c>
      <c r="P87" s="105">
        <v>5</v>
      </c>
      <c r="Q87" s="105">
        <v>9774</v>
      </c>
      <c r="R87" s="105">
        <v>3</v>
      </c>
      <c r="S87" s="105">
        <v>5864.4</v>
      </c>
      <c r="T87" s="105">
        <v>6</v>
      </c>
      <c r="U87" s="105">
        <v>11728.8</v>
      </c>
      <c r="V87" s="105">
        <v>6</v>
      </c>
      <c r="W87" s="105">
        <v>11728.8</v>
      </c>
      <c r="X87" s="105">
        <v>4</v>
      </c>
      <c r="Y87" s="105">
        <v>7819.2</v>
      </c>
      <c r="Z87" s="105">
        <v>6</v>
      </c>
      <c r="AA87" s="105">
        <v>11728.8</v>
      </c>
      <c r="AB87" s="105">
        <v>6</v>
      </c>
      <c r="AC87" s="105">
        <v>11728.8</v>
      </c>
      <c r="AD87" s="105">
        <v>5</v>
      </c>
      <c r="AE87" s="105">
        <v>9774</v>
      </c>
      <c r="AF87" s="105">
        <v>7</v>
      </c>
      <c r="AG87" s="105">
        <v>13683.6</v>
      </c>
      <c r="AH87" s="105">
        <v>5</v>
      </c>
      <c r="AI87" s="105">
        <v>9774</v>
      </c>
      <c r="AJ87" s="105">
        <v>7</v>
      </c>
      <c r="AK87" s="105">
        <v>13683.6</v>
      </c>
      <c r="AL87" s="105">
        <v>9</v>
      </c>
      <c r="AM87" s="105">
        <v>17593.2</v>
      </c>
      <c r="AN87" s="105">
        <v>7</v>
      </c>
      <c r="AO87" s="105">
        <v>13683.6</v>
      </c>
      <c r="AP87" s="105">
        <v>11</v>
      </c>
      <c r="AQ87" s="105">
        <v>21502.799999999999</v>
      </c>
      <c r="AR87" s="105">
        <v>8</v>
      </c>
      <c r="AS87" s="105">
        <v>15638.4</v>
      </c>
      <c r="AT87" s="105">
        <v>8</v>
      </c>
      <c r="AU87" s="105">
        <v>15638.4</v>
      </c>
      <c r="AV87" s="105">
        <v>11</v>
      </c>
      <c r="AW87" s="105">
        <v>21502.799999999999</v>
      </c>
      <c r="AX87" s="105">
        <v>9</v>
      </c>
      <c r="AY87" s="105">
        <v>17593.2</v>
      </c>
      <c r="AZ87" s="105">
        <v>14</v>
      </c>
      <c r="BA87" s="105">
        <v>27367.200000000001</v>
      </c>
      <c r="BB87" s="105">
        <v>16</v>
      </c>
      <c r="BC87" s="105">
        <v>31276.799999999999</v>
      </c>
      <c r="BD87" s="105">
        <v>18</v>
      </c>
      <c r="BE87" s="105">
        <v>35186.400000000001</v>
      </c>
      <c r="BF87" s="105">
        <v>14</v>
      </c>
      <c r="BG87" s="105">
        <v>27367.200000000001</v>
      </c>
      <c r="BH87" s="105">
        <v>14</v>
      </c>
      <c r="BI87" s="105">
        <v>27367.200000000001</v>
      </c>
      <c r="BJ87" s="105">
        <v>17</v>
      </c>
      <c r="BK87" s="105">
        <v>33231.599999999999</v>
      </c>
      <c r="BL87" s="105">
        <v>17</v>
      </c>
      <c r="BM87" s="105">
        <v>33231.599999999999</v>
      </c>
      <c r="BN87" s="105">
        <v>14</v>
      </c>
      <c r="BO87" s="105">
        <v>27367.200000000001</v>
      </c>
      <c r="BP87" s="105">
        <v>18</v>
      </c>
      <c r="BQ87" s="105">
        <v>35186.400000000001</v>
      </c>
      <c r="BR87" s="105">
        <v>16</v>
      </c>
      <c r="BS87" s="105">
        <v>31276.799999999999</v>
      </c>
      <c r="BT87" s="105">
        <v>16</v>
      </c>
      <c r="BU87" s="105">
        <v>31276.799999999999</v>
      </c>
      <c r="BV87" s="105">
        <v>24</v>
      </c>
      <c r="BW87" s="105">
        <v>46915.199999999997</v>
      </c>
      <c r="BX87" s="105">
        <v>21</v>
      </c>
      <c r="BY87" s="105">
        <v>41050.799999999996</v>
      </c>
      <c r="BZ87" s="105">
        <v>25</v>
      </c>
      <c r="CA87" s="105">
        <v>48870</v>
      </c>
      <c r="CB87" s="105">
        <v>32.434323550465265</v>
      </c>
      <c r="CC87" s="105">
        <v>63402.615676449503</v>
      </c>
      <c r="CD87" s="105">
        <v>2.291370519159456</v>
      </c>
      <c r="CE87" s="105">
        <v>4479.1710908529049</v>
      </c>
      <c r="CF87" s="105">
        <v>1.2304833195192706</v>
      </c>
      <c r="CG87" s="105">
        <v>2405.3487929962703</v>
      </c>
      <c r="CH87" s="105">
        <v>14.706289717046523</v>
      </c>
      <c r="CI87" s="105">
        <v>28747.855138882544</v>
      </c>
      <c r="CJ87" s="105">
        <v>20.628360633545416</v>
      </c>
      <c r="CK87" s="105">
        <v>40324.319366454576</v>
      </c>
      <c r="CL87" s="105">
        <v>39.661863828202584</v>
      </c>
      <c r="CM87" s="105">
        <v>77531.011411370404</v>
      </c>
      <c r="CN87" s="105">
        <v>2.6184009181331294</v>
      </c>
      <c r="CO87" s="105">
        <v>5118.4501147666415</v>
      </c>
      <c r="CP87" s="105">
        <v>12.374962636997674</v>
      </c>
      <c r="CQ87" s="105">
        <v>24190.576962803054</v>
      </c>
      <c r="CR87" s="105">
        <v>24.154728260869565</v>
      </c>
      <c r="CS87" s="105">
        <v>47217.662804347827</v>
      </c>
      <c r="CT87" s="105">
        <v>3.1598615007012625</v>
      </c>
      <c r="CU87" s="105">
        <v>6176.8972615708281</v>
      </c>
    </row>
    <row r="88" spans="2:99" x14ac:dyDescent="0.25">
      <c r="C88" s="104" t="s">
        <v>253</v>
      </c>
      <c r="D88" s="105">
        <v>0</v>
      </c>
      <c r="E88" s="105">
        <v>0</v>
      </c>
      <c r="F88" s="105">
        <v>0</v>
      </c>
      <c r="G88" s="105">
        <v>0</v>
      </c>
      <c r="H88" s="105">
        <v>3</v>
      </c>
      <c r="I88" s="105">
        <v>5677.2</v>
      </c>
      <c r="J88" s="105">
        <v>4</v>
      </c>
      <c r="K88" s="105">
        <v>7569.5999999999995</v>
      </c>
      <c r="L88" s="105">
        <v>4</v>
      </c>
      <c r="M88" s="105">
        <v>7569.5999999999995</v>
      </c>
      <c r="N88" s="105">
        <v>6</v>
      </c>
      <c r="O88" s="105">
        <v>11354.4</v>
      </c>
      <c r="P88" s="105">
        <v>5</v>
      </c>
      <c r="Q88" s="105">
        <v>9462</v>
      </c>
      <c r="R88" s="105">
        <v>4</v>
      </c>
      <c r="S88" s="105">
        <v>7569.5999999999995</v>
      </c>
      <c r="T88" s="105">
        <v>5</v>
      </c>
      <c r="U88" s="105">
        <v>9462</v>
      </c>
      <c r="V88" s="105">
        <v>6</v>
      </c>
      <c r="W88" s="105">
        <v>11354.4</v>
      </c>
      <c r="X88" s="105">
        <v>4</v>
      </c>
      <c r="Y88" s="105">
        <v>7569.5999999999995</v>
      </c>
      <c r="Z88" s="105">
        <v>6</v>
      </c>
      <c r="AA88" s="105">
        <v>11354.4</v>
      </c>
      <c r="AB88" s="105">
        <v>6</v>
      </c>
      <c r="AC88" s="105">
        <v>11354.4</v>
      </c>
      <c r="AD88" s="105">
        <v>5</v>
      </c>
      <c r="AE88" s="105">
        <v>9462</v>
      </c>
      <c r="AF88" s="105">
        <v>7</v>
      </c>
      <c r="AG88" s="105">
        <v>13246.8</v>
      </c>
      <c r="AH88" s="105">
        <v>5</v>
      </c>
      <c r="AI88" s="105">
        <v>9462</v>
      </c>
      <c r="AJ88" s="105">
        <v>7</v>
      </c>
      <c r="AK88" s="105">
        <v>13246.8</v>
      </c>
      <c r="AL88" s="105">
        <v>8</v>
      </c>
      <c r="AM88" s="105">
        <v>15139.199999999999</v>
      </c>
      <c r="AN88" s="105">
        <v>8</v>
      </c>
      <c r="AO88" s="105">
        <v>15139.199999999999</v>
      </c>
      <c r="AP88" s="105">
        <v>11</v>
      </c>
      <c r="AQ88" s="105">
        <v>20816.399999999998</v>
      </c>
      <c r="AR88" s="105">
        <v>8</v>
      </c>
      <c r="AS88" s="105">
        <v>15139.199999999999</v>
      </c>
      <c r="AT88" s="105">
        <v>8</v>
      </c>
      <c r="AU88" s="105">
        <v>15139.199999999999</v>
      </c>
      <c r="AV88" s="105">
        <v>10</v>
      </c>
      <c r="AW88" s="105">
        <v>18924</v>
      </c>
      <c r="AX88" s="105">
        <v>8</v>
      </c>
      <c r="AY88" s="105">
        <v>15139.199999999999</v>
      </c>
      <c r="AZ88" s="105">
        <v>15</v>
      </c>
      <c r="BA88" s="105">
        <v>28385.999999999996</v>
      </c>
      <c r="BB88" s="105">
        <v>17</v>
      </c>
      <c r="BC88" s="105">
        <v>32170.799999999999</v>
      </c>
      <c r="BD88" s="105">
        <v>16</v>
      </c>
      <c r="BE88" s="105">
        <v>30278.399999999998</v>
      </c>
      <c r="BF88" s="105">
        <v>14</v>
      </c>
      <c r="BG88" s="105">
        <v>26493.599999999999</v>
      </c>
      <c r="BH88" s="105">
        <v>13</v>
      </c>
      <c r="BI88" s="105">
        <v>24601.199999999997</v>
      </c>
      <c r="BJ88" s="105">
        <v>17</v>
      </c>
      <c r="BK88" s="105">
        <v>32170.799999999999</v>
      </c>
      <c r="BL88" s="105">
        <v>17</v>
      </c>
      <c r="BM88" s="105">
        <v>32170.799999999999</v>
      </c>
      <c r="BN88" s="105">
        <v>12</v>
      </c>
      <c r="BO88" s="105">
        <v>22708.799999999999</v>
      </c>
      <c r="BP88" s="105">
        <v>18</v>
      </c>
      <c r="BQ88" s="105">
        <v>34063.199999999997</v>
      </c>
      <c r="BR88" s="105">
        <v>18</v>
      </c>
      <c r="BS88" s="105">
        <v>34063.199999999997</v>
      </c>
      <c r="BT88" s="105">
        <v>16</v>
      </c>
      <c r="BU88" s="105">
        <v>30278.399999999998</v>
      </c>
      <c r="BV88" s="105">
        <v>23</v>
      </c>
      <c r="BW88" s="105">
        <v>43525.2</v>
      </c>
      <c r="BX88" s="105">
        <v>22</v>
      </c>
      <c r="BY88" s="105">
        <v>41632.799999999996</v>
      </c>
      <c r="BZ88" s="105">
        <v>24</v>
      </c>
      <c r="CA88" s="105">
        <v>45417.599999999999</v>
      </c>
      <c r="CB88" s="105">
        <v>30.001749284180367</v>
      </c>
      <c r="CC88" s="105">
        <v>56775.310345382924</v>
      </c>
      <c r="CD88" s="105">
        <v>2.4676297898640294</v>
      </c>
      <c r="CE88" s="105">
        <v>4669.7426143386892</v>
      </c>
      <c r="CF88" s="105">
        <v>1.2787375673435559</v>
      </c>
      <c r="CG88" s="105">
        <v>2419.8829724409452</v>
      </c>
      <c r="CH88" s="105">
        <v>13.823912334023731</v>
      </c>
      <c r="CI88" s="105">
        <v>26160.371700906508</v>
      </c>
      <c r="CJ88" s="105">
        <v>20.950678768444565</v>
      </c>
      <c r="CK88" s="105">
        <v>39647.064501404493</v>
      </c>
      <c r="CL88" s="105">
        <v>38.31739386792453</v>
      </c>
      <c r="CM88" s="105">
        <v>72511.836155660378</v>
      </c>
      <c r="CN88" s="105">
        <v>2.7638676358071916</v>
      </c>
      <c r="CO88" s="105">
        <v>5230.3431140015291</v>
      </c>
      <c r="CP88" s="105">
        <v>12.374962636997674</v>
      </c>
      <c r="CQ88" s="105">
        <v>23418.379294254399</v>
      </c>
      <c r="CR88" s="105">
        <v>25.45336956521739</v>
      </c>
      <c r="CS88" s="105">
        <v>48167.956565217384</v>
      </c>
      <c r="CT88" s="105">
        <v>3.7598352033660589</v>
      </c>
      <c r="CU88" s="105">
        <v>7115.1121388499296</v>
      </c>
    </row>
    <row r="89" spans="2:99" x14ac:dyDescent="0.25">
      <c r="C89" s="104" t="s">
        <v>254</v>
      </c>
      <c r="D89" s="105">
        <v>0</v>
      </c>
      <c r="E89" s="105">
        <v>0</v>
      </c>
      <c r="F89" s="105">
        <v>0</v>
      </c>
      <c r="G89" s="105">
        <v>0</v>
      </c>
      <c r="H89" s="105">
        <v>2</v>
      </c>
      <c r="I89" s="105">
        <v>4795.2</v>
      </c>
      <c r="J89" s="105">
        <v>4</v>
      </c>
      <c r="K89" s="105">
        <v>9590.4</v>
      </c>
      <c r="L89" s="105">
        <v>4</v>
      </c>
      <c r="M89" s="105">
        <v>9590.4</v>
      </c>
      <c r="N89" s="105">
        <v>6</v>
      </c>
      <c r="O89" s="105">
        <v>14385.599999999999</v>
      </c>
      <c r="P89" s="105">
        <v>4</v>
      </c>
      <c r="Q89" s="105">
        <v>9590.4</v>
      </c>
      <c r="R89" s="105">
        <v>3</v>
      </c>
      <c r="S89" s="105">
        <v>7192.7999999999993</v>
      </c>
      <c r="T89" s="105">
        <v>6</v>
      </c>
      <c r="U89" s="105">
        <v>14385.599999999999</v>
      </c>
      <c r="V89" s="105">
        <v>6</v>
      </c>
      <c r="W89" s="105">
        <v>14385.599999999999</v>
      </c>
      <c r="X89" s="105">
        <v>4</v>
      </c>
      <c r="Y89" s="105">
        <v>9590.4</v>
      </c>
      <c r="Z89" s="105">
        <v>6</v>
      </c>
      <c r="AA89" s="105">
        <v>14385.599999999999</v>
      </c>
      <c r="AB89" s="105">
        <v>7</v>
      </c>
      <c r="AC89" s="105">
        <v>16783.2</v>
      </c>
      <c r="AD89" s="105">
        <v>5</v>
      </c>
      <c r="AE89" s="105">
        <v>11988</v>
      </c>
      <c r="AF89" s="105">
        <v>7</v>
      </c>
      <c r="AG89" s="105">
        <v>16783.2</v>
      </c>
      <c r="AH89" s="105">
        <v>5</v>
      </c>
      <c r="AI89" s="105">
        <v>11988</v>
      </c>
      <c r="AJ89" s="105">
        <v>7</v>
      </c>
      <c r="AK89" s="105">
        <v>16783.2</v>
      </c>
      <c r="AL89" s="105">
        <v>9</v>
      </c>
      <c r="AM89" s="105">
        <v>21578.399999999998</v>
      </c>
      <c r="AN89" s="105">
        <v>7</v>
      </c>
      <c r="AO89" s="105">
        <v>16783.2</v>
      </c>
      <c r="AP89" s="105">
        <v>9</v>
      </c>
      <c r="AQ89" s="105">
        <v>21578.399999999998</v>
      </c>
      <c r="AR89" s="105">
        <v>8</v>
      </c>
      <c r="AS89" s="105">
        <v>19180.8</v>
      </c>
      <c r="AT89" s="105">
        <v>9</v>
      </c>
      <c r="AU89" s="105">
        <v>21578.399999999998</v>
      </c>
      <c r="AV89" s="105">
        <v>10</v>
      </c>
      <c r="AW89" s="105">
        <v>23976</v>
      </c>
      <c r="AX89" s="105">
        <v>8</v>
      </c>
      <c r="AY89" s="105">
        <v>19180.8</v>
      </c>
      <c r="AZ89" s="105">
        <v>14</v>
      </c>
      <c r="BA89" s="105">
        <v>33566.400000000001</v>
      </c>
      <c r="BB89" s="105">
        <v>15</v>
      </c>
      <c r="BC89" s="105">
        <v>35964</v>
      </c>
      <c r="BD89" s="105">
        <v>18</v>
      </c>
      <c r="BE89" s="105">
        <v>43156.799999999996</v>
      </c>
      <c r="BF89" s="105">
        <v>14</v>
      </c>
      <c r="BG89" s="105">
        <v>33566.400000000001</v>
      </c>
      <c r="BH89" s="105">
        <v>14</v>
      </c>
      <c r="BI89" s="105">
        <v>33566.400000000001</v>
      </c>
      <c r="BJ89" s="105">
        <v>17</v>
      </c>
      <c r="BK89" s="105">
        <v>40759.199999999997</v>
      </c>
      <c r="BL89" s="105">
        <v>18</v>
      </c>
      <c r="BM89" s="105">
        <v>43156.799999999996</v>
      </c>
      <c r="BN89" s="105">
        <v>12</v>
      </c>
      <c r="BO89" s="105">
        <v>28771.199999999997</v>
      </c>
      <c r="BP89" s="105">
        <v>16</v>
      </c>
      <c r="BQ89" s="105">
        <v>38361.599999999999</v>
      </c>
      <c r="BR89" s="105">
        <v>14</v>
      </c>
      <c r="BS89" s="105">
        <v>33566.400000000001</v>
      </c>
      <c r="BT89" s="105">
        <v>15</v>
      </c>
      <c r="BU89" s="105">
        <v>35964</v>
      </c>
      <c r="BV89" s="105">
        <v>22</v>
      </c>
      <c r="BW89" s="105">
        <v>52747.199999999997</v>
      </c>
      <c r="BX89" s="105">
        <v>23</v>
      </c>
      <c r="BY89" s="105">
        <v>55144.799999999996</v>
      </c>
      <c r="BZ89" s="105">
        <v>23</v>
      </c>
      <c r="CA89" s="105">
        <v>55144.799999999996</v>
      </c>
      <c r="CB89" s="105">
        <v>29.190891195418736</v>
      </c>
      <c r="CC89" s="105">
        <v>69988.08073013596</v>
      </c>
      <c r="CD89" s="105">
        <v>2.3795001545117427</v>
      </c>
      <c r="CE89" s="105">
        <v>5705.0895704573541</v>
      </c>
      <c r="CF89" s="105">
        <v>1.0133392043099876</v>
      </c>
      <c r="CG89" s="105">
        <v>2429.5820762536259</v>
      </c>
      <c r="CH89" s="105">
        <v>13.529786539682803</v>
      </c>
      <c r="CI89" s="105">
        <v>32439.016207543486</v>
      </c>
      <c r="CJ89" s="105">
        <v>19.661406228847973</v>
      </c>
      <c r="CK89" s="105">
        <v>47140.187574285897</v>
      </c>
      <c r="CL89" s="105">
        <v>34.95621896722939</v>
      </c>
      <c r="CM89" s="105">
        <v>83811.030595829186</v>
      </c>
      <c r="CN89" s="105">
        <v>2.4729342004590666</v>
      </c>
      <c r="CO89" s="105">
        <v>5929.1070390206578</v>
      </c>
      <c r="CP89" s="105">
        <v>11.687464712720026</v>
      </c>
      <c r="CQ89" s="105">
        <v>28021.865395217534</v>
      </c>
      <c r="CR89" s="105">
        <v>21.037989130434781</v>
      </c>
      <c r="CS89" s="105">
        <v>50440.682739130425</v>
      </c>
      <c r="CT89" s="105">
        <v>2.9198720196353434</v>
      </c>
      <c r="CU89" s="105">
        <v>7000.6851542776994</v>
      </c>
    </row>
    <row r="90" spans="2:99" x14ac:dyDescent="0.25">
      <c r="C90" s="104" t="s">
        <v>255</v>
      </c>
      <c r="D90" s="105">
        <v>0</v>
      </c>
      <c r="E90" s="105">
        <v>0</v>
      </c>
      <c r="F90" s="105">
        <v>0</v>
      </c>
      <c r="G90" s="105">
        <v>0</v>
      </c>
      <c r="H90" s="105">
        <v>3</v>
      </c>
      <c r="I90" s="105">
        <v>6591.5999999999995</v>
      </c>
      <c r="J90" s="105">
        <v>4</v>
      </c>
      <c r="K90" s="105">
        <v>8788.7999999999993</v>
      </c>
      <c r="L90" s="105">
        <v>4</v>
      </c>
      <c r="M90" s="105">
        <v>8788.7999999999993</v>
      </c>
      <c r="N90" s="105">
        <v>6</v>
      </c>
      <c r="O90" s="105">
        <v>13183.199999999999</v>
      </c>
      <c r="P90" s="105">
        <v>5</v>
      </c>
      <c r="Q90" s="105">
        <v>10986</v>
      </c>
      <c r="R90" s="105">
        <v>4</v>
      </c>
      <c r="S90" s="105">
        <v>8788.7999999999993</v>
      </c>
      <c r="T90" s="105">
        <v>5</v>
      </c>
      <c r="U90" s="105">
        <v>10986</v>
      </c>
      <c r="V90" s="105">
        <v>6</v>
      </c>
      <c r="W90" s="105">
        <v>13183.199999999999</v>
      </c>
      <c r="X90" s="105">
        <v>4</v>
      </c>
      <c r="Y90" s="105">
        <v>8788.7999999999993</v>
      </c>
      <c r="Z90" s="105">
        <v>5</v>
      </c>
      <c r="AA90" s="105">
        <v>10986</v>
      </c>
      <c r="AB90" s="105">
        <v>6</v>
      </c>
      <c r="AC90" s="105">
        <v>13183.199999999999</v>
      </c>
      <c r="AD90" s="105">
        <v>5</v>
      </c>
      <c r="AE90" s="105">
        <v>10986</v>
      </c>
      <c r="AF90" s="105">
        <v>7</v>
      </c>
      <c r="AG90" s="105">
        <v>15380.399999999998</v>
      </c>
      <c r="AH90" s="105">
        <v>5</v>
      </c>
      <c r="AI90" s="105">
        <v>10986</v>
      </c>
      <c r="AJ90" s="105">
        <v>7</v>
      </c>
      <c r="AK90" s="105">
        <v>15380.399999999998</v>
      </c>
      <c r="AL90" s="105">
        <v>7</v>
      </c>
      <c r="AM90" s="105">
        <v>15380.399999999998</v>
      </c>
      <c r="AN90" s="105">
        <v>8</v>
      </c>
      <c r="AO90" s="105">
        <v>17577.599999999999</v>
      </c>
      <c r="AP90" s="105">
        <v>10</v>
      </c>
      <c r="AQ90" s="105">
        <v>21972</v>
      </c>
      <c r="AR90" s="105">
        <v>8</v>
      </c>
      <c r="AS90" s="105">
        <v>17577.599999999999</v>
      </c>
      <c r="AT90" s="105">
        <v>8</v>
      </c>
      <c r="AU90" s="105">
        <v>17577.599999999999</v>
      </c>
      <c r="AV90" s="105">
        <v>11</v>
      </c>
      <c r="AW90" s="105">
        <v>24169.199999999997</v>
      </c>
      <c r="AX90" s="105">
        <v>8</v>
      </c>
      <c r="AY90" s="105">
        <v>17577.599999999999</v>
      </c>
      <c r="AZ90" s="105">
        <v>14</v>
      </c>
      <c r="BA90" s="105">
        <v>30760.799999999996</v>
      </c>
      <c r="BB90" s="105">
        <v>17</v>
      </c>
      <c r="BC90" s="105">
        <v>37352.399999999994</v>
      </c>
      <c r="BD90" s="105">
        <v>17</v>
      </c>
      <c r="BE90" s="105">
        <v>37352.399999999994</v>
      </c>
      <c r="BF90" s="105">
        <v>16</v>
      </c>
      <c r="BG90" s="105">
        <v>35155.199999999997</v>
      </c>
      <c r="BH90" s="105">
        <v>13</v>
      </c>
      <c r="BI90" s="105">
        <v>28563.599999999999</v>
      </c>
      <c r="BJ90" s="105">
        <v>20</v>
      </c>
      <c r="BK90" s="105">
        <v>43944</v>
      </c>
      <c r="BL90" s="105">
        <v>18</v>
      </c>
      <c r="BM90" s="105">
        <v>39549.599999999999</v>
      </c>
      <c r="BN90" s="105">
        <v>12</v>
      </c>
      <c r="BO90" s="105">
        <v>26366.399999999998</v>
      </c>
      <c r="BP90" s="105">
        <v>16</v>
      </c>
      <c r="BQ90" s="105">
        <v>35155.199999999997</v>
      </c>
      <c r="BR90" s="105">
        <v>14</v>
      </c>
      <c r="BS90" s="105">
        <v>30760.799999999996</v>
      </c>
      <c r="BT90" s="105">
        <v>15</v>
      </c>
      <c r="BU90" s="105">
        <v>32958</v>
      </c>
      <c r="BV90" s="105">
        <v>21</v>
      </c>
      <c r="BW90" s="105">
        <v>46141.2</v>
      </c>
      <c r="BX90" s="105">
        <v>21</v>
      </c>
      <c r="BY90" s="105">
        <v>46141.2</v>
      </c>
      <c r="BZ90" s="105">
        <v>24</v>
      </c>
      <c r="CA90" s="105">
        <v>52732.799999999996</v>
      </c>
      <c r="CB90" s="105">
        <v>26.758316929133841</v>
      </c>
      <c r="CC90" s="105">
        <v>58793.373956692871</v>
      </c>
      <c r="CD90" s="105">
        <v>2.291370519159456</v>
      </c>
      <c r="CE90" s="105">
        <v>5034.5993046971562</v>
      </c>
      <c r="CF90" s="105">
        <v>1.206356195607128</v>
      </c>
      <c r="CG90" s="105">
        <v>2650.6058329879816</v>
      </c>
      <c r="CH90" s="105">
        <v>12.647409156660011</v>
      </c>
      <c r="CI90" s="105">
        <v>27788.887399013372</v>
      </c>
      <c r="CJ90" s="105">
        <v>18.049815554352239</v>
      </c>
      <c r="CK90" s="105">
        <v>39659.054736022736</v>
      </c>
      <c r="CL90" s="105">
        <v>34.95621896722939</v>
      </c>
      <c r="CM90" s="105">
        <v>76805.804314796405</v>
      </c>
      <c r="CN90" s="105">
        <v>2.4365675210405509</v>
      </c>
      <c r="CO90" s="105">
        <v>5353.6261572302983</v>
      </c>
      <c r="CP90" s="105">
        <v>13.062460561275323</v>
      </c>
      <c r="CQ90" s="105">
        <v>28700.838345234137</v>
      </c>
      <c r="CR90" s="105">
        <v>24.674184782608695</v>
      </c>
      <c r="CS90" s="105">
        <v>54214.118804347818</v>
      </c>
      <c r="CT90" s="105">
        <v>3.1598615007012625</v>
      </c>
      <c r="CU90" s="105">
        <v>6942.8476893408133</v>
      </c>
    </row>
    <row r="91" spans="2:99" x14ac:dyDescent="0.25">
      <c r="C91" s="104" t="s">
        <v>256</v>
      </c>
      <c r="D91" s="105">
        <v>0</v>
      </c>
      <c r="E91" s="105">
        <v>0</v>
      </c>
      <c r="F91" s="105">
        <v>0</v>
      </c>
      <c r="G91" s="105">
        <v>0</v>
      </c>
      <c r="H91" s="105">
        <v>3</v>
      </c>
      <c r="I91" s="105">
        <v>6890.4</v>
      </c>
      <c r="J91" s="105">
        <v>4</v>
      </c>
      <c r="K91" s="105">
        <v>9187.1999999999989</v>
      </c>
      <c r="L91" s="105">
        <v>4</v>
      </c>
      <c r="M91" s="105">
        <v>9187.1999999999989</v>
      </c>
      <c r="N91" s="105">
        <v>6</v>
      </c>
      <c r="O91" s="105">
        <v>13780.8</v>
      </c>
      <c r="P91" s="105">
        <v>5</v>
      </c>
      <c r="Q91" s="105">
        <v>11483.999999999998</v>
      </c>
      <c r="R91" s="105">
        <v>3</v>
      </c>
      <c r="S91" s="105">
        <v>6890.4</v>
      </c>
      <c r="T91" s="105">
        <v>6</v>
      </c>
      <c r="U91" s="105">
        <v>13780.8</v>
      </c>
      <c r="V91" s="105">
        <v>6</v>
      </c>
      <c r="W91" s="105">
        <v>13780.8</v>
      </c>
      <c r="X91" s="105">
        <v>4</v>
      </c>
      <c r="Y91" s="105">
        <v>9187.1999999999989</v>
      </c>
      <c r="Z91" s="105">
        <v>6</v>
      </c>
      <c r="AA91" s="105">
        <v>13780.8</v>
      </c>
      <c r="AB91" s="105">
        <v>7</v>
      </c>
      <c r="AC91" s="105">
        <v>16077.599999999999</v>
      </c>
      <c r="AD91" s="105">
        <v>5</v>
      </c>
      <c r="AE91" s="105">
        <v>11483.999999999998</v>
      </c>
      <c r="AF91" s="105">
        <v>7</v>
      </c>
      <c r="AG91" s="105">
        <v>16077.599999999999</v>
      </c>
      <c r="AH91" s="105">
        <v>6</v>
      </c>
      <c r="AI91" s="105">
        <v>13780.8</v>
      </c>
      <c r="AJ91" s="105">
        <v>8</v>
      </c>
      <c r="AK91" s="105">
        <v>18374.399999999998</v>
      </c>
      <c r="AL91" s="105">
        <v>8</v>
      </c>
      <c r="AM91" s="105">
        <v>18374.399999999998</v>
      </c>
      <c r="AN91" s="105">
        <v>7</v>
      </c>
      <c r="AO91" s="105">
        <v>16077.599999999999</v>
      </c>
      <c r="AP91" s="105">
        <v>9</v>
      </c>
      <c r="AQ91" s="105">
        <v>20671.199999999997</v>
      </c>
      <c r="AR91" s="105">
        <v>8</v>
      </c>
      <c r="AS91" s="105">
        <v>18374.399999999998</v>
      </c>
      <c r="AT91" s="105">
        <v>8</v>
      </c>
      <c r="AU91" s="105">
        <v>18374.399999999998</v>
      </c>
      <c r="AV91" s="105">
        <v>11</v>
      </c>
      <c r="AW91" s="105">
        <v>25264.799999999996</v>
      </c>
      <c r="AX91" s="105">
        <v>8</v>
      </c>
      <c r="AY91" s="105">
        <v>18374.399999999998</v>
      </c>
      <c r="AZ91" s="105">
        <v>15</v>
      </c>
      <c r="BA91" s="105">
        <v>34451.999999999993</v>
      </c>
      <c r="BB91" s="105">
        <v>16</v>
      </c>
      <c r="BC91" s="105">
        <v>36748.799999999996</v>
      </c>
      <c r="BD91" s="105">
        <v>17</v>
      </c>
      <c r="BE91" s="105">
        <v>39045.599999999999</v>
      </c>
      <c r="BF91" s="105">
        <v>16</v>
      </c>
      <c r="BG91" s="105">
        <v>36748.799999999996</v>
      </c>
      <c r="BH91" s="105">
        <v>13</v>
      </c>
      <c r="BI91" s="105">
        <v>29858.399999999998</v>
      </c>
      <c r="BJ91" s="105">
        <v>17</v>
      </c>
      <c r="BK91" s="105">
        <v>39045.599999999999</v>
      </c>
      <c r="BL91" s="105">
        <v>19</v>
      </c>
      <c r="BM91" s="105">
        <v>43639.199999999997</v>
      </c>
      <c r="BN91" s="105">
        <v>12</v>
      </c>
      <c r="BO91" s="105">
        <v>27561.599999999999</v>
      </c>
      <c r="BP91" s="105">
        <v>16</v>
      </c>
      <c r="BQ91" s="105">
        <v>36748.799999999996</v>
      </c>
      <c r="BR91" s="105">
        <v>17</v>
      </c>
      <c r="BS91" s="105">
        <v>39045.599999999999</v>
      </c>
      <c r="BT91" s="105">
        <v>16</v>
      </c>
      <c r="BU91" s="105">
        <v>36748.799999999996</v>
      </c>
      <c r="BV91" s="105">
        <v>21</v>
      </c>
      <c r="BW91" s="105">
        <v>48232.799999999996</v>
      </c>
      <c r="BX91" s="105">
        <v>24</v>
      </c>
      <c r="BY91" s="105">
        <v>55123.199999999997</v>
      </c>
      <c r="BZ91" s="105">
        <v>21</v>
      </c>
      <c r="CA91" s="105">
        <v>48232.799999999996</v>
      </c>
      <c r="CB91" s="105">
        <v>28.380033106657105</v>
      </c>
      <c r="CC91" s="105">
        <v>65183.260039370034</v>
      </c>
      <c r="CD91" s="105">
        <v>2.291370519159456</v>
      </c>
      <c r="CE91" s="105">
        <v>5262.8198084054375</v>
      </c>
      <c r="CF91" s="105">
        <v>1.2304833195192706</v>
      </c>
      <c r="CG91" s="105">
        <v>2826.1740882718605</v>
      </c>
      <c r="CH91" s="105">
        <v>12.647409156660011</v>
      </c>
      <c r="CI91" s="105">
        <v>29048.569351016711</v>
      </c>
      <c r="CJ91" s="105">
        <v>18.372133689251385</v>
      </c>
      <c r="CK91" s="105">
        <v>42197.116657472572</v>
      </c>
      <c r="CL91" s="105">
        <v>34.283983987090366</v>
      </c>
      <c r="CM91" s="105">
        <v>78743.454421549148</v>
      </c>
      <c r="CN91" s="105">
        <v>2.3638341622035193</v>
      </c>
      <c r="CO91" s="105">
        <v>5429.2543037490423</v>
      </c>
      <c r="CP91" s="105">
        <v>12.604128611756892</v>
      </c>
      <c r="CQ91" s="105">
        <v>28949.162595483223</v>
      </c>
      <c r="CR91" s="105">
        <v>21.557445652173911</v>
      </c>
      <c r="CS91" s="105">
        <v>49513.141173913034</v>
      </c>
      <c r="CT91" s="105">
        <v>2.9598702664796637</v>
      </c>
      <c r="CU91" s="105">
        <v>6798.2300280504905</v>
      </c>
    </row>
    <row r="92" spans="2:99" x14ac:dyDescent="0.25">
      <c r="C92" s="104" t="s">
        <v>257</v>
      </c>
      <c r="D92" s="105">
        <v>0</v>
      </c>
      <c r="E92" s="105">
        <v>0</v>
      </c>
      <c r="F92" s="105">
        <v>0</v>
      </c>
      <c r="G92" s="105">
        <v>0</v>
      </c>
      <c r="H92" s="105">
        <v>3</v>
      </c>
      <c r="I92" s="105">
        <v>4262.3999999999996</v>
      </c>
      <c r="J92" s="105">
        <v>4</v>
      </c>
      <c r="K92" s="105">
        <v>5683.2</v>
      </c>
      <c r="L92" s="105">
        <v>4</v>
      </c>
      <c r="M92" s="105">
        <v>5683.2</v>
      </c>
      <c r="N92" s="105">
        <v>6</v>
      </c>
      <c r="O92" s="105">
        <v>8524.7999999999993</v>
      </c>
      <c r="P92" s="105">
        <v>5</v>
      </c>
      <c r="Q92" s="105">
        <v>7104</v>
      </c>
      <c r="R92" s="105">
        <v>4</v>
      </c>
      <c r="S92" s="105">
        <v>5683.2</v>
      </c>
      <c r="T92" s="105">
        <v>7</v>
      </c>
      <c r="U92" s="105">
        <v>9945.6</v>
      </c>
      <c r="V92" s="105">
        <v>6</v>
      </c>
      <c r="W92" s="105">
        <v>8524.7999999999993</v>
      </c>
      <c r="X92" s="105">
        <v>4</v>
      </c>
      <c r="Y92" s="105">
        <v>5683.2</v>
      </c>
      <c r="Z92" s="105">
        <v>6</v>
      </c>
      <c r="AA92" s="105">
        <v>8524.7999999999993</v>
      </c>
      <c r="AB92" s="105">
        <v>6</v>
      </c>
      <c r="AC92" s="105">
        <v>8524.7999999999993</v>
      </c>
      <c r="AD92" s="105">
        <v>5</v>
      </c>
      <c r="AE92" s="105">
        <v>7104</v>
      </c>
      <c r="AF92" s="105">
        <v>7</v>
      </c>
      <c r="AG92" s="105">
        <v>9945.6</v>
      </c>
      <c r="AH92" s="105">
        <v>6</v>
      </c>
      <c r="AI92" s="105">
        <v>8524.7999999999993</v>
      </c>
      <c r="AJ92" s="105">
        <v>7</v>
      </c>
      <c r="AK92" s="105">
        <v>9945.6</v>
      </c>
      <c r="AL92" s="105">
        <v>9</v>
      </c>
      <c r="AM92" s="105">
        <v>12787.199999999999</v>
      </c>
      <c r="AN92" s="105">
        <v>8</v>
      </c>
      <c r="AO92" s="105">
        <v>11366.4</v>
      </c>
      <c r="AP92" s="105">
        <v>12</v>
      </c>
      <c r="AQ92" s="105">
        <v>17049.599999999999</v>
      </c>
      <c r="AR92" s="105">
        <v>9</v>
      </c>
      <c r="AS92" s="105">
        <v>12787.199999999999</v>
      </c>
      <c r="AT92" s="105">
        <v>9</v>
      </c>
      <c r="AU92" s="105">
        <v>12787.199999999999</v>
      </c>
      <c r="AV92" s="105">
        <v>10</v>
      </c>
      <c r="AW92" s="105">
        <v>14208</v>
      </c>
      <c r="AX92" s="105">
        <v>8</v>
      </c>
      <c r="AY92" s="105">
        <v>11366.4</v>
      </c>
      <c r="AZ92" s="105">
        <v>15</v>
      </c>
      <c r="BA92" s="105">
        <v>21312</v>
      </c>
      <c r="BB92" s="105">
        <v>18</v>
      </c>
      <c r="BC92" s="105">
        <v>25574.399999999998</v>
      </c>
      <c r="BD92" s="105">
        <v>18</v>
      </c>
      <c r="BE92" s="105">
        <v>25574.399999999998</v>
      </c>
      <c r="BF92" s="105">
        <v>15</v>
      </c>
      <c r="BG92" s="105">
        <v>21312</v>
      </c>
      <c r="BH92" s="105">
        <v>16</v>
      </c>
      <c r="BI92" s="105">
        <v>22732.799999999999</v>
      </c>
      <c r="BJ92" s="105">
        <v>20</v>
      </c>
      <c r="BK92" s="105">
        <v>28416</v>
      </c>
      <c r="BL92" s="105">
        <v>18</v>
      </c>
      <c r="BM92" s="105">
        <v>25574.399999999998</v>
      </c>
      <c r="BN92" s="105">
        <v>12</v>
      </c>
      <c r="BO92" s="105">
        <v>17049.599999999999</v>
      </c>
      <c r="BP92" s="105">
        <v>20</v>
      </c>
      <c r="BQ92" s="105">
        <v>28416</v>
      </c>
      <c r="BR92" s="105">
        <v>16</v>
      </c>
      <c r="BS92" s="105">
        <v>22732.799999999999</v>
      </c>
      <c r="BT92" s="105">
        <v>18</v>
      </c>
      <c r="BU92" s="105">
        <v>25574.399999999998</v>
      </c>
      <c r="BV92" s="105">
        <v>26</v>
      </c>
      <c r="BW92" s="105">
        <v>36940.799999999996</v>
      </c>
      <c r="BX92" s="105">
        <v>24</v>
      </c>
      <c r="BY92" s="105">
        <v>34099.199999999997</v>
      </c>
      <c r="BZ92" s="105">
        <v>27</v>
      </c>
      <c r="CA92" s="105">
        <v>38361.599999999999</v>
      </c>
      <c r="CB92" s="105">
        <v>33.245181639226892</v>
      </c>
      <c r="CC92" s="105">
        <v>47234.754073013566</v>
      </c>
      <c r="CD92" s="105">
        <v>2.3795001545117427</v>
      </c>
      <c r="CE92" s="105">
        <v>3380.7938195302841</v>
      </c>
      <c r="CF92" s="105">
        <v>1.423500310816411</v>
      </c>
      <c r="CG92" s="105">
        <v>2022.5092416079567</v>
      </c>
      <c r="CH92" s="105">
        <v>15.000415511387455</v>
      </c>
      <c r="CI92" s="105">
        <v>21312.590358579295</v>
      </c>
      <c r="CJ92" s="105">
        <v>21.272996903343714</v>
      </c>
      <c r="CK92" s="105">
        <v>30224.674000270748</v>
      </c>
      <c r="CL92" s="105">
        <v>36.972923907646475</v>
      </c>
      <c r="CM92" s="105">
        <v>52531.13028798411</v>
      </c>
      <c r="CN92" s="105">
        <v>2.6184009181331294</v>
      </c>
      <c r="CO92" s="105">
        <v>3720.2240244835502</v>
      </c>
      <c r="CP92" s="105">
        <v>13.749958485552972</v>
      </c>
      <c r="CQ92" s="105">
        <v>19535.94101627366</v>
      </c>
      <c r="CR92" s="105">
        <v>25.45336956521739</v>
      </c>
      <c r="CS92" s="105">
        <v>36164.147478260864</v>
      </c>
      <c r="CT92" s="105">
        <v>3.7198369565217391</v>
      </c>
      <c r="CU92" s="105">
        <v>5285.1443478260871</v>
      </c>
    </row>
    <row r="93" spans="2:99" x14ac:dyDescent="0.25">
      <c r="C93" s="104" t="s">
        <v>258</v>
      </c>
      <c r="D93" s="105">
        <v>0</v>
      </c>
      <c r="E93" s="105">
        <v>0</v>
      </c>
      <c r="F93" s="105">
        <v>0</v>
      </c>
      <c r="G93" s="105">
        <v>0</v>
      </c>
      <c r="H93" s="105">
        <v>3</v>
      </c>
      <c r="I93" s="105">
        <v>5317.2</v>
      </c>
      <c r="J93" s="105">
        <v>4</v>
      </c>
      <c r="K93" s="105">
        <v>7089.5999999999995</v>
      </c>
      <c r="L93" s="105">
        <v>4</v>
      </c>
      <c r="M93" s="105">
        <v>7089.5999999999995</v>
      </c>
      <c r="N93" s="105">
        <v>6</v>
      </c>
      <c r="O93" s="105">
        <v>10634.4</v>
      </c>
      <c r="P93" s="105">
        <v>5</v>
      </c>
      <c r="Q93" s="105">
        <v>8862</v>
      </c>
      <c r="R93" s="105">
        <v>4</v>
      </c>
      <c r="S93" s="105">
        <v>7089.5999999999995</v>
      </c>
      <c r="T93" s="105">
        <v>6</v>
      </c>
      <c r="U93" s="105">
        <v>10634.4</v>
      </c>
      <c r="V93" s="105">
        <v>6</v>
      </c>
      <c r="W93" s="105">
        <v>10634.4</v>
      </c>
      <c r="X93" s="105">
        <v>4</v>
      </c>
      <c r="Y93" s="105">
        <v>7089.5999999999995</v>
      </c>
      <c r="Z93" s="105">
        <v>6</v>
      </c>
      <c r="AA93" s="105">
        <v>10634.4</v>
      </c>
      <c r="AB93" s="105">
        <v>6</v>
      </c>
      <c r="AC93" s="105">
        <v>10634.4</v>
      </c>
      <c r="AD93" s="105">
        <v>5</v>
      </c>
      <c r="AE93" s="105">
        <v>8862</v>
      </c>
      <c r="AF93" s="105">
        <v>7</v>
      </c>
      <c r="AG93" s="105">
        <v>12406.8</v>
      </c>
      <c r="AH93" s="105">
        <v>5</v>
      </c>
      <c r="AI93" s="105">
        <v>8862</v>
      </c>
      <c r="AJ93" s="105">
        <v>8</v>
      </c>
      <c r="AK93" s="105">
        <v>14179.199999999999</v>
      </c>
      <c r="AL93" s="105">
        <v>9</v>
      </c>
      <c r="AM93" s="105">
        <v>15951.599999999999</v>
      </c>
      <c r="AN93" s="105">
        <v>7</v>
      </c>
      <c r="AO93" s="105">
        <v>12406.8</v>
      </c>
      <c r="AP93" s="105">
        <v>10</v>
      </c>
      <c r="AQ93" s="105">
        <v>17724</v>
      </c>
      <c r="AR93" s="105">
        <v>7</v>
      </c>
      <c r="AS93" s="105">
        <v>12406.8</v>
      </c>
      <c r="AT93" s="105">
        <v>8</v>
      </c>
      <c r="AU93" s="105">
        <v>14179.199999999999</v>
      </c>
      <c r="AV93" s="105">
        <v>11</v>
      </c>
      <c r="AW93" s="105">
        <v>19496.399999999998</v>
      </c>
      <c r="AX93" s="105">
        <v>8</v>
      </c>
      <c r="AY93" s="105">
        <v>14179.199999999999</v>
      </c>
      <c r="AZ93" s="105">
        <v>16</v>
      </c>
      <c r="BA93" s="105">
        <v>28358.399999999998</v>
      </c>
      <c r="BB93" s="105">
        <v>18</v>
      </c>
      <c r="BC93" s="105">
        <v>31903.199999999997</v>
      </c>
      <c r="BD93" s="105">
        <v>19</v>
      </c>
      <c r="BE93" s="105">
        <v>33675.599999999999</v>
      </c>
      <c r="BF93" s="105">
        <v>15</v>
      </c>
      <c r="BG93" s="105">
        <v>26585.999999999996</v>
      </c>
      <c r="BH93" s="105">
        <v>14</v>
      </c>
      <c r="BI93" s="105">
        <v>24813.599999999999</v>
      </c>
      <c r="BJ93" s="105">
        <v>17</v>
      </c>
      <c r="BK93" s="105">
        <v>30130.799999999999</v>
      </c>
      <c r="BL93" s="105">
        <v>19</v>
      </c>
      <c r="BM93" s="105">
        <v>33675.599999999999</v>
      </c>
      <c r="BN93" s="105">
        <v>14</v>
      </c>
      <c r="BO93" s="105">
        <v>24813.599999999999</v>
      </c>
      <c r="BP93" s="105">
        <v>17</v>
      </c>
      <c r="BQ93" s="105">
        <v>30130.799999999999</v>
      </c>
      <c r="BR93" s="105">
        <v>16</v>
      </c>
      <c r="BS93" s="105">
        <v>28358.399999999998</v>
      </c>
      <c r="BT93" s="105">
        <v>18</v>
      </c>
      <c r="BU93" s="105">
        <v>31903.199999999997</v>
      </c>
      <c r="BV93" s="105">
        <v>26</v>
      </c>
      <c r="BW93" s="105">
        <v>46082.399999999994</v>
      </c>
      <c r="BX93" s="105">
        <v>24</v>
      </c>
      <c r="BY93" s="105">
        <v>42537.599999999999</v>
      </c>
      <c r="BZ93" s="105">
        <v>25</v>
      </c>
      <c r="CA93" s="105">
        <v>44310</v>
      </c>
      <c r="CB93" s="105">
        <v>32.434323550465265</v>
      </c>
      <c r="CC93" s="105">
        <v>57486.595060844629</v>
      </c>
      <c r="CD93" s="105">
        <v>2.5557594252163165</v>
      </c>
      <c r="CE93" s="105">
        <v>4529.8280052533992</v>
      </c>
      <c r="CF93" s="105">
        <v>1.2787375673435559</v>
      </c>
      <c r="CG93" s="105">
        <v>2266.4344643597183</v>
      </c>
      <c r="CH93" s="105">
        <v>13.529786539682803</v>
      </c>
      <c r="CI93" s="105">
        <v>23980.193662933798</v>
      </c>
      <c r="CJ93" s="105">
        <v>21.595315038242859</v>
      </c>
      <c r="CK93" s="105">
        <v>38275.536373781637</v>
      </c>
      <c r="CL93" s="105">
        <v>36.972923907646475</v>
      </c>
      <c r="CM93" s="105">
        <v>65530.81033391261</v>
      </c>
      <c r="CN93" s="105">
        <v>2.6547675975516452</v>
      </c>
      <c r="CO93" s="105">
        <v>4705.3100899005358</v>
      </c>
      <c r="CP93" s="105">
        <v>12.374962636997674</v>
      </c>
      <c r="CQ93" s="105">
        <v>21933.383777814677</v>
      </c>
      <c r="CR93" s="105">
        <v>27.271467391304345</v>
      </c>
      <c r="CS93" s="105">
        <v>48335.94880434782</v>
      </c>
      <c r="CT93" s="105">
        <v>3.7198369565217391</v>
      </c>
      <c r="CU93" s="105">
        <v>6593.0390217391296</v>
      </c>
    </row>
    <row r="94" spans="2:99" x14ac:dyDescent="0.25">
      <c r="C94" s="104" t="s">
        <v>259</v>
      </c>
      <c r="D94" s="105">
        <v>0</v>
      </c>
      <c r="E94" s="105">
        <v>0</v>
      </c>
      <c r="F94" s="105">
        <v>0</v>
      </c>
      <c r="G94" s="105">
        <v>0</v>
      </c>
      <c r="H94" s="105">
        <v>3</v>
      </c>
      <c r="I94" s="105">
        <v>7185.5999999999995</v>
      </c>
      <c r="J94" s="105">
        <v>4</v>
      </c>
      <c r="K94" s="105">
        <v>9580.7999999999993</v>
      </c>
      <c r="L94" s="105">
        <v>4</v>
      </c>
      <c r="M94" s="105">
        <v>9580.7999999999993</v>
      </c>
      <c r="N94" s="105">
        <v>6</v>
      </c>
      <c r="O94" s="105">
        <v>14371.199999999999</v>
      </c>
      <c r="P94" s="105">
        <v>5</v>
      </c>
      <c r="Q94" s="105">
        <v>11976</v>
      </c>
      <c r="R94" s="105">
        <v>3</v>
      </c>
      <c r="S94" s="105">
        <v>7185.5999999999995</v>
      </c>
      <c r="T94" s="105">
        <v>6</v>
      </c>
      <c r="U94" s="105">
        <v>14371.199999999999</v>
      </c>
      <c r="V94" s="105">
        <v>5</v>
      </c>
      <c r="W94" s="105">
        <v>11976</v>
      </c>
      <c r="X94" s="105">
        <v>4</v>
      </c>
      <c r="Y94" s="105">
        <v>9580.7999999999993</v>
      </c>
      <c r="Z94" s="105">
        <v>5</v>
      </c>
      <c r="AA94" s="105">
        <v>11976</v>
      </c>
      <c r="AB94" s="105">
        <v>7</v>
      </c>
      <c r="AC94" s="105">
        <v>16766.399999999998</v>
      </c>
      <c r="AD94" s="105">
        <v>5</v>
      </c>
      <c r="AE94" s="105">
        <v>11976</v>
      </c>
      <c r="AF94" s="105">
        <v>6</v>
      </c>
      <c r="AG94" s="105">
        <v>14371.199999999999</v>
      </c>
      <c r="AH94" s="105">
        <v>5</v>
      </c>
      <c r="AI94" s="105">
        <v>11976</v>
      </c>
      <c r="AJ94" s="105">
        <v>6</v>
      </c>
      <c r="AK94" s="105">
        <v>14371.199999999999</v>
      </c>
      <c r="AL94" s="105">
        <v>7</v>
      </c>
      <c r="AM94" s="105">
        <v>16766.399999999998</v>
      </c>
      <c r="AN94" s="105">
        <v>8</v>
      </c>
      <c r="AO94" s="105">
        <v>19161.599999999999</v>
      </c>
      <c r="AP94" s="105">
        <v>11</v>
      </c>
      <c r="AQ94" s="105">
        <v>26347.199999999997</v>
      </c>
      <c r="AR94" s="105">
        <v>7</v>
      </c>
      <c r="AS94" s="105">
        <v>16766.399999999998</v>
      </c>
      <c r="AT94" s="105">
        <v>8</v>
      </c>
      <c r="AU94" s="105">
        <v>19161.599999999999</v>
      </c>
      <c r="AV94" s="105">
        <v>10</v>
      </c>
      <c r="AW94" s="105">
        <v>23952</v>
      </c>
      <c r="AX94" s="105">
        <v>8</v>
      </c>
      <c r="AY94" s="105">
        <v>19161.599999999999</v>
      </c>
      <c r="AZ94" s="105">
        <v>16</v>
      </c>
      <c r="BA94" s="105">
        <v>38323.199999999997</v>
      </c>
      <c r="BB94" s="105">
        <v>16</v>
      </c>
      <c r="BC94" s="105">
        <v>38323.199999999997</v>
      </c>
      <c r="BD94" s="105">
        <v>16</v>
      </c>
      <c r="BE94" s="105">
        <v>38323.199999999997</v>
      </c>
      <c r="BF94" s="105">
        <v>14</v>
      </c>
      <c r="BG94" s="105">
        <v>33532.799999999996</v>
      </c>
      <c r="BH94" s="105">
        <v>14</v>
      </c>
      <c r="BI94" s="105">
        <v>33532.799999999996</v>
      </c>
      <c r="BJ94" s="105">
        <v>18</v>
      </c>
      <c r="BK94" s="105">
        <v>43113.599999999999</v>
      </c>
      <c r="BL94" s="105">
        <v>19</v>
      </c>
      <c r="BM94" s="105">
        <v>45508.799999999996</v>
      </c>
      <c r="BN94" s="105">
        <v>13</v>
      </c>
      <c r="BO94" s="105">
        <v>31137.599999999999</v>
      </c>
      <c r="BP94" s="105">
        <v>15</v>
      </c>
      <c r="BQ94" s="105">
        <v>35928</v>
      </c>
      <c r="BR94" s="105">
        <v>16</v>
      </c>
      <c r="BS94" s="105">
        <v>38323.199999999997</v>
      </c>
      <c r="BT94" s="105">
        <v>16</v>
      </c>
      <c r="BU94" s="105">
        <v>38323.199999999997</v>
      </c>
      <c r="BV94" s="105">
        <v>23</v>
      </c>
      <c r="BW94" s="105">
        <v>55089.599999999999</v>
      </c>
      <c r="BX94" s="105">
        <v>22</v>
      </c>
      <c r="BY94" s="105">
        <v>52694.399999999994</v>
      </c>
      <c r="BZ94" s="105">
        <v>20</v>
      </c>
      <c r="CA94" s="105">
        <v>47904</v>
      </c>
      <c r="CB94" s="105">
        <v>30.812607372941997</v>
      </c>
      <c r="CC94" s="105">
        <v>73802.357179670667</v>
      </c>
      <c r="CD94" s="105">
        <v>2.1151112484548826</v>
      </c>
      <c r="CE94" s="105">
        <v>5066.1144622991342</v>
      </c>
      <c r="CF94" s="105">
        <v>1.1098476999585578</v>
      </c>
      <c r="CG94" s="105">
        <v>2658.3072109407376</v>
      </c>
      <c r="CH94" s="105">
        <v>12.647409156660011</v>
      </c>
      <c r="CI94" s="105">
        <v>30293.074412032056</v>
      </c>
      <c r="CJ94" s="105">
        <v>20.628360633545416</v>
      </c>
      <c r="CK94" s="105">
        <v>49409.049389467975</v>
      </c>
      <c r="CL94" s="105">
        <v>33.611749006951335</v>
      </c>
      <c r="CM94" s="105">
        <v>80506.861221449828</v>
      </c>
      <c r="CN94" s="105">
        <v>2.4729342004590666</v>
      </c>
      <c r="CO94" s="105">
        <v>5923.1719969395563</v>
      </c>
      <c r="CP94" s="105">
        <v>12.374962636997674</v>
      </c>
      <c r="CQ94" s="105">
        <v>29640.510508136827</v>
      </c>
      <c r="CR94" s="105">
        <v>21.557445652173911</v>
      </c>
      <c r="CS94" s="105">
        <v>51634.393826086947</v>
      </c>
      <c r="CT94" s="105">
        <v>3.0398667601683034</v>
      </c>
      <c r="CU94" s="105">
        <v>7281.0888639551195</v>
      </c>
    </row>
    <row r="95" spans="2:99" x14ac:dyDescent="0.25">
      <c r="B95" s="104" t="s">
        <v>132</v>
      </c>
      <c r="C95" s="104" t="s">
        <v>260</v>
      </c>
      <c r="D95" s="105">
        <v>0</v>
      </c>
      <c r="E95" s="105">
        <v>0</v>
      </c>
      <c r="F95" s="105">
        <v>0</v>
      </c>
      <c r="G95" s="105">
        <v>0</v>
      </c>
      <c r="H95" s="105">
        <v>7</v>
      </c>
      <c r="I95" s="105">
        <v>12129.6</v>
      </c>
      <c r="J95" s="105">
        <v>6</v>
      </c>
      <c r="K95" s="105">
        <v>10396.799999999999</v>
      </c>
      <c r="L95" s="105">
        <v>7</v>
      </c>
      <c r="M95" s="105">
        <v>12129.6</v>
      </c>
      <c r="N95" s="105">
        <v>5</v>
      </c>
      <c r="O95" s="105">
        <v>8664</v>
      </c>
      <c r="P95" s="105">
        <v>8</v>
      </c>
      <c r="Q95" s="105">
        <v>13862.4</v>
      </c>
      <c r="R95" s="105">
        <v>6</v>
      </c>
      <c r="S95" s="105">
        <v>10396.799999999999</v>
      </c>
      <c r="T95" s="105">
        <v>8</v>
      </c>
      <c r="U95" s="105">
        <v>13862.4</v>
      </c>
      <c r="V95" s="105">
        <v>8</v>
      </c>
      <c r="W95" s="105">
        <v>13862.4</v>
      </c>
      <c r="X95" s="105">
        <v>7</v>
      </c>
      <c r="Y95" s="105">
        <v>12129.6</v>
      </c>
      <c r="Z95" s="105">
        <v>8</v>
      </c>
      <c r="AA95" s="105">
        <v>13862.4</v>
      </c>
      <c r="AB95" s="105">
        <v>10</v>
      </c>
      <c r="AC95" s="105">
        <v>17328</v>
      </c>
      <c r="AD95" s="105">
        <v>9</v>
      </c>
      <c r="AE95" s="105">
        <v>15595.199999999999</v>
      </c>
      <c r="AF95" s="105">
        <v>9</v>
      </c>
      <c r="AG95" s="105">
        <v>15595.199999999999</v>
      </c>
      <c r="AH95" s="105">
        <v>7</v>
      </c>
      <c r="AI95" s="105">
        <v>12129.6</v>
      </c>
      <c r="AJ95" s="105">
        <v>12</v>
      </c>
      <c r="AK95" s="105">
        <v>20793.599999999999</v>
      </c>
      <c r="AL95" s="105">
        <v>14</v>
      </c>
      <c r="AM95" s="105">
        <v>24259.200000000001</v>
      </c>
      <c r="AN95" s="105">
        <v>10</v>
      </c>
      <c r="AO95" s="105">
        <v>17328</v>
      </c>
      <c r="AP95" s="105">
        <v>14</v>
      </c>
      <c r="AQ95" s="105">
        <v>24259.200000000001</v>
      </c>
      <c r="AR95" s="105">
        <v>9</v>
      </c>
      <c r="AS95" s="105">
        <v>15595.199999999999</v>
      </c>
      <c r="AT95" s="105">
        <v>12</v>
      </c>
      <c r="AU95" s="105">
        <v>20793.599999999999</v>
      </c>
      <c r="AV95" s="105">
        <v>15</v>
      </c>
      <c r="AW95" s="105">
        <v>25992</v>
      </c>
      <c r="AX95" s="105">
        <v>13</v>
      </c>
      <c r="AY95" s="105">
        <v>22526.399999999998</v>
      </c>
      <c r="AZ95" s="105">
        <v>18</v>
      </c>
      <c r="BA95" s="105">
        <v>31190.399999999998</v>
      </c>
      <c r="BB95" s="105">
        <v>17</v>
      </c>
      <c r="BC95" s="105">
        <v>29457.599999999999</v>
      </c>
      <c r="BD95" s="105">
        <v>14</v>
      </c>
      <c r="BE95" s="105">
        <v>24259.200000000001</v>
      </c>
      <c r="BF95" s="105">
        <v>15</v>
      </c>
      <c r="BG95" s="105">
        <v>25992</v>
      </c>
      <c r="BH95" s="105">
        <v>14</v>
      </c>
      <c r="BI95" s="105">
        <v>24259.200000000001</v>
      </c>
      <c r="BJ95" s="105">
        <v>27</v>
      </c>
      <c r="BK95" s="105">
        <v>46785.599999999999</v>
      </c>
      <c r="BL95" s="105">
        <v>17</v>
      </c>
      <c r="BM95" s="105">
        <v>29457.599999999999</v>
      </c>
      <c r="BN95" s="105">
        <v>26</v>
      </c>
      <c r="BO95" s="105">
        <v>45052.799999999996</v>
      </c>
      <c r="BP95" s="105">
        <v>19</v>
      </c>
      <c r="BQ95" s="105">
        <v>32923.199999999997</v>
      </c>
      <c r="BR95" s="105">
        <v>30</v>
      </c>
      <c r="BS95" s="105">
        <v>51984</v>
      </c>
      <c r="BT95" s="105">
        <v>34</v>
      </c>
      <c r="BU95" s="105">
        <v>58915.199999999997</v>
      </c>
      <c r="BV95" s="105">
        <v>18</v>
      </c>
      <c r="BW95" s="105">
        <v>31190.399999999998</v>
      </c>
      <c r="BX95" s="105">
        <v>29</v>
      </c>
      <c r="BY95" s="105">
        <v>50251.199999999997</v>
      </c>
      <c r="BZ95" s="105">
        <v>47</v>
      </c>
      <c r="CA95" s="105">
        <v>81441.599999999991</v>
      </c>
      <c r="CB95" s="105">
        <v>24.325742662848949</v>
      </c>
      <c r="CC95" s="105">
        <v>42151.646886184659</v>
      </c>
      <c r="CD95" s="105">
        <v>2.5557594252163165</v>
      </c>
      <c r="CE95" s="105">
        <v>4428.6199320148335</v>
      </c>
      <c r="CF95" s="105">
        <v>1.4476274347285538</v>
      </c>
      <c r="CG95" s="105">
        <v>2508.4488188976379</v>
      </c>
      <c r="CH95" s="105">
        <v>18.824050837819552</v>
      </c>
      <c r="CI95" s="105">
        <v>32618.315291773721</v>
      </c>
      <c r="CJ95" s="105">
        <v>13.537361665764179</v>
      </c>
      <c r="CK95" s="105">
        <v>23457.540294436167</v>
      </c>
      <c r="CL95" s="105">
        <v>30.250574106256206</v>
      </c>
      <c r="CM95" s="105">
        <v>52418.194811320755</v>
      </c>
      <c r="CN95" s="105">
        <v>2.6184009181331294</v>
      </c>
      <c r="CO95" s="105">
        <v>4537.1651109410868</v>
      </c>
      <c r="CP95" s="105">
        <v>18.791609930255728</v>
      </c>
      <c r="CQ95" s="105">
        <v>32562.101687147126</v>
      </c>
      <c r="CR95" s="105">
        <v>15.843423913043479</v>
      </c>
      <c r="CS95" s="105">
        <v>27453.484956521737</v>
      </c>
      <c r="CT95" s="105">
        <v>3.319854488078541</v>
      </c>
      <c r="CU95" s="105">
        <v>5752.6438569424954</v>
      </c>
    </row>
    <row r="96" spans="2:99" x14ac:dyDescent="0.25">
      <c r="C96" s="104" t="s">
        <v>261</v>
      </c>
      <c r="D96" s="105">
        <v>0</v>
      </c>
      <c r="E96" s="105">
        <v>0</v>
      </c>
      <c r="F96" s="105">
        <v>0</v>
      </c>
      <c r="G96" s="105">
        <v>0</v>
      </c>
      <c r="H96" s="105">
        <v>7</v>
      </c>
      <c r="I96" s="105">
        <v>5762.4</v>
      </c>
      <c r="J96" s="105">
        <v>6</v>
      </c>
      <c r="K96" s="105">
        <v>4939.2</v>
      </c>
      <c r="L96" s="105">
        <v>7</v>
      </c>
      <c r="M96" s="105">
        <v>5762.4</v>
      </c>
      <c r="N96" s="105">
        <v>5</v>
      </c>
      <c r="O96" s="105">
        <v>4116</v>
      </c>
      <c r="P96" s="105">
        <v>7</v>
      </c>
      <c r="Q96" s="105">
        <v>5762.4</v>
      </c>
      <c r="R96" s="105">
        <v>7</v>
      </c>
      <c r="S96" s="105">
        <v>5762.4</v>
      </c>
      <c r="T96" s="105">
        <v>9</v>
      </c>
      <c r="U96" s="105">
        <v>7408.7999999999993</v>
      </c>
      <c r="V96" s="105">
        <v>8</v>
      </c>
      <c r="W96" s="105">
        <v>6585.5999999999995</v>
      </c>
      <c r="X96" s="105">
        <v>8</v>
      </c>
      <c r="Y96" s="105">
        <v>6585.5999999999995</v>
      </c>
      <c r="Z96" s="105">
        <v>9</v>
      </c>
      <c r="AA96" s="105">
        <v>7408.7999999999993</v>
      </c>
      <c r="AB96" s="105">
        <v>13</v>
      </c>
      <c r="AC96" s="105">
        <v>10701.599999999999</v>
      </c>
      <c r="AD96" s="105">
        <v>10</v>
      </c>
      <c r="AE96" s="105">
        <v>8232</v>
      </c>
      <c r="AF96" s="105">
        <v>9</v>
      </c>
      <c r="AG96" s="105">
        <v>7408.7999999999993</v>
      </c>
      <c r="AH96" s="105">
        <v>9</v>
      </c>
      <c r="AI96" s="105">
        <v>7408.7999999999993</v>
      </c>
      <c r="AJ96" s="105">
        <v>14</v>
      </c>
      <c r="AK96" s="105">
        <v>11524.8</v>
      </c>
      <c r="AL96" s="105">
        <v>15</v>
      </c>
      <c r="AM96" s="105">
        <v>12347.999999999998</v>
      </c>
      <c r="AN96" s="105">
        <v>10</v>
      </c>
      <c r="AO96" s="105">
        <v>8232</v>
      </c>
      <c r="AP96" s="105">
        <v>12</v>
      </c>
      <c r="AQ96" s="105">
        <v>9878.4</v>
      </c>
      <c r="AR96" s="105">
        <v>11</v>
      </c>
      <c r="AS96" s="105">
        <v>9055.1999999999989</v>
      </c>
      <c r="AT96" s="105">
        <v>11</v>
      </c>
      <c r="AU96" s="105">
        <v>9055.1999999999989</v>
      </c>
      <c r="AV96" s="105">
        <v>16</v>
      </c>
      <c r="AW96" s="105">
        <v>13171.199999999999</v>
      </c>
      <c r="AX96" s="105">
        <v>14</v>
      </c>
      <c r="AY96" s="105">
        <v>11524.8</v>
      </c>
      <c r="AZ96" s="105">
        <v>19</v>
      </c>
      <c r="BA96" s="105">
        <v>15640.8</v>
      </c>
      <c r="BB96" s="105">
        <v>18</v>
      </c>
      <c r="BC96" s="105">
        <v>14817.599999999999</v>
      </c>
      <c r="BD96" s="105">
        <v>15</v>
      </c>
      <c r="BE96" s="105">
        <v>12347.999999999998</v>
      </c>
      <c r="BF96" s="105">
        <v>15</v>
      </c>
      <c r="BG96" s="105">
        <v>12347.999999999998</v>
      </c>
      <c r="BH96" s="105">
        <v>15</v>
      </c>
      <c r="BI96" s="105">
        <v>12347.999999999998</v>
      </c>
      <c r="BJ96" s="105">
        <v>26</v>
      </c>
      <c r="BK96" s="105">
        <v>21403.199999999997</v>
      </c>
      <c r="BL96" s="105">
        <v>17</v>
      </c>
      <c r="BM96" s="105">
        <v>13994.4</v>
      </c>
      <c r="BN96" s="105">
        <v>30</v>
      </c>
      <c r="BO96" s="105">
        <v>24695.999999999996</v>
      </c>
      <c r="BP96" s="105">
        <v>21</v>
      </c>
      <c r="BQ96" s="105">
        <v>17287.199999999997</v>
      </c>
      <c r="BR96" s="105">
        <v>34</v>
      </c>
      <c r="BS96" s="105">
        <v>27988.799999999999</v>
      </c>
      <c r="BT96" s="105">
        <v>33</v>
      </c>
      <c r="BU96" s="105">
        <v>27165.599999999999</v>
      </c>
      <c r="BV96" s="105">
        <v>19</v>
      </c>
      <c r="BW96" s="105">
        <v>15640.8</v>
      </c>
      <c r="BX96" s="105">
        <v>34</v>
      </c>
      <c r="BY96" s="105">
        <v>27988.799999999999</v>
      </c>
      <c r="BZ96" s="105">
        <v>50</v>
      </c>
      <c r="CA96" s="105">
        <v>41160</v>
      </c>
      <c r="CB96" s="105">
        <v>27.569175017895471</v>
      </c>
      <c r="CC96" s="105">
        <v>22694.944874731551</v>
      </c>
      <c r="CD96" s="105">
        <v>2.9082779666254637</v>
      </c>
      <c r="CE96" s="105">
        <v>2394.0944221260816</v>
      </c>
      <c r="CF96" s="105">
        <v>1.4958816825528389</v>
      </c>
      <c r="CG96" s="105">
        <v>1231.4098010774969</v>
      </c>
      <c r="CH96" s="105">
        <v>19.706428220842341</v>
      </c>
      <c r="CI96" s="105">
        <v>16222.331711397414</v>
      </c>
      <c r="CJ96" s="105">
        <v>15.79358861005821</v>
      </c>
      <c r="CK96" s="105">
        <v>13001.282143799917</v>
      </c>
      <c r="CL96" s="105">
        <v>32.267279046673288</v>
      </c>
      <c r="CM96" s="105">
        <v>26562.424111221448</v>
      </c>
      <c r="CN96" s="105">
        <v>3.3093678270849276</v>
      </c>
      <c r="CO96" s="105">
        <v>2724.2715952563121</v>
      </c>
      <c r="CP96" s="105">
        <v>21.999933576884754</v>
      </c>
      <c r="CQ96" s="105">
        <v>18110.345320491528</v>
      </c>
      <c r="CR96" s="105">
        <v>19.739347826086956</v>
      </c>
      <c r="CS96" s="105">
        <v>16249.431130434781</v>
      </c>
      <c r="CT96" s="105">
        <v>3.7598352033660589</v>
      </c>
      <c r="CU96" s="105">
        <v>3095.0963394109394</v>
      </c>
    </row>
    <row r="97" spans="2:99" x14ac:dyDescent="0.25">
      <c r="C97" s="104" t="s">
        <v>262</v>
      </c>
      <c r="D97" s="105">
        <v>0</v>
      </c>
      <c r="E97" s="105">
        <v>0</v>
      </c>
      <c r="F97" s="105">
        <v>0</v>
      </c>
      <c r="G97" s="105">
        <v>0</v>
      </c>
      <c r="H97" s="105">
        <v>7</v>
      </c>
      <c r="I97" s="105">
        <v>12801.6</v>
      </c>
      <c r="J97" s="105">
        <v>6</v>
      </c>
      <c r="K97" s="105">
        <v>10972.8</v>
      </c>
      <c r="L97" s="105">
        <v>7</v>
      </c>
      <c r="M97" s="105">
        <v>12801.6</v>
      </c>
      <c r="N97" s="105">
        <v>5</v>
      </c>
      <c r="O97" s="105">
        <v>9144</v>
      </c>
      <c r="P97" s="105">
        <v>7</v>
      </c>
      <c r="Q97" s="105">
        <v>12801.6</v>
      </c>
      <c r="R97" s="105">
        <v>7</v>
      </c>
      <c r="S97" s="105">
        <v>12801.6</v>
      </c>
      <c r="T97" s="105">
        <v>9</v>
      </c>
      <c r="U97" s="105">
        <v>16459.2</v>
      </c>
      <c r="V97" s="105">
        <v>9</v>
      </c>
      <c r="W97" s="105">
        <v>16459.2</v>
      </c>
      <c r="X97" s="105">
        <v>7</v>
      </c>
      <c r="Y97" s="105">
        <v>12801.6</v>
      </c>
      <c r="Z97" s="105">
        <v>8</v>
      </c>
      <c r="AA97" s="105">
        <v>14630.4</v>
      </c>
      <c r="AB97" s="105">
        <v>11</v>
      </c>
      <c r="AC97" s="105">
        <v>20116.8</v>
      </c>
      <c r="AD97" s="105">
        <v>9</v>
      </c>
      <c r="AE97" s="105">
        <v>16459.2</v>
      </c>
      <c r="AF97" s="105">
        <v>8</v>
      </c>
      <c r="AG97" s="105">
        <v>14630.4</v>
      </c>
      <c r="AH97" s="105">
        <v>7</v>
      </c>
      <c r="AI97" s="105">
        <v>12801.6</v>
      </c>
      <c r="AJ97" s="105">
        <v>12</v>
      </c>
      <c r="AK97" s="105">
        <v>21945.599999999999</v>
      </c>
      <c r="AL97" s="105">
        <v>14</v>
      </c>
      <c r="AM97" s="105">
        <v>25603.200000000001</v>
      </c>
      <c r="AN97" s="105">
        <v>10</v>
      </c>
      <c r="AO97" s="105">
        <v>18288</v>
      </c>
      <c r="AP97" s="105">
        <v>13</v>
      </c>
      <c r="AQ97" s="105">
        <v>23774.399999999998</v>
      </c>
      <c r="AR97" s="105">
        <v>9</v>
      </c>
      <c r="AS97" s="105">
        <v>16459.2</v>
      </c>
      <c r="AT97" s="105">
        <v>10</v>
      </c>
      <c r="AU97" s="105">
        <v>18288</v>
      </c>
      <c r="AV97" s="105">
        <v>14</v>
      </c>
      <c r="AW97" s="105">
        <v>25603.200000000001</v>
      </c>
      <c r="AX97" s="105">
        <v>13</v>
      </c>
      <c r="AY97" s="105">
        <v>23774.399999999998</v>
      </c>
      <c r="AZ97" s="105">
        <v>19</v>
      </c>
      <c r="BA97" s="105">
        <v>34747.199999999997</v>
      </c>
      <c r="BB97" s="105">
        <v>17</v>
      </c>
      <c r="BC97" s="105">
        <v>31089.599999999999</v>
      </c>
      <c r="BD97" s="105">
        <v>15</v>
      </c>
      <c r="BE97" s="105">
        <v>27432</v>
      </c>
      <c r="BF97" s="105">
        <v>14</v>
      </c>
      <c r="BG97" s="105">
        <v>25603.200000000001</v>
      </c>
      <c r="BH97" s="105">
        <v>14</v>
      </c>
      <c r="BI97" s="105">
        <v>25603.200000000001</v>
      </c>
      <c r="BJ97" s="105">
        <v>28</v>
      </c>
      <c r="BK97" s="105">
        <v>51206.400000000001</v>
      </c>
      <c r="BL97" s="105">
        <v>16</v>
      </c>
      <c r="BM97" s="105">
        <v>29260.799999999999</v>
      </c>
      <c r="BN97" s="105">
        <v>24</v>
      </c>
      <c r="BO97" s="105">
        <v>43891.199999999997</v>
      </c>
      <c r="BP97" s="105">
        <v>17</v>
      </c>
      <c r="BQ97" s="105">
        <v>31089.599999999999</v>
      </c>
      <c r="BR97" s="105">
        <v>28</v>
      </c>
      <c r="BS97" s="105">
        <v>51206.400000000001</v>
      </c>
      <c r="BT97" s="105">
        <v>33</v>
      </c>
      <c r="BU97" s="105">
        <v>60350.400000000001</v>
      </c>
      <c r="BV97" s="105">
        <v>18</v>
      </c>
      <c r="BW97" s="105">
        <v>32918.400000000001</v>
      </c>
      <c r="BX97" s="105">
        <v>26</v>
      </c>
      <c r="BY97" s="105">
        <v>47548.799999999996</v>
      </c>
      <c r="BZ97" s="105">
        <v>46</v>
      </c>
      <c r="CA97" s="105">
        <v>84124.800000000003</v>
      </c>
      <c r="CB97" s="105">
        <v>25.136600751610576</v>
      </c>
      <c r="CC97" s="105">
        <v>45969.815454545424</v>
      </c>
      <c r="CD97" s="105">
        <v>2.4676297898640294</v>
      </c>
      <c r="CE97" s="105">
        <v>4512.8013597033369</v>
      </c>
      <c r="CF97" s="105">
        <v>1.1822290716949855</v>
      </c>
      <c r="CG97" s="105">
        <v>2162.0605263157895</v>
      </c>
      <c r="CH97" s="105">
        <v>18.52992504347862</v>
      </c>
      <c r="CI97" s="105">
        <v>33887.526919513701</v>
      </c>
      <c r="CJ97" s="105">
        <v>11.603452856369296</v>
      </c>
      <c r="CK97" s="105">
        <v>21220.394583728168</v>
      </c>
      <c r="CL97" s="105">
        <v>32.267279046673288</v>
      </c>
      <c r="CM97" s="105">
        <v>59010.399920556105</v>
      </c>
      <c r="CN97" s="105">
        <v>2.7275009563886763</v>
      </c>
      <c r="CO97" s="105">
        <v>4988.0537490436109</v>
      </c>
      <c r="CP97" s="105">
        <v>20.395771753570241</v>
      </c>
      <c r="CQ97" s="105">
        <v>37299.787382929258</v>
      </c>
      <c r="CR97" s="105">
        <v>15.843423913043479</v>
      </c>
      <c r="CS97" s="105">
        <v>28974.453652173914</v>
      </c>
      <c r="CT97" s="105">
        <v>3.0398667601683034</v>
      </c>
      <c r="CU97" s="105">
        <v>5559.3083309957929</v>
      </c>
    </row>
    <row r="98" spans="2:99" x14ac:dyDescent="0.25">
      <c r="C98" s="104" t="s">
        <v>263</v>
      </c>
      <c r="D98" s="105">
        <v>0</v>
      </c>
      <c r="E98" s="105">
        <v>0</v>
      </c>
      <c r="F98" s="105">
        <v>0</v>
      </c>
      <c r="G98" s="105">
        <v>0</v>
      </c>
      <c r="H98" s="105">
        <v>6</v>
      </c>
      <c r="I98" s="105">
        <v>7581.5999999999995</v>
      </c>
      <c r="J98" s="105">
        <v>7</v>
      </c>
      <c r="K98" s="105">
        <v>8845.1999999999989</v>
      </c>
      <c r="L98" s="105">
        <v>7</v>
      </c>
      <c r="M98" s="105">
        <v>8845.1999999999989</v>
      </c>
      <c r="N98" s="105">
        <v>6</v>
      </c>
      <c r="O98" s="105">
        <v>7581.5999999999995</v>
      </c>
      <c r="P98" s="105">
        <v>7</v>
      </c>
      <c r="Q98" s="105">
        <v>8845.1999999999989</v>
      </c>
      <c r="R98" s="105">
        <v>7</v>
      </c>
      <c r="S98" s="105">
        <v>8845.1999999999989</v>
      </c>
      <c r="T98" s="105">
        <v>8</v>
      </c>
      <c r="U98" s="105">
        <v>10108.799999999999</v>
      </c>
      <c r="V98" s="105">
        <v>9</v>
      </c>
      <c r="W98" s="105">
        <v>11372.4</v>
      </c>
      <c r="X98" s="105">
        <v>6</v>
      </c>
      <c r="Y98" s="105">
        <v>7581.5999999999995</v>
      </c>
      <c r="Z98" s="105">
        <v>8</v>
      </c>
      <c r="AA98" s="105">
        <v>10108.799999999999</v>
      </c>
      <c r="AB98" s="105">
        <v>12</v>
      </c>
      <c r="AC98" s="105">
        <v>15163.199999999999</v>
      </c>
      <c r="AD98" s="105">
        <v>10</v>
      </c>
      <c r="AE98" s="105">
        <v>12636</v>
      </c>
      <c r="AF98" s="105">
        <v>9</v>
      </c>
      <c r="AG98" s="105">
        <v>11372.4</v>
      </c>
      <c r="AH98" s="105">
        <v>8</v>
      </c>
      <c r="AI98" s="105">
        <v>10108.799999999999</v>
      </c>
      <c r="AJ98" s="105">
        <v>14</v>
      </c>
      <c r="AK98" s="105">
        <v>17690.399999999998</v>
      </c>
      <c r="AL98" s="105">
        <v>13</v>
      </c>
      <c r="AM98" s="105">
        <v>16426.8</v>
      </c>
      <c r="AN98" s="105">
        <v>10</v>
      </c>
      <c r="AO98" s="105">
        <v>12636</v>
      </c>
      <c r="AP98" s="105">
        <v>13</v>
      </c>
      <c r="AQ98" s="105">
        <v>16426.8</v>
      </c>
      <c r="AR98" s="105">
        <v>9</v>
      </c>
      <c r="AS98" s="105">
        <v>11372.4</v>
      </c>
      <c r="AT98" s="105">
        <v>12</v>
      </c>
      <c r="AU98" s="105">
        <v>15163.199999999999</v>
      </c>
      <c r="AV98" s="105">
        <v>16</v>
      </c>
      <c r="AW98" s="105">
        <v>20217.599999999999</v>
      </c>
      <c r="AX98" s="105">
        <v>14</v>
      </c>
      <c r="AY98" s="105">
        <v>17690.399999999998</v>
      </c>
      <c r="AZ98" s="105">
        <v>20</v>
      </c>
      <c r="BA98" s="105">
        <v>25272</v>
      </c>
      <c r="BB98" s="105">
        <v>18</v>
      </c>
      <c r="BC98" s="105">
        <v>22744.799999999999</v>
      </c>
      <c r="BD98" s="105">
        <v>17</v>
      </c>
      <c r="BE98" s="105">
        <v>21481.199999999997</v>
      </c>
      <c r="BF98" s="105">
        <v>15</v>
      </c>
      <c r="BG98" s="105">
        <v>18954</v>
      </c>
      <c r="BH98" s="105">
        <v>14</v>
      </c>
      <c r="BI98" s="105">
        <v>17690.399999999998</v>
      </c>
      <c r="BJ98" s="105">
        <v>27</v>
      </c>
      <c r="BK98" s="105">
        <v>34117.199999999997</v>
      </c>
      <c r="BL98" s="105">
        <v>16</v>
      </c>
      <c r="BM98" s="105">
        <v>20217.599999999999</v>
      </c>
      <c r="BN98" s="105">
        <v>27</v>
      </c>
      <c r="BO98" s="105">
        <v>34117.199999999997</v>
      </c>
      <c r="BP98" s="105">
        <v>21</v>
      </c>
      <c r="BQ98" s="105">
        <v>26535.599999999999</v>
      </c>
      <c r="BR98" s="105">
        <v>34</v>
      </c>
      <c r="BS98" s="105">
        <v>42962.399999999994</v>
      </c>
      <c r="BT98" s="105">
        <v>35</v>
      </c>
      <c r="BU98" s="105">
        <v>44226</v>
      </c>
      <c r="BV98" s="105">
        <v>19</v>
      </c>
      <c r="BW98" s="105">
        <v>24008.399999999998</v>
      </c>
      <c r="BX98" s="105">
        <v>30</v>
      </c>
      <c r="BY98" s="105">
        <v>37908</v>
      </c>
      <c r="BZ98" s="105">
        <v>45</v>
      </c>
      <c r="CA98" s="105">
        <v>56861.999999999993</v>
      </c>
      <c r="CB98" s="105">
        <v>24.325742662848949</v>
      </c>
      <c r="CC98" s="105">
        <v>30738.008428775931</v>
      </c>
      <c r="CD98" s="105">
        <v>2.6438890605686032</v>
      </c>
      <c r="CE98" s="105">
        <v>3340.8182169344868</v>
      </c>
      <c r="CF98" s="105">
        <v>1.5441359303771238</v>
      </c>
      <c r="CG98" s="105">
        <v>1951.1701616245334</v>
      </c>
      <c r="CH98" s="105">
        <v>19.706428220842341</v>
      </c>
      <c r="CI98" s="105">
        <v>24901.042699856382</v>
      </c>
      <c r="CJ98" s="105">
        <v>14.181997935562475</v>
      </c>
      <c r="CK98" s="105">
        <v>17920.372591376741</v>
      </c>
      <c r="CL98" s="105">
        <v>34.283983987090366</v>
      </c>
      <c r="CM98" s="105">
        <v>43321.242166087381</v>
      </c>
      <c r="CN98" s="105">
        <v>3.0184343917368017</v>
      </c>
      <c r="CO98" s="105">
        <v>3814.0936973986222</v>
      </c>
      <c r="CP98" s="105">
        <v>20.854103703088676</v>
      </c>
      <c r="CQ98" s="105">
        <v>26351.24543922285</v>
      </c>
      <c r="CR98" s="105">
        <v>16.362880434782607</v>
      </c>
      <c r="CS98" s="105">
        <v>20676.135717391302</v>
      </c>
      <c r="CT98" s="105">
        <v>3.879829943899018</v>
      </c>
      <c r="CU98" s="105">
        <v>4902.5531171107987</v>
      </c>
    </row>
    <row r="99" spans="2:99" x14ac:dyDescent="0.25">
      <c r="C99" s="104" t="s">
        <v>264</v>
      </c>
      <c r="D99" s="105">
        <v>0</v>
      </c>
      <c r="E99" s="105">
        <v>0</v>
      </c>
      <c r="F99" s="105">
        <v>0</v>
      </c>
      <c r="G99" s="105">
        <v>0</v>
      </c>
      <c r="H99" s="105">
        <v>5</v>
      </c>
      <c r="I99" s="105">
        <v>27407.999999999996</v>
      </c>
      <c r="J99" s="105">
        <v>5</v>
      </c>
      <c r="K99" s="105">
        <v>27407.999999999996</v>
      </c>
      <c r="L99" s="105">
        <v>5</v>
      </c>
      <c r="M99" s="105">
        <v>27407.999999999996</v>
      </c>
      <c r="N99" s="105">
        <v>4</v>
      </c>
      <c r="O99" s="105">
        <v>21926.399999999998</v>
      </c>
      <c r="P99" s="105">
        <v>6</v>
      </c>
      <c r="Q99" s="105">
        <v>32889.599999999999</v>
      </c>
      <c r="R99" s="105">
        <v>6</v>
      </c>
      <c r="S99" s="105">
        <v>32889.599999999999</v>
      </c>
      <c r="T99" s="105">
        <v>7</v>
      </c>
      <c r="U99" s="105">
        <v>38371.199999999997</v>
      </c>
      <c r="V99" s="105">
        <v>7</v>
      </c>
      <c r="W99" s="105">
        <v>38371.199999999997</v>
      </c>
      <c r="X99" s="105">
        <v>5</v>
      </c>
      <c r="Y99" s="105">
        <v>27407.999999999996</v>
      </c>
      <c r="Z99" s="105">
        <v>6</v>
      </c>
      <c r="AA99" s="105">
        <v>32889.599999999999</v>
      </c>
      <c r="AB99" s="105">
        <v>8</v>
      </c>
      <c r="AC99" s="105">
        <v>43852.799999999996</v>
      </c>
      <c r="AD99" s="105">
        <v>7</v>
      </c>
      <c r="AE99" s="105">
        <v>38371.199999999997</v>
      </c>
      <c r="AF99" s="105">
        <v>7</v>
      </c>
      <c r="AG99" s="105">
        <v>38371.199999999997</v>
      </c>
      <c r="AH99" s="105">
        <v>6</v>
      </c>
      <c r="AI99" s="105">
        <v>32889.599999999999</v>
      </c>
      <c r="AJ99" s="105">
        <v>9</v>
      </c>
      <c r="AK99" s="105">
        <v>49334.399999999994</v>
      </c>
      <c r="AL99" s="105">
        <v>10</v>
      </c>
      <c r="AM99" s="105">
        <v>54815.999999999993</v>
      </c>
      <c r="AN99" s="105">
        <v>7</v>
      </c>
      <c r="AO99" s="105">
        <v>38371.199999999997</v>
      </c>
      <c r="AP99" s="105">
        <v>10</v>
      </c>
      <c r="AQ99" s="105">
        <v>54815.999999999993</v>
      </c>
      <c r="AR99" s="105">
        <v>7</v>
      </c>
      <c r="AS99" s="105">
        <v>38371.199999999997</v>
      </c>
      <c r="AT99" s="105">
        <v>8</v>
      </c>
      <c r="AU99" s="105">
        <v>43852.799999999996</v>
      </c>
      <c r="AV99" s="105">
        <v>12</v>
      </c>
      <c r="AW99" s="105">
        <v>65779.199999999997</v>
      </c>
      <c r="AX99" s="105">
        <v>10</v>
      </c>
      <c r="AY99" s="105">
        <v>54815.999999999993</v>
      </c>
      <c r="AZ99" s="105">
        <v>14</v>
      </c>
      <c r="BA99" s="105">
        <v>76742.399999999994</v>
      </c>
      <c r="BB99" s="105">
        <v>11</v>
      </c>
      <c r="BC99" s="105">
        <v>60297.599999999991</v>
      </c>
      <c r="BD99" s="105">
        <v>11</v>
      </c>
      <c r="BE99" s="105">
        <v>60297.599999999991</v>
      </c>
      <c r="BF99" s="105">
        <v>10</v>
      </c>
      <c r="BG99" s="105">
        <v>54815.999999999993</v>
      </c>
      <c r="BH99" s="105">
        <v>9</v>
      </c>
      <c r="BI99" s="105">
        <v>49334.399999999994</v>
      </c>
      <c r="BJ99" s="105">
        <v>20</v>
      </c>
      <c r="BK99" s="105">
        <v>109631.99999999999</v>
      </c>
      <c r="BL99" s="105">
        <v>11</v>
      </c>
      <c r="BM99" s="105">
        <v>60297.599999999991</v>
      </c>
      <c r="BN99" s="105">
        <v>20</v>
      </c>
      <c r="BO99" s="105">
        <v>109631.99999999999</v>
      </c>
      <c r="BP99" s="105">
        <v>14</v>
      </c>
      <c r="BQ99" s="105">
        <v>76742.399999999994</v>
      </c>
      <c r="BR99" s="105">
        <v>22</v>
      </c>
      <c r="BS99" s="105">
        <v>120595.19999999998</v>
      </c>
      <c r="BT99" s="105">
        <v>20</v>
      </c>
      <c r="BU99" s="105">
        <v>109631.99999999999</v>
      </c>
      <c r="BV99" s="105">
        <v>13</v>
      </c>
      <c r="BW99" s="105">
        <v>71260.799999999988</v>
      </c>
      <c r="BX99" s="105">
        <v>19</v>
      </c>
      <c r="BY99" s="105">
        <v>104150.39999999999</v>
      </c>
      <c r="BZ99" s="105">
        <v>30</v>
      </c>
      <c r="CA99" s="105">
        <v>164447.99999999997</v>
      </c>
      <c r="CB99" s="105">
        <v>16.217161775232633</v>
      </c>
      <c r="CC99" s="105">
        <v>88895.993987115187</v>
      </c>
      <c r="CD99" s="105">
        <v>1.7625927070457355</v>
      </c>
      <c r="CE99" s="105">
        <v>9661.8281829419029</v>
      </c>
      <c r="CF99" s="105">
        <v>0.77206796518856191</v>
      </c>
      <c r="CG99" s="105">
        <v>4232.1677579776206</v>
      </c>
      <c r="CH99" s="105">
        <v>11.176780184955359</v>
      </c>
      <c r="CI99" s="105">
        <v>61266.638261851287</v>
      </c>
      <c r="CJ99" s="105">
        <v>7.4133171026803835</v>
      </c>
      <c r="CK99" s="105">
        <v>40636.839030052783</v>
      </c>
      <c r="CL99" s="105">
        <v>16.805874503475668</v>
      </c>
      <c r="CM99" s="105">
        <v>92123.081678252216</v>
      </c>
      <c r="CN99" s="105">
        <v>1.5274005355776588</v>
      </c>
      <c r="CO99" s="105">
        <v>8372.5987758224928</v>
      </c>
      <c r="CP99" s="105">
        <v>9.6249709398870795</v>
      </c>
      <c r="CQ99" s="105">
        <v>52760.240704085008</v>
      </c>
      <c r="CR99" s="105">
        <v>8.0515760869565209</v>
      </c>
      <c r="CS99" s="105">
        <v>44135.51947826086</v>
      </c>
      <c r="CT99" s="105">
        <v>1.7599228611500701</v>
      </c>
      <c r="CU99" s="105">
        <v>9647.1931556802228</v>
      </c>
    </row>
    <row r="100" spans="2:99" x14ac:dyDescent="0.25">
      <c r="C100" s="104" t="s">
        <v>265</v>
      </c>
      <c r="D100" s="105">
        <v>0</v>
      </c>
      <c r="E100" s="105">
        <v>0</v>
      </c>
      <c r="F100" s="105">
        <v>0</v>
      </c>
      <c r="G100" s="105">
        <v>0</v>
      </c>
      <c r="H100" s="105">
        <v>6</v>
      </c>
      <c r="I100" s="105">
        <v>9734.4</v>
      </c>
      <c r="J100" s="105">
        <v>6</v>
      </c>
      <c r="K100" s="105">
        <v>9734.4</v>
      </c>
      <c r="L100" s="105">
        <v>7</v>
      </c>
      <c r="M100" s="105">
        <v>11356.8</v>
      </c>
      <c r="N100" s="105">
        <v>5</v>
      </c>
      <c r="O100" s="105">
        <v>8111.9999999999991</v>
      </c>
      <c r="P100" s="105">
        <v>7</v>
      </c>
      <c r="Q100" s="105">
        <v>11356.8</v>
      </c>
      <c r="R100" s="105">
        <v>6</v>
      </c>
      <c r="S100" s="105">
        <v>9734.4</v>
      </c>
      <c r="T100" s="105">
        <v>8</v>
      </c>
      <c r="U100" s="105">
        <v>12979.199999999999</v>
      </c>
      <c r="V100" s="105">
        <v>8</v>
      </c>
      <c r="W100" s="105">
        <v>12979.199999999999</v>
      </c>
      <c r="X100" s="105">
        <v>6</v>
      </c>
      <c r="Y100" s="105">
        <v>9734.4</v>
      </c>
      <c r="Z100" s="105">
        <v>7</v>
      </c>
      <c r="AA100" s="105">
        <v>11356.8</v>
      </c>
      <c r="AB100" s="105">
        <v>11</v>
      </c>
      <c r="AC100" s="105">
        <v>17846.399999999998</v>
      </c>
      <c r="AD100" s="105">
        <v>10</v>
      </c>
      <c r="AE100" s="105">
        <v>16223.999999999998</v>
      </c>
      <c r="AF100" s="105">
        <v>8</v>
      </c>
      <c r="AG100" s="105">
        <v>12979.199999999999</v>
      </c>
      <c r="AH100" s="105">
        <v>8</v>
      </c>
      <c r="AI100" s="105">
        <v>12979.199999999999</v>
      </c>
      <c r="AJ100" s="105">
        <v>12</v>
      </c>
      <c r="AK100" s="105">
        <v>19468.8</v>
      </c>
      <c r="AL100" s="105">
        <v>13</v>
      </c>
      <c r="AM100" s="105">
        <v>21091.199999999997</v>
      </c>
      <c r="AN100" s="105">
        <v>10</v>
      </c>
      <c r="AO100" s="105">
        <v>16223.999999999998</v>
      </c>
      <c r="AP100" s="105">
        <v>12</v>
      </c>
      <c r="AQ100" s="105">
        <v>19468.8</v>
      </c>
      <c r="AR100" s="105">
        <v>11</v>
      </c>
      <c r="AS100" s="105">
        <v>17846.399999999998</v>
      </c>
      <c r="AT100" s="105">
        <v>11</v>
      </c>
      <c r="AU100" s="105">
        <v>17846.399999999998</v>
      </c>
      <c r="AV100" s="105">
        <v>16</v>
      </c>
      <c r="AW100" s="105">
        <v>25958.399999999998</v>
      </c>
      <c r="AX100" s="105">
        <v>13</v>
      </c>
      <c r="AY100" s="105">
        <v>21091.199999999997</v>
      </c>
      <c r="AZ100" s="105">
        <v>20</v>
      </c>
      <c r="BA100" s="105">
        <v>32447.999999999996</v>
      </c>
      <c r="BB100" s="105">
        <v>15</v>
      </c>
      <c r="BC100" s="105">
        <v>24335.999999999996</v>
      </c>
      <c r="BD100" s="105">
        <v>14</v>
      </c>
      <c r="BE100" s="105">
        <v>22713.599999999999</v>
      </c>
      <c r="BF100" s="105">
        <v>14</v>
      </c>
      <c r="BG100" s="105">
        <v>22713.599999999999</v>
      </c>
      <c r="BH100" s="105">
        <v>14</v>
      </c>
      <c r="BI100" s="105">
        <v>22713.599999999999</v>
      </c>
      <c r="BJ100" s="105">
        <v>29</v>
      </c>
      <c r="BK100" s="105">
        <v>47049.599999999999</v>
      </c>
      <c r="BL100" s="105">
        <v>17</v>
      </c>
      <c r="BM100" s="105">
        <v>27580.799999999999</v>
      </c>
      <c r="BN100" s="105">
        <v>27</v>
      </c>
      <c r="BO100" s="105">
        <v>43804.799999999996</v>
      </c>
      <c r="BP100" s="105">
        <v>19</v>
      </c>
      <c r="BQ100" s="105">
        <v>30825.599999999999</v>
      </c>
      <c r="BR100" s="105">
        <v>29</v>
      </c>
      <c r="BS100" s="105">
        <v>47049.599999999999</v>
      </c>
      <c r="BT100" s="105">
        <v>30</v>
      </c>
      <c r="BU100" s="105">
        <v>48671.999999999993</v>
      </c>
      <c r="BV100" s="105">
        <v>18</v>
      </c>
      <c r="BW100" s="105">
        <v>29203.199999999997</v>
      </c>
      <c r="BX100" s="105">
        <v>30</v>
      </c>
      <c r="BY100" s="105">
        <v>48671.999999999993</v>
      </c>
      <c r="BZ100" s="105">
        <v>46</v>
      </c>
      <c r="CA100" s="105">
        <v>74630.399999999994</v>
      </c>
      <c r="CB100" s="105">
        <v>25.94745884037221</v>
      </c>
      <c r="CC100" s="105">
        <v>42097.15722261987</v>
      </c>
      <c r="CD100" s="105">
        <v>2.3795001545117427</v>
      </c>
      <c r="CE100" s="105">
        <v>3860.5010506798508</v>
      </c>
      <c r="CF100" s="105">
        <v>1.3028646912556983</v>
      </c>
      <c r="CG100" s="105">
        <v>2113.7676750932446</v>
      </c>
      <c r="CH100" s="105">
        <v>17.059296071773968</v>
      </c>
      <c r="CI100" s="105">
        <v>27677.001946846081</v>
      </c>
      <c r="CJ100" s="105">
        <v>12.248089126167592</v>
      </c>
      <c r="CK100" s="105">
        <v>19871.299798294302</v>
      </c>
      <c r="CL100" s="105">
        <v>32.939514026812311</v>
      </c>
      <c r="CM100" s="105">
        <v>53441.067557100287</v>
      </c>
      <c r="CN100" s="105">
        <v>2.6911342769701609</v>
      </c>
      <c r="CO100" s="105">
        <v>4366.0962509563888</v>
      </c>
      <c r="CP100" s="105">
        <v>20.166605778811025</v>
      </c>
      <c r="CQ100" s="105">
        <v>32718.301215543004</v>
      </c>
      <c r="CR100" s="105">
        <v>17.142065217391306</v>
      </c>
      <c r="CS100" s="105">
        <v>27811.286608695653</v>
      </c>
      <c r="CT100" s="105">
        <v>3.4798474754558204</v>
      </c>
      <c r="CU100" s="105">
        <v>5645.7045441795226</v>
      </c>
    </row>
    <row r="101" spans="2:99" x14ac:dyDescent="0.25">
      <c r="C101" s="104" t="s">
        <v>266</v>
      </c>
      <c r="D101" s="105">
        <v>0</v>
      </c>
      <c r="E101" s="105">
        <v>0</v>
      </c>
      <c r="F101" s="105">
        <v>0</v>
      </c>
      <c r="G101" s="105">
        <v>0</v>
      </c>
      <c r="H101" s="105">
        <v>6</v>
      </c>
      <c r="I101" s="105">
        <v>7142.4</v>
      </c>
      <c r="J101" s="105">
        <v>7</v>
      </c>
      <c r="K101" s="105">
        <v>8332.7999999999993</v>
      </c>
      <c r="L101" s="105">
        <v>7</v>
      </c>
      <c r="M101" s="105">
        <v>8332.7999999999993</v>
      </c>
      <c r="N101" s="105">
        <v>5</v>
      </c>
      <c r="O101" s="105">
        <v>5951.9999999999991</v>
      </c>
      <c r="P101" s="105">
        <v>7</v>
      </c>
      <c r="Q101" s="105">
        <v>8332.7999999999993</v>
      </c>
      <c r="R101" s="105">
        <v>7</v>
      </c>
      <c r="S101" s="105">
        <v>8332.7999999999993</v>
      </c>
      <c r="T101" s="105">
        <v>8</v>
      </c>
      <c r="U101" s="105">
        <v>9523.1999999999989</v>
      </c>
      <c r="V101" s="105">
        <v>8</v>
      </c>
      <c r="W101" s="105">
        <v>9523.1999999999989</v>
      </c>
      <c r="X101" s="105">
        <v>7</v>
      </c>
      <c r="Y101" s="105">
        <v>8332.7999999999993</v>
      </c>
      <c r="Z101" s="105">
        <v>8</v>
      </c>
      <c r="AA101" s="105">
        <v>9523.1999999999989</v>
      </c>
      <c r="AB101" s="105">
        <v>12</v>
      </c>
      <c r="AC101" s="105">
        <v>14284.8</v>
      </c>
      <c r="AD101" s="105">
        <v>10</v>
      </c>
      <c r="AE101" s="105">
        <v>11903.999999999998</v>
      </c>
      <c r="AF101" s="105">
        <v>10</v>
      </c>
      <c r="AG101" s="105">
        <v>11903.999999999998</v>
      </c>
      <c r="AH101" s="105">
        <v>8</v>
      </c>
      <c r="AI101" s="105">
        <v>9523.1999999999989</v>
      </c>
      <c r="AJ101" s="105">
        <v>15</v>
      </c>
      <c r="AK101" s="105">
        <v>17855.999999999996</v>
      </c>
      <c r="AL101" s="105">
        <v>14</v>
      </c>
      <c r="AM101" s="105">
        <v>16665.599999999999</v>
      </c>
      <c r="AN101" s="105">
        <v>11</v>
      </c>
      <c r="AO101" s="105">
        <v>13094.399999999998</v>
      </c>
      <c r="AP101" s="105">
        <v>13</v>
      </c>
      <c r="AQ101" s="105">
        <v>15475.199999999999</v>
      </c>
      <c r="AR101" s="105">
        <v>10</v>
      </c>
      <c r="AS101" s="105">
        <v>11903.999999999998</v>
      </c>
      <c r="AT101" s="105">
        <v>12</v>
      </c>
      <c r="AU101" s="105">
        <v>14284.8</v>
      </c>
      <c r="AV101" s="105">
        <v>16</v>
      </c>
      <c r="AW101" s="105">
        <v>19046.399999999998</v>
      </c>
      <c r="AX101" s="105">
        <v>14</v>
      </c>
      <c r="AY101" s="105">
        <v>16665.599999999999</v>
      </c>
      <c r="AZ101" s="105">
        <v>19</v>
      </c>
      <c r="BA101" s="105">
        <v>22617.599999999999</v>
      </c>
      <c r="BB101" s="105">
        <v>16</v>
      </c>
      <c r="BC101" s="105">
        <v>19046.399999999998</v>
      </c>
      <c r="BD101" s="105">
        <v>15</v>
      </c>
      <c r="BE101" s="105">
        <v>17855.999999999996</v>
      </c>
      <c r="BF101" s="105">
        <v>17</v>
      </c>
      <c r="BG101" s="105">
        <v>20236.8</v>
      </c>
      <c r="BH101" s="105">
        <v>15</v>
      </c>
      <c r="BI101" s="105">
        <v>17855.999999999996</v>
      </c>
      <c r="BJ101" s="105">
        <v>29</v>
      </c>
      <c r="BK101" s="105">
        <v>34521.599999999999</v>
      </c>
      <c r="BL101" s="105">
        <v>19</v>
      </c>
      <c r="BM101" s="105">
        <v>22617.599999999999</v>
      </c>
      <c r="BN101" s="105">
        <v>26</v>
      </c>
      <c r="BO101" s="105">
        <v>30950.399999999998</v>
      </c>
      <c r="BP101" s="105">
        <v>18</v>
      </c>
      <c r="BQ101" s="105">
        <v>21427.199999999997</v>
      </c>
      <c r="BR101" s="105">
        <v>35</v>
      </c>
      <c r="BS101" s="105">
        <v>41663.999999999993</v>
      </c>
      <c r="BT101" s="105">
        <v>32</v>
      </c>
      <c r="BU101" s="105">
        <v>38092.799999999996</v>
      </c>
      <c r="BV101" s="105">
        <v>19</v>
      </c>
      <c r="BW101" s="105">
        <v>22617.599999999999</v>
      </c>
      <c r="BX101" s="105">
        <v>34</v>
      </c>
      <c r="BY101" s="105">
        <v>40473.599999999999</v>
      </c>
      <c r="BZ101" s="105">
        <v>53</v>
      </c>
      <c r="CA101" s="105">
        <v>63091.19999999999</v>
      </c>
      <c r="CB101" s="105">
        <v>26.758316929133841</v>
      </c>
      <c r="CC101" s="105">
        <v>31853.100472440921</v>
      </c>
      <c r="CD101" s="105">
        <v>2.8201483312731765</v>
      </c>
      <c r="CE101" s="105">
        <v>3357.1045735475891</v>
      </c>
      <c r="CF101" s="105">
        <v>1.3511189390799834</v>
      </c>
      <c r="CG101" s="105">
        <v>1608.371985080812</v>
      </c>
      <c r="CH101" s="105">
        <v>17.647547660455832</v>
      </c>
      <c r="CI101" s="105">
        <v>21007.640735006618</v>
      </c>
      <c r="CJ101" s="105">
        <v>13.537361665764179</v>
      </c>
      <c r="CK101" s="105">
        <v>16114.875326925676</v>
      </c>
      <c r="CL101" s="105">
        <v>33.611749006951335</v>
      </c>
      <c r="CM101" s="105">
        <v>40011.426017874866</v>
      </c>
      <c r="CN101" s="105">
        <v>3.1275344299923491</v>
      </c>
      <c r="CO101" s="105">
        <v>3723.0169854628921</v>
      </c>
      <c r="CP101" s="105">
        <v>22.91659747592162</v>
      </c>
      <c r="CQ101" s="105">
        <v>27279.917635337093</v>
      </c>
      <c r="CR101" s="105">
        <v>18.440706521739131</v>
      </c>
      <c r="CS101" s="105">
        <v>21951.817043478259</v>
      </c>
      <c r="CT101" s="105">
        <v>3.7598352033660589</v>
      </c>
      <c r="CU101" s="105">
        <v>4475.7078260869557</v>
      </c>
    </row>
    <row r="102" spans="2:99" x14ac:dyDescent="0.25">
      <c r="C102" s="104" t="s">
        <v>267</v>
      </c>
      <c r="D102" s="105">
        <v>0</v>
      </c>
      <c r="E102" s="105">
        <v>0</v>
      </c>
      <c r="F102" s="105">
        <v>0</v>
      </c>
      <c r="G102" s="105">
        <v>0</v>
      </c>
      <c r="H102" s="105">
        <v>6</v>
      </c>
      <c r="I102" s="105">
        <v>11635.199999999999</v>
      </c>
      <c r="J102" s="105">
        <v>6</v>
      </c>
      <c r="K102" s="105">
        <v>11635.199999999999</v>
      </c>
      <c r="L102" s="105">
        <v>6</v>
      </c>
      <c r="M102" s="105">
        <v>11635.199999999999</v>
      </c>
      <c r="N102" s="105">
        <v>5</v>
      </c>
      <c r="O102" s="105">
        <v>9696</v>
      </c>
      <c r="P102" s="105">
        <v>8</v>
      </c>
      <c r="Q102" s="105">
        <v>15513.599999999999</v>
      </c>
      <c r="R102" s="105">
        <v>7</v>
      </c>
      <c r="S102" s="105">
        <v>13574.399999999998</v>
      </c>
      <c r="T102" s="105">
        <v>9</v>
      </c>
      <c r="U102" s="105">
        <v>17452.8</v>
      </c>
      <c r="V102" s="105">
        <v>8</v>
      </c>
      <c r="W102" s="105">
        <v>15513.599999999999</v>
      </c>
      <c r="X102" s="105">
        <v>7</v>
      </c>
      <c r="Y102" s="105">
        <v>13574.399999999998</v>
      </c>
      <c r="Z102" s="105">
        <v>8</v>
      </c>
      <c r="AA102" s="105">
        <v>15513.599999999999</v>
      </c>
      <c r="AB102" s="105">
        <v>10</v>
      </c>
      <c r="AC102" s="105">
        <v>19392</v>
      </c>
      <c r="AD102" s="105">
        <v>10</v>
      </c>
      <c r="AE102" s="105">
        <v>19392</v>
      </c>
      <c r="AF102" s="105">
        <v>9</v>
      </c>
      <c r="AG102" s="105">
        <v>17452.8</v>
      </c>
      <c r="AH102" s="105">
        <v>9</v>
      </c>
      <c r="AI102" s="105">
        <v>17452.8</v>
      </c>
      <c r="AJ102" s="105">
        <v>12</v>
      </c>
      <c r="AK102" s="105">
        <v>23270.399999999998</v>
      </c>
      <c r="AL102" s="105">
        <v>12</v>
      </c>
      <c r="AM102" s="105">
        <v>23270.399999999998</v>
      </c>
      <c r="AN102" s="105">
        <v>9</v>
      </c>
      <c r="AO102" s="105">
        <v>17452.8</v>
      </c>
      <c r="AP102" s="105">
        <v>14</v>
      </c>
      <c r="AQ102" s="105">
        <v>27148.799999999996</v>
      </c>
      <c r="AR102" s="105">
        <v>9</v>
      </c>
      <c r="AS102" s="105">
        <v>17452.8</v>
      </c>
      <c r="AT102" s="105">
        <v>12</v>
      </c>
      <c r="AU102" s="105">
        <v>23270.399999999998</v>
      </c>
      <c r="AV102" s="105">
        <v>14</v>
      </c>
      <c r="AW102" s="105">
        <v>27148.799999999996</v>
      </c>
      <c r="AX102" s="105">
        <v>13</v>
      </c>
      <c r="AY102" s="105">
        <v>25209.599999999999</v>
      </c>
      <c r="AZ102" s="105">
        <v>17</v>
      </c>
      <c r="BA102" s="105">
        <v>32966.399999999994</v>
      </c>
      <c r="BB102" s="105">
        <v>17</v>
      </c>
      <c r="BC102" s="105">
        <v>32966.399999999994</v>
      </c>
      <c r="BD102" s="105">
        <v>13</v>
      </c>
      <c r="BE102" s="105">
        <v>25209.599999999999</v>
      </c>
      <c r="BF102" s="105">
        <v>14</v>
      </c>
      <c r="BG102" s="105">
        <v>27148.799999999996</v>
      </c>
      <c r="BH102" s="105">
        <v>12</v>
      </c>
      <c r="BI102" s="105">
        <v>23270.399999999998</v>
      </c>
      <c r="BJ102" s="105">
        <v>24</v>
      </c>
      <c r="BK102" s="105">
        <v>46540.799999999996</v>
      </c>
      <c r="BL102" s="105">
        <v>17</v>
      </c>
      <c r="BM102" s="105">
        <v>32966.399999999994</v>
      </c>
      <c r="BN102" s="105">
        <v>23</v>
      </c>
      <c r="BO102" s="105">
        <v>44601.599999999999</v>
      </c>
      <c r="BP102" s="105">
        <v>17</v>
      </c>
      <c r="BQ102" s="105">
        <v>32966.399999999994</v>
      </c>
      <c r="BR102" s="105">
        <v>32</v>
      </c>
      <c r="BS102" s="105">
        <v>62054.399999999994</v>
      </c>
      <c r="BT102" s="105">
        <v>29</v>
      </c>
      <c r="BU102" s="105">
        <v>56236.799999999996</v>
      </c>
      <c r="BV102" s="105">
        <v>19</v>
      </c>
      <c r="BW102" s="105">
        <v>36844.799999999996</v>
      </c>
      <c r="BX102" s="105">
        <v>31</v>
      </c>
      <c r="BY102" s="105">
        <v>60115.199999999997</v>
      </c>
      <c r="BZ102" s="105">
        <v>50</v>
      </c>
      <c r="CA102" s="105">
        <v>96959.999999999985</v>
      </c>
      <c r="CB102" s="105">
        <v>24.325742662848949</v>
      </c>
      <c r="CC102" s="105">
        <v>47172.480171796677</v>
      </c>
      <c r="CD102" s="105">
        <v>2.5557594252163165</v>
      </c>
      <c r="CE102" s="105">
        <v>4956.1286773794809</v>
      </c>
      <c r="CF102" s="105">
        <v>1.1581019477828429</v>
      </c>
      <c r="CG102" s="105">
        <v>2245.791297140489</v>
      </c>
      <c r="CH102" s="105">
        <v>17.353421866114896</v>
      </c>
      <c r="CI102" s="105">
        <v>33651.755682770003</v>
      </c>
      <c r="CJ102" s="105">
        <v>11.281134721470149</v>
      </c>
      <c r="CK102" s="105">
        <v>21876.376451874912</v>
      </c>
      <c r="CL102" s="105">
        <v>28.233869165839128</v>
      </c>
      <c r="CM102" s="105">
        <v>54751.119086395229</v>
      </c>
      <c r="CN102" s="105">
        <v>2.6547675975516452</v>
      </c>
      <c r="CO102" s="105">
        <v>5148.12532517215</v>
      </c>
      <c r="CP102" s="105">
        <v>16.270784207904349</v>
      </c>
      <c r="CQ102" s="105">
        <v>31552.304735968111</v>
      </c>
      <c r="CR102" s="105">
        <v>16.103152173913042</v>
      </c>
      <c r="CS102" s="105">
        <v>31227.232695652168</v>
      </c>
      <c r="CT102" s="105">
        <v>3.5198457223001403</v>
      </c>
      <c r="CU102" s="105">
        <v>6825.6848246844311</v>
      </c>
    </row>
    <row r="103" spans="2:99" x14ac:dyDescent="0.25">
      <c r="C103" s="104" t="s">
        <v>268</v>
      </c>
      <c r="D103" s="105">
        <v>0</v>
      </c>
      <c r="E103" s="105">
        <v>0</v>
      </c>
      <c r="F103" s="105">
        <v>0</v>
      </c>
      <c r="G103" s="105">
        <v>0</v>
      </c>
      <c r="H103" s="105">
        <v>6</v>
      </c>
      <c r="I103" s="105">
        <v>12168</v>
      </c>
      <c r="J103" s="105">
        <v>6</v>
      </c>
      <c r="K103" s="105">
        <v>12168</v>
      </c>
      <c r="L103" s="105">
        <v>7</v>
      </c>
      <c r="M103" s="105">
        <v>14196</v>
      </c>
      <c r="N103" s="105">
        <v>5</v>
      </c>
      <c r="O103" s="105">
        <v>10140</v>
      </c>
      <c r="P103" s="105">
        <v>7</v>
      </c>
      <c r="Q103" s="105">
        <v>14196</v>
      </c>
      <c r="R103" s="105">
        <v>7</v>
      </c>
      <c r="S103" s="105">
        <v>14196</v>
      </c>
      <c r="T103" s="105">
        <v>8</v>
      </c>
      <c r="U103" s="105">
        <v>16224</v>
      </c>
      <c r="V103" s="105">
        <v>8</v>
      </c>
      <c r="W103" s="105">
        <v>16224</v>
      </c>
      <c r="X103" s="105">
        <v>6</v>
      </c>
      <c r="Y103" s="105">
        <v>12168</v>
      </c>
      <c r="Z103" s="105">
        <v>7</v>
      </c>
      <c r="AA103" s="105">
        <v>14196</v>
      </c>
      <c r="AB103" s="105">
        <v>12</v>
      </c>
      <c r="AC103" s="105">
        <v>24336</v>
      </c>
      <c r="AD103" s="105">
        <v>10</v>
      </c>
      <c r="AE103" s="105">
        <v>20280</v>
      </c>
      <c r="AF103" s="105">
        <v>9</v>
      </c>
      <c r="AG103" s="105">
        <v>18252</v>
      </c>
      <c r="AH103" s="105">
        <v>8</v>
      </c>
      <c r="AI103" s="105">
        <v>16224</v>
      </c>
      <c r="AJ103" s="105">
        <v>12</v>
      </c>
      <c r="AK103" s="105">
        <v>24336</v>
      </c>
      <c r="AL103" s="105">
        <v>14</v>
      </c>
      <c r="AM103" s="105">
        <v>28392</v>
      </c>
      <c r="AN103" s="105">
        <v>10</v>
      </c>
      <c r="AO103" s="105">
        <v>20280</v>
      </c>
      <c r="AP103" s="105">
        <v>13</v>
      </c>
      <c r="AQ103" s="105">
        <v>26364</v>
      </c>
      <c r="AR103" s="105">
        <v>10</v>
      </c>
      <c r="AS103" s="105">
        <v>20280</v>
      </c>
      <c r="AT103" s="105">
        <v>11</v>
      </c>
      <c r="AU103" s="105">
        <v>22308</v>
      </c>
      <c r="AV103" s="105">
        <v>16</v>
      </c>
      <c r="AW103" s="105">
        <v>32448</v>
      </c>
      <c r="AX103" s="105">
        <v>12</v>
      </c>
      <c r="AY103" s="105">
        <v>24336</v>
      </c>
      <c r="AZ103" s="105">
        <v>18</v>
      </c>
      <c r="BA103" s="105">
        <v>36504</v>
      </c>
      <c r="BB103" s="105">
        <v>15</v>
      </c>
      <c r="BC103" s="105">
        <v>30420</v>
      </c>
      <c r="BD103" s="105">
        <v>15</v>
      </c>
      <c r="BE103" s="105">
        <v>30420</v>
      </c>
      <c r="BF103" s="105">
        <v>15</v>
      </c>
      <c r="BG103" s="105">
        <v>30420</v>
      </c>
      <c r="BH103" s="105">
        <v>13</v>
      </c>
      <c r="BI103" s="105">
        <v>26364</v>
      </c>
      <c r="BJ103" s="105">
        <v>24</v>
      </c>
      <c r="BK103" s="105">
        <v>48672</v>
      </c>
      <c r="BL103" s="105">
        <v>17</v>
      </c>
      <c r="BM103" s="105">
        <v>34476</v>
      </c>
      <c r="BN103" s="105">
        <v>24</v>
      </c>
      <c r="BO103" s="105">
        <v>48672</v>
      </c>
      <c r="BP103" s="105">
        <v>16</v>
      </c>
      <c r="BQ103" s="105">
        <v>32448</v>
      </c>
      <c r="BR103" s="105">
        <v>31</v>
      </c>
      <c r="BS103" s="105">
        <v>62868</v>
      </c>
      <c r="BT103" s="105">
        <v>27</v>
      </c>
      <c r="BU103" s="105">
        <v>54756</v>
      </c>
      <c r="BV103" s="105">
        <v>19</v>
      </c>
      <c r="BW103" s="105">
        <v>38532</v>
      </c>
      <c r="BX103" s="105">
        <v>26</v>
      </c>
      <c r="BY103" s="105">
        <v>52728</v>
      </c>
      <c r="BZ103" s="105">
        <v>41</v>
      </c>
      <c r="CA103" s="105">
        <v>83148</v>
      </c>
      <c r="CB103" s="105">
        <v>22.704026485325684</v>
      </c>
      <c r="CC103" s="105">
        <v>46043.765712240485</v>
      </c>
      <c r="CD103" s="105">
        <v>2.6438890605686032</v>
      </c>
      <c r="CE103" s="105">
        <v>5361.8070148331271</v>
      </c>
      <c r="CF103" s="105">
        <v>1.206356195607128</v>
      </c>
      <c r="CG103" s="105">
        <v>2446.4903646912558</v>
      </c>
      <c r="CH103" s="105">
        <v>15.588667100069316</v>
      </c>
      <c r="CI103" s="105">
        <v>31613.816878940572</v>
      </c>
      <c r="CJ103" s="105">
        <v>11.281134721470149</v>
      </c>
      <c r="CK103" s="105">
        <v>22878.141215141462</v>
      </c>
      <c r="CL103" s="105">
        <v>30.250574106256206</v>
      </c>
      <c r="CM103" s="105">
        <v>61348.164287487583</v>
      </c>
      <c r="CN103" s="105">
        <v>2.8002343152257074</v>
      </c>
      <c r="CO103" s="105">
        <v>5678.8751912777343</v>
      </c>
      <c r="CP103" s="105">
        <v>19.249941879774159</v>
      </c>
      <c r="CQ103" s="105">
        <v>39038.882132181992</v>
      </c>
      <c r="CR103" s="105">
        <v>15.323967391304347</v>
      </c>
      <c r="CS103" s="105">
        <v>31077.005869565215</v>
      </c>
      <c r="CT103" s="105">
        <v>3.3598527349228613</v>
      </c>
      <c r="CU103" s="105">
        <v>6813.7813464235624</v>
      </c>
    </row>
    <row r="104" spans="2:99" x14ac:dyDescent="0.25">
      <c r="C104" s="104" t="s">
        <v>269</v>
      </c>
      <c r="D104" s="105">
        <v>0</v>
      </c>
      <c r="E104" s="105">
        <v>0</v>
      </c>
      <c r="F104" s="105">
        <v>0</v>
      </c>
      <c r="G104" s="105">
        <v>0</v>
      </c>
      <c r="H104" s="105">
        <v>6</v>
      </c>
      <c r="I104" s="105">
        <v>12434.400000000001</v>
      </c>
      <c r="J104" s="105">
        <v>6</v>
      </c>
      <c r="K104" s="105">
        <v>12434.400000000001</v>
      </c>
      <c r="L104" s="105">
        <v>7</v>
      </c>
      <c r="M104" s="105">
        <v>14506.800000000001</v>
      </c>
      <c r="N104" s="105">
        <v>5</v>
      </c>
      <c r="O104" s="105">
        <v>10362</v>
      </c>
      <c r="P104" s="105">
        <v>7</v>
      </c>
      <c r="Q104" s="105">
        <v>14506.800000000001</v>
      </c>
      <c r="R104" s="105">
        <v>7</v>
      </c>
      <c r="S104" s="105">
        <v>14506.800000000001</v>
      </c>
      <c r="T104" s="105">
        <v>8</v>
      </c>
      <c r="U104" s="105">
        <v>16579.2</v>
      </c>
      <c r="V104" s="105">
        <v>8</v>
      </c>
      <c r="W104" s="105">
        <v>16579.2</v>
      </c>
      <c r="X104" s="105">
        <v>7</v>
      </c>
      <c r="Y104" s="105">
        <v>14506.800000000001</v>
      </c>
      <c r="Z104" s="105">
        <v>7</v>
      </c>
      <c r="AA104" s="105">
        <v>14506.800000000001</v>
      </c>
      <c r="AB104" s="105">
        <v>11</v>
      </c>
      <c r="AC104" s="105">
        <v>22796.400000000001</v>
      </c>
      <c r="AD104" s="105">
        <v>9</v>
      </c>
      <c r="AE104" s="105">
        <v>18651.600000000002</v>
      </c>
      <c r="AF104" s="105">
        <v>9</v>
      </c>
      <c r="AG104" s="105">
        <v>18651.600000000002</v>
      </c>
      <c r="AH104" s="105">
        <v>8</v>
      </c>
      <c r="AI104" s="105">
        <v>16579.2</v>
      </c>
      <c r="AJ104" s="105">
        <v>11</v>
      </c>
      <c r="AK104" s="105">
        <v>22796.400000000001</v>
      </c>
      <c r="AL104" s="105">
        <v>13</v>
      </c>
      <c r="AM104" s="105">
        <v>26941.200000000001</v>
      </c>
      <c r="AN104" s="105">
        <v>9</v>
      </c>
      <c r="AO104" s="105">
        <v>18651.600000000002</v>
      </c>
      <c r="AP104" s="105">
        <v>13</v>
      </c>
      <c r="AQ104" s="105">
        <v>26941.200000000001</v>
      </c>
      <c r="AR104" s="105">
        <v>10</v>
      </c>
      <c r="AS104" s="105">
        <v>20724</v>
      </c>
      <c r="AT104" s="105">
        <v>12</v>
      </c>
      <c r="AU104" s="105">
        <v>24868.800000000003</v>
      </c>
      <c r="AV104" s="105">
        <v>13</v>
      </c>
      <c r="AW104" s="105">
        <v>26941.200000000001</v>
      </c>
      <c r="AX104" s="105">
        <v>14</v>
      </c>
      <c r="AY104" s="105">
        <v>29013.600000000002</v>
      </c>
      <c r="AZ104" s="105">
        <v>19</v>
      </c>
      <c r="BA104" s="105">
        <v>39375.599999999999</v>
      </c>
      <c r="BB104" s="105">
        <v>17</v>
      </c>
      <c r="BC104" s="105">
        <v>35230.800000000003</v>
      </c>
      <c r="BD104" s="105">
        <v>15</v>
      </c>
      <c r="BE104" s="105">
        <v>31086</v>
      </c>
      <c r="BF104" s="105">
        <v>14</v>
      </c>
      <c r="BG104" s="105">
        <v>29013.600000000002</v>
      </c>
      <c r="BH104" s="105">
        <v>14</v>
      </c>
      <c r="BI104" s="105">
        <v>29013.600000000002</v>
      </c>
      <c r="BJ104" s="105">
        <v>25</v>
      </c>
      <c r="BK104" s="105">
        <v>51810</v>
      </c>
      <c r="BL104" s="105">
        <v>15</v>
      </c>
      <c r="BM104" s="105">
        <v>31086</v>
      </c>
      <c r="BN104" s="105">
        <v>28</v>
      </c>
      <c r="BO104" s="105">
        <v>58027.200000000004</v>
      </c>
      <c r="BP104" s="105">
        <v>17</v>
      </c>
      <c r="BQ104" s="105">
        <v>35230.800000000003</v>
      </c>
      <c r="BR104" s="105">
        <v>30</v>
      </c>
      <c r="BS104" s="105">
        <v>62172</v>
      </c>
      <c r="BT104" s="105">
        <v>30</v>
      </c>
      <c r="BU104" s="105">
        <v>62172</v>
      </c>
      <c r="BV104" s="105">
        <v>16</v>
      </c>
      <c r="BW104" s="105">
        <v>33158.400000000001</v>
      </c>
      <c r="BX104" s="105">
        <v>30</v>
      </c>
      <c r="BY104" s="105">
        <v>62172</v>
      </c>
      <c r="BZ104" s="105">
        <v>44</v>
      </c>
      <c r="CA104" s="105">
        <v>91185.600000000006</v>
      </c>
      <c r="CB104" s="105">
        <v>21.89316839656405</v>
      </c>
      <c r="CC104" s="105">
        <v>45371.40218503934</v>
      </c>
      <c r="CD104" s="105">
        <v>2.6438890605686032</v>
      </c>
      <c r="CE104" s="105">
        <v>5479.1956891223736</v>
      </c>
      <c r="CF104" s="105">
        <v>1.1822290716949855</v>
      </c>
      <c r="CG104" s="105">
        <v>2450.0515281806879</v>
      </c>
      <c r="CH104" s="105">
        <v>16.176918688751176</v>
      </c>
      <c r="CI104" s="105">
        <v>33525.046290567938</v>
      </c>
      <c r="CJ104" s="105">
        <v>12.248089126167592</v>
      </c>
      <c r="CK104" s="105">
        <v>25382.939905069717</v>
      </c>
      <c r="CL104" s="105">
        <v>29.578339126117175</v>
      </c>
      <c r="CM104" s="105">
        <v>61298.150004965239</v>
      </c>
      <c r="CN104" s="105">
        <v>2.6547675975516452</v>
      </c>
      <c r="CO104" s="105">
        <v>5501.7403691660293</v>
      </c>
      <c r="CP104" s="105">
        <v>16.729116157422784</v>
      </c>
      <c r="CQ104" s="105">
        <v>34669.420324642975</v>
      </c>
      <c r="CR104" s="105">
        <v>15.06423913043478</v>
      </c>
      <c r="CS104" s="105">
        <v>31219.129173913039</v>
      </c>
      <c r="CT104" s="105">
        <v>3.1198632538569422</v>
      </c>
      <c r="CU104" s="105">
        <v>6465.6046072931276</v>
      </c>
    </row>
    <row r="105" spans="2:99" x14ac:dyDescent="0.25">
      <c r="C105" s="104" t="s">
        <v>270</v>
      </c>
      <c r="D105" s="105">
        <v>0</v>
      </c>
      <c r="E105" s="105">
        <v>0</v>
      </c>
      <c r="F105" s="105">
        <v>0</v>
      </c>
      <c r="G105" s="105">
        <v>0</v>
      </c>
      <c r="H105" s="105">
        <v>6</v>
      </c>
      <c r="I105" s="105">
        <v>11988</v>
      </c>
      <c r="J105" s="105">
        <v>7</v>
      </c>
      <c r="K105" s="105">
        <v>13986</v>
      </c>
      <c r="L105" s="105">
        <v>6</v>
      </c>
      <c r="M105" s="105">
        <v>11988</v>
      </c>
      <c r="N105" s="105">
        <v>5</v>
      </c>
      <c r="O105" s="105">
        <v>9990</v>
      </c>
      <c r="P105" s="105">
        <v>7</v>
      </c>
      <c r="Q105" s="105">
        <v>13986</v>
      </c>
      <c r="R105" s="105">
        <v>6</v>
      </c>
      <c r="S105" s="105">
        <v>11988</v>
      </c>
      <c r="T105" s="105">
        <v>9</v>
      </c>
      <c r="U105" s="105">
        <v>17982</v>
      </c>
      <c r="V105" s="105">
        <v>8</v>
      </c>
      <c r="W105" s="105">
        <v>15984</v>
      </c>
      <c r="X105" s="105">
        <v>6</v>
      </c>
      <c r="Y105" s="105">
        <v>11988</v>
      </c>
      <c r="Z105" s="105">
        <v>7</v>
      </c>
      <c r="AA105" s="105">
        <v>13986</v>
      </c>
      <c r="AB105" s="105">
        <v>11</v>
      </c>
      <c r="AC105" s="105">
        <v>21978</v>
      </c>
      <c r="AD105" s="105">
        <v>9</v>
      </c>
      <c r="AE105" s="105">
        <v>17982</v>
      </c>
      <c r="AF105" s="105">
        <v>9</v>
      </c>
      <c r="AG105" s="105">
        <v>17982</v>
      </c>
      <c r="AH105" s="105">
        <v>7</v>
      </c>
      <c r="AI105" s="105">
        <v>13986</v>
      </c>
      <c r="AJ105" s="105">
        <v>13</v>
      </c>
      <c r="AK105" s="105">
        <v>25974</v>
      </c>
      <c r="AL105" s="105">
        <v>12</v>
      </c>
      <c r="AM105" s="105">
        <v>23976</v>
      </c>
      <c r="AN105" s="105">
        <v>9</v>
      </c>
      <c r="AO105" s="105">
        <v>17982</v>
      </c>
      <c r="AP105" s="105">
        <v>13</v>
      </c>
      <c r="AQ105" s="105">
        <v>25974</v>
      </c>
      <c r="AR105" s="105">
        <v>9</v>
      </c>
      <c r="AS105" s="105">
        <v>17982</v>
      </c>
      <c r="AT105" s="105">
        <v>10</v>
      </c>
      <c r="AU105" s="105">
        <v>19980</v>
      </c>
      <c r="AV105" s="105">
        <v>15</v>
      </c>
      <c r="AW105" s="105">
        <v>29970</v>
      </c>
      <c r="AX105" s="105">
        <v>14</v>
      </c>
      <c r="AY105" s="105">
        <v>27972</v>
      </c>
      <c r="AZ105" s="105">
        <v>17</v>
      </c>
      <c r="BA105" s="105">
        <v>33966</v>
      </c>
      <c r="BB105" s="105">
        <v>16</v>
      </c>
      <c r="BC105" s="105">
        <v>31968</v>
      </c>
      <c r="BD105" s="105">
        <v>15</v>
      </c>
      <c r="BE105" s="105">
        <v>29970</v>
      </c>
      <c r="BF105" s="105">
        <v>15</v>
      </c>
      <c r="BG105" s="105">
        <v>29970</v>
      </c>
      <c r="BH105" s="105">
        <v>14</v>
      </c>
      <c r="BI105" s="105">
        <v>27972</v>
      </c>
      <c r="BJ105" s="105">
        <v>27</v>
      </c>
      <c r="BK105" s="105">
        <v>53946</v>
      </c>
      <c r="BL105" s="105">
        <v>17</v>
      </c>
      <c r="BM105" s="105">
        <v>33966</v>
      </c>
      <c r="BN105" s="105">
        <v>23</v>
      </c>
      <c r="BO105" s="105">
        <v>45954</v>
      </c>
      <c r="BP105" s="105">
        <v>19</v>
      </c>
      <c r="BQ105" s="105">
        <v>37962</v>
      </c>
      <c r="BR105" s="105">
        <v>31</v>
      </c>
      <c r="BS105" s="105">
        <v>61938</v>
      </c>
      <c r="BT105" s="105">
        <v>32</v>
      </c>
      <c r="BU105" s="105">
        <v>63936</v>
      </c>
      <c r="BV105" s="105">
        <v>19</v>
      </c>
      <c r="BW105" s="105">
        <v>37962</v>
      </c>
      <c r="BX105" s="105">
        <v>30</v>
      </c>
      <c r="BY105" s="105">
        <v>59940</v>
      </c>
      <c r="BZ105" s="105">
        <v>49</v>
      </c>
      <c r="CA105" s="105">
        <v>97902</v>
      </c>
      <c r="CB105" s="105">
        <v>22.704026485325684</v>
      </c>
      <c r="CC105" s="105">
        <v>45362.644917680715</v>
      </c>
      <c r="CD105" s="105">
        <v>2.3795001545117427</v>
      </c>
      <c r="CE105" s="105">
        <v>4754.2413087144623</v>
      </c>
      <c r="CF105" s="105">
        <v>1.3511189390799834</v>
      </c>
      <c r="CG105" s="105">
        <v>2699.535640281807</v>
      </c>
      <c r="CH105" s="105">
        <v>15.882792894410247</v>
      </c>
      <c r="CI105" s="105">
        <v>31733.820203031675</v>
      </c>
      <c r="CJ105" s="105">
        <v>12.892725395965885</v>
      </c>
      <c r="CK105" s="105">
        <v>25759.665341139837</v>
      </c>
      <c r="CL105" s="105">
        <v>32.267279046673288</v>
      </c>
      <c r="CM105" s="105">
        <v>64470.023535253225</v>
      </c>
      <c r="CN105" s="105">
        <v>2.5820342387146136</v>
      </c>
      <c r="CO105" s="105">
        <v>5158.9044089517984</v>
      </c>
      <c r="CP105" s="105">
        <v>17.41661408170043</v>
      </c>
      <c r="CQ105" s="105">
        <v>34798.394935237462</v>
      </c>
      <c r="CR105" s="105">
        <v>14.025326086956522</v>
      </c>
      <c r="CS105" s="105">
        <v>28022.601521739129</v>
      </c>
      <c r="CT105" s="105">
        <v>3.5598439691444601</v>
      </c>
      <c r="CU105" s="105">
        <v>7112.5682503506314</v>
      </c>
    </row>
    <row r="107" spans="2:99" x14ac:dyDescent="0.25">
      <c r="B107" s="109" t="s">
        <v>275</v>
      </c>
    </row>
    <row r="108" spans="2:99" x14ac:dyDescent="0.25">
      <c r="C108" s="104" t="s">
        <v>276</v>
      </c>
      <c r="D108" s="104" t="s">
        <v>92</v>
      </c>
      <c r="E108" s="104" t="s">
        <v>93</v>
      </c>
      <c r="F108" s="104" t="s">
        <v>94</v>
      </c>
      <c r="G108" s="104" t="s">
        <v>95</v>
      </c>
      <c r="H108" s="104" t="s">
        <v>96</v>
      </c>
      <c r="I108" s="104" t="s">
        <v>97</v>
      </c>
      <c r="J108" s="104" t="s">
        <v>98</v>
      </c>
      <c r="K108" s="104" t="s">
        <v>99</v>
      </c>
      <c r="L108" s="104" t="s">
        <v>100</v>
      </c>
      <c r="M108" s="104" t="s">
        <v>101</v>
      </c>
      <c r="N108" s="104" t="s">
        <v>102</v>
      </c>
      <c r="O108" s="104" t="s">
        <v>103</v>
      </c>
    </row>
    <row r="109" spans="2:99" x14ac:dyDescent="0.25">
      <c r="C109" s="104" t="s">
        <v>126</v>
      </c>
      <c r="D109" s="105">
        <f>SUM(D$6:D$19)+SUM(F$6:F$19)+SUM(H$6:H$19)+SUM(J$6:J$19)</f>
        <v>143</v>
      </c>
      <c r="E109" s="105">
        <f>SUM(L$6:L$19)+SUM(N$6:N$19)+SUM(P$6:P$19)+SUM(R$6:R$19)</f>
        <v>313</v>
      </c>
      <c r="F109" s="105">
        <f>SUM(T$6:T$19)+SUM(V$6:V$19)+SUM(X$6:X$19)+SUM(Z$6:Z$19)</f>
        <v>332</v>
      </c>
      <c r="G109" s="105">
        <f>SUM(AB$6:AB$19)+SUM(AD$6:AD$19)+SUM(AF$6:AF$19)+SUM(AH$6:AH$19)</f>
        <v>428</v>
      </c>
      <c r="H109" s="105">
        <f>SUM(AJ$6:AJ$19)+SUM(AL$6:AL$19)+SUM(AN$6:AN$19)+SUM(AP$6:AP$19)</f>
        <v>564</v>
      </c>
      <c r="I109" s="105">
        <f>SUM(AR$6:AR$19)+SUM(AT$6:AT$19)+SUM(AV$6:AV$19)+SUM(AX$6:AX$19)</f>
        <v>690</v>
      </c>
      <c r="J109" s="105">
        <f>SUM(AZ$6:AZ$19)+SUM(BB$6:BB$19)+SUM(BD$6:BD$19)+SUM(BF$6:BF$19)</f>
        <v>874</v>
      </c>
      <c r="K109" s="105">
        <f>SUM(BH$6:BH$19)+SUM(BJ$6:BJ$19)+SUM(BL$6:BL$19)+SUM(BN$6:BN$19)</f>
        <v>1238</v>
      </c>
      <c r="L109" s="105">
        <f>SUM(BP$6:BP$19)+SUM(BR$6:BR$19)+SUM(BT$6:BT$19)+SUM(BV$6:BV$19)</f>
        <v>1751</v>
      </c>
      <c r="M109" s="105">
        <f>SUM(BX$6:BX$19)+SUM(BZ$6:BZ$19)+SUM(CB$6:CB$19)+SUM(CD$6:CD$19)</f>
        <v>1014.8458609978292</v>
      </c>
      <c r="N109" s="105">
        <f>SUM(CF$6:CF$19)+SUM(CH$6:CH$19)+SUM(CJ$6:CJ$19)+SUM(CL$6:CL$19)</f>
        <v>680.81624891387605</v>
      </c>
      <c r="O109" s="105">
        <f>SUM(CN$6:CN$19)+SUM(CP$6:CP$19)+SUM(CR$6:CR$19)+SUM(CT$6:CT$19)</f>
        <v>574.15839637075464</v>
      </c>
    </row>
    <row r="110" spans="2:99" x14ac:dyDescent="0.25">
      <c r="C110" s="104" t="s">
        <v>127</v>
      </c>
      <c r="D110" s="105">
        <f>SUM(D$20:D$36)+SUM(F$20:F$36)+SUM(H$20:H$36)+SUM(J$20:J$36)</f>
        <v>310</v>
      </c>
      <c r="E110" s="105">
        <f>SUM(L$20:L$36)+SUM(N$20:N$36)+SUM(P$20:P$36)+SUM(R$20:R$36)</f>
        <v>613</v>
      </c>
      <c r="F110" s="105">
        <f>SUM(T$20:T$36)+SUM(V$20:V$36)+SUM(X$20:X$36)+SUM(Z$20:Z$36)</f>
        <v>866</v>
      </c>
      <c r="G110" s="105">
        <f>SUM(AB$20:AB$36)+SUM(AD$20:AD$36)+SUM(AF$20:AF$36)+SUM(AH$20:AH$36)</f>
        <v>990</v>
      </c>
      <c r="H110" s="105">
        <f>SUM(AJ$20:AJ$36)+SUM(AL$20:AL$36)+SUM(AN$20:AN$36)+SUM(AP$20:AP$36)</f>
        <v>1296</v>
      </c>
      <c r="I110" s="105">
        <f>SUM(AR$20:AR$36)+SUM(AT$20:AT$36)+SUM(AV$20:AV$36)+SUM(AX$20:AX$36)</f>
        <v>1537</v>
      </c>
      <c r="J110" s="105">
        <f>SUM(AZ$20:AZ$36)+SUM(BB$20:BB$36)+SUM(BD$20:BD$36)+SUM(BF$20:BF$36)</f>
        <v>1845</v>
      </c>
      <c r="K110" s="105">
        <f>SUM(BH$20:BH$36)+SUM(BJ$20:BJ$36)+SUM(BL$20:BL$36)+SUM(BN$20:BN$36)</f>
        <v>3067</v>
      </c>
      <c r="L110" s="105">
        <f>SUM(BP$20:BP$36)+SUM(BR$20:BR$36)+SUM(BT$20:BT$36)+SUM(BV$20:BV$36)</f>
        <v>3678</v>
      </c>
      <c r="M110" s="105">
        <f>SUM(BX$20:BX$36)+SUM(BZ$20:BZ$36)+SUM(CB$20:CB$36)+SUM(CD$20:CD$36)</f>
        <v>2723.1247411928789</v>
      </c>
      <c r="N110" s="105">
        <f>SUM(CF$20:CF$36)+SUM(CH$20:CH$36)+SUM(CJ$20:CJ$36)+SUM(CL$20:CL$36)</f>
        <v>1468.3150235611179</v>
      </c>
      <c r="O110" s="105">
        <f>SUM(CN$20:CN$36)+SUM(CP$20:CP$36)+SUM(CR$20:CR$36)+SUM(CT$20:CT$36)</f>
        <v>1202.6185727682757</v>
      </c>
    </row>
    <row r="111" spans="2:99" x14ac:dyDescent="0.25">
      <c r="C111" s="104" t="s">
        <v>128</v>
      </c>
      <c r="D111" s="105">
        <f>SUM(D$37:D$48)+SUM(F$37:F$48)+SUM(H$37:H$48)+SUM(J$37:J$48)</f>
        <v>138</v>
      </c>
      <c r="E111" s="105">
        <f>SUM(L$37:L$48)+SUM(N$37:N$48)+SUM(P$37:P$48)+SUM(R$37:R$48)</f>
        <v>356</v>
      </c>
      <c r="F111" s="105">
        <f>SUM(T$37:T$48)+SUM(V$37:V$48)+SUM(X$37:X$48)+SUM(Z$37:Z$48)</f>
        <v>412</v>
      </c>
      <c r="G111" s="105">
        <f>SUM(AB$37:AB$48)+SUM(AD$37:AD$48)+SUM(AF$37:AF$48)+SUM(AH$37:AH$48)</f>
        <v>530</v>
      </c>
      <c r="H111" s="105">
        <f>SUM(AJ$37:AJ$48)+SUM(AL$37:AL$48)+SUM(AN$37:AN$48)+SUM(AP$37:AP$48)</f>
        <v>586</v>
      </c>
      <c r="I111" s="105">
        <f>SUM(AR$37:AR$48)+SUM(AT$37:AT$48)+SUM(AV$37:AV$48)+SUM(AX$37:AX$48)</f>
        <v>592</v>
      </c>
      <c r="J111" s="105">
        <f>SUM(AZ$37:AZ$48)+SUM(BB$37:BB$48)+SUM(BD$37:BD$48)+SUM(BF$37:BF$48)</f>
        <v>912</v>
      </c>
      <c r="K111" s="105">
        <f>SUM(BH$37:BH$48)+SUM(BJ$37:BJ$48)+SUM(BL$37:BL$48)+SUM(BN$37:BN$48)</f>
        <v>1089</v>
      </c>
      <c r="L111" s="105">
        <f>SUM(BP$37:BP$48)+SUM(BR$37:BR$48)+SUM(BT$37:BT$48)+SUM(BV$37:BV$48)</f>
        <v>1421</v>
      </c>
      <c r="M111" s="105">
        <f>SUM(BX$37:BX$48)+SUM(BZ$37:BZ$48)+SUM(CB$37:CB$48)+SUM(CD$37:CD$48)</f>
        <v>1012.789052058706</v>
      </c>
      <c r="N111" s="105">
        <f>SUM(CF$37:CF$48)+SUM(CH$37:CH$48)+SUM(CJ$37:CJ$48)+SUM(CL$37:CL$48)</f>
        <v>607.17708737897249</v>
      </c>
      <c r="O111" s="105">
        <f>SUM(CN$37:CN$48)+SUM(CP$37:CP$48)+SUM(CR$37:CR$48)+SUM(CT$37:CT$48)</f>
        <v>486.34754359449465</v>
      </c>
    </row>
    <row r="112" spans="2:99" x14ac:dyDescent="0.25">
      <c r="C112" s="104" t="s">
        <v>129</v>
      </c>
      <c r="D112" s="105">
        <f>SUM(D$49:D$70)+SUM(F$49:F$70)+SUM(H$49:H$70)+SUM(J$49:J$70)</f>
        <v>189</v>
      </c>
      <c r="E112" s="105">
        <f>SUM(L$49:L$70)+SUM(N$49:N$70)+SUM(P$49:P$70)+SUM(R$49:R$70)</f>
        <v>451</v>
      </c>
      <c r="F112" s="105">
        <f>SUM(T$49:T$70)+SUM(V$49:V$70)+SUM(X$49:X$70)+SUM(Z$49:Z$70)</f>
        <v>638</v>
      </c>
      <c r="G112" s="105">
        <f>SUM(AB$49:AB$70)+SUM(AD$49:AD$70)+SUM(AF$49:AF$70)+SUM(AH$49:AH$70)</f>
        <v>654</v>
      </c>
      <c r="H112" s="105">
        <f>SUM(AJ$49:AJ$70)+SUM(AL$49:AL$70)+SUM(AN$49:AN$70)+SUM(AP$49:AP$70)</f>
        <v>886</v>
      </c>
      <c r="I112" s="105">
        <f>SUM(AR$49:AR$70)+SUM(AT$49:AT$70)+SUM(AV$49:AV$70)+SUM(AX$49:AX$70)</f>
        <v>1030</v>
      </c>
      <c r="J112" s="105">
        <f>SUM(AZ$49:AZ$70)+SUM(BB$49:BB$70)+SUM(BD$49:BD$70)+SUM(BF$49:BF$70)</f>
        <v>1268</v>
      </c>
      <c r="K112" s="105">
        <f>SUM(BH$49:BH$70)+SUM(BJ$49:BJ$70)+SUM(BL$49:BL$70)+SUM(BN$49:BN$70)</f>
        <v>1712</v>
      </c>
      <c r="L112" s="105">
        <f>SUM(BP$49:BP$70)+SUM(BR$49:BR$70)+SUM(BT$49:BT$70)+SUM(BV$49:BV$70)</f>
        <v>2048</v>
      </c>
      <c r="M112" s="105">
        <f>SUM(BX$49:BX$70)+SUM(BZ$49:BZ$70)+SUM(CB$49:CB$70)+SUM(CD$49:CD$70)</f>
        <v>1530.8051880606063</v>
      </c>
      <c r="N112" s="105">
        <f>SUM(CF$49:CF$70)+SUM(CH$49:CH$70)+SUM(CJ$49:CJ$70)+SUM(CL$49:CL$70)</f>
        <v>1195.2954908072711</v>
      </c>
      <c r="O112" s="105">
        <f>SUM(CN$49:CN$70)+SUM(CP$49:CP$70)+SUM(CR$49:CR$70)+SUM(CT$49:CT$70)</f>
        <v>745.17432715483278</v>
      </c>
    </row>
    <row r="113" spans="2:15" x14ac:dyDescent="0.25">
      <c r="C113" s="104" t="s">
        <v>130</v>
      </c>
      <c r="D113" s="105">
        <f>SUM(D$71:D$86)+SUM(F$71:F$86)+SUM(H$71:H$86)+SUM(J$71:J$86)</f>
        <v>217</v>
      </c>
      <c r="E113" s="105">
        <f>SUM(L$71:L$86)+SUM(N$71:N$86)+SUM(P$71:P$86)+SUM(R$71:R$86)</f>
        <v>381</v>
      </c>
      <c r="F113" s="105">
        <f>SUM(T$71:T$86)+SUM(V$71:V$86)+SUM(X$71:X$86)+SUM(Z$71:Z$86)</f>
        <v>635</v>
      </c>
      <c r="G113" s="105">
        <f>SUM(AB$71:AB$86)+SUM(AD$71:AD$86)+SUM(AF$71:AF$86)+SUM(AH$71:AH$86)</f>
        <v>715</v>
      </c>
      <c r="H113" s="105">
        <f>SUM(AJ$71:AJ$86)+SUM(AL$71:AL$86)+SUM(AN$71:AN$86)+SUM(AP$71:AP$86)</f>
        <v>697</v>
      </c>
      <c r="I113" s="105">
        <f>SUM(AR$71:AR$86)+SUM(AT$71:AT$86)+SUM(AV$71:AV$86)+SUM(AX$71:AX$86)</f>
        <v>1008</v>
      </c>
      <c r="J113" s="105">
        <f>SUM(AZ$71:AZ$86)+SUM(BB$71:BB$86)+SUM(BD$71:BD$86)+SUM(BF$71:BF$86)</f>
        <v>1396</v>
      </c>
      <c r="K113" s="105">
        <f>SUM(BH$71:BH$86)+SUM(BJ$71:BJ$86)+SUM(BL$71:BL$86)+SUM(BN$71:BN$86)</f>
        <v>1870</v>
      </c>
      <c r="L113" s="105">
        <f>SUM(BP$71:BP$86)+SUM(BR$71:BR$86)+SUM(BT$71:BT$86)+SUM(BV$71:BV$86)</f>
        <v>2610</v>
      </c>
      <c r="M113" s="105">
        <f>SUM(BX$71:BX$86)+SUM(BZ$71:BZ$86)+SUM(CB$71:CB$86)+SUM(CD$71:CD$86)</f>
        <v>2286.4760313382326</v>
      </c>
      <c r="N113" s="105">
        <f>SUM(CF$71:CF$86)+SUM(CH$71:CH$86)+SUM(CJ$71:CJ$86)+SUM(CL$71:CL$86)</f>
        <v>1393.2601849854755</v>
      </c>
      <c r="O113" s="105">
        <f>SUM(CN$71:CN$86)+SUM(CP$71:CP$86)+SUM(CR$71:CR$86)+SUM(CT$71:CT$86)</f>
        <v>871.6022764057127</v>
      </c>
    </row>
    <row r="114" spans="2:15" x14ac:dyDescent="0.25">
      <c r="C114" s="104" t="s">
        <v>131</v>
      </c>
      <c r="D114" s="105">
        <f>SUM(D$87:D$94)+SUM(F$87:F$94)+SUM(H$87:H$94)+SUM(J$87:J$94)</f>
        <v>55</v>
      </c>
      <c r="E114" s="105">
        <f>SUM(L$87:L$94)+SUM(N$87:N$94)+SUM(P$87:P$94)+SUM(R$87:R$94)</f>
        <v>146</v>
      </c>
      <c r="F114" s="105">
        <f>SUM(T$87:T$94)+SUM(V$87:V$94)+SUM(X$87:X$94)+SUM(Z$87:Z$94)</f>
        <v>172</v>
      </c>
      <c r="G114" s="105">
        <f>SUM(AB$87:AB$94)+SUM(AD$87:AD$94)+SUM(AF$87:AF$94)+SUM(AH$87:AH$94)</f>
        <v>188</v>
      </c>
      <c r="H114" s="105">
        <f>SUM(AJ$87:AJ$94)+SUM(AL$87:AL$94)+SUM(AN$87:AN$94)+SUM(AP$87:AP$94)</f>
        <v>266</v>
      </c>
      <c r="I114" s="105">
        <f>SUM(AR$87:AR$94)+SUM(AT$87:AT$94)+SUM(AV$87:AV$94)+SUM(AX$87:AX$94)</f>
        <v>278</v>
      </c>
      <c r="J114" s="105">
        <f>SUM(AZ$87:AZ$94)+SUM(BB$87:BB$94)+SUM(BD$87:BD$94)+SUM(BF$87:BF$94)</f>
        <v>509</v>
      </c>
      <c r="K114" s="105">
        <f>SUM(BH$87:BH$94)+SUM(BJ$87:BJ$94)+SUM(BL$87:BL$94)+SUM(BN$87:BN$94)</f>
        <v>500</v>
      </c>
      <c r="L114" s="105">
        <f>SUM(BP$87:BP$94)+SUM(BR$87:BR$94)+SUM(BT$87:BT$94)+SUM(BV$87:BV$94)</f>
        <v>579</v>
      </c>
      <c r="M114" s="105">
        <f>SUM(BX$87:BX$94)+SUM(BZ$87:BZ$94)+SUM(CB$87:CB$94)+SUM(CD$87:CD$94)</f>
        <v>632.0290389585266</v>
      </c>
      <c r="N114" s="105">
        <f>SUM(CF$87:CF$94)+SUM(CH$87:CH$94)+SUM(CJ$87:CJ$94)+SUM(CL$87:CL$94)</f>
        <v>569.19624718571527</v>
      </c>
      <c r="O114" s="105">
        <f>SUM(CN$87:CN$94)+SUM(CP$87:CP$94)+SUM(CR$87:CR$94)+SUM(CT$87:CT$94)</f>
        <v>338.60441123717862</v>
      </c>
    </row>
    <row r="115" spans="2:15" x14ac:dyDescent="0.25">
      <c r="C115" s="104" t="s">
        <v>132</v>
      </c>
      <c r="D115" s="105">
        <f>SUM(D$95:D$105)+SUM(F$95:F$105)+SUM(H$95:H$105)+SUM(J$95:J$105)</f>
        <v>136</v>
      </c>
      <c r="E115" s="105">
        <f>SUM(L$95:L$105)+SUM(N$95:N$105)+SUM(P$95:P$105)+SUM(R$95:R$105)</f>
        <v>279</v>
      </c>
      <c r="F115" s="105">
        <f>SUM(T$95:T$105)+SUM(V$95:V$105)+SUM(X$95:X$105)+SUM(Z$95:Z$105)</f>
        <v>335</v>
      </c>
      <c r="G115" s="105">
        <f>SUM(AB$95:AB$105)+SUM(AD$95:AD$105)+SUM(AF$95:AF$105)+SUM(AH$95:AH$105)</f>
        <v>405</v>
      </c>
      <c r="H115" s="105">
        <f>SUM(AJ$95:AJ$105)+SUM(AL$95:AL$105)+SUM(AN$95:AN$105)+SUM(AP$95:AP$105)</f>
        <v>525</v>
      </c>
      <c r="I115" s="105">
        <f>SUM(AR$95:AR$105)+SUM(AT$95:AT$105)+SUM(AV$95:AV$105)+SUM(AX$95:AX$105)</f>
        <v>532</v>
      </c>
      <c r="J115" s="105">
        <f>SUM(AZ$95:AZ$105)+SUM(BB$95:BB$105)+SUM(BD$95:BD$105)+SUM(BF$95:BF$105)</f>
        <v>694</v>
      </c>
      <c r="K115" s="105">
        <f>SUM(BH$95:BH$105)+SUM(BJ$95:BJ$105)+SUM(BL$95:BL$105)+SUM(BN$95:BN$105)</f>
        <v>891</v>
      </c>
      <c r="L115" s="105">
        <f>SUM(BP$95:BP$105)+SUM(BR$95:BR$105)+SUM(BT$95:BT$105)+SUM(BV$95:BV$105)</f>
        <v>1066</v>
      </c>
      <c r="M115" s="105">
        <f>SUM(BX$95:BX$105)+SUM(BZ$95:BZ$105)+SUM(CB$95:CB$105)+SUM(CD$95:CD$105)</f>
        <v>1109.6679978059774</v>
      </c>
      <c r="N115" s="105">
        <f>SUM(CF$95:CF$105)+SUM(CH$95:CH$105)+SUM(CJ$95:CJ$105)+SUM(CL$95:CL$105)</f>
        <v>670.4205567548147</v>
      </c>
      <c r="O115" s="105">
        <f>SUM(CN$95:CN$105)+SUM(CP$95:CP$105)+SUM(CR$95:CR$105)+SUM(CT$95:CT$105)</f>
        <v>442.62613288150862</v>
      </c>
    </row>
    <row r="116" spans="2:15" x14ac:dyDescent="0.25">
      <c r="C116" s="104" t="s">
        <v>277</v>
      </c>
      <c r="D116" s="105">
        <f t="shared" ref="D116:O116" si="0">SUM(D$109:D$115)</f>
        <v>1188</v>
      </c>
      <c r="E116" s="105">
        <f t="shared" si="0"/>
        <v>2539</v>
      </c>
      <c r="F116" s="105">
        <f t="shared" si="0"/>
        <v>3390</v>
      </c>
      <c r="G116" s="105">
        <f t="shared" si="0"/>
        <v>3910</v>
      </c>
      <c r="H116" s="105">
        <f t="shared" si="0"/>
        <v>4820</v>
      </c>
      <c r="I116" s="105">
        <f t="shared" si="0"/>
        <v>5667</v>
      </c>
      <c r="J116" s="105">
        <f t="shared" si="0"/>
        <v>7498</v>
      </c>
      <c r="K116" s="105">
        <f t="shared" si="0"/>
        <v>10367</v>
      </c>
      <c r="L116" s="105">
        <f t="shared" si="0"/>
        <v>13153</v>
      </c>
      <c r="M116" s="105">
        <f t="shared" si="0"/>
        <v>10309.737910412758</v>
      </c>
      <c r="N116" s="105">
        <f t="shared" si="0"/>
        <v>6584.4808395872424</v>
      </c>
      <c r="O116" s="105">
        <f t="shared" si="0"/>
        <v>4661.1316604127578</v>
      </c>
    </row>
    <row r="118" spans="2:15" x14ac:dyDescent="0.25">
      <c r="B118" s="108" t="s">
        <v>278</v>
      </c>
    </row>
    <row r="119" spans="2:15" x14ac:dyDescent="0.25">
      <c r="C119" s="104" t="s">
        <v>276</v>
      </c>
      <c r="D119" s="104" t="s">
        <v>92</v>
      </c>
      <c r="E119" s="104" t="s">
        <v>93</v>
      </c>
      <c r="F119" s="104" t="s">
        <v>94</v>
      </c>
      <c r="G119" s="104" t="s">
        <v>95</v>
      </c>
      <c r="H119" s="104" t="s">
        <v>96</v>
      </c>
      <c r="I119" s="104" t="s">
        <v>97</v>
      </c>
      <c r="J119" s="104" t="s">
        <v>98</v>
      </c>
      <c r="K119" s="104" t="s">
        <v>99</v>
      </c>
      <c r="L119" s="104" t="s">
        <v>100</v>
      </c>
      <c r="M119" s="104" t="s">
        <v>101</v>
      </c>
      <c r="N119" s="104" t="s">
        <v>102</v>
      </c>
      <c r="O119" s="104" t="s">
        <v>103</v>
      </c>
    </row>
    <row r="120" spans="2:15" x14ac:dyDescent="0.25">
      <c r="C120" s="104" t="s">
        <v>126</v>
      </c>
      <c r="D120" s="105">
        <f>D109*pricing!D15*2000</f>
        <v>1144000</v>
      </c>
      <c r="E120" s="105">
        <f>E109*pricing!E15*2000</f>
        <v>2333272.7272727275</v>
      </c>
      <c r="F120" s="105">
        <f>F109*pricing!F15*2000</f>
        <v>2293818.1818181821</v>
      </c>
      <c r="G120" s="105">
        <f>G109*pricing!G15*2000</f>
        <v>2723636.3636363642</v>
      </c>
      <c r="H120" s="105">
        <f>H109*pricing!H15*2000</f>
        <v>3281454.5454545463</v>
      </c>
      <c r="I120" s="105">
        <f>I109*pricing!I15*2000</f>
        <v>3638181.8181818197</v>
      </c>
      <c r="J120" s="105">
        <f>J109*pricing!J15*2000</f>
        <v>4131636.3636363656</v>
      </c>
      <c r="K120" s="105">
        <f>K109*pricing!K15*2000</f>
        <v>5177090.9090909138</v>
      </c>
      <c r="L120" s="105">
        <f>L109*pricing!L15*2000</f>
        <v>6367272.7272727331</v>
      </c>
      <c r="M120" s="105">
        <f>M109*pricing!M15*2000</f>
        <v>3136796.2976296572</v>
      </c>
      <c r="N120" s="105">
        <f>N109*pricing!N15*2000</f>
        <v>1732986.8154171417</v>
      </c>
      <c r="O120" s="105">
        <f>O109*pricing!O15*2000</f>
        <v>1148316.7927415112</v>
      </c>
    </row>
    <row r="121" spans="2:15" x14ac:dyDescent="0.25">
      <c r="C121" s="104" t="s">
        <v>127</v>
      </c>
      <c r="D121" s="105">
        <f>D110*pricing!D16*2000</f>
        <v>2480000</v>
      </c>
      <c r="E121" s="105">
        <f>E110*pricing!E16*2000</f>
        <v>4569636.3636363642</v>
      </c>
      <c r="F121" s="105">
        <f>F110*pricing!F16*2000</f>
        <v>5983272.7272727275</v>
      </c>
      <c r="G121" s="105">
        <f>G110*pricing!G16*2000</f>
        <v>6300000.0000000019</v>
      </c>
      <c r="H121" s="105">
        <f>H110*pricing!H16*2000</f>
        <v>7540363.6363636386</v>
      </c>
      <c r="I121" s="105">
        <f>I110*pricing!I16*2000</f>
        <v>8104181.8181818221</v>
      </c>
      <c r="J121" s="105">
        <f>J110*pricing!J16*2000</f>
        <v>8721818.1818181872</v>
      </c>
      <c r="K121" s="105">
        <f>K110*pricing!K16*2000</f>
        <v>12825636.363636374</v>
      </c>
      <c r="L121" s="105">
        <f>L110*pricing!L16*2000</f>
        <v>13374545.454545466</v>
      </c>
      <c r="M121" s="105">
        <f>M110*pricing!M16*2000</f>
        <v>8416931.0182325449</v>
      </c>
      <c r="N121" s="105">
        <f>N110*pricing!N16*2000</f>
        <v>3737529.1508828504</v>
      </c>
      <c r="O121" s="105">
        <f>O110*pricing!O16*2000</f>
        <v>2405237.1455365554</v>
      </c>
    </row>
    <row r="122" spans="2:15" x14ac:dyDescent="0.25">
      <c r="C122" s="104" t="s">
        <v>128</v>
      </c>
      <c r="D122" s="105">
        <f>D111*pricing!D17*2000</f>
        <v>1104000</v>
      </c>
      <c r="E122" s="105">
        <f>E111*pricing!E17*2000</f>
        <v>2653818.1818181821</v>
      </c>
      <c r="F122" s="105">
        <f>F111*pricing!F17*2000</f>
        <v>2846545.4545454551</v>
      </c>
      <c r="G122" s="105">
        <f>G111*pricing!G17*2000</f>
        <v>3372727.2727272734</v>
      </c>
      <c r="H122" s="105">
        <f>H111*pricing!H17*2000</f>
        <v>3409454.5454545463</v>
      </c>
      <c r="I122" s="105">
        <f>I111*pricing!I17*2000</f>
        <v>3121454.5454545468</v>
      </c>
      <c r="J122" s="105">
        <f>J111*pricing!J17*2000</f>
        <v>4311272.7272727294</v>
      </c>
      <c r="K122" s="105">
        <f>K111*pricing!K17*2000</f>
        <v>4554000.0000000037</v>
      </c>
      <c r="L122" s="105">
        <f>L111*pricing!L17*2000</f>
        <v>5167272.7272727322</v>
      </c>
      <c r="M122" s="105">
        <f>M111*pricing!M17*2000</f>
        <v>3130438.8881814582</v>
      </c>
      <c r="N122" s="105">
        <f>N111*pricing!N17*2000</f>
        <v>1545541.6769646595</v>
      </c>
      <c r="O122" s="105">
        <f>O111*pricing!O17*2000</f>
        <v>972695.08718899102</v>
      </c>
    </row>
    <row r="123" spans="2:15" x14ac:dyDescent="0.25">
      <c r="C123" s="104" t="s">
        <v>129</v>
      </c>
      <c r="D123" s="105">
        <f>D112*pricing!D18*2000</f>
        <v>1512000</v>
      </c>
      <c r="E123" s="105">
        <f>E112*pricing!E18*2000</f>
        <v>3362000</v>
      </c>
      <c r="F123" s="105">
        <f>F112*pricing!F18*2000</f>
        <v>4408000.0000000009</v>
      </c>
      <c r="G123" s="105">
        <f>G112*pricing!G18*2000</f>
        <v>4161818.181818183</v>
      </c>
      <c r="H123" s="105">
        <f>H112*pricing!H18*2000</f>
        <v>5154909.0909090927</v>
      </c>
      <c r="I123" s="105">
        <f>I112*pricing!I18*2000</f>
        <v>5430909.0909090936</v>
      </c>
      <c r="J123" s="105">
        <f>J112*pricing!J18*2000</f>
        <v>5994181.8181818221</v>
      </c>
      <c r="K123" s="105">
        <f>K112*pricing!K18*2000</f>
        <v>7159272.7272727331</v>
      </c>
      <c r="L123" s="105">
        <f>L112*pricing!L18*2000</f>
        <v>7447272.727272734</v>
      </c>
      <c r="M123" s="105">
        <f>M112*pricing!M18*2000</f>
        <v>4731579.6721873339</v>
      </c>
      <c r="N123" s="105">
        <f>N112*pricing!N18*2000</f>
        <v>3042570.3402366946</v>
      </c>
      <c r="O123" s="105">
        <f>O112*pricing!O18*2000</f>
        <v>1490348.6543096683</v>
      </c>
    </row>
    <row r="124" spans="2:15" x14ac:dyDescent="0.25">
      <c r="C124" s="104" t="s">
        <v>130</v>
      </c>
      <c r="D124" s="105">
        <f>D113*pricing!D19*2000</f>
        <v>1736000</v>
      </c>
      <c r="E124" s="105">
        <f>E113*pricing!E19*2000</f>
        <v>2840181.8181818184</v>
      </c>
      <c r="F124" s="105">
        <f>F113*pricing!F19*2000</f>
        <v>4387272.7272727275</v>
      </c>
      <c r="G124" s="105">
        <f>G113*pricing!G19*2000</f>
        <v>4550000.0000000009</v>
      </c>
      <c r="H124" s="105">
        <f>H113*pricing!H19*2000</f>
        <v>4055272.7272727289</v>
      </c>
      <c r="I124" s="105">
        <f>I113*pricing!I19*2000</f>
        <v>5314909.0909090936</v>
      </c>
      <c r="J124" s="105">
        <f>J113*pricing!J19*2000</f>
        <v>6599272.7272727313</v>
      </c>
      <c r="K124" s="105">
        <f>K113*pricing!K19*2000</f>
        <v>7820000.0000000065</v>
      </c>
      <c r="L124" s="105">
        <f>L113*pricing!L19*2000</f>
        <v>9490909.0909090992</v>
      </c>
      <c r="M124" s="105">
        <f>M113*pricing!M19*2000</f>
        <v>7067289.5514090909</v>
      </c>
      <c r="N124" s="105">
        <f>N113*pricing!N19*2000</f>
        <v>3546480.4708721247</v>
      </c>
      <c r="O124" s="105">
        <f>O113*pricing!O19*2000</f>
        <v>1743204.5528114287</v>
      </c>
    </row>
    <row r="125" spans="2:15" x14ac:dyDescent="0.25">
      <c r="C125" s="104" t="s">
        <v>131</v>
      </c>
      <c r="D125" s="105">
        <f>D114*pricing!D20*2000</f>
        <v>440000</v>
      </c>
      <c r="E125" s="105">
        <f>E114*pricing!E20*2000</f>
        <v>1088363.6363636365</v>
      </c>
      <c r="F125" s="105">
        <f>F114*pricing!F20*2000</f>
        <v>1188363.6363636365</v>
      </c>
      <c r="G125" s="105">
        <f>G114*pricing!G20*2000</f>
        <v>1196363.6363636367</v>
      </c>
      <c r="H125" s="105">
        <f>H114*pricing!H20*2000</f>
        <v>1547636.3636363642</v>
      </c>
      <c r="I125" s="105">
        <f>I114*pricing!I20*2000</f>
        <v>1465818.1818181823</v>
      </c>
      <c r="J125" s="105">
        <f>J114*pricing!J20*2000</f>
        <v>2406181.8181818197</v>
      </c>
      <c r="K125" s="105">
        <f>K114*pricing!K20*2000</f>
        <v>2090909.0909090929</v>
      </c>
      <c r="L125" s="105">
        <f>L114*pricing!L20*2000</f>
        <v>2105454.5454545473</v>
      </c>
      <c r="M125" s="105">
        <f>M114*pricing!M20*2000</f>
        <v>1953544.302235448</v>
      </c>
      <c r="N125" s="105">
        <f>N114*pricing!N20*2000</f>
        <v>1448863.1746545499</v>
      </c>
      <c r="O125" s="105">
        <f>O114*pricing!O20*2000</f>
        <v>677208.82247435849</v>
      </c>
    </row>
    <row r="126" spans="2:15" x14ac:dyDescent="0.25">
      <c r="C126" s="104" t="s">
        <v>132</v>
      </c>
      <c r="D126" s="105">
        <f>D115*pricing!D21*2000</f>
        <v>1088000</v>
      </c>
      <c r="E126" s="105">
        <f>E115*pricing!E21*2000</f>
        <v>2079818.1818181819</v>
      </c>
      <c r="F126" s="105">
        <f>F115*pricing!F21*2000</f>
        <v>2314545.4545454551</v>
      </c>
      <c r="G126" s="105">
        <f>G115*pricing!G21*2000</f>
        <v>2577272.727272728</v>
      </c>
      <c r="H126" s="105">
        <f>H115*pricing!H21*2000</f>
        <v>3054545.4545454555</v>
      </c>
      <c r="I126" s="105">
        <f>I115*pricing!I21*2000</f>
        <v>2805090.9090909106</v>
      </c>
      <c r="J126" s="105">
        <f>J115*pricing!J21*2000</f>
        <v>3280727.2727272748</v>
      </c>
      <c r="K126" s="105">
        <f>K115*pricing!K21*2000</f>
        <v>3726000.0000000033</v>
      </c>
      <c r="L126" s="105">
        <f>L115*pricing!L21*2000</f>
        <v>3876363.63636364</v>
      </c>
      <c r="M126" s="105">
        <f>M115*pricing!M21*2000</f>
        <v>3429882.9023093884</v>
      </c>
      <c r="N126" s="105">
        <f>N115*pricing!N21*2000</f>
        <v>1706525.0535577124</v>
      </c>
      <c r="O126" s="105">
        <f>O115*pricing!O21*2000</f>
        <v>885252.26576301886</v>
      </c>
    </row>
    <row r="127" spans="2:15" x14ac:dyDescent="0.25">
      <c r="C127" s="104" t="s">
        <v>277</v>
      </c>
      <c r="D127" s="105">
        <f t="shared" ref="D127:O127" si="1">SUM(D$120:D$126)</f>
        <v>9504000</v>
      </c>
      <c r="E127" s="105">
        <f t="shared" si="1"/>
        <v>18927090.90909091</v>
      </c>
      <c r="F127" s="105">
        <f t="shared" si="1"/>
        <v>23421818.181818187</v>
      </c>
      <c r="G127" s="105">
        <f t="shared" si="1"/>
        <v>24881818.181818187</v>
      </c>
      <c r="H127" s="105">
        <f t="shared" si="1"/>
        <v>28043636.363636374</v>
      </c>
      <c r="I127" s="105">
        <f t="shared" si="1"/>
        <v>29880545.454545468</v>
      </c>
      <c r="J127" s="105">
        <f t="shared" si="1"/>
        <v>35445090.909090929</v>
      </c>
      <c r="K127" s="105">
        <f t="shared" si="1"/>
        <v>43352909.090909123</v>
      </c>
      <c r="L127" s="105">
        <f t="shared" si="1"/>
        <v>47829090.909090951</v>
      </c>
      <c r="M127" s="105">
        <f t="shared" si="1"/>
        <v>31866462.632184919</v>
      </c>
      <c r="N127" s="105">
        <f t="shared" si="1"/>
        <v>16760496.682585731</v>
      </c>
      <c r="O127" s="105">
        <f t="shared" si="1"/>
        <v>9322263.3208255321</v>
      </c>
    </row>
    <row r="129" spans="2:15" x14ac:dyDescent="0.25">
      <c r="B129" s="108" t="s">
        <v>279</v>
      </c>
    </row>
    <row r="130" spans="2:15" x14ac:dyDescent="0.25">
      <c r="C130" s="110" t="s">
        <v>276</v>
      </c>
      <c r="D130" s="110" t="s">
        <v>92</v>
      </c>
      <c r="E130" s="110" t="s">
        <v>93</v>
      </c>
      <c r="F130" s="110" t="s">
        <v>94</v>
      </c>
      <c r="G130" s="110" t="s">
        <v>95</v>
      </c>
      <c r="H130" s="110" t="s">
        <v>96</v>
      </c>
      <c r="I130" s="110" t="s">
        <v>97</v>
      </c>
      <c r="J130" s="110" t="s">
        <v>98</v>
      </c>
      <c r="K130" s="110" t="s">
        <v>99</v>
      </c>
      <c r="L130" s="110" t="s">
        <v>100</v>
      </c>
      <c r="M130" s="110" t="s">
        <v>101</v>
      </c>
      <c r="N130" s="110" t="s">
        <v>102</v>
      </c>
      <c r="O130" s="110" t="s">
        <v>103</v>
      </c>
    </row>
    <row r="131" spans="2:15" x14ac:dyDescent="0.25">
      <c r="C131" s="110" t="s">
        <v>126</v>
      </c>
      <c r="D131" s="111">
        <f>SUM(E$6:E$19)+SUM(G$6:G$19)+SUM(I$6:I$19)+SUM(K$6:K$19)</f>
        <v>72746.399999999994</v>
      </c>
      <c r="E131" s="111">
        <f>SUM(M$6:M$19)+SUM(O$6:O$19)+SUM(Q$6:Q$19)+SUM(S$6:S$19)</f>
        <v>157754.4</v>
      </c>
      <c r="F131" s="111">
        <f>SUM(U$6:U$19)+SUM(W$6:W$19)+SUM(Y$6:Y$19)+SUM(AA$6:AA$19)</f>
        <v>168054</v>
      </c>
      <c r="G131" s="111">
        <f>SUM(AC$6:AC$19)+SUM(AE$6:AE$19)+SUM(AG$6:AG$19)+SUM(AI$6:AI$19)</f>
        <v>215722.80000000002</v>
      </c>
      <c r="H131" s="111">
        <f>SUM(AK$6:AK$19)+SUM(AM$6:AM$19)+SUM(AO$6:AO$19)+SUM(AQ$6:AQ$19)</f>
        <v>284834.39999999997</v>
      </c>
      <c r="I131" s="111">
        <f>SUM(AS$6:AS$19)+SUM(AU$6:AU$19)+SUM(AW$6:AW$19)+SUM(AY$6:AY$19)</f>
        <v>347636.4</v>
      </c>
      <c r="J131" s="111">
        <f>SUM(BA$6:BA$19)+SUM(BC$6:BC$19)+SUM(BE$6:BE$19)+SUM(BG$6:BG$19)</f>
        <v>442450.8</v>
      </c>
      <c r="K131" s="111">
        <f>SUM(BI$6:BI$19)+SUM(BK$6:BK$19)+SUM(BM$6:BM$19)+SUM(BO$6:BO$19)</f>
        <v>622982.40000000002</v>
      </c>
      <c r="L131" s="111">
        <f>SUM(BQ$6:BQ$19)+SUM(BS$6:BS$19)+SUM(BU$6:BU$19)+SUM(BW$6:BW$19)</f>
        <v>880291.19999999984</v>
      </c>
      <c r="M131" s="111">
        <f>SUM(BY$6:BY$19)+SUM(CA$6:CA$19)+SUM(CC$6:CC$19)+SUM(CE$6:CE$19)</f>
        <v>510706.5170064409</v>
      </c>
      <c r="N131" s="111">
        <f>SUM(CG$6:CG$19)+SUM(CI$6:CI$19)+SUM(CK$6:CK$19)+SUM(CM$6:CM$19)</f>
        <v>340940.88218556519</v>
      </c>
      <c r="O131" s="111">
        <f>SUM(CO$6:CO$19)+SUM(CQ$6:CQ$19)+SUM(CS$6:CS$19)+SUM(CU$6:CU$19)</f>
        <v>287796.76448153693</v>
      </c>
    </row>
    <row r="132" spans="2:15" x14ac:dyDescent="0.25">
      <c r="C132" s="110" t="s">
        <v>127</v>
      </c>
      <c r="D132" s="111">
        <f>SUM(E$20:E$36)+SUM(G$20:G$36)+SUM(I$20:I$36)+SUM(K$20:K$36)</f>
        <v>133053.6</v>
      </c>
      <c r="E132" s="111">
        <f>SUM(M$20:M$36)+SUM(O$20:O$36)+SUM(Q$20:Q$36)+SUM(S$20:S$36)</f>
        <v>263130</v>
      </c>
      <c r="F132" s="111">
        <f>SUM(U$20:U$36)+SUM(W$20:W$36)+SUM(Y$20:Y$36)+SUM(AA$20:AA$36)</f>
        <v>370005.6</v>
      </c>
      <c r="G132" s="111">
        <f>SUM(AC$20:AC$36)+SUM(AE$20:AE$36)+SUM(AG$20:AG$36)+SUM(AI$20:AI$36)</f>
        <v>424539.6</v>
      </c>
      <c r="H132" s="111">
        <f>SUM(AK$20:AK$36)+SUM(AM$20:AM$36)+SUM(AO$20:AO$36)+SUM(AQ$20:AQ$36)</f>
        <v>556153.19999999995</v>
      </c>
      <c r="I132" s="111">
        <f>SUM(AS$20:AS$36)+SUM(AU$20:AU$36)+SUM(AW$20:AW$36)+SUM(AY$20:AY$36)</f>
        <v>657511.19999999995</v>
      </c>
      <c r="J132" s="111">
        <f>SUM(BA$20:BA$36)+SUM(BC$20:BC$36)+SUM(BE$20:BE$36)+SUM(BG$20:BG$36)</f>
        <v>784351.2</v>
      </c>
      <c r="K132" s="111">
        <f>SUM(BI$20:BI$36)+SUM(BK$20:BK$36)+SUM(BM$20:BM$36)+SUM(BO$20:BO$36)</f>
        <v>1309352.3999999999</v>
      </c>
      <c r="L132" s="111">
        <f>SUM(BQ$20:BQ$36)+SUM(BS$20:BS$36)+SUM(BU$20:BU$36)+SUM(BW$20:BW$36)</f>
        <v>1558796.4</v>
      </c>
      <c r="M132" s="111">
        <f>SUM(BY$20:BY$36)+SUM(CA$20:CA$36)+SUM(CC$20:CC$36)+SUM(CE$20:CE$36)</f>
        <v>1154976.8010287129</v>
      </c>
      <c r="N132" s="111">
        <f>SUM(CG$20:CG$36)+SUM(CI$20:CI$36)+SUM(CK$20:CK$36)+SUM(CM$20:CM$36)</f>
        <v>622623.09327047807</v>
      </c>
      <c r="O132" s="111">
        <f>SUM(CO$20:CO$36)+SUM(CQ$20:CQ$36)+SUM(CS$20:CS$36)+SUM(CU$20:CU$36)</f>
        <v>507675.41262693249</v>
      </c>
    </row>
    <row r="133" spans="2:15" x14ac:dyDescent="0.25">
      <c r="C133" s="110" t="s">
        <v>128</v>
      </c>
      <c r="D133" s="111">
        <f>SUM(E$37:E$48)+SUM(G$37:G$48)+SUM(I$37:I$48)+SUM(K$37:K$48)</f>
        <v>144550.80000000002</v>
      </c>
      <c r="E133" s="111">
        <f>SUM(M$37:M$48)+SUM(O$37:O$48)+SUM(Q$37:Q$48)+SUM(S$37:S$48)</f>
        <v>372914.4</v>
      </c>
      <c r="F133" s="111">
        <f>SUM(U$37:U$48)+SUM(W$37:W$48)+SUM(Y$37:Y$48)+SUM(AA$37:AA$48)</f>
        <v>432393.6</v>
      </c>
      <c r="G133" s="111">
        <f>SUM(AC$37:AC$48)+SUM(AE$37:AE$48)+SUM(AG$37:AG$48)+SUM(AI$37:AI$48)</f>
        <v>555664.79999999993</v>
      </c>
      <c r="H133" s="111">
        <f>SUM(AK$37:AK$48)+SUM(AM$37:AM$48)+SUM(AO$37:AO$48)+SUM(AQ$37:AQ$48)</f>
        <v>615568.80000000005</v>
      </c>
      <c r="I133" s="111">
        <f>SUM(AS$37:AS$48)+SUM(AU$37:AU$48)+SUM(AW$37:AW$48)+SUM(AY$37:AY$48)</f>
        <v>620522.4</v>
      </c>
      <c r="J133" s="111">
        <f>SUM(BA$37:BA$48)+SUM(BC$37:BC$48)+SUM(BE$37:BE$48)+SUM(BG$37:BG$48)</f>
        <v>958000.79999999993</v>
      </c>
      <c r="K133" s="111">
        <f>SUM(BI$37:BI$48)+SUM(BK$37:BK$48)+SUM(BM$37:BM$48)+SUM(BO$37:BO$48)</f>
        <v>1137907.2</v>
      </c>
      <c r="L133" s="111">
        <f>SUM(BQ$37:BQ$48)+SUM(BS$37:BS$48)+SUM(BU$37:BU$48)+SUM(BW$37:BW$48)</f>
        <v>1489034.4</v>
      </c>
      <c r="M133" s="111">
        <f>SUM(BY$37:BY$48)+SUM(CA$37:CA$48)+SUM(CC$37:CC$48)+SUM(CE$37:CE$48)</f>
        <v>1057116.0992195536</v>
      </c>
      <c r="N133" s="111">
        <f>SUM(CG$37:CG$48)+SUM(CI$37:CI$48)+SUM(CK$37:CK$48)+SUM(CM$37:CM$48)</f>
        <v>635731.0771767284</v>
      </c>
      <c r="O133" s="111">
        <f>SUM(CO$37:CO$48)+SUM(CQ$37:CQ$48)+SUM(CS$37:CS$48)+SUM(CU$37:CU$48)</f>
        <v>507347.74742576969</v>
      </c>
    </row>
    <row r="134" spans="2:15" x14ac:dyDescent="0.25">
      <c r="C134" s="110" t="s">
        <v>129</v>
      </c>
      <c r="D134" s="111">
        <f>SUM(E$49:E$70)+SUM(G$49:G$70)+SUM(I$49:I$70)+SUM(K$49:K$70)</f>
        <v>161134.79999999999</v>
      </c>
      <c r="E134" s="111">
        <f>SUM(M$49:M$70)+SUM(O$49:O$70)+SUM(Q$49:Q$70)+SUM(S$49:S$70)</f>
        <v>386428.79999999993</v>
      </c>
      <c r="F134" s="111">
        <f>SUM(U$49:U$70)+SUM(W$49:W$70)+SUM(Y$49:Y$70)+SUM(AA$49:AA$70)</f>
        <v>544990.79999999993</v>
      </c>
      <c r="G134" s="111">
        <f>SUM(AC$49:AC$70)+SUM(AE$49:AE$70)+SUM(AG$49:AG$70)+SUM(AI$49:AI$70)</f>
        <v>551480.39999999991</v>
      </c>
      <c r="H134" s="111">
        <f>SUM(AK$49:AK$70)+SUM(AM$49:AM$70)+SUM(AO$49:AO$70)+SUM(AQ$49:AQ$70)</f>
        <v>751540.8</v>
      </c>
      <c r="I134" s="111">
        <f>SUM(AS$49:AS$70)+SUM(AU$49:AU$70)+SUM(AW$49:AW$70)+SUM(AY$49:AY$70)</f>
        <v>868663.2</v>
      </c>
      <c r="J134" s="111">
        <f>SUM(BA$49:BA$70)+SUM(BC$49:BC$70)+SUM(BE$49:BE$70)+SUM(BG$49:BG$70)</f>
        <v>1076259.5999999999</v>
      </c>
      <c r="K134" s="111">
        <f>SUM(BI$49:BI$70)+SUM(BK$49:BK$70)+SUM(BM$49:BM$70)+SUM(BO$49:BO$70)</f>
        <v>1445815.2</v>
      </c>
      <c r="L134" s="111">
        <f>SUM(BQ$49:BQ$70)+SUM(BS$49:BS$70)+SUM(BU$49:BU$70)+SUM(BW$49:BW$70)</f>
        <v>1728845.9999999998</v>
      </c>
      <c r="M134" s="111">
        <f>SUM(BY$49:BY$70)+SUM(CA$49:CA$70)+SUM(CC$49:CC$70)+SUM(CE$49:CE$70)</f>
        <v>1315028.5782703767</v>
      </c>
      <c r="N134" s="111">
        <f>SUM(CG$49:CG$70)+SUM(CI$49:CI$70)+SUM(CK$49:CK$70)+SUM(CM$49:CM$70)</f>
        <v>1017187.745307586</v>
      </c>
      <c r="O134" s="111">
        <f>SUM(CO$49:CO$70)+SUM(CQ$49:CQ$70)+SUM(CS$49:CS$70)+SUM(CU$49:CU$70)</f>
        <v>628542.27651853662</v>
      </c>
    </row>
    <row r="135" spans="2:15" x14ac:dyDescent="0.25">
      <c r="C135" s="110" t="s">
        <v>130</v>
      </c>
      <c r="D135" s="111">
        <f>SUM(E$71:E$86)+SUM(G$71:G$86)+SUM(I$71:I$86)+SUM(K$71:K$86)</f>
        <v>120741.59999999999</v>
      </c>
      <c r="E135" s="111">
        <f>SUM(M$71:M$86)+SUM(O$71:O$86)+SUM(Q$71:Q$86)+SUM(S$71:S$86)</f>
        <v>214198.80000000002</v>
      </c>
      <c r="F135" s="111">
        <f>SUM(U$71:U$86)+SUM(W$71:W$86)+SUM(Y$71:Y$86)+SUM(AA$71:AA$86)</f>
        <v>357405.6</v>
      </c>
      <c r="G135" s="111">
        <f>SUM(AC$71:AC$86)+SUM(AE$71:AE$86)+SUM(AG$71:AG$86)+SUM(AI$71:AI$86)</f>
        <v>398672.39999999997</v>
      </c>
      <c r="H135" s="111">
        <f>SUM(AK$71:AK$86)+SUM(AM$71:AM$86)+SUM(AO$71:AO$86)+SUM(AQ$71:AQ$86)</f>
        <v>390764.4</v>
      </c>
      <c r="I135" s="111">
        <f>SUM(AS$71:AS$86)+SUM(AU$71:AU$86)+SUM(AW$71:AW$86)+SUM(AY$71:AY$86)</f>
        <v>562309.19999999995</v>
      </c>
      <c r="J135" s="111">
        <f>SUM(BA$71:BA$86)+SUM(BC$71:BC$86)+SUM(BE$71:BE$86)+SUM(BG$71:BG$86)</f>
        <v>779727.59999999986</v>
      </c>
      <c r="K135" s="111">
        <f>SUM(BI$71:BI$86)+SUM(BK$71:BK$86)+SUM(BM$71:BM$86)+SUM(BO$71:BO$86)</f>
        <v>1038904.7999999999</v>
      </c>
      <c r="L135" s="111">
        <f>SUM(BQ$71:BQ$86)+SUM(BS$71:BS$86)+SUM(BU$71:BU$86)+SUM(BW$71:BW$86)</f>
        <v>1460734.7999999998</v>
      </c>
      <c r="M135" s="111">
        <f>SUM(BY$71:BY$86)+SUM(CA$71:CA$86)+SUM(CC$71:CC$86)+SUM(CE$71:CE$86)</f>
        <v>1271810.0806576202</v>
      </c>
      <c r="N135" s="111">
        <f>SUM(CG$71:CG$86)+SUM(CI$71:CI$86)+SUM(CK$71:CK$86)+SUM(CM$71:CM$86)</f>
        <v>770920.92256384622</v>
      </c>
      <c r="O135" s="111">
        <f>SUM(CO$71:CO$86)+SUM(CQ$71:CQ$86)+SUM(CS$71:CS$86)+SUM(CU$71:CU$86)</f>
        <v>482301.83518936043</v>
      </c>
    </row>
    <row r="136" spans="2:15" x14ac:dyDescent="0.25">
      <c r="C136" s="110" t="s">
        <v>131</v>
      </c>
      <c r="D136" s="111">
        <f>SUM(E$87:E$94)+SUM(G$87:G$94)+SUM(I$87:I$94)+SUM(K$87:K$94)</f>
        <v>111892.79999999999</v>
      </c>
      <c r="E136" s="111">
        <f>SUM(M$87:M$94)+SUM(O$87:O$94)+SUM(Q$87:Q$94)+SUM(S$87:S$94)</f>
        <v>296820</v>
      </c>
      <c r="F136" s="111">
        <f>SUM(U$87:U$94)+SUM(W$87:W$94)+SUM(Y$87:Y$94)+SUM(AA$87:AA$94)</f>
        <v>349541.99999999994</v>
      </c>
      <c r="G136" s="111">
        <f>SUM(AC$87:AC$94)+SUM(AE$87:AE$94)+SUM(AG$87:AG$94)+SUM(AI$87:AI$94)</f>
        <v>383937.6</v>
      </c>
      <c r="H136" s="111">
        <f>SUM(AK$87:AK$94)+SUM(AM$87:AM$94)+SUM(AO$87:AO$94)+SUM(AQ$87:AQ$94)</f>
        <v>539392.79999999993</v>
      </c>
      <c r="I136" s="111">
        <f>SUM(AS$87:AS$94)+SUM(AU$87:AU$94)+SUM(AW$87:AW$94)+SUM(AY$87:AY$94)</f>
        <v>566372.39999999991</v>
      </c>
      <c r="J136" s="111">
        <f>SUM(BA$87:BA$94)+SUM(BC$87:BC$94)+SUM(BE$87:BE$94)+SUM(BG$87:BG$94)</f>
        <v>1035194.3999999999</v>
      </c>
      <c r="K136" s="111">
        <f>SUM(BI$87:BI$94)+SUM(BK$87:BK$94)+SUM(BM$87:BM$94)+SUM(BO$87:BO$94)</f>
        <v>1018130.3999999999</v>
      </c>
      <c r="L136" s="111">
        <f>SUM(BQ$87:BQ$94)+SUM(BS$87:BS$94)+SUM(BU$87:BU$94)+SUM(BW$87:BW$94)</f>
        <v>1170818.3999999999</v>
      </c>
      <c r="M136" s="111">
        <f>SUM(BY$87:BY$94)+SUM(CA$87:CA$94)+SUM(CC$87:CC$94)+SUM(CE$87:CE$94)</f>
        <v>1280192.1057373944</v>
      </c>
      <c r="N136" s="111">
        <f>SUM(CG$87:CG$94)+SUM(CI$87:CI$94)+SUM(CK$87:CK$94)+SUM(CM$87:CM$94)</f>
        <v>1154298.3442524797</v>
      </c>
      <c r="O136" s="111">
        <f>SUM(CO$87:CO$94)+SUM(CQ$87:CQ$94)+SUM(CS$87:CS$94)+SUM(CU$87:CU$94)</f>
        <v>684681.24143657158</v>
      </c>
    </row>
    <row r="137" spans="2:15" x14ac:dyDescent="0.25">
      <c r="C137" s="110" t="s">
        <v>132</v>
      </c>
      <c r="D137" s="111">
        <f>SUM(E$95:E$105)+SUM(G$95:G$105)+SUM(I$95:I$105)+SUM(K$95:K$105)</f>
        <v>261638.39999999997</v>
      </c>
      <c r="E137" s="111">
        <f>SUM(M$95:M$105)+SUM(O$95:O$105)+SUM(Q$95:Q$105)+SUM(S$95:S$105)</f>
        <v>539727.6</v>
      </c>
      <c r="F137" s="111">
        <f>SUM(U$95:U$105)+SUM(W$95:W$105)+SUM(Y$95:Y$105)+SUM(AA$95:AA$105)</f>
        <v>645198</v>
      </c>
      <c r="G137" s="111">
        <f>SUM(AC$95:AC$105)+SUM(AE$95:AE$105)+SUM(AG$95:AG$105)+SUM(AI$95:AI$105)</f>
        <v>770205.59999999986</v>
      </c>
      <c r="H137" s="111">
        <f>SUM(AK$95:AK$105)+SUM(AM$95:AM$105)+SUM(AO$95:AO$105)+SUM(AQ$95:AQ$105)</f>
        <v>997846.8</v>
      </c>
      <c r="I137" s="111">
        <f>SUM(AS$95:AS$105)+SUM(AU$95:AU$105)+SUM(AW$95:AW$105)+SUM(AY$95:AY$105)</f>
        <v>1013649.6</v>
      </c>
      <c r="J137" s="111">
        <f>SUM(BA$95:BA$105)+SUM(BC$95:BC$105)+SUM(BE$95:BE$105)+SUM(BG$95:BG$105)</f>
        <v>1314134.3999999999</v>
      </c>
      <c r="K137" s="111">
        <f>SUM(BI$95:BI$105)+SUM(BK$95:BK$105)+SUM(BM$95:BM$105)+SUM(BO$95:BO$105)</f>
        <v>1687429.2</v>
      </c>
      <c r="L137" s="111">
        <f>SUM(BQ$95:BQ$105)+SUM(BS$95:BS$105)+SUM(BU$95:BU$105)+SUM(BW$95:BW$105)</f>
        <v>2005412.3999999997</v>
      </c>
      <c r="M137" s="111">
        <f>SUM(BY$95:BY$105)+SUM(CA$95:CA$105)+SUM(CC$95:CC$105)+SUM(CE$95:CE$105)</f>
        <v>2067359.7007411683</v>
      </c>
      <c r="N137" s="111">
        <f>SUM(CG$95:CG$105)+SUM(CI$95:CI$105)+SUM(CK$95:CK$105)+SUM(CM$95:CM$105)</f>
        <v>1230629.2220362707</v>
      </c>
      <c r="O137" s="111">
        <f>SUM(CO$95:CO$105)+SUM(CQ$95:CQ$105)+SUM(CS$95:CS$105)+SUM(CU$95:CU$105)</f>
        <v>796247.8270192201</v>
      </c>
    </row>
    <row r="138" spans="2:15" x14ac:dyDescent="0.25">
      <c r="C138" s="110" t="s">
        <v>277</v>
      </c>
      <c r="D138" s="105">
        <f t="shared" ref="D138:O138" si="2">SUM(D$131:D$137)</f>
        <v>1005758.3999999999</v>
      </c>
      <c r="E138" s="105">
        <f t="shared" si="2"/>
        <v>2230974</v>
      </c>
      <c r="F138" s="105">
        <f t="shared" si="2"/>
        <v>2867589.6</v>
      </c>
      <c r="G138" s="105">
        <f t="shared" si="2"/>
        <v>3300223.2</v>
      </c>
      <c r="H138" s="105">
        <f t="shared" si="2"/>
        <v>4136101.2</v>
      </c>
      <c r="I138" s="105">
        <f t="shared" si="2"/>
        <v>4636664.4000000004</v>
      </c>
      <c r="J138" s="105">
        <f t="shared" si="2"/>
        <v>6390118.7999999989</v>
      </c>
      <c r="K138" s="105">
        <f t="shared" si="2"/>
        <v>8260521.6000000006</v>
      </c>
      <c r="L138" s="105">
        <f t="shared" si="2"/>
        <v>10293933.6</v>
      </c>
      <c r="M138" s="105">
        <f t="shared" si="2"/>
        <v>8657189.8826612681</v>
      </c>
      <c r="N138" s="105">
        <f t="shared" si="2"/>
        <v>5772331.2867929544</v>
      </c>
      <c r="O138" s="105">
        <f t="shared" si="2"/>
        <v>3894593.1046979278</v>
      </c>
    </row>
  </sheetData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3.2" x14ac:dyDescent="0.25"/>
  <cols>
    <col min="1" max="16384" width="8.88671875" style="105"/>
  </cols>
  <sheetData>
    <row r="2" spans="1:99" x14ac:dyDescent="0.25">
      <c r="B2" s="107" t="s">
        <v>271</v>
      </c>
    </row>
    <row r="3" spans="1:99" x14ac:dyDescent="0.25">
      <c r="B3" s="108" t="s">
        <v>280</v>
      </c>
    </row>
    <row r="4" spans="1:99" x14ac:dyDescent="0.25">
      <c r="A4" s="106"/>
      <c r="B4" s="106"/>
      <c r="C4" s="104" t="s">
        <v>273</v>
      </c>
      <c r="D4" s="104" t="s">
        <v>92</v>
      </c>
      <c r="E4" s="106"/>
      <c r="F4" s="106"/>
      <c r="G4" s="106"/>
      <c r="H4" s="106"/>
      <c r="I4" s="106"/>
      <c r="J4" s="106"/>
      <c r="K4" s="106"/>
      <c r="L4" s="104" t="s">
        <v>93</v>
      </c>
      <c r="M4" s="106"/>
      <c r="N4" s="106"/>
      <c r="O4" s="106"/>
      <c r="P4" s="106"/>
      <c r="Q4" s="106"/>
      <c r="R4" s="106"/>
      <c r="S4" s="106"/>
      <c r="T4" s="104" t="s">
        <v>94</v>
      </c>
      <c r="U4" s="106"/>
      <c r="V4" s="106"/>
      <c r="W4" s="106"/>
      <c r="X4" s="106"/>
      <c r="Y4" s="106"/>
      <c r="Z4" s="106"/>
      <c r="AA4" s="106"/>
      <c r="AB4" s="104" t="s">
        <v>95</v>
      </c>
      <c r="AC4" s="106"/>
      <c r="AD4" s="106"/>
      <c r="AE4" s="106"/>
      <c r="AF4" s="106"/>
      <c r="AG4" s="106"/>
      <c r="AH4" s="106"/>
      <c r="AI4" s="106"/>
      <c r="AJ4" s="104" t="s">
        <v>96</v>
      </c>
      <c r="AK4" s="106"/>
      <c r="AL4" s="106"/>
      <c r="AM4" s="106"/>
      <c r="AN4" s="106"/>
      <c r="AO4" s="106"/>
      <c r="AP4" s="106"/>
      <c r="AQ4" s="106"/>
      <c r="AR4" s="104" t="s">
        <v>97</v>
      </c>
      <c r="AS4" s="106"/>
      <c r="AT4" s="106"/>
      <c r="AU4" s="106"/>
      <c r="AV4" s="106"/>
      <c r="AW4" s="106"/>
      <c r="AX4" s="106"/>
      <c r="AY4" s="106"/>
      <c r="AZ4" s="104" t="s">
        <v>98</v>
      </c>
      <c r="BA4" s="106"/>
      <c r="BB4" s="106"/>
      <c r="BC4" s="106"/>
      <c r="BD4" s="106"/>
      <c r="BE4" s="106"/>
      <c r="BF4" s="106"/>
      <c r="BG4" s="106"/>
      <c r="BH4" s="104" t="s">
        <v>99</v>
      </c>
      <c r="BI4" s="106"/>
      <c r="BJ4" s="106"/>
      <c r="BK4" s="106"/>
      <c r="BL4" s="106"/>
      <c r="BM4" s="106"/>
      <c r="BN4" s="106"/>
      <c r="BO4" s="106"/>
      <c r="BP4" s="104" t="s">
        <v>100</v>
      </c>
      <c r="BQ4" s="106"/>
      <c r="BR4" s="106"/>
      <c r="BS4" s="106"/>
      <c r="BT4" s="106"/>
      <c r="BU4" s="106"/>
      <c r="BV4" s="106"/>
      <c r="BW4" s="106"/>
      <c r="BX4" s="104" t="s">
        <v>101</v>
      </c>
      <c r="BY4" s="106"/>
      <c r="BZ4" s="106"/>
      <c r="CA4" s="106"/>
      <c r="CB4" s="106"/>
      <c r="CC4" s="106"/>
      <c r="CD4" s="106"/>
      <c r="CE4" s="106"/>
      <c r="CF4" s="104" t="s">
        <v>102</v>
      </c>
      <c r="CG4" s="106"/>
      <c r="CH4" s="106"/>
      <c r="CI4" s="106"/>
      <c r="CJ4" s="106"/>
      <c r="CK4" s="106"/>
      <c r="CL4" s="106"/>
      <c r="CM4" s="106"/>
      <c r="CN4" s="104" t="s">
        <v>103</v>
      </c>
      <c r="CO4" s="106"/>
      <c r="CP4" s="106"/>
      <c r="CQ4" s="106"/>
      <c r="CR4" s="106"/>
      <c r="CS4" s="106"/>
      <c r="CT4" s="106"/>
      <c r="CU4" s="106"/>
    </row>
    <row r="5" spans="1:99" x14ac:dyDescent="0.25">
      <c r="B5" s="104" t="s">
        <v>166</v>
      </c>
      <c r="C5" s="104" t="s">
        <v>274</v>
      </c>
      <c r="D5" s="104">
        <v>1</v>
      </c>
      <c r="E5" s="104"/>
      <c r="F5" s="104">
        <v>2</v>
      </c>
      <c r="G5" s="104"/>
      <c r="H5" s="104">
        <v>3</v>
      </c>
      <c r="I5" s="104"/>
      <c r="J5" s="104">
        <v>4</v>
      </c>
      <c r="K5" s="104"/>
      <c r="L5" s="104">
        <v>1</v>
      </c>
      <c r="M5" s="104"/>
      <c r="N5" s="104">
        <v>2</v>
      </c>
      <c r="O5" s="104"/>
      <c r="P5" s="104">
        <v>3</v>
      </c>
      <c r="Q5" s="104"/>
      <c r="R5" s="104">
        <v>4</v>
      </c>
      <c r="S5" s="104"/>
      <c r="T5" s="104">
        <v>1</v>
      </c>
      <c r="U5" s="104"/>
      <c r="V5" s="104">
        <v>2</v>
      </c>
      <c r="W5" s="104"/>
      <c r="X5" s="104">
        <v>3</v>
      </c>
      <c r="Y5" s="104"/>
      <c r="Z5" s="104">
        <v>4</v>
      </c>
      <c r="AA5" s="104"/>
      <c r="AB5" s="104">
        <v>1</v>
      </c>
      <c r="AC5" s="104"/>
      <c r="AD5" s="104">
        <v>2</v>
      </c>
      <c r="AE5" s="104"/>
      <c r="AF5" s="104">
        <v>3</v>
      </c>
      <c r="AG5" s="104"/>
      <c r="AH5" s="104">
        <v>4</v>
      </c>
      <c r="AI5" s="104"/>
      <c r="AJ5" s="104">
        <v>1</v>
      </c>
      <c r="AK5" s="104"/>
      <c r="AL5" s="104">
        <v>2</v>
      </c>
      <c r="AM5" s="104"/>
      <c r="AN5" s="104">
        <v>3</v>
      </c>
      <c r="AO5" s="104"/>
      <c r="AP5" s="104">
        <v>4</v>
      </c>
      <c r="AQ5" s="104"/>
      <c r="AR5" s="104">
        <v>1</v>
      </c>
      <c r="AS5" s="104"/>
      <c r="AT5" s="104">
        <v>2</v>
      </c>
      <c r="AU5" s="104"/>
      <c r="AV5" s="104">
        <v>3</v>
      </c>
      <c r="AW5" s="104"/>
      <c r="AX5" s="104">
        <v>4</v>
      </c>
      <c r="AY5" s="104"/>
      <c r="AZ5" s="104">
        <v>1</v>
      </c>
      <c r="BA5" s="104"/>
      <c r="BB5" s="104">
        <v>2</v>
      </c>
      <c r="BC5" s="104"/>
      <c r="BD5" s="104">
        <v>3</v>
      </c>
      <c r="BE5" s="104"/>
      <c r="BF5" s="104">
        <v>4</v>
      </c>
      <c r="BG5" s="104"/>
      <c r="BH5" s="104">
        <v>1</v>
      </c>
      <c r="BI5" s="104"/>
      <c r="BJ5" s="104">
        <v>2</v>
      </c>
      <c r="BK5" s="104"/>
      <c r="BL5" s="104">
        <v>3</v>
      </c>
      <c r="BM5" s="104"/>
      <c r="BN5" s="104">
        <v>4</v>
      </c>
      <c r="BO5" s="104"/>
      <c r="BP5" s="104">
        <v>1</v>
      </c>
      <c r="BQ5" s="104"/>
      <c r="BR5" s="104">
        <v>2</v>
      </c>
      <c r="BS5" s="104"/>
      <c r="BT5" s="104">
        <v>3</v>
      </c>
      <c r="BU5" s="104"/>
      <c r="BV5" s="104">
        <v>4</v>
      </c>
      <c r="BW5" s="104"/>
      <c r="BX5" s="104">
        <v>1</v>
      </c>
      <c r="BY5" s="104"/>
      <c r="BZ5" s="104">
        <v>2</v>
      </c>
      <c r="CA5" s="104"/>
      <c r="CB5" s="104">
        <v>3</v>
      </c>
      <c r="CC5" s="104"/>
      <c r="CD5" s="104">
        <v>4</v>
      </c>
      <c r="CE5" s="104"/>
      <c r="CF5" s="104">
        <v>1</v>
      </c>
      <c r="CG5" s="104"/>
      <c r="CH5" s="104">
        <v>2</v>
      </c>
      <c r="CI5" s="104"/>
      <c r="CJ5" s="104">
        <v>3</v>
      </c>
      <c r="CK5" s="104"/>
      <c r="CL5" s="104">
        <v>4</v>
      </c>
      <c r="CM5" s="104"/>
      <c r="CN5" s="104">
        <v>1</v>
      </c>
      <c r="CO5" s="104"/>
      <c r="CP5" s="104">
        <v>2</v>
      </c>
      <c r="CQ5" s="104"/>
      <c r="CR5" s="104">
        <v>3</v>
      </c>
      <c r="CS5" s="104"/>
      <c r="CT5" s="104">
        <v>4</v>
      </c>
      <c r="CU5" s="104"/>
    </row>
    <row r="6" spans="1:99" x14ac:dyDescent="0.25">
      <c r="B6" s="104" t="s">
        <v>126</v>
      </c>
      <c r="C6" s="104" t="s">
        <v>171</v>
      </c>
      <c r="D6" s="105">
        <v>0</v>
      </c>
      <c r="E6" s="105">
        <v>0</v>
      </c>
      <c r="F6" s="105">
        <v>0</v>
      </c>
      <c r="G6" s="105">
        <v>0</v>
      </c>
      <c r="H6" s="105">
        <v>0</v>
      </c>
      <c r="I6" s="105">
        <v>0</v>
      </c>
      <c r="J6" s="105">
        <v>5</v>
      </c>
      <c r="K6" s="105">
        <v>2892</v>
      </c>
      <c r="L6" s="105">
        <v>6</v>
      </c>
      <c r="M6" s="105">
        <v>3470.3999999999996</v>
      </c>
      <c r="N6" s="105">
        <v>5</v>
      </c>
      <c r="O6" s="105">
        <v>2892</v>
      </c>
      <c r="P6" s="105">
        <v>7</v>
      </c>
      <c r="Q6" s="105">
        <v>4048.7999999999997</v>
      </c>
      <c r="R6" s="105">
        <v>5</v>
      </c>
      <c r="S6" s="105">
        <v>2892</v>
      </c>
      <c r="T6" s="105">
        <v>4</v>
      </c>
      <c r="U6" s="105">
        <v>2313.6</v>
      </c>
      <c r="V6" s="105">
        <v>4</v>
      </c>
      <c r="W6" s="105">
        <v>2313.6</v>
      </c>
      <c r="X6" s="105">
        <v>5</v>
      </c>
      <c r="Y6" s="105">
        <v>2892</v>
      </c>
      <c r="Z6" s="105">
        <v>6</v>
      </c>
      <c r="AA6" s="105">
        <v>3470.3999999999996</v>
      </c>
      <c r="AB6" s="105">
        <v>9</v>
      </c>
      <c r="AC6" s="105">
        <v>5205.5999999999995</v>
      </c>
      <c r="AD6" s="105">
        <v>9</v>
      </c>
      <c r="AE6" s="105">
        <v>5205.5999999999995</v>
      </c>
      <c r="AF6" s="105">
        <v>7</v>
      </c>
      <c r="AG6" s="105">
        <v>4048.7999999999997</v>
      </c>
      <c r="AH6" s="105">
        <v>6</v>
      </c>
      <c r="AI6" s="105">
        <v>3470.3999999999996</v>
      </c>
      <c r="AJ6" s="105">
        <v>11</v>
      </c>
      <c r="AK6" s="105">
        <v>6362.4</v>
      </c>
      <c r="AL6" s="105">
        <v>7</v>
      </c>
      <c r="AM6" s="105">
        <v>4048.7999999999997</v>
      </c>
      <c r="AN6" s="105">
        <v>6</v>
      </c>
      <c r="AO6" s="105">
        <v>3470.3999999999996</v>
      </c>
      <c r="AP6" s="105">
        <v>9</v>
      </c>
      <c r="AQ6" s="105">
        <v>5205.5999999999995</v>
      </c>
      <c r="AR6" s="105">
        <v>13</v>
      </c>
      <c r="AS6" s="105">
        <v>7519.2</v>
      </c>
      <c r="AT6" s="105">
        <v>8</v>
      </c>
      <c r="AU6" s="105">
        <v>4627.2</v>
      </c>
      <c r="AV6" s="105">
        <v>13</v>
      </c>
      <c r="AW6" s="105">
        <v>7519.2</v>
      </c>
      <c r="AX6" s="105">
        <v>11</v>
      </c>
      <c r="AY6" s="105">
        <v>6362.4</v>
      </c>
      <c r="AZ6" s="105">
        <v>13</v>
      </c>
      <c r="BA6" s="105">
        <v>7519.2</v>
      </c>
      <c r="BB6" s="105">
        <v>13</v>
      </c>
      <c r="BC6" s="105">
        <v>7519.2</v>
      </c>
      <c r="BD6" s="105">
        <v>17</v>
      </c>
      <c r="BE6" s="105">
        <v>9832.7999999999993</v>
      </c>
      <c r="BF6" s="105">
        <v>17</v>
      </c>
      <c r="BG6" s="105">
        <v>9832.7999999999993</v>
      </c>
      <c r="BH6" s="105">
        <v>20</v>
      </c>
      <c r="BI6" s="105">
        <v>11568</v>
      </c>
      <c r="BJ6" s="105">
        <v>20</v>
      </c>
      <c r="BK6" s="105">
        <v>11568</v>
      </c>
      <c r="BL6" s="105">
        <v>24</v>
      </c>
      <c r="BM6" s="105">
        <v>13881.599999999999</v>
      </c>
      <c r="BN6" s="105">
        <v>21</v>
      </c>
      <c r="BO6" s="105">
        <v>12146.4</v>
      </c>
      <c r="BP6" s="105">
        <v>26</v>
      </c>
      <c r="BQ6" s="105">
        <v>15038.4</v>
      </c>
      <c r="BR6" s="105">
        <v>36</v>
      </c>
      <c r="BS6" s="105">
        <v>20822.399999999998</v>
      </c>
      <c r="BT6" s="105">
        <v>35</v>
      </c>
      <c r="BU6" s="105">
        <v>20244</v>
      </c>
      <c r="BV6" s="105">
        <v>25</v>
      </c>
      <c r="BW6" s="105">
        <v>14460</v>
      </c>
      <c r="BX6" s="105">
        <v>32</v>
      </c>
      <c r="BY6" s="105">
        <v>18508.8</v>
      </c>
      <c r="BZ6" s="105">
        <v>46</v>
      </c>
      <c r="CA6" s="105">
        <v>26606.399999999998</v>
      </c>
      <c r="CB6" s="105">
        <v>28.595581445633446</v>
      </c>
      <c r="CC6" s="105">
        <v>16539.684308154385</v>
      </c>
      <c r="CD6" s="105">
        <v>11.032468836221167</v>
      </c>
      <c r="CE6" s="105">
        <v>6381.1799748703224</v>
      </c>
      <c r="CF6" s="105">
        <v>6.5343084461943564</v>
      </c>
      <c r="CG6" s="105">
        <v>3779.4440052788154</v>
      </c>
      <c r="CH6" s="105">
        <v>0.93819469598965077</v>
      </c>
      <c r="CI6" s="105">
        <v>542.65181216041401</v>
      </c>
      <c r="CJ6" s="105">
        <v>4.3761801896733434</v>
      </c>
      <c r="CK6" s="105">
        <v>2531.1826217070616</v>
      </c>
      <c r="CL6" s="105">
        <v>4.9155308395872401</v>
      </c>
      <c r="CM6" s="105">
        <v>2843.1430376172598</v>
      </c>
      <c r="CN6" s="105">
        <v>16.385148477209615</v>
      </c>
      <c r="CO6" s="105">
        <v>9477.1698792180414</v>
      </c>
      <c r="CP6" s="105">
        <v>8.113276833927813</v>
      </c>
      <c r="CQ6" s="105">
        <v>4692.7193207438468</v>
      </c>
      <c r="CR6" s="105">
        <v>5.8837644794523083</v>
      </c>
      <c r="CS6" s="105">
        <v>3403.169374915215</v>
      </c>
      <c r="CT6" s="105">
        <v>1.1337706801010081</v>
      </c>
      <c r="CU6" s="105">
        <v>655.7729613704231</v>
      </c>
    </row>
    <row r="7" spans="1:99" x14ac:dyDescent="0.25">
      <c r="C7" s="104" t="s">
        <v>172</v>
      </c>
      <c r="D7" s="105">
        <v>0</v>
      </c>
      <c r="E7" s="105">
        <v>0</v>
      </c>
      <c r="F7" s="105">
        <v>0</v>
      </c>
      <c r="G7" s="105">
        <v>0</v>
      </c>
      <c r="H7" s="105">
        <v>0</v>
      </c>
      <c r="I7" s="105">
        <v>0</v>
      </c>
      <c r="J7" s="105">
        <v>4</v>
      </c>
      <c r="K7" s="105">
        <v>3153.6</v>
      </c>
      <c r="L7" s="105">
        <v>5</v>
      </c>
      <c r="M7" s="105">
        <v>3942</v>
      </c>
      <c r="N7" s="105">
        <v>5</v>
      </c>
      <c r="O7" s="105">
        <v>3942</v>
      </c>
      <c r="P7" s="105">
        <v>6</v>
      </c>
      <c r="Q7" s="105">
        <v>4730.3999999999996</v>
      </c>
      <c r="R7" s="105">
        <v>6</v>
      </c>
      <c r="S7" s="105">
        <v>4730.3999999999996</v>
      </c>
      <c r="T7" s="105">
        <v>4</v>
      </c>
      <c r="U7" s="105">
        <v>3153.6</v>
      </c>
      <c r="V7" s="105">
        <v>4</v>
      </c>
      <c r="W7" s="105">
        <v>3153.6</v>
      </c>
      <c r="X7" s="105">
        <v>5</v>
      </c>
      <c r="Y7" s="105">
        <v>3942</v>
      </c>
      <c r="Z7" s="105">
        <v>5</v>
      </c>
      <c r="AA7" s="105">
        <v>3942</v>
      </c>
      <c r="AB7" s="105">
        <v>9</v>
      </c>
      <c r="AC7" s="105">
        <v>7095.5999999999995</v>
      </c>
      <c r="AD7" s="105">
        <v>9</v>
      </c>
      <c r="AE7" s="105">
        <v>7095.5999999999995</v>
      </c>
      <c r="AF7" s="105">
        <v>7</v>
      </c>
      <c r="AG7" s="105">
        <v>5518.8</v>
      </c>
      <c r="AH7" s="105">
        <v>6</v>
      </c>
      <c r="AI7" s="105">
        <v>4730.3999999999996</v>
      </c>
      <c r="AJ7" s="105">
        <v>10</v>
      </c>
      <c r="AK7" s="105">
        <v>7884</v>
      </c>
      <c r="AL7" s="105">
        <v>6</v>
      </c>
      <c r="AM7" s="105">
        <v>4730.3999999999996</v>
      </c>
      <c r="AN7" s="105">
        <v>6</v>
      </c>
      <c r="AO7" s="105">
        <v>4730.3999999999996</v>
      </c>
      <c r="AP7" s="105">
        <v>9</v>
      </c>
      <c r="AQ7" s="105">
        <v>7095.5999999999995</v>
      </c>
      <c r="AR7" s="105">
        <v>13</v>
      </c>
      <c r="AS7" s="105">
        <v>10249.199999999999</v>
      </c>
      <c r="AT7" s="105">
        <v>9</v>
      </c>
      <c r="AU7" s="105">
        <v>7095.5999999999995</v>
      </c>
      <c r="AV7" s="105">
        <v>13</v>
      </c>
      <c r="AW7" s="105">
        <v>10249.199999999999</v>
      </c>
      <c r="AX7" s="105">
        <v>11</v>
      </c>
      <c r="AY7" s="105">
        <v>8672.4</v>
      </c>
      <c r="AZ7" s="105">
        <v>14</v>
      </c>
      <c r="BA7" s="105">
        <v>11037.6</v>
      </c>
      <c r="BB7" s="105">
        <v>11</v>
      </c>
      <c r="BC7" s="105">
        <v>8672.4</v>
      </c>
      <c r="BD7" s="105">
        <v>19</v>
      </c>
      <c r="BE7" s="105">
        <v>14979.6</v>
      </c>
      <c r="BF7" s="105">
        <v>19</v>
      </c>
      <c r="BG7" s="105">
        <v>14979.6</v>
      </c>
      <c r="BH7" s="105">
        <v>20</v>
      </c>
      <c r="BI7" s="105">
        <v>15768</v>
      </c>
      <c r="BJ7" s="105">
        <v>20</v>
      </c>
      <c r="BK7" s="105">
        <v>15768</v>
      </c>
      <c r="BL7" s="105">
        <v>21</v>
      </c>
      <c r="BM7" s="105">
        <v>16556.399999999998</v>
      </c>
      <c r="BN7" s="105">
        <v>25</v>
      </c>
      <c r="BO7" s="105">
        <v>19710</v>
      </c>
      <c r="BP7" s="105">
        <v>22</v>
      </c>
      <c r="BQ7" s="105">
        <v>17344.8</v>
      </c>
      <c r="BR7" s="105">
        <v>37</v>
      </c>
      <c r="BS7" s="105">
        <v>29170.799999999999</v>
      </c>
      <c r="BT7" s="105">
        <v>33</v>
      </c>
      <c r="BU7" s="105">
        <v>26017.200000000001</v>
      </c>
      <c r="BV7" s="105">
        <v>24</v>
      </c>
      <c r="BW7" s="105">
        <v>18921.599999999999</v>
      </c>
      <c r="BX7" s="105">
        <v>32</v>
      </c>
      <c r="BY7" s="105">
        <v>25228.799999999999</v>
      </c>
      <c r="BZ7" s="105">
        <v>46</v>
      </c>
      <c r="CA7" s="105">
        <v>36266.400000000001</v>
      </c>
      <c r="CB7" s="105">
        <v>26.862515903473842</v>
      </c>
      <c r="CC7" s="105">
        <v>21178.407538298776</v>
      </c>
      <c r="CD7" s="105">
        <v>10.676582744730162</v>
      </c>
      <c r="CE7" s="105">
        <v>8417.4178359452599</v>
      </c>
      <c r="CF7" s="105">
        <v>7.5738575171798228</v>
      </c>
      <c r="CG7" s="105">
        <v>5971.2292665445721</v>
      </c>
      <c r="CH7" s="105">
        <v>0.98630724450194063</v>
      </c>
      <c r="CI7" s="105">
        <v>777.60463156533001</v>
      </c>
      <c r="CJ7" s="105">
        <v>4.5896523940476524</v>
      </c>
      <c r="CK7" s="105">
        <v>3618.481947467169</v>
      </c>
      <c r="CL7" s="105">
        <v>4.7420415158371023</v>
      </c>
      <c r="CM7" s="105">
        <v>3738.6255310859715</v>
      </c>
      <c r="CN7" s="105">
        <v>15.387791613379465</v>
      </c>
      <c r="CO7" s="105">
        <v>12131.73490798837</v>
      </c>
      <c r="CP7" s="105">
        <v>7.8235169470018198</v>
      </c>
      <c r="CQ7" s="105">
        <v>6168.0607610162342</v>
      </c>
      <c r="CR7" s="105">
        <v>4.8041746667087653</v>
      </c>
      <c r="CS7" s="105">
        <v>3787.6113072331905</v>
      </c>
      <c r="CT7" s="105">
        <v>1.1919127662600342</v>
      </c>
      <c r="CU7" s="105">
        <v>939.70402491941093</v>
      </c>
    </row>
    <row r="8" spans="1:99" x14ac:dyDescent="0.25">
      <c r="C8" s="104" t="s">
        <v>173</v>
      </c>
      <c r="D8" s="105">
        <v>0</v>
      </c>
      <c r="E8" s="105">
        <v>0</v>
      </c>
      <c r="F8" s="105">
        <v>0</v>
      </c>
      <c r="G8" s="105">
        <v>0</v>
      </c>
      <c r="H8" s="105">
        <v>0</v>
      </c>
      <c r="I8" s="105">
        <v>0</v>
      </c>
      <c r="J8" s="105">
        <v>5</v>
      </c>
      <c r="K8" s="105">
        <v>1547.9999999999998</v>
      </c>
      <c r="L8" s="105">
        <v>6</v>
      </c>
      <c r="M8" s="105">
        <v>1857.6</v>
      </c>
      <c r="N8" s="105">
        <v>6</v>
      </c>
      <c r="O8" s="105">
        <v>1857.6</v>
      </c>
      <c r="P8" s="105">
        <v>6</v>
      </c>
      <c r="Q8" s="105">
        <v>1857.6</v>
      </c>
      <c r="R8" s="105">
        <v>6</v>
      </c>
      <c r="S8" s="105">
        <v>1857.6</v>
      </c>
      <c r="T8" s="105">
        <v>4</v>
      </c>
      <c r="U8" s="105">
        <v>1238.3999999999999</v>
      </c>
      <c r="V8" s="105">
        <v>4</v>
      </c>
      <c r="W8" s="105">
        <v>1238.3999999999999</v>
      </c>
      <c r="X8" s="105">
        <v>5</v>
      </c>
      <c r="Y8" s="105">
        <v>1547.9999999999998</v>
      </c>
      <c r="Z8" s="105">
        <v>6</v>
      </c>
      <c r="AA8" s="105">
        <v>1857.6</v>
      </c>
      <c r="AB8" s="105">
        <v>9</v>
      </c>
      <c r="AC8" s="105">
        <v>2786.3999999999996</v>
      </c>
      <c r="AD8" s="105">
        <v>9</v>
      </c>
      <c r="AE8" s="105">
        <v>2786.3999999999996</v>
      </c>
      <c r="AF8" s="105">
        <v>6</v>
      </c>
      <c r="AG8" s="105">
        <v>1857.6</v>
      </c>
      <c r="AH8" s="105">
        <v>7</v>
      </c>
      <c r="AI8" s="105">
        <v>2167.1999999999998</v>
      </c>
      <c r="AJ8" s="105">
        <v>10</v>
      </c>
      <c r="AK8" s="105">
        <v>3095.9999999999995</v>
      </c>
      <c r="AL8" s="105">
        <v>7</v>
      </c>
      <c r="AM8" s="105">
        <v>2167.1999999999998</v>
      </c>
      <c r="AN8" s="105">
        <v>6</v>
      </c>
      <c r="AO8" s="105">
        <v>1857.6</v>
      </c>
      <c r="AP8" s="105">
        <v>9</v>
      </c>
      <c r="AQ8" s="105">
        <v>2786.3999999999996</v>
      </c>
      <c r="AR8" s="105">
        <v>14</v>
      </c>
      <c r="AS8" s="105">
        <v>4334.3999999999996</v>
      </c>
      <c r="AT8" s="105">
        <v>8</v>
      </c>
      <c r="AU8" s="105">
        <v>2476.7999999999997</v>
      </c>
      <c r="AV8" s="105">
        <v>14</v>
      </c>
      <c r="AW8" s="105">
        <v>4334.3999999999996</v>
      </c>
      <c r="AX8" s="105">
        <v>11</v>
      </c>
      <c r="AY8" s="105">
        <v>3405.5999999999995</v>
      </c>
      <c r="AZ8" s="105">
        <v>16</v>
      </c>
      <c r="BA8" s="105">
        <v>4953.5999999999995</v>
      </c>
      <c r="BB8" s="105">
        <v>13</v>
      </c>
      <c r="BC8" s="105">
        <v>4024.7999999999997</v>
      </c>
      <c r="BD8" s="105">
        <v>17</v>
      </c>
      <c r="BE8" s="105">
        <v>5263.2</v>
      </c>
      <c r="BF8" s="105">
        <v>20</v>
      </c>
      <c r="BG8" s="105">
        <v>6191.9999999999991</v>
      </c>
      <c r="BH8" s="105">
        <v>19</v>
      </c>
      <c r="BI8" s="105">
        <v>5882.4</v>
      </c>
      <c r="BJ8" s="105">
        <v>22</v>
      </c>
      <c r="BK8" s="105">
        <v>6811.1999999999989</v>
      </c>
      <c r="BL8" s="105">
        <v>23</v>
      </c>
      <c r="BM8" s="105">
        <v>7120.7999999999993</v>
      </c>
      <c r="BN8" s="105">
        <v>23</v>
      </c>
      <c r="BO8" s="105">
        <v>7120.7999999999993</v>
      </c>
      <c r="BP8" s="105">
        <v>25</v>
      </c>
      <c r="BQ8" s="105">
        <v>7739.9999999999991</v>
      </c>
      <c r="BR8" s="105">
        <v>34</v>
      </c>
      <c r="BS8" s="105">
        <v>10526.4</v>
      </c>
      <c r="BT8" s="105">
        <v>36</v>
      </c>
      <c r="BU8" s="105">
        <v>11145.599999999999</v>
      </c>
      <c r="BV8" s="105">
        <v>22</v>
      </c>
      <c r="BW8" s="105">
        <v>6811.1999999999989</v>
      </c>
      <c r="BX8" s="105">
        <v>32</v>
      </c>
      <c r="BY8" s="105">
        <v>9907.1999999999989</v>
      </c>
      <c r="BZ8" s="105">
        <v>52</v>
      </c>
      <c r="CA8" s="105">
        <v>16099.199999999999</v>
      </c>
      <c r="CB8" s="105">
        <v>31.195179758872854</v>
      </c>
      <c r="CC8" s="105">
        <v>9658.0276533470351</v>
      </c>
      <c r="CD8" s="105">
        <v>12.456013202185188</v>
      </c>
      <c r="CE8" s="105">
        <v>3856.3816873965338</v>
      </c>
      <c r="CF8" s="105">
        <v>6.8313224664759185</v>
      </c>
      <c r="CG8" s="105">
        <v>2114.9774356209441</v>
      </c>
      <c r="CH8" s="105">
        <v>1.0344197930142303</v>
      </c>
      <c r="CI8" s="105">
        <v>320.25636791720564</v>
      </c>
      <c r="CJ8" s="105">
        <v>5.2300690071705809</v>
      </c>
      <c r="CK8" s="105">
        <v>1619.2293646200117</v>
      </c>
      <c r="CL8" s="105">
        <v>4.8577010650038606</v>
      </c>
      <c r="CM8" s="105">
        <v>1503.944249725195</v>
      </c>
      <c r="CN8" s="105">
        <v>17.952423548942704</v>
      </c>
      <c r="CO8" s="105">
        <v>5558.070330752661</v>
      </c>
      <c r="CP8" s="105">
        <v>8.7893832367551301</v>
      </c>
      <c r="CQ8" s="105">
        <v>2721.1930500993881</v>
      </c>
      <c r="CR8" s="105">
        <v>5.9377439700894845</v>
      </c>
      <c r="CS8" s="105">
        <v>1838.3255331397042</v>
      </c>
      <c r="CT8" s="105">
        <v>1.2597452001122313</v>
      </c>
      <c r="CU8" s="105">
        <v>390.01711395474678</v>
      </c>
    </row>
    <row r="9" spans="1:99" x14ac:dyDescent="0.25">
      <c r="C9" s="104" t="s">
        <v>174</v>
      </c>
      <c r="D9" s="105">
        <v>0</v>
      </c>
      <c r="E9" s="105">
        <v>0</v>
      </c>
      <c r="F9" s="105">
        <v>0</v>
      </c>
      <c r="G9" s="105">
        <v>0</v>
      </c>
      <c r="H9" s="105">
        <v>0</v>
      </c>
      <c r="I9" s="105">
        <v>0</v>
      </c>
      <c r="J9" s="105">
        <v>5</v>
      </c>
      <c r="K9" s="105">
        <v>3510</v>
      </c>
      <c r="L9" s="105">
        <v>5</v>
      </c>
      <c r="M9" s="105">
        <v>3510</v>
      </c>
      <c r="N9" s="105">
        <v>5</v>
      </c>
      <c r="O9" s="105">
        <v>3510</v>
      </c>
      <c r="P9" s="105">
        <v>6</v>
      </c>
      <c r="Q9" s="105">
        <v>4212</v>
      </c>
      <c r="R9" s="105">
        <v>6</v>
      </c>
      <c r="S9" s="105">
        <v>4212</v>
      </c>
      <c r="T9" s="105">
        <v>4</v>
      </c>
      <c r="U9" s="105">
        <v>2808</v>
      </c>
      <c r="V9" s="105">
        <v>4</v>
      </c>
      <c r="W9" s="105">
        <v>2808</v>
      </c>
      <c r="X9" s="105">
        <v>5</v>
      </c>
      <c r="Y9" s="105">
        <v>3510</v>
      </c>
      <c r="Z9" s="105">
        <v>5</v>
      </c>
      <c r="AA9" s="105">
        <v>3510</v>
      </c>
      <c r="AB9" s="105">
        <v>10</v>
      </c>
      <c r="AC9" s="105">
        <v>7020</v>
      </c>
      <c r="AD9" s="105">
        <v>9</v>
      </c>
      <c r="AE9" s="105">
        <v>6318</v>
      </c>
      <c r="AF9" s="105">
        <v>7</v>
      </c>
      <c r="AG9" s="105">
        <v>4914</v>
      </c>
      <c r="AH9" s="105">
        <v>6</v>
      </c>
      <c r="AI9" s="105">
        <v>4212</v>
      </c>
      <c r="AJ9" s="105">
        <v>12</v>
      </c>
      <c r="AK9" s="105">
        <v>8424</v>
      </c>
      <c r="AL9" s="105">
        <v>6</v>
      </c>
      <c r="AM9" s="105">
        <v>4212</v>
      </c>
      <c r="AN9" s="105">
        <v>6</v>
      </c>
      <c r="AO9" s="105">
        <v>4212</v>
      </c>
      <c r="AP9" s="105">
        <v>9</v>
      </c>
      <c r="AQ9" s="105">
        <v>6318</v>
      </c>
      <c r="AR9" s="105">
        <v>12</v>
      </c>
      <c r="AS9" s="105">
        <v>8424</v>
      </c>
      <c r="AT9" s="105">
        <v>8</v>
      </c>
      <c r="AU9" s="105">
        <v>5616</v>
      </c>
      <c r="AV9" s="105">
        <v>12</v>
      </c>
      <c r="AW9" s="105">
        <v>8424</v>
      </c>
      <c r="AX9" s="105">
        <v>12</v>
      </c>
      <c r="AY9" s="105">
        <v>8424</v>
      </c>
      <c r="AZ9" s="105">
        <v>15</v>
      </c>
      <c r="BA9" s="105">
        <v>10530</v>
      </c>
      <c r="BB9" s="105">
        <v>11</v>
      </c>
      <c r="BC9" s="105">
        <v>7722</v>
      </c>
      <c r="BD9" s="105">
        <v>18</v>
      </c>
      <c r="BE9" s="105">
        <v>12636</v>
      </c>
      <c r="BF9" s="105">
        <v>18</v>
      </c>
      <c r="BG9" s="105">
        <v>12636</v>
      </c>
      <c r="BH9" s="105">
        <v>22</v>
      </c>
      <c r="BI9" s="105">
        <v>15444</v>
      </c>
      <c r="BJ9" s="105">
        <v>23</v>
      </c>
      <c r="BK9" s="105">
        <v>16146</v>
      </c>
      <c r="BL9" s="105">
        <v>20</v>
      </c>
      <c r="BM9" s="105">
        <v>14040</v>
      </c>
      <c r="BN9" s="105">
        <v>22</v>
      </c>
      <c r="BO9" s="105">
        <v>15444</v>
      </c>
      <c r="BP9" s="105">
        <v>24</v>
      </c>
      <c r="BQ9" s="105">
        <v>16848</v>
      </c>
      <c r="BR9" s="105">
        <v>37</v>
      </c>
      <c r="BS9" s="105">
        <v>25974</v>
      </c>
      <c r="BT9" s="105">
        <v>40</v>
      </c>
      <c r="BU9" s="105">
        <v>28080</v>
      </c>
      <c r="BV9" s="105">
        <v>22</v>
      </c>
      <c r="BW9" s="105">
        <v>15444</v>
      </c>
      <c r="BX9" s="105">
        <v>30</v>
      </c>
      <c r="BY9" s="105">
        <v>21060</v>
      </c>
      <c r="BZ9" s="105">
        <v>48</v>
      </c>
      <c r="CA9" s="105">
        <v>33696</v>
      </c>
      <c r="CB9" s="105">
        <v>27.729048674553646</v>
      </c>
      <c r="CC9" s="105">
        <v>19465.79216953666</v>
      </c>
      <c r="CD9" s="105">
        <v>10.676582744730162</v>
      </c>
      <c r="CE9" s="105">
        <v>7494.9610868005739</v>
      </c>
      <c r="CF9" s="105">
        <v>6.6828154563351374</v>
      </c>
      <c r="CG9" s="105">
        <v>4691.3364503472667</v>
      </c>
      <c r="CH9" s="105">
        <v>0.8299414618369988</v>
      </c>
      <c r="CI9" s="105">
        <v>582.6189062095732</v>
      </c>
      <c r="CJ9" s="105">
        <v>4.5896523940476524</v>
      </c>
      <c r="CK9" s="105">
        <v>3221.935980621452</v>
      </c>
      <c r="CL9" s="105">
        <v>5.2046797125041362</v>
      </c>
      <c r="CM9" s="105">
        <v>3653.6851581779038</v>
      </c>
      <c r="CN9" s="105">
        <v>16.385148477209615</v>
      </c>
      <c r="CO9" s="105">
        <v>11502.374231001149</v>
      </c>
      <c r="CP9" s="105">
        <v>7.4371704311004949</v>
      </c>
      <c r="CQ9" s="105">
        <v>5220.8936426325472</v>
      </c>
      <c r="CR9" s="105">
        <v>5.6678465169035999</v>
      </c>
      <c r="CS9" s="105">
        <v>3978.8282548663269</v>
      </c>
      <c r="CT9" s="105">
        <v>1.1628417231805213</v>
      </c>
      <c r="CU9" s="105">
        <v>816.31488967272594</v>
      </c>
    </row>
    <row r="10" spans="1:99" x14ac:dyDescent="0.25">
      <c r="C10" s="104" t="s">
        <v>175</v>
      </c>
      <c r="D10" s="105">
        <v>0</v>
      </c>
      <c r="E10" s="105">
        <v>0</v>
      </c>
      <c r="F10" s="105">
        <v>0</v>
      </c>
      <c r="G10" s="105">
        <v>0</v>
      </c>
      <c r="H10" s="105">
        <v>0</v>
      </c>
      <c r="I10" s="105">
        <v>0</v>
      </c>
      <c r="J10" s="105">
        <v>5</v>
      </c>
      <c r="K10" s="105">
        <v>2724</v>
      </c>
      <c r="L10" s="105">
        <v>6</v>
      </c>
      <c r="M10" s="105">
        <v>3268.7999999999997</v>
      </c>
      <c r="N10" s="105">
        <v>6</v>
      </c>
      <c r="O10" s="105">
        <v>3268.7999999999997</v>
      </c>
      <c r="P10" s="105">
        <v>6</v>
      </c>
      <c r="Q10" s="105">
        <v>3268.7999999999997</v>
      </c>
      <c r="R10" s="105">
        <v>5</v>
      </c>
      <c r="S10" s="105">
        <v>2724</v>
      </c>
      <c r="T10" s="105">
        <v>4</v>
      </c>
      <c r="U10" s="105">
        <v>2179.1999999999998</v>
      </c>
      <c r="V10" s="105">
        <v>4</v>
      </c>
      <c r="W10" s="105">
        <v>2179.1999999999998</v>
      </c>
      <c r="X10" s="105">
        <v>5</v>
      </c>
      <c r="Y10" s="105">
        <v>2724</v>
      </c>
      <c r="Z10" s="105">
        <v>5</v>
      </c>
      <c r="AA10" s="105">
        <v>2724</v>
      </c>
      <c r="AB10" s="105">
        <v>9</v>
      </c>
      <c r="AC10" s="105">
        <v>4903.2</v>
      </c>
      <c r="AD10" s="105">
        <v>10</v>
      </c>
      <c r="AE10" s="105">
        <v>5448</v>
      </c>
      <c r="AF10" s="105">
        <v>6</v>
      </c>
      <c r="AG10" s="105">
        <v>3268.7999999999997</v>
      </c>
      <c r="AH10" s="105">
        <v>7</v>
      </c>
      <c r="AI10" s="105">
        <v>3813.5999999999995</v>
      </c>
      <c r="AJ10" s="105">
        <v>10</v>
      </c>
      <c r="AK10" s="105">
        <v>5448</v>
      </c>
      <c r="AL10" s="105">
        <v>7</v>
      </c>
      <c r="AM10" s="105">
        <v>3813.5999999999995</v>
      </c>
      <c r="AN10" s="105">
        <v>7</v>
      </c>
      <c r="AO10" s="105">
        <v>3813.5999999999995</v>
      </c>
      <c r="AP10" s="105">
        <v>10</v>
      </c>
      <c r="AQ10" s="105">
        <v>5448</v>
      </c>
      <c r="AR10" s="105">
        <v>13</v>
      </c>
      <c r="AS10" s="105">
        <v>7082.4</v>
      </c>
      <c r="AT10" s="105">
        <v>9</v>
      </c>
      <c r="AU10" s="105">
        <v>4903.2</v>
      </c>
      <c r="AV10" s="105">
        <v>12</v>
      </c>
      <c r="AW10" s="105">
        <v>6537.5999999999995</v>
      </c>
      <c r="AX10" s="105">
        <v>10</v>
      </c>
      <c r="AY10" s="105">
        <v>5448</v>
      </c>
      <c r="AZ10" s="105">
        <v>14</v>
      </c>
      <c r="BA10" s="105">
        <v>7627.1999999999989</v>
      </c>
      <c r="BB10" s="105">
        <v>12</v>
      </c>
      <c r="BC10" s="105">
        <v>6537.5999999999995</v>
      </c>
      <c r="BD10" s="105">
        <v>19</v>
      </c>
      <c r="BE10" s="105">
        <v>10351.199999999999</v>
      </c>
      <c r="BF10" s="105">
        <v>20</v>
      </c>
      <c r="BG10" s="105">
        <v>10896</v>
      </c>
      <c r="BH10" s="105">
        <v>18</v>
      </c>
      <c r="BI10" s="105">
        <v>9806.4</v>
      </c>
      <c r="BJ10" s="105">
        <v>20</v>
      </c>
      <c r="BK10" s="105">
        <v>10896</v>
      </c>
      <c r="BL10" s="105">
        <v>24</v>
      </c>
      <c r="BM10" s="105">
        <v>13075.199999999999</v>
      </c>
      <c r="BN10" s="105">
        <v>25</v>
      </c>
      <c r="BO10" s="105">
        <v>13619.999999999998</v>
      </c>
      <c r="BP10" s="105">
        <v>25</v>
      </c>
      <c r="BQ10" s="105">
        <v>13619.999999999998</v>
      </c>
      <c r="BR10" s="105">
        <v>38</v>
      </c>
      <c r="BS10" s="105">
        <v>20702.399999999998</v>
      </c>
      <c r="BT10" s="105">
        <v>36</v>
      </c>
      <c r="BU10" s="105">
        <v>19612.8</v>
      </c>
      <c r="BV10" s="105">
        <v>25</v>
      </c>
      <c r="BW10" s="105">
        <v>13619.999999999998</v>
      </c>
      <c r="BX10" s="105">
        <v>30</v>
      </c>
      <c r="BY10" s="105">
        <v>16343.999999999998</v>
      </c>
      <c r="BZ10" s="105">
        <v>45</v>
      </c>
      <c r="CA10" s="105">
        <v>24515.999999999996</v>
      </c>
      <c r="CB10" s="105">
        <v>31.195179758872854</v>
      </c>
      <c r="CC10" s="105">
        <v>16995.133932633929</v>
      </c>
      <c r="CD10" s="105">
        <v>10.676582744730162</v>
      </c>
      <c r="CE10" s="105">
        <v>5816.6022793289912</v>
      </c>
      <c r="CF10" s="105">
        <v>6.8313224664759185</v>
      </c>
      <c r="CG10" s="105">
        <v>3721.70447973608</v>
      </c>
      <c r="CH10" s="105">
        <v>0.95022283311772326</v>
      </c>
      <c r="CI10" s="105">
        <v>517.68139948253554</v>
      </c>
      <c r="CJ10" s="105">
        <v>5.1233329049834264</v>
      </c>
      <c r="CK10" s="105">
        <v>2791.1917666349705</v>
      </c>
      <c r="CL10" s="105">
        <v>4.9733606141706197</v>
      </c>
      <c r="CM10" s="105">
        <v>2709.4868626001535</v>
      </c>
      <c r="CN10" s="105">
        <v>15.957709821282407</v>
      </c>
      <c r="CO10" s="105">
        <v>8693.7603106346542</v>
      </c>
      <c r="CP10" s="105">
        <v>8.8859698657304627</v>
      </c>
      <c r="CQ10" s="105">
        <v>4841.0763828499557</v>
      </c>
      <c r="CR10" s="105">
        <v>5.3439695730805363</v>
      </c>
      <c r="CS10" s="105">
        <v>2911.3946234142759</v>
      </c>
      <c r="CT10" s="105">
        <v>1.0950092893283241</v>
      </c>
      <c r="CU10" s="105">
        <v>596.56106082607096</v>
      </c>
    </row>
    <row r="11" spans="1:99" x14ac:dyDescent="0.25">
      <c r="C11" s="104" t="s">
        <v>176</v>
      </c>
      <c r="D11" s="105">
        <v>0</v>
      </c>
      <c r="E11" s="105">
        <v>0</v>
      </c>
      <c r="F11" s="105">
        <v>0</v>
      </c>
      <c r="G11" s="105">
        <v>0</v>
      </c>
      <c r="H11" s="105">
        <v>0</v>
      </c>
      <c r="I11" s="105">
        <v>0</v>
      </c>
      <c r="J11" s="105">
        <v>5</v>
      </c>
      <c r="K11" s="105">
        <v>2664</v>
      </c>
      <c r="L11" s="105">
        <v>5</v>
      </c>
      <c r="M11" s="105">
        <v>2664</v>
      </c>
      <c r="N11" s="105">
        <v>6</v>
      </c>
      <c r="O11" s="105">
        <v>3196.7999999999997</v>
      </c>
      <c r="P11" s="105">
        <v>6</v>
      </c>
      <c r="Q11" s="105">
        <v>3196.7999999999997</v>
      </c>
      <c r="R11" s="105">
        <v>6</v>
      </c>
      <c r="S11" s="105">
        <v>3196.7999999999997</v>
      </c>
      <c r="T11" s="105">
        <v>4</v>
      </c>
      <c r="U11" s="105">
        <v>2131.1999999999998</v>
      </c>
      <c r="V11" s="105">
        <v>4</v>
      </c>
      <c r="W11" s="105">
        <v>2131.1999999999998</v>
      </c>
      <c r="X11" s="105">
        <v>5</v>
      </c>
      <c r="Y11" s="105">
        <v>2664</v>
      </c>
      <c r="Z11" s="105">
        <v>6</v>
      </c>
      <c r="AA11" s="105">
        <v>3196.7999999999997</v>
      </c>
      <c r="AB11" s="105">
        <v>10</v>
      </c>
      <c r="AC11" s="105">
        <v>5328</v>
      </c>
      <c r="AD11" s="105">
        <v>10</v>
      </c>
      <c r="AE11" s="105">
        <v>5328</v>
      </c>
      <c r="AF11" s="105">
        <v>6</v>
      </c>
      <c r="AG11" s="105">
        <v>3196.7999999999997</v>
      </c>
      <c r="AH11" s="105">
        <v>7</v>
      </c>
      <c r="AI11" s="105">
        <v>3729.5999999999995</v>
      </c>
      <c r="AJ11" s="105">
        <v>12</v>
      </c>
      <c r="AK11" s="105">
        <v>6393.5999999999995</v>
      </c>
      <c r="AL11" s="105">
        <v>6</v>
      </c>
      <c r="AM11" s="105">
        <v>3196.7999999999997</v>
      </c>
      <c r="AN11" s="105">
        <v>6</v>
      </c>
      <c r="AO11" s="105">
        <v>3196.7999999999997</v>
      </c>
      <c r="AP11" s="105">
        <v>9</v>
      </c>
      <c r="AQ11" s="105">
        <v>4795.2</v>
      </c>
      <c r="AR11" s="105">
        <v>12</v>
      </c>
      <c r="AS11" s="105">
        <v>6393.5999999999995</v>
      </c>
      <c r="AT11" s="105">
        <v>9</v>
      </c>
      <c r="AU11" s="105">
        <v>4795.2</v>
      </c>
      <c r="AV11" s="105">
        <v>14</v>
      </c>
      <c r="AW11" s="105">
        <v>7459.1999999999989</v>
      </c>
      <c r="AX11" s="105">
        <v>11</v>
      </c>
      <c r="AY11" s="105">
        <v>5860.7999999999993</v>
      </c>
      <c r="AZ11" s="105">
        <v>15</v>
      </c>
      <c r="BA11" s="105">
        <v>7991.9999999999991</v>
      </c>
      <c r="BB11" s="105">
        <v>12</v>
      </c>
      <c r="BC11" s="105">
        <v>6393.5999999999995</v>
      </c>
      <c r="BD11" s="105">
        <v>17</v>
      </c>
      <c r="BE11" s="105">
        <v>9057.5999999999985</v>
      </c>
      <c r="BF11" s="105">
        <v>20</v>
      </c>
      <c r="BG11" s="105">
        <v>10656</v>
      </c>
      <c r="BH11" s="105">
        <v>19</v>
      </c>
      <c r="BI11" s="105">
        <v>10123.199999999999</v>
      </c>
      <c r="BJ11" s="105">
        <v>20</v>
      </c>
      <c r="BK11" s="105">
        <v>10656</v>
      </c>
      <c r="BL11" s="105">
        <v>23</v>
      </c>
      <c r="BM11" s="105">
        <v>12254.4</v>
      </c>
      <c r="BN11" s="105">
        <v>23</v>
      </c>
      <c r="BO11" s="105">
        <v>12254.4</v>
      </c>
      <c r="BP11" s="105">
        <v>26</v>
      </c>
      <c r="BQ11" s="105">
        <v>13852.8</v>
      </c>
      <c r="BR11" s="105">
        <v>33</v>
      </c>
      <c r="BS11" s="105">
        <v>17582.399999999998</v>
      </c>
      <c r="BT11" s="105">
        <v>36</v>
      </c>
      <c r="BU11" s="105">
        <v>19180.8</v>
      </c>
      <c r="BV11" s="105">
        <v>25</v>
      </c>
      <c r="BW11" s="105">
        <v>13319.999999999998</v>
      </c>
      <c r="BX11" s="105">
        <v>30</v>
      </c>
      <c r="BY11" s="105">
        <v>15983.999999999998</v>
      </c>
      <c r="BZ11" s="105">
        <v>50</v>
      </c>
      <c r="CA11" s="105">
        <v>26639.999999999996</v>
      </c>
      <c r="CB11" s="105">
        <v>32.928245301032455</v>
      </c>
      <c r="CC11" s="105">
        <v>17544.169096390091</v>
      </c>
      <c r="CD11" s="105">
        <v>11.032468836221167</v>
      </c>
      <c r="CE11" s="105">
        <v>5878.0993959386369</v>
      </c>
      <c r="CF11" s="105">
        <v>7.5738575171798228</v>
      </c>
      <c r="CG11" s="105">
        <v>4035.3512851534092</v>
      </c>
      <c r="CH11" s="105">
        <v>0.87805401034928854</v>
      </c>
      <c r="CI11" s="105">
        <v>467.82717671410091</v>
      </c>
      <c r="CJ11" s="105">
        <v>4.5896523940476524</v>
      </c>
      <c r="CK11" s="105">
        <v>2445.3667955485889</v>
      </c>
      <c r="CL11" s="105">
        <v>4.5685521920869645</v>
      </c>
      <c r="CM11" s="105">
        <v>2434.1246079439343</v>
      </c>
      <c r="CN11" s="105">
        <v>16.670107581161083</v>
      </c>
      <c r="CO11" s="105">
        <v>8881.8333192426253</v>
      </c>
      <c r="CP11" s="105">
        <v>9.0791431236811242</v>
      </c>
      <c r="CQ11" s="105">
        <v>4837.3674562973029</v>
      </c>
      <c r="CR11" s="105">
        <v>5.1280516105318279</v>
      </c>
      <c r="CS11" s="105">
        <v>2732.2258980913575</v>
      </c>
      <c r="CT11" s="105">
        <v>1.0659382462488112</v>
      </c>
      <c r="CU11" s="105">
        <v>567.93189760136659</v>
      </c>
    </row>
    <row r="12" spans="1:99" x14ac:dyDescent="0.25">
      <c r="C12" s="104" t="s">
        <v>177</v>
      </c>
      <c r="D12" s="105">
        <v>0</v>
      </c>
      <c r="E12" s="105">
        <v>0</v>
      </c>
      <c r="F12" s="105">
        <v>0</v>
      </c>
      <c r="G12" s="105">
        <v>0</v>
      </c>
      <c r="H12" s="105">
        <v>0</v>
      </c>
      <c r="I12" s="105">
        <v>0</v>
      </c>
      <c r="J12" s="105">
        <v>5</v>
      </c>
      <c r="K12" s="105">
        <v>2814</v>
      </c>
      <c r="L12" s="105">
        <v>5</v>
      </c>
      <c r="M12" s="105">
        <v>2814</v>
      </c>
      <c r="N12" s="105">
        <v>6</v>
      </c>
      <c r="O12" s="105">
        <v>3376.7999999999997</v>
      </c>
      <c r="P12" s="105">
        <v>7</v>
      </c>
      <c r="Q12" s="105">
        <v>3939.5999999999995</v>
      </c>
      <c r="R12" s="105">
        <v>6</v>
      </c>
      <c r="S12" s="105">
        <v>3376.7999999999997</v>
      </c>
      <c r="T12" s="105">
        <v>5</v>
      </c>
      <c r="U12" s="105">
        <v>2814</v>
      </c>
      <c r="V12" s="105">
        <v>4</v>
      </c>
      <c r="W12" s="105">
        <v>2251.1999999999998</v>
      </c>
      <c r="X12" s="105">
        <v>5</v>
      </c>
      <c r="Y12" s="105">
        <v>2814</v>
      </c>
      <c r="Z12" s="105">
        <v>6</v>
      </c>
      <c r="AA12" s="105">
        <v>3376.7999999999997</v>
      </c>
      <c r="AB12" s="105">
        <v>9</v>
      </c>
      <c r="AC12" s="105">
        <v>5065.2</v>
      </c>
      <c r="AD12" s="105">
        <v>9</v>
      </c>
      <c r="AE12" s="105">
        <v>5065.2</v>
      </c>
      <c r="AF12" s="105">
        <v>7</v>
      </c>
      <c r="AG12" s="105">
        <v>3939.5999999999995</v>
      </c>
      <c r="AH12" s="105">
        <v>6</v>
      </c>
      <c r="AI12" s="105">
        <v>3376.7999999999997</v>
      </c>
      <c r="AJ12" s="105">
        <v>12</v>
      </c>
      <c r="AK12" s="105">
        <v>6753.5999999999995</v>
      </c>
      <c r="AL12" s="105">
        <v>6</v>
      </c>
      <c r="AM12" s="105">
        <v>3376.7999999999997</v>
      </c>
      <c r="AN12" s="105">
        <v>6</v>
      </c>
      <c r="AO12" s="105">
        <v>3376.7999999999997</v>
      </c>
      <c r="AP12" s="105">
        <v>10</v>
      </c>
      <c r="AQ12" s="105">
        <v>5628</v>
      </c>
      <c r="AR12" s="105">
        <v>12</v>
      </c>
      <c r="AS12" s="105">
        <v>6753.5999999999995</v>
      </c>
      <c r="AT12" s="105">
        <v>9</v>
      </c>
      <c r="AU12" s="105">
        <v>5065.2</v>
      </c>
      <c r="AV12" s="105">
        <v>14</v>
      </c>
      <c r="AW12" s="105">
        <v>7879.1999999999989</v>
      </c>
      <c r="AX12" s="105">
        <v>11</v>
      </c>
      <c r="AY12" s="105">
        <v>6190.7999999999993</v>
      </c>
      <c r="AZ12" s="105">
        <v>16</v>
      </c>
      <c r="BA12" s="105">
        <v>9004.7999999999993</v>
      </c>
      <c r="BB12" s="105">
        <v>12</v>
      </c>
      <c r="BC12" s="105">
        <v>6753.5999999999995</v>
      </c>
      <c r="BD12" s="105">
        <v>17</v>
      </c>
      <c r="BE12" s="105">
        <v>9567.5999999999985</v>
      </c>
      <c r="BF12" s="105">
        <v>17</v>
      </c>
      <c r="BG12" s="105">
        <v>9567.5999999999985</v>
      </c>
      <c r="BH12" s="105">
        <v>21</v>
      </c>
      <c r="BI12" s="105">
        <v>11818.8</v>
      </c>
      <c r="BJ12" s="105">
        <v>23</v>
      </c>
      <c r="BK12" s="105">
        <v>12944.4</v>
      </c>
      <c r="BL12" s="105">
        <v>23</v>
      </c>
      <c r="BM12" s="105">
        <v>12944.4</v>
      </c>
      <c r="BN12" s="105">
        <v>24</v>
      </c>
      <c r="BO12" s="105">
        <v>13507.199999999999</v>
      </c>
      <c r="BP12" s="105">
        <v>25</v>
      </c>
      <c r="BQ12" s="105">
        <v>14069.999999999998</v>
      </c>
      <c r="BR12" s="105">
        <v>31</v>
      </c>
      <c r="BS12" s="105">
        <v>17446.8</v>
      </c>
      <c r="BT12" s="105">
        <v>36</v>
      </c>
      <c r="BU12" s="105">
        <v>20260.8</v>
      </c>
      <c r="BV12" s="105">
        <v>22</v>
      </c>
      <c r="BW12" s="105">
        <v>12381.599999999999</v>
      </c>
      <c r="BX12" s="105">
        <v>33</v>
      </c>
      <c r="BY12" s="105">
        <v>18572.399999999998</v>
      </c>
      <c r="BZ12" s="105">
        <v>51</v>
      </c>
      <c r="CA12" s="105">
        <v>28702.799999999999</v>
      </c>
      <c r="CB12" s="105">
        <v>31.195179758872854</v>
      </c>
      <c r="CC12" s="105">
        <v>17556.647168293639</v>
      </c>
      <c r="CD12" s="105">
        <v>10.320696653239157</v>
      </c>
      <c r="CE12" s="105">
        <v>5808.4880764429972</v>
      </c>
      <c r="CF12" s="105">
        <v>7.5738575171798228</v>
      </c>
      <c r="CG12" s="105">
        <v>4262.567010668804</v>
      </c>
      <c r="CH12" s="105">
        <v>0.9141384217335059</v>
      </c>
      <c r="CI12" s="105">
        <v>514.47710375161705</v>
      </c>
      <c r="CJ12" s="105">
        <v>4.5896523940476524</v>
      </c>
      <c r="CK12" s="105">
        <v>2583.0563673700185</v>
      </c>
      <c r="CL12" s="105">
        <v>5.2046797125041362</v>
      </c>
      <c r="CM12" s="105">
        <v>2929.1937421973275</v>
      </c>
      <c r="CN12" s="105">
        <v>16.385148477209615</v>
      </c>
      <c r="CO12" s="105">
        <v>9221.5615629735712</v>
      </c>
      <c r="CP12" s="105">
        <v>7.8235169470018198</v>
      </c>
      <c r="CQ12" s="105">
        <v>4403.0753377726242</v>
      </c>
      <c r="CR12" s="105">
        <v>5.5598875356292448</v>
      </c>
      <c r="CS12" s="105">
        <v>3129.1047050521388</v>
      </c>
      <c r="CT12" s="105">
        <v>1.2500548524190604</v>
      </c>
      <c r="CU12" s="105">
        <v>703.53087094144712</v>
      </c>
    </row>
    <row r="13" spans="1:99" x14ac:dyDescent="0.25">
      <c r="C13" s="104" t="s">
        <v>178</v>
      </c>
      <c r="D13" s="105">
        <v>0</v>
      </c>
      <c r="E13" s="105">
        <v>0</v>
      </c>
      <c r="F13" s="105">
        <v>0</v>
      </c>
      <c r="G13" s="105">
        <v>0</v>
      </c>
      <c r="H13" s="105">
        <v>0</v>
      </c>
      <c r="I13" s="105">
        <v>0</v>
      </c>
      <c r="J13" s="105">
        <v>5</v>
      </c>
      <c r="K13" s="105">
        <v>426</v>
      </c>
      <c r="L13" s="105">
        <v>5</v>
      </c>
      <c r="M13" s="105">
        <v>426</v>
      </c>
      <c r="N13" s="105">
        <v>6</v>
      </c>
      <c r="O13" s="105">
        <v>511.20000000000005</v>
      </c>
      <c r="P13" s="105">
        <v>6</v>
      </c>
      <c r="Q13" s="105">
        <v>511.20000000000005</v>
      </c>
      <c r="R13" s="105">
        <v>6</v>
      </c>
      <c r="S13" s="105">
        <v>511.20000000000005</v>
      </c>
      <c r="T13" s="105">
        <v>5</v>
      </c>
      <c r="U13" s="105">
        <v>426</v>
      </c>
      <c r="V13" s="105">
        <v>4</v>
      </c>
      <c r="W13" s="105">
        <v>340.8</v>
      </c>
      <c r="X13" s="105">
        <v>5</v>
      </c>
      <c r="Y13" s="105">
        <v>426</v>
      </c>
      <c r="Z13" s="105">
        <v>6</v>
      </c>
      <c r="AA13" s="105">
        <v>511.20000000000005</v>
      </c>
      <c r="AB13" s="105">
        <v>10</v>
      </c>
      <c r="AC13" s="105">
        <v>852</v>
      </c>
      <c r="AD13" s="105">
        <v>9</v>
      </c>
      <c r="AE13" s="105">
        <v>766.80000000000007</v>
      </c>
      <c r="AF13" s="105">
        <v>7</v>
      </c>
      <c r="AG13" s="105">
        <v>596.4</v>
      </c>
      <c r="AH13" s="105">
        <v>7</v>
      </c>
      <c r="AI13" s="105">
        <v>596.4</v>
      </c>
      <c r="AJ13" s="105">
        <v>12</v>
      </c>
      <c r="AK13" s="105">
        <v>1022.4000000000001</v>
      </c>
      <c r="AL13" s="105">
        <v>7</v>
      </c>
      <c r="AM13" s="105">
        <v>596.4</v>
      </c>
      <c r="AN13" s="105">
        <v>7</v>
      </c>
      <c r="AO13" s="105">
        <v>596.4</v>
      </c>
      <c r="AP13" s="105">
        <v>10</v>
      </c>
      <c r="AQ13" s="105">
        <v>852</v>
      </c>
      <c r="AR13" s="105">
        <v>14</v>
      </c>
      <c r="AS13" s="105">
        <v>1192.8</v>
      </c>
      <c r="AT13" s="105">
        <v>8</v>
      </c>
      <c r="AU13" s="105">
        <v>681.6</v>
      </c>
      <c r="AV13" s="105">
        <v>15</v>
      </c>
      <c r="AW13" s="105">
        <v>1278</v>
      </c>
      <c r="AX13" s="105">
        <v>12</v>
      </c>
      <c r="AY13" s="105">
        <v>1022.4000000000001</v>
      </c>
      <c r="AZ13" s="105">
        <v>14</v>
      </c>
      <c r="BA13" s="105">
        <v>1192.8</v>
      </c>
      <c r="BB13" s="105">
        <v>12</v>
      </c>
      <c r="BC13" s="105">
        <v>1022.4000000000001</v>
      </c>
      <c r="BD13" s="105">
        <v>19</v>
      </c>
      <c r="BE13" s="105">
        <v>1618.8</v>
      </c>
      <c r="BF13" s="105">
        <v>20</v>
      </c>
      <c r="BG13" s="105">
        <v>1704</v>
      </c>
      <c r="BH13" s="105">
        <v>20</v>
      </c>
      <c r="BI13" s="105">
        <v>1704</v>
      </c>
      <c r="BJ13" s="105">
        <v>23</v>
      </c>
      <c r="BK13" s="105">
        <v>1959.6000000000001</v>
      </c>
      <c r="BL13" s="105">
        <v>25</v>
      </c>
      <c r="BM13" s="105">
        <v>2130</v>
      </c>
      <c r="BN13" s="105">
        <v>24</v>
      </c>
      <c r="BO13" s="105">
        <v>2044.8000000000002</v>
      </c>
      <c r="BP13" s="105">
        <v>25</v>
      </c>
      <c r="BQ13" s="105">
        <v>2130</v>
      </c>
      <c r="BR13" s="105">
        <v>39</v>
      </c>
      <c r="BS13" s="105">
        <v>3322.8</v>
      </c>
      <c r="BT13" s="105">
        <v>39</v>
      </c>
      <c r="BU13" s="105">
        <v>3322.8</v>
      </c>
      <c r="BV13" s="105">
        <v>23</v>
      </c>
      <c r="BW13" s="105">
        <v>1959.6000000000001</v>
      </c>
      <c r="BX13" s="105">
        <v>33</v>
      </c>
      <c r="BY13" s="105">
        <v>2811.6</v>
      </c>
      <c r="BZ13" s="105">
        <v>52</v>
      </c>
      <c r="CA13" s="105">
        <v>4430.4000000000005</v>
      </c>
      <c r="CB13" s="105">
        <v>30.32864698779305</v>
      </c>
      <c r="CC13" s="105">
        <v>2584.0007233599681</v>
      </c>
      <c r="CD13" s="105">
        <v>11.744241019203178</v>
      </c>
      <c r="CE13" s="105">
        <v>1000.6093348361109</v>
      </c>
      <c r="CF13" s="105">
        <v>7.4253505070390418</v>
      </c>
      <c r="CG13" s="105">
        <v>632.63986319972639</v>
      </c>
      <c r="CH13" s="105">
        <v>0.97427910737386814</v>
      </c>
      <c r="CI13" s="105">
        <v>83.008579948253569</v>
      </c>
      <c r="CJ13" s="105">
        <v>5.016596802796272</v>
      </c>
      <c r="CK13" s="105">
        <v>427.41404759824241</v>
      </c>
      <c r="CL13" s="105">
        <v>5.4359988108376536</v>
      </c>
      <c r="CM13" s="105">
        <v>463.14709868336809</v>
      </c>
      <c r="CN13" s="105">
        <v>19.519698620675801</v>
      </c>
      <c r="CO13" s="105">
        <v>1663.0783224815782</v>
      </c>
      <c r="CP13" s="105">
        <v>8.403036720853807</v>
      </c>
      <c r="CQ13" s="105">
        <v>715.93872861674436</v>
      </c>
      <c r="CR13" s="105">
        <v>6.6394773483727869</v>
      </c>
      <c r="CS13" s="105">
        <v>565.68347008136152</v>
      </c>
      <c r="CT13" s="105">
        <v>1.1919127662600342</v>
      </c>
      <c r="CU13" s="105">
        <v>101.55096768535492</v>
      </c>
    </row>
    <row r="14" spans="1:99" x14ac:dyDescent="0.25">
      <c r="C14" s="104" t="s">
        <v>179</v>
      </c>
      <c r="D14" s="105">
        <v>0</v>
      </c>
      <c r="E14" s="105">
        <v>0</v>
      </c>
      <c r="F14" s="105">
        <v>0</v>
      </c>
      <c r="G14" s="105">
        <v>0</v>
      </c>
      <c r="H14" s="105">
        <v>0</v>
      </c>
      <c r="I14" s="105">
        <v>0</v>
      </c>
      <c r="J14" s="105">
        <v>5</v>
      </c>
      <c r="K14" s="105">
        <v>2442</v>
      </c>
      <c r="L14" s="105">
        <v>5</v>
      </c>
      <c r="M14" s="105">
        <v>2442</v>
      </c>
      <c r="N14" s="105">
        <v>5</v>
      </c>
      <c r="O14" s="105">
        <v>2442</v>
      </c>
      <c r="P14" s="105">
        <v>6</v>
      </c>
      <c r="Q14" s="105">
        <v>2930.3999999999996</v>
      </c>
      <c r="R14" s="105">
        <v>6</v>
      </c>
      <c r="S14" s="105">
        <v>2930.3999999999996</v>
      </c>
      <c r="T14" s="105">
        <v>4</v>
      </c>
      <c r="U14" s="105">
        <v>1953.6</v>
      </c>
      <c r="V14" s="105">
        <v>4</v>
      </c>
      <c r="W14" s="105">
        <v>1953.6</v>
      </c>
      <c r="X14" s="105">
        <v>5</v>
      </c>
      <c r="Y14" s="105">
        <v>2442</v>
      </c>
      <c r="Z14" s="105">
        <v>6</v>
      </c>
      <c r="AA14" s="105">
        <v>2930.3999999999996</v>
      </c>
      <c r="AB14" s="105">
        <v>9</v>
      </c>
      <c r="AC14" s="105">
        <v>4395.5999999999995</v>
      </c>
      <c r="AD14" s="105">
        <v>8</v>
      </c>
      <c r="AE14" s="105">
        <v>3907.2</v>
      </c>
      <c r="AF14" s="105">
        <v>7</v>
      </c>
      <c r="AG14" s="105">
        <v>3418.7999999999997</v>
      </c>
      <c r="AH14" s="105">
        <v>7</v>
      </c>
      <c r="AI14" s="105">
        <v>3418.7999999999997</v>
      </c>
      <c r="AJ14" s="105">
        <v>11</v>
      </c>
      <c r="AK14" s="105">
        <v>5372.4</v>
      </c>
      <c r="AL14" s="105">
        <v>7</v>
      </c>
      <c r="AM14" s="105">
        <v>3418.7999999999997</v>
      </c>
      <c r="AN14" s="105">
        <v>6</v>
      </c>
      <c r="AO14" s="105">
        <v>2930.3999999999996</v>
      </c>
      <c r="AP14" s="105">
        <v>10</v>
      </c>
      <c r="AQ14" s="105">
        <v>4884</v>
      </c>
      <c r="AR14" s="105">
        <v>13</v>
      </c>
      <c r="AS14" s="105">
        <v>6349.2</v>
      </c>
      <c r="AT14" s="105">
        <v>8</v>
      </c>
      <c r="AU14" s="105">
        <v>3907.2</v>
      </c>
      <c r="AV14" s="105">
        <v>14</v>
      </c>
      <c r="AW14" s="105">
        <v>6837.5999999999995</v>
      </c>
      <c r="AX14" s="105">
        <v>11</v>
      </c>
      <c r="AY14" s="105">
        <v>5372.4</v>
      </c>
      <c r="AZ14" s="105">
        <v>15</v>
      </c>
      <c r="BA14" s="105">
        <v>7326</v>
      </c>
      <c r="BB14" s="105">
        <v>11</v>
      </c>
      <c r="BC14" s="105">
        <v>5372.4</v>
      </c>
      <c r="BD14" s="105">
        <v>18</v>
      </c>
      <c r="BE14" s="105">
        <v>8791.1999999999989</v>
      </c>
      <c r="BF14" s="105">
        <v>17</v>
      </c>
      <c r="BG14" s="105">
        <v>8302.7999999999993</v>
      </c>
      <c r="BH14" s="105">
        <v>22</v>
      </c>
      <c r="BI14" s="105">
        <v>10744.8</v>
      </c>
      <c r="BJ14" s="105">
        <v>23</v>
      </c>
      <c r="BK14" s="105">
        <v>11233.199999999999</v>
      </c>
      <c r="BL14" s="105">
        <v>24</v>
      </c>
      <c r="BM14" s="105">
        <v>11721.599999999999</v>
      </c>
      <c r="BN14" s="105">
        <v>22</v>
      </c>
      <c r="BO14" s="105">
        <v>10744.8</v>
      </c>
      <c r="BP14" s="105">
        <v>26</v>
      </c>
      <c r="BQ14" s="105">
        <v>12698.4</v>
      </c>
      <c r="BR14" s="105">
        <v>32</v>
      </c>
      <c r="BS14" s="105">
        <v>15628.8</v>
      </c>
      <c r="BT14" s="105">
        <v>37</v>
      </c>
      <c r="BU14" s="105">
        <v>18070.8</v>
      </c>
      <c r="BV14" s="105">
        <v>23</v>
      </c>
      <c r="BW14" s="105">
        <v>11233.199999999999</v>
      </c>
      <c r="BX14" s="105">
        <v>29</v>
      </c>
      <c r="BY14" s="105">
        <v>14163.599999999999</v>
      </c>
      <c r="BZ14" s="105">
        <v>50</v>
      </c>
      <c r="CA14" s="105">
        <v>24420</v>
      </c>
      <c r="CB14" s="105">
        <v>28.595581445633446</v>
      </c>
      <c r="CC14" s="105">
        <v>13966.081978047374</v>
      </c>
      <c r="CD14" s="105">
        <v>10.320696653239157</v>
      </c>
      <c r="CE14" s="105">
        <v>5040.6282454420043</v>
      </c>
      <c r="CF14" s="105">
        <v>7.5738575171798228</v>
      </c>
      <c r="CG14" s="105">
        <v>3699.0720113906254</v>
      </c>
      <c r="CH14" s="105">
        <v>0.92616655886157839</v>
      </c>
      <c r="CI14" s="105">
        <v>452.33974734799489</v>
      </c>
      <c r="CJ14" s="105">
        <v>4.3761801896733434</v>
      </c>
      <c r="CK14" s="105">
        <v>2137.3264046364607</v>
      </c>
      <c r="CL14" s="105">
        <v>4.5107224175035849</v>
      </c>
      <c r="CM14" s="105">
        <v>2203.0368287087508</v>
      </c>
      <c r="CN14" s="105">
        <v>19.234739516724328</v>
      </c>
      <c r="CO14" s="105">
        <v>9394.2467799681617</v>
      </c>
      <c r="CP14" s="105">
        <v>9.0791431236811242</v>
      </c>
      <c r="CQ14" s="105">
        <v>4434.2535016058609</v>
      </c>
      <c r="CR14" s="105">
        <v>5.2360105918061821</v>
      </c>
      <c r="CS14" s="105">
        <v>2557.2675730381393</v>
      </c>
      <c r="CT14" s="105">
        <v>1.1434610277941792</v>
      </c>
      <c r="CU14" s="105">
        <v>558.46636597467716</v>
      </c>
    </row>
    <row r="15" spans="1:99" x14ac:dyDescent="0.25">
      <c r="C15" s="104" t="s">
        <v>180</v>
      </c>
      <c r="D15" s="105">
        <v>0</v>
      </c>
      <c r="E15" s="105">
        <v>0</v>
      </c>
      <c r="F15" s="105">
        <v>0</v>
      </c>
      <c r="G15" s="105">
        <v>0</v>
      </c>
      <c r="H15" s="105">
        <v>0</v>
      </c>
      <c r="I15" s="105">
        <v>0</v>
      </c>
      <c r="J15" s="105">
        <v>4</v>
      </c>
      <c r="K15" s="105">
        <v>3052.7999999999997</v>
      </c>
      <c r="L15" s="105">
        <v>6</v>
      </c>
      <c r="M15" s="105">
        <v>4579.2</v>
      </c>
      <c r="N15" s="105">
        <v>5</v>
      </c>
      <c r="O15" s="105">
        <v>3815.9999999999995</v>
      </c>
      <c r="P15" s="105">
        <v>6</v>
      </c>
      <c r="Q15" s="105">
        <v>4579.2</v>
      </c>
      <c r="R15" s="105">
        <v>6</v>
      </c>
      <c r="S15" s="105">
        <v>4579.2</v>
      </c>
      <c r="T15" s="105">
        <v>4</v>
      </c>
      <c r="U15" s="105">
        <v>3052.7999999999997</v>
      </c>
      <c r="V15" s="105">
        <v>4</v>
      </c>
      <c r="W15" s="105">
        <v>3052.7999999999997</v>
      </c>
      <c r="X15" s="105">
        <v>5</v>
      </c>
      <c r="Y15" s="105">
        <v>3815.9999999999995</v>
      </c>
      <c r="Z15" s="105">
        <v>6</v>
      </c>
      <c r="AA15" s="105">
        <v>4579.2</v>
      </c>
      <c r="AB15" s="105">
        <v>10</v>
      </c>
      <c r="AC15" s="105">
        <v>7631.9999999999991</v>
      </c>
      <c r="AD15" s="105">
        <v>9</v>
      </c>
      <c r="AE15" s="105">
        <v>6868.7999999999993</v>
      </c>
      <c r="AF15" s="105">
        <v>6</v>
      </c>
      <c r="AG15" s="105">
        <v>4579.2</v>
      </c>
      <c r="AH15" s="105">
        <v>7</v>
      </c>
      <c r="AI15" s="105">
        <v>5342.4</v>
      </c>
      <c r="AJ15" s="105">
        <v>11</v>
      </c>
      <c r="AK15" s="105">
        <v>8395.1999999999989</v>
      </c>
      <c r="AL15" s="105">
        <v>6</v>
      </c>
      <c r="AM15" s="105">
        <v>4579.2</v>
      </c>
      <c r="AN15" s="105">
        <v>6</v>
      </c>
      <c r="AO15" s="105">
        <v>4579.2</v>
      </c>
      <c r="AP15" s="105">
        <v>10</v>
      </c>
      <c r="AQ15" s="105">
        <v>7631.9999999999991</v>
      </c>
      <c r="AR15" s="105">
        <v>13</v>
      </c>
      <c r="AS15" s="105">
        <v>9921.5999999999985</v>
      </c>
      <c r="AT15" s="105">
        <v>8</v>
      </c>
      <c r="AU15" s="105">
        <v>6105.5999999999995</v>
      </c>
      <c r="AV15" s="105">
        <v>14</v>
      </c>
      <c r="AW15" s="105">
        <v>10684.8</v>
      </c>
      <c r="AX15" s="105">
        <v>11</v>
      </c>
      <c r="AY15" s="105">
        <v>8395.1999999999989</v>
      </c>
      <c r="AZ15" s="105">
        <v>16</v>
      </c>
      <c r="BA15" s="105">
        <v>12211.199999999999</v>
      </c>
      <c r="BB15" s="105">
        <v>11</v>
      </c>
      <c r="BC15" s="105">
        <v>8395.1999999999989</v>
      </c>
      <c r="BD15" s="105">
        <v>18</v>
      </c>
      <c r="BE15" s="105">
        <v>13737.599999999999</v>
      </c>
      <c r="BF15" s="105">
        <v>19</v>
      </c>
      <c r="BG15" s="105">
        <v>14500.8</v>
      </c>
      <c r="BH15" s="105">
        <v>21</v>
      </c>
      <c r="BI15" s="105">
        <v>16027.199999999999</v>
      </c>
      <c r="BJ15" s="105">
        <v>23</v>
      </c>
      <c r="BK15" s="105">
        <v>17553.599999999999</v>
      </c>
      <c r="BL15" s="105">
        <v>20</v>
      </c>
      <c r="BM15" s="105">
        <v>15263.999999999998</v>
      </c>
      <c r="BN15" s="105">
        <v>24</v>
      </c>
      <c r="BO15" s="105">
        <v>18316.8</v>
      </c>
      <c r="BP15" s="105">
        <v>22</v>
      </c>
      <c r="BQ15" s="105">
        <v>16790.399999999998</v>
      </c>
      <c r="BR15" s="105">
        <v>33</v>
      </c>
      <c r="BS15" s="105">
        <v>25185.599999999999</v>
      </c>
      <c r="BT15" s="105">
        <v>33</v>
      </c>
      <c r="BU15" s="105">
        <v>25185.599999999999</v>
      </c>
      <c r="BV15" s="105">
        <v>21</v>
      </c>
      <c r="BW15" s="105">
        <v>16027.199999999999</v>
      </c>
      <c r="BX15" s="105">
        <v>33</v>
      </c>
      <c r="BY15" s="105">
        <v>25185.599999999999</v>
      </c>
      <c r="BZ15" s="105">
        <v>53</v>
      </c>
      <c r="CA15" s="105">
        <v>40449.599999999999</v>
      </c>
      <c r="CB15" s="105">
        <v>26.862515903473842</v>
      </c>
      <c r="CC15" s="105">
        <v>20501.472137531233</v>
      </c>
      <c r="CD15" s="105">
        <v>10.320696653239157</v>
      </c>
      <c r="CE15" s="105">
        <v>7876.755685752124</v>
      </c>
      <c r="CF15" s="105">
        <v>6.5343084461943564</v>
      </c>
      <c r="CG15" s="105">
        <v>4986.9842061355321</v>
      </c>
      <c r="CH15" s="105">
        <v>0.87805401034928854</v>
      </c>
      <c r="CI15" s="105">
        <v>670.13082069857694</v>
      </c>
      <c r="CJ15" s="105">
        <v>4.8031245984219622</v>
      </c>
      <c r="CK15" s="105">
        <v>3665.7446935156413</v>
      </c>
      <c r="CL15" s="105">
        <v>4.9155308395872401</v>
      </c>
      <c r="CM15" s="105">
        <v>3751.5331367729814</v>
      </c>
      <c r="CN15" s="105">
        <v>16.955066685112556</v>
      </c>
      <c r="CO15" s="105">
        <v>12940.106894077901</v>
      </c>
      <c r="CP15" s="105">
        <v>7.2439971731498334</v>
      </c>
      <c r="CQ15" s="105">
        <v>5528.6186425479527</v>
      </c>
      <c r="CR15" s="105">
        <v>5.6678465169035999</v>
      </c>
      <c r="CS15" s="105">
        <v>4325.700461700827</v>
      </c>
      <c r="CT15" s="105">
        <v>1.0950092893283241</v>
      </c>
      <c r="CU15" s="105">
        <v>835.71108961537686</v>
      </c>
    </row>
    <row r="16" spans="1:99" x14ac:dyDescent="0.25">
      <c r="C16" s="104" t="s">
        <v>181</v>
      </c>
      <c r="D16" s="105">
        <v>0</v>
      </c>
      <c r="E16" s="105">
        <v>0</v>
      </c>
      <c r="F16" s="105">
        <v>0</v>
      </c>
      <c r="G16" s="105">
        <v>0</v>
      </c>
      <c r="H16" s="105">
        <v>0</v>
      </c>
      <c r="I16" s="105">
        <v>0</v>
      </c>
      <c r="J16" s="105">
        <v>5</v>
      </c>
      <c r="K16" s="105">
        <v>1704</v>
      </c>
      <c r="L16" s="105">
        <v>6</v>
      </c>
      <c r="M16" s="105">
        <v>2044.8000000000002</v>
      </c>
      <c r="N16" s="105">
        <v>5</v>
      </c>
      <c r="O16" s="105">
        <v>1704</v>
      </c>
      <c r="P16" s="105">
        <v>6</v>
      </c>
      <c r="Q16" s="105">
        <v>2044.8000000000002</v>
      </c>
      <c r="R16" s="105">
        <v>6</v>
      </c>
      <c r="S16" s="105">
        <v>2044.8000000000002</v>
      </c>
      <c r="T16" s="105">
        <v>4</v>
      </c>
      <c r="U16" s="105">
        <v>1363.2</v>
      </c>
      <c r="V16" s="105">
        <v>4</v>
      </c>
      <c r="W16" s="105">
        <v>1363.2</v>
      </c>
      <c r="X16" s="105">
        <v>5</v>
      </c>
      <c r="Y16" s="105">
        <v>1704</v>
      </c>
      <c r="Z16" s="105">
        <v>5</v>
      </c>
      <c r="AA16" s="105">
        <v>1704</v>
      </c>
      <c r="AB16" s="105">
        <v>10</v>
      </c>
      <c r="AC16" s="105">
        <v>3408</v>
      </c>
      <c r="AD16" s="105">
        <v>10</v>
      </c>
      <c r="AE16" s="105">
        <v>3408</v>
      </c>
      <c r="AF16" s="105">
        <v>6</v>
      </c>
      <c r="AG16" s="105">
        <v>2044.8000000000002</v>
      </c>
      <c r="AH16" s="105">
        <v>6</v>
      </c>
      <c r="AI16" s="105">
        <v>2044.8000000000002</v>
      </c>
      <c r="AJ16" s="105">
        <v>11</v>
      </c>
      <c r="AK16" s="105">
        <v>3748.8</v>
      </c>
      <c r="AL16" s="105">
        <v>7</v>
      </c>
      <c r="AM16" s="105">
        <v>2385.6</v>
      </c>
      <c r="AN16" s="105">
        <v>6</v>
      </c>
      <c r="AO16" s="105">
        <v>2044.8000000000002</v>
      </c>
      <c r="AP16" s="105">
        <v>10</v>
      </c>
      <c r="AQ16" s="105">
        <v>3408</v>
      </c>
      <c r="AR16" s="105">
        <v>14</v>
      </c>
      <c r="AS16" s="105">
        <v>4771.2</v>
      </c>
      <c r="AT16" s="105">
        <v>9</v>
      </c>
      <c r="AU16" s="105">
        <v>3067.2000000000003</v>
      </c>
      <c r="AV16" s="105">
        <v>14</v>
      </c>
      <c r="AW16" s="105">
        <v>4771.2</v>
      </c>
      <c r="AX16" s="105">
        <v>10</v>
      </c>
      <c r="AY16" s="105">
        <v>3408</v>
      </c>
      <c r="AZ16" s="105">
        <v>15</v>
      </c>
      <c r="BA16" s="105">
        <v>5112</v>
      </c>
      <c r="BB16" s="105">
        <v>12</v>
      </c>
      <c r="BC16" s="105">
        <v>4089.6000000000004</v>
      </c>
      <c r="BD16" s="105">
        <v>19</v>
      </c>
      <c r="BE16" s="105">
        <v>6475.2</v>
      </c>
      <c r="BF16" s="105">
        <v>20</v>
      </c>
      <c r="BG16" s="105">
        <v>6816</v>
      </c>
      <c r="BH16" s="105">
        <v>19</v>
      </c>
      <c r="BI16" s="105">
        <v>6475.2</v>
      </c>
      <c r="BJ16" s="105">
        <v>24</v>
      </c>
      <c r="BK16" s="105">
        <v>8179.2000000000007</v>
      </c>
      <c r="BL16" s="105">
        <v>23</v>
      </c>
      <c r="BM16" s="105">
        <v>7838.4000000000005</v>
      </c>
      <c r="BN16" s="105">
        <v>25</v>
      </c>
      <c r="BO16" s="105">
        <v>8520</v>
      </c>
      <c r="BP16" s="105">
        <v>26</v>
      </c>
      <c r="BQ16" s="105">
        <v>8860.8000000000011</v>
      </c>
      <c r="BR16" s="105">
        <v>35</v>
      </c>
      <c r="BS16" s="105">
        <v>11928</v>
      </c>
      <c r="BT16" s="105">
        <v>42</v>
      </c>
      <c r="BU16" s="105">
        <v>14313.6</v>
      </c>
      <c r="BV16" s="105">
        <v>23</v>
      </c>
      <c r="BW16" s="105">
        <v>7838.4000000000005</v>
      </c>
      <c r="BX16" s="105">
        <v>35</v>
      </c>
      <c r="BY16" s="105">
        <v>11928</v>
      </c>
      <c r="BZ16" s="105">
        <v>51</v>
      </c>
      <c r="CA16" s="105">
        <v>17380.8</v>
      </c>
      <c r="CB16" s="105">
        <v>27.729048674553646</v>
      </c>
      <c r="CC16" s="105">
        <v>9450.0597882878828</v>
      </c>
      <c r="CD16" s="105">
        <v>11.388354927712172</v>
      </c>
      <c r="CE16" s="105">
        <v>3881.1513593643081</v>
      </c>
      <c r="CF16" s="105">
        <v>7.1283364867574797</v>
      </c>
      <c r="CG16" s="105">
        <v>2429.3370746869491</v>
      </c>
      <c r="CH16" s="105">
        <v>0.9141384217335059</v>
      </c>
      <c r="CI16" s="105">
        <v>311.53837412677882</v>
      </c>
      <c r="CJ16" s="105">
        <v>5.1233329049834264</v>
      </c>
      <c r="CK16" s="105">
        <v>1746.0318540183519</v>
      </c>
      <c r="CL16" s="105">
        <v>5.0311903887539993</v>
      </c>
      <c r="CM16" s="105">
        <v>1714.629684487363</v>
      </c>
      <c r="CN16" s="105">
        <v>19.092259964748592</v>
      </c>
      <c r="CO16" s="105">
        <v>6506.6421959863201</v>
      </c>
      <c r="CP16" s="105">
        <v>8.9825564947057934</v>
      </c>
      <c r="CQ16" s="105">
        <v>3061.2552533957346</v>
      </c>
      <c r="CR16" s="105">
        <v>5.7758054981779532</v>
      </c>
      <c r="CS16" s="105">
        <v>1968.3945137790465</v>
      </c>
      <c r="CT16" s="105">
        <v>1.2403645047258893</v>
      </c>
      <c r="CU16" s="105">
        <v>422.71622321058311</v>
      </c>
    </row>
    <row r="17" spans="2:99" x14ac:dyDescent="0.25">
      <c r="C17" s="104" t="s">
        <v>182</v>
      </c>
      <c r="D17" s="105">
        <v>0</v>
      </c>
      <c r="E17" s="105">
        <v>0</v>
      </c>
      <c r="F17" s="105">
        <v>0</v>
      </c>
      <c r="G17" s="105">
        <v>0</v>
      </c>
      <c r="H17" s="105">
        <v>0</v>
      </c>
      <c r="I17" s="105">
        <v>0</v>
      </c>
      <c r="J17" s="105">
        <v>5</v>
      </c>
      <c r="K17" s="105">
        <v>2112</v>
      </c>
      <c r="L17" s="105">
        <v>6</v>
      </c>
      <c r="M17" s="105">
        <v>2534.3999999999996</v>
      </c>
      <c r="N17" s="105">
        <v>5</v>
      </c>
      <c r="O17" s="105">
        <v>2112</v>
      </c>
      <c r="P17" s="105">
        <v>7</v>
      </c>
      <c r="Q17" s="105">
        <v>2956.7999999999997</v>
      </c>
      <c r="R17" s="105">
        <v>5</v>
      </c>
      <c r="S17" s="105">
        <v>2112</v>
      </c>
      <c r="T17" s="105">
        <v>4</v>
      </c>
      <c r="U17" s="105">
        <v>1689.6</v>
      </c>
      <c r="V17" s="105">
        <v>4</v>
      </c>
      <c r="W17" s="105">
        <v>1689.6</v>
      </c>
      <c r="X17" s="105">
        <v>6</v>
      </c>
      <c r="Y17" s="105">
        <v>2534.3999999999996</v>
      </c>
      <c r="Z17" s="105">
        <v>5</v>
      </c>
      <c r="AA17" s="105">
        <v>2112</v>
      </c>
      <c r="AB17" s="105">
        <v>10</v>
      </c>
      <c r="AC17" s="105">
        <v>4224</v>
      </c>
      <c r="AD17" s="105">
        <v>9</v>
      </c>
      <c r="AE17" s="105">
        <v>3801.6</v>
      </c>
      <c r="AF17" s="105">
        <v>7</v>
      </c>
      <c r="AG17" s="105">
        <v>2956.7999999999997</v>
      </c>
      <c r="AH17" s="105">
        <v>6</v>
      </c>
      <c r="AI17" s="105">
        <v>2534.3999999999996</v>
      </c>
      <c r="AJ17" s="105">
        <v>11</v>
      </c>
      <c r="AK17" s="105">
        <v>4646.3999999999996</v>
      </c>
      <c r="AL17" s="105">
        <v>7</v>
      </c>
      <c r="AM17" s="105">
        <v>2956.7999999999997</v>
      </c>
      <c r="AN17" s="105">
        <v>7</v>
      </c>
      <c r="AO17" s="105">
        <v>2956.7999999999997</v>
      </c>
      <c r="AP17" s="105">
        <v>11</v>
      </c>
      <c r="AQ17" s="105">
        <v>4646.3999999999996</v>
      </c>
      <c r="AR17" s="105">
        <v>12</v>
      </c>
      <c r="AS17" s="105">
        <v>5068.7999999999993</v>
      </c>
      <c r="AT17" s="105">
        <v>9</v>
      </c>
      <c r="AU17" s="105">
        <v>3801.6</v>
      </c>
      <c r="AV17" s="105">
        <v>14</v>
      </c>
      <c r="AW17" s="105">
        <v>5913.5999999999995</v>
      </c>
      <c r="AX17" s="105">
        <v>11</v>
      </c>
      <c r="AY17" s="105">
        <v>4646.3999999999996</v>
      </c>
      <c r="AZ17" s="105">
        <v>15</v>
      </c>
      <c r="BA17" s="105">
        <v>6336</v>
      </c>
      <c r="BB17" s="105">
        <v>11</v>
      </c>
      <c r="BC17" s="105">
        <v>4646.3999999999996</v>
      </c>
      <c r="BD17" s="105">
        <v>18</v>
      </c>
      <c r="BE17" s="105">
        <v>7603.2</v>
      </c>
      <c r="BF17" s="105">
        <v>19</v>
      </c>
      <c r="BG17" s="105">
        <v>8025.5999999999995</v>
      </c>
      <c r="BH17" s="105">
        <v>20</v>
      </c>
      <c r="BI17" s="105">
        <v>8448</v>
      </c>
      <c r="BJ17" s="105">
        <v>21</v>
      </c>
      <c r="BK17" s="105">
        <v>8870.4</v>
      </c>
      <c r="BL17" s="105">
        <v>23</v>
      </c>
      <c r="BM17" s="105">
        <v>9715.1999999999989</v>
      </c>
      <c r="BN17" s="105">
        <v>23</v>
      </c>
      <c r="BO17" s="105">
        <v>9715.1999999999989</v>
      </c>
      <c r="BP17" s="105">
        <v>23</v>
      </c>
      <c r="BQ17" s="105">
        <v>9715.1999999999989</v>
      </c>
      <c r="BR17" s="105">
        <v>36</v>
      </c>
      <c r="BS17" s="105">
        <v>15206.4</v>
      </c>
      <c r="BT17" s="105">
        <v>37</v>
      </c>
      <c r="BU17" s="105">
        <v>15628.8</v>
      </c>
      <c r="BV17" s="105">
        <v>24</v>
      </c>
      <c r="BW17" s="105">
        <v>10137.599999999999</v>
      </c>
      <c r="BX17" s="105">
        <v>35</v>
      </c>
      <c r="BY17" s="105">
        <v>14784</v>
      </c>
      <c r="BZ17" s="105">
        <v>47</v>
      </c>
      <c r="CA17" s="105">
        <v>19852.8</v>
      </c>
      <c r="CB17" s="105">
        <v>32.928245301032455</v>
      </c>
      <c r="CC17" s="105">
        <v>13908.890815156108</v>
      </c>
      <c r="CD17" s="105">
        <v>11.388354927712172</v>
      </c>
      <c r="CE17" s="105">
        <v>4810.4411214656211</v>
      </c>
      <c r="CF17" s="105">
        <v>8.0193785476021642</v>
      </c>
      <c r="CG17" s="105">
        <v>3387.3854985071539</v>
      </c>
      <c r="CH17" s="105">
        <v>0.86602587322121616</v>
      </c>
      <c r="CI17" s="105">
        <v>365.80932884864171</v>
      </c>
      <c r="CJ17" s="105">
        <v>5.1233329049834264</v>
      </c>
      <c r="CK17" s="105">
        <v>2164.095819064999</v>
      </c>
      <c r="CL17" s="105">
        <v>4.6263819666703432</v>
      </c>
      <c r="CM17" s="105">
        <v>1954.1837427215528</v>
      </c>
      <c r="CN17" s="105">
        <v>18.664821308821388</v>
      </c>
      <c r="CO17" s="105">
        <v>7884.0205208461539</v>
      </c>
      <c r="CP17" s="105">
        <v>9.465489639582449</v>
      </c>
      <c r="CQ17" s="105">
        <v>3998.2228237596264</v>
      </c>
      <c r="CR17" s="105">
        <v>5.9377439700894845</v>
      </c>
      <c r="CS17" s="105">
        <v>2508.1030529657983</v>
      </c>
      <c r="CT17" s="105">
        <v>1.2694355478054025</v>
      </c>
      <c r="CU17" s="105">
        <v>536.20957539300196</v>
      </c>
    </row>
    <row r="18" spans="2:99" x14ac:dyDescent="0.25">
      <c r="C18" s="104" t="s">
        <v>183</v>
      </c>
      <c r="D18" s="105">
        <v>0</v>
      </c>
      <c r="E18" s="105">
        <v>0</v>
      </c>
      <c r="F18" s="105">
        <v>0</v>
      </c>
      <c r="G18" s="105">
        <v>0</v>
      </c>
      <c r="H18" s="105">
        <v>0</v>
      </c>
      <c r="I18" s="105">
        <v>0</v>
      </c>
      <c r="J18" s="105">
        <v>5</v>
      </c>
      <c r="K18" s="105">
        <v>3264</v>
      </c>
      <c r="L18" s="105">
        <v>5</v>
      </c>
      <c r="M18" s="105">
        <v>3264</v>
      </c>
      <c r="N18" s="105">
        <v>6</v>
      </c>
      <c r="O18" s="105">
        <v>3916.7999999999997</v>
      </c>
      <c r="P18" s="105">
        <v>7</v>
      </c>
      <c r="Q18" s="105">
        <v>4569.5999999999995</v>
      </c>
      <c r="R18" s="105">
        <v>6</v>
      </c>
      <c r="S18" s="105">
        <v>3916.7999999999997</v>
      </c>
      <c r="T18" s="105">
        <v>4</v>
      </c>
      <c r="U18" s="105">
        <v>2611.1999999999998</v>
      </c>
      <c r="V18" s="105">
        <v>4</v>
      </c>
      <c r="W18" s="105">
        <v>2611.1999999999998</v>
      </c>
      <c r="X18" s="105">
        <v>5</v>
      </c>
      <c r="Y18" s="105">
        <v>3264</v>
      </c>
      <c r="Z18" s="105">
        <v>5</v>
      </c>
      <c r="AA18" s="105">
        <v>3264</v>
      </c>
      <c r="AB18" s="105">
        <v>10</v>
      </c>
      <c r="AC18" s="105">
        <v>6528</v>
      </c>
      <c r="AD18" s="105">
        <v>9</v>
      </c>
      <c r="AE18" s="105">
        <v>5875.2</v>
      </c>
      <c r="AF18" s="105">
        <v>6</v>
      </c>
      <c r="AG18" s="105">
        <v>3916.7999999999997</v>
      </c>
      <c r="AH18" s="105">
        <v>7</v>
      </c>
      <c r="AI18" s="105">
        <v>4569.5999999999995</v>
      </c>
      <c r="AJ18" s="105">
        <v>10</v>
      </c>
      <c r="AK18" s="105">
        <v>6528</v>
      </c>
      <c r="AL18" s="105">
        <v>6</v>
      </c>
      <c r="AM18" s="105">
        <v>3916.7999999999997</v>
      </c>
      <c r="AN18" s="105">
        <v>6</v>
      </c>
      <c r="AO18" s="105">
        <v>3916.7999999999997</v>
      </c>
      <c r="AP18" s="105">
        <v>10</v>
      </c>
      <c r="AQ18" s="105">
        <v>6528</v>
      </c>
      <c r="AR18" s="105">
        <v>11</v>
      </c>
      <c r="AS18" s="105">
        <v>7180.7999999999993</v>
      </c>
      <c r="AT18" s="105">
        <v>8</v>
      </c>
      <c r="AU18" s="105">
        <v>5222.3999999999996</v>
      </c>
      <c r="AV18" s="105">
        <v>14</v>
      </c>
      <c r="AW18" s="105">
        <v>9139.1999999999989</v>
      </c>
      <c r="AX18" s="105">
        <v>10</v>
      </c>
      <c r="AY18" s="105">
        <v>6528</v>
      </c>
      <c r="AZ18" s="105">
        <v>15</v>
      </c>
      <c r="BA18" s="105">
        <v>9792</v>
      </c>
      <c r="BB18" s="105">
        <v>12</v>
      </c>
      <c r="BC18" s="105">
        <v>7833.5999999999995</v>
      </c>
      <c r="BD18" s="105">
        <v>17</v>
      </c>
      <c r="BE18" s="105">
        <v>11097.599999999999</v>
      </c>
      <c r="BF18" s="105">
        <v>17</v>
      </c>
      <c r="BG18" s="105">
        <v>11097.599999999999</v>
      </c>
      <c r="BH18" s="105">
        <v>19</v>
      </c>
      <c r="BI18" s="105">
        <v>12403.199999999999</v>
      </c>
      <c r="BJ18" s="105">
        <v>20</v>
      </c>
      <c r="BK18" s="105">
        <v>13056</v>
      </c>
      <c r="BL18" s="105">
        <v>24</v>
      </c>
      <c r="BM18" s="105">
        <v>15667.199999999999</v>
      </c>
      <c r="BN18" s="105">
        <v>24</v>
      </c>
      <c r="BO18" s="105">
        <v>15667.199999999999</v>
      </c>
      <c r="BP18" s="105">
        <v>23</v>
      </c>
      <c r="BQ18" s="105">
        <v>15014.4</v>
      </c>
      <c r="BR18" s="105">
        <v>33</v>
      </c>
      <c r="BS18" s="105">
        <v>21542.399999999998</v>
      </c>
      <c r="BT18" s="105">
        <v>38</v>
      </c>
      <c r="BU18" s="105">
        <v>24806.399999999998</v>
      </c>
      <c r="BV18" s="105">
        <v>22</v>
      </c>
      <c r="BW18" s="105">
        <v>14361.599999999999</v>
      </c>
      <c r="BX18" s="105">
        <v>32</v>
      </c>
      <c r="BY18" s="105">
        <v>20889.599999999999</v>
      </c>
      <c r="BZ18" s="105">
        <v>48</v>
      </c>
      <c r="CA18" s="105">
        <v>31334.399999999998</v>
      </c>
      <c r="CB18" s="105">
        <v>26.862515903473842</v>
      </c>
      <c r="CC18" s="105">
        <v>17535.850381787721</v>
      </c>
      <c r="CD18" s="105">
        <v>11.388354927712172</v>
      </c>
      <c r="CE18" s="105">
        <v>7434.3180968105053</v>
      </c>
      <c r="CF18" s="105">
        <v>6.6828154563351374</v>
      </c>
      <c r="CG18" s="105">
        <v>4362.5419298955776</v>
      </c>
      <c r="CH18" s="105">
        <v>0.9983353816300129</v>
      </c>
      <c r="CI18" s="105">
        <v>651.71333712807234</v>
      </c>
      <c r="CJ18" s="105">
        <v>4.8031245984219622</v>
      </c>
      <c r="CK18" s="105">
        <v>3135.4797378498565</v>
      </c>
      <c r="CL18" s="105">
        <v>4.7998712904204819</v>
      </c>
      <c r="CM18" s="105">
        <v>3133.3559783864903</v>
      </c>
      <c r="CN18" s="105">
        <v>17.097546237088295</v>
      </c>
      <c r="CO18" s="105">
        <v>11161.278183571238</v>
      </c>
      <c r="CP18" s="105">
        <v>7.9201035759771505</v>
      </c>
      <c r="CQ18" s="105">
        <v>5170.2436143978839</v>
      </c>
      <c r="CR18" s="105">
        <v>5.2360105918061821</v>
      </c>
      <c r="CS18" s="105">
        <v>3418.0677143310754</v>
      </c>
      <c r="CT18" s="105">
        <v>1.036867203169298</v>
      </c>
      <c r="CU18" s="105">
        <v>676.86691022891773</v>
      </c>
    </row>
    <row r="19" spans="2:99" x14ac:dyDescent="0.25">
      <c r="C19" s="104" t="s">
        <v>184</v>
      </c>
      <c r="D19" s="105">
        <v>0</v>
      </c>
      <c r="E19" s="105">
        <v>0</v>
      </c>
      <c r="F19" s="105">
        <v>0</v>
      </c>
      <c r="G19" s="105">
        <v>0</v>
      </c>
      <c r="H19" s="105">
        <v>0</v>
      </c>
      <c r="I19" s="105">
        <v>0</v>
      </c>
      <c r="J19" s="105">
        <v>5</v>
      </c>
      <c r="K19" s="105">
        <v>1650</v>
      </c>
      <c r="L19" s="105">
        <v>5</v>
      </c>
      <c r="M19" s="105">
        <v>1650</v>
      </c>
      <c r="N19" s="105">
        <v>5</v>
      </c>
      <c r="O19" s="105">
        <v>1650</v>
      </c>
      <c r="P19" s="105">
        <v>7</v>
      </c>
      <c r="Q19" s="105">
        <v>2310</v>
      </c>
      <c r="R19" s="105">
        <v>6</v>
      </c>
      <c r="S19" s="105">
        <v>1980</v>
      </c>
      <c r="T19" s="105">
        <v>4</v>
      </c>
      <c r="U19" s="105">
        <v>1320</v>
      </c>
      <c r="V19" s="105">
        <v>4</v>
      </c>
      <c r="W19" s="105">
        <v>1320</v>
      </c>
      <c r="X19" s="105">
        <v>5</v>
      </c>
      <c r="Y19" s="105">
        <v>1650</v>
      </c>
      <c r="Z19" s="105">
        <v>6</v>
      </c>
      <c r="AA19" s="105">
        <v>1980</v>
      </c>
      <c r="AB19" s="105">
        <v>9</v>
      </c>
      <c r="AC19" s="105">
        <v>2970</v>
      </c>
      <c r="AD19" s="105">
        <v>9</v>
      </c>
      <c r="AE19" s="105">
        <v>2970</v>
      </c>
      <c r="AF19" s="105">
        <v>6</v>
      </c>
      <c r="AG19" s="105">
        <v>1980</v>
      </c>
      <c r="AH19" s="105">
        <v>6</v>
      </c>
      <c r="AI19" s="105">
        <v>1980</v>
      </c>
      <c r="AJ19" s="105">
        <v>11</v>
      </c>
      <c r="AK19" s="105">
        <v>3630</v>
      </c>
      <c r="AL19" s="105">
        <v>7</v>
      </c>
      <c r="AM19" s="105">
        <v>2310</v>
      </c>
      <c r="AN19" s="105">
        <v>7</v>
      </c>
      <c r="AO19" s="105">
        <v>2310</v>
      </c>
      <c r="AP19" s="105">
        <v>11</v>
      </c>
      <c r="AQ19" s="105">
        <v>3630</v>
      </c>
      <c r="AR19" s="105">
        <v>13</v>
      </c>
      <c r="AS19" s="105">
        <v>4290</v>
      </c>
      <c r="AT19" s="105">
        <v>9</v>
      </c>
      <c r="AU19" s="105">
        <v>2970</v>
      </c>
      <c r="AV19" s="105">
        <v>13</v>
      </c>
      <c r="AW19" s="105">
        <v>4290</v>
      </c>
      <c r="AX19" s="105">
        <v>12</v>
      </c>
      <c r="AY19" s="105">
        <v>3960</v>
      </c>
      <c r="AZ19" s="105">
        <v>14</v>
      </c>
      <c r="BA19" s="105">
        <v>4620</v>
      </c>
      <c r="BB19" s="105">
        <v>13</v>
      </c>
      <c r="BC19" s="105">
        <v>4290</v>
      </c>
      <c r="BD19" s="105">
        <v>20</v>
      </c>
      <c r="BE19" s="105">
        <v>6600</v>
      </c>
      <c r="BF19" s="105">
        <v>20</v>
      </c>
      <c r="BG19" s="105">
        <v>6600</v>
      </c>
      <c r="BH19" s="105">
        <v>21</v>
      </c>
      <c r="BI19" s="105">
        <v>6930</v>
      </c>
      <c r="BJ19" s="105">
        <v>21</v>
      </c>
      <c r="BK19" s="105">
        <v>6930</v>
      </c>
      <c r="BL19" s="105">
        <v>22</v>
      </c>
      <c r="BM19" s="105">
        <v>7260</v>
      </c>
      <c r="BN19" s="105">
        <v>25</v>
      </c>
      <c r="BO19" s="105">
        <v>8250</v>
      </c>
      <c r="BP19" s="105">
        <v>25</v>
      </c>
      <c r="BQ19" s="105">
        <v>8250</v>
      </c>
      <c r="BR19" s="105">
        <v>32</v>
      </c>
      <c r="BS19" s="105">
        <v>10560</v>
      </c>
      <c r="BT19" s="105">
        <v>38</v>
      </c>
      <c r="BU19" s="105">
        <v>12540</v>
      </c>
      <c r="BV19" s="105">
        <v>23</v>
      </c>
      <c r="BW19" s="105">
        <v>7590</v>
      </c>
      <c r="BX19" s="105">
        <v>33</v>
      </c>
      <c r="BY19" s="105">
        <v>10890</v>
      </c>
      <c r="BZ19" s="105">
        <v>55</v>
      </c>
      <c r="CA19" s="105">
        <v>18150</v>
      </c>
      <c r="CB19" s="105">
        <v>34.661310843192055</v>
      </c>
      <c r="CC19" s="105">
        <v>11438.232578253379</v>
      </c>
      <c r="CD19" s="105">
        <v>11.032468836221167</v>
      </c>
      <c r="CE19" s="105">
        <v>3640.714715952985</v>
      </c>
      <c r="CF19" s="105">
        <v>6.9798294766166995</v>
      </c>
      <c r="CG19" s="105">
        <v>2303.3437272835108</v>
      </c>
      <c r="CH19" s="105">
        <v>1.0584760672703752</v>
      </c>
      <c r="CI19" s="105">
        <v>349.29710219922384</v>
      </c>
      <c r="CJ19" s="105">
        <v>4.6963884962348077</v>
      </c>
      <c r="CK19" s="105">
        <v>1549.8082037574866</v>
      </c>
      <c r="CL19" s="105">
        <v>5.0311903887539993</v>
      </c>
      <c r="CM19" s="105">
        <v>1660.2928282888197</v>
      </c>
      <c r="CN19" s="105">
        <v>16.812587133136823</v>
      </c>
      <c r="CO19" s="105">
        <v>5548.1537539351521</v>
      </c>
      <c r="CP19" s="105">
        <v>8.2098634629031437</v>
      </c>
      <c r="CQ19" s="105">
        <v>2709.2549427580375</v>
      </c>
      <c r="CR19" s="105">
        <v>5.5598875356292448</v>
      </c>
      <c r="CS19" s="105">
        <v>1834.7628867576507</v>
      </c>
      <c r="CT19" s="105">
        <v>1.1531513754873501</v>
      </c>
      <c r="CU19" s="105">
        <v>380.53995391082555</v>
      </c>
    </row>
    <row r="20" spans="2:99" x14ac:dyDescent="0.25">
      <c r="B20" s="104" t="s">
        <v>127</v>
      </c>
      <c r="C20" s="104" t="s">
        <v>185</v>
      </c>
      <c r="D20" s="105">
        <v>0</v>
      </c>
      <c r="E20" s="105">
        <v>0</v>
      </c>
      <c r="F20" s="105">
        <v>0</v>
      </c>
      <c r="G20" s="105">
        <v>0</v>
      </c>
      <c r="H20" s="105">
        <v>0</v>
      </c>
      <c r="I20" s="105">
        <v>0</v>
      </c>
      <c r="J20" s="105">
        <v>5</v>
      </c>
      <c r="K20" s="105">
        <v>1434</v>
      </c>
      <c r="L20" s="105">
        <v>7</v>
      </c>
      <c r="M20" s="105">
        <v>2007.6000000000001</v>
      </c>
      <c r="N20" s="105">
        <v>10</v>
      </c>
      <c r="O20" s="105">
        <v>2868</v>
      </c>
      <c r="P20" s="105">
        <v>7</v>
      </c>
      <c r="Q20" s="105">
        <v>2007.6000000000001</v>
      </c>
      <c r="R20" s="105">
        <v>10</v>
      </c>
      <c r="S20" s="105">
        <v>2868</v>
      </c>
      <c r="T20" s="105">
        <v>12</v>
      </c>
      <c r="U20" s="105">
        <v>3441.6000000000004</v>
      </c>
      <c r="V20" s="105">
        <v>11</v>
      </c>
      <c r="W20" s="105">
        <v>3154.8</v>
      </c>
      <c r="X20" s="105">
        <v>7</v>
      </c>
      <c r="Y20" s="105">
        <v>2007.6000000000001</v>
      </c>
      <c r="Z20" s="105">
        <v>11</v>
      </c>
      <c r="AA20" s="105">
        <v>3154.8</v>
      </c>
      <c r="AB20" s="105">
        <v>12</v>
      </c>
      <c r="AC20" s="105">
        <v>3441.6000000000004</v>
      </c>
      <c r="AD20" s="105">
        <v>9</v>
      </c>
      <c r="AE20" s="105">
        <v>2581.2000000000003</v>
      </c>
      <c r="AF20" s="105">
        <v>9</v>
      </c>
      <c r="AG20" s="105">
        <v>2581.2000000000003</v>
      </c>
      <c r="AH20" s="105">
        <v>11</v>
      </c>
      <c r="AI20" s="105">
        <v>3154.8</v>
      </c>
      <c r="AJ20" s="105">
        <v>17</v>
      </c>
      <c r="AK20" s="105">
        <v>4875.6000000000004</v>
      </c>
      <c r="AL20" s="105">
        <v>14</v>
      </c>
      <c r="AM20" s="105">
        <v>4015.2000000000003</v>
      </c>
      <c r="AN20" s="105">
        <v>19</v>
      </c>
      <c r="AO20" s="105">
        <v>5449.2</v>
      </c>
      <c r="AP20" s="105">
        <v>13</v>
      </c>
      <c r="AQ20" s="105">
        <v>3728.4</v>
      </c>
      <c r="AR20" s="105">
        <v>18</v>
      </c>
      <c r="AS20" s="105">
        <v>5162.4000000000005</v>
      </c>
      <c r="AT20" s="105">
        <v>21</v>
      </c>
      <c r="AU20" s="105">
        <v>6022.8</v>
      </c>
      <c r="AV20" s="105">
        <v>17</v>
      </c>
      <c r="AW20" s="105">
        <v>4875.6000000000004</v>
      </c>
      <c r="AX20" s="105">
        <v>16</v>
      </c>
      <c r="AY20" s="105">
        <v>4588.8</v>
      </c>
      <c r="AZ20" s="105">
        <v>22</v>
      </c>
      <c r="BA20" s="105">
        <v>6309.6</v>
      </c>
      <c r="BB20" s="105">
        <v>20</v>
      </c>
      <c r="BC20" s="105">
        <v>5736</v>
      </c>
      <c r="BD20" s="105">
        <v>27</v>
      </c>
      <c r="BE20" s="105">
        <v>7743.6</v>
      </c>
      <c r="BF20" s="105">
        <v>28</v>
      </c>
      <c r="BG20" s="105">
        <v>8030.4000000000005</v>
      </c>
      <c r="BH20" s="105">
        <v>24</v>
      </c>
      <c r="BI20" s="105">
        <v>6883.2000000000007</v>
      </c>
      <c r="BJ20" s="105">
        <v>44</v>
      </c>
      <c r="BK20" s="105">
        <v>12619.2</v>
      </c>
      <c r="BL20" s="105">
        <v>41</v>
      </c>
      <c r="BM20" s="105">
        <v>11758.800000000001</v>
      </c>
      <c r="BN20" s="105">
        <v>38</v>
      </c>
      <c r="BO20" s="105">
        <v>10898.4</v>
      </c>
      <c r="BP20" s="105">
        <v>35</v>
      </c>
      <c r="BQ20" s="105">
        <v>10038</v>
      </c>
      <c r="BR20" s="105">
        <v>45</v>
      </c>
      <c r="BS20" s="105">
        <v>12906</v>
      </c>
      <c r="BT20" s="105">
        <v>50</v>
      </c>
      <c r="BU20" s="105">
        <v>14340</v>
      </c>
      <c r="BV20" s="105">
        <v>52</v>
      </c>
      <c r="BW20" s="105">
        <v>14913.6</v>
      </c>
      <c r="BX20" s="105">
        <v>82</v>
      </c>
      <c r="BY20" s="105">
        <v>23517.600000000002</v>
      </c>
      <c r="BZ20" s="105">
        <v>81</v>
      </c>
      <c r="CA20" s="105">
        <v>23230.799999999999</v>
      </c>
      <c r="CB20" s="105">
        <v>69.32262168638411</v>
      </c>
      <c r="CC20" s="105">
        <v>19881.727899654965</v>
      </c>
      <c r="CD20" s="105">
        <v>23.844368129897362</v>
      </c>
      <c r="CE20" s="105">
        <v>6838.5647796545636</v>
      </c>
      <c r="CF20" s="105">
        <v>11.286532770699344</v>
      </c>
      <c r="CG20" s="105">
        <v>3236.9775986365721</v>
      </c>
      <c r="CH20" s="105">
        <v>0.92616655886157839</v>
      </c>
      <c r="CI20" s="105">
        <v>265.62456908150068</v>
      </c>
      <c r="CJ20" s="105">
        <v>7.6849993574751396</v>
      </c>
      <c r="CK20" s="105">
        <v>2204.0578157238701</v>
      </c>
      <c r="CL20" s="105">
        <v>7.3443813720891704</v>
      </c>
      <c r="CM20" s="105">
        <v>2106.3685775151744</v>
      </c>
      <c r="CN20" s="105">
        <v>27.925992187244212</v>
      </c>
      <c r="CO20" s="105">
        <v>8009.1745593016403</v>
      </c>
      <c r="CP20" s="105">
        <v>14.294821088349003</v>
      </c>
      <c r="CQ20" s="105">
        <v>4099.7546881384942</v>
      </c>
      <c r="CR20" s="105">
        <v>13.278954696745574</v>
      </c>
      <c r="CS20" s="105">
        <v>3808.4042070266305</v>
      </c>
      <c r="CT20" s="105">
        <v>1.9283791909410308</v>
      </c>
      <c r="CU20" s="105">
        <v>553.05915196188766</v>
      </c>
    </row>
    <row r="21" spans="2:99" x14ac:dyDescent="0.25">
      <c r="C21" s="104" t="s">
        <v>186</v>
      </c>
      <c r="D21" s="105">
        <v>0</v>
      </c>
      <c r="E21" s="105">
        <v>0</v>
      </c>
      <c r="F21" s="105">
        <v>0</v>
      </c>
      <c r="G21" s="105">
        <v>0</v>
      </c>
      <c r="H21" s="105">
        <v>0</v>
      </c>
      <c r="I21" s="105">
        <v>0</v>
      </c>
      <c r="J21" s="105">
        <v>5</v>
      </c>
      <c r="K21" s="105">
        <v>312</v>
      </c>
      <c r="L21" s="105">
        <v>6</v>
      </c>
      <c r="M21" s="105">
        <v>374.4</v>
      </c>
      <c r="N21" s="105">
        <v>10</v>
      </c>
      <c r="O21" s="105">
        <v>624</v>
      </c>
      <c r="P21" s="105">
        <v>7</v>
      </c>
      <c r="Q21" s="105">
        <v>436.8</v>
      </c>
      <c r="R21" s="105">
        <v>10</v>
      </c>
      <c r="S21" s="105">
        <v>624</v>
      </c>
      <c r="T21" s="105">
        <v>14</v>
      </c>
      <c r="U21" s="105">
        <v>873.6</v>
      </c>
      <c r="V21" s="105">
        <v>11</v>
      </c>
      <c r="W21" s="105">
        <v>686.4</v>
      </c>
      <c r="X21" s="105">
        <v>8</v>
      </c>
      <c r="Y21" s="105">
        <v>499.2</v>
      </c>
      <c r="Z21" s="105">
        <v>11</v>
      </c>
      <c r="AA21" s="105">
        <v>686.4</v>
      </c>
      <c r="AB21" s="105">
        <v>13</v>
      </c>
      <c r="AC21" s="105">
        <v>811.19999999999993</v>
      </c>
      <c r="AD21" s="105">
        <v>10</v>
      </c>
      <c r="AE21" s="105">
        <v>624</v>
      </c>
      <c r="AF21" s="105">
        <v>9</v>
      </c>
      <c r="AG21" s="105">
        <v>561.6</v>
      </c>
      <c r="AH21" s="105">
        <v>12</v>
      </c>
      <c r="AI21" s="105">
        <v>748.8</v>
      </c>
      <c r="AJ21" s="105">
        <v>19</v>
      </c>
      <c r="AK21" s="105">
        <v>1185.5999999999999</v>
      </c>
      <c r="AL21" s="105">
        <v>15</v>
      </c>
      <c r="AM21" s="105">
        <v>936</v>
      </c>
      <c r="AN21" s="105">
        <v>17</v>
      </c>
      <c r="AO21" s="105">
        <v>1060.8</v>
      </c>
      <c r="AP21" s="105">
        <v>14</v>
      </c>
      <c r="AQ21" s="105">
        <v>873.6</v>
      </c>
      <c r="AR21" s="105">
        <v>19</v>
      </c>
      <c r="AS21" s="105">
        <v>1185.5999999999999</v>
      </c>
      <c r="AT21" s="105">
        <v>23</v>
      </c>
      <c r="AU21" s="105">
        <v>1435.2</v>
      </c>
      <c r="AV21" s="105">
        <v>18</v>
      </c>
      <c r="AW21" s="105">
        <v>1123.2</v>
      </c>
      <c r="AX21" s="105">
        <v>19</v>
      </c>
      <c r="AY21" s="105">
        <v>1185.5999999999999</v>
      </c>
      <c r="AZ21" s="105">
        <v>22</v>
      </c>
      <c r="BA21" s="105">
        <v>1372.8</v>
      </c>
      <c r="BB21" s="105">
        <v>22</v>
      </c>
      <c r="BC21" s="105">
        <v>1372.8</v>
      </c>
      <c r="BD21" s="105">
        <v>26</v>
      </c>
      <c r="BE21" s="105">
        <v>1622.3999999999999</v>
      </c>
      <c r="BF21" s="105">
        <v>27</v>
      </c>
      <c r="BG21" s="105">
        <v>1684.8</v>
      </c>
      <c r="BH21" s="105">
        <v>24</v>
      </c>
      <c r="BI21" s="105">
        <v>1497.6</v>
      </c>
      <c r="BJ21" s="105">
        <v>45</v>
      </c>
      <c r="BK21" s="105">
        <v>2808</v>
      </c>
      <c r="BL21" s="105">
        <v>39</v>
      </c>
      <c r="BM21" s="105">
        <v>2433.6</v>
      </c>
      <c r="BN21" s="105">
        <v>42</v>
      </c>
      <c r="BO21" s="105">
        <v>2620.7999999999997</v>
      </c>
      <c r="BP21" s="105">
        <v>37</v>
      </c>
      <c r="BQ21" s="105">
        <v>2308.7999999999997</v>
      </c>
      <c r="BR21" s="105">
        <v>48</v>
      </c>
      <c r="BS21" s="105">
        <v>2995.2</v>
      </c>
      <c r="BT21" s="105">
        <v>45</v>
      </c>
      <c r="BU21" s="105">
        <v>2808</v>
      </c>
      <c r="BV21" s="105">
        <v>53</v>
      </c>
      <c r="BW21" s="105">
        <v>3307.2</v>
      </c>
      <c r="BX21" s="105">
        <v>92</v>
      </c>
      <c r="BY21" s="105">
        <v>5740.8</v>
      </c>
      <c r="BZ21" s="105">
        <v>85</v>
      </c>
      <c r="CA21" s="105">
        <v>5304</v>
      </c>
      <c r="CB21" s="105">
        <v>67.589556144224503</v>
      </c>
      <c r="CC21" s="105">
        <v>4217.5883033996088</v>
      </c>
      <c r="CD21" s="105">
        <v>23.132595946915348</v>
      </c>
      <c r="CE21" s="105">
        <v>1443.4739870875178</v>
      </c>
      <c r="CF21" s="105">
        <v>13.217123902529494</v>
      </c>
      <c r="CG21" s="105">
        <v>824.74853151784043</v>
      </c>
      <c r="CH21" s="105">
        <v>0.95022283311772326</v>
      </c>
      <c r="CI21" s="105">
        <v>59.29390478654593</v>
      </c>
      <c r="CJ21" s="105">
        <v>7.4715271531008307</v>
      </c>
      <c r="CK21" s="105">
        <v>466.22329435349184</v>
      </c>
      <c r="CL21" s="105">
        <v>8.6166364129235156</v>
      </c>
      <c r="CM21" s="105">
        <v>537.67811216642735</v>
      </c>
      <c r="CN21" s="105">
        <v>33.055256058370702</v>
      </c>
      <c r="CO21" s="105">
        <v>2062.6479780423319</v>
      </c>
      <c r="CP21" s="105">
        <v>14.294821088349003</v>
      </c>
      <c r="CQ21" s="105">
        <v>891.99683591297776</v>
      </c>
      <c r="CR21" s="105">
        <v>14.466503490763472</v>
      </c>
      <c r="CS21" s="105">
        <v>902.70981782364061</v>
      </c>
      <c r="CT21" s="105">
        <v>2.2190896217361611</v>
      </c>
      <c r="CU21" s="105">
        <v>138.47119239633645</v>
      </c>
    </row>
    <row r="22" spans="2:99" x14ac:dyDescent="0.25">
      <c r="C22" s="104" t="s">
        <v>187</v>
      </c>
      <c r="D22" s="105">
        <v>0</v>
      </c>
      <c r="E22" s="105">
        <v>0</v>
      </c>
      <c r="F22" s="105">
        <v>0</v>
      </c>
      <c r="G22" s="105">
        <v>0</v>
      </c>
      <c r="H22" s="105">
        <v>0</v>
      </c>
      <c r="I22" s="105">
        <v>0</v>
      </c>
      <c r="J22" s="105">
        <v>5</v>
      </c>
      <c r="K22" s="105">
        <v>936</v>
      </c>
      <c r="L22" s="105">
        <v>6</v>
      </c>
      <c r="M22" s="105">
        <v>1123.1999999999998</v>
      </c>
      <c r="N22" s="105">
        <v>10</v>
      </c>
      <c r="O22" s="105">
        <v>1872</v>
      </c>
      <c r="P22" s="105">
        <v>7</v>
      </c>
      <c r="Q22" s="105">
        <v>1310.3999999999999</v>
      </c>
      <c r="R22" s="105">
        <v>10</v>
      </c>
      <c r="S22" s="105">
        <v>1872</v>
      </c>
      <c r="T22" s="105">
        <v>13</v>
      </c>
      <c r="U22" s="105">
        <v>2433.6</v>
      </c>
      <c r="V22" s="105">
        <v>11</v>
      </c>
      <c r="W22" s="105">
        <v>2059.1999999999998</v>
      </c>
      <c r="X22" s="105">
        <v>8</v>
      </c>
      <c r="Y22" s="105">
        <v>1497.6</v>
      </c>
      <c r="Z22" s="105">
        <v>12</v>
      </c>
      <c r="AA22" s="105">
        <v>2246.3999999999996</v>
      </c>
      <c r="AB22" s="105">
        <v>12</v>
      </c>
      <c r="AC22" s="105">
        <v>2246.3999999999996</v>
      </c>
      <c r="AD22" s="105">
        <v>10</v>
      </c>
      <c r="AE22" s="105">
        <v>1872</v>
      </c>
      <c r="AF22" s="105">
        <v>8</v>
      </c>
      <c r="AG22" s="105">
        <v>1497.6</v>
      </c>
      <c r="AH22" s="105">
        <v>12</v>
      </c>
      <c r="AI22" s="105">
        <v>2246.3999999999996</v>
      </c>
      <c r="AJ22" s="105">
        <v>19</v>
      </c>
      <c r="AK22" s="105">
        <v>3556.7999999999997</v>
      </c>
      <c r="AL22" s="105">
        <v>14</v>
      </c>
      <c r="AM22" s="105">
        <v>2620.7999999999997</v>
      </c>
      <c r="AN22" s="105">
        <v>19</v>
      </c>
      <c r="AO22" s="105">
        <v>3556.7999999999997</v>
      </c>
      <c r="AP22" s="105">
        <v>14</v>
      </c>
      <c r="AQ22" s="105">
        <v>2620.7999999999997</v>
      </c>
      <c r="AR22" s="105">
        <v>21</v>
      </c>
      <c r="AS22" s="105">
        <v>3931.2</v>
      </c>
      <c r="AT22" s="105">
        <v>22</v>
      </c>
      <c r="AU22" s="105">
        <v>4118.3999999999996</v>
      </c>
      <c r="AV22" s="105">
        <v>18</v>
      </c>
      <c r="AW22" s="105">
        <v>3369.6</v>
      </c>
      <c r="AX22" s="105">
        <v>19</v>
      </c>
      <c r="AY22" s="105">
        <v>3556.7999999999997</v>
      </c>
      <c r="AZ22" s="105">
        <v>22</v>
      </c>
      <c r="BA22" s="105">
        <v>4118.3999999999996</v>
      </c>
      <c r="BB22" s="105">
        <v>18</v>
      </c>
      <c r="BC22" s="105">
        <v>3369.6</v>
      </c>
      <c r="BD22" s="105">
        <v>29</v>
      </c>
      <c r="BE22" s="105">
        <v>5428.7999999999993</v>
      </c>
      <c r="BF22" s="105">
        <v>27</v>
      </c>
      <c r="BG22" s="105">
        <v>5054.3999999999996</v>
      </c>
      <c r="BH22" s="105">
        <v>26</v>
      </c>
      <c r="BI22" s="105">
        <v>4867.2</v>
      </c>
      <c r="BJ22" s="105">
        <v>41</v>
      </c>
      <c r="BK22" s="105">
        <v>7675.2</v>
      </c>
      <c r="BL22" s="105">
        <v>40</v>
      </c>
      <c r="BM22" s="105">
        <v>7488</v>
      </c>
      <c r="BN22" s="105">
        <v>46</v>
      </c>
      <c r="BO22" s="105">
        <v>8611.1999999999989</v>
      </c>
      <c r="BP22" s="105">
        <v>31</v>
      </c>
      <c r="BQ22" s="105">
        <v>5803.2</v>
      </c>
      <c r="BR22" s="105">
        <v>40</v>
      </c>
      <c r="BS22" s="105">
        <v>7488</v>
      </c>
      <c r="BT22" s="105">
        <v>44</v>
      </c>
      <c r="BU22" s="105">
        <v>8236.7999999999993</v>
      </c>
      <c r="BV22" s="105">
        <v>54</v>
      </c>
      <c r="BW22" s="105">
        <v>10108.799999999999</v>
      </c>
      <c r="BX22" s="105">
        <v>91</v>
      </c>
      <c r="BY22" s="105">
        <v>17035.2</v>
      </c>
      <c r="BZ22" s="105">
        <v>77</v>
      </c>
      <c r="CA22" s="105">
        <v>14414.4</v>
      </c>
      <c r="CB22" s="105">
        <v>62.390359517745708</v>
      </c>
      <c r="CC22" s="105">
        <v>11679.475301721995</v>
      </c>
      <c r="CD22" s="105">
        <v>23.132595946915348</v>
      </c>
      <c r="CE22" s="105">
        <v>4330.4219612625529</v>
      </c>
      <c r="CF22" s="105">
        <v>11.138025760558563</v>
      </c>
      <c r="CG22" s="105">
        <v>2085.0384223765627</v>
      </c>
      <c r="CH22" s="105">
        <v>0.86602587322121616</v>
      </c>
      <c r="CI22" s="105">
        <v>162.12004346701164</v>
      </c>
      <c r="CJ22" s="105">
        <v>7.5782632552879843</v>
      </c>
      <c r="CK22" s="105">
        <v>1418.6508813899106</v>
      </c>
      <c r="CL22" s="105">
        <v>7.980508892506343</v>
      </c>
      <c r="CM22" s="105">
        <v>1493.9512646771873</v>
      </c>
      <c r="CN22" s="105">
        <v>31.915419642564814</v>
      </c>
      <c r="CO22" s="105">
        <v>5974.5665570881329</v>
      </c>
      <c r="CP22" s="105">
        <v>14.294821088349003</v>
      </c>
      <c r="CQ22" s="105">
        <v>2675.9905077389335</v>
      </c>
      <c r="CR22" s="105">
        <v>13.440893168657109</v>
      </c>
      <c r="CS22" s="105">
        <v>2516.1352011726108</v>
      </c>
      <c r="CT22" s="105">
        <v>2.2578510125088451</v>
      </c>
      <c r="CU22" s="105">
        <v>422.66970954165578</v>
      </c>
    </row>
    <row r="23" spans="2:99" x14ac:dyDescent="0.25">
      <c r="C23" s="104" t="s">
        <v>188</v>
      </c>
      <c r="D23" s="105">
        <v>0</v>
      </c>
      <c r="E23" s="105">
        <v>0</v>
      </c>
      <c r="F23" s="105">
        <v>0</v>
      </c>
      <c r="G23" s="105">
        <v>0</v>
      </c>
      <c r="H23" s="105">
        <v>0</v>
      </c>
      <c r="I23" s="105">
        <v>0</v>
      </c>
      <c r="J23" s="105">
        <v>4</v>
      </c>
      <c r="K23" s="105">
        <v>1176</v>
      </c>
      <c r="L23" s="105">
        <v>6</v>
      </c>
      <c r="M23" s="105">
        <v>1764</v>
      </c>
      <c r="N23" s="105">
        <v>10</v>
      </c>
      <c r="O23" s="105">
        <v>2940</v>
      </c>
      <c r="P23" s="105">
        <v>7</v>
      </c>
      <c r="Q23" s="105">
        <v>2058</v>
      </c>
      <c r="R23" s="105">
        <v>10</v>
      </c>
      <c r="S23" s="105">
        <v>2940</v>
      </c>
      <c r="T23" s="105">
        <v>13</v>
      </c>
      <c r="U23" s="105">
        <v>3822</v>
      </c>
      <c r="V23" s="105">
        <v>12</v>
      </c>
      <c r="W23" s="105">
        <v>3528</v>
      </c>
      <c r="X23" s="105">
        <v>8</v>
      </c>
      <c r="Y23" s="105">
        <v>2352</v>
      </c>
      <c r="Z23" s="105">
        <v>13</v>
      </c>
      <c r="AA23" s="105">
        <v>3822</v>
      </c>
      <c r="AB23" s="105">
        <v>11</v>
      </c>
      <c r="AC23" s="105">
        <v>3234</v>
      </c>
      <c r="AD23" s="105">
        <v>10</v>
      </c>
      <c r="AE23" s="105">
        <v>2940</v>
      </c>
      <c r="AF23" s="105">
        <v>8</v>
      </c>
      <c r="AG23" s="105">
        <v>2352</v>
      </c>
      <c r="AH23" s="105">
        <v>12</v>
      </c>
      <c r="AI23" s="105">
        <v>3528</v>
      </c>
      <c r="AJ23" s="105">
        <v>19</v>
      </c>
      <c r="AK23" s="105">
        <v>5586</v>
      </c>
      <c r="AL23" s="105">
        <v>14</v>
      </c>
      <c r="AM23" s="105">
        <v>4116</v>
      </c>
      <c r="AN23" s="105">
        <v>16</v>
      </c>
      <c r="AO23" s="105">
        <v>4704</v>
      </c>
      <c r="AP23" s="105">
        <v>13</v>
      </c>
      <c r="AQ23" s="105">
        <v>3822</v>
      </c>
      <c r="AR23" s="105">
        <v>21</v>
      </c>
      <c r="AS23" s="105">
        <v>6174</v>
      </c>
      <c r="AT23" s="105">
        <v>21</v>
      </c>
      <c r="AU23" s="105">
        <v>6174</v>
      </c>
      <c r="AV23" s="105">
        <v>18</v>
      </c>
      <c r="AW23" s="105">
        <v>5292</v>
      </c>
      <c r="AX23" s="105">
        <v>16</v>
      </c>
      <c r="AY23" s="105">
        <v>4704</v>
      </c>
      <c r="AZ23" s="105">
        <v>25</v>
      </c>
      <c r="BA23" s="105">
        <v>7350</v>
      </c>
      <c r="BB23" s="105">
        <v>19</v>
      </c>
      <c r="BC23" s="105">
        <v>5586</v>
      </c>
      <c r="BD23" s="105">
        <v>27</v>
      </c>
      <c r="BE23" s="105">
        <v>7938</v>
      </c>
      <c r="BF23" s="105">
        <v>31</v>
      </c>
      <c r="BG23" s="105">
        <v>9114</v>
      </c>
      <c r="BH23" s="105">
        <v>24</v>
      </c>
      <c r="BI23" s="105">
        <v>7056</v>
      </c>
      <c r="BJ23" s="105">
        <v>39</v>
      </c>
      <c r="BK23" s="105">
        <v>11466</v>
      </c>
      <c r="BL23" s="105">
        <v>38</v>
      </c>
      <c r="BM23" s="105">
        <v>11172</v>
      </c>
      <c r="BN23" s="105">
        <v>42</v>
      </c>
      <c r="BO23" s="105">
        <v>12348</v>
      </c>
      <c r="BP23" s="105">
        <v>37</v>
      </c>
      <c r="BQ23" s="105">
        <v>10878</v>
      </c>
      <c r="BR23" s="105">
        <v>44</v>
      </c>
      <c r="BS23" s="105">
        <v>12936</v>
      </c>
      <c r="BT23" s="105">
        <v>46</v>
      </c>
      <c r="BU23" s="105">
        <v>13524</v>
      </c>
      <c r="BV23" s="105">
        <v>49</v>
      </c>
      <c r="BW23" s="105">
        <v>14406</v>
      </c>
      <c r="BX23" s="105">
        <v>79</v>
      </c>
      <c r="BY23" s="105">
        <v>23226</v>
      </c>
      <c r="BZ23" s="105">
        <v>73</v>
      </c>
      <c r="CA23" s="105">
        <v>21462</v>
      </c>
      <c r="CB23" s="105">
        <v>67.589556144224503</v>
      </c>
      <c r="CC23" s="105">
        <v>19871.329506402002</v>
      </c>
      <c r="CD23" s="105">
        <v>22.776709855424343</v>
      </c>
      <c r="CE23" s="105">
        <v>6696.3526974947572</v>
      </c>
      <c r="CF23" s="105">
        <v>12.623095861966371</v>
      </c>
      <c r="CG23" s="105">
        <v>3711.1901834181131</v>
      </c>
      <c r="CH23" s="105">
        <v>0.86602587322121616</v>
      </c>
      <c r="CI23" s="105">
        <v>254.61160672703755</v>
      </c>
      <c r="CJ23" s="105">
        <v>7.1513188465393664</v>
      </c>
      <c r="CK23" s="105">
        <v>2102.4877408825737</v>
      </c>
      <c r="CL23" s="105">
        <v>7.6913600195894469</v>
      </c>
      <c r="CM23" s="105">
        <v>2261.2598457592976</v>
      </c>
      <c r="CN23" s="105">
        <v>28.210951291195684</v>
      </c>
      <c r="CO23" s="105">
        <v>8294.0196796115306</v>
      </c>
      <c r="CP23" s="105">
        <v>15.550447265028309</v>
      </c>
      <c r="CQ23" s="105">
        <v>4571.8314959183226</v>
      </c>
      <c r="CR23" s="105">
        <v>12.253344374639211</v>
      </c>
      <c r="CS23" s="105">
        <v>3602.4832461439278</v>
      </c>
      <c r="CT23" s="105">
        <v>1.8799274524751759</v>
      </c>
      <c r="CU23" s="105">
        <v>552.69867102770172</v>
      </c>
    </row>
    <row r="24" spans="2:99" x14ac:dyDescent="0.25">
      <c r="C24" s="104" t="s">
        <v>189</v>
      </c>
      <c r="D24" s="105">
        <v>0</v>
      </c>
      <c r="E24" s="105">
        <v>0</v>
      </c>
      <c r="F24" s="105">
        <v>0</v>
      </c>
      <c r="G24" s="105">
        <v>0</v>
      </c>
      <c r="H24" s="105">
        <v>0</v>
      </c>
      <c r="I24" s="105">
        <v>0</v>
      </c>
      <c r="J24" s="105">
        <v>4</v>
      </c>
      <c r="K24" s="105">
        <v>1468.8</v>
      </c>
      <c r="L24" s="105">
        <v>6</v>
      </c>
      <c r="M24" s="105">
        <v>2203.1999999999998</v>
      </c>
      <c r="N24" s="105">
        <v>10</v>
      </c>
      <c r="O24" s="105">
        <v>3672</v>
      </c>
      <c r="P24" s="105">
        <v>6</v>
      </c>
      <c r="Q24" s="105">
        <v>2203.1999999999998</v>
      </c>
      <c r="R24" s="105">
        <v>10</v>
      </c>
      <c r="S24" s="105">
        <v>3672</v>
      </c>
      <c r="T24" s="105">
        <v>13</v>
      </c>
      <c r="U24" s="105">
        <v>4773.5999999999995</v>
      </c>
      <c r="V24" s="105">
        <v>12</v>
      </c>
      <c r="W24" s="105">
        <v>4406.3999999999996</v>
      </c>
      <c r="X24" s="105">
        <v>8</v>
      </c>
      <c r="Y24" s="105">
        <v>2937.6</v>
      </c>
      <c r="Z24" s="105">
        <v>12</v>
      </c>
      <c r="AA24" s="105">
        <v>4406.3999999999996</v>
      </c>
      <c r="AB24" s="105">
        <v>11</v>
      </c>
      <c r="AC24" s="105">
        <v>4039.2</v>
      </c>
      <c r="AD24" s="105">
        <v>9</v>
      </c>
      <c r="AE24" s="105">
        <v>3304.7999999999997</v>
      </c>
      <c r="AF24" s="105">
        <v>9</v>
      </c>
      <c r="AG24" s="105">
        <v>3304.7999999999997</v>
      </c>
      <c r="AH24" s="105">
        <v>12</v>
      </c>
      <c r="AI24" s="105">
        <v>4406.3999999999996</v>
      </c>
      <c r="AJ24" s="105">
        <v>19</v>
      </c>
      <c r="AK24" s="105">
        <v>6976.8</v>
      </c>
      <c r="AL24" s="105">
        <v>17</v>
      </c>
      <c r="AM24" s="105">
        <v>6242.4</v>
      </c>
      <c r="AN24" s="105">
        <v>16</v>
      </c>
      <c r="AO24" s="105">
        <v>5875.2</v>
      </c>
      <c r="AP24" s="105">
        <v>14</v>
      </c>
      <c r="AQ24" s="105">
        <v>5140.8</v>
      </c>
      <c r="AR24" s="105">
        <v>18</v>
      </c>
      <c r="AS24" s="105">
        <v>6609.5999999999995</v>
      </c>
      <c r="AT24" s="105">
        <v>23</v>
      </c>
      <c r="AU24" s="105">
        <v>8445.6</v>
      </c>
      <c r="AV24" s="105">
        <v>15</v>
      </c>
      <c r="AW24" s="105">
        <v>5508</v>
      </c>
      <c r="AX24" s="105">
        <v>18</v>
      </c>
      <c r="AY24" s="105">
        <v>6609.5999999999995</v>
      </c>
      <c r="AZ24" s="105">
        <v>23</v>
      </c>
      <c r="BA24" s="105">
        <v>8445.6</v>
      </c>
      <c r="BB24" s="105">
        <v>20</v>
      </c>
      <c r="BC24" s="105">
        <v>7344</v>
      </c>
      <c r="BD24" s="105">
        <v>30</v>
      </c>
      <c r="BE24" s="105">
        <v>11016</v>
      </c>
      <c r="BF24" s="105">
        <v>31</v>
      </c>
      <c r="BG24" s="105">
        <v>11383.199999999999</v>
      </c>
      <c r="BH24" s="105">
        <v>25</v>
      </c>
      <c r="BI24" s="105">
        <v>9180</v>
      </c>
      <c r="BJ24" s="105">
        <v>39</v>
      </c>
      <c r="BK24" s="105">
        <v>14320.8</v>
      </c>
      <c r="BL24" s="105">
        <v>37</v>
      </c>
      <c r="BM24" s="105">
        <v>13586.4</v>
      </c>
      <c r="BN24" s="105">
        <v>40</v>
      </c>
      <c r="BO24" s="105">
        <v>14688</v>
      </c>
      <c r="BP24" s="105">
        <v>34</v>
      </c>
      <c r="BQ24" s="105">
        <v>12484.8</v>
      </c>
      <c r="BR24" s="105">
        <v>39</v>
      </c>
      <c r="BS24" s="105">
        <v>14320.8</v>
      </c>
      <c r="BT24" s="105">
        <v>49</v>
      </c>
      <c r="BU24" s="105">
        <v>17992.8</v>
      </c>
      <c r="BV24" s="105">
        <v>50</v>
      </c>
      <c r="BW24" s="105">
        <v>18360</v>
      </c>
      <c r="BX24" s="105">
        <v>81</v>
      </c>
      <c r="BY24" s="105">
        <v>29743.200000000001</v>
      </c>
      <c r="BZ24" s="105">
        <v>74</v>
      </c>
      <c r="CA24" s="105">
        <v>27172.799999999999</v>
      </c>
      <c r="CB24" s="105">
        <v>66.723023373144713</v>
      </c>
      <c r="CC24" s="105">
        <v>24500.694182618739</v>
      </c>
      <c r="CD24" s="105">
        <v>24.556140312879375</v>
      </c>
      <c r="CE24" s="105">
        <v>9017.0147228893056</v>
      </c>
      <c r="CF24" s="105">
        <v>11.880560811262466</v>
      </c>
      <c r="CG24" s="105">
        <v>4362.5419298955776</v>
      </c>
      <c r="CH24" s="105">
        <v>0.8299414618369988</v>
      </c>
      <c r="CI24" s="105">
        <v>304.75450478654597</v>
      </c>
      <c r="CJ24" s="105">
        <v>7.7917354596622941</v>
      </c>
      <c r="CK24" s="105">
        <v>2861.1252607879942</v>
      </c>
      <c r="CL24" s="105">
        <v>7.4600409212559295</v>
      </c>
      <c r="CM24" s="105">
        <v>2739.3270262851775</v>
      </c>
      <c r="CN24" s="105">
        <v>33.055256058370702</v>
      </c>
      <c r="CO24" s="105">
        <v>12137.890024633722</v>
      </c>
      <c r="CP24" s="105">
        <v>15.357274007077647</v>
      </c>
      <c r="CQ24" s="105">
        <v>5639.191015398912</v>
      </c>
      <c r="CR24" s="105">
        <v>12.793139281010982</v>
      </c>
      <c r="CS24" s="105">
        <v>4697.6407439872319</v>
      </c>
      <c r="CT24" s="105">
        <v>2.0252826678727414</v>
      </c>
      <c r="CU24" s="105">
        <v>743.68379564287056</v>
      </c>
    </row>
    <row r="25" spans="2:99" x14ac:dyDescent="0.25">
      <c r="C25" s="104" t="s">
        <v>190</v>
      </c>
      <c r="D25" s="105">
        <v>0</v>
      </c>
      <c r="E25" s="105">
        <v>0</v>
      </c>
      <c r="F25" s="105">
        <v>0</v>
      </c>
      <c r="G25" s="105">
        <v>0</v>
      </c>
      <c r="H25" s="105">
        <v>0</v>
      </c>
      <c r="I25" s="105">
        <v>0</v>
      </c>
      <c r="J25" s="105">
        <v>5</v>
      </c>
      <c r="K25" s="105">
        <v>2652</v>
      </c>
      <c r="L25" s="105">
        <v>6</v>
      </c>
      <c r="M25" s="105">
        <v>3182.3999999999996</v>
      </c>
      <c r="N25" s="105">
        <v>10</v>
      </c>
      <c r="O25" s="105">
        <v>5304</v>
      </c>
      <c r="P25" s="105">
        <v>6</v>
      </c>
      <c r="Q25" s="105">
        <v>3182.3999999999996</v>
      </c>
      <c r="R25" s="105">
        <v>11</v>
      </c>
      <c r="S25" s="105">
        <v>5834.4</v>
      </c>
      <c r="T25" s="105">
        <v>12</v>
      </c>
      <c r="U25" s="105">
        <v>6364.7999999999993</v>
      </c>
      <c r="V25" s="105">
        <v>11</v>
      </c>
      <c r="W25" s="105">
        <v>5834.4</v>
      </c>
      <c r="X25" s="105">
        <v>8</v>
      </c>
      <c r="Y25" s="105">
        <v>4243.2</v>
      </c>
      <c r="Z25" s="105">
        <v>13</v>
      </c>
      <c r="AA25" s="105">
        <v>6895.2</v>
      </c>
      <c r="AB25" s="105">
        <v>12</v>
      </c>
      <c r="AC25" s="105">
        <v>6364.7999999999993</v>
      </c>
      <c r="AD25" s="105">
        <v>8</v>
      </c>
      <c r="AE25" s="105">
        <v>4243.2</v>
      </c>
      <c r="AF25" s="105">
        <v>9</v>
      </c>
      <c r="AG25" s="105">
        <v>4773.5999999999995</v>
      </c>
      <c r="AH25" s="105">
        <v>12</v>
      </c>
      <c r="AI25" s="105">
        <v>6364.7999999999993</v>
      </c>
      <c r="AJ25" s="105">
        <v>19</v>
      </c>
      <c r="AK25" s="105">
        <v>10077.6</v>
      </c>
      <c r="AL25" s="105">
        <v>14</v>
      </c>
      <c r="AM25" s="105">
        <v>7425.5999999999995</v>
      </c>
      <c r="AN25" s="105">
        <v>18</v>
      </c>
      <c r="AO25" s="105">
        <v>9547.1999999999989</v>
      </c>
      <c r="AP25" s="105">
        <v>13</v>
      </c>
      <c r="AQ25" s="105">
        <v>6895.2</v>
      </c>
      <c r="AR25" s="105">
        <v>21</v>
      </c>
      <c r="AS25" s="105">
        <v>11138.4</v>
      </c>
      <c r="AT25" s="105">
        <v>19</v>
      </c>
      <c r="AU25" s="105">
        <v>10077.6</v>
      </c>
      <c r="AV25" s="105">
        <v>15</v>
      </c>
      <c r="AW25" s="105">
        <v>7956</v>
      </c>
      <c r="AX25" s="105">
        <v>16</v>
      </c>
      <c r="AY25" s="105">
        <v>8486.4</v>
      </c>
      <c r="AZ25" s="105">
        <v>21</v>
      </c>
      <c r="BA25" s="105">
        <v>11138.4</v>
      </c>
      <c r="BB25" s="105">
        <v>21</v>
      </c>
      <c r="BC25" s="105">
        <v>11138.4</v>
      </c>
      <c r="BD25" s="105">
        <v>26</v>
      </c>
      <c r="BE25" s="105">
        <v>13790.4</v>
      </c>
      <c r="BF25" s="105">
        <v>26</v>
      </c>
      <c r="BG25" s="105">
        <v>13790.4</v>
      </c>
      <c r="BH25" s="105">
        <v>24</v>
      </c>
      <c r="BI25" s="105">
        <v>12729.599999999999</v>
      </c>
      <c r="BJ25" s="105">
        <v>42</v>
      </c>
      <c r="BK25" s="105">
        <v>22276.799999999999</v>
      </c>
      <c r="BL25" s="105">
        <v>32</v>
      </c>
      <c r="BM25" s="105">
        <v>16972.8</v>
      </c>
      <c r="BN25" s="105">
        <v>44</v>
      </c>
      <c r="BO25" s="105">
        <v>23337.599999999999</v>
      </c>
      <c r="BP25" s="105">
        <v>36</v>
      </c>
      <c r="BQ25" s="105">
        <v>19094.399999999998</v>
      </c>
      <c r="BR25" s="105">
        <v>44</v>
      </c>
      <c r="BS25" s="105">
        <v>23337.599999999999</v>
      </c>
      <c r="BT25" s="105">
        <v>47</v>
      </c>
      <c r="BU25" s="105">
        <v>24928.799999999999</v>
      </c>
      <c r="BV25" s="105">
        <v>44</v>
      </c>
      <c r="BW25" s="105">
        <v>23337.599999999999</v>
      </c>
      <c r="BX25" s="105">
        <v>77</v>
      </c>
      <c r="BY25" s="105">
        <v>40840.799999999996</v>
      </c>
      <c r="BZ25" s="105">
        <v>77</v>
      </c>
      <c r="CA25" s="105">
        <v>40840.799999999996</v>
      </c>
      <c r="CB25" s="105">
        <v>66.723023373144713</v>
      </c>
      <c r="CC25" s="105">
        <v>35389.891597115951</v>
      </c>
      <c r="CD25" s="105">
        <v>23.488482038406357</v>
      </c>
      <c r="CE25" s="105">
        <v>12458.29087317073</v>
      </c>
      <c r="CF25" s="105">
        <v>11.732053801121687</v>
      </c>
      <c r="CG25" s="105">
        <v>6222.6813361149425</v>
      </c>
      <c r="CH25" s="105">
        <v>0.89008214747736103</v>
      </c>
      <c r="CI25" s="105">
        <v>472.09957102199229</v>
      </c>
      <c r="CJ25" s="105">
        <v>7.3647910509136754</v>
      </c>
      <c r="CK25" s="105">
        <v>3906.285173404613</v>
      </c>
      <c r="CL25" s="105">
        <v>7.9226791179229625</v>
      </c>
      <c r="CM25" s="105">
        <v>4202.1890041463394</v>
      </c>
      <c r="CN25" s="105">
        <v>31.630460538613342</v>
      </c>
      <c r="CO25" s="105">
        <v>16776.796269680515</v>
      </c>
      <c r="CP25" s="105">
        <v>13.425541427571023</v>
      </c>
      <c r="CQ25" s="105">
        <v>7120.9071731836702</v>
      </c>
      <c r="CR25" s="105">
        <v>11.767528958904617</v>
      </c>
      <c r="CS25" s="105">
        <v>6241.4973598030083</v>
      </c>
      <c r="CT25" s="105">
        <v>1.8411660617024919</v>
      </c>
      <c r="CU25" s="105">
        <v>976.55447912700163</v>
      </c>
    </row>
    <row r="26" spans="2:99" x14ac:dyDescent="0.25">
      <c r="C26" s="104" t="s">
        <v>191</v>
      </c>
      <c r="D26" s="105">
        <v>0</v>
      </c>
      <c r="E26" s="105">
        <v>0</v>
      </c>
      <c r="F26" s="105">
        <v>0</v>
      </c>
      <c r="G26" s="105">
        <v>0</v>
      </c>
      <c r="H26" s="105">
        <v>0</v>
      </c>
      <c r="I26" s="105">
        <v>0</v>
      </c>
      <c r="J26" s="105">
        <v>4</v>
      </c>
      <c r="K26" s="105">
        <v>1944</v>
      </c>
      <c r="L26" s="105">
        <v>6</v>
      </c>
      <c r="M26" s="105">
        <v>2916</v>
      </c>
      <c r="N26" s="105">
        <v>11</v>
      </c>
      <c r="O26" s="105">
        <v>5346</v>
      </c>
      <c r="P26" s="105">
        <v>7</v>
      </c>
      <c r="Q26" s="105">
        <v>3402</v>
      </c>
      <c r="R26" s="105">
        <v>9</v>
      </c>
      <c r="S26" s="105">
        <v>4374</v>
      </c>
      <c r="T26" s="105">
        <v>13</v>
      </c>
      <c r="U26" s="105">
        <v>6318</v>
      </c>
      <c r="V26" s="105">
        <v>11</v>
      </c>
      <c r="W26" s="105">
        <v>5346</v>
      </c>
      <c r="X26" s="105">
        <v>7</v>
      </c>
      <c r="Y26" s="105">
        <v>3402</v>
      </c>
      <c r="Z26" s="105">
        <v>13</v>
      </c>
      <c r="AA26" s="105">
        <v>6318</v>
      </c>
      <c r="AB26" s="105">
        <v>12</v>
      </c>
      <c r="AC26" s="105">
        <v>5832</v>
      </c>
      <c r="AD26" s="105">
        <v>9</v>
      </c>
      <c r="AE26" s="105">
        <v>4374</v>
      </c>
      <c r="AF26" s="105">
        <v>8</v>
      </c>
      <c r="AG26" s="105">
        <v>3888</v>
      </c>
      <c r="AH26" s="105">
        <v>11</v>
      </c>
      <c r="AI26" s="105">
        <v>5346</v>
      </c>
      <c r="AJ26" s="105">
        <v>19</v>
      </c>
      <c r="AK26" s="105">
        <v>9234</v>
      </c>
      <c r="AL26" s="105">
        <v>16</v>
      </c>
      <c r="AM26" s="105">
        <v>7776</v>
      </c>
      <c r="AN26" s="105">
        <v>18</v>
      </c>
      <c r="AO26" s="105">
        <v>8748</v>
      </c>
      <c r="AP26" s="105">
        <v>14</v>
      </c>
      <c r="AQ26" s="105">
        <v>6804</v>
      </c>
      <c r="AR26" s="105">
        <v>19</v>
      </c>
      <c r="AS26" s="105">
        <v>9234</v>
      </c>
      <c r="AT26" s="105">
        <v>19</v>
      </c>
      <c r="AU26" s="105">
        <v>9234</v>
      </c>
      <c r="AV26" s="105">
        <v>16</v>
      </c>
      <c r="AW26" s="105">
        <v>7776</v>
      </c>
      <c r="AX26" s="105">
        <v>16</v>
      </c>
      <c r="AY26" s="105">
        <v>7776</v>
      </c>
      <c r="AZ26" s="105">
        <v>21</v>
      </c>
      <c r="BA26" s="105">
        <v>10206</v>
      </c>
      <c r="BB26" s="105">
        <v>21</v>
      </c>
      <c r="BC26" s="105">
        <v>10206</v>
      </c>
      <c r="BD26" s="105">
        <v>29</v>
      </c>
      <c r="BE26" s="105">
        <v>14094</v>
      </c>
      <c r="BF26" s="105">
        <v>29</v>
      </c>
      <c r="BG26" s="105">
        <v>14094</v>
      </c>
      <c r="BH26" s="105">
        <v>22</v>
      </c>
      <c r="BI26" s="105">
        <v>10692</v>
      </c>
      <c r="BJ26" s="105">
        <v>40</v>
      </c>
      <c r="BK26" s="105">
        <v>19440</v>
      </c>
      <c r="BL26" s="105">
        <v>37</v>
      </c>
      <c r="BM26" s="105">
        <v>17982</v>
      </c>
      <c r="BN26" s="105">
        <v>38</v>
      </c>
      <c r="BO26" s="105">
        <v>18468</v>
      </c>
      <c r="BP26" s="105">
        <v>34</v>
      </c>
      <c r="BQ26" s="105">
        <v>16524</v>
      </c>
      <c r="BR26" s="105">
        <v>45</v>
      </c>
      <c r="BS26" s="105">
        <v>21870</v>
      </c>
      <c r="BT26" s="105">
        <v>43</v>
      </c>
      <c r="BU26" s="105">
        <v>20898</v>
      </c>
      <c r="BV26" s="105">
        <v>48</v>
      </c>
      <c r="BW26" s="105">
        <v>23328</v>
      </c>
      <c r="BX26" s="105">
        <v>73</v>
      </c>
      <c r="BY26" s="105">
        <v>35478</v>
      </c>
      <c r="BZ26" s="105">
        <v>80</v>
      </c>
      <c r="CA26" s="105">
        <v>38880</v>
      </c>
      <c r="CB26" s="105">
        <v>69.32262168638411</v>
      </c>
      <c r="CC26" s="105">
        <v>33690.794139582678</v>
      </c>
      <c r="CD26" s="105">
        <v>24.200254221388366</v>
      </c>
      <c r="CE26" s="105">
        <v>11761.323551594745</v>
      </c>
      <c r="CF26" s="105">
        <v>11.435039780840125</v>
      </c>
      <c r="CG26" s="105">
        <v>5557.4293334883005</v>
      </c>
      <c r="CH26" s="105">
        <v>0.80588518758085392</v>
      </c>
      <c r="CI26" s="105">
        <v>391.66020116429502</v>
      </c>
      <c r="CJ26" s="105">
        <v>7.8984715618494494</v>
      </c>
      <c r="CK26" s="105">
        <v>3838.6571790588323</v>
      </c>
      <c r="CL26" s="105">
        <v>7.5178706958393082</v>
      </c>
      <c r="CM26" s="105">
        <v>3653.6851581779038</v>
      </c>
      <c r="CN26" s="105">
        <v>30.205665018855981</v>
      </c>
      <c r="CO26" s="105">
        <v>14679.953199164007</v>
      </c>
      <c r="CP26" s="105">
        <v>12.846021653719037</v>
      </c>
      <c r="CQ26" s="105">
        <v>6243.1665237074521</v>
      </c>
      <c r="CR26" s="105">
        <v>12.955077752922513</v>
      </c>
      <c r="CS26" s="105">
        <v>6296.1677879203417</v>
      </c>
      <c r="CT26" s="105">
        <v>2.0155923201795702</v>
      </c>
      <c r="CU26" s="105">
        <v>979.57786760727117</v>
      </c>
    </row>
    <row r="27" spans="2:99" x14ac:dyDescent="0.25">
      <c r="C27" s="104" t="s">
        <v>192</v>
      </c>
      <c r="D27" s="105">
        <v>0</v>
      </c>
      <c r="E27" s="105">
        <v>0</v>
      </c>
      <c r="F27" s="105">
        <v>0</v>
      </c>
      <c r="G27" s="105">
        <v>0</v>
      </c>
      <c r="H27" s="105">
        <v>0</v>
      </c>
      <c r="I27" s="105">
        <v>0</v>
      </c>
      <c r="J27" s="105">
        <v>4</v>
      </c>
      <c r="K27" s="105">
        <v>1708.8</v>
      </c>
      <c r="L27" s="105">
        <v>6</v>
      </c>
      <c r="M27" s="105">
        <v>2563.1999999999998</v>
      </c>
      <c r="N27" s="105">
        <v>11</v>
      </c>
      <c r="O27" s="105">
        <v>4699.2</v>
      </c>
      <c r="P27" s="105">
        <v>6</v>
      </c>
      <c r="Q27" s="105">
        <v>2563.1999999999998</v>
      </c>
      <c r="R27" s="105">
        <v>10</v>
      </c>
      <c r="S27" s="105">
        <v>4272</v>
      </c>
      <c r="T27" s="105">
        <v>12</v>
      </c>
      <c r="U27" s="105">
        <v>5126.3999999999996</v>
      </c>
      <c r="V27" s="105">
        <v>11</v>
      </c>
      <c r="W27" s="105">
        <v>4699.2</v>
      </c>
      <c r="X27" s="105">
        <v>7</v>
      </c>
      <c r="Y27" s="105">
        <v>2990.4</v>
      </c>
      <c r="Z27" s="105">
        <v>12</v>
      </c>
      <c r="AA27" s="105">
        <v>5126.3999999999996</v>
      </c>
      <c r="AB27" s="105">
        <v>11</v>
      </c>
      <c r="AC27" s="105">
        <v>4699.2</v>
      </c>
      <c r="AD27" s="105">
        <v>9</v>
      </c>
      <c r="AE27" s="105">
        <v>3844.7999999999997</v>
      </c>
      <c r="AF27" s="105">
        <v>8</v>
      </c>
      <c r="AG27" s="105">
        <v>3417.6</v>
      </c>
      <c r="AH27" s="105">
        <v>12</v>
      </c>
      <c r="AI27" s="105">
        <v>5126.3999999999996</v>
      </c>
      <c r="AJ27" s="105">
        <v>19</v>
      </c>
      <c r="AK27" s="105">
        <v>8116.8</v>
      </c>
      <c r="AL27" s="105">
        <v>17</v>
      </c>
      <c r="AM27" s="105">
        <v>7262.4</v>
      </c>
      <c r="AN27" s="105">
        <v>18</v>
      </c>
      <c r="AO27" s="105">
        <v>7689.5999999999995</v>
      </c>
      <c r="AP27" s="105">
        <v>14</v>
      </c>
      <c r="AQ27" s="105">
        <v>5980.8</v>
      </c>
      <c r="AR27" s="105">
        <v>20</v>
      </c>
      <c r="AS27" s="105">
        <v>8544</v>
      </c>
      <c r="AT27" s="105">
        <v>21</v>
      </c>
      <c r="AU27" s="105">
        <v>8971.1999999999989</v>
      </c>
      <c r="AV27" s="105">
        <v>17</v>
      </c>
      <c r="AW27" s="105">
        <v>7262.4</v>
      </c>
      <c r="AX27" s="105">
        <v>15</v>
      </c>
      <c r="AY27" s="105">
        <v>6408</v>
      </c>
      <c r="AZ27" s="105">
        <v>22</v>
      </c>
      <c r="BA27" s="105">
        <v>9398.4</v>
      </c>
      <c r="BB27" s="105">
        <v>19</v>
      </c>
      <c r="BC27" s="105">
        <v>8116.8</v>
      </c>
      <c r="BD27" s="105">
        <v>28</v>
      </c>
      <c r="BE27" s="105">
        <v>11961.6</v>
      </c>
      <c r="BF27" s="105">
        <v>29</v>
      </c>
      <c r="BG27" s="105">
        <v>12388.8</v>
      </c>
      <c r="BH27" s="105">
        <v>22</v>
      </c>
      <c r="BI27" s="105">
        <v>9398.4</v>
      </c>
      <c r="BJ27" s="105">
        <v>45</v>
      </c>
      <c r="BK27" s="105">
        <v>19224</v>
      </c>
      <c r="BL27" s="105">
        <v>39</v>
      </c>
      <c r="BM27" s="105">
        <v>16660.8</v>
      </c>
      <c r="BN27" s="105">
        <v>42</v>
      </c>
      <c r="BO27" s="105">
        <v>17942.399999999998</v>
      </c>
      <c r="BP27" s="105">
        <v>33</v>
      </c>
      <c r="BQ27" s="105">
        <v>14097.6</v>
      </c>
      <c r="BR27" s="105">
        <v>38</v>
      </c>
      <c r="BS27" s="105">
        <v>16233.6</v>
      </c>
      <c r="BT27" s="105">
        <v>44</v>
      </c>
      <c r="BU27" s="105">
        <v>18796.8</v>
      </c>
      <c r="BV27" s="105">
        <v>47</v>
      </c>
      <c r="BW27" s="105">
        <v>20078.399999999998</v>
      </c>
      <c r="BX27" s="105">
        <v>76</v>
      </c>
      <c r="BY27" s="105">
        <v>32467.200000000001</v>
      </c>
      <c r="BZ27" s="105">
        <v>74</v>
      </c>
      <c r="CA27" s="105">
        <v>31612.799999999999</v>
      </c>
      <c r="CB27" s="105">
        <v>69.32262168638411</v>
      </c>
      <c r="CC27" s="105">
        <v>29614.623984423291</v>
      </c>
      <c r="CD27" s="105">
        <v>22.420823763933342</v>
      </c>
      <c r="CE27" s="105">
        <v>9578.1759119523231</v>
      </c>
      <c r="CF27" s="105">
        <v>10.989518750417782</v>
      </c>
      <c r="CG27" s="105">
        <v>4694.7224101784759</v>
      </c>
      <c r="CH27" s="105">
        <v>0.95022283311772326</v>
      </c>
      <c r="CI27" s="105">
        <v>405.93519430789138</v>
      </c>
      <c r="CJ27" s="105">
        <v>7.0445827443522111</v>
      </c>
      <c r="CK27" s="105">
        <v>3009.4457483872643</v>
      </c>
      <c r="CL27" s="105">
        <v>6.9974027245888948</v>
      </c>
      <c r="CM27" s="105">
        <v>2989.290443944376</v>
      </c>
      <c r="CN27" s="105">
        <v>27.783512635268476</v>
      </c>
      <c r="CO27" s="105">
        <v>11869.116597786693</v>
      </c>
      <c r="CP27" s="105">
        <v>14.101647830398342</v>
      </c>
      <c r="CQ27" s="105">
        <v>6024.2239531461719</v>
      </c>
      <c r="CR27" s="105">
        <v>12.091405902727679</v>
      </c>
      <c r="CS27" s="105">
        <v>5165.4486016452647</v>
      </c>
      <c r="CT27" s="105">
        <v>1.9768309294068862</v>
      </c>
      <c r="CU27" s="105">
        <v>844.50217304262173</v>
      </c>
    </row>
    <row r="28" spans="2:99" x14ac:dyDescent="0.25">
      <c r="C28" s="104" t="s">
        <v>193</v>
      </c>
      <c r="D28" s="105">
        <v>0</v>
      </c>
      <c r="E28" s="105">
        <v>0</v>
      </c>
      <c r="F28" s="105">
        <v>0</v>
      </c>
      <c r="G28" s="105">
        <v>0</v>
      </c>
      <c r="H28" s="105">
        <v>0</v>
      </c>
      <c r="I28" s="105">
        <v>0</v>
      </c>
      <c r="J28" s="105">
        <v>5</v>
      </c>
      <c r="K28" s="105">
        <v>3690</v>
      </c>
      <c r="L28" s="105">
        <v>5</v>
      </c>
      <c r="M28" s="105">
        <v>3690</v>
      </c>
      <c r="N28" s="105">
        <v>10</v>
      </c>
      <c r="O28" s="105">
        <v>7380</v>
      </c>
      <c r="P28" s="105">
        <v>7</v>
      </c>
      <c r="Q28" s="105">
        <v>5166</v>
      </c>
      <c r="R28" s="105">
        <v>9</v>
      </c>
      <c r="S28" s="105">
        <v>6642</v>
      </c>
      <c r="T28" s="105">
        <v>12</v>
      </c>
      <c r="U28" s="105">
        <v>8856</v>
      </c>
      <c r="V28" s="105">
        <v>10</v>
      </c>
      <c r="W28" s="105">
        <v>7380</v>
      </c>
      <c r="X28" s="105">
        <v>7</v>
      </c>
      <c r="Y28" s="105">
        <v>5166</v>
      </c>
      <c r="Z28" s="105">
        <v>13</v>
      </c>
      <c r="AA28" s="105">
        <v>9594</v>
      </c>
      <c r="AB28" s="105">
        <v>11</v>
      </c>
      <c r="AC28" s="105">
        <v>8118</v>
      </c>
      <c r="AD28" s="105">
        <v>9</v>
      </c>
      <c r="AE28" s="105">
        <v>6642</v>
      </c>
      <c r="AF28" s="105">
        <v>10</v>
      </c>
      <c r="AG28" s="105">
        <v>7380</v>
      </c>
      <c r="AH28" s="105">
        <v>12</v>
      </c>
      <c r="AI28" s="105">
        <v>8856</v>
      </c>
      <c r="AJ28" s="105">
        <v>17</v>
      </c>
      <c r="AK28" s="105">
        <v>12546</v>
      </c>
      <c r="AL28" s="105">
        <v>15</v>
      </c>
      <c r="AM28" s="105">
        <v>11070</v>
      </c>
      <c r="AN28" s="105">
        <v>15</v>
      </c>
      <c r="AO28" s="105">
        <v>11070</v>
      </c>
      <c r="AP28" s="105">
        <v>13</v>
      </c>
      <c r="AQ28" s="105">
        <v>9594</v>
      </c>
      <c r="AR28" s="105">
        <v>19</v>
      </c>
      <c r="AS28" s="105">
        <v>14022</v>
      </c>
      <c r="AT28" s="105">
        <v>20</v>
      </c>
      <c r="AU28" s="105">
        <v>14760</v>
      </c>
      <c r="AV28" s="105">
        <v>15</v>
      </c>
      <c r="AW28" s="105">
        <v>11070</v>
      </c>
      <c r="AX28" s="105">
        <v>16</v>
      </c>
      <c r="AY28" s="105">
        <v>11808</v>
      </c>
      <c r="AZ28" s="105">
        <v>20</v>
      </c>
      <c r="BA28" s="105">
        <v>14760</v>
      </c>
      <c r="BB28" s="105">
        <v>19</v>
      </c>
      <c r="BC28" s="105">
        <v>14022</v>
      </c>
      <c r="BD28" s="105">
        <v>27</v>
      </c>
      <c r="BE28" s="105">
        <v>19926</v>
      </c>
      <c r="BF28" s="105">
        <v>29</v>
      </c>
      <c r="BG28" s="105">
        <v>21402</v>
      </c>
      <c r="BH28" s="105">
        <v>22</v>
      </c>
      <c r="BI28" s="105">
        <v>16236</v>
      </c>
      <c r="BJ28" s="105">
        <v>43</v>
      </c>
      <c r="BK28" s="105">
        <v>31734</v>
      </c>
      <c r="BL28" s="105">
        <v>38</v>
      </c>
      <c r="BM28" s="105">
        <v>28044</v>
      </c>
      <c r="BN28" s="105">
        <v>40</v>
      </c>
      <c r="BO28" s="105">
        <v>29520</v>
      </c>
      <c r="BP28" s="105">
        <v>35</v>
      </c>
      <c r="BQ28" s="105">
        <v>25830</v>
      </c>
      <c r="BR28" s="105">
        <v>42</v>
      </c>
      <c r="BS28" s="105">
        <v>30996</v>
      </c>
      <c r="BT28" s="105">
        <v>39</v>
      </c>
      <c r="BU28" s="105">
        <v>28782</v>
      </c>
      <c r="BV28" s="105">
        <v>49</v>
      </c>
      <c r="BW28" s="105">
        <v>36162</v>
      </c>
      <c r="BX28" s="105">
        <v>73</v>
      </c>
      <c r="BY28" s="105">
        <v>53874</v>
      </c>
      <c r="BZ28" s="105">
        <v>69</v>
      </c>
      <c r="CA28" s="105">
        <v>50922</v>
      </c>
      <c r="CB28" s="105">
        <v>65.856490602064909</v>
      </c>
      <c r="CC28" s="105">
        <v>48602.0900643239</v>
      </c>
      <c r="CD28" s="105">
        <v>21.353165489460324</v>
      </c>
      <c r="CE28" s="105">
        <v>15758.63613122172</v>
      </c>
      <c r="CF28" s="105">
        <v>11.435039780840125</v>
      </c>
      <c r="CG28" s="105">
        <v>8439.0593582600122</v>
      </c>
      <c r="CH28" s="105">
        <v>0.80588518758085392</v>
      </c>
      <c r="CI28" s="105">
        <v>594.7432684346702</v>
      </c>
      <c r="CJ28" s="105">
        <v>6.6176383356035924</v>
      </c>
      <c r="CK28" s="105">
        <v>4883.8170916754516</v>
      </c>
      <c r="CL28" s="105">
        <v>6.53476452792186</v>
      </c>
      <c r="CM28" s="105">
        <v>4822.656221606333</v>
      </c>
      <c r="CN28" s="105">
        <v>26.92863532341406</v>
      </c>
      <c r="CO28" s="105">
        <v>19873.332868679576</v>
      </c>
      <c r="CP28" s="105">
        <v>14.005061201423009</v>
      </c>
      <c r="CQ28" s="105">
        <v>10335.735166650182</v>
      </c>
      <c r="CR28" s="105">
        <v>10.903857108709781</v>
      </c>
      <c r="CS28" s="105">
        <v>8047.046546227818</v>
      </c>
      <c r="CT28" s="105">
        <v>1.9865212771000571</v>
      </c>
      <c r="CU28" s="105">
        <v>1466.0527024998421</v>
      </c>
    </row>
    <row r="29" spans="2:99" x14ac:dyDescent="0.25">
      <c r="C29" s="104" t="s">
        <v>194</v>
      </c>
      <c r="D29" s="105">
        <v>0</v>
      </c>
      <c r="E29" s="105">
        <v>0</v>
      </c>
      <c r="F29" s="105">
        <v>0</v>
      </c>
      <c r="G29" s="105">
        <v>0</v>
      </c>
      <c r="H29" s="105">
        <v>0</v>
      </c>
      <c r="I29" s="105">
        <v>0</v>
      </c>
      <c r="J29" s="105">
        <v>5</v>
      </c>
      <c r="K29" s="105">
        <v>1692</v>
      </c>
      <c r="L29" s="105">
        <v>6</v>
      </c>
      <c r="M29" s="105">
        <v>2030.3999999999999</v>
      </c>
      <c r="N29" s="105">
        <v>10</v>
      </c>
      <c r="O29" s="105">
        <v>3384</v>
      </c>
      <c r="P29" s="105">
        <v>6</v>
      </c>
      <c r="Q29" s="105">
        <v>2030.3999999999999</v>
      </c>
      <c r="R29" s="105">
        <v>10</v>
      </c>
      <c r="S29" s="105">
        <v>3384</v>
      </c>
      <c r="T29" s="105">
        <v>12</v>
      </c>
      <c r="U29" s="105">
        <v>4060.7999999999997</v>
      </c>
      <c r="V29" s="105">
        <v>11</v>
      </c>
      <c r="W29" s="105">
        <v>3722.3999999999996</v>
      </c>
      <c r="X29" s="105">
        <v>8</v>
      </c>
      <c r="Y29" s="105">
        <v>2707.2</v>
      </c>
      <c r="Z29" s="105">
        <v>12</v>
      </c>
      <c r="AA29" s="105">
        <v>4060.7999999999997</v>
      </c>
      <c r="AB29" s="105">
        <v>12</v>
      </c>
      <c r="AC29" s="105">
        <v>4060.7999999999997</v>
      </c>
      <c r="AD29" s="105">
        <v>9</v>
      </c>
      <c r="AE29" s="105">
        <v>3045.6</v>
      </c>
      <c r="AF29" s="105">
        <v>8</v>
      </c>
      <c r="AG29" s="105">
        <v>2707.2</v>
      </c>
      <c r="AH29" s="105">
        <v>11</v>
      </c>
      <c r="AI29" s="105">
        <v>3722.3999999999996</v>
      </c>
      <c r="AJ29" s="105">
        <v>17</v>
      </c>
      <c r="AK29" s="105">
        <v>5752.7999999999993</v>
      </c>
      <c r="AL29" s="105">
        <v>16</v>
      </c>
      <c r="AM29" s="105">
        <v>5414.4</v>
      </c>
      <c r="AN29" s="105">
        <v>16</v>
      </c>
      <c r="AO29" s="105">
        <v>5414.4</v>
      </c>
      <c r="AP29" s="105">
        <v>14</v>
      </c>
      <c r="AQ29" s="105">
        <v>4737.5999999999995</v>
      </c>
      <c r="AR29" s="105">
        <v>20</v>
      </c>
      <c r="AS29" s="105">
        <v>6768</v>
      </c>
      <c r="AT29" s="105">
        <v>20</v>
      </c>
      <c r="AU29" s="105">
        <v>6768</v>
      </c>
      <c r="AV29" s="105">
        <v>18</v>
      </c>
      <c r="AW29" s="105">
        <v>6091.2</v>
      </c>
      <c r="AX29" s="105">
        <v>18</v>
      </c>
      <c r="AY29" s="105">
        <v>6091.2</v>
      </c>
      <c r="AZ29" s="105">
        <v>20</v>
      </c>
      <c r="BA29" s="105">
        <v>6768</v>
      </c>
      <c r="BB29" s="105">
        <v>22</v>
      </c>
      <c r="BC29" s="105">
        <v>7444.7999999999993</v>
      </c>
      <c r="BD29" s="105">
        <v>29</v>
      </c>
      <c r="BE29" s="105">
        <v>9813.5999999999985</v>
      </c>
      <c r="BF29" s="105">
        <v>32</v>
      </c>
      <c r="BG29" s="105">
        <v>10828.8</v>
      </c>
      <c r="BH29" s="105">
        <v>22</v>
      </c>
      <c r="BI29" s="105">
        <v>7444.7999999999993</v>
      </c>
      <c r="BJ29" s="105">
        <v>38</v>
      </c>
      <c r="BK29" s="105">
        <v>12859.199999999999</v>
      </c>
      <c r="BL29" s="105">
        <v>37</v>
      </c>
      <c r="BM29" s="105">
        <v>12520.8</v>
      </c>
      <c r="BN29" s="105">
        <v>41</v>
      </c>
      <c r="BO29" s="105">
        <v>13874.4</v>
      </c>
      <c r="BP29" s="105">
        <v>35</v>
      </c>
      <c r="BQ29" s="105">
        <v>11844</v>
      </c>
      <c r="BR29" s="105">
        <v>43</v>
      </c>
      <c r="BS29" s="105">
        <v>14551.199999999999</v>
      </c>
      <c r="BT29" s="105">
        <v>43</v>
      </c>
      <c r="BU29" s="105">
        <v>14551.199999999999</v>
      </c>
      <c r="BV29" s="105">
        <v>44</v>
      </c>
      <c r="BW29" s="105">
        <v>14889.599999999999</v>
      </c>
      <c r="BX29" s="105">
        <v>88</v>
      </c>
      <c r="BY29" s="105">
        <v>29779.199999999997</v>
      </c>
      <c r="BZ29" s="105">
        <v>72</v>
      </c>
      <c r="CA29" s="105">
        <v>24364.799999999999</v>
      </c>
      <c r="CB29" s="105">
        <v>68.456088915304306</v>
      </c>
      <c r="CC29" s="105">
        <v>23165.540488938976</v>
      </c>
      <c r="CD29" s="105">
        <v>24.912026404370376</v>
      </c>
      <c r="CE29" s="105">
        <v>8430.2297352389342</v>
      </c>
      <c r="CF29" s="105">
        <v>13.217123902529494</v>
      </c>
      <c r="CG29" s="105">
        <v>4472.6747286159807</v>
      </c>
      <c r="CH29" s="105">
        <v>0.93819469598965077</v>
      </c>
      <c r="CI29" s="105">
        <v>317.48508512289783</v>
      </c>
      <c r="CJ29" s="105">
        <v>7.6849993574751396</v>
      </c>
      <c r="CK29" s="105">
        <v>2600.6037825695871</v>
      </c>
      <c r="CL29" s="105">
        <v>8.443147089173376</v>
      </c>
      <c r="CM29" s="105">
        <v>2857.1609749762702</v>
      </c>
      <c r="CN29" s="105">
        <v>29.778226362928777</v>
      </c>
      <c r="CO29" s="105">
        <v>10076.951801215097</v>
      </c>
      <c r="CP29" s="105">
        <v>13.715301314497017</v>
      </c>
      <c r="CQ29" s="105">
        <v>4641.2579648257906</v>
      </c>
      <c r="CR29" s="105">
        <v>12.307323865276386</v>
      </c>
      <c r="CS29" s="105">
        <v>4164.7983960095289</v>
      </c>
      <c r="CT29" s="105">
        <v>1.9477598863273731</v>
      </c>
      <c r="CU29" s="105">
        <v>659.12194553318295</v>
      </c>
    </row>
    <row r="30" spans="2:99" x14ac:dyDescent="0.25">
      <c r="C30" s="104" t="s">
        <v>195</v>
      </c>
      <c r="D30" s="105">
        <v>0</v>
      </c>
      <c r="E30" s="105">
        <v>0</v>
      </c>
      <c r="F30" s="105">
        <v>0</v>
      </c>
      <c r="G30" s="105">
        <v>0</v>
      </c>
      <c r="H30" s="105">
        <v>0</v>
      </c>
      <c r="I30" s="105">
        <v>0</v>
      </c>
      <c r="J30" s="105">
        <v>5</v>
      </c>
      <c r="K30" s="105">
        <v>696</v>
      </c>
      <c r="L30" s="105">
        <v>6</v>
      </c>
      <c r="M30" s="105">
        <v>835.19999999999993</v>
      </c>
      <c r="N30" s="105">
        <v>10</v>
      </c>
      <c r="O30" s="105">
        <v>1392</v>
      </c>
      <c r="P30" s="105">
        <v>6</v>
      </c>
      <c r="Q30" s="105">
        <v>835.19999999999993</v>
      </c>
      <c r="R30" s="105">
        <v>9</v>
      </c>
      <c r="S30" s="105">
        <v>1252.8</v>
      </c>
      <c r="T30" s="105">
        <v>11</v>
      </c>
      <c r="U30" s="105">
        <v>1531.1999999999998</v>
      </c>
      <c r="V30" s="105">
        <v>12</v>
      </c>
      <c r="W30" s="105">
        <v>1670.3999999999999</v>
      </c>
      <c r="X30" s="105">
        <v>8</v>
      </c>
      <c r="Y30" s="105">
        <v>1113.5999999999999</v>
      </c>
      <c r="Z30" s="105">
        <v>12</v>
      </c>
      <c r="AA30" s="105">
        <v>1670.3999999999999</v>
      </c>
      <c r="AB30" s="105">
        <v>14</v>
      </c>
      <c r="AC30" s="105">
        <v>1948.7999999999997</v>
      </c>
      <c r="AD30" s="105">
        <v>10</v>
      </c>
      <c r="AE30" s="105">
        <v>1392</v>
      </c>
      <c r="AF30" s="105">
        <v>9</v>
      </c>
      <c r="AG30" s="105">
        <v>1252.8</v>
      </c>
      <c r="AH30" s="105">
        <v>13</v>
      </c>
      <c r="AI30" s="105">
        <v>1809.6</v>
      </c>
      <c r="AJ30" s="105">
        <v>20</v>
      </c>
      <c r="AK30" s="105">
        <v>2784</v>
      </c>
      <c r="AL30" s="105">
        <v>17</v>
      </c>
      <c r="AM30" s="105">
        <v>2366.3999999999996</v>
      </c>
      <c r="AN30" s="105">
        <v>18</v>
      </c>
      <c r="AO30" s="105">
        <v>2505.6</v>
      </c>
      <c r="AP30" s="105">
        <v>13</v>
      </c>
      <c r="AQ30" s="105">
        <v>1809.6</v>
      </c>
      <c r="AR30" s="105">
        <v>20</v>
      </c>
      <c r="AS30" s="105">
        <v>2784</v>
      </c>
      <c r="AT30" s="105">
        <v>23</v>
      </c>
      <c r="AU30" s="105">
        <v>3201.6</v>
      </c>
      <c r="AV30" s="105">
        <v>16</v>
      </c>
      <c r="AW30" s="105">
        <v>2227.1999999999998</v>
      </c>
      <c r="AX30" s="105">
        <v>16</v>
      </c>
      <c r="AY30" s="105">
        <v>2227.1999999999998</v>
      </c>
      <c r="AZ30" s="105">
        <v>21</v>
      </c>
      <c r="BA30" s="105">
        <v>2923.2</v>
      </c>
      <c r="BB30" s="105">
        <v>20</v>
      </c>
      <c r="BC30" s="105">
        <v>2784</v>
      </c>
      <c r="BD30" s="105">
        <v>29</v>
      </c>
      <c r="BE30" s="105">
        <v>4036.7999999999997</v>
      </c>
      <c r="BF30" s="105">
        <v>28</v>
      </c>
      <c r="BG30" s="105">
        <v>3897.5999999999995</v>
      </c>
      <c r="BH30" s="105">
        <v>25</v>
      </c>
      <c r="BI30" s="105">
        <v>3479.9999999999995</v>
      </c>
      <c r="BJ30" s="105">
        <v>41</v>
      </c>
      <c r="BK30" s="105">
        <v>5707.2</v>
      </c>
      <c r="BL30" s="105">
        <v>38</v>
      </c>
      <c r="BM30" s="105">
        <v>5289.5999999999995</v>
      </c>
      <c r="BN30" s="105">
        <v>39</v>
      </c>
      <c r="BO30" s="105">
        <v>5428.7999999999993</v>
      </c>
      <c r="BP30" s="105">
        <v>34</v>
      </c>
      <c r="BQ30" s="105">
        <v>4732.7999999999993</v>
      </c>
      <c r="BR30" s="105">
        <v>47</v>
      </c>
      <c r="BS30" s="105">
        <v>6542.4</v>
      </c>
      <c r="BT30" s="105">
        <v>45</v>
      </c>
      <c r="BU30" s="105">
        <v>6263.9999999999991</v>
      </c>
      <c r="BV30" s="105">
        <v>46</v>
      </c>
      <c r="BW30" s="105">
        <v>6403.2</v>
      </c>
      <c r="BX30" s="105">
        <v>89</v>
      </c>
      <c r="BY30" s="105">
        <v>12388.8</v>
      </c>
      <c r="BZ30" s="105">
        <v>89</v>
      </c>
      <c r="CA30" s="105">
        <v>12388.8</v>
      </c>
      <c r="CB30" s="105">
        <v>65.856490602064909</v>
      </c>
      <c r="CC30" s="105">
        <v>9167.2234918074355</v>
      </c>
      <c r="CD30" s="105">
        <v>24.200254221388366</v>
      </c>
      <c r="CE30" s="105">
        <v>3368.6753876172602</v>
      </c>
      <c r="CF30" s="105">
        <v>13.068616892388713</v>
      </c>
      <c r="CG30" s="105">
        <v>1819.1514714205086</v>
      </c>
      <c r="CH30" s="105">
        <v>0.96225097024579576</v>
      </c>
      <c r="CI30" s="105">
        <v>133.94533505821477</v>
      </c>
      <c r="CJ30" s="105">
        <v>7.4715271531008307</v>
      </c>
      <c r="CK30" s="105">
        <v>1040.0365797116356</v>
      </c>
      <c r="CL30" s="105">
        <v>7.9226791179229625</v>
      </c>
      <c r="CM30" s="105">
        <v>1102.8369332148764</v>
      </c>
      <c r="CN30" s="105">
        <v>32.912776506394962</v>
      </c>
      <c r="CO30" s="105">
        <v>4581.4584896901788</v>
      </c>
      <c r="CP30" s="105">
        <v>15.64703389400364</v>
      </c>
      <c r="CQ30" s="105">
        <v>2178.0671180453064</v>
      </c>
      <c r="CR30" s="105">
        <v>13.386913678019928</v>
      </c>
      <c r="CS30" s="105">
        <v>1863.4583839803738</v>
      </c>
      <c r="CT30" s="105">
        <v>2.1221861448044512</v>
      </c>
      <c r="CU30" s="105">
        <v>295.40831135677956</v>
      </c>
    </row>
    <row r="31" spans="2:99" x14ac:dyDescent="0.25">
      <c r="C31" s="104" t="s">
        <v>196</v>
      </c>
      <c r="D31" s="105">
        <v>0</v>
      </c>
      <c r="E31" s="105">
        <v>0</v>
      </c>
      <c r="F31" s="105">
        <v>0</v>
      </c>
      <c r="G31" s="105">
        <v>0</v>
      </c>
      <c r="H31" s="105">
        <v>0</v>
      </c>
      <c r="I31" s="105">
        <v>0</v>
      </c>
      <c r="J31" s="105">
        <v>5</v>
      </c>
      <c r="K31" s="105">
        <v>1704</v>
      </c>
      <c r="L31" s="105">
        <v>6</v>
      </c>
      <c r="M31" s="105">
        <v>2044.8000000000002</v>
      </c>
      <c r="N31" s="105">
        <v>10</v>
      </c>
      <c r="O31" s="105">
        <v>3408</v>
      </c>
      <c r="P31" s="105">
        <v>6</v>
      </c>
      <c r="Q31" s="105">
        <v>2044.8000000000002</v>
      </c>
      <c r="R31" s="105">
        <v>10</v>
      </c>
      <c r="S31" s="105">
        <v>3408</v>
      </c>
      <c r="T31" s="105">
        <v>12</v>
      </c>
      <c r="U31" s="105">
        <v>4089.6000000000004</v>
      </c>
      <c r="V31" s="105">
        <v>10</v>
      </c>
      <c r="W31" s="105">
        <v>3408</v>
      </c>
      <c r="X31" s="105">
        <v>8</v>
      </c>
      <c r="Y31" s="105">
        <v>2726.4</v>
      </c>
      <c r="Z31" s="105">
        <v>13</v>
      </c>
      <c r="AA31" s="105">
        <v>4430.4000000000005</v>
      </c>
      <c r="AB31" s="105">
        <v>13</v>
      </c>
      <c r="AC31" s="105">
        <v>4430.4000000000005</v>
      </c>
      <c r="AD31" s="105">
        <v>8</v>
      </c>
      <c r="AE31" s="105">
        <v>2726.4</v>
      </c>
      <c r="AF31" s="105">
        <v>10</v>
      </c>
      <c r="AG31" s="105">
        <v>3408</v>
      </c>
      <c r="AH31" s="105">
        <v>11</v>
      </c>
      <c r="AI31" s="105">
        <v>3748.8</v>
      </c>
      <c r="AJ31" s="105">
        <v>20</v>
      </c>
      <c r="AK31" s="105">
        <v>6816</v>
      </c>
      <c r="AL31" s="105">
        <v>15</v>
      </c>
      <c r="AM31" s="105">
        <v>5112</v>
      </c>
      <c r="AN31" s="105">
        <v>18</v>
      </c>
      <c r="AO31" s="105">
        <v>6134.4000000000005</v>
      </c>
      <c r="AP31" s="105">
        <v>13</v>
      </c>
      <c r="AQ31" s="105">
        <v>4430.4000000000005</v>
      </c>
      <c r="AR31" s="105">
        <v>19</v>
      </c>
      <c r="AS31" s="105">
        <v>6475.2</v>
      </c>
      <c r="AT31" s="105">
        <v>20</v>
      </c>
      <c r="AU31" s="105">
        <v>6816</v>
      </c>
      <c r="AV31" s="105">
        <v>16</v>
      </c>
      <c r="AW31" s="105">
        <v>5452.8</v>
      </c>
      <c r="AX31" s="105">
        <v>18</v>
      </c>
      <c r="AY31" s="105">
        <v>6134.4000000000005</v>
      </c>
      <c r="AZ31" s="105">
        <v>23</v>
      </c>
      <c r="BA31" s="105">
        <v>7838.4000000000005</v>
      </c>
      <c r="BB31" s="105">
        <v>21</v>
      </c>
      <c r="BC31" s="105">
        <v>7156.8</v>
      </c>
      <c r="BD31" s="105">
        <v>26</v>
      </c>
      <c r="BE31" s="105">
        <v>8860.8000000000011</v>
      </c>
      <c r="BF31" s="105">
        <v>31</v>
      </c>
      <c r="BG31" s="105">
        <v>10564.800000000001</v>
      </c>
      <c r="BH31" s="105">
        <v>25</v>
      </c>
      <c r="BI31" s="105">
        <v>8520</v>
      </c>
      <c r="BJ31" s="105">
        <v>41</v>
      </c>
      <c r="BK31" s="105">
        <v>13972.800000000001</v>
      </c>
      <c r="BL31" s="105">
        <v>37</v>
      </c>
      <c r="BM31" s="105">
        <v>12609.6</v>
      </c>
      <c r="BN31" s="105">
        <v>45</v>
      </c>
      <c r="BO31" s="105">
        <v>15336</v>
      </c>
      <c r="BP31" s="105">
        <v>33</v>
      </c>
      <c r="BQ31" s="105">
        <v>11246.4</v>
      </c>
      <c r="BR31" s="105">
        <v>39</v>
      </c>
      <c r="BS31" s="105">
        <v>13291.2</v>
      </c>
      <c r="BT31" s="105">
        <v>48</v>
      </c>
      <c r="BU31" s="105">
        <v>16358.400000000001</v>
      </c>
      <c r="BV31" s="105">
        <v>53</v>
      </c>
      <c r="BW31" s="105">
        <v>18062.400000000001</v>
      </c>
      <c r="BX31" s="105">
        <v>75</v>
      </c>
      <c r="BY31" s="105">
        <v>25560</v>
      </c>
      <c r="BZ31" s="105">
        <v>76</v>
      </c>
      <c r="CA31" s="105">
        <v>25900.799999999999</v>
      </c>
      <c r="CB31" s="105">
        <v>63.256892288825505</v>
      </c>
      <c r="CC31" s="105">
        <v>21557.948892031734</v>
      </c>
      <c r="CD31" s="105">
        <v>24.556140312879375</v>
      </c>
      <c r="CE31" s="105">
        <v>8368.7326186292921</v>
      </c>
      <c r="CF31" s="105">
        <v>11.583546790980906</v>
      </c>
      <c r="CG31" s="105">
        <v>3947.6727463662928</v>
      </c>
      <c r="CH31" s="105">
        <v>0.85399773609314367</v>
      </c>
      <c r="CI31" s="105">
        <v>291.04242846054336</v>
      </c>
      <c r="CJ31" s="105">
        <v>7.5782632552879843</v>
      </c>
      <c r="CK31" s="105">
        <v>2582.672117402145</v>
      </c>
      <c r="CL31" s="105">
        <v>8.443147089173376</v>
      </c>
      <c r="CM31" s="105">
        <v>2877.4245279902866</v>
      </c>
      <c r="CN31" s="105">
        <v>32.057899194540546</v>
      </c>
      <c r="CO31" s="105">
        <v>10925.332045499419</v>
      </c>
      <c r="CP31" s="105">
        <v>13.232368169620361</v>
      </c>
      <c r="CQ31" s="105">
        <v>4509.5910722066192</v>
      </c>
      <c r="CR31" s="105">
        <v>13.602831640568638</v>
      </c>
      <c r="CS31" s="105">
        <v>4635.8450231057923</v>
      </c>
      <c r="CT31" s="105">
        <v>2.1706378832703064</v>
      </c>
      <c r="CU31" s="105">
        <v>739.75339061852048</v>
      </c>
    </row>
    <row r="32" spans="2:99" x14ac:dyDescent="0.25">
      <c r="C32" s="104" t="s">
        <v>197</v>
      </c>
      <c r="D32" s="105">
        <v>0</v>
      </c>
      <c r="E32" s="105">
        <v>0</v>
      </c>
      <c r="F32" s="105">
        <v>0</v>
      </c>
      <c r="G32" s="105">
        <v>0</v>
      </c>
      <c r="H32" s="105">
        <v>0</v>
      </c>
      <c r="I32" s="105">
        <v>0</v>
      </c>
      <c r="J32" s="105">
        <v>4</v>
      </c>
      <c r="K32" s="105">
        <v>3360</v>
      </c>
      <c r="L32" s="105">
        <v>5</v>
      </c>
      <c r="M32" s="105">
        <v>4200</v>
      </c>
      <c r="N32" s="105">
        <v>10</v>
      </c>
      <c r="O32" s="105">
        <v>8400</v>
      </c>
      <c r="P32" s="105">
        <v>6</v>
      </c>
      <c r="Q32" s="105">
        <v>5040</v>
      </c>
      <c r="R32" s="105">
        <v>10</v>
      </c>
      <c r="S32" s="105">
        <v>8400</v>
      </c>
      <c r="T32" s="105">
        <v>13</v>
      </c>
      <c r="U32" s="105">
        <v>10920</v>
      </c>
      <c r="V32" s="105">
        <v>9</v>
      </c>
      <c r="W32" s="105">
        <v>7560</v>
      </c>
      <c r="X32" s="105">
        <v>8</v>
      </c>
      <c r="Y32" s="105">
        <v>6720</v>
      </c>
      <c r="Z32" s="105">
        <v>12</v>
      </c>
      <c r="AA32" s="105">
        <v>10080</v>
      </c>
      <c r="AB32" s="105">
        <v>12</v>
      </c>
      <c r="AC32" s="105">
        <v>10080</v>
      </c>
      <c r="AD32" s="105">
        <v>10</v>
      </c>
      <c r="AE32" s="105">
        <v>8400</v>
      </c>
      <c r="AF32" s="105">
        <v>9</v>
      </c>
      <c r="AG32" s="105">
        <v>7560</v>
      </c>
      <c r="AH32" s="105">
        <v>11</v>
      </c>
      <c r="AI32" s="105">
        <v>9240</v>
      </c>
      <c r="AJ32" s="105">
        <v>18</v>
      </c>
      <c r="AK32" s="105">
        <v>15120</v>
      </c>
      <c r="AL32" s="105">
        <v>15</v>
      </c>
      <c r="AM32" s="105">
        <v>12600</v>
      </c>
      <c r="AN32" s="105">
        <v>17</v>
      </c>
      <c r="AO32" s="105">
        <v>14280</v>
      </c>
      <c r="AP32" s="105">
        <v>14</v>
      </c>
      <c r="AQ32" s="105">
        <v>11760</v>
      </c>
      <c r="AR32" s="105">
        <v>20</v>
      </c>
      <c r="AS32" s="105">
        <v>16800</v>
      </c>
      <c r="AT32" s="105">
        <v>19</v>
      </c>
      <c r="AU32" s="105">
        <v>15960</v>
      </c>
      <c r="AV32" s="105">
        <v>17</v>
      </c>
      <c r="AW32" s="105">
        <v>14280</v>
      </c>
      <c r="AX32" s="105">
        <v>17</v>
      </c>
      <c r="AY32" s="105">
        <v>14280</v>
      </c>
      <c r="AZ32" s="105">
        <v>23</v>
      </c>
      <c r="BA32" s="105">
        <v>19320</v>
      </c>
      <c r="BB32" s="105">
        <v>19</v>
      </c>
      <c r="BC32" s="105">
        <v>15960</v>
      </c>
      <c r="BD32" s="105">
        <v>24</v>
      </c>
      <c r="BE32" s="105">
        <v>20160</v>
      </c>
      <c r="BF32" s="105">
        <v>28</v>
      </c>
      <c r="BG32" s="105">
        <v>23520</v>
      </c>
      <c r="BH32" s="105">
        <v>25</v>
      </c>
      <c r="BI32" s="105">
        <v>21000</v>
      </c>
      <c r="BJ32" s="105">
        <v>43</v>
      </c>
      <c r="BK32" s="105">
        <v>36120</v>
      </c>
      <c r="BL32" s="105">
        <v>32</v>
      </c>
      <c r="BM32" s="105">
        <v>26880</v>
      </c>
      <c r="BN32" s="105">
        <v>37</v>
      </c>
      <c r="BO32" s="105">
        <v>31080</v>
      </c>
      <c r="BP32" s="105">
        <v>31</v>
      </c>
      <c r="BQ32" s="105">
        <v>26040</v>
      </c>
      <c r="BR32" s="105">
        <v>38</v>
      </c>
      <c r="BS32" s="105">
        <v>31920</v>
      </c>
      <c r="BT32" s="105">
        <v>42</v>
      </c>
      <c r="BU32" s="105">
        <v>35280</v>
      </c>
      <c r="BV32" s="105">
        <v>42</v>
      </c>
      <c r="BW32" s="105">
        <v>35280</v>
      </c>
      <c r="BX32" s="105">
        <v>84</v>
      </c>
      <c r="BY32" s="105">
        <v>70560</v>
      </c>
      <c r="BZ32" s="105">
        <v>78</v>
      </c>
      <c r="CA32" s="105">
        <v>65520</v>
      </c>
      <c r="CB32" s="105">
        <v>64.989957830985105</v>
      </c>
      <c r="CC32" s="105">
        <v>54591.564578027486</v>
      </c>
      <c r="CD32" s="105">
        <v>19.21784894051429</v>
      </c>
      <c r="CE32" s="105">
        <v>16142.993110032005</v>
      </c>
      <c r="CF32" s="105">
        <v>11.583546790980906</v>
      </c>
      <c r="CG32" s="105">
        <v>9730.1793044239603</v>
      </c>
      <c r="CH32" s="105">
        <v>0.84196959896507118</v>
      </c>
      <c r="CI32" s="105">
        <v>707.25446313065981</v>
      </c>
      <c r="CJ32" s="105">
        <v>6.510902233416437</v>
      </c>
      <c r="CK32" s="105">
        <v>5469.1578760698067</v>
      </c>
      <c r="CL32" s="105">
        <v>7.0552324991722735</v>
      </c>
      <c r="CM32" s="105">
        <v>5926.3952993047096</v>
      </c>
      <c r="CN32" s="105">
        <v>26.92863532341406</v>
      </c>
      <c r="CO32" s="105">
        <v>22620.053671667811</v>
      </c>
      <c r="CP32" s="105">
        <v>12.556261766793044</v>
      </c>
      <c r="CQ32" s="105">
        <v>10547.259884106157</v>
      </c>
      <c r="CR32" s="105">
        <v>10.957836599346958</v>
      </c>
      <c r="CS32" s="105">
        <v>9204.5827434514449</v>
      </c>
      <c r="CT32" s="105">
        <v>1.9574502340205442</v>
      </c>
      <c r="CU32" s="105">
        <v>1644.2581965772572</v>
      </c>
    </row>
    <row r="33" spans="2:99" x14ac:dyDescent="0.25">
      <c r="C33" s="104" t="s">
        <v>198</v>
      </c>
      <c r="D33" s="105">
        <v>0</v>
      </c>
      <c r="E33" s="105">
        <v>0</v>
      </c>
      <c r="F33" s="105">
        <v>0</v>
      </c>
      <c r="G33" s="105">
        <v>0</v>
      </c>
      <c r="H33" s="105">
        <v>0</v>
      </c>
      <c r="I33" s="105">
        <v>0</v>
      </c>
      <c r="J33" s="105">
        <v>5</v>
      </c>
      <c r="K33" s="105">
        <v>2370</v>
      </c>
      <c r="L33" s="105">
        <v>6</v>
      </c>
      <c r="M33" s="105">
        <v>2844</v>
      </c>
      <c r="N33" s="105">
        <v>10</v>
      </c>
      <c r="O33" s="105">
        <v>4740</v>
      </c>
      <c r="P33" s="105">
        <v>6</v>
      </c>
      <c r="Q33" s="105">
        <v>2844</v>
      </c>
      <c r="R33" s="105">
        <v>9</v>
      </c>
      <c r="S33" s="105">
        <v>4266</v>
      </c>
      <c r="T33" s="105">
        <v>13</v>
      </c>
      <c r="U33" s="105">
        <v>6162</v>
      </c>
      <c r="V33" s="105">
        <v>10</v>
      </c>
      <c r="W33" s="105">
        <v>4740</v>
      </c>
      <c r="X33" s="105">
        <v>7</v>
      </c>
      <c r="Y33" s="105">
        <v>3318</v>
      </c>
      <c r="Z33" s="105">
        <v>12</v>
      </c>
      <c r="AA33" s="105">
        <v>5688</v>
      </c>
      <c r="AB33" s="105">
        <v>13</v>
      </c>
      <c r="AC33" s="105">
        <v>6162</v>
      </c>
      <c r="AD33" s="105">
        <v>10</v>
      </c>
      <c r="AE33" s="105">
        <v>4740</v>
      </c>
      <c r="AF33" s="105">
        <v>8</v>
      </c>
      <c r="AG33" s="105">
        <v>3792</v>
      </c>
      <c r="AH33" s="105">
        <v>13</v>
      </c>
      <c r="AI33" s="105">
        <v>6162</v>
      </c>
      <c r="AJ33" s="105">
        <v>18</v>
      </c>
      <c r="AK33" s="105">
        <v>8532</v>
      </c>
      <c r="AL33" s="105">
        <v>15</v>
      </c>
      <c r="AM33" s="105">
        <v>7110</v>
      </c>
      <c r="AN33" s="105">
        <v>16</v>
      </c>
      <c r="AO33" s="105">
        <v>7584</v>
      </c>
      <c r="AP33" s="105">
        <v>15</v>
      </c>
      <c r="AQ33" s="105">
        <v>7110</v>
      </c>
      <c r="AR33" s="105">
        <v>21</v>
      </c>
      <c r="AS33" s="105">
        <v>9954</v>
      </c>
      <c r="AT33" s="105">
        <v>22</v>
      </c>
      <c r="AU33" s="105">
        <v>10428</v>
      </c>
      <c r="AV33" s="105">
        <v>16</v>
      </c>
      <c r="AW33" s="105">
        <v>7584</v>
      </c>
      <c r="AX33" s="105">
        <v>16</v>
      </c>
      <c r="AY33" s="105">
        <v>7584</v>
      </c>
      <c r="AZ33" s="105">
        <v>22</v>
      </c>
      <c r="BA33" s="105">
        <v>10428</v>
      </c>
      <c r="BB33" s="105">
        <v>21</v>
      </c>
      <c r="BC33" s="105">
        <v>9954</v>
      </c>
      <c r="BD33" s="105">
        <v>29</v>
      </c>
      <c r="BE33" s="105">
        <v>13746</v>
      </c>
      <c r="BF33" s="105">
        <v>27</v>
      </c>
      <c r="BG33" s="105">
        <v>12798</v>
      </c>
      <c r="BH33" s="105">
        <v>26</v>
      </c>
      <c r="BI33" s="105">
        <v>12324</v>
      </c>
      <c r="BJ33" s="105">
        <v>37</v>
      </c>
      <c r="BK33" s="105">
        <v>17538</v>
      </c>
      <c r="BL33" s="105">
        <v>35</v>
      </c>
      <c r="BM33" s="105">
        <v>16590</v>
      </c>
      <c r="BN33" s="105">
        <v>43</v>
      </c>
      <c r="BO33" s="105">
        <v>20382</v>
      </c>
      <c r="BP33" s="105">
        <v>35</v>
      </c>
      <c r="BQ33" s="105">
        <v>16590</v>
      </c>
      <c r="BR33" s="105">
        <v>39</v>
      </c>
      <c r="BS33" s="105">
        <v>18486</v>
      </c>
      <c r="BT33" s="105">
        <v>46</v>
      </c>
      <c r="BU33" s="105">
        <v>21804</v>
      </c>
      <c r="BV33" s="105">
        <v>53</v>
      </c>
      <c r="BW33" s="105">
        <v>25122</v>
      </c>
      <c r="BX33" s="105">
        <v>79</v>
      </c>
      <c r="BY33" s="105">
        <v>37446</v>
      </c>
      <c r="BZ33" s="105">
        <v>81</v>
      </c>
      <c r="CA33" s="105">
        <v>38394</v>
      </c>
      <c r="CB33" s="105">
        <v>69.32262168638411</v>
      </c>
      <c r="CC33" s="105">
        <v>32858.922679346069</v>
      </c>
      <c r="CD33" s="105">
        <v>21.709051580951328</v>
      </c>
      <c r="CE33" s="105">
        <v>10290.090449370929</v>
      </c>
      <c r="CF33" s="105">
        <v>12.326081841684809</v>
      </c>
      <c r="CG33" s="105">
        <v>5842.5627929585999</v>
      </c>
      <c r="CH33" s="105">
        <v>0.87805401034928854</v>
      </c>
      <c r="CI33" s="105">
        <v>416.19760090556275</v>
      </c>
      <c r="CJ33" s="105">
        <v>7.6849993574751396</v>
      </c>
      <c r="CK33" s="105">
        <v>3642.6896954432164</v>
      </c>
      <c r="CL33" s="105">
        <v>7.8648493433395839</v>
      </c>
      <c r="CM33" s="105">
        <v>3727.9385887429626</v>
      </c>
      <c r="CN33" s="105">
        <v>29.350787707001569</v>
      </c>
      <c r="CO33" s="105">
        <v>13912.273373118744</v>
      </c>
      <c r="CP33" s="105">
        <v>14.777754233225661</v>
      </c>
      <c r="CQ33" s="105">
        <v>7004.6555065489629</v>
      </c>
      <c r="CR33" s="105">
        <v>11.605590486993083</v>
      </c>
      <c r="CS33" s="105">
        <v>5501.0498908347217</v>
      </c>
      <c r="CT33" s="105">
        <v>2.102805449418109</v>
      </c>
      <c r="CU33" s="105">
        <v>996.72978302418369</v>
      </c>
    </row>
    <row r="34" spans="2:99" x14ac:dyDescent="0.25">
      <c r="C34" s="104" t="s">
        <v>199</v>
      </c>
      <c r="D34" s="105">
        <v>0</v>
      </c>
      <c r="E34" s="105">
        <v>0</v>
      </c>
      <c r="F34" s="105">
        <v>0</v>
      </c>
      <c r="G34" s="105">
        <v>0</v>
      </c>
      <c r="H34" s="105">
        <v>0</v>
      </c>
      <c r="I34" s="105">
        <v>0</v>
      </c>
      <c r="J34" s="105">
        <v>5</v>
      </c>
      <c r="K34" s="105">
        <v>2742</v>
      </c>
      <c r="L34" s="105">
        <v>6</v>
      </c>
      <c r="M34" s="105">
        <v>3290.3999999999996</v>
      </c>
      <c r="N34" s="105">
        <v>10</v>
      </c>
      <c r="O34" s="105">
        <v>5484</v>
      </c>
      <c r="P34" s="105">
        <v>6</v>
      </c>
      <c r="Q34" s="105">
        <v>3290.3999999999996</v>
      </c>
      <c r="R34" s="105">
        <v>9</v>
      </c>
      <c r="S34" s="105">
        <v>4935.5999999999995</v>
      </c>
      <c r="T34" s="105">
        <v>13</v>
      </c>
      <c r="U34" s="105">
        <v>7129.2</v>
      </c>
      <c r="V34" s="105">
        <v>11</v>
      </c>
      <c r="W34" s="105">
        <v>6032.4</v>
      </c>
      <c r="X34" s="105">
        <v>8</v>
      </c>
      <c r="Y34" s="105">
        <v>4387.2</v>
      </c>
      <c r="Z34" s="105">
        <v>13</v>
      </c>
      <c r="AA34" s="105">
        <v>7129.2</v>
      </c>
      <c r="AB34" s="105">
        <v>11</v>
      </c>
      <c r="AC34" s="105">
        <v>6032.4</v>
      </c>
      <c r="AD34" s="105">
        <v>10</v>
      </c>
      <c r="AE34" s="105">
        <v>5484</v>
      </c>
      <c r="AF34" s="105">
        <v>10</v>
      </c>
      <c r="AG34" s="105">
        <v>5484</v>
      </c>
      <c r="AH34" s="105">
        <v>11</v>
      </c>
      <c r="AI34" s="105">
        <v>6032.4</v>
      </c>
      <c r="AJ34" s="105">
        <v>17</v>
      </c>
      <c r="AK34" s="105">
        <v>9322.7999999999993</v>
      </c>
      <c r="AL34" s="105">
        <v>16</v>
      </c>
      <c r="AM34" s="105">
        <v>8774.4</v>
      </c>
      <c r="AN34" s="105">
        <v>15</v>
      </c>
      <c r="AO34" s="105">
        <v>8226</v>
      </c>
      <c r="AP34" s="105">
        <v>13</v>
      </c>
      <c r="AQ34" s="105">
        <v>7129.2</v>
      </c>
      <c r="AR34" s="105">
        <v>18</v>
      </c>
      <c r="AS34" s="105">
        <v>9871.1999999999989</v>
      </c>
      <c r="AT34" s="105">
        <v>19</v>
      </c>
      <c r="AU34" s="105">
        <v>10419.6</v>
      </c>
      <c r="AV34" s="105">
        <v>16</v>
      </c>
      <c r="AW34" s="105">
        <v>8774.4</v>
      </c>
      <c r="AX34" s="105">
        <v>18</v>
      </c>
      <c r="AY34" s="105">
        <v>9871.1999999999989</v>
      </c>
      <c r="AZ34" s="105">
        <v>20</v>
      </c>
      <c r="BA34" s="105">
        <v>10968</v>
      </c>
      <c r="BB34" s="105">
        <v>20</v>
      </c>
      <c r="BC34" s="105">
        <v>10968</v>
      </c>
      <c r="BD34" s="105">
        <v>24</v>
      </c>
      <c r="BE34" s="105">
        <v>13161.599999999999</v>
      </c>
      <c r="BF34" s="105">
        <v>30</v>
      </c>
      <c r="BG34" s="105">
        <v>16452</v>
      </c>
      <c r="BH34" s="105">
        <v>22</v>
      </c>
      <c r="BI34" s="105">
        <v>12064.8</v>
      </c>
      <c r="BJ34" s="105">
        <v>44</v>
      </c>
      <c r="BK34" s="105">
        <v>24129.599999999999</v>
      </c>
      <c r="BL34" s="105">
        <v>36</v>
      </c>
      <c r="BM34" s="105">
        <v>19742.399999999998</v>
      </c>
      <c r="BN34" s="105">
        <v>41</v>
      </c>
      <c r="BO34" s="105">
        <v>22484.399999999998</v>
      </c>
      <c r="BP34" s="105">
        <v>34</v>
      </c>
      <c r="BQ34" s="105">
        <v>18645.599999999999</v>
      </c>
      <c r="BR34" s="105">
        <v>38</v>
      </c>
      <c r="BS34" s="105">
        <v>20839.2</v>
      </c>
      <c r="BT34" s="105">
        <v>46</v>
      </c>
      <c r="BU34" s="105">
        <v>25226.399999999998</v>
      </c>
      <c r="BV34" s="105">
        <v>43</v>
      </c>
      <c r="BW34" s="105">
        <v>23581.200000000001</v>
      </c>
      <c r="BX34" s="105">
        <v>83</v>
      </c>
      <c r="BY34" s="105">
        <v>45517.2</v>
      </c>
      <c r="BZ34" s="105">
        <v>76</v>
      </c>
      <c r="CA34" s="105">
        <v>41678.400000000001</v>
      </c>
      <c r="CB34" s="105">
        <v>67.589556144224503</v>
      </c>
      <c r="CC34" s="105">
        <v>37066.112589492717</v>
      </c>
      <c r="CD34" s="105">
        <v>20.285507214987309</v>
      </c>
      <c r="CE34" s="105">
        <v>11124.57215669904</v>
      </c>
      <c r="CF34" s="105">
        <v>12.623095861966371</v>
      </c>
      <c r="CG34" s="105">
        <v>6922.5057707023579</v>
      </c>
      <c r="CH34" s="105">
        <v>0.93819469598965077</v>
      </c>
      <c r="CI34" s="105">
        <v>514.50597128072445</v>
      </c>
      <c r="CJ34" s="105">
        <v>6.8311105399779013</v>
      </c>
      <c r="CK34" s="105">
        <v>3746.1810201238809</v>
      </c>
      <c r="CL34" s="105">
        <v>6.8239134008387561</v>
      </c>
      <c r="CM34" s="105">
        <v>3742.2341090199739</v>
      </c>
      <c r="CN34" s="105">
        <v>29.065828603050097</v>
      </c>
      <c r="CO34" s="105">
        <v>15939.700405912672</v>
      </c>
      <c r="CP34" s="105">
        <v>14.101647830398342</v>
      </c>
      <c r="CQ34" s="105">
        <v>7733.3436701904502</v>
      </c>
      <c r="CR34" s="105">
        <v>12.199364884002033</v>
      </c>
      <c r="CS34" s="105">
        <v>6690.131702386715</v>
      </c>
      <c r="CT34" s="105">
        <v>1.870237104782005</v>
      </c>
      <c r="CU34" s="105">
        <v>1025.6380282624516</v>
      </c>
    </row>
    <row r="35" spans="2:99" x14ac:dyDescent="0.25">
      <c r="C35" s="104" t="s">
        <v>200</v>
      </c>
      <c r="D35" s="105">
        <v>0</v>
      </c>
      <c r="E35" s="105">
        <v>0</v>
      </c>
      <c r="F35" s="105">
        <v>0</v>
      </c>
      <c r="G35" s="105">
        <v>0</v>
      </c>
      <c r="H35" s="105">
        <v>0</v>
      </c>
      <c r="I35" s="105">
        <v>0</v>
      </c>
      <c r="J35" s="105">
        <v>5</v>
      </c>
      <c r="K35" s="105">
        <v>2513.9999999999995</v>
      </c>
      <c r="L35" s="105">
        <v>6</v>
      </c>
      <c r="M35" s="105">
        <v>3016.7999999999993</v>
      </c>
      <c r="N35" s="105">
        <v>9</v>
      </c>
      <c r="O35" s="105">
        <v>4525.1999999999989</v>
      </c>
      <c r="P35" s="105">
        <v>7</v>
      </c>
      <c r="Q35" s="105">
        <v>3519.5999999999995</v>
      </c>
      <c r="R35" s="105">
        <v>10</v>
      </c>
      <c r="S35" s="105">
        <v>5027.9999999999991</v>
      </c>
      <c r="T35" s="105">
        <v>13</v>
      </c>
      <c r="U35" s="105">
        <v>6536.3999999999987</v>
      </c>
      <c r="V35" s="105">
        <v>10</v>
      </c>
      <c r="W35" s="105">
        <v>5027.9999999999991</v>
      </c>
      <c r="X35" s="105">
        <v>7</v>
      </c>
      <c r="Y35" s="105">
        <v>3519.5999999999995</v>
      </c>
      <c r="Z35" s="105">
        <v>12</v>
      </c>
      <c r="AA35" s="105">
        <v>6033.5999999999985</v>
      </c>
      <c r="AB35" s="105">
        <v>12</v>
      </c>
      <c r="AC35" s="105">
        <v>6033.5999999999985</v>
      </c>
      <c r="AD35" s="105">
        <v>9</v>
      </c>
      <c r="AE35" s="105">
        <v>4525.1999999999989</v>
      </c>
      <c r="AF35" s="105">
        <v>9</v>
      </c>
      <c r="AG35" s="105">
        <v>4525.1999999999989</v>
      </c>
      <c r="AH35" s="105">
        <v>12</v>
      </c>
      <c r="AI35" s="105">
        <v>6033.5999999999985</v>
      </c>
      <c r="AJ35" s="105">
        <v>19</v>
      </c>
      <c r="AK35" s="105">
        <v>9553.1999999999989</v>
      </c>
      <c r="AL35" s="105">
        <v>14</v>
      </c>
      <c r="AM35" s="105">
        <v>7039.1999999999989</v>
      </c>
      <c r="AN35" s="105">
        <v>16</v>
      </c>
      <c r="AO35" s="105">
        <v>8044.7999999999984</v>
      </c>
      <c r="AP35" s="105">
        <v>14</v>
      </c>
      <c r="AQ35" s="105">
        <v>7039.1999999999989</v>
      </c>
      <c r="AR35" s="105">
        <v>19</v>
      </c>
      <c r="AS35" s="105">
        <v>9553.1999999999989</v>
      </c>
      <c r="AT35" s="105">
        <v>22</v>
      </c>
      <c r="AU35" s="105">
        <v>11061.599999999999</v>
      </c>
      <c r="AV35" s="105">
        <v>16</v>
      </c>
      <c r="AW35" s="105">
        <v>8044.7999999999984</v>
      </c>
      <c r="AX35" s="105">
        <v>18</v>
      </c>
      <c r="AY35" s="105">
        <v>9050.3999999999978</v>
      </c>
      <c r="AZ35" s="105">
        <v>21</v>
      </c>
      <c r="BA35" s="105">
        <v>10558.799999999997</v>
      </c>
      <c r="BB35" s="105">
        <v>20</v>
      </c>
      <c r="BC35" s="105">
        <v>10055.999999999998</v>
      </c>
      <c r="BD35" s="105">
        <v>26</v>
      </c>
      <c r="BE35" s="105">
        <v>13072.799999999997</v>
      </c>
      <c r="BF35" s="105">
        <v>28</v>
      </c>
      <c r="BG35" s="105">
        <v>14078.399999999998</v>
      </c>
      <c r="BH35" s="105">
        <v>23</v>
      </c>
      <c r="BI35" s="105">
        <v>11564.399999999998</v>
      </c>
      <c r="BJ35" s="105">
        <v>39</v>
      </c>
      <c r="BK35" s="105">
        <v>19609.199999999997</v>
      </c>
      <c r="BL35" s="105">
        <v>40</v>
      </c>
      <c r="BM35" s="105">
        <v>20111.999999999996</v>
      </c>
      <c r="BN35" s="105">
        <v>38</v>
      </c>
      <c r="BO35" s="105">
        <v>19106.399999999998</v>
      </c>
      <c r="BP35" s="105">
        <v>30</v>
      </c>
      <c r="BQ35" s="105">
        <v>15083.999999999996</v>
      </c>
      <c r="BR35" s="105">
        <v>43</v>
      </c>
      <c r="BS35" s="105">
        <v>21620.399999999994</v>
      </c>
      <c r="BT35" s="105">
        <v>44</v>
      </c>
      <c r="BU35" s="105">
        <v>22123.199999999997</v>
      </c>
      <c r="BV35" s="105">
        <v>52</v>
      </c>
      <c r="BW35" s="105">
        <v>26145.599999999995</v>
      </c>
      <c r="BX35" s="105">
        <v>81</v>
      </c>
      <c r="BY35" s="105">
        <v>40726.799999999988</v>
      </c>
      <c r="BZ35" s="105">
        <v>82</v>
      </c>
      <c r="CA35" s="105">
        <v>41229.599999999991</v>
      </c>
      <c r="CB35" s="105">
        <v>69.32262168638411</v>
      </c>
      <c r="CC35" s="105">
        <v>34855.414183913927</v>
      </c>
      <c r="CD35" s="105">
        <v>23.488482038406357</v>
      </c>
      <c r="CE35" s="105">
        <v>11810.008768910713</v>
      </c>
      <c r="CF35" s="105">
        <v>11.138025760558563</v>
      </c>
      <c r="CG35" s="105">
        <v>5600.1993524088439</v>
      </c>
      <c r="CH35" s="105">
        <v>0.96225097024579576</v>
      </c>
      <c r="CI35" s="105">
        <v>483.81978783958601</v>
      </c>
      <c r="CJ35" s="105">
        <v>7.4715271531008307</v>
      </c>
      <c r="CK35" s="105">
        <v>3756.6838525790968</v>
      </c>
      <c r="CL35" s="105">
        <v>7.5757004704226878</v>
      </c>
      <c r="CM35" s="105">
        <v>3809.0621965285268</v>
      </c>
      <c r="CN35" s="105">
        <v>28.638389947122892</v>
      </c>
      <c r="CO35" s="105">
        <v>14399.382465413388</v>
      </c>
      <c r="CP35" s="105">
        <v>14.681167604250328</v>
      </c>
      <c r="CQ35" s="105">
        <v>7381.6910714170635</v>
      </c>
      <c r="CR35" s="105">
        <v>12.091405902727679</v>
      </c>
      <c r="CS35" s="105">
        <v>6079.5588878914759</v>
      </c>
      <c r="CT35" s="105">
        <v>1.8993081478615179</v>
      </c>
      <c r="CU35" s="105">
        <v>954.97213674477098</v>
      </c>
    </row>
    <row r="36" spans="2:99" x14ac:dyDescent="0.25">
      <c r="C36" s="104" t="s">
        <v>201</v>
      </c>
      <c r="D36" s="105">
        <v>0</v>
      </c>
      <c r="E36" s="105">
        <v>0</v>
      </c>
      <c r="F36" s="105">
        <v>0</v>
      </c>
      <c r="G36" s="105">
        <v>0</v>
      </c>
      <c r="H36" s="105">
        <v>0</v>
      </c>
      <c r="I36" s="105">
        <v>0</v>
      </c>
      <c r="J36" s="105">
        <v>4</v>
      </c>
      <c r="K36" s="105">
        <v>3043.2</v>
      </c>
      <c r="L36" s="105">
        <v>6</v>
      </c>
      <c r="M36" s="105">
        <v>4564.7999999999993</v>
      </c>
      <c r="N36" s="105">
        <v>9</v>
      </c>
      <c r="O36" s="105">
        <v>6847.2</v>
      </c>
      <c r="P36" s="105">
        <v>7</v>
      </c>
      <c r="Q36" s="105">
        <v>5325.5999999999995</v>
      </c>
      <c r="R36" s="105">
        <v>10</v>
      </c>
      <c r="S36" s="105">
        <v>7608</v>
      </c>
      <c r="T36" s="105">
        <v>13</v>
      </c>
      <c r="U36" s="105">
        <v>9890.4</v>
      </c>
      <c r="V36" s="105">
        <v>10</v>
      </c>
      <c r="W36" s="105">
        <v>7608</v>
      </c>
      <c r="X36" s="105">
        <v>7</v>
      </c>
      <c r="Y36" s="105">
        <v>5325.5999999999995</v>
      </c>
      <c r="Z36" s="105">
        <v>11</v>
      </c>
      <c r="AA36" s="105">
        <v>8368.7999999999993</v>
      </c>
      <c r="AB36" s="105">
        <v>12</v>
      </c>
      <c r="AC36" s="105">
        <v>9129.5999999999985</v>
      </c>
      <c r="AD36" s="105">
        <v>9</v>
      </c>
      <c r="AE36" s="105">
        <v>6847.2</v>
      </c>
      <c r="AF36" s="105">
        <v>9</v>
      </c>
      <c r="AG36" s="105">
        <v>6847.2</v>
      </c>
      <c r="AH36" s="105">
        <v>12</v>
      </c>
      <c r="AI36" s="105">
        <v>9129.5999999999985</v>
      </c>
      <c r="AJ36" s="105">
        <v>19</v>
      </c>
      <c r="AK36" s="105">
        <v>14455.199999999999</v>
      </c>
      <c r="AL36" s="105">
        <v>16</v>
      </c>
      <c r="AM36" s="105">
        <v>12172.8</v>
      </c>
      <c r="AN36" s="105">
        <v>18</v>
      </c>
      <c r="AO36" s="105">
        <v>13694.4</v>
      </c>
      <c r="AP36" s="105">
        <v>13</v>
      </c>
      <c r="AQ36" s="105">
        <v>9890.4</v>
      </c>
      <c r="AR36" s="105">
        <v>19</v>
      </c>
      <c r="AS36" s="105">
        <v>14455.199999999999</v>
      </c>
      <c r="AT36" s="105">
        <v>21</v>
      </c>
      <c r="AU36" s="105">
        <v>15976.8</v>
      </c>
      <c r="AV36" s="105">
        <v>15</v>
      </c>
      <c r="AW36" s="105">
        <v>11412</v>
      </c>
      <c r="AX36" s="105">
        <v>15</v>
      </c>
      <c r="AY36" s="105">
        <v>11412</v>
      </c>
      <c r="AZ36" s="105">
        <v>23</v>
      </c>
      <c r="BA36" s="105">
        <v>17498.399999999998</v>
      </c>
      <c r="BB36" s="105">
        <v>20</v>
      </c>
      <c r="BC36" s="105">
        <v>15216</v>
      </c>
      <c r="BD36" s="105">
        <v>29</v>
      </c>
      <c r="BE36" s="105">
        <v>22063.199999999997</v>
      </c>
      <c r="BF36" s="105">
        <v>30</v>
      </c>
      <c r="BG36" s="105">
        <v>22824</v>
      </c>
      <c r="BH36" s="105">
        <v>22</v>
      </c>
      <c r="BI36" s="105">
        <v>16737.599999999999</v>
      </c>
      <c r="BJ36" s="105">
        <v>40</v>
      </c>
      <c r="BK36" s="105">
        <v>30432</v>
      </c>
      <c r="BL36" s="105">
        <v>34</v>
      </c>
      <c r="BM36" s="105">
        <v>25867.199999999997</v>
      </c>
      <c r="BN36" s="105">
        <v>38</v>
      </c>
      <c r="BO36" s="105">
        <v>28910.399999999998</v>
      </c>
      <c r="BP36" s="105">
        <v>34</v>
      </c>
      <c r="BQ36" s="105">
        <v>25867.199999999997</v>
      </c>
      <c r="BR36" s="105">
        <v>41</v>
      </c>
      <c r="BS36" s="105">
        <v>31192.799999999999</v>
      </c>
      <c r="BT36" s="105">
        <v>39</v>
      </c>
      <c r="BU36" s="105">
        <v>29671.199999999997</v>
      </c>
      <c r="BV36" s="105">
        <v>43</v>
      </c>
      <c r="BW36" s="105">
        <v>32714.399999999998</v>
      </c>
      <c r="BX36" s="105">
        <v>80</v>
      </c>
      <c r="BY36" s="105">
        <v>60864</v>
      </c>
      <c r="BZ36" s="105">
        <v>75</v>
      </c>
      <c r="CA36" s="105">
        <v>57060</v>
      </c>
      <c r="CB36" s="105">
        <v>67.589556144224503</v>
      </c>
      <c r="CC36" s="105">
        <v>51422.134314525996</v>
      </c>
      <c r="CD36" s="105">
        <v>20.285507214987309</v>
      </c>
      <c r="CE36" s="105">
        <v>15433.213889162344</v>
      </c>
      <c r="CF36" s="105">
        <v>10.841011740276999</v>
      </c>
      <c r="CG36" s="105">
        <v>8247.8417320027402</v>
      </c>
      <c r="CH36" s="105">
        <v>0.80588518758085392</v>
      </c>
      <c r="CI36" s="105">
        <v>613.11745071151358</v>
      </c>
      <c r="CJ36" s="105">
        <v>7.4715271531008307</v>
      </c>
      <c r="CK36" s="105">
        <v>5684.3378580791114</v>
      </c>
      <c r="CL36" s="105">
        <v>7.2865515975057908</v>
      </c>
      <c r="CM36" s="105">
        <v>5543.6084553824057</v>
      </c>
      <c r="CN36" s="105">
        <v>27.925992187244212</v>
      </c>
      <c r="CO36" s="105">
        <v>21246.094856055395</v>
      </c>
      <c r="CP36" s="105">
        <v>14.198234459373674</v>
      </c>
      <c r="CQ36" s="105">
        <v>10802.016776691491</v>
      </c>
      <c r="CR36" s="105">
        <v>10.849877618072604</v>
      </c>
      <c r="CS36" s="105">
        <v>8254.5868918296364</v>
      </c>
      <c r="CT36" s="105">
        <v>1.9186888432478599</v>
      </c>
      <c r="CU36" s="105">
        <v>1459.7384719429717</v>
      </c>
    </row>
    <row r="37" spans="2:99" x14ac:dyDescent="0.25">
      <c r="B37" s="104" t="s">
        <v>128</v>
      </c>
      <c r="C37" s="104" t="s">
        <v>202</v>
      </c>
      <c r="D37" s="105">
        <v>0</v>
      </c>
      <c r="E37" s="105">
        <v>0</v>
      </c>
      <c r="F37" s="105">
        <v>0</v>
      </c>
      <c r="G37" s="105">
        <v>0</v>
      </c>
      <c r="H37" s="105">
        <v>0</v>
      </c>
      <c r="I37" s="105">
        <v>0</v>
      </c>
      <c r="J37" s="105">
        <v>5</v>
      </c>
      <c r="K37" s="105">
        <v>4302</v>
      </c>
      <c r="L37" s="105">
        <v>5</v>
      </c>
      <c r="M37" s="105">
        <v>4302</v>
      </c>
      <c r="N37" s="105">
        <v>4</v>
      </c>
      <c r="O37" s="105">
        <v>3441.6</v>
      </c>
      <c r="P37" s="105">
        <v>6</v>
      </c>
      <c r="Q37" s="105">
        <v>5162.3999999999996</v>
      </c>
      <c r="R37" s="105">
        <v>6</v>
      </c>
      <c r="S37" s="105">
        <v>5162.3999999999996</v>
      </c>
      <c r="T37" s="105">
        <v>7</v>
      </c>
      <c r="U37" s="105">
        <v>6022.8</v>
      </c>
      <c r="V37" s="105">
        <v>7</v>
      </c>
      <c r="W37" s="105">
        <v>6022.8</v>
      </c>
      <c r="X37" s="105">
        <v>5</v>
      </c>
      <c r="Y37" s="105">
        <v>4302</v>
      </c>
      <c r="Z37" s="105">
        <v>7</v>
      </c>
      <c r="AA37" s="105">
        <v>6022.8</v>
      </c>
      <c r="AB37" s="105">
        <v>6</v>
      </c>
      <c r="AC37" s="105">
        <v>5162.3999999999996</v>
      </c>
      <c r="AD37" s="105">
        <v>6</v>
      </c>
      <c r="AE37" s="105">
        <v>5162.3999999999996</v>
      </c>
      <c r="AF37" s="105">
        <v>6</v>
      </c>
      <c r="AG37" s="105">
        <v>5162.3999999999996</v>
      </c>
      <c r="AH37" s="105">
        <v>6</v>
      </c>
      <c r="AI37" s="105">
        <v>5162.3999999999996</v>
      </c>
      <c r="AJ37" s="105">
        <v>12</v>
      </c>
      <c r="AK37" s="105">
        <v>10324.799999999999</v>
      </c>
      <c r="AL37" s="105">
        <v>11</v>
      </c>
      <c r="AM37" s="105">
        <v>9464.4</v>
      </c>
      <c r="AN37" s="105">
        <v>13</v>
      </c>
      <c r="AO37" s="105">
        <v>11185.199999999999</v>
      </c>
      <c r="AP37" s="105">
        <v>8</v>
      </c>
      <c r="AQ37" s="105">
        <v>6883.2</v>
      </c>
      <c r="AR37" s="105">
        <v>11</v>
      </c>
      <c r="AS37" s="105">
        <v>9464.4</v>
      </c>
      <c r="AT37" s="105">
        <v>9</v>
      </c>
      <c r="AU37" s="105">
        <v>7743.5999999999995</v>
      </c>
      <c r="AV37" s="105">
        <v>12</v>
      </c>
      <c r="AW37" s="105">
        <v>10324.799999999999</v>
      </c>
      <c r="AX37" s="105">
        <v>9</v>
      </c>
      <c r="AY37" s="105">
        <v>7743.5999999999995</v>
      </c>
      <c r="AZ37" s="105">
        <v>11</v>
      </c>
      <c r="BA37" s="105">
        <v>9464.4</v>
      </c>
      <c r="BB37" s="105">
        <v>15</v>
      </c>
      <c r="BC37" s="105">
        <v>12906</v>
      </c>
      <c r="BD37" s="105">
        <v>12</v>
      </c>
      <c r="BE37" s="105">
        <v>10324.799999999999</v>
      </c>
      <c r="BF37" s="105">
        <v>12</v>
      </c>
      <c r="BG37" s="105">
        <v>10324.799999999999</v>
      </c>
      <c r="BH37" s="105">
        <v>24</v>
      </c>
      <c r="BI37" s="105">
        <v>20649.599999999999</v>
      </c>
      <c r="BJ37" s="105">
        <v>12</v>
      </c>
      <c r="BK37" s="105">
        <v>10324.799999999999</v>
      </c>
      <c r="BL37" s="105">
        <v>15</v>
      </c>
      <c r="BM37" s="105">
        <v>12906</v>
      </c>
      <c r="BN37" s="105">
        <v>17</v>
      </c>
      <c r="BO37" s="105">
        <v>14626.8</v>
      </c>
      <c r="BP37" s="105">
        <v>22</v>
      </c>
      <c r="BQ37" s="105">
        <v>18928.8</v>
      </c>
      <c r="BR37" s="105">
        <v>21</v>
      </c>
      <c r="BS37" s="105">
        <v>18068.399999999998</v>
      </c>
      <c r="BT37" s="105">
        <v>31</v>
      </c>
      <c r="BU37" s="105">
        <v>26672.399999999998</v>
      </c>
      <c r="BV37" s="105">
        <v>21</v>
      </c>
      <c r="BW37" s="105">
        <v>18068.399999999998</v>
      </c>
      <c r="BX37" s="105">
        <v>34</v>
      </c>
      <c r="BY37" s="105">
        <v>29253.599999999999</v>
      </c>
      <c r="BZ37" s="105">
        <v>43</v>
      </c>
      <c r="CA37" s="105">
        <v>36997.199999999997</v>
      </c>
      <c r="CB37" s="105">
        <v>38.99397469859106</v>
      </c>
      <c r="CC37" s="105">
        <v>33550.415830667749</v>
      </c>
      <c r="CD37" s="105">
        <v>11.032468836221167</v>
      </c>
      <c r="CE37" s="105">
        <v>9492.3361866846917</v>
      </c>
      <c r="CF37" s="105">
        <v>11.583546790980906</v>
      </c>
      <c r="CG37" s="105">
        <v>9966.4836589599709</v>
      </c>
      <c r="CH37" s="105">
        <v>0.68560381630012945</v>
      </c>
      <c r="CI37" s="105">
        <v>589.89352354463142</v>
      </c>
      <c r="CJ37" s="105">
        <v>7.5782632552879843</v>
      </c>
      <c r="CK37" s="105">
        <v>6520.3377048497814</v>
      </c>
      <c r="CL37" s="105">
        <v>3.5276162495861367</v>
      </c>
      <c r="CM37" s="105">
        <v>3035.161021143912</v>
      </c>
      <c r="CN37" s="105">
        <v>14.960352957452256</v>
      </c>
      <c r="CO37" s="105">
        <v>12871.88768459192</v>
      </c>
      <c r="CP37" s="105">
        <v>9.465489639582449</v>
      </c>
      <c r="CQ37" s="105">
        <v>8144.1072858967391</v>
      </c>
      <c r="CR37" s="105">
        <v>3.346728419504982</v>
      </c>
      <c r="CS37" s="105">
        <v>2879.5251321420865</v>
      </c>
      <c r="CT37" s="105">
        <v>0.92058303085124593</v>
      </c>
      <c r="CU37" s="105">
        <v>792.06963974441203</v>
      </c>
    </row>
    <row r="38" spans="2:99" x14ac:dyDescent="0.25">
      <c r="C38" s="104" t="s">
        <v>203</v>
      </c>
      <c r="D38" s="105">
        <v>0</v>
      </c>
      <c r="E38" s="105">
        <v>0</v>
      </c>
      <c r="F38" s="105">
        <v>0</v>
      </c>
      <c r="G38" s="105">
        <v>0</v>
      </c>
      <c r="H38" s="105">
        <v>0</v>
      </c>
      <c r="I38" s="105">
        <v>0</v>
      </c>
      <c r="J38" s="105">
        <v>5</v>
      </c>
      <c r="K38" s="105">
        <v>6210</v>
      </c>
      <c r="L38" s="105">
        <v>5</v>
      </c>
      <c r="M38" s="105">
        <v>6210</v>
      </c>
      <c r="N38" s="105">
        <v>4</v>
      </c>
      <c r="O38" s="105">
        <v>4968</v>
      </c>
      <c r="P38" s="105">
        <v>5</v>
      </c>
      <c r="Q38" s="105">
        <v>6210</v>
      </c>
      <c r="R38" s="105">
        <v>5</v>
      </c>
      <c r="S38" s="105">
        <v>6210</v>
      </c>
      <c r="T38" s="105">
        <v>7</v>
      </c>
      <c r="U38" s="105">
        <v>8694</v>
      </c>
      <c r="V38" s="105">
        <v>7</v>
      </c>
      <c r="W38" s="105">
        <v>8694</v>
      </c>
      <c r="X38" s="105">
        <v>6</v>
      </c>
      <c r="Y38" s="105">
        <v>7452</v>
      </c>
      <c r="Z38" s="105">
        <v>6</v>
      </c>
      <c r="AA38" s="105">
        <v>7452</v>
      </c>
      <c r="AB38" s="105">
        <v>6</v>
      </c>
      <c r="AC38" s="105">
        <v>7452</v>
      </c>
      <c r="AD38" s="105">
        <v>5</v>
      </c>
      <c r="AE38" s="105">
        <v>6210</v>
      </c>
      <c r="AF38" s="105">
        <v>6</v>
      </c>
      <c r="AG38" s="105">
        <v>7452</v>
      </c>
      <c r="AH38" s="105">
        <v>6</v>
      </c>
      <c r="AI38" s="105">
        <v>7452</v>
      </c>
      <c r="AJ38" s="105">
        <v>11</v>
      </c>
      <c r="AK38" s="105">
        <v>13662</v>
      </c>
      <c r="AL38" s="105">
        <v>11</v>
      </c>
      <c r="AM38" s="105">
        <v>13662</v>
      </c>
      <c r="AN38" s="105">
        <v>11</v>
      </c>
      <c r="AO38" s="105">
        <v>13662</v>
      </c>
      <c r="AP38" s="105">
        <v>8</v>
      </c>
      <c r="AQ38" s="105">
        <v>9936</v>
      </c>
      <c r="AR38" s="105">
        <v>13</v>
      </c>
      <c r="AS38" s="105">
        <v>16146</v>
      </c>
      <c r="AT38" s="105">
        <v>10</v>
      </c>
      <c r="AU38" s="105">
        <v>12420</v>
      </c>
      <c r="AV38" s="105">
        <v>11</v>
      </c>
      <c r="AW38" s="105">
        <v>13662</v>
      </c>
      <c r="AX38" s="105">
        <v>10</v>
      </c>
      <c r="AY38" s="105">
        <v>12420</v>
      </c>
      <c r="AZ38" s="105">
        <v>11</v>
      </c>
      <c r="BA38" s="105">
        <v>13662</v>
      </c>
      <c r="BB38" s="105">
        <v>13</v>
      </c>
      <c r="BC38" s="105">
        <v>16146</v>
      </c>
      <c r="BD38" s="105">
        <v>12</v>
      </c>
      <c r="BE38" s="105">
        <v>14904</v>
      </c>
      <c r="BF38" s="105">
        <v>11</v>
      </c>
      <c r="BG38" s="105">
        <v>13662</v>
      </c>
      <c r="BH38" s="105">
        <v>24</v>
      </c>
      <c r="BI38" s="105">
        <v>29808</v>
      </c>
      <c r="BJ38" s="105">
        <v>12</v>
      </c>
      <c r="BK38" s="105">
        <v>14904</v>
      </c>
      <c r="BL38" s="105">
        <v>14</v>
      </c>
      <c r="BM38" s="105">
        <v>17388</v>
      </c>
      <c r="BN38" s="105">
        <v>17</v>
      </c>
      <c r="BO38" s="105">
        <v>21114</v>
      </c>
      <c r="BP38" s="105">
        <v>21</v>
      </c>
      <c r="BQ38" s="105">
        <v>26082</v>
      </c>
      <c r="BR38" s="105">
        <v>22</v>
      </c>
      <c r="BS38" s="105">
        <v>27324</v>
      </c>
      <c r="BT38" s="105">
        <v>30</v>
      </c>
      <c r="BU38" s="105">
        <v>37260</v>
      </c>
      <c r="BV38" s="105">
        <v>18</v>
      </c>
      <c r="BW38" s="105">
        <v>22356</v>
      </c>
      <c r="BX38" s="105">
        <v>33</v>
      </c>
      <c r="BY38" s="105">
        <v>40986</v>
      </c>
      <c r="BZ38" s="105">
        <v>44</v>
      </c>
      <c r="CA38" s="105">
        <v>54648</v>
      </c>
      <c r="CB38" s="105">
        <v>32.928245301032455</v>
      </c>
      <c r="CC38" s="105">
        <v>40896.880663882308</v>
      </c>
      <c r="CD38" s="105">
        <v>11.744241019203178</v>
      </c>
      <c r="CE38" s="105">
        <v>14586.347345850347</v>
      </c>
      <c r="CF38" s="105">
        <v>9.8014626692915332</v>
      </c>
      <c r="CG38" s="105">
        <v>12173.416635260084</v>
      </c>
      <c r="CH38" s="105">
        <v>0.6374912677878396</v>
      </c>
      <c r="CI38" s="105">
        <v>791.76415459249677</v>
      </c>
      <c r="CJ38" s="105">
        <v>7.6849993574751396</v>
      </c>
      <c r="CK38" s="105">
        <v>9544.7692019841234</v>
      </c>
      <c r="CL38" s="105">
        <v>3.2962971512526198</v>
      </c>
      <c r="CM38" s="105">
        <v>4094.001061855754</v>
      </c>
      <c r="CN38" s="105">
        <v>15.102832509427991</v>
      </c>
      <c r="CO38" s="105">
        <v>18757.717976709566</v>
      </c>
      <c r="CP38" s="105">
        <v>9.2723163816317857</v>
      </c>
      <c r="CQ38" s="105">
        <v>11516.216945986678</v>
      </c>
      <c r="CR38" s="105">
        <v>3.5626463820536913</v>
      </c>
      <c r="CS38" s="105">
        <v>4424.8068065106845</v>
      </c>
      <c r="CT38" s="105">
        <v>0.90120233546490403</v>
      </c>
      <c r="CU38" s="105">
        <v>1119.2933006474109</v>
      </c>
    </row>
    <row r="39" spans="2:99" x14ac:dyDescent="0.25">
      <c r="C39" s="104" t="s">
        <v>204</v>
      </c>
      <c r="D39" s="105">
        <v>0</v>
      </c>
      <c r="E39" s="105">
        <v>0</v>
      </c>
      <c r="F39" s="105">
        <v>0</v>
      </c>
      <c r="G39" s="105">
        <v>0</v>
      </c>
      <c r="H39" s="105">
        <v>0</v>
      </c>
      <c r="I39" s="105">
        <v>0</v>
      </c>
      <c r="J39" s="105">
        <v>4</v>
      </c>
      <c r="K39" s="105">
        <v>5692.8</v>
      </c>
      <c r="L39" s="105">
        <v>5</v>
      </c>
      <c r="M39" s="105">
        <v>7116</v>
      </c>
      <c r="N39" s="105">
        <v>4</v>
      </c>
      <c r="O39" s="105">
        <v>5692.8</v>
      </c>
      <c r="P39" s="105">
        <v>6</v>
      </c>
      <c r="Q39" s="105">
        <v>8539.2000000000007</v>
      </c>
      <c r="R39" s="105">
        <v>5</v>
      </c>
      <c r="S39" s="105">
        <v>7116</v>
      </c>
      <c r="T39" s="105">
        <v>7</v>
      </c>
      <c r="U39" s="105">
        <v>9962.4</v>
      </c>
      <c r="V39" s="105">
        <v>6</v>
      </c>
      <c r="W39" s="105">
        <v>8539.2000000000007</v>
      </c>
      <c r="X39" s="105">
        <v>5</v>
      </c>
      <c r="Y39" s="105">
        <v>7116</v>
      </c>
      <c r="Z39" s="105">
        <v>6</v>
      </c>
      <c r="AA39" s="105">
        <v>8539.2000000000007</v>
      </c>
      <c r="AB39" s="105">
        <v>6</v>
      </c>
      <c r="AC39" s="105">
        <v>8539.2000000000007</v>
      </c>
      <c r="AD39" s="105">
        <v>5</v>
      </c>
      <c r="AE39" s="105">
        <v>7116</v>
      </c>
      <c r="AF39" s="105">
        <v>6</v>
      </c>
      <c r="AG39" s="105">
        <v>8539.2000000000007</v>
      </c>
      <c r="AH39" s="105">
        <v>5</v>
      </c>
      <c r="AI39" s="105">
        <v>7116</v>
      </c>
      <c r="AJ39" s="105">
        <v>11</v>
      </c>
      <c r="AK39" s="105">
        <v>15655.2</v>
      </c>
      <c r="AL39" s="105">
        <v>10</v>
      </c>
      <c r="AM39" s="105">
        <v>14232</v>
      </c>
      <c r="AN39" s="105">
        <v>12</v>
      </c>
      <c r="AO39" s="105">
        <v>17078.400000000001</v>
      </c>
      <c r="AP39" s="105">
        <v>8</v>
      </c>
      <c r="AQ39" s="105">
        <v>11385.6</v>
      </c>
      <c r="AR39" s="105">
        <v>13</v>
      </c>
      <c r="AS39" s="105">
        <v>18501.600000000002</v>
      </c>
      <c r="AT39" s="105">
        <v>9</v>
      </c>
      <c r="AU39" s="105">
        <v>12808.800000000001</v>
      </c>
      <c r="AV39" s="105">
        <v>12</v>
      </c>
      <c r="AW39" s="105">
        <v>17078.400000000001</v>
      </c>
      <c r="AX39" s="105">
        <v>9</v>
      </c>
      <c r="AY39" s="105">
        <v>12808.800000000001</v>
      </c>
      <c r="AZ39" s="105">
        <v>11</v>
      </c>
      <c r="BA39" s="105">
        <v>15655.2</v>
      </c>
      <c r="BB39" s="105">
        <v>12</v>
      </c>
      <c r="BC39" s="105">
        <v>17078.400000000001</v>
      </c>
      <c r="BD39" s="105">
        <v>12</v>
      </c>
      <c r="BE39" s="105">
        <v>17078.400000000001</v>
      </c>
      <c r="BF39" s="105">
        <v>10</v>
      </c>
      <c r="BG39" s="105">
        <v>14232</v>
      </c>
      <c r="BH39" s="105">
        <v>22</v>
      </c>
      <c r="BI39" s="105">
        <v>31310.400000000001</v>
      </c>
      <c r="BJ39" s="105">
        <v>11</v>
      </c>
      <c r="BK39" s="105">
        <v>15655.2</v>
      </c>
      <c r="BL39" s="105">
        <v>13</v>
      </c>
      <c r="BM39" s="105">
        <v>18501.600000000002</v>
      </c>
      <c r="BN39" s="105">
        <v>17</v>
      </c>
      <c r="BO39" s="105">
        <v>24194.400000000001</v>
      </c>
      <c r="BP39" s="105">
        <v>20</v>
      </c>
      <c r="BQ39" s="105">
        <v>28464</v>
      </c>
      <c r="BR39" s="105">
        <v>21</v>
      </c>
      <c r="BS39" s="105">
        <v>29887.200000000001</v>
      </c>
      <c r="BT39" s="105">
        <v>27</v>
      </c>
      <c r="BU39" s="105">
        <v>38426.400000000001</v>
      </c>
      <c r="BV39" s="105">
        <v>21</v>
      </c>
      <c r="BW39" s="105">
        <v>29887.200000000001</v>
      </c>
      <c r="BX39" s="105">
        <v>30</v>
      </c>
      <c r="BY39" s="105">
        <v>42696</v>
      </c>
      <c r="BZ39" s="105">
        <v>44</v>
      </c>
      <c r="CA39" s="105">
        <v>62620.800000000003</v>
      </c>
      <c r="CB39" s="105">
        <v>36.394376385351656</v>
      </c>
      <c r="CC39" s="105">
        <v>51796.476471632479</v>
      </c>
      <c r="CD39" s="105">
        <v>9.6089244702571452</v>
      </c>
      <c r="CE39" s="105">
        <v>13675.421306069969</v>
      </c>
      <c r="CF39" s="105">
        <v>10.692504730136221</v>
      </c>
      <c r="CG39" s="105">
        <v>15217.572731929871</v>
      </c>
      <c r="CH39" s="105">
        <v>0.56532244501940498</v>
      </c>
      <c r="CI39" s="105">
        <v>804.56690375161725</v>
      </c>
      <c r="CJ39" s="105">
        <v>6.6176383356035924</v>
      </c>
      <c r="CK39" s="105">
        <v>9418.2228792310325</v>
      </c>
      <c r="CL39" s="105">
        <v>3.2962971512526198</v>
      </c>
      <c r="CM39" s="105">
        <v>4691.2901056627288</v>
      </c>
      <c r="CN39" s="105">
        <v>13.535557437694898</v>
      </c>
      <c r="CO39" s="105">
        <v>19263.805345327379</v>
      </c>
      <c r="CP39" s="105">
        <v>8.113276833927813</v>
      </c>
      <c r="CQ39" s="105">
        <v>11546.815590046064</v>
      </c>
      <c r="CR39" s="105">
        <v>3.0228514756819198</v>
      </c>
      <c r="CS39" s="105">
        <v>4302.1222201905084</v>
      </c>
      <c r="CT39" s="105">
        <v>0.83336990161270696</v>
      </c>
      <c r="CU39" s="105">
        <v>1186.0520439752047</v>
      </c>
    </row>
    <row r="40" spans="2:99" x14ac:dyDescent="0.25">
      <c r="C40" s="104" t="s">
        <v>205</v>
      </c>
      <c r="D40" s="105">
        <v>0</v>
      </c>
      <c r="E40" s="105">
        <v>0</v>
      </c>
      <c r="F40" s="105">
        <v>0</v>
      </c>
      <c r="G40" s="105">
        <v>0</v>
      </c>
      <c r="H40" s="105">
        <v>0</v>
      </c>
      <c r="I40" s="105">
        <v>0</v>
      </c>
      <c r="J40" s="105">
        <v>5</v>
      </c>
      <c r="K40" s="105">
        <v>3624</v>
      </c>
      <c r="L40" s="105">
        <v>5</v>
      </c>
      <c r="M40" s="105">
        <v>3624</v>
      </c>
      <c r="N40" s="105">
        <v>5</v>
      </c>
      <c r="O40" s="105">
        <v>3624</v>
      </c>
      <c r="P40" s="105">
        <v>6</v>
      </c>
      <c r="Q40" s="105">
        <v>4348.7999999999993</v>
      </c>
      <c r="R40" s="105">
        <v>6</v>
      </c>
      <c r="S40" s="105">
        <v>4348.7999999999993</v>
      </c>
      <c r="T40" s="105">
        <v>8</v>
      </c>
      <c r="U40" s="105">
        <v>5798.4</v>
      </c>
      <c r="V40" s="105">
        <v>7</v>
      </c>
      <c r="W40" s="105">
        <v>5073.5999999999995</v>
      </c>
      <c r="X40" s="105">
        <v>5</v>
      </c>
      <c r="Y40" s="105">
        <v>3624</v>
      </c>
      <c r="Z40" s="105">
        <v>6</v>
      </c>
      <c r="AA40" s="105">
        <v>4348.7999999999993</v>
      </c>
      <c r="AB40" s="105">
        <v>7</v>
      </c>
      <c r="AC40" s="105">
        <v>5073.5999999999995</v>
      </c>
      <c r="AD40" s="105">
        <v>5</v>
      </c>
      <c r="AE40" s="105">
        <v>3624</v>
      </c>
      <c r="AF40" s="105">
        <v>6</v>
      </c>
      <c r="AG40" s="105">
        <v>4348.7999999999993</v>
      </c>
      <c r="AH40" s="105">
        <v>6</v>
      </c>
      <c r="AI40" s="105">
        <v>4348.7999999999993</v>
      </c>
      <c r="AJ40" s="105">
        <v>12</v>
      </c>
      <c r="AK40" s="105">
        <v>8697.5999999999985</v>
      </c>
      <c r="AL40" s="105">
        <v>10</v>
      </c>
      <c r="AM40" s="105">
        <v>7248</v>
      </c>
      <c r="AN40" s="105">
        <v>13</v>
      </c>
      <c r="AO40" s="105">
        <v>9422.4</v>
      </c>
      <c r="AP40" s="105">
        <v>8</v>
      </c>
      <c r="AQ40" s="105">
        <v>5798.4</v>
      </c>
      <c r="AR40" s="105">
        <v>12</v>
      </c>
      <c r="AS40" s="105">
        <v>8697.5999999999985</v>
      </c>
      <c r="AT40" s="105">
        <v>10</v>
      </c>
      <c r="AU40" s="105">
        <v>7248</v>
      </c>
      <c r="AV40" s="105">
        <v>11</v>
      </c>
      <c r="AW40" s="105">
        <v>7972.7999999999993</v>
      </c>
      <c r="AX40" s="105">
        <v>9</v>
      </c>
      <c r="AY40" s="105">
        <v>6523.2</v>
      </c>
      <c r="AZ40" s="105">
        <v>13</v>
      </c>
      <c r="BA40" s="105">
        <v>9422.4</v>
      </c>
      <c r="BB40" s="105">
        <v>15</v>
      </c>
      <c r="BC40" s="105">
        <v>10872</v>
      </c>
      <c r="BD40" s="105">
        <v>12</v>
      </c>
      <c r="BE40" s="105">
        <v>8697.5999999999985</v>
      </c>
      <c r="BF40" s="105">
        <v>12</v>
      </c>
      <c r="BG40" s="105">
        <v>8697.5999999999985</v>
      </c>
      <c r="BH40" s="105">
        <v>22</v>
      </c>
      <c r="BI40" s="105">
        <v>15945.599999999999</v>
      </c>
      <c r="BJ40" s="105">
        <v>12</v>
      </c>
      <c r="BK40" s="105">
        <v>8697.5999999999985</v>
      </c>
      <c r="BL40" s="105">
        <v>15</v>
      </c>
      <c r="BM40" s="105">
        <v>10872</v>
      </c>
      <c r="BN40" s="105">
        <v>19</v>
      </c>
      <c r="BO40" s="105">
        <v>13771.199999999999</v>
      </c>
      <c r="BP40" s="105">
        <v>21</v>
      </c>
      <c r="BQ40" s="105">
        <v>15220.8</v>
      </c>
      <c r="BR40" s="105">
        <v>23</v>
      </c>
      <c r="BS40" s="105">
        <v>16670.399999999998</v>
      </c>
      <c r="BT40" s="105">
        <v>28</v>
      </c>
      <c r="BU40" s="105">
        <v>20294.399999999998</v>
      </c>
      <c r="BV40" s="105">
        <v>21</v>
      </c>
      <c r="BW40" s="105">
        <v>15220.8</v>
      </c>
      <c r="BX40" s="105">
        <v>39</v>
      </c>
      <c r="BY40" s="105">
        <v>28267.199999999997</v>
      </c>
      <c r="BZ40" s="105">
        <v>44</v>
      </c>
      <c r="CA40" s="105">
        <v>31891.199999999997</v>
      </c>
      <c r="CB40" s="105">
        <v>36.394376385351656</v>
      </c>
      <c r="CC40" s="105">
        <v>26378.64400410288</v>
      </c>
      <c r="CD40" s="105">
        <v>12.456013202185188</v>
      </c>
      <c r="CE40" s="105">
        <v>9028.118368943824</v>
      </c>
      <c r="CF40" s="105">
        <v>10.098476689573095</v>
      </c>
      <c r="CG40" s="105">
        <v>7319.3759046025789</v>
      </c>
      <c r="CH40" s="105">
        <v>0.60140685640362235</v>
      </c>
      <c r="CI40" s="105">
        <v>435.89968952134546</v>
      </c>
      <c r="CJ40" s="105">
        <v>7.1513188465393664</v>
      </c>
      <c r="CK40" s="105">
        <v>5183.2758999717325</v>
      </c>
      <c r="CL40" s="105">
        <v>3.701105573336275</v>
      </c>
      <c r="CM40" s="105">
        <v>2682.5613195541318</v>
      </c>
      <c r="CN40" s="105">
        <v>16.527628029185351</v>
      </c>
      <c r="CO40" s="105">
        <v>11979.224795553542</v>
      </c>
      <c r="CP40" s="105">
        <v>9.0791431236811242</v>
      </c>
      <c r="CQ40" s="105">
        <v>6580.562936044078</v>
      </c>
      <c r="CR40" s="105">
        <v>3.4007079101421596</v>
      </c>
      <c r="CS40" s="105">
        <v>2464.8330932710369</v>
      </c>
      <c r="CT40" s="105">
        <v>0.91089268315807503</v>
      </c>
      <c r="CU40" s="105">
        <v>660.2150167529727</v>
      </c>
    </row>
    <row r="41" spans="2:99" x14ac:dyDescent="0.25">
      <c r="C41" s="104" t="s">
        <v>206</v>
      </c>
      <c r="D41" s="105">
        <v>0</v>
      </c>
      <c r="E41" s="105">
        <v>0</v>
      </c>
      <c r="F41" s="105">
        <v>0</v>
      </c>
      <c r="G41" s="105">
        <v>0</v>
      </c>
      <c r="H41" s="105">
        <v>0</v>
      </c>
      <c r="I41" s="105">
        <v>0</v>
      </c>
      <c r="J41" s="105">
        <v>5</v>
      </c>
      <c r="K41" s="105">
        <v>3300</v>
      </c>
      <c r="L41" s="105">
        <v>5</v>
      </c>
      <c r="M41" s="105">
        <v>3300</v>
      </c>
      <c r="N41" s="105">
        <v>5</v>
      </c>
      <c r="O41" s="105">
        <v>3300</v>
      </c>
      <c r="P41" s="105">
        <v>5</v>
      </c>
      <c r="Q41" s="105">
        <v>3300</v>
      </c>
      <c r="R41" s="105">
        <v>5</v>
      </c>
      <c r="S41" s="105">
        <v>3300</v>
      </c>
      <c r="T41" s="105">
        <v>8</v>
      </c>
      <c r="U41" s="105">
        <v>5280</v>
      </c>
      <c r="V41" s="105">
        <v>7</v>
      </c>
      <c r="W41" s="105">
        <v>4620</v>
      </c>
      <c r="X41" s="105">
        <v>5</v>
      </c>
      <c r="Y41" s="105">
        <v>3300</v>
      </c>
      <c r="Z41" s="105">
        <v>7</v>
      </c>
      <c r="AA41" s="105">
        <v>4620</v>
      </c>
      <c r="AB41" s="105">
        <v>7</v>
      </c>
      <c r="AC41" s="105">
        <v>4620</v>
      </c>
      <c r="AD41" s="105">
        <v>6</v>
      </c>
      <c r="AE41" s="105">
        <v>3960</v>
      </c>
      <c r="AF41" s="105">
        <v>7</v>
      </c>
      <c r="AG41" s="105">
        <v>4620</v>
      </c>
      <c r="AH41" s="105">
        <v>7</v>
      </c>
      <c r="AI41" s="105">
        <v>4620</v>
      </c>
      <c r="AJ41" s="105">
        <v>11</v>
      </c>
      <c r="AK41" s="105">
        <v>7260</v>
      </c>
      <c r="AL41" s="105">
        <v>11</v>
      </c>
      <c r="AM41" s="105">
        <v>7260</v>
      </c>
      <c r="AN41" s="105">
        <v>13</v>
      </c>
      <c r="AO41" s="105">
        <v>8580</v>
      </c>
      <c r="AP41" s="105">
        <v>8</v>
      </c>
      <c r="AQ41" s="105">
        <v>5280</v>
      </c>
      <c r="AR41" s="105">
        <v>12</v>
      </c>
      <c r="AS41" s="105">
        <v>7920</v>
      </c>
      <c r="AT41" s="105">
        <v>10</v>
      </c>
      <c r="AU41" s="105">
        <v>6600</v>
      </c>
      <c r="AV41" s="105">
        <v>13</v>
      </c>
      <c r="AW41" s="105">
        <v>8580</v>
      </c>
      <c r="AX41" s="105">
        <v>10</v>
      </c>
      <c r="AY41" s="105">
        <v>6600</v>
      </c>
      <c r="AZ41" s="105">
        <v>12</v>
      </c>
      <c r="BA41" s="105">
        <v>7920</v>
      </c>
      <c r="BB41" s="105">
        <v>14</v>
      </c>
      <c r="BC41" s="105">
        <v>9240</v>
      </c>
      <c r="BD41" s="105">
        <v>12</v>
      </c>
      <c r="BE41" s="105">
        <v>7920</v>
      </c>
      <c r="BF41" s="105">
        <v>11</v>
      </c>
      <c r="BG41" s="105">
        <v>7260</v>
      </c>
      <c r="BH41" s="105">
        <v>25</v>
      </c>
      <c r="BI41" s="105">
        <v>16500</v>
      </c>
      <c r="BJ41" s="105">
        <v>13</v>
      </c>
      <c r="BK41" s="105">
        <v>8580</v>
      </c>
      <c r="BL41" s="105">
        <v>13</v>
      </c>
      <c r="BM41" s="105">
        <v>8580</v>
      </c>
      <c r="BN41" s="105">
        <v>18</v>
      </c>
      <c r="BO41" s="105">
        <v>11880</v>
      </c>
      <c r="BP41" s="105">
        <v>22</v>
      </c>
      <c r="BQ41" s="105">
        <v>14520</v>
      </c>
      <c r="BR41" s="105">
        <v>23</v>
      </c>
      <c r="BS41" s="105">
        <v>15180</v>
      </c>
      <c r="BT41" s="105">
        <v>29</v>
      </c>
      <c r="BU41" s="105">
        <v>19140</v>
      </c>
      <c r="BV41" s="105">
        <v>22</v>
      </c>
      <c r="BW41" s="105">
        <v>14520</v>
      </c>
      <c r="BX41" s="105">
        <v>34</v>
      </c>
      <c r="BY41" s="105">
        <v>22440</v>
      </c>
      <c r="BZ41" s="105">
        <v>44</v>
      </c>
      <c r="CA41" s="105">
        <v>29040</v>
      </c>
      <c r="CB41" s="105">
        <v>40.727040240750661</v>
      </c>
      <c r="CC41" s="105">
        <v>26879.846558895435</v>
      </c>
      <c r="CD41" s="105">
        <v>11.388354927712172</v>
      </c>
      <c r="CE41" s="105">
        <v>7516.3142522900334</v>
      </c>
      <c r="CF41" s="105">
        <v>11.732053801121687</v>
      </c>
      <c r="CG41" s="105">
        <v>7743.1555087403131</v>
      </c>
      <c r="CH41" s="105">
        <v>0.67357567917205696</v>
      </c>
      <c r="CI41" s="105">
        <v>444.55994825355759</v>
      </c>
      <c r="CJ41" s="105">
        <v>7.3647910509136754</v>
      </c>
      <c r="CK41" s="105">
        <v>4860.7620936030262</v>
      </c>
      <c r="CL41" s="105">
        <v>3.2384673766692402</v>
      </c>
      <c r="CM41" s="105">
        <v>2137.3884686016986</v>
      </c>
      <c r="CN41" s="105">
        <v>16.242668925233879</v>
      </c>
      <c r="CO41" s="105">
        <v>10720.16149065436</v>
      </c>
      <c r="CP41" s="105">
        <v>10.045009413434435</v>
      </c>
      <c r="CQ41" s="105">
        <v>6629.7062128667276</v>
      </c>
      <c r="CR41" s="105">
        <v>3.4546874007793367</v>
      </c>
      <c r="CS41" s="105">
        <v>2280.0936845143624</v>
      </c>
      <c r="CT41" s="105">
        <v>0.95934442162392997</v>
      </c>
      <c r="CU41" s="105">
        <v>633.16731827179376</v>
      </c>
    </row>
    <row r="42" spans="2:99" x14ac:dyDescent="0.25">
      <c r="C42" s="104" t="s">
        <v>207</v>
      </c>
      <c r="D42" s="105">
        <v>0</v>
      </c>
      <c r="E42" s="105">
        <v>0</v>
      </c>
      <c r="F42" s="105">
        <v>0</v>
      </c>
      <c r="G42" s="105">
        <v>0</v>
      </c>
      <c r="H42" s="105">
        <v>0</v>
      </c>
      <c r="I42" s="105">
        <v>0</v>
      </c>
      <c r="J42" s="105">
        <v>5</v>
      </c>
      <c r="K42" s="105">
        <v>4230</v>
      </c>
      <c r="L42" s="105">
        <v>5</v>
      </c>
      <c r="M42" s="105">
        <v>4230</v>
      </c>
      <c r="N42" s="105">
        <v>5</v>
      </c>
      <c r="O42" s="105">
        <v>4230</v>
      </c>
      <c r="P42" s="105">
        <v>6</v>
      </c>
      <c r="Q42" s="105">
        <v>5076</v>
      </c>
      <c r="R42" s="105">
        <v>5</v>
      </c>
      <c r="S42" s="105">
        <v>4230</v>
      </c>
      <c r="T42" s="105">
        <v>8</v>
      </c>
      <c r="U42" s="105">
        <v>6768</v>
      </c>
      <c r="V42" s="105">
        <v>8</v>
      </c>
      <c r="W42" s="105">
        <v>6768</v>
      </c>
      <c r="X42" s="105">
        <v>5</v>
      </c>
      <c r="Y42" s="105">
        <v>4230</v>
      </c>
      <c r="Z42" s="105">
        <v>6</v>
      </c>
      <c r="AA42" s="105">
        <v>5076</v>
      </c>
      <c r="AB42" s="105">
        <v>7</v>
      </c>
      <c r="AC42" s="105">
        <v>5922</v>
      </c>
      <c r="AD42" s="105">
        <v>5</v>
      </c>
      <c r="AE42" s="105">
        <v>4230</v>
      </c>
      <c r="AF42" s="105">
        <v>7</v>
      </c>
      <c r="AG42" s="105">
        <v>5922</v>
      </c>
      <c r="AH42" s="105">
        <v>6</v>
      </c>
      <c r="AI42" s="105">
        <v>5076</v>
      </c>
      <c r="AJ42" s="105">
        <v>11</v>
      </c>
      <c r="AK42" s="105">
        <v>9306</v>
      </c>
      <c r="AL42" s="105">
        <v>10</v>
      </c>
      <c r="AM42" s="105">
        <v>8460</v>
      </c>
      <c r="AN42" s="105">
        <v>12</v>
      </c>
      <c r="AO42" s="105">
        <v>10152</v>
      </c>
      <c r="AP42" s="105">
        <v>9</v>
      </c>
      <c r="AQ42" s="105">
        <v>7614</v>
      </c>
      <c r="AR42" s="105">
        <v>12</v>
      </c>
      <c r="AS42" s="105">
        <v>10152</v>
      </c>
      <c r="AT42" s="105">
        <v>10</v>
      </c>
      <c r="AU42" s="105">
        <v>8460</v>
      </c>
      <c r="AV42" s="105">
        <v>12</v>
      </c>
      <c r="AW42" s="105">
        <v>10152</v>
      </c>
      <c r="AX42" s="105">
        <v>10</v>
      </c>
      <c r="AY42" s="105">
        <v>8460</v>
      </c>
      <c r="AZ42" s="105">
        <v>13</v>
      </c>
      <c r="BA42" s="105">
        <v>10998</v>
      </c>
      <c r="BB42" s="105">
        <v>15</v>
      </c>
      <c r="BC42" s="105">
        <v>12690</v>
      </c>
      <c r="BD42" s="105">
        <v>13</v>
      </c>
      <c r="BE42" s="105">
        <v>10998</v>
      </c>
      <c r="BF42" s="105">
        <v>11</v>
      </c>
      <c r="BG42" s="105">
        <v>9306</v>
      </c>
      <c r="BH42" s="105">
        <v>24</v>
      </c>
      <c r="BI42" s="105">
        <v>20304</v>
      </c>
      <c r="BJ42" s="105">
        <v>13</v>
      </c>
      <c r="BK42" s="105">
        <v>10998</v>
      </c>
      <c r="BL42" s="105">
        <v>15</v>
      </c>
      <c r="BM42" s="105">
        <v>12690</v>
      </c>
      <c r="BN42" s="105">
        <v>18</v>
      </c>
      <c r="BO42" s="105">
        <v>15228</v>
      </c>
      <c r="BP42" s="105">
        <v>23</v>
      </c>
      <c r="BQ42" s="105">
        <v>19458</v>
      </c>
      <c r="BR42" s="105">
        <v>22</v>
      </c>
      <c r="BS42" s="105">
        <v>18612</v>
      </c>
      <c r="BT42" s="105">
        <v>30</v>
      </c>
      <c r="BU42" s="105">
        <v>25380</v>
      </c>
      <c r="BV42" s="105">
        <v>22</v>
      </c>
      <c r="BW42" s="105">
        <v>18612</v>
      </c>
      <c r="BX42" s="105">
        <v>36</v>
      </c>
      <c r="BY42" s="105">
        <v>30456</v>
      </c>
      <c r="BZ42" s="105">
        <v>47</v>
      </c>
      <c r="CA42" s="105">
        <v>39762</v>
      </c>
      <c r="CB42" s="105">
        <v>35.527843614271859</v>
      </c>
      <c r="CC42" s="105">
        <v>30056.555697673994</v>
      </c>
      <c r="CD42" s="105">
        <v>12.100127110694183</v>
      </c>
      <c r="CE42" s="105">
        <v>10236.70753564728</v>
      </c>
      <c r="CF42" s="105">
        <v>10.54399771999544</v>
      </c>
      <c r="CG42" s="105">
        <v>8920.2220711161426</v>
      </c>
      <c r="CH42" s="105">
        <v>0.62546313065976722</v>
      </c>
      <c r="CI42" s="105">
        <v>529.1418085381631</v>
      </c>
      <c r="CJ42" s="105">
        <v>8.4321520727852217</v>
      </c>
      <c r="CK42" s="105">
        <v>7133.6006535762972</v>
      </c>
      <c r="CL42" s="105">
        <v>3.7589353479196541</v>
      </c>
      <c r="CM42" s="105">
        <v>3180.0593043400272</v>
      </c>
      <c r="CN42" s="105">
        <v>15.530271165355199</v>
      </c>
      <c r="CO42" s="105">
        <v>13138.609405890498</v>
      </c>
      <c r="CP42" s="105">
        <v>10.045009413434435</v>
      </c>
      <c r="CQ42" s="105">
        <v>8498.0779637655323</v>
      </c>
      <c r="CR42" s="105">
        <v>3.7785643446023998</v>
      </c>
      <c r="CS42" s="105">
        <v>3196.66543553363</v>
      </c>
      <c r="CT42" s="105">
        <v>0.8818216400785619</v>
      </c>
      <c r="CU42" s="105">
        <v>746.02110750646341</v>
      </c>
    </row>
    <row r="43" spans="2:99" x14ac:dyDescent="0.25">
      <c r="C43" s="104" t="s">
        <v>208</v>
      </c>
      <c r="D43" s="105">
        <v>0</v>
      </c>
      <c r="E43" s="105">
        <v>0</v>
      </c>
      <c r="F43" s="105">
        <v>0</v>
      </c>
      <c r="G43" s="105">
        <v>0</v>
      </c>
      <c r="H43" s="105">
        <v>0</v>
      </c>
      <c r="I43" s="105">
        <v>0</v>
      </c>
      <c r="J43" s="105">
        <v>5</v>
      </c>
      <c r="K43" s="105">
        <v>5112</v>
      </c>
      <c r="L43" s="105">
        <v>5</v>
      </c>
      <c r="M43" s="105">
        <v>5112</v>
      </c>
      <c r="N43" s="105">
        <v>4</v>
      </c>
      <c r="O43" s="105">
        <v>4089.6</v>
      </c>
      <c r="P43" s="105">
        <v>5</v>
      </c>
      <c r="Q43" s="105">
        <v>5112</v>
      </c>
      <c r="R43" s="105">
        <v>6</v>
      </c>
      <c r="S43" s="105">
        <v>6134.4</v>
      </c>
      <c r="T43" s="105">
        <v>7</v>
      </c>
      <c r="U43" s="105">
        <v>7156.8</v>
      </c>
      <c r="V43" s="105">
        <v>7</v>
      </c>
      <c r="W43" s="105">
        <v>7156.8</v>
      </c>
      <c r="X43" s="105">
        <v>5</v>
      </c>
      <c r="Y43" s="105">
        <v>5112</v>
      </c>
      <c r="Z43" s="105">
        <v>7</v>
      </c>
      <c r="AA43" s="105">
        <v>7156.8</v>
      </c>
      <c r="AB43" s="105">
        <v>7</v>
      </c>
      <c r="AC43" s="105">
        <v>7156.8</v>
      </c>
      <c r="AD43" s="105">
        <v>5</v>
      </c>
      <c r="AE43" s="105">
        <v>5112</v>
      </c>
      <c r="AF43" s="105">
        <v>6</v>
      </c>
      <c r="AG43" s="105">
        <v>6134.4</v>
      </c>
      <c r="AH43" s="105">
        <v>6</v>
      </c>
      <c r="AI43" s="105">
        <v>6134.4</v>
      </c>
      <c r="AJ43" s="105">
        <v>12</v>
      </c>
      <c r="AK43" s="105">
        <v>12268.8</v>
      </c>
      <c r="AL43" s="105">
        <v>10</v>
      </c>
      <c r="AM43" s="105">
        <v>10224</v>
      </c>
      <c r="AN43" s="105">
        <v>11</v>
      </c>
      <c r="AO43" s="105">
        <v>11246.4</v>
      </c>
      <c r="AP43" s="105">
        <v>8</v>
      </c>
      <c r="AQ43" s="105">
        <v>8179.2</v>
      </c>
      <c r="AR43" s="105">
        <v>13</v>
      </c>
      <c r="AS43" s="105">
        <v>13291.199999999999</v>
      </c>
      <c r="AT43" s="105">
        <v>9</v>
      </c>
      <c r="AU43" s="105">
        <v>9201.6</v>
      </c>
      <c r="AV43" s="105">
        <v>12</v>
      </c>
      <c r="AW43" s="105">
        <v>12268.8</v>
      </c>
      <c r="AX43" s="105">
        <v>10</v>
      </c>
      <c r="AY43" s="105">
        <v>10224</v>
      </c>
      <c r="AZ43" s="105">
        <v>11</v>
      </c>
      <c r="BA43" s="105">
        <v>11246.4</v>
      </c>
      <c r="BB43" s="105">
        <v>12</v>
      </c>
      <c r="BC43" s="105">
        <v>12268.8</v>
      </c>
      <c r="BD43" s="105">
        <v>11</v>
      </c>
      <c r="BE43" s="105">
        <v>11246.4</v>
      </c>
      <c r="BF43" s="105">
        <v>10</v>
      </c>
      <c r="BG43" s="105">
        <v>10224</v>
      </c>
      <c r="BH43" s="105">
        <v>25</v>
      </c>
      <c r="BI43" s="105">
        <v>25560</v>
      </c>
      <c r="BJ43" s="105">
        <v>12</v>
      </c>
      <c r="BK43" s="105">
        <v>12268.8</v>
      </c>
      <c r="BL43" s="105">
        <v>15</v>
      </c>
      <c r="BM43" s="105">
        <v>15336</v>
      </c>
      <c r="BN43" s="105">
        <v>19</v>
      </c>
      <c r="BO43" s="105">
        <v>19425.599999999999</v>
      </c>
      <c r="BP43" s="105">
        <v>21</v>
      </c>
      <c r="BQ43" s="105">
        <v>21470.399999999998</v>
      </c>
      <c r="BR43" s="105">
        <v>25</v>
      </c>
      <c r="BS43" s="105">
        <v>25560</v>
      </c>
      <c r="BT43" s="105">
        <v>30</v>
      </c>
      <c r="BU43" s="105">
        <v>30672</v>
      </c>
      <c r="BV43" s="105">
        <v>22</v>
      </c>
      <c r="BW43" s="105">
        <v>22492.799999999999</v>
      </c>
      <c r="BX43" s="105">
        <v>35</v>
      </c>
      <c r="BY43" s="105">
        <v>35784</v>
      </c>
      <c r="BZ43" s="105">
        <v>43</v>
      </c>
      <c r="CA43" s="105">
        <v>43963.199999999997</v>
      </c>
      <c r="CB43" s="105">
        <v>38.99397469859106</v>
      </c>
      <c r="CC43" s="105">
        <v>39867.439731839499</v>
      </c>
      <c r="CD43" s="105">
        <v>11.744241019203178</v>
      </c>
      <c r="CE43" s="105">
        <v>12007.31201803333</v>
      </c>
      <c r="CF43" s="105">
        <v>10.395490709854659</v>
      </c>
      <c r="CG43" s="105">
        <v>10628.349701755404</v>
      </c>
      <c r="CH43" s="105">
        <v>0.6374912677878396</v>
      </c>
      <c r="CI43" s="105">
        <v>651.77107218628714</v>
      </c>
      <c r="CJ43" s="105">
        <v>7.3647910509136754</v>
      </c>
      <c r="CK43" s="105">
        <v>7529.7623704541411</v>
      </c>
      <c r="CL43" s="105">
        <v>3.0071482783357233</v>
      </c>
      <c r="CM43" s="105">
        <v>3074.5083997704432</v>
      </c>
      <c r="CN43" s="105">
        <v>15.672750717330935</v>
      </c>
      <c r="CO43" s="105">
        <v>16023.820333399148</v>
      </c>
      <c r="CP43" s="105">
        <v>8.403036720853807</v>
      </c>
      <c r="CQ43" s="105">
        <v>8591.2647434009323</v>
      </c>
      <c r="CR43" s="105">
        <v>3.8325438352395764</v>
      </c>
      <c r="CS43" s="105">
        <v>3918.3928171489429</v>
      </c>
      <c r="CT43" s="105">
        <v>0.91089268315807503</v>
      </c>
      <c r="CU43" s="105">
        <v>931.29667926081595</v>
      </c>
    </row>
    <row r="44" spans="2:99" x14ac:dyDescent="0.25">
      <c r="C44" s="104" t="s">
        <v>209</v>
      </c>
      <c r="D44" s="105">
        <v>0</v>
      </c>
      <c r="E44" s="105">
        <v>0</v>
      </c>
      <c r="F44" s="105">
        <v>0</v>
      </c>
      <c r="G44" s="105">
        <v>0</v>
      </c>
      <c r="H44" s="105">
        <v>0</v>
      </c>
      <c r="I44" s="105">
        <v>0</v>
      </c>
      <c r="J44" s="105">
        <v>5</v>
      </c>
      <c r="K44" s="105">
        <v>5112</v>
      </c>
      <c r="L44" s="105">
        <v>5</v>
      </c>
      <c r="M44" s="105">
        <v>5112</v>
      </c>
      <c r="N44" s="105">
        <v>5</v>
      </c>
      <c r="O44" s="105">
        <v>5112</v>
      </c>
      <c r="P44" s="105">
        <v>6</v>
      </c>
      <c r="Q44" s="105">
        <v>6134.4</v>
      </c>
      <c r="R44" s="105">
        <v>6</v>
      </c>
      <c r="S44" s="105">
        <v>6134.4</v>
      </c>
      <c r="T44" s="105">
        <v>7</v>
      </c>
      <c r="U44" s="105">
        <v>7156.8</v>
      </c>
      <c r="V44" s="105">
        <v>7</v>
      </c>
      <c r="W44" s="105">
        <v>7156.8</v>
      </c>
      <c r="X44" s="105">
        <v>5</v>
      </c>
      <c r="Y44" s="105">
        <v>5112</v>
      </c>
      <c r="Z44" s="105">
        <v>6</v>
      </c>
      <c r="AA44" s="105">
        <v>6134.4</v>
      </c>
      <c r="AB44" s="105">
        <v>6</v>
      </c>
      <c r="AC44" s="105">
        <v>6134.4</v>
      </c>
      <c r="AD44" s="105">
        <v>5</v>
      </c>
      <c r="AE44" s="105">
        <v>5112</v>
      </c>
      <c r="AF44" s="105">
        <v>6</v>
      </c>
      <c r="AG44" s="105">
        <v>6134.4</v>
      </c>
      <c r="AH44" s="105">
        <v>6</v>
      </c>
      <c r="AI44" s="105">
        <v>6134.4</v>
      </c>
      <c r="AJ44" s="105">
        <v>12</v>
      </c>
      <c r="AK44" s="105">
        <v>12268.8</v>
      </c>
      <c r="AL44" s="105">
        <v>10</v>
      </c>
      <c r="AM44" s="105">
        <v>10224</v>
      </c>
      <c r="AN44" s="105">
        <v>13</v>
      </c>
      <c r="AO44" s="105">
        <v>13291.199999999999</v>
      </c>
      <c r="AP44" s="105">
        <v>8</v>
      </c>
      <c r="AQ44" s="105">
        <v>8179.2</v>
      </c>
      <c r="AR44" s="105">
        <v>14</v>
      </c>
      <c r="AS44" s="105">
        <v>14313.6</v>
      </c>
      <c r="AT44" s="105">
        <v>10</v>
      </c>
      <c r="AU44" s="105">
        <v>10224</v>
      </c>
      <c r="AV44" s="105">
        <v>11</v>
      </c>
      <c r="AW44" s="105">
        <v>11246.4</v>
      </c>
      <c r="AX44" s="105">
        <v>10</v>
      </c>
      <c r="AY44" s="105">
        <v>10224</v>
      </c>
      <c r="AZ44" s="105">
        <v>11</v>
      </c>
      <c r="BA44" s="105">
        <v>11246.4</v>
      </c>
      <c r="BB44" s="105">
        <v>12</v>
      </c>
      <c r="BC44" s="105">
        <v>12268.8</v>
      </c>
      <c r="BD44" s="105">
        <v>12</v>
      </c>
      <c r="BE44" s="105">
        <v>12268.8</v>
      </c>
      <c r="BF44" s="105">
        <v>11</v>
      </c>
      <c r="BG44" s="105">
        <v>11246.4</v>
      </c>
      <c r="BH44" s="105">
        <v>25</v>
      </c>
      <c r="BI44" s="105">
        <v>25560</v>
      </c>
      <c r="BJ44" s="105">
        <v>13</v>
      </c>
      <c r="BK44" s="105">
        <v>13291.199999999999</v>
      </c>
      <c r="BL44" s="105">
        <v>13</v>
      </c>
      <c r="BM44" s="105">
        <v>13291.199999999999</v>
      </c>
      <c r="BN44" s="105">
        <v>19</v>
      </c>
      <c r="BO44" s="105">
        <v>19425.599999999999</v>
      </c>
      <c r="BP44" s="105">
        <v>23</v>
      </c>
      <c r="BQ44" s="105">
        <v>23515.200000000001</v>
      </c>
      <c r="BR44" s="105">
        <v>22</v>
      </c>
      <c r="BS44" s="105">
        <v>22492.799999999999</v>
      </c>
      <c r="BT44" s="105">
        <v>29</v>
      </c>
      <c r="BU44" s="105">
        <v>29649.599999999999</v>
      </c>
      <c r="BV44" s="105">
        <v>19</v>
      </c>
      <c r="BW44" s="105">
        <v>19425.599999999999</v>
      </c>
      <c r="BX44" s="105">
        <v>34</v>
      </c>
      <c r="BY44" s="105">
        <v>34761.599999999999</v>
      </c>
      <c r="BZ44" s="105">
        <v>40</v>
      </c>
      <c r="CA44" s="105">
        <v>40896</v>
      </c>
      <c r="CB44" s="105">
        <v>38.127441927511263</v>
      </c>
      <c r="CC44" s="105">
        <v>38981.496626687513</v>
      </c>
      <c r="CD44" s="105">
        <v>10.320696653239157</v>
      </c>
      <c r="CE44" s="105">
        <v>10551.880258271714</v>
      </c>
      <c r="CF44" s="105">
        <v>10.989518750417782</v>
      </c>
      <c r="CG44" s="105">
        <v>11235.683970427139</v>
      </c>
      <c r="CH44" s="105">
        <v>0.56532244501940498</v>
      </c>
      <c r="CI44" s="105">
        <v>577.98566778783959</v>
      </c>
      <c r="CJ44" s="105">
        <v>7.6849993574751396</v>
      </c>
      <c r="CK44" s="105">
        <v>7857.1433430825828</v>
      </c>
      <c r="CL44" s="105">
        <v>3.122807827502482</v>
      </c>
      <c r="CM44" s="105">
        <v>3192.7587228385373</v>
      </c>
      <c r="CN44" s="105">
        <v>14.532914301525048</v>
      </c>
      <c r="CO44" s="105">
        <v>14858.45158187921</v>
      </c>
      <c r="CP44" s="105">
        <v>8.6927966077797993</v>
      </c>
      <c r="CQ44" s="105">
        <v>8887.515251794066</v>
      </c>
      <c r="CR44" s="105">
        <v>3.7245848539652222</v>
      </c>
      <c r="CS44" s="105">
        <v>3808.0155546940432</v>
      </c>
      <c r="CT44" s="105">
        <v>0.93027337854441694</v>
      </c>
      <c r="CU44" s="105">
        <v>951.11150222381184</v>
      </c>
    </row>
    <row r="45" spans="2:99" x14ac:dyDescent="0.25">
      <c r="C45" s="104" t="s">
        <v>210</v>
      </c>
      <c r="D45" s="105">
        <v>0</v>
      </c>
      <c r="E45" s="105">
        <v>0</v>
      </c>
      <c r="F45" s="105">
        <v>0</v>
      </c>
      <c r="G45" s="105">
        <v>0</v>
      </c>
      <c r="H45" s="105">
        <v>0</v>
      </c>
      <c r="I45" s="105">
        <v>0</v>
      </c>
      <c r="J45" s="105">
        <v>4</v>
      </c>
      <c r="K45" s="105">
        <v>4996.8</v>
      </c>
      <c r="L45" s="105">
        <v>6</v>
      </c>
      <c r="M45" s="105">
        <v>7495.2000000000007</v>
      </c>
      <c r="N45" s="105">
        <v>4</v>
      </c>
      <c r="O45" s="105">
        <v>4996.8</v>
      </c>
      <c r="P45" s="105">
        <v>5</v>
      </c>
      <c r="Q45" s="105">
        <v>6246</v>
      </c>
      <c r="R45" s="105">
        <v>5</v>
      </c>
      <c r="S45" s="105">
        <v>6246</v>
      </c>
      <c r="T45" s="105">
        <v>7</v>
      </c>
      <c r="U45" s="105">
        <v>8744.4</v>
      </c>
      <c r="V45" s="105">
        <v>7</v>
      </c>
      <c r="W45" s="105">
        <v>8744.4</v>
      </c>
      <c r="X45" s="105">
        <v>5</v>
      </c>
      <c r="Y45" s="105">
        <v>6246</v>
      </c>
      <c r="Z45" s="105">
        <v>6</v>
      </c>
      <c r="AA45" s="105">
        <v>7495.2000000000007</v>
      </c>
      <c r="AB45" s="105">
        <v>6</v>
      </c>
      <c r="AC45" s="105">
        <v>7495.2000000000007</v>
      </c>
      <c r="AD45" s="105">
        <v>6</v>
      </c>
      <c r="AE45" s="105">
        <v>7495.2000000000007</v>
      </c>
      <c r="AF45" s="105">
        <v>7</v>
      </c>
      <c r="AG45" s="105">
        <v>8744.4</v>
      </c>
      <c r="AH45" s="105">
        <v>7</v>
      </c>
      <c r="AI45" s="105">
        <v>8744.4</v>
      </c>
      <c r="AJ45" s="105">
        <v>11</v>
      </c>
      <c r="AK45" s="105">
        <v>13741.2</v>
      </c>
      <c r="AL45" s="105">
        <v>10</v>
      </c>
      <c r="AM45" s="105">
        <v>12492</v>
      </c>
      <c r="AN45" s="105">
        <v>11</v>
      </c>
      <c r="AO45" s="105">
        <v>13741.2</v>
      </c>
      <c r="AP45" s="105">
        <v>7</v>
      </c>
      <c r="AQ45" s="105">
        <v>8744.4</v>
      </c>
      <c r="AR45" s="105">
        <v>11</v>
      </c>
      <c r="AS45" s="105">
        <v>13741.2</v>
      </c>
      <c r="AT45" s="105">
        <v>11</v>
      </c>
      <c r="AU45" s="105">
        <v>13741.2</v>
      </c>
      <c r="AV45" s="105">
        <v>12</v>
      </c>
      <c r="AW45" s="105">
        <v>14990.400000000001</v>
      </c>
      <c r="AX45" s="105">
        <v>10</v>
      </c>
      <c r="AY45" s="105">
        <v>12492</v>
      </c>
      <c r="AZ45" s="105">
        <v>10</v>
      </c>
      <c r="BA45" s="105">
        <v>12492</v>
      </c>
      <c r="BB45" s="105">
        <v>13</v>
      </c>
      <c r="BC45" s="105">
        <v>16239.6</v>
      </c>
      <c r="BD45" s="105">
        <v>11</v>
      </c>
      <c r="BE45" s="105">
        <v>13741.2</v>
      </c>
      <c r="BF45" s="105">
        <v>11</v>
      </c>
      <c r="BG45" s="105">
        <v>13741.2</v>
      </c>
      <c r="BH45" s="105">
        <v>23</v>
      </c>
      <c r="BI45" s="105">
        <v>28731.600000000002</v>
      </c>
      <c r="BJ45" s="105">
        <v>12</v>
      </c>
      <c r="BK45" s="105">
        <v>14990.400000000001</v>
      </c>
      <c r="BL45" s="105">
        <v>15</v>
      </c>
      <c r="BM45" s="105">
        <v>18738</v>
      </c>
      <c r="BN45" s="105">
        <v>17</v>
      </c>
      <c r="BO45" s="105">
        <v>21236.400000000001</v>
      </c>
      <c r="BP45" s="105">
        <v>21</v>
      </c>
      <c r="BQ45" s="105">
        <v>26233.200000000001</v>
      </c>
      <c r="BR45" s="105">
        <v>24</v>
      </c>
      <c r="BS45" s="105">
        <v>29980.800000000003</v>
      </c>
      <c r="BT45" s="105">
        <v>26</v>
      </c>
      <c r="BU45" s="105">
        <v>32479.200000000001</v>
      </c>
      <c r="BV45" s="105">
        <v>18</v>
      </c>
      <c r="BW45" s="105">
        <v>22485.600000000002</v>
      </c>
      <c r="BX45" s="105">
        <v>33</v>
      </c>
      <c r="BY45" s="105">
        <v>41223.599999999999</v>
      </c>
      <c r="BZ45" s="105">
        <v>42</v>
      </c>
      <c r="CA45" s="105">
        <v>52466.400000000001</v>
      </c>
      <c r="CB45" s="105">
        <v>38.99397469859106</v>
      </c>
      <c r="CC45" s="105">
        <v>48711.273193479952</v>
      </c>
      <c r="CD45" s="105">
        <v>10.320696653239157</v>
      </c>
      <c r="CE45" s="105">
        <v>12892.614259226355</v>
      </c>
      <c r="CF45" s="105">
        <v>9.8014626692915332</v>
      </c>
      <c r="CG45" s="105">
        <v>12243.987166478984</v>
      </c>
      <c r="CH45" s="105">
        <v>0.6374912677878396</v>
      </c>
      <c r="CI45" s="105">
        <v>796.35409172056927</v>
      </c>
      <c r="CJ45" s="105">
        <v>7.3647910509136754</v>
      </c>
      <c r="CK45" s="105">
        <v>9200.0969808013633</v>
      </c>
      <c r="CL45" s="105">
        <v>3.411956700419378</v>
      </c>
      <c r="CM45" s="105">
        <v>4262.2163101638871</v>
      </c>
      <c r="CN45" s="105">
        <v>14.390434749549312</v>
      </c>
      <c r="CO45" s="105">
        <v>17976.531089137003</v>
      </c>
      <c r="CP45" s="105">
        <v>8.6927966077797993</v>
      </c>
      <c r="CQ45" s="105">
        <v>10859.041522438525</v>
      </c>
      <c r="CR45" s="105">
        <v>3.6706053633280451</v>
      </c>
      <c r="CS45" s="105">
        <v>4585.3202198693944</v>
      </c>
      <c r="CT45" s="105">
        <v>0.84306024930587786</v>
      </c>
      <c r="CU45" s="105">
        <v>1053.1508634329027</v>
      </c>
    </row>
    <row r="46" spans="2:99" x14ac:dyDescent="0.25">
      <c r="C46" s="104" t="s">
        <v>211</v>
      </c>
      <c r="D46" s="105">
        <v>0</v>
      </c>
      <c r="E46" s="105">
        <v>0</v>
      </c>
      <c r="F46" s="105">
        <v>0</v>
      </c>
      <c r="G46" s="105">
        <v>0</v>
      </c>
      <c r="H46" s="105">
        <v>0</v>
      </c>
      <c r="I46" s="105">
        <v>0</v>
      </c>
      <c r="J46" s="105">
        <v>4</v>
      </c>
      <c r="K46" s="105">
        <v>4848</v>
      </c>
      <c r="L46" s="105">
        <v>5</v>
      </c>
      <c r="M46" s="105">
        <v>6060</v>
      </c>
      <c r="N46" s="105">
        <v>4</v>
      </c>
      <c r="O46" s="105">
        <v>4848</v>
      </c>
      <c r="P46" s="105">
        <v>5</v>
      </c>
      <c r="Q46" s="105">
        <v>6060</v>
      </c>
      <c r="R46" s="105">
        <v>5</v>
      </c>
      <c r="S46" s="105">
        <v>6060</v>
      </c>
      <c r="T46" s="105">
        <v>7</v>
      </c>
      <c r="U46" s="105">
        <v>8484</v>
      </c>
      <c r="V46" s="105">
        <v>7</v>
      </c>
      <c r="W46" s="105">
        <v>8484</v>
      </c>
      <c r="X46" s="105">
        <v>5</v>
      </c>
      <c r="Y46" s="105">
        <v>6060</v>
      </c>
      <c r="Z46" s="105">
        <v>6</v>
      </c>
      <c r="AA46" s="105">
        <v>7272</v>
      </c>
      <c r="AB46" s="105">
        <v>7</v>
      </c>
      <c r="AC46" s="105">
        <v>8484</v>
      </c>
      <c r="AD46" s="105">
        <v>5</v>
      </c>
      <c r="AE46" s="105">
        <v>6060</v>
      </c>
      <c r="AF46" s="105">
        <v>6</v>
      </c>
      <c r="AG46" s="105">
        <v>7272</v>
      </c>
      <c r="AH46" s="105">
        <v>6</v>
      </c>
      <c r="AI46" s="105">
        <v>7272</v>
      </c>
      <c r="AJ46" s="105">
        <v>12</v>
      </c>
      <c r="AK46" s="105">
        <v>14544</v>
      </c>
      <c r="AL46" s="105">
        <v>9</v>
      </c>
      <c r="AM46" s="105">
        <v>10908</v>
      </c>
      <c r="AN46" s="105">
        <v>12</v>
      </c>
      <c r="AO46" s="105">
        <v>14544</v>
      </c>
      <c r="AP46" s="105">
        <v>7</v>
      </c>
      <c r="AQ46" s="105">
        <v>8484</v>
      </c>
      <c r="AR46" s="105">
        <v>13</v>
      </c>
      <c r="AS46" s="105">
        <v>15756</v>
      </c>
      <c r="AT46" s="105">
        <v>10</v>
      </c>
      <c r="AU46" s="105">
        <v>12120</v>
      </c>
      <c r="AV46" s="105">
        <v>13</v>
      </c>
      <c r="AW46" s="105">
        <v>15756</v>
      </c>
      <c r="AX46" s="105">
        <v>8</v>
      </c>
      <c r="AY46" s="105">
        <v>9696</v>
      </c>
      <c r="AZ46" s="105">
        <v>11</v>
      </c>
      <c r="BA46" s="105">
        <v>13332</v>
      </c>
      <c r="BB46" s="105">
        <v>13</v>
      </c>
      <c r="BC46" s="105">
        <v>15756</v>
      </c>
      <c r="BD46" s="105">
        <v>12</v>
      </c>
      <c r="BE46" s="105">
        <v>14544</v>
      </c>
      <c r="BF46" s="105">
        <v>10</v>
      </c>
      <c r="BG46" s="105">
        <v>12120</v>
      </c>
      <c r="BH46" s="105">
        <v>25</v>
      </c>
      <c r="BI46" s="105">
        <v>30300</v>
      </c>
      <c r="BJ46" s="105">
        <v>12</v>
      </c>
      <c r="BK46" s="105">
        <v>14544</v>
      </c>
      <c r="BL46" s="105">
        <v>12</v>
      </c>
      <c r="BM46" s="105">
        <v>14544</v>
      </c>
      <c r="BN46" s="105">
        <v>17</v>
      </c>
      <c r="BO46" s="105">
        <v>20604</v>
      </c>
      <c r="BP46" s="105">
        <v>23</v>
      </c>
      <c r="BQ46" s="105">
        <v>27876</v>
      </c>
      <c r="BR46" s="105">
        <v>22</v>
      </c>
      <c r="BS46" s="105">
        <v>26664</v>
      </c>
      <c r="BT46" s="105">
        <v>28</v>
      </c>
      <c r="BU46" s="105">
        <v>33936</v>
      </c>
      <c r="BV46" s="105">
        <v>21</v>
      </c>
      <c r="BW46" s="105">
        <v>25452</v>
      </c>
      <c r="BX46" s="105">
        <v>33</v>
      </c>
      <c r="BY46" s="105">
        <v>39996</v>
      </c>
      <c r="BZ46" s="105">
        <v>39</v>
      </c>
      <c r="CA46" s="105">
        <v>47268</v>
      </c>
      <c r="CB46" s="105">
        <v>38.127441927511263</v>
      </c>
      <c r="CC46" s="105">
        <v>46210.459616143649</v>
      </c>
      <c r="CD46" s="105">
        <v>12.456013202185188</v>
      </c>
      <c r="CE46" s="105">
        <v>15096.688001048447</v>
      </c>
      <c r="CF46" s="105">
        <v>9.8014626692915332</v>
      </c>
      <c r="CG46" s="105">
        <v>11879.372755181339</v>
      </c>
      <c r="CH46" s="105">
        <v>0.57735058214747736</v>
      </c>
      <c r="CI46" s="105">
        <v>699.74890556274261</v>
      </c>
      <c r="CJ46" s="105">
        <v>7.7917354596622941</v>
      </c>
      <c r="CK46" s="105">
        <v>9443.5833771107009</v>
      </c>
      <c r="CL46" s="105">
        <v>3.5276162495861367</v>
      </c>
      <c r="CM46" s="105">
        <v>4275.4708944983977</v>
      </c>
      <c r="CN46" s="105">
        <v>14.532914301525048</v>
      </c>
      <c r="CO46" s="105">
        <v>17613.89213344836</v>
      </c>
      <c r="CP46" s="105">
        <v>8.9825564947057934</v>
      </c>
      <c r="CQ46" s="105">
        <v>10886.858471583422</v>
      </c>
      <c r="CR46" s="105">
        <v>3.2927489288678053</v>
      </c>
      <c r="CS46" s="105">
        <v>3990.8117017877803</v>
      </c>
      <c r="CT46" s="105">
        <v>0.86244094469221988</v>
      </c>
      <c r="CU46" s="105">
        <v>1045.2784249669705</v>
      </c>
    </row>
    <row r="47" spans="2:99" x14ac:dyDescent="0.25">
      <c r="C47" s="104" t="s">
        <v>212</v>
      </c>
      <c r="D47" s="105">
        <v>0</v>
      </c>
      <c r="E47" s="105">
        <v>0</v>
      </c>
      <c r="F47" s="105">
        <v>0</v>
      </c>
      <c r="G47" s="105">
        <v>0</v>
      </c>
      <c r="H47" s="105">
        <v>0</v>
      </c>
      <c r="I47" s="105">
        <v>0</v>
      </c>
      <c r="J47" s="105">
        <v>4</v>
      </c>
      <c r="K47" s="105">
        <v>6110.4</v>
      </c>
      <c r="L47" s="105">
        <v>5</v>
      </c>
      <c r="M47" s="105">
        <v>7638</v>
      </c>
      <c r="N47" s="105">
        <v>4</v>
      </c>
      <c r="O47" s="105">
        <v>6110.4</v>
      </c>
      <c r="P47" s="105">
        <v>5</v>
      </c>
      <c r="Q47" s="105">
        <v>7638</v>
      </c>
      <c r="R47" s="105">
        <v>5</v>
      </c>
      <c r="S47" s="105">
        <v>7638</v>
      </c>
      <c r="T47" s="105">
        <v>7</v>
      </c>
      <c r="U47" s="105">
        <v>10693.199999999999</v>
      </c>
      <c r="V47" s="105">
        <v>7</v>
      </c>
      <c r="W47" s="105">
        <v>10693.199999999999</v>
      </c>
      <c r="X47" s="105">
        <v>5</v>
      </c>
      <c r="Y47" s="105">
        <v>7638</v>
      </c>
      <c r="Z47" s="105">
        <v>6</v>
      </c>
      <c r="AA47" s="105">
        <v>9165.5999999999985</v>
      </c>
      <c r="AB47" s="105">
        <v>6</v>
      </c>
      <c r="AC47" s="105">
        <v>9165.5999999999985</v>
      </c>
      <c r="AD47" s="105">
        <v>5</v>
      </c>
      <c r="AE47" s="105">
        <v>7638</v>
      </c>
      <c r="AF47" s="105">
        <v>6</v>
      </c>
      <c r="AG47" s="105">
        <v>9165.5999999999985</v>
      </c>
      <c r="AH47" s="105">
        <v>6</v>
      </c>
      <c r="AI47" s="105">
        <v>9165.5999999999985</v>
      </c>
      <c r="AJ47" s="105">
        <v>12</v>
      </c>
      <c r="AK47" s="105">
        <v>18331.199999999997</v>
      </c>
      <c r="AL47" s="105">
        <v>10</v>
      </c>
      <c r="AM47" s="105">
        <v>15276</v>
      </c>
      <c r="AN47" s="105">
        <v>10</v>
      </c>
      <c r="AO47" s="105">
        <v>15276</v>
      </c>
      <c r="AP47" s="105">
        <v>9</v>
      </c>
      <c r="AQ47" s="105">
        <v>13748.4</v>
      </c>
      <c r="AR47" s="105">
        <v>11</v>
      </c>
      <c r="AS47" s="105">
        <v>16803.599999999999</v>
      </c>
      <c r="AT47" s="105">
        <v>9</v>
      </c>
      <c r="AU47" s="105">
        <v>13748.4</v>
      </c>
      <c r="AV47" s="105">
        <v>12</v>
      </c>
      <c r="AW47" s="105">
        <v>18331.199999999997</v>
      </c>
      <c r="AX47" s="105">
        <v>10</v>
      </c>
      <c r="AY47" s="105">
        <v>15276</v>
      </c>
      <c r="AZ47" s="105">
        <v>11</v>
      </c>
      <c r="BA47" s="105">
        <v>16803.599999999999</v>
      </c>
      <c r="BB47" s="105">
        <v>12</v>
      </c>
      <c r="BC47" s="105">
        <v>18331.199999999997</v>
      </c>
      <c r="BD47" s="105">
        <v>12</v>
      </c>
      <c r="BE47" s="105">
        <v>18331.199999999997</v>
      </c>
      <c r="BF47" s="105">
        <v>10</v>
      </c>
      <c r="BG47" s="105">
        <v>15276</v>
      </c>
      <c r="BH47" s="105">
        <v>24</v>
      </c>
      <c r="BI47" s="105">
        <v>36662.399999999994</v>
      </c>
      <c r="BJ47" s="105">
        <v>13</v>
      </c>
      <c r="BK47" s="105">
        <v>19858.8</v>
      </c>
      <c r="BL47" s="105">
        <v>13</v>
      </c>
      <c r="BM47" s="105">
        <v>19858.8</v>
      </c>
      <c r="BN47" s="105">
        <v>17</v>
      </c>
      <c r="BO47" s="105">
        <v>25969.199999999997</v>
      </c>
      <c r="BP47" s="105">
        <v>19</v>
      </c>
      <c r="BQ47" s="105">
        <v>29024.399999999998</v>
      </c>
      <c r="BR47" s="105">
        <v>20</v>
      </c>
      <c r="BS47" s="105">
        <v>30552</v>
      </c>
      <c r="BT47" s="105">
        <v>26</v>
      </c>
      <c r="BU47" s="105">
        <v>39717.599999999999</v>
      </c>
      <c r="BV47" s="105">
        <v>20</v>
      </c>
      <c r="BW47" s="105">
        <v>30552</v>
      </c>
      <c r="BX47" s="105">
        <v>30</v>
      </c>
      <c r="BY47" s="105">
        <v>45828</v>
      </c>
      <c r="BZ47" s="105">
        <v>44</v>
      </c>
      <c r="CA47" s="105">
        <v>67214.399999999994</v>
      </c>
      <c r="CB47" s="105">
        <v>37.260909156431467</v>
      </c>
      <c r="CC47" s="105">
        <v>56919.764827364706</v>
      </c>
      <c r="CD47" s="105">
        <v>9.9648105617481519</v>
      </c>
      <c r="CE47" s="105">
        <v>15222.244614126475</v>
      </c>
      <c r="CF47" s="105">
        <v>10.098476689573095</v>
      </c>
      <c r="CG47" s="105">
        <v>15426.43299099186</v>
      </c>
      <c r="CH47" s="105">
        <v>0.60140685640362235</v>
      </c>
      <c r="CI47" s="105">
        <v>918.70911384217345</v>
      </c>
      <c r="CJ47" s="105">
        <v>7.3647910509136754</v>
      </c>
      <c r="CK47" s="105">
        <v>11250.454809375729</v>
      </c>
      <c r="CL47" s="105">
        <v>3.1806376020858615</v>
      </c>
      <c r="CM47" s="105">
        <v>4858.7420009463622</v>
      </c>
      <c r="CN47" s="105">
        <v>14.247955197573578</v>
      </c>
      <c r="CO47" s="105">
        <v>21765.176359813395</v>
      </c>
      <c r="CP47" s="105">
        <v>8.7893832367551301</v>
      </c>
      <c r="CQ47" s="105">
        <v>13426.661832467136</v>
      </c>
      <c r="CR47" s="105">
        <v>3.346728419504982</v>
      </c>
      <c r="CS47" s="105">
        <v>5112.46233363581</v>
      </c>
      <c r="CT47" s="105">
        <v>0.78491816314685181</v>
      </c>
      <c r="CU47" s="105">
        <v>1199.0409860231307</v>
      </c>
    </row>
    <row r="48" spans="2:99" x14ac:dyDescent="0.25">
      <c r="C48" s="104" t="s">
        <v>213</v>
      </c>
      <c r="D48" s="105">
        <v>0</v>
      </c>
      <c r="E48" s="105">
        <v>0</v>
      </c>
      <c r="F48" s="105">
        <v>0</v>
      </c>
      <c r="G48" s="105">
        <v>0</v>
      </c>
      <c r="H48" s="105">
        <v>0</v>
      </c>
      <c r="I48" s="105">
        <v>0</v>
      </c>
      <c r="J48" s="105">
        <v>5</v>
      </c>
      <c r="K48" s="105">
        <v>4338</v>
      </c>
      <c r="L48" s="105">
        <v>6</v>
      </c>
      <c r="M48" s="105">
        <v>5205.6000000000004</v>
      </c>
      <c r="N48" s="105">
        <v>4</v>
      </c>
      <c r="O48" s="105">
        <v>3470.4</v>
      </c>
      <c r="P48" s="105">
        <v>6</v>
      </c>
      <c r="Q48" s="105">
        <v>5205.6000000000004</v>
      </c>
      <c r="R48" s="105">
        <v>5</v>
      </c>
      <c r="S48" s="105">
        <v>4338</v>
      </c>
      <c r="T48" s="105">
        <v>7</v>
      </c>
      <c r="U48" s="105">
        <v>6073.2</v>
      </c>
      <c r="V48" s="105">
        <v>7</v>
      </c>
      <c r="W48" s="105">
        <v>6073.2</v>
      </c>
      <c r="X48" s="105">
        <v>6</v>
      </c>
      <c r="Y48" s="105">
        <v>5205.6000000000004</v>
      </c>
      <c r="Z48" s="105">
        <v>7</v>
      </c>
      <c r="AA48" s="105">
        <v>6073.2</v>
      </c>
      <c r="AB48" s="105">
        <v>7</v>
      </c>
      <c r="AC48" s="105">
        <v>6073.2</v>
      </c>
      <c r="AD48" s="105">
        <v>5</v>
      </c>
      <c r="AE48" s="105">
        <v>4338</v>
      </c>
      <c r="AF48" s="105">
        <v>7</v>
      </c>
      <c r="AG48" s="105">
        <v>6073.2</v>
      </c>
      <c r="AH48" s="105">
        <v>6</v>
      </c>
      <c r="AI48" s="105">
        <v>5205.6000000000004</v>
      </c>
      <c r="AJ48" s="105">
        <v>11</v>
      </c>
      <c r="AK48" s="105">
        <v>9543.6</v>
      </c>
      <c r="AL48" s="105">
        <v>10</v>
      </c>
      <c r="AM48" s="105">
        <v>8676</v>
      </c>
      <c r="AN48" s="105">
        <v>12</v>
      </c>
      <c r="AO48" s="105">
        <v>10411.200000000001</v>
      </c>
      <c r="AP48" s="105">
        <v>9</v>
      </c>
      <c r="AQ48" s="105">
        <v>7808.4000000000005</v>
      </c>
      <c r="AR48" s="105">
        <v>12</v>
      </c>
      <c r="AS48" s="105">
        <v>10411.200000000001</v>
      </c>
      <c r="AT48" s="105">
        <v>10</v>
      </c>
      <c r="AU48" s="105">
        <v>8676</v>
      </c>
      <c r="AV48" s="105">
        <v>11</v>
      </c>
      <c r="AW48" s="105">
        <v>9543.6</v>
      </c>
      <c r="AX48" s="105">
        <v>9</v>
      </c>
      <c r="AY48" s="105">
        <v>7808.4000000000005</v>
      </c>
      <c r="AZ48" s="105">
        <v>11</v>
      </c>
      <c r="BA48" s="105">
        <v>9543.6</v>
      </c>
      <c r="BB48" s="105">
        <v>13</v>
      </c>
      <c r="BC48" s="105">
        <v>11278.800000000001</v>
      </c>
      <c r="BD48" s="105">
        <v>12</v>
      </c>
      <c r="BE48" s="105">
        <v>10411.200000000001</v>
      </c>
      <c r="BF48" s="105">
        <v>11</v>
      </c>
      <c r="BG48" s="105">
        <v>9543.6</v>
      </c>
      <c r="BH48" s="105">
        <v>24</v>
      </c>
      <c r="BI48" s="105">
        <v>20822.400000000001</v>
      </c>
      <c r="BJ48" s="105">
        <v>14</v>
      </c>
      <c r="BK48" s="105">
        <v>12146.4</v>
      </c>
      <c r="BL48" s="105">
        <v>13</v>
      </c>
      <c r="BM48" s="105">
        <v>11278.800000000001</v>
      </c>
      <c r="BN48" s="105">
        <v>17</v>
      </c>
      <c r="BO48" s="105">
        <v>14749.2</v>
      </c>
      <c r="BP48" s="105">
        <v>24</v>
      </c>
      <c r="BQ48" s="105">
        <v>20822.400000000001</v>
      </c>
      <c r="BR48" s="105">
        <v>25</v>
      </c>
      <c r="BS48" s="105">
        <v>21690</v>
      </c>
      <c r="BT48" s="105">
        <v>30</v>
      </c>
      <c r="BU48" s="105">
        <v>26028</v>
      </c>
      <c r="BV48" s="105">
        <v>22</v>
      </c>
      <c r="BW48" s="105">
        <v>19087.2</v>
      </c>
      <c r="BX48" s="105">
        <v>33</v>
      </c>
      <c r="BY48" s="105">
        <v>28630.799999999999</v>
      </c>
      <c r="BZ48" s="105">
        <v>47</v>
      </c>
      <c r="CA48" s="105">
        <v>40777.200000000004</v>
      </c>
      <c r="CB48" s="105">
        <v>40.727040240750661</v>
      </c>
      <c r="CC48" s="105">
        <v>35334.780112875276</v>
      </c>
      <c r="CD48" s="105">
        <v>10.676582744730162</v>
      </c>
      <c r="CE48" s="105">
        <v>9263.0031893278883</v>
      </c>
      <c r="CF48" s="105">
        <v>11.583546790980906</v>
      </c>
      <c r="CG48" s="105">
        <v>10049.885195855035</v>
      </c>
      <c r="CH48" s="105">
        <v>0.66154754204398458</v>
      </c>
      <c r="CI48" s="105">
        <v>573.95864747736107</v>
      </c>
      <c r="CJ48" s="105">
        <v>7.7917354596622941</v>
      </c>
      <c r="CK48" s="105">
        <v>6760.1096848030065</v>
      </c>
      <c r="CL48" s="105">
        <v>3.2962971512526198</v>
      </c>
      <c r="CM48" s="105">
        <v>2859.8674084267732</v>
      </c>
      <c r="CN48" s="105">
        <v>14.247955197573578</v>
      </c>
      <c r="CO48" s="105">
        <v>12361.525929414836</v>
      </c>
      <c r="CP48" s="105">
        <v>8.6927966077797993</v>
      </c>
      <c r="CQ48" s="105">
        <v>7541.8703369097539</v>
      </c>
      <c r="CR48" s="105">
        <v>3.616625872690868</v>
      </c>
      <c r="CS48" s="105">
        <v>3137.784607146597</v>
      </c>
      <c r="CT48" s="105">
        <v>0.97872511701027209</v>
      </c>
      <c r="CU48" s="105">
        <v>849.14191151811212</v>
      </c>
    </row>
    <row r="49" spans="2:99" x14ac:dyDescent="0.25">
      <c r="B49" s="104" t="s">
        <v>129</v>
      </c>
      <c r="C49" s="104" t="s">
        <v>214</v>
      </c>
      <c r="D49" s="105">
        <v>0</v>
      </c>
      <c r="E49" s="105">
        <v>0</v>
      </c>
      <c r="F49" s="105">
        <v>0</v>
      </c>
      <c r="G49" s="105">
        <v>0</v>
      </c>
      <c r="H49" s="105">
        <v>0</v>
      </c>
      <c r="I49" s="105">
        <v>0</v>
      </c>
      <c r="J49" s="105">
        <v>2</v>
      </c>
      <c r="K49" s="105">
        <v>1970.3999999999999</v>
      </c>
      <c r="L49" s="105">
        <v>4</v>
      </c>
      <c r="M49" s="105">
        <v>3940.7999999999997</v>
      </c>
      <c r="N49" s="105">
        <v>4</v>
      </c>
      <c r="O49" s="105">
        <v>3940.7999999999997</v>
      </c>
      <c r="P49" s="105">
        <v>3</v>
      </c>
      <c r="Q49" s="105">
        <v>2955.6</v>
      </c>
      <c r="R49" s="105">
        <v>4</v>
      </c>
      <c r="S49" s="105">
        <v>3940.7999999999997</v>
      </c>
      <c r="T49" s="105">
        <v>3</v>
      </c>
      <c r="U49" s="105">
        <v>2955.6</v>
      </c>
      <c r="V49" s="105">
        <v>5</v>
      </c>
      <c r="W49" s="105">
        <v>4926</v>
      </c>
      <c r="X49" s="105">
        <v>5</v>
      </c>
      <c r="Y49" s="105">
        <v>4926</v>
      </c>
      <c r="Z49" s="105">
        <v>5</v>
      </c>
      <c r="AA49" s="105">
        <v>4926</v>
      </c>
      <c r="AB49" s="105">
        <v>7</v>
      </c>
      <c r="AC49" s="105">
        <v>6896.4</v>
      </c>
      <c r="AD49" s="105">
        <v>5</v>
      </c>
      <c r="AE49" s="105">
        <v>4926</v>
      </c>
      <c r="AF49" s="105">
        <v>5</v>
      </c>
      <c r="AG49" s="105">
        <v>4926</v>
      </c>
      <c r="AH49" s="105">
        <v>6</v>
      </c>
      <c r="AI49" s="105">
        <v>5911.2</v>
      </c>
      <c r="AJ49" s="105">
        <v>9</v>
      </c>
      <c r="AK49" s="105">
        <v>8866.7999999999993</v>
      </c>
      <c r="AL49" s="105">
        <v>7</v>
      </c>
      <c r="AM49" s="105">
        <v>6896.4</v>
      </c>
      <c r="AN49" s="105">
        <v>7</v>
      </c>
      <c r="AO49" s="105">
        <v>6896.4</v>
      </c>
      <c r="AP49" s="105">
        <v>6</v>
      </c>
      <c r="AQ49" s="105">
        <v>5911.2</v>
      </c>
      <c r="AR49" s="105">
        <v>10</v>
      </c>
      <c r="AS49" s="105">
        <v>9852</v>
      </c>
      <c r="AT49" s="105">
        <v>8</v>
      </c>
      <c r="AU49" s="105">
        <v>7881.5999999999995</v>
      </c>
      <c r="AV49" s="105">
        <v>9</v>
      </c>
      <c r="AW49" s="105">
        <v>8866.7999999999993</v>
      </c>
      <c r="AX49" s="105">
        <v>11</v>
      </c>
      <c r="AY49" s="105">
        <v>10837.199999999999</v>
      </c>
      <c r="AZ49" s="105">
        <v>11</v>
      </c>
      <c r="BA49" s="105">
        <v>10837.199999999999</v>
      </c>
      <c r="BB49" s="105">
        <v>9</v>
      </c>
      <c r="BC49" s="105">
        <v>8866.7999999999993</v>
      </c>
      <c r="BD49" s="105">
        <v>9</v>
      </c>
      <c r="BE49" s="105">
        <v>8866.7999999999993</v>
      </c>
      <c r="BF49" s="105">
        <v>8</v>
      </c>
      <c r="BG49" s="105">
        <v>7881.5999999999995</v>
      </c>
      <c r="BH49" s="105">
        <v>14</v>
      </c>
      <c r="BI49" s="105">
        <v>13792.8</v>
      </c>
      <c r="BJ49" s="105">
        <v>13</v>
      </c>
      <c r="BK49" s="105">
        <v>12807.599999999999</v>
      </c>
      <c r="BL49" s="105">
        <v>14</v>
      </c>
      <c r="BM49" s="105">
        <v>13792.8</v>
      </c>
      <c r="BN49" s="105">
        <v>17</v>
      </c>
      <c r="BO49" s="105">
        <v>16748.399999999998</v>
      </c>
      <c r="BP49" s="105">
        <v>12</v>
      </c>
      <c r="BQ49" s="105">
        <v>11822.4</v>
      </c>
      <c r="BR49" s="105">
        <v>19</v>
      </c>
      <c r="BS49" s="105">
        <v>18718.8</v>
      </c>
      <c r="BT49" s="105">
        <v>17</v>
      </c>
      <c r="BU49" s="105">
        <v>16748.399999999998</v>
      </c>
      <c r="BV49" s="105">
        <v>19</v>
      </c>
      <c r="BW49" s="105">
        <v>18718.8</v>
      </c>
      <c r="BX49" s="105">
        <v>20</v>
      </c>
      <c r="BY49" s="105">
        <v>19704</v>
      </c>
      <c r="BZ49" s="105">
        <v>26</v>
      </c>
      <c r="CA49" s="105">
        <v>25615.199999999997</v>
      </c>
      <c r="CB49" s="105">
        <v>6.7246394734117843</v>
      </c>
      <c r="CC49" s="105">
        <v>6625.114809205289</v>
      </c>
      <c r="CD49" s="105">
        <v>4.7162291440953421</v>
      </c>
      <c r="CE49" s="105">
        <v>4646.4289527627307</v>
      </c>
      <c r="CF49" s="105">
        <v>1.7349026096822995</v>
      </c>
      <c r="CG49" s="105">
        <v>1709.2260510590013</v>
      </c>
      <c r="CH49" s="105">
        <v>0.61281920600858375</v>
      </c>
      <c r="CI49" s="105">
        <v>603.74948175965665</v>
      </c>
      <c r="CJ49" s="105">
        <v>7.5649093815892092</v>
      </c>
      <c r="CK49" s="105">
        <v>7452.9487227416885</v>
      </c>
      <c r="CL49" s="105">
        <v>4.245214003398484</v>
      </c>
      <c r="CM49" s="105">
        <v>4182.384836148186</v>
      </c>
      <c r="CN49" s="105">
        <v>9.9681708729830376</v>
      </c>
      <c r="CO49" s="105">
        <v>9820.6419440628888</v>
      </c>
      <c r="CP49" s="105">
        <v>1.0904748603351955</v>
      </c>
      <c r="CQ49" s="105">
        <v>1074.3358324022345</v>
      </c>
      <c r="CR49" s="105">
        <v>5.4683076032419908</v>
      </c>
      <c r="CS49" s="105">
        <v>5387.376650714009</v>
      </c>
      <c r="CT49" s="105">
        <v>4.7031909898477169</v>
      </c>
      <c r="CU49" s="105">
        <v>4633.5837631979703</v>
      </c>
    </row>
    <row r="50" spans="2:99" x14ac:dyDescent="0.25">
      <c r="C50" s="104" t="s">
        <v>215</v>
      </c>
      <c r="D50" s="105">
        <v>0</v>
      </c>
      <c r="E50" s="105">
        <v>0</v>
      </c>
      <c r="F50" s="105">
        <v>0</v>
      </c>
      <c r="G50" s="105">
        <v>0</v>
      </c>
      <c r="H50" s="105">
        <v>0</v>
      </c>
      <c r="I50" s="105">
        <v>0</v>
      </c>
      <c r="J50" s="105">
        <v>2</v>
      </c>
      <c r="K50" s="105">
        <v>564</v>
      </c>
      <c r="L50" s="105">
        <v>5</v>
      </c>
      <c r="M50" s="105">
        <v>1410</v>
      </c>
      <c r="N50" s="105">
        <v>4</v>
      </c>
      <c r="O50" s="105">
        <v>1128</v>
      </c>
      <c r="P50" s="105">
        <v>3</v>
      </c>
      <c r="Q50" s="105">
        <v>846</v>
      </c>
      <c r="R50" s="105">
        <v>4</v>
      </c>
      <c r="S50" s="105">
        <v>1128</v>
      </c>
      <c r="T50" s="105">
        <v>3</v>
      </c>
      <c r="U50" s="105">
        <v>846</v>
      </c>
      <c r="V50" s="105">
        <v>5</v>
      </c>
      <c r="W50" s="105">
        <v>1410</v>
      </c>
      <c r="X50" s="105">
        <v>5</v>
      </c>
      <c r="Y50" s="105">
        <v>1410</v>
      </c>
      <c r="Z50" s="105">
        <v>6</v>
      </c>
      <c r="AA50" s="105">
        <v>1692</v>
      </c>
      <c r="AB50" s="105">
        <v>7</v>
      </c>
      <c r="AC50" s="105">
        <v>1974</v>
      </c>
      <c r="AD50" s="105">
        <v>5</v>
      </c>
      <c r="AE50" s="105">
        <v>1410</v>
      </c>
      <c r="AF50" s="105">
        <v>6</v>
      </c>
      <c r="AG50" s="105">
        <v>1692</v>
      </c>
      <c r="AH50" s="105">
        <v>7</v>
      </c>
      <c r="AI50" s="105">
        <v>1974</v>
      </c>
      <c r="AJ50" s="105">
        <v>9</v>
      </c>
      <c r="AK50" s="105">
        <v>2538</v>
      </c>
      <c r="AL50" s="105">
        <v>7</v>
      </c>
      <c r="AM50" s="105">
        <v>1974</v>
      </c>
      <c r="AN50" s="105">
        <v>8</v>
      </c>
      <c r="AO50" s="105">
        <v>2256</v>
      </c>
      <c r="AP50" s="105">
        <v>7</v>
      </c>
      <c r="AQ50" s="105">
        <v>1974</v>
      </c>
      <c r="AR50" s="105">
        <v>10</v>
      </c>
      <c r="AS50" s="105">
        <v>2820</v>
      </c>
      <c r="AT50" s="105">
        <v>7</v>
      </c>
      <c r="AU50" s="105">
        <v>1974</v>
      </c>
      <c r="AV50" s="105">
        <v>10</v>
      </c>
      <c r="AW50" s="105">
        <v>2820</v>
      </c>
      <c r="AX50" s="105">
        <v>11</v>
      </c>
      <c r="AY50" s="105">
        <v>3102</v>
      </c>
      <c r="AZ50" s="105">
        <v>10</v>
      </c>
      <c r="BA50" s="105">
        <v>2820</v>
      </c>
      <c r="BB50" s="105">
        <v>10</v>
      </c>
      <c r="BC50" s="105">
        <v>2820</v>
      </c>
      <c r="BD50" s="105">
        <v>9</v>
      </c>
      <c r="BE50" s="105">
        <v>2538</v>
      </c>
      <c r="BF50" s="105">
        <v>9</v>
      </c>
      <c r="BG50" s="105">
        <v>2538</v>
      </c>
      <c r="BH50" s="105">
        <v>14</v>
      </c>
      <c r="BI50" s="105">
        <v>3948</v>
      </c>
      <c r="BJ50" s="105">
        <v>15</v>
      </c>
      <c r="BK50" s="105">
        <v>4230</v>
      </c>
      <c r="BL50" s="105">
        <v>16</v>
      </c>
      <c r="BM50" s="105">
        <v>4512</v>
      </c>
      <c r="BN50" s="105">
        <v>17</v>
      </c>
      <c r="BO50" s="105">
        <v>4794</v>
      </c>
      <c r="BP50" s="105">
        <v>13</v>
      </c>
      <c r="BQ50" s="105">
        <v>3666</v>
      </c>
      <c r="BR50" s="105">
        <v>19</v>
      </c>
      <c r="BS50" s="105">
        <v>5358</v>
      </c>
      <c r="BT50" s="105">
        <v>18</v>
      </c>
      <c r="BU50" s="105">
        <v>5076</v>
      </c>
      <c r="BV50" s="105">
        <v>18</v>
      </c>
      <c r="BW50" s="105">
        <v>5076</v>
      </c>
      <c r="BX50" s="105">
        <v>20</v>
      </c>
      <c r="BY50" s="105">
        <v>5640</v>
      </c>
      <c r="BZ50" s="105">
        <v>29</v>
      </c>
      <c r="CA50" s="105">
        <v>8178</v>
      </c>
      <c r="CB50" s="105">
        <v>19.930253734835432</v>
      </c>
      <c r="CC50" s="105">
        <v>5620.331553223592</v>
      </c>
      <c r="CD50" s="105">
        <v>7.4736079213111131</v>
      </c>
      <c r="CE50" s="105">
        <v>2107.557433809734</v>
      </c>
      <c r="CF50" s="105">
        <v>7.870871537461384</v>
      </c>
      <c r="CG50" s="105">
        <v>2219.5857735641102</v>
      </c>
      <c r="CH50" s="105">
        <v>0.66154754204398458</v>
      </c>
      <c r="CI50" s="105">
        <v>186.55640685640364</v>
      </c>
      <c r="CJ50" s="105">
        <v>6.0839578246678192</v>
      </c>
      <c r="CK50" s="105">
        <v>1715.6761065563251</v>
      </c>
      <c r="CL50" s="105">
        <v>1.9083825612515166</v>
      </c>
      <c r="CM50" s="105">
        <v>538.16388227292771</v>
      </c>
      <c r="CN50" s="105">
        <v>8.2638140145926755</v>
      </c>
      <c r="CO50" s="105">
        <v>2330.3955521151347</v>
      </c>
      <c r="CP50" s="105">
        <v>7.3405838021251641</v>
      </c>
      <c r="CQ50" s="105">
        <v>2070.0446321992963</v>
      </c>
      <c r="CR50" s="105">
        <v>3.6706053633280451</v>
      </c>
      <c r="CS50" s="105">
        <v>1035.1107124585087</v>
      </c>
      <c r="CT50" s="105">
        <v>0.53296912312440559</v>
      </c>
      <c r="CU50" s="105">
        <v>150.29729272108239</v>
      </c>
    </row>
    <row r="51" spans="2:99" x14ac:dyDescent="0.25">
      <c r="C51" s="104" t="s">
        <v>216</v>
      </c>
      <c r="D51" s="105">
        <v>0</v>
      </c>
      <c r="E51" s="105">
        <v>0</v>
      </c>
      <c r="F51" s="105">
        <v>0</v>
      </c>
      <c r="G51" s="105">
        <v>0</v>
      </c>
      <c r="H51" s="105">
        <v>0</v>
      </c>
      <c r="I51" s="105">
        <v>0</v>
      </c>
      <c r="J51" s="105">
        <v>2</v>
      </c>
      <c r="K51" s="105">
        <v>1708.8</v>
      </c>
      <c r="L51" s="105">
        <v>4</v>
      </c>
      <c r="M51" s="105">
        <v>3417.6</v>
      </c>
      <c r="N51" s="105">
        <v>4</v>
      </c>
      <c r="O51" s="105">
        <v>3417.6</v>
      </c>
      <c r="P51" s="105">
        <v>3</v>
      </c>
      <c r="Q51" s="105">
        <v>2563.1999999999998</v>
      </c>
      <c r="R51" s="105">
        <v>4</v>
      </c>
      <c r="S51" s="105">
        <v>3417.6</v>
      </c>
      <c r="T51" s="105">
        <v>3</v>
      </c>
      <c r="U51" s="105">
        <v>2563.1999999999998</v>
      </c>
      <c r="V51" s="105">
        <v>5</v>
      </c>
      <c r="W51" s="105">
        <v>4272</v>
      </c>
      <c r="X51" s="105">
        <v>5</v>
      </c>
      <c r="Y51" s="105">
        <v>4272</v>
      </c>
      <c r="Z51" s="105">
        <v>6</v>
      </c>
      <c r="AA51" s="105">
        <v>5126.3999999999996</v>
      </c>
      <c r="AB51" s="105">
        <v>6</v>
      </c>
      <c r="AC51" s="105">
        <v>5126.3999999999996</v>
      </c>
      <c r="AD51" s="105">
        <v>5</v>
      </c>
      <c r="AE51" s="105">
        <v>4272</v>
      </c>
      <c r="AF51" s="105">
        <v>6</v>
      </c>
      <c r="AG51" s="105">
        <v>5126.3999999999996</v>
      </c>
      <c r="AH51" s="105">
        <v>6</v>
      </c>
      <c r="AI51" s="105">
        <v>5126.3999999999996</v>
      </c>
      <c r="AJ51" s="105">
        <v>8</v>
      </c>
      <c r="AK51" s="105">
        <v>6835.2</v>
      </c>
      <c r="AL51" s="105">
        <v>6</v>
      </c>
      <c r="AM51" s="105">
        <v>5126.3999999999996</v>
      </c>
      <c r="AN51" s="105">
        <v>8</v>
      </c>
      <c r="AO51" s="105">
        <v>6835.2</v>
      </c>
      <c r="AP51" s="105">
        <v>6</v>
      </c>
      <c r="AQ51" s="105">
        <v>5126.3999999999996</v>
      </c>
      <c r="AR51" s="105">
        <v>9</v>
      </c>
      <c r="AS51" s="105">
        <v>7689.5999999999995</v>
      </c>
      <c r="AT51" s="105">
        <v>7</v>
      </c>
      <c r="AU51" s="105">
        <v>5980.8</v>
      </c>
      <c r="AV51" s="105">
        <v>9</v>
      </c>
      <c r="AW51" s="105">
        <v>7689.5999999999995</v>
      </c>
      <c r="AX51" s="105">
        <v>10</v>
      </c>
      <c r="AY51" s="105">
        <v>8544</v>
      </c>
      <c r="AZ51" s="105">
        <v>9</v>
      </c>
      <c r="BA51" s="105">
        <v>7689.5999999999995</v>
      </c>
      <c r="BB51" s="105">
        <v>10</v>
      </c>
      <c r="BC51" s="105">
        <v>8544</v>
      </c>
      <c r="BD51" s="105">
        <v>9</v>
      </c>
      <c r="BE51" s="105">
        <v>7689.5999999999995</v>
      </c>
      <c r="BF51" s="105">
        <v>8</v>
      </c>
      <c r="BG51" s="105">
        <v>6835.2</v>
      </c>
      <c r="BH51" s="105">
        <v>14</v>
      </c>
      <c r="BI51" s="105">
        <v>11961.6</v>
      </c>
      <c r="BJ51" s="105">
        <v>15</v>
      </c>
      <c r="BK51" s="105">
        <v>12816</v>
      </c>
      <c r="BL51" s="105">
        <v>14</v>
      </c>
      <c r="BM51" s="105">
        <v>11961.6</v>
      </c>
      <c r="BN51" s="105">
        <v>15</v>
      </c>
      <c r="BO51" s="105">
        <v>12816</v>
      </c>
      <c r="BP51" s="105">
        <v>13</v>
      </c>
      <c r="BQ51" s="105">
        <v>11107.199999999999</v>
      </c>
      <c r="BR51" s="105">
        <v>19</v>
      </c>
      <c r="BS51" s="105">
        <v>16233.6</v>
      </c>
      <c r="BT51" s="105">
        <v>17</v>
      </c>
      <c r="BU51" s="105">
        <v>14524.8</v>
      </c>
      <c r="BV51" s="105">
        <v>18</v>
      </c>
      <c r="BW51" s="105">
        <v>15379.199999999999</v>
      </c>
      <c r="BX51" s="105">
        <v>18</v>
      </c>
      <c r="BY51" s="105">
        <v>15379.199999999999</v>
      </c>
      <c r="BZ51" s="105">
        <v>29</v>
      </c>
      <c r="CA51" s="105">
        <v>24777.599999999999</v>
      </c>
      <c r="CB51" s="105">
        <v>19.063720963755632</v>
      </c>
      <c r="CC51" s="105">
        <v>16288.043191432811</v>
      </c>
      <c r="CD51" s="105">
        <v>6.7618357383291023</v>
      </c>
      <c r="CE51" s="105">
        <v>5777.3124548283849</v>
      </c>
      <c r="CF51" s="105">
        <v>6.9798294766166995</v>
      </c>
      <c r="CG51" s="105">
        <v>5963.5663048213082</v>
      </c>
      <c r="CH51" s="105">
        <v>0.51720989650711513</v>
      </c>
      <c r="CI51" s="105">
        <v>441.90413557567916</v>
      </c>
      <c r="CJ51" s="105">
        <v>5.1233329049834264</v>
      </c>
      <c r="CK51" s="105">
        <v>4377.3756340178397</v>
      </c>
      <c r="CL51" s="105">
        <v>1.9083825612515166</v>
      </c>
      <c r="CM51" s="105">
        <v>1630.5220603332957</v>
      </c>
      <c r="CN51" s="105">
        <v>8.1213344626169395</v>
      </c>
      <c r="CO51" s="105">
        <v>6938.8681648599131</v>
      </c>
      <c r="CP51" s="105">
        <v>6.5678907703225153</v>
      </c>
      <c r="CQ51" s="105">
        <v>5611.605874163557</v>
      </c>
      <c r="CR51" s="105">
        <v>3.0768309663190965</v>
      </c>
      <c r="CS51" s="105">
        <v>2628.8443776230361</v>
      </c>
      <c r="CT51" s="105">
        <v>0.48451738465855054</v>
      </c>
      <c r="CU51" s="105">
        <v>413.97165345226557</v>
      </c>
    </row>
    <row r="52" spans="2:99" x14ac:dyDescent="0.25">
      <c r="C52" s="104" t="s">
        <v>217</v>
      </c>
      <c r="D52" s="105">
        <v>0</v>
      </c>
      <c r="E52" s="105">
        <v>0</v>
      </c>
      <c r="F52" s="105">
        <v>0</v>
      </c>
      <c r="G52" s="105">
        <v>0</v>
      </c>
      <c r="H52" s="105">
        <v>0</v>
      </c>
      <c r="I52" s="105">
        <v>0</v>
      </c>
      <c r="J52" s="105">
        <v>2</v>
      </c>
      <c r="K52" s="105">
        <v>1080</v>
      </c>
      <c r="L52" s="105">
        <v>5</v>
      </c>
      <c r="M52" s="105">
        <v>2700</v>
      </c>
      <c r="N52" s="105">
        <v>4</v>
      </c>
      <c r="O52" s="105">
        <v>2160</v>
      </c>
      <c r="P52" s="105">
        <v>3</v>
      </c>
      <c r="Q52" s="105">
        <v>1620</v>
      </c>
      <c r="R52" s="105">
        <v>4</v>
      </c>
      <c r="S52" s="105">
        <v>2160</v>
      </c>
      <c r="T52" s="105">
        <v>3</v>
      </c>
      <c r="U52" s="105">
        <v>1620</v>
      </c>
      <c r="V52" s="105">
        <v>5</v>
      </c>
      <c r="W52" s="105">
        <v>2700</v>
      </c>
      <c r="X52" s="105">
        <v>4</v>
      </c>
      <c r="Y52" s="105">
        <v>2160</v>
      </c>
      <c r="Z52" s="105">
        <v>6</v>
      </c>
      <c r="AA52" s="105">
        <v>3240</v>
      </c>
      <c r="AB52" s="105">
        <v>7</v>
      </c>
      <c r="AC52" s="105">
        <v>3780</v>
      </c>
      <c r="AD52" s="105">
        <v>5</v>
      </c>
      <c r="AE52" s="105">
        <v>2700</v>
      </c>
      <c r="AF52" s="105">
        <v>5</v>
      </c>
      <c r="AG52" s="105">
        <v>2700</v>
      </c>
      <c r="AH52" s="105">
        <v>6</v>
      </c>
      <c r="AI52" s="105">
        <v>3240</v>
      </c>
      <c r="AJ52" s="105">
        <v>9</v>
      </c>
      <c r="AK52" s="105">
        <v>4860</v>
      </c>
      <c r="AL52" s="105">
        <v>6</v>
      </c>
      <c r="AM52" s="105">
        <v>3240</v>
      </c>
      <c r="AN52" s="105">
        <v>8</v>
      </c>
      <c r="AO52" s="105">
        <v>4320</v>
      </c>
      <c r="AP52" s="105">
        <v>6</v>
      </c>
      <c r="AQ52" s="105">
        <v>3240</v>
      </c>
      <c r="AR52" s="105">
        <v>11</v>
      </c>
      <c r="AS52" s="105">
        <v>5940</v>
      </c>
      <c r="AT52" s="105">
        <v>7</v>
      </c>
      <c r="AU52" s="105">
        <v>3780</v>
      </c>
      <c r="AV52" s="105">
        <v>10</v>
      </c>
      <c r="AW52" s="105">
        <v>5400</v>
      </c>
      <c r="AX52" s="105">
        <v>11</v>
      </c>
      <c r="AY52" s="105">
        <v>5940</v>
      </c>
      <c r="AZ52" s="105">
        <v>10</v>
      </c>
      <c r="BA52" s="105">
        <v>5400</v>
      </c>
      <c r="BB52" s="105">
        <v>10</v>
      </c>
      <c r="BC52" s="105">
        <v>5400</v>
      </c>
      <c r="BD52" s="105">
        <v>10</v>
      </c>
      <c r="BE52" s="105">
        <v>5400</v>
      </c>
      <c r="BF52" s="105">
        <v>8</v>
      </c>
      <c r="BG52" s="105">
        <v>4320</v>
      </c>
      <c r="BH52" s="105">
        <v>15</v>
      </c>
      <c r="BI52" s="105">
        <v>8100</v>
      </c>
      <c r="BJ52" s="105">
        <v>14</v>
      </c>
      <c r="BK52" s="105">
        <v>7560</v>
      </c>
      <c r="BL52" s="105">
        <v>16</v>
      </c>
      <c r="BM52" s="105">
        <v>8640</v>
      </c>
      <c r="BN52" s="105">
        <v>16</v>
      </c>
      <c r="BO52" s="105">
        <v>8640</v>
      </c>
      <c r="BP52" s="105">
        <v>13</v>
      </c>
      <c r="BQ52" s="105">
        <v>7020</v>
      </c>
      <c r="BR52" s="105">
        <v>20</v>
      </c>
      <c r="BS52" s="105">
        <v>10800</v>
      </c>
      <c r="BT52" s="105">
        <v>18</v>
      </c>
      <c r="BU52" s="105">
        <v>9720</v>
      </c>
      <c r="BV52" s="105">
        <v>20</v>
      </c>
      <c r="BW52" s="105">
        <v>10800</v>
      </c>
      <c r="BX52" s="105">
        <v>18</v>
      </c>
      <c r="BY52" s="105">
        <v>9720</v>
      </c>
      <c r="BZ52" s="105">
        <v>31</v>
      </c>
      <c r="CA52" s="105">
        <v>16740</v>
      </c>
      <c r="CB52" s="105">
        <v>20.796786505915236</v>
      </c>
      <c r="CC52" s="105">
        <v>11230.264713194227</v>
      </c>
      <c r="CD52" s="105">
        <v>7.1177218298201081</v>
      </c>
      <c r="CE52" s="105">
        <v>3843.5697881028582</v>
      </c>
      <c r="CF52" s="105">
        <v>6.5343084461943564</v>
      </c>
      <c r="CG52" s="105">
        <v>3528.5265609449525</v>
      </c>
      <c r="CH52" s="105">
        <v>0.57735058214747736</v>
      </c>
      <c r="CI52" s="105">
        <v>311.7693143596378</v>
      </c>
      <c r="CJ52" s="105">
        <v>6.1906939268549737</v>
      </c>
      <c r="CK52" s="105">
        <v>3342.9747205016856</v>
      </c>
      <c r="CL52" s="105">
        <v>2.0818718850016547</v>
      </c>
      <c r="CM52" s="105">
        <v>1124.2108179008935</v>
      </c>
      <c r="CN52" s="105">
        <v>8.6912526705198818</v>
      </c>
      <c r="CO52" s="105">
        <v>4693.2764420807362</v>
      </c>
      <c r="CP52" s="105">
        <v>7.050823915199171</v>
      </c>
      <c r="CQ52" s="105">
        <v>3807.4449142075523</v>
      </c>
      <c r="CR52" s="105">
        <v>3.4007079101421596</v>
      </c>
      <c r="CS52" s="105">
        <v>1836.3822714767662</v>
      </c>
      <c r="CT52" s="105">
        <v>0.5523498185107476</v>
      </c>
      <c r="CU52" s="105">
        <v>298.26890199580373</v>
      </c>
    </row>
    <row r="53" spans="2:99" x14ac:dyDescent="0.25">
      <c r="C53" s="104" t="s">
        <v>218</v>
      </c>
      <c r="D53" s="105">
        <v>0</v>
      </c>
      <c r="E53" s="105">
        <v>0</v>
      </c>
      <c r="F53" s="105">
        <v>0</v>
      </c>
      <c r="G53" s="105">
        <v>0</v>
      </c>
      <c r="H53" s="105">
        <v>0</v>
      </c>
      <c r="I53" s="105">
        <v>0</v>
      </c>
      <c r="J53" s="105">
        <v>2</v>
      </c>
      <c r="K53" s="105">
        <v>813.6</v>
      </c>
      <c r="L53" s="105">
        <v>4</v>
      </c>
      <c r="M53" s="105">
        <v>1627.2</v>
      </c>
      <c r="N53" s="105">
        <v>4</v>
      </c>
      <c r="O53" s="105">
        <v>1627.2</v>
      </c>
      <c r="P53" s="105">
        <v>3</v>
      </c>
      <c r="Q53" s="105">
        <v>1220.4000000000001</v>
      </c>
      <c r="R53" s="105">
        <v>4</v>
      </c>
      <c r="S53" s="105">
        <v>1627.2</v>
      </c>
      <c r="T53" s="105">
        <v>3</v>
      </c>
      <c r="U53" s="105">
        <v>1220.4000000000001</v>
      </c>
      <c r="V53" s="105">
        <v>5</v>
      </c>
      <c r="W53" s="105">
        <v>2034</v>
      </c>
      <c r="X53" s="105">
        <v>4</v>
      </c>
      <c r="Y53" s="105">
        <v>1627.2</v>
      </c>
      <c r="Z53" s="105">
        <v>6</v>
      </c>
      <c r="AA53" s="105">
        <v>2440.8000000000002</v>
      </c>
      <c r="AB53" s="105">
        <v>7</v>
      </c>
      <c r="AC53" s="105">
        <v>2847.6</v>
      </c>
      <c r="AD53" s="105">
        <v>5</v>
      </c>
      <c r="AE53" s="105">
        <v>2034</v>
      </c>
      <c r="AF53" s="105">
        <v>6</v>
      </c>
      <c r="AG53" s="105">
        <v>2440.8000000000002</v>
      </c>
      <c r="AH53" s="105">
        <v>6</v>
      </c>
      <c r="AI53" s="105">
        <v>2440.8000000000002</v>
      </c>
      <c r="AJ53" s="105">
        <v>8</v>
      </c>
      <c r="AK53" s="105">
        <v>3254.4</v>
      </c>
      <c r="AL53" s="105">
        <v>7</v>
      </c>
      <c r="AM53" s="105">
        <v>2847.6</v>
      </c>
      <c r="AN53" s="105">
        <v>7</v>
      </c>
      <c r="AO53" s="105">
        <v>2847.6</v>
      </c>
      <c r="AP53" s="105">
        <v>7</v>
      </c>
      <c r="AQ53" s="105">
        <v>2847.6</v>
      </c>
      <c r="AR53" s="105">
        <v>10</v>
      </c>
      <c r="AS53" s="105">
        <v>4068</v>
      </c>
      <c r="AT53" s="105">
        <v>9</v>
      </c>
      <c r="AU53" s="105">
        <v>3661.2000000000003</v>
      </c>
      <c r="AV53" s="105">
        <v>9</v>
      </c>
      <c r="AW53" s="105">
        <v>3661.2000000000003</v>
      </c>
      <c r="AX53" s="105">
        <v>11</v>
      </c>
      <c r="AY53" s="105">
        <v>4474.8</v>
      </c>
      <c r="AZ53" s="105">
        <v>11</v>
      </c>
      <c r="BA53" s="105">
        <v>4474.8</v>
      </c>
      <c r="BB53" s="105">
        <v>10</v>
      </c>
      <c r="BC53" s="105">
        <v>4068</v>
      </c>
      <c r="BD53" s="105">
        <v>9</v>
      </c>
      <c r="BE53" s="105">
        <v>3661.2000000000003</v>
      </c>
      <c r="BF53" s="105">
        <v>8</v>
      </c>
      <c r="BG53" s="105">
        <v>3254.4</v>
      </c>
      <c r="BH53" s="105">
        <v>14</v>
      </c>
      <c r="BI53" s="105">
        <v>5695.2</v>
      </c>
      <c r="BJ53" s="105">
        <v>14</v>
      </c>
      <c r="BK53" s="105">
        <v>5695.2</v>
      </c>
      <c r="BL53" s="105">
        <v>16</v>
      </c>
      <c r="BM53" s="105">
        <v>6508.8</v>
      </c>
      <c r="BN53" s="105">
        <v>17</v>
      </c>
      <c r="BO53" s="105">
        <v>6915.6</v>
      </c>
      <c r="BP53" s="105">
        <v>14</v>
      </c>
      <c r="BQ53" s="105">
        <v>5695.2</v>
      </c>
      <c r="BR53" s="105">
        <v>21</v>
      </c>
      <c r="BS53" s="105">
        <v>8542.8000000000011</v>
      </c>
      <c r="BT53" s="105">
        <v>20</v>
      </c>
      <c r="BU53" s="105">
        <v>8136</v>
      </c>
      <c r="BV53" s="105">
        <v>20</v>
      </c>
      <c r="BW53" s="105">
        <v>8136</v>
      </c>
      <c r="BX53" s="105">
        <v>19</v>
      </c>
      <c r="BY53" s="105">
        <v>7729.2</v>
      </c>
      <c r="BZ53" s="105">
        <v>30</v>
      </c>
      <c r="CA53" s="105">
        <v>12204</v>
      </c>
      <c r="CB53" s="105">
        <v>18.197188192675828</v>
      </c>
      <c r="CC53" s="105">
        <v>7402.6161567805266</v>
      </c>
      <c r="CD53" s="105">
        <v>6.4059496468380974</v>
      </c>
      <c r="CE53" s="105">
        <v>2605.9403163337379</v>
      </c>
      <c r="CF53" s="105">
        <v>7.4253505070390418</v>
      </c>
      <c r="CG53" s="105">
        <v>3020.6325862634822</v>
      </c>
      <c r="CH53" s="105">
        <v>0.61343499353169473</v>
      </c>
      <c r="CI53" s="105">
        <v>249.54535536869344</v>
      </c>
      <c r="CJ53" s="105">
        <v>6.4041661312292826</v>
      </c>
      <c r="CK53" s="105">
        <v>2605.2147821840722</v>
      </c>
      <c r="CL53" s="105">
        <v>1.966212335834896</v>
      </c>
      <c r="CM53" s="105">
        <v>799.85517821763574</v>
      </c>
      <c r="CN53" s="105">
        <v>7.8363753586654674</v>
      </c>
      <c r="CO53" s="105">
        <v>3187.8374959051121</v>
      </c>
      <c r="CP53" s="105">
        <v>7.9201035759771505</v>
      </c>
      <c r="CQ53" s="105">
        <v>3221.8981347075051</v>
      </c>
      <c r="CR53" s="105">
        <v>3.7245848539652222</v>
      </c>
      <c r="CS53" s="105">
        <v>1515.1611185930524</v>
      </c>
      <c r="CT53" s="105">
        <v>0.54265947081757659</v>
      </c>
      <c r="CU53" s="105">
        <v>220.75387272859015</v>
      </c>
    </row>
    <row r="54" spans="2:99" x14ac:dyDescent="0.25">
      <c r="C54" s="104" t="s">
        <v>219</v>
      </c>
      <c r="D54" s="105">
        <v>0</v>
      </c>
      <c r="E54" s="105">
        <v>0</v>
      </c>
      <c r="F54" s="105">
        <v>0</v>
      </c>
      <c r="G54" s="105">
        <v>0</v>
      </c>
      <c r="H54" s="105">
        <v>0</v>
      </c>
      <c r="I54" s="105">
        <v>0</v>
      </c>
      <c r="J54" s="105">
        <v>2</v>
      </c>
      <c r="K54" s="105">
        <v>669.6</v>
      </c>
      <c r="L54" s="105">
        <v>4</v>
      </c>
      <c r="M54" s="105">
        <v>1339.2</v>
      </c>
      <c r="N54" s="105">
        <v>4</v>
      </c>
      <c r="O54" s="105">
        <v>1339.2</v>
      </c>
      <c r="P54" s="105">
        <v>3</v>
      </c>
      <c r="Q54" s="105">
        <v>1004.4000000000001</v>
      </c>
      <c r="R54" s="105">
        <v>4</v>
      </c>
      <c r="S54" s="105">
        <v>1339.2</v>
      </c>
      <c r="T54" s="105">
        <v>3</v>
      </c>
      <c r="U54" s="105">
        <v>1004.4000000000001</v>
      </c>
      <c r="V54" s="105">
        <v>5</v>
      </c>
      <c r="W54" s="105">
        <v>1674</v>
      </c>
      <c r="X54" s="105">
        <v>5</v>
      </c>
      <c r="Y54" s="105">
        <v>1674</v>
      </c>
      <c r="Z54" s="105">
        <v>6</v>
      </c>
      <c r="AA54" s="105">
        <v>2008.8000000000002</v>
      </c>
      <c r="AB54" s="105">
        <v>7</v>
      </c>
      <c r="AC54" s="105">
        <v>2343.6</v>
      </c>
      <c r="AD54" s="105">
        <v>5</v>
      </c>
      <c r="AE54" s="105">
        <v>1674</v>
      </c>
      <c r="AF54" s="105">
        <v>6</v>
      </c>
      <c r="AG54" s="105">
        <v>2008.8000000000002</v>
      </c>
      <c r="AH54" s="105">
        <v>6</v>
      </c>
      <c r="AI54" s="105">
        <v>2008.8000000000002</v>
      </c>
      <c r="AJ54" s="105">
        <v>9</v>
      </c>
      <c r="AK54" s="105">
        <v>3013.2000000000003</v>
      </c>
      <c r="AL54" s="105">
        <v>7</v>
      </c>
      <c r="AM54" s="105">
        <v>2343.6</v>
      </c>
      <c r="AN54" s="105">
        <v>8</v>
      </c>
      <c r="AO54" s="105">
        <v>2678.4</v>
      </c>
      <c r="AP54" s="105">
        <v>7</v>
      </c>
      <c r="AQ54" s="105">
        <v>2343.6</v>
      </c>
      <c r="AR54" s="105">
        <v>11</v>
      </c>
      <c r="AS54" s="105">
        <v>3682.8</v>
      </c>
      <c r="AT54" s="105">
        <v>8</v>
      </c>
      <c r="AU54" s="105">
        <v>2678.4</v>
      </c>
      <c r="AV54" s="105">
        <v>11</v>
      </c>
      <c r="AW54" s="105">
        <v>3682.8</v>
      </c>
      <c r="AX54" s="105">
        <v>10</v>
      </c>
      <c r="AY54" s="105">
        <v>3348</v>
      </c>
      <c r="AZ54" s="105">
        <v>11</v>
      </c>
      <c r="BA54" s="105">
        <v>3682.8</v>
      </c>
      <c r="BB54" s="105">
        <v>11</v>
      </c>
      <c r="BC54" s="105">
        <v>3682.8</v>
      </c>
      <c r="BD54" s="105">
        <v>9</v>
      </c>
      <c r="BE54" s="105">
        <v>3013.2000000000003</v>
      </c>
      <c r="BF54" s="105">
        <v>9</v>
      </c>
      <c r="BG54" s="105">
        <v>3013.2000000000003</v>
      </c>
      <c r="BH54" s="105">
        <v>15</v>
      </c>
      <c r="BI54" s="105">
        <v>5022</v>
      </c>
      <c r="BJ54" s="105">
        <v>14</v>
      </c>
      <c r="BK54" s="105">
        <v>4687.2</v>
      </c>
      <c r="BL54" s="105">
        <v>16</v>
      </c>
      <c r="BM54" s="105">
        <v>5356.8</v>
      </c>
      <c r="BN54" s="105">
        <v>17</v>
      </c>
      <c r="BO54" s="105">
        <v>5691.6</v>
      </c>
      <c r="BP54" s="105">
        <v>12</v>
      </c>
      <c r="BQ54" s="105">
        <v>4017.6000000000004</v>
      </c>
      <c r="BR54" s="105">
        <v>22</v>
      </c>
      <c r="BS54" s="105">
        <v>7365.6</v>
      </c>
      <c r="BT54" s="105">
        <v>17</v>
      </c>
      <c r="BU54" s="105">
        <v>5691.6</v>
      </c>
      <c r="BV54" s="105">
        <v>19</v>
      </c>
      <c r="BW54" s="105">
        <v>6361.2</v>
      </c>
      <c r="BX54" s="105">
        <v>22</v>
      </c>
      <c r="BY54" s="105">
        <v>7365.6</v>
      </c>
      <c r="BZ54" s="105">
        <v>29</v>
      </c>
      <c r="CA54" s="105">
        <v>9709.2000000000007</v>
      </c>
      <c r="CB54" s="105">
        <v>20.796786505915236</v>
      </c>
      <c r="CC54" s="105">
        <v>6962.7641221804215</v>
      </c>
      <c r="CD54" s="105">
        <v>7.1177218298201081</v>
      </c>
      <c r="CE54" s="105">
        <v>2383.0132686237721</v>
      </c>
      <c r="CF54" s="105">
        <v>7.722364527320603</v>
      </c>
      <c r="CG54" s="105">
        <v>2585.447643746938</v>
      </c>
      <c r="CH54" s="105">
        <v>0.61343499353169473</v>
      </c>
      <c r="CI54" s="105">
        <v>205.37803583441141</v>
      </c>
      <c r="CJ54" s="105">
        <v>5.8704856202935094</v>
      </c>
      <c r="CK54" s="105">
        <v>1965.438585674267</v>
      </c>
      <c r="CL54" s="105">
        <v>1.966212335834896</v>
      </c>
      <c r="CM54" s="105">
        <v>658.2878900375232</v>
      </c>
      <c r="CN54" s="105">
        <v>8.1213344626169395</v>
      </c>
      <c r="CO54" s="105">
        <v>2719.0227780841515</v>
      </c>
      <c r="CP54" s="105">
        <v>7.5337570600758266</v>
      </c>
      <c r="CQ54" s="105">
        <v>2522.3018637133869</v>
      </c>
      <c r="CR54" s="105">
        <v>3.5626463820536913</v>
      </c>
      <c r="CS54" s="105">
        <v>1192.7740087115758</v>
      </c>
      <c r="CT54" s="105">
        <v>0.53296912312440559</v>
      </c>
      <c r="CU54" s="105">
        <v>178.43806242205099</v>
      </c>
    </row>
    <row r="55" spans="2:99" x14ac:dyDescent="0.25">
      <c r="C55" s="104" t="s">
        <v>220</v>
      </c>
      <c r="D55" s="105">
        <v>0</v>
      </c>
      <c r="E55" s="105">
        <v>0</v>
      </c>
      <c r="F55" s="105">
        <v>0</v>
      </c>
      <c r="G55" s="105">
        <v>0</v>
      </c>
      <c r="H55" s="105">
        <v>0</v>
      </c>
      <c r="I55" s="105">
        <v>0</v>
      </c>
      <c r="J55" s="105">
        <v>2</v>
      </c>
      <c r="K55" s="105">
        <v>1327.2</v>
      </c>
      <c r="L55" s="105">
        <v>4</v>
      </c>
      <c r="M55" s="105">
        <v>2654.4</v>
      </c>
      <c r="N55" s="105">
        <v>4</v>
      </c>
      <c r="O55" s="105">
        <v>2654.4</v>
      </c>
      <c r="P55" s="105">
        <v>3</v>
      </c>
      <c r="Q55" s="105">
        <v>1990.8000000000002</v>
      </c>
      <c r="R55" s="105">
        <v>4</v>
      </c>
      <c r="S55" s="105">
        <v>2654.4</v>
      </c>
      <c r="T55" s="105">
        <v>3</v>
      </c>
      <c r="U55" s="105">
        <v>1990.8000000000002</v>
      </c>
      <c r="V55" s="105">
        <v>5</v>
      </c>
      <c r="W55" s="105">
        <v>3318</v>
      </c>
      <c r="X55" s="105">
        <v>5</v>
      </c>
      <c r="Y55" s="105">
        <v>3318</v>
      </c>
      <c r="Z55" s="105">
        <v>6</v>
      </c>
      <c r="AA55" s="105">
        <v>3981.6000000000004</v>
      </c>
      <c r="AB55" s="105">
        <v>7</v>
      </c>
      <c r="AC55" s="105">
        <v>4645.2</v>
      </c>
      <c r="AD55" s="105">
        <v>5</v>
      </c>
      <c r="AE55" s="105">
        <v>3318</v>
      </c>
      <c r="AF55" s="105">
        <v>6</v>
      </c>
      <c r="AG55" s="105">
        <v>3981.6000000000004</v>
      </c>
      <c r="AH55" s="105">
        <v>6</v>
      </c>
      <c r="AI55" s="105">
        <v>3981.6000000000004</v>
      </c>
      <c r="AJ55" s="105">
        <v>9</v>
      </c>
      <c r="AK55" s="105">
        <v>5972.4000000000005</v>
      </c>
      <c r="AL55" s="105">
        <v>7</v>
      </c>
      <c r="AM55" s="105">
        <v>4645.2</v>
      </c>
      <c r="AN55" s="105">
        <v>8</v>
      </c>
      <c r="AO55" s="105">
        <v>5308.8</v>
      </c>
      <c r="AP55" s="105">
        <v>7</v>
      </c>
      <c r="AQ55" s="105">
        <v>4645.2</v>
      </c>
      <c r="AR55" s="105">
        <v>10</v>
      </c>
      <c r="AS55" s="105">
        <v>6636</v>
      </c>
      <c r="AT55" s="105">
        <v>8</v>
      </c>
      <c r="AU55" s="105">
        <v>5308.8</v>
      </c>
      <c r="AV55" s="105">
        <v>9</v>
      </c>
      <c r="AW55" s="105">
        <v>5972.4000000000005</v>
      </c>
      <c r="AX55" s="105">
        <v>9</v>
      </c>
      <c r="AY55" s="105">
        <v>5972.4000000000005</v>
      </c>
      <c r="AZ55" s="105">
        <v>9</v>
      </c>
      <c r="BA55" s="105">
        <v>5972.4000000000005</v>
      </c>
      <c r="BB55" s="105">
        <v>10</v>
      </c>
      <c r="BC55" s="105">
        <v>6636</v>
      </c>
      <c r="BD55" s="105">
        <v>10</v>
      </c>
      <c r="BE55" s="105">
        <v>6636</v>
      </c>
      <c r="BF55" s="105">
        <v>7</v>
      </c>
      <c r="BG55" s="105">
        <v>4645.2</v>
      </c>
      <c r="BH55" s="105">
        <v>14</v>
      </c>
      <c r="BI55" s="105">
        <v>9290.4</v>
      </c>
      <c r="BJ55" s="105">
        <v>14</v>
      </c>
      <c r="BK55" s="105">
        <v>9290.4</v>
      </c>
      <c r="BL55" s="105">
        <v>15</v>
      </c>
      <c r="BM55" s="105">
        <v>9954</v>
      </c>
      <c r="BN55" s="105">
        <v>17</v>
      </c>
      <c r="BO55" s="105">
        <v>11281.2</v>
      </c>
      <c r="BP55" s="105">
        <v>12</v>
      </c>
      <c r="BQ55" s="105">
        <v>7963.2000000000007</v>
      </c>
      <c r="BR55" s="105">
        <v>21</v>
      </c>
      <c r="BS55" s="105">
        <v>13935.6</v>
      </c>
      <c r="BT55" s="105">
        <v>17</v>
      </c>
      <c r="BU55" s="105">
        <v>11281.2</v>
      </c>
      <c r="BV55" s="105">
        <v>17</v>
      </c>
      <c r="BW55" s="105">
        <v>11281.2</v>
      </c>
      <c r="BX55" s="105">
        <v>17</v>
      </c>
      <c r="BY55" s="105">
        <v>11281.2</v>
      </c>
      <c r="BZ55" s="105">
        <v>27</v>
      </c>
      <c r="CA55" s="105">
        <v>17917.2</v>
      </c>
      <c r="CB55" s="105">
        <v>19.063720963755632</v>
      </c>
      <c r="CC55" s="105">
        <v>12650.685231548237</v>
      </c>
      <c r="CD55" s="105">
        <v>6.0500635553470916</v>
      </c>
      <c r="CE55" s="105">
        <v>4014.8221753283301</v>
      </c>
      <c r="CF55" s="105">
        <v>7.2768434968982607</v>
      </c>
      <c r="CG55" s="105">
        <v>4828.9133445416855</v>
      </c>
      <c r="CH55" s="105">
        <v>0.56532244501940498</v>
      </c>
      <c r="CI55" s="105">
        <v>375.14797451487715</v>
      </c>
      <c r="CJ55" s="105">
        <v>5.6570134159192005</v>
      </c>
      <c r="CK55" s="105">
        <v>3753.9941028039816</v>
      </c>
      <c r="CL55" s="105">
        <v>2.0818718850016547</v>
      </c>
      <c r="CM55" s="105">
        <v>1381.5301828870981</v>
      </c>
      <c r="CN55" s="105">
        <v>8.2638140145926755</v>
      </c>
      <c r="CO55" s="105">
        <v>5483.8669800836997</v>
      </c>
      <c r="CP55" s="105">
        <v>6.6644773992978461</v>
      </c>
      <c r="CQ55" s="105">
        <v>4422.5472021740507</v>
      </c>
      <c r="CR55" s="105">
        <v>3.2927489288678053</v>
      </c>
      <c r="CS55" s="105">
        <v>2185.0681891966756</v>
      </c>
      <c r="CT55" s="105">
        <v>0.52327877543123458</v>
      </c>
      <c r="CU55" s="105">
        <v>347.24779537616729</v>
      </c>
    </row>
    <row r="56" spans="2:99" x14ac:dyDescent="0.25">
      <c r="C56" s="104" t="s">
        <v>221</v>
      </c>
      <c r="D56" s="105">
        <v>0</v>
      </c>
      <c r="E56" s="105">
        <v>0</v>
      </c>
      <c r="F56" s="105">
        <v>0</v>
      </c>
      <c r="G56" s="105">
        <v>0</v>
      </c>
      <c r="H56" s="105">
        <v>0</v>
      </c>
      <c r="I56" s="105">
        <v>0</v>
      </c>
      <c r="J56" s="105">
        <v>2</v>
      </c>
      <c r="K56" s="105">
        <v>2301.6</v>
      </c>
      <c r="L56" s="105">
        <v>4</v>
      </c>
      <c r="M56" s="105">
        <v>4603.2</v>
      </c>
      <c r="N56" s="105">
        <v>4</v>
      </c>
      <c r="O56" s="105">
        <v>4603.2</v>
      </c>
      <c r="P56" s="105">
        <v>3</v>
      </c>
      <c r="Q56" s="105">
        <v>3452.3999999999996</v>
      </c>
      <c r="R56" s="105">
        <v>4</v>
      </c>
      <c r="S56" s="105">
        <v>4603.2</v>
      </c>
      <c r="T56" s="105">
        <v>3</v>
      </c>
      <c r="U56" s="105">
        <v>3452.3999999999996</v>
      </c>
      <c r="V56" s="105">
        <v>5</v>
      </c>
      <c r="W56" s="105">
        <v>5754</v>
      </c>
      <c r="X56" s="105">
        <v>4</v>
      </c>
      <c r="Y56" s="105">
        <v>4603.2</v>
      </c>
      <c r="Z56" s="105">
        <v>6</v>
      </c>
      <c r="AA56" s="105">
        <v>6904.7999999999993</v>
      </c>
      <c r="AB56" s="105">
        <v>6</v>
      </c>
      <c r="AC56" s="105">
        <v>6904.7999999999993</v>
      </c>
      <c r="AD56" s="105">
        <v>5</v>
      </c>
      <c r="AE56" s="105">
        <v>5754</v>
      </c>
      <c r="AF56" s="105">
        <v>6</v>
      </c>
      <c r="AG56" s="105">
        <v>6904.7999999999993</v>
      </c>
      <c r="AH56" s="105">
        <v>5</v>
      </c>
      <c r="AI56" s="105">
        <v>5754</v>
      </c>
      <c r="AJ56" s="105">
        <v>9</v>
      </c>
      <c r="AK56" s="105">
        <v>10357.199999999999</v>
      </c>
      <c r="AL56" s="105">
        <v>7</v>
      </c>
      <c r="AM56" s="105">
        <v>8055.5999999999995</v>
      </c>
      <c r="AN56" s="105">
        <v>8</v>
      </c>
      <c r="AO56" s="105">
        <v>9206.4</v>
      </c>
      <c r="AP56" s="105">
        <v>6</v>
      </c>
      <c r="AQ56" s="105">
        <v>6904.7999999999993</v>
      </c>
      <c r="AR56" s="105">
        <v>10</v>
      </c>
      <c r="AS56" s="105">
        <v>11508</v>
      </c>
      <c r="AT56" s="105">
        <v>7</v>
      </c>
      <c r="AU56" s="105">
        <v>8055.5999999999995</v>
      </c>
      <c r="AV56" s="105">
        <v>9</v>
      </c>
      <c r="AW56" s="105">
        <v>10357.199999999999</v>
      </c>
      <c r="AX56" s="105">
        <v>9</v>
      </c>
      <c r="AY56" s="105">
        <v>10357.199999999999</v>
      </c>
      <c r="AZ56" s="105">
        <v>10</v>
      </c>
      <c r="BA56" s="105">
        <v>11508</v>
      </c>
      <c r="BB56" s="105">
        <v>9</v>
      </c>
      <c r="BC56" s="105">
        <v>10357.199999999999</v>
      </c>
      <c r="BD56" s="105">
        <v>8</v>
      </c>
      <c r="BE56" s="105">
        <v>9206.4</v>
      </c>
      <c r="BF56" s="105">
        <v>8</v>
      </c>
      <c r="BG56" s="105">
        <v>9206.4</v>
      </c>
      <c r="BH56" s="105">
        <v>15</v>
      </c>
      <c r="BI56" s="105">
        <v>17262</v>
      </c>
      <c r="BJ56" s="105">
        <v>13</v>
      </c>
      <c r="BK56" s="105">
        <v>14960.4</v>
      </c>
      <c r="BL56" s="105">
        <v>15</v>
      </c>
      <c r="BM56" s="105">
        <v>17262</v>
      </c>
      <c r="BN56" s="105">
        <v>17</v>
      </c>
      <c r="BO56" s="105">
        <v>19563.599999999999</v>
      </c>
      <c r="BP56" s="105">
        <v>12</v>
      </c>
      <c r="BQ56" s="105">
        <v>13809.599999999999</v>
      </c>
      <c r="BR56" s="105">
        <v>16</v>
      </c>
      <c r="BS56" s="105">
        <v>18412.8</v>
      </c>
      <c r="BT56" s="105">
        <v>15</v>
      </c>
      <c r="BU56" s="105">
        <v>17262</v>
      </c>
      <c r="BV56" s="105">
        <v>18</v>
      </c>
      <c r="BW56" s="105">
        <v>20714.399999999998</v>
      </c>
      <c r="BX56" s="105">
        <v>18</v>
      </c>
      <c r="BY56" s="105">
        <v>20714.399999999998</v>
      </c>
      <c r="BZ56" s="105">
        <v>28</v>
      </c>
      <c r="CA56" s="105">
        <v>32222.399999999998</v>
      </c>
      <c r="CB56" s="105">
        <v>6.4322638441330113</v>
      </c>
      <c r="CC56" s="105">
        <v>7402.2492318282693</v>
      </c>
      <c r="CD56" s="105">
        <v>4.9936543878656563</v>
      </c>
      <c r="CE56" s="105">
        <v>5746.6974695557974</v>
      </c>
      <c r="CF56" s="105">
        <v>1.4765128593040846</v>
      </c>
      <c r="CG56" s="105">
        <v>1699.1709984871404</v>
      </c>
      <c r="CH56" s="105">
        <v>0.66982564377682408</v>
      </c>
      <c r="CI56" s="105">
        <v>770.83535085836911</v>
      </c>
      <c r="CJ56" s="105">
        <v>6.5842729802720896</v>
      </c>
      <c r="CK56" s="105">
        <v>7577.1813456971204</v>
      </c>
      <c r="CL56" s="105">
        <v>4.245214003398484</v>
      </c>
      <c r="CM56" s="105">
        <v>4885.3922751109749</v>
      </c>
      <c r="CN56" s="105">
        <v>10.543257654116676</v>
      </c>
      <c r="CO56" s="105">
        <v>12133.18090835747</v>
      </c>
      <c r="CP56" s="105">
        <v>0.96931098696461826</v>
      </c>
      <c r="CQ56" s="105">
        <v>1115.4830837988827</v>
      </c>
      <c r="CR56" s="105">
        <v>4.7391999228097257</v>
      </c>
      <c r="CS56" s="105">
        <v>5453.8712711694325</v>
      </c>
      <c r="CT56" s="105">
        <v>5.3035983502538073</v>
      </c>
      <c r="CU56" s="105">
        <v>6103.3809814720817</v>
      </c>
    </row>
    <row r="57" spans="2:99" x14ac:dyDescent="0.25">
      <c r="C57" s="104" t="s">
        <v>222</v>
      </c>
      <c r="D57" s="105">
        <v>0</v>
      </c>
      <c r="E57" s="105">
        <v>0</v>
      </c>
      <c r="F57" s="105">
        <v>0</v>
      </c>
      <c r="G57" s="105">
        <v>0</v>
      </c>
      <c r="H57" s="105">
        <v>0</v>
      </c>
      <c r="I57" s="105">
        <v>0</v>
      </c>
      <c r="J57" s="105">
        <v>2</v>
      </c>
      <c r="K57" s="105">
        <v>2822.4</v>
      </c>
      <c r="L57" s="105">
        <v>4</v>
      </c>
      <c r="M57" s="105">
        <v>5644.8</v>
      </c>
      <c r="N57" s="105">
        <v>3</v>
      </c>
      <c r="O57" s="105">
        <v>4233.6000000000004</v>
      </c>
      <c r="P57" s="105">
        <v>3</v>
      </c>
      <c r="Q57" s="105">
        <v>4233.6000000000004</v>
      </c>
      <c r="R57" s="105">
        <v>4</v>
      </c>
      <c r="S57" s="105">
        <v>5644.8</v>
      </c>
      <c r="T57" s="105">
        <v>3</v>
      </c>
      <c r="U57" s="105">
        <v>4233.6000000000004</v>
      </c>
      <c r="V57" s="105">
        <v>5</v>
      </c>
      <c r="W57" s="105">
        <v>7056</v>
      </c>
      <c r="X57" s="105">
        <v>5</v>
      </c>
      <c r="Y57" s="105">
        <v>7056</v>
      </c>
      <c r="Z57" s="105">
        <v>5</v>
      </c>
      <c r="AA57" s="105">
        <v>7056</v>
      </c>
      <c r="AB57" s="105">
        <v>6</v>
      </c>
      <c r="AC57" s="105">
        <v>8467.2000000000007</v>
      </c>
      <c r="AD57" s="105">
        <v>4</v>
      </c>
      <c r="AE57" s="105">
        <v>5644.8</v>
      </c>
      <c r="AF57" s="105">
        <v>5</v>
      </c>
      <c r="AG57" s="105">
        <v>7056</v>
      </c>
      <c r="AH57" s="105">
        <v>5</v>
      </c>
      <c r="AI57" s="105">
        <v>7056</v>
      </c>
      <c r="AJ57" s="105">
        <v>8</v>
      </c>
      <c r="AK57" s="105">
        <v>11289.6</v>
      </c>
      <c r="AL57" s="105">
        <v>6</v>
      </c>
      <c r="AM57" s="105">
        <v>8467.2000000000007</v>
      </c>
      <c r="AN57" s="105">
        <v>7</v>
      </c>
      <c r="AO57" s="105">
        <v>9878.4</v>
      </c>
      <c r="AP57" s="105">
        <v>7</v>
      </c>
      <c r="AQ57" s="105">
        <v>9878.4</v>
      </c>
      <c r="AR57" s="105">
        <v>9</v>
      </c>
      <c r="AS57" s="105">
        <v>12700.800000000001</v>
      </c>
      <c r="AT57" s="105">
        <v>7</v>
      </c>
      <c r="AU57" s="105">
        <v>9878.4</v>
      </c>
      <c r="AV57" s="105">
        <v>9</v>
      </c>
      <c r="AW57" s="105">
        <v>12700.800000000001</v>
      </c>
      <c r="AX57" s="105">
        <v>9</v>
      </c>
      <c r="AY57" s="105">
        <v>12700.800000000001</v>
      </c>
      <c r="AZ57" s="105">
        <v>10</v>
      </c>
      <c r="BA57" s="105">
        <v>14112</v>
      </c>
      <c r="BB57" s="105">
        <v>9</v>
      </c>
      <c r="BC57" s="105">
        <v>12700.800000000001</v>
      </c>
      <c r="BD57" s="105">
        <v>9</v>
      </c>
      <c r="BE57" s="105">
        <v>12700.800000000001</v>
      </c>
      <c r="BF57" s="105">
        <v>7</v>
      </c>
      <c r="BG57" s="105">
        <v>9878.4</v>
      </c>
      <c r="BH57" s="105">
        <v>13</v>
      </c>
      <c r="BI57" s="105">
        <v>18345.600000000002</v>
      </c>
      <c r="BJ57" s="105">
        <v>13</v>
      </c>
      <c r="BK57" s="105">
        <v>18345.600000000002</v>
      </c>
      <c r="BL57" s="105">
        <v>13</v>
      </c>
      <c r="BM57" s="105">
        <v>18345.600000000002</v>
      </c>
      <c r="BN57" s="105">
        <v>17</v>
      </c>
      <c r="BO57" s="105">
        <v>23990.400000000001</v>
      </c>
      <c r="BP57" s="105">
        <v>11</v>
      </c>
      <c r="BQ57" s="105">
        <v>15523.2</v>
      </c>
      <c r="BR57" s="105">
        <v>18</v>
      </c>
      <c r="BS57" s="105">
        <v>25401.600000000002</v>
      </c>
      <c r="BT57" s="105">
        <v>16</v>
      </c>
      <c r="BU57" s="105">
        <v>22579.200000000001</v>
      </c>
      <c r="BV57" s="105">
        <v>18</v>
      </c>
      <c r="BW57" s="105">
        <v>25401.600000000002</v>
      </c>
      <c r="BX57" s="105">
        <v>18</v>
      </c>
      <c r="BY57" s="105">
        <v>25401.600000000002</v>
      </c>
      <c r="BZ57" s="105">
        <v>27</v>
      </c>
      <c r="CA57" s="105">
        <v>38102.400000000001</v>
      </c>
      <c r="CB57" s="105">
        <v>17.330655421596028</v>
      </c>
      <c r="CC57" s="105">
        <v>24457.020930956314</v>
      </c>
      <c r="CD57" s="105">
        <v>5.6941774638560858</v>
      </c>
      <c r="CE57" s="105">
        <v>8035.6232369937088</v>
      </c>
      <c r="CF57" s="105">
        <v>6.2372944259127951</v>
      </c>
      <c r="CG57" s="105">
        <v>8802.0698938481364</v>
      </c>
      <c r="CH57" s="105">
        <v>0.52923803363518762</v>
      </c>
      <c r="CI57" s="105">
        <v>746.86071306597682</v>
      </c>
      <c r="CJ57" s="105">
        <v>5.1233329049834264</v>
      </c>
      <c r="CK57" s="105">
        <v>7230.0473955126117</v>
      </c>
      <c r="CL57" s="105">
        <v>1.7927230120847581</v>
      </c>
      <c r="CM57" s="105">
        <v>2529.8907146540109</v>
      </c>
      <c r="CN57" s="105">
        <v>6.5540593908838458</v>
      </c>
      <c r="CO57" s="105">
        <v>9249.0886124152839</v>
      </c>
      <c r="CP57" s="105">
        <v>6.6644773992978461</v>
      </c>
      <c r="CQ57" s="105">
        <v>9404.91050588912</v>
      </c>
      <c r="CR57" s="105">
        <v>2.6449950412216796</v>
      </c>
      <c r="CS57" s="105">
        <v>3732.6170021720345</v>
      </c>
      <c r="CT57" s="105">
        <v>0.41668495080635348</v>
      </c>
      <c r="CU57" s="105">
        <v>588.02580257792602</v>
      </c>
    </row>
    <row r="58" spans="2:99" x14ac:dyDescent="0.25">
      <c r="C58" s="104" t="s">
        <v>223</v>
      </c>
      <c r="D58" s="105">
        <v>0</v>
      </c>
      <c r="E58" s="105">
        <v>0</v>
      </c>
      <c r="F58" s="105">
        <v>0</v>
      </c>
      <c r="G58" s="105">
        <v>0</v>
      </c>
      <c r="H58" s="105">
        <v>0</v>
      </c>
      <c r="I58" s="105">
        <v>0</v>
      </c>
      <c r="J58" s="105">
        <v>2</v>
      </c>
      <c r="K58" s="105">
        <v>2354.4</v>
      </c>
      <c r="L58" s="105">
        <v>4</v>
      </c>
      <c r="M58" s="105">
        <v>4708.8</v>
      </c>
      <c r="N58" s="105">
        <v>3</v>
      </c>
      <c r="O58" s="105">
        <v>3531.6000000000004</v>
      </c>
      <c r="P58" s="105">
        <v>3</v>
      </c>
      <c r="Q58" s="105">
        <v>3531.6000000000004</v>
      </c>
      <c r="R58" s="105">
        <v>3</v>
      </c>
      <c r="S58" s="105">
        <v>3531.6000000000004</v>
      </c>
      <c r="T58" s="105">
        <v>3</v>
      </c>
      <c r="U58" s="105">
        <v>3531.6000000000004</v>
      </c>
      <c r="V58" s="105">
        <v>5</v>
      </c>
      <c r="W58" s="105">
        <v>5886</v>
      </c>
      <c r="X58" s="105">
        <v>5</v>
      </c>
      <c r="Y58" s="105">
        <v>5886</v>
      </c>
      <c r="Z58" s="105">
        <v>5</v>
      </c>
      <c r="AA58" s="105">
        <v>5886</v>
      </c>
      <c r="AB58" s="105">
        <v>7</v>
      </c>
      <c r="AC58" s="105">
        <v>8240.4</v>
      </c>
      <c r="AD58" s="105">
        <v>5</v>
      </c>
      <c r="AE58" s="105">
        <v>5886</v>
      </c>
      <c r="AF58" s="105">
        <v>6</v>
      </c>
      <c r="AG58" s="105">
        <v>7063.2000000000007</v>
      </c>
      <c r="AH58" s="105">
        <v>6</v>
      </c>
      <c r="AI58" s="105">
        <v>7063.2000000000007</v>
      </c>
      <c r="AJ58" s="105">
        <v>8</v>
      </c>
      <c r="AK58" s="105">
        <v>9417.6</v>
      </c>
      <c r="AL58" s="105">
        <v>7</v>
      </c>
      <c r="AM58" s="105">
        <v>8240.4</v>
      </c>
      <c r="AN58" s="105">
        <v>7</v>
      </c>
      <c r="AO58" s="105">
        <v>8240.4</v>
      </c>
      <c r="AP58" s="105">
        <v>6</v>
      </c>
      <c r="AQ58" s="105">
        <v>7063.2000000000007</v>
      </c>
      <c r="AR58" s="105">
        <v>10</v>
      </c>
      <c r="AS58" s="105">
        <v>11772</v>
      </c>
      <c r="AT58" s="105">
        <v>7</v>
      </c>
      <c r="AU58" s="105">
        <v>8240.4</v>
      </c>
      <c r="AV58" s="105">
        <v>10</v>
      </c>
      <c r="AW58" s="105">
        <v>11772</v>
      </c>
      <c r="AX58" s="105">
        <v>9</v>
      </c>
      <c r="AY58" s="105">
        <v>10594.800000000001</v>
      </c>
      <c r="AZ58" s="105">
        <v>9</v>
      </c>
      <c r="BA58" s="105">
        <v>10594.800000000001</v>
      </c>
      <c r="BB58" s="105">
        <v>9</v>
      </c>
      <c r="BC58" s="105">
        <v>10594.800000000001</v>
      </c>
      <c r="BD58" s="105">
        <v>9</v>
      </c>
      <c r="BE58" s="105">
        <v>10594.800000000001</v>
      </c>
      <c r="BF58" s="105">
        <v>8</v>
      </c>
      <c r="BG58" s="105">
        <v>9417.6</v>
      </c>
      <c r="BH58" s="105">
        <v>14</v>
      </c>
      <c r="BI58" s="105">
        <v>16480.8</v>
      </c>
      <c r="BJ58" s="105">
        <v>14</v>
      </c>
      <c r="BK58" s="105">
        <v>16480.8</v>
      </c>
      <c r="BL58" s="105">
        <v>15</v>
      </c>
      <c r="BM58" s="105">
        <v>17658</v>
      </c>
      <c r="BN58" s="105">
        <v>15</v>
      </c>
      <c r="BO58" s="105">
        <v>17658</v>
      </c>
      <c r="BP58" s="105">
        <v>12</v>
      </c>
      <c r="BQ58" s="105">
        <v>14126.400000000001</v>
      </c>
      <c r="BR58" s="105">
        <v>17</v>
      </c>
      <c r="BS58" s="105">
        <v>20012.400000000001</v>
      </c>
      <c r="BT58" s="105">
        <v>17</v>
      </c>
      <c r="BU58" s="105">
        <v>20012.400000000001</v>
      </c>
      <c r="BV58" s="105">
        <v>18</v>
      </c>
      <c r="BW58" s="105">
        <v>21189.600000000002</v>
      </c>
      <c r="BX58" s="105">
        <v>19</v>
      </c>
      <c r="BY58" s="105">
        <v>22366.799999999999</v>
      </c>
      <c r="BZ58" s="105">
        <v>28</v>
      </c>
      <c r="CA58" s="105">
        <v>32961.599999999999</v>
      </c>
      <c r="CB58" s="105">
        <v>6.4322638441330113</v>
      </c>
      <c r="CC58" s="105">
        <v>7572.0609973133814</v>
      </c>
      <c r="CD58" s="105">
        <v>4.438803900325027</v>
      </c>
      <c r="CE58" s="105">
        <v>5225.3599514626221</v>
      </c>
      <c r="CF58" s="105">
        <v>1.4396000378214826</v>
      </c>
      <c r="CG58" s="105">
        <v>1694.6971645234494</v>
      </c>
      <c r="CH58" s="105">
        <v>0.58431598712446364</v>
      </c>
      <c r="CI58" s="105">
        <v>687.85678004291867</v>
      </c>
      <c r="CJ58" s="105">
        <v>6.1640002368504669</v>
      </c>
      <c r="CK58" s="105">
        <v>7256.2610788203701</v>
      </c>
      <c r="CL58" s="105">
        <v>4.245214003398484</v>
      </c>
      <c r="CM58" s="105">
        <v>4997.4659248006956</v>
      </c>
      <c r="CN58" s="105">
        <v>9.5847796855606138</v>
      </c>
      <c r="CO58" s="105">
        <v>11283.202645841955</v>
      </c>
      <c r="CP58" s="105">
        <v>0.95416550279329604</v>
      </c>
      <c r="CQ58" s="105">
        <v>1123.2436298882681</v>
      </c>
      <c r="CR58" s="105">
        <v>5.4683076032419908</v>
      </c>
      <c r="CS58" s="105">
        <v>6437.2917105364722</v>
      </c>
      <c r="CT58" s="105">
        <v>5.0033946700507617</v>
      </c>
      <c r="CU58" s="105">
        <v>5889.9962055837568</v>
      </c>
    </row>
    <row r="59" spans="2:99" x14ac:dyDescent="0.25">
      <c r="C59" s="104" t="s">
        <v>224</v>
      </c>
      <c r="D59" s="105">
        <v>0</v>
      </c>
      <c r="E59" s="105">
        <v>0</v>
      </c>
      <c r="F59" s="105">
        <v>0</v>
      </c>
      <c r="G59" s="105">
        <v>0</v>
      </c>
      <c r="H59" s="105">
        <v>0</v>
      </c>
      <c r="I59" s="105">
        <v>0</v>
      </c>
      <c r="J59" s="105">
        <v>2</v>
      </c>
      <c r="K59" s="105">
        <v>607.19999999999993</v>
      </c>
      <c r="L59" s="105">
        <v>5</v>
      </c>
      <c r="M59" s="105">
        <v>1517.9999999999998</v>
      </c>
      <c r="N59" s="105">
        <v>4</v>
      </c>
      <c r="O59" s="105">
        <v>1214.3999999999999</v>
      </c>
      <c r="P59" s="105">
        <v>3</v>
      </c>
      <c r="Q59" s="105">
        <v>910.8</v>
      </c>
      <c r="R59" s="105">
        <v>4</v>
      </c>
      <c r="S59" s="105">
        <v>1214.3999999999999</v>
      </c>
      <c r="T59" s="105">
        <v>3</v>
      </c>
      <c r="U59" s="105">
        <v>910.8</v>
      </c>
      <c r="V59" s="105">
        <v>6</v>
      </c>
      <c r="W59" s="105">
        <v>1821.6</v>
      </c>
      <c r="X59" s="105">
        <v>5</v>
      </c>
      <c r="Y59" s="105">
        <v>1517.9999999999998</v>
      </c>
      <c r="Z59" s="105">
        <v>6</v>
      </c>
      <c r="AA59" s="105">
        <v>1821.6</v>
      </c>
      <c r="AB59" s="105">
        <v>7</v>
      </c>
      <c r="AC59" s="105">
        <v>2125.1999999999998</v>
      </c>
      <c r="AD59" s="105">
        <v>5</v>
      </c>
      <c r="AE59" s="105">
        <v>1517.9999999999998</v>
      </c>
      <c r="AF59" s="105">
        <v>5</v>
      </c>
      <c r="AG59" s="105">
        <v>1517.9999999999998</v>
      </c>
      <c r="AH59" s="105">
        <v>7</v>
      </c>
      <c r="AI59" s="105">
        <v>2125.1999999999998</v>
      </c>
      <c r="AJ59" s="105">
        <v>9</v>
      </c>
      <c r="AK59" s="105">
        <v>2732.3999999999996</v>
      </c>
      <c r="AL59" s="105">
        <v>7</v>
      </c>
      <c r="AM59" s="105">
        <v>2125.1999999999998</v>
      </c>
      <c r="AN59" s="105">
        <v>8</v>
      </c>
      <c r="AO59" s="105">
        <v>2428.7999999999997</v>
      </c>
      <c r="AP59" s="105">
        <v>7</v>
      </c>
      <c r="AQ59" s="105">
        <v>2125.1999999999998</v>
      </c>
      <c r="AR59" s="105">
        <v>10</v>
      </c>
      <c r="AS59" s="105">
        <v>3035.9999999999995</v>
      </c>
      <c r="AT59" s="105">
        <v>7</v>
      </c>
      <c r="AU59" s="105">
        <v>2125.1999999999998</v>
      </c>
      <c r="AV59" s="105">
        <v>10</v>
      </c>
      <c r="AW59" s="105">
        <v>3035.9999999999995</v>
      </c>
      <c r="AX59" s="105">
        <v>10</v>
      </c>
      <c r="AY59" s="105">
        <v>3035.9999999999995</v>
      </c>
      <c r="AZ59" s="105">
        <v>10</v>
      </c>
      <c r="BA59" s="105">
        <v>3035.9999999999995</v>
      </c>
      <c r="BB59" s="105">
        <v>9</v>
      </c>
      <c r="BC59" s="105">
        <v>2732.3999999999996</v>
      </c>
      <c r="BD59" s="105">
        <v>10</v>
      </c>
      <c r="BE59" s="105">
        <v>3035.9999999999995</v>
      </c>
      <c r="BF59" s="105">
        <v>9</v>
      </c>
      <c r="BG59" s="105">
        <v>2732.3999999999996</v>
      </c>
      <c r="BH59" s="105">
        <v>16</v>
      </c>
      <c r="BI59" s="105">
        <v>4857.5999999999995</v>
      </c>
      <c r="BJ59" s="105">
        <v>16</v>
      </c>
      <c r="BK59" s="105">
        <v>4857.5999999999995</v>
      </c>
      <c r="BL59" s="105">
        <v>14</v>
      </c>
      <c r="BM59" s="105">
        <v>4250.3999999999996</v>
      </c>
      <c r="BN59" s="105">
        <v>19</v>
      </c>
      <c r="BO59" s="105">
        <v>5768.4</v>
      </c>
      <c r="BP59" s="105">
        <v>14</v>
      </c>
      <c r="BQ59" s="105">
        <v>4250.3999999999996</v>
      </c>
      <c r="BR59" s="105">
        <v>22</v>
      </c>
      <c r="BS59" s="105">
        <v>6679.1999999999989</v>
      </c>
      <c r="BT59" s="105">
        <v>20</v>
      </c>
      <c r="BU59" s="105">
        <v>6071.9999999999991</v>
      </c>
      <c r="BV59" s="105">
        <v>20</v>
      </c>
      <c r="BW59" s="105">
        <v>6071.9999999999991</v>
      </c>
      <c r="BX59" s="105">
        <v>19</v>
      </c>
      <c r="BY59" s="105">
        <v>5768.4</v>
      </c>
      <c r="BZ59" s="105">
        <v>29</v>
      </c>
      <c r="CA59" s="105">
        <v>8804.4</v>
      </c>
      <c r="CB59" s="105">
        <v>20.796786505915236</v>
      </c>
      <c r="CC59" s="105">
        <v>6313.9043831958652</v>
      </c>
      <c r="CD59" s="105">
        <v>6.4059496468380974</v>
      </c>
      <c r="CE59" s="105">
        <v>1944.8463127800462</v>
      </c>
      <c r="CF59" s="105">
        <v>7.5738575171798228</v>
      </c>
      <c r="CG59" s="105">
        <v>2299.4231422157941</v>
      </c>
      <c r="CH59" s="105">
        <v>0.6374912677878396</v>
      </c>
      <c r="CI59" s="105">
        <v>193.54234890038808</v>
      </c>
      <c r="CJ59" s="105">
        <v>6.1906939268549737</v>
      </c>
      <c r="CK59" s="105">
        <v>1879.4946761931699</v>
      </c>
      <c r="CL59" s="105">
        <v>2.1397016595850338</v>
      </c>
      <c r="CM59" s="105">
        <v>649.61342385001615</v>
      </c>
      <c r="CN59" s="105">
        <v>9.4036504303985602</v>
      </c>
      <c r="CO59" s="105">
        <v>2854.9482706690023</v>
      </c>
      <c r="CP59" s="105">
        <v>8.3064500918784763</v>
      </c>
      <c r="CQ59" s="105">
        <v>2521.8382478943049</v>
      </c>
      <c r="CR59" s="105">
        <v>3.8865233258767535</v>
      </c>
      <c r="CS59" s="105">
        <v>1179.9484817361822</v>
      </c>
      <c r="CT59" s="105">
        <v>0.54265947081757659</v>
      </c>
      <c r="CU59" s="105">
        <v>164.75141534021623</v>
      </c>
    </row>
    <row r="60" spans="2:99" x14ac:dyDescent="0.25">
      <c r="C60" s="104" t="s">
        <v>225</v>
      </c>
      <c r="D60" s="105">
        <v>0</v>
      </c>
      <c r="E60" s="105">
        <v>0</v>
      </c>
      <c r="F60" s="105">
        <v>0</v>
      </c>
      <c r="G60" s="105">
        <v>0</v>
      </c>
      <c r="H60" s="105">
        <v>0</v>
      </c>
      <c r="I60" s="105">
        <v>0</v>
      </c>
      <c r="J60" s="105">
        <v>2</v>
      </c>
      <c r="K60" s="105">
        <v>1303.2</v>
      </c>
      <c r="L60" s="105">
        <v>5</v>
      </c>
      <c r="M60" s="105">
        <v>3258</v>
      </c>
      <c r="N60" s="105">
        <v>4</v>
      </c>
      <c r="O60" s="105">
        <v>2606.4</v>
      </c>
      <c r="P60" s="105">
        <v>3</v>
      </c>
      <c r="Q60" s="105">
        <v>1954.8000000000002</v>
      </c>
      <c r="R60" s="105">
        <v>4</v>
      </c>
      <c r="S60" s="105">
        <v>2606.4</v>
      </c>
      <c r="T60" s="105">
        <v>3</v>
      </c>
      <c r="U60" s="105">
        <v>1954.8000000000002</v>
      </c>
      <c r="V60" s="105">
        <v>6</v>
      </c>
      <c r="W60" s="105">
        <v>3909.6000000000004</v>
      </c>
      <c r="X60" s="105">
        <v>5</v>
      </c>
      <c r="Y60" s="105">
        <v>3258</v>
      </c>
      <c r="Z60" s="105">
        <v>6</v>
      </c>
      <c r="AA60" s="105">
        <v>3909.6000000000004</v>
      </c>
      <c r="AB60" s="105">
        <v>7</v>
      </c>
      <c r="AC60" s="105">
        <v>4561.2</v>
      </c>
      <c r="AD60" s="105">
        <v>5</v>
      </c>
      <c r="AE60" s="105">
        <v>3258</v>
      </c>
      <c r="AF60" s="105">
        <v>6</v>
      </c>
      <c r="AG60" s="105">
        <v>3909.6000000000004</v>
      </c>
      <c r="AH60" s="105">
        <v>6</v>
      </c>
      <c r="AI60" s="105">
        <v>3909.6000000000004</v>
      </c>
      <c r="AJ60" s="105">
        <v>9</v>
      </c>
      <c r="AK60" s="105">
        <v>5864.4000000000005</v>
      </c>
      <c r="AL60" s="105">
        <v>7</v>
      </c>
      <c r="AM60" s="105">
        <v>4561.2</v>
      </c>
      <c r="AN60" s="105">
        <v>7</v>
      </c>
      <c r="AO60" s="105">
        <v>4561.2</v>
      </c>
      <c r="AP60" s="105">
        <v>6</v>
      </c>
      <c r="AQ60" s="105">
        <v>3909.6000000000004</v>
      </c>
      <c r="AR60" s="105">
        <v>10</v>
      </c>
      <c r="AS60" s="105">
        <v>6516</v>
      </c>
      <c r="AT60" s="105">
        <v>8</v>
      </c>
      <c r="AU60" s="105">
        <v>5212.8</v>
      </c>
      <c r="AV60" s="105">
        <v>11</v>
      </c>
      <c r="AW60" s="105">
        <v>7167.6</v>
      </c>
      <c r="AX60" s="105">
        <v>9</v>
      </c>
      <c r="AY60" s="105">
        <v>5864.4000000000005</v>
      </c>
      <c r="AZ60" s="105">
        <v>11</v>
      </c>
      <c r="BA60" s="105">
        <v>7167.6</v>
      </c>
      <c r="BB60" s="105">
        <v>9</v>
      </c>
      <c r="BC60" s="105">
        <v>5864.4000000000005</v>
      </c>
      <c r="BD60" s="105">
        <v>9</v>
      </c>
      <c r="BE60" s="105">
        <v>5864.4000000000005</v>
      </c>
      <c r="BF60" s="105">
        <v>7</v>
      </c>
      <c r="BG60" s="105">
        <v>4561.2</v>
      </c>
      <c r="BH60" s="105">
        <v>14</v>
      </c>
      <c r="BI60" s="105">
        <v>9122.4</v>
      </c>
      <c r="BJ60" s="105">
        <v>13</v>
      </c>
      <c r="BK60" s="105">
        <v>8470.8000000000011</v>
      </c>
      <c r="BL60" s="105">
        <v>14</v>
      </c>
      <c r="BM60" s="105">
        <v>9122.4</v>
      </c>
      <c r="BN60" s="105">
        <v>15</v>
      </c>
      <c r="BO60" s="105">
        <v>9774</v>
      </c>
      <c r="BP60" s="105">
        <v>12</v>
      </c>
      <c r="BQ60" s="105">
        <v>7819.2000000000007</v>
      </c>
      <c r="BR60" s="105">
        <v>17</v>
      </c>
      <c r="BS60" s="105">
        <v>11077.2</v>
      </c>
      <c r="BT60" s="105">
        <v>19</v>
      </c>
      <c r="BU60" s="105">
        <v>12380.4</v>
      </c>
      <c r="BV60" s="105">
        <v>16</v>
      </c>
      <c r="BW60" s="105">
        <v>10425.6</v>
      </c>
      <c r="BX60" s="105">
        <v>20</v>
      </c>
      <c r="BY60" s="105">
        <v>13032</v>
      </c>
      <c r="BZ60" s="105">
        <v>29</v>
      </c>
      <c r="CA60" s="105">
        <v>18896.400000000001</v>
      </c>
      <c r="CB60" s="105">
        <v>20.796786505915236</v>
      </c>
      <c r="CC60" s="105">
        <v>13551.186087254368</v>
      </c>
      <c r="CD60" s="105">
        <v>6.7618357383291023</v>
      </c>
      <c r="CE60" s="105">
        <v>4406.0121670952431</v>
      </c>
      <c r="CF60" s="105">
        <v>6.0887874157720141</v>
      </c>
      <c r="CG60" s="105">
        <v>3967.4538801170447</v>
      </c>
      <c r="CH60" s="105">
        <v>0.61343499353169473</v>
      </c>
      <c r="CI60" s="105">
        <v>399.71424178525228</v>
      </c>
      <c r="CJ60" s="105">
        <v>6.297430029042129</v>
      </c>
      <c r="CK60" s="105">
        <v>4103.4054069238518</v>
      </c>
      <c r="CL60" s="105">
        <v>1.9083825612515166</v>
      </c>
      <c r="CM60" s="105">
        <v>1243.5020769114883</v>
      </c>
      <c r="CN60" s="105">
        <v>8.1213344626169395</v>
      </c>
      <c r="CO60" s="105">
        <v>5291.861535841198</v>
      </c>
      <c r="CP60" s="105">
        <v>6.9542372862238393</v>
      </c>
      <c r="CQ60" s="105">
        <v>4531.3810157034541</v>
      </c>
      <c r="CR60" s="105">
        <v>3.2927489288678053</v>
      </c>
      <c r="CS60" s="105">
        <v>2145.5552020502619</v>
      </c>
      <c r="CT60" s="105">
        <v>0.57173051389708962</v>
      </c>
      <c r="CU60" s="105">
        <v>372.53960285534362</v>
      </c>
    </row>
    <row r="61" spans="2:99" x14ac:dyDescent="0.25">
      <c r="C61" s="104" t="s">
        <v>226</v>
      </c>
      <c r="D61" s="105">
        <v>0</v>
      </c>
      <c r="E61" s="105">
        <v>0</v>
      </c>
      <c r="F61" s="105">
        <v>0</v>
      </c>
      <c r="G61" s="105">
        <v>0</v>
      </c>
      <c r="H61" s="105">
        <v>0</v>
      </c>
      <c r="I61" s="105">
        <v>0</v>
      </c>
      <c r="J61" s="105">
        <v>2</v>
      </c>
      <c r="K61" s="105">
        <v>1903.1999999999998</v>
      </c>
      <c r="L61" s="105">
        <v>5</v>
      </c>
      <c r="M61" s="105">
        <v>4758</v>
      </c>
      <c r="N61" s="105">
        <v>4</v>
      </c>
      <c r="O61" s="105">
        <v>3806.3999999999996</v>
      </c>
      <c r="P61" s="105">
        <v>3</v>
      </c>
      <c r="Q61" s="105">
        <v>2854.7999999999997</v>
      </c>
      <c r="R61" s="105">
        <v>4</v>
      </c>
      <c r="S61" s="105">
        <v>3806.3999999999996</v>
      </c>
      <c r="T61" s="105">
        <v>3</v>
      </c>
      <c r="U61" s="105">
        <v>2854.7999999999997</v>
      </c>
      <c r="V61" s="105">
        <v>5</v>
      </c>
      <c r="W61" s="105">
        <v>4758</v>
      </c>
      <c r="X61" s="105">
        <v>5</v>
      </c>
      <c r="Y61" s="105">
        <v>4758</v>
      </c>
      <c r="Z61" s="105">
        <v>6</v>
      </c>
      <c r="AA61" s="105">
        <v>5709.5999999999995</v>
      </c>
      <c r="AB61" s="105">
        <v>7</v>
      </c>
      <c r="AC61" s="105">
        <v>6661.1999999999989</v>
      </c>
      <c r="AD61" s="105">
        <v>4</v>
      </c>
      <c r="AE61" s="105">
        <v>3806.3999999999996</v>
      </c>
      <c r="AF61" s="105">
        <v>5</v>
      </c>
      <c r="AG61" s="105">
        <v>4758</v>
      </c>
      <c r="AH61" s="105">
        <v>6</v>
      </c>
      <c r="AI61" s="105">
        <v>5709.5999999999995</v>
      </c>
      <c r="AJ61" s="105">
        <v>8</v>
      </c>
      <c r="AK61" s="105">
        <v>7612.7999999999993</v>
      </c>
      <c r="AL61" s="105">
        <v>7</v>
      </c>
      <c r="AM61" s="105">
        <v>6661.1999999999989</v>
      </c>
      <c r="AN61" s="105">
        <v>8</v>
      </c>
      <c r="AO61" s="105">
        <v>7612.7999999999993</v>
      </c>
      <c r="AP61" s="105">
        <v>7</v>
      </c>
      <c r="AQ61" s="105">
        <v>6661.1999999999989</v>
      </c>
      <c r="AR61" s="105">
        <v>10</v>
      </c>
      <c r="AS61" s="105">
        <v>9516</v>
      </c>
      <c r="AT61" s="105">
        <v>7</v>
      </c>
      <c r="AU61" s="105">
        <v>6661.1999999999989</v>
      </c>
      <c r="AV61" s="105">
        <v>10</v>
      </c>
      <c r="AW61" s="105">
        <v>9516</v>
      </c>
      <c r="AX61" s="105">
        <v>10</v>
      </c>
      <c r="AY61" s="105">
        <v>9516</v>
      </c>
      <c r="AZ61" s="105">
        <v>10</v>
      </c>
      <c r="BA61" s="105">
        <v>9516</v>
      </c>
      <c r="BB61" s="105">
        <v>9</v>
      </c>
      <c r="BC61" s="105">
        <v>8564.4</v>
      </c>
      <c r="BD61" s="105">
        <v>9</v>
      </c>
      <c r="BE61" s="105">
        <v>8564.4</v>
      </c>
      <c r="BF61" s="105">
        <v>7</v>
      </c>
      <c r="BG61" s="105">
        <v>6661.1999999999989</v>
      </c>
      <c r="BH61" s="105">
        <v>15</v>
      </c>
      <c r="BI61" s="105">
        <v>14273.999999999998</v>
      </c>
      <c r="BJ61" s="105">
        <v>14</v>
      </c>
      <c r="BK61" s="105">
        <v>13322.399999999998</v>
      </c>
      <c r="BL61" s="105">
        <v>14</v>
      </c>
      <c r="BM61" s="105">
        <v>13322.399999999998</v>
      </c>
      <c r="BN61" s="105">
        <v>15</v>
      </c>
      <c r="BO61" s="105">
        <v>14273.999999999998</v>
      </c>
      <c r="BP61" s="105">
        <v>12</v>
      </c>
      <c r="BQ61" s="105">
        <v>11419.199999999999</v>
      </c>
      <c r="BR61" s="105">
        <v>19</v>
      </c>
      <c r="BS61" s="105">
        <v>18080.399999999998</v>
      </c>
      <c r="BT61" s="105">
        <v>17</v>
      </c>
      <c r="BU61" s="105">
        <v>16177.199999999999</v>
      </c>
      <c r="BV61" s="105">
        <v>18</v>
      </c>
      <c r="BW61" s="105">
        <v>17128.8</v>
      </c>
      <c r="BX61" s="105">
        <v>20</v>
      </c>
      <c r="BY61" s="105">
        <v>19032</v>
      </c>
      <c r="BZ61" s="105">
        <v>29</v>
      </c>
      <c r="CA61" s="105">
        <v>27596.399999999998</v>
      </c>
      <c r="CB61" s="105">
        <v>18.197188192675828</v>
      </c>
      <c r="CC61" s="105">
        <v>17316.444284150315</v>
      </c>
      <c r="CD61" s="105">
        <v>6.4059496468380974</v>
      </c>
      <c r="CE61" s="105">
        <v>6095.9016839311325</v>
      </c>
      <c r="CF61" s="105">
        <v>6.8313224664759185</v>
      </c>
      <c r="CG61" s="105">
        <v>6500.6864590984833</v>
      </c>
      <c r="CH61" s="105">
        <v>0.55329430789133249</v>
      </c>
      <c r="CI61" s="105">
        <v>526.51486338939196</v>
      </c>
      <c r="CJ61" s="105">
        <v>5.5502773137320451</v>
      </c>
      <c r="CK61" s="105">
        <v>5281.6438917474134</v>
      </c>
      <c r="CL61" s="105">
        <v>1.966212335834896</v>
      </c>
      <c r="CM61" s="105">
        <v>1871.0476587804869</v>
      </c>
      <c r="CN61" s="105">
        <v>7.4089367027382602</v>
      </c>
      <c r="CO61" s="105">
        <v>7050.3441663257281</v>
      </c>
      <c r="CP61" s="105">
        <v>7.050823915199171</v>
      </c>
      <c r="CQ61" s="105">
        <v>6709.5640377035306</v>
      </c>
      <c r="CR61" s="105">
        <v>2.9688719850447423</v>
      </c>
      <c r="CS61" s="105">
        <v>2825.1785809685766</v>
      </c>
      <c r="CT61" s="105">
        <v>0.49420773235172155</v>
      </c>
      <c r="CU61" s="105">
        <v>470.28807810589819</v>
      </c>
    </row>
    <row r="62" spans="2:99" x14ac:dyDescent="0.25">
      <c r="C62" s="104" t="s">
        <v>227</v>
      </c>
      <c r="D62" s="105">
        <v>0</v>
      </c>
      <c r="E62" s="105">
        <v>0</v>
      </c>
      <c r="F62" s="105">
        <v>0</v>
      </c>
      <c r="G62" s="105">
        <v>0</v>
      </c>
      <c r="H62" s="105">
        <v>0</v>
      </c>
      <c r="I62" s="105">
        <v>0</v>
      </c>
      <c r="J62" s="105">
        <v>2</v>
      </c>
      <c r="K62" s="105">
        <v>3410.4</v>
      </c>
      <c r="L62" s="105">
        <v>4</v>
      </c>
      <c r="M62" s="105">
        <v>6820.8</v>
      </c>
      <c r="N62" s="105">
        <v>4</v>
      </c>
      <c r="O62" s="105">
        <v>6820.8</v>
      </c>
      <c r="P62" s="105">
        <v>3</v>
      </c>
      <c r="Q62" s="105">
        <v>5115.6000000000004</v>
      </c>
      <c r="R62" s="105">
        <v>4</v>
      </c>
      <c r="S62" s="105">
        <v>6820.8</v>
      </c>
      <c r="T62" s="105">
        <v>3</v>
      </c>
      <c r="U62" s="105">
        <v>5115.6000000000004</v>
      </c>
      <c r="V62" s="105">
        <v>5</v>
      </c>
      <c r="W62" s="105">
        <v>8526</v>
      </c>
      <c r="X62" s="105">
        <v>5</v>
      </c>
      <c r="Y62" s="105">
        <v>8526</v>
      </c>
      <c r="Z62" s="105">
        <v>5</v>
      </c>
      <c r="AA62" s="105">
        <v>8526</v>
      </c>
      <c r="AB62" s="105">
        <v>7</v>
      </c>
      <c r="AC62" s="105">
        <v>11936.4</v>
      </c>
      <c r="AD62" s="105">
        <v>4</v>
      </c>
      <c r="AE62" s="105">
        <v>6820.8</v>
      </c>
      <c r="AF62" s="105">
        <v>5</v>
      </c>
      <c r="AG62" s="105">
        <v>8526</v>
      </c>
      <c r="AH62" s="105">
        <v>6</v>
      </c>
      <c r="AI62" s="105">
        <v>10231.200000000001</v>
      </c>
      <c r="AJ62" s="105">
        <v>8</v>
      </c>
      <c r="AK62" s="105">
        <v>13641.6</v>
      </c>
      <c r="AL62" s="105">
        <v>7</v>
      </c>
      <c r="AM62" s="105">
        <v>11936.4</v>
      </c>
      <c r="AN62" s="105">
        <v>7</v>
      </c>
      <c r="AO62" s="105">
        <v>11936.4</v>
      </c>
      <c r="AP62" s="105">
        <v>6</v>
      </c>
      <c r="AQ62" s="105">
        <v>10231.200000000001</v>
      </c>
      <c r="AR62" s="105">
        <v>9</v>
      </c>
      <c r="AS62" s="105">
        <v>15346.800000000001</v>
      </c>
      <c r="AT62" s="105">
        <v>8</v>
      </c>
      <c r="AU62" s="105">
        <v>13641.6</v>
      </c>
      <c r="AV62" s="105">
        <v>9</v>
      </c>
      <c r="AW62" s="105">
        <v>15346.800000000001</v>
      </c>
      <c r="AX62" s="105">
        <v>10</v>
      </c>
      <c r="AY62" s="105">
        <v>17052</v>
      </c>
      <c r="AZ62" s="105">
        <v>10</v>
      </c>
      <c r="BA62" s="105">
        <v>17052</v>
      </c>
      <c r="BB62" s="105">
        <v>8</v>
      </c>
      <c r="BC62" s="105">
        <v>13641.6</v>
      </c>
      <c r="BD62" s="105">
        <v>9</v>
      </c>
      <c r="BE62" s="105">
        <v>15346.800000000001</v>
      </c>
      <c r="BF62" s="105">
        <v>7</v>
      </c>
      <c r="BG62" s="105">
        <v>11936.4</v>
      </c>
      <c r="BH62" s="105">
        <v>13</v>
      </c>
      <c r="BI62" s="105">
        <v>22167.600000000002</v>
      </c>
      <c r="BJ62" s="105">
        <v>13</v>
      </c>
      <c r="BK62" s="105">
        <v>22167.600000000002</v>
      </c>
      <c r="BL62" s="105">
        <v>14</v>
      </c>
      <c r="BM62" s="105">
        <v>23872.799999999999</v>
      </c>
      <c r="BN62" s="105">
        <v>15</v>
      </c>
      <c r="BO62" s="105">
        <v>25578</v>
      </c>
      <c r="BP62" s="105">
        <v>12</v>
      </c>
      <c r="BQ62" s="105">
        <v>20462.400000000001</v>
      </c>
      <c r="BR62" s="105">
        <v>16</v>
      </c>
      <c r="BS62" s="105">
        <v>27283.200000000001</v>
      </c>
      <c r="BT62" s="105">
        <v>17</v>
      </c>
      <c r="BU62" s="105">
        <v>28988.400000000001</v>
      </c>
      <c r="BV62" s="105">
        <v>17</v>
      </c>
      <c r="BW62" s="105">
        <v>28988.400000000001</v>
      </c>
      <c r="BX62" s="105">
        <v>15</v>
      </c>
      <c r="BY62" s="105">
        <v>25578</v>
      </c>
      <c r="BZ62" s="105">
        <v>23</v>
      </c>
      <c r="CA62" s="105">
        <v>39219.599999999999</v>
      </c>
      <c r="CB62" s="105">
        <v>15.597589879436427</v>
      </c>
      <c r="CC62" s="105">
        <v>26597.010262414995</v>
      </c>
      <c r="CD62" s="105">
        <v>4.982405280874076</v>
      </c>
      <c r="CE62" s="105">
        <v>8495.9974849464743</v>
      </c>
      <c r="CF62" s="105">
        <v>5.3462523650681106</v>
      </c>
      <c r="CG62" s="105">
        <v>9116.4295329141423</v>
      </c>
      <c r="CH62" s="105">
        <v>0.48112548512289788</v>
      </c>
      <c r="CI62" s="105">
        <v>820.41517723156551</v>
      </c>
      <c r="CJ62" s="105">
        <v>4.5896523940476524</v>
      </c>
      <c r="CK62" s="105">
        <v>7826.2752623300566</v>
      </c>
      <c r="CL62" s="105">
        <v>1.561403913751241</v>
      </c>
      <c r="CM62" s="105">
        <v>2662.5059537286161</v>
      </c>
      <c r="CN62" s="105">
        <v>6.2691002869323738</v>
      </c>
      <c r="CO62" s="105">
        <v>10690.069809277084</v>
      </c>
      <c r="CP62" s="105">
        <v>6.4713041413471846</v>
      </c>
      <c r="CQ62" s="105">
        <v>11034.867821825219</v>
      </c>
      <c r="CR62" s="105">
        <v>2.5370360599473254</v>
      </c>
      <c r="CS62" s="105">
        <v>4326.1538894221794</v>
      </c>
      <c r="CT62" s="105">
        <v>0.41668495080635348</v>
      </c>
      <c r="CU62" s="105">
        <v>710.53117811499396</v>
      </c>
    </row>
    <row r="63" spans="2:99" x14ac:dyDescent="0.25">
      <c r="C63" s="104" t="s">
        <v>228</v>
      </c>
      <c r="D63" s="105">
        <v>0</v>
      </c>
      <c r="E63" s="105">
        <v>0</v>
      </c>
      <c r="F63" s="105">
        <v>0</v>
      </c>
      <c r="G63" s="105">
        <v>0</v>
      </c>
      <c r="H63" s="105">
        <v>0</v>
      </c>
      <c r="I63" s="105">
        <v>0</v>
      </c>
      <c r="J63" s="105">
        <v>2</v>
      </c>
      <c r="K63" s="105">
        <v>1591.2</v>
      </c>
      <c r="L63" s="105">
        <v>4</v>
      </c>
      <c r="M63" s="105">
        <v>3182.4</v>
      </c>
      <c r="N63" s="105">
        <v>4</v>
      </c>
      <c r="O63" s="105">
        <v>3182.4</v>
      </c>
      <c r="P63" s="105">
        <v>3</v>
      </c>
      <c r="Q63" s="105">
        <v>2386.8000000000002</v>
      </c>
      <c r="R63" s="105">
        <v>4</v>
      </c>
      <c r="S63" s="105">
        <v>3182.4</v>
      </c>
      <c r="T63" s="105">
        <v>3</v>
      </c>
      <c r="U63" s="105">
        <v>2386.8000000000002</v>
      </c>
      <c r="V63" s="105">
        <v>5</v>
      </c>
      <c r="W63" s="105">
        <v>3978</v>
      </c>
      <c r="X63" s="105">
        <v>5</v>
      </c>
      <c r="Y63" s="105">
        <v>3978</v>
      </c>
      <c r="Z63" s="105">
        <v>6</v>
      </c>
      <c r="AA63" s="105">
        <v>4773.6000000000004</v>
      </c>
      <c r="AB63" s="105">
        <v>7</v>
      </c>
      <c r="AC63" s="105">
        <v>5569.2</v>
      </c>
      <c r="AD63" s="105">
        <v>5</v>
      </c>
      <c r="AE63" s="105">
        <v>3978</v>
      </c>
      <c r="AF63" s="105">
        <v>6</v>
      </c>
      <c r="AG63" s="105">
        <v>4773.6000000000004</v>
      </c>
      <c r="AH63" s="105">
        <v>6</v>
      </c>
      <c r="AI63" s="105">
        <v>4773.6000000000004</v>
      </c>
      <c r="AJ63" s="105">
        <v>9</v>
      </c>
      <c r="AK63" s="105">
        <v>7160.4000000000005</v>
      </c>
      <c r="AL63" s="105">
        <v>7</v>
      </c>
      <c r="AM63" s="105">
        <v>5569.2</v>
      </c>
      <c r="AN63" s="105">
        <v>7</v>
      </c>
      <c r="AO63" s="105">
        <v>5569.2</v>
      </c>
      <c r="AP63" s="105">
        <v>6</v>
      </c>
      <c r="AQ63" s="105">
        <v>4773.6000000000004</v>
      </c>
      <c r="AR63" s="105">
        <v>10</v>
      </c>
      <c r="AS63" s="105">
        <v>7956</v>
      </c>
      <c r="AT63" s="105">
        <v>8</v>
      </c>
      <c r="AU63" s="105">
        <v>6364.8</v>
      </c>
      <c r="AV63" s="105">
        <v>10</v>
      </c>
      <c r="AW63" s="105">
        <v>7956</v>
      </c>
      <c r="AX63" s="105">
        <v>10</v>
      </c>
      <c r="AY63" s="105">
        <v>7956</v>
      </c>
      <c r="AZ63" s="105">
        <v>9</v>
      </c>
      <c r="BA63" s="105">
        <v>7160.4000000000005</v>
      </c>
      <c r="BB63" s="105">
        <v>10</v>
      </c>
      <c r="BC63" s="105">
        <v>7956</v>
      </c>
      <c r="BD63" s="105">
        <v>10</v>
      </c>
      <c r="BE63" s="105">
        <v>7956</v>
      </c>
      <c r="BF63" s="105">
        <v>8</v>
      </c>
      <c r="BG63" s="105">
        <v>6364.8</v>
      </c>
      <c r="BH63" s="105">
        <v>14</v>
      </c>
      <c r="BI63" s="105">
        <v>11138.4</v>
      </c>
      <c r="BJ63" s="105">
        <v>15</v>
      </c>
      <c r="BK63" s="105">
        <v>11934</v>
      </c>
      <c r="BL63" s="105">
        <v>15</v>
      </c>
      <c r="BM63" s="105">
        <v>11934</v>
      </c>
      <c r="BN63" s="105">
        <v>17</v>
      </c>
      <c r="BO63" s="105">
        <v>13525.2</v>
      </c>
      <c r="BP63" s="105">
        <v>13</v>
      </c>
      <c r="BQ63" s="105">
        <v>10342.800000000001</v>
      </c>
      <c r="BR63" s="105">
        <v>19</v>
      </c>
      <c r="BS63" s="105">
        <v>15116.4</v>
      </c>
      <c r="BT63" s="105">
        <v>19</v>
      </c>
      <c r="BU63" s="105">
        <v>15116.4</v>
      </c>
      <c r="BV63" s="105">
        <v>19</v>
      </c>
      <c r="BW63" s="105">
        <v>15116.4</v>
      </c>
      <c r="BX63" s="105">
        <v>18</v>
      </c>
      <c r="BY63" s="105">
        <v>14320.800000000001</v>
      </c>
      <c r="BZ63" s="105">
        <v>28</v>
      </c>
      <c r="CA63" s="105">
        <v>22276.799999999999</v>
      </c>
      <c r="CB63" s="105">
        <v>20.796786505915236</v>
      </c>
      <c r="CC63" s="105">
        <v>16545.923344106162</v>
      </c>
      <c r="CD63" s="105">
        <v>6.7618357383291023</v>
      </c>
      <c r="CE63" s="105">
        <v>5379.7165134146344</v>
      </c>
      <c r="CF63" s="105">
        <v>6.0887874157720141</v>
      </c>
      <c r="CG63" s="105">
        <v>4844.2392679882141</v>
      </c>
      <c r="CH63" s="105">
        <v>0.51720989650711513</v>
      </c>
      <c r="CI63" s="105">
        <v>411.49219366106081</v>
      </c>
      <c r="CJ63" s="105">
        <v>6.1906939268549737</v>
      </c>
      <c r="CK63" s="105">
        <v>4925.3160882058173</v>
      </c>
      <c r="CL63" s="105">
        <v>2.0240421104182751</v>
      </c>
      <c r="CM63" s="105">
        <v>1610.3279030487797</v>
      </c>
      <c r="CN63" s="105">
        <v>7.5514162547139954</v>
      </c>
      <c r="CO63" s="105">
        <v>6007.9067722504551</v>
      </c>
      <c r="CP63" s="105">
        <v>6.7610640282731778</v>
      </c>
      <c r="CQ63" s="105">
        <v>5379.1025408941405</v>
      </c>
      <c r="CR63" s="105">
        <v>3.346728419504982</v>
      </c>
      <c r="CS63" s="105">
        <v>2662.6571305581638</v>
      </c>
      <c r="CT63" s="105">
        <v>0.48451738465855054</v>
      </c>
      <c r="CU63" s="105">
        <v>385.4820312343428</v>
      </c>
    </row>
    <row r="64" spans="2:99" x14ac:dyDescent="0.25">
      <c r="C64" s="104" t="s">
        <v>229</v>
      </c>
      <c r="D64" s="105">
        <v>0</v>
      </c>
      <c r="E64" s="105">
        <v>0</v>
      </c>
      <c r="F64" s="105">
        <v>0</v>
      </c>
      <c r="G64" s="105">
        <v>0</v>
      </c>
      <c r="H64" s="105">
        <v>0</v>
      </c>
      <c r="I64" s="105">
        <v>0</v>
      </c>
      <c r="J64" s="105">
        <v>2</v>
      </c>
      <c r="K64" s="105">
        <v>2018.3999999999996</v>
      </c>
      <c r="L64" s="105">
        <v>5</v>
      </c>
      <c r="M64" s="105">
        <v>5045.9999999999991</v>
      </c>
      <c r="N64" s="105">
        <v>4</v>
      </c>
      <c r="O64" s="105">
        <v>4036.7999999999993</v>
      </c>
      <c r="P64" s="105">
        <v>3</v>
      </c>
      <c r="Q64" s="105">
        <v>3027.5999999999995</v>
      </c>
      <c r="R64" s="105">
        <v>3</v>
      </c>
      <c r="S64" s="105">
        <v>3027.5999999999995</v>
      </c>
      <c r="T64" s="105">
        <v>3</v>
      </c>
      <c r="U64" s="105">
        <v>3027.5999999999995</v>
      </c>
      <c r="V64" s="105">
        <v>6</v>
      </c>
      <c r="W64" s="105">
        <v>6055.1999999999989</v>
      </c>
      <c r="X64" s="105">
        <v>4</v>
      </c>
      <c r="Y64" s="105">
        <v>4036.7999999999993</v>
      </c>
      <c r="Z64" s="105">
        <v>5</v>
      </c>
      <c r="AA64" s="105">
        <v>5045.9999999999991</v>
      </c>
      <c r="AB64" s="105">
        <v>7</v>
      </c>
      <c r="AC64" s="105">
        <v>7064.3999999999987</v>
      </c>
      <c r="AD64" s="105">
        <v>5</v>
      </c>
      <c r="AE64" s="105">
        <v>5045.9999999999991</v>
      </c>
      <c r="AF64" s="105">
        <v>5</v>
      </c>
      <c r="AG64" s="105">
        <v>5045.9999999999991</v>
      </c>
      <c r="AH64" s="105">
        <v>5</v>
      </c>
      <c r="AI64" s="105">
        <v>5045.9999999999991</v>
      </c>
      <c r="AJ64" s="105">
        <v>9</v>
      </c>
      <c r="AK64" s="105">
        <v>9082.7999999999993</v>
      </c>
      <c r="AL64" s="105">
        <v>7</v>
      </c>
      <c r="AM64" s="105">
        <v>7064.3999999999987</v>
      </c>
      <c r="AN64" s="105">
        <v>8</v>
      </c>
      <c r="AO64" s="105">
        <v>8073.5999999999985</v>
      </c>
      <c r="AP64" s="105">
        <v>6</v>
      </c>
      <c r="AQ64" s="105">
        <v>6055.1999999999989</v>
      </c>
      <c r="AR64" s="105">
        <v>9</v>
      </c>
      <c r="AS64" s="105">
        <v>9082.7999999999993</v>
      </c>
      <c r="AT64" s="105">
        <v>7</v>
      </c>
      <c r="AU64" s="105">
        <v>7064.3999999999987</v>
      </c>
      <c r="AV64" s="105">
        <v>10</v>
      </c>
      <c r="AW64" s="105">
        <v>10091.999999999998</v>
      </c>
      <c r="AX64" s="105">
        <v>10</v>
      </c>
      <c r="AY64" s="105">
        <v>10091.999999999998</v>
      </c>
      <c r="AZ64" s="105">
        <v>10</v>
      </c>
      <c r="BA64" s="105">
        <v>10091.999999999998</v>
      </c>
      <c r="BB64" s="105">
        <v>9</v>
      </c>
      <c r="BC64" s="105">
        <v>9082.7999999999993</v>
      </c>
      <c r="BD64" s="105">
        <v>10</v>
      </c>
      <c r="BE64" s="105">
        <v>10091.999999999998</v>
      </c>
      <c r="BF64" s="105">
        <v>7</v>
      </c>
      <c r="BG64" s="105">
        <v>7064.3999999999987</v>
      </c>
      <c r="BH64" s="105">
        <v>14</v>
      </c>
      <c r="BI64" s="105">
        <v>14128.799999999997</v>
      </c>
      <c r="BJ64" s="105">
        <v>12</v>
      </c>
      <c r="BK64" s="105">
        <v>12110.399999999998</v>
      </c>
      <c r="BL64" s="105">
        <v>15</v>
      </c>
      <c r="BM64" s="105">
        <v>15137.999999999996</v>
      </c>
      <c r="BN64" s="105">
        <v>17</v>
      </c>
      <c r="BO64" s="105">
        <v>17156.399999999998</v>
      </c>
      <c r="BP64" s="105">
        <v>13</v>
      </c>
      <c r="BQ64" s="105">
        <v>13119.599999999999</v>
      </c>
      <c r="BR64" s="105">
        <v>20</v>
      </c>
      <c r="BS64" s="105">
        <v>20183.999999999996</v>
      </c>
      <c r="BT64" s="105">
        <v>17</v>
      </c>
      <c r="BU64" s="105">
        <v>17156.399999999998</v>
      </c>
      <c r="BV64" s="105">
        <v>18</v>
      </c>
      <c r="BW64" s="105">
        <v>18165.599999999999</v>
      </c>
      <c r="BX64" s="105">
        <v>19</v>
      </c>
      <c r="BY64" s="105">
        <v>19174.799999999996</v>
      </c>
      <c r="BZ64" s="105">
        <v>28</v>
      </c>
      <c r="CA64" s="105">
        <v>28257.599999999995</v>
      </c>
      <c r="CB64" s="105">
        <v>19.063720963755632</v>
      </c>
      <c r="CC64" s="105">
        <v>19239.107196622179</v>
      </c>
      <c r="CD64" s="105">
        <v>6.0500635553470916</v>
      </c>
      <c r="CE64" s="105">
        <v>6105.7241400562834</v>
      </c>
      <c r="CF64" s="105">
        <v>6.5343084461943564</v>
      </c>
      <c r="CG64" s="105">
        <v>6594.4240838993428</v>
      </c>
      <c r="CH64" s="105">
        <v>0.60140685640362235</v>
      </c>
      <c r="CI64" s="105">
        <v>606.93979948253559</v>
      </c>
      <c r="CJ64" s="105">
        <v>5.6570134159192005</v>
      </c>
      <c r="CK64" s="105">
        <v>5709.0579393456565</v>
      </c>
      <c r="CL64" s="105">
        <v>1.9083825612515166</v>
      </c>
      <c r="CM64" s="105">
        <v>1925.9396808150302</v>
      </c>
      <c r="CN64" s="105">
        <v>8.2638140145926755</v>
      </c>
      <c r="CO64" s="105">
        <v>8339.8411035269273</v>
      </c>
      <c r="CP64" s="105">
        <v>6.8576506572485085</v>
      </c>
      <c r="CQ64" s="105">
        <v>6920.7410432951938</v>
      </c>
      <c r="CR64" s="105">
        <v>2.8069335131332109</v>
      </c>
      <c r="CS64" s="105">
        <v>2832.7573014540358</v>
      </c>
      <c r="CT64" s="105">
        <v>0.48451738465855054</v>
      </c>
      <c r="CU64" s="105">
        <v>488.97494459740909</v>
      </c>
    </row>
    <row r="65" spans="2:99" x14ac:dyDescent="0.25">
      <c r="C65" s="104" t="s">
        <v>230</v>
      </c>
      <c r="D65" s="105">
        <v>0</v>
      </c>
      <c r="E65" s="105">
        <v>0</v>
      </c>
      <c r="F65" s="105">
        <v>0</v>
      </c>
      <c r="G65" s="105">
        <v>0</v>
      </c>
      <c r="H65" s="105">
        <v>0</v>
      </c>
      <c r="I65" s="105">
        <v>0</v>
      </c>
      <c r="J65" s="105">
        <v>2</v>
      </c>
      <c r="K65" s="105">
        <v>2052</v>
      </c>
      <c r="L65" s="105">
        <v>4</v>
      </c>
      <c r="M65" s="105">
        <v>4104</v>
      </c>
      <c r="N65" s="105">
        <v>4</v>
      </c>
      <c r="O65" s="105">
        <v>4104</v>
      </c>
      <c r="P65" s="105">
        <v>3</v>
      </c>
      <c r="Q65" s="105">
        <v>3078</v>
      </c>
      <c r="R65" s="105">
        <v>4</v>
      </c>
      <c r="S65" s="105">
        <v>4104</v>
      </c>
      <c r="T65" s="105">
        <v>3</v>
      </c>
      <c r="U65" s="105">
        <v>3078</v>
      </c>
      <c r="V65" s="105">
        <v>5</v>
      </c>
      <c r="W65" s="105">
        <v>5130</v>
      </c>
      <c r="X65" s="105">
        <v>5</v>
      </c>
      <c r="Y65" s="105">
        <v>5130</v>
      </c>
      <c r="Z65" s="105">
        <v>6</v>
      </c>
      <c r="AA65" s="105">
        <v>6156</v>
      </c>
      <c r="AB65" s="105">
        <v>6</v>
      </c>
      <c r="AC65" s="105">
        <v>6156</v>
      </c>
      <c r="AD65" s="105">
        <v>5</v>
      </c>
      <c r="AE65" s="105">
        <v>5130</v>
      </c>
      <c r="AF65" s="105">
        <v>6</v>
      </c>
      <c r="AG65" s="105">
        <v>6156</v>
      </c>
      <c r="AH65" s="105">
        <v>6</v>
      </c>
      <c r="AI65" s="105">
        <v>6156</v>
      </c>
      <c r="AJ65" s="105">
        <v>8</v>
      </c>
      <c r="AK65" s="105">
        <v>8208</v>
      </c>
      <c r="AL65" s="105">
        <v>7</v>
      </c>
      <c r="AM65" s="105">
        <v>7182</v>
      </c>
      <c r="AN65" s="105">
        <v>8</v>
      </c>
      <c r="AO65" s="105">
        <v>8208</v>
      </c>
      <c r="AP65" s="105">
        <v>6</v>
      </c>
      <c r="AQ65" s="105">
        <v>6156</v>
      </c>
      <c r="AR65" s="105">
        <v>10</v>
      </c>
      <c r="AS65" s="105">
        <v>10260</v>
      </c>
      <c r="AT65" s="105">
        <v>7</v>
      </c>
      <c r="AU65" s="105">
        <v>7182</v>
      </c>
      <c r="AV65" s="105">
        <v>9</v>
      </c>
      <c r="AW65" s="105">
        <v>9234</v>
      </c>
      <c r="AX65" s="105">
        <v>10</v>
      </c>
      <c r="AY65" s="105">
        <v>10260</v>
      </c>
      <c r="AZ65" s="105">
        <v>9</v>
      </c>
      <c r="BA65" s="105">
        <v>9234</v>
      </c>
      <c r="BB65" s="105">
        <v>9</v>
      </c>
      <c r="BC65" s="105">
        <v>9234</v>
      </c>
      <c r="BD65" s="105">
        <v>10</v>
      </c>
      <c r="BE65" s="105">
        <v>10260</v>
      </c>
      <c r="BF65" s="105">
        <v>9</v>
      </c>
      <c r="BG65" s="105">
        <v>9234</v>
      </c>
      <c r="BH65" s="105">
        <v>15</v>
      </c>
      <c r="BI65" s="105">
        <v>15390</v>
      </c>
      <c r="BJ65" s="105">
        <v>14</v>
      </c>
      <c r="BK65" s="105">
        <v>14364</v>
      </c>
      <c r="BL65" s="105">
        <v>13</v>
      </c>
      <c r="BM65" s="105">
        <v>13338</v>
      </c>
      <c r="BN65" s="105">
        <v>16</v>
      </c>
      <c r="BO65" s="105">
        <v>16416</v>
      </c>
      <c r="BP65" s="105">
        <v>11</v>
      </c>
      <c r="BQ65" s="105">
        <v>11286</v>
      </c>
      <c r="BR65" s="105">
        <v>18</v>
      </c>
      <c r="BS65" s="105">
        <v>18468</v>
      </c>
      <c r="BT65" s="105">
        <v>17</v>
      </c>
      <c r="BU65" s="105">
        <v>17442</v>
      </c>
      <c r="BV65" s="105">
        <v>18</v>
      </c>
      <c r="BW65" s="105">
        <v>18468</v>
      </c>
      <c r="BX65" s="105">
        <v>19</v>
      </c>
      <c r="BY65" s="105">
        <v>19494</v>
      </c>
      <c r="BZ65" s="105">
        <v>29</v>
      </c>
      <c r="CA65" s="105">
        <v>29754</v>
      </c>
      <c r="CB65" s="105">
        <v>18.197188192675828</v>
      </c>
      <c r="CC65" s="105">
        <v>18670.315085685401</v>
      </c>
      <c r="CD65" s="105">
        <v>6.0500635553470916</v>
      </c>
      <c r="CE65" s="105">
        <v>6207.3652077861161</v>
      </c>
      <c r="CF65" s="105">
        <v>5.7917733954904529</v>
      </c>
      <c r="CG65" s="105">
        <v>5942.3595037732048</v>
      </c>
      <c r="CH65" s="105">
        <v>0.50518175937904275</v>
      </c>
      <c r="CI65" s="105">
        <v>518.31648512289792</v>
      </c>
      <c r="CJ65" s="105">
        <v>5.1233329049834264</v>
      </c>
      <c r="CK65" s="105">
        <v>5256.5395605129952</v>
      </c>
      <c r="CL65" s="105">
        <v>1.6770634629179995</v>
      </c>
      <c r="CM65" s="105">
        <v>1720.6671129538674</v>
      </c>
      <c r="CN65" s="105">
        <v>8.2638140145926755</v>
      </c>
      <c r="CO65" s="105">
        <v>8478.6731789720852</v>
      </c>
      <c r="CP65" s="105">
        <v>6.6644773992978461</v>
      </c>
      <c r="CQ65" s="105">
        <v>6837.7538116795904</v>
      </c>
      <c r="CR65" s="105">
        <v>3.2927489288678053</v>
      </c>
      <c r="CS65" s="105">
        <v>3378.3604010183681</v>
      </c>
      <c r="CT65" s="105">
        <v>0.49420773235172155</v>
      </c>
      <c r="CU65" s="105">
        <v>507.05713339286632</v>
      </c>
    </row>
    <row r="66" spans="2:99" x14ac:dyDescent="0.25">
      <c r="C66" s="104" t="s">
        <v>231</v>
      </c>
      <c r="D66" s="105">
        <v>0</v>
      </c>
      <c r="E66" s="105">
        <v>0</v>
      </c>
      <c r="F66" s="105">
        <v>0</v>
      </c>
      <c r="G66" s="105">
        <v>0</v>
      </c>
      <c r="H66" s="105">
        <v>0</v>
      </c>
      <c r="I66" s="105">
        <v>0</v>
      </c>
      <c r="J66" s="105">
        <v>2</v>
      </c>
      <c r="K66" s="105">
        <v>2380.7999999999997</v>
      </c>
      <c r="L66" s="105">
        <v>4</v>
      </c>
      <c r="M66" s="105">
        <v>4761.5999999999995</v>
      </c>
      <c r="N66" s="105">
        <v>3</v>
      </c>
      <c r="O66" s="105">
        <v>3571.2</v>
      </c>
      <c r="P66" s="105">
        <v>3</v>
      </c>
      <c r="Q66" s="105">
        <v>3571.2</v>
      </c>
      <c r="R66" s="105">
        <v>4</v>
      </c>
      <c r="S66" s="105">
        <v>4761.5999999999995</v>
      </c>
      <c r="T66" s="105">
        <v>3</v>
      </c>
      <c r="U66" s="105">
        <v>3571.2</v>
      </c>
      <c r="V66" s="105">
        <v>5</v>
      </c>
      <c r="W66" s="105">
        <v>5951.9999999999991</v>
      </c>
      <c r="X66" s="105">
        <v>5</v>
      </c>
      <c r="Y66" s="105">
        <v>5951.9999999999991</v>
      </c>
      <c r="Z66" s="105">
        <v>5</v>
      </c>
      <c r="AA66" s="105">
        <v>5951.9999999999991</v>
      </c>
      <c r="AB66" s="105">
        <v>6</v>
      </c>
      <c r="AC66" s="105">
        <v>7142.4</v>
      </c>
      <c r="AD66" s="105">
        <v>5</v>
      </c>
      <c r="AE66" s="105">
        <v>5951.9999999999991</v>
      </c>
      <c r="AF66" s="105">
        <v>6</v>
      </c>
      <c r="AG66" s="105">
        <v>7142.4</v>
      </c>
      <c r="AH66" s="105">
        <v>6</v>
      </c>
      <c r="AI66" s="105">
        <v>7142.4</v>
      </c>
      <c r="AJ66" s="105">
        <v>8</v>
      </c>
      <c r="AK66" s="105">
        <v>9523.1999999999989</v>
      </c>
      <c r="AL66" s="105">
        <v>7</v>
      </c>
      <c r="AM66" s="105">
        <v>8332.7999999999993</v>
      </c>
      <c r="AN66" s="105">
        <v>7</v>
      </c>
      <c r="AO66" s="105">
        <v>8332.7999999999993</v>
      </c>
      <c r="AP66" s="105">
        <v>6</v>
      </c>
      <c r="AQ66" s="105">
        <v>7142.4</v>
      </c>
      <c r="AR66" s="105">
        <v>9</v>
      </c>
      <c r="AS66" s="105">
        <v>10713.599999999999</v>
      </c>
      <c r="AT66" s="105">
        <v>7</v>
      </c>
      <c r="AU66" s="105">
        <v>8332.7999999999993</v>
      </c>
      <c r="AV66" s="105">
        <v>9</v>
      </c>
      <c r="AW66" s="105">
        <v>10713.599999999999</v>
      </c>
      <c r="AX66" s="105">
        <v>9</v>
      </c>
      <c r="AY66" s="105">
        <v>10713.599999999999</v>
      </c>
      <c r="AZ66" s="105">
        <v>9</v>
      </c>
      <c r="BA66" s="105">
        <v>10713.599999999999</v>
      </c>
      <c r="BB66" s="105">
        <v>9</v>
      </c>
      <c r="BC66" s="105">
        <v>10713.599999999999</v>
      </c>
      <c r="BD66" s="105">
        <v>9</v>
      </c>
      <c r="BE66" s="105">
        <v>10713.599999999999</v>
      </c>
      <c r="BF66" s="105">
        <v>7</v>
      </c>
      <c r="BG66" s="105">
        <v>8332.7999999999993</v>
      </c>
      <c r="BH66" s="105">
        <v>14</v>
      </c>
      <c r="BI66" s="105">
        <v>16665.599999999999</v>
      </c>
      <c r="BJ66" s="105">
        <v>14</v>
      </c>
      <c r="BK66" s="105">
        <v>16665.599999999999</v>
      </c>
      <c r="BL66" s="105">
        <v>13</v>
      </c>
      <c r="BM66" s="105">
        <v>15475.199999999999</v>
      </c>
      <c r="BN66" s="105">
        <v>15</v>
      </c>
      <c r="BO66" s="105">
        <v>17855.999999999996</v>
      </c>
      <c r="BP66" s="105">
        <v>11</v>
      </c>
      <c r="BQ66" s="105">
        <v>13094.399999999998</v>
      </c>
      <c r="BR66" s="105">
        <v>16</v>
      </c>
      <c r="BS66" s="105">
        <v>19046.399999999998</v>
      </c>
      <c r="BT66" s="105">
        <v>16</v>
      </c>
      <c r="BU66" s="105">
        <v>19046.399999999998</v>
      </c>
      <c r="BV66" s="105">
        <v>15</v>
      </c>
      <c r="BW66" s="105">
        <v>17855.999999999996</v>
      </c>
      <c r="BX66" s="105">
        <v>18</v>
      </c>
      <c r="BY66" s="105">
        <v>21427.199999999997</v>
      </c>
      <c r="BZ66" s="105">
        <v>28</v>
      </c>
      <c r="CA66" s="105">
        <v>33331.199999999997</v>
      </c>
      <c r="CB66" s="105">
        <v>18.197188192675828</v>
      </c>
      <c r="CC66" s="105">
        <v>21661.932824561303</v>
      </c>
      <c r="CD66" s="105">
        <v>6.7618357383291023</v>
      </c>
      <c r="CE66" s="105">
        <v>8049.2892629069629</v>
      </c>
      <c r="CF66" s="105">
        <v>6.2372944259127951</v>
      </c>
      <c r="CG66" s="105">
        <v>7424.8752846065909</v>
      </c>
      <c r="CH66" s="105">
        <v>0.52923803363518762</v>
      </c>
      <c r="CI66" s="105">
        <v>630.00495523932727</v>
      </c>
      <c r="CJ66" s="105">
        <v>5.1233329049834264</v>
      </c>
      <c r="CK66" s="105">
        <v>6098.81549009227</v>
      </c>
      <c r="CL66" s="105">
        <v>1.6770634629179995</v>
      </c>
      <c r="CM66" s="105">
        <v>1996.3763462575864</v>
      </c>
      <c r="CN66" s="105">
        <v>6.6965389428595818</v>
      </c>
      <c r="CO66" s="105">
        <v>7971.5599575800452</v>
      </c>
      <c r="CP66" s="105">
        <v>6.7610640282731778</v>
      </c>
      <c r="CQ66" s="105">
        <v>8048.3706192563895</v>
      </c>
      <c r="CR66" s="105">
        <v>3.1308104569562736</v>
      </c>
      <c r="CS66" s="105">
        <v>3726.9167679607476</v>
      </c>
      <c r="CT66" s="105">
        <v>0.52327877543123458</v>
      </c>
      <c r="CU66" s="105">
        <v>622.91105427334162</v>
      </c>
    </row>
    <row r="67" spans="2:99" x14ac:dyDescent="0.25">
      <c r="C67" s="104" t="s">
        <v>232</v>
      </c>
      <c r="D67" s="105">
        <v>0</v>
      </c>
      <c r="E67" s="105">
        <v>0</v>
      </c>
      <c r="F67" s="105">
        <v>0</v>
      </c>
      <c r="G67" s="105">
        <v>0</v>
      </c>
      <c r="H67" s="105">
        <v>0</v>
      </c>
      <c r="I67" s="105">
        <v>0</v>
      </c>
      <c r="J67" s="105">
        <v>2</v>
      </c>
      <c r="K67" s="105">
        <v>2246.4</v>
      </c>
      <c r="L67" s="105">
        <v>4</v>
      </c>
      <c r="M67" s="105">
        <v>4492.8</v>
      </c>
      <c r="N67" s="105">
        <v>4</v>
      </c>
      <c r="O67" s="105">
        <v>4492.8</v>
      </c>
      <c r="P67" s="105">
        <v>3</v>
      </c>
      <c r="Q67" s="105">
        <v>3369.6000000000004</v>
      </c>
      <c r="R67" s="105">
        <v>4</v>
      </c>
      <c r="S67" s="105">
        <v>4492.8</v>
      </c>
      <c r="T67" s="105">
        <v>3</v>
      </c>
      <c r="U67" s="105">
        <v>3369.6000000000004</v>
      </c>
      <c r="V67" s="105">
        <v>5</v>
      </c>
      <c r="W67" s="105">
        <v>5616</v>
      </c>
      <c r="X67" s="105">
        <v>4</v>
      </c>
      <c r="Y67" s="105">
        <v>4492.8</v>
      </c>
      <c r="Z67" s="105">
        <v>5</v>
      </c>
      <c r="AA67" s="105">
        <v>5616</v>
      </c>
      <c r="AB67" s="105">
        <v>7</v>
      </c>
      <c r="AC67" s="105">
        <v>7862.4000000000005</v>
      </c>
      <c r="AD67" s="105">
        <v>5</v>
      </c>
      <c r="AE67" s="105">
        <v>5616</v>
      </c>
      <c r="AF67" s="105">
        <v>6</v>
      </c>
      <c r="AG67" s="105">
        <v>6739.2000000000007</v>
      </c>
      <c r="AH67" s="105">
        <v>6</v>
      </c>
      <c r="AI67" s="105">
        <v>6739.2000000000007</v>
      </c>
      <c r="AJ67" s="105">
        <v>8</v>
      </c>
      <c r="AK67" s="105">
        <v>8985.6</v>
      </c>
      <c r="AL67" s="105">
        <v>7</v>
      </c>
      <c r="AM67" s="105">
        <v>7862.4000000000005</v>
      </c>
      <c r="AN67" s="105">
        <v>7</v>
      </c>
      <c r="AO67" s="105">
        <v>7862.4000000000005</v>
      </c>
      <c r="AP67" s="105">
        <v>6</v>
      </c>
      <c r="AQ67" s="105">
        <v>6739.2000000000007</v>
      </c>
      <c r="AR67" s="105">
        <v>9</v>
      </c>
      <c r="AS67" s="105">
        <v>10108.800000000001</v>
      </c>
      <c r="AT67" s="105">
        <v>8</v>
      </c>
      <c r="AU67" s="105">
        <v>8985.6</v>
      </c>
      <c r="AV67" s="105">
        <v>9</v>
      </c>
      <c r="AW67" s="105">
        <v>10108.800000000001</v>
      </c>
      <c r="AX67" s="105">
        <v>9</v>
      </c>
      <c r="AY67" s="105">
        <v>10108.800000000001</v>
      </c>
      <c r="AZ67" s="105">
        <v>10</v>
      </c>
      <c r="BA67" s="105">
        <v>11232</v>
      </c>
      <c r="BB67" s="105">
        <v>9</v>
      </c>
      <c r="BC67" s="105">
        <v>10108.800000000001</v>
      </c>
      <c r="BD67" s="105">
        <v>8</v>
      </c>
      <c r="BE67" s="105">
        <v>8985.6</v>
      </c>
      <c r="BF67" s="105">
        <v>8</v>
      </c>
      <c r="BG67" s="105">
        <v>8985.6</v>
      </c>
      <c r="BH67" s="105">
        <v>15</v>
      </c>
      <c r="BI67" s="105">
        <v>16848</v>
      </c>
      <c r="BJ67" s="105">
        <v>14</v>
      </c>
      <c r="BK67" s="105">
        <v>15724.800000000001</v>
      </c>
      <c r="BL67" s="105">
        <v>15</v>
      </c>
      <c r="BM67" s="105">
        <v>16848</v>
      </c>
      <c r="BN67" s="105">
        <v>15</v>
      </c>
      <c r="BO67" s="105">
        <v>16848</v>
      </c>
      <c r="BP67" s="105">
        <v>13</v>
      </c>
      <c r="BQ67" s="105">
        <v>14601.6</v>
      </c>
      <c r="BR67" s="105">
        <v>18</v>
      </c>
      <c r="BS67" s="105">
        <v>20217.600000000002</v>
      </c>
      <c r="BT67" s="105">
        <v>17</v>
      </c>
      <c r="BU67" s="105">
        <v>19094.400000000001</v>
      </c>
      <c r="BV67" s="105">
        <v>17</v>
      </c>
      <c r="BW67" s="105">
        <v>19094.400000000001</v>
      </c>
      <c r="BX67" s="105">
        <v>17</v>
      </c>
      <c r="BY67" s="105">
        <v>19094.400000000001</v>
      </c>
      <c r="BZ67" s="105">
        <v>26</v>
      </c>
      <c r="CA67" s="105">
        <v>29203.200000000001</v>
      </c>
      <c r="CB67" s="105">
        <v>18.197188192675828</v>
      </c>
      <c r="CC67" s="105">
        <v>20439.081778013489</v>
      </c>
      <c r="CD67" s="105">
        <v>6.0500635553470916</v>
      </c>
      <c r="CE67" s="105">
        <v>6795.4313853658532</v>
      </c>
      <c r="CF67" s="105">
        <v>5.6432663853496718</v>
      </c>
      <c r="CG67" s="105">
        <v>6338.5168040247518</v>
      </c>
      <c r="CH67" s="105">
        <v>0.57735058214747736</v>
      </c>
      <c r="CI67" s="105">
        <v>648.48017386804656</v>
      </c>
      <c r="CJ67" s="105">
        <v>5.1233329049834264</v>
      </c>
      <c r="CK67" s="105">
        <v>5754.5275188773849</v>
      </c>
      <c r="CL67" s="105">
        <v>1.8505527866681375</v>
      </c>
      <c r="CM67" s="105">
        <v>2078.540889985652</v>
      </c>
      <c r="CN67" s="105">
        <v>7.6938958066897323</v>
      </c>
      <c r="CO67" s="105">
        <v>8641.7837700739074</v>
      </c>
      <c r="CP67" s="105">
        <v>7.2439971731498334</v>
      </c>
      <c r="CQ67" s="105">
        <v>8136.457624881893</v>
      </c>
      <c r="CR67" s="105">
        <v>3.1308104569562736</v>
      </c>
      <c r="CS67" s="105">
        <v>3516.5263052532864</v>
      </c>
      <c r="CT67" s="105">
        <v>0.52327877543123458</v>
      </c>
      <c r="CU67" s="105">
        <v>587.7467205643627</v>
      </c>
    </row>
    <row r="68" spans="2:99" x14ac:dyDescent="0.25">
      <c r="C68" s="104" t="s">
        <v>233</v>
      </c>
      <c r="D68" s="105">
        <v>0</v>
      </c>
      <c r="E68" s="105">
        <v>0</v>
      </c>
      <c r="F68" s="105">
        <v>0</v>
      </c>
      <c r="G68" s="105">
        <v>0</v>
      </c>
      <c r="H68" s="105">
        <v>0</v>
      </c>
      <c r="I68" s="105">
        <v>0</v>
      </c>
      <c r="J68" s="105">
        <v>2</v>
      </c>
      <c r="K68" s="105">
        <v>2066.4</v>
      </c>
      <c r="L68" s="105">
        <v>4</v>
      </c>
      <c r="M68" s="105">
        <v>4132.8</v>
      </c>
      <c r="N68" s="105">
        <v>4</v>
      </c>
      <c r="O68" s="105">
        <v>4132.8</v>
      </c>
      <c r="P68" s="105">
        <v>3</v>
      </c>
      <c r="Q68" s="105">
        <v>3099.6000000000004</v>
      </c>
      <c r="R68" s="105">
        <v>4</v>
      </c>
      <c r="S68" s="105">
        <v>4132.8</v>
      </c>
      <c r="T68" s="105">
        <v>3</v>
      </c>
      <c r="U68" s="105">
        <v>3099.6000000000004</v>
      </c>
      <c r="V68" s="105">
        <v>5</v>
      </c>
      <c r="W68" s="105">
        <v>5166</v>
      </c>
      <c r="X68" s="105">
        <v>5</v>
      </c>
      <c r="Y68" s="105">
        <v>5166</v>
      </c>
      <c r="Z68" s="105">
        <v>5</v>
      </c>
      <c r="AA68" s="105">
        <v>5166</v>
      </c>
      <c r="AB68" s="105">
        <v>7</v>
      </c>
      <c r="AC68" s="105">
        <v>7232.4000000000005</v>
      </c>
      <c r="AD68" s="105">
        <v>5</v>
      </c>
      <c r="AE68" s="105">
        <v>5166</v>
      </c>
      <c r="AF68" s="105">
        <v>6</v>
      </c>
      <c r="AG68" s="105">
        <v>6199.2000000000007</v>
      </c>
      <c r="AH68" s="105">
        <v>7</v>
      </c>
      <c r="AI68" s="105">
        <v>7232.4000000000005</v>
      </c>
      <c r="AJ68" s="105">
        <v>8</v>
      </c>
      <c r="AK68" s="105">
        <v>8265.6</v>
      </c>
      <c r="AL68" s="105">
        <v>6</v>
      </c>
      <c r="AM68" s="105">
        <v>6199.2000000000007</v>
      </c>
      <c r="AN68" s="105">
        <v>7</v>
      </c>
      <c r="AO68" s="105">
        <v>7232.4000000000005</v>
      </c>
      <c r="AP68" s="105">
        <v>7</v>
      </c>
      <c r="AQ68" s="105">
        <v>7232.4000000000005</v>
      </c>
      <c r="AR68" s="105">
        <v>10</v>
      </c>
      <c r="AS68" s="105">
        <v>10332</v>
      </c>
      <c r="AT68" s="105">
        <v>7</v>
      </c>
      <c r="AU68" s="105">
        <v>7232.4000000000005</v>
      </c>
      <c r="AV68" s="105">
        <v>8</v>
      </c>
      <c r="AW68" s="105">
        <v>8265.6</v>
      </c>
      <c r="AX68" s="105">
        <v>9</v>
      </c>
      <c r="AY68" s="105">
        <v>9298.8000000000011</v>
      </c>
      <c r="AZ68" s="105">
        <v>10</v>
      </c>
      <c r="BA68" s="105">
        <v>10332</v>
      </c>
      <c r="BB68" s="105">
        <v>9</v>
      </c>
      <c r="BC68" s="105">
        <v>9298.8000000000011</v>
      </c>
      <c r="BD68" s="105">
        <v>8</v>
      </c>
      <c r="BE68" s="105">
        <v>8265.6</v>
      </c>
      <c r="BF68" s="105">
        <v>9</v>
      </c>
      <c r="BG68" s="105">
        <v>9298.8000000000011</v>
      </c>
      <c r="BH68" s="105">
        <v>14</v>
      </c>
      <c r="BI68" s="105">
        <v>14464.800000000001</v>
      </c>
      <c r="BJ68" s="105">
        <v>14</v>
      </c>
      <c r="BK68" s="105">
        <v>14464.800000000001</v>
      </c>
      <c r="BL68" s="105">
        <v>15</v>
      </c>
      <c r="BM68" s="105">
        <v>15498</v>
      </c>
      <c r="BN68" s="105">
        <v>17</v>
      </c>
      <c r="BO68" s="105">
        <v>17564.400000000001</v>
      </c>
      <c r="BP68" s="105">
        <v>11</v>
      </c>
      <c r="BQ68" s="105">
        <v>11365.2</v>
      </c>
      <c r="BR68" s="105">
        <v>17</v>
      </c>
      <c r="BS68" s="105">
        <v>17564.400000000001</v>
      </c>
      <c r="BT68" s="105">
        <v>16</v>
      </c>
      <c r="BU68" s="105">
        <v>16531.2</v>
      </c>
      <c r="BV68" s="105">
        <v>16</v>
      </c>
      <c r="BW68" s="105">
        <v>16531.2</v>
      </c>
      <c r="BX68" s="105">
        <v>19</v>
      </c>
      <c r="BY68" s="105">
        <v>19630.8</v>
      </c>
      <c r="BZ68" s="105">
        <v>25</v>
      </c>
      <c r="CA68" s="105">
        <v>25830</v>
      </c>
      <c r="CB68" s="105">
        <v>19.063720963755632</v>
      </c>
      <c r="CC68" s="105">
        <v>19696.63649975232</v>
      </c>
      <c r="CD68" s="105">
        <v>6.0500635553470916</v>
      </c>
      <c r="CE68" s="105">
        <v>6250.9256653846151</v>
      </c>
      <c r="CF68" s="105">
        <v>5.9402804056312331</v>
      </c>
      <c r="CG68" s="105">
        <v>6137.4977150981904</v>
      </c>
      <c r="CH68" s="105">
        <v>0.56532244501940498</v>
      </c>
      <c r="CI68" s="105">
        <v>584.09115019404931</v>
      </c>
      <c r="CJ68" s="105">
        <v>5.2300690071705809</v>
      </c>
      <c r="CK68" s="105">
        <v>5403.7072982086447</v>
      </c>
      <c r="CL68" s="105">
        <v>2.0240421104182751</v>
      </c>
      <c r="CM68" s="105">
        <v>2091.2403084841617</v>
      </c>
      <c r="CN68" s="105">
        <v>7.5514162547139954</v>
      </c>
      <c r="CO68" s="105">
        <v>7802.1232743705004</v>
      </c>
      <c r="CP68" s="105">
        <v>6.6644773992978461</v>
      </c>
      <c r="CQ68" s="105">
        <v>6885.7380489545349</v>
      </c>
      <c r="CR68" s="105">
        <v>3.2387694382306282</v>
      </c>
      <c r="CS68" s="105">
        <v>3346.2965835798855</v>
      </c>
      <c r="CT68" s="105">
        <v>0.47482703696537948</v>
      </c>
      <c r="CU68" s="105">
        <v>490.59129459263011</v>
      </c>
    </row>
    <row r="69" spans="2:99" x14ac:dyDescent="0.25">
      <c r="C69" s="104" t="s">
        <v>234</v>
      </c>
      <c r="D69" s="105">
        <v>0</v>
      </c>
      <c r="E69" s="105">
        <v>0</v>
      </c>
      <c r="F69" s="105">
        <v>0</v>
      </c>
      <c r="G69" s="105">
        <v>0</v>
      </c>
      <c r="H69" s="105">
        <v>0</v>
      </c>
      <c r="I69" s="105">
        <v>0</v>
      </c>
      <c r="J69" s="105">
        <v>2</v>
      </c>
      <c r="K69" s="105">
        <v>1516.8</v>
      </c>
      <c r="L69" s="105">
        <v>5</v>
      </c>
      <c r="M69" s="105">
        <v>3792</v>
      </c>
      <c r="N69" s="105">
        <v>4</v>
      </c>
      <c r="O69" s="105">
        <v>3033.6</v>
      </c>
      <c r="P69" s="105">
        <v>3</v>
      </c>
      <c r="Q69" s="105">
        <v>2275.1999999999998</v>
      </c>
      <c r="R69" s="105">
        <v>4</v>
      </c>
      <c r="S69" s="105">
        <v>3033.6</v>
      </c>
      <c r="T69" s="105">
        <v>3</v>
      </c>
      <c r="U69" s="105">
        <v>2275.1999999999998</v>
      </c>
      <c r="V69" s="105">
        <v>5</v>
      </c>
      <c r="W69" s="105">
        <v>3792</v>
      </c>
      <c r="X69" s="105">
        <v>5</v>
      </c>
      <c r="Y69" s="105">
        <v>3792</v>
      </c>
      <c r="Z69" s="105">
        <v>6</v>
      </c>
      <c r="AA69" s="105">
        <v>4550.3999999999996</v>
      </c>
      <c r="AB69" s="105">
        <v>7</v>
      </c>
      <c r="AC69" s="105">
        <v>5308.8</v>
      </c>
      <c r="AD69" s="105">
        <v>5</v>
      </c>
      <c r="AE69" s="105">
        <v>3792</v>
      </c>
      <c r="AF69" s="105">
        <v>6</v>
      </c>
      <c r="AG69" s="105">
        <v>4550.3999999999996</v>
      </c>
      <c r="AH69" s="105">
        <v>6</v>
      </c>
      <c r="AI69" s="105">
        <v>4550.3999999999996</v>
      </c>
      <c r="AJ69" s="105">
        <v>8</v>
      </c>
      <c r="AK69" s="105">
        <v>6067.2</v>
      </c>
      <c r="AL69" s="105">
        <v>7</v>
      </c>
      <c r="AM69" s="105">
        <v>5308.8</v>
      </c>
      <c r="AN69" s="105">
        <v>8</v>
      </c>
      <c r="AO69" s="105">
        <v>6067.2</v>
      </c>
      <c r="AP69" s="105">
        <v>7</v>
      </c>
      <c r="AQ69" s="105">
        <v>5308.8</v>
      </c>
      <c r="AR69" s="105">
        <v>10</v>
      </c>
      <c r="AS69" s="105">
        <v>7584</v>
      </c>
      <c r="AT69" s="105">
        <v>8</v>
      </c>
      <c r="AU69" s="105">
        <v>6067.2</v>
      </c>
      <c r="AV69" s="105">
        <v>10</v>
      </c>
      <c r="AW69" s="105">
        <v>7584</v>
      </c>
      <c r="AX69" s="105">
        <v>11</v>
      </c>
      <c r="AY69" s="105">
        <v>8342.4</v>
      </c>
      <c r="AZ69" s="105">
        <v>9</v>
      </c>
      <c r="BA69" s="105">
        <v>6825.5999999999995</v>
      </c>
      <c r="BB69" s="105">
        <v>9</v>
      </c>
      <c r="BC69" s="105">
        <v>6825.5999999999995</v>
      </c>
      <c r="BD69" s="105">
        <v>8</v>
      </c>
      <c r="BE69" s="105">
        <v>6067.2</v>
      </c>
      <c r="BF69" s="105">
        <v>8</v>
      </c>
      <c r="BG69" s="105">
        <v>6067.2</v>
      </c>
      <c r="BH69" s="105">
        <v>16</v>
      </c>
      <c r="BI69" s="105">
        <v>12134.4</v>
      </c>
      <c r="BJ69" s="105">
        <v>14</v>
      </c>
      <c r="BK69" s="105">
        <v>10617.6</v>
      </c>
      <c r="BL69" s="105">
        <v>13</v>
      </c>
      <c r="BM69" s="105">
        <v>9859.1999999999989</v>
      </c>
      <c r="BN69" s="105">
        <v>17</v>
      </c>
      <c r="BO69" s="105">
        <v>12892.8</v>
      </c>
      <c r="BP69" s="105">
        <v>13</v>
      </c>
      <c r="BQ69" s="105">
        <v>9859.1999999999989</v>
      </c>
      <c r="BR69" s="105">
        <v>19</v>
      </c>
      <c r="BS69" s="105">
        <v>14409.6</v>
      </c>
      <c r="BT69" s="105">
        <v>16</v>
      </c>
      <c r="BU69" s="105">
        <v>12134.4</v>
      </c>
      <c r="BV69" s="105">
        <v>17</v>
      </c>
      <c r="BW69" s="105">
        <v>12892.8</v>
      </c>
      <c r="BX69" s="105">
        <v>19</v>
      </c>
      <c r="BY69" s="105">
        <v>14409.6</v>
      </c>
      <c r="BZ69" s="105">
        <v>26</v>
      </c>
      <c r="CA69" s="105">
        <v>19718.399999999998</v>
      </c>
      <c r="CB69" s="105">
        <v>19.930253734835432</v>
      </c>
      <c r="CC69" s="105">
        <v>15115.104432499191</v>
      </c>
      <c r="CD69" s="105">
        <v>6.7618357383291023</v>
      </c>
      <c r="CE69" s="105">
        <v>5128.1762239487907</v>
      </c>
      <c r="CF69" s="105">
        <v>6.5343084461943564</v>
      </c>
      <c r="CG69" s="105">
        <v>4955.6195255938001</v>
      </c>
      <c r="CH69" s="105">
        <v>0.54126617076326011</v>
      </c>
      <c r="CI69" s="105">
        <v>410.49626390685648</v>
      </c>
      <c r="CJ69" s="105">
        <v>5.7637495181063549</v>
      </c>
      <c r="CK69" s="105">
        <v>4371.2276345318596</v>
      </c>
      <c r="CL69" s="105">
        <v>2.0818718850016547</v>
      </c>
      <c r="CM69" s="105">
        <v>1578.8916375852548</v>
      </c>
      <c r="CN69" s="105">
        <v>7.5514162547139954</v>
      </c>
      <c r="CO69" s="105">
        <v>5726.9940875750935</v>
      </c>
      <c r="CP69" s="105">
        <v>6.9542372862238393</v>
      </c>
      <c r="CQ69" s="105">
        <v>5274.0935578721592</v>
      </c>
      <c r="CR69" s="105">
        <v>3.2927489288678053</v>
      </c>
      <c r="CS69" s="105">
        <v>2497.2207876533435</v>
      </c>
      <c r="CT69" s="105">
        <v>0.53296912312440559</v>
      </c>
      <c r="CU69" s="105">
        <v>404.20378297754917</v>
      </c>
    </row>
    <row r="70" spans="2:99" x14ac:dyDescent="0.25">
      <c r="C70" s="104" t="s">
        <v>235</v>
      </c>
      <c r="D70" s="105">
        <v>0</v>
      </c>
      <c r="E70" s="105">
        <v>0</v>
      </c>
      <c r="F70" s="105">
        <v>0</v>
      </c>
      <c r="G70" s="105">
        <v>0</v>
      </c>
      <c r="H70" s="105">
        <v>0</v>
      </c>
      <c r="I70" s="105">
        <v>0</v>
      </c>
      <c r="J70" s="105">
        <v>2</v>
      </c>
      <c r="K70" s="105">
        <v>1070.3999999999999</v>
      </c>
      <c r="L70" s="105">
        <v>4</v>
      </c>
      <c r="M70" s="105">
        <v>2140.7999999999997</v>
      </c>
      <c r="N70" s="105">
        <v>4</v>
      </c>
      <c r="O70" s="105">
        <v>2140.7999999999997</v>
      </c>
      <c r="P70" s="105">
        <v>3</v>
      </c>
      <c r="Q70" s="105">
        <v>1605.6</v>
      </c>
      <c r="R70" s="105">
        <v>4</v>
      </c>
      <c r="S70" s="105">
        <v>2140.7999999999997</v>
      </c>
      <c r="T70" s="105">
        <v>3</v>
      </c>
      <c r="U70" s="105">
        <v>1605.6</v>
      </c>
      <c r="V70" s="105">
        <v>6</v>
      </c>
      <c r="W70" s="105">
        <v>3211.2</v>
      </c>
      <c r="X70" s="105">
        <v>5</v>
      </c>
      <c r="Y70" s="105">
        <v>2675.9999999999995</v>
      </c>
      <c r="Z70" s="105">
        <v>5</v>
      </c>
      <c r="AA70" s="105">
        <v>2675.9999999999995</v>
      </c>
      <c r="AB70" s="105">
        <v>7</v>
      </c>
      <c r="AC70" s="105">
        <v>3746.3999999999996</v>
      </c>
      <c r="AD70" s="105">
        <v>5</v>
      </c>
      <c r="AE70" s="105">
        <v>2675.9999999999995</v>
      </c>
      <c r="AF70" s="105">
        <v>6</v>
      </c>
      <c r="AG70" s="105">
        <v>3211.2</v>
      </c>
      <c r="AH70" s="105">
        <v>6</v>
      </c>
      <c r="AI70" s="105">
        <v>3211.2</v>
      </c>
      <c r="AJ70" s="105">
        <v>9</v>
      </c>
      <c r="AK70" s="105">
        <v>4816.7999999999993</v>
      </c>
      <c r="AL70" s="105">
        <v>6</v>
      </c>
      <c r="AM70" s="105">
        <v>3211.2</v>
      </c>
      <c r="AN70" s="105">
        <v>7</v>
      </c>
      <c r="AO70" s="105">
        <v>3746.3999999999996</v>
      </c>
      <c r="AP70" s="105">
        <v>6</v>
      </c>
      <c r="AQ70" s="105">
        <v>3211.2</v>
      </c>
      <c r="AR70" s="105">
        <v>11</v>
      </c>
      <c r="AS70" s="105">
        <v>5887.1999999999989</v>
      </c>
      <c r="AT70" s="105">
        <v>7</v>
      </c>
      <c r="AU70" s="105">
        <v>3746.3999999999996</v>
      </c>
      <c r="AV70" s="105">
        <v>9</v>
      </c>
      <c r="AW70" s="105">
        <v>4816.7999999999993</v>
      </c>
      <c r="AX70" s="105">
        <v>11</v>
      </c>
      <c r="AY70" s="105">
        <v>5887.1999999999989</v>
      </c>
      <c r="AZ70" s="105">
        <v>10</v>
      </c>
      <c r="BA70" s="105">
        <v>5351.9999999999991</v>
      </c>
      <c r="BB70" s="105">
        <v>9</v>
      </c>
      <c r="BC70" s="105">
        <v>4816.7999999999993</v>
      </c>
      <c r="BD70" s="105">
        <v>9</v>
      </c>
      <c r="BE70" s="105">
        <v>4816.7999999999993</v>
      </c>
      <c r="BF70" s="105">
        <v>9</v>
      </c>
      <c r="BG70" s="105">
        <v>4816.7999999999993</v>
      </c>
      <c r="BH70" s="105">
        <v>15</v>
      </c>
      <c r="BI70" s="105">
        <v>8027.9999999999991</v>
      </c>
      <c r="BJ70" s="105">
        <v>14</v>
      </c>
      <c r="BK70" s="105">
        <v>7492.7999999999993</v>
      </c>
      <c r="BL70" s="105">
        <v>16</v>
      </c>
      <c r="BM70" s="105">
        <v>8563.1999999999989</v>
      </c>
      <c r="BN70" s="105">
        <v>18</v>
      </c>
      <c r="BO70" s="105">
        <v>9633.5999999999985</v>
      </c>
      <c r="BP70" s="105">
        <v>12</v>
      </c>
      <c r="BQ70" s="105">
        <v>6422.4</v>
      </c>
      <c r="BR70" s="105">
        <v>20</v>
      </c>
      <c r="BS70" s="105">
        <v>10703.999999999998</v>
      </c>
      <c r="BT70" s="105">
        <v>20</v>
      </c>
      <c r="BU70" s="105">
        <v>10703.999999999998</v>
      </c>
      <c r="BV70" s="105">
        <v>18</v>
      </c>
      <c r="BW70" s="105">
        <v>9633.5999999999985</v>
      </c>
      <c r="BX70" s="105">
        <v>21</v>
      </c>
      <c r="BY70" s="105">
        <v>11239.199999999999</v>
      </c>
      <c r="BZ70" s="105">
        <v>31</v>
      </c>
      <c r="CA70" s="105">
        <v>16591.199999999997</v>
      </c>
      <c r="CB70" s="105">
        <v>21.663319276995036</v>
      </c>
      <c r="CC70" s="105">
        <v>11594.208477047741</v>
      </c>
      <c r="CD70" s="105">
        <v>7.1177218298201081</v>
      </c>
      <c r="CE70" s="105">
        <v>3809.4047233197216</v>
      </c>
      <c r="CF70" s="105">
        <v>6.5343084461943564</v>
      </c>
      <c r="CG70" s="105">
        <v>3497.1618804032191</v>
      </c>
      <c r="CH70" s="105">
        <v>0.60140685640362235</v>
      </c>
      <c r="CI70" s="105">
        <v>321.87294954721864</v>
      </c>
      <c r="CJ70" s="105">
        <v>5.7637495181063549</v>
      </c>
      <c r="CK70" s="105">
        <v>3084.7587420905206</v>
      </c>
      <c r="CL70" s="105">
        <v>2.0818718850016547</v>
      </c>
      <c r="CM70" s="105">
        <v>1114.2178328528855</v>
      </c>
      <c r="CN70" s="105">
        <v>7.6938958066897323</v>
      </c>
      <c r="CO70" s="105">
        <v>4117.7730357403443</v>
      </c>
      <c r="CP70" s="105">
        <v>7.8235169470018198</v>
      </c>
      <c r="CQ70" s="105">
        <v>4187.1462700353732</v>
      </c>
      <c r="CR70" s="105">
        <v>3.2927489288678053</v>
      </c>
      <c r="CS70" s="105">
        <v>1762.2792267300492</v>
      </c>
      <c r="CT70" s="105">
        <v>0.50389808004489256</v>
      </c>
      <c r="CU70" s="105">
        <v>269.68625244002646</v>
      </c>
    </row>
    <row r="71" spans="2:99" x14ac:dyDescent="0.25">
      <c r="B71" s="104" t="s">
        <v>130</v>
      </c>
      <c r="C71" s="104" t="s">
        <v>236</v>
      </c>
      <c r="D71" s="105">
        <v>0</v>
      </c>
      <c r="E71" s="105">
        <v>0</v>
      </c>
      <c r="F71" s="105">
        <v>0</v>
      </c>
      <c r="G71" s="105">
        <v>0</v>
      </c>
      <c r="H71" s="105">
        <v>0</v>
      </c>
      <c r="I71" s="105">
        <v>0</v>
      </c>
      <c r="J71" s="105">
        <v>3</v>
      </c>
      <c r="K71" s="105">
        <v>1692</v>
      </c>
      <c r="L71" s="105">
        <v>2</v>
      </c>
      <c r="M71" s="105">
        <v>1128</v>
      </c>
      <c r="N71" s="105">
        <v>4</v>
      </c>
      <c r="O71" s="105">
        <v>2256</v>
      </c>
      <c r="P71" s="105">
        <v>3</v>
      </c>
      <c r="Q71" s="105">
        <v>1692</v>
      </c>
      <c r="R71" s="105">
        <v>3</v>
      </c>
      <c r="S71" s="105">
        <v>1692</v>
      </c>
      <c r="T71" s="105">
        <v>5</v>
      </c>
      <c r="U71" s="105">
        <v>2820</v>
      </c>
      <c r="V71" s="105">
        <v>4</v>
      </c>
      <c r="W71" s="105">
        <v>2256</v>
      </c>
      <c r="X71" s="105">
        <v>5</v>
      </c>
      <c r="Y71" s="105">
        <v>2820</v>
      </c>
      <c r="Z71" s="105">
        <v>5</v>
      </c>
      <c r="AA71" s="105">
        <v>2820</v>
      </c>
      <c r="AB71" s="105">
        <v>4</v>
      </c>
      <c r="AC71" s="105">
        <v>2256</v>
      </c>
      <c r="AD71" s="105">
        <v>4</v>
      </c>
      <c r="AE71" s="105">
        <v>2256</v>
      </c>
      <c r="AF71" s="105">
        <v>5</v>
      </c>
      <c r="AG71" s="105">
        <v>2820</v>
      </c>
      <c r="AH71" s="105">
        <v>6</v>
      </c>
      <c r="AI71" s="105">
        <v>3384</v>
      </c>
      <c r="AJ71" s="105">
        <v>4</v>
      </c>
      <c r="AK71" s="105">
        <v>2256</v>
      </c>
      <c r="AL71" s="105">
        <v>4</v>
      </c>
      <c r="AM71" s="105">
        <v>2256</v>
      </c>
      <c r="AN71" s="105">
        <v>8</v>
      </c>
      <c r="AO71" s="105">
        <v>4512</v>
      </c>
      <c r="AP71" s="105">
        <v>6</v>
      </c>
      <c r="AQ71" s="105">
        <v>3384</v>
      </c>
      <c r="AR71" s="105">
        <v>8</v>
      </c>
      <c r="AS71" s="105">
        <v>4512</v>
      </c>
      <c r="AT71" s="105">
        <v>5</v>
      </c>
      <c r="AU71" s="105">
        <v>2820</v>
      </c>
      <c r="AV71" s="105">
        <v>6</v>
      </c>
      <c r="AW71" s="105">
        <v>3384</v>
      </c>
      <c r="AX71" s="105">
        <v>8</v>
      </c>
      <c r="AY71" s="105">
        <v>4512</v>
      </c>
      <c r="AZ71" s="105">
        <v>10</v>
      </c>
      <c r="BA71" s="105">
        <v>5640</v>
      </c>
      <c r="BB71" s="105">
        <v>13</v>
      </c>
      <c r="BC71" s="105">
        <v>7332</v>
      </c>
      <c r="BD71" s="105">
        <v>12</v>
      </c>
      <c r="BE71" s="105">
        <v>6768</v>
      </c>
      <c r="BF71" s="105">
        <v>9</v>
      </c>
      <c r="BG71" s="105">
        <v>5076</v>
      </c>
      <c r="BH71" s="105">
        <v>8</v>
      </c>
      <c r="BI71" s="105">
        <v>4512</v>
      </c>
      <c r="BJ71" s="105">
        <v>12</v>
      </c>
      <c r="BK71" s="105">
        <v>6768</v>
      </c>
      <c r="BL71" s="105">
        <v>9</v>
      </c>
      <c r="BM71" s="105">
        <v>5076</v>
      </c>
      <c r="BN71" s="105">
        <v>16</v>
      </c>
      <c r="BO71" s="105">
        <v>9024</v>
      </c>
      <c r="BP71" s="105">
        <v>19</v>
      </c>
      <c r="BQ71" s="105">
        <v>10716</v>
      </c>
      <c r="BR71" s="105">
        <v>17</v>
      </c>
      <c r="BS71" s="105">
        <v>9588</v>
      </c>
      <c r="BT71" s="105">
        <v>14</v>
      </c>
      <c r="BU71" s="105">
        <v>7896</v>
      </c>
      <c r="BV71" s="105">
        <v>15</v>
      </c>
      <c r="BW71" s="105">
        <v>8460</v>
      </c>
      <c r="BX71" s="105">
        <v>33</v>
      </c>
      <c r="BY71" s="105">
        <v>18612</v>
      </c>
      <c r="BZ71" s="105">
        <v>28</v>
      </c>
      <c r="CA71" s="105">
        <v>15792</v>
      </c>
      <c r="CB71" s="105">
        <v>5.2627613270179179</v>
      </c>
      <c r="CC71" s="105">
        <v>2968.1973884381055</v>
      </c>
      <c r="CD71" s="105">
        <v>5.5485048754062847</v>
      </c>
      <c r="CE71" s="105">
        <v>3129.3567497291447</v>
      </c>
      <c r="CF71" s="105">
        <v>1.0704718229954613</v>
      </c>
      <c r="CG71" s="105">
        <v>603.74610816944016</v>
      </c>
      <c r="CH71" s="105">
        <v>0.44179989270386272</v>
      </c>
      <c r="CI71" s="105">
        <v>249.17513948497859</v>
      </c>
      <c r="CJ71" s="105">
        <v>5.7437274934288451</v>
      </c>
      <c r="CK71" s="105">
        <v>3239.4623062938686</v>
      </c>
      <c r="CL71" s="105">
        <v>5.4163075215773757</v>
      </c>
      <c r="CM71" s="105">
        <v>3054.7974421696399</v>
      </c>
      <c r="CN71" s="105">
        <v>10.734953247827887</v>
      </c>
      <c r="CO71" s="105">
        <v>6054.5136317749284</v>
      </c>
      <c r="CP71" s="105">
        <v>1.3328026070763499</v>
      </c>
      <c r="CQ71" s="105">
        <v>751.70067039106129</v>
      </c>
      <c r="CR71" s="105">
        <v>4.6480614627556927</v>
      </c>
      <c r="CS71" s="105">
        <v>2621.5066649942105</v>
      </c>
      <c r="CT71" s="105">
        <v>7.405024111675127</v>
      </c>
      <c r="CU71" s="105">
        <v>4176.4335989847714</v>
      </c>
    </row>
    <row r="72" spans="2:99" x14ac:dyDescent="0.25">
      <c r="C72" s="104" t="s">
        <v>237</v>
      </c>
      <c r="D72" s="105">
        <v>0</v>
      </c>
      <c r="E72" s="105">
        <v>0</v>
      </c>
      <c r="F72" s="105">
        <v>0</v>
      </c>
      <c r="G72" s="105">
        <v>0</v>
      </c>
      <c r="H72" s="105">
        <v>0</v>
      </c>
      <c r="I72" s="105">
        <v>0</v>
      </c>
      <c r="J72" s="105">
        <v>3</v>
      </c>
      <c r="K72" s="105">
        <v>223.2</v>
      </c>
      <c r="L72" s="105">
        <v>3</v>
      </c>
      <c r="M72" s="105">
        <v>223.2</v>
      </c>
      <c r="N72" s="105">
        <v>4</v>
      </c>
      <c r="O72" s="105">
        <v>297.59999999999997</v>
      </c>
      <c r="P72" s="105">
        <v>3</v>
      </c>
      <c r="Q72" s="105">
        <v>223.2</v>
      </c>
      <c r="R72" s="105">
        <v>3</v>
      </c>
      <c r="S72" s="105">
        <v>223.2</v>
      </c>
      <c r="T72" s="105">
        <v>4</v>
      </c>
      <c r="U72" s="105">
        <v>297.59999999999997</v>
      </c>
      <c r="V72" s="105">
        <v>5</v>
      </c>
      <c r="W72" s="105">
        <v>371.99999999999994</v>
      </c>
      <c r="X72" s="105">
        <v>5</v>
      </c>
      <c r="Y72" s="105">
        <v>371.99999999999994</v>
      </c>
      <c r="Z72" s="105">
        <v>5</v>
      </c>
      <c r="AA72" s="105">
        <v>371.99999999999994</v>
      </c>
      <c r="AB72" s="105">
        <v>4</v>
      </c>
      <c r="AC72" s="105">
        <v>297.59999999999997</v>
      </c>
      <c r="AD72" s="105">
        <v>5</v>
      </c>
      <c r="AE72" s="105">
        <v>371.99999999999994</v>
      </c>
      <c r="AF72" s="105">
        <v>7</v>
      </c>
      <c r="AG72" s="105">
        <v>520.79999999999995</v>
      </c>
      <c r="AH72" s="105">
        <v>6</v>
      </c>
      <c r="AI72" s="105">
        <v>446.4</v>
      </c>
      <c r="AJ72" s="105">
        <v>4</v>
      </c>
      <c r="AK72" s="105">
        <v>297.59999999999997</v>
      </c>
      <c r="AL72" s="105">
        <v>4</v>
      </c>
      <c r="AM72" s="105">
        <v>297.59999999999997</v>
      </c>
      <c r="AN72" s="105">
        <v>8</v>
      </c>
      <c r="AO72" s="105">
        <v>595.19999999999993</v>
      </c>
      <c r="AP72" s="105">
        <v>6</v>
      </c>
      <c r="AQ72" s="105">
        <v>446.4</v>
      </c>
      <c r="AR72" s="105">
        <v>9</v>
      </c>
      <c r="AS72" s="105">
        <v>669.59999999999991</v>
      </c>
      <c r="AT72" s="105">
        <v>5</v>
      </c>
      <c r="AU72" s="105">
        <v>371.99999999999994</v>
      </c>
      <c r="AV72" s="105">
        <v>7</v>
      </c>
      <c r="AW72" s="105">
        <v>520.79999999999995</v>
      </c>
      <c r="AX72" s="105">
        <v>9</v>
      </c>
      <c r="AY72" s="105">
        <v>669.59999999999991</v>
      </c>
      <c r="AZ72" s="105">
        <v>11</v>
      </c>
      <c r="BA72" s="105">
        <v>818.39999999999986</v>
      </c>
      <c r="BB72" s="105">
        <v>14</v>
      </c>
      <c r="BC72" s="105">
        <v>1041.5999999999999</v>
      </c>
      <c r="BD72" s="105">
        <v>11</v>
      </c>
      <c r="BE72" s="105">
        <v>818.39999999999986</v>
      </c>
      <c r="BF72" s="105">
        <v>8</v>
      </c>
      <c r="BG72" s="105">
        <v>595.19999999999993</v>
      </c>
      <c r="BH72" s="105">
        <v>8</v>
      </c>
      <c r="BI72" s="105">
        <v>595.19999999999993</v>
      </c>
      <c r="BJ72" s="105">
        <v>12</v>
      </c>
      <c r="BK72" s="105">
        <v>892.8</v>
      </c>
      <c r="BL72" s="105">
        <v>9</v>
      </c>
      <c r="BM72" s="105">
        <v>669.59999999999991</v>
      </c>
      <c r="BN72" s="105">
        <v>14</v>
      </c>
      <c r="BO72" s="105">
        <v>1041.5999999999999</v>
      </c>
      <c r="BP72" s="105">
        <v>22</v>
      </c>
      <c r="BQ72" s="105">
        <v>1636.7999999999997</v>
      </c>
      <c r="BR72" s="105">
        <v>17</v>
      </c>
      <c r="BS72" s="105">
        <v>1264.8</v>
      </c>
      <c r="BT72" s="105">
        <v>13</v>
      </c>
      <c r="BU72" s="105">
        <v>967.19999999999993</v>
      </c>
      <c r="BV72" s="105">
        <v>17</v>
      </c>
      <c r="BW72" s="105">
        <v>1264.8</v>
      </c>
      <c r="BX72" s="105">
        <v>35</v>
      </c>
      <c r="BY72" s="105">
        <v>2603.9999999999995</v>
      </c>
      <c r="BZ72" s="105">
        <v>28</v>
      </c>
      <c r="CA72" s="105">
        <v>2083.1999999999998</v>
      </c>
      <c r="CB72" s="105">
        <v>5.8475125855754646</v>
      </c>
      <c r="CC72" s="105">
        <v>435.0549363668145</v>
      </c>
      <c r="CD72" s="105">
        <v>5.8259301191765989</v>
      </c>
      <c r="CE72" s="105">
        <v>433.44920086673892</v>
      </c>
      <c r="CF72" s="105">
        <v>1.2181231089258699</v>
      </c>
      <c r="CG72" s="105">
        <v>90.628359304084711</v>
      </c>
      <c r="CH72" s="105">
        <v>0.54156115879828326</v>
      </c>
      <c r="CI72" s="105">
        <v>40.292150214592269</v>
      </c>
      <c r="CJ72" s="105">
        <v>6.4441820657982154</v>
      </c>
      <c r="CK72" s="105">
        <v>479.44714569538718</v>
      </c>
      <c r="CL72" s="105">
        <v>5.8554675908944605</v>
      </c>
      <c r="CM72" s="105">
        <v>435.64678876254783</v>
      </c>
      <c r="CN72" s="105">
        <v>11.885126810095162</v>
      </c>
      <c r="CO72" s="105">
        <v>884.25343467107996</v>
      </c>
      <c r="CP72" s="105">
        <v>1.3328026070763499</v>
      </c>
      <c r="CQ72" s="105">
        <v>99.160513966480423</v>
      </c>
      <c r="CR72" s="105">
        <v>4.9214768429177917</v>
      </c>
      <c r="CS72" s="105">
        <v>366.15787711308366</v>
      </c>
      <c r="CT72" s="105">
        <v>9.4063819796954338</v>
      </c>
      <c r="CU72" s="105">
        <v>699.8348192893402</v>
      </c>
    </row>
    <row r="73" spans="2:99" x14ac:dyDescent="0.25">
      <c r="C73" s="104" t="s">
        <v>238</v>
      </c>
      <c r="D73" s="105">
        <v>0</v>
      </c>
      <c r="E73" s="105">
        <v>0</v>
      </c>
      <c r="F73" s="105">
        <v>0</v>
      </c>
      <c r="G73" s="105">
        <v>0</v>
      </c>
      <c r="H73" s="105">
        <v>0</v>
      </c>
      <c r="I73" s="105">
        <v>0</v>
      </c>
      <c r="J73" s="105">
        <v>4</v>
      </c>
      <c r="K73" s="105">
        <v>2236.7999999999997</v>
      </c>
      <c r="L73" s="105">
        <v>3</v>
      </c>
      <c r="M73" s="105">
        <v>1677.6</v>
      </c>
      <c r="N73" s="105">
        <v>3</v>
      </c>
      <c r="O73" s="105">
        <v>1677.6</v>
      </c>
      <c r="P73" s="105">
        <v>3</v>
      </c>
      <c r="Q73" s="105">
        <v>1677.6</v>
      </c>
      <c r="R73" s="105">
        <v>3</v>
      </c>
      <c r="S73" s="105">
        <v>1677.6</v>
      </c>
      <c r="T73" s="105">
        <v>4</v>
      </c>
      <c r="U73" s="105">
        <v>2236.7999999999997</v>
      </c>
      <c r="V73" s="105">
        <v>5</v>
      </c>
      <c r="W73" s="105">
        <v>2795.9999999999995</v>
      </c>
      <c r="X73" s="105">
        <v>6</v>
      </c>
      <c r="Y73" s="105">
        <v>3355.2</v>
      </c>
      <c r="Z73" s="105">
        <v>5</v>
      </c>
      <c r="AA73" s="105">
        <v>2795.9999999999995</v>
      </c>
      <c r="AB73" s="105">
        <v>4</v>
      </c>
      <c r="AC73" s="105">
        <v>2236.7999999999997</v>
      </c>
      <c r="AD73" s="105">
        <v>4</v>
      </c>
      <c r="AE73" s="105">
        <v>2236.7999999999997</v>
      </c>
      <c r="AF73" s="105">
        <v>6</v>
      </c>
      <c r="AG73" s="105">
        <v>3355.2</v>
      </c>
      <c r="AH73" s="105">
        <v>6</v>
      </c>
      <c r="AI73" s="105">
        <v>3355.2</v>
      </c>
      <c r="AJ73" s="105">
        <v>4</v>
      </c>
      <c r="AK73" s="105">
        <v>2236.7999999999997</v>
      </c>
      <c r="AL73" s="105">
        <v>4</v>
      </c>
      <c r="AM73" s="105">
        <v>2236.7999999999997</v>
      </c>
      <c r="AN73" s="105">
        <v>8</v>
      </c>
      <c r="AO73" s="105">
        <v>4473.5999999999995</v>
      </c>
      <c r="AP73" s="105">
        <v>5</v>
      </c>
      <c r="AQ73" s="105">
        <v>2795.9999999999995</v>
      </c>
      <c r="AR73" s="105">
        <v>8</v>
      </c>
      <c r="AS73" s="105">
        <v>4473.5999999999995</v>
      </c>
      <c r="AT73" s="105">
        <v>5</v>
      </c>
      <c r="AU73" s="105">
        <v>2795.9999999999995</v>
      </c>
      <c r="AV73" s="105">
        <v>6</v>
      </c>
      <c r="AW73" s="105">
        <v>3355.2</v>
      </c>
      <c r="AX73" s="105">
        <v>8</v>
      </c>
      <c r="AY73" s="105">
        <v>4473.5999999999995</v>
      </c>
      <c r="AZ73" s="105">
        <v>10</v>
      </c>
      <c r="BA73" s="105">
        <v>5591.9999999999991</v>
      </c>
      <c r="BB73" s="105">
        <v>11</v>
      </c>
      <c r="BC73" s="105">
        <v>6151.1999999999989</v>
      </c>
      <c r="BD73" s="105">
        <v>10</v>
      </c>
      <c r="BE73" s="105">
        <v>5591.9999999999991</v>
      </c>
      <c r="BF73" s="105">
        <v>9</v>
      </c>
      <c r="BG73" s="105">
        <v>5032.7999999999993</v>
      </c>
      <c r="BH73" s="105">
        <v>9</v>
      </c>
      <c r="BI73" s="105">
        <v>5032.7999999999993</v>
      </c>
      <c r="BJ73" s="105">
        <v>11</v>
      </c>
      <c r="BK73" s="105">
        <v>6151.1999999999989</v>
      </c>
      <c r="BL73" s="105">
        <v>10</v>
      </c>
      <c r="BM73" s="105">
        <v>5591.9999999999991</v>
      </c>
      <c r="BN73" s="105">
        <v>14</v>
      </c>
      <c r="BO73" s="105">
        <v>7828.7999999999993</v>
      </c>
      <c r="BP73" s="105">
        <v>21</v>
      </c>
      <c r="BQ73" s="105">
        <v>11743.199999999999</v>
      </c>
      <c r="BR73" s="105">
        <v>18</v>
      </c>
      <c r="BS73" s="105">
        <v>10065.599999999999</v>
      </c>
      <c r="BT73" s="105">
        <v>14</v>
      </c>
      <c r="BU73" s="105">
        <v>7828.7999999999993</v>
      </c>
      <c r="BV73" s="105">
        <v>14</v>
      </c>
      <c r="BW73" s="105">
        <v>7828.7999999999993</v>
      </c>
      <c r="BX73" s="105">
        <v>33</v>
      </c>
      <c r="BY73" s="105">
        <v>18453.599999999999</v>
      </c>
      <c r="BZ73" s="105">
        <v>25</v>
      </c>
      <c r="CA73" s="105">
        <v>13979.999999999998</v>
      </c>
      <c r="CB73" s="105">
        <v>4.678010068460372</v>
      </c>
      <c r="CC73" s="105">
        <v>2615.9432302830396</v>
      </c>
      <c r="CD73" s="105">
        <v>5.8259301191765989</v>
      </c>
      <c r="CE73" s="105">
        <v>3257.8601226435535</v>
      </c>
      <c r="CF73" s="105">
        <v>1.1073846444780635</v>
      </c>
      <c r="CG73" s="105">
        <v>619.24949319213306</v>
      </c>
      <c r="CH73" s="105">
        <v>0.45605150214592277</v>
      </c>
      <c r="CI73" s="105">
        <v>255.02399999999997</v>
      </c>
      <c r="CJ73" s="105">
        <v>6.7243638947459647</v>
      </c>
      <c r="CK73" s="105">
        <v>3760.2642899419429</v>
      </c>
      <c r="CL73" s="105">
        <v>5.8554675908944605</v>
      </c>
      <c r="CM73" s="105">
        <v>3274.3774768281819</v>
      </c>
      <c r="CN73" s="105">
        <v>9.2013884981381899</v>
      </c>
      <c r="CO73" s="105">
        <v>5145.416448158875</v>
      </c>
      <c r="CP73" s="105">
        <v>1.1207658286778399</v>
      </c>
      <c r="CQ73" s="105">
        <v>626.73225139664805</v>
      </c>
      <c r="CR73" s="105">
        <v>4.1012307024314936</v>
      </c>
      <c r="CS73" s="105">
        <v>2293.4082087996908</v>
      </c>
      <c r="CT73" s="105">
        <v>8.0054314720812201</v>
      </c>
      <c r="CU73" s="105">
        <v>4476.6372791878175</v>
      </c>
    </row>
    <row r="74" spans="2:99" x14ac:dyDescent="0.25">
      <c r="C74" s="104" t="s">
        <v>239</v>
      </c>
      <c r="D74" s="105">
        <v>0</v>
      </c>
      <c r="E74" s="105">
        <v>0</v>
      </c>
      <c r="F74" s="105">
        <v>0</v>
      </c>
      <c r="G74" s="105">
        <v>0</v>
      </c>
      <c r="H74" s="105">
        <v>0</v>
      </c>
      <c r="I74" s="105">
        <v>0</v>
      </c>
      <c r="J74" s="105">
        <v>3</v>
      </c>
      <c r="K74" s="105">
        <v>1209.5999999999999</v>
      </c>
      <c r="L74" s="105">
        <v>3</v>
      </c>
      <c r="M74" s="105">
        <v>1209.5999999999999</v>
      </c>
      <c r="N74" s="105">
        <v>3</v>
      </c>
      <c r="O74" s="105">
        <v>1209.5999999999999</v>
      </c>
      <c r="P74" s="105">
        <v>3</v>
      </c>
      <c r="Q74" s="105">
        <v>1209.5999999999999</v>
      </c>
      <c r="R74" s="105">
        <v>3</v>
      </c>
      <c r="S74" s="105">
        <v>1209.5999999999999</v>
      </c>
      <c r="T74" s="105">
        <v>4</v>
      </c>
      <c r="U74" s="105">
        <v>1612.8</v>
      </c>
      <c r="V74" s="105">
        <v>5</v>
      </c>
      <c r="W74" s="105">
        <v>2016</v>
      </c>
      <c r="X74" s="105">
        <v>5</v>
      </c>
      <c r="Y74" s="105">
        <v>2016</v>
      </c>
      <c r="Z74" s="105">
        <v>5</v>
      </c>
      <c r="AA74" s="105">
        <v>2016</v>
      </c>
      <c r="AB74" s="105">
        <v>4</v>
      </c>
      <c r="AC74" s="105">
        <v>1612.8</v>
      </c>
      <c r="AD74" s="105">
        <v>5</v>
      </c>
      <c r="AE74" s="105">
        <v>2016</v>
      </c>
      <c r="AF74" s="105">
        <v>6</v>
      </c>
      <c r="AG74" s="105">
        <v>2419.1999999999998</v>
      </c>
      <c r="AH74" s="105">
        <v>6</v>
      </c>
      <c r="AI74" s="105">
        <v>2419.1999999999998</v>
      </c>
      <c r="AJ74" s="105">
        <v>4</v>
      </c>
      <c r="AK74" s="105">
        <v>1612.8</v>
      </c>
      <c r="AL74" s="105">
        <v>5</v>
      </c>
      <c r="AM74" s="105">
        <v>2016</v>
      </c>
      <c r="AN74" s="105">
        <v>7</v>
      </c>
      <c r="AO74" s="105">
        <v>2822.4</v>
      </c>
      <c r="AP74" s="105">
        <v>6</v>
      </c>
      <c r="AQ74" s="105">
        <v>2419.1999999999998</v>
      </c>
      <c r="AR74" s="105">
        <v>8</v>
      </c>
      <c r="AS74" s="105">
        <v>3225.6</v>
      </c>
      <c r="AT74" s="105">
        <v>5</v>
      </c>
      <c r="AU74" s="105">
        <v>2016</v>
      </c>
      <c r="AV74" s="105">
        <v>7</v>
      </c>
      <c r="AW74" s="105">
        <v>2822.4</v>
      </c>
      <c r="AX74" s="105">
        <v>9</v>
      </c>
      <c r="AY74" s="105">
        <v>3628.7999999999997</v>
      </c>
      <c r="AZ74" s="105">
        <v>9</v>
      </c>
      <c r="BA74" s="105">
        <v>3628.7999999999997</v>
      </c>
      <c r="BB74" s="105">
        <v>13</v>
      </c>
      <c r="BC74" s="105">
        <v>5241.5999999999995</v>
      </c>
      <c r="BD74" s="105">
        <v>12</v>
      </c>
      <c r="BE74" s="105">
        <v>4838.3999999999996</v>
      </c>
      <c r="BF74" s="105">
        <v>9</v>
      </c>
      <c r="BG74" s="105">
        <v>3628.7999999999997</v>
      </c>
      <c r="BH74" s="105">
        <v>9</v>
      </c>
      <c r="BI74" s="105">
        <v>3628.7999999999997</v>
      </c>
      <c r="BJ74" s="105">
        <v>13</v>
      </c>
      <c r="BK74" s="105">
        <v>5241.5999999999995</v>
      </c>
      <c r="BL74" s="105">
        <v>9</v>
      </c>
      <c r="BM74" s="105">
        <v>3628.7999999999997</v>
      </c>
      <c r="BN74" s="105">
        <v>16</v>
      </c>
      <c r="BO74" s="105">
        <v>6451.2</v>
      </c>
      <c r="BP74" s="105">
        <v>20</v>
      </c>
      <c r="BQ74" s="105">
        <v>8064</v>
      </c>
      <c r="BR74" s="105">
        <v>18</v>
      </c>
      <c r="BS74" s="105">
        <v>7257.5999999999995</v>
      </c>
      <c r="BT74" s="105">
        <v>14</v>
      </c>
      <c r="BU74" s="105">
        <v>5644.8</v>
      </c>
      <c r="BV74" s="105">
        <v>14</v>
      </c>
      <c r="BW74" s="105">
        <v>5644.8</v>
      </c>
      <c r="BX74" s="105">
        <v>34</v>
      </c>
      <c r="BY74" s="105">
        <v>13708.8</v>
      </c>
      <c r="BZ74" s="105">
        <v>30</v>
      </c>
      <c r="CA74" s="105">
        <v>12096</v>
      </c>
      <c r="CB74" s="105">
        <v>4.970385697739145</v>
      </c>
      <c r="CC74" s="105">
        <v>2004.0595133284232</v>
      </c>
      <c r="CD74" s="105">
        <v>6.1033553629469131</v>
      </c>
      <c r="CE74" s="105">
        <v>2460.8728823401952</v>
      </c>
      <c r="CF74" s="105">
        <v>0.99664618003025707</v>
      </c>
      <c r="CG74" s="105">
        <v>401.84773978819965</v>
      </c>
      <c r="CH74" s="105">
        <v>0.48455472103004293</v>
      </c>
      <c r="CI74" s="105">
        <v>195.3724635193133</v>
      </c>
      <c r="CJ74" s="105">
        <v>6.7243638947459647</v>
      </c>
      <c r="CK74" s="105">
        <v>2711.263522361573</v>
      </c>
      <c r="CL74" s="105">
        <v>5.5626942113497373</v>
      </c>
      <c r="CM74" s="105">
        <v>2242.8783060162141</v>
      </c>
      <c r="CN74" s="105">
        <v>10.351562060405463</v>
      </c>
      <c r="CO74" s="105">
        <v>4173.7498227554825</v>
      </c>
      <c r="CP74" s="105">
        <v>1.3176571229050278</v>
      </c>
      <c r="CQ74" s="105">
        <v>531.27935195530722</v>
      </c>
      <c r="CR74" s="105">
        <v>4.3746460825935927</v>
      </c>
      <c r="CS74" s="105">
        <v>1763.8573005017365</v>
      </c>
      <c r="CT74" s="105">
        <v>8.705906725888326</v>
      </c>
      <c r="CU74" s="105">
        <v>3510.2215918781731</v>
      </c>
    </row>
    <row r="75" spans="2:99" x14ac:dyDescent="0.25">
      <c r="C75" s="104" t="s">
        <v>240</v>
      </c>
      <c r="D75" s="105">
        <v>0</v>
      </c>
      <c r="E75" s="105">
        <v>0</v>
      </c>
      <c r="F75" s="105">
        <v>0</v>
      </c>
      <c r="G75" s="105">
        <v>0</v>
      </c>
      <c r="H75" s="105">
        <v>0</v>
      </c>
      <c r="I75" s="105">
        <v>0</v>
      </c>
      <c r="J75" s="105">
        <v>4</v>
      </c>
      <c r="K75" s="105">
        <v>2572.7999999999997</v>
      </c>
      <c r="L75" s="105">
        <v>2</v>
      </c>
      <c r="M75" s="105">
        <v>1286.3999999999999</v>
      </c>
      <c r="N75" s="105">
        <v>4</v>
      </c>
      <c r="O75" s="105">
        <v>2572.7999999999997</v>
      </c>
      <c r="P75" s="105">
        <v>3</v>
      </c>
      <c r="Q75" s="105">
        <v>1929.6</v>
      </c>
      <c r="R75" s="105">
        <v>3</v>
      </c>
      <c r="S75" s="105">
        <v>1929.6</v>
      </c>
      <c r="T75" s="105">
        <v>4</v>
      </c>
      <c r="U75" s="105">
        <v>2572.7999999999997</v>
      </c>
      <c r="V75" s="105">
        <v>5</v>
      </c>
      <c r="W75" s="105">
        <v>3215.9999999999995</v>
      </c>
      <c r="X75" s="105">
        <v>5</v>
      </c>
      <c r="Y75" s="105">
        <v>3215.9999999999995</v>
      </c>
      <c r="Z75" s="105">
        <v>5</v>
      </c>
      <c r="AA75" s="105">
        <v>3215.9999999999995</v>
      </c>
      <c r="AB75" s="105">
        <v>4</v>
      </c>
      <c r="AC75" s="105">
        <v>2572.7999999999997</v>
      </c>
      <c r="AD75" s="105">
        <v>4</v>
      </c>
      <c r="AE75" s="105">
        <v>2572.7999999999997</v>
      </c>
      <c r="AF75" s="105">
        <v>6</v>
      </c>
      <c r="AG75" s="105">
        <v>3859.2</v>
      </c>
      <c r="AH75" s="105">
        <v>6</v>
      </c>
      <c r="AI75" s="105">
        <v>3859.2</v>
      </c>
      <c r="AJ75" s="105">
        <v>4</v>
      </c>
      <c r="AK75" s="105">
        <v>2572.7999999999997</v>
      </c>
      <c r="AL75" s="105">
        <v>4</v>
      </c>
      <c r="AM75" s="105">
        <v>2572.7999999999997</v>
      </c>
      <c r="AN75" s="105">
        <v>8</v>
      </c>
      <c r="AO75" s="105">
        <v>5145.5999999999995</v>
      </c>
      <c r="AP75" s="105">
        <v>6</v>
      </c>
      <c r="AQ75" s="105">
        <v>3859.2</v>
      </c>
      <c r="AR75" s="105">
        <v>9</v>
      </c>
      <c r="AS75" s="105">
        <v>5788.7999999999993</v>
      </c>
      <c r="AT75" s="105">
        <v>5</v>
      </c>
      <c r="AU75" s="105">
        <v>3215.9999999999995</v>
      </c>
      <c r="AV75" s="105">
        <v>7</v>
      </c>
      <c r="AW75" s="105">
        <v>4502.3999999999996</v>
      </c>
      <c r="AX75" s="105">
        <v>8</v>
      </c>
      <c r="AY75" s="105">
        <v>5145.5999999999995</v>
      </c>
      <c r="AZ75" s="105">
        <v>9</v>
      </c>
      <c r="BA75" s="105">
        <v>5788.7999999999993</v>
      </c>
      <c r="BB75" s="105">
        <v>11</v>
      </c>
      <c r="BC75" s="105">
        <v>7075.1999999999989</v>
      </c>
      <c r="BD75" s="105">
        <v>12</v>
      </c>
      <c r="BE75" s="105">
        <v>7718.4</v>
      </c>
      <c r="BF75" s="105">
        <v>8</v>
      </c>
      <c r="BG75" s="105">
        <v>5145.5999999999995</v>
      </c>
      <c r="BH75" s="105">
        <v>8</v>
      </c>
      <c r="BI75" s="105">
        <v>5145.5999999999995</v>
      </c>
      <c r="BJ75" s="105">
        <v>12</v>
      </c>
      <c r="BK75" s="105">
        <v>7718.4</v>
      </c>
      <c r="BL75" s="105">
        <v>9</v>
      </c>
      <c r="BM75" s="105">
        <v>5788.7999999999993</v>
      </c>
      <c r="BN75" s="105">
        <v>14</v>
      </c>
      <c r="BO75" s="105">
        <v>9004.7999999999993</v>
      </c>
      <c r="BP75" s="105">
        <v>21</v>
      </c>
      <c r="BQ75" s="105">
        <v>13507.199999999999</v>
      </c>
      <c r="BR75" s="105">
        <v>17</v>
      </c>
      <c r="BS75" s="105">
        <v>10934.4</v>
      </c>
      <c r="BT75" s="105">
        <v>15</v>
      </c>
      <c r="BU75" s="105">
        <v>9647.9999999999982</v>
      </c>
      <c r="BV75" s="105">
        <v>16</v>
      </c>
      <c r="BW75" s="105">
        <v>10291.199999999999</v>
      </c>
      <c r="BX75" s="105">
        <v>30</v>
      </c>
      <c r="BY75" s="105">
        <v>19295.999999999996</v>
      </c>
      <c r="BZ75" s="105">
        <v>28</v>
      </c>
      <c r="CA75" s="105">
        <v>18009.599999999999</v>
      </c>
      <c r="CB75" s="105">
        <v>4.970385697739145</v>
      </c>
      <c r="CC75" s="105">
        <v>3196.9520807858175</v>
      </c>
      <c r="CD75" s="105">
        <v>5.2710796316359705</v>
      </c>
      <c r="CE75" s="105">
        <v>3390.3584190682559</v>
      </c>
      <c r="CF75" s="105">
        <v>1.1073846444780635</v>
      </c>
      <c r="CG75" s="105">
        <v>712.26980332829032</v>
      </c>
      <c r="CH75" s="105">
        <v>0.41329667381974255</v>
      </c>
      <c r="CI75" s="105">
        <v>265.83242060085837</v>
      </c>
      <c r="CJ75" s="105">
        <v>6.0239093223765927</v>
      </c>
      <c r="CK75" s="105">
        <v>3874.5784761526238</v>
      </c>
      <c r="CL75" s="105">
        <v>6.001854280666822</v>
      </c>
      <c r="CM75" s="105">
        <v>3860.3926733248995</v>
      </c>
      <c r="CN75" s="105">
        <v>10.15986646669425</v>
      </c>
      <c r="CO75" s="105">
        <v>6534.8261113777407</v>
      </c>
      <c r="CP75" s="105">
        <v>1.2570751862197393</v>
      </c>
      <c r="CQ75" s="105">
        <v>808.55075977653621</v>
      </c>
      <c r="CR75" s="105">
        <v>4.5569230027016596</v>
      </c>
      <c r="CS75" s="105">
        <v>2931.0128753377071</v>
      </c>
      <c r="CT75" s="105">
        <v>7.7052277918781735</v>
      </c>
      <c r="CU75" s="105">
        <v>4956.0025157360406</v>
      </c>
    </row>
    <row r="76" spans="2:99" x14ac:dyDescent="0.25">
      <c r="C76" s="104" t="s">
        <v>241</v>
      </c>
      <c r="D76" s="105">
        <v>0</v>
      </c>
      <c r="E76" s="105">
        <v>0</v>
      </c>
      <c r="F76" s="105">
        <v>0</v>
      </c>
      <c r="G76" s="105">
        <v>0</v>
      </c>
      <c r="H76" s="105">
        <v>0</v>
      </c>
      <c r="I76" s="105">
        <v>0</v>
      </c>
      <c r="J76" s="105">
        <v>3</v>
      </c>
      <c r="K76" s="105">
        <v>2336.3999999999996</v>
      </c>
      <c r="L76" s="105">
        <v>2</v>
      </c>
      <c r="M76" s="105">
        <v>1557.6</v>
      </c>
      <c r="N76" s="105">
        <v>3</v>
      </c>
      <c r="O76" s="105">
        <v>2336.3999999999996</v>
      </c>
      <c r="P76" s="105">
        <v>3</v>
      </c>
      <c r="Q76" s="105">
        <v>2336.3999999999996</v>
      </c>
      <c r="R76" s="105">
        <v>3</v>
      </c>
      <c r="S76" s="105">
        <v>2336.3999999999996</v>
      </c>
      <c r="T76" s="105">
        <v>4</v>
      </c>
      <c r="U76" s="105">
        <v>3115.2</v>
      </c>
      <c r="V76" s="105">
        <v>4</v>
      </c>
      <c r="W76" s="105">
        <v>3115.2</v>
      </c>
      <c r="X76" s="105">
        <v>5</v>
      </c>
      <c r="Y76" s="105">
        <v>3894</v>
      </c>
      <c r="Z76" s="105">
        <v>4</v>
      </c>
      <c r="AA76" s="105">
        <v>3115.2</v>
      </c>
      <c r="AB76" s="105">
        <v>4</v>
      </c>
      <c r="AC76" s="105">
        <v>3115.2</v>
      </c>
      <c r="AD76" s="105">
        <v>5</v>
      </c>
      <c r="AE76" s="105">
        <v>3894</v>
      </c>
      <c r="AF76" s="105">
        <v>6</v>
      </c>
      <c r="AG76" s="105">
        <v>4672.7999999999993</v>
      </c>
      <c r="AH76" s="105">
        <v>5</v>
      </c>
      <c r="AI76" s="105">
        <v>3894</v>
      </c>
      <c r="AJ76" s="105">
        <v>4</v>
      </c>
      <c r="AK76" s="105">
        <v>3115.2</v>
      </c>
      <c r="AL76" s="105">
        <v>4</v>
      </c>
      <c r="AM76" s="105">
        <v>3115.2</v>
      </c>
      <c r="AN76" s="105">
        <v>7</v>
      </c>
      <c r="AO76" s="105">
        <v>5451.5999999999995</v>
      </c>
      <c r="AP76" s="105">
        <v>6</v>
      </c>
      <c r="AQ76" s="105">
        <v>4672.7999999999993</v>
      </c>
      <c r="AR76" s="105">
        <v>9</v>
      </c>
      <c r="AS76" s="105">
        <v>7009.2</v>
      </c>
      <c r="AT76" s="105">
        <v>5</v>
      </c>
      <c r="AU76" s="105">
        <v>3894</v>
      </c>
      <c r="AV76" s="105">
        <v>6</v>
      </c>
      <c r="AW76" s="105">
        <v>4672.7999999999993</v>
      </c>
      <c r="AX76" s="105">
        <v>7</v>
      </c>
      <c r="AY76" s="105">
        <v>5451.5999999999995</v>
      </c>
      <c r="AZ76" s="105">
        <v>9</v>
      </c>
      <c r="BA76" s="105">
        <v>7009.2</v>
      </c>
      <c r="BB76" s="105">
        <v>13</v>
      </c>
      <c r="BC76" s="105">
        <v>10124.4</v>
      </c>
      <c r="BD76" s="105">
        <v>11</v>
      </c>
      <c r="BE76" s="105">
        <v>8566.7999999999993</v>
      </c>
      <c r="BF76" s="105">
        <v>8</v>
      </c>
      <c r="BG76" s="105">
        <v>6230.4</v>
      </c>
      <c r="BH76" s="105">
        <v>8</v>
      </c>
      <c r="BI76" s="105">
        <v>6230.4</v>
      </c>
      <c r="BJ76" s="105">
        <v>11</v>
      </c>
      <c r="BK76" s="105">
        <v>8566.7999999999993</v>
      </c>
      <c r="BL76" s="105">
        <v>9</v>
      </c>
      <c r="BM76" s="105">
        <v>7009.2</v>
      </c>
      <c r="BN76" s="105">
        <v>14</v>
      </c>
      <c r="BO76" s="105">
        <v>10903.199999999999</v>
      </c>
      <c r="BP76" s="105">
        <v>21</v>
      </c>
      <c r="BQ76" s="105">
        <v>16354.8</v>
      </c>
      <c r="BR76" s="105">
        <v>18</v>
      </c>
      <c r="BS76" s="105">
        <v>14018.4</v>
      </c>
      <c r="BT76" s="105">
        <v>13</v>
      </c>
      <c r="BU76" s="105">
        <v>10124.4</v>
      </c>
      <c r="BV76" s="105">
        <v>14</v>
      </c>
      <c r="BW76" s="105">
        <v>10903.199999999999</v>
      </c>
      <c r="BX76" s="105">
        <v>34</v>
      </c>
      <c r="BY76" s="105">
        <v>26479.199999999997</v>
      </c>
      <c r="BZ76" s="105">
        <v>26</v>
      </c>
      <c r="CA76" s="105">
        <v>20248.8</v>
      </c>
      <c r="CB76" s="105">
        <v>4.678010068460372</v>
      </c>
      <c r="CC76" s="105">
        <v>3643.2342413169376</v>
      </c>
      <c r="CD76" s="105">
        <v>5.5485048754062847</v>
      </c>
      <c r="CE76" s="105">
        <v>4321.1755969664146</v>
      </c>
      <c r="CF76" s="105">
        <v>1.0704718229954613</v>
      </c>
      <c r="CG76" s="105">
        <v>833.68345574886519</v>
      </c>
      <c r="CH76" s="105">
        <v>0.48455472103004293</v>
      </c>
      <c r="CI76" s="105">
        <v>377.3712167381974</v>
      </c>
      <c r="CJ76" s="105">
        <v>6.4441820657982154</v>
      </c>
      <c r="CK76" s="105">
        <v>5018.7289928436503</v>
      </c>
      <c r="CL76" s="105">
        <v>5.4163075215773757</v>
      </c>
      <c r="CM76" s="105">
        <v>4218.2202978044597</v>
      </c>
      <c r="CN76" s="105">
        <v>10.543257654116676</v>
      </c>
      <c r="CO76" s="105">
        <v>8211.0890610260667</v>
      </c>
      <c r="CP76" s="105">
        <v>1.1510567970204841</v>
      </c>
      <c r="CQ76" s="105">
        <v>896.44303351955296</v>
      </c>
      <c r="CR76" s="105">
        <v>4.1012307024314936</v>
      </c>
      <c r="CS76" s="105">
        <v>3194.0384710536468</v>
      </c>
      <c r="CT76" s="105">
        <v>7.9053635786802037</v>
      </c>
      <c r="CU76" s="105">
        <v>6156.6971550761418</v>
      </c>
    </row>
    <row r="77" spans="2:99" x14ac:dyDescent="0.25">
      <c r="C77" s="104" t="s">
        <v>242</v>
      </c>
      <c r="D77" s="105">
        <v>0</v>
      </c>
      <c r="E77" s="105">
        <v>0</v>
      </c>
      <c r="F77" s="105">
        <v>0</v>
      </c>
      <c r="G77" s="105">
        <v>0</v>
      </c>
      <c r="H77" s="105">
        <v>0</v>
      </c>
      <c r="I77" s="105">
        <v>0</v>
      </c>
      <c r="J77" s="105">
        <v>3</v>
      </c>
      <c r="K77" s="105">
        <v>835.19999999999993</v>
      </c>
      <c r="L77" s="105">
        <v>3</v>
      </c>
      <c r="M77" s="105">
        <v>835.19999999999993</v>
      </c>
      <c r="N77" s="105">
        <v>4</v>
      </c>
      <c r="O77" s="105">
        <v>1113.5999999999999</v>
      </c>
      <c r="P77" s="105">
        <v>3</v>
      </c>
      <c r="Q77" s="105">
        <v>835.19999999999993</v>
      </c>
      <c r="R77" s="105">
        <v>3</v>
      </c>
      <c r="S77" s="105">
        <v>835.19999999999993</v>
      </c>
      <c r="T77" s="105">
        <v>4</v>
      </c>
      <c r="U77" s="105">
        <v>1113.5999999999999</v>
      </c>
      <c r="V77" s="105">
        <v>5</v>
      </c>
      <c r="W77" s="105">
        <v>1392</v>
      </c>
      <c r="X77" s="105">
        <v>5</v>
      </c>
      <c r="Y77" s="105">
        <v>1392</v>
      </c>
      <c r="Z77" s="105">
        <v>5</v>
      </c>
      <c r="AA77" s="105">
        <v>1392</v>
      </c>
      <c r="AB77" s="105">
        <v>3</v>
      </c>
      <c r="AC77" s="105">
        <v>835.19999999999993</v>
      </c>
      <c r="AD77" s="105">
        <v>5</v>
      </c>
      <c r="AE77" s="105">
        <v>1392</v>
      </c>
      <c r="AF77" s="105">
        <v>6</v>
      </c>
      <c r="AG77" s="105">
        <v>1670.3999999999999</v>
      </c>
      <c r="AH77" s="105">
        <v>5</v>
      </c>
      <c r="AI77" s="105">
        <v>1392</v>
      </c>
      <c r="AJ77" s="105">
        <v>4</v>
      </c>
      <c r="AK77" s="105">
        <v>1113.5999999999999</v>
      </c>
      <c r="AL77" s="105">
        <v>5</v>
      </c>
      <c r="AM77" s="105">
        <v>1392</v>
      </c>
      <c r="AN77" s="105">
        <v>7</v>
      </c>
      <c r="AO77" s="105">
        <v>1948.7999999999997</v>
      </c>
      <c r="AP77" s="105">
        <v>6</v>
      </c>
      <c r="AQ77" s="105">
        <v>1670.3999999999999</v>
      </c>
      <c r="AR77" s="105">
        <v>8</v>
      </c>
      <c r="AS77" s="105">
        <v>2227.1999999999998</v>
      </c>
      <c r="AT77" s="105">
        <v>5</v>
      </c>
      <c r="AU77" s="105">
        <v>1392</v>
      </c>
      <c r="AV77" s="105">
        <v>6</v>
      </c>
      <c r="AW77" s="105">
        <v>1670.3999999999999</v>
      </c>
      <c r="AX77" s="105">
        <v>8</v>
      </c>
      <c r="AY77" s="105">
        <v>2227.1999999999998</v>
      </c>
      <c r="AZ77" s="105">
        <v>10</v>
      </c>
      <c r="BA77" s="105">
        <v>2784</v>
      </c>
      <c r="BB77" s="105">
        <v>12</v>
      </c>
      <c r="BC77" s="105">
        <v>3340.7999999999997</v>
      </c>
      <c r="BD77" s="105">
        <v>13</v>
      </c>
      <c r="BE77" s="105">
        <v>3619.2</v>
      </c>
      <c r="BF77" s="105">
        <v>10</v>
      </c>
      <c r="BG77" s="105">
        <v>2784</v>
      </c>
      <c r="BH77" s="105">
        <v>10</v>
      </c>
      <c r="BI77" s="105">
        <v>2784</v>
      </c>
      <c r="BJ77" s="105">
        <v>13</v>
      </c>
      <c r="BK77" s="105">
        <v>3619.2</v>
      </c>
      <c r="BL77" s="105">
        <v>9</v>
      </c>
      <c r="BM77" s="105">
        <v>2505.6</v>
      </c>
      <c r="BN77" s="105">
        <v>17</v>
      </c>
      <c r="BO77" s="105">
        <v>4732.7999999999993</v>
      </c>
      <c r="BP77" s="105">
        <v>22</v>
      </c>
      <c r="BQ77" s="105">
        <v>6124.7999999999993</v>
      </c>
      <c r="BR77" s="105">
        <v>16</v>
      </c>
      <c r="BS77" s="105">
        <v>4454.3999999999996</v>
      </c>
      <c r="BT77" s="105">
        <v>14</v>
      </c>
      <c r="BU77" s="105">
        <v>3897.5999999999995</v>
      </c>
      <c r="BV77" s="105">
        <v>15</v>
      </c>
      <c r="BW77" s="105">
        <v>4176</v>
      </c>
      <c r="BX77" s="105">
        <v>31</v>
      </c>
      <c r="BY77" s="105">
        <v>8630.4</v>
      </c>
      <c r="BZ77" s="105">
        <v>25</v>
      </c>
      <c r="CA77" s="105">
        <v>6959.9999999999991</v>
      </c>
      <c r="CB77" s="105">
        <v>5.2627613270179179</v>
      </c>
      <c r="CC77" s="105">
        <v>1465.1527534417883</v>
      </c>
      <c r="CD77" s="105">
        <v>6.1033553629469131</v>
      </c>
      <c r="CE77" s="105">
        <v>1699.1741330444204</v>
      </c>
      <c r="CF77" s="105">
        <v>1.0704718229954613</v>
      </c>
      <c r="CG77" s="105">
        <v>298.0193555219364</v>
      </c>
      <c r="CH77" s="105">
        <v>0.4988063304721031</v>
      </c>
      <c r="CI77" s="105">
        <v>138.86768240343349</v>
      </c>
      <c r="CJ77" s="105">
        <v>7.1446366381675874</v>
      </c>
      <c r="CK77" s="105">
        <v>1989.0668400658562</v>
      </c>
      <c r="CL77" s="105">
        <v>5.4163075215773757</v>
      </c>
      <c r="CM77" s="105">
        <v>1507.9000140071412</v>
      </c>
      <c r="CN77" s="105">
        <v>11.885126810095162</v>
      </c>
      <c r="CO77" s="105">
        <v>3308.8193039304929</v>
      </c>
      <c r="CP77" s="105">
        <v>1.2419297020484172</v>
      </c>
      <c r="CQ77" s="105">
        <v>345.75322905027934</v>
      </c>
      <c r="CR77" s="105">
        <v>4.5569230027016596</v>
      </c>
      <c r="CS77" s="105">
        <v>1268.6473639521419</v>
      </c>
      <c r="CT77" s="105">
        <v>8.1054993654822347</v>
      </c>
      <c r="CU77" s="105">
        <v>2256.5710233502541</v>
      </c>
    </row>
    <row r="78" spans="2:99" x14ac:dyDescent="0.25">
      <c r="C78" s="104" t="s">
        <v>243</v>
      </c>
      <c r="D78" s="105">
        <v>0</v>
      </c>
      <c r="E78" s="105">
        <v>0</v>
      </c>
      <c r="F78" s="105">
        <v>0</v>
      </c>
      <c r="G78" s="105">
        <v>0</v>
      </c>
      <c r="H78" s="105">
        <v>0</v>
      </c>
      <c r="I78" s="105">
        <v>0</v>
      </c>
      <c r="J78" s="105">
        <v>3</v>
      </c>
      <c r="K78" s="105">
        <v>1656</v>
      </c>
      <c r="L78" s="105">
        <v>3</v>
      </c>
      <c r="M78" s="105">
        <v>1656</v>
      </c>
      <c r="N78" s="105">
        <v>4</v>
      </c>
      <c r="O78" s="105">
        <v>2208</v>
      </c>
      <c r="P78" s="105">
        <v>3</v>
      </c>
      <c r="Q78" s="105">
        <v>1656</v>
      </c>
      <c r="R78" s="105">
        <v>3</v>
      </c>
      <c r="S78" s="105">
        <v>1656</v>
      </c>
      <c r="T78" s="105">
        <v>4</v>
      </c>
      <c r="U78" s="105">
        <v>2208</v>
      </c>
      <c r="V78" s="105">
        <v>5</v>
      </c>
      <c r="W78" s="105">
        <v>2760</v>
      </c>
      <c r="X78" s="105">
        <v>5</v>
      </c>
      <c r="Y78" s="105">
        <v>2760</v>
      </c>
      <c r="Z78" s="105">
        <v>5</v>
      </c>
      <c r="AA78" s="105">
        <v>2760</v>
      </c>
      <c r="AB78" s="105">
        <v>4</v>
      </c>
      <c r="AC78" s="105">
        <v>2208</v>
      </c>
      <c r="AD78" s="105">
        <v>5</v>
      </c>
      <c r="AE78" s="105">
        <v>2760</v>
      </c>
      <c r="AF78" s="105">
        <v>6</v>
      </c>
      <c r="AG78" s="105">
        <v>3312</v>
      </c>
      <c r="AH78" s="105">
        <v>5</v>
      </c>
      <c r="AI78" s="105">
        <v>2760</v>
      </c>
      <c r="AJ78" s="105">
        <v>4</v>
      </c>
      <c r="AK78" s="105">
        <v>2208</v>
      </c>
      <c r="AL78" s="105">
        <v>5</v>
      </c>
      <c r="AM78" s="105">
        <v>2760</v>
      </c>
      <c r="AN78" s="105">
        <v>7</v>
      </c>
      <c r="AO78" s="105">
        <v>3864</v>
      </c>
      <c r="AP78" s="105">
        <v>6</v>
      </c>
      <c r="AQ78" s="105">
        <v>3312</v>
      </c>
      <c r="AR78" s="105">
        <v>9</v>
      </c>
      <c r="AS78" s="105">
        <v>4968</v>
      </c>
      <c r="AT78" s="105">
        <v>5</v>
      </c>
      <c r="AU78" s="105">
        <v>2760</v>
      </c>
      <c r="AV78" s="105">
        <v>6</v>
      </c>
      <c r="AW78" s="105">
        <v>3312</v>
      </c>
      <c r="AX78" s="105">
        <v>8</v>
      </c>
      <c r="AY78" s="105">
        <v>4416</v>
      </c>
      <c r="AZ78" s="105">
        <v>9</v>
      </c>
      <c r="BA78" s="105">
        <v>4968</v>
      </c>
      <c r="BB78" s="105">
        <v>12</v>
      </c>
      <c r="BC78" s="105">
        <v>6624</v>
      </c>
      <c r="BD78" s="105">
        <v>12</v>
      </c>
      <c r="BE78" s="105">
        <v>6624</v>
      </c>
      <c r="BF78" s="105">
        <v>8</v>
      </c>
      <c r="BG78" s="105">
        <v>4416</v>
      </c>
      <c r="BH78" s="105">
        <v>10</v>
      </c>
      <c r="BI78" s="105">
        <v>5520</v>
      </c>
      <c r="BJ78" s="105">
        <v>12</v>
      </c>
      <c r="BK78" s="105">
        <v>6624</v>
      </c>
      <c r="BL78" s="105">
        <v>9</v>
      </c>
      <c r="BM78" s="105">
        <v>4968</v>
      </c>
      <c r="BN78" s="105">
        <v>15</v>
      </c>
      <c r="BO78" s="105">
        <v>8280</v>
      </c>
      <c r="BP78" s="105">
        <v>22</v>
      </c>
      <c r="BQ78" s="105">
        <v>12144</v>
      </c>
      <c r="BR78" s="105">
        <v>18</v>
      </c>
      <c r="BS78" s="105">
        <v>9936</v>
      </c>
      <c r="BT78" s="105">
        <v>13</v>
      </c>
      <c r="BU78" s="105">
        <v>7176</v>
      </c>
      <c r="BV78" s="105">
        <v>16</v>
      </c>
      <c r="BW78" s="105">
        <v>8832</v>
      </c>
      <c r="BX78" s="105">
        <v>34</v>
      </c>
      <c r="BY78" s="105">
        <v>18768</v>
      </c>
      <c r="BZ78" s="105">
        <v>25</v>
      </c>
      <c r="CA78" s="105">
        <v>13800</v>
      </c>
      <c r="CB78" s="105">
        <v>4.970385697739145</v>
      </c>
      <c r="CC78" s="105">
        <v>2743.6529051520079</v>
      </c>
      <c r="CD78" s="105">
        <v>6.1033553629469131</v>
      </c>
      <c r="CE78" s="105">
        <v>3369.0521603466959</v>
      </c>
      <c r="CF78" s="105">
        <v>1.0335590015128593</v>
      </c>
      <c r="CG78" s="105">
        <v>570.52456883509831</v>
      </c>
      <c r="CH78" s="105">
        <v>0.47030311158798294</v>
      </c>
      <c r="CI78" s="105">
        <v>259.60731759656659</v>
      </c>
      <c r="CJ78" s="105">
        <v>6.4441820657982154</v>
      </c>
      <c r="CK78" s="105">
        <v>3557.1885003206148</v>
      </c>
      <c r="CL78" s="105">
        <v>5.7090809011220989</v>
      </c>
      <c r="CM78" s="105">
        <v>3151.4126574193988</v>
      </c>
      <c r="CN78" s="105">
        <v>9.7764752792718266</v>
      </c>
      <c r="CO78" s="105">
        <v>5396.6143541580486</v>
      </c>
      <c r="CP78" s="105">
        <v>1.1510567970204841</v>
      </c>
      <c r="CQ78" s="105">
        <v>635.38335195530726</v>
      </c>
      <c r="CR78" s="105">
        <v>3.9189537823234271</v>
      </c>
      <c r="CS78" s="105">
        <v>2163.2624878425318</v>
      </c>
      <c r="CT78" s="105">
        <v>7.9053635786802037</v>
      </c>
      <c r="CU78" s="105">
        <v>4363.7606954314724</v>
      </c>
    </row>
    <row r="79" spans="2:99" x14ac:dyDescent="0.25">
      <c r="C79" s="104" t="s">
        <v>244</v>
      </c>
      <c r="D79" s="105">
        <v>0</v>
      </c>
      <c r="E79" s="105">
        <v>0</v>
      </c>
      <c r="F79" s="105">
        <v>0</v>
      </c>
      <c r="G79" s="105">
        <v>0</v>
      </c>
      <c r="H79" s="105">
        <v>0</v>
      </c>
      <c r="I79" s="105">
        <v>0</v>
      </c>
      <c r="J79" s="105">
        <v>3</v>
      </c>
      <c r="K79" s="105">
        <v>2271.6</v>
      </c>
      <c r="L79" s="105">
        <v>3</v>
      </c>
      <c r="M79" s="105">
        <v>2271.6</v>
      </c>
      <c r="N79" s="105">
        <v>4</v>
      </c>
      <c r="O79" s="105">
        <v>3028.7999999999997</v>
      </c>
      <c r="P79" s="105">
        <v>3</v>
      </c>
      <c r="Q79" s="105">
        <v>2271.6</v>
      </c>
      <c r="R79" s="105">
        <v>3</v>
      </c>
      <c r="S79" s="105">
        <v>2271.6</v>
      </c>
      <c r="T79" s="105">
        <v>4</v>
      </c>
      <c r="U79" s="105">
        <v>3028.7999999999997</v>
      </c>
      <c r="V79" s="105">
        <v>4</v>
      </c>
      <c r="W79" s="105">
        <v>3028.7999999999997</v>
      </c>
      <c r="X79" s="105">
        <v>5</v>
      </c>
      <c r="Y79" s="105">
        <v>3785.9999999999995</v>
      </c>
      <c r="Z79" s="105">
        <v>5</v>
      </c>
      <c r="AA79" s="105">
        <v>3785.9999999999995</v>
      </c>
      <c r="AB79" s="105">
        <v>3</v>
      </c>
      <c r="AC79" s="105">
        <v>2271.6</v>
      </c>
      <c r="AD79" s="105">
        <v>4</v>
      </c>
      <c r="AE79" s="105">
        <v>3028.7999999999997</v>
      </c>
      <c r="AF79" s="105">
        <v>5</v>
      </c>
      <c r="AG79" s="105">
        <v>3785.9999999999995</v>
      </c>
      <c r="AH79" s="105">
        <v>6</v>
      </c>
      <c r="AI79" s="105">
        <v>4543.2</v>
      </c>
      <c r="AJ79" s="105">
        <v>4</v>
      </c>
      <c r="AK79" s="105">
        <v>3028.7999999999997</v>
      </c>
      <c r="AL79" s="105">
        <v>4</v>
      </c>
      <c r="AM79" s="105">
        <v>3028.7999999999997</v>
      </c>
      <c r="AN79" s="105">
        <v>7</v>
      </c>
      <c r="AO79" s="105">
        <v>5300.4</v>
      </c>
      <c r="AP79" s="105">
        <v>6</v>
      </c>
      <c r="AQ79" s="105">
        <v>4543.2</v>
      </c>
      <c r="AR79" s="105">
        <v>8</v>
      </c>
      <c r="AS79" s="105">
        <v>6057.5999999999995</v>
      </c>
      <c r="AT79" s="105">
        <v>5</v>
      </c>
      <c r="AU79" s="105">
        <v>3785.9999999999995</v>
      </c>
      <c r="AV79" s="105">
        <v>6</v>
      </c>
      <c r="AW79" s="105">
        <v>4543.2</v>
      </c>
      <c r="AX79" s="105">
        <v>8</v>
      </c>
      <c r="AY79" s="105">
        <v>6057.5999999999995</v>
      </c>
      <c r="AZ79" s="105">
        <v>9</v>
      </c>
      <c r="BA79" s="105">
        <v>6814.7999999999993</v>
      </c>
      <c r="BB79" s="105">
        <v>12</v>
      </c>
      <c r="BC79" s="105">
        <v>9086.4</v>
      </c>
      <c r="BD79" s="105">
        <v>11</v>
      </c>
      <c r="BE79" s="105">
        <v>8329.1999999999989</v>
      </c>
      <c r="BF79" s="105">
        <v>8</v>
      </c>
      <c r="BG79" s="105">
        <v>6057.5999999999995</v>
      </c>
      <c r="BH79" s="105">
        <v>9</v>
      </c>
      <c r="BI79" s="105">
        <v>6814.7999999999993</v>
      </c>
      <c r="BJ79" s="105">
        <v>11</v>
      </c>
      <c r="BK79" s="105">
        <v>8329.1999999999989</v>
      </c>
      <c r="BL79" s="105">
        <v>9</v>
      </c>
      <c r="BM79" s="105">
        <v>6814.7999999999993</v>
      </c>
      <c r="BN79" s="105">
        <v>14</v>
      </c>
      <c r="BO79" s="105">
        <v>10600.8</v>
      </c>
      <c r="BP79" s="105">
        <v>19</v>
      </c>
      <c r="BQ79" s="105">
        <v>14386.8</v>
      </c>
      <c r="BR79" s="105">
        <v>16</v>
      </c>
      <c r="BS79" s="105">
        <v>12115.199999999999</v>
      </c>
      <c r="BT79" s="105">
        <v>12</v>
      </c>
      <c r="BU79" s="105">
        <v>9086.4</v>
      </c>
      <c r="BV79" s="105">
        <v>16</v>
      </c>
      <c r="BW79" s="105">
        <v>12115.199999999999</v>
      </c>
      <c r="BX79" s="105">
        <v>31</v>
      </c>
      <c r="BY79" s="105">
        <v>23473.199999999997</v>
      </c>
      <c r="BZ79" s="105">
        <v>25</v>
      </c>
      <c r="CA79" s="105">
        <v>18930</v>
      </c>
      <c r="CB79" s="105">
        <v>4.678010068460372</v>
      </c>
      <c r="CC79" s="105">
        <v>3542.1892238381934</v>
      </c>
      <c r="CD79" s="105">
        <v>5.5485048754062847</v>
      </c>
      <c r="CE79" s="105">
        <v>4201.3278916576382</v>
      </c>
      <c r="CF79" s="105">
        <v>1.0704718229954613</v>
      </c>
      <c r="CG79" s="105">
        <v>810.56126437216324</v>
      </c>
      <c r="CH79" s="105">
        <v>0.41329667381974255</v>
      </c>
      <c r="CI79" s="105">
        <v>312.94824141630903</v>
      </c>
      <c r="CJ79" s="105">
        <v>6.3040911513243412</v>
      </c>
      <c r="CK79" s="105">
        <v>4773.4578197827905</v>
      </c>
      <c r="CL79" s="105">
        <v>5.4163075215773757</v>
      </c>
      <c r="CM79" s="105">
        <v>4101.2280553383889</v>
      </c>
      <c r="CN79" s="105">
        <v>9.7764752792718266</v>
      </c>
      <c r="CO79" s="105">
        <v>7402.7470814646267</v>
      </c>
      <c r="CP79" s="105">
        <v>1.0753293761638734</v>
      </c>
      <c r="CQ79" s="105">
        <v>814.23940363128486</v>
      </c>
      <c r="CR79" s="105">
        <v>4.1923691624855266</v>
      </c>
      <c r="CS79" s="105">
        <v>3174.4619298340403</v>
      </c>
      <c r="CT79" s="105">
        <v>7.5050920050761425</v>
      </c>
      <c r="CU79" s="105">
        <v>5682.8556662436549</v>
      </c>
    </row>
    <row r="80" spans="2:99" x14ac:dyDescent="0.25">
      <c r="C80" s="104" t="s">
        <v>245</v>
      </c>
      <c r="D80" s="105">
        <v>0</v>
      </c>
      <c r="E80" s="105">
        <v>0</v>
      </c>
      <c r="F80" s="105">
        <v>0</v>
      </c>
      <c r="G80" s="105">
        <v>0</v>
      </c>
      <c r="H80" s="105">
        <v>0</v>
      </c>
      <c r="I80" s="105">
        <v>0</v>
      </c>
      <c r="J80" s="105">
        <v>4</v>
      </c>
      <c r="K80" s="105">
        <v>3220.7999999999997</v>
      </c>
      <c r="L80" s="105">
        <v>3</v>
      </c>
      <c r="M80" s="105">
        <v>2415.6</v>
      </c>
      <c r="N80" s="105">
        <v>3</v>
      </c>
      <c r="O80" s="105">
        <v>2415.6</v>
      </c>
      <c r="P80" s="105">
        <v>3</v>
      </c>
      <c r="Q80" s="105">
        <v>2415.6</v>
      </c>
      <c r="R80" s="105">
        <v>3</v>
      </c>
      <c r="S80" s="105">
        <v>2415.6</v>
      </c>
      <c r="T80" s="105">
        <v>4</v>
      </c>
      <c r="U80" s="105">
        <v>3220.7999999999997</v>
      </c>
      <c r="V80" s="105">
        <v>4</v>
      </c>
      <c r="W80" s="105">
        <v>3220.7999999999997</v>
      </c>
      <c r="X80" s="105">
        <v>5</v>
      </c>
      <c r="Y80" s="105">
        <v>4025.9999999999995</v>
      </c>
      <c r="Z80" s="105">
        <v>5</v>
      </c>
      <c r="AA80" s="105">
        <v>4025.9999999999995</v>
      </c>
      <c r="AB80" s="105">
        <v>4</v>
      </c>
      <c r="AC80" s="105">
        <v>3220.7999999999997</v>
      </c>
      <c r="AD80" s="105">
        <v>4</v>
      </c>
      <c r="AE80" s="105">
        <v>3220.7999999999997</v>
      </c>
      <c r="AF80" s="105">
        <v>5</v>
      </c>
      <c r="AG80" s="105">
        <v>4025.9999999999995</v>
      </c>
      <c r="AH80" s="105">
        <v>5</v>
      </c>
      <c r="AI80" s="105">
        <v>4025.9999999999995</v>
      </c>
      <c r="AJ80" s="105">
        <v>4</v>
      </c>
      <c r="AK80" s="105">
        <v>3220.7999999999997</v>
      </c>
      <c r="AL80" s="105">
        <v>4</v>
      </c>
      <c r="AM80" s="105">
        <v>3220.7999999999997</v>
      </c>
      <c r="AN80" s="105">
        <v>7</v>
      </c>
      <c r="AO80" s="105">
        <v>5636.4</v>
      </c>
      <c r="AP80" s="105">
        <v>5</v>
      </c>
      <c r="AQ80" s="105">
        <v>4025.9999999999995</v>
      </c>
      <c r="AR80" s="105">
        <v>9</v>
      </c>
      <c r="AS80" s="105">
        <v>7246.7999999999993</v>
      </c>
      <c r="AT80" s="105">
        <v>5</v>
      </c>
      <c r="AU80" s="105">
        <v>4025.9999999999995</v>
      </c>
      <c r="AV80" s="105">
        <v>6</v>
      </c>
      <c r="AW80" s="105">
        <v>4831.2</v>
      </c>
      <c r="AX80" s="105">
        <v>7</v>
      </c>
      <c r="AY80" s="105">
        <v>5636.4</v>
      </c>
      <c r="AZ80" s="105">
        <v>10</v>
      </c>
      <c r="BA80" s="105">
        <v>8051.9999999999991</v>
      </c>
      <c r="BB80" s="105">
        <v>13</v>
      </c>
      <c r="BC80" s="105">
        <v>10467.599999999999</v>
      </c>
      <c r="BD80" s="105">
        <v>10</v>
      </c>
      <c r="BE80" s="105">
        <v>8051.9999999999991</v>
      </c>
      <c r="BF80" s="105">
        <v>9</v>
      </c>
      <c r="BG80" s="105">
        <v>7246.7999999999993</v>
      </c>
      <c r="BH80" s="105">
        <v>8</v>
      </c>
      <c r="BI80" s="105">
        <v>6441.5999999999995</v>
      </c>
      <c r="BJ80" s="105">
        <v>12</v>
      </c>
      <c r="BK80" s="105">
        <v>9662.4</v>
      </c>
      <c r="BL80" s="105">
        <v>8</v>
      </c>
      <c r="BM80" s="105">
        <v>6441.5999999999995</v>
      </c>
      <c r="BN80" s="105">
        <v>14</v>
      </c>
      <c r="BO80" s="105">
        <v>11272.8</v>
      </c>
      <c r="BP80" s="105">
        <v>21</v>
      </c>
      <c r="BQ80" s="105">
        <v>16909.199999999997</v>
      </c>
      <c r="BR80" s="105">
        <v>16</v>
      </c>
      <c r="BS80" s="105">
        <v>12883.199999999999</v>
      </c>
      <c r="BT80" s="105">
        <v>14</v>
      </c>
      <c r="BU80" s="105">
        <v>11272.8</v>
      </c>
      <c r="BV80" s="105">
        <v>17</v>
      </c>
      <c r="BW80" s="105">
        <v>13688.4</v>
      </c>
      <c r="BX80" s="105">
        <v>31</v>
      </c>
      <c r="BY80" s="105">
        <v>24961.199999999997</v>
      </c>
      <c r="BZ80" s="105">
        <v>24</v>
      </c>
      <c r="CA80" s="105">
        <v>19324.8</v>
      </c>
      <c r="CB80" s="105">
        <v>4.970385697739145</v>
      </c>
      <c r="CC80" s="105">
        <v>4002.1545638195594</v>
      </c>
      <c r="CD80" s="105">
        <v>5.2710796316359705</v>
      </c>
      <c r="CE80" s="105">
        <v>4244.2733193932827</v>
      </c>
      <c r="CF80" s="105">
        <v>1.0704718229954613</v>
      </c>
      <c r="CG80" s="105">
        <v>861.94391187594533</v>
      </c>
      <c r="CH80" s="105">
        <v>0.45605150214592277</v>
      </c>
      <c r="CI80" s="105">
        <v>367.21266952789699</v>
      </c>
      <c r="CJ80" s="105">
        <v>6.3040911513243412</v>
      </c>
      <c r="CK80" s="105">
        <v>5076.0541950463594</v>
      </c>
      <c r="CL80" s="105">
        <v>5.2699208318050141</v>
      </c>
      <c r="CM80" s="105">
        <v>4243.3402537693973</v>
      </c>
      <c r="CN80" s="105">
        <v>10.15986646669425</v>
      </c>
      <c r="CO80" s="105">
        <v>8180.7244789822098</v>
      </c>
      <c r="CP80" s="105">
        <v>1.1510567970204841</v>
      </c>
      <c r="CQ80" s="105">
        <v>926.83093296089373</v>
      </c>
      <c r="CR80" s="105">
        <v>4.1923691624855266</v>
      </c>
      <c r="CS80" s="105">
        <v>3375.6956496333455</v>
      </c>
      <c r="CT80" s="105">
        <v>8.305635152284264</v>
      </c>
      <c r="CU80" s="105">
        <v>6687.6974246192885</v>
      </c>
    </row>
    <row r="81" spans="2:99" x14ac:dyDescent="0.25">
      <c r="C81" s="104" t="s">
        <v>246</v>
      </c>
      <c r="D81" s="105">
        <v>0</v>
      </c>
      <c r="E81" s="105">
        <v>0</v>
      </c>
      <c r="F81" s="105">
        <v>0</v>
      </c>
      <c r="G81" s="105">
        <v>0</v>
      </c>
      <c r="H81" s="105">
        <v>0</v>
      </c>
      <c r="I81" s="105">
        <v>0</v>
      </c>
      <c r="J81" s="105">
        <v>3</v>
      </c>
      <c r="K81" s="105">
        <v>2260.8000000000002</v>
      </c>
      <c r="L81" s="105">
        <v>2</v>
      </c>
      <c r="M81" s="105">
        <v>1507.2</v>
      </c>
      <c r="N81" s="105">
        <v>3</v>
      </c>
      <c r="O81" s="105">
        <v>2260.8000000000002</v>
      </c>
      <c r="P81" s="105">
        <v>3</v>
      </c>
      <c r="Q81" s="105">
        <v>2260.8000000000002</v>
      </c>
      <c r="R81" s="105">
        <v>3</v>
      </c>
      <c r="S81" s="105">
        <v>2260.8000000000002</v>
      </c>
      <c r="T81" s="105">
        <v>4</v>
      </c>
      <c r="U81" s="105">
        <v>3014.4</v>
      </c>
      <c r="V81" s="105">
        <v>5</v>
      </c>
      <c r="W81" s="105">
        <v>3768</v>
      </c>
      <c r="X81" s="105">
        <v>5</v>
      </c>
      <c r="Y81" s="105">
        <v>3768</v>
      </c>
      <c r="Z81" s="105">
        <v>5</v>
      </c>
      <c r="AA81" s="105">
        <v>3768</v>
      </c>
      <c r="AB81" s="105">
        <v>3</v>
      </c>
      <c r="AC81" s="105">
        <v>2260.8000000000002</v>
      </c>
      <c r="AD81" s="105">
        <v>5</v>
      </c>
      <c r="AE81" s="105">
        <v>3768</v>
      </c>
      <c r="AF81" s="105">
        <v>5</v>
      </c>
      <c r="AG81" s="105">
        <v>3768</v>
      </c>
      <c r="AH81" s="105">
        <v>5</v>
      </c>
      <c r="AI81" s="105">
        <v>3768</v>
      </c>
      <c r="AJ81" s="105">
        <v>4</v>
      </c>
      <c r="AK81" s="105">
        <v>3014.4</v>
      </c>
      <c r="AL81" s="105">
        <v>4</v>
      </c>
      <c r="AM81" s="105">
        <v>3014.4</v>
      </c>
      <c r="AN81" s="105">
        <v>7</v>
      </c>
      <c r="AO81" s="105">
        <v>5275.2</v>
      </c>
      <c r="AP81" s="105">
        <v>6</v>
      </c>
      <c r="AQ81" s="105">
        <v>4521.6000000000004</v>
      </c>
      <c r="AR81" s="105">
        <v>8</v>
      </c>
      <c r="AS81" s="105">
        <v>6028.8</v>
      </c>
      <c r="AT81" s="105">
        <v>5</v>
      </c>
      <c r="AU81" s="105">
        <v>3768</v>
      </c>
      <c r="AV81" s="105">
        <v>7</v>
      </c>
      <c r="AW81" s="105">
        <v>5275.2</v>
      </c>
      <c r="AX81" s="105">
        <v>8</v>
      </c>
      <c r="AY81" s="105">
        <v>6028.8</v>
      </c>
      <c r="AZ81" s="105">
        <v>9</v>
      </c>
      <c r="BA81" s="105">
        <v>6782.4000000000005</v>
      </c>
      <c r="BB81" s="105">
        <v>13</v>
      </c>
      <c r="BC81" s="105">
        <v>9796.8000000000011</v>
      </c>
      <c r="BD81" s="105">
        <v>10</v>
      </c>
      <c r="BE81" s="105">
        <v>7536</v>
      </c>
      <c r="BF81" s="105">
        <v>8</v>
      </c>
      <c r="BG81" s="105">
        <v>6028.8</v>
      </c>
      <c r="BH81" s="105">
        <v>8</v>
      </c>
      <c r="BI81" s="105">
        <v>6028.8</v>
      </c>
      <c r="BJ81" s="105">
        <v>13</v>
      </c>
      <c r="BK81" s="105">
        <v>9796.8000000000011</v>
      </c>
      <c r="BL81" s="105">
        <v>8</v>
      </c>
      <c r="BM81" s="105">
        <v>6028.8</v>
      </c>
      <c r="BN81" s="105">
        <v>14</v>
      </c>
      <c r="BO81" s="105">
        <v>10550.4</v>
      </c>
      <c r="BP81" s="105">
        <v>19</v>
      </c>
      <c r="BQ81" s="105">
        <v>14318.4</v>
      </c>
      <c r="BR81" s="105">
        <v>17</v>
      </c>
      <c r="BS81" s="105">
        <v>12811.2</v>
      </c>
      <c r="BT81" s="105">
        <v>13</v>
      </c>
      <c r="BU81" s="105">
        <v>9796.8000000000011</v>
      </c>
      <c r="BV81" s="105">
        <v>16</v>
      </c>
      <c r="BW81" s="105">
        <v>12057.6</v>
      </c>
      <c r="BX81" s="105">
        <v>30</v>
      </c>
      <c r="BY81" s="105">
        <v>22608</v>
      </c>
      <c r="BZ81" s="105">
        <v>28</v>
      </c>
      <c r="CA81" s="105">
        <v>21100.799999999999</v>
      </c>
      <c r="CB81" s="105">
        <v>5.2627613270179179</v>
      </c>
      <c r="CC81" s="105">
        <v>3966.0169360407031</v>
      </c>
      <c r="CD81" s="105">
        <v>5.2710796316359705</v>
      </c>
      <c r="CE81" s="105">
        <v>3972.2856104008674</v>
      </c>
      <c r="CF81" s="105">
        <v>1.1442974659606657</v>
      </c>
      <c r="CG81" s="105">
        <v>862.34257034795769</v>
      </c>
      <c r="CH81" s="105">
        <v>0.45605150214592277</v>
      </c>
      <c r="CI81" s="105">
        <v>343.68041201716738</v>
      </c>
      <c r="CJ81" s="105">
        <v>6.1640002368504669</v>
      </c>
      <c r="CK81" s="105">
        <v>4645.1905784905121</v>
      </c>
      <c r="CL81" s="105">
        <v>5.4163075215773757</v>
      </c>
      <c r="CM81" s="105">
        <v>4081.7293482607106</v>
      </c>
      <c r="CN81" s="105">
        <v>10.351562060405463</v>
      </c>
      <c r="CO81" s="105">
        <v>7800.9371687215571</v>
      </c>
      <c r="CP81" s="105">
        <v>1.2116387337057728</v>
      </c>
      <c r="CQ81" s="105">
        <v>913.09094972067044</v>
      </c>
      <c r="CR81" s="105">
        <v>4.3746460825935927</v>
      </c>
      <c r="CS81" s="105">
        <v>3296.7332878425314</v>
      </c>
      <c r="CT81" s="105">
        <v>7.8052956852791882</v>
      </c>
      <c r="CU81" s="105">
        <v>5882.0708284263965</v>
      </c>
    </row>
    <row r="82" spans="2:99" x14ac:dyDescent="0.25">
      <c r="C82" s="104" t="s">
        <v>247</v>
      </c>
      <c r="D82" s="105">
        <v>0</v>
      </c>
      <c r="E82" s="105">
        <v>0</v>
      </c>
      <c r="F82" s="105">
        <v>0</v>
      </c>
      <c r="G82" s="105">
        <v>0</v>
      </c>
      <c r="H82" s="105">
        <v>0</v>
      </c>
      <c r="I82" s="105">
        <v>0</v>
      </c>
      <c r="J82" s="105">
        <v>3</v>
      </c>
      <c r="K82" s="105">
        <v>1526.3999999999996</v>
      </c>
      <c r="L82" s="105">
        <v>3</v>
      </c>
      <c r="M82" s="105">
        <v>1526.3999999999996</v>
      </c>
      <c r="N82" s="105">
        <v>4</v>
      </c>
      <c r="O82" s="105">
        <v>2035.1999999999996</v>
      </c>
      <c r="P82" s="105">
        <v>3</v>
      </c>
      <c r="Q82" s="105">
        <v>1526.3999999999996</v>
      </c>
      <c r="R82" s="105">
        <v>3</v>
      </c>
      <c r="S82" s="105">
        <v>1526.3999999999996</v>
      </c>
      <c r="T82" s="105">
        <v>4</v>
      </c>
      <c r="U82" s="105">
        <v>2035.1999999999996</v>
      </c>
      <c r="V82" s="105">
        <v>5</v>
      </c>
      <c r="W82" s="105">
        <v>2543.9999999999995</v>
      </c>
      <c r="X82" s="105">
        <v>5</v>
      </c>
      <c r="Y82" s="105">
        <v>2543.9999999999995</v>
      </c>
      <c r="Z82" s="105">
        <v>5</v>
      </c>
      <c r="AA82" s="105">
        <v>2543.9999999999995</v>
      </c>
      <c r="AB82" s="105">
        <v>3</v>
      </c>
      <c r="AC82" s="105">
        <v>1526.3999999999996</v>
      </c>
      <c r="AD82" s="105">
        <v>5</v>
      </c>
      <c r="AE82" s="105">
        <v>2543.9999999999995</v>
      </c>
      <c r="AF82" s="105">
        <v>6</v>
      </c>
      <c r="AG82" s="105">
        <v>3052.7999999999993</v>
      </c>
      <c r="AH82" s="105">
        <v>6</v>
      </c>
      <c r="AI82" s="105">
        <v>3052.7999999999993</v>
      </c>
      <c r="AJ82" s="105">
        <v>4</v>
      </c>
      <c r="AK82" s="105">
        <v>2035.1999999999996</v>
      </c>
      <c r="AL82" s="105">
        <v>4</v>
      </c>
      <c r="AM82" s="105">
        <v>2035.1999999999996</v>
      </c>
      <c r="AN82" s="105">
        <v>8</v>
      </c>
      <c r="AO82" s="105">
        <v>4070.3999999999992</v>
      </c>
      <c r="AP82" s="105">
        <v>6</v>
      </c>
      <c r="AQ82" s="105">
        <v>3052.7999999999993</v>
      </c>
      <c r="AR82" s="105">
        <v>9</v>
      </c>
      <c r="AS82" s="105">
        <v>4579.1999999999989</v>
      </c>
      <c r="AT82" s="105">
        <v>5</v>
      </c>
      <c r="AU82" s="105">
        <v>2543.9999999999995</v>
      </c>
      <c r="AV82" s="105">
        <v>7</v>
      </c>
      <c r="AW82" s="105">
        <v>3561.5999999999995</v>
      </c>
      <c r="AX82" s="105">
        <v>8</v>
      </c>
      <c r="AY82" s="105">
        <v>4070.3999999999992</v>
      </c>
      <c r="AZ82" s="105">
        <v>9</v>
      </c>
      <c r="BA82" s="105">
        <v>4579.1999999999989</v>
      </c>
      <c r="BB82" s="105">
        <v>12</v>
      </c>
      <c r="BC82" s="105">
        <v>6105.5999999999985</v>
      </c>
      <c r="BD82" s="105">
        <v>10</v>
      </c>
      <c r="BE82" s="105">
        <v>5087.9999999999991</v>
      </c>
      <c r="BF82" s="105">
        <v>9</v>
      </c>
      <c r="BG82" s="105">
        <v>4579.1999999999989</v>
      </c>
      <c r="BH82" s="105">
        <v>9</v>
      </c>
      <c r="BI82" s="105">
        <v>4579.1999999999989</v>
      </c>
      <c r="BJ82" s="105">
        <v>13</v>
      </c>
      <c r="BK82" s="105">
        <v>6614.3999999999987</v>
      </c>
      <c r="BL82" s="105">
        <v>8</v>
      </c>
      <c r="BM82" s="105">
        <v>4070.3999999999992</v>
      </c>
      <c r="BN82" s="105">
        <v>16</v>
      </c>
      <c r="BO82" s="105">
        <v>8140.7999999999984</v>
      </c>
      <c r="BP82" s="105">
        <v>19</v>
      </c>
      <c r="BQ82" s="105">
        <v>9667.1999999999989</v>
      </c>
      <c r="BR82" s="105">
        <v>16</v>
      </c>
      <c r="BS82" s="105">
        <v>8140.7999999999984</v>
      </c>
      <c r="BT82" s="105">
        <v>14</v>
      </c>
      <c r="BU82" s="105">
        <v>7123.1999999999989</v>
      </c>
      <c r="BV82" s="105">
        <v>17</v>
      </c>
      <c r="BW82" s="105">
        <v>8649.5999999999985</v>
      </c>
      <c r="BX82" s="105">
        <v>33</v>
      </c>
      <c r="BY82" s="105">
        <v>16790.399999999998</v>
      </c>
      <c r="BZ82" s="105">
        <v>25</v>
      </c>
      <c r="CA82" s="105">
        <v>12719.999999999998</v>
      </c>
      <c r="CB82" s="105">
        <v>5.2627613270179179</v>
      </c>
      <c r="CC82" s="105">
        <v>2677.692963186716</v>
      </c>
      <c r="CD82" s="105">
        <v>5.8259301191765989</v>
      </c>
      <c r="CE82" s="105">
        <v>2964.2332446370528</v>
      </c>
      <c r="CF82" s="105">
        <v>1.1442974659606657</v>
      </c>
      <c r="CG82" s="105">
        <v>582.21855068078662</v>
      </c>
      <c r="CH82" s="105">
        <v>0.42754828326180261</v>
      </c>
      <c r="CI82" s="105">
        <v>217.53656652360513</v>
      </c>
      <c r="CJ82" s="105">
        <v>6.5842729802720896</v>
      </c>
      <c r="CK82" s="105">
        <v>3350.0780923624384</v>
      </c>
      <c r="CL82" s="105">
        <v>5.2699208318050141</v>
      </c>
      <c r="CM82" s="105">
        <v>2681.3357192223907</v>
      </c>
      <c r="CN82" s="105">
        <v>9.9681708729830376</v>
      </c>
      <c r="CO82" s="105">
        <v>5071.8053401737689</v>
      </c>
      <c r="CP82" s="105">
        <v>1.135911312849162</v>
      </c>
      <c r="CQ82" s="105">
        <v>577.95167597765351</v>
      </c>
      <c r="CR82" s="105">
        <v>4.4657845426476266</v>
      </c>
      <c r="CS82" s="105">
        <v>2272.1911752991118</v>
      </c>
      <c r="CT82" s="105">
        <v>8.705906725888326</v>
      </c>
      <c r="CU82" s="105">
        <v>4429.5653421319794</v>
      </c>
    </row>
    <row r="83" spans="2:99" x14ac:dyDescent="0.25">
      <c r="C83" s="104" t="s">
        <v>248</v>
      </c>
      <c r="D83" s="105">
        <v>0</v>
      </c>
      <c r="E83" s="105">
        <v>0</v>
      </c>
      <c r="F83" s="105">
        <v>0</v>
      </c>
      <c r="G83" s="105">
        <v>0</v>
      </c>
      <c r="H83" s="105">
        <v>0</v>
      </c>
      <c r="I83" s="105">
        <v>0</v>
      </c>
      <c r="J83" s="105">
        <v>3</v>
      </c>
      <c r="K83" s="105">
        <v>2581.1999999999998</v>
      </c>
      <c r="L83" s="105">
        <v>3</v>
      </c>
      <c r="M83" s="105">
        <v>2581.1999999999998</v>
      </c>
      <c r="N83" s="105">
        <v>4</v>
      </c>
      <c r="O83" s="105">
        <v>3441.6</v>
      </c>
      <c r="P83" s="105">
        <v>3</v>
      </c>
      <c r="Q83" s="105">
        <v>2581.1999999999998</v>
      </c>
      <c r="R83" s="105">
        <v>3</v>
      </c>
      <c r="S83" s="105">
        <v>2581.1999999999998</v>
      </c>
      <c r="T83" s="105">
        <v>4</v>
      </c>
      <c r="U83" s="105">
        <v>3441.6</v>
      </c>
      <c r="V83" s="105">
        <v>5</v>
      </c>
      <c r="W83" s="105">
        <v>4302</v>
      </c>
      <c r="X83" s="105">
        <v>5</v>
      </c>
      <c r="Y83" s="105">
        <v>4302</v>
      </c>
      <c r="Z83" s="105">
        <v>5</v>
      </c>
      <c r="AA83" s="105">
        <v>4302</v>
      </c>
      <c r="AB83" s="105">
        <v>3</v>
      </c>
      <c r="AC83" s="105">
        <v>2581.1999999999998</v>
      </c>
      <c r="AD83" s="105">
        <v>5</v>
      </c>
      <c r="AE83" s="105">
        <v>4302</v>
      </c>
      <c r="AF83" s="105">
        <v>6</v>
      </c>
      <c r="AG83" s="105">
        <v>5162.3999999999996</v>
      </c>
      <c r="AH83" s="105">
        <v>5</v>
      </c>
      <c r="AI83" s="105">
        <v>4302</v>
      </c>
      <c r="AJ83" s="105">
        <v>4</v>
      </c>
      <c r="AK83" s="105">
        <v>3441.6</v>
      </c>
      <c r="AL83" s="105">
        <v>4</v>
      </c>
      <c r="AM83" s="105">
        <v>3441.6</v>
      </c>
      <c r="AN83" s="105">
        <v>8</v>
      </c>
      <c r="AO83" s="105">
        <v>6883.2</v>
      </c>
      <c r="AP83" s="105">
        <v>6</v>
      </c>
      <c r="AQ83" s="105">
        <v>5162.3999999999996</v>
      </c>
      <c r="AR83" s="105">
        <v>8</v>
      </c>
      <c r="AS83" s="105">
        <v>6883.2</v>
      </c>
      <c r="AT83" s="105">
        <v>5</v>
      </c>
      <c r="AU83" s="105">
        <v>4302</v>
      </c>
      <c r="AV83" s="105">
        <v>6</v>
      </c>
      <c r="AW83" s="105">
        <v>5162.3999999999996</v>
      </c>
      <c r="AX83" s="105">
        <v>8</v>
      </c>
      <c r="AY83" s="105">
        <v>6883.2</v>
      </c>
      <c r="AZ83" s="105">
        <v>9</v>
      </c>
      <c r="BA83" s="105">
        <v>7743.5999999999995</v>
      </c>
      <c r="BB83" s="105">
        <v>13</v>
      </c>
      <c r="BC83" s="105">
        <v>11185.199999999999</v>
      </c>
      <c r="BD83" s="105">
        <v>11</v>
      </c>
      <c r="BE83" s="105">
        <v>9464.4</v>
      </c>
      <c r="BF83" s="105">
        <v>8</v>
      </c>
      <c r="BG83" s="105">
        <v>6883.2</v>
      </c>
      <c r="BH83" s="105">
        <v>9</v>
      </c>
      <c r="BI83" s="105">
        <v>7743.5999999999995</v>
      </c>
      <c r="BJ83" s="105">
        <v>11</v>
      </c>
      <c r="BK83" s="105">
        <v>9464.4</v>
      </c>
      <c r="BL83" s="105">
        <v>8</v>
      </c>
      <c r="BM83" s="105">
        <v>6883.2</v>
      </c>
      <c r="BN83" s="105">
        <v>15</v>
      </c>
      <c r="BO83" s="105">
        <v>12906</v>
      </c>
      <c r="BP83" s="105">
        <v>18</v>
      </c>
      <c r="BQ83" s="105">
        <v>15487.199999999999</v>
      </c>
      <c r="BR83" s="105">
        <v>16</v>
      </c>
      <c r="BS83" s="105">
        <v>13766.4</v>
      </c>
      <c r="BT83" s="105">
        <v>14</v>
      </c>
      <c r="BU83" s="105">
        <v>12045.6</v>
      </c>
      <c r="BV83" s="105">
        <v>16</v>
      </c>
      <c r="BW83" s="105">
        <v>13766.4</v>
      </c>
      <c r="BX83" s="105">
        <v>31</v>
      </c>
      <c r="BY83" s="105">
        <v>26672.399999999998</v>
      </c>
      <c r="BZ83" s="105">
        <v>26</v>
      </c>
      <c r="CA83" s="105">
        <v>22370.399999999998</v>
      </c>
      <c r="CB83" s="105">
        <v>4.970385697739145</v>
      </c>
      <c r="CC83" s="105">
        <v>4276.5198543347606</v>
      </c>
      <c r="CD83" s="105">
        <v>5.5485048754062847</v>
      </c>
      <c r="CE83" s="105">
        <v>4773.9335947995669</v>
      </c>
      <c r="CF83" s="105">
        <v>1.0704718229954613</v>
      </c>
      <c r="CG83" s="105">
        <v>921.0339565052949</v>
      </c>
      <c r="CH83" s="105">
        <v>0.42754828326180261</v>
      </c>
      <c r="CI83" s="105">
        <v>367.86254291845495</v>
      </c>
      <c r="CJ83" s="105">
        <v>5.7437274934288451</v>
      </c>
      <c r="CK83" s="105">
        <v>4941.9031353461778</v>
      </c>
      <c r="CL83" s="105">
        <v>5.5626942113497373</v>
      </c>
      <c r="CM83" s="105">
        <v>4786.1420994453138</v>
      </c>
      <c r="CN83" s="105">
        <v>9.0096929044269771</v>
      </c>
      <c r="CO83" s="105">
        <v>7751.9397749689706</v>
      </c>
      <c r="CP83" s="105">
        <v>1.2116387337057728</v>
      </c>
      <c r="CQ83" s="105">
        <v>1042.4939664804469</v>
      </c>
      <c r="CR83" s="105">
        <v>4.1012307024314936</v>
      </c>
      <c r="CS83" s="105">
        <v>3528.6988963720569</v>
      </c>
      <c r="CT83" s="105">
        <v>8.0054314720812201</v>
      </c>
      <c r="CU83" s="105">
        <v>6887.8732385786816</v>
      </c>
    </row>
    <row r="84" spans="2:99" x14ac:dyDescent="0.25">
      <c r="C84" s="104" t="s">
        <v>249</v>
      </c>
      <c r="D84" s="105">
        <v>0</v>
      </c>
      <c r="E84" s="105">
        <v>0</v>
      </c>
      <c r="F84" s="105">
        <v>0</v>
      </c>
      <c r="G84" s="105">
        <v>0</v>
      </c>
      <c r="H84" s="105">
        <v>0</v>
      </c>
      <c r="I84" s="105">
        <v>0</v>
      </c>
      <c r="J84" s="105">
        <v>3</v>
      </c>
      <c r="K84" s="105">
        <v>2343.6</v>
      </c>
      <c r="L84" s="105">
        <v>3</v>
      </c>
      <c r="M84" s="105">
        <v>2343.6</v>
      </c>
      <c r="N84" s="105">
        <v>4</v>
      </c>
      <c r="O84" s="105">
        <v>3124.7999999999997</v>
      </c>
      <c r="P84" s="105">
        <v>3</v>
      </c>
      <c r="Q84" s="105">
        <v>2343.6</v>
      </c>
      <c r="R84" s="105">
        <v>3</v>
      </c>
      <c r="S84" s="105">
        <v>2343.6</v>
      </c>
      <c r="T84" s="105">
        <v>4</v>
      </c>
      <c r="U84" s="105">
        <v>3124.7999999999997</v>
      </c>
      <c r="V84" s="105">
        <v>5</v>
      </c>
      <c r="W84" s="105">
        <v>3905.9999999999995</v>
      </c>
      <c r="X84" s="105">
        <v>5</v>
      </c>
      <c r="Y84" s="105">
        <v>3905.9999999999995</v>
      </c>
      <c r="Z84" s="105">
        <v>5</v>
      </c>
      <c r="AA84" s="105">
        <v>3905.9999999999995</v>
      </c>
      <c r="AB84" s="105">
        <v>3</v>
      </c>
      <c r="AC84" s="105">
        <v>2343.6</v>
      </c>
      <c r="AD84" s="105">
        <v>5</v>
      </c>
      <c r="AE84" s="105">
        <v>3905.9999999999995</v>
      </c>
      <c r="AF84" s="105">
        <v>6</v>
      </c>
      <c r="AG84" s="105">
        <v>4687.2</v>
      </c>
      <c r="AH84" s="105">
        <v>5</v>
      </c>
      <c r="AI84" s="105">
        <v>3905.9999999999995</v>
      </c>
      <c r="AJ84" s="105">
        <v>4</v>
      </c>
      <c r="AK84" s="105">
        <v>3124.7999999999997</v>
      </c>
      <c r="AL84" s="105">
        <v>4</v>
      </c>
      <c r="AM84" s="105">
        <v>3124.7999999999997</v>
      </c>
      <c r="AN84" s="105">
        <v>7</v>
      </c>
      <c r="AO84" s="105">
        <v>5468.4</v>
      </c>
      <c r="AP84" s="105">
        <v>6</v>
      </c>
      <c r="AQ84" s="105">
        <v>4687.2</v>
      </c>
      <c r="AR84" s="105">
        <v>8</v>
      </c>
      <c r="AS84" s="105">
        <v>6249.5999999999995</v>
      </c>
      <c r="AT84" s="105">
        <v>5</v>
      </c>
      <c r="AU84" s="105">
        <v>3905.9999999999995</v>
      </c>
      <c r="AV84" s="105">
        <v>6</v>
      </c>
      <c r="AW84" s="105">
        <v>4687.2</v>
      </c>
      <c r="AX84" s="105">
        <v>7</v>
      </c>
      <c r="AY84" s="105">
        <v>5468.4</v>
      </c>
      <c r="AZ84" s="105">
        <v>8</v>
      </c>
      <c r="BA84" s="105">
        <v>6249.5999999999995</v>
      </c>
      <c r="BB84" s="105">
        <v>11</v>
      </c>
      <c r="BC84" s="105">
        <v>8593.1999999999989</v>
      </c>
      <c r="BD84" s="105">
        <v>11</v>
      </c>
      <c r="BE84" s="105">
        <v>8593.1999999999989</v>
      </c>
      <c r="BF84" s="105">
        <v>8</v>
      </c>
      <c r="BG84" s="105">
        <v>6249.5999999999995</v>
      </c>
      <c r="BH84" s="105">
        <v>9</v>
      </c>
      <c r="BI84" s="105">
        <v>7030.7999999999993</v>
      </c>
      <c r="BJ84" s="105">
        <v>12</v>
      </c>
      <c r="BK84" s="105">
        <v>9374.4</v>
      </c>
      <c r="BL84" s="105">
        <v>9</v>
      </c>
      <c r="BM84" s="105">
        <v>7030.7999999999993</v>
      </c>
      <c r="BN84" s="105">
        <v>13</v>
      </c>
      <c r="BO84" s="105">
        <v>10155.599999999999</v>
      </c>
      <c r="BP84" s="105">
        <v>20</v>
      </c>
      <c r="BQ84" s="105">
        <v>15623.999999999998</v>
      </c>
      <c r="BR84" s="105">
        <v>18</v>
      </c>
      <c r="BS84" s="105">
        <v>14061.599999999999</v>
      </c>
      <c r="BT84" s="105">
        <v>12</v>
      </c>
      <c r="BU84" s="105">
        <v>9374.4</v>
      </c>
      <c r="BV84" s="105">
        <v>15</v>
      </c>
      <c r="BW84" s="105">
        <v>11717.999999999998</v>
      </c>
      <c r="BX84" s="105">
        <v>29</v>
      </c>
      <c r="BY84" s="105">
        <v>22654.799999999999</v>
      </c>
      <c r="BZ84" s="105">
        <v>27</v>
      </c>
      <c r="CA84" s="105">
        <v>21092.399999999998</v>
      </c>
      <c r="CB84" s="105">
        <v>4.970385697739145</v>
      </c>
      <c r="CC84" s="105">
        <v>3882.8653070738196</v>
      </c>
      <c r="CD84" s="105">
        <v>5.5485048754062847</v>
      </c>
      <c r="CE84" s="105">
        <v>4334.4920086673892</v>
      </c>
      <c r="CF84" s="105">
        <v>0.99664618003025707</v>
      </c>
      <c r="CG84" s="105">
        <v>778.57999583963681</v>
      </c>
      <c r="CH84" s="105">
        <v>0.44179989270386272</v>
      </c>
      <c r="CI84" s="105">
        <v>345.13407618025752</v>
      </c>
      <c r="CJ84" s="105">
        <v>6.1640002368504669</v>
      </c>
      <c r="CK84" s="105">
        <v>4815.3169850275845</v>
      </c>
      <c r="CL84" s="105">
        <v>5.2699208318050141</v>
      </c>
      <c r="CM84" s="105">
        <v>4116.862153806077</v>
      </c>
      <c r="CN84" s="105">
        <v>9.2013884981381899</v>
      </c>
      <c r="CO84" s="105">
        <v>7188.1246947455529</v>
      </c>
      <c r="CP84" s="105">
        <v>1.2419297020484172</v>
      </c>
      <c r="CQ84" s="105">
        <v>970.19548324022344</v>
      </c>
      <c r="CR84" s="105">
        <v>4.1923691624855266</v>
      </c>
      <c r="CS84" s="105">
        <v>3275.0787897336932</v>
      </c>
      <c r="CT84" s="105">
        <v>7.405024111675127</v>
      </c>
      <c r="CU84" s="105">
        <v>5784.8048360406083</v>
      </c>
    </row>
    <row r="85" spans="2:99" x14ac:dyDescent="0.25">
      <c r="C85" s="104" t="s">
        <v>250</v>
      </c>
      <c r="D85" s="105">
        <v>0</v>
      </c>
      <c r="E85" s="105">
        <v>0</v>
      </c>
      <c r="F85" s="105">
        <v>0</v>
      </c>
      <c r="G85" s="105">
        <v>0</v>
      </c>
      <c r="H85" s="105">
        <v>0</v>
      </c>
      <c r="I85" s="105">
        <v>0</v>
      </c>
      <c r="J85" s="105">
        <v>4</v>
      </c>
      <c r="K85" s="105">
        <v>600</v>
      </c>
      <c r="L85" s="105">
        <v>3</v>
      </c>
      <c r="M85" s="105">
        <v>450</v>
      </c>
      <c r="N85" s="105">
        <v>4</v>
      </c>
      <c r="O85" s="105">
        <v>600</v>
      </c>
      <c r="P85" s="105">
        <v>3</v>
      </c>
      <c r="Q85" s="105">
        <v>450</v>
      </c>
      <c r="R85" s="105">
        <v>3</v>
      </c>
      <c r="S85" s="105">
        <v>450</v>
      </c>
      <c r="T85" s="105">
        <v>5</v>
      </c>
      <c r="U85" s="105">
        <v>750</v>
      </c>
      <c r="V85" s="105">
        <v>4</v>
      </c>
      <c r="W85" s="105">
        <v>600</v>
      </c>
      <c r="X85" s="105">
        <v>5</v>
      </c>
      <c r="Y85" s="105">
        <v>750</v>
      </c>
      <c r="Z85" s="105">
        <v>5</v>
      </c>
      <c r="AA85" s="105">
        <v>750</v>
      </c>
      <c r="AB85" s="105">
        <v>4</v>
      </c>
      <c r="AC85" s="105">
        <v>600</v>
      </c>
      <c r="AD85" s="105">
        <v>5</v>
      </c>
      <c r="AE85" s="105">
        <v>750</v>
      </c>
      <c r="AF85" s="105">
        <v>6</v>
      </c>
      <c r="AG85" s="105">
        <v>900</v>
      </c>
      <c r="AH85" s="105">
        <v>5</v>
      </c>
      <c r="AI85" s="105">
        <v>750</v>
      </c>
      <c r="AJ85" s="105">
        <v>4</v>
      </c>
      <c r="AK85" s="105">
        <v>600</v>
      </c>
      <c r="AL85" s="105">
        <v>5</v>
      </c>
      <c r="AM85" s="105">
        <v>750</v>
      </c>
      <c r="AN85" s="105">
        <v>8</v>
      </c>
      <c r="AO85" s="105">
        <v>1200</v>
      </c>
      <c r="AP85" s="105">
        <v>7</v>
      </c>
      <c r="AQ85" s="105">
        <v>1050</v>
      </c>
      <c r="AR85" s="105">
        <v>8</v>
      </c>
      <c r="AS85" s="105">
        <v>1200</v>
      </c>
      <c r="AT85" s="105">
        <v>5</v>
      </c>
      <c r="AU85" s="105">
        <v>750</v>
      </c>
      <c r="AV85" s="105">
        <v>7</v>
      </c>
      <c r="AW85" s="105">
        <v>1050</v>
      </c>
      <c r="AX85" s="105">
        <v>8</v>
      </c>
      <c r="AY85" s="105">
        <v>1200</v>
      </c>
      <c r="AZ85" s="105">
        <v>10</v>
      </c>
      <c r="BA85" s="105">
        <v>1500</v>
      </c>
      <c r="BB85" s="105">
        <v>13</v>
      </c>
      <c r="BC85" s="105">
        <v>1950</v>
      </c>
      <c r="BD85" s="105">
        <v>13</v>
      </c>
      <c r="BE85" s="105">
        <v>1950</v>
      </c>
      <c r="BF85" s="105">
        <v>9</v>
      </c>
      <c r="BG85" s="105">
        <v>1350</v>
      </c>
      <c r="BH85" s="105">
        <v>9</v>
      </c>
      <c r="BI85" s="105">
        <v>1350</v>
      </c>
      <c r="BJ85" s="105">
        <v>13</v>
      </c>
      <c r="BK85" s="105">
        <v>1950</v>
      </c>
      <c r="BL85" s="105">
        <v>9</v>
      </c>
      <c r="BM85" s="105">
        <v>1350</v>
      </c>
      <c r="BN85" s="105">
        <v>16</v>
      </c>
      <c r="BO85" s="105">
        <v>2400</v>
      </c>
      <c r="BP85" s="105">
        <v>24</v>
      </c>
      <c r="BQ85" s="105">
        <v>3600</v>
      </c>
      <c r="BR85" s="105">
        <v>17</v>
      </c>
      <c r="BS85" s="105">
        <v>2550</v>
      </c>
      <c r="BT85" s="105">
        <v>14</v>
      </c>
      <c r="BU85" s="105">
        <v>2100</v>
      </c>
      <c r="BV85" s="105">
        <v>16</v>
      </c>
      <c r="BW85" s="105">
        <v>2400</v>
      </c>
      <c r="BX85" s="105">
        <v>32</v>
      </c>
      <c r="BY85" s="105">
        <v>4800</v>
      </c>
      <c r="BZ85" s="105">
        <v>30</v>
      </c>
      <c r="CA85" s="105">
        <v>4500</v>
      </c>
      <c r="CB85" s="105">
        <v>5.2627613270179179</v>
      </c>
      <c r="CC85" s="105">
        <v>789.41419905268765</v>
      </c>
      <c r="CD85" s="105">
        <v>5.8259301191765989</v>
      </c>
      <c r="CE85" s="105">
        <v>873.88951787648978</v>
      </c>
      <c r="CF85" s="105">
        <v>1.1812102874432677</v>
      </c>
      <c r="CG85" s="105">
        <v>177.18154311649016</v>
      </c>
      <c r="CH85" s="105">
        <v>0.4988063304721031</v>
      </c>
      <c r="CI85" s="105">
        <v>74.820949570815458</v>
      </c>
      <c r="CJ85" s="105">
        <v>7.5649093815892092</v>
      </c>
      <c r="CK85" s="105">
        <v>1134.7364072383814</v>
      </c>
      <c r="CL85" s="105">
        <v>6.2946276602115443</v>
      </c>
      <c r="CM85" s="105">
        <v>944.19414903173163</v>
      </c>
      <c r="CN85" s="105">
        <v>12.268517997517586</v>
      </c>
      <c r="CO85" s="105">
        <v>1840.277699627638</v>
      </c>
      <c r="CP85" s="105">
        <v>1.423675512104283</v>
      </c>
      <c r="CQ85" s="105">
        <v>213.55132681564245</v>
      </c>
      <c r="CR85" s="105">
        <v>4.4657845426476266</v>
      </c>
      <c r="CS85" s="105">
        <v>669.867681397144</v>
      </c>
      <c r="CT85" s="105">
        <v>9.5064498730964484</v>
      </c>
      <c r="CU85" s="105">
        <v>1425.9674809644673</v>
      </c>
    </row>
    <row r="86" spans="2:99" x14ac:dyDescent="0.25">
      <c r="C86" s="104" t="s">
        <v>251</v>
      </c>
      <c r="D86" s="105">
        <v>0</v>
      </c>
      <c r="E86" s="105">
        <v>0</v>
      </c>
      <c r="F86" s="105">
        <v>0</v>
      </c>
      <c r="G86" s="105">
        <v>0</v>
      </c>
      <c r="H86" s="105">
        <v>0</v>
      </c>
      <c r="I86" s="105">
        <v>0</v>
      </c>
      <c r="J86" s="105">
        <v>3</v>
      </c>
      <c r="K86" s="105">
        <v>1620</v>
      </c>
      <c r="L86" s="105">
        <v>3</v>
      </c>
      <c r="M86" s="105">
        <v>1620</v>
      </c>
      <c r="N86" s="105">
        <v>4</v>
      </c>
      <c r="O86" s="105">
        <v>2160</v>
      </c>
      <c r="P86" s="105">
        <v>3</v>
      </c>
      <c r="Q86" s="105">
        <v>1620</v>
      </c>
      <c r="R86" s="105">
        <v>3</v>
      </c>
      <c r="S86" s="105">
        <v>1620</v>
      </c>
      <c r="T86" s="105">
        <v>5</v>
      </c>
      <c r="U86" s="105">
        <v>2700</v>
      </c>
      <c r="V86" s="105">
        <v>5</v>
      </c>
      <c r="W86" s="105">
        <v>2700</v>
      </c>
      <c r="X86" s="105">
        <v>5</v>
      </c>
      <c r="Y86" s="105">
        <v>2700</v>
      </c>
      <c r="Z86" s="105">
        <v>5</v>
      </c>
      <c r="AA86" s="105">
        <v>2700</v>
      </c>
      <c r="AB86" s="105">
        <v>3</v>
      </c>
      <c r="AC86" s="105">
        <v>1620</v>
      </c>
      <c r="AD86" s="105">
        <v>4</v>
      </c>
      <c r="AE86" s="105">
        <v>2160</v>
      </c>
      <c r="AF86" s="105">
        <v>6</v>
      </c>
      <c r="AG86" s="105">
        <v>3240</v>
      </c>
      <c r="AH86" s="105">
        <v>5</v>
      </c>
      <c r="AI86" s="105">
        <v>2700</v>
      </c>
      <c r="AJ86" s="105">
        <v>4</v>
      </c>
      <c r="AK86" s="105">
        <v>2160</v>
      </c>
      <c r="AL86" s="105">
        <v>4</v>
      </c>
      <c r="AM86" s="105">
        <v>2160</v>
      </c>
      <c r="AN86" s="105">
        <v>8</v>
      </c>
      <c r="AO86" s="105">
        <v>4320</v>
      </c>
      <c r="AP86" s="105">
        <v>6</v>
      </c>
      <c r="AQ86" s="105">
        <v>3240</v>
      </c>
      <c r="AR86" s="105">
        <v>8</v>
      </c>
      <c r="AS86" s="105">
        <v>4320</v>
      </c>
      <c r="AT86" s="105">
        <v>5</v>
      </c>
      <c r="AU86" s="105">
        <v>2700</v>
      </c>
      <c r="AV86" s="105">
        <v>6</v>
      </c>
      <c r="AW86" s="105">
        <v>3240</v>
      </c>
      <c r="AX86" s="105">
        <v>7</v>
      </c>
      <c r="AY86" s="105">
        <v>3780</v>
      </c>
      <c r="AZ86" s="105">
        <v>9</v>
      </c>
      <c r="BA86" s="105">
        <v>4860</v>
      </c>
      <c r="BB86" s="105">
        <v>12</v>
      </c>
      <c r="BC86" s="105">
        <v>6480</v>
      </c>
      <c r="BD86" s="105">
        <v>11</v>
      </c>
      <c r="BE86" s="105">
        <v>5940</v>
      </c>
      <c r="BF86" s="105">
        <v>8</v>
      </c>
      <c r="BG86" s="105">
        <v>4320</v>
      </c>
      <c r="BH86" s="105">
        <v>9</v>
      </c>
      <c r="BI86" s="105">
        <v>4860</v>
      </c>
      <c r="BJ86" s="105">
        <v>11</v>
      </c>
      <c r="BK86" s="105">
        <v>5940</v>
      </c>
      <c r="BL86" s="105">
        <v>8</v>
      </c>
      <c r="BM86" s="105">
        <v>4320</v>
      </c>
      <c r="BN86" s="105">
        <v>16</v>
      </c>
      <c r="BO86" s="105">
        <v>8640</v>
      </c>
      <c r="BP86" s="105">
        <v>19</v>
      </c>
      <c r="BQ86" s="105">
        <v>10260</v>
      </c>
      <c r="BR86" s="105">
        <v>17</v>
      </c>
      <c r="BS86" s="105">
        <v>9180</v>
      </c>
      <c r="BT86" s="105">
        <v>14</v>
      </c>
      <c r="BU86" s="105">
        <v>7560</v>
      </c>
      <c r="BV86" s="105">
        <v>14</v>
      </c>
      <c r="BW86" s="105">
        <v>7560</v>
      </c>
      <c r="BX86" s="105">
        <v>29</v>
      </c>
      <c r="BY86" s="105">
        <v>15660</v>
      </c>
      <c r="BZ86" s="105">
        <v>25</v>
      </c>
      <c r="CA86" s="105">
        <v>13500</v>
      </c>
      <c r="CB86" s="105">
        <v>5.2627613270179179</v>
      </c>
      <c r="CC86" s="105">
        <v>2841.8911165896757</v>
      </c>
      <c r="CD86" s="105">
        <v>5.8259301191765989</v>
      </c>
      <c r="CE86" s="105">
        <v>3146.0022643553634</v>
      </c>
      <c r="CF86" s="105">
        <v>0.99664618003025707</v>
      </c>
      <c r="CG86" s="105">
        <v>538.18893721633879</v>
      </c>
      <c r="CH86" s="105">
        <v>0.47030311158798294</v>
      </c>
      <c r="CI86" s="105">
        <v>253.96368025751079</v>
      </c>
      <c r="CJ86" s="105">
        <v>6.0239093223765927</v>
      </c>
      <c r="CK86" s="105">
        <v>3252.9110340833599</v>
      </c>
      <c r="CL86" s="105">
        <v>5.5626942113497373</v>
      </c>
      <c r="CM86" s="105">
        <v>3003.8548741288582</v>
      </c>
      <c r="CN86" s="105">
        <v>9.7764752792718266</v>
      </c>
      <c r="CO86" s="105">
        <v>5279.2966508067866</v>
      </c>
      <c r="CP86" s="105">
        <v>1.3479480912476722</v>
      </c>
      <c r="CQ86" s="105">
        <v>727.89196927374303</v>
      </c>
      <c r="CR86" s="105">
        <v>4.3746460825935927</v>
      </c>
      <c r="CS86" s="105">
        <v>2362.3088846005398</v>
      </c>
      <c r="CT86" s="105">
        <v>8.6058388324873096</v>
      </c>
      <c r="CU86" s="105">
        <v>4647.1529695431473</v>
      </c>
    </row>
    <row r="87" spans="2:99" x14ac:dyDescent="0.25">
      <c r="B87" s="104" t="s">
        <v>131</v>
      </c>
      <c r="C87" s="104" t="s">
        <v>252</v>
      </c>
      <c r="D87" s="105">
        <v>0</v>
      </c>
      <c r="E87" s="105">
        <v>0</v>
      </c>
      <c r="F87" s="105">
        <v>0</v>
      </c>
      <c r="G87" s="105">
        <v>0</v>
      </c>
      <c r="H87" s="105">
        <v>0</v>
      </c>
      <c r="I87" s="105">
        <v>0</v>
      </c>
      <c r="J87" s="105">
        <v>3</v>
      </c>
      <c r="K87" s="105">
        <v>5864.4</v>
      </c>
      <c r="L87" s="105">
        <v>4</v>
      </c>
      <c r="M87" s="105">
        <v>7819.2</v>
      </c>
      <c r="N87" s="105">
        <v>4</v>
      </c>
      <c r="O87" s="105">
        <v>7819.2</v>
      </c>
      <c r="P87" s="105">
        <v>3</v>
      </c>
      <c r="Q87" s="105">
        <v>5864.4</v>
      </c>
      <c r="R87" s="105">
        <v>4</v>
      </c>
      <c r="S87" s="105">
        <v>7819.2</v>
      </c>
      <c r="T87" s="105">
        <v>3</v>
      </c>
      <c r="U87" s="105">
        <v>5864.4</v>
      </c>
      <c r="V87" s="105">
        <v>4</v>
      </c>
      <c r="W87" s="105">
        <v>7819.2</v>
      </c>
      <c r="X87" s="105">
        <v>3</v>
      </c>
      <c r="Y87" s="105">
        <v>5864.4</v>
      </c>
      <c r="Z87" s="105">
        <v>4</v>
      </c>
      <c r="AA87" s="105">
        <v>7819.2</v>
      </c>
      <c r="AB87" s="105">
        <v>5</v>
      </c>
      <c r="AC87" s="105">
        <v>9774</v>
      </c>
      <c r="AD87" s="105">
        <v>5</v>
      </c>
      <c r="AE87" s="105">
        <v>9774</v>
      </c>
      <c r="AF87" s="105">
        <v>4</v>
      </c>
      <c r="AG87" s="105">
        <v>7819.2</v>
      </c>
      <c r="AH87" s="105">
        <v>6</v>
      </c>
      <c r="AI87" s="105">
        <v>11728.8</v>
      </c>
      <c r="AJ87" s="105">
        <v>5</v>
      </c>
      <c r="AK87" s="105">
        <v>9774</v>
      </c>
      <c r="AL87" s="105">
        <v>6</v>
      </c>
      <c r="AM87" s="105">
        <v>11728.8</v>
      </c>
      <c r="AN87" s="105">
        <v>6</v>
      </c>
      <c r="AO87" s="105">
        <v>11728.8</v>
      </c>
      <c r="AP87" s="105">
        <v>7</v>
      </c>
      <c r="AQ87" s="105">
        <v>13683.6</v>
      </c>
      <c r="AR87" s="105">
        <v>7</v>
      </c>
      <c r="AS87" s="105">
        <v>13683.6</v>
      </c>
      <c r="AT87" s="105">
        <v>9</v>
      </c>
      <c r="AU87" s="105">
        <v>17593.2</v>
      </c>
      <c r="AV87" s="105">
        <v>8</v>
      </c>
      <c r="AW87" s="105">
        <v>15638.4</v>
      </c>
      <c r="AX87" s="105">
        <v>10</v>
      </c>
      <c r="AY87" s="105">
        <v>19548</v>
      </c>
      <c r="AZ87" s="105">
        <v>10</v>
      </c>
      <c r="BA87" s="105">
        <v>19548</v>
      </c>
      <c r="BB87" s="105">
        <v>12</v>
      </c>
      <c r="BC87" s="105">
        <v>23457.599999999999</v>
      </c>
      <c r="BD87" s="105">
        <v>10</v>
      </c>
      <c r="BE87" s="105">
        <v>19548</v>
      </c>
      <c r="BF87" s="105">
        <v>8</v>
      </c>
      <c r="BG87" s="105">
        <v>15638.4</v>
      </c>
      <c r="BH87" s="105">
        <v>13</v>
      </c>
      <c r="BI87" s="105">
        <v>25412.399999999998</v>
      </c>
      <c r="BJ87" s="105">
        <v>18</v>
      </c>
      <c r="BK87" s="105">
        <v>35186.400000000001</v>
      </c>
      <c r="BL87" s="105">
        <v>10</v>
      </c>
      <c r="BM87" s="105">
        <v>19548</v>
      </c>
      <c r="BN87" s="105">
        <v>9</v>
      </c>
      <c r="BO87" s="105">
        <v>17593.2</v>
      </c>
      <c r="BP87" s="105">
        <v>21</v>
      </c>
      <c r="BQ87" s="105">
        <v>41050.799999999996</v>
      </c>
      <c r="BR87" s="105">
        <v>15</v>
      </c>
      <c r="BS87" s="105">
        <v>29322</v>
      </c>
      <c r="BT87" s="105">
        <v>20</v>
      </c>
      <c r="BU87" s="105">
        <v>39096</v>
      </c>
      <c r="BV87" s="105">
        <v>17</v>
      </c>
      <c r="BW87" s="105">
        <v>33231.599999999999</v>
      </c>
      <c r="BX87" s="105">
        <v>28</v>
      </c>
      <c r="BY87" s="105">
        <v>54734.400000000001</v>
      </c>
      <c r="BZ87" s="105">
        <v>28</v>
      </c>
      <c r="CA87" s="105">
        <v>54734.400000000001</v>
      </c>
      <c r="CB87" s="105">
        <v>4.970385697739145</v>
      </c>
      <c r="CC87" s="105">
        <v>9716.1099619404795</v>
      </c>
      <c r="CD87" s="105">
        <v>7.490481581798484</v>
      </c>
      <c r="CE87" s="105">
        <v>14642.393396099676</v>
      </c>
      <c r="CF87" s="105">
        <v>1.1812102874432677</v>
      </c>
      <c r="CG87" s="105">
        <v>2309.0298698940996</v>
      </c>
      <c r="CH87" s="105">
        <v>0.55581276824034342</v>
      </c>
      <c r="CI87" s="105">
        <v>1086.5027993562232</v>
      </c>
      <c r="CJ87" s="105">
        <v>6.3040911513243412</v>
      </c>
      <c r="CK87" s="105">
        <v>12323.237382608822</v>
      </c>
      <c r="CL87" s="105">
        <v>6.001854280666822</v>
      </c>
      <c r="CM87" s="105">
        <v>11732.424747847503</v>
      </c>
      <c r="CN87" s="105">
        <v>11.310040028961524</v>
      </c>
      <c r="CO87" s="105">
        <v>22108.866248613987</v>
      </c>
      <c r="CP87" s="105">
        <v>1.1510567970204841</v>
      </c>
      <c r="CQ87" s="105">
        <v>2250.0858268156421</v>
      </c>
      <c r="CR87" s="105">
        <v>4.8303383828637596</v>
      </c>
      <c r="CS87" s="105">
        <v>9442.3454708220779</v>
      </c>
      <c r="CT87" s="105">
        <v>5.9040057106598987</v>
      </c>
      <c r="CU87" s="105">
        <v>11541.15036319797</v>
      </c>
    </row>
    <row r="88" spans="2:99" x14ac:dyDescent="0.25">
      <c r="C88" s="104" t="s">
        <v>253</v>
      </c>
      <c r="D88" s="105">
        <v>0</v>
      </c>
      <c r="E88" s="105">
        <v>0</v>
      </c>
      <c r="F88" s="105">
        <v>0</v>
      </c>
      <c r="G88" s="105">
        <v>0</v>
      </c>
      <c r="H88" s="105">
        <v>0</v>
      </c>
      <c r="I88" s="105">
        <v>0</v>
      </c>
      <c r="J88" s="105">
        <v>3</v>
      </c>
      <c r="K88" s="105">
        <v>5677.2</v>
      </c>
      <c r="L88" s="105">
        <v>3</v>
      </c>
      <c r="M88" s="105">
        <v>5677.2</v>
      </c>
      <c r="N88" s="105">
        <v>4</v>
      </c>
      <c r="O88" s="105">
        <v>7569.5999999999995</v>
      </c>
      <c r="P88" s="105">
        <v>3</v>
      </c>
      <c r="Q88" s="105">
        <v>5677.2</v>
      </c>
      <c r="R88" s="105">
        <v>4</v>
      </c>
      <c r="S88" s="105">
        <v>7569.5999999999995</v>
      </c>
      <c r="T88" s="105">
        <v>3</v>
      </c>
      <c r="U88" s="105">
        <v>5677.2</v>
      </c>
      <c r="V88" s="105">
        <v>3</v>
      </c>
      <c r="W88" s="105">
        <v>5677.2</v>
      </c>
      <c r="X88" s="105">
        <v>3</v>
      </c>
      <c r="Y88" s="105">
        <v>5677.2</v>
      </c>
      <c r="Z88" s="105">
        <v>4</v>
      </c>
      <c r="AA88" s="105">
        <v>7569.5999999999995</v>
      </c>
      <c r="AB88" s="105">
        <v>5</v>
      </c>
      <c r="AC88" s="105">
        <v>9462</v>
      </c>
      <c r="AD88" s="105">
        <v>5</v>
      </c>
      <c r="AE88" s="105">
        <v>9462</v>
      </c>
      <c r="AF88" s="105">
        <v>4</v>
      </c>
      <c r="AG88" s="105">
        <v>7569.5999999999995</v>
      </c>
      <c r="AH88" s="105">
        <v>7</v>
      </c>
      <c r="AI88" s="105">
        <v>13246.8</v>
      </c>
      <c r="AJ88" s="105">
        <v>4</v>
      </c>
      <c r="AK88" s="105">
        <v>7569.5999999999995</v>
      </c>
      <c r="AL88" s="105">
        <v>7</v>
      </c>
      <c r="AM88" s="105">
        <v>13246.8</v>
      </c>
      <c r="AN88" s="105">
        <v>6</v>
      </c>
      <c r="AO88" s="105">
        <v>11354.4</v>
      </c>
      <c r="AP88" s="105">
        <v>7</v>
      </c>
      <c r="AQ88" s="105">
        <v>13246.8</v>
      </c>
      <c r="AR88" s="105">
        <v>7</v>
      </c>
      <c r="AS88" s="105">
        <v>13246.8</v>
      </c>
      <c r="AT88" s="105">
        <v>8</v>
      </c>
      <c r="AU88" s="105">
        <v>15139.199999999999</v>
      </c>
      <c r="AV88" s="105">
        <v>8</v>
      </c>
      <c r="AW88" s="105">
        <v>15139.199999999999</v>
      </c>
      <c r="AX88" s="105">
        <v>10</v>
      </c>
      <c r="AY88" s="105">
        <v>18924</v>
      </c>
      <c r="AZ88" s="105">
        <v>12</v>
      </c>
      <c r="BA88" s="105">
        <v>22708.799999999999</v>
      </c>
      <c r="BB88" s="105">
        <v>13</v>
      </c>
      <c r="BC88" s="105">
        <v>24601.199999999997</v>
      </c>
      <c r="BD88" s="105">
        <v>9</v>
      </c>
      <c r="BE88" s="105">
        <v>17031.599999999999</v>
      </c>
      <c r="BF88" s="105">
        <v>8</v>
      </c>
      <c r="BG88" s="105">
        <v>15139.199999999999</v>
      </c>
      <c r="BH88" s="105">
        <v>11</v>
      </c>
      <c r="BI88" s="105">
        <v>20816.399999999998</v>
      </c>
      <c r="BJ88" s="105">
        <v>16</v>
      </c>
      <c r="BK88" s="105">
        <v>30278.399999999998</v>
      </c>
      <c r="BL88" s="105">
        <v>10</v>
      </c>
      <c r="BM88" s="105">
        <v>18924</v>
      </c>
      <c r="BN88" s="105">
        <v>10</v>
      </c>
      <c r="BO88" s="105">
        <v>18924</v>
      </c>
      <c r="BP88" s="105">
        <v>21</v>
      </c>
      <c r="BQ88" s="105">
        <v>39740.399999999994</v>
      </c>
      <c r="BR88" s="105">
        <v>16</v>
      </c>
      <c r="BS88" s="105">
        <v>30278.399999999998</v>
      </c>
      <c r="BT88" s="105">
        <v>19</v>
      </c>
      <c r="BU88" s="105">
        <v>35955.599999999999</v>
      </c>
      <c r="BV88" s="105">
        <v>16</v>
      </c>
      <c r="BW88" s="105">
        <v>30278.399999999998</v>
      </c>
      <c r="BX88" s="105">
        <v>31</v>
      </c>
      <c r="BY88" s="105">
        <v>58664.399999999994</v>
      </c>
      <c r="BZ88" s="105">
        <v>28</v>
      </c>
      <c r="CA88" s="105">
        <v>52987.199999999997</v>
      </c>
      <c r="CB88" s="105">
        <v>4.3856344391815982</v>
      </c>
      <c r="CC88" s="105">
        <v>8299.3746127072554</v>
      </c>
      <c r="CD88" s="105">
        <v>7.7679068255687991</v>
      </c>
      <c r="CE88" s="105">
        <v>14699.986876706394</v>
      </c>
      <c r="CF88" s="105">
        <v>1.1442974659606657</v>
      </c>
      <c r="CG88" s="105">
        <v>2165.4685245839637</v>
      </c>
      <c r="CH88" s="105">
        <v>0.6270708154506438</v>
      </c>
      <c r="CI88" s="105">
        <v>1186.6688111587982</v>
      </c>
      <c r="CJ88" s="105">
        <v>6.4441820657982154</v>
      </c>
      <c r="CK88" s="105">
        <v>12194.970141316542</v>
      </c>
      <c r="CL88" s="105">
        <v>6.4410143499839059</v>
      </c>
      <c r="CM88" s="105">
        <v>12188.975555909543</v>
      </c>
      <c r="CN88" s="105">
        <v>11.885126810095162</v>
      </c>
      <c r="CO88" s="105">
        <v>22491.413975424082</v>
      </c>
      <c r="CP88" s="105">
        <v>1.1510567970204841</v>
      </c>
      <c r="CQ88" s="105">
        <v>2178.2598826815638</v>
      </c>
      <c r="CR88" s="105">
        <v>4.6480614627556927</v>
      </c>
      <c r="CS88" s="105">
        <v>8795.9915121188715</v>
      </c>
      <c r="CT88" s="105">
        <v>6.3042772842639598</v>
      </c>
      <c r="CU88" s="105">
        <v>11930.214332741116</v>
      </c>
    </row>
    <row r="89" spans="2:99" x14ac:dyDescent="0.25">
      <c r="C89" s="104" t="s">
        <v>254</v>
      </c>
      <c r="D89" s="105">
        <v>0</v>
      </c>
      <c r="E89" s="105">
        <v>0</v>
      </c>
      <c r="F89" s="105">
        <v>0</v>
      </c>
      <c r="G89" s="105">
        <v>0</v>
      </c>
      <c r="H89" s="105">
        <v>0</v>
      </c>
      <c r="I89" s="105">
        <v>0</v>
      </c>
      <c r="J89" s="105">
        <v>3</v>
      </c>
      <c r="K89" s="105">
        <v>7192.7999999999993</v>
      </c>
      <c r="L89" s="105">
        <v>3</v>
      </c>
      <c r="M89" s="105">
        <v>7192.7999999999993</v>
      </c>
      <c r="N89" s="105">
        <v>3</v>
      </c>
      <c r="O89" s="105">
        <v>7192.7999999999993</v>
      </c>
      <c r="P89" s="105">
        <v>3</v>
      </c>
      <c r="Q89" s="105">
        <v>7192.7999999999993</v>
      </c>
      <c r="R89" s="105">
        <v>4</v>
      </c>
      <c r="S89" s="105">
        <v>9590.4</v>
      </c>
      <c r="T89" s="105">
        <v>3</v>
      </c>
      <c r="U89" s="105">
        <v>7192.7999999999993</v>
      </c>
      <c r="V89" s="105">
        <v>3</v>
      </c>
      <c r="W89" s="105">
        <v>7192.7999999999993</v>
      </c>
      <c r="X89" s="105">
        <v>3</v>
      </c>
      <c r="Y89" s="105">
        <v>7192.7999999999993</v>
      </c>
      <c r="Z89" s="105">
        <v>4</v>
      </c>
      <c r="AA89" s="105">
        <v>9590.4</v>
      </c>
      <c r="AB89" s="105">
        <v>5</v>
      </c>
      <c r="AC89" s="105">
        <v>11988</v>
      </c>
      <c r="AD89" s="105">
        <v>5</v>
      </c>
      <c r="AE89" s="105">
        <v>11988</v>
      </c>
      <c r="AF89" s="105">
        <v>4</v>
      </c>
      <c r="AG89" s="105">
        <v>9590.4</v>
      </c>
      <c r="AH89" s="105">
        <v>6</v>
      </c>
      <c r="AI89" s="105">
        <v>14385.599999999999</v>
      </c>
      <c r="AJ89" s="105">
        <v>5</v>
      </c>
      <c r="AK89" s="105">
        <v>11988</v>
      </c>
      <c r="AL89" s="105">
        <v>7</v>
      </c>
      <c r="AM89" s="105">
        <v>16783.2</v>
      </c>
      <c r="AN89" s="105">
        <v>6</v>
      </c>
      <c r="AO89" s="105">
        <v>14385.599999999999</v>
      </c>
      <c r="AP89" s="105">
        <v>7</v>
      </c>
      <c r="AQ89" s="105">
        <v>16783.2</v>
      </c>
      <c r="AR89" s="105">
        <v>7</v>
      </c>
      <c r="AS89" s="105">
        <v>16783.2</v>
      </c>
      <c r="AT89" s="105">
        <v>8</v>
      </c>
      <c r="AU89" s="105">
        <v>19180.8</v>
      </c>
      <c r="AV89" s="105">
        <v>8</v>
      </c>
      <c r="AW89" s="105">
        <v>19180.8</v>
      </c>
      <c r="AX89" s="105">
        <v>9</v>
      </c>
      <c r="AY89" s="105">
        <v>21578.399999999998</v>
      </c>
      <c r="AZ89" s="105">
        <v>12</v>
      </c>
      <c r="BA89" s="105">
        <v>28771.199999999997</v>
      </c>
      <c r="BB89" s="105">
        <v>11</v>
      </c>
      <c r="BC89" s="105">
        <v>26373.599999999999</v>
      </c>
      <c r="BD89" s="105">
        <v>10</v>
      </c>
      <c r="BE89" s="105">
        <v>23976</v>
      </c>
      <c r="BF89" s="105">
        <v>9</v>
      </c>
      <c r="BG89" s="105">
        <v>21578.399999999998</v>
      </c>
      <c r="BH89" s="105">
        <v>11</v>
      </c>
      <c r="BI89" s="105">
        <v>26373.599999999999</v>
      </c>
      <c r="BJ89" s="105">
        <v>15</v>
      </c>
      <c r="BK89" s="105">
        <v>35964</v>
      </c>
      <c r="BL89" s="105">
        <v>9</v>
      </c>
      <c r="BM89" s="105">
        <v>21578.399999999998</v>
      </c>
      <c r="BN89" s="105">
        <v>9</v>
      </c>
      <c r="BO89" s="105">
        <v>21578.399999999998</v>
      </c>
      <c r="BP89" s="105">
        <v>20</v>
      </c>
      <c r="BQ89" s="105">
        <v>47952</v>
      </c>
      <c r="BR89" s="105">
        <v>15</v>
      </c>
      <c r="BS89" s="105">
        <v>35964</v>
      </c>
      <c r="BT89" s="105">
        <v>19</v>
      </c>
      <c r="BU89" s="105">
        <v>45554.400000000001</v>
      </c>
      <c r="BV89" s="105">
        <v>15</v>
      </c>
      <c r="BW89" s="105">
        <v>35964</v>
      </c>
      <c r="BX89" s="105">
        <v>29</v>
      </c>
      <c r="BY89" s="105">
        <v>69530.399999999994</v>
      </c>
      <c r="BZ89" s="105">
        <v>24</v>
      </c>
      <c r="CA89" s="105">
        <v>57542.399999999994</v>
      </c>
      <c r="CB89" s="105">
        <v>4.970385697739145</v>
      </c>
      <c r="CC89" s="105">
        <v>11916.996748899373</v>
      </c>
      <c r="CD89" s="105">
        <v>7.490481581798484</v>
      </c>
      <c r="CE89" s="105">
        <v>17959.178640520044</v>
      </c>
      <c r="CF89" s="105">
        <v>1.1073846444780635</v>
      </c>
      <c r="CG89" s="105">
        <v>2655.0654236006048</v>
      </c>
      <c r="CH89" s="105">
        <v>0.57006437768240348</v>
      </c>
      <c r="CI89" s="105">
        <v>1366.7863519313305</v>
      </c>
      <c r="CJ89" s="105">
        <v>5.4635456644810958</v>
      </c>
      <c r="CK89" s="105">
        <v>13099.397085159875</v>
      </c>
      <c r="CL89" s="105">
        <v>6.001854280666822</v>
      </c>
      <c r="CM89" s="105">
        <v>14390.045823326773</v>
      </c>
      <c r="CN89" s="105">
        <v>10.15986646669425</v>
      </c>
      <c r="CO89" s="105">
        <v>24359.295840546132</v>
      </c>
      <c r="CP89" s="105">
        <v>1.0147474394785847</v>
      </c>
      <c r="CQ89" s="105">
        <v>2432.9584608938544</v>
      </c>
      <c r="CR89" s="105">
        <v>4.2835076225395596</v>
      </c>
      <c r="CS89" s="105">
        <v>10270.137875800849</v>
      </c>
      <c r="CT89" s="105">
        <v>6.3042772842639598</v>
      </c>
      <c r="CU89" s="105">
        <v>15115.135216751269</v>
      </c>
    </row>
    <row r="90" spans="2:99" x14ac:dyDescent="0.25">
      <c r="C90" s="104" t="s">
        <v>255</v>
      </c>
      <c r="D90" s="105">
        <v>0</v>
      </c>
      <c r="E90" s="105">
        <v>0</v>
      </c>
      <c r="F90" s="105">
        <v>0</v>
      </c>
      <c r="G90" s="105">
        <v>0</v>
      </c>
      <c r="H90" s="105">
        <v>0</v>
      </c>
      <c r="I90" s="105">
        <v>0</v>
      </c>
      <c r="J90" s="105">
        <v>3</v>
      </c>
      <c r="K90" s="105">
        <v>6591.5999999999995</v>
      </c>
      <c r="L90" s="105">
        <v>3</v>
      </c>
      <c r="M90" s="105">
        <v>6591.5999999999995</v>
      </c>
      <c r="N90" s="105">
        <v>3</v>
      </c>
      <c r="O90" s="105">
        <v>6591.5999999999995</v>
      </c>
      <c r="P90" s="105">
        <v>3</v>
      </c>
      <c r="Q90" s="105">
        <v>6591.5999999999995</v>
      </c>
      <c r="R90" s="105">
        <v>3</v>
      </c>
      <c r="S90" s="105">
        <v>6591.5999999999995</v>
      </c>
      <c r="T90" s="105">
        <v>3</v>
      </c>
      <c r="U90" s="105">
        <v>6591.5999999999995</v>
      </c>
      <c r="V90" s="105">
        <v>4</v>
      </c>
      <c r="W90" s="105">
        <v>8788.7999999999993</v>
      </c>
      <c r="X90" s="105">
        <v>3</v>
      </c>
      <c r="Y90" s="105">
        <v>6591.5999999999995</v>
      </c>
      <c r="Z90" s="105">
        <v>4</v>
      </c>
      <c r="AA90" s="105">
        <v>8788.7999999999993</v>
      </c>
      <c r="AB90" s="105">
        <v>5</v>
      </c>
      <c r="AC90" s="105">
        <v>10986</v>
      </c>
      <c r="AD90" s="105">
        <v>5</v>
      </c>
      <c r="AE90" s="105">
        <v>10986</v>
      </c>
      <c r="AF90" s="105">
        <v>4</v>
      </c>
      <c r="AG90" s="105">
        <v>8788.7999999999993</v>
      </c>
      <c r="AH90" s="105">
        <v>6</v>
      </c>
      <c r="AI90" s="105">
        <v>13183.199999999999</v>
      </c>
      <c r="AJ90" s="105">
        <v>4</v>
      </c>
      <c r="AK90" s="105">
        <v>8788.7999999999993</v>
      </c>
      <c r="AL90" s="105">
        <v>7</v>
      </c>
      <c r="AM90" s="105">
        <v>15380.399999999998</v>
      </c>
      <c r="AN90" s="105">
        <v>6</v>
      </c>
      <c r="AO90" s="105">
        <v>13183.199999999999</v>
      </c>
      <c r="AP90" s="105">
        <v>8</v>
      </c>
      <c r="AQ90" s="105">
        <v>17577.599999999999</v>
      </c>
      <c r="AR90" s="105">
        <v>8</v>
      </c>
      <c r="AS90" s="105">
        <v>17577.599999999999</v>
      </c>
      <c r="AT90" s="105">
        <v>8</v>
      </c>
      <c r="AU90" s="105">
        <v>17577.599999999999</v>
      </c>
      <c r="AV90" s="105">
        <v>8</v>
      </c>
      <c r="AW90" s="105">
        <v>17577.599999999999</v>
      </c>
      <c r="AX90" s="105">
        <v>10</v>
      </c>
      <c r="AY90" s="105">
        <v>21972</v>
      </c>
      <c r="AZ90" s="105">
        <v>12</v>
      </c>
      <c r="BA90" s="105">
        <v>26366.399999999998</v>
      </c>
      <c r="BB90" s="105">
        <v>11</v>
      </c>
      <c r="BC90" s="105">
        <v>24169.199999999997</v>
      </c>
      <c r="BD90" s="105">
        <v>9</v>
      </c>
      <c r="BE90" s="105">
        <v>19774.8</v>
      </c>
      <c r="BF90" s="105">
        <v>9</v>
      </c>
      <c r="BG90" s="105">
        <v>19774.8</v>
      </c>
      <c r="BH90" s="105">
        <v>13</v>
      </c>
      <c r="BI90" s="105">
        <v>28563.599999999999</v>
      </c>
      <c r="BJ90" s="105">
        <v>18</v>
      </c>
      <c r="BK90" s="105">
        <v>39549.599999999999</v>
      </c>
      <c r="BL90" s="105">
        <v>10</v>
      </c>
      <c r="BM90" s="105">
        <v>21972</v>
      </c>
      <c r="BN90" s="105">
        <v>10</v>
      </c>
      <c r="BO90" s="105">
        <v>21972</v>
      </c>
      <c r="BP90" s="105">
        <v>23</v>
      </c>
      <c r="BQ90" s="105">
        <v>50535.6</v>
      </c>
      <c r="BR90" s="105">
        <v>15</v>
      </c>
      <c r="BS90" s="105">
        <v>32958</v>
      </c>
      <c r="BT90" s="105">
        <v>21</v>
      </c>
      <c r="BU90" s="105">
        <v>46141.2</v>
      </c>
      <c r="BV90" s="105">
        <v>15</v>
      </c>
      <c r="BW90" s="105">
        <v>32958</v>
      </c>
      <c r="BX90" s="105">
        <v>27</v>
      </c>
      <c r="BY90" s="105">
        <v>59324.399999999994</v>
      </c>
      <c r="BZ90" s="105">
        <v>27</v>
      </c>
      <c r="CA90" s="105">
        <v>59324.399999999994</v>
      </c>
      <c r="CB90" s="105">
        <v>4.678010068460372</v>
      </c>
      <c r="CC90" s="105">
        <v>10278.523722421129</v>
      </c>
      <c r="CD90" s="105">
        <v>8.6001825568797408</v>
      </c>
      <c r="CE90" s="105">
        <v>18896.321113976166</v>
      </c>
      <c r="CF90" s="105">
        <v>1.1812102874432677</v>
      </c>
      <c r="CG90" s="105">
        <v>2595.3552435703477</v>
      </c>
      <c r="CH90" s="105">
        <v>0.51305793991416315</v>
      </c>
      <c r="CI90" s="105">
        <v>1127.2909055793991</v>
      </c>
      <c r="CJ90" s="105">
        <v>6.0239093223765927</v>
      </c>
      <c r="CK90" s="105">
        <v>13235.733563125848</v>
      </c>
      <c r="CL90" s="105">
        <v>5.8554675908944605</v>
      </c>
      <c r="CM90" s="105">
        <v>12865.633390713307</v>
      </c>
      <c r="CN90" s="105">
        <v>10.543257654116676</v>
      </c>
      <c r="CO90" s="105">
        <v>23165.645717625157</v>
      </c>
      <c r="CP90" s="105">
        <v>1.1510567970204841</v>
      </c>
      <c r="CQ90" s="105">
        <v>2529.1019944134077</v>
      </c>
      <c r="CR90" s="105">
        <v>4.2835076225395596</v>
      </c>
      <c r="CS90" s="105">
        <v>9411.7229482439197</v>
      </c>
      <c r="CT90" s="105">
        <v>6.3042772842639598</v>
      </c>
      <c r="CU90" s="105">
        <v>13851.758048984771</v>
      </c>
    </row>
    <row r="91" spans="2:99" x14ac:dyDescent="0.25">
      <c r="C91" s="104" t="s">
        <v>256</v>
      </c>
      <c r="D91" s="105">
        <v>0</v>
      </c>
      <c r="E91" s="105">
        <v>0</v>
      </c>
      <c r="F91" s="105">
        <v>0</v>
      </c>
      <c r="G91" s="105">
        <v>0</v>
      </c>
      <c r="H91" s="105">
        <v>0</v>
      </c>
      <c r="I91" s="105">
        <v>0</v>
      </c>
      <c r="J91" s="105">
        <v>3</v>
      </c>
      <c r="K91" s="105">
        <v>6890.4</v>
      </c>
      <c r="L91" s="105">
        <v>4</v>
      </c>
      <c r="M91" s="105">
        <v>9187.1999999999989</v>
      </c>
      <c r="N91" s="105">
        <v>4</v>
      </c>
      <c r="O91" s="105">
        <v>9187.1999999999989</v>
      </c>
      <c r="P91" s="105">
        <v>3</v>
      </c>
      <c r="Q91" s="105">
        <v>6890.4</v>
      </c>
      <c r="R91" s="105">
        <v>3</v>
      </c>
      <c r="S91" s="105">
        <v>6890.4</v>
      </c>
      <c r="T91" s="105">
        <v>3</v>
      </c>
      <c r="U91" s="105">
        <v>6890.4</v>
      </c>
      <c r="V91" s="105">
        <v>3</v>
      </c>
      <c r="W91" s="105">
        <v>6890.4</v>
      </c>
      <c r="X91" s="105">
        <v>3</v>
      </c>
      <c r="Y91" s="105">
        <v>6890.4</v>
      </c>
      <c r="Z91" s="105">
        <v>3</v>
      </c>
      <c r="AA91" s="105">
        <v>6890.4</v>
      </c>
      <c r="AB91" s="105">
        <v>5</v>
      </c>
      <c r="AC91" s="105">
        <v>11483.999999999998</v>
      </c>
      <c r="AD91" s="105">
        <v>5</v>
      </c>
      <c r="AE91" s="105">
        <v>11483.999999999998</v>
      </c>
      <c r="AF91" s="105">
        <v>4</v>
      </c>
      <c r="AG91" s="105">
        <v>9187.1999999999989</v>
      </c>
      <c r="AH91" s="105">
        <v>7</v>
      </c>
      <c r="AI91" s="105">
        <v>16077.599999999999</v>
      </c>
      <c r="AJ91" s="105">
        <v>4</v>
      </c>
      <c r="AK91" s="105">
        <v>9187.1999999999989</v>
      </c>
      <c r="AL91" s="105">
        <v>6</v>
      </c>
      <c r="AM91" s="105">
        <v>13780.8</v>
      </c>
      <c r="AN91" s="105">
        <v>6</v>
      </c>
      <c r="AO91" s="105">
        <v>13780.8</v>
      </c>
      <c r="AP91" s="105">
        <v>7</v>
      </c>
      <c r="AQ91" s="105">
        <v>16077.599999999999</v>
      </c>
      <c r="AR91" s="105">
        <v>7</v>
      </c>
      <c r="AS91" s="105">
        <v>16077.599999999999</v>
      </c>
      <c r="AT91" s="105">
        <v>7</v>
      </c>
      <c r="AU91" s="105">
        <v>16077.599999999999</v>
      </c>
      <c r="AV91" s="105">
        <v>9</v>
      </c>
      <c r="AW91" s="105">
        <v>20671.199999999997</v>
      </c>
      <c r="AX91" s="105">
        <v>10</v>
      </c>
      <c r="AY91" s="105">
        <v>22967.999999999996</v>
      </c>
      <c r="AZ91" s="105">
        <v>12</v>
      </c>
      <c r="BA91" s="105">
        <v>27561.599999999999</v>
      </c>
      <c r="BB91" s="105">
        <v>11</v>
      </c>
      <c r="BC91" s="105">
        <v>25264.799999999996</v>
      </c>
      <c r="BD91" s="105">
        <v>9</v>
      </c>
      <c r="BE91" s="105">
        <v>20671.199999999997</v>
      </c>
      <c r="BF91" s="105">
        <v>8</v>
      </c>
      <c r="BG91" s="105">
        <v>18374.399999999998</v>
      </c>
      <c r="BH91" s="105">
        <v>12</v>
      </c>
      <c r="BI91" s="105">
        <v>27561.599999999999</v>
      </c>
      <c r="BJ91" s="105">
        <v>16</v>
      </c>
      <c r="BK91" s="105">
        <v>36748.799999999996</v>
      </c>
      <c r="BL91" s="105">
        <v>11</v>
      </c>
      <c r="BM91" s="105">
        <v>25264.799999999996</v>
      </c>
      <c r="BN91" s="105">
        <v>10</v>
      </c>
      <c r="BO91" s="105">
        <v>22967.999999999996</v>
      </c>
      <c r="BP91" s="105">
        <v>22</v>
      </c>
      <c r="BQ91" s="105">
        <v>50529.599999999991</v>
      </c>
      <c r="BR91" s="105">
        <v>14</v>
      </c>
      <c r="BS91" s="105">
        <v>32155.199999999997</v>
      </c>
      <c r="BT91" s="105">
        <v>19</v>
      </c>
      <c r="BU91" s="105">
        <v>43639.199999999997</v>
      </c>
      <c r="BV91" s="105">
        <v>15</v>
      </c>
      <c r="BW91" s="105">
        <v>34451.999999999993</v>
      </c>
      <c r="BX91" s="105">
        <v>30</v>
      </c>
      <c r="BY91" s="105">
        <v>68903.999999999985</v>
      </c>
      <c r="BZ91" s="105">
        <v>26</v>
      </c>
      <c r="CA91" s="105">
        <v>59716.799999999996</v>
      </c>
      <c r="CB91" s="105">
        <v>4.678010068460372</v>
      </c>
      <c r="CC91" s="105">
        <v>10744.453525239782</v>
      </c>
      <c r="CD91" s="105">
        <v>7.2130563380281698</v>
      </c>
      <c r="CE91" s="105">
        <v>16566.9477971831</v>
      </c>
      <c r="CF91" s="105">
        <v>0.95973335854765507</v>
      </c>
      <c r="CG91" s="105">
        <v>2204.315577912254</v>
      </c>
      <c r="CH91" s="105">
        <v>0.4988063304721031</v>
      </c>
      <c r="CI91" s="105">
        <v>1145.6583798283264</v>
      </c>
      <c r="CJ91" s="105">
        <v>6.3040911513243412</v>
      </c>
      <c r="CK91" s="105">
        <v>14479.236556361746</v>
      </c>
      <c r="CL91" s="105">
        <v>6.2946276602115443</v>
      </c>
      <c r="CM91" s="105">
        <v>14457.500809973873</v>
      </c>
      <c r="CN91" s="105">
        <v>11.693431216383949</v>
      </c>
      <c r="CO91" s="105">
        <v>26857.472817790651</v>
      </c>
      <c r="CP91" s="105">
        <v>1.1056203445065176</v>
      </c>
      <c r="CQ91" s="105">
        <v>2539.3888072625691</v>
      </c>
      <c r="CR91" s="105">
        <v>4.1923691624855266</v>
      </c>
      <c r="CS91" s="105">
        <v>9629.0334923967566</v>
      </c>
      <c r="CT91" s="105">
        <v>6.4043451776649754</v>
      </c>
      <c r="CU91" s="105">
        <v>14709.500004060914</v>
      </c>
    </row>
    <row r="92" spans="2:99" x14ac:dyDescent="0.25">
      <c r="C92" s="104" t="s">
        <v>257</v>
      </c>
      <c r="D92" s="105">
        <v>0</v>
      </c>
      <c r="E92" s="105">
        <v>0</v>
      </c>
      <c r="F92" s="105">
        <v>0</v>
      </c>
      <c r="G92" s="105">
        <v>0</v>
      </c>
      <c r="H92" s="105">
        <v>0</v>
      </c>
      <c r="I92" s="105">
        <v>0</v>
      </c>
      <c r="J92" s="105">
        <v>3</v>
      </c>
      <c r="K92" s="105">
        <v>4262.3999999999996</v>
      </c>
      <c r="L92" s="105">
        <v>4</v>
      </c>
      <c r="M92" s="105">
        <v>5683.2</v>
      </c>
      <c r="N92" s="105">
        <v>4</v>
      </c>
      <c r="O92" s="105">
        <v>5683.2</v>
      </c>
      <c r="P92" s="105">
        <v>3</v>
      </c>
      <c r="Q92" s="105">
        <v>4262.3999999999996</v>
      </c>
      <c r="R92" s="105">
        <v>4</v>
      </c>
      <c r="S92" s="105">
        <v>5683.2</v>
      </c>
      <c r="T92" s="105">
        <v>3</v>
      </c>
      <c r="U92" s="105">
        <v>4262.3999999999996</v>
      </c>
      <c r="V92" s="105">
        <v>4</v>
      </c>
      <c r="W92" s="105">
        <v>5683.2</v>
      </c>
      <c r="X92" s="105">
        <v>3</v>
      </c>
      <c r="Y92" s="105">
        <v>4262.3999999999996</v>
      </c>
      <c r="Z92" s="105">
        <v>4</v>
      </c>
      <c r="AA92" s="105">
        <v>5683.2</v>
      </c>
      <c r="AB92" s="105">
        <v>5</v>
      </c>
      <c r="AC92" s="105">
        <v>7104</v>
      </c>
      <c r="AD92" s="105">
        <v>5</v>
      </c>
      <c r="AE92" s="105">
        <v>7104</v>
      </c>
      <c r="AF92" s="105">
        <v>4</v>
      </c>
      <c r="AG92" s="105">
        <v>5683.2</v>
      </c>
      <c r="AH92" s="105">
        <v>7</v>
      </c>
      <c r="AI92" s="105">
        <v>9945.6</v>
      </c>
      <c r="AJ92" s="105">
        <v>5</v>
      </c>
      <c r="AK92" s="105">
        <v>7104</v>
      </c>
      <c r="AL92" s="105">
        <v>7</v>
      </c>
      <c r="AM92" s="105">
        <v>9945.6</v>
      </c>
      <c r="AN92" s="105">
        <v>6</v>
      </c>
      <c r="AO92" s="105">
        <v>8524.7999999999993</v>
      </c>
      <c r="AP92" s="105">
        <v>7</v>
      </c>
      <c r="AQ92" s="105">
        <v>9945.6</v>
      </c>
      <c r="AR92" s="105">
        <v>8</v>
      </c>
      <c r="AS92" s="105">
        <v>11366.4</v>
      </c>
      <c r="AT92" s="105">
        <v>8</v>
      </c>
      <c r="AU92" s="105">
        <v>11366.4</v>
      </c>
      <c r="AV92" s="105">
        <v>8</v>
      </c>
      <c r="AW92" s="105">
        <v>11366.4</v>
      </c>
      <c r="AX92" s="105">
        <v>10</v>
      </c>
      <c r="AY92" s="105">
        <v>14208</v>
      </c>
      <c r="AZ92" s="105">
        <v>12</v>
      </c>
      <c r="BA92" s="105">
        <v>17049.599999999999</v>
      </c>
      <c r="BB92" s="105">
        <v>14</v>
      </c>
      <c r="BC92" s="105">
        <v>19891.2</v>
      </c>
      <c r="BD92" s="105">
        <v>9</v>
      </c>
      <c r="BE92" s="105">
        <v>12787.199999999999</v>
      </c>
      <c r="BF92" s="105">
        <v>9</v>
      </c>
      <c r="BG92" s="105">
        <v>12787.199999999999</v>
      </c>
      <c r="BH92" s="105">
        <v>14</v>
      </c>
      <c r="BI92" s="105">
        <v>19891.2</v>
      </c>
      <c r="BJ92" s="105">
        <v>18</v>
      </c>
      <c r="BK92" s="105">
        <v>25574.399999999998</v>
      </c>
      <c r="BL92" s="105">
        <v>11</v>
      </c>
      <c r="BM92" s="105">
        <v>15628.8</v>
      </c>
      <c r="BN92" s="105">
        <v>11</v>
      </c>
      <c r="BO92" s="105">
        <v>15628.8</v>
      </c>
      <c r="BP92" s="105">
        <v>23</v>
      </c>
      <c r="BQ92" s="105">
        <v>32678.399999999998</v>
      </c>
      <c r="BR92" s="105">
        <v>16</v>
      </c>
      <c r="BS92" s="105">
        <v>22732.799999999999</v>
      </c>
      <c r="BT92" s="105">
        <v>23</v>
      </c>
      <c r="BU92" s="105">
        <v>32678.399999999998</v>
      </c>
      <c r="BV92" s="105">
        <v>17</v>
      </c>
      <c r="BW92" s="105">
        <v>24153.599999999999</v>
      </c>
      <c r="BX92" s="105">
        <v>30</v>
      </c>
      <c r="BY92" s="105">
        <v>42624</v>
      </c>
      <c r="BZ92" s="105">
        <v>31</v>
      </c>
      <c r="CA92" s="105">
        <v>44044.799999999996</v>
      </c>
      <c r="CB92" s="105">
        <v>4.678010068460372</v>
      </c>
      <c r="CC92" s="105">
        <v>6646.5167052684965</v>
      </c>
      <c r="CD92" s="105">
        <v>8.6001825568797408</v>
      </c>
      <c r="CE92" s="105">
        <v>12219.139376814735</v>
      </c>
      <c r="CF92" s="105">
        <v>1.2181231089258699</v>
      </c>
      <c r="CG92" s="105">
        <v>1730.709313161876</v>
      </c>
      <c r="CH92" s="105">
        <v>0.57006437768240348</v>
      </c>
      <c r="CI92" s="105">
        <v>809.94746781115884</v>
      </c>
      <c r="CJ92" s="105">
        <v>6.1640002368504669</v>
      </c>
      <c r="CK92" s="105">
        <v>8757.8115365171434</v>
      </c>
      <c r="CL92" s="105">
        <v>7.6121078681627994</v>
      </c>
      <c r="CM92" s="105">
        <v>10815.282859085704</v>
      </c>
      <c r="CN92" s="105">
        <v>13.226995966073648</v>
      </c>
      <c r="CO92" s="105">
        <v>18792.91586859744</v>
      </c>
      <c r="CP92" s="105">
        <v>1.2722206703910615</v>
      </c>
      <c r="CQ92" s="105">
        <v>1807.5711284916201</v>
      </c>
      <c r="CR92" s="105">
        <v>5.2860306831339248</v>
      </c>
      <c r="CS92" s="105">
        <v>7510.3923945966799</v>
      </c>
      <c r="CT92" s="105">
        <v>6.50441307106599</v>
      </c>
      <c r="CU92" s="105">
        <v>9241.4700913705583</v>
      </c>
    </row>
    <row r="93" spans="2:99" x14ac:dyDescent="0.25">
      <c r="C93" s="104" t="s">
        <v>258</v>
      </c>
      <c r="D93" s="105">
        <v>0</v>
      </c>
      <c r="E93" s="105">
        <v>0</v>
      </c>
      <c r="F93" s="105">
        <v>0</v>
      </c>
      <c r="G93" s="105">
        <v>0</v>
      </c>
      <c r="H93" s="105">
        <v>0</v>
      </c>
      <c r="I93" s="105">
        <v>0</v>
      </c>
      <c r="J93" s="105">
        <v>3</v>
      </c>
      <c r="K93" s="105">
        <v>5317.2</v>
      </c>
      <c r="L93" s="105">
        <v>4</v>
      </c>
      <c r="M93" s="105">
        <v>7089.5999999999995</v>
      </c>
      <c r="N93" s="105">
        <v>4</v>
      </c>
      <c r="O93" s="105">
        <v>7089.5999999999995</v>
      </c>
      <c r="P93" s="105">
        <v>4</v>
      </c>
      <c r="Q93" s="105">
        <v>7089.5999999999995</v>
      </c>
      <c r="R93" s="105">
        <v>4</v>
      </c>
      <c r="S93" s="105">
        <v>7089.5999999999995</v>
      </c>
      <c r="T93" s="105">
        <v>3</v>
      </c>
      <c r="U93" s="105">
        <v>5317.2</v>
      </c>
      <c r="V93" s="105">
        <v>3</v>
      </c>
      <c r="W93" s="105">
        <v>5317.2</v>
      </c>
      <c r="X93" s="105">
        <v>3</v>
      </c>
      <c r="Y93" s="105">
        <v>5317.2</v>
      </c>
      <c r="Z93" s="105">
        <v>4</v>
      </c>
      <c r="AA93" s="105">
        <v>7089.5999999999995</v>
      </c>
      <c r="AB93" s="105">
        <v>5</v>
      </c>
      <c r="AC93" s="105">
        <v>8862</v>
      </c>
      <c r="AD93" s="105">
        <v>5</v>
      </c>
      <c r="AE93" s="105">
        <v>8862</v>
      </c>
      <c r="AF93" s="105">
        <v>4</v>
      </c>
      <c r="AG93" s="105">
        <v>7089.5999999999995</v>
      </c>
      <c r="AH93" s="105">
        <v>7</v>
      </c>
      <c r="AI93" s="105">
        <v>12406.8</v>
      </c>
      <c r="AJ93" s="105">
        <v>4</v>
      </c>
      <c r="AK93" s="105">
        <v>7089.5999999999995</v>
      </c>
      <c r="AL93" s="105">
        <v>6</v>
      </c>
      <c r="AM93" s="105">
        <v>10634.4</v>
      </c>
      <c r="AN93" s="105">
        <v>7</v>
      </c>
      <c r="AO93" s="105">
        <v>12406.8</v>
      </c>
      <c r="AP93" s="105">
        <v>7</v>
      </c>
      <c r="AQ93" s="105">
        <v>12406.8</v>
      </c>
      <c r="AR93" s="105">
        <v>8</v>
      </c>
      <c r="AS93" s="105">
        <v>14179.199999999999</v>
      </c>
      <c r="AT93" s="105">
        <v>8</v>
      </c>
      <c r="AU93" s="105">
        <v>14179.199999999999</v>
      </c>
      <c r="AV93" s="105">
        <v>9</v>
      </c>
      <c r="AW93" s="105">
        <v>15951.599999999999</v>
      </c>
      <c r="AX93" s="105">
        <v>9</v>
      </c>
      <c r="AY93" s="105">
        <v>15951.599999999999</v>
      </c>
      <c r="AZ93" s="105">
        <v>11</v>
      </c>
      <c r="BA93" s="105">
        <v>19496.399999999998</v>
      </c>
      <c r="BB93" s="105">
        <v>13</v>
      </c>
      <c r="BC93" s="105">
        <v>23041.199999999997</v>
      </c>
      <c r="BD93" s="105">
        <v>9</v>
      </c>
      <c r="BE93" s="105">
        <v>15951.599999999999</v>
      </c>
      <c r="BF93" s="105">
        <v>9</v>
      </c>
      <c r="BG93" s="105">
        <v>15951.599999999999</v>
      </c>
      <c r="BH93" s="105">
        <v>12</v>
      </c>
      <c r="BI93" s="105">
        <v>21268.799999999999</v>
      </c>
      <c r="BJ93" s="105">
        <v>18</v>
      </c>
      <c r="BK93" s="105">
        <v>31903.199999999997</v>
      </c>
      <c r="BL93" s="105">
        <v>10</v>
      </c>
      <c r="BM93" s="105">
        <v>17724</v>
      </c>
      <c r="BN93" s="105">
        <v>10</v>
      </c>
      <c r="BO93" s="105">
        <v>17724</v>
      </c>
      <c r="BP93" s="105">
        <v>22</v>
      </c>
      <c r="BQ93" s="105">
        <v>38992.799999999996</v>
      </c>
      <c r="BR93" s="105">
        <v>17</v>
      </c>
      <c r="BS93" s="105">
        <v>30130.799999999999</v>
      </c>
      <c r="BT93" s="105">
        <v>23</v>
      </c>
      <c r="BU93" s="105">
        <v>40765.199999999997</v>
      </c>
      <c r="BV93" s="105">
        <v>15</v>
      </c>
      <c r="BW93" s="105">
        <v>26585.999999999996</v>
      </c>
      <c r="BX93" s="105">
        <v>31</v>
      </c>
      <c r="BY93" s="105">
        <v>54944.399999999994</v>
      </c>
      <c r="BZ93" s="105">
        <v>26</v>
      </c>
      <c r="CA93" s="105">
        <v>46082.399999999994</v>
      </c>
      <c r="CB93" s="105">
        <v>4.970385697739145</v>
      </c>
      <c r="CC93" s="105">
        <v>8809.5116106728601</v>
      </c>
      <c r="CD93" s="105">
        <v>8.0453320693391124</v>
      </c>
      <c r="CE93" s="105">
        <v>14259.546559696642</v>
      </c>
      <c r="CF93" s="105">
        <v>1.1442974659606657</v>
      </c>
      <c r="CG93" s="105">
        <v>2028.1528286686837</v>
      </c>
      <c r="CH93" s="105">
        <v>0.54156115879828326</v>
      </c>
      <c r="CI93" s="105">
        <v>959.86299785407721</v>
      </c>
      <c r="CJ93" s="105">
        <v>6.7243638947459647</v>
      </c>
      <c r="CK93" s="105">
        <v>11918.262567047746</v>
      </c>
      <c r="CL93" s="105">
        <v>6.8801744193009906</v>
      </c>
      <c r="CM93" s="105">
        <v>12194.421140769075</v>
      </c>
      <c r="CN93" s="105">
        <v>11.310040028961524</v>
      </c>
      <c r="CO93" s="105">
        <v>20045.914947331403</v>
      </c>
      <c r="CP93" s="105">
        <v>1.1207658286778399</v>
      </c>
      <c r="CQ93" s="105">
        <v>1986.4453547486032</v>
      </c>
      <c r="CR93" s="105">
        <v>4.3746460825935927</v>
      </c>
      <c r="CS93" s="105">
        <v>7753.6227167888828</v>
      </c>
      <c r="CT93" s="105">
        <v>6.8046167512690356</v>
      </c>
      <c r="CU93" s="105">
        <v>12060.502729949238</v>
      </c>
    </row>
    <row r="94" spans="2:99" x14ac:dyDescent="0.25">
      <c r="C94" s="104" t="s">
        <v>259</v>
      </c>
      <c r="D94" s="105">
        <v>0</v>
      </c>
      <c r="E94" s="105">
        <v>0</v>
      </c>
      <c r="F94" s="105">
        <v>0</v>
      </c>
      <c r="G94" s="105">
        <v>0</v>
      </c>
      <c r="H94" s="105">
        <v>0</v>
      </c>
      <c r="I94" s="105">
        <v>0</v>
      </c>
      <c r="J94" s="105">
        <v>2</v>
      </c>
      <c r="K94" s="105">
        <v>4790.3999999999996</v>
      </c>
      <c r="L94" s="105">
        <v>3</v>
      </c>
      <c r="M94" s="105">
        <v>7185.5999999999995</v>
      </c>
      <c r="N94" s="105">
        <v>3</v>
      </c>
      <c r="O94" s="105">
        <v>7185.5999999999995</v>
      </c>
      <c r="P94" s="105">
        <v>3</v>
      </c>
      <c r="Q94" s="105">
        <v>7185.5999999999995</v>
      </c>
      <c r="R94" s="105">
        <v>4</v>
      </c>
      <c r="S94" s="105">
        <v>9580.7999999999993</v>
      </c>
      <c r="T94" s="105">
        <v>3</v>
      </c>
      <c r="U94" s="105">
        <v>7185.5999999999995</v>
      </c>
      <c r="V94" s="105">
        <v>3</v>
      </c>
      <c r="W94" s="105">
        <v>7185.5999999999995</v>
      </c>
      <c r="X94" s="105">
        <v>3</v>
      </c>
      <c r="Y94" s="105">
        <v>7185.5999999999995</v>
      </c>
      <c r="Z94" s="105">
        <v>4</v>
      </c>
      <c r="AA94" s="105">
        <v>9580.7999999999993</v>
      </c>
      <c r="AB94" s="105">
        <v>5</v>
      </c>
      <c r="AC94" s="105">
        <v>11976</v>
      </c>
      <c r="AD94" s="105">
        <v>4</v>
      </c>
      <c r="AE94" s="105">
        <v>9580.7999999999993</v>
      </c>
      <c r="AF94" s="105">
        <v>4</v>
      </c>
      <c r="AG94" s="105">
        <v>9580.7999999999993</v>
      </c>
      <c r="AH94" s="105">
        <v>7</v>
      </c>
      <c r="AI94" s="105">
        <v>16766.399999999998</v>
      </c>
      <c r="AJ94" s="105">
        <v>4</v>
      </c>
      <c r="AK94" s="105">
        <v>9580.7999999999993</v>
      </c>
      <c r="AL94" s="105">
        <v>7</v>
      </c>
      <c r="AM94" s="105">
        <v>16766.399999999998</v>
      </c>
      <c r="AN94" s="105">
        <v>6</v>
      </c>
      <c r="AO94" s="105">
        <v>14371.199999999999</v>
      </c>
      <c r="AP94" s="105">
        <v>8</v>
      </c>
      <c r="AQ94" s="105">
        <v>19161.599999999999</v>
      </c>
      <c r="AR94" s="105">
        <v>7</v>
      </c>
      <c r="AS94" s="105">
        <v>16766.399999999998</v>
      </c>
      <c r="AT94" s="105">
        <v>8</v>
      </c>
      <c r="AU94" s="105">
        <v>19161.599999999999</v>
      </c>
      <c r="AV94" s="105">
        <v>9</v>
      </c>
      <c r="AW94" s="105">
        <v>21556.799999999999</v>
      </c>
      <c r="AX94" s="105">
        <v>8</v>
      </c>
      <c r="AY94" s="105">
        <v>19161.599999999999</v>
      </c>
      <c r="AZ94" s="105">
        <v>11</v>
      </c>
      <c r="BA94" s="105">
        <v>26347.199999999997</v>
      </c>
      <c r="BB94" s="105">
        <v>12</v>
      </c>
      <c r="BC94" s="105">
        <v>28742.399999999998</v>
      </c>
      <c r="BD94" s="105">
        <v>10</v>
      </c>
      <c r="BE94" s="105">
        <v>23952</v>
      </c>
      <c r="BF94" s="105">
        <v>7</v>
      </c>
      <c r="BG94" s="105">
        <v>16766.399999999998</v>
      </c>
      <c r="BH94" s="105">
        <v>13</v>
      </c>
      <c r="BI94" s="105">
        <v>31137.599999999999</v>
      </c>
      <c r="BJ94" s="105">
        <v>15</v>
      </c>
      <c r="BK94" s="105">
        <v>35928</v>
      </c>
      <c r="BL94" s="105">
        <v>10</v>
      </c>
      <c r="BM94" s="105">
        <v>23952</v>
      </c>
      <c r="BN94" s="105">
        <v>9</v>
      </c>
      <c r="BO94" s="105">
        <v>21556.799999999999</v>
      </c>
      <c r="BP94" s="105">
        <v>22</v>
      </c>
      <c r="BQ94" s="105">
        <v>52694.399999999994</v>
      </c>
      <c r="BR94" s="105">
        <v>15</v>
      </c>
      <c r="BS94" s="105">
        <v>35928</v>
      </c>
      <c r="BT94" s="105">
        <v>20</v>
      </c>
      <c r="BU94" s="105">
        <v>47904</v>
      </c>
      <c r="BV94" s="105">
        <v>15</v>
      </c>
      <c r="BW94" s="105">
        <v>35928</v>
      </c>
      <c r="BX94" s="105">
        <v>29</v>
      </c>
      <c r="BY94" s="105">
        <v>69460.799999999988</v>
      </c>
      <c r="BZ94" s="105">
        <v>28</v>
      </c>
      <c r="CA94" s="105">
        <v>67065.599999999991</v>
      </c>
      <c r="CB94" s="105">
        <v>4.0932588099028253</v>
      </c>
      <c r="CC94" s="105">
        <v>9804.1735014792466</v>
      </c>
      <c r="CD94" s="105">
        <v>8.3227573131094257</v>
      </c>
      <c r="CE94" s="105">
        <v>19934.668316359694</v>
      </c>
      <c r="CF94" s="105">
        <v>1.1073846444780635</v>
      </c>
      <c r="CG94" s="105">
        <v>2652.4077004538576</v>
      </c>
      <c r="CH94" s="105">
        <v>0.52730954935622321</v>
      </c>
      <c r="CI94" s="105">
        <v>1263.0118326180257</v>
      </c>
      <c r="CJ94" s="105">
        <v>6.0239093223765927</v>
      </c>
      <c r="CK94" s="105">
        <v>14428.467608956415</v>
      </c>
      <c r="CL94" s="105">
        <v>6.4410143499839059</v>
      </c>
      <c r="CM94" s="105">
        <v>15427.517571081451</v>
      </c>
      <c r="CN94" s="105">
        <v>11.310040028961524</v>
      </c>
      <c r="CO94" s="105">
        <v>27089.807877368639</v>
      </c>
      <c r="CP94" s="105">
        <v>0.95416550279329604</v>
      </c>
      <c r="CQ94" s="105">
        <v>2285.4172122905024</v>
      </c>
      <c r="CR94" s="105">
        <v>3.9189537823234271</v>
      </c>
      <c r="CS94" s="105">
        <v>9386.6780994210712</v>
      </c>
      <c r="CT94" s="105">
        <v>6.3042772842639598</v>
      </c>
      <c r="CU94" s="105">
        <v>15100.004951269035</v>
      </c>
    </row>
    <row r="95" spans="2:99" x14ac:dyDescent="0.25">
      <c r="B95" s="104" t="s">
        <v>132</v>
      </c>
      <c r="C95" s="104" t="s">
        <v>260</v>
      </c>
      <c r="D95" s="105">
        <v>0</v>
      </c>
      <c r="E95" s="105">
        <v>0</v>
      </c>
      <c r="F95" s="105">
        <v>0</v>
      </c>
      <c r="G95" s="105">
        <v>0</v>
      </c>
      <c r="H95" s="105">
        <v>0</v>
      </c>
      <c r="I95" s="105">
        <v>0</v>
      </c>
      <c r="J95" s="105">
        <v>6</v>
      </c>
      <c r="K95" s="105">
        <v>10396.799999999999</v>
      </c>
      <c r="L95" s="105">
        <v>8</v>
      </c>
      <c r="M95" s="105">
        <v>13862.4</v>
      </c>
      <c r="N95" s="105">
        <v>5</v>
      </c>
      <c r="O95" s="105">
        <v>8664</v>
      </c>
      <c r="P95" s="105">
        <v>7</v>
      </c>
      <c r="Q95" s="105">
        <v>12129.6</v>
      </c>
      <c r="R95" s="105">
        <v>7</v>
      </c>
      <c r="S95" s="105">
        <v>12129.6</v>
      </c>
      <c r="T95" s="105">
        <v>7</v>
      </c>
      <c r="U95" s="105">
        <v>12129.6</v>
      </c>
      <c r="V95" s="105">
        <v>8</v>
      </c>
      <c r="W95" s="105">
        <v>13862.4</v>
      </c>
      <c r="X95" s="105">
        <v>5</v>
      </c>
      <c r="Y95" s="105">
        <v>8664</v>
      </c>
      <c r="Z95" s="105">
        <v>6</v>
      </c>
      <c r="AA95" s="105">
        <v>10396.799999999999</v>
      </c>
      <c r="AB95" s="105">
        <v>8</v>
      </c>
      <c r="AC95" s="105">
        <v>13862.4</v>
      </c>
      <c r="AD95" s="105">
        <v>10</v>
      </c>
      <c r="AE95" s="105">
        <v>17328</v>
      </c>
      <c r="AF95" s="105">
        <v>8</v>
      </c>
      <c r="AG95" s="105">
        <v>13862.4</v>
      </c>
      <c r="AH95" s="105">
        <v>9</v>
      </c>
      <c r="AI95" s="105">
        <v>15595.199999999999</v>
      </c>
      <c r="AJ95" s="105">
        <v>10</v>
      </c>
      <c r="AK95" s="105">
        <v>17328</v>
      </c>
      <c r="AL95" s="105">
        <v>13</v>
      </c>
      <c r="AM95" s="105">
        <v>22526.399999999998</v>
      </c>
      <c r="AN95" s="105">
        <v>8</v>
      </c>
      <c r="AO95" s="105">
        <v>13862.4</v>
      </c>
      <c r="AP95" s="105">
        <v>9</v>
      </c>
      <c r="AQ95" s="105">
        <v>15595.199999999999</v>
      </c>
      <c r="AR95" s="105">
        <v>8</v>
      </c>
      <c r="AS95" s="105">
        <v>13862.4</v>
      </c>
      <c r="AT95" s="105">
        <v>15</v>
      </c>
      <c r="AU95" s="105">
        <v>25992</v>
      </c>
      <c r="AV95" s="105">
        <v>9</v>
      </c>
      <c r="AW95" s="105">
        <v>15595.199999999999</v>
      </c>
      <c r="AX95" s="105">
        <v>9</v>
      </c>
      <c r="AY95" s="105">
        <v>15595.199999999999</v>
      </c>
      <c r="AZ95" s="105">
        <v>14</v>
      </c>
      <c r="BA95" s="105">
        <v>24259.200000000001</v>
      </c>
      <c r="BB95" s="105">
        <v>22</v>
      </c>
      <c r="BC95" s="105">
        <v>38121.599999999999</v>
      </c>
      <c r="BD95" s="105">
        <v>17</v>
      </c>
      <c r="BE95" s="105">
        <v>29457.599999999999</v>
      </c>
      <c r="BF95" s="105">
        <v>12</v>
      </c>
      <c r="BG95" s="105">
        <v>20793.599999999999</v>
      </c>
      <c r="BH95" s="105">
        <v>17</v>
      </c>
      <c r="BI95" s="105">
        <v>29457.599999999999</v>
      </c>
      <c r="BJ95" s="105">
        <v>22</v>
      </c>
      <c r="BK95" s="105">
        <v>38121.599999999999</v>
      </c>
      <c r="BL95" s="105">
        <v>25</v>
      </c>
      <c r="BM95" s="105">
        <v>43320</v>
      </c>
      <c r="BN95" s="105">
        <v>17</v>
      </c>
      <c r="BO95" s="105">
        <v>29457.599999999999</v>
      </c>
      <c r="BP95" s="105">
        <v>25</v>
      </c>
      <c r="BQ95" s="105">
        <v>43320</v>
      </c>
      <c r="BR95" s="105">
        <v>19</v>
      </c>
      <c r="BS95" s="105">
        <v>32923.199999999997</v>
      </c>
      <c r="BT95" s="105">
        <v>30</v>
      </c>
      <c r="BU95" s="105">
        <v>51984</v>
      </c>
      <c r="BV95" s="105">
        <v>22</v>
      </c>
      <c r="BW95" s="105">
        <v>38121.599999999999</v>
      </c>
      <c r="BX95" s="105">
        <v>54</v>
      </c>
      <c r="BY95" s="105">
        <v>93571.199999999997</v>
      </c>
      <c r="BZ95" s="105">
        <v>41</v>
      </c>
      <c r="CA95" s="105">
        <v>71044.800000000003</v>
      </c>
      <c r="CB95" s="105">
        <v>9.3560201369207441</v>
      </c>
      <c r="CC95" s="105">
        <v>16212.111693256265</v>
      </c>
      <c r="CD95" s="105">
        <v>8.6001825568797408</v>
      </c>
      <c r="CE95" s="105">
        <v>14902.396334561214</v>
      </c>
      <c r="CF95" s="105">
        <v>1.624164145234493</v>
      </c>
      <c r="CG95" s="105">
        <v>2814.3516308623293</v>
      </c>
      <c r="CH95" s="105">
        <v>0.54156115879828326</v>
      </c>
      <c r="CI95" s="105">
        <v>938.41717596566525</v>
      </c>
      <c r="CJ95" s="105">
        <v>8.6856366973802039</v>
      </c>
      <c r="CK95" s="105">
        <v>15050.471269220418</v>
      </c>
      <c r="CL95" s="105">
        <v>6.2946276602115443</v>
      </c>
      <c r="CM95" s="105">
        <v>10907.330809614563</v>
      </c>
      <c r="CN95" s="105">
        <v>18.594472589987593</v>
      </c>
      <c r="CO95" s="105">
        <v>32220.502103930499</v>
      </c>
      <c r="CP95" s="105">
        <v>1.7265851955307261</v>
      </c>
      <c r="CQ95" s="105">
        <v>2991.8268268156421</v>
      </c>
      <c r="CR95" s="105">
        <v>10.754338286375916</v>
      </c>
      <c r="CS95" s="105">
        <v>18635.117382632186</v>
      </c>
      <c r="CT95" s="105">
        <v>7.8052956852791882</v>
      </c>
      <c r="CU95" s="105">
        <v>13525.016363451778</v>
      </c>
    </row>
    <row r="96" spans="2:99" x14ac:dyDescent="0.25">
      <c r="C96" s="104" t="s">
        <v>261</v>
      </c>
      <c r="D96" s="105">
        <v>0</v>
      </c>
      <c r="E96" s="105">
        <v>0</v>
      </c>
      <c r="F96" s="105">
        <v>0</v>
      </c>
      <c r="G96" s="105">
        <v>0</v>
      </c>
      <c r="H96" s="105">
        <v>0</v>
      </c>
      <c r="I96" s="105">
        <v>0</v>
      </c>
      <c r="J96" s="105">
        <v>6</v>
      </c>
      <c r="K96" s="105">
        <v>4939.2</v>
      </c>
      <c r="L96" s="105">
        <v>8</v>
      </c>
      <c r="M96" s="105">
        <v>6585.5999999999995</v>
      </c>
      <c r="N96" s="105">
        <v>5</v>
      </c>
      <c r="O96" s="105">
        <v>4116</v>
      </c>
      <c r="P96" s="105">
        <v>7</v>
      </c>
      <c r="Q96" s="105">
        <v>5762.4</v>
      </c>
      <c r="R96" s="105">
        <v>7</v>
      </c>
      <c r="S96" s="105">
        <v>5762.4</v>
      </c>
      <c r="T96" s="105">
        <v>7</v>
      </c>
      <c r="U96" s="105">
        <v>5762.4</v>
      </c>
      <c r="V96" s="105">
        <v>10</v>
      </c>
      <c r="W96" s="105">
        <v>8232</v>
      </c>
      <c r="X96" s="105">
        <v>5</v>
      </c>
      <c r="Y96" s="105">
        <v>4116</v>
      </c>
      <c r="Z96" s="105">
        <v>7</v>
      </c>
      <c r="AA96" s="105">
        <v>5762.4</v>
      </c>
      <c r="AB96" s="105">
        <v>10</v>
      </c>
      <c r="AC96" s="105">
        <v>8232</v>
      </c>
      <c r="AD96" s="105">
        <v>9</v>
      </c>
      <c r="AE96" s="105">
        <v>7408.7999999999993</v>
      </c>
      <c r="AF96" s="105">
        <v>10</v>
      </c>
      <c r="AG96" s="105">
        <v>8232</v>
      </c>
      <c r="AH96" s="105">
        <v>9</v>
      </c>
      <c r="AI96" s="105">
        <v>7408.7999999999993</v>
      </c>
      <c r="AJ96" s="105">
        <v>10</v>
      </c>
      <c r="AK96" s="105">
        <v>8232</v>
      </c>
      <c r="AL96" s="105">
        <v>13</v>
      </c>
      <c r="AM96" s="105">
        <v>10701.599999999999</v>
      </c>
      <c r="AN96" s="105">
        <v>8</v>
      </c>
      <c r="AO96" s="105">
        <v>6585.5999999999995</v>
      </c>
      <c r="AP96" s="105">
        <v>10</v>
      </c>
      <c r="AQ96" s="105">
        <v>8232</v>
      </c>
      <c r="AR96" s="105">
        <v>8</v>
      </c>
      <c r="AS96" s="105">
        <v>6585.5999999999995</v>
      </c>
      <c r="AT96" s="105">
        <v>15</v>
      </c>
      <c r="AU96" s="105">
        <v>12347.999999999998</v>
      </c>
      <c r="AV96" s="105">
        <v>9</v>
      </c>
      <c r="AW96" s="105">
        <v>7408.7999999999993</v>
      </c>
      <c r="AX96" s="105">
        <v>9</v>
      </c>
      <c r="AY96" s="105">
        <v>7408.7999999999993</v>
      </c>
      <c r="AZ96" s="105">
        <v>16</v>
      </c>
      <c r="BA96" s="105">
        <v>13171.199999999999</v>
      </c>
      <c r="BB96" s="105">
        <v>20</v>
      </c>
      <c r="BC96" s="105">
        <v>16464</v>
      </c>
      <c r="BD96" s="105">
        <v>17</v>
      </c>
      <c r="BE96" s="105">
        <v>13994.4</v>
      </c>
      <c r="BF96" s="105">
        <v>12</v>
      </c>
      <c r="BG96" s="105">
        <v>9878.4</v>
      </c>
      <c r="BH96" s="105">
        <v>20</v>
      </c>
      <c r="BI96" s="105">
        <v>16464</v>
      </c>
      <c r="BJ96" s="105">
        <v>28</v>
      </c>
      <c r="BK96" s="105">
        <v>23049.599999999999</v>
      </c>
      <c r="BL96" s="105">
        <v>30</v>
      </c>
      <c r="BM96" s="105">
        <v>24695.999999999996</v>
      </c>
      <c r="BN96" s="105">
        <v>17</v>
      </c>
      <c r="BO96" s="105">
        <v>13994.4</v>
      </c>
      <c r="BP96" s="105">
        <v>30</v>
      </c>
      <c r="BQ96" s="105">
        <v>24695.999999999996</v>
      </c>
      <c r="BR96" s="105">
        <v>25</v>
      </c>
      <c r="BS96" s="105">
        <v>20580</v>
      </c>
      <c r="BT96" s="105">
        <v>37</v>
      </c>
      <c r="BU96" s="105">
        <v>30458.399999999998</v>
      </c>
      <c r="BV96" s="105">
        <v>24</v>
      </c>
      <c r="BW96" s="105">
        <v>19756.8</v>
      </c>
      <c r="BX96" s="105">
        <v>54</v>
      </c>
      <c r="BY96" s="105">
        <v>44452.799999999996</v>
      </c>
      <c r="BZ96" s="105">
        <v>49</v>
      </c>
      <c r="CA96" s="105">
        <v>40336.799999999996</v>
      </c>
      <c r="CB96" s="105">
        <v>11.695025171150929</v>
      </c>
      <c r="CC96" s="105">
        <v>9627.344720891444</v>
      </c>
      <c r="CD96" s="105">
        <v>8.8776078006500541</v>
      </c>
      <c r="CE96" s="105">
        <v>7308.0467414951236</v>
      </c>
      <c r="CF96" s="105">
        <v>1.8456410741301059</v>
      </c>
      <c r="CG96" s="105">
        <v>1519.3317322239031</v>
      </c>
      <c r="CH96" s="105">
        <v>0.71258047210300446</v>
      </c>
      <c r="CI96" s="105">
        <v>586.59624463519322</v>
      </c>
      <c r="CJ96" s="105">
        <v>10.086545842118946</v>
      </c>
      <c r="CK96" s="105">
        <v>8303.2445372323164</v>
      </c>
      <c r="CL96" s="105">
        <v>6.8801744193009906</v>
      </c>
      <c r="CM96" s="105">
        <v>5663.7595819685748</v>
      </c>
      <c r="CN96" s="105">
        <v>19.744646152254866</v>
      </c>
      <c r="CO96" s="105">
        <v>16253.792712536204</v>
      </c>
      <c r="CP96" s="105">
        <v>2.0294948789571694</v>
      </c>
      <c r="CQ96" s="105">
        <v>1670.6801843575417</v>
      </c>
      <c r="CR96" s="105">
        <v>13.944184388267079</v>
      </c>
      <c r="CS96" s="105">
        <v>11478.852588421458</v>
      </c>
      <c r="CT96" s="105">
        <v>9.3063140862944156</v>
      </c>
      <c r="CU96" s="105">
        <v>7660.9577558375622</v>
      </c>
    </row>
    <row r="97" spans="2:99" x14ac:dyDescent="0.25">
      <c r="C97" s="104" t="s">
        <v>262</v>
      </c>
      <c r="D97" s="105">
        <v>0</v>
      </c>
      <c r="E97" s="105">
        <v>0</v>
      </c>
      <c r="F97" s="105">
        <v>0</v>
      </c>
      <c r="G97" s="105">
        <v>0</v>
      </c>
      <c r="H97" s="105">
        <v>0</v>
      </c>
      <c r="I97" s="105">
        <v>0</v>
      </c>
      <c r="J97" s="105">
        <v>5</v>
      </c>
      <c r="K97" s="105">
        <v>9144</v>
      </c>
      <c r="L97" s="105">
        <v>7</v>
      </c>
      <c r="M97" s="105">
        <v>12801.6</v>
      </c>
      <c r="N97" s="105">
        <v>5</v>
      </c>
      <c r="O97" s="105">
        <v>9144</v>
      </c>
      <c r="P97" s="105">
        <v>7</v>
      </c>
      <c r="Q97" s="105">
        <v>12801.6</v>
      </c>
      <c r="R97" s="105">
        <v>7</v>
      </c>
      <c r="S97" s="105">
        <v>12801.6</v>
      </c>
      <c r="T97" s="105">
        <v>6</v>
      </c>
      <c r="U97" s="105">
        <v>10972.8</v>
      </c>
      <c r="V97" s="105">
        <v>9</v>
      </c>
      <c r="W97" s="105">
        <v>16459.2</v>
      </c>
      <c r="X97" s="105">
        <v>5</v>
      </c>
      <c r="Y97" s="105">
        <v>9144</v>
      </c>
      <c r="Z97" s="105">
        <v>7</v>
      </c>
      <c r="AA97" s="105">
        <v>12801.6</v>
      </c>
      <c r="AB97" s="105">
        <v>8</v>
      </c>
      <c r="AC97" s="105">
        <v>14630.4</v>
      </c>
      <c r="AD97" s="105">
        <v>9</v>
      </c>
      <c r="AE97" s="105">
        <v>16459.2</v>
      </c>
      <c r="AF97" s="105">
        <v>9</v>
      </c>
      <c r="AG97" s="105">
        <v>16459.2</v>
      </c>
      <c r="AH97" s="105">
        <v>8</v>
      </c>
      <c r="AI97" s="105">
        <v>14630.4</v>
      </c>
      <c r="AJ97" s="105">
        <v>9</v>
      </c>
      <c r="AK97" s="105">
        <v>16459.2</v>
      </c>
      <c r="AL97" s="105">
        <v>11</v>
      </c>
      <c r="AM97" s="105">
        <v>20116.8</v>
      </c>
      <c r="AN97" s="105">
        <v>8</v>
      </c>
      <c r="AO97" s="105">
        <v>14630.4</v>
      </c>
      <c r="AP97" s="105">
        <v>10</v>
      </c>
      <c r="AQ97" s="105">
        <v>18288</v>
      </c>
      <c r="AR97" s="105">
        <v>8</v>
      </c>
      <c r="AS97" s="105">
        <v>14630.4</v>
      </c>
      <c r="AT97" s="105">
        <v>15</v>
      </c>
      <c r="AU97" s="105">
        <v>27432</v>
      </c>
      <c r="AV97" s="105">
        <v>9</v>
      </c>
      <c r="AW97" s="105">
        <v>16459.2</v>
      </c>
      <c r="AX97" s="105">
        <v>10</v>
      </c>
      <c r="AY97" s="105">
        <v>18288</v>
      </c>
      <c r="AZ97" s="105">
        <v>12</v>
      </c>
      <c r="BA97" s="105">
        <v>21945.599999999999</v>
      </c>
      <c r="BB97" s="105">
        <v>19</v>
      </c>
      <c r="BC97" s="105">
        <v>34747.199999999997</v>
      </c>
      <c r="BD97" s="105">
        <v>17</v>
      </c>
      <c r="BE97" s="105">
        <v>31089.599999999999</v>
      </c>
      <c r="BF97" s="105">
        <v>11</v>
      </c>
      <c r="BG97" s="105">
        <v>20116.8</v>
      </c>
      <c r="BH97" s="105">
        <v>18</v>
      </c>
      <c r="BI97" s="105">
        <v>32918.400000000001</v>
      </c>
      <c r="BJ97" s="105">
        <v>22</v>
      </c>
      <c r="BK97" s="105">
        <v>40233.599999999999</v>
      </c>
      <c r="BL97" s="105">
        <v>25</v>
      </c>
      <c r="BM97" s="105">
        <v>45720</v>
      </c>
      <c r="BN97" s="105">
        <v>16</v>
      </c>
      <c r="BO97" s="105">
        <v>29260.799999999999</v>
      </c>
      <c r="BP97" s="105">
        <v>25</v>
      </c>
      <c r="BQ97" s="105">
        <v>45720</v>
      </c>
      <c r="BR97" s="105">
        <v>21</v>
      </c>
      <c r="BS97" s="105">
        <v>38404.799999999996</v>
      </c>
      <c r="BT97" s="105">
        <v>32</v>
      </c>
      <c r="BU97" s="105">
        <v>58521.599999999999</v>
      </c>
      <c r="BV97" s="105">
        <v>21</v>
      </c>
      <c r="BW97" s="105">
        <v>38404.799999999996</v>
      </c>
      <c r="BX97" s="105">
        <v>54</v>
      </c>
      <c r="BY97" s="105">
        <v>98755.199999999997</v>
      </c>
      <c r="BZ97" s="105">
        <v>49</v>
      </c>
      <c r="CA97" s="105">
        <v>89611.199999999997</v>
      </c>
      <c r="CB97" s="105">
        <v>10.81789828331461</v>
      </c>
      <c r="CC97" s="105">
        <v>19783.772380525759</v>
      </c>
      <c r="CD97" s="105">
        <v>8.3227573131094257</v>
      </c>
      <c r="CE97" s="105">
        <v>15220.658574214518</v>
      </c>
      <c r="CF97" s="105">
        <v>1.7349026096822995</v>
      </c>
      <c r="CG97" s="105">
        <v>3172.789892586989</v>
      </c>
      <c r="CH97" s="105">
        <v>0.55581276824034342</v>
      </c>
      <c r="CI97" s="105">
        <v>1016.47039055794</v>
      </c>
      <c r="CJ97" s="105">
        <v>9.9464549276450729</v>
      </c>
      <c r="CK97" s="105">
        <v>18190.076771677308</v>
      </c>
      <c r="CL97" s="105">
        <v>5.7090809011220989</v>
      </c>
      <c r="CM97" s="105">
        <v>10440.767151972093</v>
      </c>
      <c r="CN97" s="105">
        <v>16.485821059164255</v>
      </c>
      <c r="CO97" s="105">
        <v>30149.269552999591</v>
      </c>
      <c r="CP97" s="105">
        <v>1.6205668063314711</v>
      </c>
      <c r="CQ97" s="105">
        <v>2963.6925754189942</v>
      </c>
      <c r="CR97" s="105">
        <v>10.025230605943651</v>
      </c>
      <c r="CS97" s="105">
        <v>18334.14173214975</v>
      </c>
      <c r="CT97" s="105">
        <v>7.8052956852791882</v>
      </c>
      <c r="CU97" s="105">
        <v>14274.324749238578</v>
      </c>
    </row>
    <row r="98" spans="2:99" x14ac:dyDescent="0.25">
      <c r="C98" s="104" t="s">
        <v>263</v>
      </c>
      <c r="D98" s="105">
        <v>0</v>
      </c>
      <c r="E98" s="105">
        <v>0</v>
      </c>
      <c r="F98" s="105">
        <v>0</v>
      </c>
      <c r="G98" s="105">
        <v>0</v>
      </c>
      <c r="H98" s="105">
        <v>0</v>
      </c>
      <c r="I98" s="105">
        <v>0</v>
      </c>
      <c r="J98" s="105">
        <v>6</v>
      </c>
      <c r="K98" s="105">
        <v>7581.5999999999995</v>
      </c>
      <c r="L98" s="105">
        <v>7</v>
      </c>
      <c r="M98" s="105">
        <v>8845.1999999999989</v>
      </c>
      <c r="N98" s="105">
        <v>5</v>
      </c>
      <c r="O98" s="105">
        <v>6318</v>
      </c>
      <c r="P98" s="105">
        <v>6</v>
      </c>
      <c r="Q98" s="105">
        <v>7581.5999999999995</v>
      </c>
      <c r="R98" s="105">
        <v>7</v>
      </c>
      <c r="S98" s="105">
        <v>8845.1999999999989</v>
      </c>
      <c r="T98" s="105">
        <v>6</v>
      </c>
      <c r="U98" s="105">
        <v>7581.5999999999995</v>
      </c>
      <c r="V98" s="105">
        <v>9</v>
      </c>
      <c r="W98" s="105">
        <v>11372.4</v>
      </c>
      <c r="X98" s="105">
        <v>5</v>
      </c>
      <c r="Y98" s="105">
        <v>6318</v>
      </c>
      <c r="Z98" s="105">
        <v>7</v>
      </c>
      <c r="AA98" s="105">
        <v>8845.1999999999989</v>
      </c>
      <c r="AB98" s="105">
        <v>10</v>
      </c>
      <c r="AC98" s="105">
        <v>12636</v>
      </c>
      <c r="AD98" s="105">
        <v>9</v>
      </c>
      <c r="AE98" s="105">
        <v>11372.4</v>
      </c>
      <c r="AF98" s="105">
        <v>9</v>
      </c>
      <c r="AG98" s="105">
        <v>11372.4</v>
      </c>
      <c r="AH98" s="105">
        <v>9</v>
      </c>
      <c r="AI98" s="105">
        <v>11372.4</v>
      </c>
      <c r="AJ98" s="105">
        <v>10</v>
      </c>
      <c r="AK98" s="105">
        <v>12636</v>
      </c>
      <c r="AL98" s="105">
        <v>14</v>
      </c>
      <c r="AM98" s="105">
        <v>17690.399999999998</v>
      </c>
      <c r="AN98" s="105">
        <v>9</v>
      </c>
      <c r="AO98" s="105">
        <v>11372.4</v>
      </c>
      <c r="AP98" s="105">
        <v>10</v>
      </c>
      <c r="AQ98" s="105">
        <v>12636</v>
      </c>
      <c r="AR98" s="105">
        <v>8</v>
      </c>
      <c r="AS98" s="105">
        <v>10108.799999999999</v>
      </c>
      <c r="AT98" s="105">
        <v>16</v>
      </c>
      <c r="AU98" s="105">
        <v>20217.599999999999</v>
      </c>
      <c r="AV98" s="105">
        <v>9</v>
      </c>
      <c r="AW98" s="105">
        <v>11372.4</v>
      </c>
      <c r="AX98" s="105">
        <v>9</v>
      </c>
      <c r="AY98" s="105">
        <v>11372.4</v>
      </c>
      <c r="AZ98" s="105">
        <v>14</v>
      </c>
      <c r="BA98" s="105">
        <v>17690.399999999998</v>
      </c>
      <c r="BB98" s="105">
        <v>21</v>
      </c>
      <c r="BC98" s="105">
        <v>26535.599999999999</v>
      </c>
      <c r="BD98" s="105">
        <v>18</v>
      </c>
      <c r="BE98" s="105">
        <v>22744.799999999999</v>
      </c>
      <c r="BF98" s="105">
        <v>14</v>
      </c>
      <c r="BG98" s="105">
        <v>17690.399999999998</v>
      </c>
      <c r="BH98" s="105">
        <v>17</v>
      </c>
      <c r="BI98" s="105">
        <v>21481.199999999997</v>
      </c>
      <c r="BJ98" s="105">
        <v>27</v>
      </c>
      <c r="BK98" s="105">
        <v>34117.199999999997</v>
      </c>
      <c r="BL98" s="105">
        <v>29</v>
      </c>
      <c r="BM98" s="105">
        <v>36644.399999999994</v>
      </c>
      <c r="BN98" s="105">
        <v>18</v>
      </c>
      <c r="BO98" s="105">
        <v>22744.799999999999</v>
      </c>
      <c r="BP98" s="105">
        <v>31</v>
      </c>
      <c r="BQ98" s="105">
        <v>39171.599999999999</v>
      </c>
      <c r="BR98" s="105">
        <v>20</v>
      </c>
      <c r="BS98" s="105">
        <v>25272</v>
      </c>
      <c r="BT98" s="105">
        <v>34</v>
      </c>
      <c r="BU98" s="105">
        <v>42962.399999999994</v>
      </c>
      <c r="BV98" s="105">
        <v>22</v>
      </c>
      <c r="BW98" s="105">
        <v>27799.199999999997</v>
      </c>
      <c r="BX98" s="105">
        <v>51</v>
      </c>
      <c r="BY98" s="105">
        <v>64443.6</v>
      </c>
      <c r="BZ98" s="105">
        <v>52</v>
      </c>
      <c r="CA98" s="105">
        <v>65707.199999999997</v>
      </c>
      <c r="CB98" s="105">
        <v>10.525522654035836</v>
      </c>
      <c r="CC98" s="105">
        <v>13300.050425639682</v>
      </c>
      <c r="CD98" s="105">
        <v>8.6001825568797408</v>
      </c>
      <c r="CE98" s="105">
        <v>10867.190678873239</v>
      </c>
      <c r="CF98" s="105">
        <v>1.8087282526475037</v>
      </c>
      <c r="CG98" s="105">
        <v>2285.5090200453856</v>
      </c>
      <c r="CH98" s="105">
        <v>0.69832886266094418</v>
      </c>
      <c r="CI98" s="105">
        <v>882.40835085836898</v>
      </c>
      <c r="CJ98" s="105">
        <v>9.5261821842234493</v>
      </c>
      <c r="CK98" s="105">
        <v>12037.28380798475</v>
      </c>
      <c r="CL98" s="105">
        <v>6.8801744193009906</v>
      </c>
      <c r="CM98" s="105">
        <v>8693.7883962287306</v>
      </c>
      <c r="CN98" s="105">
        <v>16.677516652875468</v>
      </c>
      <c r="CO98" s="105">
        <v>21073.710042573439</v>
      </c>
      <c r="CP98" s="105">
        <v>1.7568761638733703</v>
      </c>
      <c r="CQ98" s="105">
        <v>2219.9887206703906</v>
      </c>
      <c r="CR98" s="105">
        <v>11.847999807024314</v>
      </c>
      <c r="CS98" s="105">
        <v>14971.132556155922</v>
      </c>
      <c r="CT98" s="105">
        <v>7.7052277918781735</v>
      </c>
      <c r="CU98" s="105">
        <v>9736.3258378172595</v>
      </c>
    </row>
    <row r="99" spans="2:99" x14ac:dyDescent="0.25">
      <c r="C99" s="104" t="s">
        <v>264</v>
      </c>
      <c r="D99" s="105">
        <v>0</v>
      </c>
      <c r="E99" s="105">
        <v>0</v>
      </c>
      <c r="F99" s="105">
        <v>0</v>
      </c>
      <c r="G99" s="105">
        <v>0</v>
      </c>
      <c r="H99" s="105">
        <v>0</v>
      </c>
      <c r="I99" s="105">
        <v>0</v>
      </c>
      <c r="J99" s="105">
        <v>4</v>
      </c>
      <c r="K99" s="105">
        <v>21926.399999999998</v>
      </c>
      <c r="L99" s="105">
        <v>5</v>
      </c>
      <c r="M99" s="105">
        <v>27407.999999999996</v>
      </c>
      <c r="N99" s="105">
        <v>4</v>
      </c>
      <c r="O99" s="105">
        <v>21926.399999999998</v>
      </c>
      <c r="P99" s="105">
        <v>5</v>
      </c>
      <c r="Q99" s="105">
        <v>27407.999999999996</v>
      </c>
      <c r="R99" s="105">
        <v>5</v>
      </c>
      <c r="S99" s="105">
        <v>27407.999999999996</v>
      </c>
      <c r="T99" s="105">
        <v>5</v>
      </c>
      <c r="U99" s="105">
        <v>27407.999999999996</v>
      </c>
      <c r="V99" s="105">
        <v>7</v>
      </c>
      <c r="W99" s="105">
        <v>38371.199999999997</v>
      </c>
      <c r="X99" s="105">
        <v>4</v>
      </c>
      <c r="Y99" s="105">
        <v>21926.399999999998</v>
      </c>
      <c r="Z99" s="105">
        <v>5</v>
      </c>
      <c r="AA99" s="105">
        <v>27407.999999999996</v>
      </c>
      <c r="AB99" s="105">
        <v>7</v>
      </c>
      <c r="AC99" s="105">
        <v>38371.199999999997</v>
      </c>
      <c r="AD99" s="105">
        <v>8</v>
      </c>
      <c r="AE99" s="105">
        <v>43852.799999999996</v>
      </c>
      <c r="AF99" s="105">
        <v>6</v>
      </c>
      <c r="AG99" s="105">
        <v>32889.599999999999</v>
      </c>
      <c r="AH99" s="105">
        <v>6</v>
      </c>
      <c r="AI99" s="105">
        <v>32889.599999999999</v>
      </c>
      <c r="AJ99" s="105">
        <v>7</v>
      </c>
      <c r="AK99" s="105">
        <v>38371.199999999997</v>
      </c>
      <c r="AL99" s="105">
        <v>10</v>
      </c>
      <c r="AM99" s="105">
        <v>54815.999999999993</v>
      </c>
      <c r="AN99" s="105">
        <v>7</v>
      </c>
      <c r="AO99" s="105">
        <v>38371.199999999997</v>
      </c>
      <c r="AP99" s="105">
        <v>8</v>
      </c>
      <c r="AQ99" s="105">
        <v>43852.799999999996</v>
      </c>
      <c r="AR99" s="105">
        <v>6</v>
      </c>
      <c r="AS99" s="105">
        <v>32889.599999999999</v>
      </c>
      <c r="AT99" s="105">
        <v>11</v>
      </c>
      <c r="AU99" s="105">
        <v>60297.599999999991</v>
      </c>
      <c r="AV99" s="105">
        <v>6</v>
      </c>
      <c r="AW99" s="105">
        <v>32889.599999999999</v>
      </c>
      <c r="AX99" s="105">
        <v>8</v>
      </c>
      <c r="AY99" s="105">
        <v>43852.799999999996</v>
      </c>
      <c r="AZ99" s="105">
        <v>10</v>
      </c>
      <c r="BA99" s="105">
        <v>54815.999999999993</v>
      </c>
      <c r="BB99" s="105">
        <v>16</v>
      </c>
      <c r="BC99" s="105">
        <v>87705.599999999991</v>
      </c>
      <c r="BD99" s="105">
        <v>11</v>
      </c>
      <c r="BE99" s="105">
        <v>60297.599999999991</v>
      </c>
      <c r="BF99" s="105">
        <v>9</v>
      </c>
      <c r="BG99" s="105">
        <v>49334.399999999994</v>
      </c>
      <c r="BH99" s="105">
        <v>11</v>
      </c>
      <c r="BI99" s="105">
        <v>60297.599999999991</v>
      </c>
      <c r="BJ99" s="105">
        <v>16</v>
      </c>
      <c r="BK99" s="105">
        <v>87705.599999999991</v>
      </c>
      <c r="BL99" s="105">
        <v>17</v>
      </c>
      <c r="BM99" s="105">
        <v>93187.199999999997</v>
      </c>
      <c r="BN99" s="105">
        <v>11</v>
      </c>
      <c r="BO99" s="105">
        <v>60297.599999999991</v>
      </c>
      <c r="BP99" s="105">
        <v>17</v>
      </c>
      <c r="BQ99" s="105">
        <v>93187.199999999997</v>
      </c>
      <c r="BR99" s="105">
        <v>16</v>
      </c>
      <c r="BS99" s="105">
        <v>87705.599999999991</v>
      </c>
      <c r="BT99" s="105">
        <v>21</v>
      </c>
      <c r="BU99" s="105">
        <v>115113.59999999999</v>
      </c>
      <c r="BV99" s="105">
        <v>14</v>
      </c>
      <c r="BW99" s="105">
        <v>76742.399999999994</v>
      </c>
      <c r="BX99" s="105">
        <v>29</v>
      </c>
      <c r="BY99" s="105">
        <v>158966.39999999999</v>
      </c>
      <c r="BZ99" s="105">
        <v>29</v>
      </c>
      <c r="CA99" s="105">
        <v>158966.39999999999</v>
      </c>
      <c r="CB99" s="105">
        <v>7.0170151026905581</v>
      </c>
      <c r="CC99" s="105">
        <v>38464.46998690856</v>
      </c>
      <c r="CD99" s="105">
        <v>5.5485048754062847</v>
      </c>
      <c r="CE99" s="105">
        <v>30414.684325027087</v>
      </c>
      <c r="CF99" s="105">
        <v>0.95973335854765507</v>
      </c>
      <c r="CG99" s="105">
        <v>5260.8743782148258</v>
      </c>
      <c r="CH99" s="105">
        <v>0.35629023605150223</v>
      </c>
      <c r="CI99" s="105">
        <v>1953.0405579399144</v>
      </c>
      <c r="CJ99" s="105">
        <v>5.8838184079027194</v>
      </c>
      <c r="CK99" s="105">
        <v>32252.738984759544</v>
      </c>
      <c r="CL99" s="105">
        <v>3.6596672443090381</v>
      </c>
      <c r="CM99" s="105">
        <v>20060.831966404421</v>
      </c>
      <c r="CN99" s="105">
        <v>9.0096929044269771</v>
      </c>
      <c r="CO99" s="105">
        <v>49387.532624906911</v>
      </c>
      <c r="CP99" s="105">
        <v>0.74212872439478583</v>
      </c>
      <c r="CQ99" s="105">
        <v>4068.0528156424575</v>
      </c>
      <c r="CR99" s="105">
        <v>5.8328614434581247</v>
      </c>
      <c r="CS99" s="105">
        <v>31973.413288460055</v>
      </c>
      <c r="CT99" s="105">
        <v>3.5023762690355333</v>
      </c>
      <c r="CU99" s="105">
        <v>19198.625756345176</v>
      </c>
    </row>
    <row r="100" spans="2:99" x14ac:dyDescent="0.25">
      <c r="C100" s="104" t="s">
        <v>265</v>
      </c>
      <c r="D100" s="105">
        <v>0</v>
      </c>
      <c r="E100" s="105">
        <v>0</v>
      </c>
      <c r="F100" s="105">
        <v>0</v>
      </c>
      <c r="G100" s="105">
        <v>0</v>
      </c>
      <c r="H100" s="105">
        <v>0</v>
      </c>
      <c r="I100" s="105">
        <v>0</v>
      </c>
      <c r="J100" s="105">
        <v>6</v>
      </c>
      <c r="K100" s="105">
        <v>9734.4</v>
      </c>
      <c r="L100" s="105">
        <v>8</v>
      </c>
      <c r="M100" s="105">
        <v>12979.199999999999</v>
      </c>
      <c r="N100" s="105">
        <v>5</v>
      </c>
      <c r="O100" s="105">
        <v>8111.9999999999991</v>
      </c>
      <c r="P100" s="105">
        <v>7</v>
      </c>
      <c r="Q100" s="105">
        <v>11356.8</v>
      </c>
      <c r="R100" s="105">
        <v>6</v>
      </c>
      <c r="S100" s="105">
        <v>9734.4</v>
      </c>
      <c r="T100" s="105">
        <v>7</v>
      </c>
      <c r="U100" s="105">
        <v>11356.8</v>
      </c>
      <c r="V100" s="105">
        <v>8</v>
      </c>
      <c r="W100" s="105">
        <v>12979.199999999999</v>
      </c>
      <c r="X100" s="105">
        <v>4</v>
      </c>
      <c r="Y100" s="105">
        <v>6489.5999999999995</v>
      </c>
      <c r="Z100" s="105">
        <v>7</v>
      </c>
      <c r="AA100" s="105">
        <v>11356.8</v>
      </c>
      <c r="AB100" s="105">
        <v>9</v>
      </c>
      <c r="AC100" s="105">
        <v>14601.599999999999</v>
      </c>
      <c r="AD100" s="105">
        <v>8</v>
      </c>
      <c r="AE100" s="105">
        <v>12979.199999999999</v>
      </c>
      <c r="AF100" s="105">
        <v>9</v>
      </c>
      <c r="AG100" s="105">
        <v>14601.599999999999</v>
      </c>
      <c r="AH100" s="105">
        <v>8</v>
      </c>
      <c r="AI100" s="105">
        <v>12979.199999999999</v>
      </c>
      <c r="AJ100" s="105">
        <v>9</v>
      </c>
      <c r="AK100" s="105">
        <v>14601.599999999999</v>
      </c>
      <c r="AL100" s="105">
        <v>12</v>
      </c>
      <c r="AM100" s="105">
        <v>19468.8</v>
      </c>
      <c r="AN100" s="105">
        <v>9</v>
      </c>
      <c r="AO100" s="105">
        <v>14601.599999999999</v>
      </c>
      <c r="AP100" s="105">
        <v>9</v>
      </c>
      <c r="AQ100" s="105">
        <v>14601.599999999999</v>
      </c>
      <c r="AR100" s="105">
        <v>9</v>
      </c>
      <c r="AS100" s="105">
        <v>14601.599999999999</v>
      </c>
      <c r="AT100" s="105">
        <v>15</v>
      </c>
      <c r="AU100" s="105">
        <v>24335.999999999996</v>
      </c>
      <c r="AV100" s="105">
        <v>9</v>
      </c>
      <c r="AW100" s="105">
        <v>14601.599999999999</v>
      </c>
      <c r="AX100" s="105">
        <v>9</v>
      </c>
      <c r="AY100" s="105">
        <v>14601.599999999999</v>
      </c>
      <c r="AZ100" s="105">
        <v>14</v>
      </c>
      <c r="BA100" s="105">
        <v>22713.599999999999</v>
      </c>
      <c r="BB100" s="105">
        <v>19</v>
      </c>
      <c r="BC100" s="105">
        <v>30825.599999999999</v>
      </c>
      <c r="BD100" s="105">
        <v>16</v>
      </c>
      <c r="BE100" s="105">
        <v>25958.399999999998</v>
      </c>
      <c r="BF100" s="105">
        <v>12</v>
      </c>
      <c r="BG100" s="105">
        <v>19468.8</v>
      </c>
      <c r="BH100" s="105">
        <v>19</v>
      </c>
      <c r="BI100" s="105">
        <v>30825.599999999999</v>
      </c>
      <c r="BJ100" s="105">
        <v>26</v>
      </c>
      <c r="BK100" s="105">
        <v>42182.399999999994</v>
      </c>
      <c r="BL100" s="105">
        <v>25</v>
      </c>
      <c r="BM100" s="105">
        <v>40560</v>
      </c>
      <c r="BN100" s="105">
        <v>18</v>
      </c>
      <c r="BO100" s="105">
        <v>29203.199999999997</v>
      </c>
      <c r="BP100" s="105">
        <v>30</v>
      </c>
      <c r="BQ100" s="105">
        <v>48671.999999999993</v>
      </c>
      <c r="BR100" s="105">
        <v>19</v>
      </c>
      <c r="BS100" s="105">
        <v>30825.599999999999</v>
      </c>
      <c r="BT100" s="105">
        <v>31</v>
      </c>
      <c r="BU100" s="105">
        <v>50294.399999999994</v>
      </c>
      <c r="BV100" s="105">
        <v>20</v>
      </c>
      <c r="BW100" s="105">
        <v>32447.999999999996</v>
      </c>
      <c r="BX100" s="105">
        <v>46</v>
      </c>
      <c r="BY100" s="105">
        <v>74630.399999999994</v>
      </c>
      <c r="BZ100" s="105">
        <v>44</v>
      </c>
      <c r="CA100" s="105">
        <v>71385.599999999991</v>
      </c>
      <c r="CB100" s="105">
        <v>10.81789828331461</v>
      </c>
      <c r="CC100" s="105">
        <v>17550.958174849624</v>
      </c>
      <c r="CD100" s="105">
        <v>8.3227573131094257</v>
      </c>
      <c r="CE100" s="105">
        <v>13502.841464788731</v>
      </c>
      <c r="CF100" s="105">
        <v>1.7349026096822995</v>
      </c>
      <c r="CG100" s="105">
        <v>2814.7059939485625</v>
      </c>
      <c r="CH100" s="105">
        <v>0.55581276824034342</v>
      </c>
      <c r="CI100" s="105">
        <v>901.75063519313312</v>
      </c>
      <c r="CJ100" s="105">
        <v>9.2460003552756991</v>
      </c>
      <c r="CK100" s="105">
        <v>15000.710976399292</v>
      </c>
      <c r="CL100" s="105">
        <v>6.2946276602115443</v>
      </c>
      <c r="CM100" s="105">
        <v>10212.403915927209</v>
      </c>
      <c r="CN100" s="105">
        <v>16.485821059164255</v>
      </c>
      <c r="CO100" s="105">
        <v>26746.596086388086</v>
      </c>
      <c r="CP100" s="105">
        <v>1.6660032588454374</v>
      </c>
      <c r="CQ100" s="105">
        <v>2702.9236871508374</v>
      </c>
      <c r="CR100" s="105">
        <v>9.9340921458896183</v>
      </c>
      <c r="CS100" s="105">
        <v>16117.071097491315</v>
      </c>
      <c r="CT100" s="105">
        <v>7.3049562182741123</v>
      </c>
      <c r="CU100" s="105">
        <v>11851.56096852792</v>
      </c>
    </row>
    <row r="101" spans="2:99" x14ac:dyDescent="0.25">
      <c r="C101" s="104" t="s">
        <v>266</v>
      </c>
      <c r="D101" s="105">
        <v>0</v>
      </c>
      <c r="E101" s="105">
        <v>0</v>
      </c>
      <c r="F101" s="105">
        <v>0</v>
      </c>
      <c r="G101" s="105">
        <v>0</v>
      </c>
      <c r="H101" s="105">
        <v>0</v>
      </c>
      <c r="I101" s="105">
        <v>0</v>
      </c>
      <c r="J101" s="105">
        <v>5</v>
      </c>
      <c r="K101" s="105">
        <v>5951.9999999999991</v>
      </c>
      <c r="L101" s="105">
        <v>8</v>
      </c>
      <c r="M101" s="105">
        <v>9523.1999999999989</v>
      </c>
      <c r="N101" s="105">
        <v>6</v>
      </c>
      <c r="O101" s="105">
        <v>7142.4</v>
      </c>
      <c r="P101" s="105">
        <v>7</v>
      </c>
      <c r="Q101" s="105">
        <v>8332.7999999999993</v>
      </c>
      <c r="R101" s="105">
        <v>7</v>
      </c>
      <c r="S101" s="105">
        <v>8332.7999999999993</v>
      </c>
      <c r="T101" s="105">
        <v>6</v>
      </c>
      <c r="U101" s="105">
        <v>7142.4</v>
      </c>
      <c r="V101" s="105">
        <v>10</v>
      </c>
      <c r="W101" s="105">
        <v>11903.999999999998</v>
      </c>
      <c r="X101" s="105">
        <v>5</v>
      </c>
      <c r="Y101" s="105">
        <v>5951.9999999999991</v>
      </c>
      <c r="Z101" s="105">
        <v>8</v>
      </c>
      <c r="AA101" s="105">
        <v>9523.1999999999989</v>
      </c>
      <c r="AB101" s="105">
        <v>10</v>
      </c>
      <c r="AC101" s="105">
        <v>11903.999999999998</v>
      </c>
      <c r="AD101" s="105">
        <v>9</v>
      </c>
      <c r="AE101" s="105">
        <v>10713.599999999999</v>
      </c>
      <c r="AF101" s="105">
        <v>9</v>
      </c>
      <c r="AG101" s="105">
        <v>10713.599999999999</v>
      </c>
      <c r="AH101" s="105">
        <v>9</v>
      </c>
      <c r="AI101" s="105">
        <v>10713.599999999999</v>
      </c>
      <c r="AJ101" s="105">
        <v>10</v>
      </c>
      <c r="AK101" s="105">
        <v>11903.999999999998</v>
      </c>
      <c r="AL101" s="105">
        <v>12</v>
      </c>
      <c r="AM101" s="105">
        <v>14284.8</v>
      </c>
      <c r="AN101" s="105">
        <v>9</v>
      </c>
      <c r="AO101" s="105">
        <v>10713.599999999999</v>
      </c>
      <c r="AP101" s="105">
        <v>10</v>
      </c>
      <c r="AQ101" s="105">
        <v>11903.999999999998</v>
      </c>
      <c r="AR101" s="105">
        <v>8</v>
      </c>
      <c r="AS101" s="105">
        <v>9523.1999999999989</v>
      </c>
      <c r="AT101" s="105">
        <v>15</v>
      </c>
      <c r="AU101" s="105">
        <v>17855.999999999996</v>
      </c>
      <c r="AV101" s="105">
        <v>10</v>
      </c>
      <c r="AW101" s="105">
        <v>11903.999999999998</v>
      </c>
      <c r="AX101" s="105">
        <v>9</v>
      </c>
      <c r="AY101" s="105">
        <v>10713.599999999999</v>
      </c>
      <c r="AZ101" s="105">
        <v>15</v>
      </c>
      <c r="BA101" s="105">
        <v>17855.999999999996</v>
      </c>
      <c r="BB101" s="105">
        <v>21</v>
      </c>
      <c r="BC101" s="105">
        <v>24998.399999999998</v>
      </c>
      <c r="BD101" s="105">
        <v>16</v>
      </c>
      <c r="BE101" s="105">
        <v>19046.399999999998</v>
      </c>
      <c r="BF101" s="105">
        <v>13</v>
      </c>
      <c r="BG101" s="105">
        <v>15475.199999999999</v>
      </c>
      <c r="BH101" s="105">
        <v>19</v>
      </c>
      <c r="BI101" s="105">
        <v>22617.599999999999</v>
      </c>
      <c r="BJ101" s="105">
        <v>28</v>
      </c>
      <c r="BK101" s="105">
        <v>33331.199999999997</v>
      </c>
      <c r="BL101" s="105">
        <v>28</v>
      </c>
      <c r="BM101" s="105">
        <v>33331.199999999997</v>
      </c>
      <c r="BN101" s="105">
        <v>16</v>
      </c>
      <c r="BO101" s="105">
        <v>19046.399999999998</v>
      </c>
      <c r="BP101" s="105">
        <v>30</v>
      </c>
      <c r="BQ101" s="105">
        <v>35711.999999999993</v>
      </c>
      <c r="BR101" s="105">
        <v>21</v>
      </c>
      <c r="BS101" s="105">
        <v>24998.399999999998</v>
      </c>
      <c r="BT101" s="105">
        <v>33</v>
      </c>
      <c r="BU101" s="105">
        <v>39283.199999999997</v>
      </c>
      <c r="BV101" s="105">
        <v>23</v>
      </c>
      <c r="BW101" s="105">
        <v>27379.199999999997</v>
      </c>
      <c r="BX101" s="105">
        <v>50</v>
      </c>
      <c r="BY101" s="105">
        <v>59519.999999999993</v>
      </c>
      <c r="BZ101" s="105">
        <v>49</v>
      </c>
      <c r="CA101" s="105">
        <v>58329.599999999991</v>
      </c>
      <c r="CB101" s="105">
        <v>11.695025171150929</v>
      </c>
      <c r="CC101" s="105">
        <v>13921.757963738064</v>
      </c>
      <c r="CD101" s="105">
        <v>8.6001825568797408</v>
      </c>
      <c r="CE101" s="105">
        <v>10237.657315709643</v>
      </c>
      <c r="CF101" s="105">
        <v>1.8087282526475037</v>
      </c>
      <c r="CG101" s="105">
        <v>2153.1101119515884</v>
      </c>
      <c r="CH101" s="105">
        <v>0.65557403433476402</v>
      </c>
      <c r="CI101" s="105">
        <v>780.39533047210296</v>
      </c>
      <c r="CJ101" s="105">
        <v>11.48745498685769</v>
      </c>
      <c r="CK101" s="105">
        <v>13674.666416355392</v>
      </c>
      <c r="CL101" s="105">
        <v>7.0265611090733531</v>
      </c>
      <c r="CM101" s="105">
        <v>8364.4183442409194</v>
      </c>
      <c r="CN101" s="105">
        <v>18.211081402565167</v>
      </c>
      <c r="CO101" s="105">
        <v>21678.471301613572</v>
      </c>
      <c r="CP101" s="105">
        <v>1.89318552141527</v>
      </c>
      <c r="CQ101" s="105">
        <v>2253.6480446927371</v>
      </c>
      <c r="CR101" s="105">
        <v>11.756861346970281</v>
      </c>
      <c r="CS101" s="105">
        <v>13995.36774743342</v>
      </c>
      <c r="CT101" s="105">
        <v>8.6058388324873096</v>
      </c>
      <c r="CU101" s="105">
        <v>10244.390546192892</v>
      </c>
    </row>
    <row r="102" spans="2:99" x14ac:dyDescent="0.25">
      <c r="C102" s="104" t="s">
        <v>267</v>
      </c>
      <c r="D102" s="105">
        <v>0</v>
      </c>
      <c r="E102" s="105">
        <v>0</v>
      </c>
      <c r="F102" s="105">
        <v>0</v>
      </c>
      <c r="G102" s="105">
        <v>0</v>
      </c>
      <c r="H102" s="105">
        <v>0</v>
      </c>
      <c r="I102" s="105">
        <v>0</v>
      </c>
      <c r="J102" s="105">
        <v>6</v>
      </c>
      <c r="K102" s="105">
        <v>11635.199999999999</v>
      </c>
      <c r="L102" s="105">
        <v>7</v>
      </c>
      <c r="M102" s="105">
        <v>13574.399999999998</v>
      </c>
      <c r="N102" s="105">
        <v>5</v>
      </c>
      <c r="O102" s="105">
        <v>9696</v>
      </c>
      <c r="P102" s="105">
        <v>7</v>
      </c>
      <c r="Q102" s="105">
        <v>13574.399999999998</v>
      </c>
      <c r="R102" s="105">
        <v>6</v>
      </c>
      <c r="S102" s="105">
        <v>11635.199999999999</v>
      </c>
      <c r="T102" s="105">
        <v>7</v>
      </c>
      <c r="U102" s="105">
        <v>13574.399999999998</v>
      </c>
      <c r="V102" s="105">
        <v>8</v>
      </c>
      <c r="W102" s="105">
        <v>15513.599999999999</v>
      </c>
      <c r="X102" s="105">
        <v>5</v>
      </c>
      <c r="Y102" s="105">
        <v>9696</v>
      </c>
      <c r="Z102" s="105">
        <v>7</v>
      </c>
      <c r="AA102" s="105">
        <v>13574.399999999998</v>
      </c>
      <c r="AB102" s="105">
        <v>8</v>
      </c>
      <c r="AC102" s="105">
        <v>15513.599999999999</v>
      </c>
      <c r="AD102" s="105">
        <v>9</v>
      </c>
      <c r="AE102" s="105">
        <v>17452.8</v>
      </c>
      <c r="AF102" s="105">
        <v>8</v>
      </c>
      <c r="AG102" s="105">
        <v>15513.599999999999</v>
      </c>
      <c r="AH102" s="105">
        <v>8</v>
      </c>
      <c r="AI102" s="105">
        <v>15513.599999999999</v>
      </c>
      <c r="AJ102" s="105">
        <v>11</v>
      </c>
      <c r="AK102" s="105">
        <v>21331.199999999997</v>
      </c>
      <c r="AL102" s="105">
        <v>13</v>
      </c>
      <c r="AM102" s="105">
        <v>25209.599999999999</v>
      </c>
      <c r="AN102" s="105">
        <v>9</v>
      </c>
      <c r="AO102" s="105">
        <v>17452.8</v>
      </c>
      <c r="AP102" s="105">
        <v>10</v>
      </c>
      <c r="AQ102" s="105">
        <v>19392</v>
      </c>
      <c r="AR102" s="105">
        <v>7</v>
      </c>
      <c r="AS102" s="105">
        <v>13574.399999999998</v>
      </c>
      <c r="AT102" s="105">
        <v>15</v>
      </c>
      <c r="AU102" s="105">
        <v>29087.999999999996</v>
      </c>
      <c r="AV102" s="105">
        <v>8</v>
      </c>
      <c r="AW102" s="105">
        <v>15513.599999999999</v>
      </c>
      <c r="AX102" s="105">
        <v>10</v>
      </c>
      <c r="AY102" s="105">
        <v>19392</v>
      </c>
      <c r="AZ102" s="105">
        <v>13</v>
      </c>
      <c r="BA102" s="105">
        <v>25209.599999999999</v>
      </c>
      <c r="BB102" s="105">
        <v>21</v>
      </c>
      <c r="BC102" s="105">
        <v>40723.199999999997</v>
      </c>
      <c r="BD102" s="105">
        <v>15</v>
      </c>
      <c r="BE102" s="105">
        <v>29087.999999999996</v>
      </c>
      <c r="BF102" s="105">
        <v>12</v>
      </c>
      <c r="BG102" s="105">
        <v>23270.399999999998</v>
      </c>
      <c r="BH102" s="105">
        <v>16</v>
      </c>
      <c r="BI102" s="105">
        <v>31027.199999999997</v>
      </c>
      <c r="BJ102" s="105">
        <v>25</v>
      </c>
      <c r="BK102" s="105">
        <v>48479.999999999993</v>
      </c>
      <c r="BL102" s="105">
        <v>26</v>
      </c>
      <c r="BM102" s="105">
        <v>50419.199999999997</v>
      </c>
      <c r="BN102" s="105">
        <v>14</v>
      </c>
      <c r="BO102" s="105">
        <v>27148.799999999996</v>
      </c>
      <c r="BP102" s="105">
        <v>26</v>
      </c>
      <c r="BQ102" s="105">
        <v>50419.199999999997</v>
      </c>
      <c r="BR102" s="105">
        <v>22</v>
      </c>
      <c r="BS102" s="105">
        <v>42662.399999999994</v>
      </c>
      <c r="BT102" s="105">
        <v>30</v>
      </c>
      <c r="BU102" s="105">
        <v>58175.999999999993</v>
      </c>
      <c r="BV102" s="105">
        <v>20</v>
      </c>
      <c r="BW102" s="105">
        <v>38784</v>
      </c>
      <c r="BX102" s="105">
        <v>50</v>
      </c>
      <c r="BY102" s="105">
        <v>96959.999999999985</v>
      </c>
      <c r="BZ102" s="105">
        <v>42</v>
      </c>
      <c r="CA102" s="105">
        <v>81446.399999999994</v>
      </c>
      <c r="CB102" s="105">
        <v>10.233147024757063</v>
      </c>
      <c r="CC102" s="105">
        <v>19844.118710408893</v>
      </c>
      <c r="CD102" s="105">
        <v>7.490481581798484</v>
      </c>
      <c r="CE102" s="105">
        <v>14525.541883423619</v>
      </c>
      <c r="CF102" s="105">
        <v>1.587251323751891</v>
      </c>
      <c r="CG102" s="105">
        <v>3077.9977670196668</v>
      </c>
      <c r="CH102" s="105">
        <v>0.54156115879828326</v>
      </c>
      <c r="CI102" s="105">
        <v>1050.1953991416308</v>
      </c>
      <c r="CJ102" s="105">
        <v>8.6856366973802039</v>
      </c>
      <c r="CK102" s="105">
        <v>16843.186683559688</v>
      </c>
      <c r="CL102" s="105">
        <v>6.1482409704391836</v>
      </c>
      <c r="CM102" s="105">
        <v>11922.668889875664</v>
      </c>
      <c r="CN102" s="105">
        <v>16.677516652875468</v>
      </c>
      <c r="CO102" s="105">
        <v>32341.040293256105</v>
      </c>
      <c r="CP102" s="105">
        <v>1.5902758379888269</v>
      </c>
      <c r="CQ102" s="105">
        <v>3083.8629050279328</v>
      </c>
      <c r="CR102" s="105">
        <v>10.29864598610575</v>
      </c>
      <c r="CS102" s="105">
        <v>19971.13429625627</v>
      </c>
      <c r="CT102" s="105">
        <v>6.4043451776649754</v>
      </c>
      <c r="CU102" s="105">
        <v>12419.306168527919</v>
      </c>
    </row>
    <row r="103" spans="2:99" x14ac:dyDescent="0.25">
      <c r="C103" s="104" t="s">
        <v>268</v>
      </c>
      <c r="D103" s="105">
        <v>0</v>
      </c>
      <c r="E103" s="105">
        <v>0</v>
      </c>
      <c r="F103" s="105">
        <v>0</v>
      </c>
      <c r="G103" s="105">
        <v>0</v>
      </c>
      <c r="H103" s="105">
        <v>0</v>
      </c>
      <c r="I103" s="105">
        <v>0</v>
      </c>
      <c r="J103" s="105">
        <v>5</v>
      </c>
      <c r="K103" s="105">
        <v>10140</v>
      </c>
      <c r="L103" s="105">
        <v>7</v>
      </c>
      <c r="M103" s="105">
        <v>14196</v>
      </c>
      <c r="N103" s="105">
        <v>5</v>
      </c>
      <c r="O103" s="105">
        <v>10140</v>
      </c>
      <c r="P103" s="105">
        <v>7</v>
      </c>
      <c r="Q103" s="105">
        <v>14196</v>
      </c>
      <c r="R103" s="105">
        <v>6</v>
      </c>
      <c r="S103" s="105">
        <v>12168</v>
      </c>
      <c r="T103" s="105">
        <v>6</v>
      </c>
      <c r="U103" s="105">
        <v>12168</v>
      </c>
      <c r="V103" s="105">
        <v>9</v>
      </c>
      <c r="W103" s="105">
        <v>18252</v>
      </c>
      <c r="X103" s="105">
        <v>4</v>
      </c>
      <c r="Y103" s="105">
        <v>8112</v>
      </c>
      <c r="Z103" s="105">
        <v>7</v>
      </c>
      <c r="AA103" s="105">
        <v>14196</v>
      </c>
      <c r="AB103" s="105">
        <v>8</v>
      </c>
      <c r="AC103" s="105">
        <v>16224</v>
      </c>
      <c r="AD103" s="105">
        <v>9</v>
      </c>
      <c r="AE103" s="105">
        <v>18252</v>
      </c>
      <c r="AF103" s="105">
        <v>8</v>
      </c>
      <c r="AG103" s="105">
        <v>16224</v>
      </c>
      <c r="AH103" s="105">
        <v>8</v>
      </c>
      <c r="AI103" s="105">
        <v>16224</v>
      </c>
      <c r="AJ103" s="105">
        <v>9</v>
      </c>
      <c r="AK103" s="105">
        <v>18252</v>
      </c>
      <c r="AL103" s="105">
        <v>11</v>
      </c>
      <c r="AM103" s="105">
        <v>22308</v>
      </c>
      <c r="AN103" s="105">
        <v>9</v>
      </c>
      <c r="AO103" s="105">
        <v>18252</v>
      </c>
      <c r="AP103" s="105">
        <v>10</v>
      </c>
      <c r="AQ103" s="105">
        <v>20280</v>
      </c>
      <c r="AR103" s="105">
        <v>8</v>
      </c>
      <c r="AS103" s="105">
        <v>16224</v>
      </c>
      <c r="AT103" s="105">
        <v>13</v>
      </c>
      <c r="AU103" s="105">
        <v>26364</v>
      </c>
      <c r="AV103" s="105">
        <v>8</v>
      </c>
      <c r="AW103" s="105">
        <v>16224</v>
      </c>
      <c r="AX103" s="105">
        <v>9</v>
      </c>
      <c r="AY103" s="105">
        <v>18252</v>
      </c>
      <c r="AZ103" s="105">
        <v>14</v>
      </c>
      <c r="BA103" s="105">
        <v>28392</v>
      </c>
      <c r="BB103" s="105">
        <v>19</v>
      </c>
      <c r="BC103" s="105">
        <v>38532</v>
      </c>
      <c r="BD103" s="105">
        <v>16</v>
      </c>
      <c r="BE103" s="105">
        <v>32448</v>
      </c>
      <c r="BF103" s="105">
        <v>12</v>
      </c>
      <c r="BG103" s="105">
        <v>24336</v>
      </c>
      <c r="BH103" s="105">
        <v>17</v>
      </c>
      <c r="BI103" s="105">
        <v>34476</v>
      </c>
      <c r="BJ103" s="105">
        <v>25</v>
      </c>
      <c r="BK103" s="105">
        <v>50700</v>
      </c>
      <c r="BL103" s="105">
        <v>23</v>
      </c>
      <c r="BM103" s="105">
        <v>46644</v>
      </c>
      <c r="BN103" s="105">
        <v>15</v>
      </c>
      <c r="BO103" s="105">
        <v>30420</v>
      </c>
      <c r="BP103" s="105">
        <v>25</v>
      </c>
      <c r="BQ103" s="105">
        <v>50700</v>
      </c>
      <c r="BR103" s="105">
        <v>20</v>
      </c>
      <c r="BS103" s="105">
        <v>40560</v>
      </c>
      <c r="BT103" s="105">
        <v>28</v>
      </c>
      <c r="BU103" s="105">
        <v>56784</v>
      </c>
      <c r="BV103" s="105">
        <v>19</v>
      </c>
      <c r="BW103" s="105">
        <v>38532</v>
      </c>
      <c r="BX103" s="105">
        <v>50</v>
      </c>
      <c r="BY103" s="105">
        <v>101400</v>
      </c>
      <c r="BZ103" s="105">
        <v>46</v>
      </c>
      <c r="CA103" s="105">
        <v>93288</v>
      </c>
      <c r="CB103" s="105">
        <v>10.233147024757063</v>
      </c>
      <c r="CC103" s="105">
        <v>20752.822166207323</v>
      </c>
      <c r="CD103" s="105">
        <v>7.490481581798484</v>
      </c>
      <c r="CE103" s="105">
        <v>15190.696647887326</v>
      </c>
      <c r="CF103" s="105">
        <v>1.5134256807866868</v>
      </c>
      <c r="CG103" s="105">
        <v>3069.2272806354008</v>
      </c>
      <c r="CH103" s="105">
        <v>0.5985675965665237</v>
      </c>
      <c r="CI103" s="105">
        <v>1213.8950858369101</v>
      </c>
      <c r="CJ103" s="105">
        <v>8.9658185263279524</v>
      </c>
      <c r="CK103" s="105">
        <v>18182.679971393089</v>
      </c>
      <c r="CL103" s="105">
        <v>5.4163075215773757</v>
      </c>
      <c r="CM103" s="105">
        <v>10984.271653758919</v>
      </c>
      <c r="CN103" s="105">
        <v>14.568865122052133</v>
      </c>
      <c r="CO103" s="105">
        <v>29545.658467521724</v>
      </c>
      <c r="CP103" s="105">
        <v>1.3933845437616388</v>
      </c>
      <c r="CQ103" s="105">
        <v>2825.7838547486035</v>
      </c>
      <c r="CR103" s="105">
        <v>10.480922906213818</v>
      </c>
      <c r="CS103" s="105">
        <v>21255.311653801622</v>
      </c>
      <c r="CT103" s="105">
        <v>7.2048883248730968</v>
      </c>
      <c r="CU103" s="105">
        <v>14611.513522842641</v>
      </c>
    </row>
    <row r="104" spans="2:99" x14ac:dyDescent="0.25">
      <c r="C104" s="104" t="s">
        <v>269</v>
      </c>
      <c r="D104" s="105">
        <v>0</v>
      </c>
      <c r="E104" s="105">
        <v>0</v>
      </c>
      <c r="F104" s="105">
        <v>0</v>
      </c>
      <c r="G104" s="105">
        <v>0</v>
      </c>
      <c r="H104" s="105">
        <v>0</v>
      </c>
      <c r="I104" s="105">
        <v>0</v>
      </c>
      <c r="J104" s="105">
        <v>5</v>
      </c>
      <c r="K104" s="105">
        <v>10362</v>
      </c>
      <c r="L104" s="105">
        <v>8</v>
      </c>
      <c r="M104" s="105">
        <v>16579.2</v>
      </c>
      <c r="N104" s="105">
        <v>5</v>
      </c>
      <c r="O104" s="105">
        <v>10362</v>
      </c>
      <c r="P104" s="105">
        <v>6</v>
      </c>
      <c r="Q104" s="105">
        <v>12434.400000000001</v>
      </c>
      <c r="R104" s="105">
        <v>6</v>
      </c>
      <c r="S104" s="105">
        <v>12434.400000000001</v>
      </c>
      <c r="T104" s="105">
        <v>6</v>
      </c>
      <c r="U104" s="105">
        <v>12434.400000000001</v>
      </c>
      <c r="V104" s="105">
        <v>8</v>
      </c>
      <c r="W104" s="105">
        <v>16579.2</v>
      </c>
      <c r="X104" s="105">
        <v>5</v>
      </c>
      <c r="Y104" s="105">
        <v>10362</v>
      </c>
      <c r="Z104" s="105">
        <v>7</v>
      </c>
      <c r="AA104" s="105">
        <v>14506.800000000001</v>
      </c>
      <c r="AB104" s="105">
        <v>8</v>
      </c>
      <c r="AC104" s="105">
        <v>16579.2</v>
      </c>
      <c r="AD104" s="105">
        <v>8</v>
      </c>
      <c r="AE104" s="105">
        <v>16579.2</v>
      </c>
      <c r="AF104" s="105">
        <v>9</v>
      </c>
      <c r="AG104" s="105">
        <v>18651.600000000002</v>
      </c>
      <c r="AH104" s="105">
        <v>9</v>
      </c>
      <c r="AI104" s="105">
        <v>18651.600000000002</v>
      </c>
      <c r="AJ104" s="105">
        <v>9</v>
      </c>
      <c r="AK104" s="105">
        <v>18651.600000000002</v>
      </c>
      <c r="AL104" s="105">
        <v>11</v>
      </c>
      <c r="AM104" s="105">
        <v>22796.400000000001</v>
      </c>
      <c r="AN104" s="105">
        <v>8</v>
      </c>
      <c r="AO104" s="105">
        <v>16579.2</v>
      </c>
      <c r="AP104" s="105">
        <v>10</v>
      </c>
      <c r="AQ104" s="105">
        <v>20724</v>
      </c>
      <c r="AR104" s="105">
        <v>8</v>
      </c>
      <c r="AS104" s="105">
        <v>16579.2</v>
      </c>
      <c r="AT104" s="105">
        <v>14</v>
      </c>
      <c r="AU104" s="105">
        <v>29013.600000000002</v>
      </c>
      <c r="AV104" s="105">
        <v>8</v>
      </c>
      <c r="AW104" s="105">
        <v>16579.2</v>
      </c>
      <c r="AX104" s="105">
        <v>10</v>
      </c>
      <c r="AY104" s="105">
        <v>20724</v>
      </c>
      <c r="AZ104" s="105">
        <v>12</v>
      </c>
      <c r="BA104" s="105">
        <v>24868.800000000003</v>
      </c>
      <c r="BB104" s="105">
        <v>18</v>
      </c>
      <c r="BC104" s="105">
        <v>37303.200000000004</v>
      </c>
      <c r="BD104" s="105">
        <v>16</v>
      </c>
      <c r="BE104" s="105">
        <v>33158.400000000001</v>
      </c>
      <c r="BF104" s="105">
        <v>13</v>
      </c>
      <c r="BG104" s="105">
        <v>26941.200000000001</v>
      </c>
      <c r="BH104" s="105">
        <v>17</v>
      </c>
      <c r="BI104" s="105">
        <v>35230.800000000003</v>
      </c>
      <c r="BJ104" s="105">
        <v>24</v>
      </c>
      <c r="BK104" s="105">
        <v>49737.600000000006</v>
      </c>
      <c r="BL104" s="105">
        <v>26</v>
      </c>
      <c r="BM104" s="105">
        <v>53882.400000000001</v>
      </c>
      <c r="BN104" s="105">
        <v>17</v>
      </c>
      <c r="BO104" s="105">
        <v>35230.800000000003</v>
      </c>
      <c r="BP104" s="105">
        <v>24</v>
      </c>
      <c r="BQ104" s="105">
        <v>49737.600000000006</v>
      </c>
      <c r="BR104" s="105">
        <v>21</v>
      </c>
      <c r="BS104" s="105">
        <v>43520.4</v>
      </c>
      <c r="BT104" s="105">
        <v>27</v>
      </c>
      <c r="BU104" s="105">
        <v>55954.8</v>
      </c>
      <c r="BV104" s="105">
        <v>21</v>
      </c>
      <c r="BW104" s="105">
        <v>43520.4</v>
      </c>
      <c r="BX104" s="105">
        <v>46</v>
      </c>
      <c r="BY104" s="105">
        <v>95330.400000000009</v>
      </c>
      <c r="BZ104" s="105">
        <v>39</v>
      </c>
      <c r="CA104" s="105">
        <v>80823.600000000006</v>
      </c>
      <c r="CB104" s="105">
        <v>9.0636445076419694</v>
      </c>
      <c r="CC104" s="105">
        <v>18783.496877637219</v>
      </c>
      <c r="CD104" s="105">
        <v>7.7679068255687991</v>
      </c>
      <c r="CE104" s="105">
        <v>16098.210105308779</v>
      </c>
      <c r="CF104" s="105">
        <v>1.624164145234493</v>
      </c>
      <c r="CG104" s="105">
        <v>3365.9177745839634</v>
      </c>
      <c r="CH104" s="105">
        <v>0.51305793991416315</v>
      </c>
      <c r="CI104" s="105">
        <v>1063.2612746781117</v>
      </c>
      <c r="CJ104" s="105">
        <v>9.2460003552756991</v>
      </c>
      <c r="CK104" s="105">
        <v>19161.41113627336</v>
      </c>
      <c r="CL104" s="105">
        <v>6.001854280666822</v>
      </c>
      <c r="CM104" s="105">
        <v>12438.242811253922</v>
      </c>
      <c r="CN104" s="105">
        <v>14.185473934629709</v>
      </c>
      <c r="CO104" s="105">
        <v>29397.976182126611</v>
      </c>
      <c r="CP104" s="105">
        <v>1.3933845437616388</v>
      </c>
      <c r="CQ104" s="105">
        <v>2887.6501284916203</v>
      </c>
      <c r="CR104" s="105">
        <v>9.5695383056734844</v>
      </c>
      <c r="CS104" s="105">
        <v>19831.91118467773</v>
      </c>
      <c r="CT104" s="105">
        <v>6.6044809644670055</v>
      </c>
      <c r="CU104" s="105">
        <v>13687.126350761422</v>
      </c>
    </row>
    <row r="105" spans="2:99" x14ac:dyDescent="0.25">
      <c r="C105" s="104" t="s">
        <v>270</v>
      </c>
      <c r="D105" s="105">
        <v>0</v>
      </c>
      <c r="E105" s="105">
        <v>0</v>
      </c>
      <c r="F105" s="105">
        <v>0</v>
      </c>
      <c r="G105" s="105">
        <v>0</v>
      </c>
      <c r="H105" s="105">
        <v>0</v>
      </c>
      <c r="I105" s="105">
        <v>0</v>
      </c>
      <c r="J105" s="105">
        <v>5</v>
      </c>
      <c r="K105" s="105">
        <v>9990</v>
      </c>
      <c r="L105" s="105">
        <v>7</v>
      </c>
      <c r="M105" s="105">
        <v>13986</v>
      </c>
      <c r="N105" s="105">
        <v>5</v>
      </c>
      <c r="O105" s="105">
        <v>9990</v>
      </c>
      <c r="P105" s="105">
        <v>6</v>
      </c>
      <c r="Q105" s="105">
        <v>11988</v>
      </c>
      <c r="R105" s="105">
        <v>6</v>
      </c>
      <c r="S105" s="105">
        <v>11988</v>
      </c>
      <c r="T105" s="105">
        <v>6</v>
      </c>
      <c r="U105" s="105">
        <v>11988</v>
      </c>
      <c r="V105" s="105">
        <v>9</v>
      </c>
      <c r="W105" s="105">
        <v>17982</v>
      </c>
      <c r="X105" s="105">
        <v>5</v>
      </c>
      <c r="Y105" s="105">
        <v>9990</v>
      </c>
      <c r="Z105" s="105">
        <v>7</v>
      </c>
      <c r="AA105" s="105">
        <v>13986</v>
      </c>
      <c r="AB105" s="105">
        <v>9</v>
      </c>
      <c r="AC105" s="105">
        <v>17982</v>
      </c>
      <c r="AD105" s="105">
        <v>9</v>
      </c>
      <c r="AE105" s="105">
        <v>17982</v>
      </c>
      <c r="AF105" s="105">
        <v>8</v>
      </c>
      <c r="AG105" s="105">
        <v>15984</v>
      </c>
      <c r="AH105" s="105">
        <v>8</v>
      </c>
      <c r="AI105" s="105">
        <v>15984</v>
      </c>
      <c r="AJ105" s="105">
        <v>10</v>
      </c>
      <c r="AK105" s="105">
        <v>19980</v>
      </c>
      <c r="AL105" s="105">
        <v>11</v>
      </c>
      <c r="AM105" s="105">
        <v>21978</v>
      </c>
      <c r="AN105" s="105">
        <v>8</v>
      </c>
      <c r="AO105" s="105">
        <v>15984</v>
      </c>
      <c r="AP105" s="105">
        <v>8</v>
      </c>
      <c r="AQ105" s="105">
        <v>15984</v>
      </c>
      <c r="AR105" s="105">
        <v>7</v>
      </c>
      <c r="AS105" s="105">
        <v>13986</v>
      </c>
      <c r="AT105" s="105">
        <v>14</v>
      </c>
      <c r="AU105" s="105">
        <v>27972</v>
      </c>
      <c r="AV105" s="105">
        <v>8</v>
      </c>
      <c r="AW105" s="105">
        <v>15984</v>
      </c>
      <c r="AX105" s="105">
        <v>9</v>
      </c>
      <c r="AY105" s="105">
        <v>17982</v>
      </c>
      <c r="AZ105" s="105">
        <v>14</v>
      </c>
      <c r="BA105" s="105">
        <v>27972</v>
      </c>
      <c r="BB105" s="105">
        <v>21</v>
      </c>
      <c r="BC105" s="105">
        <v>41958</v>
      </c>
      <c r="BD105" s="105">
        <v>15</v>
      </c>
      <c r="BE105" s="105">
        <v>29970</v>
      </c>
      <c r="BF105" s="105">
        <v>12</v>
      </c>
      <c r="BG105" s="105">
        <v>23976</v>
      </c>
      <c r="BH105" s="105">
        <v>16</v>
      </c>
      <c r="BI105" s="105">
        <v>31968</v>
      </c>
      <c r="BJ105" s="105">
        <v>21</v>
      </c>
      <c r="BK105" s="105">
        <v>41958</v>
      </c>
      <c r="BL105" s="105">
        <v>26</v>
      </c>
      <c r="BM105" s="105">
        <v>51948</v>
      </c>
      <c r="BN105" s="105">
        <v>14</v>
      </c>
      <c r="BO105" s="105">
        <v>27972</v>
      </c>
      <c r="BP105" s="105">
        <v>27</v>
      </c>
      <c r="BQ105" s="105">
        <v>53946</v>
      </c>
      <c r="BR105" s="105">
        <v>21</v>
      </c>
      <c r="BS105" s="105">
        <v>41958</v>
      </c>
      <c r="BT105" s="105">
        <v>27</v>
      </c>
      <c r="BU105" s="105">
        <v>53946</v>
      </c>
      <c r="BV105" s="105">
        <v>19</v>
      </c>
      <c r="BW105" s="105">
        <v>37962</v>
      </c>
      <c r="BX105" s="105">
        <v>46</v>
      </c>
      <c r="BY105" s="105">
        <v>91908</v>
      </c>
      <c r="BZ105" s="105">
        <v>42</v>
      </c>
      <c r="CA105" s="105">
        <v>83916</v>
      </c>
      <c r="CB105" s="105">
        <v>10.525522654035836</v>
      </c>
      <c r="CC105" s="105">
        <v>21029.994262763601</v>
      </c>
      <c r="CD105" s="105">
        <v>7.7679068255687991</v>
      </c>
      <c r="CE105" s="105">
        <v>15520.277837486461</v>
      </c>
      <c r="CF105" s="105">
        <v>1.5134256807866868</v>
      </c>
      <c r="CG105" s="105">
        <v>3023.8245102118003</v>
      </c>
      <c r="CH105" s="105">
        <v>0.54156115879828326</v>
      </c>
      <c r="CI105" s="105">
        <v>1082.0391952789701</v>
      </c>
      <c r="CJ105" s="105">
        <v>8.4054548684324555</v>
      </c>
      <c r="CK105" s="105">
        <v>16794.098827128048</v>
      </c>
      <c r="CL105" s="105">
        <v>5.8554675908944605</v>
      </c>
      <c r="CM105" s="105">
        <v>11699.224246607131</v>
      </c>
      <c r="CN105" s="105">
        <v>16.10242987174183</v>
      </c>
      <c r="CO105" s="105">
        <v>32172.654883740175</v>
      </c>
      <c r="CP105" s="105">
        <v>1.3479480912476722</v>
      </c>
      <c r="CQ105" s="105">
        <v>2693.2002863128491</v>
      </c>
      <c r="CR105" s="105">
        <v>10.663199826321883</v>
      </c>
      <c r="CS105" s="105">
        <v>21305.073252991122</v>
      </c>
      <c r="CT105" s="105">
        <v>6.9046846446700521</v>
      </c>
      <c r="CU105" s="105">
        <v>13795.559920050764</v>
      </c>
    </row>
    <row r="107" spans="2:99" x14ac:dyDescent="0.25">
      <c r="B107" s="109" t="s">
        <v>275</v>
      </c>
    </row>
    <row r="108" spans="2:99" x14ac:dyDescent="0.25">
      <c r="C108" s="104" t="s">
        <v>276</v>
      </c>
      <c r="D108" s="104" t="s">
        <v>92</v>
      </c>
      <c r="E108" s="104" t="s">
        <v>93</v>
      </c>
      <c r="F108" s="104" t="s">
        <v>94</v>
      </c>
      <c r="G108" s="104" t="s">
        <v>95</v>
      </c>
      <c r="H108" s="104" t="s">
        <v>96</v>
      </c>
      <c r="I108" s="104" t="s">
        <v>97</v>
      </c>
      <c r="J108" s="104" t="s">
        <v>98</v>
      </c>
      <c r="K108" s="104" t="s">
        <v>99</v>
      </c>
      <c r="L108" s="104" t="s">
        <v>100</v>
      </c>
      <c r="M108" s="104" t="s">
        <v>101</v>
      </c>
      <c r="N108" s="104" t="s">
        <v>102</v>
      </c>
      <c r="O108" s="104" t="s">
        <v>103</v>
      </c>
    </row>
    <row r="109" spans="2:99" x14ac:dyDescent="0.25">
      <c r="C109" s="104" t="s">
        <v>126</v>
      </c>
      <c r="D109" s="105">
        <f>SUM(D$6:D$19)+SUM(F$6:F$19)+SUM(H$6:H$19)+SUM(J$6:J$19)</f>
        <v>68</v>
      </c>
      <c r="E109" s="105">
        <f>SUM(L$6:L$19)+SUM(N$6:N$19)+SUM(P$6:P$19)+SUM(R$6:R$19)</f>
        <v>322</v>
      </c>
      <c r="F109" s="105">
        <f>SUM(T$6:T$19)+SUM(V$6:V$19)+SUM(X$6:X$19)+SUM(Z$6:Z$19)</f>
        <v>263</v>
      </c>
      <c r="G109" s="105">
        <f>SUM(AB$6:AB$19)+SUM(AD$6:AD$19)+SUM(AF$6:AF$19)+SUM(AH$6:AH$19)</f>
        <v>443</v>
      </c>
      <c r="H109" s="105">
        <f>SUM(AJ$6:AJ$19)+SUM(AL$6:AL$19)+SUM(AN$6:AN$19)+SUM(AP$6:AP$19)</f>
        <v>471</v>
      </c>
      <c r="I109" s="105">
        <f>SUM(AR$6:AR$19)+SUM(AT$6:AT$19)+SUM(AV$6:AV$19)+SUM(AX$6:AX$19)</f>
        <v>642</v>
      </c>
      <c r="J109" s="105">
        <f>SUM(AZ$6:AZ$19)+SUM(BB$6:BB$19)+SUM(BD$6:BD$19)+SUM(BF$6:BF$19)</f>
        <v>889</v>
      </c>
      <c r="K109" s="105">
        <f>SUM(BH$6:BH$19)+SUM(BJ$6:BJ$19)+SUM(BL$6:BL$19)+SUM(BN$6:BN$19)</f>
        <v>1233</v>
      </c>
      <c r="L109" s="105">
        <f>SUM(BP$6:BP$19)+SUM(BR$6:BR$19)+SUM(BT$6:BT$19)+SUM(BV$6:BV$19)</f>
        <v>1669</v>
      </c>
      <c r="M109" s="105">
        <f>SUM(BX$6:BX$19)+SUM(BZ$6:BZ$19)+SUM(CB$6:CB$19)+SUM(CD$6:CD$19)</f>
        <v>1715.1233593675604</v>
      </c>
      <c r="N109" s="105">
        <f>SUM(CF$6:CF$19)+SUM(CH$6:CH$19)+SUM(CJ$6:CJ$19)+SUM(CL$6:CL$19)</f>
        <v>248.9396756334832</v>
      </c>
      <c r="O109" s="105">
        <f>SUM(CN$6:CN$19)+SUM(CP$6:CP$19)+SUM(CR$6:CR$19)+SUM(CT$6:CT$19)</f>
        <v>454.4240599161559</v>
      </c>
    </row>
    <row r="110" spans="2:99" x14ac:dyDescent="0.25">
      <c r="C110" s="104" t="s">
        <v>127</v>
      </c>
      <c r="D110" s="105">
        <f>SUM(D$20:D$36)+SUM(F$20:F$36)+SUM(H$20:H$36)+SUM(J$20:J$36)</f>
        <v>79</v>
      </c>
      <c r="E110" s="105">
        <f>SUM(L$20:L$36)+SUM(N$20:N$36)+SUM(P$20:P$36)+SUM(R$20:R$36)</f>
        <v>547</v>
      </c>
      <c r="F110" s="105">
        <f>SUM(T$20:T$36)+SUM(V$20:V$36)+SUM(X$20:X$36)+SUM(Z$20:Z$36)</f>
        <v>733</v>
      </c>
      <c r="G110" s="105">
        <f>SUM(AB$20:AB$36)+SUM(AD$20:AD$36)+SUM(AF$20:AF$36)+SUM(AH$20:AH$36)</f>
        <v>712</v>
      </c>
      <c r="H110" s="105">
        <f>SUM(AJ$20:AJ$36)+SUM(AL$20:AL$36)+SUM(AN$20:AN$36)+SUM(AP$20:AP$36)</f>
        <v>1096</v>
      </c>
      <c r="I110" s="105">
        <f>SUM(AR$20:AR$36)+SUM(AT$20:AT$36)+SUM(AV$20:AV$36)+SUM(AX$20:AX$36)</f>
        <v>1253</v>
      </c>
      <c r="J110" s="105">
        <f>SUM(AZ$20:AZ$36)+SUM(BB$20:BB$36)+SUM(BD$20:BD$36)+SUM(BF$20:BF$36)</f>
        <v>1669</v>
      </c>
      <c r="K110" s="105">
        <f>SUM(BH$20:BH$36)+SUM(BJ$20:BJ$36)+SUM(BL$20:BL$36)+SUM(BN$20:BN$36)</f>
        <v>2428</v>
      </c>
      <c r="L110" s="105">
        <f>SUM(BP$20:BP$36)+SUM(BR$20:BR$36)+SUM(BT$20:BT$36)+SUM(BV$20:BV$36)</f>
        <v>2873</v>
      </c>
      <c r="M110" s="105">
        <f>SUM(BX$20:BX$36)+SUM(BZ$20:BZ$36)+SUM(CB$20:CB$36)+SUM(CD$20:CD$36)</f>
        <v>4230.7836131458034</v>
      </c>
      <c r="N110" s="105">
        <f>SUM(CF$20:CF$36)+SUM(CH$20:CH$36)+SUM(CJ$20:CJ$36)+SUM(CL$20:CL$36)</f>
        <v>471.97834588298338</v>
      </c>
      <c r="O110" s="105">
        <f>SUM(CN$20:CN$36)+SUM(CP$20:CP$36)+SUM(CR$20:CR$36)+SUM(CT$20:CT$36)</f>
        <v>993.52147414576484</v>
      </c>
    </row>
    <row r="111" spans="2:99" x14ac:dyDescent="0.25">
      <c r="C111" s="104" t="s">
        <v>128</v>
      </c>
      <c r="D111" s="105">
        <f>SUM(D$37:D$48)+SUM(F$37:F$48)+SUM(H$37:H$48)+SUM(J$37:J$48)</f>
        <v>56</v>
      </c>
      <c r="E111" s="105">
        <f>SUM(L$37:L$48)+SUM(N$37:N$48)+SUM(P$37:P$48)+SUM(R$37:R$48)</f>
        <v>244</v>
      </c>
      <c r="F111" s="105">
        <f>SUM(T$37:T$48)+SUM(V$37:V$48)+SUM(X$37:X$48)+SUM(Z$37:Z$48)</f>
        <v>309</v>
      </c>
      <c r="G111" s="105">
        <f>SUM(AB$37:AB$48)+SUM(AD$37:AD$48)+SUM(AF$37:AF$48)+SUM(AH$37:AH$48)</f>
        <v>290</v>
      </c>
      <c r="H111" s="105">
        <f>SUM(AJ$37:AJ$48)+SUM(AL$37:AL$48)+SUM(AN$37:AN$48)+SUM(AP$37:AP$48)</f>
        <v>500</v>
      </c>
      <c r="I111" s="105">
        <f>SUM(AR$37:AR$48)+SUM(AT$37:AT$48)+SUM(AV$37:AV$48)+SUM(AX$37:AX$48)</f>
        <v>520</v>
      </c>
      <c r="J111" s="105">
        <f>SUM(AZ$37:AZ$48)+SUM(BB$37:BB$48)+SUM(BD$37:BD$48)+SUM(BF$37:BF$48)</f>
        <v>568</v>
      </c>
      <c r="K111" s="105">
        <f>SUM(BH$37:BH$48)+SUM(BJ$37:BJ$48)+SUM(BL$37:BL$48)+SUM(BN$37:BN$48)</f>
        <v>814</v>
      </c>
      <c r="L111" s="105">
        <f>SUM(BP$37:BP$48)+SUM(BR$37:BR$48)+SUM(BT$37:BT$48)+SUM(BV$37:BV$48)</f>
        <v>1121</v>
      </c>
      <c r="M111" s="105">
        <f>SUM(BX$37:BX$48)+SUM(BZ$37:BZ$48)+SUM(CB$37:CB$48)+SUM(CD$37:CD$48)</f>
        <v>1512.0098096753541</v>
      </c>
      <c r="N111" s="105">
        <f>SUM(CF$37:CF$48)+SUM(CH$37:CH$48)+SUM(CJ$37:CJ$48)+SUM(CL$37:CL$48)</f>
        <v>265.14866284438591</v>
      </c>
      <c r="O111" s="105">
        <f>SUM(CN$37:CN$48)+SUM(CP$37:CP$48)+SUM(CR$37:CR$48)+SUM(CT$37:CT$48)</f>
        <v>340.56539432578137</v>
      </c>
    </row>
    <row r="112" spans="2:99" x14ac:dyDescent="0.25">
      <c r="C112" s="104" t="s">
        <v>129</v>
      </c>
      <c r="D112" s="105">
        <f>SUM(D$49:D$70)+SUM(F$49:F$70)+SUM(H$49:H$70)+SUM(J$49:J$70)</f>
        <v>44</v>
      </c>
      <c r="E112" s="105">
        <f>SUM(L$49:L$70)+SUM(N$49:N$70)+SUM(P$49:P$70)+SUM(R$49:R$70)</f>
        <v>332</v>
      </c>
      <c r="F112" s="105">
        <f>SUM(T$49:T$70)+SUM(V$49:V$70)+SUM(X$49:X$70)+SUM(Z$49:Z$70)</f>
        <v>408</v>
      </c>
      <c r="G112" s="105">
        <f>SUM(AB$49:AB$70)+SUM(AD$49:AD$70)+SUM(AF$49:AF$70)+SUM(AH$49:AH$70)</f>
        <v>513</v>
      </c>
      <c r="H112" s="105">
        <f>SUM(AJ$49:AJ$70)+SUM(AL$49:AL$70)+SUM(AN$49:AN$70)+SUM(AP$49:AP$70)</f>
        <v>642</v>
      </c>
      <c r="I112" s="105">
        <f>SUM(AR$49:AR$70)+SUM(AT$49:AT$70)+SUM(AV$49:AV$70)+SUM(AX$49:AX$70)</f>
        <v>808</v>
      </c>
      <c r="J112" s="105">
        <f>SUM(AZ$49:AZ$70)+SUM(BB$49:BB$70)+SUM(BD$49:BD$70)+SUM(BF$49:BF$70)</f>
        <v>797</v>
      </c>
      <c r="K112" s="105">
        <f>SUM(BH$49:BH$70)+SUM(BJ$49:BJ$70)+SUM(BL$49:BL$70)+SUM(BN$49:BN$70)</f>
        <v>1305</v>
      </c>
      <c r="L112" s="105">
        <f>SUM(BP$49:BP$70)+SUM(BR$49:BR$70)+SUM(BT$49:BT$70)+SUM(BV$49:BV$70)</f>
        <v>1461</v>
      </c>
      <c r="M112" s="105">
        <f>SUM(BX$49:BX$70)+SUM(BZ$49:BZ$70)+SUM(CB$49:CB$70)+SUM(CD$49:CD$70)</f>
        <v>1550.1953855540369</v>
      </c>
      <c r="N112" s="105">
        <f>SUM(CF$49:CF$70)+SUM(CH$49:CH$70)+SUM(CJ$49:CJ$70)+SUM(CL$49:CL$70)</f>
        <v>319.22203544730752</v>
      </c>
      <c r="O112" s="105">
        <f>SUM(CN$49:CN$70)+SUM(CP$49:CP$70)+SUM(CR$49:CR$70)+SUM(CT$49:CT$70)</f>
        <v>417.59559100868171</v>
      </c>
    </row>
    <row r="113" spans="2:15" x14ac:dyDescent="0.25">
      <c r="C113" s="104" t="s">
        <v>130</v>
      </c>
      <c r="D113" s="105">
        <f>SUM(D$71:D$86)+SUM(F$71:F$86)+SUM(H$71:H$86)+SUM(J$71:J$86)</f>
        <v>52</v>
      </c>
      <c r="E113" s="105">
        <f>SUM(L$71:L$86)+SUM(N$71:N$86)+SUM(P$71:P$86)+SUM(R$71:R$86)</f>
        <v>199</v>
      </c>
      <c r="F113" s="105">
        <f>SUM(T$71:T$86)+SUM(V$71:V$86)+SUM(X$71:X$86)+SUM(Z$71:Z$86)</f>
        <v>302</v>
      </c>
      <c r="G113" s="105">
        <f>SUM(AB$71:AB$86)+SUM(AD$71:AD$86)+SUM(AF$71:AF$86)+SUM(AH$71:AH$86)</f>
        <v>311</v>
      </c>
      <c r="H113" s="105">
        <f>SUM(AJ$71:AJ$86)+SUM(AL$71:AL$86)+SUM(AN$71:AN$86)+SUM(AP$71:AP$86)</f>
        <v>347</v>
      </c>
      <c r="I113" s="105">
        <f>SUM(AR$71:AR$86)+SUM(AT$71:AT$86)+SUM(AV$71:AV$86)+SUM(AX$71:AX$86)</f>
        <v>442</v>
      </c>
      <c r="J113" s="105">
        <f>SUM(AZ$71:AZ$86)+SUM(BB$71:BB$86)+SUM(BD$71:BD$86)+SUM(BF$71:BF$86)</f>
        <v>664</v>
      </c>
      <c r="K113" s="105">
        <f>SUM(BH$71:BH$86)+SUM(BJ$71:BJ$86)+SUM(BL$71:BL$86)+SUM(BN$71:BN$86)</f>
        <v>710</v>
      </c>
      <c r="L113" s="105">
        <f>SUM(BP$71:BP$86)+SUM(BR$71:BR$86)+SUM(BT$71:BT$86)+SUM(BV$71:BV$86)</f>
        <v>1064</v>
      </c>
      <c r="M113" s="105">
        <f>SUM(BX$71:BX$86)+SUM(BZ$71:BZ$86)+SUM(CB$71:CB$86)+SUM(CD$71:CD$86)</f>
        <v>1107.275904896162</v>
      </c>
      <c r="N113" s="105">
        <f>SUM(CF$71:CF$86)+SUM(CH$71:CH$86)+SUM(CJ$71:CJ$86)+SUM(CL$71:CL$86)</f>
        <v>216.5737899438266</v>
      </c>
      <c r="O113" s="105">
        <f>SUM(CN$71:CN$86)+SUM(CP$71:CP$86)+SUM(CR$71:CR$86)+SUM(CT$71:CT$86)</f>
        <v>385.28169857540024</v>
      </c>
    </row>
    <row r="114" spans="2:15" x14ac:dyDescent="0.25">
      <c r="C114" s="104" t="s">
        <v>131</v>
      </c>
      <c r="D114" s="105">
        <f>SUM(D$87:D$94)+SUM(F$87:F$94)+SUM(H$87:H$94)+SUM(J$87:J$94)</f>
        <v>23</v>
      </c>
      <c r="E114" s="105">
        <f>SUM(L$87:L$94)+SUM(N$87:N$94)+SUM(P$87:P$94)+SUM(R$87:R$94)</f>
        <v>112</v>
      </c>
      <c r="F114" s="105">
        <f>SUM(T$87:T$94)+SUM(V$87:V$94)+SUM(X$87:X$94)+SUM(Z$87:Z$94)</f>
        <v>106</v>
      </c>
      <c r="G114" s="105">
        <f>SUM(AB$87:AB$94)+SUM(AD$87:AD$94)+SUM(AF$87:AF$94)+SUM(AH$87:AH$94)</f>
        <v>164</v>
      </c>
      <c r="H114" s="105">
        <f>SUM(AJ$87:AJ$94)+SUM(AL$87:AL$94)+SUM(AN$87:AN$94)+SUM(AP$87:AP$94)</f>
        <v>195</v>
      </c>
      <c r="I114" s="105">
        <f>SUM(AR$87:AR$94)+SUM(AT$87:AT$94)+SUM(AV$87:AV$94)+SUM(AX$87:AX$94)</f>
        <v>266</v>
      </c>
      <c r="J114" s="105">
        <f>SUM(AZ$87:AZ$94)+SUM(BB$87:BB$94)+SUM(BD$87:BD$94)+SUM(BF$87:BF$94)</f>
        <v>331</v>
      </c>
      <c r="K114" s="105">
        <f>SUM(BH$87:BH$94)+SUM(BJ$87:BJ$94)+SUM(BL$87:BL$94)+SUM(BN$87:BN$94)</f>
        <v>392</v>
      </c>
      <c r="L114" s="105">
        <f>SUM(BP$87:BP$94)+SUM(BR$87:BR$94)+SUM(BT$87:BT$94)+SUM(BV$87:BV$94)</f>
        <v>586</v>
      </c>
      <c r="M114" s="105">
        <f>SUM(BX$87:BX$94)+SUM(BZ$87:BZ$94)+SUM(CB$87:CB$94)+SUM(CD$87:CD$94)</f>
        <v>553.9544613710849</v>
      </c>
      <c r="N114" s="105">
        <f>SUM(CF$87:CF$94)+SUM(CH$87:CH$94)+SUM(CJ$87:CJ$94)+SUM(CL$87:CL$94)</f>
        <v>114.42759618998296</v>
      </c>
      <c r="O114" s="105">
        <f>SUM(CN$87:CN$94)+SUM(CP$87:CP$94)+SUM(CR$87:CR$94)+SUM(CT$87:CT$94)</f>
        <v>187.01139302610778</v>
      </c>
    </row>
    <row r="115" spans="2:15" x14ac:dyDescent="0.25">
      <c r="C115" s="104" t="s">
        <v>132</v>
      </c>
      <c r="D115" s="105">
        <f>SUM(D$95:D$105)+SUM(F$95:F$105)+SUM(H$95:H$105)+SUM(J$95:J$105)</f>
        <v>59</v>
      </c>
      <c r="E115" s="105">
        <f>SUM(L$95:L$105)+SUM(N$95:N$105)+SUM(P$95:P$105)+SUM(R$95:R$105)</f>
        <v>277</v>
      </c>
      <c r="F115" s="105">
        <f>SUM(T$95:T$105)+SUM(V$95:V$105)+SUM(X$95:X$105)+SUM(Z$95:Z$105)</f>
        <v>291</v>
      </c>
      <c r="G115" s="105">
        <f>SUM(AB$95:AB$105)+SUM(AD$95:AD$105)+SUM(AF$95:AF$105)+SUM(AH$95:AH$105)</f>
        <v>376</v>
      </c>
      <c r="H115" s="105">
        <f>SUM(AJ$95:AJ$105)+SUM(AL$95:AL$105)+SUM(AN$95:AN$105)+SUM(AP$95:AP$105)</f>
        <v>431</v>
      </c>
      <c r="I115" s="105">
        <f>SUM(AR$95:AR$105)+SUM(AT$95:AT$105)+SUM(AV$95:AV$105)+SUM(AX$95:AX$105)</f>
        <v>437</v>
      </c>
      <c r="J115" s="105">
        <f>SUM(AZ$95:AZ$105)+SUM(BB$95:BB$105)+SUM(BD$95:BD$105)+SUM(BF$95:BF$105)</f>
        <v>671</v>
      </c>
      <c r="K115" s="105">
        <f>SUM(BH$95:BH$105)+SUM(BJ$95:BJ$105)+SUM(BL$95:BL$105)+SUM(BN$95:BN$105)</f>
        <v>904</v>
      </c>
      <c r="L115" s="105">
        <f>SUM(BP$95:BP$105)+SUM(BR$95:BR$105)+SUM(BT$95:BT$105)+SUM(BV$95:BV$105)</f>
        <v>1070</v>
      </c>
      <c r="M115" s="105">
        <f>SUM(BX$95:BX$105)+SUM(BZ$95:BZ$105)+SUM(CB$95:CB$105)+SUM(CD$95:CD$105)</f>
        <v>1211.368817801419</v>
      </c>
      <c r="N115" s="105">
        <f>SUM(CF$95:CF$105)+SUM(CH$95:CH$105)+SUM(CJ$95:CJ$105)+SUM(CL$95:CL$105)</f>
        <v>190.35756291356552</v>
      </c>
      <c r="O115" s="105">
        <f>SUM(CN$95:CN$105)+SUM(CP$95:CP$105)+SUM(CR$95:CR$105)+SUM(CT$95:CT$105)</f>
        <v>388.16474969629269</v>
      </c>
    </row>
    <row r="116" spans="2:15" x14ac:dyDescent="0.25">
      <c r="C116" s="104" t="s">
        <v>277</v>
      </c>
      <c r="D116" s="105">
        <f t="shared" ref="D116:O116" si="0">SUM(D$109:D$115)</f>
        <v>381</v>
      </c>
      <c r="E116" s="105">
        <f t="shared" si="0"/>
        <v>2033</v>
      </c>
      <c r="F116" s="105">
        <f t="shared" si="0"/>
        <v>2412</v>
      </c>
      <c r="G116" s="105">
        <f t="shared" si="0"/>
        <v>2809</v>
      </c>
      <c r="H116" s="105">
        <f t="shared" si="0"/>
        <v>3682</v>
      </c>
      <c r="I116" s="105">
        <f t="shared" si="0"/>
        <v>4368</v>
      </c>
      <c r="J116" s="105">
        <f t="shared" si="0"/>
        <v>5589</v>
      </c>
      <c r="K116" s="105">
        <f t="shared" si="0"/>
        <v>7786</v>
      </c>
      <c r="L116" s="105">
        <f t="shared" si="0"/>
        <v>9844</v>
      </c>
      <c r="M116" s="105">
        <f t="shared" si="0"/>
        <v>11880.71135181142</v>
      </c>
      <c r="N116" s="105">
        <f t="shared" si="0"/>
        <v>1826.6476688555349</v>
      </c>
      <c r="O116" s="105">
        <f t="shared" si="0"/>
        <v>3166.5643606941844</v>
      </c>
    </row>
    <row r="118" spans="2:15" x14ac:dyDescent="0.25">
      <c r="B118" s="108" t="s">
        <v>278</v>
      </c>
    </row>
    <row r="119" spans="2:15" x14ac:dyDescent="0.25">
      <c r="C119" s="104" t="s">
        <v>276</v>
      </c>
      <c r="D119" s="104" t="s">
        <v>92</v>
      </c>
      <c r="E119" s="104" t="s">
        <v>93</v>
      </c>
      <c r="F119" s="104" t="s">
        <v>94</v>
      </c>
      <c r="G119" s="104" t="s">
        <v>95</v>
      </c>
      <c r="H119" s="104" t="s">
        <v>96</v>
      </c>
      <c r="I119" s="104" t="s">
        <v>97</v>
      </c>
      <c r="J119" s="104" t="s">
        <v>98</v>
      </c>
      <c r="K119" s="104" t="s">
        <v>99</v>
      </c>
      <c r="L119" s="104" t="s">
        <v>100</v>
      </c>
      <c r="M119" s="104" t="s">
        <v>101</v>
      </c>
      <c r="N119" s="104" t="s">
        <v>102</v>
      </c>
      <c r="O119" s="104" t="s">
        <v>103</v>
      </c>
    </row>
    <row r="120" spans="2:15" x14ac:dyDescent="0.25">
      <c r="C120" s="104" t="s">
        <v>126</v>
      </c>
      <c r="D120" s="105">
        <f>D109*pricing!D24*2000</f>
        <v>544000</v>
      </c>
      <c r="E120" s="105">
        <f>E109*pricing!E24*2000</f>
        <v>2400363.6363636367</v>
      </c>
      <c r="F120" s="105">
        <f>F109*pricing!F24*2000</f>
        <v>1817090.9090909092</v>
      </c>
      <c r="G120" s="105">
        <f>G109*pricing!G24*2000</f>
        <v>2819090.9090909101</v>
      </c>
      <c r="H120" s="105">
        <f>H109*pricing!H24*2000</f>
        <v>2740363.6363636372</v>
      </c>
      <c r="I120" s="105">
        <f>I109*pricing!I24*2000</f>
        <v>3385090.909090911</v>
      </c>
      <c r="J120" s="105">
        <f>J109*pricing!J24*2000</f>
        <v>4202545.4545454569</v>
      </c>
      <c r="K120" s="105">
        <f>K109*pricing!K24*2000</f>
        <v>5156181.818181823</v>
      </c>
      <c r="L120" s="105">
        <f>L109*pricing!L24*2000</f>
        <v>6069090.9090909148</v>
      </c>
      <c r="M120" s="105">
        <f>M109*pricing!M24*2000</f>
        <v>5301290.3834997378</v>
      </c>
      <c r="N120" s="105">
        <f>N109*pricing!N24*2000</f>
        <v>633664.62888523086</v>
      </c>
      <c r="O120" s="105">
        <f>O109*pricing!O24*2000</f>
        <v>908848.11983231339</v>
      </c>
    </row>
    <row r="121" spans="2:15" x14ac:dyDescent="0.25">
      <c r="C121" s="104" t="s">
        <v>127</v>
      </c>
      <c r="D121" s="105">
        <f>D110*pricing!D25*2000</f>
        <v>632000</v>
      </c>
      <c r="E121" s="105">
        <f>E110*pricing!E25*2000</f>
        <v>4077636.3636363638</v>
      </c>
      <c r="F121" s="105">
        <f>F110*pricing!F25*2000</f>
        <v>5064363.6363636367</v>
      </c>
      <c r="G121" s="105">
        <f>G110*pricing!G25*2000</f>
        <v>4530909.0909090918</v>
      </c>
      <c r="H121" s="105">
        <f>H110*pricing!H25*2000</f>
        <v>6376727.2727272743</v>
      </c>
      <c r="I121" s="105">
        <f>I110*pricing!I25*2000</f>
        <v>6606727.2727272753</v>
      </c>
      <c r="J121" s="105">
        <f>J110*pricing!J25*2000</f>
        <v>7889818.1818181863</v>
      </c>
      <c r="K121" s="105">
        <f>K110*pricing!K25*2000</f>
        <v>10153454.545454552</v>
      </c>
      <c r="L121" s="105">
        <f>L110*pricing!L25*2000</f>
        <v>10447272.727272738</v>
      </c>
      <c r="M121" s="105">
        <f>M110*pricing!M25*2000</f>
        <v>13076967.53154159</v>
      </c>
      <c r="N121" s="105">
        <f>N110*pricing!N25*2000</f>
        <v>1201399.4258839593</v>
      </c>
      <c r="O121" s="105">
        <f>O110*pricing!O25*2000</f>
        <v>1987042.9482915334</v>
      </c>
    </row>
    <row r="122" spans="2:15" x14ac:dyDescent="0.25">
      <c r="C122" s="104" t="s">
        <v>128</v>
      </c>
      <c r="D122" s="105">
        <f>D111*pricing!D26*2000</f>
        <v>448000</v>
      </c>
      <c r="E122" s="105">
        <f>E111*pricing!E26*2000</f>
        <v>1818909.0909090911</v>
      </c>
      <c r="F122" s="105">
        <f>F111*pricing!F26*2000</f>
        <v>2134909.0909090908</v>
      </c>
      <c r="G122" s="105">
        <f>G111*pricing!G26*2000</f>
        <v>1845454.5454545459</v>
      </c>
      <c r="H122" s="105">
        <f>H111*pricing!H26*2000</f>
        <v>2909090.9090909101</v>
      </c>
      <c r="I122" s="105">
        <f>I111*pricing!I26*2000</f>
        <v>2741818.181818183</v>
      </c>
      <c r="J122" s="105">
        <f>J111*pricing!J26*2000</f>
        <v>2685090.909090911</v>
      </c>
      <c r="K122" s="105">
        <f>K111*pricing!K26*2000</f>
        <v>3404000.0000000028</v>
      </c>
      <c r="L122" s="105">
        <f>L111*pricing!L26*2000</f>
        <v>4076363.63636364</v>
      </c>
      <c r="M122" s="105">
        <f>M111*pricing!M26*2000</f>
        <v>4673484.8662692811</v>
      </c>
      <c r="N122" s="105">
        <f>N111*pricing!N26*2000</f>
        <v>674923.86905843788</v>
      </c>
      <c r="O122" s="105">
        <f>O111*pricing!O26*2000</f>
        <v>681130.78865156404</v>
      </c>
    </row>
    <row r="123" spans="2:15" x14ac:dyDescent="0.25">
      <c r="C123" s="104" t="s">
        <v>129</v>
      </c>
      <c r="D123" s="105">
        <f>D112*pricing!D27*2000</f>
        <v>352000</v>
      </c>
      <c r="E123" s="105">
        <f>E112*pricing!E27*2000</f>
        <v>2474909.0909090908</v>
      </c>
      <c r="F123" s="105">
        <f>F112*pricing!F27*2000</f>
        <v>2818909.0909090913</v>
      </c>
      <c r="G123" s="105">
        <f>G112*pricing!G27*2000</f>
        <v>3264545.4545454555</v>
      </c>
      <c r="H123" s="105">
        <f>H112*pricing!H27*2000</f>
        <v>3735272.7272727285</v>
      </c>
      <c r="I123" s="105">
        <f>I112*pricing!I27*2000</f>
        <v>4260363.6363636386</v>
      </c>
      <c r="J123" s="105">
        <f>J112*pricing!J27*2000</f>
        <v>3767636.3636363656</v>
      </c>
      <c r="K123" s="105">
        <f>K112*pricing!K27*2000</f>
        <v>5457272.7272727313</v>
      </c>
      <c r="L123" s="105">
        <f>L112*pricing!L27*2000</f>
        <v>5312727.2727272771</v>
      </c>
      <c r="M123" s="105">
        <f>M112*pricing!M27*2000</f>
        <v>4791513.0098943012</v>
      </c>
      <c r="N123" s="105">
        <f>N112*pricing!N27*2000</f>
        <v>812565.18113860209</v>
      </c>
      <c r="O123" s="105">
        <f>O112*pricing!O27*2000</f>
        <v>835191.18201736489</v>
      </c>
    </row>
    <row r="124" spans="2:15" x14ac:dyDescent="0.25">
      <c r="C124" s="104" t="s">
        <v>130</v>
      </c>
      <c r="D124" s="105">
        <f>D113*pricing!D28*2000</f>
        <v>416000</v>
      </c>
      <c r="E124" s="105">
        <f>E113*pricing!E28*2000</f>
        <v>1483454.5454545454</v>
      </c>
      <c r="F124" s="105">
        <f>F113*pricing!F28*2000</f>
        <v>2086545.4545454551</v>
      </c>
      <c r="G124" s="105">
        <f>G113*pricing!G28*2000</f>
        <v>1979090.9090909094</v>
      </c>
      <c r="H124" s="105">
        <f>H113*pricing!H28*2000</f>
        <v>2018909.0909090918</v>
      </c>
      <c r="I124" s="105">
        <f>I113*pricing!I28*2000</f>
        <v>2330545.4545454555</v>
      </c>
      <c r="J124" s="105">
        <f>J113*pricing!J28*2000</f>
        <v>3138909.0909090927</v>
      </c>
      <c r="K124" s="105">
        <f>K113*pricing!K28*2000</f>
        <v>2969090.9090909115</v>
      </c>
      <c r="L124" s="105">
        <f>L113*pricing!L28*2000</f>
        <v>3869090.9090909124</v>
      </c>
      <c r="M124" s="105">
        <f>M113*pricing!M28*2000</f>
        <v>3422489.1605881411</v>
      </c>
      <c r="N124" s="105">
        <f>N113*pricing!N28*2000</f>
        <v>551278.73803883209</v>
      </c>
      <c r="O124" s="105">
        <f>O113*pricing!O28*2000</f>
        <v>770563.39715080184</v>
      </c>
    </row>
    <row r="125" spans="2:15" x14ac:dyDescent="0.25">
      <c r="C125" s="104" t="s">
        <v>131</v>
      </c>
      <c r="D125" s="105">
        <f>D114*pricing!D29*2000</f>
        <v>184000</v>
      </c>
      <c r="E125" s="105">
        <f>E114*pricing!E29*2000</f>
        <v>834909.09090909094</v>
      </c>
      <c r="F125" s="105">
        <f>F114*pricing!F29*2000</f>
        <v>732363.63636363647</v>
      </c>
      <c r="G125" s="105">
        <f>G114*pricing!G29*2000</f>
        <v>1043636.363636364</v>
      </c>
      <c r="H125" s="105">
        <f>H114*pricing!H29*2000</f>
        <v>1134545.4545454551</v>
      </c>
      <c r="I125" s="105">
        <f>I114*pricing!I29*2000</f>
        <v>1402545.4545454553</v>
      </c>
      <c r="J125" s="105">
        <f>J114*pricing!J29*2000</f>
        <v>1564727.2727272736</v>
      </c>
      <c r="K125" s="105">
        <f>K114*pricing!K29*2000</f>
        <v>1639272.7272727287</v>
      </c>
      <c r="L125" s="105">
        <f>L114*pricing!L29*2000</f>
        <v>2130909.0909090927</v>
      </c>
      <c r="M125" s="105">
        <f>M114*pricing!M29*2000</f>
        <v>1712222.8806015372</v>
      </c>
      <c r="N125" s="105">
        <f>N114*pricing!N29*2000</f>
        <v>291270.2448472298</v>
      </c>
      <c r="O125" s="105">
        <f>O114*pricing!O29*2000</f>
        <v>374022.78605221625</v>
      </c>
    </row>
    <row r="126" spans="2:15" x14ac:dyDescent="0.25">
      <c r="C126" s="104" t="s">
        <v>132</v>
      </c>
      <c r="D126" s="105">
        <f>D115*pricing!D30*2000</f>
        <v>472000</v>
      </c>
      <c r="E126" s="105">
        <f>E115*pricing!E30*2000</f>
        <v>2064909.0909090911</v>
      </c>
      <c r="F126" s="105">
        <f>F115*pricing!F30*2000</f>
        <v>2010545.4545454548</v>
      </c>
      <c r="G126" s="105">
        <f>G115*pricing!G30*2000</f>
        <v>2392727.2727272734</v>
      </c>
      <c r="H126" s="105">
        <f>H115*pricing!H30*2000</f>
        <v>2507636.3636363642</v>
      </c>
      <c r="I126" s="105">
        <f>I115*pricing!I30*2000</f>
        <v>2304181.8181818193</v>
      </c>
      <c r="J126" s="105">
        <f>J115*pricing!J30*2000</f>
        <v>3172000.0000000019</v>
      </c>
      <c r="K126" s="105">
        <f>K115*pricing!K30*2000</f>
        <v>3780363.636363639</v>
      </c>
      <c r="L126" s="105">
        <f>L115*pricing!L30*2000</f>
        <v>3890909.0909090945</v>
      </c>
      <c r="M126" s="105">
        <f>M115*pricing!M30*2000</f>
        <v>3744230.8913862086</v>
      </c>
      <c r="N126" s="105">
        <f>N115*pricing!N30*2000</f>
        <v>484546.52377998561</v>
      </c>
      <c r="O126" s="105">
        <f>O115*pricing!O30*2000</f>
        <v>776329.49939258676</v>
      </c>
    </row>
    <row r="127" spans="2:15" x14ac:dyDescent="0.25">
      <c r="C127" s="104" t="s">
        <v>277</v>
      </c>
      <c r="D127" s="105">
        <f t="shared" ref="D127:O127" si="1">SUM(D$120:D$126)</f>
        <v>3048000</v>
      </c>
      <c r="E127" s="105">
        <f t="shared" si="1"/>
        <v>15155090.90909091</v>
      </c>
      <c r="F127" s="105">
        <f t="shared" si="1"/>
        <v>16664727.272727275</v>
      </c>
      <c r="G127" s="105">
        <f t="shared" si="1"/>
        <v>17875454.545454547</v>
      </c>
      <c r="H127" s="105">
        <f t="shared" si="1"/>
        <v>21422545.454545457</v>
      </c>
      <c r="I127" s="105">
        <f t="shared" si="1"/>
        <v>23031272.727272741</v>
      </c>
      <c r="J127" s="105">
        <f t="shared" si="1"/>
        <v>26420727.272727288</v>
      </c>
      <c r="K127" s="105">
        <f t="shared" si="1"/>
        <v>32559636.363636389</v>
      </c>
      <c r="L127" s="105">
        <f t="shared" si="1"/>
        <v>35796363.63636367</v>
      </c>
      <c r="M127" s="105">
        <f t="shared" si="1"/>
        <v>36722198.723780796</v>
      </c>
      <c r="N127" s="105">
        <f t="shared" si="1"/>
        <v>4649648.6116322773</v>
      </c>
      <c r="O127" s="105">
        <f t="shared" si="1"/>
        <v>6333128.72138838</v>
      </c>
    </row>
    <row r="129" spans="2:15" x14ac:dyDescent="0.25">
      <c r="B129" s="108" t="s">
        <v>279</v>
      </c>
    </row>
    <row r="130" spans="2:15" x14ac:dyDescent="0.25">
      <c r="C130" s="110" t="s">
        <v>276</v>
      </c>
      <c r="D130" s="110" t="s">
        <v>92</v>
      </c>
      <c r="E130" s="110" t="s">
        <v>93</v>
      </c>
      <c r="F130" s="110" t="s">
        <v>94</v>
      </c>
      <c r="G130" s="110" t="s">
        <v>95</v>
      </c>
      <c r="H130" s="110" t="s">
        <v>96</v>
      </c>
      <c r="I130" s="110" t="s">
        <v>97</v>
      </c>
      <c r="J130" s="110" t="s">
        <v>98</v>
      </c>
      <c r="K130" s="110" t="s">
        <v>99</v>
      </c>
      <c r="L130" s="110" t="s">
        <v>100</v>
      </c>
      <c r="M130" s="110" t="s">
        <v>101</v>
      </c>
      <c r="N130" s="110" t="s">
        <v>102</v>
      </c>
      <c r="O130" s="110" t="s">
        <v>103</v>
      </c>
    </row>
    <row r="131" spans="2:15" x14ac:dyDescent="0.25">
      <c r="C131" s="110" t="s">
        <v>126</v>
      </c>
      <c r="D131" s="111">
        <f>SUM(E$6:E$19)+SUM(G$6:G$19)+SUM(I$6:I$19)+SUM(K$6:K$19)</f>
        <v>33956.399999999994</v>
      </c>
      <c r="E131" s="111">
        <f>SUM(M$6:M$19)+SUM(O$6:O$19)+SUM(Q$6:Q$19)+SUM(S$6:S$19)</f>
        <v>162883.20000000001</v>
      </c>
      <c r="F131" s="111">
        <f>SUM(U$6:U$19)+SUM(W$6:W$19)+SUM(Y$6:Y$19)+SUM(AA$6:AA$19)</f>
        <v>132549.59999999998</v>
      </c>
      <c r="G131" s="111">
        <f>SUM(AC$6:AC$19)+SUM(AE$6:AE$19)+SUM(AG$6:AG$19)+SUM(AI$6:AI$19)</f>
        <v>224481.6</v>
      </c>
      <c r="H131" s="111">
        <f>SUM(AK$6:AK$19)+SUM(AM$6:AM$19)+SUM(AO$6:AO$19)+SUM(AQ$6:AQ$19)</f>
        <v>236263.2</v>
      </c>
      <c r="I131" s="111">
        <f>SUM(AS$6:AS$19)+SUM(AU$6:AU$19)+SUM(AW$6:AW$19)+SUM(AY$6:AY$19)</f>
        <v>322879.19999999995</v>
      </c>
      <c r="J131" s="111">
        <f>SUM(BA$6:BA$19)+SUM(BC$6:BC$19)+SUM(BE$6:BE$19)+SUM(BG$6:BG$19)</f>
        <v>447945.60000000009</v>
      </c>
      <c r="K131" s="111">
        <f>SUM(BI$6:BI$19)+SUM(BK$6:BK$19)+SUM(BM$6:BM$19)+SUM(BO$6:BO$19)</f>
        <v>622245.60000000009</v>
      </c>
      <c r="L131" s="111">
        <f>SUM(BQ$6:BQ$19)+SUM(BS$6:BS$19)+SUM(BU$6:BU$19)+SUM(BW$6:BW$19)</f>
        <v>840087.59999999986</v>
      </c>
      <c r="M131" s="111">
        <f>SUM(BY$6:BY$19)+SUM(CA$6:CA$19)+SUM(CC$6:CC$19)+SUM(CE$6:CE$19)</f>
        <v>860462.59916542517</v>
      </c>
      <c r="N131" s="111">
        <f>SUM(CG$6:CG$19)+SUM(CI$6:CI$19)+SUM(CK$6:CK$19)+SUM(CM$6:CM$19)</f>
        <v>125313.59702435465</v>
      </c>
      <c r="O131" s="111">
        <f>SUM(CO$6:CO$19)+SUM(CQ$6:CQ$19)+SUM(CS$6:CS$19)+SUM(CU$6:CU$19)</f>
        <v>226206.73792584238</v>
      </c>
    </row>
    <row r="132" spans="2:15" x14ac:dyDescent="0.25">
      <c r="C132" s="110" t="s">
        <v>127</v>
      </c>
      <c r="D132" s="111">
        <f>SUM(E$20:E$36)+SUM(G$20:G$36)+SUM(I$20:I$36)+SUM(K$20:K$36)</f>
        <v>33442.799999999996</v>
      </c>
      <c r="E132" s="111">
        <f>SUM(M$20:M$36)+SUM(O$20:O$36)+SUM(Q$20:Q$36)+SUM(S$20:S$36)</f>
        <v>234176.40000000002</v>
      </c>
      <c r="F132" s="111">
        <f>SUM(U$20:U$36)+SUM(W$20:W$36)+SUM(Y$20:Y$36)+SUM(AA$20:AA$36)</f>
        <v>313816.8</v>
      </c>
      <c r="G132" s="111">
        <f>SUM(AC$20:AC$36)+SUM(AE$20:AE$36)+SUM(AG$20:AG$36)+SUM(AI$20:AI$36)</f>
        <v>305239.19999999995</v>
      </c>
      <c r="H132" s="111">
        <f>SUM(AK$20:AK$36)+SUM(AM$20:AM$36)+SUM(AO$20:AO$36)+SUM(AQ$20:AQ$36)</f>
        <v>469495.2</v>
      </c>
      <c r="I132" s="111">
        <f>SUM(AS$20:AS$36)+SUM(AU$20:AU$36)+SUM(AW$20:AW$36)+SUM(AY$20:AY$36)</f>
        <v>532405.19999999995</v>
      </c>
      <c r="J132" s="111">
        <f>SUM(BA$20:BA$36)+SUM(BC$20:BC$36)+SUM(BE$20:BE$36)+SUM(BG$20:BG$36)</f>
        <v>716174.39999999991</v>
      </c>
      <c r="K132" s="111">
        <f>SUM(BI$20:BI$36)+SUM(BK$20:BK$36)+SUM(BM$20:BM$36)+SUM(BO$20:BO$36)</f>
        <v>1034354.3999999999</v>
      </c>
      <c r="L132" s="111">
        <f>SUM(BQ$20:BQ$36)+SUM(BS$20:BS$36)+SUM(BU$20:BU$36)+SUM(BW$20:BW$36)</f>
        <v>1216420.8</v>
      </c>
      <c r="M132" s="111">
        <f>SUM(BY$20:BY$36)+SUM(CA$20:CA$36)+SUM(CC$20:CC$36)+SUM(CE$20:CE$36)</f>
        <v>1800124.6469293162</v>
      </c>
      <c r="N132" s="111">
        <f>SUM(CG$20:CG$36)+SUM(CI$20:CI$36)+SUM(CK$20:CK$36)+SUM(CM$20:CM$36)</f>
        <v>199711.56769615356</v>
      </c>
      <c r="O132" s="111">
        <f>SUM(CO$20:CO$36)+SUM(CQ$20:CQ$36)+SUM(CS$20:CS$36)+SUM(CU$20:CU$36)</f>
        <v>417903.86070453533</v>
      </c>
    </row>
    <row r="133" spans="2:15" x14ac:dyDescent="0.25">
      <c r="C133" s="110" t="s">
        <v>128</v>
      </c>
      <c r="D133" s="111">
        <f>SUM(E$37:E$48)+SUM(G$37:G$48)+SUM(I$37:I$48)+SUM(K$37:K$48)</f>
        <v>57876.000000000007</v>
      </c>
      <c r="E133" s="111">
        <f>SUM(M$37:M$48)+SUM(O$37:O$48)+SUM(Q$37:Q$48)+SUM(S$37:S$48)</f>
        <v>255238.8</v>
      </c>
      <c r="F133" s="111">
        <f>SUM(U$37:U$48)+SUM(W$37:W$48)+SUM(Y$37:Y$48)+SUM(AA$37:AA$48)</f>
        <v>323613.60000000003</v>
      </c>
      <c r="G133" s="111">
        <f>SUM(AC$37:AC$48)+SUM(AE$37:AE$48)+SUM(AG$37:AG$48)+SUM(AI$37:AI$48)</f>
        <v>303336</v>
      </c>
      <c r="H133" s="111">
        <f>SUM(AK$37:AK$48)+SUM(AM$37:AM$48)+SUM(AO$37:AO$48)+SUM(AQ$37:AQ$48)</f>
        <v>524360.39999999991</v>
      </c>
      <c r="I133" s="111">
        <f>SUM(AS$37:AS$48)+SUM(AU$37:AU$48)+SUM(AW$37:AW$48)+SUM(AY$37:AY$48)</f>
        <v>548372.4</v>
      </c>
      <c r="J133" s="111">
        <f>SUM(BA$37:BA$48)+SUM(BC$37:BC$48)+SUM(BE$37:BE$48)+SUM(BG$37:BG$48)</f>
        <v>592960.79999999993</v>
      </c>
      <c r="K133" s="111">
        <f>SUM(BI$37:BI$48)+SUM(BK$37:BK$48)+SUM(BM$37:BM$48)+SUM(BO$37:BO$48)</f>
        <v>854621.99999999988</v>
      </c>
      <c r="L133" s="111">
        <f>SUM(BQ$37:BQ$48)+SUM(BS$37:BS$48)+SUM(BU$37:BU$48)+SUM(BW$37:BW$48)</f>
        <v>1172112</v>
      </c>
      <c r="M133" s="111">
        <f>SUM(BY$37:BY$48)+SUM(CA$37:CA$48)+SUM(CC$37:CC$48)+SUM(CE$37:CE$48)</f>
        <v>1583020.2206707657</v>
      </c>
      <c r="N133" s="111">
        <f>SUM(CG$37:CG$48)+SUM(CI$37:CI$48)+SUM(CK$37:CK$48)+SUM(CM$37:CM$48)</f>
        <v>277664.4358347237</v>
      </c>
      <c r="O133" s="111">
        <f>SUM(CO$37:CO$48)+SUM(CQ$37:CQ$48)+SUM(CS$37:CS$48)+SUM(CU$37:CU$48)</f>
        <v>355706.17561978783</v>
      </c>
    </row>
    <row r="134" spans="2:15" x14ac:dyDescent="0.25">
      <c r="C134" s="110" t="s">
        <v>129</v>
      </c>
      <c r="D134" s="111">
        <f>SUM(E$49:E$70)+SUM(G$49:G$70)+SUM(I$49:I$70)+SUM(K$49:K$70)</f>
        <v>37778.400000000009</v>
      </c>
      <c r="E134" s="111">
        <f>SUM(M$49:M$70)+SUM(O$49:O$70)+SUM(Q$49:Q$70)+SUM(S$49:S$70)</f>
        <v>281869.2</v>
      </c>
      <c r="F134" s="111">
        <f>SUM(U$49:U$70)+SUM(W$49:W$70)+SUM(Y$49:Y$70)+SUM(AA$49:AA$70)</f>
        <v>346994.39999999997</v>
      </c>
      <c r="G134" s="111">
        <f>SUM(AC$49:AC$70)+SUM(AE$49:AE$70)+SUM(AG$49:AG$70)+SUM(AI$49:AI$70)</f>
        <v>434781.59999999992</v>
      </c>
      <c r="H134" s="111">
        <f>SUM(AK$49:AK$70)+SUM(AM$49:AM$70)+SUM(AO$49:AO$70)+SUM(AQ$49:AQ$70)</f>
        <v>545794.79999999993</v>
      </c>
      <c r="I134" s="111">
        <f>SUM(AS$49:AS$70)+SUM(AU$49:AU$70)+SUM(AW$49:AW$70)+SUM(AY$49:AY$70)</f>
        <v>683822.39999999991</v>
      </c>
      <c r="J134" s="111">
        <f>SUM(BA$49:BA$70)+SUM(BC$49:BC$70)+SUM(BE$49:BE$70)+SUM(BG$49:BG$70)</f>
        <v>674635.2</v>
      </c>
      <c r="K134" s="111">
        <f>SUM(BI$49:BI$70)+SUM(BK$49:BK$70)+SUM(BM$49:BM$70)+SUM(BO$49:BO$70)</f>
        <v>1104782.3999999999</v>
      </c>
      <c r="L134" s="111">
        <f>SUM(BQ$49:BQ$70)+SUM(BS$49:BS$70)+SUM(BU$49:BU$70)+SUM(BW$49:BW$70)</f>
        <v>1227710.4000000001</v>
      </c>
      <c r="M134" s="111">
        <f>SUM(BY$49:BY$70)+SUM(CA$49:CA$70)+SUM(CC$49:CC$70)+SUM(CE$49:CE$70)</f>
        <v>1291417.121411704</v>
      </c>
      <c r="N134" s="111">
        <f>SUM(CG$49:CG$70)+SUM(CI$49:CI$70)+SUM(CK$49:CK$70)+SUM(CM$49:CM$70)</f>
        <v>264564.46412328485</v>
      </c>
      <c r="O134" s="111">
        <f>SUM(CO$49:CO$70)+SUM(CQ$49:CQ$70)+SUM(CS$49:CS$70)+SUM(CU$49:CU$70)</f>
        <v>351557.20659020159</v>
      </c>
    </row>
    <row r="135" spans="2:15" x14ac:dyDescent="0.25">
      <c r="C135" s="110" t="s">
        <v>130</v>
      </c>
      <c r="D135" s="111">
        <f>SUM(E$71:E$86)+SUM(G$71:G$86)+SUM(I$71:I$86)+SUM(K$71:K$86)</f>
        <v>29186.399999999998</v>
      </c>
      <c r="E135" s="111">
        <f>SUM(M$71:M$86)+SUM(O$71:O$86)+SUM(Q$71:Q$86)+SUM(S$71:S$86)</f>
        <v>111085.2</v>
      </c>
      <c r="F135" s="111">
        <f>SUM(U$71:U$86)+SUM(W$71:W$86)+SUM(Y$71:Y$86)+SUM(AA$71:AA$86)</f>
        <v>169161.60000000001</v>
      </c>
      <c r="G135" s="111">
        <f>SUM(AC$71:AC$86)+SUM(AE$71:AE$86)+SUM(AG$71:AG$86)+SUM(AI$71:AI$86)</f>
        <v>172548</v>
      </c>
      <c r="H135" s="111">
        <f>SUM(AK$71:AK$86)+SUM(AM$71:AM$86)+SUM(AO$71:AO$86)+SUM(AQ$71:AQ$86)</f>
        <v>193270.8</v>
      </c>
      <c r="I135" s="111">
        <f>SUM(AS$71:AS$86)+SUM(AU$71:AU$86)+SUM(AW$71:AW$86)+SUM(AY$71:AY$86)</f>
        <v>246727.2</v>
      </c>
      <c r="J135" s="111">
        <f>SUM(BA$71:BA$86)+SUM(BC$71:BC$86)+SUM(BE$71:BE$86)+SUM(BG$71:BG$86)</f>
        <v>368528.4</v>
      </c>
      <c r="K135" s="111">
        <f>SUM(BI$71:BI$86)+SUM(BK$71:BK$86)+SUM(BM$71:BM$86)+SUM(BO$71:BO$86)</f>
        <v>395121.59999999992</v>
      </c>
      <c r="L135" s="111">
        <f>SUM(BQ$71:BQ$86)+SUM(BS$71:BS$86)+SUM(BU$71:BU$86)+SUM(BW$71:BW$86)</f>
        <v>594469.19999999995</v>
      </c>
      <c r="M135" s="111">
        <f>SUM(BY$71:BY$86)+SUM(CA$71:CA$86)+SUM(CC$71:CC$86)+SUM(CE$71:CE$86)</f>
        <v>616302.72792984196</v>
      </c>
      <c r="N135" s="111">
        <f>SUM(CG$71:CG$86)+SUM(CI$71:CI$86)+SUM(CK$71:CK$86)+SUM(CM$71:CM$86)</f>
        <v>120050.6817732011</v>
      </c>
      <c r="O135" s="111">
        <f>SUM(CO$71:CO$86)+SUM(CQ$71:CQ$86)+SUM(CS$71:CS$86)+SUM(CU$71:CU$86)</f>
        <v>211687.45793724502</v>
      </c>
    </row>
    <row r="136" spans="2:15" x14ac:dyDescent="0.25">
      <c r="C136" s="110" t="s">
        <v>131</v>
      </c>
      <c r="D136" s="111">
        <f>SUM(E$87:E$94)+SUM(G$87:G$94)+SUM(I$87:I$94)+SUM(K$87:K$94)</f>
        <v>46586.399999999994</v>
      </c>
      <c r="E136" s="111">
        <f>SUM(M$87:M$94)+SUM(O$87:O$94)+SUM(Q$87:Q$94)+SUM(S$87:S$94)</f>
        <v>226313.99999999997</v>
      </c>
      <c r="F136" s="111">
        <f>SUM(U$87:U$94)+SUM(W$87:W$94)+SUM(Y$87:Y$94)+SUM(AA$87:AA$94)</f>
        <v>215529.59999999998</v>
      </c>
      <c r="G136" s="111">
        <f>SUM(AC$87:AC$94)+SUM(AE$87:AE$94)+SUM(AG$87:AG$94)+SUM(AI$87:AI$94)</f>
        <v>333926.39999999997</v>
      </c>
      <c r="H136" s="111">
        <f>SUM(AK$87:AK$94)+SUM(AM$87:AM$94)+SUM(AO$87:AO$94)+SUM(AQ$87:AQ$94)</f>
        <v>397966.79999999993</v>
      </c>
      <c r="I136" s="111">
        <f>SUM(AS$87:AS$94)+SUM(AU$87:AU$94)+SUM(AW$87:AW$94)+SUM(AY$87:AY$94)</f>
        <v>541349.99999999988</v>
      </c>
      <c r="J136" s="111">
        <f>SUM(BA$87:BA$94)+SUM(BC$87:BC$94)+SUM(BE$87:BE$94)+SUM(BG$87:BG$94)</f>
        <v>673093.20000000007</v>
      </c>
      <c r="K136" s="111">
        <f>SUM(BI$87:BI$94)+SUM(BK$87:BK$94)+SUM(BM$87:BM$94)+SUM(BO$87:BO$94)</f>
        <v>794695.2</v>
      </c>
      <c r="L136" s="111">
        <f>SUM(BQ$87:BQ$94)+SUM(BS$87:BS$94)+SUM(BU$87:BU$94)+SUM(BW$87:BW$94)</f>
        <v>1188928.8</v>
      </c>
      <c r="M136" s="111">
        <f>SUM(BY$87:BY$94)+SUM(CA$87:CA$94)+SUM(CC$87:CC$94)+SUM(CE$87:CE$94)</f>
        <v>1125078.6424659851</v>
      </c>
      <c r="N136" s="111">
        <f>SUM(CG$87:CG$94)+SUM(CI$87:CI$94)+SUM(CK$87:CK$94)+SUM(CM$87:CM$94)</f>
        <v>231795.15236778438</v>
      </c>
      <c r="O136" s="111">
        <f>SUM(CO$87:CO$94)+SUM(CQ$87:CQ$94)+SUM(CS$87:CS$94)+SUM(CU$87:CU$94)</f>
        <v>378670.22220940923</v>
      </c>
    </row>
    <row r="137" spans="2:15" x14ac:dyDescent="0.25">
      <c r="C137" s="110" t="s">
        <v>132</v>
      </c>
      <c r="D137" s="111">
        <f>SUM(E$95:E$105)+SUM(G$95:G$105)+SUM(I$95:I$105)+SUM(K$95:K$105)</f>
        <v>111801.59999999999</v>
      </c>
      <c r="E137" s="111">
        <f>SUM(M$95:M$105)+SUM(O$95:O$105)+SUM(Q$95:Q$105)+SUM(S$95:S$105)</f>
        <v>526756.79999999993</v>
      </c>
      <c r="F137" s="111">
        <f>SUM(U$95:U$105)+SUM(W$95:W$105)+SUM(Y$95:Y$105)+SUM(AA$95:AA$105)</f>
        <v>557152.80000000005</v>
      </c>
      <c r="G137" s="111">
        <f>SUM(AC$95:AC$105)+SUM(AE$95:AE$105)+SUM(AG$95:AG$105)+SUM(AI$95:AI$105)</f>
        <v>717382.8</v>
      </c>
      <c r="H137" s="111">
        <f>SUM(AK$95:AK$105)+SUM(AM$95:AM$105)+SUM(AO$95:AO$105)+SUM(AQ$95:AQ$105)</f>
        <v>829538.4</v>
      </c>
      <c r="I137" s="111">
        <f>SUM(AS$95:AS$105)+SUM(AU$95:AU$105)+SUM(AW$95:AW$105)+SUM(AY$95:AY$105)</f>
        <v>836196</v>
      </c>
      <c r="J137" s="111">
        <f>SUM(BA$95:BA$105)+SUM(BC$95:BC$105)+SUM(BE$95:BE$105)+SUM(BG$95:BG$105)</f>
        <v>1275343.2</v>
      </c>
      <c r="K137" s="111">
        <f>SUM(BI$95:BI$105)+SUM(BK$95:BK$105)+SUM(BM$95:BM$105)+SUM(BO$95:BO$105)</f>
        <v>1681509.6</v>
      </c>
      <c r="L137" s="111">
        <f>SUM(BQ$95:BQ$105)+SUM(BS$95:BS$105)+SUM(BU$95:BU$105)+SUM(BW$95:BW$105)</f>
        <v>1997620.7999999998</v>
      </c>
      <c r="M137" s="111">
        <f>SUM(BY$95:BY$105)+SUM(CA$95:CA$105)+SUM(CC$95:CC$105)+SUM(CE$95:CE$105)</f>
        <v>2247852.6992716021</v>
      </c>
      <c r="N137" s="111">
        <f>SUM(CG$95:CG$105)+SUM(CI$95:CI$105)+SUM(CK$95:CK$105)+SUM(CM$95:CM$105)</f>
        <v>350904.38688267767</v>
      </c>
      <c r="O137" s="111">
        <f>SUM(CO$95:CO$105)+SUM(CQ$95:CQ$105)+SUM(CS$95:CS$105)+SUM(CU$95:CU$105)</f>
        <v>700201.74900098739</v>
      </c>
    </row>
    <row r="138" spans="2:15" x14ac:dyDescent="0.25">
      <c r="C138" s="110" t="s">
        <v>277</v>
      </c>
      <c r="D138" s="105">
        <f t="shared" ref="D138:O138" si="2">SUM(D$131:D$137)</f>
        <v>350627.99999999994</v>
      </c>
      <c r="E138" s="105">
        <f t="shared" si="2"/>
        <v>1798323.6</v>
      </c>
      <c r="F138" s="105">
        <f t="shared" si="2"/>
        <v>2058818.4000000001</v>
      </c>
      <c r="G138" s="105">
        <f t="shared" si="2"/>
        <v>2491695.5999999996</v>
      </c>
      <c r="H138" s="105">
        <f t="shared" si="2"/>
        <v>3196689.5999999996</v>
      </c>
      <c r="I138" s="105">
        <f t="shared" si="2"/>
        <v>3711752.4</v>
      </c>
      <c r="J138" s="105">
        <f t="shared" si="2"/>
        <v>4748680.8</v>
      </c>
      <c r="K138" s="105">
        <f t="shared" si="2"/>
        <v>6487330.8000000007</v>
      </c>
      <c r="L138" s="105">
        <f t="shared" si="2"/>
        <v>8237349.5999999996</v>
      </c>
      <c r="M138" s="105">
        <f t="shared" si="2"/>
        <v>9524258.6578446403</v>
      </c>
      <c r="N138" s="105">
        <f t="shared" si="2"/>
        <v>1570004.2857021799</v>
      </c>
      <c r="O138" s="105">
        <f t="shared" si="2"/>
        <v>2641933.4099880089</v>
      </c>
    </row>
  </sheetData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U138"/>
  <sheetViews>
    <sheetView workbookViewId="0"/>
  </sheetViews>
  <sheetFormatPr defaultRowHeight="13.2" x14ac:dyDescent="0.25"/>
  <cols>
    <col min="1" max="16384" width="8.88671875" style="105"/>
  </cols>
  <sheetData>
    <row r="1" spans="1:99" x14ac:dyDescent="0.25">
      <c r="A1" s="106"/>
    </row>
    <row r="2" spans="1:99" x14ac:dyDescent="0.25">
      <c r="B2" s="107" t="s">
        <v>271</v>
      </c>
    </row>
    <row r="3" spans="1:99" x14ac:dyDescent="0.25">
      <c r="B3" s="108" t="s">
        <v>272</v>
      </c>
    </row>
    <row r="4" spans="1:99" x14ac:dyDescent="0.25">
      <c r="A4" s="106"/>
      <c r="B4" s="106"/>
      <c r="C4" s="104" t="s">
        <v>273</v>
      </c>
      <c r="D4" s="104" t="s">
        <v>92</v>
      </c>
      <c r="E4" s="106"/>
      <c r="F4" s="106"/>
      <c r="G4" s="106"/>
      <c r="H4" s="106"/>
      <c r="I4" s="106"/>
      <c r="J4" s="106"/>
      <c r="K4" s="106"/>
      <c r="L4" s="104" t="s">
        <v>93</v>
      </c>
      <c r="M4" s="106"/>
      <c r="N4" s="106"/>
      <c r="O4" s="106"/>
      <c r="P4" s="106"/>
      <c r="Q4" s="106"/>
      <c r="R4" s="106"/>
      <c r="S4" s="106"/>
      <c r="T4" s="104" t="s">
        <v>94</v>
      </c>
      <c r="U4" s="106"/>
      <c r="V4" s="106"/>
      <c r="W4" s="106"/>
      <c r="X4" s="106"/>
      <c r="Y4" s="106"/>
      <c r="Z4" s="106"/>
      <c r="AA4" s="106"/>
      <c r="AB4" s="104" t="s">
        <v>95</v>
      </c>
      <c r="AC4" s="106"/>
      <c r="AD4" s="106"/>
      <c r="AE4" s="106"/>
      <c r="AF4" s="106"/>
      <c r="AG4" s="106"/>
      <c r="AH4" s="106"/>
      <c r="AI4" s="106"/>
      <c r="AJ4" s="104" t="s">
        <v>96</v>
      </c>
      <c r="AK4" s="106"/>
      <c r="AL4" s="106"/>
      <c r="AM4" s="106"/>
      <c r="AN4" s="106"/>
      <c r="AO4" s="106"/>
      <c r="AP4" s="106"/>
      <c r="AQ4" s="106"/>
      <c r="AR4" s="104" t="s">
        <v>97</v>
      </c>
      <c r="AS4" s="106"/>
      <c r="AT4" s="106"/>
      <c r="AU4" s="106"/>
      <c r="AV4" s="106"/>
      <c r="AW4" s="106"/>
      <c r="AX4" s="106"/>
      <c r="AY4" s="106"/>
      <c r="AZ4" s="104" t="s">
        <v>98</v>
      </c>
      <c r="BA4" s="106"/>
      <c r="BB4" s="106"/>
      <c r="BC4" s="106"/>
      <c r="BD4" s="106"/>
      <c r="BE4" s="106"/>
      <c r="BF4" s="106"/>
      <c r="BG4" s="106"/>
      <c r="BH4" s="104" t="s">
        <v>99</v>
      </c>
      <c r="BI4" s="106"/>
      <c r="BJ4" s="106"/>
      <c r="BK4" s="106"/>
      <c r="BL4" s="106"/>
      <c r="BM4" s="106"/>
      <c r="BN4" s="106"/>
      <c r="BO4" s="106"/>
      <c r="BP4" s="104" t="s">
        <v>100</v>
      </c>
      <c r="BQ4" s="106"/>
      <c r="BR4" s="106"/>
      <c r="BS4" s="106"/>
      <c r="BT4" s="106"/>
      <c r="BU4" s="106"/>
      <c r="BV4" s="106"/>
      <c r="BW4" s="106"/>
      <c r="BX4" s="104" t="s">
        <v>101</v>
      </c>
      <c r="BY4" s="106"/>
      <c r="BZ4" s="106"/>
      <c r="CA4" s="106"/>
      <c r="CB4" s="106"/>
      <c r="CC4" s="106"/>
      <c r="CD4" s="106"/>
      <c r="CE4" s="106"/>
      <c r="CF4" s="104" t="s">
        <v>102</v>
      </c>
      <c r="CG4" s="106"/>
      <c r="CH4" s="106"/>
      <c r="CI4" s="106"/>
      <c r="CJ4" s="106"/>
      <c r="CK4" s="106"/>
      <c r="CL4" s="106"/>
      <c r="CM4" s="106"/>
      <c r="CN4" s="104" t="s">
        <v>103</v>
      </c>
      <c r="CO4" s="106"/>
      <c r="CP4" s="106"/>
      <c r="CQ4" s="106"/>
      <c r="CR4" s="106"/>
      <c r="CS4" s="106"/>
      <c r="CT4" s="106"/>
      <c r="CU4" s="106"/>
    </row>
    <row r="5" spans="1:99" x14ac:dyDescent="0.25">
      <c r="B5" s="104" t="s">
        <v>166</v>
      </c>
      <c r="C5" s="104" t="s">
        <v>274</v>
      </c>
      <c r="D5" s="104">
        <v>1</v>
      </c>
      <c r="E5" s="104"/>
      <c r="F5" s="104">
        <v>2</v>
      </c>
      <c r="G5" s="104"/>
      <c r="H5" s="104">
        <v>3</v>
      </c>
      <c r="I5" s="104"/>
      <c r="J5" s="104">
        <v>4</v>
      </c>
      <c r="K5" s="104"/>
      <c r="L5" s="104">
        <v>1</v>
      </c>
      <c r="M5" s="104"/>
      <c r="N5" s="104">
        <v>2</v>
      </c>
      <c r="O5" s="104"/>
      <c r="P5" s="104">
        <v>3</v>
      </c>
      <c r="Q5" s="104"/>
      <c r="R5" s="104">
        <v>4</v>
      </c>
      <c r="S5" s="104"/>
      <c r="T5" s="104">
        <v>1</v>
      </c>
      <c r="U5" s="104"/>
      <c r="V5" s="104">
        <v>2</v>
      </c>
      <c r="W5" s="104"/>
      <c r="X5" s="104">
        <v>3</v>
      </c>
      <c r="Y5" s="104"/>
      <c r="Z5" s="104">
        <v>4</v>
      </c>
      <c r="AA5" s="104"/>
      <c r="AB5" s="104">
        <v>1</v>
      </c>
      <c r="AC5" s="104"/>
      <c r="AD5" s="104">
        <v>2</v>
      </c>
      <c r="AE5" s="104"/>
      <c r="AF5" s="104">
        <v>3</v>
      </c>
      <c r="AG5" s="104"/>
      <c r="AH5" s="104">
        <v>4</v>
      </c>
      <c r="AI5" s="104"/>
      <c r="AJ5" s="104">
        <v>1</v>
      </c>
      <c r="AK5" s="104"/>
      <c r="AL5" s="104">
        <v>2</v>
      </c>
      <c r="AM5" s="104"/>
      <c r="AN5" s="104">
        <v>3</v>
      </c>
      <c r="AO5" s="104"/>
      <c r="AP5" s="104">
        <v>4</v>
      </c>
      <c r="AQ5" s="104"/>
      <c r="AR5" s="104">
        <v>1</v>
      </c>
      <c r="AS5" s="104"/>
      <c r="AT5" s="104">
        <v>2</v>
      </c>
      <c r="AU5" s="104"/>
      <c r="AV5" s="104">
        <v>3</v>
      </c>
      <c r="AW5" s="104"/>
      <c r="AX5" s="104">
        <v>4</v>
      </c>
      <c r="AY5" s="104"/>
      <c r="AZ5" s="104">
        <v>1</v>
      </c>
      <c r="BA5" s="104"/>
      <c r="BB5" s="104">
        <v>2</v>
      </c>
      <c r="BC5" s="104"/>
      <c r="BD5" s="104">
        <v>3</v>
      </c>
      <c r="BE5" s="104"/>
      <c r="BF5" s="104">
        <v>4</v>
      </c>
      <c r="BG5" s="104"/>
      <c r="BH5" s="104">
        <v>1</v>
      </c>
      <c r="BI5" s="104"/>
      <c r="BJ5" s="104">
        <v>2</v>
      </c>
      <c r="BK5" s="104"/>
      <c r="BL5" s="104">
        <v>3</v>
      </c>
      <c r="BM5" s="104"/>
      <c r="BN5" s="104">
        <v>4</v>
      </c>
      <c r="BO5" s="104"/>
      <c r="BP5" s="104">
        <v>1</v>
      </c>
      <c r="BQ5" s="104"/>
      <c r="BR5" s="104">
        <v>2</v>
      </c>
      <c r="BS5" s="104"/>
      <c r="BT5" s="104">
        <v>3</v>
      </c>
      <c r="BU5" s="104"/>
      <c r="BV5" s="104">
        <v>4</v>
      </c>
      <c r="BW5" s="104"/>
      <c r="BX5" s="104">
        <v>1</v>
      </c>
      <c r="BY5" s="104"/>
      <c r="BZ5" s="104">
        <v>2</v>
      </c>
      <c r="CA5" s="104"/>
      <c r="CB5" s="104">
        <v>3</v>
      </c>
      <c r="CC5" s="104"/>
      <c r="CD5" s="104">
        <v>4</v>
      </c>
      <c r="CE5" s="104"/>
      <c r="CF5" s="104">
        <v>1</v>
      </c>
      <c r="CG5" s="104"/>
      <c r="CH5" s="104">
        <v>2</v>
      </c>
      <c r="CI5" s="104"/>
      <c r="CJ5" s="104">
        <v>3</v>
      </c>
      <c r="CK5" s="104"/>
      <c r="CL5" s="104">
        <v>4</v>
      </c>
      <c r="CM5" s="104"/>
      <c r="CN5" s="104">
        <v>1</v>
      </c>
      <c r="CO5" s="104"/>
      <c r="CP5" s="104">
        <v>2</v>
      </c>
      <c r="CQ5" s="104"/>
      <c r="CR5" s="104">
        <v>3</v>
      </c>
      <c r="CS5" s="104"/>
      <c r="CT5" s="104">
        <v>4</v>
      </c>
      <c r="CU5" s="104"/>
    </row>
    <row r="6" spans="1:99" x14ac:dyDescent="0.25">
      <c r="B6" s="104" t="s">
        <v>126</v>
      </c>
      <c r="C6" s="104" t="s">
        <v>171</v>
      </c>
      <c r="D6" s="105">
        <v>0</v>
      </c>
      <c r="E6" s="105">
        <v>0</v>
      </c>
      <c r="F6" s="105">
        <v>0</v>
      </c>
      <c r="G6" s="105">
        <v>0</v>
      </c>
      <c r="H6" s="105">
        <v>4</v>
      </c>
      <c r="I6" s="105">
        <v>2313.6</v>
      </c>
      <c r="J6" s="105">
        <v>4</v>
      </c>
      <c r="K6" s="105">
        <v>2313.6</v>
      </c>
      <c r="L6" s="105">
        <v>5</v>
      </c>
      <c r="M6" s="105">
        <v>2892</v>
      </c>
      <c r="N6" s="105">
        <v>4</v>
      </c>
      <c r="O6" s="105">
        <v>2313.6</v>
      </c>
      <c r="P6" s="105">
        <v>6</v>
      </c>
      <c r="Q6" s="105">
        <v>3470.3999999999996</v>
      </c>
      <c r="R6" s="105">
        <v>3</v>
      </c>
      <c r="S6" s="105">
        <v>1735.1999999999998</v>
      </c>
      <c r="T6" s="105">
        <v>5</v>
      </c>
      <c r="U6" s="105">
        <v>2892</v>
      </c>
      <c r="V6" s="105">
        <v>6</v>
      </c>
      <c r="W6" s="105">
        <v>3470.3999999999996</v>
      </c>
      <c r="X6" s="105">
        <v>6</v>
      </c>
      <c r="Y6" s="105">
        <v>3470.3999999999996</v>
      </c>
      <c r="Z6" s="105">
        <v>5</v>
      </c>
      <c r="AA6" s="105">
        <v>2892</v>
      </c>
      <c r="AB6" s="105">
        <v>4</v>
      </c>
      <c r="AC6" s="105">
        <v>2313.6</v>
      </c>
      <c r="AD6" s="105">
        <v>8</v>
      </c>
      <c r="AE6" s="105">
        <v>4627.2</v>
      </c>
      <c r="AF6" s="105">
        <v>7</v>
      </c>
      <c r="AG6" s="105">
        <v>4048.7999999999997</v>
      </c>
      <c r="AH6" s="105">
        <v>7</v>
      </c>
      <c r="AI6" s="105">
        <v>4048.7999999999997</v>
      </c>
      <c r="AJ6" s="105">
        <v>9</v>
      </c>
      <c r="AK6" s="105">
        <v>5205.5999999999995</v>
      </c>
      <c r="AL6" s="105">
        <v>6</v>
      </c>
      <c r="AM6" s="105">
        <v>3470.3999999999996</v>
      </c>
      <c r="AN6" s="105">
        <v>10</v>
      </c>
      <c r="AO6" s="105">
        <v>5784</v>
      </c>
      <c r="AP6" s="105">
        <v>5</v>
      </c>
      <c r="AQ6" s="105">
        <v>2892</v>
      </c>
      <c r="AR6" s="105">
        <v>10</v>
      </c>
      <c r="AS6" s="105">
        <v>5784</v>
      </c>
      <c r="AT6" s="105">
        <v>9</v>
      </c>
      <c r="AU6" s="105">
        <v>5205.5999999999995</v>
      </c>
      <c r="AV6" s="105">
        <v>9</v>
      </c>
      <c r="AW6" s="105">
        <v>5205.5999999999995</v>
      </c>
      <c r="AX6" s="105">
        <v>11</v>
      </c>
      <c r="AY6" s="105">
        <v>6362.4</v>
      </c>
      <c r="AZ6" s="105">
        <v>9</v>
      </c>
      <c r="BA6" s="105">
        <v>5205.5999999999995</v>
      </c>
      <c r="BB6" s="105">
        <v>16</v>
      </c>
      <c r="BC6" s="105">
        <v>9254.4</v>
      </c>
      <c r="BD6" s="105">
        <v>9</v>
      </c>
      <c r="BE6" s="105">
        <v>5205.5999999999995</v>
      </c>
      <c r="BF6" s="105">
        <v>12</v>
      </c>
      <c r="BG6" s="105">
        <v>6940.7999999999993</v>
      </c>
      <c r="BH6" s="105">
        <v>22</v>
      </c>
      <c r="BI6" s="105">
        <v>12724.8</v>
      </c>
      <c r="BJ6" s="105">
        <v>17</v>
      </c>
      <c r="BK6" s="105">
        <v>9832.7999999999993</v>
      </c>
      <c r="BL6" s="105">
        <v>12</v>
      </c>
      <c r="BM6" s="105">
        <v>6940.7999999999993</v>
      </c>
      <c r="BN6" s="105">
        <v>21</v>
      </c>
      <c r="BO6" s="105">
        <v>12146.4</v>
      </c>
      <c r="BP6" s="105">
        <v>30</v>
      </c>
      <c r="BQ6" s="105">
        <v>17352</v>
      </c>
      <c r="BR6" s="105">
        <v>2.9048893290886837</v>
      </c>
      <c r="BS6" s="105">
        <v>1680.1879879448945</v>
      </c>
      <c r="BT6" s="105">
        <v>10.717277629007754</v>
      </c>
      <c r="BU6" s="105">
        <v>6198.8733806180844</v>
      </c>
      <c r="BV6" s="105">
        <v>26</v>
      </c>
      <c r="BW6" s="105">
        <v>15038.4</v>
      </c>
      <c r="BX6" s="105">
        <v>11.411894575514038</v>
      </c>
      <c r="BY6" s="105">
        <v>6600.6398224773193</v>
      </c>
      <c r="BZ6" s="105">
        <v>2.9338229989694269</v>
      </c>
      <c r="CA6" s="105">
        <v>1696.9232226039164</v>
      </c>
      <c r="CB6" s="105">
        <v>24.15759406375653</v>
      </c>
      <c r="CC6" s="105">
        <v>13972.752406476777</v>
      </c>
      <c r="CD6" s="105">
        <v>20.307553445393484</v>
      </c>
      <c r="CE6" s="105">
        <v>11745.888912815592</v>
      </c>
      <c r="CF6" s="105">
        <v>1.5146710526315792</v>
      </c>
      <c r="CG6" s="105">
        <v>876.08573684210535</v>
      </c>
      <c r="CH6" s="105">
        <v>13.473304467160888</v>
      </c>
      <c r="CI6" s="105">
        <v>7792.9593038058574</v>
      </c>
      <c r="CJ6" s="105">
        <v>8.7633622057179075</v>
      </c>
      <c r="CK6" s="105">
        <v>5068.7286997872379</v>
      </c>
      <c r="CL6" s="105">
        <v>41.634723013471906</v>
      </c>
      <c r="CM6" s="105">
        <v>24081.523790992149</v>
      </c>
      <c r="CN6" s="105">
        <v>17.835658326018539</v>
      </c>
      <c r="CO6" s="105">
        <v>10316.144775769122</v>
      </c>
      <c r="CP6" s="105">
        <v>13.375054897047404</v>
      </c>
      <c r="CQ6" s="105">
        <v>7736.1317524522183</v>
      </c>
      <c r="CR6" s="105">
        <v>2.8497879235710304</v>
      </c>
      <c r="CS6" s="105">
        <v>1648.3173349934839</v>
      </c>
      <c r="CT6" s="105">
        <v>9.4160353366039065</v>
      </c>
      <c r="CU6" s="105">
        <v>5446.2348386916992</v>
      </c>
    </row>
    <row r="7" spans="1:99" x14ac:dyDescent="0.25">
      <c r="C7" s="104" t="s">
        <v>172</v>
      </c>
      <c r="D7" s="105">
        <v>0</v>
      </c>
      <c r="E7" s="105">
        <v>0</v>
      </c>
      <c r="F7" s="105">
        <v>0</v>
      </c>
      <c r="G7" s="105">
        <v>0</v>
      </c>
      <c r="H7" s="105">
        <v>4</v>
      </c>
      <c r="I7" s="105">
        <v>3153.6</v>
      </c>
      <c r="J7" s="105">
        <v>4</v>
      </c>
      <c r="K7" s="105">
        <v>3153.6</v>
      </c>
      <c r="L7" s="105">
        <v>5</v>
      </c>
      <c r="M7" s="105">
        <v>3942</v>
      </c>
      <c r="N7" s="105">
        <v>4</v>
      </c>
      <c r="O7" s="105">
        <v>3153.6</v>
      </c>
      <c r="P7" s="105">
        <v>5</v>
      </c>
      <c r="Q7" s="105">
        <v>3942</v>
      </c>
      <c r="R7" s="105">
        <v>3</v>
      </c>
      <c r="S7" s="105">
        <v>2365.1999999999998</v>
      </c>
      <c r="T7" s="105">
        <v>5</v>
      </c>
      <c r="U7" s="105">
        <v>3942</v>
      </c>
      <c r="V7" s="105">
        <v>6</v>
      </c>
      <c r="W7" s="105">
        <v>4730.3999999999996</v>
      </c>
      <c r="X7" s="105">
        <v>6</v>
      </c>
      <c r="Y7" s="105">
        <v>4730.3999999999996</v>
      </c>
      <c r="Z7" s="105">
        <v>5</v>
      </c>
      <c r="AA7" s="105">
        <v>3942</v>
      </c>
      <c r="AB7" s="105">
        <v>4</v>
      </c>
      <c r="AC7" s="105">
        <v>3153.6</v>
      </c>
      <c r="AD7" s="105">
        <v>7</v>
      </c>
      <c r="AE7" s="105">
        <v>5518.8</v>
      </c>
      <c r="AF7" s="105">
        <v>8</v>
      </c>
      <c r="AG7" s="105">
        <v>6307.2</v>
      </c>
      <c r="AH7" s="105">
        <v>7</v>
      </c>
      <c r="AI7" s="105">
        <v>5518.8</v>
      </c>
      <c r="AJ7" s="105">
        <v>10</v>
      </c>
      <c r="AK7" s="105">
        <v>7884</v>
      </c>
      <c r="AL7" s="105">
        <v>6</v>
      </c>
      <c r="AM7" s="105">
        <v>4730.3999999999996</v>
      </c>
      <c r="AN7" s="105">
        <v>9</v>
      </c>
      <c r="AO7" s="105">
        <v>7095.5999999999995</v>
      </c>
      <c r="AP7" s="105">
        <v>5</v>
      </c>
      <c r="AQ7" s="105">
        <v>3942</v>
      </c>
      <c r="AR7" s="105">
        <v>9</v>
      </c>
      <c r="AS7" s="105">
        <v>7095.5999999999995</v>
      </c>
      <c r="AT7" s="105">
        <v>9</v>
      </c>
      <c r="AU7" s="105">
        <v>7095.5999999999995</v>
      </c>
      <c r="AV7" s="105">
        <v>9</v>
      </c>
      <c r="AW7" s="105">
        <v>7095.5999999999995</v>
      </c>
      <c r="AX7" s="105">
        <v>10</v>
      </c>
      <c r="AY7" s="105">
        <v>7884</v>
      </c>
      <c r="AZ7" s="105">
        <v>9</v>
      </c>
      <c r="BA7" s="105">
        <v>7095.5999999999995</v>
      </c>
      <c r="BB7" s="105">
        <v>15</v>
      </c>
      <c r="BC7" s="105">
        <v>11826</v>
      </c>
      <c r="BD7" s="105">
        <v>9</v>
      </c>
      <c r="BE7" s="105">
        <v>7095.5999999999995</v>
      </c>
      <c r="BF7" s="105">
        <v>11</v>
      </c>
      <c r="BG7" s="105">
        <v>8672.4</v>
      </c>
      <c r="BH7" s="105">
        <v>19</v>
      </c>
      <c r="BI7" s="105">
        <v>14979.6</v>
      </c>
      <c r="BJ7" s="105">
        <v>15</v>
      </c>
      <c r="BK7" s="105">
        <v>11826</v>
      </c>
      <c r="BL7" s="105">
        <v>12</v>
      </c>
      <c r="BM7" s="105">
        <v>9460.7999999999993</v>
      </c>
      <c r="BN7" s="105">
        <v>19</v>
      </c>
      <c r="BO7" s="105">
        <v>14979.6</v>
      </c>
      <c r="BP7" s="105">
        <v>27</v>
      </c>
      <c r="BQ7" s="105">
        <v>21286.799999999999</v>
      </c>
      <c r="BR7" s="105">
        <v>3.0210849022522308</v>
      </c>
      <c r="BS7" s="105">
        <v>2381.8233369356585</v>
      </c>
      <c r="BT7" s="105">
        <v>10.181413747557365</v>
      </c>
      <c r="BU7" s="105">
        <v>8027.0265985742262</v>
      </c>
      <c r="BV7" s="105">
        <v>24</v>
      </c>
      <c r="BW7" s="105">
        <v>18921.599999999999</v>
      </c>
      <c r="BX7" s="105">
        <v>12.449339536924406</v>
      </c>
      <c r="BY7" s="105">
        <v>9815.0592909112002</v>
      </c>
      <c r="BZ7" s="105">
        <v>2.8034308656818969</v>
      </c>
      <c r="CA7" s="105">
        <v>2210.2248945036076</v>
      </c>
      <c r="CB7" s="105">
        <v>23.425545758794211</v>
      </c>
      <c r="CC7" s="105">
        <v>18468.700276233354</v>
      </c>
      <c r="CD7" s="105">
        <v>16.621324939499324</v>
      </c>
      <c r="CE7" s="105">
        <v>13104.252582301267</v>
      </c>
      <c r="CF7" s="105">
        <v>1.3748552631578952</v>
      </c>
      <c r="CG7" s="105">
        <v>1083.9358894736845</v>
      </c>
      <c r="CH7" s="105">
        <v>12.577311954781038</v>
      </c>
      <c r="CI7" s="105">
        <v>9915.9527451493705</v>
      </c>
      <c r="CJ7" s="105">
        <v>8.6220496783805807</v>
      </c>
      <c r="CK7" s="105">
        <v>6797.6239664352497</v>
      </c>
      <c r="CL7" s="105">
        <v>41.070551270915807</v>
      </c>
      <c r="CM7" s="105">
        <v>32380.022621990021</v>
      </c>
      <c r="CN7" s="105">
        <v>16.74811818418814</v>
      </c>
      <c r="CO7" s="105">
        <v>13204.21637641393</v>
      </c>
      <c r="CP7" s="105">
        <v>11.622401208166425</v>
      </c>
      <c r="CQ7" s="105">
        <v>9163.1011125184086</v>
      </c>
      <c r="CR7" s="105">
        <v>2.9865777439024397</v>
      </c>
      <c r="CS7" s="105">
        <v>2354.6178932926832</v>
      </c>
      <c r="CT7" s="105">
        <v>9.0752849698348328</v>
      </c>
      <c r="CU7" s="105">
        <v>7154.9546702177822</v>
      </c>
    </row>
    <row r="8" spans="1:99" x14ac:dyDescent="0.25">
      <c r="C8" s="104" t="s">
        <v>173</v>
      </c>
      <c r="D8" s="105">
        <v>0</v>
      </c>
      <c r="E8" s="105">
        <v>0</v>
      </c>
      <c r="F8" s="105">
        <v>0</v>
      </c>
      <c r="G8" s="105">
        <v>0</v>
      </c>
      <c r="H8" s="105">
        <v>4</v>
      </c>
      <c r="I8" s="105">
        <v>1238.3999999999999</v>
      </c>
      <c r="J8" s="105">
        <v>4</v>
      </c>
      <c r="K8" s="105">
        <v>1238.3999999999999</v>
      </c>
      <c r="L8" s="105">
        <v>4</v>
      </c>
      <c r="M8" s="105">
        <v>1238.3999999999999</v>
      </c>
      <c r="N8" s="105">
        <v>4</v>
      </c>
      <c r="O8" s="105">
        <v>1238.3999999999999</v>
      </c>
      <c r="P8" s="105">
        <v>5</v>
      </c>
      <c r="Q8" s="105">
        <v>1547.9999999999998</v>
      </c>
      <c r="R8" s="105">
        <v>3</v>
      </c>
      <c r="S8" s="105">
        <v>928.8</v>
      </c>
      <c r="T8" s="105">
        <v>6</v>
      </c>
      <c r="U8" s="105">
        <v>1857.6</v>
      </c>
      <c r="V8" s="105">
        <v>7</v>
      </c>
      <c r="W8" s="105">
        <v>2167.1999999999998</v>
      </c>
      <c r="X8" s="105">
        <v>5</v>
      </c>
      <c r="Y8" s="105">
        <v>1547.9999999999998</v>
      </c>
      <c r="Z8" s="105">
        <v>6</v>
      </c>
      <c r="AA8" s="105">
        <v>1857.6</v>
      </c>
      <c r="AB8" s="105">
        <v>4</v>
      </c>
      <c r="AC8" s="105">
        <v>1238.3999999999999</v>
      </c>
      <c r="AD8" s="105">
        <v>7</v>
      </c>
      <c r="AE8" s="105">
        <v>2167.1999999999998</v>
      </c>
      <c r="AF8" s="105">
        <v>7</v>
      </c>
      <c r="AG8" s="105">
        <v>2167.1999999999998</v>
      </c>
      <c r="AH8" s="105">
        <v>7</v>
      </c>
      <c r="AI8" s="105">
        <v>2167.1999999999998</v>
      </c>
      <c r="AJ8" s="105">
        <v>10</v>
      </c>
      <c r="AK8" s="105">
        <v>3095.9999999999995</v>
      </c>
      <c r="AL8" s="105">
        <v>6</v>
      </c>
      <c r="AM8" s="105">
        <v>1857.6</v>
      </c>
      <c r="AN8" s="105">
        <v>10</v>
      </c>
      <c r="AO8" s="105">
        <v>3095.9999999999995</v>
      </c>
      <c r="AP8" s="105">
        <v>5</v>
      </c>
      <c r="AQ8" s="105">
        <v>1547.9999999999998</v>
      </c>
      <c r="AR8" s="105">
        <v>10</v>
      </c>
      <c r="AS8" s="105">
        <v>3095.9999999999995</v>
      </c>
      <c r="AT8" s="105">
        <v>10</v>
      </c>
      <c r="AU8" s="105">
        <v>3095.9999999999995</v>
      </c>
      <c r="AV8" s="105">
        <v>9</v>
      </c>
      <c r="AW8" s="105">
        <v>2786.3999999999996</v>
      </c>
      <c r="AX8" s="105">
        <v>10</v>
      </c>
      <c r="AY8" s="105">
        <v>3095.9999999999995</v>
      </c>
      <c r="AZ8" s="105">
        <v>8</v>
      </c>
      <c r="BA8" s="105">
        <v>2476.7999999999997</v>
      </c>
      <c r="BB8" s="105">
        <v>17</v>
      </c>
      <c r="BC8" s="105">
        <v>5263.2</v>
      </c>
      <c r="BD8" s="105">
        <v>8</v>
      </c>
      <c r="BE8" s="105">
        <v>2476.7999999999997</v>
      </c>
      <c r="BF8" s="105">
        <v>12</v>
      </c>
      <c r="BG8" s="105">
        <v>3715.2</v>
      </c>
      <c r="BH8" s="105">
        <v>23</v>
      </c>
      <c r="BI8" s="105">
        <v>7120.7999999999993</v>
      </c>
      <c r="BJ8" s="105">
        <v>18</v>
      </c>
      <c r="BK8" s="105">
        <v>5572.7999999999993</v>
      </c>
      <c r="BL8" s="105">
        <v>13</v>
      </c>
      <c r="BM8" s="105">
        <v>4024.7999999999997</v>
      </c>
      <c r="BN8" s="105">
        <v>22</v>
      </c>
      <c r="BO8" s="105">
        <v>6811.1999999999989</v>
      </c>
      <c r="BP8" s="105">
        <v>32</v>
      </c>
      <c r="BQ8" s="105">
        <v>9907.1999999999989</v>
      </c>
      <c r="BR8" s="105">
        <v>2.7886937559251361</v>
      </c>
      <c r="BS8" s="105">
        <v>863.37958683442207</v>
      </c>
      <c r="BT8" s="105">
        <v>11.253141510458141</v>
      </c>
      <c r="BU8" s="105">
        <v>3483.9726116378401</v>
      </c>
      <c r="BV8" s="105">
        <v>24</v>
      </c>
      <c r="BW8" s="105">
        <v>7430.4</v>
      </c>
      <c r="BX8" s="105">
        <v>12.103524549787616</v>
      </c>
      <c r="BY8" s="105">
        <v>3747.2512006142456</v>
      </c>
      <c r="BZ8" s="105">
        <v>2.8034308656818969</v>
      </c>
      <c r="CA8" s="105">
        <v>867.9421960151152</v>
      </c>
      <c r="CB8" s="105">
        <v>26.353738978643488</v>
      </c>
      <c r="CC8" s="105">
        <v>8159.1175877880232</v>
      </c>
      <c r="CD8" s="105">
        <v>20.540416467066574</v>
      </c>
      <c r="CE8" s="105">
        <v>6359.3129382038105</v>
      </c>
      <c r="CF8" s="105">
        <v>1.561276315789474</v>
      </c>
      <c r="CG8" s="105">
        <v>483.37114736842108</v>
      </c>
      <c r="CH8" s="105">
        <v>12.133073580482476</v>
      </c>
      <c r="CI8" s="105">
        <v>3756.399580517374</v>
      </c>
      <c r="CJ8" s="105">
        <v>9.1765962096105387</v>
      </c>
      <c r="CK8" s="105">
        <v>2841.0741864954225</v>
      </c>
      <c r="CL8" s="105">
        <v>40.096673293617279</v>
      </c>
      <c r="CM8" s="105">
        <v>12413.930051703908</v>
      </c>
      <c r="CN8" s="105">
        <v>20.228246638045416</v>
      </c>
      <c r="CO8" s="105">
        <v>6262.66515913886</v>
      </c>
      <c r="CP8" s="105">
        <v>13.214669648291117</v>
      </c>
      <c r="CQ8" s="105">
        <v>4091.2617231109293</v>
      </c>
      <c r="CR8" s="105">
        <v>2.8953845303481667</v>
      </c>
      <c r="CS8" s="105">
        <v>896.41105059579229</v>
      </c>
      <c r="CT8" s="105">
        <v>9.4260893890766884</v>
      </c>
      <c r="CU8" s="105">
        <v>2918.3172748581424</v>
      </c>
    </row>
    <row r="9" spans="1:99" x14ac:dyDescent="0.25">
      <c r="C9" s="104" t="s">
        <v>174</v>
      </c>
      <c r="D9" s="105">
        <v>0</v>
      </c>
      <c r="E9" s="105">
        <v>0</v>
      </c>
      <c r="F9" s="105">
        <v>0</v>
      </c>
      <c r="G9" s="105">
        <v>0</v>
      </c>
      <c r="H9" s="105">
        <v>4</v>
      </c>
      <c r="I9" s="105">
        <v>2808</v>
      </c>
      <c r="J9" s="105">
        <v>4</v>
      </c>
      <c r="K9" s="105">
        <v>2808</v>
      </c>
      <c r="L9" s="105">
        <v>5</v>
      </c>
      <c r="M9" s="105">
        <v>3510</v>
      </c>
      <c r="N9" s="105">
        <v>4</v>
      </c>
      <c r="O9" s="105">
        <v>2808</v>
      </c>
      <c r="P9" s="105">
        <v>5</v>
      </c>
      <c r="Q9" s="105">
        <v>3510</v>
      </c>
      <c r="R9" s="105">
        <v>3</v>
      </c>
      <c r="S9" s="105">
        <v>2106</v>
      </c>
      <c r="T9" s="105">
        <v>5</v>
      </c>
      <c r="U9" s="105">
        <v>3510</v>
      </c>
      <c r="V9" s="105">
        <v>6</v>
      </c>
      <c r="W9" s="105">
        <v>4212</v>
      </c>
      <c r="X9" s="105">
        <v>5</v>
      </c>
      <c r="Y9" s="105">
        <v>3510</v>
      </c>
      <c r="Z9" s="105">
        <v>5</v>
      </c>
      <c r="AA9" s="105">
        <v>3510</v>
      </c>
      <c r="AB9" s="105">
        <v>4</v>
      </c>
      <c r="AC9" s="105">
        <v>2808</v>
      </c>
      <c r="AD9" s="105">
        <v>7</v>
      </c>
      <c r="AE9" s="105">
        <v>4914</v>
      </c>
      <c r="AF9" s="105">
        <v>7</v>
      </c>
      <c r="AG9" s="105">
        <v>4914</v>
      </c>
      <c r="AH9" s="105">
        <v>6</v>
      </c>
      <c r="AI9" s="105">
        <v>4212</v>
      </c>
      <c r="AJ9" s="105">
        <v>9</v>
      </c>
      <c r="AK9" s="105">
        <v>6318</v>
      </c>
      <c r="AL9" s="105">
        <v>6</v>
      </c>
      <c r="AM9" s="105">
        <v>4212</v>
      </c>
      <c r="AN9" s="105">
        <v>9</v>
      </c>
      <c r="AO9" s="105">
        <v>6318</v>
      </c>
      <c r="AP9" s="105">
        <v>6</v>
      </c>
      <c r="AQ9" s="105">
        <v>4212</v>
      </c>
      <c r="AR9" s="105">
        <v>10</v>
      </c>
      <c r="AS9" s="105">
        <v>7020</v>
      </c>
      <c r="AT9" s="105">
        <v>10</v>
      </c>
      <c r="AU9" s="105">
        <v>7020</v>
      </c>
      <c r="AV9" s="105">
        <v>9</v>
      </c>
      <c r="AW9" s="105">
        <v>6318</v>
      </c>
      <c r="AX9" s="105">
        <v>9</v>
      </c>
      <c r="AY9" s="105">
        <v>6318</v>
      </c>
      <c r="AZ9" s="105">
        <v>8</v>
      </c>
      <c r="BA9" s="105">
        <v>5616</v>
      </c>
      <c r="BB9" s="105">
        <v>15</v>
      </c>
      <c r="BC9" s="105">
        <v>10530</v>
      </c>
      <c r="BD9" s="105">
        <v>9</v>
      </c>
      <c r="BE9" s="105">
        <v>6318</v>
      </c>
      <c r="BF9" s="105">
        <v>11</v>
      </c>
      <c r="BG9" s="105">
        <v>7722</v>
      </c>
      <c r="BH9" s="105">
        <v>21</v>
      </c>
      <c r="BI9" s="105">
        <v>14742</v>
      </c>
      <c r="BJ9" s="105">
        <v>16</v>
      </c>
      <c r="BK9" s="105">
        <v>11232</v>
      </c>
      <c r="BL9" s="105">
        <v>13</v>
      </c>
      <c r="BM9" s="105">
        <v>9126</v>
      </c>
      <c r="BN9" s="105">
        <v>22</v>
      </c>
      <c r="BO9" s="105">
        <v>15444</v>
      </c>
      <c r="BP9" s="105">
        <v>28</v>
      </c>
      <c r="BQ9" s="105">
        <v>19656</v>
      </c>
      <c r="BR9" s="105">
        <v>3.0210849022522308</v>
      </c>
      <c r="BS9" s="105">
        <v>2120.8016013810661</v>
      </c>
      <c r="BT9" s="105">
        <v>11.253141510458141</v>
      </c>
      <c r="BU9" s="105">
        <v>7899.7053403416148</v>
      </c>
      <c r="BV9" s="105">
        <v>25</v>
      </c>
      <c r="BW9" s="105">
        <v>17550</v>
      </c>
      <c r="BX9" s="105">
        <v>10.72026460124046</v>
      </c>
      <c r="BY9" s="105">
        <v>7525.6257500708034</v>
      </c>
      <c r="BZ9" s="105">
        <v>2.4122544658193066</v>
      </c>
      <c r="CA9" s="105">
        <v>1693.4026350051531</v>
      </c>
      <c r="CB9" s="105">
        <v>22.693497453831895</v>
      </c>
      <c r="CC9" s="105">
        <v>15930.835212589991</v>
      </c>
      <c r="CD9" s="105">
        <v>19.160933864832444</v>
      </c>
      <c r="CE9" s="105">
        <v>13450.975573112375</v>
      </c>
      <c r="CF9" s="105">
        <v>1.4680657894736846</v>
      </c>
      <c r="CG9" s="105">
        <v>1030.5821842105265</v>
      </c>
      <c r="CH9" s="105">
        <v>13.004639860568485</v>
      </c>
      <c r="CI9" s="105">
        <v>9129.2571821190759</v>
      </c>
      <c r="CJ9" s="105">
        <v>9.1112917350015508</v>
      </c>
      <c r="CK9" s="105">
        <v>6396.1267979710883</v>
      </c>
      <c r="CL9" s="105">
        <v>38.187533715973636</v>
      </c>
      <c r="CM9" s="105">
        <v>26807.648668613492</v>
      </c>
      <c r="CN9" s="105">
        <v>18.923198467848938</v>
      </c>
      <c r="CO9" s="105">
        <v>13284.085324429954</v>
      </c>
      <c r="CP9" s="105">
        <v>12.515461620328832</v>
      </c>
      <c r="CQ9" s="105">
        <v>8785.8540574708404</v>
      </c>
      <c r="CR9" s="105">
        <v>2.6901997998510523</v>
      </c>
      <c r="CS9" s="105">
        <v>1888.5202594954387</v>
      </c>
      <c r="CT9" s="105">
        <v>9.9940066670251451</v>
      </c>
      <c r="CU9" s="105">
        <v>7015.7926802516522</v>
      </c>
    </row>
    <row r="10" spans="1:99" x14ac:dyDescent="0.25">
      <c r="C10" s="104" t="s">
        <v>175</v>
      </c>
      <c r="D10" s="105">
        <v>0</v>
      </c>
      <c r="E10" s="105">
        <v>0</v>
      </c>
      <c r="F10" s="105">
        <v>0</v>
      </c>
      <c r="G10" s="105">
        <v>0</v>
      </c>
      <c r="H10" s="105">
        <v>4</v>
      </c>
      <c r="I10" s="105">
        <v>2179.1999999999998</v>
      </c>
      <c r="J10" s="105">
        <v>4</v>
      </c>
      <c r="K10" s="105">
        <v>2179.1999999999998</v>
      </c>
      <c r="L10" s="105">
        <v>5</v>
      </c>
      <c r="M10" s="105">
        <v>2724</v>
      </c>
      <c r="N10" s="105">
        <v>4</v>
      </c>
      <c r="O10" s="105">
        <v>2179.1999999999998</v>
      </c>
      <c r="P10" s="105">
        <v>5</v>
      </c>
      <c r="Q10" s="105">
        <v>2724</v>
      </c>
      <c r="R10" s="105">
        <v>3</v>
      </c>
      <c r="S10" s="105">
        <v>1634.3999999999999</v>
      </c>
      <c r="T10" s="105">
        <v>5</v>
      </c>
      <c r="U10" s="105">
        <v>2724</v>
      </c>
      <c r="V10" s="105">
        <v>6</v>
      </c>
      <c r="W10" s="105">
        <v>3268.7999999999997</v>
      </c>
      <c r="X10" s="105">
        <v>5</v>
      </c>
      <c r="Y10" s="105">
        <v>2724</v>
      </c>
      <c r="Z10" s="105">
        <v>6</v>
      </c>
      <c r="AA10" s="105">
        <v>3268.7999999999997</v>
      </c>
      <c r="AB10" s="105">
        <v>4</v>
      </c>
      <c r="AC10" s="105">
        <v>2179.1999999999998</v>
      </c>
      <c r="AD10" s="105">
        <v>7</v>
      </c>
      <c r="AE10" s="105">
        <v>3813.5999999999995</v>
      </c>
      <c r="AF10" s="105">
        <v>7</v>
      </c>
      <c r="AG10" s="105">
        <v>3813.5999999999995</v>
      </c>
      <c r="AH10" s="105">
        <v>7</v>
      </c>
      <c r="AI10" s="105">
        <v>3813.5999999999995</v>
      </c>
      <c r="AJ10" s="105">
        <v>10</v>
      </c>
      <c r="AK10" s="105">
        <v>5448</v>
      </c>
      <c r="AL10" s="105">
        <v>6</v>
      </c>
      <c r="AM10" s="105">
        <v>3268.7999999999997</v>
      </c>
      <c r="AN10" s="105">
        <v>10</v>
      </c>
      <c r="AO10" s="105">
        <v>5448</v>
      </c>
      <c r="AP10" s="105">
        <v>5</v>
      </c>
      <c r="AQ10" s="105">
        <v>2724</v>
      </c>
      <c r="AR10" s="105">
        <v>10</v>
      </c>
      <c r="AS10" s="105">
        <v>5448</v>
      </c>
      <c r="AT10" s="105">
        <v>9</v>
      </c>
      <c r="AU10" s="105">
        <v>4903.2</v>
      </c>
      <c r="AV10" s="105">
        <v>9</v>
      </c>
      <c r="AW10" s="105">
        <v>4903.2</v>
      </c>
      <c r="AX10" s="105">
        <v>9</v>
      </c>
      <c r="AY10" s="105">
        <v>4903.2</v>
      </c>
      <c r="AZ10" s="105">
        <v>9</v>
      </c>
      <c r="BA10" s="105">
        <v>4903.2</v>
      </c>
      <c r="BB10" s="105">
        <v>17</v>
      </c>
      <c r="BC10" s="105">
        <v>9261.5999999999985</v>
      </c>
      <c r="BD10" s="105">
        <v>9</v>
      </c>
      <c r="BE10" s="105">
        <v>4903.2</v>
      </c>
      <c r="BF10" s="105">
        <v>11</v>
      </c>
      <c r="BG10" s="105">
        <v>5992.7999999999993</v>
      </c>
      <c r="BH10" s="105">
        <v>21</v>
      </c>
      <c r="BI10" s="105">
        <v>11440.8</v>
      </c>
      <c r="BJ10" s="105">
        <v>17</v>
      </c>
      <c r="BK10" s="105">
        <v>9261.5999999999985</v>
      </c>
      <c r="BL10" s="105">
        <v>12</v>
      </c>
      <c r="BM10" s="105">
        <v>6537.5999999999995</v>
      </c>
      <c r="BN10" s="105">
        <v>22</v>
      </c>
      <c r="BO10" s="105">
        <v>11985.599999999999</v>
      </c>
      <c r="BP10" s="105">
        <v>30</v>
      </c>
      <c r="BQ10" s="105">
        <v>16343.999999999998</v>
      </c>
      <c r="BR10" s="105">
        <v>3.1372804754157784</v>
      </c>
      <c r="BS10" s="105">
        <v>1709.1904030065159</v>
      </c>
      <c r="BT10" s="105">
        <v>10.717277629007754</v>
      </c>
      <c r="BU10" s="105">
        <v>5838.7728522834241</v>
      </c>
      <c r="BV10" s="105">
        <v>27</v>
      </c>
      <c r="BW10" s="105">
        <v>14709.599999999999</v>
      </c>
      <c r="BX10" s="105">
        <v>13.140969511197984</v>
      </c>
      <c r="BY10" s="105">
        <v>7159.2001897006612</v>
      </c>
      <c r="BZ10" s="105">
        <v>2.7382347990381319</v>
      </c>
      <c r="CA10" s="105">
        <v>1491.7903185159741</v>
      </c>
      <c r="CB10" s="105">
        <v>23.425545758794211</v>
      </c>
      <c r="CC10" s="105">
        <v>12762.237329391086</v>
      </c>
      <c r="CD10" s="105">
        <v>19.523735139880031</v>
      </c>
      <c r="CE10" s="105">
        <v>10636.53090420664</v>
      </c>
      <c r="CF10" s="105">
        <v>1.4680657894736846</v>
      </c>
      <c r="CG10" s="105">
        <v>799.8022421052633</v>
      </c>
      <c r="CH10" s="105">
        <v>12.345798062903359</v>
      </c>
      <c r="CI10" s="105">
        <v>6725.9907846697497</v>
      </c>
      <c r="CJ10" s="105">
        <v>9.4918735015896871</v>
      </c>
      <c r="CK10" s="105">
        <v>5171.1726836660609</v>
      </c>
      <c r="CL10" s="105">
        <v>43.172772733326525</v>
      </c>
      <c r="CM10" s="105">
        <v>23520.526585116288</v>
      </c>
      <c r="CN10" s="105">
        <v>19.140706496215017</v>
      </c>
      <c r="CO10" s="105">
        <v>10427.85689913794</v>
      </c>
      <c r="CP10" s="105">
        <v>12.302919040554988</v>
      </c>
      <c r="CQ10" s="105">
        <v>6702.6302932943572</v>
      </c>
      <c r="CR10" s="105">
        <v>2.9181828337367346</v>
      </c>
      <c r="CS10" s="105">
        <v>1589.8260078197729</v>
      </c>
      <c r="CT10" s="105">
        <v>9.2978115491037006</v>
      </c>
      <c r="CU10" s="105">
        <v>5065.4477319516955</v>
      </c>
    </row>
    <row r="11" spans="1:99" x14ac:dyDescent="0.25">
      <c r="C11" s="104" t="s">
        <v>176</v>
      </c>
      <c r="D11" s="105">
        <v>0</v>
      </c>
      <c r="E11" s="105">
        <v>0</v>
      </c>
      <c r="F11" s="105">
        <v>0</v>
      </c>
      <c r="G11" s="105">
        <v>0</v>
      </c>
      <c r="H11" s="105">
        <v>4</v>
      </c>
      <c r="I11" s="105">
        <v>2131.1999999999998</v>
      </c>
      <c r="J11" s="105">
        <v>4</v>
      </c>
      <c r="K11" s="105">
        <v>2131.1999999999998</v>
      </c>
      <c r="L11" s="105">
        <v>5</v>
      </c>
      <c r="M11" s="105">
        <v>2664</v>
      </c>
      <c r="N11" s="105">
        <v>4</v>
      </c>
      <c r="O11" s="105">
        <v>2131.1999999999998</v>
      </c>
      <c r="P11" s="105">
        <v>5</v>
      </c>
      <c r="Q11" s="105">
        <v>2664</v>
      </c>
      <c r="R11" s="105">
        <v>3</v>
      </c>
      <c r="S11" s="105">
        <v>1598.3999999999999</v>
      </c>
      <c r="T11" s="105">
        <v>5</v>
      </c>
      <c r="U11" s="105">
        <v>2664</v>
      </c>
      <c r="V11" s="105">
        <v>6</v>
      </c>
      <c r="W11" s="105">
        <v>3196.7999999999997</v>
      </c>
      <c r="X11" s="105">
        <v>5</v>
      </c>
      <c r="Y11" s="105">
        <v>2664</v>
      </c>
      <c r="Z11" s="105">
        <v>6</v>
      </c>
      <c r="AA11" s="105">
        <v>3196.7999999999997</v>
      </c>
      <c r="AB11" s="105">
        <v>4</v>
      </c>
      <c r="AC11" s="105">
        <v>2131.1999999999998</v>
      </c>
      <c r="AD11" s="105">
        <v>7</v>
      </c>
      <c r="AE11" s="105">
        <v>3729.5999999999995</v>
      </c>
      <c r="AF11" s="105">
        <v>8</v>
      </c>
      <c r="AG11" s="105">
        <v>4262.3999999999996</v>
      </c>
      <c r="AH11" s="105">
        <v>7</v>
      </c>
      <c r="AI11" s="105">
        <v>3729.5999999999995</v>
      </c>
      <c r="AJ11" s="105">
        <v>10</v>
      </c>
      <c r="AK11" s="105">
        <v>5328</v>
      </c>
      <c r="AL11" s="105">
        <v>6</v>
      </c>
      <c r="AM11" s="105">
        <v>3196.7999999999997</v>
      </c>
      <c r="AN11" s="105">
        <v>9</v>
      </c>
      <c r="AO11" s="105">
        <v>4795.2</v>
      </c>
      <c r="AP11" s="105">
        <v>5</v>
      </c>
      <c r="AQ11" s="105">
        <v>2664</v>
      </c>
      <c r="AR11" s="105">
        <v>10</v>
      </c>
      <c r="AS11" s="105">
        <v>5328</v>
      </c>
      <c r="AT11" s="105">
        <v>9</v>
      </c>
      <c r="AU11" s="105">
        <v>4795.2</v>
      </c>
      <c r="AV11" s="105">
        <v>10</v>
      </c>
      <c r="AW11" s="105">
        <v>5328</v>
      </c>
      <c r="AX11" s="105">
        <v>11</v>
      </c>
      <c r="AY11" s="105">
        <v>5860.7999999999993</v>
      </c>
      <c r="AZ11" s="105">
        <v>8</v>
      </c>
      <c r="BA11" s="105">
        <v>4262.3999999999996</v>
      </c>
      <c r="BB11" s="105">
        <v>15</v>
      </c>
      <c r="BC11" s="105">
        <v>7991.9999999999991</v>
      </c>
      <c r="BD11" s="105">
        <v>10</v>
      </c>
      <c r="BE11" s="105">
        <v>5328</v>
      </c>
      <c r="BF11" s="105">
        <v>10</v>
      </c>
      <c r="BG11" s="105">
        <v>5328</v>
      </c>
      <c r="BH11" s="105">
        <v>22</v>
      </c>
      <c r="BI11" s="105">
        <v>11721.599999999999</v>
      </c>
      <c r="BJ11" s="105">
        <v>17</v>
      </c>
      <c r="BK11" s="105">
        <v>9057.5999999999985</v>
      </c>
      <c r="BL11" s="105">
        <v>12</v>
      </c>
      <c r="BM11" s="105">
        <v>6393.5999999999995</v>
      </c>
      <c r="BN11" s="105">
        <v>22</v>
      </c>
      <c r="BO11" s="105">
        <v>11721.599999999999</v>
      </c>
      <c r="BP11" s="105">
        <v>30</v>
      </c>
      <c r="BQ11" s="105">
        <v>15983.999999999998</v>
      </c>
      <c r="BR11" s="105">
        <v>3.0210849022522308</v>
      </c>
      <c r="BS11" s="105">
        <v>1609.6340359199885</v>
      </c>
      <c r="BT11" s="105">
        <v>9.6455498661069772</v>
      </c>
      <c r="BU11" s="105">
        <v>5139.148968661797</v>
      </c>
      <c r="BV11" s="105">
        <v>24</v>
      </c>
      <c r="BW11" s="105">
        <v>12787.199999999999</v>
      </c>
      <c r="BX11" s="105">
        <v>11.411894575514038</v>
      </c>
      <c r="BY11" s="105">
        <v>6080.2574298338795</v>
      </c>
      <c r="BZ11" s="105">
        <v>2.4774505324630716</v>
      </c>
      <c r="CA11" s="105">
        <v>1319.9856436963244</v>
      </c>
      <c r="CB11" s="105">
        <v>24.15759406375653</v>
      </c>
      <c r="CC11" s="105">
        <v>12871.166117169478</v>
      </c>
      <c r="CD11" s="105">
        <v>18.130745795107948</v>
      </c>
      <c r="CE11" s="105">
        <v>9660.0613596335133</v>
      </c>
      <c r="CF11" s="105">
        <v>1.2583421052631583</v>
      </c>
      <c r="CG11" s="105">
        <v>670.44467368421067</v>
      </c>
      <c r="CH11" s="105">
        <v>12.334524417229281</v>
      </c>
      <c r="CI11" s="105">
        <v>6571.8346094997605</v>
      </c>
      <c r="CJ11" s="105">
        <v>10.089775848243489</v>
      </c>
      <c r="CK11" s="105">
        <v>5375.8325719441309</v>
      </c>
      <c r="CL11" s="105">
        <v>36.962649288477913</v>
      </c>
      <c r="CM11" s="105">
        <v>19693.699540901031</v>
      </c>
      <c r="CN11" s="105">
        <v>18.053166354384619</v>
      </c>
      <c r="CO11" s="105">
        <v>9618.7270336161237</v>
      </c>
      <c r="CP11" s="105">
        <v>11.907387760747527</v>
      </c>
      <c r="CQ11" s="105">
        <v>6344.2561989262822</v>
      </c>
      <c r="CR11" s="105">
        <v>2.8041913167938937</v>
      </c>
      <c r="CS11" s="105">
        <v>1494.0731335877865</v>
      </c>
      <c r="CT11" s="105">
        <v>9.4106216160416398</v>
      </c>
      <c r="CU11" s="105">
        <v>5013.9791970269853</v>
      </c>
    </row>
    <row r="12" spans="1:99" x14ac:dyDescent="0.25">
      <c r="C12" s="104" t="s">
        <v>177</v>
      </c>
      <c r="D12" s="105">
        <v>0</v>
      </c>
      <c r="E12" s="105">
        <v>0</v>
      </c>
      <c r="F12" s="105">
        <v>0</v>
      </c>
      <c r="G12" s="105">
        <v>0</v>
      </c>
      <c r="H12" s="105">
        <v>4</v>
      </c>
      <c r="I12" s="105">
        <v>2251.1999999999998</v>
      </c>
      <c r="J12" s="105">
        <v>4</v>
      </c>
      <c r="K12" s="105">
        <v>2251.1999999999998</v>
      </c>
      <c r="L12" s="105">
        <v>4</v>
      </c>
      <c r="M12" s="105">
        <v>2251.1999999999998</v>
      </c>
      <c r="N12" s="105">
        <v>4</v>
      </c>
      <c r="O12" s="105">
        <v>2251.1999999999998</v>
      </c>
      <c r="P12" s="105">
        <v>5</v>
      </c>
      <c r="Q12" s="105">
        <v>2814</v>
      </c>
      <c r="R12" s="105">
        <v>3</v>
      </c>
      <c r="S12" s="105">
        <v>1688.3999999999999</v>
      </c>
      <c r="T12" s="105">
        <v>5</v>
      </c>
      <c r="U12" s="105">
        <v>2814</v>
      </c>
      <c r="V12" s="105">
        <v>6</v>
      </c>
      <c r="W12" s="105">
        <v>3376.7999999999997</v>
      </c>
      <c r="X12" s="105">
        <v>6</v>
      </c>
      <c r="Y12" s="105">
        <v>3376.7999999999997</v>
      </c>
      <c r="Z12" s="105">
        <v>5</v>
      </c>
      <c r="AA12" s="105">
        <v>2814</v>
      </c>
      <c r="AB12" s="105">
        <v>4</v>
      </c>
      <c r="AC12" s="105">
        <v>2251.1999999999998</v>
      </c>
      <c r="AD12" s="105">
        <v>8</v>
      </c>
      <c r="AE12" s="105">
        <v>4502.3999999999996</v>
      </c>
      <c r="AF12" s="105">
        <v>8</v>
      </c>
      <c r="AG12" s="105">
        <v>4502.3999999999996</v>
      </c>
      <c r="AH12" s="105">
        <v>7</v>
      </c>
      <c r="AI12" s="105">
        <v>3939.5999999999995</v>
      </c>
      <c r="AJ12" s="105">
        <v>9</v>
      </c>
      <c r="AK12" s="105">
        <v>5065.2</v>
      </c>
      <c r="AL12" s="105">
        <v>6</v>
      </c>
      <c r="AM12" s="105">
        <v>3376.7999999999997</v>
      </c>
      <c r="AN12" s="105">
        <v>9</v>
      </c>
      <c r="AO12" s="105">
        <v>5065.2</v>
      </c>
      <c r="AP12" s="105">
        <v>6</v>
      </c>
      <c r="AQ12" s="105">
        <v>3376.7999999999997</v>
      </c>
      <c r="AR12" s="105">
        <v>10</v>
      </c>
      <c r="AS12" s="105">
        <v>5628</v>
      </c>
      <c r="AT12" s="105">
        <v>8</v>
      </c>
      <c r="AU12" s="105">
        <v>4502.3999999999996</v>
      </c>
      <c r="AV12" s="105">
        <v>9</v>
      </c>
      <c r="AW12" s="105">
        <v>5065.2</v>
      </c>
      <c r="AX12" s="105">
        <v>9</v>
      </c>
      <c r="AY12" s="105">
        <v>5065.2</v>
      </c>
      <c r="AZ12" s="105">
        <v>9</v>
      </c>
      <c r="BA12" s="105">
        <v>5065.2</v>
      </c>
      <c r="BB12" s="105">
        <v>17</v>
      </c>
      <c r="BC12" s="105">
        <v>9567.5999999999985</v>
      </c>
      <c r="BD12" s="105">
        <v>9</v>
      </c>
      <c r="BE12" s="105">
        <v>5065.2</v>
      </c>
      <c r="BF12" s="105">
        <v>10</v>
      </c>
      <c r="BG12" s="105">
        <v>5628</v>
      </c>
      <c r="BH12" s="105">
        <v>21</v>
      </c>
      <c r="BI12" s="105">
        <v>11818.8</v>
      </c>
      <c r="BJ12" s="105">
        <v>18</v>
      </c>
      <c r="BK12" s="105">
        <v>10130.4</v>
      </c>
      <c r="BL12" s="105">
        <v>13</v>
      </c>
      <c r="BM12" s="105">
        <v>7316.4</v>
      </c>
      <c r="BN12" s="105">
        <v>23</v>
      </c>
      <c r="BO12" s="105">
        <v>12944.4</v>
      </c>
      <c r="BP12" s="105">
        <v>28</v>
      </c>
      <c r="BQ12" s="105">
        <v>15758.399999999998</v>
      </c>
      <c r="BR12" s="105">
        <v>2.9048893290886837</v>
      </c>
      <c r="BS12" s="105">
        <v>1634.871714411111</v>
      </c>
      <c r="BT12" s="105">
        <v>9.6455498661069772</v>
      </c>
      <c r="BU12" s="105">
        <v>5428.5154646450064</v>
      </c>
      <c r="BV12" s="105">
        <v>27</v>
      </c>
      <c r="BW12" s="105">
        <v>15195.599999999999</v>
      </c>
      <c r="BX12" s="105">
        <v>12.449339536924406</v>
      </c>
      <c r="BY12" s="105">
        <v>7006.4882913810552</v>
      </c>
      <c r="BZ12" s="105">
        <v>2.607842665750602</v>
      </c>
      <c r="CA12" s="105">
        <v>1467.6938522844387</v>
      </c>
      <c r="CB12" s="105">
        <v>24.15759406375653</v>
      </c>
      <c r="CC12" s="105">
        <v>13595.893939082174</v>
      </c>
      <c r="CD12" s="105">
        <v>19.10271810941417</v>
      </c>
      <c r="CE12" s="105">
        <v>10751.009751978294</v>
      </c>
      <c r="CF12" s="105">
        <v>1.3515526315789477</v>
      </c>
      <c r="CG12" s="105">
        <v>760.65382105263166</v>
      </c>
      <c r="CH12" s="105">
        <v>12.566038309106961</v>
      </c>
      <c r="CI12" s="105">
        <v>7072.1663603653969</v>
      </c>
      <c r="CJ12" s="105">
        <v>10.089775848243489</v>
      </c>
      <c r="CK12" s="105">
        <v>5678.5258473914355</v>
      </c>
      <c r="CL12" s="105">
        <v>43.250005487233359</v>
      </c>
      <c r="CM12" s="105">
        <v>24341.103088214932</v>
      </c>
      <c r="CN12" s="105">
        <v>19.140706496215017</v>
      </c>
      <c r="CO12" s="105">
        <v>10772.389616069811</v>
      </c>
      <c r="CP12" s="105">
        <v>11.72439906071391</v>
      </c>
      <c r="CQ12" s="105">
        <v>6598.4917913697882</v>
      </c>
      <c r="CR12" s="105">
        <v>2.8953845303481667</v>
      </c>
      <c r="CS12" s="105">
        <v>1629.5224136799482</v>
      </c>
      <c r="CT12" s="105">
        <v>10.461488096463698</v>
      </c>
      <c r="CU12" s="105">
        <v>5887.7255006897694</v>
      </c>
    </row>
    <row r="13" spans="1:99" x14ac:dyDescent="0.25">
      <c r="C13" s="104" t="s">
        <v>178</v>
      </c>
      <c r="D13" s="105">
        <v>0</v>
      </c>
      <c r="E13" s="105">
        <v>0</v>
      </c>
      <c r="F13" s="105">
        <v>0</v>
      </c>
      <c r="G13" s="105">
        <v>0</v>
      </c>
      <c r="H13" s="105">
        <v>4</v>
      </c>
      <c r="I13" s="105">
        <v>340.8</v>
      </c>
      <c r="J13" s="105">
        <v>4</v>
      </c>
      <c r="K13" s="105">
        <v>340.8</v>
      </c>
      <c r="L13" s="105">
        <v>5</v>
      </c>
      <c r="M13" s="105">
        <v>426</v>
      </c>
      <c r="N13" s="105">
        <v>4</v>
      </c>
      <c r="O13" s="105">
        <v>340.8</v>
      </c>
      <c r="P13" s="105">
        <v>5</v>
      </c>
      <c r="Q13" s="105">
        <v>426</v>
      </c>
      <c r="R13" s="105">
        <v>3</v>
      </c>
      <c r="S13" s="105">
        <v>255.60000000000002</v>
      </c>
      <c r="T13" s="105">
        <v>5</v>
      </c>
      <c r="U13" s="105">
        <v>426</v>
      </c>
      <c r="V13" s="105">
        <v>6</v>
      </c>
      <c r="W13" s="105">
        <v>511.20000000000005</v>
      </c>
      <c r="X13" s="105">
        <v>6</v>
      </c>
      <c r="Y13" s="105">
        <v>511.20000000000005</v>
      </c>
      <c r="Z13" s="105">
        <v>5</v>
      </c>
      <c r="AA13" s="105">
        <v>426</v>
      </c>
      <c r="AB13" s="105">
        <v>4</v>
      </c>
      <c r="AC13" s="105">
        <v>340.8</v>
      </c>
      <c r="AD13" s="105">
        <v>7</v>
      </c>
      <c r="AE13" s="105">
        <v>596.4</v>
      </c>
      <c r="AF13" s="105">
        <v>8</v>
      </c>
      <c r="AG13" s="105">
        <v>681.6</v>
      </c>
      <c r="AH13" s="105">
        <v>6</v>
      </c>
      <c r="AI13" s="105">
        <v>511.20000000000005</v>
      </c>
      <c r="AJ13" s="105">
        <v>10</v>
      </c>
      <c r="AK13" s="105">
        <v>852</v>
      </c>
      <c r="AL13" s="105">
        <v>6</v>
      </c>
      <c r="AM13" s="105">
        <v>511.20000000000005</v>
      </c>
      <c r="AN13" s="105">
        <v>11</v>
      </c>
      <c r="AO13" s="105">
        <v>937.2</v>
      </c>
      <c r="AP13" s="105">
        <v>6</v>
      </c>
      <c r="AQ13" s="105">
        <v>511.20000000000005</v>
      </c>
      <c r="AR13" s="105">
        <v>11</v>
      </c>
      <c r="AS13" s="105">
        <v>937.2</v>
      </c>
      <c r="AT13" s="105">
        <v>9</v>
      </c>
      <c r="AU13" s="105">
        <v>766.80000000000007</v>
      </c>
      <c r="AV13" s="105">
        <v>9</v>
      </c>
      <c r="AW13" s="105">
        <v>766.80000000000007</v>
      </c>
      <c r="AX13" s="105">
        <v>9</v>
      </c>
      <c r="AY13" s="105">
        <v>766.80000000000007</v>
      </c>
      <c r="AZ13" s="105">
        <v>9</v>
      </c>
      <c r="BA13" s="105">
        <v>766.80000000000007</v>
      </c>
      <c r="BB13" s="105">
        <v>18</v>
      </c>
      <c r="BC13" s="105">
        <v>1533.6000000000001</v>
      </c>
      <c r="BD13" s="105">
        <v>9</v>
      </c>
      <c r="BE13" s="105">
        <v>766.80000000000007</v>
      </c>
      <c r="BF13" s="105">
        <v>11</v>
      </c>
      <c r="BG13" s="105">
        <v>937.2</v>
      </c>
      <c r="BH13" s="105">
        <v>21</v>
      </c>
      <c r="BI13" s="105">
        <v>1789.2</v>
      </c>
      <c r="BJ13" s="105">
        <v>19</v>
      </c>
      <c r="BK13" s="105">
        <v>1618.8</v>
      </c>
      <c r="BL13" s="105">
        <v>14</v>
      </c>
      <c r="BM13" s="105">
        <v>1192.8</v>
      </c>
      <c r="BN13" s="105">
        <v>21</v>
      </c>
      <c r="BO13" s="105">
        <v>1789.2</v>
      </c>
      <c r="BP13" s="105">
        <v>30</v>
      </c>
      <c r="BQ13" s="105">
        <v>2556</v>
      </c>
      <c r="BR13" s="105">
        <v>3.1372804754157784</v>
      </c>
      <c r="BS13" s="105">
        <v>267.29629650542432</v>
      </c>
      <c r="BT13" s="105">
        <v>11.78900539190853</v>
      </c>
      <c r="BU13" s="105">
        <v>1004.4232593906067</v>
      </c>
      <c r="BV13" s="105">
        <v>29</v>
      </c>
      <c r="BW13" s="105">
        <v>2470.8000000000002</v>
      </c>
      <c r="BX13" s="105">
        <v>12.449339536924406</v>
      </c>
      <c r="BY13" s="105">
        <v>1060.6837285459594</v>
      </c>
      <c r="BZ13" s="105">
        <v>3.1294111989007223</v>
      </c>
      <c r="CA13" s="105">
        <v>266.62583414634156</v>
      </c>
      <c r="CB13" s="105">
        <v>23.425545758794211</v>
      </c>
      <c r="CC13" s="105">
        <v>1995.8564986492668</v>
      </c>
      <c r="CD13" s="105">
        <v>21.149587506325208</v>
      </c>
      <c r="CE13" s="105">
        <v>1801.9448555389079</v>
      </c>
      <c r="CF13" s="105">
        <v>1.6311842105263163</v>
      </c>
      <c r="CG13" s="105">
        <v>138.97689473684215</v>
      </c>
      <c r="CH13" s="105">
        <v>14.156572497119852</v>
      </c>
      <c r="CI13" s="105">
        <v>1206.1399767546113</v>
      </c>
      <c r="CJ13" s="105">
        <v>10.785634906810778</v>
      </c>
      <c r="CK13" s="105">
        <v>918.93609406027826</v>
      </c>
      <c r="CL13" s="105">
        <v>39.783508001258383</v>
      </c>
      <c r="CM13" s="105">
        <v>3389.5548817072145</v>
      </c>
      <c r="CN13" s="105">
        <v>20.010738609679336</v>
      </c>
      <c r="CO13" s="105">
        <v>1704.9149295446796</v>
      </c>
      <c r="CP13" s="105">
        <v>13.597740797716096</v>
      </c>
      <c r="CQ13" s="105">
        <v>1158.5275159654113</v>
      </c>
      <c r="CR13" s="105">
        <v>3.0777709574567127</v>
      </c>
      <c r="CS13" s="105">
        <v>262.22608557531191</v>
      </c>
      <c r="CT13" s="105">
        <v>11.608150093485145</v>
      </c>
      <c r="CU13" s="105">
        <v>989.01438796493437</v>
      </c>
    </row>
    <row r="14" spans="1:99" x14ac:dyDescent="0.25">
      <c r="C14" s="104" t="s">
        <v>179</v>
      </c>
      <c r="D14" s="105">
        <v>0</v>
      </c>
      <c r="E14" s="105">
        <v>0</v>
      </c>
      <c r="F14" s="105">
        <v>0</v>
      </c>
      <c r="G14" s="105">
        <v>0</v>
      </c>
      <c r="H14" s="105">
        <v>4</v>
      </c>
      <c r="I14" s="105">
        <v>1953.6</v>
      </c>
      <c r="J14" s="105">
        <v>4</v>
      </c>
      <c r="K14" s="105">
        <v>1953.6</v>
      </c>
      <c r="L14" s="105">
        <v>5</v>
      </c>
      <c r="M14" s="105">
        <v>2442</v>
      </c>
      <c r="N14" s="105">
        <v>4</v>
      </c>
      <c r="O14" s="105">
        <v>1953.6</v>
      </c>
      <c r="P14" s="105">
        <v>5</v>
      </c>
      <c r="Q14" s="105">
        <v>2442</v>
      </c>
      <c r="R14" s="105">
        <v>3</v>
      </c>
      <c r="S14" s="105">
        <v>1465.1999999999998</v>
      </c>
      <c r="T14" s="105">
        <v>5</v>
      </c>
      <c r="U14" s="105">
        <v>2442</v>
      </c>
      <c r="V14" s="105">
        <v>6</v>
      </c>
      <c r="W14" s="105">
        <v>2930.3999999999996</v>
      </c>
      <c r="X14" s="105">
        <v>5</v>
      </c>
      <c r="Y14" s="105">
        <v>2442</v>
      </c>
      <c r="Z14" s="105">
        <v>5</v>
      </c>
      <c r="AA14" s="105">
        <v>2442</v>
      </c>
      <c r="AB14" s="105">
        <v>4</v>
      </c>
      <c r="AC14" s="105">
        <v>1953.6</v>
      </c>
      <c r="AD14" s="105">
        <v>8</v>
      </c>
      <c r="AE14" s="105">
        <v>3907.2</v>
      </c>
      <c r="AF14" s="105">
        <v>8</v>
      </c>
      <c r="AG14" s="105">
        <v>3907.2</v>
      </c>
      <c r="AH14" s="105">
        <v>7</v>
      </c>
      <c r="AI14" s="105">
        <v>3418.7999999999997</v>
      </c>
      <c r="AJ14" s="105">
        <v>9</v>
      </c>
      <c r="AK14" s="105">
        <v>4395.5999999999995</v>
      </c>
      <c r="AL14" s="105">
        <v>6</v>
      </c>
      <c r="AM14" s="105">
        <v>2930.3999999999996</v>
      </c>
      <c r="AN14" s="105">
        <v>10</v>
      </c>
      <c r="AO14" s="105">
        <v>4884</v>
      </c>
      <c r="AP14" s="105">
        <v>5</v>
      </c>
      <c r="AQ14" s="105">
        <v>2442</v>
      </c>
      <c r="AR14" s="105">
        <v>10</v>
      </c>
      <c r="AS14" s="105">
        <v>4884</v>
      </c>
      <c r="AT14" s="105">
        <v>10</v>
      </c>
      <c r="AU14" s="105">
        <v>4884</v>
      </c>
      <c r="AV14" s="105">
        <v>9</v>
      </c>
      <c r="AW14" s="105">
        <v>4395.5999999999995</v>
      </c>
      <c r="AX14" s="105">
        <v>10</v>
      </c>
      <c r="AY14" s="105">
        <v>4884</v>
      </c>
      <c r="AZ14" s="105">
        <v>9</v>
      </c>
      <c r="BA14" s="105">
        <v>4395.5999999999995</v>
      </c>
      <c r="BB14" s="105">
        <v>17</v>
      </c>
      <c r="BC14" s="105">
        <v>8302.7999999999993</v>
      </c>
      <c r="BD14" s="105">
        <v>10</v>
      </c>
      <c r="BE14" s="105">
        <v>4884</v>
      </c>
      <c r="BF14" s="105">
        <v>12</v>
      </c>
      <c r="BG14" s="105">
        <v>5860.7999999999993</v>
      </c>
      <c r="BH14" s="105">
        <v>23</v>
      </c>
      <c r="BI14" s="105">
        <v>11233.199999999999</v>
      </c>
      <c r="BJ14" s="105">
        <v>16</v>
      </c>
      <c r="BK14" s="105">
        <v>7814.4</v>
      </c>
      <c r="BL14" s="105">
        <v>14</v>
      </c>
      <c r="BM14" s="105">
        <v>6837.5999999999995</v>
      </c>
      <c r="BN14" s="105">
        <v>21</v>
      </c>
      <c r="BO14" s="105">
        <v>10256.4</v>
      </c>
      <c r="BP14" s="105">
        <v>29</v>
      </c>
      <c r="BQ14" s="105">
        <v>14163.599999999999</v>
      </c>
      <c r="BR14" s="105">
        <v>3.1372804754157784</v>
      </c>
      <c r="BS14" s="105">
        <v>1532.2477841930661</v>
      </c>
      <c r="BT14" s="105">
        <v>10.717277629007754</v>
      </c>
      <c r="BU14" s="105">
        <v>5234.3183940073868</v>
      </c>
      <c r="BV14" s="105">
        <v>23</v>
      </c>
      <c r="BW14" s="105">
        <v>11233.199999999999</v>
      </c>
      <c r="BX14" s="105">
        <v>12.795154524061195</v>
      </c>
      <c r="BY14" s="105">
        <v>6249.1534695514874</v>
      </c>
      <c r="BZ14" s="105">
        <v>2.8034308656818969</v>
      </c>
      <c r="CA14" s="105">
        <v>1369.1956347990383</v>
      </c>
      <c r="CB14" s="105">
        <v>25.621690673681169</v>
      </c>
      <c r="CC14" s="105">
        <v>12513.633725025882</v>
      </c>
      <c r="CD14" s="105">
        <v>18.739916834366582</v>
      </c>
      <c r="CE14" s="105">
        <v>9152.5753819046386</v>
      </c>
      <c r="CF14" s="105">
        <v>1.5379736842105265</v>
      </c>
      <c r="CG14" s="105">
        <v>751.14634736842106</v>
      </c>
      <c r="CH14" s="105">
        <v>12.567917250052639</v>
      </c>
      <c r="CI14" s="105">
        <v>6138.1707849257091</v>
      </c>
      <c r="CJ14" s="105">
        <v>8.7633622057179075</v>
      </c>
      <c r="CK14" s="105">
        <v>4280.026101272626</v>
      </c>
      <c r="CL14" s="105">
        <v>37.955835454253155</v>
      </c>
      <c r="CM14" s="105">
        <v>18537.630035857241</v>
      </c>
      <c r="CN14" s="105">
        <v>19.140706496215017</v>
      </c>
      <c r="CO14" s="105">
        <v>9348.3210527514148</v>
      </c>
      <c r="CP14" s="105">
        <v>13.845346959149751</v>
      </c>
      <c r="CQ14" s="105">
        <v>6762.0674548487377</v>
      </c>
      <c r="CR14" s="105">
        <v>2.8953845303481667</v>
      </c>
      <c r="CS14" s="105">
        <v>1414.1058046220446</v>
      </c>
      <c r="CT14" s="105">
        <v>9.3016784923624627</v>
      </c>
      <c r="CU14" s="105">
        <v>4542.9397756698263</v>
      </c>
    </row>
    <row r="15" spans="1:99" x14ac:dyDescent="0.25">
      <c r="C15" s="104" t="s">
        <v>180</v>
      </c>
      <c r="D15" s="105">
        <v>0</v>
      </c>
      <c r="E15" s="105">
        <v>0</v>
      </c>
      <c r="F15" s="105">
        <v>0</v>
      </c>
      <c r="G15" s="105">
        <v>0</v>
      </c>
      <c r="H15" s="105">
        <v>4</v>
      </c>
      <c r="I15" s="105">
        <v>3052.7999999999997</v>
      </c>
      <c r="J15" s="105">
        <v>4</v>
      </c>
      <c r="K15" s="105">
        <v>3052.7999999999997</v>
      </c>
      <c r="L15" s="105">
        <v>5</v>
      </c>
      <c r="M15" s="105">
        <v>3815.9999999999995</v>
      </c>
      <c r="N15" s="105">
        <v>4</v>
      </c>
      <c r="O15" s="105">
        <v>3052.7999999999997</v>
      </c>
      <c r="P15" s="105">
        <v>5</v>
      </c>
      <c r="Q15" s="105">
        <v>3815.9999999999995</v>
      </c>
      <c r="R15" s="105">
        <v>3</v>
      </c>
      <c r="S15" s="105">
        <v>2289.6</v>
      </c>
      <c r="T15" s="105">
        <v>5</v>
      </c>
      <c r="U15" s="105">
        <v>3815.9999999999995</v>
      </c>
      <c r="V15" s="105">
        <v>6</v>
      </c>
      <c r="W15" s="105">
        <v>4579.2</v>
      </c>
      <c r="X15" s="105">
        <v>5</v>
      </c>
      <c r="Y15" s="105">
        <v>3815.9999999999995</v>
      </c>
      <c r="Z15" s="105">
        <v>5</v>
      </c>
      <c r="AA15" s="105">
        <v>3815.9999999999995</v>
      </c>
      <c r="AB15" s="105">
        <v>4</v>
      </c>
      <c r="AC15" s="105">
        <v>3052.7999999999997</v>
      </c>
      <c r="AD15" s="105">
        <v>8</v>
      </c>
      <c r="AE15" s="105">
        <v>6105.5999999999995</v>
      </c>
      <c r="AF15" s="105">
        <v>7</v>
      </c>
      <c r="AG15" s="105">
        <v>5342.4</v>
      </c>
      <c r="AH15" s="105">
        <v>7</v>
      </c>
      <c r="AI15" s="105">
        <v>5342.4</v>
      </c>
      <c r="AJ15" s="105">
        <v>9</v>
      </c>
      <c r="AK15" s="105">
        <v>6868.7999999999993</v>
      </c>
      <c r="AL15" s="105">
        <v>6</v>
      </c>
      <c r="AM15" s="105">
        <v>4579.2</v>
      </c>
      <c r="AN15" s="105">
        <v>9</v>
      </c>
      <c r="AO15" s="105">
        <v>6868.7999999999993</v>
      </c>
      <c r="AP15" s="105">
        <v>6</v>
      </c>
      <c r="AQ15" s="105">
        <v>4579.2</v>
      </c>
      <c r="AR15" s="105">
        <v>9</v>
      </c>
      <c r="AS15" s="105">
        <v>6868.7999999999993</v>
      </c>
      <c r="AT15" s="105">
        <v>8</v>
      </c>
      <c r="AU15" s="105">
        <v>6105.5999999999995</v>
      </c>
      <c r="AV15" s="105">
        <v>9</v>
      </c>
      <c r="AW15" s="105">
        <v>6868.7999999999993</v>
      </c>
      <c r="AX15" s="105">
        <v>9</v>
      </c>
      <c r="AY15" s="105">
        <v>6868.7999999999993</v>
      </c>
      <c r="AZ15" s="105">
        <v>8</v>
      </c>
      <c r="BA15" s="105">
        <v>6105.5999999999995</v>
      </c>
      <c r="BB15" s="105">
        <v>16</v>
      </c>
      <c r="BC15" s="105">
        <v>12211.199999999999</v>
      </c>
      <c r="BD15" s="105">
        <v>10</v>
      </c>
      <c r="BE15" s="105">
        <v>7631.9999999999991</v>
      </c>
      <c r="BF15" s="105">
        <v>11</v>
      </c>
      <c r="BG15" s="105">
        <v>8395.1999999999989</v>
      </c>
      <c r="BH15" s="105">
        <v>19</v>
      </c>
      <c r="BI15" s="105">
        <v>14500.8</v>
      </c>
      <c r="BJ15" s="105">
        <v>16</v>
      </c>
      <c r="BK15" s="105">
        <v>12211.199999999999</v>
      </c>
      <c r="BL15" s="105">
        <v>14</v>
      </c>
      <c r="BM15" s="105">
        <v>10684.8</v>
      </c>
      <c r="BN15" s="105">
        <v>18</v>
      </c>
      <c r="BO15" s="105">
        <v>13737.599999999999</v>
      </c>
      <c r="BP15" s="105">
        <v>27</v>
      </c>
      <c r="BQ15" s="105">
        <v>20606.399999999998</v>
      </c>
      <c r="BR15" s="105">
        <v>2.9048893290886837</v>
      </c>
      <c r="BS15" s="105">
        <v>2217.0115359604833</v>
      </c>
      <c r="BT15" s="105">
        <v>9.6455498661069772</v>
      </c>
      <c r="BU15" s="105">
        <v>7361.4836578128443</v>
      </c>
      <c r="BV15" s="105">
        <v>23</v>
      </c>
      <c r="BW15" s="105">
        <v>17553.599999999999</v>
      </c>
      <c r="BX15" s="105">
        <v>11.066079588377249</v>
      </c>
      <c r="BY15" s="105">
        <v>8445.6319418495168</v>
      </c>
      <c r="BZ15" s="105">
        <v>2.8034308656818969</v>
      </c>
      <c r="CA15" s="105">
        <v>2139.5784366884236</v>
      </c>
      <c r="CB15" s="105">
        <v>24.15759406375653</v>
      </c>
      <c r="CC15" s="105">
        <v>18437.075789458981</v>
      </c>
      <c r="CD15" s="105">
        <v>17.288711734176228</v>
      </c>
      <c r="CE15" s="105">
        <v>13194.744795523296</v>
      </c>
      <c r="CF15" s="105">
        <v>1.2816447368421056</v>
      </c>
      <c r="CG15" s="105">
        <v>978.15126315789485</v>
      </c>
      <c r="CH15" s="105">
        <v>11.205139072026071</v>
      </c>
      <c r="CI15" s="105">
        <v>8551.7621397702969</v>
      </c>
      <c r="CJ15" s="105">
        <v>9.2961405787448683</v>
      </c>
      <c r="CK15" s="105">
        <v>7094.814489698083</v>
      </c>
      <c r="CL15" s="105">
        <v>40.622228659219964</v>
      </c>
      <c r="CM15" s="105">
        <v>31002.884912716672</v>
      </c>
      <c r="CN15" s="105">
        <v>16.313102127455981</v>
      </c>
      <c r="CO15" s="105">
        <v>12450.159543674403</v>
      </c>
      <c r="CP15" s="105">
        <v>13.012990752683779</v>
      </c>
      <c r="CQ15" s="105">
        <v>9931.5145424482598</v>
      </c>
      <c r="CR15" s="105">
        <v>2.6901997998510523</v>
      </c>
      <c r="CS15" s="105">
        <v>2053.1604872463231</v>
      </c>
      <c r="CT15" s="105">
        <v>9.1826813162105054</v>
      </c>
      <c r="CU15" s="105">
        <v>7008.2223805318572</v>
      </c>
    </row>
    <row r="16" spans="1:99" x14ac:dyDescent="0.25">
      <c r="C16" s="104" t="s">
        <v>181</v>
      </c>
      <c r="D16" s="105">
        <v>0</v>
      </c>
      <c r="E16" s="105">
        <v>0</v>
      </c>
      <c r="F16" s="105">
        <v>0</v>
      </c>
      <c r="G16" s="105">
        <v>0</v>
      </c>
      <c r="H16" s="105">
        <v>4</v>
      </c>
      <c r="I16" s="105">
        <v>1363.2</v>
      </c>
      <c r="J16" s="105">
        <v>4</v>
      </c>
      <c r="K16" s="105">
        <v>1363.2</v>
      </c>
      <c r="L16" s="105">
        <v>5</v>
      </c>
      <c r="M16" s="105">
        <v>1704</v>
      </c>
      <c r="N16" s="105">
        <v>4</v>
      </c>
      <c r="O16" s="105">
        <v>1363.2</v>
      </c>
      <c r="P16" s="105">
        <v>5</v>
      </c>
      <c r="Q16" s="105">
        <v>1704</v>
      </c>
      <c r="R16" s="105">
        <v>3</v>
      </c>
      <c r="S16" s="105">
        <v>1022.4000000000001</v>
      </c>
      <c r="T16" s="105">
        <v>5</v>
      </c>
      <c r="U16" s="105">
        <v>1704</v>
      </c>
      <c r="V16" s="105">
        <v>6</v>
      </c>
      <c r="W16" s="105">
        <v>2044.8000000000002</v>
      </c>
      <c r="X16" s="105">
        <v>6</v>
      </c>
      <c r="Y16" s="105">
        <v>2044.8000000000002</v>
      </c>
      <c r="Z16" s="105">
        <v>5</v>
      </c>
      <c r="AA16" s="105">
        <v>1704</v>
      </c>
      <c r="AB16" s="105">
        <v>4</v>
      </c>
      <c r="AC16" s="105">
        <v>1363.2</v>
      </c>
      <c r="AD16" s="105">
        <v>7</v>
      </c>
      <c r="AE16" s="105">
        <v>2385.6</v>
      </c>
      <c r="AF16" s="105">
        <v>8</v>
      </c>
      <c r="AG16" s="105">
        <v>2726.4</v>
      </c>
      <c r="AH16" s="105">
        <v>6</v>
      </c>
      <c r="AI16" s="105">
        <v>2044.8000000000002</v>
      </c>
      <c r="AJ16" s="105">
        <v>9</v>
      </c>
      <c r="AK16" s="105">
        <v>3067.2000000000003</v>
      </c>
      <c r="AL16" s="105">
        <v>6</v>
      </c>
      <c r="AM16" s="105">
        <v>2044.8000000000002</v>
      </c>
      <c r="AN16" s="105">
        <v>11</v>
      </c>
      <c r="AO16" s="105">
        <v>3748.8</v>
      </c>
      <c r="AP16" s="105">
        <v>5</v>
      </c>
      <c r="AQ16" s="105">
        <v>1704</v>
      </c>
      <c r="AR16" s="105">
        <v>10</v>
      </c>
      <c r="AS16" s="105">
        <v>3408</v>
      </c>
      <c r="AT16" s="105">
        <v>10</v>
      </c>
      <c r="AU16" s="105">
        <v>3408</v>
      </c>
      <c r="AV16" s="105">
        <v>9</v>
      </c>
      <c r="AW16" s="105">
        <v>3067.2000000000003</v>
      </c>
      <c r="AX16" s="105">
        <v>10</v>
      </c>
      <c r="AY16" s="105">
        <v>3408</v>
      </c>
      <c r="AZ16" s="105">
        <v>9</v>
      </c>
      <c r="BA16" s="105">
        <v>3067.2000000000003</v>
      </c>
      <c r="BB16" s="105">
        <v>18</v>
      </c>
      <c r="BC16" s="105">
        <v>6134.4000000000005</v>
      </c>
      <c r="BD16" s="105">
        <v>10</v>
      </c>
      <c r="BE16" s="105">
        <v>3408</v>
      </c>
      <c r="BF16" s="105">
        <v>11</v>
      </c>
      <c r="BG16" s="105">
        <v>3748.8</v>
      </c>
      <c r="BH16" s="105">
        <v>20</v>
      </c>
      <c r="BI16" s="105">
        <v>6816</v>
      </c>
      <c r="BJ16" s="105">
        <v>19</v>
      </c>
      <c r="BK16" s="105">
        <v>6475.2</v>
      </c>
      <c r="BL16" s="105">
        <v>15</v>
      </c>
      <c r="BM16" s="105">
        <v>5112</v>
      </c>
      <c r="BN16" s="105">
        <v>20</v>
      </c>
      <c r="BO16" s="105">
        <v>6816</v>
      </c>
      <c r="BP16" s="105">
        <v>28</v>
      </c>
      <c r="BQ16" s="105">
        <v>9542.4</v>
      </c>
      <c r="BR16" s="105">
        <v>3.0210849022522308</v>
      </c>
      <c r="BS16" s="105">
        <v>1029.5857346875603</v>
      </c>
      <c r="BT16" s="105">
        <v>11.253141510458141</v>
      </c>
      <c r="BU16" s="105">
        <v>3835.0706267641344</v>
      </c>
      <c r="BV16" s="105">
        <v>28</v>
      </c>
      <c r="BW16" s="105">
        <v>9542.4</v>
      </c>
      <c r="BX16" s="105">
        <v>12.795154524061195</v>
      </c>
      <c r="BY16" s="105">
        <v>4360.588661800055</v>
      </c>
      <c r="BZ16" s="105">
        <v>2.4774505324630716</v>
      </c>
      <c r="CA16" s="105">
        <v>844.31514146341476</v>
      </c>
      <c r="CB16" s="105">
        <v>27.085787283605807</v>
      </c>
      <c r="CC16" s="105">
        <v>9230.8363062528588</v>
      </c>
      <c r="CD16" s="105">
        <v>18.188961550526226</v>
      </c>
      <c r="CE16" s="105">
        <v>6198.7980964193384</v>
      </c>
      <c r="CF16" s="105">
        <v>1.5845789473684213</v>
      </c>
      <c r="CG16" s="105">
        <v>540.02450526315795</v>
      </c>
      <c r="CH16" s="105">
        <v>12.340161240066319</v>
      </c>
      <c r="CI16" s="105">
        <v>4205.5269506146014</v>
      </c>
      <c r="CJ16" s="105">
        <v>10.796518985912275</v>
      </c>
      <c r="CK16" s="105">
        <v>3679.4536703989033</v>
      </c>
      <c r="CL16" s="105">
        <v>44.204575276055174</v>
      </c>
      <c r="CM16" s="105">
        <v>15064.919254079603</v>
      </c>
      <c r="CN16" s="105">
        <v>18.705690439482858</v>
      </c>
      <c r="CO16" s="105">
        <v>6374.8993017757584</v>
      </c>
      <c r="CP16" s="105">
        <v>12.513144810841201</v>
      </c>
      <c r="CQ16" s="105">
        <v>4264.4797515346818</v>
      </c>
      <c r="CR16" s="105">
        <v>2.8725862269595983</v>
      </c>
      <c r="CS16" s="105">
        <v>978.97738614783111</v>
      </c>
      <c r="CT16" s="105">
        <v>10.115324009132358</v>
      </c>
      <c r="CU16" s="105">
        <v>3447.302422312308</v>
      </c>
    </row>
    <row r="17" spans="2:99" x14ac:dyDescent="0.25">
      <c r="C17" s="104" t="s">
        <v>182</v>
      </c>
      <c r="D17" s="105">
        <v>0</v>
      </c>
      <c r="E17" s="105">
        <v>0</v>
      </c>
      <c r="F17" s="105">
        <v>0</v>
      </c>
      <c r="G17" s="105">
        <v>0</v>
      </c>
      <c r="H17" s="105">
        <v>4</v>
      </c>
      <c r="I17" s="105">
        <v>1689.6</v>
      </c>
      <c r="J17" s="105">
        <v>4</v>
      </c>
      <c r="K17" s="105">
        <v>1689.6</v>
      </c>
      <c r="L17" s="105">
        <v>5</v>
      </c>
      <c r="M17" s="105">
        <v>2112</v>
      </c>
      <c r="N17" s="105">
        <v>4</v>
      </c>
      <c r="O17" s="105">
        <v>1689.6</v>
      </c>
      <c r="P17" s="105">
        <v>6</v>
      </c>
      <c r="Q17" s="105">
        <v>2534.3999999999996</v>
      </c>
      <c r="R17" s="105">
        <v>3</v>
      </c>
      <c r="S17" s="105">
        <v>1267.1999999999998</v>
      </c>
      <c r="T17" s="105">
        <v>5</v>
      </c>
      <c r="U17" s="105">
        <v>2112</v>
      </c>
      <c r="V17" s="105">
        <v>6</v>
      </c>
      <c r="W17" s="105">
        <v>2534.3999999999996</v>
      </c>
      <c r="X17" s="105">
        <v>6</v>
      </c>
      <c r="Y17" s="105">
        <v>2534.3999999999996</v>
      </c>
      <c r="Z17" s="105">
        <v>6</v>
      </c>
      <c r="AA17" s="105">
        <v>2534.3999999999996</v>
      </c>
      <c r="AB17" s="105">
        <v>5</v>
      </c>
      <c r="AC17" s="105">
        <v>2112</v>
      </c>
      <c r="AD17" s="105">
        <v>7</v>
      </c>
      <c r="AE17" s="105">
        <v>2956.7999999999997</v>
      </c>
      <c r="AF17" s="105">
        <v>8</v>
      </c>
      <c r="AG17" s="105">
        <v>3379.2</v>
      </c>
      <c r="AH17" s="105">
        <v>7</v>
      </c>
      <c r="AI17" s="105">
        <v>2956.7999999999997</v>
      </c>
      <c r="AJ17" s="105">
        <v>10</v>
      </c>
      <c r="AK17" s="105">
        <v>4224</v>
      </c>
      <c r="AL17" s="105">
        <v>6</v>
      </c>
      <c r="AM17" s="105">
        <v>2534.3999999999996</v>
      </c>
      <c r="AN17" s="105">
        <v>10</v>
      </c>
      <c r="AO17" s="105">
        <v>4224</v>
      </c>
      <c r="AP17" s="105">
        <v>5</v>
      </c>
      <c r="AQ17" s="105">
        <v>2112</v>
      </c>
      <c r="AR17" s="105">
        <v>10</v>
      </c>
      <c r="AS17" s="105">
        <v>4224</v>
      </c>
      <c r="AT17" s="105">
        <v>9</v>
      </c>
      <c r="AU17" s="105">
        <v>3801.6</v>
      </c>
      <c r="AV17" s="105">
        <v>9</v>
      </c>
      <c r="AW17" s="105">
        <v>3801.6</v>
      </c>
      <c r="AX17" s="105">
        <v>10</v>
      </c>
      <c r="AY17" s="105">
        <v>4224</v>
      </c>
      <c r="AZ17" s="105">
        <v>9</v>
      </c>
      <c r="BA17" s="105">
        <v>3801.6</v>
      </c>
      <c r="BB17" s="105">
        <v>17</v>
      </c>
      <c r="BC17" s="105">
        <v>7180.7999999999993</v>
      </c>
      <c r="BD17" s="105">
        <v>9</v>
      </c>
      <c r="BE17" s="105">
        <v>3801.6</v>
      </c>
      <c r="BF17" s="105">
        <v>11</v>
      </c>
      <c r="BG17" s="105">
        <v>4646.3999999999996</v>
      </c>
      <c r="BH17" s="105">
        <v>21</v>
      </c>
      <c r="BI17" s="105">
        <v>8870.4</v>
      </c>
      <c r="BJ17" s="105">
        <v>17</v>
      </c>
      <c r="BK17" s="105">
        <v>7180.7999999999993</v>
      </c>
      <c r="BL17" s="105">
        <v>14</v>
      </c>
      <c r="BM17" s="105">
        <v>5913.5999999999995</v>
      </c>
      <c r="BN17" s="105">
        <v>23</v>
      </c>
      <c r="BO17" s="105">
        <v>9715.1999999999989</v>
      </c>
      <c r="BP17" s="105">
        <v>33</v>
      </c>
      <c r="BQ17" s="105">
        <v>13939.199999999999</v>
      </c>
      <c r="BR17" s="105">
        <v>3.2534760485793255</v>
      </c>
      <c r="BS17" s="105">
        <v>1374.2682829199071</v>
      </c>
      <c r="BT17" s="105">
        <v>10.717277629007754</v>
      </c>
      <c r="BU17" s="105">
        <v>4526.9780704928753</v>
      </c>
      <c r="BV17" s="105">
        <v>27</v>
      </c>
      <c r="BW17" s="105">
        <v>11404.8</v>
      </c>
      <c r="BX17" s="105">
        <v>11.066079588377249</v>
      </c>
      <c r="BY17" s="105">
        <v>4674.3120181305503</v>
      </c>
      <c r="BZ17" s="105">
        <v>2.8686269323256619</v>
      </c>
      <c r="CA17" s="105">
        <v>1211.7080162143595</v>
      </c>
      <c r="CB17" s="105">
        <v>23.425545758794211</v>
      </c>
      <c r="CC17" s="105">
        <v>9894.9505285146734</v>
      </c>
      <c r="CD17" s="105">
        <v>17.463359000431048</v>
      </c>
      <c r="CE17" s="105">
        <v>7376.5228417820745</v>
      </c>
      <c r="CF17" s="105">
        <v>1.5146710526315792</v>
      </c>
      <c r="CG17" s="105">
        <v>639.79705263157905</v>
      </c>
      <c r="CH17" s="105">
        <v>13.462030821486808</v>
      </c>
      <c r="CI17" s="105">
        <v>5686.3618189960271</v>
      </c>
      <c r="CJ17" s="105">
        <v>10.470357614831629</v>
      </c>
      <c r="CK17" s="105">
        <v>4422.6790565048796</v>
      </c>
      <c r="CL17" s="105">
        <v>40.019440539710452</v>
      </c>
      <c r="CM17" s="105">
        <v>16904.211683973695</v>
      </c>
      <c r="CN17" s="105">
        <v>18.705690439482858</v>
      </c>
      <c r="CO17" s="105">
        <v>7901.2836416375585</v>
      </c>
      <c r="CP17" s="105">
        <v>13.156282252082317</v>
      </c>
      <c r="CQ17" s="105">
        <v>5557.2136232795701</v>
      </c>
      <c r="CR17" s="105">
        <v>3.2373590811766904</v>
      </c>
      <c r="CS17" s="105">
        <v>1367.4604758890339</v>
      </c>
      <c r="CT17" s="105">
        <v>9.6571232435148318</v>
      </c>
      <c r="CU17" s="105">
        <v>4079.1688580606647</v>
      </c>
    </row>
    <row r="18" spans="2:99" x14ac:dyDescent="0.25">
      <c r="C18" s="104" t="s">
        <v>183</v>
      </c>
      <c r="D18" s="105">
        <v>0</v>
      </c>
      <c r="E18" s="105">
        <v>0</v>
      </c>
      <c r="F18" s="105">
        <v>0</v>
      </c>
      <c r="G18" s="105">
        <v>0</v>
      </c>
      <c r="H18" s="105">
        <v>4</v>
      </c>
      <c r="I18" s="105">
        <v>2611.1999999999998</v>
      </c>
      <c r="J18" s="105">
        <v>4</v>
      </c>
      <c r="K18" s="105">
        <v>2611.1999999999998</v>
      </c>
      <c r="L18" s="105">
        <v>5</v>
      </c>
      <c r="M18" s="105">
        <v>3264</v>
      </c>
      <c r="N18" s="105">
        <v>4</v>
      </c>
      <c r="O18" s="105">
        <v>2611.1999999999998</v>
      </c>
      <c r="P18" s="105">
        <v>5</v>
      </c>
      <c r="Q18" s="105">
        <v>3264</v>
      </c>
      <c r="R18" s="105">
        <v>3</v>
      </c>
      <c r="S18" s="105">
        <v>1958.3999999999999</v>
      </c>
      <c r="T18" s="105">
        <v>5</v>
      </c>
      <c r="U18" s="105">
        <v>3264</v>
      </c>
      <c r="V18" s="105">
        <v>6</v>
      </c>
      <c r="W18" s="105">
        <v>3916.7999999999997</v>
      </c>
      <c r="X18" s="105">
        <v>5</v>
      </c>
      <c r="Y18" s="105">
        <v>3264</v>
      </c>
      <c r="Z18" s="105">
        <v>6</v>
      </c>
      <c r="AA18" s="105">
        <v>3916.7999999999997</v>
      </c>
      <c r="AB18" s="105">
        <v>4</v>
      </c>
      <c r="AC18" s="105">
        <v>2611.1999999999998</v>
      </c>
      <c r="AD18" s="105">
        <v>8</v>
      </c>
      <c r="AE18" s="105">
        <v>5222.3999999999996</v>
      </c>
      <c r="AF18" s="105">
        <v>7</v>
      </c>
      <c r="AG18" s="105">
        <v>4569.5999999999995</v>
      </c>
      <c r="AH18" s="105">
        <v>7</v>
      </c>
      <c r="AI18" s="105">
        <v>4569.5999999999995</v>
      </c>
      <c r="AJ18" s="105">
        <v>10</v>
      </c>
      <c r="AK18" s="105">
        <v>6528</v>
      </c>
      <c r="AL18" s="105">
        <v>6</v>
      </c>
      <c r="AM18" s="105">
        <v>3916.7999999999997</v>
      </c>
      <c r="AN18" s="105">
        <v>9</v>
      </c>
      <c r="AO18" s="105">
        <v>5875.2</v>
      </c>
      <c r="AP18" s="105">
        <v>6</v>
      </c>
      <c r="AQ18" s="105">
        <v>3916.7999999999997</v>
      </c>
      <c r="AR18" s="105">
        <v>9</v>
      </c>
      <c r="AS18" s="105">
        <v>5875.2</v>
      </c>
      <c r="AT18" s="105">
        <v>9</v>
      </c>
      <c r="AU18" s="105">
        <v>5875.2</v>
      </c>
      <c r="AV18" s="105">
        <v>8</v>
      </c>
      <c r="AW18" s="105">
        <v>5222.3999999999996</v>
      </c>
      <c r="AX18" s="105">
        <v>9</v>
      </c>
      <c r="AY18" s="105">
        <v>5875.2</v>
      </c>
      <c r="AZ18" s="105">
        <v>8</v>
      </c>
      <c r="BA18" s="105">
        <v>5222.3999999999996</v>
      </c>
      <c r="BB18" s="105">
        <v>17</v>
      </c>
      <c r="BC18" s="105">
        <v>11097.599999999999</v>
      </c>
      <c r="BD18" s="105">
        <v>9</v>
      </c>
      <c r="BE18" s="105">
        <v>5875.2</v>
      </c>
      <c r="BF18" s="105">
        <v>11</v>
      </c>
      <c r="BG18" s="105">
        <v>7180.7999999999993</v>
      </c>
      <c r="BH18" s="105">
        <v>21</v>
      </c>
      <c r="BI18" s="105">
        <v>13708.8</v>
      </c>
      <c r="BJ18" s="105">
        <v>16</v>
      </c>
      <c r="BK18" s="105">
        <v>10444.799999999999</v>
      </c>
      <c r="BL18" s="105">
        <v>14</v>
      </c>
      <c r="BM18" s="105">
        <v>9139.1999999999989</v>
      </c>
      <c r="BN18" s="105">
        <v>18</v>
      </c>
      <c r="BO18" s="105">
        <v>11750.4</v>
      </c>
      <c r="BP18" s="105">
        <v>31</v>
      </c>
      <c r="BQ18" s="105">
        <v>20236.8</v>
      </c>
      <c r="BR18" s="105">
        <v>2.672498182761589</v>
      </c>
      <c r="BS18" s="105">
        <v>1744.6068137067653</v>
      </c>
      <c r="BT18" s="105">
        <v>11.253141510458141</v>
      </c>
      <c r="BU18" s="105">
        <v>7346.0507780270736</v>
      </c>
      <c r="BV18" s="105">
        <v>27</v>
      </c>
      <c r="BW18" s="105">
        <v>17625.599999999999</v>
      </c>
      <c r="BX18" s="105">
        <v>12.449339536924406</v>
      </c>
      <c r="BY18" s="105">
        <v>8126.9288497042517</v>
      </c>
      <c r="BZ18" s="105">
        <v>2.8034308656818969</v>
      </c>
      <c r="CA18" s="105">
        <v>1830.0796691171422</v>
      </c>
      <c r="CB18" s="105">
        <v>23.425545758794211</v>
      </c>
      <c r="CC18" s="105">
        <v>15292.196271340859</v>
      </c>
      <c r="CD18" s="105">
        <v>20.002967925764167</v>
      </c>
      <c r="CE18" s="105">
        <v>13057.937461938847</v>
      </c>
      <c r="CF18" s="105">
        <v>1.3515526315789477</v>
      </c>
      <c r="CG18" s="105">
        <v>882.29355789473698</v>
      </c>
      <c r="CH18" s="105">
        <v>13.256822102848645</v>
      </c>
      <c r="CI18" s="105">
        <v>8654.0534687395939</v>
      </c>
      <c r="CJ18" s="105">
        <v>9.4592212642851941</v>
      </c>
      <c r="CK18" s="105">
        <v>6174.9796413253744</v>
      </c>
      <c r="CL18" s="105">
        <v>37.039882042384747</v>
      </c>
      <c r="CM18" s="105">
        <v>24179.63499726876</v>
      </c>
      <c r="CN18" s="105">
        <v>19.140706496215017</v>
      </c>
      <c r="CO18" s="105">
        <v>12495.053200729162</v>
      </c>
      <c r="CP18" s="105">
        <v>12.444614093737551</v>
      </c>
      <c r="CQ18" s="105">
        <v>8123.8440803918729</v>
      </c>
      <c r="CR18" s="105">
        <v>2.9865777439024397</v>
      </c>
      <c r="CS18" s="105">
        <v>1949.6379512195124</v>
      </c>
      <c r="CT18" s="105">
        <v>9.6385619158727742</v>
      </c>
      <c r="CU18" s="105">
        <v>6292.0532186817463</v>
      </c>
    </row>
    <row r="19" spans="2:99" x14ac:dyDescent="0.25">
      <c r="C19" s="104" t="s">
        <v>184</v>
      </c>
      <c r="D19" s="105">
        <v>0</v>
      </c>
      <c r="E19" s="105">
        <v>0</v>
      </c>
      <c r="F19" s="105">
        <v>0</v>
      </c>
      <c r="G19" s="105">
        <v>0</v>
      </c>
      <c r="H19" s="105">
        <v>4</v>
      </c>
      <c r="I19" s="105">
        <v>1320</v>
      </c>
      <c r="J19" s="105">
        <v>4</v>
      </c>
      <c r="K19" s="105">
        <v>1320</v>
      </c>
      <c r="L19" s="105">
        <v>4</v>
      </c>
      <c r="M19" s="105">
        <v>1320</v>
      </c>
      <c r="N19" s="105">
        <v>4</v>
      </c>
      <c r="O19" s="105">
        <v>1320</v>
      </c>
      <c r="P19" s="105">
        <v>5</v>
      </c>
      <c r="Q19" s="105">
        <v>1650</v>
      </c>
      <c r="R19" s="105">
        <v>3</v>
      </c>
      <c r="S19" s="105">
        <v>990</v>
      </c>
      <c r="T19" s="105">
        <v>5</v>
      </c>
      <c r="U19" s="105">
        <v>1650</v>
      </c>
      <c r="V19" s="105">
        <v>6</v>
      </c>
      <c r="W19" s="105">
        <v>1980</v>
      </c>
      <c r="X19" s="105">
        <v>5</v>
      </c>
      <c r="Y19" s="105">
        <v>1650</v>
      </c>
      <c r="Z19" s="105">
        <v>6</v>
      </c>
      <c r="AA19" s="105">
        <v>1980</v>
      </c>
      <c r="AB19" s="105">
        <v>4</v>
      </c>
      <c r="AC19" s="105">
        <v>1320</v>
      </c>
      <c r="AD19" s="105">
        <v>8</v>
      </c>
      <c r="AE19" s="105">
        <v>2640</v>
      </c>
      <c r="AF19" s="105">
        <v>8</v>
      </c>
      <c r="AG19" s="105">
        <v>2640</v>
      </c>
      <c r="AH19" s="105">
        <v>7</v>
      </c>
      <c r="AI19" s="105">
        <v>2310</v>
      </c>
      <c r="AJ19" s="105">
        <v>10</v>
      </c>
      <c r="AK19" s="105">
        <v>3300</v>
      </c>
      <c r="AL19" s="105">
        <v>6</v>
      </c>
      <c r="AM19" s="105">
        <v>1980</v>
      </c>
      <c r="AN19" s="105">
        <v>9</v>
      </c>
      <c r="AO19" s="105">
        <v>2970</v>
      </c>
      <c r="AP19" s="105">
        <v>5</v>
      </c>
      <c r="AQ19" s="105">
        <v>1650</v>
      </c>
      <c r="AR19" s="105">
        <v>11</v>
      </c>
      <c r="AS19" s="105">
        <v>3630</v>
      </c>
      <c r="AT19" s="105">
        <v>9</v>
      </c>
      <c r="AU19" s="105">
        <v>2970</v>
      </c>
      <c r="AV19" s="105">
        <v>10</v>
      </c>
      <c r="AW19" s="105">
        <v>3300</v>
      </c>
      <c r="AX19" s="105">
        <v>9</v>
      </c>
      <c r="AY19" s="105">
        <v>2970</v>
      </c>
      <c r="AZ19" s="105">
        <v>9</v>
      </c>
      <c r="BA19" s="105">
        <v>2970</v>
      </c>
      <c r="BB19" s="105">
        <v>16</v>
      </c>
      <c r="BC19" s="105">
        <v>5280</v>
      </c>
      <c r="BD19" s="105">
        <v>10</v>
      </c>
      <c r="BE19" s="105">
        <v>3300</v>
      </c>
      <c r="BF19" s="105">
        <v>11</v>
      </c>
      <c r="BG19" s="105">
        <v>3630</v>
      </c>
      <c r="BH19" s="105">
        <v>22</v>
      </c>
      <c r="BI19" s="105">
        <v>7260</v>
      </c>
      <c r="BJ19" s="105">
        <v>16</v>
      </c>
      <c r="BK19" s="105">
        <v>5280</v>
      </c>
      <c r="BL19" s="105">
        <v>13</v>
      </c>
      <c r="BM19" s="105">
        <v>4290</v>
      </c>
      <c r="BN19" s="105">
        <v>20</v>
      </c>
      <c r="BO19" s="105">
        <v>6600</v>
      </c>
      <c r="BP19" s="105">
        <v>28</v>
      </c>
      <c r="BQ19" s="105">
        <v>9240</v>
      </c>
      <c r="BR19" s="105">
        <v>3.2534760485793255</v>
      </c>
      <c r="BS19" s="105">
        <v>1073.6470960311774</v>
      </c>
      <c r="BT19" s="105">
        <v>11.78900539190853</v>
      </c>
      <c r="BU19" s="105">
        <v>3890.3717793298151</v>
      </c>
      <c r="BV19" s="105">
        <v>25</v>
      </c>
      <c r="BW19" s="105">
        <v>8250</v>
      </c>
      <c r="BX19" s="105">
        <v>13.486784498334773</v>
      </c>
      <c r="BY19" s="105">
        <v>4450.6388844504754</v>
      </c>
      <c r="BZ19" s="105">
        <v>2.9338229989694269</v>
      </c>
      <c r="CA19" s="105">
        <v>968.16158965991087</v>
      </c>
      <c r="CB19" s="105">
        <v>24.889642368718849</v>
      </c>
      <c r="CC19" s="105">
        <v>8213.58198167722</v>
      </c>
      <c r="CD19" s="105">
        <v>20.307553445393484</v>
      </c>
      <c r="CE19" s="105">
        <v>6701.4926369798495</v>
      </c>
      <c r="CF19" s="105">
        <v>1.4447631578947371</v>
      </c>
      <c r="CG19" s="105">
        <v>476.77184210526326</v>
      </c>
      <c r="CH19" s="105">
        <v>12.362708531414478</v>
      </c>
      <c r="CI19" s="105">
        <v>4079.6938153667779</v>
      </c>
      <c r="CJ19" s="105">
        <v>9.6114178707240185</v>
      </c>
      <c r="CK19" s="105">
        <v>3171.7678973389261</v>
      </c>
      <c r="CL19" s="105">
        <v>42.685833744677261</v>
      </c>
      <c r="CM19" s="105">
        <v>14086.325135743497</v>
      </c>
      <c r="CN19" s="105">
        <v>19.358214524581097</v>
      </c>
      <c r="CO19" s="105">
        <v>6388.2107931117616</v>
      </c>
      <c r="CP19" s="105">
        <v>13.279287109691156</v>
      </c>
      <c r="CQ19" s="105">
        <v>4382.164746198081</v>
      </c>
      <c r="CR19" s="105">
        <v>3.3057539913423946</v>
      </c>
      <c r="CS19" s="105">
        <v>1090.8988171429903</v>
      </c>
      <c r="CT19" s="105">
        <v>11.029405374412155</v>
      </c>
      <c r="CU19" s="105">
        <v>3639.7037735560111</v>
      </c>
    </row>
    <row r="20" spans="2:99" x14ac:dyDescent="0.25">
      <c r="B20" s="104" t="s">
        <v>127</v>
      </c>
      <c r="C20" s="104" t="s">
        <v>185</v>
      </c>
      <c r="D20" s="105">
        <v>0</v>
      </c>
      <c r="E20" s="105">
        <v>0</v>
      </c>
      <c r="F20" s="105">
        <v>0</v>
      </c>
      <c r="G20" s="105">
        <v>0</v>
      </c>
      <c r="H20" s="105">
        <v>4</v>
      </c>
      <c r="I20" s="105">
        <v>1147.2</v>
      </c>
      <c r="J20" s="105">
        <v>2</v>
      </c>
      <c r="K20" s="105">
        <v>573.6</v>
      </c>
      <c r="L20" s="105">
        <v>3</v>
      </c>
      <c r="M20" s="105">
        <v>860.40000000000009</v>
      </c>
      <c r="N20" s="105">
        <v>4</v>
      </c>
      <c r="O20" s="105">
        <v>1147.2</v>
      </c>
      <c r="P20" s="105">
        <v>3</v>
      </c>
      <c r="Q20" s="105">
        <v>860.40000000000009</v>
      </c>
      <c r="R20" s="105">
        <v>4</v>
      </c>
      <c r="S20" s="105">
        <v>1147.2</v>
      </c>
      <c r="T20" s="105">
        <v>5</v>
      </c>
      <c r="U20" s="105">
        <v>1434</v>
      </c>
      <c r="V20" s="105">
        <v>4</v>
      </c>
      <c r="W20" s="105">
        <v>1147.2</v>
      </c>
      <c r="X20" s="105">
        <v>3</v>
      </c>
      <c r="Y20" s="105">
        <v>860.40000000000009</v>
      </c>
      <c r="Z20" s="105">
        <v>5</v>
      </c>
      <c r="AA20" s="105">
        <v>1434</v>
      </c>
      <c r="AB20" s="105">
        <v>5</v>
      </c>
      <c r="AC20" s="105">
        <v>1434</v>
      </c>
      <c r="AD20" s="105">
        <v>6</v>
      </c>
      <c r="AE20" s="105">
        <v>1720.8000000000002</v>
      </c>
      <c r="AF20" s="105">
        <v>5</v>
      </c>
      <c r="AG20" s="105">
        <v>1434</v>
      </c>
      <c r="AH20" s="105">
        <v>6</v>
      </c>
      <c r="AI20" s="105">
        <v>1720.8000000000002</v>
      </c>
      <c r="AJ20" s="105">
        <v>6</v>
      </c>
      <c r="AK20" s="105">
        <v>1720.8000000000002</v>
      </c>
      <c r="AL20" s="105">
        <v>7</v>
      </c>
      <c r="AM20" s="105">
        <v>2007.6000000000001</v>
      </c>
      <c r="AN20" s="105">
        <v>5</v>
      </c>
      <c r="AO20" s="105">
        <v>1434</v>
      </c>
      <c r="AP20" s="105">
        <v>6</v>
      </c>
      <c r="AQ20" s="105">
        <v>1720.8000000000002</v>
      </c>
      <c r="AR20" s="105">
        <v>8</v>
      </c>
      <c r="AS20" s="105">
        <v>2294.4</v>
      </c>
      <c r="AT20" s="105">
        <v>7</v>
      </c>
      <c r="AU20" s="105">
        <v>2007.6000000000001</v>
      </c>
      <c r="AV20" s="105">
        <v>9</v>
      </c>
      <c r="AW20" s="105">
        <v>2581.2000000000003</v>
      </c>
      <c r="AX20" s="105">
        <v>7</v>
      </c>
      <c r="AY20" s="105">
        <v>2007.6000000000001</v>
      </c>
      <c r="AZ20" s="105">
        <v>7</v>
      </c>
      <c r="BA20" s="105">
        <v>2007.6000000000001</v>
      </c>
      <c r="BB20" s="105">
        <v>9</v>
      </c>
      <c r="BC20" s="105">
        <v>2581.2000000000003</v>
      </c>
      <c r="BD20" s="105">
        <v>12</v>
      </c>
      <c r="BE20" s="105">
        <v>3441.6000000000004</v>
      </c>
      <c r="BF20" s="105">
        <v>7</v>
      </c>
      <c r="BG20" s="105">
        <v>2007.6000000000001</v>
      </c>
      <c r="BH20" s="105">
        <v>12</v>
      </c>
      <c r="BI20" s="105">
        <v>3441.6000000000004</v>
      </c>
      <c r="BJ20" s="105">
        <v>13</v>
      </c>
      <c r="BK20" s="105">
        <v>3728.4</v>
      </c>
      <c r="BL20" s="105">
        <v>10</v>
      </c>
      <c r="BM20" s="105">
        <v>2868</v>
      </c>
      <c r="BN20" s="105">
        <v>16</v>
      </c>
      <c r="BO20" s="105">
        <v>4588.8</v>
      </c>
      <c r="BP20" s="105">
        <v>23</v>
      </c>
      <c r="BQ20" s="105">
        <v>6596.4000000000005</v>
      </c>
      <c r="BR20" s="105">
        <v>2.7886937559251361</v>
      </c>
      <c r="BS20" s="105">
        <v>799.79736919932907</v>
      </c>
      <c r="BT20" s="105">
        <v>9.6455498661069772</v>
      </c>
      <c r="BU20" s="105">
        <v>2766.3437015994809</v>
      </c>
      <c r="BV20" s="105">
        <v>14</v>
      </c>
      <c r="BW20" s="105">
        <v>4015.2000000000003</v>
      </c>
      <c r="BX20" s="105">
        <v>12.103524549787616</v>
      </c>
      <c r="BY20" s="105">
        <v>3471.2908408790886</v>
      </c>
      <c r="BZ20" s="105">
        <v>1.5647055994503611</v>
      </c>
      <c r="CA20" s="105">
        <v>448.7575659223636</v>
      </c>
      <c r="CB20" s="105">
        <v>16.837111014133342</v>
      </c>
      <c r="CC20" s="105">
        <v>4828.8834388534424</v>
      </c>
      <c r="CD20" s="105">
        <v>15.147295139499533</v>
      </c>
      <c r="CE20" s="105">
        <v>4344.2442460084667</v>
      </c>
      <c r="CF20" s="105">
        <v>1.3282500000000004</v>
      </c>
      <c r="CG20" s="105">
        <v>380.9421000000001</v>
      </c>
      <c r="CH20" s="105">
        <v>9.4056382834836558</v>
      </c>
      <c r="CI20" s="105">
        <v>2697.5370597031124</v>
      </c>
      <c r="CJ20" s="105">
        <v>7.9592038590820815</v>
      </c>
      <c r="CK20" s="105">
        <v>2282.6996667847411</v>
      </c>
      <c r="CL20" s="105">
        <v>30.295734678470307</v>
      </c>
      <c r="CM20" s="105">
        <v>8688.8167057852843</v>
      </c>
      <c r="CN20" s="105">
        <v>19.741676074188092</v>
      </c>
      <c r="CO20" s="105">
        <v>5661.9126980771453</v>
      </c>
      <c r="CP20" s="105">
        <v>12.141813428527042</v>
      </c>
      <c r="CQ20" s="105">
        <v>3482.272091301556</v>
      </c>
      <c r="CR20" s="105">
        <v>1.504688023645504</v>
      </c>
      <c r="CS20" s="105">
        <v>431.54452518153056</v>
      </c>
      <c r="CT20" s="105">
        <v>7.6373694797564653</v>
      </c>
      <c r="CU20" s="105">
        <v>2190.3975667941545</v>
      </c>
    </row>
    <row r="21" spans="2:99" x14ac:dyDescent="0.25">
      <c r="C21" s="104" t="s">
        <v>186</v>
      </c>
      <c r="D21" s="105">
        <v>0</v>
      </c>
      <c r="E21" s="105">
        <v>0</v>
      </c>
      <c r="F21" s="105">
        <v>0</v>
      </c>
      <c r="G21" s="105">
        <v>0</v>
      </c>
      <c r="H21" s="105">
        <v>4</v>
      </c>
      <c r="I21" s="105">
        <v>249.6</v>
      </c>
      <c r="J21" s="105">
        <v>2</v>
      </c>
      <c r="K21" s="105">
        <v>124.8</v>
      </c>
      <c r="L21" s="105">
        <v>3</v>
      </c>
      <c r="M21" s="105">
        <v>187.2</v>
      </c>
      <c r="N21" s="105">
        <v>4</v>
      </c>
      <c r="O21" s="105">
        <v>249.6</v>
      </c>
      <c r="P21" s="105">
        <v>3</v>
      </c>
      <c r="Q21" s="105">
        <v>187.2</v>
      </c>
      <c r="R21" s="105">
        <v>4</v>
      </c>
      <c r="S21" s="105">
        <v>249.6</v>
      </c>
      <c r="T21" s="105">
        <v>5</v>
      </c>
      <c r="U21" s="105">
        <v>312</v>
      </c>
      <c r="V21" s="105">
        <v>4</v>
      </c>
      <c r="W21" s="105">
        <v>249.6</v>
      </c>
      <c r="X21" s="105">
        <v>3</v>
      </c>
      <c r="Y21" s="105">
        <v>187.2</v>
      </c>
      <c r="Z21" s="105">
        <v>5</v>
      </c>
      <c r="AA21" s="105">
        <v>312</v>
      </c>
      <c r="AB21" s="105">
        <v>5</v>
      </c>
      <c r="AC21" s="105">
        <v>312</v>
      </c>
      <c r="AD21" s="105">
        <v>6</v>
      </c>
      <c r="AE21" s="105">
        <v>374.4</v>
      </c>
      <c r="AF21" s="105">
        <v>6</v>
      </c>
      <c r="AG21" s="105">
        <v>374.4</v>
      </c>
      <c r="AH21" s="105">
        <v>6</v>
      </c>
      <c r="AI21" s="105">
        <v>374.4</v>
      </c>
      <c r="AJ21" s="105">
        <v>5</v>
      </c>
      <c r="AK21" s="105">
        <v>312</v>
      </c>
      <c r="AL21" s="105">
        <v>7</v>
      </c>
      <c r="AM21" s="105">
        <v>436.8</v>
      </c>
      <c r="AN21" s="105">
        <v>6</v>
      </c>
      <c r="AO21" s="105">
        <v>374.4</v>
      </c>
      <c r="AP21" s="105">
        <v>5</v>
      </c>
      <c r="AQ21" s="105">
        <v>312</v>
      </c>
      <c r="AR21" s="105">
        <v>8</v>
      </c>
      <c r="AS21" s="105">
        <v>499.2</v>
      </c>
      <c r="AT21" s="105">
        <v>7</v>
      </c>
      <c r="AU21" s="105">
        <v>436.8</v>
      </c>
      <c r="AV21" s="105">
        <v>9</v>
      </c>
      <c r="AW21" s="105">
        <v>561.6</v>
      </c>
      <c r="AX21" s="105">
        <v>7</v>
      </c>
      <c r="AY21" s="105">
        <v>436.8</v>
      </c>
      <c r="AZ21" s="105">
        <v>7</v>
      </c>
      <c r="BA21" s="105">
        <v>436.8</v>
      </c>
      <c r="BB21" s="105">
        <v>9</v>
      </c>
      <c r="BC21" s="105">
        <v>561.6</v>
      </c>
      <c r="BD21" s="105">
        <v>12</v>
      </c>
      <c r="BE21" s="105">
        <v>748.8</v>
      </c>
      <c r="BF21" s="105">
        <v>8</v>
      </c>
      <c r="BG21" s="105">
        <v>499.2</v>
      </c>
      <c r="BH21" s="105">
        <v>11</v>
      </c>
      <c r="BI21" s="105">
        <v>686.4</v>
      </c>
      <c r="BJ21" s="105">
        <v>13</v>
      </c>
      <c r="BK21" s="105">
        <v>811.19999999999993</v>
      </c>
      <c r="BL21" s="105">
        <v>11</v>
      </c>
      <c r="BM21" s="105">
        <v>686.4</v>
      </c>
      <c r="BN21" s="105">
        <v>16</v>
      </c>
      <c r="BO21" s="105">
        <v>998.4</v>
      </c>
      <c r="BP21" s="105">
        <v>24</v>
      </c>
      <c r="BQ21" s="105">
        <v>1497.6</v>
      </c>
      <c r="BR21" s="105">
        <v>2.672498182761589</v>
      </c>
      <c r="BS21" s="105">
        <v>166.76388660432315</v>
      </c>
      <c r="BT21" s="105">
        <v>10.181413747557365</v>
      </c>
      <c r="BU21" s="105">
        <v>635.32021784757956</v>
      </c>
      <c r="BV21" s="105">
        <v>16</v>
      </c>
      <c r="BW21" s="105">
        <v>998.4</v>
      </c>
      <c r="BX21" s="105">
        <v>14.524229459745138</v>
      </c>
      <c r="BY21" s="105">
        <v>906.31191828809654</v>
      </c>
      <c r="BZ21" s="105">
        <v>1.7602937993816563</v>
      </c>
      <c r="CA21" s="105">
        <v>109.84233308141535</v>
      </c>
      <c r="CB21" s="105">
        <v>16.837111014133342</v>
      </c>
      <c r="CC21" s="105">
        <v>1050.6357272819205</v>
      </c>
      <c r="CD21" s="105">
        <v>15.756466178758165</v>
      </c>
      <c r="CE21" s="105">
        <v>983.20348955450947</v>
      </c>
      <c r="CF21" s="105">
        <v>1.3981578947368425</v>
      </c>
      <c r="CG21" s="105">
        <v>87.245052631578972</v>
      </c>
      <c r="CH21" s="105">
        <v>9.6352732344156582</v>
      </c>
      <c r="CI21" s="105">
        <v>601.24104982753704</v>
      </c>
      <c r="CJ21" s="105">
        <v>8.1005163864194092</v>
      </c>
      <c r="CK21" s="105">
        <v>505.47222251257114</v>
      </c>
      <c r="CL21" s="105">
        <v>32.745503533461765</v>
      </c>
      <c r="CM21" s="105">
        <v>2043.319420488014</v>
      </c>
      <c r="CN21" s="105">
        <v>15.878086070723823</v>
      </c>
      <c r="CO21" s="105">
        <v>990.79257081316655</v>
      </c>
      <c r="CP21" s="105">
        <v>11.325830608147157</v>
      </c>
      <c r="CQ21" s="105">
        <v>706.7318299483826</v>
      </c>
      <c r="CR21" s="105">
        <v>1.6642761473654817</v>
      </c>
      <c r="CS21" s="105">
        <v>103.85083159560605</v>
      </c>
      <c r="CT21" s="105">
        <v>7.7757013722022323</v>
      </c>
      <c r="CU21" s="105">
        <v>485.20376562541929</v>
      </c>
    </row>
    <row r="22" spans="2:99" x14ac:dyDescent="0.25">
      <c r="C22" s="104" t="s">
        <v>187</v>
      </c>
      <c r="D22" s="105">
        <v>0</v>
      </c>
      <c r="E22" s="105">
        <v>0</v>
      </c>
      <c r="F22" s="105">
        <v>0</v>
      </c>
      <c r="G22" s="105">
        <v>0</v>
      </c>
      <c r="H22" s="105">
        <v>3</v>
      </c>
      <c r="I22" s="105">
        <v>561.59999999999991</v>
      </c>
      <c r="J22" s="105">
        <v>2</v>
      </c>
      <c r="K22" s="105">
        <v>374.4</v>
      </c>
      <c r="L22" s="105">
        <v>3</v>
      </c>
      <c r="M22" s="105">
        <v>561.59999999999991</v>
      </c>
      <c r="N22" s="105">
        <v>4</v>
      </c>
      <c r="O22" s="105">
        <v>748.8</v>
      </c>
      <c r="P22" s="105">
        <v>4</v>
      </c>
      <c r="Q22" s="105">
        <v>748.8</v>
      </c>
      <c r="R22" s="105">
        <v>3</v>
      </c>
      <c r="S22" s="105">
        <v>561.59999999999991</v>
      </c>
      <c r="T22" s="105">
        <v>5</v>
      </c>
      <c r="U22" s="105">
        <v>936</v>
      </c>
      <c r="V22" s="105">
        <v>4</v>
      </c>
      <c r="W22" s="105">
        <v>748.8</v>
      </c>
      <c r="X22" s="105">
        <v>3</v>
      </c>
      <c r="Y22" s="105">
        <v>561.59999999999991</v>
      </c>
      <c r="Z22" s="105">
        <v>5</v>
      </c>
      <c r="AA22" s="105">
        <v>936</v>
      </c>
      <c r="AB22" s="105">
        <v>5</v>
      </c>
      <c r="AC22" s="105">
        <v>936</v>
      </c>
      <c r="AD22" s="105">
        <v>6</v>
      </c>
      <c r="AE22" s="105">
        <v>1123.1999999999998</v>
      </c>
      <c r="AF22" s="105">
        <v>5</v>
      </c>
      <c r="AG22" s="105">
        <v>936</v>
      </c>
      <c r="AH22" s="105">
        <v>6</v>
      </c>
      <c r="AI22" s="105">
        <v>1123.1999999999998</v>
      </c>
      <c r="AJ22" s="105">
        <v>6</v>
      </c>
      <c r="AK22" s="105">
        <v>1123.1999999999998</v>
      </c>
      <c r="AL22" s="105">
        <v>7</v>
      </c>
      <c r="AM22" s="105">
        <v>1310.3999999999999</v>
      </c>
      <c r="AN22" s="105">
        <v>5</v>
      </c>
      <c r="AO22" s="105">
        <v>936</v>
      </c>
      <c r="AP22" s="105">
        <v>5</v>
      </c>
      <c r="AQ22" s="105">
        <v>936</v>
      </c>
      <c r="AR22" s="105">
        <v>8</v>
      </c>
      <c r="AS22" s="105">
        <v>1497.6</v>
      </c>
      <c r="AT22" s="105">
        <v>7</v>
      </c>
      <c r="AU22" s="105">
        <v>1310.3999999999999</v>
      </c>
      <c r="AV22" s="105">
        <v>9</v>
      </c>
      <c r="AW22" s="105">
        <v>1684.8</v>
      </c>
      <c r="AX22" s="105">
        <v>7</v>
      </c>
      <c r="AY22" s="105">
        <v>1310.3999999999999</v>
      </c>
      <c r="AZ22" s="105">
        <v>7</v>
      </c>
      <c r="BA22" s="105">
        <v>1310.3999999999999</v>
      </c>
      <c r="BB22" s="105">
        <v>9</v>
      </c>
      <c r="BC22" s="105">
        <v>1684.8</v>
      </c>
      <c r="BD22" s="105">
        <v>13</v>
      </c>
      <c r="BE22" s="105">
        <v>2433.6</v>
      </c>
      <c r="BF22" s="105">
        <v>8</v>
      </c>
      <c r="BG22" s="105">
        <v>1497.6</v>
      </c>
      <c r="BH22" s="105">
        <v>11</v>
      </c>
      <c r="BI22" s="105">
        <v>2059.1999999999998</v>
      </c>
      <c r="BJ22" s="105">
        <v>11</v>
      </c>
      <c r="BK22" s="105">
        <v>2059.1999999999998</v>
      </c>
      <c r="BL22" s="105">
        <v>11</v>
      </c>
      <c r="BM22" s="105">
        <v>2059.1999999999998</v>
      </c>
      <c r="BN22" s="105">
        <v>14</v>
      </c>
      <c r="BO22" s="105">
        <v>2620.7999999999997</v>
      </c>
      <c r="BP22" s="105">
        <v>23</v>
      </c>
      <c r="BQ22" s="105">
        <v>4305.5999999999995</v>
      </c>
      <c r="BR22" s="105">
        <v>2.672498182761589</v>
      </c>
      <c r="BS22" s="105">
        <v>500.29165981296944</v>
      </c>
      <c r="BT22" s="105">
        <v>9.6455498661069772</v>
      </c>
      <c r="BU22" s="105">
        <v>1805.646934935226</v>
      </c>
      <c r="BV22" s="105">
        <v>14</v>
      </c>
      <c r="BW22" s="105">
        <v>2620.7999999999997</v>
      </c>
      <c r="BX22" s="105">
        <v>14.524229459745138</v>
      </c>
      <c r="BY22" s="105">
        <v>2718.9357548642897</v>
      </c>
      <c r="BZ22" s="105">
        <v>1.6299016660941261</v>
      </c>
      <c r="CA22" s="105">
        <v>305.11759189282037</v>
      </c>
      <c r="CB22" s="105">
        <v>18.30120762405798</v>
      </c>
      <c r="CC22" s="105">
        <v>3425.9860672236537</v>
      </c>
      <c r="CD22" s="105">
        <v>14.668062353615399</v>
      </c>
      <c r="CE22" s="105">
        <v>2745.8612725968023</v>
      </c>
      <c r="CF22" s="105">
        <v>1.4680657894736846</v>
      </c>
      <c r="CG22" s="105">
        <v>274.82191578947374</v>
      </c>
      <c r="CH22" s="105">
        <v>8.7186123716333324</v>
      </c>
      <c r="CI22" s="105">
        <v>1632.1242359697596</v>
      </c>
      <c r="CJ22" s="105">
        <v>8.1114004655209069</v>
      </c>
      <c r="CK22" s="105">
        <v>1518.4541671455136</v>
      </c>
      <c r="CL22" s="105">
        <v>28.98938322033618</v>
      </c>
      <c r="CM22" s="105">
        <v>5426.8125388469325</v>
      </c>
      <c r="CN22" s="105">
        <v>15.225561985625584</v>
      </c>
      <c r="CO22" s="105">
        <v>2850.2252037091089</v>
      </c>
      <c r="CP22" s="105">
        <v>12.243811281074526</v>
      </c>
      <c r="CQ22" s="105">
        <v>2292.041471817151</v>
      </c>
      <c r="CR22" s="105">
        <v>1.4590914168683673</v>
      </c>
      <c r="CS22" s="105">
        <v>273.14191323775833</v>
      </c>
      <c r="CT22" s="105">
        <v>7.6636646939160462</v>
      </c>
      <c r="CU22" s="105">
        <v>1434.6380307010838</v>
      </c>
    </row>
    <row r="23" spans="2:99" x14ac:dyDescent="0.25">
      <c r="C23" s="104" t="s">
        <v>188</v>
      </c>
      <c r="D23" s="105">
        <v>0</v>
      </c>
      <c r="E23" s="105">
        <v>0</v>
      </c>
      <c r="F23" s="105">
        <v>0</v>
      </c>
      <c r="G23" s="105">
        <v>0</v>
      </c>
      <c r="H23" s="105">
        <v>4</v>
      </c>
      <c r="I23" s="105">
        <v>1176</v>
      </c>
      <c r="J23" s="105">
        <v>2</v>
      </c>
      <c r="K23" s="105">
        <v>588</v>
      </c>
      <c r="L23" s="105">
        <v>3</v>
      </c>
      <c r="M23" s="105">
        <v>882</v>
      </c>
      <c r="N23" s="105">
        <v>4</v>
      </c>
      <c r="O23" s="105">
        <v>1176</v>
      </c>
      <c r="P23" s="105">
        <v>3</v>
      </c>
      <c r="Q23" s="105">
        <v>882</v>
      </c>
      <c r="R23" s="105">
        <v>4</v>
      </c>
      <c r="S23" s="105">
        <v>1176</v>
      </c>
      <c r="T23" s="105">
        <v>5</v>
      </c>
      <c r="U23" s="105">
        <v>1470</v>
      </c>
      <c r="V23" s="105">
        <v>4</v>
      </c>
      <c r="W23" s="105">
        <v>1176</v>
      </c>
      <c r="X23" s="105">
        <v>3</v>
      </c>
      <c r="Y23" s="105">
        <v>882</v>
      </c>
      <c r="Z23" s="105">
        <v>5</v>
      </c>
      <c r="AA23" s="105">
        <v>1470</v>
      </c>
      <c r="AB23" s="105">
        <v>5</v>
      </c>
      <c r="AC23" s="105">
        <v>1470</v>
      </c>
      <c r="AD23" s="105">
        <v>5</v>
      </c>
      <c r="AE23" s="105">
        <v>1470</v>
      </c>
      <c r="AF23" s="105">
        <v>5</v>
      </c>
      <c r="AG23" s="105">
        <v>1470</v>
      </c>
      <c r="AH23" s="105">
        <v>6</v>
      </c>
      <c r="AI23" s="105">
        <v>1764</v>
      </c>
      <c r="AJ23" s="105">
        <v>5</v>
      </c>
      <c r="AK23" s="105">
        <v>1470</v>
      </c>
      <c r="AL23" s="105">
        <v>7</v>
      </c>
      <c r="AM23" s="105">
        <v>2058</v>
      </c>
      <c r="AN23" s="105">
        <v>5</v>
      </c>
      <c r="AO23" s="105">
        <v>1470</v>
      </c>
      <c r="AP23" s="105">
        <v>5</v>
      </c>
      <c r="AQ23" s="105">
        <v>1470</v>
      </c>
      <c r="AR23" s="105">
        <v>8</v>
      </c>
      <c r="AS23" s="105">
        <v>2352</v>
      </c>
      <c r="AT23" s="105">
        <v>7</v>
      </c>
      <c r="AU23" s="105">
        <v>2058</v>
      </c>
      <c r="AV23" s="105">
        <v>10</v>
      </c>
      <c r="AW23" s="105">
        <v>2940</v>
      </c>
      <c r="AX23" s="105">
        <v>7</v>
      </c>
      <c r="AY23" s="105">
        <v>2058</v>
      </c>
      <c r="AZ23" s="105">
        <v>7</v>
      </c>
      <c r="BA23" s="105">
        <v>2058</v>
      </c>
      <c r="BB23" s="105">
        <v>9</v>
      </c>
      <c r="BC23" s="105">
        <v>2646</v>
      </c>
      <c r="BD23" s="105">
        <v>13</v>
      </c>
      <c r="BE23" s="105">
        <v>3822</v>
      </c>
      <c r="BF23" s="105">
        <v>8</v>
      </c>
      <c r="BG23" s="105">
        <v>2352</v>
      </c>
      <c r="BH23" s="105">
        <v>12</v>
      </c>
      <c r="BI23" s="105">
        <v>3528</v>
      </c>
      <c r="BJ23" s="105">
        <v>12</v>
      </c>
      <c r="BK23" s="105">
        <v>3528</v>
      </c>
      <c r="BL23" s="105">
        <v>11</v>
      </c>
      <c r="BM23" s="105">
        <v>3234</v>
      </c>
      <c r="BN23" s="105">
        <v>14</v>
      </c>
      <c r="BO23" s="105">
        <v>4116</v>
      </c>
      <c r="BP23" s="105">
        <v>24</v>
      </c>
      <c r="BQ23" s="105">
        <v>7056</v>
      </c>
      <c r="BR23" s="105">
        <v>2.5563026095980415</v>
      </c>
      <c r="BS23" s="105">
        <v>751.55296722182413</v>
      </c>
      <c r="BT23" s="105">
        <v>9.1096859846565899</v>
      </c>
      <c r="BU23" s="105">
        <v>2678.2476794890376</v>
      </c>
      <c r="BV23" s="105">
        <v>14</v>
      </c>
      <c r="BW23" s="105">
        <v>4116</v>
      </c>
      <c r="BX23" s="105">
        <v>14.178414472608351</v>
      </c>
      <c r="BY23" s="105">
        <v>4168.4538549468552</v>
      </c>
      <c r="BZ23" s="105">
        <v>1.6299016660941261</v>
      </c>
      <c r="CA23" s="105">
        <v>479.19108983167308</v>
      </c>
      <c r="CB23" s="105">
        <v>14.640966099246382</v>
      </c>
      <c r="CC23" s="105">
        <v>4304.4440331784363</v>
      </c>
      <c r="CD23" s="105">
        <v>16.423852973435071</v>
      </c>
      <c r="CE23" s="105">
        <v>4828.6127741899109</v>
      </c>
      <c r="CF23" s="105">
        <v>1.4447631578947371</v>
      </c>
      <c r="CG23" s="105">
        <v>424.7603684210527</v>
      </c>
      <c r="CH23" s="105">
        <v>9.3962435787552572</v>
      </c>
      <c r="CI23" s="105">
        <v>2762.4956121540458</v>
      </c>
      <c r="CJ23" s="105">
        <v>8.5571062057358844</v>
      </c>
      <c r="CK23" s="105">
        <v>2515.7892244863501</v>
      </c>
      <c r="CL23" s="105">
        <v>30.917830986456526</v>
      </c>
      <c r="CM23" s="105">
        <v>9089.842310018219</v>
      </c>
      <c r="CN23" s="105">
        <v>20.213897049033502</v>
      </c>
      <c r="CO23" s="105">
        <v>5942.8857324158498</v>
      </c>
      <c r="CP23" s="105">
        <v>12.732793538750599</v>
      </c>
      <c r="CQ23" s="105">
        <v>3743.4413003926761</v>
      </c>
      <c r="CR23" s="105">
        <v>1.3678982033140945</v>
      </c>
      <c r="CS23" s="105">
        <v>402.16207177434376</v>
      </c>
      <c r="CT23" s="105">
        <v>7.2881118378181151</v>
      </c>
      <c r="CU23" s="105">
        <v>2142.7048803185257</v>
      </c>
    </row>
    <row r="24" spans="2:99" x14ac:dyDescent="0.25">
      <c r="C24" s="104" t="s">
        <v>189</v>
      </c>
      <c r="D24" s="105">
        <v>0</v>
      </c>
      <c r="E24" s="105">
        <v>0</v>
      </c>
      <c r="F24" s="105">
        <v>0</v>
      </c>
      <c r="G24" s="105">
        <v>0</v>
      </c>
      <c r="H24" s="105">
        <v>4</v>
      </c>
      <c r="I24" s="105">
        <v>1468.8</v>
      </c>
      <c r="J24" s="105">
        <v>2</v>
      </c>
      <c r="K24" s="105">
        <v>734.4</v>
      </c>
      <c r="L24" s="105">
        <v>3</v>
      </c>
      <c r="M24" s="105">
        <v>1101.5999999999999</v>
      </c>
      <c r="N24" s="105">
        <v>4</v>
      </c>
      <c r="O24" s="105">
        <v>1468.8</v>
      </c>
      <c r="P24" s="105">
        <v>3</v>
      </c>
      <c r="Q24" s="105">
        <v>1101.5999999999999</v>
      </c>
      <c r="R24" s="105">
        <v>4</v>
      </c>
      <c r="S24" s="105">
        <v>1468.8</v>
      </c>
      <c r="T24" s="105">
        <v>5</v>
      </c>
      <c r="U24" s="105">
        <v>1836</v>
      </c>
      <c r="V24" s="105">
        <v>3</v>
      </c>
      <c r="W24" s="105">
        <v>1101.5999999999999</v>
      </c>
      <c r="X24" s="105">
        <v>3</v>
      </c>
      <c r="Y24" s="105">
        <v>1101.5999999999999</v>
      </c>
      <c r="Z24" s="105">
        <v>5</v>
      </c>
      <c r="AA24" s="105">
        <v>1836</v>
      </c>
      <c r="AB24" s="105">
        <v>5</v>
      </c>
      <c r="AC24" s="105">
        <v>1836</v>
      </c>
      <c r="AD24" s="105">
        <v>6</v>
      </c>
      <c r="AE24" s="105">
        <v>2203.1999999999998</v>
      </c>
      <c r="AF24" s="105">
        <v>5</v>
      </c>
      <c r="AG24" s="105">
        <v>1836</v>
      </c>
      <c r="AH24" s="105">
        <v>6</v>
      </c>
      <c r="AI24" s="105">
        <v>2203.1999999999998</v>
      </c>
      <c r="AJ24" s="105">
        <v>6</v>
      </c>
      <c r="AK24" s="105">
        <v>2203.1999999999998</v>
      </c>
      <c r="AL24" s="105">
        <v>7</v>
      </c>
      <c r="AM24" s="105">
        <v>2570.4</v>
      </c>
      <c r="AN24" s="105">
        <v>5</v>
      </c>
      <c r="AO24" s="105">
        <v>1836</v>
      </c>
      <c r="AP24" s="105">
        <v>6</v>
      </c>
      <c r="AQ24" s="105">
        <v>2203.1999999999998</v>
      </c>
      <c r="AR24" s="105">
        <v>8</v>
      </c>
      <c r="AS24" s="105">
        <v>2937.6</v>
      </c>
      <c r="AT24" s="105">
        <v>7</v>
      </c>
      <c r="AU24" s="105">
        <v>2570.4</v>
      </c>
      <c r="AV24" s="105">
        <v>9</v>
      </c>
      <c r="AW24" s="105">
        <v>3304.7999999999997</v>
      </c>
      <c r="AX24" s="105">
        <v>7</v>
      </c>
      <c r="AY24" s="105">
        <v>2570.4</v>
      </c>
      <c r="AZ24" s="105">
        <v>7</v>
      </c>
      <c r="BA24" s="105">
        <v>2570.4</v>
      </c>
      <c r="BB24" s="105">
        <v>9</v>
      </c>
      <c r="BC24" s="105">
        <v>3304.7999999999997</v>
      </c>
      <c r="BD24" s="105">
        <v>12</v>
      </c>
      <c r="BE24" s="105">
        <v>4406.3999999999996</v>
      </c>
      <c r="BF24" s="105">
        <v>8</v>
      </c>
      <c r="BG24" s="105">
        <v>2937.6</v>
      </c>
      <c r="BH24" s="105">
        <v>12</v>
      </c>
      <c r="BI24" s="105">
        <v>4406.3999999999996</v>
      </c>
      <c r="BJ24" s="105">
        <v>11</v>
      </c>
      <c r="BK24" s="105">
        <v>4039.2</v>
      </c>
      <c r="BL24" s="105">
        <v>12</v>
      </c>
      <c r="BM24" s="105">
        <v>4406.3999999999996</v>
      </c>
      <c r="BN24" s="105">
        <v>14</v>
      </c>
      <c r="BO24" s="105">
        <v>5140.8</v>
      </c>
      <c r="BP24" s="105">
        <v>24</v>
      </c>
      <c r="BQ24" s="105">
        <v>8812.7999999999993</v>
      </c>
      <c r="BR24" s="105">
        <v>2.4401070364344939</v>
      </c>
      <c r="BS24" s="105">
        <v>896.00730377874618</v>
      </c>
      <c r="BT24" s="105">
        <v>10.181413747557365</v>
      </c>
      <c r="BU24" s="105">
        <v>3738.6151281030643</v>
      </c>
      <c r="BV24" s="105">
        <v>14</v>
      </c>
      <c r="BW24" s="105">
        <v>5140.8</v>
      </c>
      <c r="BX24" s="105">
        <v>13.486784498334773</v>
      </c>
      <c r="BY24" s="105">
        <v>4952.3472677885284</v>
      </c>
      <c r="BZ24" s="105">
        <v>1.4995095328065962</v>
      </c>
      <c r="CA24" s="105">
        <v>550.61990044658205</v>
      </c>
      <c r="CB24" s="105">
        <v>16.105062709171023</v>
      </c>
      <c r="CC24" s="105">
        <v>5913.7790268075996</v>
      </c>
      <c r="CD24" s="105">
        <v>16.714931750526436</v>
      </c>
      <c r="CE24" s="105">
        <v>6137.7229387933066</v>
      </c>
      <c r="CF24" s="105">
        <v>1.3515526315789477</v>
      </c>
      <c r="CG24" s="105">
        <v>496.29012631578956</v>
      </c>
      <c r="CH24" s="105">
        <v>8.9388526178369343</v>
      </c>
      <c r="CI24" s="105">
        <v>3282.346681269722</v>
      </c>
      <c r="CJ24" s="105">
        <v>8.1331686237239023</v>
      </c>
      <c r="CK24" s="105">
        <v>2986.4995186314168</v>
      </c>
      <c r="CL24" s="105">
        <v>29.321856701171782</v>
      </c>
      <c r="CM24" s="105">
        <v>10766.985780670278</v>
      </c>
      <c r="CN24" s="105">
        <v>20.628872628592617</v>
      </c>
      <c r="CO24" s="105">
        <v>7574.9220292192085</v>
      </c>
      <c r="CP24" s="105">
        <v>10.884372062513378</v>
      </c>
      <c r="CQ24" s="105">
        <v>3996.7414213549123</v>
      </c>
      <c r="CR24" s="105">
        <v>1.2995032931483899</v>
      </c>
      <c r="CS24" s="105">
        <v>477.17760924408873</v>
      </c>
      <c r="CT24" s="105">
        <v>6.8391917360216166</v>
      </c>
      <c r="CU24" s="105">
        <v>2511.3512054671373</v>
      </c>
    </row>
    <row r="25" spans="2:99" x14ac:dyDescent="0.25">
      <c r="C25" s="104" t="s">
        <v>190</v>
      </c>
      <c r="D25" s="105">
        <v>0</v>
      </c>
      <c r="E25" s="105">
        <v>0</v>
      </c>
      <c r="F25" s="105">
        <v>0</v>
      </c>
      <c r="G25" s="105">
        <v>0</v>
      </c>
      <c r="H25" s="105">
        <v>4</v>
      </c>
      <c r="I25" s="105">
        <v>2121.6</v>
      </c>
      <c r="J25" s="105">
        <v>2</v>
      </c>
      <c r="K25" s="105">
        <v>1060.8</v>
      </c>
      <c r="L25" s="105">
        <v>3</v>
      </c>
      <c r="M25" s="105">
        <v>1591.1999999999998</v>
      </c>
      <c r="N25" s="105">
        <v>4</v>
      </c>
      <c r="O25" s="105">
        <v>2121.6</v>
      </c>
      <c r="P25" s="105">
        <v>3</v>
      </c>
      <c r="Q25" s="105">
        <v>1591.1999999999998</v>
      </c>
      <c r="R25" s="105">
        <v>4</v>
      </c>
      <c r="S25" s="105">
        <v>2121.6</v>
      </c>
      <c r="T25" s="105">
        <v>5</v>
      </c>
      <c r="U25" s="105">
        <v>2652</v>
      </c>
      <c r="V25" s="105">
        <v>3</v>
      </c>
      <c r="W25" s="105">
        <v>1591.1999999999998</v>
      </c>
      <c r="X25" s="105">
        <v>3</v>
      </c>
      <c r="Y25" s="105">
        <v>1591.1999999999998</v>
      </c>
      <c r="Z25" s="105">
        <v>5</v>
      </c>
      <c r="AA25" s="105">
        <v>2652</v>
      </c>
      <c r="AB25" s="105">
        <v>5</v>
      </c>
      <c r="AC25" s="105">
        <v>2652</v>
      </c>
      <c r="AD25" s="105">
        <v>5</v>
      </c>
      <c r="AE25" s="105">
        <v>2652</v>
      </c>
      <c r="AF25" s="105">
        <v>5</v>
      </c>
      <c r="AG25" s="105">
        <v>2652</v>
      </c>
      <c r="AH25" s="105">
        <v>6</v>
      </c>
      <c r="AI25" s="105">
        <v>3182.3999999999996</v>
      </c>
      <c r="AJ25" s="105">
        <v>5</v>
      </c>
      <c r="AK25" s="105">
        <v>2652</v>
      </c>
      <c r="AL25" s="105">
        <v>7</v>
      </c>
      <c r="AM25" s="105">
        <v>3712.7999999999997</v>
      </c>
      <c r="AN25" s="105">
        <v>5</v>
      </c>
      <c r="AO25" s="105">
        <v>2652</v>
      </c>
      <c r="AP25" s="105">
        <v>5</v>
      </c>
      <c r="AQ25" s="105">
        <v>2652</v>
      </c>
      <c r="AR25" s="105">
        <v>7</v>
      </c>
      <c r="AS25" s="105">
        <v>3712.7999999999997</v>
      </c>
      <c r="AT25" s="105">
        <v>7</v>
      </c>
      <c r="AU25" s="105">
        <v>3712.7999999999997</v>
      </c>
      <c r="AV25" s="105">
        <v>9</v>
      </c>
      <c r="AW25" s="105">
        <v>4773.5999999999995</v>
      </c>
      <c r="AX25" s="105">
        <v>6</v>
      </c>
      <c r="AY25" s="105">
        <v>3182.3999999999996</v>
      </c>
      <c r="AZ25" s="105">
        <v>8</v>
      </c>
      <c r="BA25" s="105">
        <v>4243.2</v>
      </c>
      <c r="BB25" s="105">
        <v>8</v>
      </c>
      <c r="BC25" s="105">
        <v>4243.2</v>
      </c>
      <c r="BD25" s="105">
        <v>13</v>
      </c>
      <c r="BE25" s="105">
        <v>6895.2</v>
      </c>
      <c r="BF25" s="105">
        <v>7</v>
      </c>
      <c r="BG25" s="105">
        <v>3712.7999999999997</v>
      </c>
      <c r="BH25" s="105">
        <v>11</v>
      </c>
      <c r="BI25" s="105">
        <v>5834.4</v>
      </c>
      <c r="BJ25" s="105">
        <v>12</v>
      </c>
      <c r="BK25" s="105">
        <v>6364.7999999999993</v>
      </c>
      <c r="BL25" s="105">
        <v>11</v>
      </c>
      <c r="BM25" s="105">
        <v>5834.4</v>
      </c>
      <c r="BN25" s="105">
        <v>13</v>
      </c>
      <c r="BO25" s="105">
        <v>6895.2</v>
      </c>
      <c r="BP25" s="105">
        <v>22</v>
      </c>
      <c r="BQ25" s="105">
        <v>11668.8</v>
      </c>
      <c r="BR25" s="105">
        <v>2.4401070364344939</v>
      </c>
      <c r="BS25" s="105">
        <v>1294.2327721248555</v>
      </c>
      <c r="BT25" s="105">
        <v>9.1096859846565899</v>
      </c>
      <c r="BU25" s="105">
        <v>4831.7774462618554</v>
      </c>
      <c r="BV25" s="105">
        <v>13</v>
      </c>
      <c r="BW25" s="105">
        <v>6895.2</v>
      </c>
      <c r="BX25" s="105">
        <v>13.486784498334773</v>
      </c>
      <c r="BY25" s="105">
        <v>7153.3904979167628</v>
      </c>
      <c r="BZ25" s="105">
        <v>1.6299016660941261</v>
      </c>
      <c r="CA25" s="105">
        <v>864.49984369632443</v>
      </c>
      <c r="CB25" s="105">
        <v>14.640966099246382</v>
      </c>
      <c r="CC25" s="105">
        <v>7765.5684190402808</v>
      </c>
      <c r="CD25" s="105">
        <v>14.726278109033672</v>
      </c>
      <c r="CE25" s="105">
        <v>7810.8179090314588</v>
      </c>
      <c r="CF25" s="105">
        <v>1.4214605263157898</v>
      </c>
      <c r="CG25" s="105">
        <v>753.94266315789491</v>
      </c>
      <c r="CH25" s="105">
        <v>8.4964931844840486</v>
      </c>
      <c r="CI25" s="105">
        <v>4506.5399850503391</v>
      </c>
      <c r="CJ25" s="105">
        <v>7.4373095651566175</v>
      </c>
      <c r="CK25" s="105">
        <v>3944.7489933590696</v>
      </c>
      <c r="CL25" s="105">
        <v>27.451333500481557</v>
      </c>
      <c r="CM25" s="105">
        <v>14560.187288655417</v>
      </c>
      <c r="CN25" s="105">
        <v>15.443070013991663</v>
      </c>
      <c r="CO25" s="105">
        <v>8191.0043354211775</v>
      </c>
      <c r="CP25" s="105">
        <v>11.269760021425991</v>
      </c>
      <c r="CQ25" s="105">
        <v>5977.480715364346</v>
      </c>
      <c r="CR25" s="105">
        <v>1.2995032931483899</v>
      </c>
      <c r="CS25" s="105">
        <v>689.25654668590596</v>
      </c>
      <c r="CT25" s="105">
        <v>7.1698880503179092</v>
      </c>
      <c r="CU25" s="105">
        <v>3802.9086218886191</v>
      </c>
    </row>
    <row r="26" spans="2:99" x14ac:dyDescent="0.25">
      <c r="C26" s="104" t="s">
        <v>191</v>
      </c>
      <c r="D26" s="105">
        <v>0</v>
      </c>
      <c r="E26" s="105">
        <v>0</v>
      </c>
      <c r="F26" s="105">
        <v>0</v>
      </c>
      <c r="G26" s="105">
        <v>0</v>
      </c>
      <c r="H26" s="105">
        <v>3</v>
      </c>
      <c r="I26" s="105">
        <v>1458</v>
      </c>
      <c r="J26" s="105">
        <v>2</v>
      </c>
      <c r="K26" s="105">
        <v>972</v>
      </c>
      <c r="L26" s="105">
        <v>3</v>
      </c>
      <c r="M26" s="105">
        <v>1458</v>
      </c>
      <c r="N26" s="105">
        <v>4</v>
      </c>
      <c r="O26" s="105">
        <v>1944</v>
      </c>
      <c r="P26" s="105">
        <v>3</v>
      </c>
      <c r="Q26" s="105">
        <v>1458</v>
      </c>
      <c r="R26" s="105">
        <v>4</v>
      </c>
      <c r="S26" s="105">
        <v>1944</v>
      </c>
      <c r="T26" s="105">
        <v>5</v>
      </c>
      <c r="U26" s="105">
        <v>2430</v>
      </c>
      <c r="V26" s="105">
        <v>4</v>
      </c>
      <c r="W26" s="105">
        <v>1944</v>
      </c>
      <c r="X26" s="105">
        <v>3</v>
      </c>
      <c r="Y26" s="105">
        <v>1458</v>
      </c>
      <c r="Z26" s="105">
        <v>5</v>
      </c>
      <c r="AA26" s="105">
        <v>2430</v>
      </c>
      <c r="AB26" s="105">
        <v>5</v>
      </c>
      <c r="AC26" s="105">
        <v>2430</v>
      </c>
      <c r="AD26" s="105">
        <v>6</v>
      </c>
      <c r="AE26" s="105">
        <v>2916</v>
      </c>
      <c r="AF26" s="105">
        <v>5</v>
      </c>
      <c r="AG26" s="105">
        <v>2430</v>
      </c>
      <c r="AH26" s="105">
        <v>5</v>
      </c>
      <c r="AI26" s="105">
        <v>2430</v>
      </c>
      <c r="AJ26" s="105">
        <v>6</v>
      </c>
      <c r="AK26" s="105">
        <v>2916</v>
      </c>
      <c r="AL26" s="105">
        <v>7</v>
      </c>
      <c r="AM26" s="105">
        <v>3402</v>
      </c>
      <c r="AN26" s="105">
        <v>6</v>
      </c>
      <c r="AO26" s="105">
        <v>2916</v>
      </c>
      <c r="AP26" s="105">
        <v>6</v>
      </c>
      <c r="AQ26" s="105">
        <v>2916</v>
      </c>
      <c r="AR26" s="105">
        <v>9</v>
      </c>
      <c r="AS26" s="105">
        <v>4374</v>
      </c>
      <c r="AT26" s="105">
        <v>6</v>
      </c>
      <c r="AU26" s="105">
        <v>2916</v>
      </c>
      <c r="AV26" s="105">
        <v>10</v>
      </c>
      <c r="AW26" s="105">
        <v>4860</v>
      </c>
      <c r="AX26" s="105">
        <v>7</v>
      </c>
      <c r="AY26" s="105">
        <v>3402</v>
      </c>
      <c r="AZ26" s="105">
        <v>8</v>
      </c>
      <c r="BA26" s="105">
        <v>3888</v>
      </c>
      <c r="BB26" s="105">
        <v>9</v>
      </c>
      <c r="BC26" s="105">
        <v>4374</v>
      </c>
      <c r="BD26" s="105">
        <v>13</v>
      </c>
      <c r="BE26" s="105">
        <v>6318</v>
      </c>
      <c r="BF26" s="105">
        <v>7</v>
      </c>
      <c r="BG26" s="105">
        <v>3402</v>
      </c>
      <c r="BH26" s="105">
        <v>11</v>
      </c>
      <c r="BI26" s="105">
        <v>5346</v>
      </c>
      <c r="BJ26" s="105">
        <v>11</v>
      </c>
      <c r="BK26" s="105">
        <v>5346</v>
      </c>
      <c r="BL26" s="105">
        <v>11</v>
      </c>
      <c r="BM26" s="105">
        <v>5346</v>
      </c>
      <c r="BN26" s="105">
        <v>14</v>
      </c>
      <c r="BO26" s="105">
        <v>6804</v>
      </c>
      <c r="BP26" s="105">
        <v>25</v>
      </c>
      <c r="BQ26" s="105">
        <v>12150</v>
      </c>
      <c r="BR26" s="105">
        <v>2.7886937559251361</v>
      </c>
      <c r="BS26" s="105">
        <v>1355.3051653796163</v>
      </c>
      <c r="BT26" s="105">
        <v>10.717277629007754</v>
      </c>
      <c r="BU26" s="105">
        <v>5208.5969276977685</v>
      </c>
      <c r="BV26" s="105">
        <v>14</v>
      </c>
      <c r="BW26" s="105">
        <v>6804</v>
      </c>
      <c r="BX26" s="105">
        <v>14.178414472608351</v>
      </c>
      <c r="BY26" s="105">
        <v>6890.709433687658</v>
      </c>
      <c r="BZ26" s="105">
        <v>1.5647055994503611</v>
      </c>
      <c r="CA26" s="105">
        <v>760.44692133287549</v>
      </c>
      <c r="CB26" s="105">
        <v>16.837111014133342</v>
      </c>
      <c r="CC26" s="105">
        <v>8182.8359528688043</v>
      </c>
      <c r="CD26" s="105">
        <v>15.568312169965393</v>
      </c>
      <c r="CE26" s="105">
        <v>7566.1997146031808</v>
      </c>
      <c r="CF26" s="105">
        <v>1.3748552631578952</v>
      </c>
      <c r="CG26" s="105">
        <v>668.17965789473703</v>
      </c>
      <c r="CH26" s="105">
        <v>9.8386030121081411</v>
      </c>
      <c r="CI26" s="105">
        <v>4781.5610638845565</v>
      </c>
      <c r="CJ26" s="105">
        <v>8.1440527028253999</v>
      </c>
      <c r="CK26" s="105">
        <v>3958.0096135731442</v>
      </c>
      <c r="CL26" s="105">
        <v>30.859906421026402</v>
      </c>
      <c r="CM26" s="105">
        <v>14997.914520618831</v>
      </c>
      <c r="CN26" s="105">
        <v>18.951775277263668</v>
      </c>
      <c r="CO26" s="105">
        <v>9210.5627847501419</v>
      </c>
      <c r="CP26" s="105">
        <v>10.110403252256205</v>
      </c>
      <c r="CQ26" s="105">
        <v>4913.6559805965153</v>
      </c>
      <c r="CR26" s="105">
        <v>1.322301596536958</v>
      </c>
      <c r="CS26" s="105">
        <v>642.6385759169616</v>
      </c>
      <c r="CT26" s="105">
        <v>7.1838090460494524</v>
      </c>
      <c r="CU26" s="105">
        <v>3491.3311963800338</v>
      </c>
    </row>
    <row r="27" spans="2:99" x14ac:dyDescent="0.25">
      <c r="C27" s="104" t="s">
        <v>192</v>
      </c>
      <c r="D27" s="105">
        <v>0</v>
      </c>
      <c r="E27" s="105">
        <v>0</v>
      </c>
      <c r="F27" s="105">
        <v>0</v>
      </c>
      <c r="G27" s="105">
        <v>0</v>
      </c>
      <c r="H27" s="105">
        <v>4</v>
      </c>
      <c r="I27" s="105">
        <v>1708.8</v>
      </c>
      <c r="J27" s="105">
        <v>2</v>
      </c>
      <c r="K27" s="105">
        <v>854.4</v>
      </c>
      <c r="L27" s="105">
        <v>3</v>
      </c>
      <c r="M27" s="105">
        <v>1281.5999999999999</v>
      </c>
      <c r="N27" s="105">
        <v>4</v>
      </c>
      <c r="O27" s="105">
        <v>1708.8</v>
      </c>
      <c r="P27" s="105">
        <v>3</v>
      </c>
      <c r="Q27" s="105">
        <v>1281.5999999999999</v>
      </c>
      <c r="R27" s="105">
        <v>4</v>
      </c>
      <c r="S27" s="105">
        <v>1708.8</v>
      </c>
      <c r="T27" s="105">
        <v>5</v>
      </c>
      <c r="U27" s="105">
        <v>2136</v>
      </c>
      <c r="V27" s="105">
        <v>4</v>
      </c>
      <c r="W27" s="105">
        <v>1708.8</v>
      </c>
      <c r="X27" s="105">
        <v>3</v>
      </c>
      <c r="Y27" s="105">
        <v>1281.5999999999999</v>
      </c>
      <c r="Z27" s="105">
        <v>5</v>
      </c>
      <c r="AA27" s="105">
        <v>2136</v>
      </c>
      <c r="AB27" s="105">
        <v>5</v>
      </c>
      <c r="AC27" s="105">
        <v>2136</v>
      </c>
      <c r="AD27" s="105">
        <v>6</v>
      </c>
      <c r="AE27" s="105">
        <v>2563.1999999999998</v>
      </c>
      <c r="AF27" s="105">
        <v>5</v>
      </c>
      <c r="AG27" s="105">
        <v>2136</v>
      </c>
      <c r="AH27" s="105">
        <v>6</v>
      </c>
      <c r="AI27" s="105">
        <v>2563.1999999999998</v>
      </c>
      <c r="AJ27" s="105">
        <v>5</v>
      </c>
      <c r="AK27" s="105">
        <v>2136</v>
      </c>
      <c r="AL27" s="105">
        <v>7</v>
      </c>
      <c r="AM27" s="105">
        <v>2990.4</v>
      </c>
      <c r="AN27" s="105">
        <v>6</v>
      </c>
      <c r="AO27" s="105">
        <v>2563.1999999999998</v>
      </c>
      <c r="AP27" s="105">
        <v>6</v>
      </c>
      <c r="AQ27" s="105">
        <v>2563.1999999999998</v>
      </c>
      <c r="AR27" s="105">
        <v>8</v>
      </c>
      <c r="AS27" s="105">
        <v>3417.6</v>
      </c>
      <c r="AT27" s="105">
        <v>6</v>
      </c>
      <c r="AU27" s="105">
        <v>2563.1999999999998</v>
      </c>
      <c r="AV27" s="105">
        <v>10</v>
      </c>
      <c r="AW27" s="105">
        <v>4272</v>
      </c>
      <c r="AX27" s="105">
        <v>7</v>
      </c>
      <c r="AY27" s="105">
        <v>2990.4</v>
      </c>
      <c r="AZ27" s="105">
        <v>7</v>
      </c>
      <c r="BA27" s="105">
        <v>2990.4</v>
      </c>
      <c r="BB27" s="105">
        <v>8</v>
      </c>
      <c r="BC27" s="105">
        <v>3417.6</v>
      </c>
      <c r="BD27" s="105">
        <v>12</v>
      </c>
      <c r="BE27" s="105">
        <v>5126.3999999999996</v>
      </c>
      <c r="BF27" s="105">
        <v>8</v>
      </c>
      <c r="BG27" s="105">
        <v>3417.6</v>
      </c>
      <c r="BH27" s="105">
        <v>10</v>
      </c>
      <c r="BI27" s="105">
        <v>4272</v>
      </c>
      <c r="BJ27" s="105">
        <v>11</v>
      </c>
      <c r="BK27" s="105">
        <v>4699.2</v>
      </c>
      <c r="BL27" s="105">
        <v>11</v>
      </c>
      <c r="BM27" s="105">
        <v>4699.2</v>
      </c>
      <c r="BN27" s="105">
        <v>13</v>
      </c>
      <c r="BO27" s="105">
        <v>5553.5999999999995</v>
      </c>
      <c r="BP27" s="105">
        <v>25</v>
      </c>
      <c r="BQ27" s="105">
        <v>10680</v>
      </c>
      <c r="BR27" s="105">
        <v>2.4401070364344939</v>
      </c>
      <c r="BS27" s="105">
        <v>1042.4137259648157</v>
      </c>
      <c r="BT27" s="105">
        <v>10.181413747557365</v>
      </c>
      <c r="BU27" s="105">
        <v>4349.4999529565057</v>
      </c>
      <c r="BV27" s="105">
        <v>14</v>
      </c>
      <c r="BW27" s="105">
        <v>5980.8</v>
      </c>
      <c r="BX27" s="105">
        <v>12.449339536924406</v>
      </c>
      <c r="BY27" s="105">
        <v>5318.3578501741058</v>
      </c>
      <c r="BZ27" s="105">
        <v>1.4995095328065962</v>
      </c>
      <c r="CA27" s="105">
        <v>640.59047241497785</v>
      </c>
      <c r="CB27" s="105">
        <v>17.569159319095661</v>
      </c>
      <c r="CC27" s="105">
        <v>7505.5448611176662</v>
      </c>
      <c r="CD27" s="105">
        <v>14.551630842778854</v>
      </c>
      <c r="CE27" s="105">
        <v>6216.4566960351267</v>
      </c>
      <c r="CF27" s="105">
        <v>1.3748552631578952</v>
      </c>
      <c r="CG27" s="105">
        <v>587.33816842105284</v>
      </c>
      <c r="CH27" s="105">
        <v>8.2800108201718086</v>
      </c>
      <c r="CI27" s="105">
        <v>3537.2206223773965</v>
      </c>
      <c r="CJ27" s="105">
        <v>8.7093028121747107</v>
      </c>
      <c r="CK27" s="105">
        <v>3720.6141613610362</v>
      </c>
      <c r="CL27" s="105">
        <v>29.167391193358117</v>
      </c>
      <c r="CM27" s="105">
        <v>12460.309517802587</v>
      </c>
      <c r="CN27" s="105">
        <v>18.200517416568911</v>
      </c>
      <c r="CO27" s="105">
        <v>7775.2610403582385</v>
      </c>
      <c r="CP27" s="105">
        <v>10.395389804837306</v>
      </c>
      <c r="CQ27" s="105">
        <v>4440.9105246264971</v>
      </c>
      <c r="CR27" s="105">
        <v>1.4590914168683673</v>
      </c>
      <c r="CS27" s="105">
        <v>623.32385328616647</v>
      </c>
      <c r="CT27" s="105">
        <v>7.8714968888016195</v>
      </c>
      <c r="CU27" s="105">
        <v>3362.7034708960518</v>
      </c>
    </row>
    <row r="28" spans="2:99" x14ac:dyDescent="0.25">
      <c r="C28" s="104" t="s">
        <v>193</v>
      </c>
      <c r="D28" s="105">
        <v>0</v>
      </c>
      <c r="E28" s="105">
        <v>0</v>
      </c>
      <c r="F28" s="105">
        <v>0</v>
      </c>
      <c r="G28" s="105">
        <v>0</v>
      </c>
      <c r="H28" s="105">
        <v>3</v>
      </c>
      <c r="I28" s="105">
        <v>2214</v>
      </c>
      <c r="J28" s="105">
        <v>2</v>
      </c>
      <c r="K28" s="105">
        <v>1476</v>
      </c>
      <c r="L28" s="105">
        <v>3</v>
      </c>
      <c r="M28" s="105">
        <v>2214</v>
      </c>
      <c r="N28" s="105">
        <v>4</v>
      </c>
      <c r="O28" s="105">
        <v>2952</v>
      </c>
      <c r="P28" s="105">
        <v>3</v>
      </c>
      <c r="Q28" s="105">
        <v>2214</v>
      </c>
      <c r="R28" s="105">
        <v>4</v>
      </c>
      <c r="S28" s="105">
        <v>2952</v>
      </c>
      <c r="T28" s="105">
        <v>5</v>
      </c>
      <c r="U28" s="105">
        <v>3690</v>
      </c>
      <c r="V28" s="105">
        <v>3</v>
      </c>
      <c r="W28" s="105">
        <v>2214</v>
      </c>
      <c r="X28" s="105">
        <v>3</v>
      </c>
      <c r="Y28" s="105">
        <v>2214</v>
      </c>
      <c r="Z28" s="105">
        <v>5</v>
      </c>
      <c r="AA28" s="105">
        <v>3690</v>
      </c>
      <c r="AB28" s="105">
        <v>4</v>
      </c>
      <c r="AC28" s="105">
        <v>2952</v>
      </c>
      <c r="AD28" s="105">
        <v>6</v>
      </c>
      <c r="AE28" s="105">
        <v>4428</v>
      </c>
      <c r="AF28" s="105">
        <v>5</v>
      </c>
      <c r="AG28" s="105">
        <v>3690</v>
      </c>
      <c r="AH28" s="105">
        <v>5</v>
      </c>
      <c r="AI28" s="105">
        <v>3690</v>
      </c>
      <c r="AJ28" s="105">
        <v>5</v>
      </c>
      <c r="AK28" s="105">
        <v>3690</v>
      </c>
      <c r="AL28" s="105">
        <v>6</v>
      </c>
      <c r="AM28" s="105">
        <v>4428</v>
      </c>
      <c r="AN28" s="105">
        <v>5</v>
      </c>
      <c r="AO28" s="105">
        <v>3690</v>
      </c>
      <c r="AP28" s="105">
        <v>5</v>
      </c>
      <c r="AQ28" s="105">
        <v>3690</v>
      </c>
      <c r="AR28" s="105">
        <v>8</v>
      </c>
      <c r="AS28" s="105">
        <v>5904</v>
      </c>
      <c r="AT28" s="105">
        <v>6</v>
      </c>
      <c r="AU28" s="105">
        <v>4428</v>
      </c>
      <c r="AV28" s="105">
        <v>10</v>
      </c>
      <c r="AW28" s="105">
        <v>7380</v>
      </c>
      <c r="AX28" s="105">
        <v>7</v>
      </c>
      <c r="AY28" s="105">
        <v>5166</v>
      </c>
      <c r="AZ28" s="105">
        <v>7</v>
      </c>
      <c r="BA28" s="105">
        <v>5166</v>
      </c>
      <c r="BB28" s="105">
        <v>8</v>
      </c>
      <c r="BC28" s="105">
        <v>5904</v>
      </c>
      <c r="BD28" s="105">
        <v>12</v>
      </c>
      <c r="BE28" s="105">
        <v>8856</v>
      </c>
      <c r="BF28" s="105">
        <v>8</v>
      </c>
      <c r="BG28" s="105">
        <v>5904</v>
      </c>
      <c r="BH28" s="105">
        <v>12</v>
      </c>
      <c r="BI28" s="105">
        <v>8856</v>
      </c>
      <c r="BJ28" s="105">
        <v>11</v>
      </c>
      <c r="BK28" s="105">
        <v>8118</v>
      </c>
      <c r="BL28" s="105">
        <v>10</v>
      </c>
      <c r="BM28" s="105">
        <v>7380</v>
      </c>
      <c r="BN28" s="105">
        <v>13</v>
      </c>
      <c r="BO28" s="105">
        <v>9594</v>
      </c>
      <c r="BP28" s="105">
        <v>24</v>
      </c>
      <c r="BQ28" s="105">
        <v>17712</v>
      </c>
      <c r="BR28" s="105">
        <v>2.672498182761589</v>
      </c>
      <c r="BS28" s="105">
        <v>1972.3036588780526</v>
      </c>
      <c r="BT28" s="105">
        <v>9.6455498661069772</v>
      </c>
      <c r="BU28" s="105">
        <v>7118.4158011869495</v>
      </c>
      <c r="BV28" s="105">
        <v>12</v>
      </c>
      <c r="BW28" s="105">
        <v>8856</v>
      </c>
      <c r="BX28" s="105">
        <v>11.757709562650827</v>
      </c>
      <c r="BY28" s="105">
        <v>8677.1896572363112</v>
      </c>
      <c r="BZ28" s="105">
        <v>1.4995095328065962</v>
      </c>
      <c r="CA28" s="105">
        <v>1106.6380352112681</v>
      </c>
      <c r="CB28" s="105">
        <v>14.640966099246382</v>
      </c>
      <c r="CC28" s="105">
        <v>10805.03298124383</v>
      </c>
      <c r="CD28" s="105">
        <v>14.014182301476446</v>
      </c>
      <c r="CE28" s="105">
        <v>10342.466538489616</v>
      </c>
      <c r="CF28" s="105">
        <v>1.2350394736842107</v>
      </c>
      <c r="CG28" s="105">
        <v>911.45913157894756</v>
      </c>
      <c r="CH28" s="105">
        <v>7.8057093907423658</v>
      </c>
      <c r="CI28" s="105">
        <v>5760.6135303678657</v>
      </c>
      <c r="CJ28" s="105">
        <v>7.6872823825267789</v>
      </c>
      <c r="CK28" s="105">
        <v>5673.2143983047627</v>
      </c>
      <c r="CL28" s="105">
        <v>29.51917286267043</v>
      </c>
      <c r="CM28" s="105">
        <v>21785.149572650778</v>
      </c>
      <c r="CN28" s="105">
        <v>18.958934775693489</v>
      </c>
      <c r="CO28" s="105">
        <v>13991.693864461795</v>
      </c>
      <c r="CP28" s="105">
        <v>10.695153297288524</v>
      </c>
      <c r="CQ28" s="105">
        <v>7893.0231333989304</v>
      </c>
      <c r="CR28" s="105">
        <v>1.2767049897598215</v>
      </c>
      <c r="CS28" s="105">
        <v>942.20828244274821</v>
      </c>
      <c r="CT28" s="105">
        <v>6.4907074827350195</v>
      </c>
      <c r="CU28" s="105">
        <v>4790.142122258444</v>
      </c>
    </row>
    <row r="29" spans="2:99" x14ac:dyDescent="0.25">
      <c r="C29" s="104" t="s">
        <v>194</v>
      </c>
      <c r="D29" s="105">
        <v>0</v>
      </c>
      <c r="E29" s="105">
        <v>0</v>
      </c>
      <c r="F29" s="105">
        <v>0</v>
      </c>
      <c r="G29" s="105">
        <v>0</v>
      </c>
      <c r="H29" s="105">
        <v>4</v>
      </c>
      <c r="I29" s="105">
        <v>1353.6</v>
      </c>
      <c r="J29" s="105">
        <v>2</v>
      </c>
      <c r="K29" s="105">
        <v>676.8</v>
      </c>
      <c r="L29" s="105">
        <v>3</v>
      </c>
      <c r="M29" s="105">
        <v>1015.1999999999999</v>
      </c>
      <c r="N29" s="105">
        <v>4</v>
      </c>
      <c r="O29" s="105">
        <v>1353.6</v>
      </c>
      <c r="P29" s="105">
        <v>3</v>
      </c>
      <c r="Q29" s="105">
        <v>1015.1999999999999</v>
      </c>
      <c r="R29" s="105">
        <v>3</v>
      </c>
      <c r="S29" s="105">
        <v>1015.1999999999999</v>
      </c>
      <c r="T29" s="105">
        <v>5</v>
      </c>
      <c r="U29" s="105">
        <v>1692</v>
      </c>
      <c r="V29" s="105">
        <v>4</v>
      </c>
      <c r="W29" s="105">
        <v>1353.6</v>
      </c>
      <c r="X29" s="105">
        <v>3</v>
      </c>
      <c r="Y29" s="105">
        <v>1015.1999999999999</v>
      </c>
      <c r="Z29" s="105">
        <v>4</v>
      </c>
      <c r="AA29" s="105">
        <v>1353.6</v>
      </c>
      <c r="AB29" s="105">
        <v>5</v>
      </c>
      <c r="AC29" s="105">
        <v>1692</v>
      </c>
      <c r="AD29" s="105">
        <v>6</v>
      </c>
      <c r="AE29" s="105">
        <v>2030.3999999999999</v>
      </c>
      <c r="AF29" s="105">
        <v>5</v>
      </c>
      <c r="AG29" s="105">
        <v>1692</v>
      </c>
      <c r="AH29" s="105">
        <v>6</v>
      </c>
      <c r="AI29" s="105">
        <v>2030.3999999999999</v>
      </c>
      <c r="AJ29" s="105">
        <v>6</v>
      </c>
      <c r="AK29" s="105">
        <v>2030.3999999999999</v>
      </c>
      <c r="AL29" s="105">
        <v>7</v>
      </c>
      <c r="AM29" s="105">
        <v>2368.7999999999997</v>
      </c>
      <c r="AN29" s="105">
        <v>6</v>
      </c>
      <c r="AO29" s="105">
        <v>2030.3999999999999</v>
      </c>
      <c r="AP29" s="105">
        <v>5</v>
      </c>
      <c r="AQ29" s="105">
        <v>1692</v>
      </c>
      <c r="AR29" s="105">
        <v>9</v>
      </c>
      <c r="AS29" s="105">
        <v>3045.6</v>
      </c>
      <c r="AT29" s="105">
        <v>6</v>
      </c>
      <c r="AU29" s="105">
        <v>2030.3999999999999</v>
      </c>
      <c r="AV29" s="105">
        <v>10</v>
      </c>
      <c r="AW29" s="105">
        <v>3384</v>
      </c>
      <c r="AX29" s="105">
        <v>7</v>
      </c>
      <c r="AY29" s="105">
        <v>2368.7999999999997</v>
      </c>
      <c r="AZ29" s="105">
        <v>8</v>
      </c>
      <c r="BA29" s="105">
        <v>2707.2</v>
      </c>
      <c r="BB29" s="105">
        <v>9</v>
      </c>
      <c r="BC29" s="105">
        <v>3045.6</v>
      </c>
      <c r="BD29" s="105">
        <v>13</v>
      </c>
      <c r="BE29" s="105">
        <v>4399.2</v>
      </c>
      <c r="BF29" s="105">
        <v>8</v>
      </c>
      <c r="BG29" s="105">
        <v>2707.2</v>
      </c>
      <c r="BH29" s="105">
        <v>11</v>
      </c>
      <c r="BI29" s="105">
        <v>3722.3999999999996</v>
      </c>
      <c r="BJ29" s="105">
        <v>11</v>
      </c>
      <c r="BK29" s="105">
        <v>3722.3999999999996</v>
      </c>
      <c r="BL29" s="105">
        <v>11</v>
      </c>
      <c r="BM29" s="105">
        <v>3722.3999999999996</v>
      </c>
      <c r="BN29" s="105">
        <v>14</v>
      </c>
      <c r="BO29" s="105">
        <v>4737.5999999999995</v>
      </c>
      <c r="BP29" s="105">
        <v>22</v>
      </c>
      <c r="BQ29" s="105">
        <v>7444.7999999999993</v>
      </c>
      <c r="BR29" s="105">
        <v>2.4401070364344939</v>
      </c>
      <c r="BS29" s="105">
        <v>825.73222112943267</v>
      </c>
      <c r="BT29" s="105">
        <v>10.181413747557365</v>
      </c>
      <c r="BU29" s="105">
        <v>3445.3904121734117</v>
      </c>
      <c r="BV29" s="105">
        <v>13</v>
      </c>
      <c r="BW29" s="105">
        <v>4399.2</v>
      </c>
      <c r="BX29" s="105">
        <v>13.83259948547156</v>
      </c>
      <c r="BY29" s="105">
        <v>4680.9516658835755</v>
      </c>
      <c r="BZ29" s="105">
        <v>1.6299016660941261</v>
      </c>
      <c r="CA29" s="105">
        <v>551.55872380625226</v>
      </c>
      <c r="CB29" s="105">
        <v>17.569159319095661</v>
      </c>
      <c r="CC29" s="105">
        <v>5945.4035135819713</v>
      </c>
      <c r="CD29" s="105">
        <v>15.321942405754351</v>
      </c>
      <c r="CE29" s="105">
        <v>5184.9453101072722</v>
      </c>
      <c r="CF29" s="105">
        <v>1.3748552631578952</v>
      </c>
      <c r="CG29" s="105">
        <v>465.2510210526317</v>
      </c>
      <c r="CH29" s="105">
        <v>9.6333942934699781</v>
      </c>
      <c r="CI29" s="105">
        <v>3259.9406289102403</v>
      </c>
      <c r="CJ29" s="105">
        <v>7.6330424880014354</v>
      </c>
      <c r="CK29" s="105">
        <v>2583.0215779396854</v>
      </c>
      <c r="CL29" s="105">
        <v>31.675084613779696</v>
      </c>
      <c r="CM29" s="105">
        <v>10718.848633303049</v>
      </c>
      <c r="CN29" s="105">
        <v>14.355529872161265</v>
      </c>
      <c r="CO29" s="105">
        <v>4857.9113087393716</v>
      </c>
      <c r="CP29" s="105">
        <v>12.308428742474568</v>
      </c>
      <c r="CQ29" s="105">
        <v>4165.172286453394</v>
      </c>
      <c r="CR29" s="105">
        <v>1.504688023645504</v>
      </c>
      <c r="CS29" s="105">
        <v>509.18642720163854</v>
      </c>
      <c r="CT29" s="105">
        <v>8.2145674215259508</v>
      </c>
      <c r="CU29" s="105">
        <v>2779.8096154443815</v>
      </c>
    </row>
    <row r="30" spans="2:99" x14ac:dyDescent="0.25">
      <c r="C30" s="104" t="s">
        <v>195</v>
      </c>
      <c r="D30" s="105">
        <v>0</v>
      </c>
      <c r="E30" s="105">
        <v>0</v>
      </c>
      <c r="F30" s="105">
        <v>0</v>
      </c>
      <c r="G30" s="105">
        <v>0</v>
      </c>
      <c r="H30" s="105">
        <v>4</v>
      </c>
      <c r="I30" s="105">
        <v>556.79999999999995</v>
      </c>
      <c r="J30" s="105">
        <v>2</v>
      </c>
      <c r="K30" s="105">
        <v>278.39999999999998</v>
      </c>
      <c r="L30" s="105">
        <v>3</v>
      </c>
      <c r="M30" s="105">
        <v>417.59999999999997</v>
      </c>
      <c r="N30" s="105">
        <v>4</v>
      </c>
      <c r="O30" s="105">
        <v>556.79999999999995</v>
      </c>
      <c r="P30" s="105">
        <v>4</v>
      </c>
      <c r="Q30" s="105">
        <v>556.79999999999995</v>
      </c>
      <c r="R30" s="105">
        <v>4</v>
      </c>
      <c r="S30" s="105">
        <v>556.79999999999995</v>
      </c>
      <c r="T30" s="105">
        <v>5</v>
      </c>
      <c r="U30" s="105">
        <v>696</v>
      </c>
      <c r="V30" s="105">
        <v>3</v>
      </c>
      <c r="W30" s="105">
        <v>417.59999999999997</v>
      </c>
      <c r="X30" s="105">
        <v>3</v>
      </c>
      <c r="Y30" s="105">
        <v>417.59999999999997</v>
      </c>
      <c r="Z30" s="105">
        <v>5</v>
      </c>
      <c r="AA30" s="105">
        <v>696</v>
      </c>
      <c r="AB30" s="105">
        <v>5</v>
      </c>
      <c r="AC30" s="105">
        <v>696</v>
      </c>
      <c r="AD30" s="105">
        <v>6</v>
      </c>
      <c r="AE30" s="105">
        <v>835.19999999999993</v>
      </c>
      <c r="AF30" s="105">
        <v>6</v>
      </c>
      <c r="AG30" s="105">
        <v>835.19999999999993</v>
      </c>
      <c r="AH30" s="105">
        <v>6</v>
      </c>
      <c r="AI30" s="105">
        <v>835.19999999999993</v>
      </c>
      <c r="AJ30" s="105">
        <v>5</v>
      </c>
      <c r="AK30" s="105">
        <v>696</v>
      </c>
      <c r="AL30" s="105">
        <v>8</v>
      </c>
      <c r="AM30" s="105">
        <v>1113.5999999999999</v>
      </c>
      <c r="AN30" s="105">
        <v>5</v>
      </c>
      <c r="AO30" s="105">
        <v>696</v>
      </c>
      <c r="AP30" s="105">
        <v>5</v>
      </c>
      <c r="AQ30" s="105">
        <v>696</v>
      </c>
      <c r="AR30" s="105">
        <v>9</v>
      </c>
      <c r="AS30" s="105">
        <v>1252.8</v>
      </c>
      <c r="AT30" s="105">
        <v>7</v>
      </c>
      <c r="AU30" s="105">
        <v>974.39999999999986</v>
      </c>
      <c r="AV30" s="105">
        <v>11</v>
      </c>
      <c r="AW30" s="105">
        <v>1531.1999999999998</v>
      </c>
      <c r="AX30" s="105">
        <v>6</v>
      </c>
      <c r="AY30" s="105">
        <v>835.19999999999993</v>
      </c>
      <c r="AZ30" s="105">
        <v>8</v>
      </c>
      <c r="BA30" s="105">
        <v>1113.5999999999999</v>
      </c>
      <c r="BB30" s="105">
        <v>8</v>
      </c>
      <c r="BC30" s="105">
        <v>1113.5999999999999</v>
      </c>
      <c r="BD30" s="105">
        <v>13</v>
      </c>
      <c r="BE30" s="105">
        <v>1809.6</v>
      </c>
      <c r="BF30" s="105">
        <v>7</v>
      </c>
      <c r="BG30" s="105">
        <v>974.39999999999986</v>
      </c>
      <c r="BH30" s="105">
        <v>12</v>
      </c>
      <c r="BI30" s="105">
        <v>1670.3999999999999</v>
      </c>
      <c r="BJ30" s="105">
        <v>11</v>
      </c>
      <c r="BK30" s="105">
        <v>1531.1999999999998</v>
      </c>
      <c r="BL30" s="105">
        <v>13</v>
      </c>
      <c r="BM30" s="105">
        <v>1809.6</v>
      </c>
      <c r="BN30" s="105">
        <v>15</v>
      </c>
      <c r="BO30" s="105">
        <v>2088</v>
      </c>
      <c r="BP30" s="105">
        <v>23</v>
      </c>
      <c r="BQ30" s="105">
        <v>3201.6</v>
      </c>
      <c r="BR30" s="105">
        <v>2.9048893290886837</v>
      </c>
      <c r="BS30" s="105">
        <v>404.36059460914475</v>
      </c>
      <c r="BT30" s="105">
        <v>10.717277629007754</v>
      </c>
      <c r="BU30" s="105">
        <v>1491.8450459578792</v>
      </c>
      <c r="BV30" s="105">
        <v>13</v>
      </c>
      <c r="BW30" s="105">
        <v>1809.6</v>
      </c>
      <c r="BX30" s="105">
        <v>13.83259948547156</v>
      </c>
      <c r="BY30" s="105">
        <v>1925.497848377641</v>
      </c>
      <c r="BZ30" s="105">
        <v>1.6299016660941261</v>
      </c>
      <c r="CA30" s="105">
        <v>226.88231192030233</v>
      </c>
      <c r="CB30" s="105">
        <v>15.373014404208703</v>
      </c>
      <c r="CC30" s="105">
        <v>2139.9236050658515</v>
      </c>
      <c r="CD30" s="105">
        <v>16.29391472006057</v>
      </c>
      <c r="CE30" s="105">
        <v>2268.1129290324311</v>
      </c>
      <c r="CF30" s="105">
        <v>1.3282500000000004</v>
      </c>
      <c r="CG30" s="105">
        <v>184.89240000000004</v>
      </c>
      <c r="CH30" s="105">
        <v>9.8630292444019787</v>
      </c>
      <c r="CI30" s="105">
        <v>1372.9336708207554</v>
      </c>
      <c r="CJ30" s="105">
        <v>7.7743550153387631</v>
      </c>
      <c r="CK30" s="105">
        <v>1082.1902181351556</v>
      </c>
      <c r="CL30" s="105">
        <v>28.463827854733498</v>
      </c>
      <c r="CM30" s="105">
        <v>3962.1648373789026</v>
      </c>
      <c r="CN30" s="105">
        <v>15.443070013991663</v>
      </c>
      <c r="CO30" s="105">
        <v>2149.6753459476395</v>
      </c>
      <c r="CP30" s="105">
        <v>12.025038636109443</v>
      </c>
      <c r="CQ30" s="105">
        <v>1673.8853781464343</v>
      </c>
      <c r="CR30" s="105">
        <v>1.6642761473654817</v>
      </c>
      <c r="CS30" s="105">
        <v>231.66723971327502</v>
      </c>
      <c r="CT30" s="105">
        <v>7.883097718577905</v>
      </c>
      <c r="CU30" s="105">
        <v>1097.3272024260443</v>
      </c>
    </row>
    <row r="31" spans="2:99" x14ac:dyDescent="0.25">
      <c r="C31" s="104" t="s">
        <v>196</v>
      </c>
      <c r="D31" s="105">
        <v>0</v>
      </c>
      <c r="E31" s="105">
        <v>0</v>
      </c>
      <c r="F31" s="105">
        <v>0</v>
      </c>
      <c r="G31" s="105">
        <v>0</v>
      </c>
      <c r="H31" s="105">
        <v>3</v>
      </c>
      <c r="I31" s="105">
        <v>1022.4000000000001</v>
      </c>
      <c r="J31" s="105">
        <v>2</v>
      </c>
      <c r="K31" s="105">
        <v>681.6</v>
      </c>
      <c r="L31" s="105">
        <v>3</v>
      </c>
      <c r="M31" s="105">
        <v>1022.4000000000001</v>
      </c>
      <c r="N31" s="105">
        <v>4</v>
      </c>
      <c r="O31" s="105">
        <v>1363.2</v>
      </c>
      <c r="P31" s="105">
        <v>3</v>
      </c>
      <c r="Q31" s="105">
        <v>1022.4000000000001</v>
      </c>
      <c r="R31" s="105">
        <v>4</v>
      </c>
      <c r="S31" s="105">
        <v>1363.2</v>
      </c>
      <c r="T31" s="105">
        <v>4</v>
      </c>
      <c r="U31" s="105">
        <v>1363.2</v>
      </c>
      <c r="V31" s="105">
        <v>4</v>
      </c>
      <c r="W31" s="105">
        <v>1363.2</v>
      </c>
      <c r="X31" s="105">
        <v>3</v>
      </c>
      <c r="Y31" s="105">
        <v>1022.4000000000001</v>
      </c>
      <c r="Z31" s="105">
        <v>5</v>
      </c>
      <c r="AA31" s="105">
        <v>1704</v>
      </c>
      <c r="AB31" s="105">
        <v>5</v>
      </c>
      <c r="AC31" s="105">
        <v>1704</v>
      </c>
      <c r="AD31" s="105">
        <v>6</v>
      </c>
      <c r="AE31" s="105">
        <v>2044.8000000000002</v>
      </c>
      <c r="AF31" s="105">
        <v>5</v>
      </c>
      <c r="AG31" s="105">
        <v>1704</v>
      </c>
      <c r="AH31" s="105">
        <v>6</v>
      </c>
      <c r="AI31" s="105">
        <v>2044.8000000000002</v>
      </c>
      <c r="AJ31" s="105">
        <v>6</v>
      </c>
      <c r="AK31" s="105">
        <v>2044.8000000000002</v>
      </c>
      <c r="AL31" s="105">
        <v>7</v>
      </c>
      <c r="AM31" s="105">
        <v>2385.6</v>
      </c>
      <c r="AN31" s="105">
        <v>5</v>
      </c>
      <c r="AO31" s="105">
        <v>1704</v>
      </c>
      <c r="AP31" s="105">
        <v>6</v>
      </c>
      <c r="AQ31" s="105">
        <v>2044.8000000000002</v>
      </c>
      <c r="AR31" s="105">
        <v>9</v>
      </c>
      <c r="AS31" s="105">
        <v>3067.2000000000003</v>
      </c>
      <c r="AT31" s="105">
        <v>6</v>
      </c>
      <c r="AU31" s="105">
        <v>2044.8000000000002</v>
      </c>
      <c r="AV31" s="105">
        <v>10</v>
      </c>
      <c r="AW31" s="105">
        <v>3408</v>
      </c>
      <c r="AX31" s="105">
        <v>7</v>
      </c>
      <c r="AY31" s="105">
        <v>2385.6</v>
      </c>
      <c r="AZ31" s="105">
        <v>7</v>
      </c>
      <c r="BA31" s="105">
        <v>2385.6</v>
      </c>
      <c r="BB31" s="105">
        <v>8</v>
      </c>
      <c r="BC31" s="105">
        <v>2726.4</v>
      </c>
      <c r="BD31" s="105">
        <v>13</v>
      </c>
      <c r="BE31" s="105">
        <v>4430.4000000000005</v>
      </c>
      <c r="BF31" s="105">
        <v>7</v>
      </c>
      <c r="BG31" s="105">
        <v>2385.6</v>
      </c>
      <c r="BH31" s="105">
        <v>11</v>
      </c>
      <c r="BI31" s="105">
        <v>3748.8</v>
      </c>
      <c r="BJ31" s="105">
        <v>11</v>
      </c>
      <c r="BK31" s="105">
        <v>3748.8</v>
      </c>
      <c r="BL31" s="105">
        <v>12</v>
      </c>
      <c r="BM31" s="105">
        <v>4089.6000000000004</v>
      </c>
      <c r="BN31" s="105">
        <v>15</v>
      </c>
      <c r="BO31" s="105">
        <v>5112</v>
      </c>
      <c r="BP31" s="105">
        <v>25</v>
      </c>
      <c r="BQ31" s="105">
        <v>8520</v>
      </c>
      <c r="BR31" s="105">
        <v>2.5563026095980415</v>
      </c>
      <c r="BS31" s="105">
        <v>871.1879293510126</v>
      </c>
      <c r="BT31" s="105">
        <v>9.1096859846565899</v>
      </c>
      <c r="BU31" s="105">
        <v>3104.5809835709661</v>
      </c>
      <c r="BV31" s="105">
        <v>15</v>
      </c>
      <c r="BW31" s="105">
        <v>5112</v>
      </c>
      <c r="BX31" s="105">
        <v>14.524229459745138</v>
      </c>
      <c r="BY31" s="105">
        <v>4949.8573998811435</v>
      </c>
      <c r="BZ31" s="105">
        <v>1.5647055994503611</v>
      </c>
      <c r="CA31" s="105">
        <v>533.25166829268312</v>
      </c>
      <c r="CB31" s="105">
        <v>17.569159319095661</v>
      </c>
      <c r="CC31" s="105">
        <v>5987.5694959478014</v>
      </c>
      <c r="CD31" s="105">
        <v>15.26372665033608</v>
      </c>
      <c r="CE31" s="105">
        <v>5201.8780424345359</v>
      </c>
      <c r="CF31" s="105">
        <v>1.4680657894736846</v>
      </c>
      <c r="CG31" s="105">
        <v>500.31682105263172</v>
      </c>
      <c r="CH31" s="105">
        <v>8.9426104997282945</v>
      </c>
      <c r="CI31" s="105">
        <v>3047.6416583074028</v>
      </c>
      <c r="CJ31" s="105">
        <v>7.6221584088999368</v>
      </c>
      <c r="CK31" s="105">
        <v>2597.6315857530985</v>
      </c>
      <c r="CL31" s="105">
        <v>27.625107196771925</v>
      </c>
      <c r="CM31" s="105">
        <v>9414.6365326598716</v>
      </c>
      <c r="CN31" s="105">
        <v>14.355529872161265</v>
      </c>
      <c r="CO31" s="105">
        <v>4892.3645804325588</v>
      </c>
      <c r="CP31" s="105">
        <v>11.359297743590995</v>
      </c>
      <c r="CQ31" s="105">
        <v>3871.2486710158109</v>
      </c>
      <c r="CR31" s="105">
        <v>1.5274863270340722</v>
      </c>
      <c r="CS31" s="105">
        <v>520.5673402532118</v>
      </c>
      <c r="CT31" s="105">
        <v>8.11722512762306</v>
      </c>
      <c r="CU31" s="105">
        <v>2766.350323493939</v>
      </c>
    </row>
    <row r="32" spans="2:99" x14ac:dyDescent="0.25">
      <c r="C32" s="104" t="s">
        <v>197</v>
      </c>
      <c r="D32" s="105">
        <v>0</v>
      </c>
      <c r="E32" s="105">
        <v>0</v>
      </c>
      <c r="F32" s="105">
        <v>0</v>
      </c>
      <c r="G32" s="105">
        <v>0</v>
      </c>
      <c r="H32" s="105">
        <v>4</v>
      </c>
      <c r="I32" s="105">
        <v>3360</v>
      </c>
      <c r="J32" s="105">
        <v>2</v>
      </c>
      <c r="K32" s="105">
        <v>1680</v>
      </c>
      <c r="L32" s="105">
        <v>3</v>
      </c>
      <c r="M32" s="105">
        <v>2520</v>
      </c>
      <c r="N32" s="105">
        <v>4</v>
      </c>
      <c r="O32" s="105">
        <v>3360</v>
      </c>
      <c r="P32" s="105">
        <v>3</v>
      </c>
      <c r="Q32" s="105">
        <v>2520</v>
      </c>
      <c r="R32" s="105">
        <v>4</v>
      </c>
      <c r="S32" s="105">
        <v>3360</v>
      </c>
      <c r="T32" s="105">
        <v>5</v>
      </c>
      <c r="U32" s="105">
        <v>4200</v>
      </c>
      <c r="V32" s="105">
        <v>4</v>
      </c>
      <c r="W32" s="105">
        <v>3360</v>
      </c>
      <c r="X32" s="105">
        <v>3</v>
      </c>
      <c r="Y32" s="105">
        <v>2520</v>
      </c>
      <c r="Z32" s="105">
        <v>5</v>
      </c>
      <c r="AA32" s="105">
        <v>4200</v>
      </c>
      <c r="AB32" s="105">
        <v>4</v>
      </c>
      <c r="AC32" s="105">
        <v>3360</v>
      </c>
      <c r="AD32" s="105">
        <v>5</v>
      </c>
      <c r="AE32" s="105">
        <v>4200</v>
      </c>
      <c r="AF32" s="105">
        <v>4</v>
      </c>
      <c r="AG32" s="105">
        <v>3360</v>
      </c>
      <c r="AH32" s="105">
        <v>6</v>
      </c>
      <c r="AI32" s="105">
        <v>5040</v>
      </c>
      <c r="AJ32" s="105">
        <v>5</v>
      </c>
      <c r="AK32" s="105">
        <v>4200</v>
      </c>
      <c r="AL32" s="105">
        <v>6</v>
      </c>
      <c r="AM32" s="105">
        <v>5040</v>
      </c>
      <c r="AN32" s="105">
        <v>5</v>
      </c>
      <c r="AO32" s="105">
        <v>4200</v>
      </c>
      <c r="AP32" s="105">
        <v>5</v>
      </c>
      <c r="AQ32" s="105">
        <v>4200</v>
      </c>
      <c r="AR32" s="105">
        <v>8</v>
      </c>
      <c r="AS32" s="105">
        <v>6720</v>
      </c>
      <c r="AT32" s="105">
        <v>6</v>
      </c>
      <c r="AU32" s="105">
        <v>5040</v>
      </c>
      <c r="AV32" s="105">
        <v>9</v>
      </c>
      <c r="AW32" s="105">
        <v>7560</v>
      </c>
      <c r="AX32" s="105">
        <v>7</v>
      </c>
      <c r="AY32" s="105">
        <v>5880</v>
      </c>
      <c r="AZ32" s="105">
        <v>7</v>
      </c>
      <c r="BA32" s="105">
        <v>5880</v>
      </c>
      <c r="BB32" s="105">
        <v>7</v>
      </c>
      <c r="BC32" s="105">
        <v>5880</v>
      </c>
      <c r="BD32" s="105">
        <v>11</v>
      </c>
      <c r="BE32" s="105">
        <v>9240</v>
      </c>
      <c r="BF32" s="105">
        <v>8</v>
      </c>
      <c r="BG32" s="105">
        <v>6720</v>
      </c>
      <c r="BH32" s="105">
        <v>10</v>
      </c>
      <c r="BI32" s="105">
        <v>8400</v>
      </c>
      <c r="BJ32" s="105">
        <v>11</v>
      </c>
      <c r="BK32" s="105">
        <v>9240</v>
      </c>
      <c r="BL32" s="105">
        <v>11</v>
      </c>
      <c r="BM32" s="105">
        <v>9240</v>
      </c>
      <c r="BN32" s="105">
        <v>13</v>
      </c>
      <c r="BO32" s="105">
        <v>10920</v>
      </c>
      <c r="BP32" s="105">
        <v>22</v>
      </c>
      <c r="BQ32" s="105">
        <v>18480</v>
      </c>
      <c r="BR32" s="105">
        <v>2.5563026095980415</v>
      </c>
      <c r="BS32" s="105">
        <v>2147.2941920623548</v>
      </c>
      <c r="BT32" s="105">
        <v>9.6455498661069772</v>
      </c>
      <c r="BU32" s="105">
        <v>8102.2618875298613</v>
      </c>
      <c r="BV32" s="105">
        <v>15</v>
      </c>
      <c r="BW32" s="105">
        <v>12600</v>
      </c>
      <c r="BX32" s="105">
        <v>11.757709562650827</v>
      </c>
      <c r="BY32" s="105">
        <v>9876.4760326266951</v>
      </c>
      <c r="BZ32" s="105">
        <v>1.6299016660941261</v>
      </c>
      <c r="CA32" s="105">
        <v>1369.1173995190659</v>
      </c>
      <c r="CB32" s="105">
        <v>14.640966099246382</v>
      </c>
      <c r="CC32" s="105">
        <v>12298.411523366962</v>
      </c>
      <c r="CD32" s="105">
        <v>14.753291594109575</v>
      </c>
      <c r="CE32" s="105">
        <v>12392.764939052044</v>
      </c>
      <c r="CF32" s="105">
        <v>1.3515526315789477</v>
      </c>
      <c r="CG32" s="105">
        <v>1135.304210526316</v>
      </c>
      <c r="CH32" s="105">
        <v>8.9407315587826126</v>
      </c>
      <c r="CI32" s="105">
        <v>7510.2145093773943</v>
      </c>
      <c r="CJ32" s="105">
        <v>7.1871562468043093</v>
      </c>
      <c r="CK32" s="105">
        <v>6037.2112473156194</v>
      </c>
      <c r="CL32" s="105">
        <v>28.680452204708853</v>
      </c>
      <c r="CM32" s="105">
        <v>24091.579851955437</v>
      </c>
      <c r="CN32" s="105">
        <v>13.703005787063026</v>
      </c>
      <c r="CO32" s="105">
        <v>11510.524861132941</v>
      </c>
      <c r="CP32" s="105">
        <v>10.805698024514882</v>
      </c>
      <c r="CQ32" s="105">
        <v>9076.7863405925018</v>
      </c>
      <c r="CR32" s="105">
        <v>1.322301596536958</v>
      </c>
      <c r="CS32" s="105">
        <v>1110.7333410910446</v>
      </c>
      <c r="CT32" s="105">
        <v>6.9489082483525459</v>
      </c>
      <c r="CU32" s="105">
        <v>5837.0829286161388</v>
      </c>
    </row>
    <row r="33" spans="2:99" x14ac:dyDescent="0.25">
      <c r="C33" s="104" t="s">
        <v>198</v>
      </c>
      <c r="D33" s="105">
        <v>0</v>
      </c>
      <c r="E33" s="105">
        <v>0</v>
      </c>
      <c r="F33" s="105">
        <v>0</v>
      </c>
      <c r="G33" s="105">
        <v>0</v>
      </c>
      <c r="H33" s="105">
        <v>3</v>
      </c>
      <c r="I33" s="105">
        <v>1422</v>
      </c>
      <c r="J33" s="105">
        <v>2</v>
      </c>
      <c r="K33" s="105">
        <v>948</v>
      </c>
      <c r="L33" s="105">
        <v>3</v>
      </c>
      <c r="M33" s="105">
        <v>1422</v>
      </c>
      <c r="N33" s="105">
        <v>4</v>
      </c>
      <c r="O33" s="105">
        <v>1896</v>
      </c>
      <c r="P33" s="105">
        <v>3</v>
      </c>
      <c r="Q33" s="105">
        <v>1422</v>
      </c>
      <c r="R33" s="105">
        <v>3</v>
      </c>
      <c r="S33" s="105">
        <v>1422</v>
      </c>
      <c r="T33" s="105">
        <v>5</v>
      </c>
      <c r="U33" s="105">
        <v>2370</v>
      </c>
      <c r="V33" s="105">
        <v>3</v>
      </c>
      <c r="W33" s="105">
        <v>1422</v>
      </c>
      <c r="X33" s="105">
        <v>3</v>
      </c>
      <c r="Y33" s="105">
        <v>1422</v>
      </c>
      <c r="Z33" s="105">
        <v>5</v>
      </c>
      <c r="AA33" s="105">
        <v>2370</v>
      </c>
      <c r="AB33" s="105">
        <v>5</v>
      </c>
      <c r="AC33" s="105">
        <v>2370</v>
      </c>
      <c r="AD33" s="105">
        <v>6</v>
      </c>
      <c r="AE33" s="105">
        <v>2844</v>
      </c>
      <c r="AF33" s="105">
        <v>5</v>
      </c>
      <c r="AG33" s="105">
        <v>2370</v>
      </c>
      <c r="AH33" s="105">
        <v>6</v>
      </c>
      <c r="AI33" s="105">
        <v>2844</v>
      </c>
      <c r="AJ33" s="105">
        <v>5</v>
      </c>
      <c r="AK33" s="105">
        <v>2370</v>
      </c>
      <c r="AL33" s="105">
        <v>7</v>
      </c>
      <c r="AM33" s="105">
        <v>3318</v>
      </c>
      <c r="AN33" s="105">
        <v>5</v>
      </c>
      <c r="AO33" s="105">
        <v>2370</v>
      </c>
      <c r="AP33" s="105">
        <v>6</v>
      </c>
      <c r="AQ33" s="105">
        <v>2844</v>
      </c>
      <c r="AR33" s="105">
        <v>8</v>
      </c>
      <c r="AS33" s="105">
        <v>3792</v>
      </c>
      <c r="AT33" s="105">
        <v>7</v>
      </c>
      <c r="AU33" s="105">
        <v>3318</v>
      </c>
      <c r="AV33" s="105">
        <v>10</v>
      </c>
      <c r="AW33" s="105">
        <v>4740</v>
      </c>
      <c r="AX33" s="105">
        <v>7</v>
      </c>
      <c r="AY33" s="105">
        <v>3318</v>
      </c>
      <c r="AZ33" s="105">
        <v>7</v>
      </c>
      <c r="BA33" s="105">
        <v>3318</v>
      </c>
      <c r="BB33" s="105">
        <v>9</v>
      </c>
      <c r="BC33" s="105">
        <v>4266</v>
      </c>
      <c r="BD33" s="105">
        <v>13</v>
      </c>
      <c r="BE33" s="105">
        <v>6162</v>
      </c>
      <c r="BF33" s="105">
        <v>8</v>
      </c>
      <c r="BG33" s="105">
        <v>3792</v>
      </c>
      <c r="BH33" s="105">
        <v>10</v>
      </c>
      <c r="BI33" s="105">
        <v>4740</v>
      </c>
      <c r="BJ33" s="105">
        <v>13</v>
      </c>
      <c r="BK33" s="105">
        <v>6162</v>
      </c>
      <c r="BL33" s="105">
        <v>12</v>
      </c>
      <c r="BM33" s="105">
        <v>5688</v>
      </c>
      <c r="BN33" s="105">
        <v>13</v>
      </c>
      <c r="BO33" s="105">
        <v>6162</v>
      </c>
      <c r="BP33" s="105">
        <v>22</v>
      </c>
      <c r="BQ33" s="105">
        <v>10428</v>
      </c>
      <c r="BR33" s="105">
        <v>2.672498182761589</v>
      </c>
      <c r="BS33" s="105">
        <v>1266.7641386289931</v>
      </c>
      <c r="BT33" s="105">
        <v>10.181413747557365</v>
      </c>
      <c r="BU33" s="105">
        <v>4825.990116342191</v>
      </c>
      <c r="BV33" s="105">
        <v>15</v>
      </c>
      <c r="BW33" s="105">
        <v>7110</v>
      </c>
      <c r="BX33" s="105">
        <v>12.103524549787616</v>
      </c>
      <c r="BY33" s="105">
        <v>5737.0706365993301</v>
      </c>
      <c r="BZ33" s="105">
        <v>1.5647055994503611</v>
      </c>
      <c r="CA33" s="105">
        <v>741.67045413947119</v>
      </c>
      <c r="CB33" s="105">
        <v>15.373014404208703</v>
      </c>
      <c r="CC33" s="105">
        <v>7286.8088275949258</v>
      </c>
      <c r="CD33" s="105">
        <v>14.435199331942306</v>
      </c>
      <c r="CE33" s="105">
        <v>6842.2844833406525</v>
      </c>
      <c r="CF33" s="105">
        <v>1.3748552631578952</v>
      </c>
      <c r="CG33" s="105">
        <v>651.68139473684232</v>
      </c>
      <c r="CH33" s="105">
        <v>9.1722454506602951</v>
      </c>
      <c r="CI33" s="105">
        <v>4347.6443436129803</v>
      </c>
      <c r="CJ33" s="105">
        <v>7.6330424880014354</v>
      </c>
      <c r="CK33" s="105">
        <v>3618.0621393126803</v>
      </c>
      <c r="CL33" s="105">
        <v>27.938272489130817</v>
      </c>
      <c r="CM33" s="105">
        <v>13242.741159848007</v>
      </c>
      <c r="CN33" s="105">
        <v>18.405144466191764</v>
      </c>
      <c r="CO33" s="105">
        <v>8724.0384769748962</v>
      </c>
      <c r="CP33" s="105">
        <v>11.152985229008392</v>
      </c>
      <c r="CQ33" s="105">
        <v>5286.5149985499775</v>
      </c>
      <c r="CR33" s="105">
        <v>1.4362931134797992</v>
      </c>
      <c r="CS33" s="105">
        <v>680.80293578942485</v>
      </c>
      <c r="CT33" s="105">
        <v>7.8815509412744005</v>
      </c>
      <c r="CU33" s="105">
        <v>3735.8551461640659</v>
      </c>
    </row>
    <row r="34" spans="2:99" x14ac:dyDescent="0.25">
      <c r="C34" s="104" t="s">
        <v>199</v>
      </c>
      <c r="D34" s="105">
        <v>0</v>
      </c>
      <c r="E34" s="105">
        <v>0</v>
      </c>
      <c r="F34" s="105">
        <v>0</v>
      </c>
      <c r="G34" s="105">
        <v>0</v>
      </c>
      <c r="H34" s="105">
        <v>4</v>
      </c>
      <c r="I34" s="105">
        <v>2193.6</v>
      </c>
      <c r="J34" s="105">
        <v>2</v>
      </c>
      <c r="K34" s="105">
        <v>1096.8</v>
      </c>
      <c r="L34" s="105">
        <v>3</v>
      </c>
      <c r="M34" s="105">
        <v>1645.1999999999998</v>
      </c>
      <c r="N34" s="105">
        <v>4</v>
      </c>
      <c r="O34" s="105">
        <v>2193.6</v>
      </c>
      <c r="P34" s="105">
        <v>3</v>
      </c>
      <c r="Q34" s="105">
        <v>1645.1999999999998</v>
      </c>
      <c r="R34" s="105">
        <v>4</v>
      </c>
      <c r="S34" s="105">
        <v>2193.6</v>
      </c>
      <c r="T34" s="105">
        <v>5</v>
      </c>
      <c r="U34" s="105">
        <v>2742</v>
      </c>
      <c r="V34" s="105">
        <v>4</v>
      </c>
      <c r="W34" s="105">
        <v>2193.6</v>
      </c>
      <c r="X34" s="105">
        <v>3</v>
      </c>
      <c r="Y34" s="105">
        <v>1645.1999999999998</v>
      </c>
      <c r="Z34" s="105">
        <v>5</v>
      </c>
      <c r="AA34" s="105">
        <v>2742</v>
      </c>
      <c r="AB34" s="105">
        <v>5</v>
      </c>
      <c r="AC34" s="105">
        <v>2742</v>
      </c>
      <c r="AD34" s="105">
        <v>6</v>
      </c>
      <c r="AE34" s="105">
        <v>3290.3999999999996</v>
      </c>
      <c r="AF34" s="105">
        <v>5</v>
      </c>
      <c r="AG34" s="105">
        <v>2742</v>
      </c>
      <c r="AH34" s="105">
        <v>6</v>
      </c>
      <c r="AI34" s="105">
        <v>3290.3999999999996</v>
      </c>
      <c r="AJ34" s="105">
        <v>6</v>
      </c>
      <c r="AK34" s="105">
        <v>3290.3999999999996</v>
      </c>
      <c r="AL34" s="105">
        <v>6</v>
      </c>
      <c r="AM34" s="105">
        <v>3290.3999999999996</v>
      </c>
      <c r="AN34" s="105">
        <v>5</v>
      </c>
      <c r="AO34" s="105">
        <v>2742</v>
      </c>
      <c r="AP34" s="105">
        <v>5</v>
      </c>
      <c r="AQ34" s="105">
        <v>2742</v>
      </c>
      <c r="AR34" s="105">
        <v>8</v>
      </c>
      <c r="AS34" s="105">
        <v>4387.2</v>
      </c>
      <c r="AT34" s="105">
        <v>6</v>
      </c>
      <c r="AU34" s="105">
        <v>3290.3999999999996</v>
      </c>
      <c r="AV34" s="105">
        <v>10</v>
      </c>
      <c r="AW34" s="105">
        <v>5484</v>
      </c>
      <c r="AX34" s="105">
        <v>6</v>
      </c>
      <c r="AY34" s="105">
        <v>3290.3999999999996</v>
      </c>
      <c r="AZ34" s="105">
        <v>7</v>
      </c>
      <c r="BA34" s="105">
        <v>3838.7999999999997</v>
      </c>
      <c r="BB34" s="105">
        <v>9</v>
      </c>
      <c r="BC34" s="105">
        <v>4935.5999999999995</v>
      </c>
      <c r="BD34" s="105">
        <v>13</v>
      </c>
      <c r="BE34" s="105">
        <v>7129.2</v>
      </c>
      <c r="BF34" s="105">
        <v>8</v>
      </c>
      <c r="BG34" s="105">
        <v>4387.2</v>
      </c>
      <c r="BH34" s="105">
        <v>11</v>
      </c>
      <c r="BI34" s="105">
        <v>6032.4</v>
      </c>
      <c r="BJ34" s="105">
        <v>13</v>
      </c>
      <c r="BK34" s="105">
        <v>7129.2</v>
      </c>
      <c r="BL34" s="105">
        <v>11</v>
      </c>
      <c r="BM34" s="105">
        <v>6032.4</v>
      </c>
      <c r="BN34" s="105">
        <v>13</v>
      </c>
      <c r="BO34" s="105">
        <v>7129.2</v>
      </c>
      <c r="BP34" s="105">
        <v>23</v>
      </c>
      <c r="BQ34" s="105">
        <v>12613.199999999999</v>
      </c>
      <c r="BR34" s="105">
        <v>2.3239114632709468</v>
      </c>
      <c r="BS34" s="105">
        <v>1274.4330464577872</v>
      </c>
      <c r="BT34" s="105">
        <v>10.181413747557365</v>
      </c>
      <c r="BU34" s="105">
        <v>5583.4872991604589</v>
      </c>
      <c r="BV34" s="105">
        <v>14</v>
      </c>
      <c r="BW34" s="105">
        <v>7677.5999999999995</v>
      </c>
      <c r="BX34" s="105">
        <v>14.178414472608351</v>
      </c>
      <c r="BY34" s="105">
        <v>7775.4424967784189</v>
      </c>
      <c r="BZ34" s="105">
        <v>1.434313466162831</v>
      </c>
      <c r="CA34" s="105">
        <v>786.57750484369649</v>
      </c>
      <c r="CB34" s="105">
        <v>16.105062709171023</v>
      </c>
      <c r="CC34" s="105">
        <v>8832.016389709388</v>
      </c>
      <c r="CD34" s="105">
        <v>14.565137585316803</v>
      </c>
      <c r="CE34" s="105">
        <v>7987.5214517877348</v>
      </c>
      <c r="CF34" s="105">
        <v>1.3282500000000004</v>
      </c>
      <c r="CG34" s="105">
        <v>728.41230000000019</v>
      </c>
      <c r="CH34" s="105">
        <v>9.1816401553886955</v>
      </c>
      <c r="CI34" s="105">
        <v>5035.2114612151599</v>
      </c>
      <c r="CJ34" s="105">
        <v>8.1982925973507434</v>
      </c>
      <c r="CK34" s="105">
        <v>4495.9436603871472</v>
      </c>
      <c r="CL34" s="105">
        <v>28.603219450802026</v>
      </c>
      <c r="CM34" s="105">
        <v>15686.00554681983</v>
      </c>
      <c r="CN34" s="105">
        <v>14.790545928893424</v>
      </c>
      <c r="CO34" s="105">
        <v>8111.1353874051538</v>
      </c>
      <c r="CP34" s="105">
        <v>10.905379067574733</v>
      </c>
      <c r="CQ34" s="105">
        <v>5980.5098806579836</v>
      </c>
      <c r="CR34" s="105">
        <v>1.3678982033140945</v>
      </c>
      <c r="CS34" s="105">
        <v>750.15537469744936</v>
      </c>
      <c r="CT34" s="105">
        <v>7.2873384491663629</v>
      </c>
      <c r="CU34" s="105">
        <v>3996.376405522833</v>
      </c>
    </row>
    <row r="35" spans="2:99" x14ac:dyDescent="0.25">
      <c r="C35" s="104" t="s">
        <v>200</v>
      </c>
      <c r="D35" s="105">
        <v>0</v>
      </c>
      <c r="E35" s="105">
        <v>0</v>
      </c>
      <c r="F35" s="105">
        <v>0</v>
      </c>
      <c r="G35" s="105">
        <v>0</v>
      </c>
      <c r="H35" s="105">
        <v>4</v>
      </c>
      <c r="I35" s="105">
        <v>2011.1999999999996</v>
      </c>
      <c r="J35" s="105">
        <v>2</v>
      </c>
      <c r="K35" s="105">
        <v>1005.5999999999998</v>
      </c>
      <c r="L35" s="105">
        <v>3</v>
      </c>
      <c r="M35" s="105">
        <v>1508.3999999999996</v>
      </c>
      <c r="N35" s="105">
        <v>4</v>
      </c>
      <c r="O35" s="105">
        <v>2011.1999999999996</v>
      </c>
      <c r="P35" s="105">
        <v>4</v>
      </c>
      <c r="Q35" s="105">
        <v>2011.1999999999996</v>
      </c>
      <c r="R35" s="105">
        <v>3</v>
      </c>
      <c r="S35" s="105">
        <v>1508.3999999999996</v>
      </c>
      <c r="T35" s="105">
        <v>5</v>
      </c>
      <c r="U35" s="105">
        <v>2513.9999999999995</v>
      </c>
      <c r="V35" s="105">
        <v>3</v>
      </c>
      <c r="W35" s="105">
        <v>1508.3999999999996</v>
      </c>
      <c r="X35" s="105">
        <v>3</v>
      </c>
      <c r="Y35" s="105">
        <v>1508.3999999999996</v>
      </c>
      <c r="Z35" s="105">
        <v>5</v>
      </c>
      <c r="AA35" s="105">
        <v>2513.9999999999995</v>
      </c>
      <c r="AB35" s="105">
        <v>4</v>
      </c>
      <c r="AC35" s="105">
        <v>2011.1999999999996</v>
      </c>
      <c r="AD35" s="105">
        <v>6</v>
      </c>
      <c r="AE35" s="105">
        <v>3016.7999999999993</v>
      </c>
      <c r="AF35" s="105">
        <v>5</v>
      </c>
      <c r="AG35" s="105">
        <v>2513.9999999999995</v>
      </c>
      <c r="AH35" s="105">
        <v>5</v>
      </c>
      <c r="AI35" s="105">
        <v>2513.9999999999995</v>
      </c>
      <c r="AJ35" s="105">
        <v>6</v>
      </c>
      <c r="AK35" s="105">
        <v>3016.7999999999993</v>
      </c>
      <c r="AL35" s="105">
        <v>7</v>
      </c>
      <c r="AM35" s="105">
        <v>3519.5999999999995</v>
      </c>
      <c r="AN35" s="105">
        <v>6</v>
      </c>
      <c r="AO35" s="105">
        <v>3016.7999999999993</v>
      </c>
      <c r="AP35" s="105">
        <v>5</v>
      </c>
      <c r="AQ35" s="105">
        <v>2513.9999999999995</v>
      </c>
      <c r="AR35" s="105">
        <v>8</v>
      </c>
      <c r="AS35" s="105">
        <v>4022.3999999999992</v>
      </c>
      <c r="AT35" s="105">
        <v>7</v>
      </c>
      <c r="AU35" s="105">
        <v>3519.5999999999995</v>
      </c>
      <c r="AV35" s="105">
        <v>9</v>
      </c>
      <c r="AW35" s="105">
        <v>4525.1999999999989</v>
      </c>
      <c r="AX35" s="105">
        <v>7</v>
      </c>
      <c r="AY35" s="105">
        <v>3519.5999999999995</v>
      </c>
      <c r="AZ35" s="105">
        <v>7</v>
      </c>
      <c r="BA35" s="105">
        <v>3519.5999999999995</v>
      </c>
      <c r="BB35" s="105">
        <v>8</v>
      </c>
      <c r="BC35" s="105">
        <v>4022.3999999999992</v>
      </c>
      <c r="BD35" s="105">
        <v>12</v>
      </c>
      <c r="BE35" s="105">
        <v>6033.5999999999985</v>
      </c>
      <c r="BF35" s="105">
        <v>7</v>
      </c>
      <c r="BG35" s="105">
        <v>3519.5999999999995</v>
      </c>
      <c r="BH35" s="105">
        <v>11</v>
      </c>
      <c r="BI35" s="105">
        <v>5530.7999999999993</v>
      </c>
      <c r="BJ35" s="105">
        <v>11</v>
      </c>
      <c r="BK35" s="105">
        <v>5530.7999999999993</v>
      </c>
      <c r="BL35" s="105">
        <v>10</v>
      </c>
      <c r="BM35" s="105">
        <v>5027.9999999999991</v>
      </c>
      <c r="BN35" s="105">
        <v>14</v>
      </c>
      <c r="BO35" s="105">
        <v>7039.1999999999989</v>
      </c>
      <c r="BP35" s="105">
        <v>21</v>
      </c>
      <c r="BQ35" s="105">
        <v>10558.799999999997</v>
      </c>
      <c r="BR35" s="105">
        <v>2.4401070364344939</v>
      </c>
      <c r="BS35" s="105">
        <v>1226.8858179192632</v>
      </c>
      <c r="BT35" s="105">
        <v>10.181413747557365</v>
      </c>
      <c r="BU35" s="105">
        <v>5119.2148322718422</v>
      </c>
      <c r="BV35" s="105">
        <v>14</v>
      </c>
      <c r="BW35" s="105">
        <v>7039.1999999999989</v>
      </c>
      <c r="BX35" s="105">
        <v>12.103524549787616</v>
      </c>
      <c r="BY35" s="105">
        <v>6085.6521436332123</v>
      </c>
      <c r="BZ35" s="105">
        <v>1.4995095328065962</v>
      </c>
      <c r="CA35" s="105">
        <v>753.95339309515634</v>
      </c>
      <c r="CB35" s="105">
        <v>16.837111014133342</v>
      </c>
      <c r="CC35" s="105">
        <v>8465.6994179062422</v>
      </c>
      <c r="CD35" s="105">
        <v>16.177483209224025</v>
      </c>
      <c r="CE35" s="105">
        <v>8134.038557597838</v>
      </c>
      <c r="CF35" s="105">
        <v>1.2583421052631583</v>
      </c>
      <c r="CG35" s="105">
        <v>632.69441052631589</v>
      </c>
      <c r="CH35" s="105">
        <v>8.9595209682394117</v>
      </c>
      <c r="CI35" s="105">
        <v>4504.8471428307748</v>
      </c>
      <c r="CJ35" s="105">
        <v>8.2635970719597314</v>
      </c>
      <c r="CK35" s="105">
        <v>4154.936607781352</v>
      </c>
      <c r="CL35" s="105">
        <v>26.322990015369367</v>
      </c>
      <c r="CM35" s="105">
        <v>13235.199379727715</v>
      </c>
      <c r="CN35" s="105">
        <v>20.269704426203372</v>
      </c>
      <c r="CO35" s="105">
        <v>10191.607385495054</v>
      </c>
      <c r="CP35" s="105">
        <v>11.248753016364637</v>
      </c>
      <c r="CQ35" s="105">
        <v>5655.8730166281384</v>
      </c>
      <c r="CR35" s="105">
        <v>1.4818897202569357</v>
      </c>
      <c r="CS35" s="105">
        <v>745.09415134518713</v>
      </c>
      <c r="CT35" s="105">
        <v>8.0955702453739917</v>
      </c>
      <c r="CU35" s="105">
        <v>4070.4527193740423</v>
      </c>
    </row>
    <row r="36" spans="2:99" x14ac:dyDescent="0.25">
      <c r="C36" s="104" t="s">
        <v>201</v>
      </c>
      <c r="D36" s="105">
        <v>0</v>
      </c>
      <c r="E36" s="105">
        <v>0</v>
      </c>
      <c r="F36" s="105">
        <v>0</v>
      </c>
      <c r="G36" s="105">
        <v>0</v>
      </c>
      <c r="H36" s="105">
        <v>3</v>
      </c>
      <c r="I36" s="105">
        <v>2282.3999999999996</v>
      </c>
      <c r="J36" s="105">
        <v>2</v>
      </c>
      <c r="K36" s="105">
        <v>1521.6</v>
      </c>
      <c r="L36" s="105">
        <v>3</v>
      </c>
      <c r="M36" s="105">
        <v>2282.3999999999996</v>
      </c>
      <c r="N36" s="105">
        <v>4</v>
      </c>
      <c r="O36" s="105">
        <v>3043.2</v>
      </c>
      <c r="P36" s="105">
        <v>3</v>
      </c>
      <c r="Q36" s="105">
        <v>2282.3999999999996</v>
      </c>
      <c r="R36" s="105">
        <v>3</v>
      </c>
      <c r="S36" s="105">
        <v>2282.3999999999996</v>
      </c>
      <c r="T36" s="105">
        <v>5</v>
      </c>
      <c r="U36" s="105">
        <v>3804</v>
      </c>
      <c r="V36" s="105">
        <v>3</v>
      </c>
      <c r="W36" s="105">
        <v>2282.3999999999996</v>
      </c>
      <c r="X36" s="105">
        <v>3</v>
      </c>
      <c r="Y36" s="105">
        <v>2282.3999999999996</v>
      </c>
      <c r="Z36" s="105">
        <v>5</v>
      </c>
      <c r="AA36" s="105">
        <v>3804</v>
      </c>
      <c r="AB36" s="105">
        <v>5</v>
      </c>
      <c r="AC36" s="105">
        <v>3804</v>
      </c>
      <c r="AD36" s="105">
        <v>6</v>
      </c>
      <c r="AE36" s="105">
        <v>4564.7999999999993</v>
      </c>
      <c r="AF36" s="105">
        <v>5</v>
      </c>
      <c r="AG36" s="105">
        <v>3804</v>
      </c>
      <c r="AH36" s="105">
        <v>6</v>
      </c>
      <c r="AI36" s="105">
        <v>4564.7999999999993</v>
      </c>
      <c r="AJ36" s="105">
        <v>6</v>
      </c>
      <c r="AK36" s="105">
        <v>4564.7999999999993</v>
      </c>
      <c r="AL36" s="105">
        <v>7</v>
      </c>
      <c r="AM36" s="105">
        <v>5325.5999999999995</v>
      </c>
      <c r="AN36" s="105">
        <v>5</v>
      </c>
      <c r="AO36" s="105">
        <v>3804</v>
      </c>
      <c r="AP36" s="105">
        <v>5</v>
      </c>
      <c r="AQ36" s="105">
        <v>3804</v>
      </c>
      <c r="AR36" s="105">
        <v>8</v>
      </c>
      <c r="AS36" s="105">
        <v>6086.4</v>
      </c>
      <c r="AT36" s="105">
        <v>7</v>
      </c>
      <c r="AU36" s="105">
        <v>5325.5999999999995</v>
      </c>
      <c r="AV36" s="105">
        <v>9</v>
      </c>
      <c r="AW36" s="105">
        <v>6847.2</v>
      </c>
      <c r="AX36" s="105">
        <v>7</v>
      </c>
      <c r="AY36" s="105">
        <v>5325.5999999999995</v>
      </c>
      <c r="AZ36" s="105">
        <v>7</v>
      </c>
      <c r="BA36" s="105">
        <v>5325.5999999999995</v>
      </c>
      <c r="BB36" s="105">
        <v>8</v>
      </c>
      <c r="BC36" s="105">
        <v>6086.4</v>
      </c>
      <c r="BD36" s="105">
        <v>12</v>
      </c>
      <c r="BE36" s="105">
        <v>9129.5999999999985</v>
      </c>
      <c r="BF36" s="105">
        <v>7</v>
      </c>
      <c r="BG36" s="105">
        <v>5325.5999999999995</v>
      </c>
      <c r="BH36" s="105">
        <v>12</v>
      </c>
      <c r="BI36" s="105">
        <v>9129.5999999999985</v>
      </c>
      <c r="BJ36" s="105">
        <v>11</v>
      </c>
      <c r="BK36" s="105">
        <v>8368.7999999999993</v>
      </c>
      <c r="BL36" s="105">
        <v>10</v>
      </c>
      <c r="BM36" s="105">
        <v>7608</v>
      </c>
      <c r="BN36" s="105">
        <v>13</v>
      </c>
      <c r="BO36" s="105">
        <v>9890.4</v>
      </c>
      <c r="BP36" s="105">
        <v>22</v>
      </c>
      <c r="BQ36" s="105">
        <v>16737.599999999999</v>
      </c>
      <c r="BR36" s="105">
        <v>2.3239114632709468</v>
      </c>
      <c r="BS36" s="105">
        <v>1768.0318412565362</v>
      </c>
      <c r="BT36" s="105">
        <v>8.5738221032062025</v>
      </c>
      <c r="BU36" s="105">
        <v>6522.9638561192787</v>
      </c>
      <c r="BV36" s="105">
        <v>13</v>
      </c>
      <c r="BW36" s="105">
        <v>9890.4</v>
      </c>
      <c r="BX36" s="105">
        <v>12.449339536924406</v>
      </c>
      <c r="BY36" s="105">
        <v>9471.4575196920869</v>
      </c>
      <c r="BZ36" s="105">
        <v>1.6299016660941261</v>
      </c>
      <c r="CA36" s="105">
        <v>1240.0291875644111</v>
      </c>
      <c r="CB36" s="105">
        <v>16.837111014133342</v>
      </c>
      <c r="CC36" s="105">
        <v>12809.674059552646</v>
      </c>
      <c r="CD36" s="105">
        <v>15.29074013541198</v>
      </c>
      <c r="CE36" s="105">
        <v>11633.195095021434</v>
      </c>
      <c r="CF36" s="105">
        <v>1.3515526315789477</v>
      </c>
      <c r="CG36" s="105">
        <v>1028.2612421052634</v>
      </c>
      <c r="CH36" s="105">
        <v>8.9350947359455759</v>
      </c>
      <c r="CI36" s="105">
        <v>6797.8200751073937</v>
      </c>
      <c r="CJ36" s="105">
        <v>8.1005163864194092</v>
      </c>
      <c r="CK36" s="105">
        <v>6162.8728667878859</v>
      </c>
      <c r="CL36" s="105">
        <v>28.251437781489713</v>
      </c>
      <c r="CM36" s="105">
        <v>21493.693864157372</v>
      </c>
      <c r="CN36" s="105">
        <v>13.267989730330866</v>
      </c>
      <c r="CO36" s="105">
        <v>10094.286586835722</v>
      </c>
      <c r="CP36" s="105">
        <v>10.503617722576033</v>
      </c>
      <c r="CQ36" s="105">
        <v>7991.1523633358456</v>
      </c>
      <c r="CR36" s="105">
        <v>1.2995032931483899</v>
      </c>
      <c r="CS36" s="105">
        <v>988.66210542729493</v>
      </c>
      <c r="CT36" s="105">
        <v>7.5214658582115161</v>
      </c>
      <c r="CU36" s="105">
        <v>5722.3312249273213</v>
      </c>
    </row>
    <row r="37" spans="2:99" x14ac:dyDescent="0.25">
      <c r="B37" s="104" t="s">
        <v>128</v>
      </c>
      <c r="C37" s="104" t="s">
        <v>202</v>
      </c>
      <c r="D37" s="105">
        <v>0</v>
      </c>
      <c r="E37" s="105">
        <v>0</v>
      </c>
      <c r="F37" s="105">
        <v>0</v>
      </c>
      <c r="G37" s="105">
        <v>0</v>
      </c>
      <c r="H37" s="105">
        <v>6</v>
      </c>
      <c r="I37" s="105">
        <v>5162.3999999999996</v>
      </c>
      <c r="J37" s="105">
        <v>6</v>
      </c>
      <c r="K37" s="105">
        <v>5162.3999999999996</v>
      </c>
      <c r="L37" s="105">
        <v>5</v>
      </c>
      <c r="M37" s="105">
        <v>4302</v>
      </c>
      <c r="N37" s="105">
        <v>7</v>
      </c>
      <c r="O37" s="105">
        <v>6022.8</v>
      </c>
      <c r="P37" s="105">
        <v>6</v>
      </c>
      <c r="Q37" s="105">
        <v>5162.3999999999996</v>
      </c>
      <c r="R37" s="105">
        <v>4</v>
      </c>
      <c r="S37" s="105">
        <v>3441.6</v>
      </c>
      <c r="T37" s="105">
        <v>7</v>
      </c>
      <c r="U37" s="105">
        <v>6022.8</v>
      </c>
      <c r="V37" s="105">
        <v>9</v>
      </c>
      <c r="W37" s="105">
        <v>7743.5999999999995</v>
      </c>
      <c r="X37" s="105">
        <v>5</v>
      </c>
      <c r="Y37" s="105">
        <v>4302</v>
      </c>
      <c r="Z37" s="105">
        <v>7</v>
      </c>
      <c r="AA37" s="105">
        <v>6022.8</v>
      </c>
      <c r="AB37" s="105">
        <v>10</v>
      </c>
      <c r="AC37" s="105">
        <v>8604</v>
      </c>
      <c r="AD37" s="105">
        <v>6</v>
      </c>
      <c r="AE37" s="105">
        <v>5162.3999999999996</v>
      </c>
      <c r="AF37" s="105">
        <v>7</v>
      </c>
      <c r="AG37" s="105">
        <v>6022.8</v>
      </c>
      <c r="AH37" s="105">
        <v>7</v>
      </c>
      <c r="AI37" s="105">
        <v>6022.8</v>
      </c>
      <c r="AJ37" s="105">
        <v>10</v>
      </c>
      <c r="AK37" s="105">
        <v>8604</v>
      </c>
      <c r="AL37" s="105">
        <v>10</v>
      </c>
      <c r="AM37" s="105">
        <v>8604</v>
      </c>
      <c r="AN37" s="105">
        <v>9</v>
      </c>
      <c r="AO37" s="105">
        <v>7743.5999999999995</v>
      </c>
      <c r="AP37" s="105">
        <v>6</v>
      </c>
      <c r="AQ37" s="105">
        <v>5162.3999999999996</v>
      </c>
      <c r="AR37" s="105">
        <v>9</v>
      </c>
      <c r="AS37" s="105">
        <v>7743.5999999999995</v>
      </c>
      <c r="AT37" s="105">
        <v>15</v>
      </c>
      <c r="AU37" s="105">
        <v>12906</v>
      </c>
      <c r="AV37" s="105">
        <v>12</v>
      </c>
      <c r="AW37" s="105">
        <v>10324.799999999999</v>
      </c>
      <c r="AX37" s="105">
        <v>10</v>
      </c>
      <c r="AY37" s="105">
        <v>8604</v>
      </c>
      <c r="AZ37" s="105">
        <v>12</v>
      </c>
      <c r="BA37" s="105">
        <v>10324.799999999999</v>
      </c>
      <c r="BB37" s="105">
        <v>19</v>
      </c>
      <c r="BC37" s="105">
        <v>16347.6</v>
      </c>
      <c r="BD37" s="105">
        <v>12</v>
      </c>
      <c r="BE37" s="105">
        <v>10324.799999999999</v>
      </c>
      <c r="BF37" s="105">
        <v>18</v>
      </c>
      <c r="BG37" s="105">
        <v>15487.199999999999</v>
      </c>
      <c r="BH37" s="105">
        <v>27</v>
      </c>
      <c r="BI37" s="105">
        <v>23230.799999999999</v>
      </c>
      <c r="BJ37" s="105">
        <v>20</v>
      </c>
      <c r="BK37" s="105">
        <v>17208</v>
      </c>
      <c r="BL37" s="105">
        <v>17</v>
      </c>
      <c r="BM37" s="105">
        <v>14626.8</v>
      </c>
      <c r="BN37" s="105">
        <v>16</v>
      </c>
      <c r="BO37" s="105">
        <v>13766.4</v>
      </c>
      <c r="BP37" s="105">
        <v>35</v>
      </c>
      <c r="BQ37" s="105">
        <v>30114</v>
      </c>
      <c r="BR37" s="105">
        <v>3.369671621742873</v>
      </c>
      <c r="BS37" s="105">
        <v>2899.2654633475677</v>
      </c>
      <c r="BT37" s="105">
        <v>20.362827495114729</v>
      </c>
      <c r="BU37" s="105">
        <v>17520.176776796714</v>
      </c>
      <c r="BV37" s="105">
        <v>29</v>
      </c>
      <c r="BW37" s="105">
        <v>24951.599999999999</v>
      </c>
      <c r="BX37" s="105">
        <v>19.711454266796977</v>
      </c>
      <c r="BY37" s="105">
        <v>16959.73525115212</v>
      </c>
      <c r="BZ37" s="105">
        <v>2.9990190656131923</v>
      </c>
      <c r="CA37" s="105">
        <v>2580.3560040535908</v>
      </c>
      <c r="CB37" s="105">
        <v>39.530608467965237</v>
      </c>
      <c r="CC37" s="105">
        <v>34012.135525837286</v>
      </c>
      <c r="CD37" s="105">
        <v>19.944752170345897</v>
      </c>
      <c r="CE37" s="105">
        <v>17160.464767365611</v>
      </c>
      <c r="CF37" s="105">
        <v>2.190447368421053</v>
      </c>
      <c r="CG37" s="105">
        <v>1884.6609157894741</v>
      </c>
      <c r="CH37" s="105">
        <v>13.20796963826097</v>
      </c>
      <c r="CI37" s="105">
        <v>11364.137076759738</v>
      </c>
      <c r="CJ37" s="105">
        <v>8.6432763336371377</v>
      </c>
      <c r="CK37" s="105">
        <v>7436.6749574613932</v>
      </c>
      <c r="CL37" s="105">
        <v>32.565124478889402</v>
      </c>
      <c r="CM37" s="105">
        <v>28019.03310163644</v>
      </c>
      <c r="CN37" s="105">
        <v>20.010738609679336</v>
      </c>
      <c r="CO37" s="105">
        <v>17217.2394997681</v>
      </c>
      <c r="CP37" s="105">
        <v>16.624209238696825</v>
      </c>
      <c r="CQ37" s="105">
        <v>14303.469628974748</v>
      </c>
      <c r="CR37" s="105">
        <v>2.9637794405138713</v>
      </c>
      <c r="CS37" s="105">
        <v>2550.0358306181347</v>
      </c>
      <c r="CT37" s="105">
        <v>11.701625444129274</v>
      </c>
      <c r="CU37" s="105">
        <v>10068.078532128828</v>
      </c>
    </row>
    <row r="38" spans="2:99" x14ac:dyDescent="0.25">
      <c r="C38" s="104" t="s">
        <v>203</v>
      </c>
      <c r="D38" s="105">
        <v>0</v>
      </c>
      <c r="E38" s="105">
        <v>0</v>
      </c>
      <c r="F38" s="105">
        <v>0</v>
      </c>
      <c r="G38" s="105">
        <v>0</v>
      </c>
      <c r="H38" s="105">
        <v>6</v>
      </c>
      <c r="I38" s="105">
        <v>7452</v>
      </c>
      <c r="J38" s="105">
        <v>6</v>
      </c>
      <c r="K38" s="105">
        <v>7452</v>
      </c>
      <c r="L38" s="105">
        <v>5</v>
      </c>
      <c r="M38" s="105">
        <v>6210</v>
      </c>
      <c r="N38" s="105">
        <v>7</v>
      </c>
      <c r="O38" s="105">
        <v>8694</v>
      </c>
      <c r="P38" s="105">
        <v>6</v>
      </c>
      <c r="Q38" s="105">
        <v>7452</v>
      </c>
      <c r="R38" s="105">
        <v>5</v>
      </c>
      <c r="S38" s="105">
        <v>6210</v>
      </c>
      <c r="T38" s="105">
        <v>6</v>
      </c>
      <c r="U38" s="105">
        <v>7452</v>
      </c>
      <c r="V38" s="105">
        <v>9</v>
      </c>
      <c r="W38" s="105">
        <v>11178</v>
      </c>
      <c r="X38" s="105">
        <v>5</v>
      </c>
      <c r="Y38" s="105">
        <v>6210</v>
      </c>
      <c r="Z38" s="105">
        <v>7</v>
      </c>
      <c r="AA38" s="105">
        <v>8694</v>
      </c>
      <c r="AB38" s="105">
        <v>10</v>
      </c>
      <c r="AC38" s="105">
        <v>12420</v>
      </c>
      <c r="AD38" s="105">
        <v>6</v>
      </c>
      <c r="AE38" s="105">
        <v>7452</v>
      </c>
      <c r="AF38" s="105">
        <v>7</v>
      </c>
      <c r="AG38" s="105">
        <v>8694</v>
      </c>
      <c r="AH38" s="105">
        <v>6</v>
      </c>
      <c r="AI38" s="105">
        <v>7452</v>
      </c>
      <c r="AJ38" s="105">
        <v>10</v>
      </c>
      <c r="AK38" s="105">
        <v>12420</v>
      </c>
      <c r="AL38" s="105">
        <v>11</v>
      </c>
      <c r="AM38" s="105">
        <v>13662</v>
      </c>
      <c r="AN38" s="105">
        <v>11</v>
      </c>
      <c r="AO38" s="105">
        <v>13662</v>
      </c>
      <c r="AP38" s="105">
        <v>7</v>
      </c>
      <c r="AQ38" s="105">
        <v>8694</v>
      </c>
      <c r="AR38" s="105">
        <v>9</v>
      </c>
      <c r="AS38" s="105">
        <v>11178</v>
      </c>
      <c r="AT38" s="105">
        <v>15</v>
      </c>
      <c r="AU38" s="105">
        <v>18630</v>
      </c>
      <c r="AV38" s="105">
        <v>12</v>
      </c>
      <c r="AW38" s="105">
        <v>14904</v>
      </c>
      <c r="AX38" s="105">
        <v>12</v>
      </c>
      <c r="AY38" s="105">
        <v>14904</v>
      </c>
      <c r="AZ38" s="105">
        <v>11</v>
      </c>
      <c r="BA38" s="105">
        <v>13662</v>
      </c>
      <c r="BB38" s="105">
        <v>18</v>
      </c>
      <c r="BC38" s="105">
        <v>22356</v>
      </c>
      <c r="BD38" s="105">
        <v>12</v>
      </c>
      <c r="BE38" s="105">
        <v>14904</v>
      </c>
      <c r="BF38" s="105">
        <v>19</v>
      </c>
      <c r="BG38" s="105">
        <v>23598</v>
      </c>
      <c r="BH38" s="105">
        <v>27</v>
      </c>
      <c r="BI38" s="105">
        <v>33534</v>
      </c>
      <c r="BJ38" s="105">
        <v>18</v>
      </c>
      <c r="BK38" s="105">
        <v>22356</v>
      </c>
      <c r="BL38" s="105">
        <v>18</v>
      </c>
      <c r="BM38" s="105">
        <v>22356</v>
      </c>
      <c r="BN38" s="105">
        <v>16</v>
      </c>
      <c r="BO38" s="105">
        <v>19872</v>
      </c>
      <c r="BP38" s="105">
        <v>34</v>
      </c>
      <c r="BQ38" s="105">
        <v>42228</v>
      </c>
      <c r="BR38" s="105">
        <v>2.9048893290886837</v>
      </c>
      <c r="BS38" s="105">
        <v>3607.8725467281452</v>
      </c>
      <c r="BT38" s="105">
        <v>18.21937196931318</v>
      </c>
      <c r="BU38" s="105">
        <v>22628.45998588697</v>
      </c>
      <c r="BV38" s="105">
        <v>27</v>
      </c>
      <c r="BW38" s="105">
        <v>33534</v>
      </c>
      <c r="BX38" s="105">
        <v>17.290749356839452</v>
      </c>
      <c r="BY38" s="105">
        <v>21475.110701194601</v>
      </c>
      <c r="BZ38" s="105">
        <v>2.9990190656131923</v>
      </c>
      <c r="CA38" s="105">
        <v>3724.7816794915848</v>
      </c>
      <c r="CB38" s="105">
        <v>36.60241524811596</v>
      </c>
      <c r="CC38" s="105">
        <v>45460.199738160023</v>
      </c>
      <c r="CD38" s="105">
        <v>17.777262477331846</v>
      </c>
      <c r="CE38" s="105">
        <v>22079.359996846153</v>
      </c>
      <c r="CF38" s="105">
        <v>2.1205394736842109</v>
      </c>
      <c r="CG38" s="105">
        <v>2633.7100263157899</v>
      </c>
      <c r="CH38" s="105">
        <v>12.071068529275042</v>
      </c>
      <c r="CI38" s="105">
        <v>14992.267113359601</v>
      </c>
      <c r="CJ38" s="105">
        <v>7.1755501637742274</v>
      </c>
      <c r="CK38" s="105">
        <v>8912.0333034075902</v>
      </c>
      <c r="CL38" s="105">
        <v>28.944161485100771</v>
      </c>
      <c r="CM38" s="105">
        <v>35948.648564495161</v>
      </c>
      <c r="CN38" s="105">
        <v>17.400642269286379</v>
      </c>
      <c r="CO38" s="105">
        <v>21611.597698453683</v>
      </c>
      <c r="CP38" s="105">
        <v>15.081781320102062</v>
      </c>
      <c r="CQ38" s="105">
        <v>18731.572399566761</v>
      </c>
      <c r="CR38" s="105">
        <v>2.5990065862967797</v>
      </c>
      <c r="CS38" s="105">
        <v>3227.9661801806005</v>
      </c>
      <c r="CT38" s="105">
        <v>9.627734474748241</v>
      </c>
      <c r="CU38" s="105">
        <v>11957.646217637315</v>
      </c>
    </row>
    <row r="39" spans="2:99" x14ac:dyDescent="0.25">
      <c r="C39" s="104" t="s">
        <v>204</v>
      </c>
      <c r="D39" s="105">
        <v>0</v>
      </c>
      <c r="E39" s="105">
        <v>0</v>
      </c>
      <c r="F39" s="105">
        <v>0</v>
      </c>
      <c r="G39" s="105">
        <v>0</v>
      </c>
      <c r="H39" s="105">
        <v>6</v>
      </c>
      <c r="I39" s="105">
        <v>8539.2000000000007</v>
      </c>
      <c r="J39" s="105">
        <v>5</v>
      </c>
      <c r="K39" s="105">
        <v>7116</v>
      </c>
      <c r="L39" s="105">
        <v>5</v>
      </c>
      <c r="M39" s="105">
        <v>7116</v>
      </c>
      <c r="N39" s="105">
        <v>7</v>
      </c>
      <c r="O39" s="105">
        <v>9962.4</v>
      </c>
      <c r="P39" s="105">
        <v>6</v>
      </c>
      <c r="Q39" s="105">
        <v>8539.2000000000007</v>
      </c>
      <c r="R39" s="105">
        <v>4</v>
      </c>
      <c r="S39" s="105">
        <v>5692.8</v>
      </c>
      <c r="T39" s="105">
        <v>5</v>
      </c>
      <c r="U39" s="105">
        <v>7116</v>
      </c>
      <c r="V39" s="105">
        <v>8</v>
      </c>
      <c r="W39" s="105">
        <v>11385.6</v>
      </c>
      <c r="X39" s="105">
        <v>5</v>
      </c>
      <c r="Y39" s="105">
        <v>7116</v>
      </c>
      <c r="Z39" s="105">
        <v>7</v>
      </c>
      <c r="AA39" s="105">
        <v>9962.4</v>
      </c>
      <c r="AB39" s="105">
        <v>10</v>
      </c>
      <c r="AC39" s="105">
        <v>14232</v>
      </c>
      <c r="AD39" s="105">
        <v>6</v>
      </c>
      <c r="AE39" s="105">
        <v>8539.2000000000007</v>
      </c>
      <c r="AF39" s="105">
        <v>6</v>
      </c>
      <c r="AG39" s="105">
        <v>8539.2000000000007</v>
      </c>
      <c r="AH39" s="105">
        <v>6</v>
      </c>
      <c r="AI39" s="105">
        <v>8539.2000000000007</v>
      </c>
      <c r="AJ39" s="105">
        <v>10</v>
      </c>
      <c r="AK39" s="105">
        <v>14232</v>
      </c>
      <c r="AL39" s="105">
        <v>12</v>
      </c>
      <c r="AM39" s="105">
        <v>17078.400000000001</v>
      </c>
      <c r="AN39" s="105">
        <v>9</v>
      </c>
      <c r="AO39" s="105">
        <v>12808.800000000001</v>
      </c>
      <c r="AP39" s="105">
        <v>6</v>
      </c>
      <c r="AQ39" s="105">
        <v>8539.2000000000007</v>
      </c>
      <c r="AR39" s="105">
        <v>9</v>
      </c>
      <c r="AS39" s="105">
        <v>12808.800000000001</v>
      </c>
      <c r="AT39" s="105">
        <v>16</v>
      </c>
      <c r="AU39" s="105">
        <v>22771.200000000001</v>
      </c>
      <c r="AV39" s="105">
        <v>12</v>
      </c>
      <c r="AW39" s="105">
        <v>17078.400000000001</v>
      </c>
      <c r="AX39" s="105">
        <v>12</v>
      </c>
      <c r="AY39" s="105">
        <v>17078.400000000001</v>
      </c>
      <c r="AZ39" s="105">
        <v>11</v>
      </c>
      <c r="BA39" s="105">
        <v>15655.2</v>
      </c>
      <c r="BB39" s="105">
        <v>18</v>
      </c>
      <c r="BC39" s="105">
        <v>25617.600000000002</v>
      </c>
      <c r="BD39" s="105">
        <v>12</v>
      </c>
      <c r="BE39" s="105">
        <v>17078.400000000001</v>
      </c>
      <c r="BF39" s="105">
        <v>19</v>
      </c>
      <c r="BG39" s="105">
        <v>27040.799999999999</v>
      </c>
      <c r="BH39" s="105">
        <v>27</v>
      </c>
      <c r="BI39" s="105">
        <v>38426.400000000001</v>
      </c>
      <c r="BJ39" s="105">
        <v>18</v>
      </c>
      <c r="BK39" s="105">
        <v>25617.600000000002</v>
      </c>
      <c r="BL39" s="105">
        <v>16</v>
      </c>
      <c r="BM39" s="105">
        <v>22771.200000000001</v>
      </c>
      <c r="BN39" s="105">
        <v>15</v>
      </c>
      <c r="BO39" s="105">
        <v>21348</v>
      </c>
      <c r="BP39" s="105">
        <v>32</v>
      </c>
      <c r="BQ39" s="105">
        <v>45542.400000000001</v>
      </c>
      <c r="BR39" s="105">
        <v>2.9048893290886837</v>
      </c>
      <c r="BS39" s="105">
        <v>4134.238493159015</v>
      </c>
      <c r="BT39" s="105">
        <v>18.755235850763569</v>
      </c>
      <c r="BU39" s="105">
        <v>26692.45166280671</v>
      </c>
      <c r="BV39" s="105">
        <v>31</v>
      </c>
      <c r="BW39" s="105">
        <v>44119.200000000004</v>
      </c>
      <c r="BX39" s="105">
        <v>18.328194318249821</v>
      </c>
      <c r="BY39" s="105">
        <v>26084.686153733146</v>
      </c>
      <c r="BZ39" s="105">
        <v>2.673038732394367</v>
      </c>
      <c r="CA39" s="105">
        <v>3804.2687239436632</v>
      </c>
      <c r="CB39" s="105">
        <v>32.210125418342045</v>
      </c>
      <c r="CC39" s="105">
        <v>45841.450495384401</v>
      </c>
      <c r="CD39" s="105">
        <v>20.074690423720391</v>
      </c>
      <c r="CE39" s="105">
        <v>28570.299411038861</v>
      </c>
      <c r="CF39" s="105">
        <v>2.1205394736842109</v>
      </c>
      <c r="CG39" s="105">
        <v>3017.9517789473689</v>
      </c>
      <c r="CH39" s="105">
        <v>12.737426090722888</v>
      </c>
      <c r="CI39" s="105">
        <v>18127.904812316814</v>
      </c>
      <c r="CJ39" s="105">
        <v>7.3386308493145513</v>
      </c>
      <c r="CK39" s="105">
        <v>10444.33942474447</v>
      </c>
      <c r="CL39" s="105">
        <v>27.93166713084883</v>
      </c>
      <c r="CM39" s="105">
        <v>39752.348660624055</v>
      </c>
      <c r="CN39" s="105">
        <v>18.705690439482858</v>
      </c>
      <c r="CO39" s="105">
        <v>26621.938633472004</v>
      </c>
      <c r="CP39" s="105">
        <v>14.395033422522259</v>
      </c>
      <c r="CQ39" s="105">
        <v>20487.011566933681</v>
      </c>
      <c r="CR39" s="105">
        <v>3.009376047291008</v>
      </c>
      <c r="CS39" s="105">
        <v>4282.9439905045629</v>
      </c>
      <c r="CT39" s="105">
        <v>10.428232384438347</v>
      </c>
      <c r="CU39" s="105">
        <v>14841.460329532656</v>
      </c>
    </row>
    <row r="40" spans="2:99" x14ac:dyDescent="0.25">
      <c r="C40" s="104" t="s">
        <v>205</v>
      </c>
      <c r="D40" s="105">
        <v>0</v>
      </c>
      <c r="E40" s="105">
        <v>0</v>
      </c>
      <c r="F40" s="105">
        <v>0</v>
      </c>
      <c r="G40" s="105">
        <v>0</v>
      </c>
      <c r="H40" s="105">
        <v>6</v>
      </c>
      <c r="I40" s="105">
        <v>4348.7999999999993</v>
      </c>
      <c r="J40" s="105">
        <v>6</v>
      </c>
      <c r="K40" s="105">
        <v>4348.7999999999993</v>
      </c>
      <c r="L40" s="105">
        <v>5</v>
      </c>
      <c r="M40" s="105">
        <v>3624</v>
      </c>
      <c r="N40" s="105">
        <v>7</v>
      </c>
      <c r="O40" s="105">
        <v>5073.5999999999995</v>
      </c>
      <c r="P40" s="105">
        <v>6</v>
      </c>
      <c r="Q40" s="105">
        <v>4348.7999999999993</v>
      </c>
      <c r="R40" s="105">
        <v>5</v>
      </c>
      <c r="S40" s="105">
        <v>3624</v>
      </c>
      <c r="T40" s="105">
        <v>7</v>
      </c>
      <c r="U40" s="105">
        <v>5073.5999999999995</v>
      </c>
      <c r="V40" s="105">
        <v>10</v>
      </c>
      <c r="W40" s="105">
        <v>7248</v>
      </c>
      <c r="X40" s="105">
        <v>6</v>
      </c>
      <c r="Y40" s="105">
        <v>4348.7999999999993</v>
      </c>
      <c r="Z40" s="105">
        <v>8</v>
      </c>
      <c r="AA40" s="105">
        <v>5798.4</v>
      </c>
      <c r="AB40" s="105">
        <v>10</v>
      </c>
      <c r="AC40" s="105">
        <v>7248</v>
      </c>
      <c r="AD40" s="105">
        <v>7</v>
      </c>
      <c r="AE40" s="105">
        <v>5073.5999999999995</v>
      </c>
      <c r="AF40" s="105">
        <v>7</v>
      </c>
      <c r="AG40" s="105">
        <v>5073.5999999999995</v>
      </c>
      <c r="AH40" s="105">
        <v>7</v>
      </c>
      <c r="AI40" s="105">
        <v>5073.5999999999995</v>
      </c>
      <c r="AJ40" s="105">
        <v>10</v>
      </c>
      <c r="AK40" s="105">
        <v>7248</v>
      </c>
      <c r="AL40" s="105">
        <v>11</v>
      </c>
      <c r="AM40" s="105">
        <v>7972.7999999999993</v>
      </c>
      <c r="AN40" s="105">
        <v>10</v>
      </c>
      <c r="AO40" s="105">
        <v>7248</v>
      </c>
      <c r="AP40" s="105">
        <v>8</v>
      </c>
      <c r="AQ40" s="105">
        <v>5798.4</v>
      </c>
      <c r="AR40" s="105">
        <v>9</v>
      </c>
      <c r="AS40" s="105">
        <v>6523.2</v>
      </c>
      <c r="AT40" s="105">
        <v>16</v>
      </c>
      <c r="AU40" s="105">
        <v>11596.8</v>
      </c>
      <c r="AV40" s="105">
        <v>12</v>
      </c>
      <c r="AW40" s="105">
        <v>8697.5999999999985</v>
      </c>
      <c r="AX40" s="105">
        <v>12</v>
      </c>
      <c r="AY40" s="105">
        <v>8697.5999999999985</v>
      </c>
      <c r="AZ40" s="105">
        <v>12</v>
      </c>
      <c r="BA40" s="105">
        <v>8697.5999999999985</v>
      </c>
      <c r="BB40" s="105">
        <v>20</v>
      </c>
      <c r="BC40" s="105">
        <v>14496</v>
      </c>
      <c r="BD40" s="105">
        <v>11</v>
      </c>
      <c r="BE40" s="105">
        <v>7972.7999999999993</v>
      </c>
      <c r="BF40" s="105">
        <v>22</v>
      </c>
      <c r="BG40" s="105">
        <v>15945.599999999999</v>
      </c>
      <c r="BH40" s="105">
        <v>25</v>
      </c>
      <c r="BI40" s="105">
        <v>18120</v>
      </c>
      <c r="BJ40" s="105">
        <v>21</v>
      </c>
      <c r="BK40" s="105">
        <v>15220.8</v>
      </c>
      <c r="BL40" s="105">
        <v>20</v>
      </c>
      <c r="BM40" s="105">
        <v>14496</v>
      </c>
      <c r="BN40" s="105">
        <v>15</v>
      </c>
      <c r="BO40" s="105">
        <v>10872</v>
      </c>
      <c r="BP40" s="105">
        <v>34</v>
      </c>
      <c r="BQ40" s="105">
        <v>24643.199999999997</v>
      </c>
      <c r="BR40" s="105">
        <v>3.4858671949064202</v>
      </c>
      <c r="BS40" s="105">
        <v>2526.556542868173</v>
      </c>
      <c r="BT40" s="105">
        <v>19.826963613664343</v>
      </c>
      <c r="BU40" s="105">
        <v>14370.583227183915</v>
      </c>
      <c r="BV40" s="105">
        <v>29</v>
      </c>
      <c r="BW40" s="105">
        <v>21019.199999999997</v>
      </c>
      <c r="BX40" s="105">
        <v>18.674009305386608</v>
      </c>
      <c r="BY40" s="105">
        <v>13534.921944544212</v>
      </c>
      <c r="BZ40" s="105">
        <v>3.3901954654757822</v>
      </c>
      <c r="CA40" s="105">
        <v>2457.2136733768466</v>
      </c>
      <c r="CB40" s="105">
        <v>39.530608467965237</v>
      </c>
      <c r="CC40" s="105">
        <v>28651.785017581202</v>
      </c>
      <c r="CD40" s="105">
        <v>18.865666302474612</v>
      </c>
      <c r="CE40" s="105">
        <v>13673.834936033598</v>
      </c>
      <c r="CF40" s="105">
        <v>2.2137500000000006</v>
      </c>
      <c r="CG40" s="105">
        <v>1604.5260000000003</v>
      </c>
      <c r="CH40" s="105">
        <v>14.775956534925701</v>
      </c>
      <c r="CI40" s="105">
        <v>10709.613296514148</v>
      </c>
      <c r="CJ40" s="105">
        <v>9.8617516900584707</v>
      </c>
      <c r="CK40" s="105">
        <v>7147.797624954379</v>
      </c>
      <c r="CL40" s="105">
        <v>33.1292962214455</v>
      </c>
      <c r="CM40" s="105">
        <v>24012.113901303695</v>
      </c>
      <c r="CN40" s="105">
        <v>20.445754666411496</v>
      </c>
      <c r="CO40" s="105">
        <v>14819.082982215052</v>
      </c>
      <c r="CP40" s="105">
        <v>15.681308305004491</v>
      </c>
      <c r="CQ40" s="105">
        <v>11365.812259467253</v>
      </c>
      <c r="CR40" s="105">
        <v>3.5109387218395089</v>
      </c>
      <c r="CS40" s="105">
        <v>2544.7283855892761</v>
      </c>
      <c r="CT40" s="105">
        <v>11.815982288370719</v>
      </c>
      <c r="CU40" s="105">
        <v>8564.2239626110968</v>
      </c>
    </row>
    <row r="41" spans="2:99" x14ac:dyDescent="0.25">
      <c r="C41" s="104" t="s">
        <v>206</v>
      </c>
      <c r="D41" s="105">
        <v>0</v>
      </c>
      <c r="E41" s="105">
        <v>0</v>
      </c>
      <c r="F41" s="105">
        <v>0</v>
      </c>
      <c r="G41" s="105">
        <v>0</v>
      </c>
      <c r="H41" s="105">
        <v>6</v>
      </c>
      <c r="I41" s="105">
        <v>3960</v>
      </c>
      <c r="J41" s="105">
        <v>5</v>
      </c>
      <c r="K41" s="105">
        <v>3300</v>
      </c>
      <c r="L41" s="105">
        <v>6</v>
      </c>
      <c r="M41" s="105">
        <v>3960</v>
      </c>
      <c r="N41" s="105">
        <v>6</v>
      </c>
      <c r="O41" s="105">
        <v>3960</v>
      </c>
      <c r="P41" s="105">
        <v>7</v>
      </c>
      <c r="Q41" s="105">
        <v>4620</v>
      </c>
      <c r="R41" s="105">
        <v>5</v>
      </c>
      <c r="S41" s="105">
        <v>3300</v>
      </c>
      <c r="T41" s="105">
        <v>7</v>
      </c>
      <c r="U41" s="105">
        <v>4620</v>
      </c>
      <c r="V41" s="105">
        <v>8</v>
      </c>
      <c r="W41" s="105">
        <v>5280</v>
      </c>
      <c r="X41" s="105">
        <v>5</v>
      </c>
      <c r="Y41" s="105">
        <v>3300</v>
      </c>
      <c r="Z41" s="105">
        <v>7</v>
      </c>
      <c r="AA41" s="105">
        <v>4620</v>
      </c>
      <c r="AB41" s="105">
        <v>11</v>
      </c>
      <c r="AC41" s="105">
        <v>7260</v>
      </c>
      <c r="AD41" s="105">
        <v>6</v>
      </c>
      <c r="AE41" s="105">
        <v>3960</v>
      </c>
      <c r="AF41" s="105">
        <v>7</v>
      </c>
      <c r="AG41" s="105">
        <v>4620</v>
      </c>
      <c r="AH41" s="105">
        <v>7</v>
      </c>
      <c r="AI41" s="105">
        <v>4620</v>
      </c>
      <c r="AJ41" s="105">
        <v>11</v>
      </c>
      <c r="AK41" s="105">
        <v>7260</v>
      </c>
      <c r="AL41" s="105">
        <v>11</v>
      </c>
      <c r="AM41" s="105">
        <v>7260</v>
      </c>
      <c r="AN41" s="105">
        <v>11</v>
      </c>
      <c r="AO41" s="105">
        <v>7260</v>
      </c>
      <c r="AP41" s="105">
        <v>8</v>
      </c>
      <c r="AQ41" s="105">
        <v>5280</v>
      </c>
      <c r="AR41" s="105">
        <v>10</v>
      </c>
      <c r="AS41" s="105">
        <v>6600</v>
      </c>
      <c r="AT41" s="105">
        <v>16</v>
      </c>
      <c r="AU41" s="105">
        <v>10560</v>
      </c>
      <c r="AV41" s="105">
        <v>12</v>
      </c>
      <c r="AW41" s="105">
        <v>7920</v>
      </c>
      <c r="AX41" s="105">
        <v>13</v>
      </c>
      <c r="AY41" s="105">
        <v>8580</v>
      </c>
      <c r="AZ41" s="105">
        <v>11</v>
      </c>
      <c r="BA41" s="105">
        <v>7260</v>
      </c>
      <c r="BB41" s="105">
        <v>19</v>
      </c>
      <c r="BC41" s="105">
        <v>12540</v>
      </c>
      <c r="BD41" s="105">
        <v>13</v>
      </c>
      <c r="BE41" s="105">
        <v>8580</v>
      </c>
      <c r="BF41" s="105">
        <v>21</v>
      </c>
      <c r="BG41" s="105">
        <v>13860</v>
      </c>
      <c r="BH41" s="105">
        <v>25</v>
      </c>
      <c r="BI41" s="105">
        <v>16500</v>
      </c>
      <c r="BJ41" s="105">
        <v>18</v>
      </c>
      <c r="BK41" s="105">
        <v>11880</v>
      </c>
      <c r="BL41" s="105">
        <v>18</v>
      </c>
      <c r="BM41" s="105">
        <v>11880</v>
      </c>
      <c r="BN41" s="105">
        <v>15</v>
      </c>
      <c r="BO41" s="105">
        <v>9900</v>
      </c>
      <c r="BP41" s="105">
        <v>36</v>
      </c>
      <c r="BQ41" s="105">
        <v>23760</v>
      </c>
      <c r="BR41" s="105">
        <v>2.9048893290886837</v>
      </c>
      <c r="BS41" s="105">
        <v>1917.2269571985312</v>
      </c>
      <c r="BT41" s="105">
        <v>18.21937196931318</v>
      </c>
      <c r="BU41" s="105">
        <v>12024.785499746698</v>
      </c>
      <c r="BV41" s="105">
        <v>30</v>
      </c>
      <c r="BW41" s="105">
        <v>19800</v>
      </c>
      <c r="BX41" s="105">
        <v>18.674009305386608</v>
      </c>
      <c r="BY41" s="105">
        <v>12324.846141555161</v>
      </c>
      <c r="BZ41" s="105">
        <v>3.1946072655444873</v>
      </c>
      <c r="CA41" s="105">
        <v>2108.4407952593615</v>
      </c>
      <c r="CB41" s="105">
        <v>35.138318638191322</v>
      </c>
      <c r="CC41" s="105">
        <v>23191.290301206274</v>
      </c>
      <c r="CD41" s="105">
        <v>21.091371750906934</v>
      </c>
      <c r="CE41" s="105">
        <v>13920.305355598577</v>
      </c>
      <c r="CF41" s="105">
        <v>2.3535657894736848</v>
      </c>
      <c r="CG41" s="105">
        <v>1553.353421052632</v>
      </c>
      <c r="CH41" s="105">
        <v>12.980213628274647</v>
      </c>
      <c r="CI41" s="105">
        <v>8566.9409946612668</v>
      </c>
      <c r="CJ41" s="105">
        <v>8.3171149625564897</v>
      </c>
      <c r="CK41" s="105">
        <v>5489.2958752872828</v>
      </c>
      <c r="CL41" s="105">
        <v>29.93734765087601</v>
      </c>
      <c r="CM41" s="105">
        <v>19758.649449578166</v>
      </c>
      <c r="CN41" s="105">
        <v>21.750802836607978</v>
      </c>
      <c r="CO41" s="105">
        <v>14355.529872161265</v>
      </c>
      <c r="CP41" s="105">
        <v>16.151600367106841</v>
      </c>
      <c r="CQ41" s="105">
        <v>10660.056242290515</v>
      </c>
      <c r="CR41" s="105">
        <v>3.123367564233849</v>
      </c>
      <c r="CS41" s="105">
        <v>2061.4225923943404</v>
      </c>
      <c r="CT41" s="105">
        <v>12.395500396095462</v>
      </c>
      <c r="CU41" s="105">
        <v>8181.030261423005</v>
      </c>
    </row>
    <row r="42" spans="2:99" x14ac:dyDescent="0.25">
      <c r="C42" s="104" t="s">
        <v>207</v>
      </c>
      <c r="D42" s="105">
        <v>0</v>
      </c>
      <c r="E42" s="105">
        <v>0</v>
      </c>
      <c r="F42" s="105">
        <v>0</v>
      </c>
      <c r="G42" s="105">
        <v>0</v>
      </c>
      <c r="H42" s="105">
        <v>6</v>
      </c>
      <c r="I42" s="105">
        <v>5076</v>
      </c>
      <c r="J42" s="105">
        <v>6</v>
      </c>
      <c r="K42" s="105">
        <v>5076</v>
      </c>
      <c r="L42" s="105">
        <v>5</v>
      </c>
      <c r="M42" s="105">
        <v>4230</v>
      </c>
      <c r="N42" s="105">
        <v>6</v>
      </c>
      <c r="O42" s="105">
        <v>5076</v>
      </c>
      <c r="P42" s="105">
        <v>6</v>
      </c>
      <c r="Q42" s="105">
        <v>5076</v>
      </c>
      <c r="R42" s="105">
        <v>5</v>
      </c>
      <c r="S42" s="105">
        <v>4230</v>
      </c>
      <c r="T42" s="105">
        <v>6</v>
      </c>
      <c r="U42" s="105">
        <v>5076</v>
      </c>
      <c r="V42" s="105">
        <v>10</v>
      </c>
      <c r="W42" s="105">
        <v>8460</v>
      </c>
      <c r="X42" s="105">
        <v>5</v>
      </c>
      <c r="Y42" s="105">
        <v>4230</v>
      </c>
      <c r="Z42" s="105">
        <v>9</v>
      </c>
      <c r="AA42" s="105">
        <v>7614</v>
      </c>
      <c r="AB42" s="105">
        <v>11</v>
      </c>
      <c r="AC42" s="105">
        <v>9306</v>
      </c>
      <c r="AD42" s="105">
        <v>7</v>
      </c>
      <c r="AE42" s="105">
        <v>5922</v>
      </c>
      <c r="AF42" s="105">
        <v>8</v>
      </c>
      <c r="AG42" s="105">
        <v>6768</v>
      </c>
      <c r="AH42" s="105">
        <v>6</v>
      </c>
      <c r="AI42" s="105">
        <v>5076</v>
      </c>
      <c r="AJ42" s="105">
        <v>10</v>
      </c>
      <c r="AK42" s="105">
        <v>8460</v>
      </c>
      <c r="AL42" s="105">
        <v>11</v>
      </c>
      <c r="AM42" s="105">
        <v>9306</v>
      </c>
      <c r="AN42" s="105">
        <v>10</v>
      </c>
      <c r="AO42" s="105">
        <v>8460</v>
      </c>
      <c r="AP42" s="105">
        <v>7</v>
      </c>
      <c r="AQ42" s="105">
        <v>5922</v>
      </c>
      <c r="AR42" s="105">
        <v>9</v>
      </c>
      <c r="AS42" s="105">
        <v>7614</v>
      </c>
      <c r="AT42" s="105">
        <v>14</v>
      </c>
      <c r="AU42" s="105">
        <v>11844</v>
      </c>
      <c r="AV42" s="105">
        <v>11</v>
      </c>
      <c r="AW42" s="105">
        <v>9306</v>
      </c>
      <c r="AX42" s="105">
        <v>11</v>
      </c>
      <c r="AY42" s="105">
        <v>9306</v>
      </c>
      <c r="AZ42" s="105">
        <v>11</v>
      </c>
      <c r="BA42" s="105">
        <v>9306</v>
      </c>
      <c r="BB42" s="105">
        <v>19</v>
      </c>
      <c r="BC42" s="105">
        <v>16074</v>
      </c>
      <c r="BD42" s="105">
        <v>13</v>
      </c>
      <c r="BE42" s="105">
        <v>10998</v>
      </c>
      <c r="BF42" s="105">
        <v>18</v>
      </c>
      <c r="BG42" s="105">
        <v>15228</v>
      </c>
      <c r="BH42" s="105">
        <v>27</v>
      </c>
      <c r="BI42" s="105">
        <v>22842</v>
      </c>
      <c r="BJ42" s="105">
        <v>19</v>
      </c>
      <c r="BK42" s="105">
        <v>16074</v>
      </c>
      <c r="BL42" s="105">
        <v>18</v>
      </c>
      <c r="BM42" s="105">
        <v>15228</v>
      </c>
      <c r="BN42" s="105">
        <v>16</v>
      </c>
      <c r="BO42" s="105">
        <v>13536</v>
      </c>
      <c r="BP42" s="105">
        <v>36</v>
      </c>
      <c r="BQ42" s="105">
        <v>30456</v>
      </c>
      <c r="BR42" s="105">
        <v>3.0210849022522308</v>
      </c>
      <c r="BS42" s="105">
        <v>2555.8378273053872</v>
      </c>
      <c r="BT42" s="105">
        <v>17.683508087862791</v>
      </c>
      <c r="BU42" s="105">
        <v>14960.247842331921</v>
      </c>
      <c r="BV42" s="105">
        <v>29</v>
      </c>
      <c r="BW42" s="105">
        <v>24534</v>
      </c>
      <c r="BX42" s="105">
        <v>20.403084241070555</v>
      </c>
      <c r="BY42" s="105">
        <v>17261.00926794569</v>
      </c>
      <c r="BZ42" s="105">
        <v>3.1946072655444873</v>
      </c>
      <c r="CA42" s="105">
        <v>2702.637746650636</v>
      </c>
      <c r="CB42" s="105">
        <v>35.870366943153641</v>
      </c>
      <c r="CC42" s="105">
        <v>30346.33043390798</v>
      </c>
      <c r="CD42" s="105">
        <v>19.228467577522203</v>
      </c>
      <c r="CE42" s="105">
        <v>16267.283570583784</v>
      </c>
      <c r="CF42" s="105">
        <v>2.0972368421052638</v>
      </c>
      <c r="CG42" s="105">
        <v>1774.2623684210532</v>
      </c>
      <c r="CH42" s="105">
        <v>12.972697864491927</v>
      </c>
      <c r="CI42" s="105">
        <v>10974.902393360171</v>
      </c>
      <c r="CJ42" s="105">
        <v>7.8278729059355205</v>
      </c>
      <c r="CK42" s="105">
        <v>6622.3804784214508</v>
      </c>
      <c r="CL42" s="105">
        <v>29.098626992914433</v>
      </c>
      <c r="CM42" s="105">
        <v>24617.43843600561</v>
      </c>
      <c r="CN42" s="105">
        <v>17.618150297652459</v>
      </c>
      <c r="CO42" s="105">
        <v>14904.95515181398</v>
      </c>
      <c r="CP42" s="105">
        <v>17.681568155319123</v>
      </c>
      <c r="CQ42" s="105">
        <v>14958.606659399979</v>
      </c>
      <c r="CR42" s="105">
        <v>2.940981137125303</v>
      </c>
      <c r="CS42" s="105">
        <v>2488.0700420080061</v>
      </c>
      <c r="CT42" s="105">
        <v>11.238010957949482</v>
      </c>
      <c r="CU42" s="105">
        <v>9507.357270425262</v>
      </c>
    </row>
    <row r="43" spans="2:99" x14ac:dyDescent="0.25">
      <c r="C43" s="104" t="s">
        <v>208</v>
      </c>
      <c r="D43" s="105">
        <v>0</v>
      </c>
      <c r="E43" s="105">
        <v>0</v>
      </c>
      <c r="F43" s="105">
        <v>0</v>
      </c>
      <c r="G43" s="105">
        <v>0</v>
      </c>
      <c r="H43" s="105">
        <v>5</v>
      </c>
      <c r="I43" s="105">
        <v>5112</v>
      </c>
      <c r="J43" s="105">
        <v>6</v>
      </c>
      <c r="K43" s="105">
        <v>6134.4</v>
      </c>
      <c r="L43" s="105">
        <v>5</v>
      </c>
      <c r="M43" s="105">
        <v>5112</v>
      </c>
      <c r="N43" s="105">
        <v>7</v>
      </c>
      <c r="O43" s="105">
        <v>7156.8</v>
      </c>
      <c r="P43" s="105">
        <v>6</v>
      </c>
      <c r="Q43" s="105">
        <v>6134.4</v>
      </c>
      <c r="R43" s="105">
        <v>4</v>
      </c>
      <c r="S43" s="105">
        <v>4089.6</v>
      </c>
      <c r="T43" s="105">
        <v>6</v>
      </c>
      <c r="U43" s="105">
        <v>6134.4</v>
      </c>
      <c r="V43" s="105">
        <v>9</v>
      </c>
      <c r="W43" s="105">
        <v>9201.6</v>
      </c>
      <c r="X43" s="105">
        <v>5</v>
      </c>
      <c r="Y43" s="105">
        <v>5112</v>
      </c>
      <c r="Z43" s="105">
        <v>8</v>
      </c>
      <c r="AA43" s="105">
        <v>8179.2</v>
      </c>
      <c r="AB43" s="105">
        <v>11</v>
      </c>
      <c r="AC43" s="105">
        <v>11246.4</v>
      </c>
      <c r="AD43" s="105">
        <v>6</v>
      </c>
      <c r="AE43" s="105">
        <v>6134.4</v>
      </c>
      <c r="AF43" s="105">
        <v>7</v>
      </c>
      <c r="AG43" s="105">
        <v>7156.8</v>
      </c>
      <c r="AH43" s="105">
        <v>7</v>
      </c>
      <c r="AI43" s="105">
        <v>7156.8</v>
      </c>
      <c r="AJ43" s="105">
        <v>10</v>
      </c>
      <c r="AK43" s="105">
        <v>10224</v>
      </c>
      <c r="AL43" s="105">
        <v>12</v>
      </c>
      <c r="AM43" s="105">
        <v>12268.8</v>
      </c>
      <c r="AN43" s="105">
        <v>10</v>
      </c>
      <c r="AO43" s="105">
        <v>10224</v>
      </c>
      <c r="AP43" s="105">
        <v>7</v>
      </c>
      <c r="AQ43" s="105">
        <v>7156.8</v>
      </c>
      <c r="AR43" s="105">
        <v>10</v>
      </c>
      <c r="AS43" s="105">
        <v>10224</v>
      </c>
      <c r="AT43" s="105">
        <v>17</v>
      </c>
      <c r="AU43" s="105">
        <v>17380.8</v>
      </c>
      <c r="AV43" s="105">
        <v>12</v>
      </c>
      <c r="AW43" s="105">
        <v>12268.8</v>
      </c>
      <c r="AX43" s="105">
        <v>11</v>
      </c>
      <c r="AY43" s="105">
        <v>11246.4</v>
      </c>
      <c r="AZ43" s="105">
        <v>11</v>
      </c>
      <c r="BA43" s="105">
        <v>11246.4</v>
      </c>
      <c r="BB43" s="105">
        <v>17</v>
      </c>
      <c r="BC43" s="105">
        <v>17380.8</v>
      </c>
      <c r="BD43" s="105">
        <v>11</v>
      </c>
      <c r="BE43" s="105">
        <v>11246.4</v>
      </c>
      <c r="BF43" s="105">
        <v>20</v>
      </c>
      <c r="BG43" s="105">
        <v>20448</v>
      </c>
      <c r="BH43" s="105">
        <v>24</v>
      </c>
      <c r="BI43" s="105">
        <v>24537.599999999999</v>
      </c>
      <c r="BJ43" s="105">
        <v>18</v>
      </c>
      <c r="BK43" s="105">
        <v>18403.2</v>
      </c>
      <c r="BL43" s="105">
        <v>20</v>
      </c>
      <c r="BM43" s="105">
        <v>20448</v>
      </c>
      <c r="BN43" s="105">
        <v>15</v>
      </c>
      <c r="BO43" s="105">
        <v>15336</v>
      </c>
      <c r="BP43" s="105">
        <v>30</v>
      </c>
      <c r="BQ43" s="105">
        <v>30672</v>
      </c>
      <c r="BR43" s="105">
        <v>3.1372804754157784</v>
      </c>
      <c r="BS43" s="105">
        <v>3207.5555580650916</v>
      </c>
      <c r="BT43" s="105">
        <v>16.611780324962016</v>
      </c>
      <c r="BU43" s="105">
        <v>16983.884204241163</v>
      </c>
      <c r="BV43" s="105">
        <v>27</v>
      </c>
      <c r="BW43" s="105">
        <v>27604.799999999999</v>
      </c>
      <c r="BX43" s="105">
        <v>18.328194318249821</v>
      </c>
      <c r="BY43" s="105">
        <v>18738.745870978615</v>
      </c>
      <c r="BZ43" s="105">
        <v>3.2598033321882522</v>
      </c>
      <c r="CA43" s="105">
        <v>3332.8229268292689</v>
      </c>
      <c r="CB43" s="105">
        <v>32.942173723304364</v>
      </c>
      <c r="CC43" s="105">
        <v>33680.078414706382</v>
      </c>
      <c r="CD43" s="105">
        <v>18.865666302474612</v>
      </c>
      <c r="CE43" s="105">
        <v>19288.257227650043</v>
      </c>
      <c r="CF43" s="105">
        <v>1.9108157894736846</v>
      </c>
      <c r="CG43" s="105">
        <v>1953.618063157895</v>
      </c>
      <c r="CH43" s="105">
        <v>13.652208012559532</v>
      </c>
      <c r="CI43" s="105">
        <v>13958.017472040865</v>
      </c>
      <c r="CJ43" s="105">
        <v>7.3386308493145513</v>
      </c>
      <c r="CK43" s="105">
        <v>7503.0161803391975</v>
      </c>
      <c r="CL43" s="105">
        <v>27.835126188465289</v>
      </c>
      <c r="CM43" s="105">
        <v>28458.633015086911</v>
      </c>
      <c r="CN43" s="105">
        <v>18.488182411116778</v>
      </c>
      <c r="CO43" s="105">
        <v>18902.317697125793</v>
      </c>
      <c r="CP43" s="105">
        <v>16.24968496395072</v>
      </c>
      <c r="CQ43" s="105">
        <v>16613.677907143217</v>
      </c>
      <c r="CR43" s="105">
        <v>3.2601573845652583</v>
      </c>
      <c r="CS43" s="105">
        <v>3333.1849099795199</v>
      </c>
      <c r="CT43" s="105">
        <v>10.894940425225151</v>
      </c>
      <c r="CU43" s="105">
        <v>11138.987090750194</v>
      </c>
    </row>
    <row r="44" spans="2:99" x14ac:dyDescent="0.25">
      <c r="C44" s="104" t="s">
        <v>209</v>
      </c>
      <c r="D44" s="105">
        <v>0</v>
      </c>
      <c r="E44" s="105">
        <v>0</v>
      </c>
      <c r="F44" s="105">
        <v>0</v>
      </c>
      <c r="G44" s="105">
        <v>0</v>
      </c>
      <c r="H44" s="105">
        <v>6</v>
      </c>
      <c r="I44" s="105">
        <v>6134.4</v>
      </c>
      <c r="J44" s="105">
        <v>6</v>
      </c>
      <c r="K44" s="105">
        <v>6134.4</v>
      </c>
      <c r="L44" s="105">
        <v>5</v>
      </c>
      <c r="M44" s="105">
        <v>5112</v>
      </c>
      <c r="N44" s="105">
        <v>6</v>
      </c>
      <c r="O44" s="105">
        <v>6134.4</v>
      </c>
      <c r="P44" s="105">
        <v>7</v>
      </c>
      <c r="Q44" s="105">
        <v>7156.8</v>
      </c>
      <c r="R44" s="105">
        <v>4</v>
      </c>
      <c r="S44" s="105">
        <v>4089.6</v>
      </c>
      <c r="T44" s="105">
        <v>6</v>
      </c>
      <c r="U44" s="105">
        <v>6134.4</v>
      </c>
      <c r="V44" s="105">
        <v>8</v>
      </c>
      <c r="W44" s="105">
        <v>8179.2</v>
      </c>
      <c r="X44" s="105">
        <v>5</v>
      </c>
      <c r="Y44" s="105">
        <v>5112</v>
      </c>
      <c r="Z44" s="105">
        <v>9</v>
      </c>
      <c r="AA44" s="105">
        <v>9201.6</v>
      </c>
      <c r="AB44" s="105">
        <v>10</v>
      </c>
      <c r="AC44" s="105">
        <v>10224</v>
      </c>
      <c r="AD44" s="105">
        <v>6</v>
      </c>
      <c r="AE44" s="105">
        <v>6134.4</v>
      </c>
      <c r="AF44" s="105">
        <v>7</v>
      </c>
      <c r="AG44" s="105">
        <v>7156.8</v>
      </c>
      <c r="AH44" s="105">
        <v>7</v>
      </c>
      <c r="AI44" s="105">
        <v>7156.8</v>
      </c>
      <c r="AJ44" s="105">
        <v>11</v>
      </c>
      <c r="AK44" s="105">
        <v>11246.4</v>
      </c>
      <c r="AL44" s="105">
        <v>11</v>
      </c>
      <c r="AM44" s="105">
        <v>11246.4</v>
      </c>
      <c r="AN44" s="105">
        <v>10</v>
      </c>
      <c r="AO44" s="105">
        <v>10224</v>
      </c>
      <c r="AP44" s="105">
        <v>7</v>
      </c>
      <c r="AQ44" s="105">
        <v>7156.8</v>
      </c>
      <c r="AR44" s="105">
        <v>9</v>
      </c>
      <c r="AS44" s="105">
        <v>9201.6</v>
      </c>
      <c r="AT44" s="105">
        <v>16</v>
      </c>
      <c r="AU44" s="105">
        <v>16358.4</v>
      </c>
      <c r="AV44" s="105">
        <v>11</v>
      </c>
      <c r="AW44" s="105">
        <v>11246.4</v>
      </c>
      <c r="AX44" s="105">
        <v>10</v>
      </c>
      <c r="AY44" s="105">
        <v>10224</v>
      </c>
      <c r="AZ44" s="105">
        <v>11</v>
      </c>
      <c r="BA44" s="105">
        <v>11246.4</v>
      </c>
      <c r="BB44" s="105">
        <v>17</v>
      </c>
      <c r="BC44" s="105">
        <v>17380.8</v>
      </c>
      <c r="BD44" s="105">
        <v>11</v>
      </c>
      <c r="BE44" s="105">
        <v>11246.4</v>
      </c>
      <c r="BF44" s="105">
        <v>19</v>
      </c>
      <c r="BG44" s="105">
        <v>19425.599999999999</v>
      </c>
      <c r="BH44" s="105">
        <v>24</v>
      </c>
      <c r="BI44" s="105">
        <v>24537.599999999999</v>
      </c>
      <c r="BJ44" s="105">
        <v>17</v>
      </c>
      <c r="BK44" s="105">
        <v>17380.8</v>
      </c>
      <c r="BL44" s="105">
        <v>20</v>
      </c>
      <c r="BM44" s="105">
        <v>20448</v>
      </c>
      <c r="BN44" s="105">
        <v>16</v>
      </c>
      <c r="BO44" s="105">
        <v>16358.4</v>
      </c>
      <c r="BP44" s="105">
        <v>35</v>
      </c>
      <c r="BQ44" s="105">
        <v>35784</v>
      </c>
      <c r="BR44" s="105">
        <v>3.1372804754157784</v>
      </c>
      <c r="BS44" s="105">
        <v>3207.5555580650916</v>
      </c>
      <c r="BT44" s="105">
        <v>18.755235850763569</v>
      </c>
      <c r="BU44" s="105">
        <v>19175.353133820674</v>
      </c>
      <c r="BV44" s="105">
        <v>32</v>
      </c>
      <c r="BW44" s="105">
        <v>32716.799999999999</v>
      </c>
      <c r="BX44" s="105">
        <v>17.98237933111303</v>
      </c>
      <c r="BY44" s="105">
        <v>18385.184628129962</v>
      </c>
      <c r="BZ44" s="105">
        <v>3.0642151322569573</v>
      </c>
      <c r="CA44" s="105">
        <v>3132.8535512195131</v>
      </c>
      <c r="CB44" s="105">
        <v>38.798560163002918</v>
      </c>
      <c r="CC44" s="105">
        <v>39667.647910654181</v>
      </c>
      <c r="CD44" s="105">
        <v>18.739916834366582</v>
      </c>
      <c r="CE44" s="105">
        <v>19159.690971456392</v>
      </c>
      <c r="CF44" s="105">
        <v>2.190447368421053</v>
      </c>
      <c r="CG44" s="105">
        <v>2239.5133894736846</v>
      </c>
      <c r="CH44" s="105">
        <v>12.511549021682246</v>
      </c>
      <c r="CI44" s="105">
        <v>12791.807719767929</v>
      </c>
      <c r="CJ44" s="105">
        <v>7.5017115348548744</v>
      </c>
      <c r="CK44" s="105">
        <v>7669.7498732356235</v>
      </c>
      <c r="CL44" s="105">
        <v>31.417472805300509</v>
      </c>
      <c r="CM44" s="105">
        <v>32121.224196139239</v>
      </c>
      <c r="CN44" s="105">
        <v>20.663262694777575</v>
      </c>
      <c r="CO44" s="105">
        <v>21126.119779140594</v>
      </c>
      <c r="CP44" s="105">
        <v>15.962381601881983</v>
      </c>
      <c r="CQ44" s="105">
        <v>16319.938949764139</v>
      </c>
      <c r="CR44" s="105">
        <v>3.2829556879538266</v>
      </c>
      <c r="CS44" s="105">
        <v>3356.4938953639921</v>
      </c>
      <c r="CT44" s="105">
        <v>10.781356969635461</v>
      </c>
      <c r="CU44" s="105">
        <v>11022.859365755294</v>
      </c>
    </row>
    <row r="45" spans="2:99" x14ac:dyDescent="0.25">
      <c r="C45" s="104" t="s">
        <v>210</v>
      </c>
      <c r="D45" s="105">
        <v>0</v>
      </c>
      <c r="E45" s="105">
        <v>0</v>
      </c>
      <c r="F45" s="105">
        <v>0</v>
      </c>
      <c r="G45" s="105">
        <v>0</v>
      </c>
      <c r="H45" s="105">
        <v>5</v>
      </c>
      <c r="I45" s="105">
        <v>6246</v>
      </c>
      <c r="J45" s="105">
        <v>6</v>
      </c>
      <c r="K45" s="105">
        <v>7495.2000000000007</v>
      </c>
      <c r="L45" s="105">
        <v>5</v>
      </c>
      <c r="M45" s="105">
        <v>6246</v>
      </c>
      <c r="N45" s="105">
        <v>6</v>
      </c>
      <c r="O45" s="105">
        <v>7495.2000000000007</v>
      </c>
      <c r="P45" s="105">
        <v>7</v>
      </c>
      <c r="Q45" s="105">
        <v>8744.4</v>
      </c>
      <c r="R45" s="105">
        <v>4</v>
      </c>
      <c r="S45" s="105">
        <v>4996.8</v>
      </c>
      <c r="T45" s="105">
        <v>6</v>
      </c>
      <c r="U45" s="105">
        <v>7495.2000000000007</v>
      </c>
      <c r="V45" s="105">
        <v>9</v>
      </c>
      <c r="W45" s="105">
        <v>11242.800000000001</v>
      </c>
      <c r="X45" s="105">
        <v>5</v>
      </c>
      <c r="Y45" s="105">
        <v>6246</v>
      </c>
      <c r="Z45" s="105">
        <v>7</v>
      </c>
      <c r="AA45" s="105">
        <v>8744.4</v>
      </c>
      <c r="AB45" s="105">
        <v>11</v>
      </c>
      <c r="AC45" s="105">
        <v>13741.2</v>
      </c>
      <c r="AD45" s="105">
        <v>6</v>
      </c>
      <c r="AE45" s="105">
        <v>7495.2000000000007</v>
      </c>
      <c r="AF45" s="105">
        <v>7</v>
      </c>
      <c r="AG45" s="105">
        <v>8744.4</v>
      </c>
      <c r="AH45" s="105">
        <v>6</v>
      </c>
      <c r="AI45" s="105">
        <v>7495.2000000000007</v>
      </c>
      <c r="AJ45" s="105">
        <v>11</v>
      </c>
      <c r="AK45" s="105">
        <v>13741.2</v>
      </c>
      <c r="AL45" s="105">
        <v>10</v>
      </c>
      <c r="AM45" s="105">
        <v>12492</v>
      </c>
      <c r="AN45" s="105">
        <v>9</v>
      </c>
      <c r="AO45" s="105">
        <v>11242.800000000001</v>
      </c>
      <c r="AP45" s="105">
        <v>7</v>
      </c>
      <c r="AQ45" s="105">
        <v>8744.4</v>
      </c>
      <c r="AR45" s="105">
        <v>9</v>
      </c>
      <c r="AS45" s="105">
        <v>11242.800000000001</v>
      </c>
      <c r="AT45" s="105">
        <v>16</v>
      </c>
      <c r="AU45" s="105">
        <v>19987.2</v>
      </c>
      <c r="AV45" s="105">
        <v>12</v>
      </c>
      <c r="AW45" s="105">
        <v>14990.400000000001</v>
      </c>
      <c r="AX45" s="105">
        <v>12</v>
      </c>
      <c r="AY45" s="105">
        <v>14990.400000000001</v>
      </c>
      <c r="AZ45" s="105">
        <v>11</v>
      </c>
      <c r="BA45" s="105">
        <v>13741.2</v>
      </c>
      <c r="BB45" s="105">
        <v>19</v>
      </c>
      <c r="BC45" s="105">
        <v>23734.799999999999</v>
      </c>
      <c r="BD45" s="105">
        <v>11</v>
      </c>
      <c r="BE45" s="105">
        <v>13741.2</v>
      </c>
      <c r="BF45" s="105">
        <v>21</v>
      </c>
      <c r="BG45" s="105">
        <v>26233.200000000001</v>
      </c>
      <c r="BH45" s="105">
        <v>26</v>
      </c>
      <c r="BI45" s="105">
        <v>32479.200000000001</v>
      </c>
      <c r="BJ45" s="105">
        <v>17</v>
      </c>
      <c r="BK45" s="105">
        <v>21236.400000000001</v>
      </c>
      <c r="BL45" s="105">
        <v>20</v>
      </c>
      <c r="BM45" s="105">
        <v>24984</v>
      </c>
      <c r="BN45" s="105">
        <v>14</v>
      </c>
      <c r="BO45" s="105">
        <v>17488.8</v>
      </c>
      <c r="BP45" s="105">
        <v>32</v>
      </c>
      <c r="BQ45" s="105">
        <v>39974.400000000001</v>
      </c>
      <c r="BR45" s="105">
        <v>3.1372804754157784</v>
      </c>
      <c r="BS45" s="105">
        <v>3919.0907698893907</v>
      </c>
      <c r="BT45" s="105">
        <v>17.147644206412405</v>
      </c>
      <c r="BU45" s="105">
        <v>21420.837142650376</v>
      </c>
      <c r="BV45" s="105">
        <v>28</v>
      </c>
      <c r="BW45" s="105">
        <v>34977.599999999999</v>
      </c>
      <c r="BX45" s="105">
        <v>19.019824292523399</v>
      </c>
      <c r="BY45" s="105">
        <v>23759.564506220231</v>
      </c>
      <c r="BZ45" s="105">
        <v>2.8686269323256619</v>
      </c>
      <c r="CA45" s="105">
        <v>3583.4887638612172</v>
      </c>
      <c r="CB45" s="105">
        <v>32.210125418342045</v>
      </c>
      <c r="CC45" s="105">
        <v>40236.888672592882</v>
      </c>
      <c r="CD45" s="105">
        <v>18.739916834366582</v>
      </c>
      <c r="CE45" s="105">
        <v>23409.904109490733</v>
      </c>
      <c r="CF45" s="105">
        <v>2.0040263157894742</v>
      </c>
      <c r="CG45" s="105">
        <v>2503.4296736842111</v>
      </c>
      <c r="CH45" s="105">
        <v>11.393437322153117</v>
      </c>
      <c r="CI45" s="105">
        <v>14232.681902833674</v>
      </c>
      <c r="CJ45" s="105">
        <v>7.8278729059355205</v>
      </c>
      <c r="CK45" s="105">
        <v>9778.5788340946528</v>
      </c>
      <c r="CL45" s="105">
        <v>29.99527221630613</v>
      </c>
      <c r="CM45" s="105">
        <v>37470.094052609616</v>
      </c>
      <c r="CN45" s="105">
        <v>17.1831342409203</v>
      </c>
      <c r="CO45" s="105">
        <v>21465.171293757638</v>
      </c>
      <c r="CP45" s="105">
        <v>13.718428845837304</v>
      </c>
      <c r="CQ45" s="105">
        <v>17137.061314219962</v>
      </c>
      <c r="CR45" s="105">
        <v>2.5990065862967797</v>
      </c>
      <c r="CS45" s="105">
        <v>3246.6790276019374</v>
      </c>
      <c r="CT45" s="105">
        <v>10.774396471769688</v>
      </c>
      <c r="CU45" s="105">
        <v>13459.376072534695</v>
      </c>
    </row>
    <row r="46" spans="2:99" x14ac:dyDescent="0.25">
      <c r="C46" s="104" t="s">
        <v>211</v>
      </c>
      <c r="D46" s="105">
        <v>0</v>
      </c>
      <c r="E46" s="105">
        <v>0</v>
      </c>
      <c r="F46" s="105">
        <v>0</v>
      </c>
      <c r="G46" s="105">
        <v>0</v>
      </c>
      <c r="H46" s="105">
        <v>6</v>
      </c>
      <c r="I46" s="105">
        <v>7272</v>
      </c>
      <c r="J46" s="105">
        <v>6</v>
      </c>
      <c r="K46" s="105">
        <v>7272</v>
      </c>
      <c r="L46" s="105">
        <v>5</v>
      </c>
      <c r="M46" s="105">
        <v>6060</v>
      </c>
      <c r="N46" s="105">
        <v>7</v>
      </c>
      <c r="O46" s="105">
        <v>8484</v>
      </c>
      <c r="P46" s="105">
        <v>7</v>
      </c>
      <c r="Q46" s="105">
        <v>8484</v>
      </c>
      <c r="R46" s="105">
        <v>5</v>
      </c>
      <c r="S46" s="105">
        <v>6060</v>
      </c>
      <c r="T46" s="105">
        <v>6</v>
      </c>
      <c r="U46" s="105">
        <v>7272</v>
      </c>
      <c r="V46" s="105">
        <v>8</v>
      </c>
      <c r="W46" s="105">
        <v>9696</v>
      </c>
      <c r="X46" s="105">
        <v>5</v>
      </c>
      <c r="Y46" s="105">
        <v>6060</v>
      </c>
      <c r="Z46" s="105">
        <v>7</v>
      </c>
      <c r="AA46" s="105">
        <v>8484</v>
      </c>
      <c r="AB46" s="105">
        <v>10</v>
      </c>
      <c r="AC46" s="105">
        <v>12120</v>
      </c>
      <c r="AD46" s="105">
        <v>5</v>
      </c>
      <c r="AE46" s="105">
        <v>6060</v>
      </c>
      <c r="AF46" s="105">
        <v>7</v>
      </c>
      <c r="AG46" s="105">
        <v>8484</v>
      </c>
      <c r="AH46" s="105">
        <v>6</v>
      </c>
      <c r="AI46" s="105">
        <v>7272</v>
      </c>
      <c r="AJ46" s="105">
        <v>10</v>
      </c>
      <c r="AK46" s="105">
        <v>12120</v>
      </c>
      <c r="AL46" s="105">
        <v>11</v>
      </c>
      <c r="AM46" s="105">
        <v>13332</v>
      </c>
      <c r="AN46" s="105">
        <v>10</v>
      </c>
      <c r="AO46" s="105">
        <v>12120</v>
      </c>
      <c r="AP46" s="105">
        <v>6</v>
      </c>
      <c r="AQ46" s="105">
        <v>7272</v>
      </c>
      <c r="AR46" s="105">
        <v>9</v>
      </c>
      <c r="AS46" s="105">
        <v>10908</v>
      </c>
      <c r="AT46" s="105">
        <v>14</v>
      </c>
      <c r="AU46" s="105">
        <v>16968</v>
      </c>
      <c r="AV46" s="105">
        <v>11</v>
      </c>
      <c r="AW46" s="105">
        <v>13332</v>
      </c>
      <c r="AX46" s="105">
        <v>11</v>
      </c>
      <c r="AY46" s="105">
        <v>13332</v>
      </c>
      <c r="AZ46" s="105">
        <v>13</v>
      </c>
      <c r="BA46" s="105">
        <v>15756</v>
      </c>
      <c r="BB46" s="105">
        <v>18</v>
      </c>
      <c r="BC46" s="105">
        <v>21816</v>
      </c>
      <c r="BD46" s="105">
        <v>11</v>
      </c>
      <c r="BE46" s="105">
        <v>13332</v>
      </c>
      <c r="BF46" s="105">
        <v>21</v>
      </c>
      <c r="BG46" s="105">
        <v>25452</v>
      </c>
      <c r="BH46" s="105">
        <v>27</v>
      </c>
      <c r="BI46" s="105">
        <v>32724</v>
      </c>
      <c r="BJ46" s="105">
        <v>18</v>
      </c>
      <c r="BK46" s="105">
        <v>21816</v>
      </c>
      <c r="BL46" s="105">
        <v>20</v>
      </c>
      <c r="BM46" s="105">
        <v>24240</v>
      </c>
      <c r="BN46" s="105">
        <v>14</v>
      </c>
      <c r="BO46" s="105">
        <v>16968</v>
      </c>
      <c r="BP46" s="105">
        <v>32</v>
      </c>
      <c r="BQ46" s="105">
        <v>38784</v>
      </c>
      <c r="BR46" s="105">
        <v>3.0210849022522308</v>
      </c>
      <c r="BS46" s="105">
        <v>3661.5549015297038</v>
      </c>
      <c r="BT46" s="105">
        <v>16.611780324962016</v>
      </c>
      <c r="BU46" s="105">
        <v>20133.477753853964</v>
      </c>
      <c r="BV46" s="105">
        <v>29</v>
      </c>
      <c r="BW46" s="105">
        <v>35148</v>
      </c>
      <c r="BX46" s="105">
        <v>19.019824292523399</v>
      </c>
      <c r="BY46" s="105">
        <v>23052.027042538361</v>
      </c>
      <c r="BZ46" s="105">
        <v>2.9990190656131923</v>
      </c>
      <c r="CA46" s="105">
        <v>3634.8111075231891</v>
      </c>
      <c r="CB46" s="105">
        <v>35.870366943153641</v>
      </c>
      <c r="CC46" s="105">
        <v>43474.884735102212</v>
      </c>
      <c r="CD46" s="105">
        <v>16.326057377141492</v>
      </c>
      <c r="CE46" s="105">
        <v>19787.181541095488</v>
      </c>
      <c r="CF46" s="105">
        <v>2.0506315789473688</v>
      </c>
      <c r="CG46" s="105">
        <v>2485.3654736842109</v>
      </c>
      <c r="CH46" s="105">
        <v>13.191059169749851</v>
      </c>
      <c r="CI46" s="105">
        <v>15987.563713736819</v>
      </c>
      <c r="CJ46" s="105">
        <v>8.1540342770161676</v>
      </c>
      <c r="CK46" s="105">
        <v>9882.6895437435942</v>
      </c>
      <c r="CL46" s="105">
        <v>28.515147061881631</v>
      </c>
      <c r="CM46" s="105">
        <v>34560.358239000539</v>
      </c>
      <c r="CN46" s="105">
        <v>19.140706496215017</v>
      </c>
      <c r="CO46" s="105">
        <v>23198.536273412599</v>
      </c>
      <c r="CP46" s="105">
        <v>14.553101861790907</v>
      </c>
      <c r="CQ46" s="105">
        <v>17638.35945649058</v>
      </c>
      <c r="CR46" s="105">
        <v>2.6901997998510523</v>
      </c>
      <c r="CS46" s="105">
        <v>3260.5221574194752</v>
      </c>
      <c r="CT46" s="105">
        <v>9.854901385927624</v>
      </c>
      <c r="CU46" s="105">
        <v>11944.140479744281</v>
      </c>
    </row>
    <row r="47" spans="2:99" x14ac:dyDescent="0.25">
      <c r="C47" s="104" t="s">
        <v>212</v>
      </c>
      <c r="D47" s="105">
        <v>0</v>
      </c>
      <c r="E47" s="105">
        <v>0</v>
      </c>
      <c r="F47" s="105">
        <v>0</v>
      </c>
      <c r="G47" s="105">
        <v>0</v>
      </c>
      <c r="H47" s="105">
        <v>5</v>
      </c>
      <c r="I47" s="105">
        <v>7638</v>
      </c>
      <c r="J47" s="105">
        <v>6</v>
      </c>
      <c r="K47" s="105">
        <v>9165.5999999999985</v>
      </c>
      <c r="L47" s="105">
        <v>5</v>
      </c>
      <c r="M47" s="105">
        <v>7638</v>
      </c>
      <c r="N47" s="105">
        <v>7</v>
      </c>
      <c r="O47" s="105">
        <v>10693.199999999999</v>
      </c>
      <c r="P47" s="105">
        <v>7</v>
      </c>
      <c r="Q47" s="105">
        <v>10693.199999999999</v>
      </c>
      <c r="R47" s="105">
        <v>4</v>
      </c>
      <c r="S47" s="105">
        <v>6110.4</v>
      </c>
      <c r="T47" s="105">
        <v>5</v>
      </c>
      <c r="U47" s="105">
        <v>7638</v>
      </c>
      <c r="V47" s="105">
        <v>9</v>
      </c>
      <c r="W47" s="105">
        <v>13748.4</v>
      </c>
      <c r="X47" s="105">
        <v>5</v>
      </c>
      <c r="Y47" s="105">
        <v>7638</v>
      </c>
      <c r="Z47" s="105">
        <v>7</v>
      </c>
      <c r="AA47" s="105">
        <v>10693.199999999999</v>
      </c>
      <c r="AB47" s="105">
        <v>10</v>
      </c>
      <c r="AC47" s="105">
        <v>15276</v>
      </c>
      <c r="AD47" s="105">
        <v>6</v>
      </c>
      <c r="AE47" s="105">
        <v>9165.5999999999985</v>
      </c>
      <c r="AF47" s="105">
        <v>7</v>
      </c>
      <c r="AG47" s="105">
        <v>10693.199999999999</v>
      </c>
      <c r="AH47" s="105">
        <v>6</v>
      </c>
      <c r="AI47" s="105">
        <v>9165.5999999999985</v>
      </c>
      <c r="AJ47" s="105">
        <v>10</v>
      </c>
      <c r="AK47" s="105">
        <v>15276</v>
      </c>
      <c r="AL47" s="105">
        <v>11</v>
      </c>
      <c r="AM47" s="105">
        <v>16803.599999999999</v>
      </c>
      <c r="AN47" s="105">
        <v>10</v>
      </c>
      <c r="AO47" s="105">
        <v>15276</v>
      </c>
      <c r="AP47" s="105">
        <v>6</v>
      </c>
      <c r="AQ47" s="105">
        <v>9165.5999999999985</v>
      </c>
      <c r="AR47" s="105">
        <v>9</v>
      </c>
      <c r="AS47" s="105">
        <v>13748.4</v>
      </c>
      <c r="AT47" s="105">
        <v>15</v>
      </c>
      <c r="AU47" s="105">
        <v>22914</v>
      </c>
      <c r="AV47" s="105">
        <v>12</v>
      </c>
      <c r="AW47" s="105">
        <v>18331.199999999997</v>
      </c>
      <c r="AX47" s="105">
        <v>11</v>
      </c>
      <c r="AY47" s="105">
        <v>16803.599999999999</v>
      </c>
      <c r="AZ47" s="105">
        <v>12</v>
      </c>
      <c r="BA47" s="105">
        <v>18331.199999999997</v>
      </c>
      <c r="BB47" s="105">
        <v>18</v>
      </c>
      <c r="BC47" s="105">
        <v>27496.799999999999</v>
      </c>
      <c r="BD47" s="105">
        <v>11</v>
      </c>
      <c r="BE47" s="105">
        <v>16803.599999999999</v>
      </c>
      <c r="BF47" s="105">
        <v>19</v>
      </c>
      <c r="BG47" s="105">
        <v>29024.399999999998</v>
      </c>
      <c r="BH47" s="105">
        <v>27</v>
      </c>
      <c r="BI47" s="105">
        <v>41245.199999999997</v>
      </c>
      <c r="BJ47" s="105">
        <v>17</v>
      </c>
      <c r="BK47" s="105">
        <v>25969.199999999997</v>
      </c>
      <c r="BL47" s="105">
        <v>18</v>
      </c>
      <c r="BM47" s="105">
        <v>27496.799999999999</v>
      </c>
      <c r="BN47" s="105">
        <v>14</v>
      </c>
      <c r="BO47" s="105">
        <v>21386.399999999998</v>
      </c>
      <c r="BP47" s="105">
        <v>30</v>
      </c>
      <c r="BQ47" s="105">
        <v>45828</v>
      </c>
      <c r="BR47" s="105">
        <v>2.672498182761589</v>
      </c>
      <c r="BS47" s="105">
        <v>4082.5082239866033</v>
      </c>
      <c r="BT47" s="105">
        <v>18.21937196931318</v>
      </c>
      <c r="BU47" s="105">
        <v>27831.912620322812</v>
      </c>
      <c r="BV47" s="105">
        <v>28</v>
      </c>
      <c r="BW47" s="105">
        <v>42772.799999999996</v>
      </c>
      <c r="BX47" s="105">
        <v>17.636564343976239</v>
      </c>
      <c r="BY47" s="105">
        <v>26941.6156918581</v>
      </c>
      <c r="BZ47" s="105">
        <v>2.607842665750602</v>
      </c>
      <c r="CA47" s="105">
        <v>3983.7404562006195</v>
      </c>
      <c r="CB47" s="105">
        <v>35.138318638191322</v>
      </c>
      <c r="CC47" s="105">
        <v>53677.295551701063</v>
      </c>
      <c r="CD47" s="105">
        <v>19.407303629043486</v>
      </c>
      <c r="CE47" s="105">
        <v>29646.597023726827</v>
      </c>
      <c r="CF47" s="105">
        <v>1.7476973684210531</v>
      </c>
      <c r="CG47" s="105">
        <v>2669.7825000000007</v>
      </c>
      <c r="CH47" s="105">
        <v>11.839554637397359</v>
      </c>
      <c r="CI47" s="105">
        <v>18086.103664088205</v>
      </c>
      <c r="CJ47" s="105">
        <v>7.5017115348548744</v>
      </c>
      <c r="CK47" s="105">
        <v>11459.614540644305</v>
      </c>
      <c r="CL47" s="105">
        <v>28.905545108147358</v>
      </c>
      <c r="CM47" s="105">
        <v>44156.110707205902</v>
      </c>
      <c r="CN47" s="105">
        <v>16.74811818418814</v>
      </c>
      <c r="CO47" s="105">
        <v>25584.425338165802</v>
      </c>
      <c r="CP47" s="105">
        <v>15.050630994145857</v>
      </c>
      <c r="CQ47" s="105">
        <v>22991.34390665721</v>
      </c>
      <c r="CR47" s="105">
        <v>2.8953845303481667</v>
      </c>
      <c r="CS47" s="105">
        <v>4422.9894085598589</v>
      </c>
      <c r="CT47" s="105">
        <v>9.3881933451408219</v>
      </c>
      <c r="CU47" s="105">
        <v>14341.404154037118</v>
      </c>
    </row>
    <row r="48" spans="2:99" x14ac:dyDescent="0.25">
      <c r="C48" s="104" t="s">
        <v>213</v>
      </c>
      <c r="D48" s="105">
        <v>0</v>
      </c>
      <c r="E48" s="105">
        <v>0</v>
      </c>
      <c r="F48" s="105">
        <v>0</v>
      </c>
      <c r="G48" s="105">
        <v>0</v>
      </c>
      <c r="H48" s="105">
        <v>6</v>
      </c>
      <c r="I48" s="105">
        <v>5205.6000000000004</v>
      </c>
      <c r="J48" s="105">
        <v>5</v>
      </c>
      <c r="K48" s="105">
        <v>4338</v>
      </c>
      <c r="L48" s="105">
        <v>5</v>
      </c>
      <c r="M48" s="105">
        <v>4338</v>
      </c>
      <c r="N48" s="105">
        <v>7</v>
      </c>
      <c r="O48" s="105">
        <v>6073.2</v>
      </c>
      <c r="P48" s="105">
        <v>6</v>
      </c>
      <c r="Q48" s="105">
        <v>5205.6000000000004</v>
      </c>
      <c r="R48" s="105">
        <v>5</v>
      </c>
      <c r="S48" s="105">
        <v>4338</v>
      </c>
      <c r="T48" s="105">
        <v>6</v>
      </c>
      <c r="U48" s="105">
        <v>5205.6000000000004</v>
      </c>
      <c r="V48" s="105">
        <v>8</v>
      </c>
      <c r="W48" s="105">
        <v>6940.8</v>
      </c>
      <c r="X48" s="105">
        <v>5</v>
      </c>
      <c r="Y48" s="105">
        <v>4338</v>
      </c>
      <c r="Z48" s="105">
        <v>7</v>
      </c>
      <c r="AA48" s="105">
        <v>6073.2</v>
      </c>
      <c r="AB48" s="105">
        <v>10</v>
      </c>
      <c r="AC48" s="105">
        <v>8676</v>
      </c>
      <c r="AD48" s="105">
        <v>7</v>
      </c>
      <c r="AE48" s="105">
        <v>6073.2</v>
      </c>
      <c r="AF48" s="105">
        <v>8</v>
      </c>
      <c r="AG48" s="105">
        <v>6940.8</v>
      </c>
      <c r="AH48" s="105">
        <v>7</v>
      </c>
      <c r="AI48" s="105">
        <v>6073.2</v>
      </c>
      <c r="AJ48" s="105">
        <v>11</v>
      </c>
      <c r="AK48" s="105">
        <v>9543.6</v>
      </c>
      <c r="AL48" s="105">
        <v>11</v>
      </c>
      <c r="AM48" s="105">
        <v>9543.6</v>
      </c>
      <c r="AN48" s="105">
        <v>10</v>
      </c>
      <c r="AO48" s="105">
        <v>8676</v>
      </c>
      <c r="AP48" s="105">
        <v>7</v>
      </c>
      <c r="AQ48" s="105">
        <v>6073.2</v>
      </c>
      <c r="AR48" s="105">
        <v>9</v>
      </c>
      <c r="AS48" s="105">
        <v>7808.4000000000005</v>
      </c>
      <c r="AT48" s="105">
        <v>17</v>
      </c>
      <c r="AU48" s="105">
        <v>14749.2</v>
      </c>
      <c r="AV48" s="105">
        <v>12</v>
      </c>
      <c r="AW48" s="105">
        <v>10411.200000000001</v>
      </c>
      <c r="AX48" s="105">
        <v>11</v>
      </c>
      <c r="AY48" s="105">
        <v>9543.6</v>
      </c>
      <c r="AZ48" s="105">
        <v>11</v>
      </c>
      <c r="BA48" s="105">
        <v>9543.6</v>
      </c>
      <c r="BB48" s="105">
        <v>18</v>
      </c>
      <c r="BC48" s="105">
        <v>15616.800000000001</v>
      </c>
      <c r="BD48" s="105">
        <v>12</v>
      </c>
      <c r="BE48" s="105">
        <v>10411.200000000001</v>
      </c>
      <c r="BF48" s="105">
        <v>20</v>
      </c>
      <c r="BG48" s="105">
        <v>17352</v>
      </c>
      <c r="BH48" s="105">
        <v>25</v>
      </c>
      <c r="BI48" s="105">
        <v>21690</v>
      </c>
      <c r="BJ48" s="105">
        <v>18</v>
      </c>
      <c r="BK48" s="105">
        <v>15616.800000000001</v>
      </c>
      <c r="BL48" s="105">
        <v>19</v>
      </c>
      <c r="BM48" s="105">
        <v>16484.400000000001</v>
      </c>
      <c r="BN48" s="105">
        <v>17</v>
      </c>
      <c r="BO48" s="105">
        <v>14749.2</v>
      </c>
      <c r="BP48" s="105">
        <v>33</v>
      </c>
      <c r="BQ48" s="105">
        <v>28630.799999999999</v>
      </c>
      <c r="BR48" s="105">
        <v>3.369671621742873</v>
      </c>
      <c r="BS48" s="105">
        <v>2923.5270990241165</v>
      </c>
      <c r="BT48" s="105">
        <v>17.147644206412405</v>
      </c>
      <c r="BU48" s="105">
        <v>14877.296113483402</v>
      </c>
      <c r="BV48" s="105">
        <v>28</v>
      </c>
      <c r="BW48" s="105">
        <v>24292.799999999999</v>
      </c>
      <c r="BX48" s="105">
        <v>18.674009305386608</v>
      </c>
      <c r="BY48" s="105">
        <v>16201.570473353422</v>
      </c>
      <c r="BZ48" s="105">
        <v>3.0642151322569573</v>
      </c>
      <c r="CA48" s="105">
        <v>2658.5130487461361</v>
      </c>
      <c r="CB48" s="105">
        <v>36.60241524811596</v>
      </c>
      <c r="CC48" s="105">
        <v>31756.255469265408</v>
      </c>
      <c r="CD48" s="105">
        <v>21.700542790165564</v>
      </c>
      <c r="CE48" s="105">
        <v>18827.390924747644</v>
      </c>
      <c r="CF48" s="105">
        <v>2.0972368421052638</v>
      </c>
      <c r="CG48" s="105">
        <v>1819.5626842105269</v>
      </c>
      <c r="CH48" s="105">
        <v>13.430088825410252</v>
      </c>
      <c r="CI48" s="105">
        <v>11651.945064925934</v>
      </c>
      <c r="CJ48" s="105">
        <v>8.3171149625564897</v>
      </c>
      <c r="CK48" s="105">
        <v>7215.9289415140111</v>
      </c>
      <c r="CL48" s="105">
        <v>28.944161485100771</v>
      </c>
      <c r="CM48" s="105">
        <v>25111.95450447343</v>
      </c>
      <c r="CN48" s="105">
        <v>18.053166354384619</v>
      </c>
      <c r="CO48" s="105">
        <v>15662.927129064095</v>
      </c>
      <c r="CP48" s="105">
        <v>15.758385896787013</v>
      </c>
      <c r="CQ48" s="105">
        <v>13671.975604052413</v>
      </c>
      <c r="CR48" s="105">
        <v>3.3285522947309634</v>
      </c>
      <c r="CS48" s="105">
        <v>2887.851970908584</v>
      </c>
      <c r="CT48" s="105">
        <v>10.900354145787416</v>
      </c>
      <c r="CU48" s="105">
        <v>9457.1472568851623</v>
      </c>
    </row>
    <row r="49" spans="2:99" x14ac:dyDescent="0.25">
      <c r="B49" s="104" t="s">
        <v>129</v>
      </c>
      <c r="C49" s="104" t="s">
        <v>214</v>
      </c>
      <c r="D49" s="105">
        <v>0</v>
      </c>
      <c r="E49" s="105">
        <v>0</v>
      </c>
      <c r="F49" s="105">
        <v>0</v>
      </c>
      <c r="G49" s="105">
        <v>0</v>
      </c>
      <c r="H49" s="105">
        <v>2</v>
      </c>
      <c r="I49" s="105">
        <v>1970.3999999999999</v>
      </c>
      <c r="J49" s="105">
        <v>3</v>
      </c>
      <c r="K49" s="105">
        <v>2955.6</v>
      </c>
      <c r="L49" s="105">
        <v>5</v>
      </c>
      <c r="M49" s="105">
        <v>4926</v>
      </c>
      <c r="N49" s="105">
        <v>4</v>
      </c>
      <c r="O49" s="105">
        <v>3940.7999999999997</v>
      </c>
      <c r="P49" s="105">
        <v>4</v>
      </c>
      <c r="Q49" s="105">
        <v>3940.7999999999997</v>
      </c>
      <c r="R49" s="105">
        <v>4</v>
      </c>
      <c r="S49" s="105">
        <v>3940.7999999999997</v>
      </c>
      <c r="T49" s="105">
        <v>5</v>
      </c>
      <c r="U49" s="105">
        <v>4926</v>
      </c>
      <c r="V49" s="105">
        <v>4</v>
      </c>
      <c r="W49" s="105">
        <v>3940.7999999999997</v>
      </c>
      <c r="X49" s="105">
        <v>4</v>
      </c>
      <c r="Y49" s="105">
        <v>3940.7999999999997</v>
      </c>
      <c r="Z49" s="105">
        <v>4</v>
      </c>
      <c r="AA49" s="105">
        <v>3940.7999999999997</v>
      </c>
      <c r="AB49" s="105">
        <v>5</v>
      </c>
      <c r="AC49" s="105">
        <v>4926</v>
      </c>
      <c r="AD49" s="105">
        <v>7</v>
      </c>
      <c r="AE49" s="105">
        <v>6896.4</v>
      </c>
      <c r="AF49" s="105">
        <v>6</v>
      </c>
      <c r="AG49" s="105">
        <v>5911.2</v>
      </c>
      <c r="AH49" s="105">
        <v>4</v>
      </c>
      <c r="AI49" s="105">
        <v>3940.7999999999997</v>
      </c>
      <c r="AJ49" s="105">
        <v>5</v>
      </c>
      <c r="AK49" s="105">
        <v>4926</v>
      </c>
      <c r="AL49" s="105">
        <v>8</v>
      </c>
      <c r="AM49" s="105">
        <v>7881.5999999999995</v>
      </c>
      <c r="AN49" s="105">
        <v>5</v>
      </c>
      <c r="AO49" s="105">
        <v>4926</v>
      </c>
      <c r="AP49" s="105">
        <v>9</v>
      </c>
      <c r="AQ49" s="105">
        <v>8866.7999999999993</v>
      </c>
      <c r="AR49" s="105">
        <v>7</v>
      </c>
      <c r="AS49" s="105">
        <v>6896.4</v>
      </c>
      <c r="AT49" s="105">
        <v>9</v>
      </c>
      <c r="AU49" s="105">
        <v>8866.7999999999993</v>
      </c>
      <c r="AV49" s="105">
        <v>10</v>
      </c>
      <c r="AW49" s="105">
        <v>9852</v>
      </c>
      <c r="AX49" s="105">
        <v>12</v>
      </c>
      <c r="AY49" s="105">
        <v>11822.4</v>
      </c>
      <c r="AZ49" s="105">
        <v>12</v>
      </c>
      <c r="BA49" s="105">
        <v>11822.4</v>
      </c>
      <c r="BB49" s="105">
        <v>9</v>
      </c>
      <c r="BC49" s="105">
        <v>8866.7999999999993</v>
      </c>
      <c r="BD49" s="105">
        <v>12</v>
      </c>
      <c r="BE49" s="105">
        <v>11822.4</v>
      </c>
      <c r="BF49" s="105">
        <v>8</v>
      </c>
      <c r="BG49" s="105">
        <v>7881.5999999999995</v>
      </c>
      <c r="BH49" s="105">
        <v>6.4278697953341721</v>
      </c>
      <c r="BI49" s="105">
        <v>6332.7373223632258</v>
      </c>
      <c r="BJ49" s="105">
        <v>10</v>
      </c>
      <c r="BK49" s="105">
        <v>9852</v>
      </c>
      <c r="BL49" s="105">
        <v>19</v>
      </c>
      <c r="BM49" s="105">
        <v>18718.8</v>
      </c>
      <c r="BN49" s="105">
        <v>10.365125336323841</v>
      </c>
      <c r="BO49" s="105">
        <v>10211.721481346247</v>
      </c>
      <c r="BP49" s="105">
        <v>23</v>
      </c>
      <c r="BQ49" s="105">
        <v>22659.599999999999</v>
      </c>
      <c r="BR49" s="105">
        <v>0.93780613337680707</v>
      </c>
      <c r="BS49" s="105">
        <v>923.92660260283026</v>
      </c>
      <c r="BT49" s="105">
        <v>13.886346049920302</v>
      </c>
      <c r="BU49" s="105">
        <v>13680.828128381481</v>
      </c>
      <c r="BV49" s="105">
        <v>14.200380017386756</v>
      </c>
      <c r="BW49" s="105">
        <v>13990.21439312943</v>
      </c>
      <c r="BX49" s="105">
        <v>13.307353643216082</v>
      </c>
      <c r="BY49" s="105">
        <v>13110.404809296484</v>
      </c>
      <c r="BZ49" s="105">
        <v>1.6065340909090919</v>
      </c>
      <c r="CA49" s="105">
        <v>1582.7573863636374</v>
      </c>
      <c r="CB49" s="105">
        <v>11.541192009897422</v>
      </c>
      <c r="CC49" s="105">
        <v>11370.38236815094</v>
      </c>
      <c r="CD49" s="105">
        <v>2.6289645447219989</v>
      </c>
      <c r="CE49" s="105">
        <v>2590.0558694601132</v>
      </c>
      <c r="CF49" s="105">
        <v>0.82383641762557969</v>
      </c>
      <c r="CG49" s="105">
        <v>811.64363864472102</v>
      </c>
      <c r="CH49" s="105">
        <v>17.526997796045592</v>
      </c>
      <c r="CI49" s="105">
        <v>17267.598228664116</v>
      </c>
      <c r="CJ49" s="105">
        <v>12.134648680434736</v>
      </c>
      <c r="CK49" s="105">
        <v>11955.055879964302</v>
      </c>
      <c r="CL49" s="105">
        <v>28.904394198115842</v>
      </c>
      <c r="CM49" s="105">
        <v>28476.609163983725</v>
      </c>
      <c r="CN49" s="105">
        <v>2.1082497642250866</v>
      </c>
      <c r="CO49" s="105">
        <v>2077.0476677145552</v>
      </c>
      <c r="CP49" s="105">
        <v>13.271060647020013</v>
      </c>
      <c r="CQ49" s="105">
        <v>13074.648949444116</v>
      </c>
      <c r="CR49" s="105">
        <v>11.906007102888726</v>
      </c>
      <c r="CS49" s="105">
        <v>11729.798197765971</v>
      </c>
      <c r="CT49" s="105">
        <v>2.693773885350319</v>
      </c>
      <c r="CU49" s="105">
        <v>2653.9060318471343</v>
      </c>
    </row>
    <row r="50" spans="2:99" x14ac:dyDescent="0.25">
      <c r="C50" s="104" t="s">
        <v>215</v>
      </c>
      <c r="D50" s="105">
        <v>0</v>
      </c>
      <c r="E50" s="105">
        <v>0</v>
      </c>
      <c r="F50" s="105">
        <v>0</v>
      </c>
      <c r="G50" s="105">
        <v>0</v>
      </c>
      <c r="H50" s="105">
        <v>3</v>
      </c>
      <c r="I50" s="105">
        <v>846</v>
      </c>
      <c r="J50" s="105">
        <v>3</v>
      </c>
      <c r="K50" s="105">
        <v>846</v>
      </c>
      <c r="L50" s="105">
        <v>5</v>
      </c>
      <c r="M50" s="105">
        <v>1410</v>
      </c>
      <c r="N50" s="105">
        <v>4</v>
      </c>
      <c r="O50" s="105">
        <v>1128</v>
      </c>
      <c r="P50" s="105">
        <v>5</v>
      </c>
      <c r="Q50" s="105">
        <v>1410</v>
      </c>
      <c r="R50" s="105">
        <v>5</v>
      </c>
      <c r="S50" s="105">
        <v>1410</v>
      </c>
      <c r="T50" s="105">
        <v>5</v>
      </c>
      <c r="U50" s="105">
        <v>1410</v>
      </c>
      <c r="V50" s="105">
        <v>4</v>
      </c>
      <c r="W50" s="105">
        <v>1128</v>
      </c>
      <c r="X50" s="105">
        <v>5</v>
      </c>
      <c r="Y50" s="105">
        <v>1410</v>
      </c>
      <c r="Z50" s="105">
        <v>3</v>
      </c>
      <c r="AA50" s="105">
        <v>846</v>
      </c>
      <c r="AB50" s="105">
        <v>6</v>
      </c>
      <c r="AC50" s="105">
        <v>1692</v>
      </c>
      <c r="AD50" s="105">
        <v>8</v>
      </c>
      <c r="AE50" s="105">
        <v>2256</v>
      </c>
      <c r="AF50" s="105">
        <v>7</v>
      </c>
      <c r="AG50" s="105">
        <v>1974</v>
      </c>
      <c r="AH50" s="105">
        <v>5</v>
      </c>
      <c r="AI50" s="105">
        <v>1410</v>
      </c>
      <c r="AJ50" s="105">
        <v>5</v>
      </c>
      <c r="AK50" s="105">
        <v>1410</v>
      </c>
      <c r="AL50" s="105">
        <v>8</v>
      </c>
      <c r="AM50" s="105">
        <v>2256</v>
      </c>
      <c r="AN50" s="105">
        <v>5</v>
      </c>
      <c r="AO50" s="105">
        <v>1410</v>
      </c>
      <c r="AP50" s="105">
        <v>9</v>
      </c>
      <c r="AQ50" s="105">
        <v>2538</v>
      </c>
      <c r="AR50" s="105">
        <v>8</v>
      </c>
      <c r="AS50" s="105">
        <v>2256</v>
      </c>
      <c r="AT50" s="105">
        <v>10</v>
      </c>
      <c r="AU50" s="105">
        <v>2820</v>
      </c>
      <c r="AV50" s="105">
        <v>12</v>
      </c>
      <c r="AW50" s="105">
        <v>3384</v>
      </c>
      <c r="AX50" s="105">
        <v>12</v>
      </c>
      <c r="AY50" s="105">
        <v>3384</v>
      </c>
      <c r="AZ50" s="105">
        <v>13</v>
      </c>
      <c r="BA50" s="105">
        <v>3666</v>
      </c>
      <c r="BB50" s="105">
        <v>9</v>
      </c>
      <c r="BC50" s="105">
        <v>2538</v>
      </c>
      <c r="BD50" s="105">
        <v>14</v>
      </c>
      <c r="BE50" s="105">
        <v>3948</v>
      </c>
      <c r="BF50" s="105">
        <v>9</v>
      </c>
      <c r="BG50" s="105">
        <v>2538</v>
      </c>
      <c r="BH50" s="105">
        <v>20</v>
      </c>
      <c r="BI50" s="105">
        <v>5640</v>
      </c>
      <c r="BJ50" s="105">
        <v>11</v>
      </c>
      <c r="BK50" s="105">
        <v>3102</v>
      </c>
      <c r="BL50" s="105">
        <v>19</v>
      </c>
      <c r="BM50" s="105">
        <v>5358</v>
      </c>
      <c r="BN50" s="105">
        <v>15</v>
      </c>
      <c r="BO50" s="105">
        <v>4230</v>
      </c>
      <c r="BP50" s="105">
        <v>25</v>
      </c>
      <c r="BQ50" s="105">
        <v>7050</v>
      </c>
      <c r="BR50" s="105">
        <v>2.4401070364344939</v>
      </c>
      <c r="BS50" s="105">
        <v>688.11018427452723</v>
      </c>
      <c r="BT50" s="105">
        <v>10.717277629007754</v>
      </c>
      <c r="BU50" s="105">
        <v>3022.2722913801863</v>
      </c>
      <c r="BV50" s="105">
        <v>28</v>
      </c>
      <c r="BW50" s="105">
        <v>7896</v>
      </c>
      <c r="BX50" s="105">
        <v>13.486784498334773</v>
      </c>
      <c r="BY50" s="105">
        <v>3803.273228530406</v>
      </c>
      <c r="BZ50" s="105">
        <v>1.9558819993129515</v>
      </c>
      <c r="CA50" s="105">
        <v>551.55872380625237</v>
      </c>
      <c r="CB50" s="105">
        <v>24.15759406375653</v>
      </c>
      <c r="CC50" s="105">
        <v>6812.4415259793413</v>
      </c>
      <c r="CD50" s="105">
        <v>15.371780590639689</v>
      </c>
      <c r="CE50" s="105">
        <v>4334.842126560392</v>
      </c>
      <c r="CF50" s="105">
        <v>1.0253157894736844</v>
      </c>
      <c r="CG50" s="105">
        <v>289.13905263157898</v>
      </c>
      <c r="CH50" s="105">
        <v>13.204211756369608</v>
      </c>
      <c r="CI50" s="105">
        <v>3723.5877152962294</v>
      </c>
      <c r="CJ50" s="105">
        <v>8.8063570191774616</v>
      </c>
      <c r="CK50" s="105">
        <v>2483.3926794080444</v>
      </c>
      <c r="CL50" s="105">
        <v>33.543236732919503</v>
      </c>
      <c r="CM50" s="105">
        <v>9459.1927586833008</v>
      </c>
      <c r="CN50" s="105">
        <v>19.567125036400938</v>
      </c>
      <c r="CO50" s="105">
        <v>5517.9292602650648</v>
      </c>
      <c r="CP50" s="105">
        <v>11.015768075128438</v>
      </c>
      <c r="CQ50" s="105">
        <v>3106.4465971862196</v>
      </c>
      <c r="CR50" s="105">
        <v>1.7326710575311863</v>
      </c>
      <c r="CS50" s="105">
        <v>488.61323822379455</v>
      </c>
      <c r="CT50" s="105">
        <v>12.016080596738769</v>
      </c>
      <c r="CU50" s="105">
        <v>3388.5347282803327</v>
      </c>
    </row>
    <row r="51" spans="2:99" x14ac:dyDescent="0.25">
      <c r="C51" s="104" t="s">
        <v>216</v>
      </c>
      <c r="D51" s="105">
        <v>0</v>
      </c>
      <c r="E51" s="105">
        <v>0</v>
      </c>
      <c r="F51" s="105">
        <v>0</v>
      </c>
      <c r="G51" s="105">
        <v>0</v>
      </c>
      <c r="H51" s="105">
        <v>2</v>
      </c>
      <c r="I51" s="105">
        <v>1708.8</v>
      </c>
      <c r="J51" s="105">
        <v>3</v>
      </c>
      <c r="K51" s="105">
        <v>2563.1999999999998</v>
      </c>
      <c r="L51" s="105">
        <v>5</v>
      </c>
      <c r="M51" s="105">
        <v>4272</v>
      </c>
      <c r="N51" s="105">
        <v>5</v>
      </c>
      <c r="O51" s="105">
        <v>4272</v>
      </c>
      <c r="P51" s="105">
        <v>4</v>
      </c>
      <c r="Q51" s="105">
        <v>3417.6</v>
      </c>
      <c r="R51" s="105">
        <v>4</v>
      </c>
      <c r="S51" s="105">
        <v>3417.6</v>
      </c>
      <c r="T51" s="105">
        <v>5</v>
      </c>
      <c r="U51" s="105">
        <v>4272</v>
      </c>
      <c r="V51" s="105">
        <v>5</v>
      </c>
      <c r="W51" s="105">
        <v>4272</v>
      </c>
      <c r="X51" s="105">
        <v>4</v>
      </c>
      <c r="Y51" s="105">
        <v>3417.6</v>
      </c>
      <c r="Z51" s="105">
        <v>3</v>
      </c>
      <c r="AA51" s="105">
        <v>2563.1999999999998</v>
      </c>
      <c r="AB51" s="105">
        <v>5</v>
      </c>
      <c r="AC51" s="105">
        <v>4272</v>
      </c>
      <c r="AD51" s="105">
        <v>7</v>
      </c>
      <c r="AE51" s="105">
        <v>5980.8</v>
      </c>
      <c r="AF51" s="105">
        <v>6</v>
      </c>
      <c r="AG51" s="105">
        <v>5126.3999999999996</v>
      </c>
      <c r="AH51" s="105">
        <v>5</v>
      </c>
      <c r="AI51" s="105">
        <v>4272</v>
      </c>
      <c r="AJ51" s="105">
        <v>5</v>
      </c>
      <c r="AK51" s="105">
        <v>4272</v>
      </c>
      <c r="AL51" s="105">
        <v>8</v>
      </c>
      <c r="AM51" s="105">
        <v>6835.2</v>
      </c>
      <c r="AN51" s="105">
        <v>5</v>
      </c>
      <c r="AO51" s="105">
        <v>4272</v>
      </c>
      <c r="AP51" s="105">
        <v>9</v>
      </c>
      <c r="AQ51" s="105">
        <v>7689.5999999999995</v>
      </c>
      <c r="AR51" s="105">
        <v>8</v>
      </c>
      <c r="AS51" s="105">
        <v>6835.2</v>
      </c>
      <c r="AT51" s="105">
        <v>9</v>
      </c>
      <c r="AU51" s="105">
        <v>7689.5999999999995</v>
      </c>
      <c r="AV51" s="105">
        <v>10</v>
      </c>
      <c r="AW51" s="105">
        <v>8544</v>
      </c>
      <c r="AX51" s="105">
        <v>11</v>
      </c>
      <c r="AY51" s="105">
        <v>9398.4</v>
      </c>
      <c r="AZ51" s="105">
        <v>13</v>
      </c>
      <c r="BA51" s="105">
        <v>11107.199999999999</v>
      </c>
      <c r="BB51" s="105">
        <v>9</v>
      </c>
      <c r="BC51" s="105">
        <v>7689.5999999999995</v>
      </c>
      <c r="BD51" s="105">
        <v>12</v>
      </c>
      <c r="BE51" s="105">
        <v>10252.799999999999</v>
      </c>
      <c r="BF51" s="105">
        <v>9</v>
      </c>
      <c r="BG51" s="105">
        <v>7689.5999999999995</v>
      </c>
      <c r="BH51" s="105">
        <v>19</v>
      </c>
      <c r="BI51" s="105">
        <v>16233.6</v>
      </c>
      <c r="BJ51" s="105">
        <v>11</v>
      </c>
      <c r="BK51" s="105">
        <v>9398.4</v>
      </c>
      <c r="BL51" s="105">
        <v>19</v>
      </c>
      <c r="BM51" s="105">
        <v>16233.6</v>
      </c>
      <c r="BN51" s="105">
        <v>14</v>
      </c>
      <c r="BO51" s="105">
        <v>11961.6</v>
      </c>
      <c r="BP51" s="105">
        <v>22</v>
      </c>
      <c r="BQ51" s="105">
        <v>18796.8</v>
      </c>
      <c r="BR51" s="105">
        <v>2.2077158901073992</v>
      </c>
      <c r="BS51" s="105">
        <v>1886.2724565077619</v>
      </c>
      <c r="BT51" s="105">
        <v>10.181413747557365</v>
      </c>
      <c r="BU51" s="105">
        <v>8698.9999059130114</v>
      </c>
      <c r="BV51" s="105">
        <v>26</v>
      </c>
      <c r="BW51" s="105">
        <v>22214.399999999998</v>
      </c>
      <c r="BX51" s="105">
        <v>13.140969511197984</v>
      </c>
      <c r="BY51" s="105">
        <v>11227.644350367556</v>
      </c>
      <c r="BZ51" s="105">
        <v>1.8254898660254211</v>
      </c>
      <c r="CA51" s="105">
        <v>1559.6985415321196</v>
      </c>
      <c r="CB51" s="105">
        <v>23.425545758794211</v>
      </c>
      <c r="CC51" s="105">
        <v>20014.786296313774</v>
      </c>
      <c r="CD51" s="105">
        <v>14.166945254660376</v>
      </c>
      <c r="CE51" s="105">
        <v>12104.238025581826</v>
      </c>
      <c r="CF51" s="105">
        <v>0.97871052631578981</v>
      </c>
      <c r="CG51" s="105">
        <v>836.21027368421073</v>
      </c>
      <c r="CH51" s="105">
        <v>11.826402050777602</v>
      </c>
      <c r="CI51" s="105">
        <v>10104.477912184384</v>
      </c>
      <c r="CJ51" s="105">
        <v>7.0124694782339043</v>
      </c>
      <c r="CK51" s="105">
        <v>5991.453922203048</v>
      </c>
      <c r="CL51" s="105">
        <v>27.468270607407845</v>
      </c>
      <c r="CM51" s="105">
        <v>23468.890406969262</v>
      </c>
      <c r="CN51" s="105">
        <v>17.155934265317438</v>
      </c>
      <c r="CO51" s="105">
        <v>14658.030236287219</v>
      </c>
      <c r="CP51" s="105">
        <v>8.1598282037988437</v>
      </c>
      <c r="CQ51" s="105">
        <v>6971.7572173257322</v>
      </c>
      <c r="CR51" s="105">
        <v>1.6642761473654817</v>
      </c>
      <c r="CS51" s="105">
        <v>1421.9575403090676</v>
      </c>
      <c r="CT51" s="105">
        <v>9.2490880640433009</v>
      </c>
      <c r="CU51" s="105">
        <v>7902.4208419185961</v>
      </c>
    </row>
    <row r="52" spans="2:99" x14ac:dyDescent="0.25">
      <c r="C52" s="104" t="s">
        <v>217</v>
      </c>
      <c r="D52" s="105">
        <v>0</v>
      </c>
      <c r="E52" s="105">
        <v>0</v>
      </c>
      <c r="F52" s="105">
        <v>0</v>
      </c>
      <c r="G52" s="105">
        <v>0</v>
      </c>
      <c r="H52" s="105">
        <v>2</v>
      </c>
      <c r="I52" s="105">
        <v>1080</v>
      </c>
      <c r="J52" s="105">
        <v>3</v>
      </c>
      <c r="K52" s="105">
        <v>1620</v>
      </c>
      <c r="L52" s="105">
        <v>6</v>
      </c>
      <c r="M52" s="105">
        <v>3240</v>
      </c>
      <c r="N52" s="105">
        <v>5</v>
      </c>
      <c r="O52" s="105">
        <v>2700</v>
      </c>
      <c r="P52" s="105">
        <v>4</v>
      </c>
      <c r="Q52" s="105">
        <v>2160</v>
      </c>
      <c r="R52" s="105">
        <v>5</v>
      </c>
      <c r="S52" s="105">
        <v>2700</v>
      </c>
      <c r="T52" s="105">
        <v>5</v>
      </c>
      <c r="U52" s="105">
        <v>2700</v>
      </c>
      <c r="V52" s="105">
        <v>5</v>
      </c>
      <c r="W52" s="105">
        <v>2700</v>
      </c>
      <c r="X52" s="105">
        <v>4</v>
      </c>
      <c r="Y52" s="105">
        <v>2160</v>
      </c>
      <c r="Z52" s="105">
        <v>4</v>
      </c>
      <c r="AA52" s="105">
        <v>2160</v>
      </c>
      <c r="AB52" s="105">
        <v>5</v>
      </c>
      <c r="AC52" s="105">
        <v>2700</v>
      </c>
      <c r="AD52" s="105">
        <v>8</v>
      </c>
      <c r="AE52" s="105">
        <v>4320</v>
      </c>
      <c r="AF52" s="105">
        <v>7</v>
      </c>
      <c r="AG52" s="105">
        <v>3780</v>
      </c>
      <c r="AH52" s="105">
        <v>4</v>
      </c>
      <c r="AI52" s="105">
        <v>2160</v>
      </c>
      <c r="AJ52" s="105">
        <v>5</v>
      </c>
      <c r="AK52" s="105">
        <v>2700</v>
      </c>
      <c r="AL52" s="105">
        <v>9</v>
      </c>
      <c r="AM52" s="105">
        <v>4860</v>
      </c>
      <c r="AN52" s="105">
        <v>5</v>
      </c>
      <c r="AO52" s="105">
        <v>2700</v>
      </c>
      <c r="AP52" s="105">
        <v>9</v>
      </c>
      <c r="AQ52" s="105">
        <v>4860</v>
      </c>
      <c r="AR52" s="105">
        <v>7</v>
      </c>
      <c r="AS52" s="105">
        <v>3780</v>
      </c>
      <c r="AT52" s="105">
        <v>9</v>
      </c>
      <c r="AU52" s="105">
        <v>4860</v>
      </c>
      <c r="AV52" s="105">
        <v>12</v>
      </c>
      <c r="AW52" s="105">
        <v>6480</v>
      </c>
      <c r="AX52" s="105">
        <v>11</v>
      </c>
      <c r="AY52" s="105">
        <v>5940</v>
      </c>
      <c r="AZ52" s="105">
        <v>13</v>
      </c>
      <c r="BA52" s="105">
        <v>7020</v>
      </c>
      <c r="BB52" s="105">
        <v>9</v>
      </c>
      <c r="BC52" s="105">
        <v>4860</v>
      </c>
      <c r="BD52" s="105">
        <v>13</v>
      </c>
      <c r="BE52" s="105">
        <v>7020</v>
      </c>
      <c r="BF52" s="105">
        <v>10</v>
      </c>
      <c r="BG52" s="105">
        <v>5400</v>
      </c>
      <c r="BH52" s="105">
        <v>17</v>
      </c>
      <c r="BI52" s="105">
        <v>9180</v>
      </c>
      <c r="BJ52" s="105">
        <v>10</v>
      </c>
      <c r="BK52" s="105">
        <v>5400</v>
      </c>
      <c r="BL52" s="105">
        <v>19</v>
      </c>
      <c r="BM52" s="105">
        <v>10260</v>
      </c>
      <c r="BN52" s="105">
        <v>14</v>
      </c>
      <c r="BO52" s="105">
        <v>7560</v>
      </c>
      <c r="BP52" s="105">
        <v>23</v>
      </c>
      <c r="BQ52" s="105">
        <v>12420</v>
      </c>
      <c r="BR52" s="105">
        <v>2.7886937559251361</v>
      </c>
      <c r="BS52" s="105">
        <v>1505.8946281995736</v>
      </c>
      <c r="BT52" s="105">
        <v>10.717277629007754</v>
      </c>
      <c r="BU52" s="105">
        <v>5787.3299196641874</v>
      </c>
      <c r="BV52" s="105">
        <v>26</v>
      </c>
      <c r="BW52" s="105">
        <v>14040</v>
      </c>
      <c r="BX52" s="105">
        <v>11.757709562650827</v>
      </c>
      <c r="BY52" s="105">
        <v>6349.1631638314466</v>
      </c>
      <c r="BZ52" s="105">
        <v>1.9558819993129515</v>
      </c>
      <c r="CA52" s="105">
        <v>1056.1762796289938</v>
      </c>
      <c r="CB52" s="105">
        <v>21.961449148869576</v>
      </c>
      <c r="CC52" s="105">
        <v>11859.182540389571</v>
      </c>
      <c r="CD52" s="105">
        <v>15.313564835221417</v>
      </c>
      <c r="CE52" s="105">
        <v>8269.3250110195659</v>
      </c>
      <c r="CF52" s="105">
        <v>0.93210526315789488</v>
      </c>
      <c r="CG52" s="105">
        <v>503.33684210526326</v>
      </c>
      <c r="CH52" s="105">
        <v>14.5463215839937</v>
      </c>
      <c r="CI52" s="105">
        <v>7855.0136553565981</v>
      </c>
      <c r="CJ52" s="105">
        <v>8.4801956480968155</v>
      </c>
      <c r="CK52" s="105">
        <v>4579.3056499722807</v>
      </c>
      <c r="CL52" s="105">
        <v>34.107408475475602</v>
      </c>
      <c r="CM52" s="105">
        <v>18418.000576756825</v>
      </c>
      <c r="CN52" s="105">
        <v>20.275456498669048</v>
      </c>
      <c r="CO52" s="105">
        <v>10948.746509281285</v>
      </c>
      <c r="CP52" s="105">
        <v>9.58779813946364</v>
      </c>
      <c r="CQ52" s="105">
        <v>5177.4109953103653</v>
      </c>
      <c r="CR52" s="105">
        <v>1.5502846304226405</v>
      </c>
      <c r="CS52" s="105">
        <v>837.15370042822587</v>
      </c>
      <c r="CT52" s="105">
        <v>10.06041341485794</v>
      </c>
      <c r="CU52" s="105">
        <v>5432.623244023288</v>
      </c>
    </row>
    <row r="53" spans="2:99" x14ac:dyDescent="0.25">
      <c r="C53" s="104" t="s">
        <v>218</v>
      </c>
      <c r="D53" s="105">
        <v>0</v>
      </c>
      <c r="E53" s="105">
        <v>0</v>
      </c>
      <c r="F53" s="105">
        <v>0</v>
      </c>
      <c r="G53" s="105">
        <v>0</v>
      </c>
      <c r="H53" s="105">
        <v>3</v>
      </c>
      <c r="I53" s="105">
        <v>1220.4000000000001</v>
      </c>
      <c r="J53" s="105">
        <v>3</v>
      </c>
      <c r="K53" s="105">
        <v>1220.4000000000001</v>
      </c>
      <c r="L53" s="105">
        <v>6</v>
      </c>
      <c r="M53" s="105">
        <v>2440.8000000000002</v>
      </c>
      <c r="N53" s="105">
        <v>5</v>
      </c>
      <c r="O53" s="105">
        <v>2034</v>
      </c>
      <c r="P53" s="105">
        <v>4</v>
      </c>
      <c r="Q53" s="105">
        <v>1627.2</v>
      </c>
      <c r="R53" s="105">
        <v>5</v>
      </c>
      <c r="S53" s="105">
        <v>2034</v>
      </c>
      <c r="T53" s="105">
        <v>5</v>
      </c>
      <c r="U53" s="105">
        <v>2034</v>
      </c>
      <c r="V53" s="105">
        <v>4</v>
      </c>
      <c r="W53" s="105">
        <v>1627.2</v>
      </c>
      <c r="X53" s="105">
        <v>4</v>
      </c>
      <c r="Y53" s="105">
        <v>1627.2</v>
      </c>
      <c r="Z53" s="105">
        <v>4</v>
      </c>
      <c r="AA53" s="105">
        <v>1627.2</v>
      </c>
      <c r="AB53" s="105">
        <v>6</v>
      </c>
      <c r="AC53" s="105">
        <v>2440.8000000000002</v>
      </c>
      <c r="AD53" s="105">
        <v>7</v>
      </c>
      <c r="AE53" s="105">
        <v>2847.6</v>
      </c>
      <c r="AF53" s="105">
        <v>6</v>
      </c>
      <c r="AG53" s="105">
        <v>2440.8000000000002</v>
      </c>
      <c r="AH53" s="105">
        <v>4</v>
      </c>
      <c r="AI53" s="105">
        <v>1627.2</v>
      </c>
      <c r="AJ53" s="105">
        <v>5</v>
      </c>
      <c r="AK53" s="105">
        <v>2034</v>
      </c>
      <c r="AL53" s="105">
        <v>8</v>
      </c>
      <c r="AM53" s="105">
        <v>3254.4</v>
      </c>
      <c r="AN53" s="105">
        <v>5</v>
      </c>
      <c r="AO53" s="105">
        <v>2034</v>
      </c>
      <c r="AP53" s="105">
        <v>9</v>
      </c>
      <c r="AQ53" s="105">
        <v>3661.2000000000003</v>
      </c>
      <c r="AR53" s="105">
        <v>8</v>
      </c>
      <c r="AS53" s="105">
        <v>3254.4</v>
      </c>
      <c r="AT53" s="105">
        <v>10</v>
      </c>
      <c r="AU53" s="105">
        <v>4068</v>
      </c>
      <c r="AV53" s="105">
        <v>11</v>
      </c>
      <c r="AW53" s="105">
        <v>4474.8</v>
      </c>
      <c r="AX53" s="105">
        <v>12</v>
      </c>
      <c r="AY53" s="105">
        <v>4881.6000000000004</v>
      </c>
      <c r="AZ53" s="105">
        <v>14</v>
      </c>
      <c r="BA53" s="105">
        <v>5695.2</v>
      </c>
      <c r="BB53" s="105">
        <v>9</v>
      </c>
      <c r="BC53" s="105">
        <v>3661.2000000000003</v>
      </c>
      <c r="BD53" s="105">
        <v>14</v>
      </c>
      <c r="BE53" s="105">
        <v>5695.2</v>
      </c>
      <c r="BF53" s="105">
        <v>9</v>
      </c>
      <c r="BG53" s="105">
        <v>3661.2000000000003</v>
      </c>
      <c r="BH53" s="105">
        <v>18</v>
      </c>
      <c r="BI53" s="105">
        <v>7322.4000000000005</v>
      </c>
      <c r="BJ53" s="105">
        <v>10</v>
      </c>
      <c r="BK53" s="105">
        <v>4068</v>
      </c>
      <c r="BL53" s="105">
        <v>17</v>
      </c>
      <c r="BM53" s="105">
        <v>6915.6</v>
      </c>
      <c r="BN53" s="105">
        <v>14</v>
      </c>
      <c r="BO53" s="105">
        <v>5695.2</v>
      </c>
      <c r="BP53" s="105">
        <v>23</v>
      </c>
      <c r="BQ53" s="105">
        <v>9356.4</v>
      </c>
      <c r="BR53" s="105">
        <v>2.5563026095980415</v>
      </c>
      <c r="BS53" s="105">
        <v>1039.9039015844833</v>
      </c>
      <c r="BT53" s="105">
        <v>10.717277629007754</v>
      </c>
      <c r="BU53" s="105">
        <v>4359.7885394803543</v>
      </c>
      <c r="BV53" s="105">
        <v>28</v>
      </c>
      <c r="BW53" s="105">
        <v>11390.4</v>
      </c>
      <c r="BX53" s="105">
        <v>12.795154524061195</v>
      </c>
      <c r="BY53" s="105">
        <v>5205.0688603880944</v>
      </c>
      <c r="BZ53" s="105">
        <v>2.2818623325317766</v>
      </c>
      <c r="CA53" s="105">
        <v>928.26159687392681</v>
      </c>
      <c r="CB53" s="105">
        <v>25.621690673681169</v>
      </c>
      <c r="CC53" s="105">
        <v>10422.9037660535</v>
      </c>
      <c r="CD53" s="105">
        <v>15.197133324384872</v>
      </c>
      <c r="CE53" s="105">
        <v>6182.1938363597665</v>
      </c>
      <c r="CF53" s="105">
        <v>0.93210526315789488</v>
      </c>
      <c r="CG53" s="105">
        <v>379.18042105263163</v>
      </c>
      <c r="CH53" s="105">
        <v>13.648450130668174</v>
      </c>
      <c r="CI53" s="105">
        <v>5552.1895131558131</v>
      </c>
      <c r="CJ53" s="105">
        <v>8.3171149625564897</v>
      </c>
      <c r="CK53" s="105">
        <v>3383.4023667679803</v>
      </c>
      <c r="CL53" s="105">
        <v>35.08128645277413</v>
      </c>
      <c r="CM53" s="105">
        <v>14271.067328988516</v>
      </c>
      <c r="CN53" s="105">
        <v>18.641285545766749</v>
      </c>
      <c r="CO53" s="105">
        <v>7583.2749600179141</v>
      </c>
      <c r="CP53" s="105">
        <v>9.7917938445586117</v>
      </c>
      <c r="CQ53" s="105">
        <v>3983.3017359664432</v>
      </c>
      <c r="CR53" s="105">
        <v>1.8694608778625958</v>
      </c>
      <c r="CS53" s="105">
        <v>760.49668511450398</v>
      </c>
      <c r="CT53" s="105">
        <v>10.520160957778971</v>
      </c>
      <c r="CU53" s="105">
        <v>4279.6014776244856</v>
      </c>
    </row>
    <row r="54" spans="2:99" x14ac:dyDescent="0.25">
      <c r="C54" s="104" t="s">
        <v>219</v>
      </c>
      <c r="D54" s="105">
        <v>0</v>
      </c>
      <c r="E54" s="105">
        <v>0</v>
      </c>
      <c r="F54" s="105">
        <v>0</v>
      </c>
      <c r="G54" s="105">
        <v>0</v>
      </c>
      <c r="H54" s="105">
        <v>3</v>
      </c>
      <c r="I54" s="105">
        <v>1004.4000000000001</v>
      </c>
      <c r="J54" s="105">
        <v>3</v>
      </c>
      <c r="K54" s="105">
        <v>1004.4000000000001</v>
      </c>
      <c r="L54" s="105">
        <v>5</v>
      </c>
      <c r="M54" s="105">
        <v>1674</v>
      </c>
      <c r="N54" s="105">
        <v>5</v>
      </c>
      <c r="O54" s="105">
        <v>1674</v>
      </c>
      <c r="P54" s="105">
        <v>4</v>
      </c>
      <c r="Q54" s="105">
        <v>1339.2</v>
      </c>
      <c r="R54" s="105">
        <v>5</v>
      </c>
      <c r="S54" s="105">
        <v>1674</v>
      </c>
      <c r="T54" s="105">
        <v>5</v>
      </c>
      <c r="U54" s="105">
        <v>1674</v>
      </c>
      <c r="V54" s="105">
        <v>5</v>
      </c>
      <c r="W54" s="105">
        <v>1674</v>
      </c>
      <c r="X54" s="105">
        <v>5</v>
      </c>
      <c r="Y54" s="105">
        <v>1674</v>
      </c>
      <c r="Z54" s="105">
        <v>3</v>
      </c>
      <c r="AA54" s="105">
        <v>1004.4000000000001</v>
      </c>
      <c r="AB54" s="105">
        <v>5</v>
      </c>
      <c r="AC54" s="105">
        <v>1674</v>
      </c>
      <c r="AD54" s="105">
        <v>8</v>
      </c>
      <c r="AE54" s="105">
        <v>2678.4</v>
      </c>
      <c r="AF54" s="105">
        <v>6</v>
      </c>
      <c r="AG54" s="105">
        <v>2008.8000000000002</v>
      </c>
      <c r="AH54" s="105">
        <v>5</v>
      </c>
      <c r="AI54" s="105">
        <v>1674</v>
      </c>
      <c r="AJ54" s="105">
        <v>5</v>
      </c>
      <c r="AK54" s="105">
        <v>1674</v>
      </c>
      <c r="AL54" s="105">
        <v>9</v>
      </c>
      <c r="AM54" s="105">
        <v>3013.2000000000003</v>
      </c>
      <c r="AN54" s="105">
        <v>5</v>
      </c>
      <c r="AO54" s="105">
        <v>1674</v>
      </c>
      <c r="AP54" s="105">
        <v>9</v>
      </c>
      <c r="AQ54" s="105">
        <v>3013.2000000000003</v>
      </c>
      <c r="AR54" s="105">
        <v>7</v>
      </c>
      <c r="AS54" s="105">
        <v>2343.6</v>
      </c>
      <c r="AT54" s="105">
        <v>10</v>
      </c>
      <c r="AU54" s="105">
        <v>3348</v>
      </c>
      <c r="AV54" s="105">
        <v>12</v>
      </c>
      <c r="AW54" s="105">
        <v>4017.6000000000004</v>
      </c>
      <c r="AX54" s="105">
        <v>11</v>
      </c>
      <c r="AY54" s="105">
        <v>3682.8</v>
      </c>
      <c r="AZ54" s="105">
        <v>15</v>
      </c>
      <c r="BA54" s="105">
        <v>5022</v>
      </c>
      <c r="BB54" s="105">
        <v>9</v>
      </c>
      <c r="BC54" s="105">
        <v>3013.2000000000003</v>
      </c>
      <c r="BD54" s="105">
        <v>14</v>
      </c>
      <c r="BE54" s="105">
        <v>4687.2</v>
      </c>
      <c r="BF54" s="105">
        <v>9</v>
      </c>
      <c r="BG54" s="105">
        <v>3013.2000000000003</v>
      </c>
      <c r="BH54" s="105">
        <v>17</v>
      </c>
      <c r="BI54" s="105">
        <v>5691.6</v>
      </c>
      <c r="BJ54" s="105">
        <v>11</v>
      </c>
      <c r="BK54" s="105">
        <v>3682.8</v>
      </c>
      <c r="BL54" s="105">
        <v>18</v>
      </c>
      <c r="BM54" s="105">
        <v>6026.4000000000005</v>
      </c>
      <c r="BN54" s="105">
        <v>16</v>
      </c>
      <c r="BO54" s="105">
        <v>5356.8</v>
      </c>
      <c r="BP54" s="105">
        <v>25</v>
      </c>
      <c r="BQ54" s="105">
        <v>8370</v>
      </c>
      <c r="BR54" s="105">
        <v>2.7886937559251361</v>
      </c>
      <c r="BS54" s="105">
        <v>933.65466948373557</v>
      </c>
      <c r="BT54" s="105">
        <v>10.717277629007754</v>
      </c>
      <c r="BU54" s="105">
        <v>3588.144550191796</v>
      </c>
      <c r="BV54" s="105">
        <v>25</v>
      </c>
      <c r="BW54" s="105">
        <v>8370</v>
      </c>
      <c r="BX54" s="105">
        <v>12.103524549787616</v>
      </c>
      <c r="BY54" s="105">
        <v>4052.2600192688942</v>
      </c>
      <c r="BZ54" s="105">
        <v>2.0862741326004812</v>
      </c>
      <c r="CA54" s="105">
        <v>698.4845795946411</v>
      </c>
      <c r="CB54" s="105">
        <v>23.425545758794211</v>
      </c>
      <c r="CC54" s="105">
        <v>7842.8727200443018</v>
      </c>
      <c r="CD54" s="105">
        <v>16.039167385316592</v>
      </c>
      <c r="CE54" s="105">
        <v>5369.9132406039953</v>
      </c>
      <c r="CF54" s="105">
        <v>1.0952236842105265</v>
      </c>
      <c r="CG54" s="105">
        <v>366.68088947368432</v>
      </c>
      <c r="CH54" s="105">
        <v>14.100204268749458</v>
      </c>
      <c r="CI54" s="105">
        <v>4720.748389177319</v>
      </c>
      <c r="CJ54" s="105">
        <v>8.6432763336371377</v>
      </c>
      <c r="CK54" s="105">
        <v>2893.7689165017136</v>
      </c>
      <c r="CL54" s="105">
        <v>31.031309035766352</v>
      </c>
      <c r="CM54" s="105">
        <v>10389.282265174576</v>
      </c>
      <c r="CN54" s="105">
        <v>20.853570747540793</v>
      </c>
      <c r="CO54" s="105">
        <v>6981.7754862766578</v>
      </c>
      <c r="CP54" s="105">
        <v>10.199785254748553</v>
      </c>
      <c r="CQ54" s="105">
        <v>3414.8881032898157</v>
      </c>
      <c r="CR54" s="105">
        <v>1.7782676643083228</v>
      </c>
      <c r="CS54" s="105">
        <v>595.36401401042656</v>
      </c>
      <c r="CT54" s="105">
        <v>10.51938756912722</v>
      </c>
      <c r="CU54" s="105">
        <v>3521.8909581437933</v>
      </c>
    </row>
    <row r="55" spans="2:99" x14ac:dyDescent="0.25">
      <c r="C55" s="104" t="s">
        <v>220</v>
      </c>
      <c r="D55" s="105">
        <v>0</v>
      </c>
      <c r="E55" s="105">
        <v>0</v>
      </c>
      <c r="F55" s="105">
        <v>0</v>
      </c>
      <c r="G55" s="105">
        <v>0</v>
      </c>
      <c r="H55" s="105">
        <v>3</v>
      </c>
      <c r="I55" s="105">
        <v>1990.8000000000002</v>
      </c>
      <c r="J55" s="105">
        <v>3</v>
      </c>
      <c r="K55" s="105">
        <v>1990.8000000000002</v>
      </c>
      <c r="L55" s="105">
        <v>5</v>
      </c>
      <c r="M55" s="105">
        <v>3318</v>
      </c>
      <c r="N55" s="105">
        <v>5</v>
      </c>
      <c r="O55" s="105">
        <v>3318</v>
      </c>
      <c r="P55" s="105">
        <v>4</v>
      </c>
      <c r="Q55" s="105">
        <v>2654.4</v>
      </c>
      <c r="R55" s="105">
        <v>4</v>
      </c>
      <c r="S55" s="105">
        <v>2654.4</v>
      </c>
      <c r="T55" s="105">
        <v>5</v>
      </c>
      <c r="U55" s="105">
        <v>3318</v>
      </c>
      <c r="V55" s="105">
        <v>5</v>
      </c>
      <c r="W55" s="105">
        <v>3318</v>
      </c>
      <c r="X55" s="105">
        <v>4</v>
      </c>
      <c r="Y55" s="105">
        <v>2654.4</v>
      </c>
      <c r="Z55" s="105">
        <v>3</v>
      </c>
      <c r="AA55" s="105">
        <v>1990.8000000000002</v>
      </c>
      <c r="AB55" s="105">
        <v>5</v>
      </c>
      <c r="AC55" s="105">
        <v>3318</v>
      </c>
      <c r="AD55" s="105">
        <v>7</v>
      </c>
      <c r="AE55" s="105">
        <v>4645.2</v>
      </c>
      <c r="AF55" s="105">
        <v>7</v>
      </c>
      <c r="AG55" s="105">
        <v>4645.2</v>
      </c>
      <c r="AH55" s="105">
        <v>5</v>
      </c>
      <c r="AI55" s="105">
        <v>3318</v>
      </c>
      <c r="AJ55" s="105">
        <v>5</v>
      </c>
      <c r="AK55" s="105">
        <v>3318</v>
      </c>
      <c r="AL55" s="105">
        <v>8</v>
      </c>
      <c r="AM55" s="105">
        <v>5308.8</v>
      </c>
      <c r="AN55" s="105">
        <v>5</v>
      </c>
      <c r="AO55" s="105">
        <v>3318</v>
      </c>
      <c r="AP55" s="105">
        <v>8</v>
      </c>
      <c r="AQ55" s="105">
        <v>5308.8</v>
      </c>
      <c r="AR55" s="105">
        <v>7</v>
      </c>
      <c r="AS55" s="105">
        <v>4645.2</v>
      </c>
      <c r="AT55" s="105">
        <v>8</v>
      </c>
      <c r="AU55" s="105">
        <v>5308.8</v>
      </c>
      <c r="AV55" s="105">
        <v>12</v>
      </c>
      <c r="AW55" s="105">
        <v>7963.2000000000007</v>
      </c>
      <c r="AX55" s="105">
        <v>12</v>
      </c>
      <c r="AY55" s="105">
        <v>7963.2000000000007</v>
      </c>
      <c r="AZ55" s="105">
        <v>14</v>
      </c>
      <c r="BA55" s="105">
        <v>9290.4</v>
      </c>
      <c r="BB55" s="105">
        <v>8</v>
      </c>
      <c r="BC55" s="105">
        <v>5308.8</v>
      </c>
      <c r="BD55" s="105">
        <v>12</v>
      </c>
      <c r="BE55" s="105">
        <v>7963.2000000000007</v>
      </c>
      <c r="BF55" s="105">
        <v>9</v>
      </c>
      <c r="BG55" s="105">
        <v>5972.4000000000005</v>
      </c>
      <c r="BH55" s="105">
        <v>18</v>
      </c>
      <c r="BI55" s="105">
        <v>11944.800000000001</v>
      </c>
      <c r="BJ55" s="105">
        <v>10</v>
      </c>
      <c r="BK55" s="105">
        <v>6636</v>
      </c>
      <c r="BL55" s="105">
        <v>17</v>
      </c>
      <c r="BM55" s="105">
        <v>11281.2</v>
      </c>
      <c r="BN55" s="105">
        <v>13</v>
      </c>
      <c r="BO55" s="105">
        <v>8626.8000000000011</v>
      </c>
      <c r="BP55" s="105">
        <v>20</v>
      </c>
      <c r="BQ55" s="105">
        <v>13272</v>
      </c>
      <c r="BR55" s="105">
        <v>2.3239114632709468</v>
      </c>
      <c r="BS55" s="105">
        <v>1542.1476470266002</v>
      </c>
      <c r="BT55" s="105">
        <v>9.6455498661069772</v>
      </c>
      <c r="BU55" s="105">
        <v>6400.7868911485903</v>
      </c>
      <c r="BV55" s="105">
        <v>26</v>
      </c>
      <c r="BW55" s="105">
        <v>17253.600000000002</v>
      </c>
      <c r="BX55" s="105">
        <v>13.140969511197984</v>
      </c>
      <c r="BY55" s="105">
        <v>8720.3473676309823</v>
      </c>
      <c r="BZ55" s="105">
        <v>2.1514701992442467</v>
      </c>
      <c r="CA55" s="105">
        <v>1427.7156242184822</v>
      </c>
      <c r="CB55" s="105">
        <v>21.961449148869576</v>
      </c>
      <c r="CC55" s="105">
        <v>14573.617655189852</v>
      </c>
      <c r="CD55" s="105">
        <v>15.138917568966599</v>
      </c>
      <c r="CE55" s="105">
        <v>10046.185698766236</v>
      </c>
      <c r="CF55" s="105">
        <v>1.0020131578947371</v>
      </c>
      <c r="CG55" s="105">
        <v>664.93593157894759</v>
      </c>
      <c r="CH55" s="105">
        <v>13.640934366885455</v>
      </c>
      <c r="CI55" s="105">
        <v>9052.1240458651882</v>
      </c>
      <c r="CJ55" s="105">
        <v>8.4801956480968155</v>
      </c>
      <c r="CK55" s="105">
        <v>5627.457832077047</v>
      </c>
      <c r="CL55" s="105">
        <v>29.551183881341856</v>
      </c>
      <c r="CM55" s="105">
        <v>19610.165623658457</v>
      </c>
      <c r="CN55" s="105">
        <v>19.784633064767018</v>
      </c>
      <c r="CO55" s="105">
        <v>13129.082501779394</v>
      </c>
      <c r="CP55" s="105">
        <v>8.4658217614412994</v>
      </c>
      <c r="CQ55" s="105">
        <v>5617.9193208924462</v>
      </c>
      <c r="CR55" s="105">
        <v>1.5274863270340722</v>
      </c>
      <c r="CS55" s="105">
        <v>1013.6399266198104</v>
      </c>
      <c r="CT55" s="105">
        <v>10.403483947582272</v>
      </c>
      <c r="CU55" s="105">
        <v>6903.7519476155958</v>
      </c>
    </row>
    <row r="56" spans="2:99" x14ac:dyDescent="0.25">
      <c r="C56" s="104" t="s">
        <v>221</v>
      </c>
      <c r="D56" s="105">
        <v>0</v>
      </c>
      <c r="E56" s="105">
        <v>0</v>
      </c>
      <c r="F56" s="105">
        <v>0</v>
      </c>
      <c r="G56" s="105">
        <v>0</v>
      </c>
      <c r="H56" s="105">
        <v>2</v>
      </c>
      <c r="I56" s="105">
        <v>2301.6</v>
      </c>
      <c r="J56" s="105">
        <v>3</v>
      </c>
      <c r="K56" s="105">
        <v>3452.3999999999996</v>
      </c>
      <c r="L56" s="105">
        <v>5</v>
      </c>
      <c r="M56" s="105">
        <v>5754</v>
      </c>
      <c r="N56" s="105">
        <v>4</v>
      </c>
      <c r="O56" s="105">
        <v>4603.2</v>
      </c>
      <c r="P56" s="105">
        <v>4</v>
      </c>
      <c r="Q56" s="105">
        <v>4603.2</v>
      </c>
      <c r="R56" s="105">
        <v>5</v>
      </c>
      <c r="S56" s="105">
        <v>5754</v>
      </c>
      <c r="T56" s="105">
        <v>5</v>
      </c>
      <c r="U56" s="105">
        <v>5754</v>
      </c>
      <c r="V56" s="105">
        <v>4</v>
      </c>
      <c r="W56" s="105">
        <v>4603.2</v>
      </c>
      <c r="X56" s="105">
        <v>4</v>
      </c>
      <c r="Y56" s="105">
        <v>4603.2</v>
      </c>
      <c r="Z56" s="105">
        <v>3</v>
      </c>
      <c r="AA56" s="105">
        <v>3452.3999999999996</v>
      </c>
      <c r="AB56" s="105">
        <v>5</v>
      </c>
      <c r="AC56" s="105">
        <v>5754</v>
      </c>
      <c r="AD56" s="105">
        <v>7</v>
      </c>
      <c r="AE56" s="105">
        <v>8055.5999999999995</v>
      </c>
      <c r="AF56" s="105">
        <v>6</v>
      </c>
      <c r="AG56" s="105">
        <v>6904.7999999999993</v>
      </c>
      <c r="AH56" s="105">
        <v>5</v>
      </c>
      <c r="AI56" s="105">
        <v>5754</v>
      </c>
      <c r="AJ56" s="105">
        <v>5</v>
      </c>
      <c r="AK56" s="105">
        <v>5754</v>
      </c>
      <c r="AL56" s="105">
        <v>8</v>
      </c>
      <c r="AM56" s="105">
        <v>9206.4</v>
      </c>
      <c r="AN56" s="105">
        <v>5</v>
      </c>
      <c r="AO56" s="105">
        <v>5754</v>
      </c>
      <c r="AP56" s="105">
        <v>9</v>
      </c>
      <c r="AQ56" s="105">
        <v>10357.199999999999</v>
      </c>
      <c r="AR56" s="105">
        <v>7</v>
      </c>
      <c r="AS56" s="105">
        <v>8055.5999999999995</v>
      </c>
      <c r="AT56" s="105">
        <v>10</v>
      </c>
      <c r="AU56" s="105">
        <v>11508</v>
      </c>
      <c r="AV56" s="105">
        <v>11</v>
      </c>
      <c r="AW56" s="105">
        <v>12658.8</v>
      </c>
      <c r="AX56" s="105">
        <v>10</v>
      </c>
      <c r="AY56" s="105">
        <v>11508</v>
      </c>
      <c r="AZ56" s="105">
        <v>11</v>
      </c>
      <c r="BA56" s="105">
        <v>12658.8</v>
      </c>
      <c r="BB56" s="105">
        <v>8</v>
      </c>
      <c r="BC56" s="105">
        <v>9206.4</v>
      </c>
      <c r="BD56" s="105">
        <v>13</v>
      </c>
      <c r="BE56" s="105">
        <v>14960.4</v>
      </c>
      <c r="BF56" s="105">
        <v>9</v>
      </c>
      <c r="BG56" s="105">
        <v>10357.199999999999</v>
      </c>
      <c r="BH56" s="105">
        <v>6.0497598073733378</v>
      </c>
      <c r="BI56" s="105">
        <v>6962.0635863252373</v>
      </c>
      <c r="BJ56" s="105">
        <v>10</v>
      </c>
      <c r="BK56" s="105">
        <v>11508</v>
      </c>
      <c r="BL56" s="105">
        <v>17</v>
      </c>
      <c r="BM56" s="105">
        <v>19563.599999999999</v>
      </c>
      <c r="BN56" s="105">
        <v>8.8843931454204359</v>
      </c>
      <c r="BO56" s="105">
        <v>10224.159631749837</v>
      </c>
      <c r="BP56" s="105">
        <v>20</v>
      </c>
      <c r="BQ56" s="105">
        <v>23016</v>
      </c>
      <c r="BR56" s="105">
        <v>0.98716435092295485</v>
      </c>
      <c r="BS56" s="105">
        <v>1136.0287350421363</v>
      </c>
      <c r="BT56" s="105">
        <v>12.424625413086584</v>
      </c>
      <c r="BU56" s="105">
        <v>14298.258925380042</v>
      </c>
      <c r="BV56" s="105">
        <v>15.43519567107256</v>
      </c>
      <c r="BW56" s="105">
        <v>17762.823178270301</v>
      </c>
      <c r="BX56" s="105">
        <v>14.165892587939702</v>
      </c>
      <c r="BY56" s="105">
        <v>16302.109190201008</v>
      </c>
      <c r="BZ56" s="105">
        <v>1.6065340909090919</v>
      </c>
      <c r="CA56" s="105">
        <v>1848.7994318181829</v>
      </c>
      <c r="CB56" s="105">
        <v>11.856207695235925</v>
      </c>
      <c r="CC56" s="105">
        <v>13644.123815677502</v>
      </c>
      <c r="CD56" s="105">
        <v>2.7750181305398876</v>
      </c>
      <c r="CE56" s="105">
        <v>3193.4908646253025</v>
      </c>
      <c r="CF56" s="105">
        <v>0.86719622907955762</v>
      </c>
      <c r="CG56" s="105">
        <v>997.96942042475484</v>
      </c>
      <c r="CH56" s="105">
        <v>15.138779483603873</v>
      </c>
      <c r="CI56" s="105">
        <v>17421.707429731337</v>
      </c>
      <c r="CJ56" s="105">
        <v>11.032819131154641</v>
      </c>
      <c r="CK56" s="105">
        <v>12696.568256132759</v>
      </c>
      <c r="CL56" s="105">
        <v>32.547588313310051</v>
      </c>
      <c r="CM56" s="105">
        <v>37455.764630957208</v>
      </c>
      <c r="CN56" s="105">
        <v>1.9658004558314999</v>
      </c>
      <c r="CO56" s="105">
        <v>2262.2431645708898</v>
      </c>
      <c r="CP56" s="105">
        <v>13.884330529709707</v>
      </c>
      <c r="CQ56" s="105">
        <v>15978.08757358993</v>
      </c>
      <c r="CR56" s="105">
        <v>10.372550451647456</v>
      </c>
      <c r="CS56" s="105">
        <v>11936.731059755892</v>
      </c>
      <c r="CT56" s="105">
        <v>2.6617051486199581</v>
      </c>
      <c r="CU56" s="105">
        <v>3063.0902850318475</v>
      </c>
    </row>
    <row r="57" spans="2:99" x14ac:dyDescent="0.25">
      <c r="C57" s="104" t="s">
        <v>222</v>
      </c>
      <c r="D57" s="105">
        <v>0</v>
      </c>
      <c r="E57" s="105">
        <v>0</v>
      </c>
      <c r="F57" s="105">
        <v>0</v>
      </c>
      <c r="G57" s="105">
        <v>0</v>
      </c>
      <c r="H57" s="105">
        <v>2</v>
      </c>
      <c r="I57" s="105">
        <v>2822.4</v>
      </c>
      <c r="J57" s="105">
        <v>3</v>
      </c>
      <c r="K57" s="105">
        <v>4233.6000000000004</v>
      </c>
      <c r="L57" s="105">
        <v>5</v>
      </c>
      <c r="M57" s="105">
        <v>7056</v>
      </c>
      <c r="N57" s="105">
        <v>4</v>
      </c>
      <c r="O57" s="105">
        <v>5644.8</v>
      </c>
      <c r="P57" s="105">
        <v>4</v>
      </c>
      <c r="Q57" s="105">
        <v>5644.8</v>
      </c>
      <c r="R57" s="105">
        <v>4</v>
      </c>
      <c r="S57" s="105">
        <v>5644.8</v>
      </c>
      <c r="T57" s="105">
        <v>5</v>
      </c>
      <c r="U57" s="105">
        <v>7056</v>
      </c>
      <c r="V57" s="105">
        <v>4</v>
      </c>
      <c r="W57" s="105">
        <v>5644.8</v>
      </c>
      <c r="X57" s="105">
        <v>4</v>
      </c>
      <c r="Y57" s="105">
        <v>5644.8</v>
      </c>
      <c r="Z57" s="105">
        <v>4</v>
      </c>
      <c r="AA57" s="105">
        <v>5644.8</v>
      </c>
      <c r="AB57" s="105">
        <v>5</v>
      </c>
      <c r="AC57" s="105">
        <v>7056</v>
      </c>
      <c r="AD57" s="105">
        <v>7</v>
      </c>
      <c r="AE57" s="105">
        <v>9878.4</v>
      </c>
      <c r="AF57" s="105">
        <v>5</v>
      </c>
      <c r="AG57" s="105">
        <v>7056</v>
      </c>
      <c r="AH57" s="105">
        <v>4</v>
      </c>
      <c r="AI57" s="105">
        <v>5644.8</v>
      </c>
      <c r="AJ57" s="105">
        <v>5</v>
      </c>
      <c r="AK57" s="105">
        <v>7056</v>
      </c>
      <c r="AL57" s="105">
        <v>9</v>
      </c>
      <c r="AM57" s="105">
        <v>12700.800000000001</v>
      </c>
      <c r="AN57" s="105">
        <v>5</v>
      </c>
      <c r="AO57" s="105">
        <v>7056</v>
      </c>
      <c r="AP57" s="105">
        <v>8</v>
      </c>
      <c r="AQ57" s="105">
        <v>11289.6</v>
      </c>
      <c r="AR57" s="105">
        <v>7</v>
      </c>
      <c r="AS57" s="105">
        <v>9878.4</v>
      </c>
      <c r="AT57" s="105">
        <v>9</v>
      </c>
      <c r="AU57" s="105">
        <v>12700.800000000001</v>
      </c>
      <c r="AV57" s="105">
        <v>10</v>
      </c>
      <c r="AW57" s="105">
        <v>14112</v>
      </c>
      <c r="AX57" s="105">
        <v>11</v>
      </c>
      <c r="AY57" s="105">
        <v>15523.2</v>
      </c>
      <c r="AZ57" s="105">
        <v>13</v>
      </c>
      <c r="BA57" s="105">
        <v>18345.600000000002</v>
      </c>
      <c r="BB57" s="105">
        <v>8</v>
      </c>
      <c r="BC57" s="105">
        <v>11289.6</v>
      </c>
      <c r="BD57" s="105">
        <v>13</v>
      </c>
      <c r="BE57" s="105">
        <v>18345.600000000002</v>
      </c>
      <c r="BF57" s="105">
        <v>8</v>
      </c>
      <c r="BG57" s="105">
        <v>11289.6</v>
      </c>
      <c r="BH57" s="105">
        <v>18</v>
      </c>
      <c r="BI57" s="105">
        <v>25401.600000000002</v>
      </c>
      <c r="BJ57" s="105">
        <v>9</v>
      </c>
      <c r="BK57" s="105">
        <v>12700.800000000001</v>
      </c>
      <c r="BL57" s="105">
        <v>16</v>
      </c>
      <c r="BM57" s="105">
        <v>22579.200000000001</v>
      </c>
      <c r="BN57" s="105">
        <v>13</v>
      </c>
      <c r="BO57" s="105">
        <v>18345.600000000002</v>
      </c>
      <c r="BP57" s="105">
        <v>21</v>
      </c>
      <c r="BQ57" s="105">
        <v>29635.200000000001</v>
      </c>
      <c r="BR57" s="105">
        <v>2.2077158901073992</v>
      </c>
      <c r="BS57" s="105">
        <v>3115.5286641195617</v>
      </c>
      <c r="BT57" s="105">
        <v>8.5738221032062025</v>
      </c>
      <c r="BU57" s="105">
        <v>12099.377752044593</v>
      </c>
      <c r="BV57" s="105">
        <v>26</v>
      </c>
      <c r="BW57" s="105">
        <v>36691.200000000004</v>
      </c>
      <c r="BX57" s="105">
        <v>10.72026460124046</v>
      </c>
      <c r="BY57" s="105">
        <v>15128.437405270539</v>
      </c>
      <c r="BZ57" s="105">
        <v>1.6950977327378911</v>
      </c>
      <c r="CA57" s="105">
        <v>2392.1219204397121</v>
      </c>
      <c r="CB57" s="105">
        <v>20.497352538944938</v>
      </c>
      <c r="CC57" s="105">
        <v>28925.863902959096</v>
      </c>
      <c r="CD57" s="105">
        <v>13.62949671335797</v>
      </c>
      <c r="CE57" s="105">
        <v>19233.945761890769</v>
      </c>
      <c r="CF57" s="105">
        <v>0.90880263157894758</v>
      </c>
      <c r="CG57" s="105">
        <v>1282.5022736842109</v>
      </c>
      <c r="CH57" s="105">
        <v>10.698895646520072</v>
      </c>
      <c r="CI57" s="105">
        <v>15098.281536369126</v>
      </c>
      <c r="CJ57" s="105">
        <v>7.1755501637742274</v>
      </c>
      <c r="CK57" s="105">
        <v>10126.136391118191</v>
      </c>
      <c r="CL57" s="105">
        <v>29.454642938958319</v>
      </c>
      <c r="CM57" s="105">
        <v>41566.39211545798</v>
      </c>
      <c r="CN57" s="105">
        <v>14.558718903667703</v>
      </c>
      <c r="CO57" s="105">
        <v>20545.264116855862</v>
      </c>
      <c r="CP57" s="105">
        <v>8.1598282037988437</v>
      </c>
      <c r="CQ57" s="105">
        <v>11515.149561200929</v>
      </c>
      <c r="CR57" s="105">
        <v>1.2995032931483899</v>
      </c>
      <c r="CS57" s="105">
        <v>1833.8590472910078</v>
      </c>
      <c r="CT57" s="105">
        <v>8.8982836448014471</v>
      </c>
      <c r="CU57" s="105">
        <v>12557.257879543802</v>
      </c>
    </row>
    <row r="58" spans="2:99" x14ac:dyDescent="0.25">
      <c r="C58" s="104" t="s">
        <v>223</v>
      </c>
      <c r="D58" s="105">
        <v>0</v>
      </c>
      <c r="E58" s="105">
        <v>0</v>
      </c>
      <c r="F58" s="105">
        <v>0</v>
      </c>
      <c r="G58" s="105">
        <v>0</v>
      </c>
      <c r="H58" s="105">
        <v>3</v>
      </c>
      <c r="I58" s="105">
        <v>3531.6000000000004</v>
      </c>
      <c r="J58" s="105">
        <v>3</v>
      </c>
      <c r="K58" s="105">
        <v>3531.6000000000004</v>
      </c>
      <c r="L58" s="105">
        <v>5</v>
      </c>
      <c r="M58" s="105">
        <v>5886</v>
      </c>
      <c r="N58" s="105">
        <v>4</v>
      </c>
      <c r="O58" s="105">
        <v>4708.8</v>
      </c>
      <c r="P58" s="105">
        <v>4</v>
      </c>
      <c r="Q58" s="105">
        <v>4708.8</v>
      </c>
      <c r="R58" s="105">
        <v>5</v>
      </c>
      <c r="S58" s="105">
        <v>5886</v>
      </c>
      <c r="T58" s="105">
        <v>5</v>
      </c>
      <c r="U58" s="105">
        <v>5886</v>
      </c>
      <c r="V58" s="105">
        <v>4</v>
      </c>
      <c r="W58" s="105">
        <v>4708.8</v>
      </c>
      <c r="X58" s="105">
        <v>4</v>
      </c>
      <c r="Y58" s="105">
        <v>4708.8</v>
      </c>
      <c r="Z58" s="105">
        <v>4</v>
      </c>
      <c r="AA58" s="105">
        <v>4708.8</v>
      </c>
      <c r="AB58" s="105">
        <v>5</v>
      </c>
      <c r="AC58" s="105">
        <v>5886</v>
      </c>
      <c r="AD58" s="105">
        <v>6</v>
      </c>
      <c r="AE58" s="105">
        <v>7063.2000000000007</v>
      </c>
      <c r="AF58" s="105">
        <v>6</v>
      </c>
      <c r="AG58" s="105">
        <v>7063.2000000000007</v>
      </c>
      <c r="AH58" s="105">
        <v>4</v>
      </c>
      <c r="AI58" s="105">
        <v>4708.8</v>
      </c>
      <c r="AJ58" s="105">
        <v>5</v>
      </c>
      <c r="AK58" s="105">
        <v>5886</v>
      </c>
      <c r="AL58" s="105">
        <v>8</v>
      </c>
      <c r="AM58" s="105">
        <v>9417.6</v>
      </c>
      <c r="AN58" s="105">
        <v>4</v>
      </c>
      <c r="AO58" s="105">
        <v>4708.8</v>
      </c>
      <c r="AP58" s="105">
        <v>9</v>
      </c>
      <c r="AQ58" s="105">
        <v>10594.800000000001</v>
      </c>
      <c r="AR58" s="105">
        <v>7</v>
      </c>
      <c r="AS58" s="105">
        <v>8240.4</v>
      </c>
      <c r="AT58" s="105">
        <v>9</v>
      </c>
      <c r="AU58" s="105">
        <v>10594.800000000001</v>
      </c>
      <c r="AV58" s="105">
        <v>10</v>
      </c>
      <c r="AW58" s="105">
        <v>11772</v>
      </c>
      <c r="AX58" s="105">
        <v>11</v>
      </c>
      <c r="AY58" s="105">
        <v>12949.2</v>
      </c>
      <c r="AZ58" s="105">
        <v>12</v>
      </c>
      <c r="BA58" s="105">
        <v>14126.400000000001</v>
      </c>
      <c r="BB58" s="105">
        <v>8</v>
      </c>
      <c r="BC58" s="105">
        <v>9417.6</v>
      </c>
      <c r="BD58" s="105">
        <v>12</v>
      </c>
      <c r="BE58" s="105">
        <v>14126.400000000001</v>
      </c>
      <c r="BF58" s="105">
        <v>8</v>
      </c>
      <c r="BG58" s="105">
        <v>9417.6</v>
      </c>
      <c r="BH58" s="105">
        <v>6.8059797832950046</v>
      </c>
      <c r="BI58" s="105">
        <v>8011.9994008948797</v>
      </c>
      <c r="BJ58" s="105">
        <v>10</v>
      </c>
      <c r="BK58" s="105">
        <v>11772</v>
      </c>
      <c r="BL58" s="105">
        <v>16</v>
      </c>
      <c r="BM58" s="105">
        <v>18835.2</v>
      </c>
      <c r="BN58" s="105">
        <v>9.6247592408721374</v>
      </c>
      <c r="BO58" s="105">
        <v>11330.26657835468</v>
      </c>
      <c r="BP58" s="105">
        <v>21</v>
      </c>
      <c r="BQ58" s="105">
        <v>24721.200000000001</v>
      </c>
      <c r="BR58" s="105">
        <v>1.0365225684691026</v>
      </c>
      <c r="BS58" s="105">
        <v>1220.1943676018277</v>
      </c>
      <c r="BT58" s="105">
        <v>13.155485731503441</v>
      </c>
      <c r="BU58" s="105">
        <v>15486.637803125852</v>
      </c>
      <c r="BV58" s="105">
        <v>16.052603497915463</v>
      </c>
      <c r="BW58" s="105">
        <v>18897.124837746083</v>
      </c>
      <c r="BX58" s="105">
        <v>13.307353643216082</v>
      </c>
      <c r="BY58" s="105">
        <v>15665.416708793973</v>
      </c>
      <c r="BZ58" s="105">
        <v>1.7173295454545465</v>
      </c>
      <c r="CA58" s="105">
        <v>2021.6403409090922</v>
      </c>
      <c r="CB58" s="105">
        <v>11.487843915379397</v>
      </c>
      <c r="CC58" s="105">
        <v>13523.489857184626</v>
      </c>
      <c r="CD58" s="105">
        <v>2.3368573730862212</v>
      </c>
      <c r="CE58" s="105">
        <v>2750.9484995970997</v>
      </c>
      <c r="CF58" s="105">
        <v>0.84551632335256866</v>
      </c>
      <c r="CG58" s="105">
        <v>995.34181585064391</v>
      </c>
      <c r="CH58" s="105">
        <v>16.321087804777893</v>
      </c>
      <c r="CI58" s="105">
        <v>19213.184563784536</v>
      </c>
      <c r="CJ58" s="105">
        <v>10.492024943991694</v>
      </c>
      <c r="CK58" s="105">
        <v>12351.211764067024</v>
      </c>
      <c r="CL58" s="105">
        <v>27.343025291604039</v>
      </c>
      <c r="CM58" s="105">
        <v>32188.209373276277</v>
      </c>
      <c r="CN58" s="105">
        <v>2.0797599025463693</v>
      </c>
      <c r="CO58" s="105">
        <v>2448.293357277586</v>
      </c>
      <c r="CP58" s="105">
        <v>12.003646599293081</v>
      </c>
      <c r="CQ58" s="105">
        <v>14130.692776687814</v>
      </c>
      <c r="CR58" s="105">
        <v>10.123645341140275</v>
      </c>
      <c r="CS58" s="105">
        <v>11917.555295590331</v>
      </c>
      <c r="CT58" s="105">
        <v>2.3730865180467093</v>
      </c>
      <c r="CU58" s="105">
        <v>2793.5974490445865</v>
      </c>
    </row>
    <row r="59" spans="2:99" x14ac:dyDescent="0.25">
      <c r="C59" s="104" t="s">
        <v>224</v>
      </c>
      <c r="D59" s="105">
        <v>0</v>
      </c>
      <c r="E59" s="105">
        <v>0</v>
      </c>
      <c r="F59" s="105">
        <v>0</v>
      </c>
      <c r="G59" s="105">
        <v>0</v>
      </c>
      <c r="H59" s="105">
        <v>3</v>
      </c>
      <c r="I59" s="105">
        <v>910.8</v>
      </c>
      <c r="J59" s="105">
        <v>3</v>
      </c>
      <c r="K59" s="105">
        <v>910.8</v>
      </c>
      <c r="L59" s="105">
        <v>6</v>
      </c>
      <c r="M59" s="105">
        <v>1821.6</v>
      </c>
      <c r="N59" s="105">
        <v>5</v>
      </c>
      <c r="O59" s="105">
        <v>1517.9999999999998</v>
      </c>
      <c r="P59" s="105">
        <v>4</v>
      </c>
      <c r="Q59" s="105">
        <v>1214.3999999999999</v>
      </c>
      <c r="R59" s="105">
        <v>4</v>
      </c>
      <c r="S59" s="105">
        <v>1214.3999999999999</v>
      </c>
      <c r="T59" s="105">
        <v>5</v>
      </c>
      <c r="U59" s="105">
        <v>1517.9999999999998</v>
      </c>
      <c r="V59" s="105">
        <v>5</v>
      </c>
      <c r="W59" s="105">
        <v>1517.9999999999998</v>
      </c>
      <c r="X59" s="105">
        <v>5</v>
      </c>
      <c r="Y59" s="105">
        <v>1517.9999999999998</v>
      </c>
      <c r="Z59" s="105">
        <v>4</v>
      </c>
      <c r="AA59" s="105">
        <v>1214.3999999999999</v>
      </c>
      <c r="AB59" s="105">
        <v>5</v>
      </c>
      <c r="AC59" s="105">
        <v>1517.9999999999998</v>
      </c>
      <c r="AD59" s="105">
        <v>7</v>
      </c>
      <c r="AE59" s="105">
        <v>2125.1999999999998</v>
      </c>
      <c r="AF59" s="105">
        <v>6</v>
      </c>
      <c r="AG59" s="105">
        <v>1821.6</v>
      </c>
      <c r="AH59" s="105">
        <v>5</v>
      </c>
      <c r="AI59" s="105">
        <v>1517.9999999999998</v>
      </c>
      <c r="AJ59" s="105">
        <v>5</v>
      </c>
      <c r="AK59" s="105">
        <v>1517.9999999999998</v>
      </c>
      <c r="AL59" s="105">
        <v>8</v>
      </c>
      <c r="AM59" s="105">
        <v>2428.7999999999997</v>
      </c>
      <c r="AN59" s="105">
        <v>5</v>
      </c>
      <c r="AO59" s="105">
        <v>1517.9999999999998</v>
      </c>
      <c r="AP59" s="105">
        <v>9</v>
      </c>
      <c r="AQ59" s="105">
        <v>2732.3999999999996</v>
      </c>
      <c r="AR59" s="105">
        <v>7</v>
      </c>
      <c r="AS59" s="105">
        <v>2125.1999999999998</v>
      </c>
      <c r="AT59" s="105">
        <v>10</v>
      </c>
      <c r="AU59" s="105">
        <v>3035.9999999999995</v>
      </c>
      <c r="AV59" s="105">
        <v>12</v>
      </c>
      <c r="AW59" s="105">
        <v>3643.2</v>
      </c>
      <c r="AX59" s="105">
        <v>11</v>
      </c>
      <c r="AY59" s="105">
        <v>3339.5999999999995</v>
      </c>
      <c r="AZ59" s="105">
        <v>15</v>
      </c>
      <c r="BA59" s="105">
        <v>4553.9999999999991</v>
      </c>
      <c r="BB59" s="105">
        <v>8</v>
      </c>
      <c r="BC59" s="105">
        <v>2428.7999999999997</v>
      </c>
      <c r="BD59" s="105">
        <v>13</v>
      </c>
      <c r="BE59" s="105">
        <v>3946.7999999999997</v>
      </c>
      <c r="BF59" s="105">
        <v>10</v>
      </c>
      <c r="BG59" s="105">
        <v>3035.9999999999995</v>
      </c>
      <c r="BH59" s="105">
        <v>20</v>
      </c>
      <c r="BI59" s="105">
        <v>6071.9999999999991</v>
      </c>
      <c r="BJ59" s="105">
        <v>12</v>
      </c>
      <c r="BK59" s="105">
        <v>3643.2</v>
      </c>
      <c r="BL59" s="105">
        <v>18</v>
      </c>
      <c r="BM59" s="105">
        <v>5464.7999999999993</v>
      </c>
      <c r="BN59" s="105">
        <v>15</v>
      </c>
      <c r="BO59" s="105">
        <v>4553.9999999999991</v>
      </c>
      <c r="BP59" s="105">
        <v>23</v>
      </c>
      <c r="BQ59" s="105">
        <v>6982.7999999999993</v>
      </c>
      <c r="BR59" s="105">
        <v>2.4401070364344939</v>
      </c>
      <c r="BS59" s="105">
        <v>740.81649626151227</v>
      </c>
      <c r="BT59" s="105">
        <v>10.717277629007754</v>
      </c>
      <c r="BU59" s="105">
        <v>3253.7654881667536</v>
      </c>
      <c r="BV59" s="105">
        <v>29</v>
      </c>
      <c r="BW59" s="105">
        <v>8804.4</v>
      </c>
      <c r="BX59" s="105">
        <v>13.486784498334773</v>
      </c>
      <c r="BY59" s="105">
        <v>4094.5877736944367</v>
      </c>
      <c r="BZ59" s="105">
        <v>2.0862741326004812</v>
      </c>
      <c r="CA59" s="105">
        <v>633.39282665750602</v>
      </c>
      <c r="CB59" s="105">
        <v>23.425545758794211</v>
      </c>
      <c r="CC59" s="105">
        <v>7111.9956923699219</v>
      </c>
      <c r="CD59" s="105">
        <v>14.108729499242106</v>
      </c>
      <c r="CE59" s="105">
        <v>4283.4102759699026</v>
      </c>
      <c r="CF59" s="105">
        <v>1.0020131578947371</v>
      </c>
      <c r="CG59" s="105">
        <v>304.21119473684217</v>
      </c>
      <c r="CH59" s="105">
        <v>14.781593357762739</v>
      </c>
      <c r="CI59" s="105">
        <v>4487.6917434167672</v>
      </c>
      <c r="CJ59" s="105">
        <v>8.8063570191774616</v>
      </c>
      <c r="CK59" s="105">
        <v>2673.609991022277</v>
      </c>
      <c r="CL59" s="105">
        <v>32.607975132574396</v>
      </c>
      <c r="CM59" s="105">
        <v>9899.7812502495854</v>
      </c>
      <c r="CN59" s="105">
        <v>19.715944708853925</v>
      </c>
      <c r="CO59" s="105">
        <v>5985.7608136080507</v>
      </c>
      <c r="CP59" s="105">
        <v>9.2818045818211843</v>
      </c>
      <c r="CQ59" s="105">
        <v>2817.955871040911</v>
      </c>
      <c r="CR59" s="105">
        <v>1.9150574846397324</v>
      </c>
      <c r="CS59" s="105">
        <v>581.41145233662269</v>
      </c>
      <c r="CT59" s="105">
        <v>11.326072588031343</v>
      </c>
      <c r="CU59" s="105">
        <v>3438.5956377263151</v>
      </c>
    </row>
    <row r="60" spans="2:99" x14ac:dyDescent="0.25">
      <c r="C60" s="104" t="s">
        <v>225</v>
      </c>
      <c r="D60" s="105">
        <v>0</v>
      </c>
      <c r="E60" s="105">
        <v>0</v>
      </c>
      <c r="F60" s="105">
        <v>0</v>
      </c>
      <c r="G60" s="105">
        <v>0</v>
      </c>
      <c r="H60" s="105">
        <v>3</v>
      </c>
      <c r="I60" s="105">
        <v>1954.8000000000002</v>
      </c>
      <c r="J60" s="105">
        <v>3</v>
      </c>
      <c r="K60" s="105">
        <v>1954.8000000000002</v>
      </c>
      <c r="L60" s="105">
        <v>5</v>
      </c>
      <c r="M60" s="105">
        <v>3258</v>
      </c>
      <c r="N60" s="105">
        <v>4</v>
      </c>
      <c r="O60" s="105">
        <v>2606.4</v>
      </c>
      <c r="P60" s="105">
        <v>4</v>
      </c>
      <c r="Q60" s="105">
        <v>2606.4</v>
      </c>
      <c r="R60" s="105">
        <v>4</v>
      </c>
      <c r="S60" s="105">
        <v>2606.4</v>
      </c>
      <c r="T60" s="105">
        <v>5</v>
      </c>
      <c r="U60" s="105">
        <v>3258</v>
      </c>
      <c r="V60" s="105">
        <v>5</v>
      </c>
      <c r="W60" s="105">
        <v>3258</v>
      </c>
      <c r="X60" s="105">
        <v>4</v>
      </c>
      <c r="Y60" s="105">
        <v>2606.4</v>
      </c>
      <c r="Z60" s="105">
        <v>4</v>
      </c>
      <c r="AA60" s="105">
        <v>2606.4</v>
      </c>
      <c r="AB60" s="105">
        <v>5</v>
      </c>
      <c r="AC60" s="105">
        <v>3258</v>
      </c>
      <c r="AD60" s="105">
        <v>7</v>
      </c>
      <c r="AE60" s="105">
        <v>4561.2</v>
      </c>
      <c r="AF60" s="105">
        <v>6</v>
      </c>
      <c r="AG60" s="105">
        <v>3909.6000000000004</v>
      </c>
      <c r="AH60" s="105">
        <v>5</v>
      </c>
      <c r="AI60" s="105">
        <v>3258</v>
      </c>
      <c r="AJ60" s="105">
        <v>5</v>
      </c>
      <c r="AK60" s="105">
        <v>3258</v>
      </c>
      <c r="AL60" s="105">
        <v>8</v>
      </c>
      <c r="AM60" s="105">
        <v>5212.8</v>
      </c>
      <c r="AN60" s="105">
        <v>5</v>
      </c>
      <c r="AO60" s="105">
        <v>3258</v>
      </c>
      <c r="AP60" s="105">
        <v>9</v>
      </c>
      <c r="AQ60" s="105">
        <v>5864.4000000000005</v>
      </c>
      <c r="AR60" s="105">
        <v>7</v>
      </c>
      <c r="AS60" s="105">
        <v>4561.2</v>
      </c>
      <c r="AT60" s="105">
        <v>9</v>
      </c>
      <c r="AU60" s="105">
        <v>5864.4000000000005</v>
      </c>
      <c r="AV60" s="105">
        <v>11</v>
      </c>
      <c r="AW60" s="105">
        <v>7167.6</v>
      </c>
      <c r="AX60" s="105">
        <v>12</v>
      </c>
      <c r="AY60" s="105">
        <v>7819.2000000000007</v>
      </c>
      <c r="AZ60" s="105">
        <v>12</v>
      </c>
      <c r="BA60" s="105">
        <v>7819.2000000000007</v>
      </c>
      <c r="BB60" s="105">
        <v>9</v>
      </c>
      <c r="BC60" s="105">
        <v>5864.4000000000005</v>
      </c>
      <c r="BD60" s="105">
        <v>14</v>
      </c>
      <c r="BE60" s="105">
        <v>9122.4</v>
      </c>
      <c r="BF60" s="105">
        <v>8</v>
      </c>
      <c r="BG60" s="105">
        <v>5212.8</v>
      </c>
      <c r="BH60" s="105">
        <v>17</v>
      </c>
      <c r="BI60" s="105">
        <v>11077.2</v>
      </c>
      <c r="BJ60" s="105">
        <v>10</v>
      </c>
      <c r="BK60" s="105">
        <v>6516</v>
      </c>
      <c r="BL60" s="105">
        <v>19</v>
      </c>
      <c r="BM60" s="105">
        <v>12380.4</v>
      </c>
      <c r="BN60" s="105">
        <v>13</v>
      </c>
      <c r="BO60" s="105">
        <v>8470.8000000000011</v>
      </c>
      <c r="BP60" s="105">
        <v>24</v>
      </c>
      <c r="BQ60" s="105">
        <v>15638.400000000001</v>
      </c>
      <c r="BR60" s="105">
        <v>2.3239114632709468</v>
      </c>
      <c r="BS60" s="105">
        <v>1514.260709467349</v>
      </c>
      <c r="BT60" s="105">
        <v>10.181413747557365</v>
      </c>
      <c r="BU60" s="105">
        <v>6634.2091979083789</v>
      </c>
      <c r="BV60" s="105">
        <v>26</v>
      </c>
      <c r="BW60" s="105">
        <v>16941.600000000002</v>
      </c>
      <c r="BX60" s="105">
        <v>12.449339536924406</v>
      </c>
      <c r="BY60" s="105">
        <v>8111.9896422599431</v>
      </c>
      <c r="BZ60" s="105">
        <v>1.8254898660254211</v>
      </c>
      <c r="CA60" s="105">
        <v>1189.4891967021645</v>
      </c>
      <c r="CB60" s="105">
        <v>22.693497453831895</v>
      </c>
      <c r="CC60" s="105">
        <v>14787.082940916864</v>
      </c>
      <c r="CD60" s="105">
        <v>14.529746529707964</v>
      </c>
      <c r="CE60" s="105">
        <v>9467.5828387577094</v>
      </c>
      <c r="CF60" s="105">
        <v>0.88550000000000018</v>
      </c>
      <c r="CG60" s="105">
        <v>576.99180000000013</v>
      </c>
      <c r="CH60" s="105">
        <v>12.519064785464964</v>
      </c>
      <c r="CI60" s="105">
        <v>8157.422614208971</v>
      </c>
      <c r="CJ60" s="105">
        <v>7.8278729059355205</v>
      </c>
      <c r="CK60" s="105">
        <v>5100.6419855075856</v>
      </c>
      <c r="CL60" s="105">
        <v>32.02449520154159</v>
      </c>
      <c r="CM60" s="105">
        <v>20867.1610733245</v>
      </c>
      <c r="CN60" s="105">
        <v>19.983538634076474</v>
      </c>
      <c r="CO60" s="105">
        <v>13021.273773964231</v>
      </c>
      <c r="CP60" s="105">
        <v>9.7917938445586117</v>
      </c>
      <c r="CQ60" s="105">
        <v>6380.3328691143915</v>
      </c>
      <c r="CR60" s="105">
        <v>1.5502846304226405</v>
      </c>
      <c r="CS60" s="105">
        <v>1010.1654651833926</v>
      </c>
      <c r="CT60" s="105">
        <v>10.522481123734229</v>
      </c>
      <c r="CU60" s="105">
        <v>6856.4487002252235</v>
      </c>
    </row>
    <row r="61" spans="2:99" x14ac:dyDescent="0.25">
      <c r="C61" s="104" t="s">
        <v>226</v>
      </c>
      <c r="D61" s="105">
        <v>0</v>
      </c>
      <c r="E61" s="105">
        <v>0</v>
      </c>
      <c r="F61" s="105">
        <v>0</v>
      </c>
      <c r="G61" s="105">
        <v>0</v>
      </c>
      <c r="H61" s="105">
        <v>3</v>
      </c>
      <c r="I61" s="105">
        <v>2854.7999999999997</v>
      </c>
      <c r="J61" s="105">
        <v>3</v>
      </c>
      <c r="K61" s="105">
        <v>2854.7999999999997</v>
      </c>
      <c r="L61" s="105">
        <v>5</v>
      </c>
      <c r="M61" s="105">
        <v>4758</v>
      </c>
      <c r="N61" s="105">
        <v>4</v>
      </c>
      <c r="O61" s="105">
        <v>3806.3999999999996</v>
      </c>
      <c r="P61" s="105">
        <v>4</v>
      </c>
      <c r="Q61" s="105">
        <v>3806.3999999999996</v>
      </c>
      <c r="R61" s="105">
        <v>5</v>
      </c>
      <c r="S61" s="105">
        <v>4758</v>
      </c>
      <c r="T61" s="105">
        <v>5</v>
      </c>
      <c r="U61" s="105">
        <v>4758</v>
      </c>
      <c r="V61" s="105">
        <v>5</v>
      </c>
      <c r="W61" s="105">
        <v>4758</v>
      </c>
      <c r="X61" s="105">
        <v>4</v>
      </c>
      <c r="Y61" s="105">
        <v>3806.3999999999996</v>
      </c>
      <c r="Z61" s="105">
        <v>4</v>
      </c>
      <c r="AA61" s="105">
        <v>3806.3999999999996</v>
      </c>
      <c r="AB61" s="105">
        <v>5</v>
      </c>
      <c r="AC61" s="105">
        <v>4758</v>
      </c>
      <c r="AD61" s="105">
        <v>7</v>
      </c>
      <c r="AE61" s="105">
        <v>6661.1999999999989</v>
      </c>
      <c r="AF61" s="105">
        <v>6</v>
      </c>
      <c r="AG61" s="105">
        <v>5709.5999999999995</v>
      </c>
      <c r="AH61" s="105">
        <v>5</v>
      </c>
      <c r="AI61" s="105">
        <v>4758</v>
      </c>
      <c r="AJ61" s="105">
        <v>5</v>
      </c>
      <c r="AK61" s="105">
        <v>4758</v>
      </c>
      <c r="AL61" s="105">
        <v>8</v>
      </c>
      <c r="AM61" s="105">
        <v>7612.7999999999993</v>
      </c>
      <c r="AN61" s="105">
        <v>5</v>
      </c>
      <c r="AO61" s="105">
        <v>4758</v>
      </c>
      <c r="AP61" s="105">
        <v>9</v>
      </c>
      <c r="AQ61" s="105">
        <v>8564.4</v>
      </c>
      <c r="AR61" s="105">
        <v>7</v>
      </c>
      <c r="AS61" s="105">
        <v>6661.1999999999989</v>
      </c>
      <c r="AT61" s="105">
        <v>10</v>
      </c>
      <c r="AU61" s="105">
        <v>9516</v>
      </c>
      <c r="AV61" s="105">
        <v>10</v>
      </c>
      <c r="AW61" s="105">
        <v>9516</v>
      </c>
      <c r="AX61" s="105">
        <v>11</v>
      </c>
      <c r="AY61" s="105">
        <v>10467.599999999999</v>
      </c>
      <c r="AZ61" s="105">
        <v>12</v>
      </c>
      <c r="BA61" s="105">
        <v>11419.199999999999</v>
      </c>
      <c r="BB61" s="105">
        <v>8</v>
      </c>
      <c r="BC61" s="105">
        <v>7612.7999999999993</v>
      </c>
      <c r="BD61" s="105">
        <v>13</v>
      </c>
      <c r="BE61" s="105">
        <v>12370.8</v>
      </c>
      <c r="BF61" s="105">
        <v>9</v>
      </c>
      <c r="BG61" s="105">
        <v>8564.4</v>
      </c>
      <c r="BH61" s="105">
        <v>18</v>
      </c>
      <c r="BI61" s="105">
        <v>17128.8</v>
      </c>
      <c r="BJ61" s="105">
        <v>10</v>
      </c>
      <c r="BK61" s="105">
        <v>9516</v>
      </c>
      <c r="BL61" s="105">
        <v>17</v>
      </c>
      <c r="BM61" s="105">
        <v>16177.199999999999</v>
      </c>
      <c r="BN61" s="105">
        <v>14</v>
      </c>
      <c r="BO61" s="105">
        <v>13322.399999999998</v>
      </c>
      <c r="BP61" s="105">
        <v>20</v>
      </c>
      <c r="BQ61" s="105">
        <v>19032</v>
      </c>
      <c r="BR61" s="105">
        <v>2.2077158901073992</v>
      </c>
      <c r="BS61" s="105">
        <v>2100.8624410262009</v>
      </c>
      <c r="BT61" s="105">
        <v>10.181413747557365</v>
      </c>
      <c r="BU61" s="105">
        <v>9688.6333221755867</v>
      </c>
      <c r="BV61" s="105">
        <v>25</v>
      </c>
      <c r="BW61" s="105">
        <v>23789.999999999996</v>
      </c>
      <c r="BX61" s="105">
        <v>11.066079588377249</v>
      </c>
      <c r="BY61" s="105">
        <v>10530.48133629979</v>
      </c>
      <c r="BZ61" s="105">
        <v>1.7602937993816563</v>
      </c>
      <c r="CA61" s="105">
        <v>1675.095579491584</v>
      </c>
      <c r="CB61" s="105">
        <v>23.425545758794211</v>
      </c>
      <c r="CC61" s="105">
        <v>22291.749344068568</v>
      </c>
      <c r="CD61" s="105">
        <v>14.471530774289693</v>
      </c>
      <c r="CE61" s="105">
        <v>13771.108684814071</v>
      </c>
      <c r="CF61" s="105">
        <v>0.97871052631578981</v>
      </c>
      <c r="CG61" s="105">
        <v>931.34093684210552</v>
      </c>
      <c r="CH61" s="105">
        <v>12.96142421881785</v>
      </c>
      <c r="CI61" s="105">
        <v>12334.091286627065</v>
      </c>
      <c r="CJ61" s="105">
        <v>6.8493887926935813</v>
      </c>
      <c r="CK61" s="105">
        <v>6517.8783751272113</v>
      </c>
      <c r="CL61" s="105">
        <v>31.537556212892323</v>
      </c>
      <c r="CM61" s="105">
        <v>30011.138492188333</v>
      </c>
      <c r="CN61" s="105">
        <v>18.367970140230799</v>
      </c>
      <c r="CO61" s="105">
        <v>17478.960385443628</v>
      </c>
      <c r="CP61" s="105">
        <v>8.4658217614412994</v>
      </c>
      <c r="CQ61" s="105">
        <v>8056.0759881875401</v>
      </c>
      <c r="CR61" s="105">
        <v>1.4134948100912308</v>
      </c>
      <c r="CS61" s="105">
        <v>1345.081661282815</v>
      </c>
      <c r="CT61" s="105">
        <v>9.3649916855882509</v>
      </c>
      <c r="CU61" s="105">
        <v>8911.7260880057784</v>
      </c>
    </row>
    <row r="62" spans="2:99" x14ac:dyDescent="0.25">
      <c r="C62" s="104" t="s">
        <v>227</v>
      </c>
      <c r="D62" s="105">
        <v>0</v>
      </c>
      <c r="E62" s="105">
        <v>0</v>
      </c>
      <c r="F62" s="105">
        <v>0</v>
      </c>
      <c r="G62" s="105">
        <v>0</v>
      </c>
      <c r="H62" s="105">
        <v>3</v>
      </c>
      <c r="I62" s="105">
        <v>5115.6000000000004</v>
      </c>
      <c r="J62" s="105">
        <v>3</v>
      </c>
      <c r="K62" s="105">
        <v>5115.6000000000004</v>
      </c>
      <c r="L62" s="105">
        <v>5</v>
      </c>
      <c r="M62" s="105">
        <v>8526</v>
      </c>
      <c r="N62" s="105">
        <v>4</v>
      </c>
      <c r="O62" s="105">
        <v>6820.8</v>
      </c>
      <c r="P62" s="105">
        <v>4</v>
      </c>
      <c r="Q62" s="105">
        <v>6820.8</v>
      </c>
      <c r="R62" s="105">
        <v>4</v>
      </c>
      <c r="S62" s="105">
        <v>6820.8</v>
      </c>
      <c r="T62" s="105">
        <v>5</v>
      </c>
      <c r="U62" s="105">
        <v>8526</v>
      </c>
      <c r="V62" s="105">
        <v>4</v>
      </c>
      <c r="W62" s="105">
        <v>6820.8</v>
      </c>
      <c r="X62" s="105">
        <v>4</v>
      </c>
      <c r="Y62" s="105">
        <v>6820.8</v>
      </c>
      <c r="Z62" s="105">
        <v>3</v>
      </c>
      <c r="AA62" s="105">
        <v>5115.6000000000004</v>
      </c>
      <c r="AB62" s="105">
        <v>4</v>
      </c>
      <c r="AC62" s="105">
        <v>6820.8</v>
      </c>
      <c r="AD62" s="105">
        <v>7</v>
      </c>
      <c r="AE62" s="105">
        <v>11936.4</v>
      </c>
      <c r="AF62" s="105">
        <v>6</v>
      </c>
      <c r="AG62" s="105">
        <v>10231.200000000001</v>
      </c>
      <c r="AH62" s="105">
        <v>4</v>
      </c>
      <c r="AI62" s="105">
        <v>6820.8</v>
      </c>
      <c r="AJ62" s="105">
        <v>4</v>
      </c>
      <c r="AK62" s="105">
        <v>6820.8</v>
      </c>
      <c r="AL62" s="105">
        <v>7</v>
      </c>
      <c r="AM62" s="105">
        <v>11936.4</v>
      </c>
      <c r="AN62" s="105">
        <v>5</v>
      </c>
      <c r="AO62" s="105">
        <v>8526</v>
      </c>
      <c r="AP62" s="105">
        <v>8</v>
      </c>
      <c r="AQ62" s="105">
        <v>13641.6</v>
      </c>
      <c r="AR62" s="105">
        <v>7</v>
      </c>
      <c r="AS62" s="105">
        <v>11936.4</v>
      </c>
      <c r="AT62" s="105">
        <v>9</v>
      </c>
      <c r="AU62" s="105">
        <v>15346.800000000001</v>
      </c>
      <c r="AV62" s="105">
        <v>10</v>
      </c>
      <c r="AW62" s="105">
        <v>17052</v>
      </c>
      <c r="AX62" s="105">
        <v>9</v>
      </c>
      <c r="AY62" s="105">
        <v>15346.800000000001</v>
      </c>
      <c r="AZ62" s="105">
        <v>13</v>
      </c>
      <c r="BA62" s="105">
        <v>22167.600000000002</v>
      </c>
      <c r="BB62" s="105">
        <v>7</v>
      </c>
      <c r="BC62" s="105">
        <v>11936.4</v>
      </c>
      <c r="BD62" s="105">
        <v>13</v>
      </c>
      <c r="BE62" s="105">
        <v>22167.600000000002</v>
      </c>
      <c r="BF62" s="105">
        <v>7</v>
      </c>
      <c r="BG62" s="105">
        <v>11936.4</v>
      </c>
      <c r="BH62" s="105">
        <v>16</v>
      </c>
      <c r="BI62" s="105">
        <v>27283.200000000001</v>
      </c>
      <c r="BJ62" s="105">
        <v>9</v>
      </c>
      <c r="BK62" s="105">
        <v>15346.800000000001</v>
      </c>
      <c r="BL62" s="105">
        <v>16</v>
      </c>
      <c r="BM62" s="105">
        <v>27283.200000000001</v>
      </c>
      <c r="BN62" s="105">
        <v>12</v>
      </c>
      <c r="BO62" s="105">
        <v>20462.400000000001</v>
      </c>
      <c r="BP62" s="105">
        <v>20</v>
      </c>
      <c r="BQ62" s="105">
        <v>34104</v>
      </c>
      <c r="BR62" s="105">
        <v>2.2077158901073992</v>
      </c>
      <c r="BS62" s="105">
        <v>3764.5971358111374</v>
      </c>
      <c r="BT62" s="105">
        <v>8.0379582217558152</v>
      </c>
      <c r="BU62" s="105">
        <v>13706.326359738017</v>
      </c>
      <c r="BV62" s="105">
        <v>23</v>
      </c>
      <c r="BW62" s="105">
        <v>39219.599999999999</v>
      </c>
      <c r="BX62" s="105">
        <v>10.028634626966882</v>
      </c>
      <c r="BY62" s="105">
        <v>17100.827765903927</v>
      </c>
      <c r="BZ62" s="105">
        <v>1.6950977327378911</v>
      </c>
      <c r="CA62" s="105">
        <v>2890.4806538646521</v>
      </c>
      <c r="CB62" s="105">
        <v>18.30120762405798</v>
      </c>
      <c r="CC62" s="105">
        <v>31207.219240543669</v>
      </c>
      <c r="CD62" s="105">
        <v>12.787462652426248</v>
      </c>
      <c r="CE62" s="105">
        <v>21805.181314917238</v>
      </c>
      <c r="CF62" s="105">
        <v>0.83889473684210547</v>
      </c>
      <c r="CG62" s="105">
        <v>1430.4833052631584</v>
      </c>
      <c r="CH62" s="105">
        <v>10.013748675615428</v>
      </c>
      <c r="CI62" s="105">
        <v>17075.444241659428</v>
      </c>
      <c r="CJ62" s="105">
        <v>6.5232274216129342</v>
      </c>
      <c r="CK62" s="105">
        <v>11123.407399334375</v>
      </c>
      <c r="CL62" s="105">
        <v>24.821185590917743</v>
      </c>
      <c r="CM62" s="105">
        <v>42325.085669632936</v>
      </c>
      <c r="CN62" s="105">
        <v>13.651481872090137</v>
      </c>
      <c r="CO62" s="105">
        <v>23278.506888288102</v>
      </c>
      <c r="CP62" s="105">
        <v>7.2418475308714729</v>
      </c>
      <c r="CQ62" s="105">
        <v>12348.798409642037</v>
      </c>
      <c r="CR62" s="105">
        <v>1.1855117762055487</v>
      </c>
      <c r="CS62" s="105">
        <v>2021.5346807857018</v>
      </c>
      <c r="CT62" s="105">
        <v>7.8621115487626811</v>
      </c>
      <c r="CU62" s="105">
        <v>13406.472612950125</v>
      </c>
    </row>
    <row r="63" spans="2:99" x14ac:dyDescent="0.25">
      <c r="C63" s="104" t="s">
        <v>228</v>
      </c>
      <c r="D63" s="105">
        <v>0</v>
      </c>
      <c r="E63" s="105">
        <v>0</v>
      </c>
      <c r="F63" s="105">
        <v>0</v>
      </c>
      <c r="G63" s="105">
        <v>0</v>
      </c>
      <c r="H63" s="105">
        <v>2</v>
      </c>
      <c r="I63" s="105">
        <v>1591.2</v>
      </c>
      <c r="J63" s="105">
        <v>3</v>
      </c>
      <c r="K63" s="105">
        <v>2386.8000000000002</v>
      </c>
      <c r="L63" s="105">
        <v>5</v>
      </c>
      <c r="M63" s="105">
        <v>3978</v>
      </c>
      <c r="N63" s="105">
        <v>4</v>
      </c>
      <c r="O63" s="105">
        <v>3182.4</v>
      </c>
      <c r="P63" s="105">
        <v>4</v>
      </c>
      <c r="Q63" s="105">
        <v>3182.4</v>
      </c>
      <c r="R63" s="105">
        <v>5</v>
      </c>
      <c r="S63" s="105">
        <v>3978</v>
      </c>
      <c r="T63" s="105">
        <v>5</v>
      </c>
      <c r="U63" s="105">
        <v>3978</v>
      </c>
      <c r="V63" s="105">
        <v>4</v>
      </c>
      <c r="W63" s="105">
        <v>3182.4</v>
      </c>
      <c r="X63" s="105">
        <v>4</v>
      </c>
      <c r="Y63" s="105">
        <v>3182.4</v>
      </c>
      <c r="Z63" s="105">
        <v>4</v>
      </c>
      <c r="AA63" s="105">
        <v>3182.4</v>
      </c>
      <c r="AB63" s="105">
        <v>5</v>
      </c>
      <c r="AC63" s="105">
        <v>3978</v>
      </c>
      <c r="AD63" s="105">
        <v>8</v>
      </c>
      <c r="AE63" s="105">
        <v>6364.8</v>
      </c>
      <c r="AF63" s="105">
        <v>6</v>
      </c>
      <c r="AG63" s="105">
        <v>4773.6000000000004</v>
      </c>
      <c r="AH63" s="105">
        <v>5</v>
      </c>
      <c r="AI63" s="105">
        <v>3978</v>
      </c>
      <c r="AJ63" s="105">
        <v>5</v>
      </c>
      <c r="AK63" s="105">
        <v>3978</v>
      </c>
      <c r="AL63" s="105">
        <v>8</v>
      </c>
      <c r="AM63" s="105">
        <v>6364.8</v>
      </c>
      <c r="AN63" s="105">
        <v>5</v>
      </c>
      <c r="AO63" s="105">
        <v>3978</v>
      </c>
      <c r="AP63" s="105">
        <v>8</v>
      </c>
      <c r="AQ63" s="105">
        <v>6364.8</v>
      </c>
      <c r="AR63" s="105">
        <v>8</v>
      </c>
      <c r="AS63" s="105">
        <v>6364.8</v>
      </c>
      <c r="AT63" s="105">
        <v>9</v>
      </c>
      <c r="AU63" s="105">
        <v>7160.4000000000005</v>
      </c>
      <c r="AV63" s="105">
        <v>12</v>
      </c>
      <c r="AW63" s="105">
        <v>9547.2000000000007</v>
      </c>
      <c r="AX63" s="105">
        <v>10</v>
      </c>
      <c r="AY63" s="105">
        <v>7956</v>
      </c>
      <c r="AZ63" s="105">
        <v>14</v>
      </c>
      <c r="BA63" s="105">
        <v>11138.4</v>
      </c>
      <c r="BB63" s="105">
        <v>8</v>
      </c>
      <c r="BC63" s="105">
        <v>6364.8</v>
      </c>
      <c r="BD63" s="105">
        <v>14</v>
      </c>
      <c r="BE63" s="105">
        <v>11138.4</v>
      </c>
      <c r="BF63" s="105">
        <v>9</v>
      </c>
      <c r="BG63" s="105">
        <v>7160.4000000000005</v>
      </c>
      <c r="BH63" s="105">
        <v>19</v>
      </c>
      <c r="BI63" s="105">
        <v>15116.4</v>
      </c>
      <c r="BJ63" s="105">
        <v>11</v>
      </c>
      <c r="BK63" s="105">
        <v>8751.6</v>
      </c>
      <c r="BL63" s="105">
        <v>16</v>
      </c>
      <c r="BM63" s="105">
        <v>12729.6</v>
      </c>
      <c r="BN63" s="105">
        <v>14</v>
      </c>
      <c r="BO63" s="105">
        <v>11138.4</v>
      </c>
      <c r="BP63" s="105">
        <v>21</v>
      </c>
      <c r="BQ63" s="105">
        <v>16707.600000000002</v>
      </c>
      <c r="BR63" s="105">
        <v>2.5563026095980415</v>
      </c>
      <c r="BS63" s="105">
        <v>2033.7943561962018</v>
      </c>
      <c r="BT63" s="105">
        <v>8.5738221032062025</v>
      </c>
      <c r="BU63" s="105">
        <v>6821.3328653108547</v>
      </c>
      <c r="BV63" s="105">
        <v>25</v>
      </c>
      <c r="BW63" s="105">
        <v>19890</v>
      </c>
      <c r="BX63" s="105">
        <v>11.411894575514038</v>
      </c>
      <c r="BY63" s="105">
        <v>9079.3033242789697</v>
      </c>
      <c r="BZ63" s="105">
        <v>2.1514701992442467</v>
      </c>
      <c r="CA63" s="105">
        <v>1711.7096905187227</v>
      </c>
      <c r="CB63" s="105">
        <v>22.693497453831895</v>
      </c>
      <c r="CC63" s="105">
        <v>18054.946574268655</v>
      </c>
      <c r="CD63" s="105">
        <v>13.804143979612787</v>
      </c>
      <c r="CE63" s="105">
        <v>10982.576950179933</v>
      </c>
      <c r="CF63" s="105">
        <v>0.88550000000000018</v>
      </c>
      <c r="CG63" s="105">
        <v>704.50380000000018</v>
      </c>
      <c r="CH63" s="105">
        <v>11.826402050777602</v>
      </c>
      <c r="CI63" s="105">
        <v>9409.0854715986607</v>
      </c>
      <c r="CJ63" s="105">
        <v>7.5017115348548744</v>
      </c>
      <c r="CK63" s="105">
        <v>5968.3616971305382</v>
      </c>
      <c r="CL63" s="105">
        <v>27.506886984361262</v>
      </c>
      <c r="CM63" s="105">
        <v>21884.479284757821</v>
      </c>
      <c r="CN63" s="105">
        <v>17.299032457457024</v>
      </c>
      <c r="CO63" s="105">
        <v>13763.110223152809</v>
      </c>
      <c r="CP63" s="105">
        <v>8.9758110241787268</v>
      </c>
      <c r="CQ63" s="105">
        <v>7141.1552508365949</v>
      </c>
      <c r="CR63" s="105">
        <v>1.5730829338112087</v>
      </c>
      <c r="CS63" s="105">
        <v>1251.5447821401976</v>
      </c>
      <c r="CT63" s="105">
        <v>9.3642182969364978</v>
      </c>
      <c r="CU63" s="105">
        <v>7450.1720770426782</v>
      </c>
    </row>
    <row r="64" spans="2:99" x14ac:dyDescent="0.25">
      <c r="C64" s="104" t="s">
        <v>229</v>
      </c>
      <c r="D64" s="105">
        <v>0</v>
      </c>
      <c r="E64" s="105">
        <v>0</v>
      </c>
      <c r="F64" s="105">
        <v>0</v>
      </c>
      <c r="G64" s="105">
        <v>0</v>
      </c>
      <c r="H64" s="105">
        <v>3</v>
      </c>
      <c r="I64" s="105">
        <v>3027.5999999999995</v>
      </c>
      <c r="J64" s="105">
        <v>3</v>
      </c>
      <c r="K64" s="105">
        <v>3027.5999999999995</v>
      </c>
      <c r="L64" s="105">
        <v>5</v>
      </c>
      <c r="M64" s="105">
        <v>5045.9999999999991</v>
      </c>
      <c r="N64" s="105">
        <v>4</v>
      </c>
      <c r="O64" s="105">
        <v>4036.7999999999993</v>
      </c>
      <c r="P64" s="105">
        <v>4</v>
      </c>
      <c r="Q64" s="105">
        <v>4036.7999999999993</v>
      </c>
      <c r="R64" s="105">
        <v>4</v>
      </c>
      <c r="S64" s="105">
        <v>4036.7999999999993</v>
      </c>
      <c r="T64" s="105">
        <v>5</v>
      </c>
      <c r="U64" s="105">
        <v>5045.9999999999991</v>
      </c>
      <c r="V64" s="105">
        <v>4</v>
      </c>
      <c r="W64" s="105">
        <v>4036.7999999999993</v>
      </c>
      <c r="X64" s="105">
        <v>4</v>
      </c>
      <c r="Y64" s="105">
        <v>4036.7999999999993</v>
      </c>
      <c r="Z64" s="105">
        <v>3</v>
      </c>
      <c r="AA64" s="105">
        <v>3027.5999999999995</v>
      </c>
      <c r="AB64" s="105">
        <v>5</v>
      </c>
      <c r="AC64" s="105">
        <v>5045.9999999999991</v>
      </c>
      <c r="AD64" s="105">
        <v>7</v>
      </c>
      <c r="AE64" s="105">
        <v>7064.3999999999987</v>
      </c>
      <c r="AF64" s="105">
        <v>6</v>
      </c>
      <c r="AG64" s="105">
        <v>6055.1999999999989</v>
      </c>
      <c r="AH64" s="105">
        <v>5</v>
      </c>
      <c r="AI64" s="105">
        <v>5045.9999999999991</v>
      </c>
      <c r="AJ64" s="105">
        <v>5</v>
      </c>
      <c r="AK64" s="105">
        <v>5045.9999999999991</v>
      </c>
      <c r="AL64" s="105">
        <v>8</v>
      </c>
      <c r="AM64" s="105">
        <v>8073.5999999999985</v>
      </c>
      <c r="AN64" s="105">
        <v>5</v>
      </c>
      <c r="AO64" s="105">
        <v>5045.9999999999991</v>
      </c>
      <c r="AP64" s="105">
        <v>9</v>
      </c>
      <c r="AQ64" s="105">
        <v>9082.7999999999993</v>
      </c>
      <c r="AR64" s="105">
        <v>8</v>
      </c>
      <c r="AS64" s="105">
        <v>8073.5999999999985</v>
      </c>
      <c r="AT64" s="105">
        <v>9</v>
      </c>
      <c r="AU64" s="105">
        <v>9082.7999999999993</v>
      </c>
      <c r="AV64" s="105">
        <v>12</v>
      </c>
      <c r="AW64" s="105">
        <v>12110.399999999998</v>
      </c>
      <c r="AX64" s="105">
        <v>11</v>
      </c>
      <c r="AY64" s="105">
        <v>11101.199999999997</v>
      </c>
      <c r="AZ64" s="105">
        <v>13</v>
      </c>
      <c r="BA64" s="105">
        <v>13119.599999999999</v>
      </c>
      <c r="BB64" s="105">
        <v>8</v>
      </c>
      <c r="BC64" s="105">
        <v>8073.5999999999985</v>
      </c>
      <c r="BD64" s="105">
        <v>13</v>
      </c>
      <c r="BE64" s="105">
        <v>13119.599999999999</v>
      </c>
      <c r="BF64" s="105">
        <v>9</v>
      </c>
      <c r="BG64" s="105">
        <v>9082.7999999999993</v>
      </c>
      <c r="BH64" s="105">
        <v>18</v>
      </c>
      <c r="BI64" s="105">
        <v>18165.599999999999</v>
      </c>
      <c r="BJ64" s="105">
        <v>11</v>
      </c>
      <c r="BK64" s="105">
        <v>11101.199999999997</v>
      </c>
      <c r="BL64" s="105">
        <v>17</v>
      </c>
      <c r="BM64" s="105">
        <v>17156.399999999998</v>
      </c>
      <c r="BN64" s="105">
        <v>13</v>
      </c>
      <c r="BO64" s="105">
        <v>13119.599999999999</v>
      </c>
      <c r="BP64" s="105">
        <v>21</v>
      </c>
      <c r="BQ64" s="105">
        <v>21193.199999999997</v>
      </c>
      <c r="BR64" s="105">
        <v>2.2077158901073992</v>
      </c>
      <c r="BS64" s="105">
        <v>2228.0268762963869</v>
      </c>
      <c r="BT64" s="105">
        <v>10.181413747557365</v>
      </c>
      <c r="BU64" s="105">
        <v>10275.082754034891</v>
      </c>
      <c r="BV64" s="105">
        <v>24</v>
      </c>
      <c r="BW64" s="105">
        <v>24220.799999999996</v>
      </c>
      <c r="BX64" s="105">
        <v>12.449339536924406</v>
      </c>
      <c r="BY64" s="105">
        <v>12563.873460664108</v>
      </c>
      <c r="BZ64" s="105">
        <v>2.0862741326004812</v>
      </c>
      <c r="CA64" s="105">
        <v>2105.4678546204054</v>
      </c>
      <c r="CB64" s="105">
        <v>21.229400843907257</v>
      </c>
      <c r="CC64" s="105">
        <v>21424.711331671198</v>
      </c>
      <c r="CD64" s="105">
        <v>13.687712468776242</v>
      </c>
      <c r="CE64" s="105">
        <v>13813.639423488981</v>
      </c>
      <c r="CF64" s="105">
        <v>0.86219736842105288</v>
      </c>
      <c r="CG64" s="105">
        <v>870.12958421052645</v>
      </c>
      <c r="CH64" s="105">
        <v>11.387800499316077</v>
      </c>
      <c r="CI64" s="105">
        <v>11492.568263909783</v>
      </c>
      <c r="CJ64" s="105">
        <v>7.3386308493145513</v>
      </c>
      <c r="CK64" s="105">
        <v>7406.1462531282441</v>
      </c>
      <c r="CL64" s="105">
        <v>31.51824802441562</v>
      </c>
      <c r="CM64" s="105">
        <v>31808.215906240239</v>
      </c>
      <c r="CN64" s="105">
        <v>17.60955278110622</v>
      </c>
      <c r="CO64" s="105">
        <v>17771.560666692396</v>
      </c>
      <c r="CP64" s="105">
        <v>9.0778088767262126</v>
      </c>
      <c r="CQ64" s="105">
        <v>9161.3247183920921</v>
      </c>
      <c r="CR64" s="105">
        <v>1.4134948100912308</v>
      </c>
      <c r="CS64" s="105">
        <v>1426.4989623440699</v>
      </c>
      <c r="CT64" s="105">
        <v>9.8247392285092818</v>
      </c>
      <c r="CU64" s="105">
        <v>9915.1268294115653</v>
      </c>
    </row>
    <row r="65" spans="2:99" x14ac:dyDescent="0.25">
      <c r="C65" s="104" t="s">
        <v>230</v>
      </c>
      <c r="D65" s="105">
        <v>0</v>
      </c>
      <c r="E65" s="105">
        <v>0</v>
      </c>
      <c r="F65" s="105">
        <v>0</v>
      </c>
      <c r="G65" s="105">
        <v>0</v>
      </c>
      <c r="H65" s="105">
        <v>3</v>
      </c>
      <c r="I65" s="105">
        <v>3078</v>
      </c>
      <c r="J65" s="105">
        <v>3</v>
      </c>
      <c r="K65" s="105">
        <v>3078</v>
      </c>
      <c r="L65" s="105">
        <v>5</v>
      </c>
      <c r="M65" s="105">
        <v>5130</v>
      </c>
      <c r="N65" s="105">
        <v>4</v>
      </c>
      <c r="O65" s="105">
        <v>4104</v>
      </c>
      <c r="P65" s="105">
        <v>4</v>
      </c>
      <c r="Q65" s="105">
        <v>4104</v>
      </c>
      <c r="R65" s="105">
        <v>4</v>
      </c>
      <c r="S65" s="105">
        <v>4104</v>
      </c>
      <c r="T65" s="105">
        <v>5</v>
      </c>
      <c r="U65" s="105">
        <v>5130</v>
      </c>
      <c r="V65" s="105">
        <v>4</v>
      </c>
      <c r="W65" s="105">
        <v>4104</v>
      </c>
      <c r="X65" s="105">
        <v>5</v>
      </c>
      <c r="Y65" s="105">
        <v>5130</v>
      </c>
      <c r="Z65" s="105">
        <v>4</v>
      </c>
      <c r="AA65" s="105">
        <v>4104</v>
      </c>
      <c r="AB65" s="105">
        <v>5</v>
      </c>
      <c r="AC65" s="105">
        <v>5130</v>
      </c>
      <c r="AD65" s="105">
        <v>7</v>
      </c>
      <c r="AE65" s="105">
        <v>7182</v>
      </c>
      <c r="AF65" s="105">
        <v>7</v>
      </c>
      <c r="AG65" s="105">
        <v>7182</v>
      </c>
      <c r="AH65" s="105">
        <v>5</v>
      </c>
      <c r="AI65" s="105">
        <v>5130</v>
      </c>
      <c r="AJ65" s="105">
        <v>5</v>
      </c>
      <c r="AK65" s="105">
        <v>5130</v>
      </c>
      <c r="AL65" s="105">
        <v>7</v>
      </c>
      <c r="AM65" s="105">
        <v>7182</v>
      </c>
      <c r="AN65" s="105">
        <v>5</v>
      </c>
      <c r="AO65" s="105">
        <v>5130</v>
      </c>
      <c r="AP65" s="105">
        <v>9</v>
      </c>
      <c r="AQ65" s="105">
        <v>9234</v>
      </c>
      <c r="AR65" s="105">
        <v>7</v>
      </c>
      <c r="AS65" s="105">
        <v>7182</v>
      </c>
      <c r="AT65" s="105">
        <v>9</v>
      </c>
      <c r="AU65" s="105">
        <v>9234</v>
      </c>
      <c r="AV65" s="105">
        <v>11</v>
      </c>
      <c r="AW65" s="105">
        <v>11286</v>
      </c>
      <c r="AX65" s="105">
        <v>12</v>
      </c>
      <c r="AY65" s="105">
        <v>12312</v>
      </c>
      <c r="AZ65" s="105">
        <v>12</v>
      </c>
      <c r="BA65" s="105">
        <v>12312</v>
      </c>
      <c r="BB65" s="105">
        <v>8</v>
      </c>
      <c r="BC65" s="105">
        <v>8208</v>
      </c>
      <c r="BD65" s="105">
        <v>12</v>
      </c>
      <c r="BE65" s="105">
        <v>12312</v>
      </c>
      <c r="BF65" s="105">
        <v>9</v>
      </c>
      <c r="BG65" s="105">
        <v>9234</v>
      </c>
      <c r="BH65" s="105">
        <v>16</v>
      </c>
      <c r="BI65" s="105">
        <v>16416</v>
      </c>
      <c r="BJ65" s="105">
        <v>10</v>
      </c>
      <c r="BK65" s="105">
        <v>10260</v>
      </c>
      <c r="BL65" s="105">
        <v>17</v>
      </c>
      <c r="BM65" s="105">
        <v>17442</v>
      </c>
      <c r="BN65" s="105">
        <v>13</v>
      </c>
      <c r="BO65" s="105">
        <v>13338</v>
      </c>
      <c r="BP65" s="105">
        <v>23</v>
      </c>
      <c r="BQ65" s="105">
        <v>23598</v>
      </c>
      <c r="BR65" s="105">
        <v>2.2077158901073992</v>
      </c>
      <c r="BS65" s="105">
        <v>2265.1165032501917</v>
      </c>
      <c r="BT65" s="105">
        <v>8.5738221032062025</v>
      </c>
      <c r="BU65" s="105">
        <v>8796.7414778895636</v>
      </c>
      <c r="BV65" s="105">
        <v>23</v>
      </c>
      <c r="BW65" s="105">
        <v>23598</v>
      </c>
      <c r="BX65" s="105">
        <v>10.72026460124046</v>
      </c>
      <c r="BY65" s="105">
        <v>10998.991480872712</v>
      </c>
      <c r="BZ65" s="105">
        <v>1.9558819993129515</v>
      </c>
      <c r="CA65" s="105">
        <v>2006.7349312950882</v>
      </c>
      <c r="CB65" s="105">
        <v>23.425545758794211</v>
      </c>
      <c r="CC65" s="105">
        <v>24034.609948522859</v>
      </c>
      <c r="CD65" s="105">
        <v>14.77611629391901</v>
      </c>
      <c r="CE65" s="105">
        <v>15160.295317560904</v>
      </c>
      <c r="CF65" s="105">
        <v>0.86219736842105288</v>
      </c>
      <c r="CG65" s="105">
        <v>884.61450000000025</v>
      </c>
      <c r="CH65" s="105">
        <v>11.146891902709998</v>
      </c>
      <c r="CI65" s="105">
        <v>11436.711092180458</v>
      </c>
      <c r="CJ65" s="105">
        <v>7.3386308493145513</v>
      </c>
      <c r="CK65" s="105">
        <v>7529.4352513967297</v>
      </c>
      <c r="CL65" s="105">
        <v>30.934768093382814</v>
      </c>
      <c r="CM65" s="105">
        <v>31739.072063810767</v>
      </c>
      <c r="CN65" s="105">
        <v>16.957028696007981</v>
      </c>
      <c r="CO65" s="105">
        <v>17397.911442104189</v>
      </c>
      <c r="CP65" s="105">
        <v>8.8738131716312427</v>
      </c>
      <c r="CQ65" s="105">
        <v>9104.5323140936543</v>
      </c>
      <c r="CR65" s="105">
        <v>1.504688023645504</v>
      </c>
      <c r="CS65" s="105">
        <v>1543.8099122602871</v>
      </c>
      <c r="CT65" s="105">
        <v>9.5952521513746412</v>
      </c>
      <c r="CU65" s="105">
        <v>9844.7287073103817</v>
      </c>
    </row>
    <row r="66" spans="2:99" x14ac:dyDescent="0.25">
      <c r="C66" s="104" t="s">
        <v>231</v>
      </c>
      <c r="D66" s="105">
        <v>0</v>
      </c>
      <c r="E66" s="105">
        <v>0</v>
      </c>
      <c r="F66" s="105">
        <v>0</v>
      </c>
      <c r="G66" s="105">
        <v>0</v>
      </c>
      <c r="H66" s="105">
        <v>3</v>
      </c>
      <c r="I66" s="105">
        <v>3571.2</v>
      </c>
      <c r="J66" s="105">
        <v>3</v>
      </c>
      <c r="K66" s="105">
        <v>3571.2</v>
      </c>
      <c r="L66" s="105">
        <v>5</v>
      </c>
      <c r="M66" s="105">
        <v>5951.9999999999991</v>
      </c>
      <c r="N66" s="105">
        <v>4</v>
      </c>
      <c r="O66" s="105">
        <v>4761.5999999999995</v>
      </c>
      <c r="P66" s="105">
        <v>4</v>
      </c>
      <c r="Q66" s="105">
        <v>4761.5999999999995</v>
      </c>
      <c r="R66" s="105">
        <v>4</v>
      </c>
      <c r="S66" s="105">
        <v>4761.5999999999995</v>
      </c>
      <c r="T66" s="105">
        <v>5</v>
      </c>
      <c r="U66" s="105">
        <v>5951.9999999999991</v>
      </c>
      <c r="V66" s="105">
        <v>4</v>
      </c>
      <c r="W66" s="105">
        <v>4761.5999999999995</v>
      </c>
      <c r="X66" s="105">
        <v>4</v>
      </c>
      <c r="Y66" s="105">
        <v>4761.5999999999995</v>
      </c>
      <c r="Z66" s="105">
        <v>4</v>
      </c>
      <c r="AA66" s="105">
        <v>4761.5999999999995</v>
      </c>
      <c r="AB66" s="105">
        <v>5</v>
      </c>
      <c r="AC66" s="105">
        <v>5951.9999999999991</v>
      </c>
      <c r="AD66" s="105">
        <v>7</v>
      </c>
      <c r="AE66" s="105">
        <v>8332.7999999999993</v>
      </c>
      <c r="AF66" s="105">
        <v>5</v>
      </c>
      <c r="AG66" s="105">
        <v>5951.9999999999991</v>
      </c>
      <c r="AH66" s="105">
        <v>4</v>
      </c>
      <c r="AI66" s="105">
        <v>4761.5999999999995</v>
      </c>
      <c r="AJ66" s="105">
        <v>5</v>
      </c>
      <c r="AK66" s="105">
        <v>5951.9999999999991</v>
      </c>
      <c r="AL66" s="105">
        <v>8</v>
      </c>
      <c r="AM66" s="105">
        <v>9523.1999999999989</v>
      </c>
      <c r="AN66" s="105">
        <v>5</v>
      </c>
      <c r="AO66" s="105">
        <v>5951.9999999999991</v>
      </c>
      <c r="AP66" s="105">
        <v>8</v>
      </c>
      <c r="AQ66" s="105">
        <v>9523.1999999999989</v>
      </c>
      <c r="AR66" s="105">
        <v>6</v>
      </c>
      <c r="AS66" s="105">
        <v>7142.4</v>
      </c>
      <c r="AT66" s="105">
        <v>9</v>
      </c>
      <c r="AU66" s="105">
        <v>10713.599999999999</v>
      </c>
      <c r="AV66" s="105">
        <v>11</v>
      </c>
      <c r="AW66" s="105">
        <v>13094.399999999998</v>
      </c>
      <c r="AX66" s="105">
        <v>11</v>
      </c>
      <c r="AY66" s="105">
        <v>13094.399999999998</v>
      </c>
      <c r="AZ66" s="105">
        <v>13</v>
      </c>
      <c r="BA66" s="105">
        <v>15475.199999999999</v>
      </c>
      <c r="BB66" s="105">
        <v>8</v>
      </c>
      <c r="BC66" s="105">
        <v>9523.1999999999989</v>
      </c>
      <c r="BD66" s="105">
        <v>13</v>
      </c>
      <c r="BE66" s="105">
        <v>15475.199999999999</v>
      </c>
      <c r="BF66" s="105">
        <v>9</v>
      </c>
      <c r="BG66" s="105">
        <v>10713.599999999999</v>
      </c>
      <c r="BH66" s="105">
        <v>16</v>
      </c>
      <c r="BI66" s="105">
        <v>19046.399999999998</v>
      </c>
      <c r="BJ66" s="105">
        <v>10</v>
      </c>
      <c r="BK66" s="105">
        <v>11903.999999999998</v>
      </c>
      <c r="BL66" s="105">
        <v>18</v>
      </c>
      <c r="BM66" s="105">
        <v>21427.199999999997</v>
      </c>
      <c r="BN66" s="105">
        <v>13</v>
      </c>
      <c r="BO66" s="105">
        <v>15475.199999999999</v>
      </c>
      <c r="BP66" s="105">
        <v>22</v>
      </c>
      <c r="BQ66" s="105">
        <v>26188.799999999996</v>
      </c>
      <c r="BR66" s="105">
        <v>2.0915203169438521</v>
      </c>
      <c r="BS66" s="105">
        <v>2489.7457852899611</v>
      </c>
      <c r="BT66" s="105">
        <v>9.6455498661069772</v>
      </c>
      <c r="BU66" s="105">
        <v>11482.062560613744</v>
      </c>
      <c r="BV66" s="105">
        <v>25</v>
      </c>
      <c r="BW66" s="105">
        <v>29759.999999999996</v>
      </c>
      <c r="BX66" s="105">
        <v>11.411894575514038</v>
      </c>
      <c r="BY66" s="105">
        <v>13584.71930269191</v>
      </c>
      <c r="BZ66" s="105">
        <v>1.8254898660254211</v>
      </c>
      <c r="CA66" s="105">
        <v>2173.063136516661</v>
      </c>
      <c r="CB66" s="105">
        <v>21.961449148869576</v>
      </c>
      <c r="CC66" s="105">
        <v>26142.90906681434</v>
      </c>
      <c r="CD66" s="105">
        <v>13.07854142951761</v>
      </c>
      <c r="CE66" s="105">
        <v>15568.695717697761</v>
      </c>
      <c r="CF66" s="105">
        <v>0.81559210526315817</v>
      </c>
      <c r="CG66" s="105">
        <v>970.88084210526335</v>
      </c>
      <c r="CH66" s="105">
        <v>12.054158060763923</v>
      </c>
      <c r="CI66" s="105">
        <v>14349.269755533373</v>
      </c>
      <c r="CJ66" s="105">
        <v>6.6863081071532582</v>
      </c>
      <c r="CK66" s="105">
        <v>7959.3811707552377</v>
      </c>
      <c r="CL66" s="105">
        <v>29.922273739130873</v>
      </c>
      <c r="CM66" s="105">
        <v>35619.474659061387</v>
      </c>
      <c r="CN66" s="105">
        <v>16.534893618019044</v>
      </c>
      <c r="CO66" s="105">
        <v>19683.137362889869</v>
      </c>
      <c r="CP66" s="105">
        <v>8.9758110241787268</v>
      </c>
      <c r="CQ66" s="105">
        <v>10684.805443182355</v>
      </c>
      <c r="CR66" s="105">
        <v>1.4362931134797992</v>
      </c>
      <c r="CS66" s="105">
        <v>1709.7633222863528</v>
      </c>
      <c r="CT66" s="105">
        <v>9.9429630160094877</v>
      </c>
      <c r="CU66" s="105">
        <v>11836.103174257692</v>
      </c>
    </row>
    <row r="67" spans="2:99" x14ac:dyDescent="0.25">
      <c r="C67" s="104" t="s">
        <v>232</v>
      </c>
      <c r="D67" s="105">
        <v>0</v>
      </c>
      <c r="E67" s="105">
        <v>0</v>
      </c>
      <c r="F67" s="105">
        <v>0</v>
      </c>
      <c r="G67" s="105">
        <v>0</v>
      </c>
      <c r="H67" s="105">
        <v>2</v>
      </c>
      <c r="I67" s="105">
        <v>2246.4</v>
      </c>
      <c r="J67" s="105">
        <v>3</v>
      </c>
      <c r="K67" s="105">
        <v>3369.6000000000004</v>
      </c>
      <c r="L67" s="105">
        <v>5</v>
      </c>
      <c r="M67" s="105">
        <v>5616</v>
      </c>
      <c r="N67" s="105">
        <v>4</v>
      </c>
      <c r="O67" s="105">
        <v>4492.8</v>
      </c>
      <c r="P67" s="105">
        <v>4</v>
      </c>
      <c r="Q67" s="105">
        <v>4492.8</v>
      </c>
      <c r="R67" s="105">
        <v>5</v>
      </c>
      <c r="S67" s="105">
        <v>5616</v>
      </c>
      <c r="T67" s="105">
        <v>5</v>
      </c>
      <c r="U67" s="105">
        <v>5616</v>
      </c>
      <c r="V67" s="105">
        <v>4</v>
      </c>
      <c r="W67" s="105">
        <v>4492.8</v>
      </c>
      <c r="X67" s="105">
        <v>4</v>
      </c>
      <c r="Y67" s="105">
        <v>4492.8</v>
      </c>
      <c r="Z67" s="105">
        <v>4</v>
      </c>
      <c r="AA67" s="105">
        <v>4492.8</v>
      </c>
      <c r="AB67" s="105">
        <v>5</v>
      </c>
      <c r="AC67" s="105">
        <v>5616</v>
      </c>
      <c r="AD67" s="105">
        <v>8</v>
      </c>
      <c r="AE67" s="105">
        <v>8985.6</v>
      </c>
      <c r="AF67" s="105">
        <v>6</v>
      </c>
      <c r="AG67" s="105">
        <v>6739.2000000000007</v>
      </c>
      <c r="AH67" s="105">
        <v>5</v>
      </c>
      <c r="AI67" s="105">
        <v>5616</v>
      </c>
      <c r="AJ67" s="105">
        <v>5</v>
      </c>
      <c r="AK67" s="105">
        <v>5616</v>
      </c>
      <c r="AL67" s="105">
        <v>8</v>
      </c>
      <c r="AM67" s="105">
        <v>8985.6</v>
      </c>
      <c r="AN67" s="105">
        <v>5</v>
      </c>
      <c r="AO67" s="105">
        <v>5616</v>
      </c>
      <c r="AP67" s="105">
        <v>9</v>
      </c>
      <c r="AQ67" s="105">
        <v>10108.800000000001</v>
      </c>
      <c r="AR67" s="105">
        <v>7</v>
      </c>
      <c r="AS67" s="105">
        <v>7862.4000000000005</v>
      </c>
      <c r="AT67" s="105">
        <v>9</v>
      </c>
      <c r="AU67" s="105">
        <v>10108.800000000001</v>
      </c>
      <c r="AV67" s="105">
        <v>12</v>
      </c>
      <c r="AW67" s="105">
        <v>13478.400000000001</v>
      </c>
      <c r="AX67" s="105">
        <v>11</v>
      </c>
      <c r="AY67" s="105">
        <v>12355.2</v>
      </c>
      <c r="AZ67" s="105">
        <v>11</v>
      </c>
      <c r="BA67" s="105">
        <v>12355.2</v>
      </c>
      <c r="BB67" s="105">
        <v>8</v>
      </c>
      <c r="BC67" s="105">
        <v>8985.6</v>
      </c>
      <c r="BD67" s="105">
        <v>12</v>
      </c>
      <c r="BE67" s="105">
        <v>13478.400000000001</v>
      </c>
      <c r="BF67" s="105">
        <v>9</v>
      </c>
      <c r="BG67" s="105">
        <v>10108.800000000001</v>
      </c>
      <c r="BH67" s="105">
        <v>16</v>
      </c>
      <c r="BI67" s="105">
        <v>17971.2</v>
      </c>
      <c r="BJ67" s="105">
        <v>10</v>
      </c>
      <c r="BK67" s="105">
        <v>11232</v>
      </c>
      <c r="BL67" s="105">
        <v>16</v>
      </c>
      <c r="BM67" s="105">
        <v>17971.2</v>
      </c>
      <c r="BN67" s="105">
        <v>13</v>
      </c>
      <c r="BO67" s="105">
        <v>14601.6</v>
      </c>
      <c r="BP67" s="105">
        <v>22</v>
      </c>
      <c r="BQ67" s="105">
        <v>24710.400000000001</v>
      </c>
      <c r="BR67" s="105">
        <v>2.4401070364344939</v>
      </c>
      <c r="BS67" s="105">
        <v>2740.7282233232236</v>
      </c>
      <c r="BT67" s="105">
        <v>9.1096859846565899</v>
      </c>
      <c r="BU67" s="105">
        <v>10231.999297966282</v>
      </c>
      <c r="BV67" s="105">
        <v>25</v>
      </c>
      <c r="BW67" s="105">
        <v>28080</v>
      </c>
      <c r="BX67" s="105">
        <v>12.449339536924406</v>
      </c>
      <c r="BY67" s="105">
        <v>13983.098167873493</v>
      </c>
      <c r="BZ67" s="105">
        <v>1.8254898660254211</v>
      </c>
      <c r="CA67" s="105">
        <v>2050.3902175197532</v>
      </c>
      <c r="CB67" s="105">
        <v>24.15759406375653</v>
      </c>
      <c r="CC67" s="105">
        <v>27133.809652411335</v>
      </c>
      <c r="CD67" s="105">
        <v>14.413315018871421</v>
      </c>
      <c r="CE67" s="105">
        <v>16189.035429196381</v>
      </c>
      <c r="CF67" s="105">
        <v>0.88550000000000018</v>
      </c>
      <c r="CG67" s="105">
        <v>994.59360000000027</v>
      </c>
      <c r="CH67" s="105">
        <v>10.706411410302794</v>
      </c>
      <c r="CI67" s="105">
        <v>12025.441296052099</v>
      </c>
      <c r="CJ67" s="105">
        <v>7.1755501637742274</v>
      </c>
      <c r="CK67" s="105">
        <v>8059.5779439512125</v>
      </c>
      <c r="CL67" s="105">
        <v>28.967703950309055</v>
      </c>
      <c r="CM67" s="105">
        <v>32536.525076987131</v>
      </c>
      <c r="CN67" s="105">
        <v>16.447602803049328</v>
      </c>
      <c r="CO67" s="105">
        <v>18473.947468385006</v>
      </c>
      <c r="CP67" s="105">
        <v>9.0778088767262126</v>
      </c>
      <c r="CQ67" s="105">
        <v>10196.194930338883</v>
      </c>
      <c r="CR67" s="105">
        <v>1.5730829338112087</v>
      </c>
      <c r="CS67" s="105">
        <v>1766.8867512567497</v>
      </c>
      <c r="CT67" s="105">
        <v>9.9429630160094877</v>
      </c>
      <c r="CU67" s="105">
        <v>11167.936059581856</v>
      </c>
    </row>
    <row r="68" spans="2:99" x14ac:dyDescent="0.25">
      <c r="C68" s="104" t="s">
        <v>233</v>
      </c>
      <c r="D68" s="105">
        <v>0</v>
      </c>
      <c r="E68" s="105">
        <v>0</v>
      </c>
      <c r="F68" s="105">
        <v>0</v>
      </c>
      <c r="G68" s="105">
        <v>0</v>
      </c>
      <c r="H68" s="105">
        <v>2</v>
      </c>
      <c r="I68" s="105">
        <v>2066.4</v>
      </c>
      <c r="J68" s="105">
        <v>3</v>
      </c>
      <c r="K68" s="105">
        <v>3099.6000000000004</v>
      </c>
      <c r="L68" s="105">
        <v>5</v>
      </c>
      <c r="M68" s="105">
        <v>5166</v>
      </c>
      <c r="N68" s="105">
        <v>4</v>
      </c>
      <c r="O68" s="105">
        <v>4132.8</v>
      </c>
      <c r="P68" s="105">
        <v>4</v>
      </c>
      <c r="Q68" s="105">
        <v>4132.8</v>
      </c>
      <c r="R68" s="105">
        <v>5</v>
      </c>
      <c r="S68" s="105">
        <v>5166</v>
      </c>
      <c r="T68" s="105">
        <v>5</v>
      </c>
      <c r="U68" s="105">
        <v>5166</v>
      </c>
      <c r="V68" s="105">
        <v>4</v>
      </c>
      <c r="W68" s="105">
        <v>4132.8</v>
      </c>
      <c r="X68" s="105">
        <v>4</v>
      </c>
      <c r="Y68" s="105">
        <v>4132.8</v>
      </c>
      <c r="Z68" s="105">
        <v>4</v>
      </c>
      <c r="AA68" s="105">
        <v>4132.8</v>
      </c>
      <c r="AB68" s="105">
        <v>5</v>
      </c>
      <c r="AC68" s="105">
        <v>5166</v>
      </c>
      <c r="AD68" s="105">
        <v>7</v>
      </c>
      <c r="AE68" s="105">
        <v>7232.4000000000005</v>
      </c>
      <c r="AF68" s="105">
        <v>6</v>
      </c>
      <c r="AG68" s="105">
        <v>6199.2000000000007</v>
      </c>
      <c r="AH68" s="105">
        <v>4</v>
      </c>
      <c r="AI68" s="105">
        <v>4132.8</v>
      </c>
      <c r="AJ68" s="105">
        <v>5</v>
      </c>
      <c r="AK68" s="105">
        <v>5166</v>
      </c>
      <c r="AL68" s="105">
        <v>8</v>
      </c>
      <c r="AM68" s="105">
        <v>8265.6</v>
      </c>
      <c r="AN68" s="105">
        <v>4</v>
      </c>
      <c r="AO68" s="105">
        <v>4132.8</v>
      </c>
      <c r="AP68" s="105">
        <v>9</v>
      </c>
      <c r="AQ68" s="105">
        <v>9298.8000000000011</v>
      </c>
      <c r="AR68" s="105">
        <v>7</v>
      </c>
      <c r="AS68" s="105">
        <v>7232.4000000000005</v>
      </c>
      <c r="AT68" s="105">
        <v>8</v>
      </c>
      <c r="AU68" s="105">
        <v>8265.6</v>
      </c>
      <c r="AV68" s="105">
        <v>11</v>
      </c>
      <c r="AW68" s="105">
        <v>11365.2</v>
      </c>
      <c r="AX68" s="105">
        <v>11</v>
      </c>
      <c r="AY68" s="105">
        <v>11365.2</v>
      </c>
      <c r="AZ68" s="105">
        <v>12</v>
      </c>
      <c r="BA68" s="105">
        <v>12398.400000000001</v>
      </c>
      <c r="BB68" s="105">
        <v>7</v>
      </c>
      <c r="BC68" s="105">
        <v>7232.4000000000005</v>
      </c>
      <c r="BD68" s="105">
        <v>14</v>
      </c>
      <c r="BE68" s="105">
        <v>14464.800000000001</v>
      </c>
      <c r="BF68" s="105">
        <v>8</v>
      </c>
      <c r="BG68" s="105">
        <v>8265.6</v>
      </c>
      <c r="BH68" s="105">
        <v>17</v>
      </c>
      <c r="BI68" s="105">
        <v>17564.400000000001</v>
      </c>
      <c r="BJ68" s="105">
        <v>9</v>
      </c>
      <c r="BK68" s="105">
        <v>9298.8000000000011</v>
      </c>
      <c r="BL68" s="105">
        <v>18</v>
      </c>
      <c r="BM68" s="105">
        <v>18597.600000000002</v>
      </c>
      <c r="BN68" s="105">
        <v>13</v>
      </c>
      <c r="BO68" s="105">
        <v>13431.6</v>
      </c>
      <c r="BP68" s="105">
        <v>20</v>
      </c>
      <c r="BQ68" s="105">
        <v>20664</v>
      </c>
      <c r="BR68" s="105">
        <v>2.5563026095980415</v>
      </c>
      <c r="BS68" s="105">
        <v>2641.1718562366964</v>
      </c>
      <c r="BT68" s="105">
        <v>9.6455498661069772</v>
      </c>
      <c r="BU68" s="105">
        <v>9965.7821216617285</v>
      </c>
      <c r="BV68" s="105">
        <v>24</v>
      </c>
      <c r="BW68" s="105">
        <v>24796.800000000003</v>
      </c>
      <c r="BX68" s="105">
        <v>11.066079588377249</v>
      </c>
      <c r="BY68" s="105">
        <v>11433.473430711374</v>
      </c>
      <c r="BZ68" s="105">
        <v>1.9558819993129515</v>
      </c>
      <c r="CA68" s="105">
        <v>2020.8172816901415</v>
      </c>
      <c r="CB68" s="105">
        <v>23.425545758794211</v>
      </c>
      <c r="CC68" s="105">
        <v>24203.273877986179</v>
      </c>
      <c r="CD68" s="105">
        <v>14.77611629391901</v>
      </c>
      <c r="CE68" s="105">
        <v>15266.683354877121</v>
      </c>
      <c r="CF68" s="105">
        <v>0.97871052631578981</v>
      </c>
      <c r="CG68" s="105">
        <v>1011.203715789474</v>
      </c>
      <c r="CH68" s="105">
        <v>11.382163676479038</v>
      </c>
      <c r="CI68" s="105">
        <v>11760.051510538144</v>
      </c>
      <c r="CJ68" s="105">
        <v>7.1755501637742274</v>
      </c>
      <c r="CK68" s="105">
        <v>7413.7784292115321</v>
      </c>
      <c r="CL68" s="105">
        <v>29.531875692865146</v>
      </c>
      <c r="CM68" s="105">
        <v>30512.333965868271</v>
      </c>
      <c r="CN68" s="105">
        <v>16.211492315626625</v>
      </c>
      <c r="CO68" s="105">
        <v>16749.713860505432</v>
      </c>
      <c r="CP68" s="105">
        <v>8.8738131716312427</v>
      </c>
      <c r="CQ68" s="105">
        <v>9168.4237689294005</v>
      </c>
      <c r="CR68" s="105">
        <v>1.6186795405883452</v>
      </c>
      <c r="CS68" s="105">
        <v>1672.4197013358782</v>
      </c>
      <c r="CT68" s="105">
        <v>9.8239658398575287</v>
      </c>
      <c r="CU68" s="105">
        <v>10150.121505740799</v>
      </c>
    </row>
    <row r="69" spans="2:99" x14ac:dyDescent="0.25">
      <c r="C69" s="104" t="s">
        <v>234</v>
      </c>
      <c r="D69" s="105">
        <v>0</v>
      </c>
      <c r="E69" s="105">
        <v>0</v>
      </c>
      <c r="F69" s="105">
        <v>0</v>
      </c>
      <c r="G69" s="105">
        <v>0</v>
      </c>
      <c r="H69" s="105">
        <v>2</v>
      </c>
      <c r="I69" s="105">
        <v>1516.8</v>
      </c>
      <c r="J69" s="105">
        <v>3</v>
      </c>
      <c r="K69" s="105">
        <v>2275.1999999999998</v>
      </c>
      <c r="L69" s="105">
        <v>5</v>
      </c>
      <c r="M69" s="105">
        <v>3792</v>
      </c>
      <c r="N69" s="105">
        <v>5</v>
      </c>
      <c r="O69" s="105">
        <v>3792</v>
      </c>
      <c r="P69" s="105">
        <v>4</v>
      </c>
      <c r="Q69" s="105">
        <v>3033.6</v>
      </c>
      <c r="R69" s="105">
        <v>5</v>
      </c>
      <c r="S69" s="105">
        <v>3792</v>
      </c>
      <c r="T69" s="105">
        <v>6</v>
      </c>
      <c r="U69" s="105">
        <v>4550.3999999999996</v>
      </c>
      <c r="V69" s="105">
        <v>5</v>
      </c>
      <c r="W69" s="105">
        <v>3792</v>
      </c>
      <c r="X69" s="105">
        <v>5</v>
      </c>
      <c r="Y69" s="105">
        <v>3792</v>
      </c>
      <c r="Z69" s="105">
        <v>4</v>
      </c>
      <c r="AA69" s="105">
        <v>3033.6</v>
      </c>
      <c r="AB69" s="105">
        <v>5</v>
      </c>
      <c r="AC69" s="105">
        <v>3792</v>
      </c>
      <c r="AD69" s="105">
        <v>7</v>
      </c>
      <c r="AE69" s="105">
        <v>5308.8</v>
      </c>
      <c r="AF69" s="105">
        <v>6</v>
      </c>
      <c r="AG69" s="105">
        <v>4550.3999999999996</v>
      </c>
      <c r="AH69" s="105">
        <v>4</v>
      </c>
      <c r="AI69" s="105">
        <v>3033.6</v>
      </c>
      <c r="AJ69" s="105">
        <v>5</v>
      </c>
      <c r="AK69" s="105">
        <v>3792</v>
      </c>
      <c r="AL69" s="105">
        <v>8</v>
      </c>
      <c r="AM69" s="105">
        <v>6067.2</v>
      </c>
      <c r="AN69" s="105">
        <v>5</v>
      </c>
      <c r="AO69" s="105">
        <v>3792</v>
      </c>
      <c r="AP69" s="105">
        <v>9</v>
      </c>
      <c r="AQ69" s="105">
        <v>6825.5999999999995</v>
      </c>
      <c r="AR69" s="105">
        <v>7</v>
      </c>
      <c r="AS69" s="105">
        <v>5308.8</v>
      </c>
      <c r="AT69" s="105">
        <v>9</v>
      </c>
      <c r="AU69" s="105">
        <v>6825.5999999999995</v>
      </c>
      <c r="AV69" s="105">
        <v>11</v>
      </c>
      <c r="AW69" s="105">
        <v>8342.4</v>
      </c>
      <c r="AX69" s="105">
        <v>12</v>
      </c>
      <c r="AY69" s="105">
        <v>9100.7999999999993</v>
      </c>
      <c r="AZ69" s="105">
        <v>14</v>
      </c>
      <c r="BA69" s="105">
        <v>10617.6</v>
      </c>
      <c r="BB69" s="105">
        <v>8</v>
      </c>
      <c r="BC69" s="105">
        <v>6067.2</v>
      </c>
      <c r="BD69" s="105">
        <v>14</v>
      </c>
      <c r="BE69" s="105">
        <v>10617.6</v>
      </c>
      <c r="BF69" s="105">
        <v>10</v>
      </c>
      <c r="BG69" s="105">
        <v>7584</v>
      </c>
      <c r="BH69" s="105">
        <v>17</v>
      </c>
      <c r="BI69" s="105">
        <v>12892.8</v>
      </c>
      <c r="BJ69" s="105">
        <v>11</v>
      </c>
      <c r="BK69" s="105">
        <v>8342.4</v>
      </c>
      <c r="BL69" s="105">
        <v>17</v>
      </c>
      <c r="BM69" s="105">
        <v>12892.8</v>
      </c>
      <c r="BN69" s="105">
        <v>15</v>
      </c>
      <c r="BO69" s="105">
        <v>11376</v>
      </c>
      <c r="BP69" s="105">
        <v>21</v>
      </c>
      <c r="BQ69" s="105">
        <v>15926.4</v>
      </c>
      <c r="BR69" s="105">
        <v>2.2077158901073992</v>
      </c>
      <c r="BS69" s="105">
        <v>1674.3317310574514</v>
      </c>
      <c r="BT69" s="105">
        <v>10.181413747557365</v>
      </c>
      <c r="BU69" s="105">
        <v>7721.5841861475046</v>
      </c>
      <c r="BV69" s="105">
        <v>26</v>
      </c>
      <c r="BW69" s="105">
        <v>19718.399999999998</v>
      </c>
      <c r="BX69" s="105">
        <v>11.411894575514038</v>
      </c>
      <c r="BY69" s="105">
        <v>8654.780846069847</v>
      </c>
      <c r="BZ69" s="105">
        <v>2.0210780659567167</v>
      </c>
      <c r="CA69" s="105">
        <v>1532.7856052215739</v>
      </c>
      <c r="CB69" s="105">
        <v>25.621690673681169</v>
      </c>
      <c r="CC69" s="105">
        <v>19431.490206919796</v>
      </c>
      <c r="CD69" s="105">
        <v>13.4413427045652</v>
      </c>
      <c r="CE69" s="105">
        <v>10193.914307142248</v>
      </c>
      <c r="CF69" s="105">
        <v>0.88550000000000018</v>
      </c>
      <c r="CG69" s="105">
        <v>671.56320000000017</v>
      </c>
      <c r="CH69" s="105">
        <v>12.733668208831528</v>
      </c>
      <c r="CI69" s="105">
        <v>9657.2139695778296</v>
      </c>
      <c r="CJ69" s="105">
        <v>7.3386308493145513</v>
      </c>
      <c r="CK69" s="105">
        <v>5565.617636120156</v>
      </c>
      <c r="CL69" s="105">
        <v>29.551183881341856</v>
      </c>
      <c r="CM69" s="105">
        <v>22411.617855609664</v>
      </c>
      <c r="CN69" s="105">
        <v>17.081524429090944</v>
      </c>
      <c r="CO69" s="105">
        <v>12954.628127022572</v>
      </c>
      <c r="CP69" s="105">
        <v>8.5678196139887852</v>
      </c>
      <c r="CQ69" s="105">
        <v>6497.8343952490941</v>
      </c>
      <c r="CR69" s="105">
        <v>1.504688023645504</v>
      </c>
      <c r="CS69" s="105">
        <v>1141.1553971327503</v>
      </c>
      <c r="CT69" s="105">
        <v>9.3680852401952599</v>
      </c>
      <c r="CU69" s="105">
        <v>7104.7558461640847</v>
      </c>
    </row>
    <row r="70" spans="2:99" x14ac:dyDescent="0.25">
      <c r="C70" s="104" t="s">
        <v>235</v>
      </c>
      <c r="D70" s="105">
        <v>0</v>
      </c>
      <c r="E70" s="105">
        <v>0</v>
      </c>
      <c r="F70" s="105">
        <v>0</v>
      </c>
      <c r="G70" s="105">
        <v>0</v>
      </c>
      <c r="H70" s="105">
        <v>3</v>
      </c>
      <c r="I70" s="105">
        <v>1605.6</v>
      </c>
      <c r="J70" s="105">
        <v>3</v>
      </c>
      <c r="K70" s="105">
        <v>1605.6</v>
      </c>
      <c r="L70" s="105">
        <v>6</v>
      </c>
      <c r="M70" s="105">
        <v>3211.2</v>
      </c>
      <c r="N70" s="105">
        <v>4</v>
      </c>
      <c r="O70" s="105">
        <v>2140.7999999999997</v>
      </c>
      <c r="P70" s="105">
        <v>4</v>
      </c>
      <c r="Q70" s="105">
        <v>2140.7999999999997</v>
      </c>
      <c r="R70" s="105">
        <v>4</v>
      </c>
      <c r="S70" s="105">
        <v>2140.7999999999997</v>
      </c>
      <c r="T70" s="105">
        <v>5</v>
      </c>
      <c r="U70" s="105">
        <v>2675.9999999999995</v>
      </c>
      <c r="V70" s="105">
        <v>5</v>
      </c>
      <c r="W70" s="105">
        <v>2675.9999999999995</v>
      </c>
      <c r="X70" s="105">
        <v>4</v>
      </c>
      <c r="Y70" s="105">
        <v>2140.7999999999997</v>
      </c>
      <c r="Z70" s="105">
        <v>4</v>
      </c>
      <c r="AA70" s="105">
        <v>2140.7999999999997</v>
      </c>
      <c r="AB70" s="105">
        <v>6</v>
      </c>
      <c r="AC70" s="105">
        <v>3211.2</v>
      </c>
      <c r="AD70" s="105">
        <v>7</v>
      </c>
      <c r="AE70" s="105">
        <v>3746.3999999999996</v>
      </c>
      <c r="AF70" s="105">
        <v>6</v>
      </c>
      <c r="AG70" s="105">
        <v>3211.2</v>
      </c>
      <c r="AH70" s="105">
        <v>5</v>
      </c>
      <c r="AI70" s="105">
        <v>2675.9999999999995</v>
      </c>
      <c r="AJ70" s="105">
        <v>5</v>
      </c>
      <c r="AK70" s="105">
        <v>2675.9999999999995</v>
      </c>
      <c r="AL70" s="105">
        <v>9</v>
      </c>
      <c r="AM70" s="105">
        <v>4816.7999999999993</v>
      </c>
      <c r="AN70" s="105">
        <v>5</v>
      </c>
      <c r="AO70" s="105">
        <v>2675.9999999999995</v>
      </c>
      <c r="AP70" s="105">
        <v>9</v>
      </c>
      <c r="AQ70" s="105">
        <v>4816.7999999999993</v>
      </c>
      <c r="AR70" s="105">
        <v>7</v>
      </c>
      <c r="AS70" s="105">
        <v>3746.3999999999996</v>
      </c>
      <c r="AT70" s="105">
        <v>10</v>
      </c>
      <c r="AU70" s="105">
        <v>5351.9999999999991</v>
      </c>
      <c r="AV70" s="105">
        <v>11</v>
      </c>
      <c r="AW70" s="105">
        <v>5887.1999999999989</v>
      </c>
      <c r="AX70" s="105">
        <v>11</v>
      </c>
      <c r="AY70" s="105">
        <v>5887.1999999999989</v>
      </c>
      <c r="AZ70" s="105">
        <v>13</v>
      </c>
      <c r="BA70" s="105">
        <v>6957.5999999999995</v>
      </c>
      <c r="BB70" s="105">
        <v>8</v>
      </c>
      <c r="BC70" s="105">
        <v>4281.5999999999995</v>
      </c>
      <c r="BD70" s="105">
        <v>14</v>
      </c>
      <c r="BE70" s="105">
        <v>7492.7999999999993</v>
      </c>
      <c r="BF70" s="105">
        <v>9</v>
      </c>
      <c r="BG70" s="105">
        <v>4816.7999999999993</v>
      </c>
      <c r="BH70" s="105">
        <v>17</v>
      </c>
      <c r="BI70" s="105">
        <v>9098.4</v>
      </c>
      <c r="BJ70" s="105">
        <v>9</v>
      </c>
      <c r="BK70" s="105">
        <v>4816.7999999999993</v>
      </c>
      <c r="BL70" s="105">
        <v>18</v>
      </c>
      <c r="BM70" s="105">
        <v>9633.5999999999985</v>
      </c>
      <c r="BN70" s="105">
        <v>15</v>
      </c>
      <c r="BO70" s="105">
        <v>8027.9999999999991</v>
      </c>
      <c r="BP70" s="105">
        <v>21</v>
      </c>
      <c r="BQ70" s="105">
        <v>11239.199999999999</v>
      </c>
      <c r="BR70" s="105">
        <v>2.5563026095980415</v>
      </c>
      <c r="BS70" s="105">
        <v>1368.1331566568715</v>
      </c>
      <c r="BT70" s="105">
        <v>10.717277629007754</v>
      </c>
      <c r="BU70" s="105">
        <v>5735.8869870449489</v>
      </c>
      <c r="BV70" s="105">
        <v>27</v>
      </c>
      <c r="BW70" s="105">
        <v>14450.399999999998</v>
      </c>
      <c r="BX70" s="105">
        <v>11.757709562650827</v>
      </c>
      <c r="BY70" s="105">
        <v>6292.7261579307224</v>
      </c>
      <c r="BZ70" s="105">
        <v>1.9558819993129515</v>
      </c>
      <c r="CA70" s="105">
        <v>1046.7880460322915</v>
      </c>
      <c r="CB70" s="105">
        <v>24.15759406375653</v>
      </c>
      <c r="CC70" s="105">
        <v>12929.144342922493</v>
      </c>
      <c r="CD70" s="105">
        <v>13.862359735031061</v>
      </c>
      <c r="CE70" s="105">
        <v>7419.134930188623</v>
      </c>
      <c r="CF70" s="105">
        <v>0.90880263157894758</v>
      </c>
      <c r="CG70" s="105">
        <v>486.39116842105267</v>
      </c>
      <c r="CH70" s="105">
        <v>13.646571189722494</v>
      </c>
      <c r="CI70" s="105">
        <v>7303.6449007394776</v>
      </c>
      <c r="CJ70" s="105">
        <v>8.1540342770161676</v>
      </c>
      <c r="CK70" s="105">
        <v>4364.0391450590523</v>
      </c>
      <c r="CL70" s="105">
        <v>31.576172589845743</v>
      </c>
      <c r="CM70" s="105">
        <v>16899.567570085441</v>
      </c>
      <c r="CN70" s="105">
        <v>19.710223228540528</v>
      </c>
      <c r="CO70" s="105">
        <v>10548.911471914889</v>
      </c>
      <c r="CP70" s="105">
        <v>9.6897959920111258</v>
      </c>
      <c r="CQ70" s="105">
        <v>5185.9788149243541</v>
      </c>
      <c r="CR70" s="105">
        <v>1.7326710575311863</v>
      </c>
      <c r="CS70" s="105">
        <v>927.32554999069077</v>
      </c>
      <c r="CT70" s="105">
        <v>11.092718567637942</v>
      </c>
      <c r="CU70" s="105">
        <v>5936.8229773998255</v>
      </c>
    </row>
    <row r="71" spans="2:99" x14ac:dyDescent="0.25">
      <c r="B71" s="104" t="s">
        <v>130</v>
      </c>
      <c r="C71" s="104" t="s">
        <v>236</v>
      </c>
      <c r="D71" s="105">
        <v>0</v>
      </c>
      <c r="E71" s="105">
        <v>0</v>
      </c>
      <c r="F71" s="105">
        <v>0</v>
      </c>
      <c r="G71" s="105">
        <v>0</v>
      </c>
      <c r="H71" s="105">
        <v>3</v>
      </c>
      <c r="I71" s="105">
        <v>1692</v>
      </c>
      <c r="J71" s="105">
        <v>2</v>
      </c>
      <c r="K71" s="105">
        <v>1128</v>
      </c>
      <c r="L71" s="105">
        <v>3</v>
      </c>
      <c r="M71" s="105">
        <v>1692</v>
      </c>
      <c r="N71" s="105">
        <v>3</v>
      </c>
      <c r="O71" s="105">
        <v>1692</v>
      </c>
      <c r="P71" s="105">
        <v>3</v>
      </c>
      <c r="Q71" s="105">
        <v>1692</v>
      </c>
      <c r="R71" s="105">
        <v>3</v>
      </c>
      <c r="S71" s="105">
        <v>1692</v>
      </c>
      <c r="T71" s="105">
        <v>5</v>
      </c>
      <c r="U71" s="105">
        <v>2820</v>
      </c>
      <c r="V71" s="105">
        <v>4</v>
      </c>
      <c r="W71" s="105">
        <v>2256</v>
      </c>
      <c r="X71" s="105">
        <v>4</v>
      </c>
      <c r="Y71" s="105">
        <v>2256</v>
      </c>
      <c r="Z71" s="105">
        <v>4</v>
      </c>
      <c r="AA71" s="105">
        <v>2256</v>
      </c>
      <c r="AB71" s="105">
        <v>6</v>
      </c>
      <c r="AC71" s="105">
        <v>3384</v>
      </c>
      <c r="AD71" s="105">
        <v>6</v>
      </c>
      <c r="AE71" s="105">
        <v>3384</v>
      </c>
      <c r="AF71" s="105">
        <v>5</v>
      </c>
      <c r="AG71" s="105">
        <v>2820</v>
      </c>
      <c r="AH71" s="105">
        <v>5</v>
      </c>
      <c r="AI71" s="105">
        <v>2820</v>
      </c>
      <c r="AJ71" s="105">
        <v>7</v>
      </c>
      <c r="AK71" s="105">
        <v>3948</v>
      </c>
      <c r="AL71" s="105">
        <v>4</v>
      </c>
      <c r="AM71" s="105">
        <v>2256</v>
      </c>
      <c r="AN71" s="105">
        <v>4</v>
      </c>
      <c r="AO71" s="105">
        <v>2256</v>
      </c>
      <c r="AP71" s="105">
        <v>8</v>
      </c>
      <c r="AQ71" s="105">
        <v>4512</v>
      </c>
      <c r="AR71" s="105">
        <v>8</v>
      </c>
      <c r="AS71" s="105">
        <v>4512</v>
      </c>
      <c r="AT71" s="105">
        <v>8</v>
      </c>
      <c r="AU71" s="105">
        <v>4512</v>
      </c>
      <c r="AV71" s="105">
        <v>9</v>
      </c>
      <c r="AW71" s="105">
        <v>5076</v>
      </c>
      <c r="AX71" s="105">
        <v>10</v>
      </c>
      <c r="AY71" s="105">
        <v>5640</v>
      </c>
      <c r="AZ71" s="105">
        <v>9</v>
      </c>
      <c r="BA71" s="105">
        <v>5076</v>
      </c>
      <c r="BB71" s="105">
        <v>7</v>
      </c>
      <c r="BC71" s="105">
        <v>3948</v>
      </c>
      <c r="BD71" s="105">
        <v>14</v>
      </c>
      <c r="BE71" s="105">
        <v>7896</v>
      </c>
      <c r="BF71" s="105">
        <v>11</v>
      </c>
      <c r="BG71" s="105">
        <v>6204</v>
      </c>
      <c r="BH71" s="105">
        <v>3.4029898916475023</v>
      </c>
      <c r="BI71" s="105">
        <v>1919.2862988891914</v>
      </c>
      <c r="BJ71" s="105">
        <v>13</v>
      </c>
      <c r="BK71" s="105">
        <v>7332</v>
      </c>
      <c r="BL71" s="105">
        <v>13</v>
      </c>
      <c r="BM71" s="105">
        <v>7332</v>
      </c>
      <c r="BN71" s="105">
        <v>6.6632948590653269</v>
      </c>
      <c r="BO71" s="105">
        <v>3758.0983005128442</v>
      </c>
      <c r="BP71" s="105">
        <v>26</v>
      </c>
      <c r="BQ71" s="105">
        <v>14664</v>
      </c>
      <c r="BR71" s="105">
        <v>0.98716435092295485</v>
      </c>
      <c r="BS71" s="105">
        <v>556.76069392054649</v>
      </c>
      <c r="BT71" s="105">
        <v>16.809787323587734</v>
      </c>
      <c r="BU71" s="105">
        <v>9480.7200505034816</v>
      </c>
      <c r="BV71" s="105">
        <v>8.643709575800635</v>
      </c>
      <c r="BW71" s="105">
        <v>4875.0522007515583</v>
      </c>
      <c r="BX71" s="105">
        <v>15.453701005025128</v>
      </c>
      <c r="BY71" s="105">
        <v>8715.8873668341712</v>
      </c>
      <c r="BZ71" s="105">
        <v>1.5511363636363646</v>
      </c>
      <c r="CA71" s="105">
        <v>874.84090909090969</v>
      </c>
      <c r="CB71" s="105">
        <v>13.852997996302992</v>
      </c>
      <c r="CC71" s="105">
        <v>7813.0908699148877</v>
      </c>
      <c r="CD71" s="105">
        <v>2.0447502014504435</v>
      </c>
      <c r="CE71" s="105">
        <v>1153.2391136180502</v>
      </c>
      <c r="CF71" s="105">
        <v>0.73108263482499503</v>
      </c>
      <c r="CG71" s="105">
        <v>412.33060604129719</v>
      </c>
      <c r="CH71" s="105">
        <v>10.591540241875462</v>
      </c>
      <c r="CI71" s="105">
        <v>5973.6286964177607</v>
      </c>
      <c r="CJ71" s="105">
        <v>9.7111954256785769</v>
      </c>
      <c r="CK71" s="105">
        <v>5477.1142200827171</v>
      </c>
      <c r="CL71" s="105">
        <v>20.941289275958333</v>
      </c>
      <c r="CM71" s="105">
        <v>11810.8871516405</v>
      </c>
      <c r="CN71" s="105">
        <v>2.5355976894058476</v>
      </c>
      <c r="CO71" s="105">
        <v>1430.077096824898</v>
      </c>
      <c r="CP71" s="105">
        <v>10.478646749038345</v>
      </c>
      <c r="CQ71" s="105">
        <v>5909.9567664576271</v>
      </c>
      <c r="CR71" s="105">
        <v>12.955681567509773</v>
      </c>
      <c r="CS71" s="105">
        <v>7307.004404075512</v>
      </c>
      <c r="CT71" s="105">
        <v>1.9882616772823782</v>
      </c>
      <c r="CU71" s="105">
        <v>1121.3795859872614</v>
      </c>
    </row>
    <row r="72" spans="2:99" x14ac:dyDescent="0.25">
      <c r="C72" s="104" t="s">
        <v>237</v>
      </c>
      <c r="D72" s="105">
        <v>0</v>
      </c>
      <c r="E72" s="105">
        <v>0</v>
      </c>
      <c r="F72" s="105">
        <v>0</v>
      </c>
      <c r="G72" s="105">
        <v>0</v>
      </c>
      <c r="H72" s="105">
        <v>4</v>
      </c>
      <c r="I72" s="105">
        <v>297.59999999999997</v>
      </c>
      <c r="J72" s="105">
        <v>3</v>
      </c>
      <c r="K72" s="105">
        <v>223.2</v>
      </c>
      <c r="L72" s="105">
        <v>3</v>
      </c>
      <c r="M72" s="105">
        <v>223.2</v>
      </c>
      <c r="N72" s="105">
        <v>3</v>
      </c>
      <c r="O72" s="105">
        <v>223.2</v>
      </c>
      <c r="P72" s="105">
        <v>4</v>
      </c>
      <c r="Q72" s="105">
        <v>297.59999999999997</v>
      </c>
      <c r="R72" s="105">
        <v>4</v>
      </c>
      <c r="S72" s="105">
        <v>297.59999999999997</v>
      </c>
      <c r="T72" s="105">
        <v>5</v>
      </c>
      <c r="U72" s="105">
        <v>371.99999999999994</v>
      </c>
      <c r="V72" s="105">
        <v>4</v>
      </c>
      <c r="W72" s="105">
        <v>297.59999999999997</v>
      </c>
      <c r="X72" s="105">
        <v>4</v>
      </c>
      <c r="Y72" s="105">
        <v>297.59999999999997</v>
      </c>
      <c r="Z72" s="105">
        <v>4</v>
      </c>
      <c r="AA72" s="105">
        <v>297.59999999999997</v>
      </c>
      <c r="AB72" s="105">
        <v>6</v>
      </c>
      <c r="AC72" s="105">
        <v>446.4</v>
      </c>
      <c r="AD72" s="105">
        <v>6</v>
      </c>
      <c r="AE72" s="105">
        <v>446.4</v>
      </c>
      <c r="AF72" s="105">
        <v>5</v>
      </c>
      <c r="AG72" s="105">
        <v>371.99999999999994</v>
      </c>
      <c r="AH72" s="105">
        <v>5</v>
      </c>
      <c r="AI72" s="105">
        <v>371.99999999999994</v>
      </c>
      <c r="AJ72" s="105">
        <v>7</v>
      </c>
      <c r="AK72" s="105">
        <v>520.79999999999995</v>
      </c>
      <c r="AL72" s="105">
        <v>5</v>
      </c>
      <c r="AM72" s="105">
        <v>371.99999999999994</v>
      </c>
      <c r="AN72" s="105">
        <v>5</v>
      </c>
      <c r="AO72" s="105">
        <v>371.99999999999994</v>
      </c>
      <c r="AP72" s="105">
        <v>7</v>
      </c>
      <c r="AQ72" s="105">
        <v>520.79999999999995</v>
      </c>
      <c r="AR72" s="105">
        <v>8</v>
      </c>
      <c r="AS72" s="105">
        <v>595.19999999999993</v>
      </c>
      <c r="AT72" s="105">
        <v>9</v>
      </c>
      <c r="AU72" s="105">
        <v>669.59999999999991</v>
      </c>
      <c r="AV72" s="105">
        <v>10</v>
      </c>
      <c r="AW72" s="105">
        <v>743.99999999999989</v>
      </c>
      <c r="AX72" s="105">
        <v>10</v>
      </c>
      <c r="AY72" s="105">
        <v>743.99999999999989</v>
      </c>
      <c r="AZ72" s="105">
        <v>8</v>
      </c>
      <c r="BA72" s="105">
        <v>595.19999999999993</v>
      </c>
      <c r="BB72" s="105">
        <v>7</v>
      </c>
      <c r="BC72" s="105">
        <v>520.79999999999995</v>
      </c>
      <c r="BD72" s="105">
        <v>12</v>
      </c>
      <c r="BE72" s="105">
        <v>892.8</v>
      </c>
      <c r="BF72" s="105">
        <v>10</v>
      </c>
      <c r="BG72" s="105">
        <v>743.99999999999989</v>
      </c>
      <c r="BH72" s="105">
        <v>3.7810998796083362</v>
      </c>
      <c r="BI72" s="105">
        <v>281.31383104286016</v>
      </c>
      <c r="BJ72" s="105">
        <v>15</v>
      </c>
      <c r="BK72" s="105">
        <v>1115.9999999999998</v>
      </c>
      <c r="BL72" s="105">
        <v>13</v>
      </c>
      <c r="BM72" s="105">
        <v>967.19999999999993</v>
      </c>
      <c r="BN72" s="105">
        <v>7.4036609545170293</v>
      </c>
      <c r="BO72" s="105">
        <v>550.83237501606686</v>
      </c>
      <c r="BP72" s="105">
        <v>26</v>
      </c>
      <c r="BQ72" s="105">
        <v>1934.3999999999999</v>
      </c>
      <c r="BR72" s="105">
        <v>1.1352390035613982</v>
      </c>
      <c r="BS72" s="105">
        <v>84.461781864968017</v>
      </c>
      <c r="BT72" s="105">
        <v>18.271507960421449</v>
      </c>
      <c r="BU72" s="105">
        <v>1359.4001922553557</v>
      </c>
      <c r="BV72" s="105">
        <v>8.643709575800635</v>
      </c>
      <c r="BW72" s="105">
        <v>643.09199243956721</v>
      </c>
      <c r="BX72" s="105">
        <v>13.736623115577892</v>
      </c>
      <c r="BY72" s="105">
        <v>1022.004759798995</v>
      </c>
      <c r="BZ72" s="105">
        <v>1.4957386363636374</v>
      </c>
      <c r="CA72" s="105">
        <v>111.2829545454546</v>
      </c>
      <c r="CB72" s="105">
        <v>16.169876864478219</v>
      </c>
      <c r="CC72" s="105">
        <v>1203.0388387171793</v>
      </c>
      <c r="CD72" s="105">
        <v>2.4829109589041098</v>
      </c>
      <c r="CE72" s="105">
        <v>184.72857534246575</v>
      </c>
      <c r="CF72" s="105">
        <v>0.86332010309511609</v>
      </c>
      <c r="CG72" s="105">
        <v>64.231015670276634</v>
      </c>
      <c r="CH72" s="105">
        <v>11.512198883515644</v>
      </c>
      <c r="CI72" s="105">
        <v>856.50759693356383</v>
      </c>
      <c r="CJ72" s="105">
        <v>11.252613287350608</v>
      </c>
      <c r="CK72" s="105">
        <v>837.19442857888509</v>
      </c>
      <c r="CL72" s="105">
        <v>23.159687951855286</v>
      </c>
      <c r="CM72" s="105">
        <v>1723.0807836180331</v>
      </c>
      <c r="CN72" s="105">
        <v>2.7350267211568693</v>
      </c>
      <c r="CO72" s="105">
        <v>203.48598805407104</v>
      </c>
      <c r="CP72" s="105">
        <v>12.044520881640619</v>
      </c>
      <c r="CQ72" s="105">
        <v>896.11235359406191</v>
      </c>
      <c r="CR72" s="105">
        <v>16.548590340140244</v>
      </c>
      <c r="CS72" s="105">
        <v>1231.215121306434</v>
      </c>
      <c r="CT72" s="105">
        <v>2.5654989384288749</v>
      </c>
      <c r="CU72" s="105">
        <v>190.87312101910828</v>
      </c>
    </row>
    <row r="73" spans="2:99" x14ac:dyDescent="0.25">
      <c r="C73" s="104" t="s">
        <v>238</v>
      </c>
      <c r="D73" s="105">
        <v>0</v>
      </c>
      <c r="E73" s="105">
        <v>0</v>
      </c>
      <c r="F73" s="105">
        <v>0</v>
      </c>
      <c r="G73" s="105">
        <v>0</v>
      </c>
      <c r="H73" s="105">
        <v>4</v>
      </c>
      <c r="I73" s="105">
        <v>2236.7999999999997</v>
      </c>
      <c r="J73" s="105">
        <v>3</v>
      </c>
      <c r="K73" s="105">
        <v>1677.6</v>
      </c>
      <c r="L73" s="105">
        <v>3</v>
      </c>
      <c r="M73" s="105">
        <v>1677.6</v>
      </c>
      <c r="N73" s="105">
        <v>3</v>
      </c>
      <c r="O73" s="105">
        <v>1677.6</v>
      </c>
      <c r="P73" s="105">
        <v>4</v>
      </c>
      <c r="Q73" s="105">
        <v>2236.7999999999997</v>
      </c>
      <c r="R73" s="105">
        <v>3</v>
      </c>
      <c r="S73" s="105">
        <v>1677.6</v>
      </c>
      <c r="T73" s="105">
        <v>5</v>
      </c>
      <c r="U73" s="105">
        <v>2795.9999999999995</v>
      </c>
      <c r="V73" s="105">
        <v>5</v>
      </c>
      <c r="W73" s="105">
        <v>2795.9999999999995</v>
      </c>
      <c r="X73" s="105">
        <v>4</v>
      </c>
      <c r="Y73" s="105">
        <v>2236.7999999999997</v>
      </c>
      <c r="Z73" s="105">
        <v>4</v>
      </c>
      <c r="AA73" s="105">
        <v>2236.7999999999997</v>
      </c>
      <c r="AB73" s="105">
        <v>6</v>
      </c>
      <c r="AC73" s="105">
        <v>3355.2</v>
      </c>
      <c r="AD73" s="105">
        <v>6</v>
      </c>
      <c r="AE73" s="105">
        <v>3355.2</v>
      </c>
      <c r="AF73" s="105">
        <v>5</v>
      </c>
      <c r="AG73" s="105">
        <v>2795.9999999999995</v>
      </c>
      <c r="AH73" s="105">
        <v>5</v>
      </c>
      <c r="AI73" s="105">
        <v>2795.9999999999995</v>
      </c>
      <c r="AJ73" s="105">
        <v>7</v>
      </c>
      <c r="AK73" s="105">
        <v>3914.3999999999996</v>
      </c>
      <c r="AL73" s="105">
        <v>4</v>
      </c>
      <c r="AM73" s="105">
        <v>2236.7999999999997</v>
      </c>
      <c r="AN73" s="105">
        <v>5</v>
      </c>
      <c r="AO73" s="105">
        <v>2795.9999999999995</v>
      </c>
      <c r="AP73" s="105">
        <v>8</v>
      </c>
      <c r="AQ73" s="105">
        <v>4473.5999999999995</v>
      </c>
      <c r="AR73" s="105">
        <v>9</v>
      </c>
      <c r="AS73" s="105">
        <v>5032.7999999999993</v>
      </c>
      <c r="AT73" s="105">
        <v>8</v>
      </c>
      <c r="AU73" s="105">
        <v>4473.5999999999995</v>
      </c>
      <c r="AV73" s="105">
        <v>10</v>
      </c>
      <c r="AW73" s="105">
        <v>5591.9999999999991</v>
      </c>
      <c r="AX73" s="105">
        <v>10</v>
      </c>
      <c r="AY73" s="105">
        <v>5591.9999999999991</v>
      </c>
      <c r="AZ73" s="105">
        <v>9</v>
      </c>
      <c r="BA73" s="105">
        <v>5032.7999999999993</v>
      </c>
      <c r="BB73" s="105">
        <v>7</v>
      </c>
      <c r="BC73" s="105">
        <v>3914.3999999999996</v>
      </c>
      <c r="BD73" s="105">
        <v>12</v>
      </c>
      <c r="BE73" s="105">
        <v>6710.4</v>
      </c>
      <c r="BF73" s="105">
        <v>10</v>
      </c>
      <c r="BG73" s="105">
        <v>5591.9999999999991</v>
      </c>
      <c r="BH73" s="105">
        <v>3.7810998796083362</v>
      </c>
      <c r="BI73" s="105">
        <v>2114.3910526769814</v>
      </c>
      <c r="BJ73" s="105">
        <v>13</v>
      </c>
      <c r="BK73" s="105">
        <v>7269.5999999999995</v>
      </c>
      <c r="BL73" s="105">
        <v>13</v>
      </c>
      <c r="BM73" s="105">
        <v>7269.5999999999995</v>
      </c>
      <c r="BN73" s="105">
        <v>6.6632948590653269</v>
      </c>
      <c r="BO73" s="105">
        <v>3726.1144851893305</v>
      </c>
      <c r="BP73" s="105">
        <v>23</v>
      </c>
      <c r="BQ73" s="105">
        <v>12861.599999999999</v>
      </c>
      <c r="BR73" s="105">
        <v>1.0858807860152504</v>
      </c>
      <c r="BS73" s="105">
        <v>607.22453553972798</v>
      </c>
      <c r="BT73" s="105">
        <v>16.078927005170875</v>
      </c>
      <c r="BU73" s="105">
        <v>8991.3359812915533</v>
      </c>
      <c r="BV73" s="105">
        <v>9.2611174026435368</v>
      </c>
      <c r="BW73" s="105">
        <v>5178.8168515582647</v>
      </c>
      <c r="BX73" s="105">
        <v>14.165892587939702</v>
      </c>
      <c r="BY73" s="105">
        <v>7921.5671351758801</v>
      </c>
      <c r="BZ73" s="105">
        <v>1.3295454545454555</v>
      </c>
      <c r="CA73" s="105">
        <v>743.48181818181865</v>
      </c>
      <c r="CB73" s="105">
        <v>14.483029366979997</v>
      </c>
      <c r="CC73" s="105">
        <v>8098.9100220152131</v>
      </c>
      <c r="CD73" s="105">
        <v>2.2638305801772765</v>
      </c>
      <c r="CE73" s="105">
        <v>1265.9340604351328</v>
      </c>
      <c r="CF73" s="105">
        <v>0.6665824261210751</v>
      </c>
      <c r="CG73" s="105">
        <v>372.75289268690517</v>
      </c>
      <c r="CH73" s="105">
        <v>11.794500024381451</v>
      </c>
      <c r="CI73" s="105">
        <v>6595.4844136341062</v>
      </c>
      <c r="CJ73" s="105">
        <v>10.092918981508166</v>
      </c>
      <c r="CK73" s="105">
        <v>5643.9602944593662</v>
      </c>
      <c r="CL73" s="105">
        <v>21.598319045343477</v>
      </c>
      <c r="CM73" s="105">
        <v>12077.780010156072</v>
      </c>
      <c r="CN73" s="105">
        <v>2.5640875510845653</v>
      </c>
      <c r="CO73" s="105">
        <v>1433.8377585664887</v>
      </c>
      <c r="CP73" s="105">
        <v>10.925519390704405</v>
      </c>
      <c r="CQ73" s="105">
        <v>6109.5504432819025</v>
      </c>
      <c r="CR73" s="105">
        <v>13.385409731537676</v>
      </c>
      <c r="CS73" s="105">
        <v>7485.1211218758672</v>
      </c>
      <c r="CT73" s="105">
        <v>2.0523991507431001</v>
      </c>
      <c r="CU73" s="105">
        <v>1147.7016050955415</v>
      </c>
    </row>
    <row r="74" spans="2:99" x14ac:dyDescent="0.25">
      <c r="C74" s="104" t="s">
        <v>239</v>
      </c>
      <c r="D74" s="105">
        <v>0</v>
      </c>
      <c r="E74" s="105">
        <v>0</v>
      </c>
      <c r="F74" s="105">
        <v>0</v>
      </c>
      <c r="G74" s="105">
        <v>0</v>
      </c>
      <c r="H74" s="105">
        <v>4</v>
      </c>
      <c r="I74" s="105">
        <v>1612.8</v>
      </c>
      <c r="J74" s="105">
        <v>3</v>
      </c>
      <c r="K74" s="105">
        <v>1209.5999999999999</v>
      </c>
      <c r="L74" s="105">
        <v>3</v>
      </c>
      <c r="M74" s="105">
        <v>1209.5999999999999</v>
      </c>
      <c r="N74" s="105">
        <v>3</v>
      </c>
      <c r="O74" s="105">
        <v>1209.5999999999999</v>
      </c>
      <c r="P74" s="105">
        <v>3</v>
      </c>
      <c r="Q74" s="105">
        <v>1209.5999999999999</v>
      </c>
      <c r="R74" s="105">
        <v>4</v>
      </c>
      <c r="S74" s="105">
        <v>1612.8</v>
      </c>
      <c r="T74" s="105">
        <v>5</v>
      </c>
      <c r="U74" s="105">
        <v>2016</v>
      </c>
      <c r="V74" s="105">
        <v>4</v>
      </c>
      <c r="W74" s="105">
        <v>1612.8</v>
      </c>
      <c r="X74" s="105">
        <v>4</v>
      </c>
      <c r="Y74" s="105">
        <v>1612.8</v>
      </c>
      <c r="Z74" s="105">
        <v>4</v>
      </c>
      <c r="AA74" s="105">
        <v>1612.8</v>
      </c>
      <c r="AB74" s="105">
        <v>6</v>
      </c>
      <c r="AC74" s="105">
        <v>2419.1999999999998</v>
      </c>
      <c r="AD74" s="105">
        <v>6</v>
      </c>
      <c r="AE74" s="105">
        <v>2419.1999999999998</v>
      </c>
      <c r="AF74" s="105">
        <v>5</v>
      </c>
      <c r="AG74" s="105">
        <v>2016</v>
      </c>
      <c r="AH74" s="105">
        <v>6</v>
      </c>
      <c r="AI74" s="105">
        <v>2419.1999999999998</v>
      </c>
      <c r="AJ74" s="105">
        <v>6</v>
      </c>
      <c r="AK74" s="105">
        <v>2419.1999999999998</v>
      </c>
      <c r="AL74" s="105">
        <v>5</v>
      </c>
      <c r="AM74" s="105">
        <v>2016</v>
      </c>
      <c r="AN74" s="105">
        <v>5</v>
      </c>
      <c r="AO74" s="105">
        <v>2016</v>
      </c>
      <c r="AP74" s="105">
        <v>8</v>
      </c>
      <c r="AQ74" s="105">
        <v>3225.6</v>
      </c>
      <c r="AR74" s="105">
        <v>9</v>
      </c>
      <c r="AS74" s="105">
        <v>3628.7999999999997</v>
      </c>
      <c r="AT74" s="105">
        <v>8</v>
      </c>
      <c r="AU74" s="105">
        <v>3225.6</v>
      </c>
      <c r="AV74" s="105">
        <v>11</v>
      </c>
      <c r="AW74" s="105">
        <v>4435.2</v>
      </c>
      <c r="AX74" s="105">
        <v>9</v>
      </c>
      <c r="AY74" s="105">
        <v>3628.7999999999997</v>
      </c>
      <c r="AZ74" s="105">
        <v>8</v>
      </c>
      <c r="BA74" s="105">
        <v>3225.6</v>
      </c>
      <c r="BB74" s="105">
        <v>7</v>
      </c>
      <c r="BC74" s="105">
        <v>2822.4</v>
      </c>
      <c r="BD74" s="105">
        <v>12</v>
      </c>
      <c r="BE74" s="105">
        <v>4838.3999999999996</v>
      </c>
      <c r="BF74" s="105">
        <v>11</v>
      </c>
      <c r="BG74" s="105">
        <v>4435.2</v>
      </c>
      <c r="BH74" s="105">
        <v>3.7810998796083362</v>
      </c>
      <c r="BI74" s="105">
        <v>1524.5394714580812</v>
      </c>
      <c r="BJ74" s="105">
        <v>13</v>
      </c>
      <c r="BK74" s="105">
        <v>5241.5999999999995</v>
      </c>
      <c r="BL74" s="105">
        <v>12</v>
      </c>
      <c r="BM74" s="105">
        <v>4838.3999999999996</v>
      </c>
      <c r="BN74" s="105">
        <v>6.6632948590653269</v>
      </c>
      <c r="BO74" s="105">
        <v>2686.6404871751397</v>
      </c>
      <c r="BP74" s="105">
        <v>23</v>
      </c>
      <c r="BQ74" s="105">
        <v>9273.6</v>
      </c>
      <c r="BR74" s="105">
        <v>1.0365225684691026</v>
      </c>
      <c r="BS74" s="105">
        <v>417.92589960674218</v>
      </c>
      <c r="BT74" s="105">
        <v>17.54064764200459</v>
      </c>
      <c r="BU74" s="105">
        <v>7072.3891292562503</v>
      </c>
      <c r="BV74" s="105">
        <v>9.2611174026435368</v>
      </c>
      <c r="BW74" s="105">
        <v>3734.0825367458738</v>
      </c>
      <c r="BX74" s="105">
        <v>15.882970477386937</v>
      </c>
      <c r="BY74" s="105">
        <v>6404.0136964824133</v>
      </c>
      <c r="BZ74" s="105">
        <v>1.3295454545454555</v>
      </c>
      <c r="CA74" s="105">
        <v>536.07272727272766</v>
      </c>
      <c r="CB74" s="105">
        <v>14.90474124135455</v>
      </c>
      <c r="CC74" s="105">
        <v>6009.5916685141547</v>
      </c>
      <c r="CD74" s="105">
        <v>2.1177769943593878</v>
      </c>
      <c r="CE74" s="105">
        <v>853.88768412570516</v>
      </c>
      <c r="CF74" s="105">
        <v>0.79504333505186808</v>
      </c>
      <c r="CG74" s="105">
        <v>320.56147269291318</v>
      </c>
      <c r="CH74" s="105">
        <v>11.500398048468803</v>
      </c>
      <c r="CI74" s="105">
        <v>4636.9604931426211</v>
      </c>
      <c r="CJ74" s="105">
        <v>9.8528836503579971</v>
      </c>
      <c r="CK74" s="105">
        <v>3972.6826878243442</v>
      </c>
      <c r="CL74" s="105">
        <v>23.068638973712254</v>
      </c>
      <c r="CM74" s="105">
        <v>9301.2752342007807</v>
      </c>
      <c r="CN74" s="105">
        <v>2.3931483810122605</v>
      </c>
      <c r="CO74" s="105">
        <v>964.91742722414335</v>
      </c>
      <c r="CP74" s="105">
        <v>12.042885910346717</v>
      </c>
      <c r="CQ74" s="105">
        <v>4855.6915990517964</v>
      </c>
      <c r="CR74" s="105">
        <v>14.87189096755634</v>
      </c>
      <c r="CS74" s="105">
        <v>5996.3464381187159</v>
      </c>
      <c r="CT74" s="105">
        <v>2.2768803078556266</v>
      </c>
      <c r="CU74" s="105">
        <v>918.0381401273886</v>
      </c>
    </row>
    <row r="75" spans="2:99" x14ac:dyDescent="0.25">
      <c r="C75" s="104" t="s">
        <v>240</v>
      </c>
      <c r="D75" s="105">
        <v>0</v>
      </c>
      <c r="E75" s="105">
        <v>0</v>
      </c>
      <c r="F75" s="105">
        <v>0</v>
      </c>
      <c r="G75" s="105">
        <v>0</v>
      </c>
      <c r="H75" s="105">
        <v>4</v>
      </c>
      <c r="I75" s="105">
        <v>2572.7999999999997</v>
      </c>
      <c r="J75" s="105">
        <v>2</v>
      </c>
      <c r="K75" s="105">
        <v>1286.3999999999999</v>
      </c>
      <c r="L75" s="105">
        <v>3</v>
      </c>
      <c r="M75" s="105">
        <v>1929.6</v>
      </c>
      <c r="N75" s="105">
        <v>3</v>
      </c>
      <c r="O75" s="105">
        <v>1929.6</v>
      </c>
      <c r="P75" s="105">
        <v>3</v>
      </c>
      <c r="Q75" s="105">
        <v>1929.6</v>
      </c>
      <c r="R75" s="105">
        <v>3</v>
      </c>
      <c r="S75" s="105">
        <v>1929.6</v>
      </c>
      <c r="T75" s="105">
        <v>5</v>
      </c>
      <c r="U75" s="105">
        <v>3215.9999999999995</v>
      </c>
      <c r="V75" s="105">
        <v>4</v>
      </c>
      <c r="W75" s="105">
        <v>2572.7999999999997</v>
      </c>
      <c r="X75" s="105">
        <v>4</v>
      </c>
      <c r="Y75" s="105">
        <v>2572.7999999999997</v>
      </c>
      <c r="Z75" s="105">
        <v>4</v>
      </c>
      <c r="AA75" s="105">
        <v>2572.7999999999997</v>
      </c>
      <c r="AB75" s="105">
        <v>6</v>
      </c>
      <c r="AC75" s="105">
        <v>3859.2</v>
      </c>
      <c r="AD75" s="105">
        <v>6</v>
      </c>
      <c r="AE75" s="105">
        <v>3859.2</v>
      </c>
      <c r="AF75" s="105">
        <v>6</v>
      </c>
      <c r="AG75" s="105">
        <v>3859.2</v>
      </c>
      <c r="AH75" s="105">
        <v>5</v>
      </c>
      <c r="AI75" s="105">
        <v>3215.9999999999995</v>
      </c>
      <c r="AJ75" s="105">
        <v>7</v>
      </c>
      <c r="AK75" s="105">
        <v>4502.3999999999996</v>
      </c>
      <c r="AL75" s="105">
        <v>4</v>
      </c>
      <c r="AM75" s="105">
        <v>2572.7999999999997</v>
      </c>
      <c r="AN75" s="105">
        <v>4</v>
      </c>
      <c r="AO75" s="105">
        <v>2572.7999999999997</v>
      </c>
      <c r="AP75" s="105">
        <v>7</v>
      </c>
      <c r="AQ75" s="105">
        <v>4502.3999999999996</v>
      </c>
      <c r="AR75" s="105">
        <v>9</v>
      </c>
      <c r="AS75" s="105">
        <v>5788.7999999999993</v>
      </c>
      <c r="AT75" s="105">
        <v>8</v>
      </c>
      <c r="AU75" s="105">
        <v>5145.5999999999995</v>
      </c>
      <c r="AV75" s="105">
        <v>10</v>
      </c>
      <c r="AW75" s="105">
        <v>6431.9999999999991</v>
      </c>
      <c r="AX75" s="105">
        <v>9</v>
      </c>
      <c r="AY75" s="105">
        <v>5788.7999999999993</v>
      </c>
      <c r="AZ75" s="105">
        <v>8</v>
      </c>
      <c r="BA75" s="105">
        <v>5145.5999999999995</v>
      </c>
      <c r="BB75" s="105">
        <v>7</v>
      </c>
      <c r="BC75" s="105">
        <v>4502.3999999999996</v>
      </c>
      <c r="BD75" s="105">
        <v>12</v>
      </c>
      <c r="BE75" s="105">
        <v>7718.4</v>
      </c>
      <c r="BF75" s="105">
        <v>10</v>
      </c>
      <c r="BG75" s="105">
        <v>6431.9999999999991</v>
      </c>
      <c r="BH75" s="105">
        <v>3.7810998796083362</v>
      </c>
      <c r="BI75" s="105">
        <v>2432.0034425640815</v>
      </c>
      <c r="BJ75" s="105">
        <v>13</v>
      </c>
      <c r="BK75" s="105">
        <v>8361.5999999999985</v>
      </c>
      <c r="BL75" s="105">
        <v>12</v>
      </c>
      <c r="BM75" s="105">
        <v>7718.4</v>
      </c>
      <c r="BN75" s="105">
        <v>6.6632948590653269</v>
      </c>
      <c r="BO75" s="105">
        <v>4285.8312533508179</v>
      </c>
      <c r="BP75" s="105">
        <v>22</v>
      </c>
      <c r="BQ75" s="105">
        <v>14150.399999999998</v>
      </c>
      <c r="BR75" s="105">
        <v>1.0365225684691026</v>
      </c>
      <c r="BS75" s="105">
        <v>666.69131603932669</v>
      </c>
      <c r="BT75" s="105">
        <v>18.271507960421449</v>
      </c>
      <c r="BU75" s="105">
        <v>11752.233920143075</v>
      </c>
      <c r="BV75" s="105">
        <v>9.2611174026435368</v>
      </c>
      <c r="BW75" s="105">
        <v>5956.7507133803219</v>
      </c>
      <c r="BX75" s="105">
        <v>15.453701005025128</v>
      </c>
      <c r="BY75" s="105">
        <v>9939.8204864321615</v>
      </c>
      <c r="BZ75" s="105">
        <v>1.3849431818181828</v>
      </c>
      <c r="CA75" s="105">
        <v>890.79545454545507</v>
      </c>
      <c r="CB75" s="105">
        <v>14.90474124135455</v>
      </c>
      <c r="CC75" s="105">
        <v>9586.7295664392459</v>
      </c>
      <c r="CD75" s="105">
        <v>2.3368573730862212</v>
      </c>
      <c r="CE75" s="105">
        <v>1503.0666623690572</v>
      </c>
      <c r="CF75" s="105">
        <v>0.70994223757505281</v>
      </c>
      <c r="CG75" s="105">
        <v>456.63484720827392</v>
      </c>
      <c r="CH75" s="105">
        <v>10.285637430915973</v>
      </c>
      <c r="CI75" s="105">
        <v>6615.7219955651526</v>
      </c>
      <c r="CJ75" s="105">
        <v>10.711819100187661</v>
      </c>
      <c r="CK75" s="105">
        <v>6889.8420452407026</v>
      </c>
      <c r="CL75" s="105">
        <v>22.164299836585595</v>
      </c>
      <c r="CM75" s="105">
        <v>14256.077654891853</v>
      </c>
      <c r="CN75" s="105">
        <v>2.336168657654826</v>
      </c>
      <c r="CO75" s="105">
        <v>1502.6236806035838</v>
      </c>
      <c r="CP75" s="105">
        <v>10.940234132349522</v>
      </c>
      <c r="CQ75" s="105">
        <v>7036.7585939272112</v>
      </c>
      <c r="CR75" s="105">
        <v>14.080516696486994</v>
      </c>
      <c r="CS75" s="105">
        <v>9056.5883391804327</v>
      </c>
      <c r="CT75" s="105">
        <v>2.2127428343949047</v>
      </c>
      <c r="CU75" s="105">
        <v>1423.2361910828026</v>
      </c>
    </row>
    <row r="76" spans="2:99" x14ac:dyDescent="0.25">
      <c r="C76" s="104" t="s">
        <v>241</v>
      </c>
      <c r="D76" s="105">
        <v>0</v>
      </c>
      <c r="E76" s="105">
        <v>0</v>
      </c>
      <c r="F76" s="105">
        <v>0</v>
      </c>
      <c r="G76" s="105">
        <v>0</v>
      </c>
      <c r="H76" s="105">
        <v>4</v>
      </c>
      <c r="I76" s="105">
        <v>3115.2</v>
      </c>
      <c r="J76" s="105">
        <v>2</v>
      </c>
      <c r="K76" s="105">
        <v>1557.6</v>
      </c>
      <c r="L76" s="105">
        <v>3</v>
      </c>
      <c r="M76" s="105">
        <v>2336.3999999999996</v>
      </c>
      <c r="N76" s="105">
        <v>3</v>
      </c>
      <c r="O76" s="105">
        <v>2336.3999999999996</v>
      </c>
      <c r="P76" s="105">
        <v>3</v>
      </c>
      <c r="Q76" s="105">
        <v>2336.3999999999996</v>
      </c>
      <c r="R76" s="105">
        <v>4</v>
      </c>
      <c r="S76" s="105">
        <v>3115.2</v>
      </c>
      <c r="T76" s="105">
        <v>5</v>
      </c>
      <c r="U76" s="105">
        <v>3894</v>
      </c>
      <c r="V76" s="105">
        <v>4</v>
      </c>
      <c r="W76" s="105">
        <v>3115.2</v>
      </c>
      <c r="X76" s="105">
        <v>4</v>
      </c>
      <c r="Y76" s="105">
        <v>3115.2</v>
      </c>
      <c r="Z76" s="105">
        <v>4</v>
      </c>
      <c r="AA76" s="105">
        <v>3115.2</v>
      </c>
      <c r="AB76" s="105">
        <v>6</v>
      </c>
      <c r="AC76" s="105">
        <v>4672.7999999999993</v>
      </c>
      <c r="AD76" s="105">
        <v>5</v>
      </c>
      <c r="AE76" s="105">
        <v>3894</v>
      </c>
      <c r="AF76" s="105">
        <v>5</v>
      </c>
      <c r="AG76" s="105">
        <v>3894</v>
      </c>
      <c r="AH76" s="105">
        <v>5</v>
      </c>
      <c r="AI76" s="105">
        <v>3894</v>
      </c>
      <c r="AJ76" s="105">
        <v>7</v>
      </c>
      <c r="AK76" s="105">
        <v>5451.5999999999995</v>
      </c>
      <c r="AL76" s="105">
        <v>5</v>
      </c>
      <c r="AM76" s="105">
        <v>3894</v>
      </c>
      <c r="AN76" s="105">
        <v>4</v>
      </c>
      <c r="AO76" s="105">
        <v>3115.2</v>
      </c>
      <c r="AP76" s="105">
        <v>7</v>
      </c>
      <c r="AQ76" s="105">
        <v>5451.5999999999995</v>
      </c>
      <c r="AR76" s="105">
        <v>9</v>
      </c>
      <c r="AS76" s="105">
        <v>7009.2</v>
      </c>
      <c r="AT76" s="105">
        <v>8</v>
      </c>
      <c r="AU76" s="105">
        <v>6230.4</v>
      </c>
      <c r="AV76" s="105">
        <v>10</v>
      </c>
      <c r="AW76" s="105">
        <v>7788</v>
      </c>
      <c r="AX76" s="105">
        <v>9</v>
      </c>
      <c r="AY76" s="105">
        <v>7009.2</v>
      </c>
      <c r="AZ76" s="105">
        <v>9</v>
      </c>
      <c r="BA76" s="105">
        <v>7009.2</v>
      </c>
      <c r="BB76" s="105">
        <v>6</v>
      </c>
      <c r="BC76" s="105">
        <v>4672.7999999999993</v>
      </c>
      <c r="BD76" s="105">
        <v>12</v>
      </c>
      <c r="BE76" s="105">
        <v>9345.5999999999985</v>
      </c>
      <c r="BF76" s="105">
        <v>10</v>
      </c>
      <c r="BG76" s="105">
        <v>7788</v>
      </c>
      <c r="BH76" s="105">
        <v>3.7810998796083362</v>
      </c>
      <c r="BI76" s="105">
        <v>2944.7205862389719</v>
      </c>
      <c r="BJ76" s="105">
        <v>13</v>
      </c>
      <c r="BK76" s="105">
        <v>10124.4</v>
      </c>
      <c r="BL76" s="105">
        <v>12</v>
      </c>
      <c r="BM76" s="105">
        <v>9345.5999999999985</v>
      </c>
      <c r="BN76" s="105">
        <v>7.4036609545170293</v>
      </c>
      <c r="BO76" s="105">
        <v>5765.971151377862</v>
      </c>
      <c r="BP76" s="105">
        <v>26</v>
      </c>
      <c r="BQ76" s="105">
        <v>20248.8</v>
      </c>
      <c r="BR76" s="105">
        <v>1.1352390035613982</v>
      </c>
      <c r="BS76" s="105">
        <v>884.12413597361683</v>
      </c>
      <c r="BT76" s="105">
        <v>15.348066686754017</v>
      </c>
      <c r="BU76" s="105">
        <v>11953.074335644027</v>
      </c>
      <c r="BV76" s="105">
        <v>8.643709575800635</v>
      </c>
      <c r="BW76" s="105">
        <v>6731.7210176335338</v>
      </c>
      <c r="BX76" s="105">
        <v>15.02443153266332</v>
      </c>
      <c r="BY76" s="105">
        <v>11701.027277638193</v>
      </c>
      <c r="BZ76" s="105">
        <v>1.2741477272727282</v>
      </c>
      <c r="CA76" s="105">
        <v>992.30625000000066</v>
      </c>
      <c r="CB76" s="105">
        <v>14.483029366979997</v>
      </c>
      <c r="CC76" s="105">
        <v>11279.383271004021</v>
      </c>
      <c r="CD76" s="105">
        <v>1.9717234085414992</v>
      </c>
      <c r="CE76" s="105">
        <v>1535.5781905721194</v>
      </c>
      <c r="CF76" s="105">
        <v>0.73108263482499503</v>
      </c>
      <c r="CG76" s="105">
        <v>569.36715600170612</v>
      </c>
      <c r="CH76" s="105">
        <v>10.900393261596665</v>
      </c>
      <c r="CI76" s="105">
        <v>8489.2262721314819</v>
      </c>
      <c r="CJ76" s="105">
        <v>8.8522599758489111</v>
      </c>
      <c r="CK76" s="105">
        <v>6894.1400691911313</v>
      </c>
      <c r="CL76" s="105">
        <v>18.859464067275926</v>
      </c>
      <c r="CM76" s="105">
        <v>14687.75061559449</v>
      </c>
      <c r="CN76" s="105">
        <v>2.2506990726186737</v>
      </c>
      <c r="CO76" s="105">
        <v>1752.8444377554231</v>
      </c>
      <c r="CP76" s="105">
        <v>9.9892648537308446</v>
      </c>
      <c r="CQ76" s="105">
        <v>7779.639468085581</v>
      </c>
      <c r="CR76" s="105">
        <v>14.033541281264386</v>
      </c>
      <c r="CS76" s="105">
        <v>10929.321949848703</v>
      </c>
      <c r="CT76" s="105">
        <v>2.2448115711252656</v>
      </c>
      <c r="CU76" s="105">
        <v>1748.2592515923568</v>
      </c>
    </row>
    <row r="77" spans="2:99" x14ac:dyDescent="0.25">
      <c r="C77" s="104" t="s">
        <v>242</v>
      </c>
      <c r="D77" s="105">
        <v>0</v>
      </c>
      <c r="E77" s="105">
        <v>0</v>
      </c>
      <c r="F77" s="105">
        <v>0</v>
      </c>
      <c r="G77" s="105">
        <v>0</v>
      </c>
      <c r="H77" s="105">
        <v>4</v>
      </c>
      <c r="I77" s="105">
        <v>1113.5999999999999</v>
      </c>
      <c r="J77" s="105">
        <v>3</v>
      </c>
      <c r="K77" s="105">
        <v>835.19999999999993</v>
      </c>
      <c r="L77" s="105">
        <v>3</v>
      </c>
      <c r="M77" s="105">
        <v>835.19999999999993</v>
      </c>
      <c r="N77" s="105">
        <v>3</v>
      </c>
      <c r="O77" s="105">
        <v>835.19999999999993</v>
      </c>
      <c r="P77" s="105">
        <v>4</v>
      </c>
      <c r="Q77" s="105">
        <v>1113.5999999999999</v>
      </c>
      <c r="R77" s="105">
        <v>4</v>
      </c>
      <c r="S77" s="105">
        <v>1113.5999999999999</v>
      </c>
      <c r="T77" s="105">
        <v>5</v>
      </c>
      <c r="U77" s="105">
        <v>1392</v>
      </c>
      <c r="V77" s="105">
        <v>4</v>
      </c>
      <c r="W77" s="105">
        <v>1113.5999999999999</v>
      </c>
      <c r="X77" s="105">
        <v>4</v>
      </c>
      <c r="Y77" s="105">
        <v>1113.5999999999999</v>
      </c>
      <c r="Z77" s="105">
        <v>4</v>
      </c>
      <c r="AA77" s="105">
        <v>1113.5999999999999</v>
      </c>
      <c r="AB77" s="105">
        <v>6</v>
      </c>
      <c r="AC77" s="105">
        <v>1670.3999999999999</v>
      </c>
      <c r="AD77" s="105">
        <v>6</v>
      </c>
      <c r="AE77" s="105">
        <v>1670.3999999999999</v>
      </c>
      <c r="AF77" s="105">
        <v>5</v>
      </c>
      <c r="AG77" s="105">
        <v>1392</v>
      </c>
      <c r="AH77" s="105">
        <v>5</v>
      </c>
      <c r="AI77" s="105">
        <v>1392</v>
      </c>
      <c r="AJ77" s="105">
        <v>7</v>
      </c>
      <c r="AK77" s="105">
        <v>1948.7999999999997</v>
      </c>
      <c r="AL77" s="105">
        <v>4</v>
      </c>
      <c r="AM77" s="105">
        <v>1113.5999999999999</v>
      </c>
      <c r="AN77" s="105">
        <v>5</v>
      </c>
      <c r="AO77" s="105">
        <v>1392</v>
      </c>
      <c r="AP77" s="105">
        <v>7</v>
      </c>
      <c r="AQ77" s="105">
        <v>1948.7999999999997</v>
      </c>
      <c r="AR77" s="105">
        <v>8</v>
      </c>
      <c r="AS77" s="105">
        <v>2227.1999999999998</v>
      </c>
      <c r="AT77" s="105">
        <v>8</v>
      </c>
      <c r="AU77" s="105">
        <v>2227.1999999999998</v>
      </c>
      <c r="AV77" s="105">
        <v>10</v>
      </c>
      <c r="AW77" s="105">
        <v>2784</v>
      </c>
      <c r="AX77" s="105">
        <v>10</v>
      </c>
      <c r="AY77" s="105">
        <v>2784</v>
      </c>
      <c r="AZ77" s="105">
        <v>9</v>
      </c>
      <c r="BA77" s="105">
        <v>2505.6</v>
      </c>
      <c r="BB77" s="105">
        <v>8</v>
      </c>
      <c r="BC77" s="105">
        <v>2227.1999999999998</v>
      </c>
      <c r="BD77" s="105">
        <v>13</v>
      </c>
      <c r="BE77" s="105">
        <v>3619.2</v>
      </c>
      <c r="BF77" s="105">
        <v>9</v>
      </c>
      <c r="BG77" s="105">
        <v>2505.6</v>
      </c>
      <c r="BH77" s="105">
        <v>3.7810998796083362</v>
      </c>
      <c r="BI77" s="105">
        <v>1052.6582064829606</v>
      </c>
      <c r="BJ77" s="105">
        <v>15</v>
      </c>
      <c r="BK77" s="105">
        <v>4176</v>
      </c>
      <c r="BL77" s="105">
        <v>12</v>
      </c>
      <c r="BM77" s="105">
        <v>3340.7999999999997</v>
      </c>
      <c r="BN77" s="105">
        <v>7.4036609545170293</v>
      </c>
      <c r="BO77" s="105">
        <v>2061.179209737541</v>
      </c>
      <c r="BP77" s="105">
        <v>27</v>
      </c>
      <c r="BQ77" s="105">
        <v>7516.7999999999993</v>
      </c>
      <c r="BR77" s="105">
        <v>1.0365225684691026</v>
      </c>
      <c r="BS77" s="105">
        <v>288.56788306179817</v>
      </c>
      <c r="BT77" s="105">
        <v>17.54064764200459</v>
      </c>
      <c r="BU77" s="105">
        <v>4883.3163035340776</v>
      </c>
      <c r="BV77" s="105">
        <v>9.8785252294864385</v>
      </c>
      <c r="BW77" s="105">
        <v>2750.1814238890242</v>
      </c>
      <c r="BX77" s="105">
        <v>13.736623115577892</v>
      </c>
      <c r="BY77" s="105">
        <v>3824.2758753768849</v>
      </c>
      <c r="BZ77" s="105">
        <v>1.5511363636363646</v>
      </c>
      <c r="CA77" s="105">
        <v>431.8363636363639</v>
      </c>
      <c r="CB77" s="105">
        <v>14.221361776159521</v>
      </c>
      <c r="CC77" s="105">
        <v>3959.2271184828101</v>
      </c>
      <c r="CD77" s="105">
        <v>2.4098841659951655</v>
      </c>
      <c r="CE77" s="105">
        <v>670.91175181305402</v>
      </c>
      <c r="CF77" s="105">
        <v>0.70940272909800606</v>
      </c>
      <c r="CG77" s="105">
        <v>197.49771978088486</v>
      </c>
      <c r="CH77" s="105">
        <v>10.303338683486233</v>
      </c>
      <c r="CI77" s="105">
        <v>2868.4494894825671</v>
      </c>
      <c r="CJ77" s="105">
        <v>10.633713168671113</v>
      </c>
      <c r="CK77" s="105">
        <v>2960.4257461580378</v>
      </c>
      <c r="CL77" s="105">
        <v>20.941289275958333</v>
      </c>
      <c r="CM77" s="105">
        <v>5830.0549344267993</v>
      </c>
      <c r="CN77" s="105">
        <v>2.336168657654826</v>
      </c>
      <c r="CO77" s="105">
        <v>650.38935429110347</v>
      </c>
      <c r="CP77" s="105">
        <v>11.408361400836302</v>
      </c>
      <c r="CQ77" s="105">
        <v>3176.0878139928263</v>
      </c>
      <c r="CR77" s="105">
        <v>14.40458247135035</v>
      </c>
      <c r="CS77" s="105">
        <v>4010.235760023937</v>
      </c>
      <c r="CT77" s="105">
        <v>2.3730865180467093</v>
      </c>
      <c r="CU77" s="105">
        <v>660.66728662420383</v>
      </c>
    </row>
    <row r="78" spans="2:99" x14ac:dyDescent="0.25">
      <c r="C78" s="104" t="s">
        <v>243</v>
      </c>
      <c r="D78" s="105">
        <v>0</v>
      </c>
      <c r="E78" s="105">
        <v>0</v>
      </c>
      <c r="F78" s="105">
        <v>0</v>
      </c>
      <c r="G78" s="105">
        <v>0</v>
      </c>
      <c r="H78" s="105">
        <v>4</v>
      </c>
      <c r="I78" s="105">
        <v>2208</v>
      </c>
      <c r="J78" s="105">
        <v>2</v>
      </c>
      <c r="K78" s="105">
        <v>1104</v>
      </c>
      <c r="L78" s="105">
        <v>3</v>
      </c>
      <c r="M78" s="105">
        <v>1656</v>
      </c>
      <c r="N78" s="105">
        <v>3</v>
      </c>
      <c r="O78" s="105">
        <v>1656</v>
      </c>
      <c r="P78" s="105">
        <v>3</v>
      </c>
      <c r="Q78" s="105">
        <v>1656</v>
      </c>
      <c r="R78" s="105">
        <v>4</v>
      </c>
      <c r="S78" s="105">
        <v>2208</v>
      </c>
      <c r="T78" s="105">
        <v>5</v>
      </c>
      <c r="U78" s="105">
        <v>2760</v>
      </c>
      <c r="V78" s="105">
        <v>4</v>
      </c>
      <c r="W78" s="105">
        <v>2208</v>
      </c>
      <c r="X78" s="105">
        <v>3</v>
      </c>
      <c r="Y78" s="105">
        <v>1656</v>
      </c>
      <c r="Z78" s="105">
        <v>4</v>
      </c>
      <c r="AA78" s="105">
        <v>2208</v>
      </c>
      <c r="AB78" s="105">
        <v>6</v>
      </c>
      <c r="AC78" s="105">
        <v>3312</v>
      </c>
      <c r="AD78" s="105">
        <v>6</v>
      </c>
      <c r="AE78" s="105">
        <v>3312</v>
      </c>
      <c r="AF78" s="105">
        <v>5</v>
      </c>
      <c r="AG78" s="105">
        <v>2760</v>
      </c>
      <c r="AH78" s="105">
        <v>6</v>
      </c>
      <c r="AI78" s="105">
        <v>3312</v>
      </c>
      <c r="AJ78" s="105">
        <v>7</v>
      </c>
      <c r="AK78" s="105">
        <v>3864</v>
      </c>
      <c r="AL78" s="105">
        <v>5</v>
      </c>
      <c r="AM78" s="105">
        <v>2760</v>
      </c>
      <c r="AN78" s="105">
        <v>4</v>
      </c>
      <c r="AO78" s="105">
        <v>2208</v>
      </c>
      <c r="AP78" s="105">
        <v>8</v>
      </c>
      <c r="AQ78" s="105">
        <v>4416</v>
      </c>
      <c r="AR78" s="105">
        <v>8</v>
      </c>
      <c r="AS78" s="105">
        <v>4416</v>
      </c>
      <c r="AT78" s="105">
        <v>9</v>
      </c>
      <c r="AU78" s="105">
        <v>4968</v>
      </c>
      <c r="AV78" s="105">
        <v>9</v>
      </c>
      <c r="AW78" s="105">
        <v>4968</v>
      </c>
      <c r="AX78" s="105">
        <v>9</v>
      </c>
      <c r="AY78" s="105">
        <v>4968</v>
      </c>
      <c r="AZ78" s="105">
        <v>9</v>
      </c>
      <c r="BA78" s="105">
        <v>4968</v>
      </c>
      <c r="BB78" s="105">
        <v>6</v>
      </c>
      <c r="BC78" s="105">
        <v>3312</v>
      </c>
      <c r="BD78" s="105">
        <v>12</v>
      </c>
      <c r="BE78" s="105">
        <v>6624</v>
      </c>
      <c r="BF78" s="105">
        <v>9</v>
      </c>
      <c r="BG78" s="105">
        <v>4968</v>
      </c>
      <c r="BH78" s="105">
        <v>3.7810998796083362</v>
      </c>
      <c r="BI78" s="105">
        <v>2087.1671335438014</v>
      </c>
      <c r="BJ78" s="105">
        <v>12</v>
      </c>
      <c r="BK78" s="105">
        <v>6624</v>
      </c>
      <c r="BL78" s="105">
        <v>12</v>
      </c>
      <c r="BM78" s="105">
        <v>6624</v>
      </c>
      <c r="BN78" s="105">
        <v>7.4036609545170293</v>
      </c>
      <c r="BO78" s="105">
        <v>4086.8208468934004</v>
      </c>
      <c r="BP78" s="105">
        <v>22</v>
      </c>
      <c r="BQ78" s="105">
        <v>12144</v>
      </c>
      <c r="BR78" s="105">
        <v>1.0858807860152504</v>
      </c>
      <c r="BS78" s="105">
        <v>599.40619388041819</v>
      </c>
      <c r="BT78" s="105">
        <v>16.078927005170875</v>
      </c>
      <c r="BU78" s="105">
        <v>8875.5677068543228</v>
      </c>
      <c r="BV78" s="105">
        <v>9.2611174026435368</v>
      </c>
      <c r="BW78" s="105">
        <v>5112.1368062592319</v>
      </c>
      <c r="BX78" s="105">
        <v>14.165892587939702</v>
      </c>
      <c r="BY78" s="105">
        <v>7819.5727085427152</v>
      </c>
      <c r="BZ78" s="105">
        <v>1.4957386363636374</v>
      </c>
      <c r="CA78" s="105">
        <v>825.64772727272782</v>
      </c>
      <c r="CB78" s="105">
        <v>13.062922342071907</v>
      </c>
      <c r="CC78" s="105">
        <v>7210.7331328236924</v>
      </c>
      <c r="CD78" s="105">
        <v>2.1177769943593878</v>
      </c>
      <c r="CE78" s="105">
        <v>1169.0129008863821</v>
      </c>
      <c r="CF78" s="105">
        <v>0.70886322062095919</v>
      </c>
      <c r="CG78" s="105">
        <v>391.29249778276949</v>
      </c>
      <c r="CH78" s="105">
        <v>11.497447839707092</v>
      </c>
      <c r="CI78" s="105">
        <v>6346.5912075183151</v>
      </c>
      <c r="CJ78" s="105">
        <v>10.052436631599759</v>
      </c>
      <c r="CK78" s="105">
        <v>5548.9450206430674</v>
      </c>
      <c r="CL78" s="105">
        <v>21.032338254101361</v>
      </c>
      <c r="CM78" s="105">
        <v>11609.850716263951</v>
      </c>
      <c r="CN78" s="105">
        <v>2.4786179660484127</v>
      </c>
      <c r="CO78" s="105">
        <v>1368.1971172587239</v>
      </c>
      <c r="CP78" s="105">
        <v>12.338076052634255</v>
      </c>
      <c r="CQ78" s="105">
        <v>6810.6179810541089</v>
      </c>
      <c r="CR78" s="105">
        <v>14.986948439765406</v>
      </c>
      <c r="CS78" s="105">
        <v>8272.7955387505044</v>
      </c>
      <c r="CT78" s="105">
        <v>2.1486053609341829</v>
      </c>
      <c r="CU78" s="105">
        <v>1186.0301592356689</v>
      </c>
    </row>
    <row r="79" spans="2:99" x14ac:dyDescent="0.25">
      <c r="C79" s="104" t="s">
        <v>244</v>
      </c>
      <c r="D79" s="105">
        <v>0</v>
      </c>
      <c r="E79" s="105">
        <v>0</v>
      </c>
      <c r="F79" s="105">
        <v>0</v>
      </c>
      <c r="G79" s="105">
        <v>0</v>
      </c>
      <c r="H79" s="105">
        <v>4</v>
      </c>
      <c r="I79" s="105">
        <v>3028.7999999999997</v>
      </c>
      <c r="J79" s="105">
        <v>2</v>
      </c>
      <c r="K79" s="105">
        <v>1514.3999999999999</v>
      </c>
      <c r="L79" s="105">
        <v>3</v>
      </c>
      <c r="M79" s="105">
        <v>2271.6</v>
      </c>
      <c r="N79" s="105">
        <v>3</v>
      </c>
      <c r="O79" s="105">
        <v>2271.6</v>
      </c>
      <c r="P79" s="105">
        <v>3</v>
      </c>
      <c r="Q79" s="105">
        <v>2271.6</v>
      </c>
      <c r="R79" s="105">
        <v>4</v>
      </c>
      <c r="S79" s="105">
        <v>3028.7999999999997</v>
      </c>
      <c r="T79" s="105">
        <v>5</v>
      </c>
      <c r="U79" s="105">
        <v>3785.9999999999995</v>
      </c>
      <c r="V79" s="105">
        <v>4</v>
      </c>
      <c r="W79" s="105">
        <v>3028.7999999999997</v>
      </c>
      <c r="X79" s="105">
        <v>4</v>
      </c>
      <c r="Y79" s="105">
        <v>3028.7999999999997</v>
      </c>
      <c r="Z79" s="105">
        <v>3</v>
      </c>
      <c r="AA79" s="105">
        <v>2271.6</v>
      </c>
      <c r="AB79" s="105">
        <v>6</v>
      </c>
      <c r="AC79" s="105">
        <v>4543.2</v>
      </c>
      <c r="AD79" s="105">
        <v>6</v>
      </c>
      <c r="AE79" s="105">
        <v>4543.2</v>
      </c>
      <c r="AF79" s="105">
        <v>5</v>
      </c>
      <c r="AG79" s="105">
        <v>3785.9999999999995</v>
      </c>
      <c r="AH79" s="105">
        <v>5</v>
      </c>
      <c r="AI79" s="105">
        <v>3785.9999999999995</v>
      </c>
      <c r="AJ79" s="105">
        <v>7</v>
      </c>
      <c r="AK79" s="105">
        <v>5300.4</v>
      </c>
      <c r="AL79" s="105">
        <v>5</v>
      </c>
      <c r="AM79" s="105">
        <v>3785.9999999999995</v>
      </c>
      <c r="AN79" s="105">
        <v>5</v>
      </c>
      <c r="AO79" s="105">
        <v>3785.9999999999995</v>
      </c>
      <c r="AP79" s="105">
        <v>7</v>
      </c>
      <c r="AQ79" s="105">
        <v>5300.4</v>
      </c>
      <c r="AR79" s="105">
        <v>9</v>
      </c>
      <c r="AS79" s="105">
        <v>6814.7999999999993</v>
      </c>
      <c r="AT79" s="105">
        <v>8</v>
      </c>
      <c r="AU79" s="105">
        <v>6057.5999999999995</v>
      </c>
      <c r="AV79" s="105">
        <v>10</v>
      </c>
      <c r="AW79" s="105">
        <v>7571.9999999999991</v>
      </c>
      <c r="AX79" s="105">
        <v>10</v>
      </c>
      <c r="AY79" s="105">
        <v>7571.9999999999991</v>
      </c>
      <c r="AZ79" s="105">
        <v>8</v>
      </c>
      <c r="BA79" s="105">
        <v>6057.5999999999995</v>
      </c>
      <c r="BB79" s="105">
        <v>6</v>
      </c>
      <c r="BC79" s="105">
        <v>4543.2</v>
      </c>
      <c r="BD79" s="105">
        <v>13</v>
      </c>
      <c r="BE79" s="105">
        <v>9843.5999999999985</v>
      </c>
      <c r="BF79" s="105">
        <v>9</v>
      </c>
      <c r="BG79" s="105">
        <v>6814.7999999999993</v>
      </c>
      <c r="BH79" s="105">
        <v>3.4029898916475023</v>
      </c>
      <c r="BI79" s="105">
        <v>2576.7439459554885</v>
      </c>
      <c r="BJ79" s="105">
        <v>12</v>
      </c>
      <c r="BK79" s="105">
        <v>9086.4</v>
      </c>
      <c r="BL79" s="105">
        <v>11</v>
      </c>
      <c r="BM79" s="105">
        <v>8329.1999999999989</v>
      </c>
      <c r="BN79" s="105">
        <v>6.6632948590653269</v>
      </c>
      <c r="BO79" s="105">
        <v>5045.446867284265</v>
      </c>
      <c r="BP79" s="105">
        <v>25</v>
      </c>
      <c r="BQ79" s="105">
        <v>18930</v>
      </c>
      <c r="BR79" s="105">
        <v>1.1352390035613982</v>
      </c>
      <c r="BS79" s="105">
        <v>859.60297349669065</v>
      </c>
      <c r="BT79" s="105">
        <v>16.078927005170875</v>
      </c>
      <c r="BU79" s="105">
        <v>12174.963528315386</v>
      </c>
      <c r="BV79" s="105">
        <v>8.643709575800635</v>
      </c>
      <c r="BW79" s="105">
        <v>6545.0168907962407</v>
      </c>
      <c r="BX79" s="105">
        <v>13.736623115577892</v>
      </c>
      <c r="BY79" s="105">
        <v>10401.371023115578</v>
      </c>
      <c r="BZ79" s="105">
        <v>1.3295454545454555</v>
      </c>
      <c r="CA79" s="105">
        <v>1006.7318181818188</v>
      </c>
      <c r="CB79" s="105">
        <v>12.641210467697352</v>
      </c>
      <c r="CC79" s="105">
        <v>9571.9245661404348</v>
      </c>
      <c r="CD79" s="105">
        <v>1.9717234085414992</v>
      </c>
      <c r="CE79" s="105">
        <v>1492.9889649476231</v>
      </c>
      <c r="CF79" s="105">
        <v>0.68772282337101709</v>
      </c>
      <c r="CG79" s="105">
        <v>520.74372185653408</v>
      </c>
      <c r="CH79" s="105">
        <v>10.885642217788114</v>
      </c>
      <c r="CI79" s="105">
        <v>8242.6082873091582</v>
      </c>
      <c r="CJ79" s="105">
        <v>9.312089463195047</v>
      </c>
      <c r="CK79" s="105">
        <v>7051.1141415312886</v>
      </c>
      <c r="CL79" s="105">
        <v>21.982201880299534</v>
      </c>
      <c r="CM79" s="105">
        <v>16644.923263762805</v>
      </c>
      <c r="CN79" s="105">
        <v>2.4501281043696954</v>
      </c>
      <c r="CO79" s="105">
        <v>1855.2370006287333</v>
      </c>
      <c r="CP79" s="105">
        <v>10.920614476822703</v>
      </c>
      <c r="CQ79" s="105">
        <v>8269.0892818501488</v>
      </c>
      <c r="CR79" s="105">
        <v>12.584640377423812</v>
      </c>
      <c r="CS79" s="105">
        <v>9529.0896937853086</v>
      </c>
      <c r="CT79" s="105">
        <v>2.1486053609341829</v>
      </c>
      <c r="CU79" s="105">
        <v>1626.9239792993631</v>
      </c>
    </row>
    <row r="80" spans="2:99" x14ac:dyDescent="0.25">
      <c r="C80" s="104" t="s">
        <v>245</v>
      </c>
      <c r="D80" s="105">
        <v>0</v>
      </c>
      <c r="E80" s="105">
        <v>0</v>
      </c>
      <c r="F80" s="105">
        <v>0</v>
      </c>
      <c r="G80" s="105">
        <v>0</v>
      </c>
      <c r="H80" s="105">
        <v>4</v>
      </c>
      <c r="I80" s="105">
        <v>3220.7999999999997</v>
      </c>
      <c r="J80" s="105">
        <v>3</v>
      </c>
      <c r="K80" s="105">
        <v>2415.6</v>
      </c>
      <c r="L80" s="105">
        <v>3</v>
      </c>
      <c r="M80" s="105">
        <v>2415.6</v>
      </c>
      <c r="N80" s="105">
        <v>3</v>
      </c>
      <c r="O80" s="105">
        <v>2415.6</v>
      </c>
      <c r="P80" s="105">
        <v>3</v>
      </c>
      <c r="Q80" s="105">
        <v>2415.6</v>
      </c>
      <c r="R80" s="105">
        <v>3</v>
      </c>
      <c r="S80" s="105">
        <v>2415.6</v>
      </c>
      <c r="T80" s="105">
        <v>5</v>
      </c>
      <c r="U80" s="105">
        <v>4025.9999999999995</v>
      </c>
      <c r="V80" s="105">
        <v>4</v>
      </c>
      <c r="W80" s="105">
        <v>3220.7999999999997</v>
      </c>
      <c r="X80" s="105">
        <v>4</v>
      </c>
      <c r="Y80" s="105">
        <v>3220.7999999999997</v>
      </c>
      <c r="Z80" s="105">
        <v>4</v>
      </c>
      <c r="AA80" s="105">
        <v>3220.7999999999997</v>
      </c>
      <c r="AB80" s="105">
        <v>6</v>
      </c>
      <c r="AC80" s="105">
        <v>4831.2</v>
      </c>
      <c r="AD80" s="105">
        <v>6</v>
      </c>
      <c r="AE80" s="105">
        <v>4831.2</v>
      </c>
      <c r="AF80" s="105">
        <v>5</v>
      </c>
      <c r="AG80" s="105">
        <v>4025.9999999999995</v>
      </c>
      <c r="AH80" s="105">
        <v>5</v>
      </c>
      <c r="AI80" s="105">
        <v>4025.9999999999995</v>
      </c>
      <c r="AJ80" s="105">
        <v>6</v>
      </c>
      <c r="AK80" s="105">
        <v>4831.2</v>
      </c>
      <c r="AL80" s="105">
        <v>5</v>
      </c>
      <c r="AM80" s="105">
        <v>4025.9999999999995</v>
      </c>
      <c r="AN80" s="105">
        <v>4</v>
      </c>
      <c r="AO80" s="105">
        <v>3220.7999999999997</v>
      </c>
      <c r="AP80" s="105">
        <v>7</v>
      </c>
      <c r="AQ80" s="105">
        <v>5636.4</v>
      </c>
      <c r="AR80" s="105">
        <v>8</v>
      </c>
      <c r="AS80" s="105">
        <v>6441.5999999999995</v>
      </c>
      <c r="AT80" s="105">
        <v>8</v>
      </c>
      <c r="AU80" s="105">
        <v>6441.5999999999995</v>
      </c>
      <c r="AV80" s="105">
        <v>10</v>
      </c>
      <c r="AW80" s="105">
        <v>8051.9999999999991</v>
      </c>
      <c r="AX80" s="105">
        <v>9</v>
      </c>
      <c r="AY80" s="105">
        <v>7246.7999999999993</v>
      </c>
      <c r="AZ80" s="105">
        <v>8</v>
      </c>
      <c r="BA80" s="105">
        <v>6441.5999999999995</v>
      </c>
      <c r="BB80" s="105">
        <v>7</v>
      </c>
      <c r="BC80" s="105">
        <v>5636.4</v>
      </c>
      <c r="BD80" s="105">
        <v>13</v>
      </c>
      <c r="BE80" s="105">
        <v>10467.599999999999</v>
      </c>
      <c r="BF80" s="105">
        <v>10</v>
      </c>
      <c r="BG80" s="105">
        <v>8051.9999999999991</v>
      </c>
      <c r="BH80" s="105">
        <v>3.4029898916475023</v>
      </c>
      <c r="BI80" s="105">
        <v>2740.0874607545688</v>
      </c>
      <c r="BJ80" s="105">
        <v>13</v>
      </c>
      <c r="BK80" s="105">
        <v>10467.599999999999</v>
      </c>
      <c r="BL80" s="105">
        <v>12</v>
      </c>
      <c r="BM80" s="105">
        <v>9662.4</v>
      </c>
      <c r="BN80" s="105">
        <v>6.6632948590653269</v>
      </c>
      <c r="BO80" s="105">
        <v>5365.2850205194009</v>
      </c>
      <c r="BP80" s="105">
        <v>22</v>
      </c>
      <c r="BQ80" s="105">
        <v>17714.399999999998</v>
      </c>
      <c r="BR80" s="105">
        <v>1.0858807860152504</v>
      </c>
      <c r="BS80" s="105">
        <v>874.3512088994795</v>
      </c>
      <c r="BT80" s="105">
        <v>17.54064764200459</v>
      </c>
      <c r="BU80" s="105">
        <v>14123.729481342094</v>
      </c>
      <c r="BV80" s="105">
        <v>8.643709575800635</v>
      </c>
      <c r="BW80" s="105">
        <v>6959.9149504346706</v>
      </c>
      <c r="BX80" s="105">
        <v>12.448814698492464</v>
      </c>
      <c r="BY80" s="105">
        <v>10023.785595226131</v>
      </c>
      <c r="BZ80" s="105">
        <v>1.3295454545454555</v>
      </c>
      <c r="CA80" s="105">
        <v>1070.5500000000006</v>
      </c>
      <c r="CB80" s="105">
        <v>13.799649901784965</v>
      </c>
      <c r="CC80" s="105">
        <v>11111.478100917253</v>
      </c>
      <c r="CD80" s="105">
        <v>1.9717234085414992</v>
      </c>
      <c r="CE80" s="105">
        <v>1587.631688557615</v>
      </c>
      <c r="CF80" s="105">
        <v>0.66604291764402812</v>
      </c>
      <c r="CG80" s="105">
        <v>536.29775728697143</v>
      </c>
      <c r="CH80" s="105">
        <v>9.9944856637650332</v>
      </c>
      <c r="CI80" s="105">
        <v>8047.5598564636039</v>
      </c>
      <c r="CJ80" s="105">
        <v>9.5521247943452181</v>
      </c>
      <c r="CK80" s="105">
        <v>7691.3708844067687</v>
      </c>
      <c r="CL80" s="105">
        <v>18.813939578204408</v>
      </c>
      <c r="CM80" s="105">
        <v>15148.984148370188</v>
      </c>
      <c r="CN80" s="105">
        <v>2.279188934297391</v>
      </c>
      <c r="CO80" s="105">
        <v>1835.2029298962591</v>
      </c>
      <c r="CP80" s="105">
        <v>10.772201920031982</v>
      </c>
      <c r="CQ80" s="105">
        <v>8673.7769860097505</v>
      </c>
      <c r="CR80" s="105">
        <v>12.098541715128778</v>
      </c>
      <c r="CS80" s="105">
        <v>9741.745789021692</v>
      </c>
      <c r="CT80" s="105">
        <v>2.1486053609341829</v>
      </c>
      <c r="CU80" s="105">
        <v>1730.0570366242039</v>
      </c>
    </row>
    <row r="81" spans="2:99" x14ac:dyDescent="0.25">
      <c r="C81" s="104" t="s">
        <v>246</v>
      </c>
      <c r="D81" s="105">
        <v>0</v>
      </c>
      <c r="E81" s="105">
        <v>0</v>
      </c>
      <c r="F81" s="105">
        <v>0</v>
      </c>
      <c r="G81" s="105">
        <v>0</v>
      </c>
      <c r="H81" s="105">
        <v>4</v>
      </c>
      <c r="I81" s="105">
        <v>3014.4</v>
      </c>
      <c r="J81" s="105">
        <v>3</v>
      </c>
      <c r="K81" s="105">
        <v>2260.8000000000002</v>
      </c>
      <c r="L81" s="105">
        <v>3</v>
      </c>
      <c r="M81" s="105">
        <v>2260.8000000000002</v>
      </c>
      <c r="N81" s="105">
        <v>3</v>
      </c>
      <c r="O81" s="105">
        <v>2260.8000000000002</v>
      </c>
      <c r="P81" s="105">
        <v>3</v>
      </c>
      <c r="Q81" s="105">
        <v>2260.8000000000002</v>
      </c>
      <c r="R81" s="105">
        <v>4</v>
      </c>
      <c r="S81" s="105">
        <v>3014.4</v>
      </c>
      <c r="T81" s="105">
        <v>5</v>
      </c>
      <c r="U81" s="105">
        <v>3768</v>
      </c>
      <c r="V81" s="105">
        <v>4</v>
      </c>
      <c r="W81" s="105">
        <v>3014.4</v>
      </c>
      <c r="X81" s="105">
        <v>3</v>
      </c>
      <c r="Y81" s="105">
        <v>2260.8000000000002</v>
      </c>
      <c r="Z81" s="105">
        <v>4</v>
      </c>
      <c r="AA81" s="105">
        <v>3014.4</v>
      </c>
      <c r="AB81" s="105">
        <v>6</v>
      </c>
      <c r="AC81" s="105">
        <v>4521.6000000000004</v>
      </c>
      <c r="AD81" s="105">
        <v>6</v>
      </c>
      <c r="AE81" s="105">
        <v>4521.6000000000004</v>
      </c>
      <c r="AF81" s="105">
        <v>5</v>
      </c>
      <c r="AG81" s="105">
        <v>3768</v>
      </c>
      <c r="AH81" s="105">
        <v>6</v>
      </c>
      <c r="AI81" s="105">
        <v>4521.6000000000004</v>
      </c>
      <c r="AJ81" s="105">
        <v>6</v>
      </c>
      <c r="AK81" s="105">
        <v>4521.6000000000004</v>
      </c>
      <c r="AL81" s="105">
        <v>4</v>
      </c>
      <c r="AM81" s="105">
        <v>3014.4</v>
      </c>
      <c r="AN81" s="105">
        <v>4</v>
      </c>
      <c r="AO81" s="105">
        <v>3014.4</v>
      </c>
      <c r="AP81" s="105">
        <v>8</v>
      </c>
      <c r="AQ81" s="105">
        <v>6028.8</v>
      </c>
      <c r="AR81" s="105">
        <v>8</v>
      </c>
      <c r="AS81" s="105">
        <v>6028.8</v>
      </c>
      <c r="AT81" s="105">
        <v>9</v>
      </c>
      <c r="AU81" s="105">
        <v>6782.4000000000005</v>
      </c>
      <c r="AV81" s="105">
        <v>11</v>
      </c>
      <c r="AW81" s="105">
        <v>8289.6</v>
      </c>
      <c r="AX81" s="105">
        <v>9</v>
      </c>
      <c r="AY81" s="105">
        <v>6782.4000000000005</v>
      </c>
      <c r="AZ81" s="105">
        <v>9</v>
      </c>
      <c r="BA81" s="105">
        <v>6782.4000000000005</v>
      </c>
      <c r="BB81" s="105">
        <v>6</v>
      </c>
      <c r="BC81" s="105">
        <v>4521.6000000000004</v>
      </c>
      <c r="BD81" s="105">
        <v>11</v>
      </c>
      <c r="BE81" s="105">
        <v>8289.6</v>
      </c>
      <c r="BF81" s="105">
        <v>10</v>
      </c>
      <c r="BG81" s="105">
        <v>7536</v>
      </c>
      <c r="BH81" s="105">
        <v>3.4029898916475023</v>
      </c>
      <c r="BI81" s="105">
        <v>2564.4931823455577</v>
      </c>
      <c r="BJ81" s="105">
        <v>13</v>
      </c>
      <c r="BK81" s="105">
        <v>9796.8000000000011</v>
      </c>
      <c r="BL81" s="105">
        <v>12</v>
      </c>
      <c r="BM81" s="105">
        <v>9043.2000000000007</v>
      </c>
      <c r="BN81" s="105">
        <v>7.4036609545170293</v>
      </c>
      <c r="BO81" s="105">
        <v>5579.3988953240332</v>
      </c>
      <c r="BP81" s="105">
        <v>26</v>
      </c>
      <c r="BQ81" s="105">
        <v>19593.600000000002</v>
      </c>
      <c r="BR81" s="105">
        <v>1.1352390035613982</v>
      </c>
      <c r="BS81" s="105">
        <v>855.51611308386964</v>
      </c>
      <c r="BT81" s="105">
        <v>14.617206368337159</v>
      </c>
      <c r="BU81" s="105">
        <v>11015.526719178884</v>
      </c>
      <c r="BV81" s="105">
        <v>8.0263017489577315</v>
      </c>
      <c r="BW81" s="105">
        <v>6048.6209980145468</v>
      </c>
      <c r="BX81" s="105">
        <v>13.736623115577892</v>
      </c>
      <c r="BY81" s="105">
        <v>10351.9191798995</v>
      </c>
      <c r="BZ81" s="105">
        <v>1.2741477272727282</v>
      </c>
      <c r="CA81" s="105">
        <v>960.197727272728</v>
      </c>
      <c r="CB81" s="105">
        <v>13.852997996302992</v>
      </c>
      <c r="CC81" s="105">
        <v>10439.619290013936</v>
      </c>
      <c r="CD81" s="105">
        <v>2.1177769943593878</v>
      </c>
      <c r="CE81" s="105">
        <v>1595.9567429492347</v>
      </c>
      <c r="CF81" s="105">
        <v>0.645442028871133</v>
      </c>
      <c r="CG81" s="105">
        <v>486.40511295728584</v>
      </c>
      <c r="CH81" s="105">
        <v>10.294488057201102</v>
      </c>
      <c r="CI81" s="105">
        <v>7757.9261999067503</v>
      </c>
      <c r="CJ81" s="105">
        <v>9.2918482882408462</v>
      </c>
      <c r="CK81" s="105">
        <v>7002.3368700183019</v>
      </c>
      <c r="CL81" s="105">
        <v>20.420832973787729</v>
      </c>
      <c r="CM81" s="105">
        <v>15389.139729046432</v>
      </c>
      <c r="CN81" s="105">
        <v>2.336168657654826</v>
      </c>
      <c r="CO81" s="105">
        <v>1760.5367004086768</v>
      </c>
      <c r="CP81" s="105">
        <v>11.248504044988271</v>
      </c>
      <c r="CQ81" s="105">
        <v>8476.8726483031624</v>
      </c>
      <c r="CR81" s="105">
        <v>13.089529205807889</v>
      </c>
      <c r="CS81" s="105">
        <v>9864.2692094968261</v>
      </c>
      <c r="CT81" s="105">
        <v>2.2768803078556266</v>
      </c>
      <c r="CU81" s="105">
        <v>1715.8570000000002</v>
      </c>
    </row>
    <row r="82" spans="2:99" x14ac:dyDescent="0.25">
      <c r="C82" s="104" t="s">
        <v>247</v>
      </c>
      <c r="D82" s="105">
        <v>0</v>
      </c>
      <c r="E82" s="105">
        <v>0</v>
      </c>
      <c r="F82" s="105">
        <v>0</v>
      </c>
      <c r="G82" s="105">
        <v>0</v>
      </c>
      <c r="H82" s="105">
        <v>4</v>
      </c>
      <c r="I82" s="105">
        <v>2035.1999999999996</v>
      </c>
      <c r="J82" s="105">
        <v>2</v>
      </c>
      <c r="K82" s="105">
        <v>1017.5999999999998</v>
      </c>
      <c r="L82" s="105">
        <v>3</v>
      </c>
      <c r="M82" s="105">
        <v>1526.3999999999996</v>
      </c>
      <c r="N82" s="105">
        <v>3</v>
      </c>
      <c r="O82" s="105">
        <v>1526.3999999999996</v>
      </c>
      <c r="P82" s="105">
        <v>4</v>
      </c>
      <c r="Q82" s="105">
        <v>2035.1999999999996</v>
      </c>
      <c r="R82" s="105">
        <v>4</v>
      </c>
      <c r="S82" s="105">
        <v>2035.1999999999996</v>
      </c>
      <c r="T82" s="105">
        <v>6</v>
      </c>
      <c r="U82" s="105">
        <v>3052.7999999999993</v>
      </c>
      <c r="V82" s="105">
        <v>4</v>
      </c>
      <c r="W82" s="105">
        <v>2035.1999999999996</v>
      </c>
      <c r="X82" s="105">
        <v>3</v>
      </c>
      <c r="Y82" s="105">
        <v>1526.3999999999996</v>
      </c>
      <c r="Z82" s="105">
        <v>4</v>
      </c>
      <c r="AA82" s="105">
        <v>2035.1999999999996</v>
      </c>
      <c r="AB82" s="105">
        <v>6</v>
      </c>
      <c r="AC82" s="105">
        <v>3052.7999999999993</v>
      </c>
      <c r="AD82" s="105">
        <v>6</v>
      </c>
      <c r="AE82" s="105">
        <v>3052.7999999999993</v>
      </c>
      <c r="AF82" s="105">
        <v>6</v>
      </c>
      <c r="AG82" s="105">
        <v>3052.7999999999993</v>
      </c>
      <c r="AH82" s="105">
        <v>5</v>
      </c>
      <c r="AI82" s="105">
        <v>2543.9999999999995</v>
      </c>
      <c r="AJ82" s="105">
        <v>7</v>
      </c>
      <c r="AK82" s="105">
        <v>3561.5999999999995</v>
      </c>
      <c r="AL82" s="105">
        <v>5</v>
      </c>
      <c r="AM82" s="105">
        <v>2543.9999999999995</v>
      </c>
      <c r="AN82" s="105">
        <v>4</v>
      </c>
      <c r="AO82" s="105">
        <v>2035.1999999999996</v>
      </c>
      <c r="AP82" s="105">
        <v>7</v>
      </c>
      <c r="AQ82" s="105">
        <v>3561.5999999999995</v>
      </c>
      <c r="AR82" s="105">
        <v>9</v>
      </c>
      <c r="AS82" s="105">
        <v>4579.1999999999989</v>
      </c>
      <c r="AT82" s="105">
        <v>8</v>
      </c>
      <c r="AU82" s="105">
        <v>4070.3999999999992</v>
      </c>
      <c r="AV82" s="105">
        <v>10</v>
      </c>
      <c r="AW82" s="105">
        <v>5087.9999999999991</v>
      </c>
      <c r="AX82" s="105">
        <v>10</v>
      </c>
      <c r="AY82" s="105">
        <v>5087.9999999999991</v>
      </c>
      <c r="AZ82" s="105">
        <v>9</v>
      </c>
      <c r="BA82" s="105">
        <v>4579.1999999999989</v>
      </c>
      <c r="BB82" s="105">
        <v>7</v>
      </c>
      <c r="BC82" s="105">
        <v>3561.5999999999995</v>
      </c>
      <c r="BD82" s="105">
        <v>12</v>
      </c>
      <c r="BE82" s="105">
        <v>6105.5999999999985</v>
      </c>
      <c r="BF82" s="105">
        <v>11</v>
      </c>
      <c r="BG82" s="105">
        <v>5596.7999999999993</v>
      </c>
      <c r="BH82" s="105">
        <v>3.4029898916475023</v>
      </c>
      <c r="BI82" s="105">
        <v>1731.4412568702489</v>
      </c>
      <c r="BJ82" s="105">
        <v>12</v>
      </c>
      <c r="BK82" s="105">
        <v>6105.5999999999985</v>
      </c>
      <c r="BL82" s="105">
        <v>12</v>
      </c>
      <c r="BM82" s="105">
        <v>6105.5999999999985</v>
      </c>
      <c r="BN82" s="105">
        <v>6.6632948590653269</v>
      </c>
      <c r="BO82" s="105">
        <v>3390.2844242924375</v>
      </c>
      <c r="BP82" s="105">
        <v>25</v>
      </c>
      <c r="BQ82" s="105">
        <v>12719.999999999998</v>
      </c>
      <c r="BR82" s="105">
        <v>1.1845972211075457</v>
      </c>
      <c r="BS82" s="105">
        <v>602.7230660995192</v>
      </c>
      <c r="BT82" s="105">
        <v>15.348066686754017</v>
      </c>
      <c r="BU82" s="105">
        <v>7809.0963302204418</v>
      </c>
      <c r="BV82" s="105">
        <v>8.643709575800635</v>
      </c>
      <c r="BW82" s="105">
        <v>4397.9194321673622</v>
      </c>
      <c r="BX82" s="105">
        <v>13.736623115577892</v>
      </c>
      <c r="BY82" s="105">
        <v>6989.1938412060299</v>
      </c>
      <c r="BZ82" s="105">
        <v>1.5511363636363646</v>
      </c>
      <c r="CA82" s="105">
        <v>789.21818181818219</v>
      </c>
      <c r="CB82" s="105">
        <v>13.484634216446462</v>
      </c>
      <c r="CC82" s="105">
        <v>6860.9818893279589</v>
      </c>
      <c r="CD82" s="105">
        <v>2.4098841659951655</v>
      </c>
      <c r="CE82" s="105">
        <v>1226.1490636583401</v>
      </c>
      <c r="CF82" s="105">
        <v>0.68880184032511083</v>
      </c>
      <c r="CG82" s="105">
        <v>350.4623763574163</v>
      </c>
      <c r="CH82" s="105">
        <v>10.588590033113752</v>
      </c>
      <c r="CI82" s="105">
        <v>5387.4746088482761</v>
      </c>
      <c r="CJ82" s="105">
        <v>9.8326424754037927</v>
      </c>
      <c r="CK82" s="105">
        <v>5002.8484914854489</v>
      </c>
      <c r="CL82" s="105">
        <v>19.854852182545613</v>
      </c>
      <c r="CM82" s="105">
        <v>10102.148790479207</v>
      </c>
      <c r="CN82" s="105">
        <v>2.2506990726186737</v>
      </c>
      <c r="CO82" s="105">
        <v>1145.1556881483809</v>
      </c>
      <c r="CP82" s="105">
        <v>12.0232662548199</v>
      </c>
      <c r="CQ82" s="105">
        <v>6117.4378704523642</v>
      </c>
      <c r="CR82" s="105">
        <v>13.585022951147442</v>
      </c>
      <c r="CS82" s="105">
        <v>6912.0596775438171</v>
      </c>
      <c r="CT82" s="105">
        <v>2.3410177813163484</v>
      </c>
      <c r="CU82" s="105">
        <v>1191.1098471337577</v>
      </c>
    </row>
    <row r="83" spans="2:99" x14ac:dyDescent="0.25">
      <c r="C83" s="104" t="s">
        <v>248</v>
      </c>
      <c r="D83" s="105">
        <v>0</v>
      </c>
      <c r="E83" s="105">
        <v>0</v>
      </c>
      <c r="F83" s="105">
        <v>0</v>
      </c>
      <c r="G83" s="105">
        <v>0</v>
      </c>
      <c r="H83" s="105">
        <v>4</v>
      </c>
      <c r="I83" s="105">
        <v>3441.6</v>
      </c>
      <c r="J83" s="105">
        <v>2</v>
      </c>
      <c r="K83" s="105">
        <v>1720.8</v>
      </c>
      <c r="L83" s="105">
        <v>3</v>
      </c>
      <c r="M83" s="105">
        <v>2581.1999999999998</v>
      </c>
      <c r="N83" s="105">
        <v>3</v>
      </c>
      <c r="O83" s="105">
        <v>2581.1999999999998</v>
      </c>
      <c r="P83" s="105">
        <v>3</v>
      </c>
      <c r="Q83" s="105">
        <v>2581.1999999999998</v>
      </c>
      <c r="R83" s="105">
        <v>4</v>
      </c>
      <c r="S83" s="105">
        <v>3441.6</v>
      </c>
      <c r="T83" s="105">
        <v>5</v>
      </c>
      <c r="U83" s="105">
        <v>4302</v>
      </c>
      <c r="V83" s="105">
        <v>4</v>
      </c>
      <c r="W83" s="105">
        <v>3441.6</v>
      </c>
      <c r="X83" s="105">
        <v>3</v>
      </c>
      <c r="Y83" s="105">
        <v>2581.1999999999998</v>
      </c>
      <c r="Z83" s="105">
        <v>4</v>
      </c>
      <c r="AA83" s="105">
        <v>3441.6</v>
      </c>
      <c r="AB83" s="105">
        <v>6</v>
      </c>
      <c r="AC83" s="105">
        <v>5162.3999999999996</v>
      </c>
      <c r="AD83" s="105">
        <v>6</v>
      </c>
      <c r="AE83" s="105">
        <v>5162.3999999999996</v>
      </c>
      <c r="AF83" s="105">
        <v>5</v>
      </c>
      <c r="AG83" s="105">
        <v>4302</v>
      </c>
      <c r="AH83" s="105">
        <v>5</v>
      </c>
      <c r="AI83" s="105">
        <v>4302</v>
      </c>
      <c r="AJ83" s="105">
        <v>7</v>
      </c>
      <c r="AK83" s="105">
        <v>6022.8</v>
      </c>
      <c r="AL83" s="105">
        <v>4</v>
      </c>
      <c r="AM83" s="105">
        <v>3441.6</v>
      </c>
      <c r="AN83" s="105">
        <v>4</v>
      </c>
      <c r="AO83" s="105">
        <v>3441.6</v>
      </c>
      <c r="AP83" s="105">
        <v>7</v>
      </c>
      <c r="AQ83" s="105">
        <v>6022.8</v>
      </c>
      <c r="AR83" s="105">
        <v>9</v>
      </c>
      <c r="AS83" s="105">
        <v>7743.5999999999995</v>
      </c>
      <c r="AT83" s="105">
        <v>8</v>
      </c>
      <c r="AU83" s="105">
        <v>6883.2</v>
      </c>
      <c r="AV83" s="105">
        <v>9</v>
      </c>
      <c r="AW83" s="105">
        <v>7743.5999999999995</v>
      </c>
      <c r="AX83" s="105">
        <v>9</v>
      </c>
      <c r="AY83" s="105">
        <v>7743.5999999999995</v>
      </c>
      <c r="AZ83" s="105">
        <v>9</v>
      </c>
      <c r="BA83" s="105">
        <v>7743.5999999999995</v>
      </c>
      <c r="BB83" s="105">
        <v>7</v>
      </c>
      <c r="BC83" s="105">
        <v>6022.8</v>
      </c>
      <c r="BD83" s="105">
        <v>12</v>
      </c>
      <c r="BE83" s="105">
        <v>10324.799999999999</v>
      </c>
      <c r="BF83" s="105">
        <v>10</v>
      </c>
      <c r="BG83" s="105">
        <v>8604</v>
      </c>
      <c r="BH83" s="105">
        <v>3.4029898916475023</v>
      </c>
      <c r="BI83" s="105">
        <v>2927.9325027735108</v>
      </c>
      <c r="BJ83" s="105">
        <v>12</v>
      </c>
      <c r="BK83" s="105">
        <v>10324.799999999999</v>
      </c>
      <c r="BL83" s="105">
        <v>11</v>
      </c>
      <c r="BM83" s="105">
        <v>9464.4</v>
      </c>
      <c r="BN83" s="105">
        <v>7.4036609545170293</v>
      </c>
      <c r="BO83" s="105">
        <v>6370.1098852664518</v>
      </c>
      <c r="BP83" s="105">
        <v>22</v>
      </c>
      <c r="BQ83" s="105">
        <v>18928.8</v>
      </c>
      <c r="BR83" s="105">
        <v>1.0858807860152504</v>
      </c>
      <c r="BS83" s="105">
        <v>934.29182828752141</v>
      </c>
      <c r="BT83" s="105">
        <v>16.078927005170875</v>
      </c>
      <c r="BU83" s="105">
        <v>13834.30879524902</v>
      </c>
      <c r="BV83" s="105">
        <v>8.643709575800635</v>
      </c>
      <c r="BW83" s="105">
        <v>7437.0477190188658</v>
      </c>
      <c r="BX83" s="105">
        <v>12.878084170854274</v>
      </c>
      <c r="BY83" s="105">
        <v>11080.303620603017</v>
      </c>
      <c r="BZ83" s="105">
        <v>1.3295454545454555</v>
      </c>
      <c r="CA83" s="105">
        <v>1143.9409090909098</v>
      </c>
      <c r="CB83" s="105">
        <v>13.799649901784965</v>
      </c>
      <c r="CC83" s="105">
        <v>11873.218775495783</v>
      </c>
      <c r="CD83" s="105">
        <v>2.0447502014504435</v>
      </c>
      <c r="CE83" s="105">
        <v>1759.3030733279616</v>
      </c>
      <c r="CF83" s="105">
        <v>0.6226831061900503</v>
      </c>
      <c r="CG83" s="105">
        <v>535.75654456591928</v>
      </c>
      <c r="CH83" s="105">
        <v>10.588590033113752</v>
      </c>
      <c r="CI83" s="105">
        <v>9110.4228644910709</v>
      </c>
      <c r="CJ83" s="105">
        <v>10.191266087978917</v>
      </c>
      <c r="CK83" s="105">
        <v>8768.5653420970593</v>
      </c>
      <c r="CL83" s="105">
        <v>21.507270067200448</v>
      </c>
      <c r="CM83" s="105">
        <v>18504.855165819266</v>
      </c>
      <c r="CN83" s="105">
        <v>2.1937193492612388</v>
      </c>
      <c r="CO83" s="105">
        <v>1887.4761281043698</v>
      </c>
      <c r="CP83" s="105">
        <v>11.405091458248497</v>
      </c>
      <c r="CQ83" s="105">
        <v>9812.9406906770073</v>
      </c>
      <c r="CR83" s="105">
        <v>13.547442618969354</v>
      </c>
      <c r="CS83" s="105">
        <v>11656.219629361232</v>
      </c>
      <c r="CT83" s="105">
        <v>1.8920554670912955</v>
      </c>
      <c r="CU83" s="105">
        <v>1627.9245238853505</v>
      </c>
    </row>
    <row r="84" spans="2:99" x14ac:dyDescent="0.25">
      <c r="C84" s="104" t="s">
        <v>249</v>
      </c>
      <c r="D84" s="105">
        <v>0</v>
      </c>
      <c r="E84" s="105">
        <v>0</v>
      </c>
      <c r="F84" s="105">
        <v>0</v>
      </c>
      <c r="G84" s="105">
        <v>0</v>
      </c>
      <c r="H84" s="105">
        <v>4</v>
      </c>
      <c r="I84" s="105">
        <v>3124.7999999999997</v>
      </c>
      <c r="J84" s="105">
        <v>3</v>
      </c>
      <c r="K84" s="105">
        <v>2343.6</v>
      </c>
      <c r="L84" s="105">
        <v>3</v>
      </c>
      <c r="M84" s="105">
        <v>2343.6</v>
      </c>
      <c r="N84" s="105">
        <v>3</v>
      </c>
      <c r="O84" s="105">
        <v>2343.6</v>
      </c>
      <c r="P84" s="105">
        <v>3</v>
      </c>
      <c r="Q84" s="105">
        <v>2343.6</v>
      </c>
      <c r="R84" s="105">
        <v>3</v>
      </c>
      <c r="S84" s="105">
        <v>2343.6</v>
      </c>
      <c r="T84" s="105">
        <v>5</v>
      </c>
      <c r="U84" s="105">
        <v>3905.9999999999995</v>
      </c>
      <c r="V84" s="105">
        <v>4</v>
      </c>
      <c r="W84" s="105">
        <v>3124.7999999999997</v>
      </c>
      <c r="X84" s="105">
        <v>3</v>
      </c>
      <c r="Y84" s="105">
        <v>2343.6</v>
      </c>
      <c r="Z84" s="105">
        <v>4</v>
      </c>
      <c r="AA84" s="105">
        <v>3124.7999999999997</v>
      </c>
      <c r="AB84" s="105">
        <v>5</v>
      </c>
      <c r="AC84" s="105">
        <v>3905.9999999999995</v>
      </c>
      <c r="AD84" s="105">
        <v>6</v>
      </c>
      <c r="AE84" s="105">
        <v>4687.2</v>
      </c>
      <c r="AF84" s="105">
        <v>5</v>
      </c>
      <c r="AG84" s="105">
        <v>3905.9999999999995</v>
      </c>
      <c r="AH84" s="105">
        <v>5</v>
      </c>
      <c r="AI84" s="105">
        <v>3905.9999999999995</v>
      </c>
      <c r="AJ84" s="105">
        <v>7</v>
      </c>
      <c r="AK84" s="105">
        <v>5468.4</v>
      </c>
      <c r="AL84" s="105">
        <v>4</v>
      </c>
      <c r="AM84" s="105">
        <v>3124.7999999999997</v>
      </c>
      <c r="AN84" s="105">
        <v>5</v>
      </c>
      <c r="AO84" s="105">
        <v>3905.9999999999995</v>
      </c>
      <c r="AP84" s="105">
        <v>7</v>
      </c>
      <c r="AQ84" s="105">
        <v>5468.4</v>
      </c>
      <c r="AR84" s="105">
        <v>8</v>
      </c>
      <c r="AS84" s="105">
        <v>6249.5999999999995</v>
      </c>
      <c r="AT84" s="105">
        <v>7</v>
      </c>
      <c r="AU84" s="105">
        <v>5468.4</v>
      </c>
      <c r="AV84" s="105">
        <v>10</v>
      </c>
      <c r="AW84" s="105">
        <v>7811.9999999999991</v>
      </c>
      <c r="AX84" s="105">
        <v>8</v>
      </c>
      <c r="AY84" s="105">
        <v>6249.5999999999995</v>
      </c>
      <c r="AZ84" s="105">
        <v>9</v>
      </c>
      <c r="BA84" s="105">
        <v>7030.7999999999993</v>
      </c>
      <c r="BB84" s="105">
        <v>7</v>
      </c>
      <c r="BC84" s="105">
        <v>5468.4</v>
      </c>
      <c r="BD84" s="105">
        <v>13</v>
      </c>
      <c r="BE84" s="105">
        <v>10155.599999999999</v>
      </c>
      <c r="BF84" s="105">
        <v>9</v>
      </c>
      <c r="BG84" s="105">
        <v>7030.7999999999993</v>
      </c>
      <c r="BH84" s="105">
        <v>3.4029898916475023</v>
      </c>
      <c r="BI84" s="105">
        <v>2658.4157033550287</v>
      </c>
      <c r="BJ84" s="105">
        <v>12</v>
      </c>
      <c r="BK84" s="105">
        <v>9374.4</v>
      </c>
      <c r="BL84" s="105">
        <v>11</v>
      </c>
      <c r="BM84" s="105">
        <v>8593.1999999999989</v>
      </c>
      <c r="BN84" s="105">
        <v>6.6632948590653269</v>
      </c>
      <c r="BO84" s="105">
        <v>5205.3659439018329</v>
      </c>
      <c r="BP84" s="105">
        <v>22</v>
      </c>
      <c r="BQ84" s="105">
        <v>17186.399999999998</v>
      </c>
      <c r="BR84" s="105">
        <v>1.1352390035613982</v>
      </c>
      <c r="BS84" s="105">
        <v>886.84870958216413</v>
      </c>
      <c r="BT84" s="105">
        <v>16.809787323587734</v>
      </c>
      <c r="BU84" s="105">
        <v>13131.805857186737</v>
      </c>
      <c r="BV84" s="105">
        <v>8.643709575800635</v>
      </c>
      <c r="BW84" s="105">
        <v>6752.4659206154556</v>
      </c>
      <c r="BX84" s="105">
        <v>14.165892587939702</v>
      </c>
      <c r="BY84" s="105">
        <v>11066.395289698494</v>
      </c>
      <c r="BZ84" s="105">
        <v>1.4957386363636374</v>
      </c>
      <c r="CA84" s="105">
        <v>1168.4710227272733</v>
      </c>
      <c r="CB84" s="105">
        <v>13.431286121928437</v>
      </c>
      <c r="CC84" s="105">
        <v>10492.520718450494</v>
      </c>
      <c r="CD84" s="105">
        <v>2.2638305801772765</v>
      </c>
      <c r="CE84" s="105">
        <v>1768.5044492344882</v>
      </c>
      <c r="CF84" s="105">
        <v>0.68664380641692335</v>
      </c>
      <c r="CG84" s="105">
        <v>536.40614157290042</v>
      </c>
      <c r="CH84" s="105">
        <v>10.891542635311533</v>
      </c>
      <c r="CI84" s="105">
        <v>8508.473106705369</v>
      </c>
      <c r="CJ84" s="105">
        <v>9.0518129570906769</v>
      </c>
      <c r="CK84" s="105">
        <v>7071.2762820792359</v>
      </c>
      <c r="CL84" s="105">
        <v>22.457133693398621</v>
      </c>
      <c r="CM84" s="105">
        <v>17543.512841283002</v>
      </c>
      <c r="CN84" s="105">
        <v>2.1652294875825215</v>
      </c>
      <c r="CO84" s="105">
        <v>1691.4772756994657</v>
      </c>
      <c r="CP84" s="105">
        <v>11.095186574315846</v>
      </c>
      <c r="CQ84" s="105">
        <v>8667.5597518555387</v>
      </c>
      <c r="CR84" s="105">
        <v>13.880903476877229</v>
      </c>
      <c r="CS84" s="105">
        <v>10843.76179613649</v>
      </c>
      <c r="CT84" s="105">
        <v>2.084467887473461</v>
      </c>
      <c r="CU84" s="105">
        <v>1628.3863136942675</v>
      </c>
    </row>
    <row r="85" spans="2:99" x14ac:dyDescent="0.25">
      <c r="C85" s="104" t="s">
        <v>250</v>
      </c>
      <c r="D85" s="105">
        <v>0</v>
      </c>
      <c r="E85" s="105">
        <v>0</v>
      </c>
      <c r="F85" s="105">
        <v>0</v>
      </c>
      <c r="G85" s="105">
        <v>0</v>
      </c>
      <c r="H85" s="105">
        <v>4</v>
      </c>
      <c r="I85" s="105">
        <v>600</v>
      </c>
      <c r="J85" s="105">
        <v>3</v>
      </c>
      <c r="K85" s="105">
        <v>450</v>
      </c>
      <c r="L85" s="105">
        <v>3</v>
      </c>
      <c r="M85" s="105">
        <v>450</v>
      </c>
      <c r="N85" s="105">
        <v>3</v>
      </c>
      <c r="O85" s="105">
        <v>450</v>
      </c>
      <c r="P85" s="105">
        <v>4</v>
      </c>
      <c r="Q85" s="105">
        <v>600</v>
      </c>
      <c r="R85" s="105">
        <v>4</v>
      </c>
      <c r="S85" s="105">
        <v>600</v>
      </c>
      <c r="T85" s="105">
        <v>5</v>
      </c>
      <c r="U85" s="105">
        <v>750</v>
      </c>
      <c r="V85" s="105">
        <v>4</v>
      </c>
      <c r="W85" s="105">
        <v>600</v>
      </c>
      <c r="X85" s="105">
        <v>4</v>
      </c>
      <c r="Y85" s="105">
        <v>600</v>
      </c>
      <c r="Z85" s="105">
        <v>4</v>
      </c>
      <c r="AA85" s="105">
        <v>600</v>
      </c>
      <c r="AB85" s="105">
        <v>7</v>
      </c>
      <c r="AC85" s="105">
        <v>1050</v>
      </c>
      <c r="AD85" s="105">
        <v>6</v>
      </c>
      <c r="AE85" s="105">
        <v>900</v>
      </c>
      <c r="AF85" s="105">
        <v>5</v>
      </c>
      <c r="AG85" s="105">
        <v>750</v>
      </c>
      <c r="AH85" s="105">
        <v>6</v>
      </c>
      <c r="AI85" s="105">
        <v>900</v>
      </c>
      <c r="AJ85" s="105">
        <v>7</v>
      </c>
      <c r="AK85" s="105">
        <v>1050</v>
      </c>
      <c r="AL85" s="105">
        <v>4</v>
      </c>
      <c r="AM85" s="105">
        <v>600</v>
      </c>
      <c r="AN85" s="105">
        <v>5</v>
      </c>
      <c r="AO85" s="105">
        <v>750</v>
      </c>
      <c r="AP85" s="105">
        <v>7</v>
      </c>
      <c r="AQ85" s="105">
        <v>1050</v>
      </c>
      <c r="AR85" s="105">
        <v>9</v>
      </c>
      <c r="AS85" s="105">
        <v>1350</v>
      </c>
      <c r="AT85" s="105">
        <v>9</v>
      </c>
      <c r="AU85" s="105">
        <v>1350</v>
      </c>
      <c r="AV85" s="105">
        <v>11</v>
      </c>
      <c r="AW85" s="105">
        <v>1650</v>
      </c>
      <c r="AX85" s="105">
        <v>10</v>
      </c>
      <c r="AY85" s="105">
        <v>1500</v>
      </c>
      <c r="AZ85" s="105">
        <v>9</v>
      </c>
      <c r="BA85" s="105">
        <v>1350</v>
      </c>
      <c r="BB85" s="105">
        <v>7</v>
      </c>
      <c r="BC85" s="105">
        <v>1050</v>
      </c>
      <c r="BD85" s="105">
        <v>14</v>
      </c>
      <c r="BE85" s="105">
        <v>2100</v>
      </c>
      <c r="BF85" s="105">
        <v>10</v>
      </c>
      <c r="BG85" s="105">
        <v>1500</v>
      </c>
      <c r="BH85" s="105">
        <v>3.7810998796083362</v>
      </c>
      <c r="BI85" s="105">
        <v>567.1649819412504</v>
      </c>
      <c r="BJ85" s="105">
        <v>15</v>
      </c>
      <c r="BK85" s="105">
        <v>2250</v>
      </c>
      <c r="BL85" s="105">
        <v>13</v>
      </c>
      <c r="BM85" s="105">
        <v>1950</v>
      </c>
      <c r="BN85" s="105">
        <v>8.1440270499687326</v>
      </c>
      <c r="BO85" s="105">
        <v>1221.6040574953099</v>
      </c>
      <c r="BP85" s="105">
        <v>25</v>
      </c>
      <c r="BQ85" s="105">
        <v>3750</v>
      </c>
      <c r="BR85" s="105">
        <v>1.2339554386536937</v>
      </c>
      <c r="BS85" s="105">
        <v>185.09331579805405</v>
      </c>
      <c r="BT85" s="105">
        <v>17.54064764200459</v>
      </c>
      <c r="BU85" s="105">
        <v>2631.0971463006886</v>
      </c>
      <c r="BV85" s="105">
        <v>8.643709575800635</v>
      </c>
      <c r="BW85" s="105">
        <v>1296.5564363700953</v>
      </c>
      <c r="BX85" s="105">
        <v>16.741509422110557</v>
      </c>
      <c r="BY85" s="105">
        <v>2511.2264133165836</v>
      </c>
      <c r="BZ85" s="105">
        <v>1.4403409090909101</v>
      </c>
      <c r="CA85" s="105">
        <v>216.05113636363652</v>
      </c>
      <c r="CB85" s="105">
        <v>15.694816895585637</v>
      </c>
      <c r="CC85" s="105">
        <v>2354.2225343378454</v>
      </c>
      <c r="CD85" s="105">
        <v>2.3368573730862212</v>
      </c>
      <c r="CE85" s="105">
        <v>350.52860596293317</v>
      </c>
      <c r="CF85" s="105">
        <v>0.84110068889108036</v>
      </c>
      <c r="CG85" s="105">
        <v>126.16510333366206</v>
      </c>
      <c r="CH85" s="105">
        <v>12.703357830974792</v>
      </c>
      <c r="CI85" s="105">
        <v>1905.5036746462188</v>
      </c>
      <c r="CJ85" s="105">
        <v>9.9743307000832093</v>
      </c>
      <c r="CK85" s="105">
        <v>1496.1496050124813</v>
      </c>
      <c r="CL85" s="105">
        <v>21.734892512558023</v>
      </c>
      <c r="CM85" s="105">
        <v>3260.2338768837035</v>
      </c>
      <c r="CN85" s="105">
        <v>2.6780469977994343</v>
      </c>
      <c r="CO85" s="105">
        <v>401.70704966991514</v>
      </c>
      <c r="CP85" s="105">
        <v>13.620204842006302</v>
      </c>
      <c r="CQ85" s="105">
        <v>2043.0307263009454</v>
      </c>
      <c r="CR85" s="105">
        <v>14.719253163169185</v>
      </c>
      <c r="CS85" s="105">
        <v>2207.8879744753776</v>
      </c>
      <c r="CT85" s="105">
        <v>2.6296364118895967</v>
      </c>
      <c r="CU85" s="105">
        <v>394.4454617834395</v>
      </c>
    </row>
    <row r="86" spans="2:99" x14ac:dyDescent="0.25">
      <c r="C86" s="104" t="s">
        <v>251</v>
      </c>
      <c r="D86" s="105">
        <v>0</v>
      </c>
      <c r="E86" s="105">
        <v>0</v>
      </c>
      <c r="F86" s="105">
        <v>0</v>
      </c>
      <c r="G86" s="105">
        <v>0</v>
      </c>
      <c r="H86" s="105">
        <v>4</v>
      </c>
      <c r="I86" s="105">
        <v>2160</v>
      </c>
      <c r="J86" s="105">
        <v>2</v>
      </c>
      <c r="K86" s="105">
        <v>1080</v>
      </c>
      <c r="L86" s="105">
        <v>3</v>
      </c>
      <c r="M86" s="105">
        <v>1620</v>
      </c>
      <c r="N86" s="105">
        <v>3</v>
      </c>
      <c r="O86" s="105">
        <v>1620</v>
      </c>
      <c r="P86" s="105">
        <v>3</v>
      </c>
      <c r="Q86" s="105">
        <v>1620</v>
      </c>
      <c r="R86" s="105">
        <v>4</v>
      </c>
      <c r="S86" s="105">
        <v>2160</v>
      </c>
      <c r="T86" s="105">
        <v>5</v>
      </c>
      <c r="U86" s="105">
        <v>2700</v>
      </c>
      <c r="V86" s="105">
        <v>4</v>
      </c>
      <c r="W86" s="105">
        <v>2160</v>
      </c>
      <c r="X86" s="105">
        <v>4</v>
      </c>
      <c r="Y86" s="105">
        <v>2160</v>
      </c>
      <c r="Z86" s="105">
        <v>4</v>
      </c>
      <c r="AA86" s="105">
        <v>2160</v>
      </c>
      <c r="AB86" s="105">
        <v>6</v>
      </c>
      <c r="AC86" s="105">
        <v>3240</v>
      </c>
      <c r="AD86" s="105">
        <v>6</v>
      </c>
      <c r="AE86" s="105">
        <v>3240</v>
      </c>
      <c r="AF86" s="105">
        <v>5</v>
      </c>
      <c r="AG86" s="105">
        <v>2700</v>
      </c>
      <c r="AH86" s="105">
        <v>6</v>
      </c>
      <c r="AI86" s="105">
        <v>3240</v>
      </c>
      <c r="AJ86" s="105">
        <v>7</v>
      </c>
      <c r="AK86" s="105">
        <v>3780</v>
      </c>
      <c r="AL86" s="105">
        <v>5</v>
      </c>
      <c r="AM86" s="105">
        <v>2700</v>
      </c>
      <c r="AN86" s="105">
        <v>5</v>
      </c>
      <c r="AO86" s="105">
        <v>2700</v>
      </c>
      <c r="AP86" s="105">
        <v>8</v>
      </c>
      <c r="AQ86" s="105">
        <v>4320</v>
      </c>
      <c r="AR86" s="105">
        <v>9</v>
      </c>
      <c r="AS86" s="105">
        <v>4860</v>
      </c>
      <c r="AT86" s="105">
        <v>8</v>
      </c>
      <c r="AU86" s="105">
        <v>4320</v>
      </c>
      <c r="AV86" s="105">
        <v>9</v>
      </c>
      <c r="AW86" s="105">
        <v>4860</v>
      </c>
      <c r="AX86" s="105">
        <v>10</v>
      </c>
      <c r="AY86" s="105">
        <v>5400</v>
      </c>
      <c r="AZ86" s="105">
        <v>9</v>
      </c>
      <c r="BA86" s="105">
        <v>4860</v>
      </c>
      <c r="BB86" s="105">
        <v>7</v>
      </c>
      <c r="BC86" s="105">
        <v>3780</v>
      </c>
      <c r="BD86" s="105">
        <v>12</v>
      </c>
      <c r="BE86" s="105">
        <v>6480</v>
      </c>
      <c r="BF86" s="105">
        <v>11</v>
      </c>
      <c r="BG86" s="105">
        <v>5940</v>
      </c>
      <c r="BH86" s="105">
        <v>3.7810998796083362</v>
      </c>
      <c r="BI86" s="105">
        <v>2041.7939349885016</v>
      </c>
      <c r="BJ86" s="105">
        <v>12</v>
      </c>
      <c r="BK86" s="105">
        <v>6480</v>
      </c>
      <c r="BL86" s="105">
        <v>13</v>
      </c>
      <c r="BM86" s="105">
        <v>7020</v>
      </c>
      <c r="BN86" s="105">
        <v>7.4036609545170293</v>
      </c>
      <c r="BO86" s="105">
        <v>3997.9769154391956</v>
      </c>
      <c r="BP86" s="105">
        <v>24</v>
      </c>
      <c r="BQ86" s="105">
        <v>12960</v>
      </c>
      <c r="BR86" s="105">
        <v>1.0365225684691026</v>
      </c>
      <c r="BS86" s="105">
        <v>559.72218697331539</v>
      </c>
      <c r="BT86" s="105">
        <v>15.348066686754017</v>
      </c>
      <c r="BU86" s="105">
        <v>8287.9560108471687</v>
      </c>
      <c r="BV86" s="105">
        <v>8.0263017489577315</v>
      </c>
      <c r="BW86" s="105">
        <v>4334.2029444371747</v>
      </c>
      <c r="BX86" s="105">
        <v>15.453701005025128</v>
      </c>
      <c r="BY86" s="105">
        <v>8344.9985427135689</v>
      </c>
      <c r="BZ86" s="105">
        <v>1.4403409090909101</v>
      </c>
      <c r="CA86" s="105">
        <v>777.78409090909145</v>
      </c>
      <c r="CB86" s="105">
        <v>12.747906656733404</v>
      </c>
      <c r="CC86" s="105">
        <v>6883.8695946360385</v>
      </c>
      <c r="CD86" s="105">
        <v>2.3368573730862212</v>
      </c>
      <c r="CE86" s="105">
        <v>1261.9029814665594</v>
      </c>
      <c r="CF86" s="105">
        <v>0.6649639006899345</v>
      </c>
      <c r="CG86" s="105">
        <v>359.08050637256463</v>
      </c>
      <c r="CH86" s="105">
        <v>9.6974334790906731</v>
      </c>
      <c r="CI86" s="105">
        <v>5236.6140787089635</v>
      </c>
      <c r="CJ86" s="105">
        <v>9.9917131067371514</v>
      </c>
      <c r="CK86" s="105">
        <v>5395.5250776380617</v>
      </c>
      <c r="CL86" s="105">
        <v>23.068638973712254</v>
      </c>
      <c r="CM86" s="105">
        <v>12457.065045804617</v>
      </c>
      <c r="CN86" s="105">
        <v>2.4786179660484127</v>
      </c>
      <c r="CO86" s="105">
        <v>1338.4537016661429</v>
      </c>
      <c r="CP86" s="105">
        <v>11.889568439674294</v>
      </c>
      <c r="CQ86" s="105">
        <v>6420.3669574241185</v>
      </c>
      <c r="CR86" s="105">
        <v>12.92749631837621</v>
      </c>
      <c r="CS86" s="105">
        <v>6980.8480119231535</v>
      </c>
      <c r="CT86" s="105">
        <v>2.4051552547770707</v>
      </c>
      <c r="CU86" s="105">
        <v>1298.7838375796182</v>
      </c>
    </row>
    <row r="87" spans="2:99" x14ac:dyDescent="0.25">
      <c r="B87" s="104" t="s">
        <v>131</v>
      </c>
      <c r="C87" s="104" t="s">
        <v>252</v>
      </c>
      <c r="D87" s="105">
        <v>0</v>
      </c>
      <c r="E87" s="105">
        <v>0</v>
      </c>
      <c r="F87" s="105">
        <v>0</v>
      </c>
      <c r="G87" s="105">
        <v>0</v>
      </c>
      <c r="H87" s="105">
        <v>3</v>
      </c>
      <c r="I87" s="105">
        <v>5864.4</v>
      </c>
      <c r="J87" s="105">
        <v>3</v>
      </c>
      <c r="K87" s="105">
        <v>5864.4</v>
      </c>
      <c r="L87" s="105">
        <v>4</v>
      </c>
      <c r="M87" s="105">
        <v>7819.2</v>
      </c>
      <c r="N87" s="105">
        <v>4</v>
      </c>
      <c r="O87" s="105">
        <v>7819.2</v>
      </c>
      <c r="P87" s="105">
        <v>3</v>
      </c>
      <c r="Q87" s="105">
        <v>5864.4</v>
      </c>
      <c r="R87" s="105">
        <v>4</v>
      </c>
      <c r="S87" s="105">
        <v>7819.2</v>
      </c>
      <c r="T87" s="105">
        <v>4</v>
      </c>
      <c r="U87" s="105">
        <v>7819.2</v>
      </c>
      <c r="V87" s="105">
        <v>4</v>
      </c>
      <c r="W87" s="105">
        <v>7819.2</v>
      </c>
      <c r="X87" s="105">
        <v>5</v>
      </c>
      <c r="Y87" s="105">
        <v>9774</v>
      </c>
      <c r="Z87" s="105">
        <v>3</v>
      </c>
      <c r="AA87" s="105">
        <v>5864.4</v>
      </c>
      <c r="AB87" s="105">
        <v>4</v>
      </c>
      <c r="AC87" s="105">
        <v>7819.2</v>
      </c>
      <c r="AD87" s="105">
        <v>3</v>
      </c>
      <c r="AE87" s="105">
        <v>5864.4</v>
      </c>
      <c r="AF87" s="105">
        <v>5</v>
      </c>
      <c r="AG87" s="105">
        <v>9774</v>
      </c>
      <c r="AH87" s="105">
        <v>4</v>
      </c>
      <c r="AI87" s="105">
        <v>7819.2</v>
      </c>
      <c r="AJ87" s="105">
        <v>4</v>
      </c>
      <c r="AK87" s="105">
        <v>7819.2</v>
      </c>
      <c r="AL87" s="105">
        <v>9</v>
      </c>
      <c r="AM87" s="105">
        <v>17593.2</v>
      </c>
      <c r="AN87" s="105">
        <v>8</v>
      </c>
      <c r="AO87" s="105">
        <v>15638.4</v>
      </c>
      <c r="AP87" s="105">
        <v>8</v>
      </c>
      <c r="AQ87" s="105">
        <v>15638.4</v>
      </c>
      <c r="AR87" s="105">
        <v>7</v>
      </c>
      <c r="AS87" s="105">
        <v>13683.6</v>
      </c>
      <c r="AT87" s="105">
        <v>9</v>
      </c>
      <c r="AU87" s="105">
        <v>17593.2</v>
      </c>
      <c r="AV87" s="105">
        <v>11</v>
      </c>
      <c r="AW87" s="105">
        <v>21502.799999999999</v>
      </c>
      <c r="AX87" s="105">
        <v>6</v>
      </c>
      <c r="AY87" s="105">
        <v>11728.8</v>
      </c>
      <c r="AZ87" s="105">
        <v>8</v>
      </c>
      <c r="BA87" s="105">
        <v>15638.4</v>
      </c>
      <c r="BB87" s="105">
        <v>12</v>
      </c>
      <c r="BC87" s="105">
        <v>23457.599999999999</v>
      </c>
      <c r="BD87" s="105">
        <v>11</v>
      </c>
      <c r="BE87" s="105">
        <v>21502.799999999999</v>
      </c>
      <c r="BF87" s="105">
        <v>8</v>
      </c>
      <c r="BG87" s="105">
        <v>15638.4</v>
      </c>
      <c r="BH87" s="105">
        <v>6.0497598073733378</v>
      </c>
      <c r="BI87" s="105">
        <v>11826.0704714534</v>
      </c>
      <c r="BJ87" s="105">
        <v>11</v>
      </c>
      <c r="BK87" s="105">
        <v>21502.799999999999</v>
      </c>
      <c r="BL87" s="105">
        <v>13</v>
      </c>
      <c r="BM87" s="105">
        <v>25412.399999999998</v>
      </c>
      <c r="BN87" s="105">
        <v>11.105491431775546</v>
      </c>
      <c r="BO87" s="105">
        <v>21709.014650834837</v>
      </c>
      <c r="BP87" s="105">
        <v>18</v>
      </c>
      <c r="BQ87" s="105">
        <v>35186.400000000001</v>
      </c>
      <c r="BR87" s="105">
        <v>1.2833136561998415</v>
      </c>
      <c r="BS87" s="105">
        <v>2508.6215351394503</v>
      </c>
      <c r="BT87" s="105">
        <v>13.886346049920302</v>
      </c>
      <c r="BU87" s="105">
        <v>27145.029258384206</v>
      </c>
      <c r="BV87" s="105">
        <v>9.2611174026435368</v>
      </c>
      <c r="BW87" s="105">
        <v>18103.632298687586</v>
      </c>
      <c r="BX87" s="105">
        <v>14.165892587939702</v>
      </c>
      <c r="BY87" s="105">
        <v>27691.486830904527</v>
      </c>
      <c r="BZ87" s="105">
        <v>1.2741477272727282</v>
      </c>
      <c r="CA87" s="105">
        <v>2490.7039772727289</v>
      </c>
      <c r="CB87" s="105">
        <v>12.326194782358851</v>
      </c>
      <c r="CC87" s="105">
        <v>24095.245560555082</v>
      </c>
      <c r="CD87" s="105">
        <v>2.1908037872683321</v>
      </c>
      <c r="CE87" s="105">
        <v>4282.5832433521355</v>
      </c>
      <c r="CF87" s="105">
        <v>1.1707149092574027</v>
      </c>
      <c r="CG87" s="105">
        <v>2288.5135046163709</v>
      </c>
      <c r="CH87" s="105">
        <v>10.615141911969147</v>
      </c>
      <c r="CI87" s="105">
        <v>20750.479409517287</v>
      </c>
      <c r="CJ87" s="105">
        <v>8.1119128074441988</v>
      </c>
      <c r="CK87" s="105">
        <v>15857.16715599192</v>
      </c>
      <c r="CL87" s="105">
        <v>25.807493951779811</v>
      </c>
      <c r="CM87" s="105">
        <v>50448.489176939176</v>
      </c>
      <c r="CN87" s="105">
        <v>2.2506990726186737</v>
      </c>
      <c r="CO87" s="105">
        <v>4399.6665471549832</v>
      </c>
      <c r="CP87" s="105">
        <v>10.302439680251299</v>
      </c>
      <c r="CQ87" s="105">
        <v>20139.209086955238</v>
      </c>
      <c r="CR87" s="105">
        <v>14.756833495347271</v>
      </c>
      <c r="CS87" s="105">
        <v>28846.658116704846</v>
      </c>
      <c r="CT87" s="105">
        <v>1.7637805201698518</v>
      </c>
      <c r="CU87" s="105">
        <v>3447.838160828026</v>
      </c>
    </row>
    <row r="88" spans="2:99" x14ac:dyDescent="0.25">
      <c r="C88" s="104" t="s">
        <v>253</v>
      </c>
      <c r="D88" s="105">
        <v>0</v>
      </c>
      <c r="E88" s="105">
        <v>0</v>
      </c>
      <c r="F88" s="105">
        <v>0</v>
      </c>
      <c r="G88" s="105">
        <v>0</v>
      </c>
      <c r="H88" s="105">
        <v>3</v>
      </c>
      <c r="I88" s="105">
        <v>5677.2</v>
      </c>
      <c r="J88" s="105">
        <v>4</v>
      </c>
      <c r="K88" s="105">
        <v>7569.5999999999995</v>
      </c>
      <c r="L88" s="105">
        <v>5</v>
      </c>
      <c r="M88" s="105">
        <v>9462</v>
      </c>
      <c r="N88" s="105">
        <v>4</v>
      </c>
      <c r="O88" s="105">
        <v>7569.5999999999995</v>
      </c>
      <c r="P88" s="105">
        <v>2</v>
      </c>
      <c r="Q88" s="105">
        <v>3784.7999999999997</v>
      </c>
      <c r="R88" s="105">
        <v>3</v>
      </c>
      <c r="S88" s="105">
        <v>5677.2</v>
      </c>
      <c r="T88" s="105">
        <v>4</v>
      </c>
      <c r="U88" s="105">
        <v>7569.5999999999995</v>
      </c>
      <c r="V88" s="105">
        <v>4</v>
      </c>
      <c r="W88" s="105">
        <v>7569.5999999999995</v>
      </c>
      <c r="X88" s="105">
        <v>5</v>
      </c>
      <c r="Y88" s="105">
        <v>9462</v>
      </c>
      <c r="Z88" s="105">
        <v>3</v>
      </c>
      <c r="AA88" s="105">
        <v>5677.2</v>
      </c>
      <c r="AB88" s="105">
        <v>4</v>
      </c>
      <c r="AC88" s="105">
        <v>7569.5999999999995</v>
      </c>
      <c r="AD88" s="105">
        <v>3</v>
      </c>
      <c r="AE88" s="105">
        <v>5677.2</v>
      </c>
      <c r="AF88" s="105">
        <v>5</v>
      </c>
      <c r="AG88" s="105">
        <v>9462</v>
      </c>
      <c r="AH88" s="105">
        <v>4</v>
      </c>
      <c r="AI88" s="105">
        <v>7569.5999999999995</v>
      </c>
      <c r="AJ88" s="105">
        <v>5</v>
      </c>
      <c r="AK88" s="105">
        <v>9462</v>
      </c>
      <c r="AL88" s="105">
        <v>9</v>
      </c>
      <c r="AM88" s="105">
        <v>17031.599999999999</v>
      </c>
      <c r="AN88" s="105">
        <v>7</v>
      </c>
      <c r="AO88" s="105">
        <v>13246.8</v>
      </c>
      <c r="AP88" s="105">
        <v>9</v>
      </c>
      <c r="AQ88" s="105">
        <v>17031.599999999999</v>
      </c>
      <c r="AR88" s="105">
        <v>8</v>
      </c>
      <c r="AS88" s="105">
        <v>15139.199999999999</v>
      </c>
      <c r="AT88" s="105">
        <v>9</v>
      </c>
      <c r="AU88" s="105">
        <v>17031.599999999999</v>
      </c>
      <c r="AV88" s="105">
        <v>11</v>
      </c>
      <c r="AW88" s="105">
        <v>20816.399999999998</v>
      </c>
      <c r="AX88" s="105">
        <v>7</v>
      </c>
      <c r="AY88" s="105">
        <v>13246.8</v>
      </c>
      <c r="AZ88" s="105">
        <v>7</v>
      </c>
      <c r="BA88" s="105">
        <v>13246.8</v>
      </c>
      <c r="BB88" s="105">
        <v>11</v>
      </c>
      <c r="BC88" s="105">
        <v>20816.399999999998</v>
      </c>
      <c r="BD88" s="105">
        <v>10</v>
      </c>
      <c r="BE88" s="105">
        <v>18924</v>
      </c>
      <c r="BF88" s="105">
        <v>8</v>
      </c>
      <c r="BG88" s="105">
        <v>15139.199999999999</v>
      </c>
      <c r="BH88" s="105">
        <v>6.0497598073733378</v>
      </c>
      <c r="BI88" s="105">
        <v>11448.565459473304</v>
      </c>
      <c r="BJ88" s="105">
        <v>11</v>
      </c>
      <c r="BK88" s="105">
        <v>20816.399999999998</v>
      </c>
      <c r="BL88" s="105">
        <v>13</v>
      </c>
      <c r="BM88" s="105">
        <v>24601.199999999997</v>
      </c>
      <c r="BN88" s="105">
        <v>10.365125336323841</v>
      </c>
      <c r="BO88" s="105">
        <v>19614.963186459234</v>
      </c>
      <c r="BP88" s="105">
        <v>22</v>
      </c>
      <c r="BQ88" s="105">
        <v>41632.799999999996</v>
      </c>
      <c r="BR88" s="105">
        <v>1.2339554386536937</v>
      </c>
      <c r="BS88" s="105">
        <v>2335.1372721082498</v>
      </c>
      <c r="BT88" s="105">
        <v>14.617206368337159</v>
      </c>
      <c r="BU88" s="105">
        <v>27661.601331441238</v>
      </c>
      <c r="BV88" s="105">
        <v>9.2611174026435368</v>
      </c>
      <c r="BW88" s="105">
        <v>17525.738572762628</v>
      </c>
      <c r="BX88" s="105">
        <v>12.878084170854274</v>
      </c>
      <c r="BY88" s="105">
        <v>24370.486484924626</v>
      </c>
      <c r="BZ88" s="105">
        <v>1.2741477272727282</v>
      </c>
      <c r="CA88" s="105">
        <v>2411.1971590909106</v>
      </c>
      <c r="CB88" s="105">
        <v>11.482771033609739</v>
      </c>
      <c r="CC88" s="105">
        <v>21729.995904003066</v>
      </c>
      <c r="CD88" s="105">
        <v>2.1177769943593878</v>
      </c>
      <c r="CE88" s="105">
        <v>4007.6811841257054</v>
      </c>
      <c r="CF88" s="105">
        <v>1.2091195777728456</v>
      </c>
      <c r="CG88" s="105">
        <v>2288.1378889773328</v>
      </c>
      <c r="CH88" s="105">
        <v>11.829902529521977</v>
      </c>
      <c r="CI88" s="105">
        <v>22386.907546867387</v>
      </c>
      <c r="CJ88" s="105">
        <v>8.6122246446987418</v>
      </c>
      <c r="CK88" s="105">
        <v>16297.773917627897</v>
      </c>
      <c r="CL88" s="105">
        <v>23.341785908141347</v>
      </c>
      <c r="CM88" s="105">
        <v>44171.995652566678</v>
      </c>
      <c r="CN88" s="105">
        <v>1.9658004558314999</v>
      </c>
      <c r="CO88" s="105">
        <v>3720.0807826155301</v>
      </c>
      <c r="CP88" s="105">
        <v>10.145852266991072</v>
      </c>
      <c r="CQ88" s="105">
        <v>19200.010830053903</v>
      </c>
      <c r="CR88" s="105">
        <v>16.520405091006676</v>
      </c>
      <c r="CS88" s="105">
        <v>31263.21459422103</v>
      </c>
      <c r="CT88" s="105">
        <v>1.9241242038216562</v>
      </c>
      <c r="CU88" s="105">
        <v>3641.212643312102</v>
      </c>
    </row>
    <row r="89" spans="2:99" x14ac:dyDescent="0.25">
      <c r="C89" s="104" t="s">
        <v>254</v>
      </c>
      <c r="D89" s="105">
        <v>0</v>
      </c>
      <c r="E89" s="105">
        <v>0</v>
      </c>
      <c r="F89" s="105">
        <v>0</v>
      </c>
      <c r="G89" s="105">
        <v>0</v>
      </c>
      <c r="H89" s="105">
        <v>3</v>
      </c>
      <c r="I89" s="105">
        <v>7192.7999999999993</v>
      </c>
      <c r="J89" s="105">
        <v>4</v>
      </c>
      <c r="K89" s="105">
        <v>9590.4</v>
      </c>
      <c r="L89" s="105">
        <v>4</v>
      </c>
      <c r="M89" s="105">
        <v>9590.4</v>
      </c>
      <c r="N89" s="105">
        <v>4</v>
      </c>
      <c r="O89" s="105">
        <v>9590.4</v>
      </c>
      <c r="P89" s="105">
        <v>2</v>
      </c>
      <c r="Q89" s="105">
        <v>4795.2</v>
      </c>
      <c r="R89" s="105">
        <v>4</v>
      </c>
      <c r="S89" s="105">
        <v>9590.4</v>
      </c>
      <c r="T89" s="105">
        <v>4</v>
      </c>
      <c r="U89" s="105">
        <v>9590.4</v>
      </c>
      <c r="V89" s="105">
        <v>4</v>
      </c>
      <c r="W89" s="105">
        <v>9590.4</v>
      </c>
      <c r="X89" s="105">
        <v>4</v>
      </c>
      <c r="Y89" s="105">
        <v>9590.4</v>
      </c>
      <c r="Z89" s="105">
        <v>3</v>
      </c>
      <c r="AA89" s="105">
        <v>7192.7999999999993</v>
      </c>
      <c r="AB89" s="105">
        <v>4</v>
      </c>
      <c r="AC89" s="105">
        <v>9590.4</v>
      </c>
      <c r="AD89" s="105">
        <v>3</v>
      </c>
      <c r="AE89" s="105">
        <v>7192.7999999999993</v>
      </c>
      <c r="AF89" s="105">
        <v>4</v>
      </c>
      <c r="AG89" s="105">
        <v>9590.4</v>
      </c>
      <c r="AH89" s="105">
        <v>4</v>
      </c>
      <c r="AI89" s="105">
        <v>9590.4</v>
      </c>
      <c r="AJ89" s="105">
        <v>4</v>
      </c>
      <c r="AK89" s="105">
        <v>9590.4</v>
      </c>
      <c r="AL89" s="105">
        <v>8</v>
      </c>
      <c r="AM89" s="105">
        <v>19180.8</v>
      </c>
      <c r="AN89" s="105">
        <v>8</v>
      </c>
      <c r="AO89" s="105">
        <v>19180.8</v>
      </c>
      <c r="AP89" s="105">
        <v>7</v>
      </c>
      <c r="AQ89" s="105">
        <v>16783.2</v>
      </c>
      <c r="AR89" s="105">
        <v>6</v>
      </c>
      <c r="AS89" s="105">
        <v>14385.599999999999</v>
      </c>
      <c r="AT89" s="105">
        <v>8</v>
      </c>
      <c r="AU89" s="105">
        <v>19180.8</v>
      </c>
      <c r="AV89" s="105">
        <v>9</v>
      </c>
      <c r="AW89" s="105">
        <v>21578.399999999998</v>
      </c>
      <c r="AX89" s="105">
        <v>7</v>
      </c>
      <c r="AY89" s="105">
        <v>16783.2</v>
      </c>
      <c r="AZ89" s="105">
        <v>8</v>
      </c>
      <c r="BA89" s="105">
        <v>19180.8</v>
      </c>
      <c r="BB89" s="105">
        <v>12</v>
      </c>
      <c r="BC89" s="105">
        <v>28771.199999999997</v>
      </c>
      <c r="BD89" s="105">
        <v>9</v>
      </c>
      <c r="BE89" s="105">
        <v>21578.399999999998</v>
      </c>
      <c r="BF89" s="105">
        <v>8</v>
      </c>
      <c r="BG89" s="105">
        <v>19180.8</v>
      </c>
      <c r="BH89" s="105">
        <v>6.0497598073733378</v>
      </c>
      <c r="BI89" s="105">
        <v>14504.904114158315</v>
      </c>
      <c r="BJ89" s="105">
        <v>9</v>
      </c>
      <c r="BK89" s="105">
        <v>21578.399999999998</v>
      </c>
      <c r="BL89" s="105">
        <v>12</v>
      </c>
      <c r="BM89" s="105">
        <v>28771.199999999997</v>
      </c>
      <c r="BN89" s="105">
        <v>9.6247592408721374</v>
      </c>
      <c r="BO89" s="105">
        <v>23076.322755915036</v>
      </c>
      <c r="BP89" s="105">
        <v>18</v>
      </c>
      <c r="BQ89" s="105">
        <v>43156.799999999996</v>
      </c>
      <c r="BR89" s="105">
        <v>1.0858807860152504</v>
      </c>
      <c r="BS89" s="105">
        <v>2603.5077725501642</v>
      </c>
      <c r="BT89" s="105">
        <v>13.155485731503441</v>
      </c>
      <c r="BU89" s="105">
        <v>31541.592589852651</v>
      </c>
      <c r="BV89" s="105">
        <v>7.4088939221148289</v>
      </c>
      <c r="BW89" s="105">
        <v>17763.564067662512</v>
      </c>
      <c r="BX89" s="105">
        <v>14.59516206030151</v>
      </c>
      <c r="BY89" s="105">
        <v>34993.360555778898</v>
      </c>
      <c r="BZ89" s="105">
        <v>1.2187500000000009</v>
      </c>
      <c r="CA89" s="105">
        <v>2922.0750000000021</v>
      </c>
      <c r="CB89" s="105">
        <v>11.589467222645792</v>
      </c>
      <c r="CC89" s="105">
        <v>27786.906613015552</v>
      </c>
      <c r="CD89" s="105">
        <v>2.2638305801772765</v>
      </c>
      <c r="CE89" s="105">
        <v>5427.7601990330377</v>
      </c>
      <c r="CF89" s="105">
        <v>1.0839952863494471</v>
      </c>
      <c r="CG89" s="105">
        <v>2598.9870985514344</v>
      </c>
      <c r="CH89" s="105">
        <v>10.918094514166926</v>
      </c>
      <c r="CI89" s="105">
        <v>26177.223407166621</v>
      </c>
      <c r="CJ89" s="105">
        <v>7.270359764268477</v>
      </c>
      <c r="CK89" s="105">
        <v>17431.414570810099</v>
      </c>
      <c r="CL89" s="105">
        <v>22.684756138756196</v>
      </c>
      <c r="CM89" s="105">
        <v>54388.971318281852</v>
      </c>
      <c r="CN89" s="105">
        <v>1.8803308707953477</v>
      </c>
      <c r="CO89" s="105">
        <v>4508.2812958189252</v>
      </c>
      <c r="CP89" s="105">
        <v>10.444312351866412</v>
      </c>
      <c r="CQ89" s="105">
        <v>25041.283294834906</v>
      </c>
      <c r="CR89" s="105">
        <v>13.080134122763365</v>
      </c>
      <c r="CS89" s="105">
        <v>31360.929572737441</v>
      </c>
      <c r="CT89" s="105">
        <v>1.475161889596603</v>
      </c>
      <c r="CU89" s="105">
        <v>3536.8481464968154</v>
      </c>
    </row>
    <row r="90" spans="2:99" x14ac:dyDescent="0.25">
      <c r="C90" s="104" t="s">
        <v>255</v>
      </c>
      <c r="D90" s="105">
        <v>0</v>
      </c>
      <c r="E90" s="105">
        <v>0</v>
      </c>
      <c r="F90" s="105">
        <v>0</v>
      </c>
      <c r="G90" s="105">
        <v>0</v>
      </c>
      <c r="H90" s="105">
        <v>3</v>
      </c>
      <c r="I90" s="105">
        <v>6591.5999999999995</v>
      </c>
      <c r="J90" s="105">
        <v>4</v>
      </c>
      <c r="K90" s="105">
        <v>8788.7999999999993</v>
      </c>
      <c r="L90" s="105">
        <v>5</v>
      </c>
      <c r="M90" s="105">
        <v>10986</v>
      </c>
      <c r="N90" s="105">
        <v>5</v>
      </c>
      <c r="O90" s="105">
        <v>10986</v>
      </c>
      <c r="P90" s="105">
        <v>2</v>
      </c>
      <c r="Q90" s="105">
        <v>4394.3999999999996</v>
      </c>
      <c r="R90" s="105">
        <v>4</v>
      </c>
      <c r="S90" s="105">
        <v>8788.7999999999993</v>
      </c>
      <c r="T90" s="105">
        <v>3</v>
      </c>
      <c r="U90" s="105">
        <v>6591.5999999999995</v>
      </c>
      <c r="V90" s="105">
        <v>4</v>
      </c>
      <c r="W90" s="105">
        <v>8788.7999999999993</v>
      </c>
      <c r="X90" s="105">
        <v>5</v>
      </c>
      <c r="Y90" s="105">
        <v>10986</v>
      </c>
      <c r="Z90" s="105">
        <v>3</v>
      </c>
      <c r="AA90" s="105">
        <v>6591.5999999999995</v>
      </c>
      <c r="AB90" s="105">
        <v>4</v>
      </c>
      <c r="AC90" s="105">
        <v>8788.7999999999993</v>
      </c>
      <c r="AD90" s="105">
        <v>3</v>
      </c>
      <c r="AE90" s="105">
        <v>6591.5999999999995</v>
      </c>
      <c r="AF90" s="105">
        <v>4</v>
      </c>
      <c r="AG90" s="105">
        <v>8788.7999999999993</v>
      </c>
      <c r="AH90" s="105">
        <v>4</v>
      </c>
      <c r="AI90" s="105">
        <v>8788.7999999999993</v>
      </c>
      <c r="AJ90" s="105">
        <v>5</v>
      </c>
      <c r="AK90" s="105">
        <v>10986</v>
      </c>
      <c r="AL90" s="105">
        <v>9</v>
      </c>
      <c r="AM90" s="105">
        <v>19774.8</v>
      </c>
      <c r="AN90" s="105">
        <v>7</v>
      </c>
      <c r="AO90" s="105">
        <v>15380.399999999998</v>
      </c>
      <c r="AP90" s="105">
        <v>8</v>
      </c>
      <c r="AQ90" s="105">
        <v>17577.599999999999</v>
      </c>
      <c r="AR90" s="105">
        <v>7</v>
      </c>
      <c r="AS90" s="105">
        <v>15380.399999999998</v>
      </c>
      <c r="AT90" s="105">
        <v>8</v>
      </c>
      <c r="AU90" s="105">
        <v>17577.599999999999</v>
      </c>
      <c r="AV90" s="105">
        <v>10</v>
      </c>
      <c r="AW90" s="105">
        <v>21972</v>
      </c>
      <c r="AX90" s="105">
        <v>6</v>
      </c>
      <c r="AY90" s="105">
        <v>13183.199999999999</v>
      </c>
      <c r="AZ90" s="105">
        <v>7</v>
      </c>
      <c r="BA90" s="105">
        <v>15380.399999999998</v>
      </c>
      <c r="BB90" s="105">
        <v>11</v>
      </c>
      <c r="BC90" s="105">
        <v>24169.199999999997</v>
      </c>
      <c r="BD90" s="105">
        <v>10</v>
      </c>
      <c r="BE90" s="105">
        <v>21972</v>
      </c>
      <c r="BF90" s="105">
        <v>7</v>
      </c>
      <c r="BG90" s="105">
        <v>15380.399999999998</v>
      </c>
      <c r="BH90" s="105">
        <v>6.4278697953341721</v>
      </c>
      <c r="BI90" s="105">
        <v>14123.315514308242</v>
      </c>
      <c r="BJ90" s="105">
        <v>10</v>
      </c>
      <c r="BK90" s="105">
        <v>21972</v>
      </c>
      <c r="BL90" s="105">
        <v>12</v>
      </c>
      <c r="BM90" s="105">
        <v>26366.399999999998</v>
      </c>
      <c r="BN90" s="105">
        <v>11.845857527227247</v>
      </c>
      <c r="BO90" s="105">
        <v>26027.718158823707</v>
      </c>
      <c r="BP90" s="105">
        <v>21</v>
      </c>
      <c r="BQ90" s="105">
        <v>46141.2</v>
      </c>
      <c r="BR90" s="105">
        <v>1.2833136561998415</v>
      </c>
      <c r="BS90" s="105">
        <v>2819.6967654022915</v>
      </c>
      <c r="BT90" s="105">
        <v>12.424625413086584</v>
      </c>
      <c r="BU90" s="105">
        <v>27299.38695763384</v>
      </c>
      <c r="BV90" s="105">
        <v>8.643709575800635</v>
      </c>
      <c r="BW90" s="105">
        <v>18991.958679949155</v>
      </c>
      <c r="BX90" s="105">
        <v>14.165892587939702</v>
      </c>
      <c r="BY90" s="105">
        <v>31125.299194221108</v>
      </c>
      <c r="BZ90" s="105">
        <v>1.1079545454545463</v>
      </c>
      <c r="CA90" s="105">
        <v>2434.3977272727288</v>
      </c>
      <c r="CB90" s="105">
        <v>10.431027788558179</v>
      </c>
      <c r="CC90" s="105">
        <v>22919.05425702003</v>
      </c>
      <c r="CD90" s="105">
        <v>2.0447502014504435</v>
      </c>
      <c r="CE90" s="105">
        <v>4492.725142626914</v>
      </c>
      <c r="CF90" s="105">
        <v>1.2357546264383699</v>
      </c>
      <c r="CG90" s="105">
        <v>2715.2000652103861</v>
      </c>
      <c r="CH90" s="105">
        <v>11.206296072556153</v>
      </c>
      <c r="CI90" s="105">
        <v>24622.473730620379</v>
      </c>
      <c r="CJ90" s="105">
        <v>7.5913597952354559</v>
      </c>
      <c r="CK90" s="105">
        <v>16679.735742091343</v>
      </c>
      <c r="CL90" s="105">
        <v>21.598319045343477</v>
      </c>
      <c r="CM90" s="105">
        <v>47455.82660642868</v>
      </c>
      <c r="CN90" s="105">
        <v>2.1082497642250866</v>
      </c>
      <c r="CO90" s="105">
        <v>4632.2463819553595</v>
      </c>
      <c r="CP90" s="105">
        <v>10.302439680251299</v>
      </c>
      <c r="CQ90" s="105">
        <v>22636.520465448149</v>
      </c>
      <c r="CR90" s="105">
        <v>13.728265672490073</v>
      </c>
      <c r="CS90" s="105">
        <v>30163.745335595187</v>
      </c>
      <c r="CT90" s="105">
        <v>1.6034368365180469</v>
      </c>
      <c r="CU90" s="105">
        <v>3523.0714171974523</v>
      </c>
    </row>
    <row r="91" spans="2:99" x14ac:dyDescent="0.25">
      <c r="C91" s="104" t="s">
        <v>256</v>
      </c>
      <c r="D91" s="105">
        <v>0</v>
      </c>
      <c r="E91" s="105">
        <v>0</v>
      </c>
      <c r="F91" s="105">
        <v>0</v>
      </c>
      <c r="G91" s="105">
        <v>0</v>
      </c>
      <c r="H91" s="105">
        <v>3</v>
      </c>
      <c r="I91" s="105">
        <v>6890.4</v>
      </c>
      <c r="J91" s="105">
        <v>3</v>
      </c>
      <c r="K91" s="105">
        <v>6890.4</v>
      </c>
      <c r="L91" s="105">
        <v>4</v>
      </c>
      <c r="M91" s="105">
        <v>9187.1999999999989</v>
      </c>
      <c r="N91" s="105">
        <v>4</v>
      </c>
      <c r="O91" s="105">
        <v>9187.1999999999989</v>
      </c>
      <c r="P91" s="105">
        <v>2</v>
      </c>
      <c r="Q91" s="105">
        <v>4593.5999999999995</v>
      </c>
      <c r="R91" s="105">
        <v>3</v>
      </c>
      <c r="S91" s="105">
        <v>6890.4</v>
      </c>
      <c r="T91" s="105">
        <v>4</v>
      </c>
      <c r="U91" s="105">
        <v>9187.1999999999989</v>
      </c>
      <c r="V91" s="105">
        <v>4</v>
      </c>
      <c r="W91" s="105">
        <v>9187.1999999999989</v>
      </c>
      <c r="X91" s="105">
        <v>5</v>
      </c>
      <c r="Y91" s="105">
        <v>11483.999999999998</v>
      </c>
      <c r="Z91" s="105">
        <v>3</v>
      </c>
      <c r="AA91" s="105">
        <v>6890.4</v>
      </c>
      <c r="AB91" s="105">
        <v>4</v>
      </c>
      <c r="AC91" s="105">
        <v>9187.1999999999989</v>
      </c>
      <c r="AD91" s="105">
        <v>3</v>
      </c>
      <c r="AE91" s="105">
        <v>6890.4</v>
      </c>
      <c r="AF91" s="105">
        <v>5</v>
      </c>
      <c r="AG91" s="105">
        <v>11483.999999999998</v>
      </c>
      <c r="AH91" s="105">
        <v>4</v>
      </c>
      <c r="AI91" s="105">
        <v>9187.1999999999989</v>
      </c>
      <c r="AJ91" s="105">
        <v>4</v>
      </c>
      <c r="AK91" s="105">
        <v>9187.1999999999989</v>
      </c>
      <c r="AL91" s="105">
        <v>9</v>
      </c>
      <c r="AM91" s="105">
        <v>20671.199999999997</v>
      </c>
      <c r="AN91" s="105">
        <v>8</v>
      </c>
      <c r="AO91" s="105">
        <v>18374.399999999998</v>
      </c>
      <c r="AP91" s="105">
        <v>8</v>
      </c>
      <c r="AQ91" s="105">
        <v>18374.399999999998</v>
      </c>
      <c r="AR91" s="105">
        <v>7</v>
      </c>
      <c r="AS91" s="105">
        <v>16077.599999999999</v>
      </c>
      <c r="AT91" s="105">
        <v>9</v>
      </c>
      <c r="AU91" s="105">
        <v>20671.199999999997</v>
      </c>
      <c r="AV91" s="105">
        <v>11</v>
      </c>
      <c r="AW91" s="105">
        <v>25264.799999999996</v>
      </c>
      <c r="AX91" s="105">
        <v>7</v>
      </c>
      <c r="AY91" s="105">
        <v>16077.599999999999</v>
      </c>
      <c r="AZ91" s="105">
        <v>7</v>
      </c>
      <c r="BA91" s="105">
        <v>16077.599999999999</v>
      </c>
      <c r="BB91" s="105">
        <v>12</v>
      </c>
      <c r="BC91" s="105">
        <v>27561.599999999999</v>
      </c>
      <c r="BD91" s="105">
        <v>10</v>
      </c>
      <c r="BE91" s="105">
        <v>22967.999999999996</v>
      </c>
      <c r="BF91" s="105">
        <v>7</v>
      </c>
      <c r="BG91" s="105">
        <v>16077.599999999999</v>
      </c>
      <c r="BH91" s="105">
        <v>6.4278697953341721</v>
      </c>
      <c r="BI91" s="105">
        <v>14763.531345923524</v>
      </c>
      <c r="BJ91" s="105">
        <v>10</v>
      </c>
      <c r="BK91" s="105">
        <v>22967.999999999996</v>
      </c>
      <c r="BL91" s="105">
        <v>13</v>
      </c>
      <c r="BM91" s="105">
        <v>29858.399999999998</v>
      </c>
      <c r="BN91" s="105">
        <v>10.365125336323841</v>
      </c>
      <c r="BO91" s="105">
        <v>23806.619872468593</v>
      </c>
      <c r="BP91" s="105">
        <v>19</v>
      </c>
      <c r="BQ91" s="105">
        <v>43639.199999999997</v>
      </c>
      <c r="BR91" s="105">
        <v>1.1352390035613982</v>
      </c>
      <c r="BS91" s="105">
        <v>2607.4169433798188</v>
      </c>
      <c r="BT91" s="105">
        <v>13.886346049920302</v>
      </c>
      <c r="BU91" s="105">
        <v>31894.159607456946</v>
      </c>
      <c r="BV91" s="105">
        <v>7.4088939221148289</v>
      </c>
      <c r="BW91" s="105">
        <v>17016.747560313335</v>
      </c>
      <c r="BX91" s="105">
        <v>14.165892587939702</v>
      </c>
      <c r="BY91" s="105">
        <v>32536.222095979901</v>
      </c>
      <c r="BZ91" s="105">
        <v>1.1633522727272736</v>
      </c>
      <c r="CA91" s="105">
        <v>2671.9875000000015</v>
      </c>
      <c r="CB91" s="105">
        <v>11.536119128127766</v>
      </c>
      <c r="CC91" s="105">
        <v>26496.158413483849</v>
      </c>
      <c r="CD91" s="105">
        <v>2.0447502014504435</v>
      </c>
      <c r="CE91" s="105">
        <v>4696.3822626913779</v>
      </c>
      <c r="CF91" s="105">
        <v>1.1197024124796553</v>
      </c>
      <c r="CG91" s="105">
        <v>2571.7325009832721</v>
      </c>
      <c r="CH91" s="105">
        <v>10.903343470358372</v>
      </c>
      <c r="CI91" s="105">
        <v>25042.799282719105</v>
      </c>
      <c r="CJ91" s="105">
        <v>8.1119128074441988</v>
      </c>
      <c r="CK91" s="105">
        <v>18631.441336137832</v>
      </c>
      <c r="CL91" s="105">
        <v>22.775805116899228</v>
      </c>
      <c r="CM91" s="105">
        <v>52311.469192494143</v>
      </c>
      <c r="CN91" s="105">
        <v>1.9658004558314999</v>
      </c>
      <c r="CO91" s="105">
        <v>4515.0504869537881</v>
      </c>
      <c r="CP91" s="105">
        <v>10.297534766369594</v>
      </c>
      <c r="CQ91" s="105">
        <v>23651.377851397679</v>
      </c>
      <c r="CR91" s="105">
        <v>13.232771927150521</v>
      </c>
      <c r="CS91" s="105">
        <v>30393.030562279313</v>
      </c>
      <c r="CT91" s="105">
        <v>1.6355055732484078</v>
      </c>
      <c r="CU91" s="105">
        <v>3756.4292006369428</v>
      </c>
    </row>
    <row r="92" spans="2:99" x14ac:dyDescent="0.25">
      <c r="C92" s="104" t="s">
        <v>257</v>
      </c>
      <c r="D92" s="105">
        <v>0</v>
      </c>
      <c r="E92" s="105">
        <v>0</v>
      </c>
      <c r="F92" s="105">
        <v>0</v>
      </c>
      <c r="G92" s="105">
        <v>0</v>
      </c>
      <c r="H92" s="105">
        <v>3</v>
      </c>
      <c r="I92" s="105">
        <v>4262.3999999999996</v>
      </c>
      <c r="J92" s="105">
        <v>3</v>
      </c>
      <c r="K92" s="105">
        <v>4262.3999999999996</v>
      </c>
      <c r="L92" s="105">
        <v>4</v>
      </c>
      <c r="M92" s="105">
        <v>5683.2</v>
      </c>
      <c r="N92" s="105">
        <v>5</v>
      </c>
      <c r="O92" s="105">
        <v>7104</v>
      </c>
      <c r="P92" s="105">
        <v>2</v>
      </c>
      <c r="Q92" s="105">
        <v>2841.6</v>
      </c>
      <c r="R92" s="105">
        <v>4</v>
      </c>
      <c r="S92" s="105">
        <v>5683.2</v>
      </c>
      <c r="T92" s="105">
        <v>4</v>
      </c>
      <c r="U92" s="105">
        <v>5683.2</v>
      </c>
      <c r="V92" s="105">
        <v>4</v>
      </c>
      <c r="W92" s="105">
        <v>5683.2</v>
      </c>
      <c r="X92" s="105">
        <v>5</v>
      </c>
      <c r="Y92" s="105">
        <v>7104</v>
      </c>
      <c r="Z92" s="105">
        <v>4</v>
      </c>
      <c r="AA92" s="105">
        <v>5683.2</v>
      </c>
      <c r="AB92" s="105">
        <v>4</v>
      </c>
      <c r="AC92" s="105">
        <v>5683.2</v>
      </c>
      <c r="AD92" s="105">
        <v>4</v>
      </c>
      <c r="AE92" s="105">
        <v>5683.2</v>
      </c>
      <c r="AF92" s="105">
        <v>5</v>
      </c>
      <c r="AG92" s="105">
        <v>7104</v>
      </c>
      <c r="AH92" s="105">
        <v>4</v>
      </c>
      <c r="AI92" s="105">
        <v>5683.2</v>
      </c>
      <c r="AJ92" s="105">
        <v>5</v>
      </c>
      <c r="AK92" s="105">
        <v>7104</v>
      </c>
      <c r="AL92" s="105">
        <v>9</v>
      </c>
      <c r="AM92" s="105">
        <v>12787.199999999999</v>
      </c>
      <c r="AN92" s="105">
        <v>8</v>
      </c>
      <c r="AO92" s="105">
        <v>11366.4</v>
      </c>
      <c r="AP92" s="105">
        <v>8</v>
      </c>
      <c r="AQ92" s="105">
        <v>11366.4</v>
      </c>
      <c r="AR92" s="105">
        <v>7</v>
      </c>
      <c r="AS92" s="105">
        <v>9945.6</v>
      </c>
      <c r="AT92" s="105">
        <v>9</v>
      </c>
      <c r="AU92" s="105">
        <v>12787.199999999999</v>
      </c>
      <c r="AV92" s="105">
        <v>11</v>
      </c>
      <c r="AW92" s="105">
        <v>15628.8</v>
      </c>
      <c r="AX92" s="105">
        <v>7</v>
      </c>
      <c r="AY92" s="105">
        <v>9945.6</v>
      </c>
      <c r="AZ92" s="105">
        <v>8</v>
      </c>
      <c r="BA92" s="105">
        <v>11366.4</v>
      </c>
      <c r="BB92" s="105">
        <v>11</v>
      </c>
      <c r="BC92" s="105">
        <v>15628.8</v>
      </c>
      <c r="BD92" s="105">
        <v>11</v>
      </c>
      <c r="BE92" s="105">
        <v>15628.8</v>
      </c>
      <c r="BF92" s="105">
        <v>8</v>
      </c>
      <c r="BG92" s="105">
        <v>11366.4</v>
      </c>
      <c r="BH92" s="105">
        <v>7.184089771255838</v>
      </c>
      <c r="BI92" s="105">
        <v>10207.154747000295</v>
      </c>
      <c r="BJ92" s="105">
        <v>10</v>
      </c>
      <c r="BK92" s="105">
        <v>14208</v>
      </c>
      <c r="BL92" s="105">
        <v>14</v>
      </c>
      <c r="BM92" s="105">
        <v>19891.2</v>
      </c>
      <c r="BN92" s="105">
        <v>11.105491431775546</v>
      </c>
      <c r="BO92" s="105">
        <v>15778.682226266696</v>
      </c>
      <c r="BP92" s="105">
        <v>21</v>
      </c>
      <c r="BQ92" s="105">
        <v>29836.799999999999</v>
      </c>
      <c r="BR92" s="105">
        <v>1.2339554386536937</v>
      </c>
      <c r="BS92" s="105">
        <v>1753.2038872391679</v>
      </c>
      <c r="BT92" s="105">
        <v>13.886346049920302</v>
      </c>
      <c r="BU92" s="105">
        <v>19729.720467726765</v>
      </c>
      <c r="BV92" s="105">
        <v>9.2611174026435368</v>
      </c>
      <c r="BW92" s="105">
        <v>13158.195605675937</v>
      </c>
      <c r="BX92" s="105">
        <v>14.165892587939702</v>
      </c>
      <c r="BY92" s="105">
        <v>20126.900188944728</v>
      </c>
      <c r="BZ92" s="105">
        <v>1.3295454545454555</v>
      </c>
      <c r="CA92" s="105">
        <v>1889.0181818181832</v>
      </c>
      <c r="CB92" s="105">
        <v>12.641210467697352</v>
      </c>
      <c r="CC92" s="105">
        <v>17960.631832504398</v>
      </c>
      <c r="CD92" s="105">
        <v>2.4098841659951655</v>
      </c>
      <c r="CE92" s="105">
        <v>3423.963423045931</v>
      </c>
      <c r="CF92" s="105">
        <v>1.275238311907906</v>
      </c>
      <c r="CG92" s="105">
        <v>1811.8585935587528</v>
      </c>
      <c r="CH92" s="105">
        <v>11.218096907602996</v>
      </c>
      <c r="CI92" s="105">
        <v>15938.672086322336</v>
      </c>
      <c r="CJ92" s="105">
        <v>8.5717422947903383</v>
      </c>
      <c r="CK92" s="105">
        <v>12178.731452438113</v>
      </c>
      <c r="CL92" s="105">
        <v>27.869632238078285</v>
      </c>
      <c r="CM92" s="105">
        <v>39597.173483861625</v>
      </c>
      <c r="CN92" s="105">
        <v>2.1937193492612388</v>
      </c>
      <c r="CO92" s="105">
        <v>3116.836451430368</v>
      </c>
      <c r="CP92" s="105">
        <v>12.037980996465013</v>
      </c>
      <c r="CQ92" s="105">
        <v>17103.563399777489</v>
      </c>
      <c r="CR92" s="105">
        <v>16.910236447181685</v>
      </c>
      <c r="CS92" s="105">
        <v>24026.063944155736</v>
      </c>
      <c r="CT92" s="105">
        <v>1.8279179936305734</v>
      </c>
      <c r="CU92" s="105">
        <v>2597.1058853503187</v>
      </c>
    </row>
    <row r="93" spans="2:99" x14ac:dyDescent="0.25">
      <c r="C93" s="104" t="s">
        <v>258</v>
      </c>
      <c r="D93" s="105">
        <v>0</v>
      </c>
      <c r="E93" s="105">
        <v>0</v>
      </c>
      <c r="F93" s="105">
        <v>0</v>
      </c>
      <c r="G93" s="105">
        <v>0</v>
      </c>
      <c r="H93" s="105">
        <v>3</v>
      </c>
      <c r="I93" s="105">
        <v>5317.2</v>
      </c>
      <c r="J93" s="105">
        <v>3</v>
      </c>
      <c r="K93" s="105">
        <v>5317.2</v>
      </c>
      <c r="L93" s="105">
        <v>4</v>
      </c>
      <c r="M93" s="105">
        <v>7089.5999999999995</v>
      </c>
      <c r="N93" s="105">
        <v>4</v>
      </c>
      <c r="O93" s="105">
        <v>7089.5999999999995</v>
      </c>
      <c r="P93" s="105">
        <v>2</v>
      </c>
      <c r="Q93" s="105">
        <v>3544.7999999999997</v>
      </c>
      <c r="R93" s="105">
        <v>3</v>
      </c>
      <c r="S93" s="105">
        <v>5317.2</v>
      </c>
      <c r="T93" s="105">
        <v>3</v>
      </c>
      <c r="U93" s="105">
        <v>5317.2</v>
      </c>
      <c r="V93" s="105">
        <v>4</v>
      </c>
      <c r="W93" s="105">
        <v>7089.5999999999995</v>
      </c>
      <c r="X93" s="105">
        <v>5</v>
      </c>
      <c r="Y93" s="105">
        <v>8862</v>
      </c>
      <c r="Z93" s="105">
        <v>3</v>
      </c>
      <c r="AA93" s="105">
        <v>5317.2</v>
      </c>
      <c r="AB93" s="105">
        <v>4</v>
      </c>
      <c r="AC93" s="105">
        <v>7089.5999999999995</v>
      </c>
      <c r="AD93" s="105">
        <v>4</v>
      </c>
      <c r="AE93" s="105">
        <v>7089.5999999999995</v>
      </c>
      <c r="AF93" s="105">
        <v>5</v>
      </c>
      <c r="AG93" s="105">
        <v>8862</v>
      </c>
      <c r="AH93" s="105">
        <v>4</v>
      </c>
      <c r="AI93" s="105">
        <v>7089.5999999999995</v>
      </c>
      <c r="AJ93" s="105">
        <v>4</v>
      </c>
      <c r="AK93" s="105">
        <v>7089.5999999999995</v>
      </c>
      <c r="AL93" s="105">
        <v>8</v>
      </c>
      <c r="AM93" s="105">
        <v>14179.199999999999</v>
      </c>
      <c r="AN93" s="105">
        <v>8</v>
      </c>
      <c r="AO93" s="105">
        <v>14179.199999999999</v>
      </c>
      <c r="AP93" s="105">
        <v>8</v>
      </c>
      <c r="AQ93" s="105">
        <v>14179.199999999999</v>
      </c>
      <c r="AR93" s="105">
        <v>7</v>
      </c>
      <c r="AS93" s="105">
        <v>12406.8</v>
      </c>
      <c r="AT93" s="105">
        <v>9</v>
      </c>
      <c r="AU93" s="105">
        <v>15951.599999999999</v>
      </c>
      <c r="AV93" s="105">
        <v>9</v>
      </c>
      <c r="AW93" s="105">
        <v>15951.599999999999</v>
      </c>
      <c r="AX93" s="105">
        <v>7</v>
      </c>
      <c r="AY93" s="105">
        <v>12406.8</v>
      </c>
      <c r="AZ93" s="105">
        <v>8</v>
      </c>
      <c r="BA93" s="105">
        <v>14179.199999999999</v>
      </c>
      <c r="BB93" s="105">
        <v>12</v>
      </c>
      <c r="BC93" s="105">
        <v>21268.799999999999</v>
      </c>
      <c r="BD93" s="105">
        <v>11</v>
      </c>
      <c r="BE93" s="105">
        <v>19496.399999999998</v>
      </c>
      <c r="BF93" s="105">
        <v>9</v>
      </c>
      <c r="BG93" s="105">
        <v>15951.599999999999</v>
      </c>
      <c r="BH93" s="105">
        <v>6.8059797832950046</v>
      </c>
      <c r="BI93" s="105">
        <v>12062.918567912066</v>
      </c>
      <c r="BJ93" s="105">
        <v>11</v>
      </c>
      <c r="BK93" s="105">
        <v>19496.399999999998</v>
      </c>
      <c r="BL93" s="105">
        <v>12</v>
      </c>
      <c r="BM93" s="105">
        <v>21268.799999999999</v>
      </c>
      <c r="BN93" s="105">
        <v>11.105491431775546</v>
      </c>
      <c r="BO93" s="105">
        <v>19683.373013678975</v>
      </c>
      <c r="BP93" s="105">
        <v>19</v>
      </c>
      <c r="BQ93" s="105">
        <v>33675.599999999999</v>
      </c>
      <c r="BR93" s="105">
        <v>1.3326718737459891</v>
      </c>
      <c r="BS93" s="105">
        <v>2362.027629027391</v>
      </c>
      <c r="BT93" s="105">
        <v>13.155485731503441</v>
      </c>
      <c r="BU93" s="105">
        <v>23316.782910516697</v>
      </c>
      <c r="BV93" s="105">
        <v>8.643709575800635</v>
      </c>
      <c r="BW93" s="105">
        <v>15320.110852149044</v>
      </c>
      <c r="BX93" s="105">
        <v>15.882970477386937</v>
      </c>
      <c r="BY93" s="105">
        <v>28150.976874120606</v>
      </c>
      <c r="BZ93" s="105">
        <v>1.2187500000000009</v>
      </c>
      <c r="CA93" s="105">
        <v>2160.1125000000015</v>
      </c>
      <c r="CB93" s="105">
        <v>12.326194782358851</v>
      </c>
      <c r="CC93" s="105">
        <v>21846.947632252824</v>
      </c>
      <c r="CD93" s="105">
        <v>2.4098841659951655</v>
      </c>
      <c r="CE93" s="105">
        <v>4271.2786958098313</v>
      </c>
      <c r="CF93" s="105">
        <v>1.1223999548648897</v>
      </c>
      <c r="CG93" s="105">
        <v>1989.3416800025304</v>
      </c>
      <c r="CH93" s="105">
        <v>12.112203670387784</v>
      </c>
      <c r="CI93" s="105">
        <v>21467.669785395305</v>
      </c>
      <c r="CJ93" s="105">
        <v>8.6527069946071471</v>
      </c>
      <c r="CK93" s="105">
        <v>15336.057877241707</v>
      </c>
      <c r="CL93" s="105">
        <v>24.519271979697095</v>
      </c>
      <c r="CM93" s="105">
        <v>43457.957656815124</v>
      </c>
      <c r="CN93" s="105">
        <v>2.1652294875825215</v>
      </c>
      <c r="CO93" s="105">
        <v>3837.6527437912609</v>
      </c>
      <c r="CP93" s="105">
        <v>11.395281630485089</v>
      </c>
      <c r="CQ93" s="105">
        <v>20196.997161871768</v>
      </c>
      <c r="CR93" s="105">
        <v>15.520022517283049</v>
      </c>
      <c r="CS93" s="105">
        <v>27507.687909632474</v>
      </c>
      <c r="CT93" s="105">
        <v>1.667574309978769</v>
      </c>
      <c r="CU93" s="105">
        <v>2955.60870700637</v>
      </c>
    </row>
    <row r="94" spans="2:99" x14ac:dyDescent="0.25">
      <c r="C94" s="104" t="s">
        <v>259</v>
      </c>
      <c r="D94" s="105">
        <v>0</v>
      </c>
      <c r="E94" s="105">
        <v>0</v>
      </c>
      <c r="F94" s="105">
        <v>0</v>
      </c>
      <c r="G94" s="105">
        <v>0</v>
      </c>
      <c r="H94" s="105">
        <v>3</v>
      </c>
      <c r="I94" s="105">
        <v>7185.5999999999995</v>
      </c>
      <c r="J94" s="105">
        <v>3</v>
      </c>
      <c r="K94" s="105">
        <v>7185.5999999999995</v>
      </c>
      <c r="L94" s="105">
        <v>4</v>
      </c>
      <c r="M94" s="105">
        <v>9580.7999999999993</v>
      </c>
      <c r="N94" s="105">
        <v>5</v>
      </c>
      <c r="O94" s="105">
        <v>11976</v>
      </c>
      <c r="P94" s="105">
        <v>2</v>
      </c>
      <c r="Q94" s="105">
        <v>4790.3999999999996</v>
      </c>
      <c r="R94" s="105">
        <v>4</v>
      </c>
      <c r="S94" s="105">
        <v>9580.7999999999993</v>
      </c>
      <c r="T94" s="105">
        <v>3</v>
      </c>
      <c r="U94" s="105">
        <v>7185.5999999999995</v>
      </c>
      <c r="V94" s="105">
        <v>4</v>
      </c>
      <c r="W94" s="105">
        <v>9580.7999999999993</v>
      </c>
      <c r="X94" s="105">
        <v>5</v>
      </c>
      <c r="Y94" s="105">
        <v>11976</v>
      </c>
      <c r="Z94" s="105">
        <v>3</v>
      </c>
      <c r="AA94" s="105">
        <v>7185.5999999999995</v>
      </c>
      <c r="AB94" s="105">
        <v>4</v>
      </c>
      <c r="AC94" s="105">
        <v>9580.7999999999993</v>
      </c>
      <c r="AD94" s="105">
        <v>3</v>
      </c>
      <c r="AE94" s="105">
        <v>7185.5999999999995</v>
      </c>
      <c r="AF94" s="105">
        <v>4</v>
      </c>
      <c r="AG94" s="105">
        <v>9580.7999999999993</v>
      </c>
      <c r="AH94" s="105">
        <v>3</v>
      </c>
      <c r="AI94" s="105">
        <v>7185.5999999999995</v>
      </c>
      <c r="AJ94" s="105">
        <v>4</v>
      </c>
      <c r="AK94" s="105">
        <v>9580.7999999999993</v>
      </c>
      <c r="AL94" s="105">
        <v>8</v>
      </c>
      <c r="AM94" s="105">
        <v>19161.599999999999</v>
      </c>
      <c r="AN94" s="105">
        <v>7</v>
      </c>
      <c r="AO94" s="105">
        <v>16766.399999999998</v>
      </c>
      <c r="AP94" s="105">
        <v>8</v>
      </c>
      <c r="AQ94" s="105">
        <v>19161.599999999999</v>
      </c>
      <c r="AR94" s="105">
        <v>7</v>
      </c>
      <c r="AS94" s="105">
        <v>16766.399999999998</v>
      </c>
      <c r="AT94" s="105">
        <v>8</v>
      </c>
      <c r="AU94" s="105">
        <v>19161.599999999999</v>
      </c>
      <c r="AV94" s="105">
        <v>10</v>
      </c>
      <c r="AW94" s="105">
        <v>23952</v>
      </c>
      <c r="AX94" s="105">
        <v>7</v>
      </c>
      <c r="AY94" s="105">
        <v>16766.399999999998</v>
      </c>
      <c r="AZ94" s="105">
        <v>7</v>
      </c>
      <c r="BA94" s="105">
        <v>16766.399999999998</v>
      </c>
      <c r="BB94" s="105">
        <v>11</v>
      </c>
      <c r="BC94" s="105">
        <v>26347.199999999997</v>
      </c>
      <c r="BD94" s="105">
        <v>9</v>
      </c>
      <c r="BE94" s="105">
        <v>21556.799999999999</v>
      </c>
      <c r="BF94" s="105">
        <v>7</v>
      </c>
      <c r="BG94" s="105">
        <v>16766.399999999998</v>
      </c>
      <c r="BH94" s="105">
        <v>5.2935398314516702</v>
      </c>
      <c r="BI94" s="105">
        <v>12679.086604293039</v>
      </c>
      <c r="BJ94" s="105">
        <v>10</v>
      </c>
      <c r="BK94" s="105">
        <v>23952</v>
      </c>
      <c r="BL94" s="105">
        <v>11</v>
      </c>
      <c r="BM94" s="105">
        <v>26347.199999999997</v>
      </c>
      <c r="BN94" s="105">
        <v>9.6247592408721374</v>
      </c>
      <c r="BO94" s="105">
        <v>23053.223333736943</v>
      </c>
      <c r="BP94" s="105">
        <v>19</v>
      </c>
      <c r="BQ94" s="105">
        <v>45508.799999999996</v>
      </c>
      <c r="BR94" s="105">
        <v>1.0858807860152504</v>
      </c>
      <c r="BS94" s="105">
        <v>2600.9016586637276</v>
      </c>
      <c r="BT94" s="105">
        <v>12.424625413086584</v>
      </c>
      <c r="BU94" s="105">
        <v>29759.462789424986</v>
      </c>
      <c r="BV94" s="105">
        <v>8.0263017489577315</v>
      </c>
      <c r="BW94" s="105">
        <v>19224.597949103558</v>
      </c>
      <c r="BX94" s="105">
        <v>14.59516206030151</v>
      </c>
      <c r="BY94" s="105">
        <v>34958.332166834174</v>
      </c>
      <c r="BZ94" s="105">
        <v>1.1079545454545463</v>
      </c>
      <c r="CA94" s="105">
        <v>2653.7727272727293</v>
      </c>
      <c r="CB94" s="105">
        <v>10.324331599522125</v>
      </c>
      <c r="CC94" s="105">
        <v>24728.839047175392</v>
      </c>
      <c r="CD94" s="105">
        <v>2.0447502014504435</v>
      </c>
      <c r="CE94" s="105">
        <v>4897.5856825141018</v>
      </c>
      <c r="CF94" s="105">
        <v>1.2140747207113807</v>
      </c>
      <c r="CG94" s="105">
        <v>2907.9517710478985</v>
      </c>
      <c r="CH94" s="105">
        <v>11.209246281317865</v>
      </c>
      <c r="CI94" s="105">
        <v>26848.386693012548</v>
      </c>
      <c r="CJ94" s="105">
        <v>7.1112891329351164</v>
      </c>
      <c r="CK94" s="105">
        <v>17032.959731206189</v>
      </c>
      <c r="CL94" s="105">
        <v>21.780417001629541</v>
      </c>
      <c r="CM94" s="105">
        <v>52168.454802303073</v>
      </c>
      <c r="CN94" s="105">
        <v>1.9373105941527824</v>
      </c>
      <c r="CO94" s="105">
        <v>4640.2463351147444</v>
      </c>
      <c r="CP94" s="105">
        <v>9.4982479871294423</v>
      </c>
      <c r="CQ94" s="105">
        <v>22750.203578772438</v>
      </c>
      <c r="CR94" s="105">
        <v>13.852718227743665</v>
      </c>
      <c r="CS94" s="105">
        <v>33180.030699091621</v>
      </c>
      <c r="CT94" s="105">
        <v>1.5392993630573251</v>
      </c>
      <c r="CU94" s="105">
        <v>3686.9298343949049</v>
      </c>
    </row>
    <row r="95" spans="2:99" x14ac:dyDescent="0.25">
      <c r="B95" s="104" t="s">
        <v>132</v>
      </c>
      <c r="C95" s="104" t="s">
        <v>260</v>
      </c>
      <c r="D95" s="105">
        <v>0</v>
      </c>
      <c r="E95" s="105">
        <v>0</v>
      </c>
      <c r="F95" s="105">
        <v>0</v>
      </c>
      <c r="G95" s="105">
        <v>0</v>
      </c>
      <c r="H95" s="105">
        <v>4</v>
      </c>
      <c r="I95" s="105">
        <v>6931.2</v>
      </c>
      <c r="J95" s="105">
        <v>5</v>
      </c>
      <c r="K95" s="105">
        <v>8664</v>
      </c>
      <c r="L95" s="105">
        <v>5</v>
      </c>
      <c r="M95" s="105">
        <v>8664</v>
      </c>
      <c r="N95" s="105">
        <v>5</v>
      </c>
      <c r="O95" s="105">
        <v>8664</v>
      </c>
      <c r="P95" s="105">
        <v>4</v>
      </c>
      <c r="Q95" s="105">
        <v>6931.2</v>
      </c>
      <c r="R95" s="105">
        <v>3</v>
      </c>
      <c r="S95" s="105">
        <v>5198.3999999999996</v>
      </c>
      <c r="T95" s="105">
        <v>5</v>
      </c>
      <c r="U95" s="105">
        <v>8664</v>
      </c>
      <c r="V95" s="105">
        <v>4</v>
      </c>
      <c r="W95" s="105">
        <v>6931.2</v>
      </c>
      <c r="X95" s="105">
        <v>5</v>
      </c>
      <c r="Y95" s="105">
        <v>8664</v>
      </c>
      <c r="Z95" s="105">
        <v>4</v>
      </c>
      <c r="AA95" s="105">
        <v>6931.2</v>
      </c>
      <c r="AB95" s="105">
        <v>6</v>
      </c>
      <c r="AC95" s="105">
        <v>10396.799999999999</v>
      </c>
      <c r="AD95" s="105">
        <v>7</v>
      </c>
      <c r="AE95" s="105">
        <v>12129.6</v>
      </c>
      <c r="AF95" s="105">
        <v>4</v>
      </c>
      <c r="AG95" s="105">
        <v>6931.2</v>
      </c>
      <c r="AH95" s="105">
        <v>8</v>
      </c>
      <c r="AI95" s="105">
        <v>13862.4</v>
      </c>
      <c r="AJ95" s="105">
        <v>9</v>
      </c>
      <c r="AK95" s="105">
        <v>15595.199999999999</v>
      </c>
      <c r="AL95" s="105">
        <v>6</v>
      </c>
      <c r="AM95" s="105">
        <v>10396.799999999999</v>
      </c>
      <c r="AN95" s="105">
        <v>6</v>
      </c>
      <c r="AO95" s="105">
        <v>10396.799999999999</v>
      </c>
      <c r="AP95" s="105">
        <v>5</v>
      </c>
      <c r="AQ95" s="105">
        <v>8664</v>
      </c>
      <c r="AR95" s="105">
        <v>12</v>
      </c>
      <c r="AS95" s="105">
        <v>20793.599999999999</v>
      </c>
      <c r="AT95" s="105">
        <v>9</v>
      </c>
      <c r="AU95" s="105">
        <v>15595.199999999999</v>
      </c>
      <c r="AV95" s="105">
        <v>8</v>
      </c>
      <c r="AW95" s="105">
        <v>13862.4</v>
      </c>
      <c r="AX95" s="105">
        <v>13</v>
      </c>
      <c r="AY95" s="105">
        <v>22526.399999999998</v>
      </c>
      <c r="AZ95" s="105">
        <v>12</v>
      </c>
      <c r="BA95" s="105">
        <v>20793.599999999999</v>
      </c>
      <c r="BB95" s="105">
        <v>12</v>
      </c>
      <c r="BC95" s="105">
        <v>20793.599999999999</v>
      </c>
      <c r="BD95" s="105">
        <v>15</v>
      </c>
      <c r="BE95" s="105">
        <v>25992</v>
      </c>
      <c r="BF95" s="105">
        <v>13</v>
      </c>
      <c r="BG95" s="105">
        <v>22526.399999999998</v>
      </c>
      <c r="BH95" s="105">
        <v>6.8059797832950046</v>
      </c>
      <c r="BI95" s="105">
        <v>11793.401768493584</v>
      </c>
      <c r="BJ95" s="105">
        <v>21</v>
      </c>
      <c r="BK95" s="105">
        <v>36388.799999999996</v>
      </c>
      <c r="BL95" s="105">
        <v>22</v>
      </c>
      <c r="BM95" s="105">
        <v>38121.599999999999</v>
      </c>
      <c r="BN95" s="105">
        <v>15.547688004485764</v>
      </c>
      <c r="BO95" s="105">
        <v>26941.033774172931</v>
      </c>
      <c r="BP95" s="105">
        <v>21</v>
      </c>
      <c r="BQ95" s="105">
        <v>36388.799999999996</v>
      </c>
      <c r="BR95" s="105">
        <v>0.88844791583065941</v>
      </c>
      <c r="BS95" s="105">
        <v>1539.5025485513665</v>
      </c>
      <c r="BT95" s="105">
        <v>18.271507960421449</v>
      </c>
      <c r="BU95" s="105">
        <v>31660.868993818287</v>
      </c>
      <c r="BV95" s="105">
        <v>11.730748710015146</v>
      </c>
      <c r="BW95" s="105">
        <v>20327.041364714245</v>
      </c>
      <c r="BX95" s="105">
        <v>11.590275753768847</v>
      </c>
      <c r="BY95" s="105">
        <v>20083.629826130658</v>
      </c>
      <c r="BZ95" s="105">
        <v>1.4957386363636374</v>
      </c>
      <c r="CA95" s="105">
        <v>2591.8159090909107</v>
      </c>
      <c r="CB95" s="105">
        <v>11.284597300846606</v>
      </c>
      <c r="CC95" s="105">
        <v>19553.950202906999</v>
      </c>
      <c r="CD95" s="105">
        <v>2.6289645447219989</v>
      </c>
      <c r="CE95" s="105">
        <v>4555.4697630942792</v>
      </c>
      <c r="CF95" s="105">
        <v>1.2140747207113807</v>
      </c>
      <c r="CG95" s="105">
        <v>2103.7486760486804</v>
      </c>
      <c r="CH95" s="105">
        <v>16.612239571928828</v>
      </c>
      <c r="CI95" s="105">
        <v>28785.688730238275</v>
      </c>
      <c r="CJ95" s="105">
        <v>14.456896060419883</v>
      </c>
      <c r="CK95" s="105">
        <v>25050.909493495572</v>
      </c>
      <c r="CL95" s="105">
        <v>21.734892512558023</v>
      </c>
      <c r="CM95" s="105">
        <v>37662.221745760544</v>
      </c>
      <c r="CN95" s="105">
        <v>2.706536859478152</v>
      </c>
      <c r="CO95" s="105">
        <v>4689.8870701037413</v>
      </c>
      <c r="CP95" s="105">
        <v>12.713379788322973</v>
      </c>
      <c r="CQ95" s="105">
        <v>22029.744497206048</v>
      </c>
      <c r="CR95" s="105">
        <v>13.423119244061054</v>
      </c>
      <c r="CS95" s="105">
        <v>23259.581026108994</v>
      </c>
      <c r="CT95" s="105">
        <v>3.2389424097664543</v>
      </c>
      <c r="CU95" s="105">
        <v>5612.4394076433118</v>
      </c>
    </row>
    <row r="96" spans="2:99" x14ac:dyDescent="0.25">
      <c r="C96" s="104" t="s">
        <v>261</v>
      </c>
      <c r="D96" s="105">
        <v>0</v>
      </c>
      <c r="E96" s="105">
        <v>0</v>
      </c>
      <c r="F96" s="105">
        <v>0</v>
      </c>
      <c r="G96" s="105">
        <v>0</v>
      </c>
      <c r="H96" s="105">
        <v>5</v>
      </c>
      <c r="I96" s="105">
        <v>4116</v>
      </c>
      <c r="J96" s="105">
        <v>5</v>
      </c>
      <c r="K96" s="105">
        <v>4116</v>
      </c>
      <c r="L96" s="105">
        <v>6</v>
      </c>
      <c r="M96" s="105">
        <v>4939.2</v>
      </c>
      <c r="N96" s="105">
        <v>6</v>
      </c>
      <c r="O96" s="105">
        <v>4939.2</v>
      </c>
      <c r="P96" s="105">
        <v>4</v>
      </c>
      <c r="Q96" s="105">
        <v>3292.7999999999997</v>
      </c>
      <c r="R96" s="105">
        <v>3</v>
      </c>
      <c r="S96" s="105">
        <v>2469.6</v>
      </c>
      <c r="T96" s="105">
        <v>6</v>
      </c>
      <c r="U96" s="105">
        <v>4939.2</v>
      </c>
      <c r="V96" s="105">
        <v>5</v>
      </c>
      <c r="W96" s="105">
        <v>4116</v>
      </c>
      <c r="X96" s="105">
        <v>5</v>
      </c>
      <c r="Y96" s="105">
        <v>4116</v>
      </c>
      <c r="Z96" s="105">
        <v>5</v>
      </c>
      <c r="AA96" s="105">
        <v>4116</v>
      </c>
      <c r="AB96" s="105">
        <v>8</v>
      </c>
      <c r="AC96" s="105">
        <v>6585.5999999999995</v>
      </c>
      <c r="AD96" s="105">
        <v>8</v>
      </c>
      <c r="AE96" s="105">
        <v>6585.5999999999995</v>
      </c>
      <c r="AF96" s="105">
        <v>4</v>
      </c>
      <c r="AG96" s="105">
        <v>3292.7999999999997</v>
      </c>
      <c r="AH96" s="105">
        <v>8</v>
      </c>
      <c r="AI96" s="105">
        <v>6585.5999999999995</v>
      </c>
      <c r="AJ96" s="105">
        <v>10</v>
      </c>
      <c r="AK96" s="105">
        <v>8232</v>
      </c>
      <c r="AL96" s="105">
        <v>7</v>
      </c>
      <c r="AM96" s="105">
        <v>5762.4</v>
      </c>
      <c r="AN96" s="105">
        <v>7</v>
      </c>
      <c r="AO96" s="105">
        <v>5762.4</v>
      </c>
      <c r="AP96" s="105">
        <v>6</v>
      </c>
      <c r="AQ96" s="105">
        <v>4939.2</v>
      </c>
      <c r="AR96" s="105">
        <v>13</v>
      </c>
      <c r="AS96" s="105">
        <v>10701.599999999999</v>
      </c>
      <c r="AT96" s="105">
        <v>9</v>
      </c>
      <c r="AU96" s="105">
        <v>7408.7999999999993</v>
      </c>
      <c r="AV96" s="105">
        <v>10</v>
      </c>
      <c r="AW96" s="105">
        <v>8232</v>
      </c>
      <c r="AX96" s="105">
        <v>13</v>
      </c>
      <c r="AY96" s="105">
        <v>10701.599999999999</v>
      </c>
      <c r="AZ96" s="105">
        <v>13</v>
      </c>
      <c r="BA96" s="105">
        <v>10701.599999999999</v>
      </c>
      <c r="BB96" s="105">
        <v>13</v>
      </c>
      <c r="BC96" s="105">
        <v>10701.599999999999</v>
      </c>
      <c r="BD96" s="105">
        <v>17</v>
      </c>
      <c r="BE96" s="105">
        <v>13994.4</v>
      </c>
      <c r="BF96" s="105">
        <v>14</v>
      </c>
      <c r="BG96" s="105">
        <v>11524.8</v>
      </c>
      <c r="BH96" s="105">
        <v>8.31841973513834</v>
      </c>
      <c r="BI96" s="105">
        <v>6847.7231259658811</v>
      </c>
      <c r="BJ96" s="105">
        <v>21</v>
      </c>
      <c r="BK96" s="105">
        <v>17287.199999999997</v>
      </c>
      <c r="BL96" s="105">
        <v>25</v>
      </c>
      <c r="BM96" s="105">
        <v>20580</v>
      </c>
      <c r="BN96" s="105">
        <v>17.768786290840872</v>
      </c>
      <c r="BO96" s="105">
        <v>14627.264874620205</v>
      </c>
      <c r="BP96" s="105">
        <v>23</v>
      </c>
      <c r="BQ96" s="105">
        <v>18933.599999999999</v>
      </c>
      <c r="BR96" s="105">
        <v>0.78973148073836386</v>
      </c>
      <c r="BS96" s="105">
        <v>650.10695494382105</v>
      </c>
      <c r="BT96" s="105">
        <v>24.118390507756313</v>
      </c>
      <c r="BU96" s="105">
        <v>19854.259065984996</v>
      </c>
      <c r="BV96" s="105">
        <v>12.965564363700951</v>
      </c>
      <c r="BW96" s="105">
        <v>10673.252584198623</v>
      </c>
      <c r="BX96" s="105">
        <v>14.165892587939702</v>
      </c>
      <c r="BY96" s="105">
        <v>11661.362778391962</v>
      </c>
      <c r="BZ96" s="105">
        <v>1.7173295454545465</v>
      </c>
      <c r="CA96" s="105">
        <v>1413.7056818181825</v>
      </c>
      <c r="CB96" s="105">
        <v>12.816473396560406</v>
      </c>
      <c r="CC96" s="105">
        <v>10550.520900048525</v>
      </c>
      <c r="CD96" s="105">
        <v>3.2131788879935543</v>
      </c>
      <c r="CE96" s="105">
        <v>2645.0888605962937</v>
      </c>
      <c r="CF96" s="105">
        <v>1.517593400889226</v>
      </c>
      <c r="CG96" s="105">
        <v>1249.2828876120107</v>
      </c>
      <c r="CH96" s="105">
        <v>20.247670798302192</v>
      </c>
      <c r="CI96" s="105">
        <v>16667.882601162364</v>
      </c>
      <c r="CJ96" s="105">
        <v>17.539731783763948</v>
      </c>
      <c r="CK96" s="105">
        <v>14438.707204394481</v>
      </c>
      <c r="CL96" s="105">
        <v>26.080640886208901</v>
      </c>
      <c r="CM96" s="105">
        <v>21469.583577527166</v>
      </c>
      <c r="CN96" s="105">
        <v>3.4187834014460865</v>
      </c>
      <c r="CO96" s="105">
        <v>2814.3424960704183</v>
      </c>
      <c r="CP96" s="105">
        <v>14.155365933543049</v>
      </c>
      <c r="CQ96" s="105">
        <v>11652.697236492637</v>
      </c>
      <c r="CR96" s="105">
        <v>14.72414447520938</v>
      </c>
      <c r="CS96" s="105">
        <v>12120.915731992362</v>
      </c>
      <c r="CT96" s="105">
        <v>3.8482484076433123</v>
      </c>
      <c r="CU96" s="105">
        <v>3167.8780891719744</v>
      </c>
    </row>
    <row r="97" spans="2:99" x14ac:dyDescent="0.25">
      <c r="C97" s="104" t="s">
        <v>262</v>
      </c>
      <c r="D97" s="105">
        <v>0</v>
      </c>
      <c r="E97" s="105">
        <v>0</v>
      </c>
      <c r="F97" s="105">
        <v>0</v>
      </c>
      <c r="G97" s="105">
        <v>0</v>
      </c>
      <c r="H97" s="105">
        <v>5</v>
      </c>
      <c r="I97" s="105">
        <v>9144</v>
      </c>
      <c r="J97" s="105">
        <v>5</v>
      </c>
      <c r="K97" s="105">
        <v>9144</v>
      </c>
      <c r="L97" s="105">
        <v>6</v>
      </c>
      <c r="M97" s="105">
        <v>10972.8</v>
      </c>
      <c r="N97" s="105">
        <v>5</v>
      </c>
      <c r="O97" s="105">
        <v>9144</v>
      </c>
      <c r="P97" s="105">
        <v>4</v>
      </c>
      <c r="Q97" s="105">
        <v>7315.2</v>
      </c>
      <c r="R97" s="105">
        <v>3</v>
      </c>
      <c r="S97" s="105">
        <v>5486.4</v>
      </c>
      <c r="T97" s="105">
        <v>4</v>
      </c>
      <c r="U97" s="105">
        <v>7315.2</v>
      </c>
      <c r="V97" s="105">
        <v>4</v>
      </c>
      <c r="W97" s="105">
        <v>7315.2</v>
      </c>
      <c r="X97" s="105">
        <v>4</v>
      </c>
      <c r="Y97" s="105">
        <v>7315.2</v>
      </c>
      <c r="Z97" s="105">
        <v>5</v>
      </c>
      <c r="AA97" s="105">
        <v>9144</v>
      </c>
      <c r="AB97" s="105">
        <v>7</v>
      </c>
      <c r="AC97" s="105">
        <v>12801.6</v>
      </c>
      <c r="AD97" s="105">
        <v>7</v>
      </c>
      <c r="AE97" s="105">
        <v>12801.6</v>
      </c>
      <c r="AF97" s="105">
        <v>4</v>
      </c>
      <c r="AG97" s="105">
        <v>7315.2</v>
      </c>
      <c r="AH97" s="105">
        <v>7</v>
      </c>
      <c r="AI97" s="105">
        <v>12801.6</v>
      </c>
      <c r="AJ97" s="105">
        <v>11</v>
      </c>
      <c r="AK97" s="105">
        <v>20116.8</v>
      </c>
      <c r="AL97" s="105">
        <v>6</v>
      </c>
      <c r="AM97" s="105">
        <v>10972.8</v>
      </c>
      <c r="AN97" s="105">
        <v>6</v>
      </c>
      <c r="AO97" s="105">
        <v>10972.8</v>
      </c>
      <c r="AP97" s="105">
        <v>6</v>
      </c>
      <c r="AQ97" s="105">
        <v>10972.8</v>
      </c>
      <c r="AR97" s="105">
        <v>12</v>
      </c>
      <c r="AS97" s="105">
        <v>21945.599999999999</v>
      </c>
      <c r="AT97" s="105">
        <v>9</v>
      </c>
      <c r="AU97" s="105">
        <v>16459.2</v>
      </c>
      <c r="AV97" s="105">
        <v>8</v>
      </c>
      <c r="AW97" s="105">
        <v>14630.4</v>
      </c>
      <c r="AX97" s="105">
        <v>14</v>
      </c>
      <c r="AY97" s="105">
        <v>25603.200000000001</v>
      </c>
      <c r="AZ97" s="105">
        <v>12</v>
      </c>
      <c r="BA97" s="105">
        <v>21945.599999999999</v>
      </c>
      <c r="BB97" s="105">
        <v>11</v>
      </c>
      <c r="BC97" s="105">
        <v>20116.8</v>
      </c>
      <c r="BD97" s="105">
        <v>15</v>
      </c>
      <c r="BE97" s="105">
        <v>27432</v>
      </c>
      <c r="BF97" s="105">
        <v>13</v>
      </c>
      <c r="BG97" s="105">
        <v>23774.399999999998</v>
      </c>
      <c r="BH97" s="105">
        <v>7.5621997592166723</v>
      </c>
      <c r="BI97" s="105">
        <v>13829.750919655449</v>
      </c>
      <c r="BJ97" s="105">
        <v>18</v>
      </c>
      <c r="BK97" s="105">
        <v>32918.400000000001</v>
      </c>
      <c r="BL97" s="105">
        <v>19</v>
      </c>
      <c r="BM97" s="105">
        <v>34747.199999999997</v>
      </c>
      <c r="BN97" s="105">
        <v>14.807321909034059</v>
      </c>
      <c r="BO97" s="105">
        <v>27079.630307241485</v>
      </c>
      <c r="BP97" s="105">
        <v>20</v>
      </c>
      <c r="BQ97" s="105">
        <v>36576</v>
      </c>
      <c r="BR97" s="105">
        <v>0.78973148073836386</v>
      </c>
      <c r="BS97" s="105">
        <v>1444.2609319743199</v>
      </c>
      <c r="BT97" s="105">
        <v>21.194949234088877</v>
      </c>
      <c r="BU97" s="105">
        <v>38761.323159301741</v>
      </c>
      <c r="BV97" s="105">
        <v>9.8785252294864385</v>
      </c>
      <c r="BW97" s="105">
        <v>18065.846939684798</v>
      </c>
      <c r="BX97" s="105">
        <v>12.448814698492464</v>
      </c>
      <c r="BY97" s="105">
        <v>22766.392320603019</v>
      </c>
      <c r="BZ97" s="105">
        <v>1.4957386363636374</v>
      </c>
      <c r="CA97" s="105">
        <v>2735.4068181818197</v>
      </c>
      <c r="CB97" s="105">
        <v>11.919701553293269</v>
      </c>
      <c r="CC97" s="105">
        <v>21798.750200662729</v>
      </c>
      <c r="CD97" s="105">
        <v>2.6289645447219989</v>
      </c>
      <c r="CE97" s="105">
        <v>4807.8503593875912</v>
      </c>
      <c r="CF97" s="105">
        <v>1.1707149092574027</v>
      </c>
      <c r="CG97" s="105">
        <v>2141.0034260499378</v>
      </c>
      <c r="CH97" s="105">
        <v>19.61521371505124</v>
      </c>
      <c r="CI97" s="105">
        <v>35872.302842085708</v>
      </c>
      <c r="CJ97" s="105">
        <v>13.198854648106687</v>
      </c>
      <c r="CK97" s="105">
        <v>24138.065380457509</v>
      </c>
      <c r="CL97" s="105">
        <v>20.511881951930761</v>
      </c>
      <c r="CM97" s="105">
        <v>37512.129713690971</v>
      </c>
      <c r="CN97" s="105">
        <v>2.5925774127632826</v>
      </c>
      <c r="CO97" s="105">
        <v>4741.3055724614915</v>
      </c>
      <c r="CP97" s="105">
        <v>11.136060856663388</v>
      </c>
      <c r="CQ97" s="105">
        <v>20365.628094666004</v>
      </c>
      <c r="CR97" s="105">
        <v>13.509991467136556</v>
      </c>
      <c r="CS97" s="105">
        <v>24707.072395099334</v>
      </c>
      <c r="CT97" s="105">
        <v>3.1427361995753715</v>
      </c>
      <c r="CU97" s="105">
        <v>5747.4359617834389</v>
      </c>
    </row>
    <row r="98" spans="2:99" x14ac:dyDescent="0.25">
      <c r="C98" s="104" t="s">
        <v>263</v>
      </c>
      <c r="D98" s="105">
        <v>0</v>
      </c>
      <c r="E98" s="105">
        <v>0</v>
      </c>
      <c r="F98" s="105">
        <v>0</v>
      </c>
      <c r="G98" s="105">
        <v>0</v>
      </c>
      <c r="H98" s="105">
        <v>4</v>
      </c>
      <c r="I98" s="105">
        <v>5054.3999999999996</v>
      </c>
      <c r="J98" s="105">
        <v>5</v>
      </c>
      <c r="K98" s="105">
        <v>6318</v>
      </c>
      <c r="L98" s="105">
        <v>5</v>
      </c>
      <c r="M98" s="105">
        <v>6318</v>
      </c>
      <c r="N98" s="105">
        <v>5</v>
      </c>
      <c r="O98" s="105">
        <v>6318</v>
      </c>
      <c r="P98" s="105">
        <v>4</v>
      </c>
      <c r="Q98" s="105">
        <v>5054.3999999999996</v>
      </c>
      <c r="R98" s="105">
        <v>3</v>
      </c>
      <c r="S98" s="105">
        <v>3790.7999999999997</v>
      </c>
      <c r="T98" s="105">
        <v>5</v>
      </c>
      <c r="U98" s="105">
        <v>6318</v>
      </c>
      <c r="V98" s="105">
        <v>4</v>
      </c>
      <c r="W98" s="105">
        <v>5054.3999999999996</v>
      </c>
      <c r="X98" s="105">
        <v>5</v>
      </c>
      <c r="Y98" s="105">
        <v>6318</v>
      </c>
      <c r="Z98" s="105">
        <v>5</v>
      </c>
      <c r="AA98" s="105">
        <v>6318</v>
      </c>
      <c r="AB98" s="105">
        <v>8</v>
      </c>
      <c r="AC98" s="105">
        <v>10108.799999999999</v>
      </c>
      <c r="AD98" s="105">
        <v>7</v>
      </c>
      <c r="AE98" s="105">
        <v>8845.1999999999989</v>
      </c>
      <c r="AF98" s="105">
        <v>5</v>
      </c>
      <c r="AG98" s="105">
        <v>6318</v>
      </c>
      <c r="AH98" s="105">
        <v>9</v>
      </c>
      <c r="AI98" s="105">
        <v>11372.4</v>
      </c>
      <c r="AJ98" s="105">
        <v>11</v>
      </c>
      <c r="AK98" s="105">
        <v>13899.599999999999</v>
      </c>
      <c r="AL98" s="105">
        <v>6</v>
      </c>
      <c r="AM98" s="105">
        <v>7581.5999999999995</v>
      </c>
      <c r="AN98" s="105">
        <v>6</v>
      </c>
      <c r="AO98" s="105">
        <v>7581.5999999999995</v>
      </c>
      <c r="AP98" s="105">
        <v>5</v>
      </c>
      <c r="AQ98" s="105">
        <v>6318</v>
      </c>
      <c r="AR98" s="105">
        <v>13</v>
      </c>
      <c r="AS98" s="105">
        <v>16426.8</v>
      </c>
      <c r="AT98" s="105">
        <v>11</v>
      </c>
      <c r="AU98" s="105">
        <v>13899.599999999999</v>
      </c>
      <c r="AV98" s="105">
        <v>9</v>
      </c>
      <c r="AW98" s="105">
        <v>11372.4</v>
      </c>
      <c r="AX98" s="105">
        <v>13</v>
      </c>
      <c r="AY98" s="105">
        <v>16426.8</v>
      </c>
      <c r="AZ98" s="105">
        <v>12</v>
      </c>
      <c r="BA98" s="105">
        <v>15163.199999999999</v>
      </c>
      <c r="BB98" s="105">
        <v>12</v>
      </c>
      <c r="BC98" s="105">
        <v>15163.199999999999</v>
      </c>
      <c r="BD98" s="105">
        <v>16</v>
      </c>
      <c r="BE98" s="105">
        <v>20217.599999999999</v>
      </c>
      <c r="BF98" s="105">
        <v>12</v>
      </c>
      <c r="BG98" s="105">
        <v>15163.199999999999</v>
      </c>
      <c r="BH98" s="105">
        <v>7.5621997592166723</v>
      </c>
      <c r="BI98" s="105">
        <v>9555.595615746186</v>
      </c>
      <c r="BJ98" s="105">
        <v>19</v>
      </c>
      <c r="BK98" s="105">
        <v>24008.399999999998</v>
      </c>
      <c r="BL98" s="105">
        <v>24</v>
      </c>
      <c r="BM98" s="105">
        <v>30326.399999999998</v>
      </c>
      <c r="BN98" s="105">
        <v>15.547688004485764</v>
      </c>
      <c r="BO98" s="105">
        <v>19646.05856246821</v>
      </c>
      <c r="BP98" s="105">
        <v>25</v>
      </c>
      <c r="BQ98" s="105">
        <v>31589.999999999996</v>
      </c>
      <c r="BR98" s="105">
        <v>0.78973148073836386</v>
      </c>
      <c r="BS98" s="105">
        <v>997.90469906099645</v>
      </c>
      <c r="BT98" s="105">
        <v>21.92580955250574</v>
      </c>
      <c r="BU98" s="105">
        <v>27705.452950546252</v>
      </c>
      <c r="BV98" s="105">
        <v>11.113340883172244</v>
      </c>
      <c r="BW98" s="105">
        <v>14042.817539976446</v>
      </c>
      <c r="BX98" s="105">
        <v>12.448814698492464</v>
      </c>
      <c r="BY98" s="105">
        <v>15730.322253015076</v>
      </c>
      <c r="BZ98" s="105">
        <v>1.7173295454545465</v>
      </c>
      <c r="CA98" s="105">
        <v>2170.0176136363648</v>
      </c>
      <c r="CB98" s="105">
        <v>11.497989678918712</v>
      </c>
      <c r="CC98" s="105">
        <v>14528.859758281684</v>
      </c>
      <c r="CD98" s="105">
        <v>2.7750181305398876</v>
      </c>
      <c r="CE98" s="105">
        <v>3506.5129097502017</v>
      </c>
      <c r="CF98" s="105">
        <v>1.4742335894352481</v>
      </c>
      <c r="CG98" s="105">
        <v>1862.8415636103794</v>
      </c>
      <c r="CH98" s="105">
        <v>19.944718196104411</v>
      </c>
      <c r="CI98" s="105">
        <v>25202.145912597531</v>
      </c>
      <c r="CJ98" s="105">
        <v>16.498625759346453</v>
      </c>
      <c r="CK98" s="105">
        <v>20847.663509510177</v>
      </c>
      <c r="CL98" s="105">
        <v>22.957903073185289</v>
      </c>
      <c r="CM98" s="105">
        <v>29009.60632327693</v>
      </c>
      <c r="CN98" s="105">
        <v>3.1908645080163476</v>
      </c>
      <c r="CO98" s="105">
        <v>4031.9763923294563</v>
      </c>
      <c r="CP98" s="105">
        <v>14.752286103293729</v>
      </c>
      <c r="CQ98" s="105">
        <v>18640.988720121954</v>
      </c>
      <c r="CR98" s="105">
        <v>13.697893128026992</v>
      </c>
      <c r="CS98" s="105">
        <v>17308.657756574907</v>
      </c>
      <c r="CT98" s="105">
        <v>3.2389424097664543</v>
      </c>
      <c r="CU98" s="105">
        <v>4092.7276289808915</v>
      </c>
    </row>
    <row r="99" spans="2:99" x14ac:dyDescent="0.25">
      <c r="C99" s="104" t="s">
        <v>264</v>
      </c>
      <c r="D99" s="105">
        <v>0</v>
      </c>
      <c r="E99" s="105">
        <v>0</v>
      </c>
      <c r="F99" s="105">
        <v>0</v>
      </c>
      <c r="G99" s="105">
        <v>0</v>
      </c>
      <c r="H99" s="105">
        <v>4</v>
      </c>
      <c r="I99" s="105">
        <v>21926.399999999998</v>
      </c>
      <c r="J99" s="105">
        <v>3</v>
      </c>
      <c r="K99" s="105">
        <v>16444.8</v>
      </c>
      <c r="L99" s="105">
        <v>5</v>
      </c>
      <c r="M99" s="105">
        <v>27407.999999999996</v>
      </c>
      <c r="N99" s="105">
        <v>5</v>
      </c>
      <c r="O99" s="105">
        <v>27407.999999999996</v>
      </c>
      <c r="P99" s="105">
        <v>4</v>
      </c>
      <c r="Q99" s="105">
        <v>21926.399999999998</v>
      </c>
      <c r="R99" s="105">
        <v>2</v>
      </c>
      <c r="S99" s="105">
        <v>10963.199999999999</v>
      </c>
      <c r="T99" s="105">
        <v>4</v>
      </c>
      <c r="U99" s="105">
        <v>21926.399999999998</v>
      </c>
      <c r="V99" s="105">
        <v>3</v>
      </c>
      <c r="W99" s="105">
        <v>16444.8</v>
      </c>
      <c r="X99" s="105">
        <v>3</v>
      </c>
      <c r="Y99" s="105">
        <v>16444.8</v>
      </c>
      <c r="Z99" s="105">
        <v>4</v>
      </c>
      <c r="AA99" s="105">
        <v>21926.399999999998</v>
      </c>
      <c r="AB99" s="105">
        <v>6</v>
      </c>
      <c r="AC99" s="105">
        <v>32889.599999999999</v>
      </c>
      <c r="AD99" s="105">
        <v>6</v>
      </c>
      <c r="AE99" s="105">
        <v>32889.599999999999</v>
      </c>
      <c r="AF99" s="105">
        <v>3</v>
      </c>
      <c r="AG99" s="105">
        <v>16444.8</v>
      </c>
      <c r="AH99" s="105">
        <v>6</v>
      </c>
      <c r="AI99" s="105">
        <v>32889.599999999999</v>
      </c>
      <c r="AJ99" s="105">
        <v>7</v>
      </c>
      <c r="AK99" s="105">
        <v>38371.199999999997</v>
      </c>
      <c r="AL99" s="105">
        <v>4</v>
      </c>
      <c r="AM99" s="105">
        <v>21926.399999999998</v>
      </c>
      <c r="AN99" s="105">
        <v>5</v>
      </c>
      <c r="AO99" s="105">
        <v>27407.999999999996</v>
      </c>
      <c r="AP99" s="105">
        <v>4</v>
      </c>
      <c r="AQ99" s="105">
        <v>21926.399999999998</v>
      </c>
      <c r="AR99" s="105">
        <v>10</v>
      </c>
      <c r="AS99" s="105">
        <v>54815.999999999993</v>
      </c>
      <c r="AT99" s="105">
        <v>7</v>
      </c>
      <c r="AU99" s="105">
        <v>38371.199999999997</v>
      </c>
      <c r="AV99" s="105">
        <v>6</v>
      </c>
      <c r="AW99" s="105">
        <v>32889.599999999999</v>
      </c>
      <c r="AX99" s="105">
        <v>10</v>
      </c>
      <c r="AY99" s="105">
        <v>54815.999999999993</v>
      </c>
      <c r="AZ99" s="105">
        <v>8</v>
      </c>
      <c r="BA99" s="105">
        <v>43852.799999999996</v>
      </c>
      <c r="BB99" s="105">
        <v>8</v>
      </c>
      <c r="BC99" s="105">
        <v>43852.799999999996</v>
      </c>
      <c r="BD99" s="105">
        <v>12</v>
      </c>
      <c r="BE99" s="105">
        <v>65779.199999999997</v>
      </c>
      <c r="BF99" s="105">
        <v>9</v>
      </c>
      <c r="BG99" s="105">
        <v>49334.399999999994</v>
      </c>
      <c r="BH99" s="105">
        <v>5.2935398314516702</v>
      </c>
      <c r="BI99" s="105">
        <v>29017.067940085471</v>
      </c>
      <c r="BJ99" s="105">
        <v>15</v>
      </c>
      <c r="BK99" s="105">
        <v>82223.999999999985</v>
      </c>
      <c r="BL99" s="105">
        <v>14</v>
      </c>
      <c r="BM99" s="105">
        <v>76742.399999999994</v>
      </c>
      <c r="BN99" s="105">
        <v>10.365125336323841</v>
      </c>
      <c r="BO99" s="105">
        <v>56817.471043592763</v>
      </c>
      <c r="BP99" s="105">
        <v>14</v>
      </c>
      <c r="BQ99" s="105">
        <v>76742.399999999994</v>
      </c>
      <c r="BR99" s="105">
        <v>0.59229861055377286</v>
      </c>
      <c r="BS99" s="105">
        <v>3246.7440636115612</v>
      </c>
      <c r="BT99" s="105">
        <v>14.617206368337159</v>
      </c>
      <c r="BU99" s="105">
        <v>80125.678428676969</v>
      </c>
      <c r="BV99" s="105">
        <v>7.4088939221148289</v>
      </c>
      <c r="BW99" s="105">
        <v>40612.592923464639</v>
      </c>
      <c r="BX99" s="105">
        <v>7.7268505025125638</v>
      </c>
      <c r="BY99" s="105">
        <v>42355.503714572864</v>
      </c>
      <c r="BZ99" s="105">
        <v>0.94176136363636431</v>
      </c>
      <c r="CA99" s="105">
        <v>5162.3590909090944</v>
      </c>
      <c r="CB99" s="105">
        <v>6.4374471864240457</v>
      </c>
      <c r="CC99" s="105">
        <v>35287.510497102048</v>
      </c>
      <c r="CD99" s="105">
        <v>1.6065894439967772</v>
      </c>
      <c r="CE99" s="105">
        <v>8806.6806962127321</v>
      </c>
      <c r="CF99" s="105">
        <v>0.71543688899063507</v>
      </c>
      <c r="CG99" s="105">
        <v>3921.7388506910647</v>
      </c>
      <c r="CH99" s="105">
        <v>11.47384616961341</v>
      </c>
      <c r="CI99" s="105">
        <v>62895.035163352863</v>
      </c>
      <c r="CJ99" s="105">
        <v>7.5711186202812533</v>
      </c>
      <c r="CK99" s="105">
        <v>41501.843828933714</v>
      </c>
      <c r="CL99" s="105">
        <v>12.588150874541121</v>
      </c>
      <c r="CM99" s="105">
        <v>69003.207833884604</v>
      </c>
      <c r="CN99" s="105">
        <v>1.4244930839358696</v>
      </c>
      <c r="CO99" s="105">
        <v>7808.5012889028621</v>
      </c>
      <c r="CP99" s="105">
        <v>6.5001975370705001</v>
      </c>
      <c r="CQ99" s="105">
        <v>35631.482819205652</v>
      </c>
      <c r="CR99" s="105">
        <v>6.9205679246848133</v>
      </c>
      <c r="CS99" s="105">
        <v>37935.785135952268</v>
      </c>
      <c r="CT99" s="105">
        <v>1.6034368365180469</v>
      </c>
      <c r="CU99" s="105">
        <v>8789.3993630573259</v>
      </c>
    </row>
    <row r="100" spans="2:99" x14ac:dyDescent="0.25">
      <c r="C100" s="104" t="s">
        <v>265</v>
      </c>
      <c r="D100" s="105">
        <v>0</v>
      </c>
      <c r="E100" s="105">
        <v>0</v>
      </c>
      <c r="F100" s="105">
        <v>0</v>
      </c>
      <c r="G100" s="105">
        <v>0</v>
      </c>
      <c r="H100" s="105">
        <v>5</v>
      </c>
      <c r="I100" s="105">
        <v>8111.9999999999991</v>
      </c>
      <c r="J100" s="105">
        <v>4</v>
      </c>
      <c r="K100" s="105">
        <v>6489.5999999999995</v>
      </c>
      <c r="L100" s="105">
        <v>6</v>
      </c>
      <c r="M100" s="105">
        <v>9734.4</v>
      </c>
      <c r="N100" s="105">
        <v>5</v>
      </c>
      <c r="O100" s="105">
        <v>8111.9999999999991</v>
      </c>
      <c r="P100" s="105">
        <v>4</v>
      </c>
      <c r="Q100" s="105">
        <v>6489.5999999999995</v>
      </c>
      <c r="R100" s="105">
        <v>3</v>
      </c>
      <c r="S100" s="105">
        <v>4867.2</v>
      </c>
      <c r="T100" s="105">
        <v>5</v>
      </c>
      <c r="U100" s="105">
        <v>8111.9999999999991</v>
      </c>
      <c r="V100" s="105">
        <v>4</v>
      </c>
      <c r="W100" s="105">
        <v>6489.5999999999995</v>
      </c>
      <c r="X100" s="105">
        <v>4</v>
      </c>
      <c r="Y100" s="105">
        <v>6489.5999999999995</v>
      </c>
      <c r="Z100" s="105">
        <v>5</v>
      </c>
      <c r="AA100" s="105">
        <v>8111.9999999999991</v>
      </c>
      <c r="AB100" s="105">
        <v>7</v>
      </c>
      <c r="AC100" s="105">
        <v>11356.8</v>
      </c>
      <c r="AD100" s="105">
        <v>8</v>
      </c>
      <c r="AE100" s="105">
        <v>12979.199999999999</v>
      </c>
      <c r="AF100" s="105">
        <v>5</v>
      </c>
      <c r="AG100" s="105">
        <v>8111.9999999999991</v>
      </c>
      <c r="AH100" s="105">
        <v>8</v>
      </c>
      <c r="AI100" s="105">
        <v>12979.199999999999</v>
      </c>
      <c r="AJ100" s="105">
        <v>11</v>
      </c>
      <c r="AK100" s="105">
        <v>17846.399999999998</v>
      </c>
      <c r="AL100" s="105">
        <v>6</v>
      </c>
      <c r="AM100" s="105">
        <v>9734.4</v>
      </c>
      <c r="AN100" s="105">
        <v>6</v>
      </c>
      <c r="AO100" s="105">
        <v>9734.4</v>
      </c>
      <c r="AP100" s="105">
        <v>6</v>
      </c>
      <c r="AQ100" s="105">
        <v>9734.4</v>
      </c>
      <c r="AR100" s="105">
        <v>13</v>
      </c>
      <c r="AS100" s="105">
        <v>21091.199999999997</v>
      </c>
      <c r="AT100" s="105">
        <v>9</v>
      </c>
      <c r="AU100" s="105">
        <v>14601.599999999999</v>
      </c>
      <c r="AV100" s="105">
        <v>9</v>
      </c>
      <c r="AW100" s="105">
        <v>14601.599999999999</v>
      </c>
      <c r="AX100" s="105">
        <v>13</v>
      </c>
      <c r="AY100" s="105">
        <v>21091.199999999997</v>
      </c>
      <c r="AZ100" s="105">
        <v>12</v>
      </c>
      <c r="BA100" s="105">
        <v>19468.8</v>
      </c>
      <c r="BB100" s="105">
        <v>11</v>
      </c>
      <c r="BC100" s="105">
        <v>17846.399999999998</v>
      </c>
      <c r="BD100" s="105">
        <v>16</v>
      </c>
      <c r="BE100" s="105">
        <v>25958.399999999998</v>
      </c>
      <c r="BF100" s="105">
        <v>12</v>
      </c>
      <c r="BG100" s="105">
        <v>19468.8</v>
      </c>
      <c r="BH100" s="105">
        <v>6.8059797832950046</v>
      </c>
      <c r="BI100" s="105">
        <v>11042.021600417815</v>
      </c>
      <c r="BJ100" s="105">
        <v>18</v>
      </c>
      <c r="BK100" s="105">
        <v>29203.199999999997</v>
      </c>
      <c r="BL100" s="105">
        <v>22</v>
      </c>
      <c r="BM100" s="105">
        <v>35692.799999999996</v>
      </c>
      <c r="BN100" s="105">
        <v>14.066955813582355</v>
      </c>
      <c r="BO100" s="105">
        <v>22822.22911195601</v>
      </c>
      <c r="BP100" s="105">
        <v>24</v>
      </c>
      <c r="BQ100" s="105">
        <v>38937.599999999999</v>
      </c>
      <c r="BR100" s="105">
        <v>0.78973148073836386</v>
      </c>
      <c r="BS100" s="105">
        <v>1281.2603543499215</v>
      </c>
      <c r="BT100" s="105">
        <v>21.194949234088877</v>
      </c>
      <c r="BU100" s="105">
        <v>34386.685637385795</v>
      </c>
      <c r="BV100" s="105">
        <v>11.730748710015146</v>
      </c>
      <c r="BW100" s="105">
        <v>19031.966707128569</v>
      </c>
      <c r="BX100" s="105">
        <v>11.590275753768847</v>
      </c>
      <c r="BY100" s="105">
        <v>18804.063382914574</v>
      </c>
      <c r="BZ100" s="105">
        <v>1.6065340909090919</v>
      </c>
      <c r="CA100" s="105">
        <v>2606.4409090909107</v>
      </c>
      <c r="CB100" s="105">
        <v>12.288065333149797</v>
      </c>
      <c r="CC100" s="105">
        <v>19936.15719650223</v>
      </c>
      <c r="CD100" s="105">
        <v>2.9940985092667209</v>
      </c>
      <c r="CE100" s="105">
        <v>4857.625421434328</v>
      </c>
      <c r="CF100" s="105">
        <v>1.3441541550733145</v>
      </c>
      <c r="CG100" s="105">
        <v>2180.7557011909453</v>
      </c>
      <c r="CH100" s="105">
        <v>18.415204141306958</v>
      </c>
      <c r="CI100" s="105">
        <v>29876.827198856408</v>
      </c>
      <c r="CJ100" s="105">
        <v>13.817754766786186</v>
      </c>
      <c r="CK100" s="105">
        <v>22417.925333633906</v>
      </c>
      <c r="CL100" s="105">
        <v>22.775805116899228</v>
      </c>
      <c r="CM100" s="105">
        <v>36951.466221657305</v>
      </c>
      <c r="CN100" s="105">
        <v>2.9059658912291737</v>
      </c>
      <c r="CO100" s="105">
        <v>4714.639061930211</v>
      </c>
      <c r="CP100" s="105">
        <v>13.176602142928045</v>
      </c>
      <c r="CQ100" s="105">
        <v>21377.71931668646</v>
      </c>
      <c r="CR100" s="105">
        <v>14.310760821250424</v>
      </c>
      <c r="CS100" s="105">
        <v>23217.778356396688</v>
      </c>
      <c r="CT100" s="105">
        <v>3.3672173566878985</v>
      </c>
      <c r="CU100" s="105">
        <v>5462.9734394904463</v>
      </c>
    </row>
    <row r="101" spans="2:99" x14ac:dyDescent="0.25">
      <c r="C101" s="104" t="s">
        <v>266</v>
      </c>
      <c r="D101" s="105">
        <v>0</v>
      </c>
      <c r="E101" s="105">
        <v>0</v>
      </c>
      <c r="F101" s="105">
        <v>0</v>
      </c>
      <c r="G101" s="105">
        <v>0</v>
      </c>
      <c r="H101" s="105">
        <v>5</v>
      </c>
      <c r="I101" s="105">
        <v>5951.9999999999991</v>
      </c>
      <c r="J101" s="105">
        <v>5</v>
      </c>
      <c r="K101" s="105">
        <v>5951.9999999999991</v>
      </c>
      <c r="L101" s="105">
        <v>6</v>
      </c>
      <c r="M101" s="105">
        <v>7142.4</v>
      </c>
      <c r="N101" s="105">
        <v>6</v>
      </c>
      <c r="O101" s="105">
        <v>7142.4</v>
      </c>
      <c r="P101" s="105">
        <v>5</v>
      </c>
      <c r="Q101" s="105">
        <v>5951.9999999999991</v>
      </c>
      <c r="R101" s="105">
        <v>3</v>
      </c>
      <c r="S101" s="105">
        <v>3571.2</v>
      </c>
      <c r="T101" s="105">
        <v>5</v>
      </c>
      <c r="U101" s="105">
        <v>5951.9999999999991</v>
      </c>
      <c r="V101" s="105">
        <v>4</v>
      </c>
      <c r="W101" s="105">
        <v>4761.5999999999995</v>
      </c>
      <c r="X101" s="105">
        <v>4</v>
      </c>
      <c r="Y101" s="105">
        <v>4761.5999999999995</v>
      </c>
      <c r="Z101" s="105">
        <v>5</v>
      </c>
      <c r="AA101" s="105">
        <v>5951.9999999999991</v>
      </c>
      <c r="AB101" s="105">
        <v>7</v>
      </c>
      <c r="AC101" s="105">
        <v>8332.7999999999993</v>
      </c>
      <c r="AD101" s="105">
        <v>7</v>
      </c>
      <c r="AE101" s="105">
        <v>8332.7999999999993</v>
      </c>
      <c r="AF101" s="105">
        <v>5</v>
      </c>
      <c r="AG101" s="105">
        <v>5951.9999999999991</v>
      </c>
      <c r="AH101" s="105">
        <v>9</v>
      </c>
      <c r="AI101" s="105">
        <v>10713.599999999999</v>
      </c>
      <c r="AJ101" s="105">
        <v>11</v>
      </c>
      <c r="AK101" s="105">
        <v>13094.399999999998</v>
      </c>
      <c r="AL101" s="105">
        <v>7</v>
      </c>
      <c r="AM101" s="105">
        <v>8332.7999999999993</v>
      </c>
      <c r="AN101" s="105">
        <v>6</v>
      </c>
      <c r="AO101" s="105">
        <v>7142.4</v>
      </c>
      <c r="AP101" s="105">
        <v>6</v>
      </c>
      <c r="AQ101" s="105">
        <v>7142.4</v>
      </c>
      <c r="AR101" s="105">
        <v>12</v>
      </c>
      <c r="AS101" s="105">
        <v>14284.8</v>
      </c>
      <c r="AT101" s="105">
        <v>10</v>
      </c>
      <c r="AU101" s="105">
        <v>11903.999999999998</v>
      </c>
      <c r="AV101" s="105">
        <v>10</v>
      </c>
      <c r="AW101" s="105">
        <v>11903.999999999998</v>
      </c>
      <c r="AX101" s="105">
        <v>12</v>
      </c>
      <c r="AY101" s="105">
        <v>14284.8</v>
      </c>
      <c r="AZ101" s="105">
        <v>12</v>
      </c>
      <c r="BA101" s="105">
        <v>14284.8</v>
      </c>
      <c r="BB101" s="105">
        <v>11</v>
      </c>
      <c r="BC101" s="105">
        <v>13094.399999999998</v>
      </c>
      <c r="BD101" s="105">
        <v>15</v>
      </c>
      <c r="BE101" s="105">
        <v>17855.999999999996</v>
      </c>
      <c r="BF101" s="105">
        <v>13</v>
      </c>
      <c r="BG101" s="105">
        <v>15475.199999999999</v>
      </c>
      <c r="BH101" s="105">
        <v>7.5621997592166723</v>
      </c>
      <c r="BI101" s="105">
        <v>9002.0425933715251</v>
      </c>
      <c r="BJ101" s="105">
        <v>21</v>
      </c>
      <c r="BK101" s="105">
        <v>24998.399999999998</v>
      </c>
      <c r="BL101" s="105">
        <v>23</v>
      </c>
      <c r="BM101" s="105">
        <v>27379.199999999997</v>
      </c>
      <c r="BN101" s="105">
        <v>16.288054099937465</v>
      </c>
      <c r="BO101" s="105">
        <v>19389.299600565555</v>
      </c>
      <c r="BP101" s="105">
        <v>23</v>
      </c>
      <c r="BQ101" s="105">
        <v>27379.199999999997</v>
      </c>
      <c r="BR101" s="105">
        <v>0.78973148073836386</v>
      </c>
      <c r="BS101" s="105">
        <v>940.09635467094824</v>
      </c>
      <c r="BT101" s="105">
        <v>22.656669870922595</v>
      </c>
      <c r="BU101" s="105">
        <v>26970.499814346254</v>
      </c>
      <c r="BV101" s="105">
        <v>11.730748710015146</v>
      </c>
      <c r="BW101" s="105">
        <v>13964.283264402027</v>
      </c>
      <c r="BX101" s="105">
        <v>12.019545226130655</v>
      </c>
      <c r="BY101" s="105">
        <v>14308.06663718593</v>
      </c>
      <c r="BZ101" s="105">
        <v>1.6619318181818192</v>
      </c>
      <c r="CA101" s="105">
        <v>1978.3636363636374</v>
      </c>
      <c r="CB101" s="105">
        <v>12.448109616703876</v>
      </c>
      <c r="CC101" s="105">
        <v>14818.229687724292</v>
      </c>
      <c r="CD101" s="105">
        <v>2.9210717163577762</v>
      </c>
      <c r="CE101" s="105">
        <v>3477.2437711522962</v>
      </c>
      <c r="CF101" s="105">
        <v>1.3441541550733145</v>
      </c>
      <c r="CG101" s="105">
        <v>1600.0811061992733</v>
      </c>
      <c r="CH101" s="105">
        <v>21.435879536999632</v>
      </c>
      <c r="CI101" s="105">
        <v>25517.271000844361</v>
      </c>
      <c r="CJ101" s="105">
        <v>15.101754890654103</v>
      </c>
      <c r="CK101" s="105">
        <v>17977.129021834644</v>
      </c>
      <c r="CL101" s="105">
        <v>26.126165375280415</v>
      </c>
      <c r="CM101" s="105">
        <v>31100.587262733803</v>
      </c>
      <c r="CN101" s="105">
        <v>2.8774760295504564</v>
      </c>
      <c r="CO101" s="105">
        <v>3425.3474655768628</v>
      </c>
      <c r="CP101" s="105">
        <v>14.923588258199072</v>
      </c>
      <c r="CQ101" s="105">
        <v>17765.039462560173</v>
      </c>
      <c r="CR101" s="105">
        <v>13.68849804498247</v>
      </c>
      <c r="CS101" s="105">
        <v>16294.788072747131</v>
      </c>
      <c r="CT101" s="105">
        <v>3.6879047239915081</v>
      </c>
      <c r="CU101" s="105">
        <v>4390.0817834394911</v>
      </c>
    </row>
    <row r="102" spans="2:99" x14ac:dyDescent="0.25">
      <c r="C102" s="104" t="s">
        <v>267</v>
      </c>
      <c r="D102" s="105">
        <v>0</v>
      </c>
      <c r="E102" s="105">
        <v>0</v>
      </c>
      <c r="F102" s="105">
        <v>0</v>
      </c>
      <c r="G102" s="105">
        <v>0</v>
      </c>
      <c r="H102" s="105">
        <v>5</v>
      </c>
      <c r="I102" s="105">
        <v>9696</v>
      </c>
      <c r="J102" s="105">
        <v>5</v>
      </c>
      <c r="K102" s="105">
        <v>9696</v>
      </c>
      <c r="L102" s="105">
        <v>5</v>
      </c>
      <c r="M102" s="105">
        <v>9696</v>
      </c>
      <c r="N102" s="105">
        <v>5</v>
      </c>
      <c r="O102" s="105">
        <v>9696</v>
      </c>
      <c r="P102" s="105">
        <v>4</v>
      </c>
      <c r="Q102" s="105">
        <v>7756.7999999999993</v>
      </c>
      <c r="R102" s="105">
        <v>3</v>
      </c>
      <c r="S102" s="105">
        <v>5817.5999999999995</v>
      </c>
      <c r="T102" s="105">
        <v>5</v>
      </c>
      <c r="U102" s="105">
        <v>9696</v>
      </c>
      <c r="V102" s="105">
        <v>5</v>
      </c>
      <c r="W102" s="105">
        <v>9696</v>
      </c>
      <c r="X102" s="105">
        <v>4</v>
      </c>
      <c r="Y102" s="105">
        <v>7756.7999999999993</v>
      </c>
      <c r="Z102" s="105">
        <v>4</v>
      </c>
      <c r="AA102" s="105">
        <v>7756.7999999999993</v>
      </c>
      <c r="AB102" s="105">
        <v>7</v>
      </c>
      <c r="AC102" s="105">
        <v>13574.399999999998</v>
      </c>
      <c r="AD102" s="105">
        <v>8</v>
      </c>
      <c r="AE102" s="105">
        <v>15513.599999999999</v>
      </c>
      <c r="AF102" s="105">
        <v>4</v>
      </c>
      <c r="AG102" s="105">
        <v>7756.7999999999993</v>
      </c>
      <c r="AH102" s="105">
        <v>8</v>
      </c>
      <c r="AI102" s="105">
        <v>15513.599999999999</v>
      </c>
      <c r="AJ102" s="105">
        <v>9</v>
      </c>
      <c r="AK102" s="105">
        <v>17452.8</v>
      </c>
      <c r="AL102" s="105">
        <v>6</v>
      </c>
      <c r="AM102" s="105">
        <v>11635.199999999999</v>
      </c>
      <c r="AN102" s="105">
        <v>5</v>
      </c>
      <c r="AO102" s="105">
        <v>9696</v>
      </c>
      <c r="AP102" s="105">
        <v>5</v>
      </c>
      <c r="AQ102" s="105">
        <v>9696</v>
      </c>
      <c r="AR102" s="105">
        <v>12</v>
      </c>
      <c r="AS102" s="105">
        <v>23270.399999999998</v>
      </c>
      <c r="AT102" s="105">
        <v>8</v>
      </c>
      <c r="AU102" s="105">
        <v>15513.599999999999</v>
      </c>
      <c r="AV102" s="105">
        <v>8</v>
      </c>
      <c r="AW102" s="105">
        <v>15513.599999999999</v>
      </c>
      <c r="AX102" s="105">
        <v>13</v>
      </c>
      <c r="AY102" s="105">
        <v>25209.599999999999</v>
      </c>
      <c r="AZ102" s="105">
        <v>10</v>
      </c>
      <c r="BA102" s="105">
        <v>19392</v>
      </c>
      <c r="BB102" s="105">
        <v>12</v>
      </c>
      <c r="BC102" s="105">
        <v>23270.399999999998</v>
      </c>
      <c r="BD102" s="105">
        <v>15</v>
      </c>
      <c r="BE102" s="105">
        <v>29087.999999999996</v>
      </c>
      <c r="BF102" s="105">
        <v>12</v>
      </c>
      <c r="BG102" s="105">
        <v>23270.399999999998</v>
      </c>
      <c r="BH102" s="105">
        <v>7.5621997592166723</v>
      </c>
      <c r="BI102" s="105">
        <v>14664.617773072969</v>
      </c>
      <c r="BJ102" s="105">
        <v>20</v>
      </c>
      <c r="BK102" s="105">
        <v>38784</v>
      </c>
      <c r="BL102" s="105">
        <v>21</v>
      </c>
      <c r="BM102" s="105">
        <v>40723.199999999997</v>
      </c>
      <c r="BN102" s="105">
        <v>13.326589718130654</v>
      </c>
      <c r="BO102" s="105">
        <v>25842.92278139896</v>
      </c>
      <c r="BP102" s="105">
        <v>22</v>
      </c>
      <c r="BQ102" s="105">
        <v>42662.399999999994</v>
      </c>
      <c r="BR102" s="105">
        <v>0.74037326319221619</v>
      </c>
      <c r="BS102" s="105">
        <v>1435.7318319823455</v>
      </c>
      <c r="BT102" s="105">
        <v>19.733228597255163</v>
      </c>
      <c r="BU102" s="105">
        <v>38266.676895797209</v>
      </c>
      <c r="BV102" s="105">
        <v>9.2611174026435368</v>
      </c>
      <c r="BW102" s="105">
        <v>17959.158867206344</v>
      </c>
      <c r="BX102" s="105">
        <v>11.590275753768847</v>
      </c>
      <c r="BY102" s="105">
        <v>22475.862741708544</v>
      </c>
      <c r="BZ102" s="105">
        <v>1.4957386363636374</v>
      </c>
      <c r="CA102" s="105">
        <v>2900.5363636363654</v>
      </c>
      <c r="CB102" s="105">
        <v>11.444641584400687</v>
      </c>
      <c r="CC102" s="105">
        <v>22193.44896046981</v>
      </c>
      <c r="CD102" s="105">
        <v>2.9940985092667209</v>
      </c>
      <c r="CE102" s="105">
        <v>5806.1558291700248</v>
      </c>
      <c r="CF102" s="105">
        <v>1.2357546264383699</v>
      </c>
      <c r="CG102" s="105">
        <v>2396.3753715892867</v>
      </c>
      <c r="CH102" s="105">
        <v>16.612239571928828</v>
      </c>
      <c r="CI102" s="105">
        <v>32214.454977884383</v>
      </c>
      <c r="CJ102" s="105">
        <v>12.536613411218525</v>
      </c>
      <c r="CK102" s="105">
        <v>24311.00072703496</v>
      </c>
      <c r="CL102" s="105">
        <v>22.730280627827714</v>
      </c>
      <c r="CM102" s="105">
        <v>44078.560193483499</v>
      </c>
      <c r="CN102" s="105">
        <v>2.6495571361207171</v>
      </c>
      <c r="CO102" s="105">
        <v>5138.0211983652944</v>
      </c>
      <c r="CP102" s="105">
        <v>10.976203500815357</v>
      </c>
      <c r="CQ102" s="105">
        <v>21285.05382878114</v>
      </c>
      <c r="CR102" s="105">
        <v>13.700209603701801</v>
      </c>
      <c r="CS102" s="105">
        <v>26567.446463498531</v>
      </c>
      <c r="CT102" s="105">
        <v>2.7899800955414018</v>
      </c>
      <c r="CU102" s="105">
        <v>5410.3294012738861</v>
      </c>
    </row>
    <row r="103" spans="2:99" x14ac:dyDescent="0.25">
      <c r="C103" s="104" t="s">
        <v>268</v>
      </c>
      <c r="D103" s="105">
        <v>0</v>
      </c>
      <c r="E103" s="105">
        <v>0</v>
      </c>
      <c r="F103" s="105">
        <v>0</v>
      </c>
      <c r="G103" s="105">
        <v>0</v>
      </c>
      <c r="H103" s="105">
        <v>5</v>
      </c>
      <c r="I103" s="105">
        <v>10140</v>
      </c>
      <c r="J103" s="105">
        <v>5</v>
      </c>
      <c r="K103" s="105">
        <v>10140</v>
      </c>
      <c r="L103" s="105">
        <v>6</v>
      </c>
      <c r="M103" s="105">
        <v>12168</v>
      </c>
      <c r="N103" s="105">
        <v>5</v>
      </c>
      <c r="O103" s="105">
        <v>10140</v>
      </c>
      <c r="P103" s="105">
        <v>4</v>
      </c>
      <c r="Q103" s="105">
        <v>8112</v>
      </c>
      <c r="R103" s="105">
        <v>3</v>
      </c>
      <c r="S103" s="105">
        <v>6084</v>
      </c>
      <c r="T103" s="105">
        <v>5</v>
      </c>
      <c r="U103" s="105">
        <v>10140</v>
      </c>
      <c r="V103" s="105">
        <v>4</v>
      </c>
      <c r="W103" s="105">
        <v>8112</v>
      </c>
      <c r="X103" s="105">
        <v>5</v>
      </c>
      <c r="Y103" s="105">
        <v>10140</v>
      </c>
      <c r="Z103" s="105">
        <v>5</v>
      </c>
      <c r="AA103" s="105">
        <v>10140</v>
      </c>
      <c r="AB103" s="105">
        <v>7</v>
      </c>
      <c r="AC103" s="105">
        <v>14196</v>
      </c>
      <c r="AD103" s="105">
        <v>7</v>
      </c>
      <c r="AE103" s="105">
        <v>14196</v>
      </c>
      <c r="AF103" s="105">
        <v>4</v>
      </c>
      <c r="AG103" s="105">
        <v>8112</v>
      </c>
      <c r="AH103" s="105">
        <v>8</v>
      </c>
      <c r="AI103" s="105">
        <v>16224</v>
      </c>
      <c r="AJ103" s="105">
        <v>10</v>
      </c>
      <c r="AK103" s="105">
        <v>20280</v>
      </c>
      <c r="AL103" s="105">
        <v>6</v>
      </c>
      <c r="AM103" s="105">
        <v>12168</v>
      </c>
      <c r="AN103" s="105">
        <v>6</v>
      </c>
      <c r="AO103" s="105">
        <v>12168</v>
      </c>
      <c r="AP103" s="105">
        <v>5</v>
      </c>
      <c r="AQ103" s="105">
        <v>10140</v>
      </c>
      <c r="AR103" s="105">
        <v>12</v>
      </c>
      <c r="AS103" s="105">
        <v>24336</v>
      </c>
      <c r="AT103" s="105">
        <v>9</v>
      </c>
      <c r="AU103" s="105">
        <v>18252</v>
      </c>
      <c r="AV103" s="105">
        <v>8</v>
      </c>
      <c r="AW103" s="105">
        <v>16224</v>
      </c>
      <c r="AX103" s="105">
        <v>12</v>
      </c>
      <c r="AY103" s="105">
        <v>24336</v>
      </c>
      <c r="AZ103" s="105">
        <v>10</v>
      </c>
      <c r="BA103" s="105">
        <v>20280</v>
      </c>
      <c r="BB103" s="105">
        <v>12</v>
      </c>
      <c r="BC103" s="105">
        <v>24336</v>
      </c>
      <c r="BD103" s="105">
        <v>15</v>
      </c>
      <c r="BE103" s="105">
        <v>30420</v>
      </c>
      <c r="BF103" s="105">
        <v>11</v>
      </c>
      <c r="BG103" s="105">
        <v>22308</v>
      </c>
      <c r="BH103" s="105">
        <v>7.184089771255838</v>
      </c>
      <c r="BI103" s="105">
        <v>14569.33405610684</v>
      </c>
      <c r="BJ103" s="105">
        <v>20</v>
      </c>
      <c r="BK103" s="105">
        <v>40560</v>
      </c>
      <c r="BL103" s="105">
        <v>22</v>
      </c>
      <c r="BM103" s="105">
        <v>44616</v>
      </c>
      <c r="BN103" s="105">
        <v>13.326589718130654</v>
      </c>
      <c r="BO103" s="105">
        <v>27026.323948368965</v>
      </c>
      <c r="BP103" s="105">
        <v>21</v>
      </c>
      <c r="BQ103" s="105">
        <v>42588</v>
      </c>
      <c r="BR103" s="105">
        <v>0.74037326319221619</v>
      </c>
      <c r="BS103" s="105">
        <v>1501.4769777538145</v>
      </c>
      <c r="BT103" s="105">
        <v>19.733228597255163</v>
      </c>
      <c r="BU103" s="105">
        <v>40018.98759523347</v>
      </c>
      <c r="BV103" s="105">
        <v>9.8785252294864385</v>
      </c>
      <c r="BW103" s="105">
        <v>20033.649165398496</v>
      </c>
      <c r="BX103" s="105">
        <v>11.590275753768847</v>
      </c>
      <c r="BY103" s="105">
        <v>23505.079228643222</v>
      </c>
      <c r="BZ103" s="105">
        <v>1.3295454545454555</v>
      </c>
      <c r="CA103" s="105">
        <v>2696.3181818181838</v>
      </c>
      <c r="CB103" s="105">
        <v>10.707914024687627</v>
      </c>
      <c r="CC103" s="105">
        <v>21715.649642066506</v>
      </c>
      <c r="CD103" s="105">
        <v>2.9940985092667209</v>
      </c>
      <c r="CE103" s="105">
        <v>6072.03177679291</v>
      </c>
      <c r="CF103" s="105">
        <v>1.1056751920764361</v>
      </c>
      <c r="CG103" s="105">
        <v>2242.3092895310124</v>
      </c>
      <c r="CH103" s="105">
        <v>16.024035620103533</v>
      </c>
      <c r="CI103" s="105">
        <v>32496.744237569965</v>
      </c>
      <c r="CJ103" s="105">
        <v>14.257343079178119</v>
      </c>
      <c r="CK103" s="105">
        <v>28913.891764573225</v>
      </c>
      <c r="CL103" s="105">
        <v>21.982201880299534</v>
      </c>
      <c r="CM103" s="105">
        <v>44579.905413247456</v>
      </c>
      <c r="CN103" s="105">
        <v>2.6210672744419998</v>
      </c>
      <c r="CO103" s="105">
        <v>5315.5244325683752</v>
      </c>
      <c r="CP103" s="105">
        <v>11.424711113775318</v>
      </c>
      <c r="CQ103" s="105">
        <v>23169.314138736347</v>
      </c>
      <c r="CR103" s="105">
        <v>11.288506458315684</v>
      </c>
      <c r="CS103" s="105">
        <v>22893.091097464207</v>
      </c>
      <c r="CT103" s="105">
        <v>3.1748049363057329</v>
      </c>
      <c r="CU103" s="105">
        <v>6438.5044108280263</v>
      </c>
    </row>
    <row r="104" spans="2:99" x14ac:dyDescent="0.25">
      <c r="C104" s="104" t="s">
        <v>269</v>
      </c>
      <c r="D104" s="105">
        <v>0</v>
      </c>
      <c r="E104" s="105">
        <v>0</v>
      </c>
      <c r="F104" s="105">
        <v>0</v>
      </c>
      <c r="G104" s="105">
        <v>0</v>
      </c>
      <c r="H104" s="105">
        <v>4</v>
      </c>
      <c r="I104" s="105">
        <v>8289.6</v>
      </c>
      <c r="J104" s="105">
        <v>4</v>
      </c>
      <c r="K104" s="105">
        <v>8289.6</v>
      </c>
      <c r="L104" s="105">
        <v>5</v>
      </c>
      <c r="M104" s="105">
        <v>10362</v>
      </c>
      <c r="N104" s="105">
        <v>5</v>
      </c>
      <c r="O104" s="105">
        <v>10362</v>
      </c>
      <c r="P104" s="105">
        <v>4</v>
      </c>
      <c r="Q104" s="105">
        <v>8289.6</v>
      </c>
      <c r="R104" s="105">
        <v>3</v>
      </c>
      <c r="S104" s="105">
        <v>6217.2000000000007</v>
      </c>
      <c r="T104" s="105">
        <v>5</v>
      </c>
      <c r="U104" s="105">
        <v>10362</v>
      </c>
      <c r="V104" s="105">
        <v>4</v>
      </c>
      <c r="W104" s="105">
        <v>8289.6</v>
      </c>
      <c r="X104" s="105">
        <v>5</v>
      </c>
      <c r="Y104" s="105">
        <v>10362</v>
      </c>
      <c r="Z104" s="105">
        <v>5</v>
      </c>
      <c r="AA104" s="105">
        <v>10362</v>
      </c>
      <c r="AB104" s="105">
        <v>7</v>
      </c>
      <c r="AC104" s="105">
        <v>14506.800000000001</v>
      </c>
      <c r="AD104" s="105">
        <v>7</v>
      </c>
      <c r="AE104" s="105">
        <v>14506.800000000001</v>
      </c>
      <c r="AF104" s="105">
        <v>4</v>
      </c>
      <c r="AG104" s="105">
        <v>8289.6</v>
      </c>
      <c r="AH104" s="105">
        <v>8</v>
      </c>
      <c r="AI104" s="105">
        <v>16579.2</v>
      </c>
      <c r="AJ104" s="105">
        <v>9</v>
      </c>
      <c r="AK104" s="105">
        <v>18651.600000000002</v>
      </c>
      <c r="AL104" s="105">
        <v>5</v>
      </c>
      <c r="AM104" s="105">
        <v>10362</v>
      </c>
      <c r="AN104" s="105">
        <v>5</v>
      </c>
      <c r="AO104" s="105">
        <v>10362</v>
      </c>
      <c r="AP104" s="105">
        <v>5</v>
      </c>
      <c r="AQ104" s="105">
        <v>10362</v>
      </c>
      <c r="AR104" s="105">
        <v>12</v>
      </c>
      <c r="AS104" s="105">
        <v>24868.800000000003</v>
      </c>
      <c r="AT104" s="105">
        <v>9</v>
      </c>
      <c r="AU104" s="105">
        <v>18651.600000000002</v>
      </c>
      <c r="AV104" s="105">
        <v>8</v>
      </c>
      <c r="AW104" s="105">
        <v>16579.2</v>
      </c>
      <c r="AX104" s="105">
        <v>11</v>
      </c>
      <c r="AY104" s="105">
        <v>22796.400000000001</v>
      </c>
      <c r="AZ104" s="105">
        <v>11</v>
      </c>
      <c r="BA104" s="105">
        <v>22796.400000000001</v>
      </c>
      <c r="BB104" s="105">
        <v>10</v>
      </c>
      <c r="BC104" s="105">
        <v>20724</v>
      </c>
      <c r="BD104" s="105">
        <v>16</v>
      </c>
      <c r="BE104" s="105">
        <v>33158.400000000001</v>
      </c>
      <c r="BF104" s="105">
        <v>13</v>
      </c>
      <c r="BG104" s="105">
        <v>26941.200000000001</v>
      </c>
      <c r="BH104" s="105">
        <v>6.8059797832950046</v>
      </c>
      <c r="BI104" s="105">
        <v>14104.712502900567</v>
      </c>
      <c r="BJ104" s="105">
        <v>18</v>
      </c>
      <c r="BK104" s="105">
        <v>37303.200000000004</v>
      </c>
      <c r="BL104" s="105">
        <v>21</v>
      </c>
      <c r="BM104" s="105">
        <v>43520.4</v>
      </c>
      <c r="BN104" s="105">
        <v>13.326589718130654</v>
      </c>
      <c r="BO104" s="105">
        <v>27618.024531853967</v>
      </c>
      <c r="BP104" s="105">
        <v>21</v>
      </c>
      <c r="BQ104" s="105">
        <v>43520.4</v>
      </c>
      <c r="BR104" s="105">
        <v>0.78973148073836386</v>
      </c>
      <c r="BS104" s="105">
        <v>1636.6395206821853</v>
      </c>
      <c r="BT104" s="105">
        <v>18.271507960421449</v>
      </c>
      <c r="BU104" s="105">
        <v>37865.873097177413</v>
      </c>
      <c r="BV104" s="105">
        <v>9.8785252294864385</v>
      </c>
      <c r="BW104" s="105">
        <v>20472.255685587697</v>
      </c>
      <c r="BX104" s="105">
        <v>10.731736809045229</v>
      </c>
      <c r="BY104" s="105">
        <v>22240.451363065335</v>
      </c>
      <c r="BZ104" s="105">
        <v>1.4403409090909101</v>
      </c>
      <c r="CA104" s="105">
        <v>2984.9625000000024</v>
      </c>
      <c r="CB104" s="105">
        <v>10.126157866758993</v>
      </c>
      <c r="CC104" s="105">
        <v>20985.449563071339</v>
      </c>
      <c r="CD104" s="105">
        <v>2.7750181305398876</v>
      </c>
      <c r="CE104" s="105">
        <v>5750.947573730863</v>
      </c>
      <c r="CF104" s="105">
        <v>1.2791144378923478</v>
      </c>
      <c r="CG104" s="105">
        <v>2650.8367610881019</v>
      </c>
      <c r="CH104" s="105">
        <v>16.306336760969337</v>
      </c>
      <c r="CI104" s="105">
        <v>33793.252303432855</v>
      </c>
      <c r="CJ104" s="105">
        <v>13.337684104485845</v>
      </c>
      <c r="CK104" s="105">
        <v>27641.016538136468</v>
      </c>
      <c r="CL104" s="105">
        <v>21.123387232244394</v>
      </c>
      <c r="CM104" s="105">
        <v>43776.107700103283</v>
      </c>
      <c r="CN104" s="105">
        <v>2.3646585193335432</v>
      </c>
      <c r="CO104" s="105">
        <v>4900.5183154668348</v>
      </c>
      <c r="CP104" s="105">
        <v>10.641774047474181</v>
      </c>
      <c r="CQ104" s="105">
        <v>22054.012535985494</v>
      </c>
      <c r="CR104" s="105">
        <v>12.166752952460529</v>
      </c>
      <c r="CS104" s="105">
        <v>25214.378818679201</v>
      </c>
      <c r="CT104" s="105">
        <v>2.693773885350319</v>
      </c>
      <c r="CU104" s="105">
        <v>5582.5770000000011</v>
      </c>
    </row>
    <row r="105" spans="2:99" x14ac:dyDescent="0.25">
      <c r="C105" s="104" t="s">
        <v>270</v>
      </c>
      <c r="D105" s="105">
        <v>0</v>
      </c>
      <c r="E105" s="105">
        <v>0</v>
      </c>
      <c r="F105" s="105">
        <v>0</v>
      </c>
      <c r="G105" s="105">
        <v>0</v>
      </c>
      <c r="H105" s="105">
        <v>5</v>
      </c>
      <c r="I105" s="105">
        <v>9990</v>
      </c>
      <c r="J105" s="105">
        <v>5</v>
      </c>
      <c r="K105" s="105">
        <v>9990</v>
      </c>
      <c r="L105" s="105">
        <v>6</v>
      </c>
      <c r="M105" s="105">
        <v>11988</v>
      </c>
      <c r="N105" s="105">
        <v>5</v>
      </c>
      <c r="O105" s="105">
        <v>9990</v>
      </c>
      <c r="P105" s="105">
        <v>4</v>
      </c>
      <c r="Q105" s="105">
        <v>7992</v>
      </c>
      <c r="R105" s="105">
        <v>3</v>
      </c>
      <c r="S105" s="105">
        <v>5994</v>
      </c>
      <c r="T105" s="105">
        <v>5</v>
      </c>
      <c r="U105" s="105">
        <v>9990</v>
      </c>
      <c r="V105" s="105">
        <v>4</v>
      </c>
      <c r="W105" s="105">
        <v>7992</v>
      </c>
      <c r="X105" s="105">
        <v>4</v>
      </c>
      <c r="Y105" s="105">
        <v>7992</v>
      </c>
      <c r="Z105" s="105">
        <v>5</v>
      </c>
      <c r="AA105" s="105">
        <v>9990</v>
      </c>
      <c r="AB105" s="105">
        <v>6</v>
      </c>
      <c r="AC105" s="105">
        <v>11988</v>
      </c>
      <c r="AD105" s="105">
        <v>7</v>
      </c>
      <c r="AE105" s="105">
        <v>13986</v>
      </c>
      <c r="AF105" s="105">
        <v>4</v>
      </c>
      <c r="AG105" s="105">
        <v>7992</v>
      </c>
      <c r="AH105" s="105">
        <v>8</v>
      </c>
      <c r="AI105" s="105">
        <v>15984</v>
      </c>
      <c r="AJ105" s="105">
        <v>9</v>
      </c>
      <c r="AK105" s="105">
        <v>17982</v>
      </c>
      <c r="AL105" s="105">
        <v>6</v>
      </c>
      <c r="AM105" s="105">
        <v>11988</v>
      </c>
      <c r="AN105" s="105">
        <v>6</v>
      </c>
      <c r="AO105" s="105">
        <v>11988</v>
      </c>
      <c r="AP105" s="105">
        <v>6</v>
      </c>
      <c r="AQ105" s="105">
        <v>11988</v>
      </c>
      <c r="AR105" s="105">
        <v>12</v>
      </c>
      <c r="AS105" s="105">
        <v>23976</v>
      </c>
      <c r="AT105" s="105">
        <v>9</v>
      </c>
      <c r="AU105" s="105">
        <v>17982</v>
      </c>
      <c r="AV105" s="105">
        <v>8</v>
      </c>
      <c r="AW105" s="105">
        <v>15984</v>
      </c>
      <c r="AX105" s="105">
        <v>12</v>
      </c>
      <c r="AY105" s="105">
        <v>23976</v>
      </c>
      <c r="AZ105" s="105">
        <v>11</v>
      </c>
      <c r="BA105" s="105">
        <v>21978</v>
      </c>
      <c r="BB105" s="105">
        <v>12</v>
      </c>
      <c r="BC105" s="105">
        <v>23976</v>
      </c>
      <c r="BD105" s="105">
        <v>16</v>
      </c>
      <c r="BE105" s="105">
        <v>31968</v>
      </c>
      <c r="BF105" s="105">
        <v>11</v>
      </c>
      <c r="BG105" s="105">
        <v>21978</v>
      </c>
      <c r="BH105" s="105">
        <v>6.4278697953341721</v>
      </c>
      <c r="BI105" s="105">
        <v>12842.883851077677</v>
      </c>
      <c r="BJ105" s="105">
        <v>19</v>
      </c>
      <c r="BK105" s="105">
        <v>37962</v>
      </c>
      <c r="BL105" s="105">
        <v>19</v>
      </c>
      <c r="BM105" s="105">
        <v>37962</v>
      </c>
      <c r="BN105" s="105">
        <v>14.066955813582355</v>
      </c>
      <c r="BO105" s="105">
        <v>28105.777715537544</v>
      </c>
      <c r="BP105" s="105">
        <v>23</v>
      </c>
      <c r="BQ105" s="105">
        <v>45954</v>
      </c>
      <c r="BR105" s="105">
        <v>0.78973148073836386</v>
      </c>
      <c r="BS105" s="105">
        <v>1577.8834985152509</v>
      </c>
      <c r="BT105" s="105">
        <v>19.733228597255163</v>
      </c>
      <c r="BU105" s="105">
        <v>39426.990737315813</v>
      </c>
      <c r="BV105" s="105">
        <v>11.113340883172244</v>
      </c>
      <c r="BW105" s="105">
        <v>22204.455084578141</v>
      </c>
      <c r="BX105" s="105">
        <v>10.731736809045229</v>
      </c>
      <c r="BY105" s="105">
        <v>21442.010144472366</v>
      </c>
      <c r="BZ105" s="105">
        <v>1.4957386363636374</v>
      </c>
      <c r="CA105" s="105">
        <v>2988.4857954545473</v>
      </c>
      <c r="CB105" s="105">
        <v>11.497989678918712</v>
      </c>
      <c r="CC105" s="105">
        <v>22972.983378479585</v>
      </c>
      <c r="CD105" s="105">
        <v>2.6289645447219989</v>
      </c>
      <c r="CE105" s="105">
        <v>5252.6711603545536</v>
      </c>
      <c r="CF105" s="105">
        <v>1.2140747207113807</v>
      </c>
      <c r="CG105" s="105">
        <v>2425.7212919813387</v>
      </c>
      <c r="CH105" s="105">
        <v>16.312237178492762</v>
      </c>
      <c r="CI105" s="105">
        <v>32591.849882628536</v>
      </c>
      <c r="CJ105" s="105">
        <v>13.69630771706097</v>
      </c>
      <c r="CK105" s="105">
        <v>27365.222818687816</v>
      </c>
      <c r="CL105" s="105">
        <v>21.077862743172879</v>
      </c>
      <c r="CM105" s="105">
        <v>42113.569760859413</v>
      </c>
      <c r="CN105" s="105">
        <v>2.7920064445143038</v>
      </c>
      <c r="CO105" s="105">
        <v>5578.4288761395792</v>
      </c>
      <c r="CP105" s="105">
        <v>11.419806199893612</v>
      </c>
      <c r="CQ105" s="105">
        <v>22816.772787387436</v>
      </c>
      <c r="CR105" s="105">
        <v>13.413724161016532</v>
      </c>
      <c r="CS105" s="105">
        <v>26800.620873711032</v>
      </c>
      <c r="CT105" s="105">
        <v>2.8861863057324846</v>
      </c>
      <c r="CU105" s="105">
        <v>5766.6002388535044</v>
      </c>
    </row>
    <row r="107" spans="2:99" x14ac:dyDescent="0.25">
      <c r="B107" s="109" t="s">
        <v>275</v>
      </c>
    </row>
    <row r="108" spans="2:99" x14ac:dyDescent="0.25">
      <c r="C108" s="104" t="s">
        <v>276</v>
      </c>
      <c r="D108" s="104" t="s">
        <v>92</v>
      </c>
      <c r="E108" s="104" t="s">
        <v>93</v>
      </c>
      <c r="F108" s="104" t="s">
        <v>94</v>
      </c>
      <c r="G108" s="104" t="s">
        <v>95</v>
      </c>
      <c r="H108" s="104" t="s">
        <v>96</v>
      </c>
      <c r="I108" s="104" t="s">
        <v>97</v>
      </c>
      <c r="J108" s="104" t="s">
        <v>98</v>
      </c>
      <c r="K108" s="104" t="s">
        <v>99</v>
      </c>
      <c r="L108" s="104" t="s">
        <v>100</v>
      </c>
      <c r="M108" s="104" t="s">
        <v>101</v>
      </c>
      <c r="N108" s="104" t="s">
        <v>102</v>
      </c>
      <c r="O108" s="104" t="s">
        <v>103</v>
      </c>
    </row>
    <row r="109" spans="2:99" x14ac:dyDescent="0.25">
      <c r="C109" s="104" t="s">
        <v>126</v>
      </c>
      <c r="D109" s="105">
        <f>SUM(D$6:D$19)+SUM(F$6:F$19)+SUM(H$6:H$19)+SUM(J$6:J$19)</f>
        <v>112</v>
      </c>
      <c r="E109" s="105">
        <f>SUM(L$6:L$19)+SUM(N$6:N$19)+SUM(P$6:P$19)+SUM(R$6:R$19)</f>
        <v>237</v>
      </c>
      <c r="F109" s="105">
        <f>SUM(T$6:T$19)+SUM(V$6:V$19)+SUM(X$6:X$19)+SUM(Z$6:Z$19)</f>
        <v>308</v>
      </c>
      <c r="G109" s="105">
        <f>SUM(AB$6:AB$19)+SUM(AD$6:AD$19)+SUM(AF$6:AF$19)+SUM(AH$6:AH$19)</f>
        <v>362</v>
      </c>
      <c r="H109" s="105">
        <f>SUM(AJ$6:AJ$19)+SUM(AL$6:AL$19)+SUM(AN$6:AN$19)+SUM(AP$6:AP$19)</f>
        <v>428</v>
      </c>
      <c r="I109" s="105">
        <f>SUM(AR$6:AR$19)+SUM(AT$6:AT$19)+SUM(AV$6:AV$19)+SUM(AX$6:AX$19)</f>
        <v>529</v>
      </c>
      <c r="J109" s="105">
        <f>SUM(AZ$6:AZ$19)+SUM(BB$6:BB$19)+SUM(BD$6:BD$19)+SUM(BF$6:BF$19)</f>
        <v>637</v>
      </c>
      <c r="K109" s="105">
        <f>SUM(BH$6:BH$19)+SUM(BJ$6:BJ$19)+SUM(BL$6:BL$19)+SUM(BN$6:BN$19)</f>
        <v>1010</v>
      </c>
      <c r="L109" s="105">
        <f>SUM(BP$6:BP$19)+SUM(BR$6:BR$19)+SUM(BT$6:BT$19)+SUM(BV$6:BV$19)</f>
        <v>962.75674374592654</v>
      </c>
      <c r="M109" s="105">
        <f>SUM(BX$6:BX$19)+SUM(BZ$6:BZ$19)+SUM(CB$6:CB$19)+SUM(CD$6:CD$19)</f>
        <v>815.32217770292755</v>
      </c>
      <c r="N109" s="105">
        <f>SUM(CF$6:CF$19)+SUM(CH$6:CH$19)+SUM(CJ$6:CJ$19)+SUM(CL$6:CL$19)</f>
        <v>899.34283051005764</v>
      </c>
      <c r="O109" s="105">
        <f>SUM(CN$6:CN$19)+SUM(CP$6:CP$19)+SUM(CR$6:CR$19)+SUM(CT$6:CT$19)</f>
        <v>618.67595318650831</v>
      </c>
    </row>
    <row r="110" spans="2:99" x14ac:dyDescent="0.25">
      <c r="C110" s="104" t="s">
        <v>127</v>
      </c>
      <c r="D110" s="105">
        <f>SUM(D$20:D$36)+SUM(F$20:F$36)+SUM(H$20:H$36)+SUM(J$20:J$36)</f>
        <v>96</v>
      </c>
      <c r="E110" s="105">
        <f>SUM(L$20:L$36)+SUM(N$20:N$36)+SUM(P$20:P$36)+SUM(R$20:R$36)</f>
        <v>236</v>
      </c>
      <c r="F110" s="105">
        <f>SUM(T$20:T$36)+SUM(V$20:V$36)+SUM(X$20:X$36)+SUM(Z$20:Z$36)</f>
        <v>280</v>
      </c>
      <c r="G110" s="105">
        <f>SUM(AB$20:AB$36)+SUM(AD$20:AD$36)+SUM(AF$20:AF$36)+SUM(AH$20:AH$36)</f>
        <v>366</v>
      </c>
      <c r="H110" s="105">
        <f>SUM(AJ$20:AJ$36)+SUM(AL$20:AL$36)+SUM(AN$20:AN$36)+SUM(AP$20:AP$36)</f>
        <v>392</v>
      </c>
      <c r="I110" s="105">
        <f>SUM(AR$20:AR$36)+SUM(AT$20:AT$36)+SUM(AV$20:AV$36)+SUM(AX$20:AX$36)</f>
        <v>530</v>
      </c>
      <c r="J110" s="105">
        <f>SUM(AZ$20:AZ$36)+SUM(BB$20:BB$36)+SUM(BD$20:BD$36)+SUM(BF$20:BF$36)</f>
        <v>608</v>
      </c>
      <c r="K110" s="105">
        <f>SUM(BH$20:BH$36)+SUM(BJ$20:BJ$36)+SUM(BL$20:BL$36)+SUM(BN$20:BN$36)</f>
        <v>812</v>
      </c>
      <c r="L110" s="105">
        <f>SUM(BP$20:BP$36)+SUM(BR$20:BR$36)+SUM(BT$20:BT$36)+SUM(BV$20:BV$36)</f>
        <v>841.87906652201468</v>
      </c>
      <c r="M110" s="105">
        <f>SUM(BX$20:BX$36)+SUM(BZ$20:BZ$36)+SUM(CB$20:CB$36)+SUM(CD$20:CD$36)</f>
        <v>788.71885779741888</v>
      </c>
      <c r="N110" s="105">
        <f>SUM(CF$20:CF$36)+SUM(CH$20:CH$36)+SUM(CJ$20:CJ$36)+SUM(CL$20:CL$36)</f>
        <v>809.45643549461897</v>
      </c>
      <c r="O110" s="105">
        <f>SUM(CN$20:CN$36)+SUM(CP$20:CP$36)+SUM(CR$20:CR$36)+SUM(CT$20:CT$36)</f>
        <v>632.06849626887322</v>
      </c>
    </row>
    <row r="111" spans="2:99" x14ac:dyDescent="0.25">
      <c r="C111" s="104" t="s">
        <v>128</v>
      </c>
      <c r="D111" s="105">
        <f>SUM(D$37:D$48)+SUM(F$37:F$48)+SUM(H$37:H$48)+SUM(J$37:J$48)</f>
        <v>138</v>
      </c>
      <c r="E111" s="105">
        <f>SUM(L$37:L$48)+SUM(N$37:N$48)+SUM(P$37:P$48)+SUM(R$37:R$48)</f>
        <v>272</v>
      </c>
      <c r="F111" s="105">
        <f>SUM(T$37:T$48)+SUM(V$37:V$48)+SUM(X$37:X$48)+SUM(Z$37:Z$48)</f>
        <v>329</v>
      </c>
      <c r="G111" s="105">
        <f>SUM(AB$37:AB$48)+SUM(AD$37:AD$48)+SUM(AF$37:AF$48)+SUM(AH$37:AH$48)</f>
        <v>361</v>
      </c>
      <c r="H111" s="105">
        <f>SUM(AJ$37:AJ$48)+SUM(AL$37:AL$48)+SUM(AN$37:AN$48)+SUM(AP$37:AP$48)</f>
        <v>457</v>
      </c>
      <c r="I111" s="105">
        <f>SUM(AR$37:AR$48)+SUM(AT$37:AT$48)+SUM(AV$37:AV$48)+SUM(AX$37:AX$48)</f>
        <v>574</v>
      </c>
      <c r="J111" s="105">
        <f>SUM(AZ$37:AZ$48)+SUM(BB$37:BB$48)+SUM(BD$37:BD$48)+SUM(BF$37:BF$48)</f>
        <v>734</v>
      </c>
      <c r="K111" s="105">
        <f>SUM(BH$37:BH$48)+SUM(BJ$37:BJ$48)+SUM(BL$37:BL$48)+SUM(BN$37:BN$48)</f>
        <v>937</v>
      </c>
      <c r="L111" s="105">
        <f>SUM(BP$37:BP$48)+SUM(BR$37:BR$48)+SUM(BT$37:BT$48)+SUM(BV$37:BV$48)</f>
        <v>1000.627123708029</v>
      </c>
      <c r="M111" s="105">
        <f>SUM(BX$37:BX$48)+SUM(BZ$37:BZ$48)+SUM(CB$37:CB$48)+SUM(CD$37:CD$48)</f>
        <v>921.26252358578358</v>
      </c>
      <c r="N111" s="105">
        <f>SUM(CF$37:CF$48)+SUM(CH$37:CH$48)+SUM(CJ$37:CJ$48)+SUM(CL$37:CL$48)</f>
        <v>632.88438528051529</v>
      </c>
      <c r="O111" s="105">
        <f>SUM(CN$37:CN$48)+SUM(CP$37:CP$48)+SUM(CR$37:CR$48)+SUM(CT$37:CT$48)</f>
        <v>579.12139894413235</v>
      </c>
    </row>
    <row r="112" spans="2:99" x14ac:dyDescent="0.25">
      <c r="C112" s="104" t="s">
        <v>129</v>
      </c>
      <c r="D112" s="105">
        <f>SUM(D$49:D$70)+SUM(F$49:F$70)+SUM(H$49:H$70)+SUM(J$49:J$70)</f>
        <v>123</v>
      </c>
      <c r="E112" s="105">
        <f>SUM(L$49:L$70)+SUM(N$49:N$70)+SUM(P$49:P$70)+SUM(R$49:R$70)</f>
        <v>397</v>
      </c>
      <c r="F112" s="105">
        <f>SUM(T$49:T$70)+SUM(V$49:V$70)+SUM(X$49:X$70)+SUM(Z$49:Z$70)</f>
        <v>382</v>
      </c>
      <c r="G112" s="105">
        <f>SUM(AB$49:AB$70)+SUM(AD$49:AD$70)+SUM(AF$49:AF$70)+SUM(AH$49:AH$70)</f>
        <v>505</v>
      </c>
      <c r="H112" s="105">
        <f>SUM(AJ$49:AJ$70)+SUM(AL$49:AL$70)+SUM(AN$49:AN$70)+SUM(AP$49:AP$70)</f>
        <v>588</v>
      </c>
      <c r="I112" s="105">
        <f>SUM(AR$49:AR$70)+SUM(AT$49:AT$70)+SUM(AV$49:AV$70)+SUM(AX$49:AX$70)</f>
        <v>850</v>
      </c>
      <c r="J112" s="105">
        <f>SUM(AZ$49:AZ$70)+SUM(BB$49:BB$70)+SUM(BD$49:BD$70)+SUM(BF$49:BF$70)</f>
        <v>947</v>
      </c>
      <c r="K112" s="105">
        <f>SUM(BH$49:BH$70)+SUM(BJ$49:BJ$70)+SUM(BL$49:BL$70)+SUM(BN$49:BN$70)</f>
        <v>1252.157887108619</v>
      </c>
      <c r="L112" s="105">
        <f>SUM(BP$49:BP$70)+SUM(BR$49:BR$70)+SUM(BT$49:BT$70)+SUM(BV$49:BV$70)</f>
        <v>1288.4488975936226</v>
      </c>
      <c r="M112" s="105">
        <f>SUM(BX$49:BX$70)+SUM(BZ$49:BZ$70)+SUM(CB$49:CB$70)+SUM(CD$49:CD$70)</f>
        <v>1060.4511392575471</v>
      </c>
      <c r="N112" s="105">
        <f>SUM(CF$49:CF$70)+SUM(CH$49:CH$70)+SUM(CJ$49:CJ$70)+SUM(CL$49:CL$70)</f>
        <v>1154.8353425961977</v>
      </c>
      <c r="O112" s="105">
        <f>SUM(CN$49:CN$70)+SUM(CP$49:CP$70)+SUM(CR$49:CR$70)+SUM(CT$49:CT$70)</f>
        <v>817.6654386785134</v>
      </c>
    </row>
    <row r="113" spans="2:15" x14ac:dyDescent="0.25">
      <c r="C113" s="104" t="s">
        <v>130</v>
      </c>
      <c r="D113" s="105">
        <f>SUM(D$71:D$86)+SUM(F$71:F$86)+SUM(H$71:H$86)+SUM(J$71:J$86)</f>
        <v>103</v>
      </c>
      <c r="E113" s="105">
        <f>SUM(L$71:L$86)+SUM(N$71:N$86)+SUM(P$71:P$86)+SUM(R$71:R$86)</f>
        <v>208</v>
      </c>
      <c r="F113" s="105">
        <f>SUM(T$71:T$86)+SUM(V$71:V$86)+SUM(X$71:X$86)+SUM(Z$71:Z$86)</f>
        <v>268</v>
      </c>
      <c r="G113" s="105">
        <f>SUM(AB$71:AB$86)+SUM(AD$71:AD$86)+SUM(AF$71:AF$86)+SUM(AH$71:AH$86)</f>
        <v>358</v>
      </c>
      <c r="H113" s="105">
        <f>SUM(AJ$71:AJ$86)+SUM(AL$71:AL$86)+SUM(AN$71:AN$86)+SUM(AP$71:AP$86)</f>
        <v>371</v>
      </c>
      <c r="I113" s="105">
        <f>SUM(AR$71:AR$86)+SUM(AT$71:AT$86)+SUM(AV$71:AV$86)+SUM(AX$71:AX$86)</f>
        <v>578</v>
      </c>
      <c r="J113" s="105">
        <f>SUM(AZ$71:AZ$86)+SUM(BB$71:BB$86)+SUM(BD$71:BD$86)+SUM(BF$71:BF$86)</f>
        <v>607</v>
      </c>
      <c r="K113" s="105">
        <f>SUM(BH$71:BH$86)+SUM(BJ$71:BJ$86)+SUM(BL$71:BL$86)+SUM(BN$71:BN$86)</f>
        <v>573.12684076211804</v>
      </c>
      <c r="L113" s="105">
        <f>SUM(BP$71:BP$86)+SUM(BR$71:BR$86)+SUM(BT$71:BT$86)+SUM(BV$71:BV$86)</f>
        <v>809.64280555192977</v>
      </c>
      <c r="M113" s="105">
        <f>SUM(BX$71:BX$86)+SUM(BZ$71:BZ$86)+SUM(CB$71:CB$86)+SUM(CD$71:CD$86)</f>
        <v>513.85374592162145</v>
      </c>
      <c r="N113" s="105">
        <f>SUM(CF$71:CF$86)+SUM(CH$71:CH$86)+SUM(CJ$71:CJ$86)+SUM(CL$71:CL$86)</f>
        <v>685.41106143469233</v>
      </c>
      <c r="O113" s="105">
        <f>SUM(CN$71:CN$86)+SUM(CP$71:CP$86)+SUM(CR$71:CR$86)+SUM(CT$71:CT$86)</f>
        <v>479.09216216205107</v>
      </c>
    </row>
    <row r="114" spans="2:15" x14ac:dyDescent="0.25">
      <c r="C114" s="104" t="s">
        <v>131</v>
      </c>
      <c r="D114" s="105">
        <f>SUM(D$87:D$94)+SUM(F$87:F$94)+SUM(H$87:H$94)+SUM(J$87:J$94)</f>
        <v>51</v>
      </c>
      <c r="E114" s="105">
        <f>SUM(L$87:L$94)+SUM(N$87:N$94)+SUM(P$87:P$94)+SUM(R$87:R$94)</f>
        <v>115</v>
      </c>
      <c r="F114" s="105">
        <f>SUM(T$87:T$94)+SUM(V$87:V$94)+SUM(X$87:X$94)+SUM(Z$87:Z$94)</f>
        <v>125</v>
      </c>
      <c r="G114" s="105">
        <f>SUM(AB$87:AB$94)+SUM(AD$87:AD$94)+SUM(AF$87:AF$94)+SUM(AH$87:AH$94)</f>
        <v>126</v>
      </c>
      <c r="H114" s="105">
        <f>SUM(AJ$87:AJ$94)+SUM(AL$87:AL$94)+SUM(AN$87:AN$94)+SUM(AP$87:AP$94)</f>
        <v>229</v>
      </c>
      <c r="I114" s="105">
        <f>SUM(AR$87:AR$94)+SUM(AT$87:AT$94)+SUM(AV$87:AV$94)+SUM(AX$87:AX$94)</f>
        <v>261</v>
      </c>
      <c r="J114" s="105">
        <f>SUM(AZ$87:AZ$94)+SUM(BB$87:BB$94)+SUM(BD$87:BD$94)+SUM(BF$87:BF$94)</f>
        <v>295</v>
      </c>
      <c r="K114" s="105">
        <f>SUM(BH$87:BH$94)+SUM(BJ$87:BJ$94)+SUM(BL$87:BL$94)+SUM(BN$87:BN$94)</f>
        <v>317.43072937573675</v>
      </c>
      <c r="L114" s="105">
        <f>SUM(BP$87:BP$94)+SUM(BR$87:BR$94)+SUM(BT$87:BT$94)+SUM(BV$87:BV$94)</f>
        <v>342.02553839904238</v>
      </c>
      <c r="M114" s="105">
        <f>SUM(BX$87:BX$94)+SUM(BZ$87:BZ$94)+SUM(CB$87:CB$94)+SUM(CD$87:CD$94)</f>
        <v>234.49329849635566</v>
      </c>
      <c r="N114" s="105">
        <f>SUM(CF$87:CF$94)+SUM(CH$87:CH$94)+SUM(CJ$87:CJ$94)+SUM(CL$87:CL$94)</f>
        <v>353.85431477941177</v>
      </c>
      <c r="O114" s="105">
        <f>SUM(CN$87:CN$94)+SUM(CP$87:CP$94)+SUM(CR$87:CR$94)+SUM(CT$87:CT$94)</f>
        <v>231.92941760109542</v>
      </c>
    </row>
    <row r="115" spans="2:15" x14ac:dyDescent="0.25">
      <c r="C115" s="104" t="s">
        <v>132</v>
      </c>
      <c r="D115" s="105">
        <f>SUM(D$95:D$105)+SUM(F$95:F$105)+SUM(H$95:H$105)+SUM(J$95:J$105)</f>
        <v>102</v>
      </c>
      <c r="E115" s="105">
        <f>SUM(L$95:L$105)+SUM(N$95:N$105)+SUM(P$95:P$105)+SUM(R$95:R$105)</f>
        <v>195</v>
      </c>
      <c r="F115" s="105">
        <f>SUM(T$95:T$105)+SUM(V$95:V$105)+SUM(X$95:X$105)+SUM(Z$95:Z$105)</f>
        <v>199</v>
      </c>
      <c r="G115" s="105">
        <f>SUM(AB$95:AB$105)+SUM(AD$95:AD$105)+SUM(AF$95:AF$105)+SUM(AH$95:AH$105)</f>
        <v>288</v>
      </c>
      <c r="H115" s="105">
        <f>SUM(AJ$95:AJ$105)+SUM(AL$95:AL$105)+SUM(AN$95:AN$105)+SUM(AP$95:AP$105)</f>
        <v>295</v>
      </c>
      <c r="I115" s="105">
        <f>SUM(AR$95:AR$105)+SUM(AT$95:AT$105)+SUM(AV$95:AV$105)+SUM(AX$95:AX$105)</f>
        <v>460</v>
      </c>
      <c r="J115" s="105">
        <f>SUM(AZ$95:AZ$105)+SUM(BB$95:BB$105)+SUM(BD$95:BD$105)+SUM(BF$95:BF$105)</f>
        <v>548</v>
      </c>
      <c r="K115" s="105">
        <f>SUM(BH$95:BH$105)+SUM(BJ$95:BJ$105)+SUM(BL$95:BL$105)+SUM(BN$95:BN$105)</f>
        <v>678.32900194659612</v>
      </c>
      <c r="L115" s="105">
        <f>SUM(BP$95:BP$105)+SUM(BR$95:BR$105)+SUM(BT$95:BT$105)+SUM(BV$95:BV$105)</f>
        <v>583.63036917155398</v>
      </c>
      <c r="M115" s="105">
        <f>SUM(BX$95:BX$105)+SUM(BZ$95:BZ$105)+SUM(CB$95:CB$105)+SUM(CD$95:CD$105)</f>
        <v>295.6613743115177</v>
      </c>
      <c r="N115" s="105">
        <f>SUM(CF$95:CF$105)+SUM(CH$95:CH$105)+SUM(CJ$95:CJ$105)+SUM(CL$95:CL$105)</f>
        <v>598.31645917280048</v>
      </c>
      <c r="O115" s="105">
        <f>SUM(CN$95:CN$105)+SUM(CP$95:CP$105)+SUM(CR$95:CR$105)+SUM(CT$95:CT$105)</f>
        <v>335.88030389053438</v>
      </c>
    </row>
    <row r="116" spans="2:15" x14ac:dyDescent="0.25">
      <c r="C116" s="104" t="s">
        <v>277</v>
      </c>
      <c r="D116" s="105">
        <f t="shared" ref="D116:O116" si="0">SUM(D$109:D$115)</f>
        <v>725</v>
      </c>
      <c r="E116" s="105">
        <f t="shared" si="0"/>
        <v>1660</v>
      </c>
      <c r="F116" s="105">
        <f t="shared" si="0"/>
        <v>1891</v>
      </c>
      <c r="G116" s="105">
        <f t="shared" si="0"/>
        <v>2366</v>
      </c>
      <c r="H116" s="105">
        <f t="shared" si="0"/>
        <v>2760</v>
      </c>
      <c r="I116" s="105">
        <f t="shared" si="0"/>
        <v>3782</v>
      </c>
      <c r="J116" s="105">
        <f t="shared" si="0"/>
        <v>4376</v>
      </c>
      <c r="K116" s="105">
        <f t="shared" si="0"/>
        <v>5580.0444591930691</v>
      </c>
      <c r="L116" s="105">
        <f t="shared" si="0"/>
        <v>5829.0105446921189</v>
      </c>
      <c r="M116" s="105">
        <f t="shared" si="0"/>
        <v>4629.7631170731711</v>
      </c>
      <c r="N116" s="105">
        <f t="shared" si="0"/>
        <v>5134.1008292682945</v>
      </c>
      <c r="O116" s="105">
        <f t="shared" si="0"/>
        <v>3694.4331707317078</v>
      </c>
    </row>
    <row r="118" spans="2:15" x14ac:dyDescent="0.25">
      <c r="B118" s="108" t="s">
        <v>278</v>
      </c>
    </row>
    <row r="119" spans="2:15" x14ac:dyDescent="0.25">
      <c r="C119" s="104" t="s">
        <v>276</v>
      </c>
      <c r="D119" s="104" t="s">
        <v>92</v>
      </c>
      <c r="E119" s="104" t="s">
        <v>93</v>
      </c>
      <c r="F119" s="104" t="s">
        <v>94</v>
      </c>
      <c r="G119" s="104" t="s">
        <v>95</v>
      </c>
      <c r="H119" s="104" t="s">
        <v>96</v>
      </c>
      <c r="I119" s="104" t="s">
        <v>97</v>
      </c>
      <c r="J119" s="104" t="s">
        <v>98</v>
      </c>
      <c r="K119" s="104" t="s">
        <v>99</v>
      </c>
      <c r="L119" s="104" t="s">
        <v>100</v>
      </c>
      <c r="M119" s="104" t="s">
        <v>101</v>
      </c>
      <c r="N119" s="104" t="s">
        <v>102</v>
      </c>
      <c r="O119" s="104" t="s">
        <v>103</v>
      </c>
    </row>
    <row r="120" spans="2:15" x14ac:dyDescent="0.25">
      <c r="C120" s="104" t="s">
        <v>126</v>
      </c>
      <c r="D120" s="105">
        <f>D109*pricing!D33*2000</f>
        <v>896000</v>
      </c>
      <c r="E120" s="105">
        <f>E109*pricing!E33*2000</f>
        <v>1766727.2727272727</v>
      </c>
      <c r="F120" s="105">
        <f>F109*pricing!F33*2000</f>
        <v>2128000.0000000005</v>
      </c>
      <c r="G120" s="105">
        <f>G109*pricing!G33*2000</f>
        <v>2303636.3636363638</v>
      </c>
      <c r="H120" s="105">
        <f>H109*pricing!H33*2000</f>
        <v>2490181.8181818188</v>
      </c>
      <c r="I120" s="105">
        <f>I109*pricing!I33*2000</f>
        <v>2789272.7272727285</v>
      </c>
      <c r="J120" s="105">
        <f>J109*pricing!J33*2000</f>
        <v>3011272.7272727294</v>
      </c>
      <c r="K120" s="105">
        <f>K109*pricing!K33*2000</f>
        <v>4223636.363636367</v>
      </c>
      <c r="L120" s="105">
        <f>L109*pricing!L33*2000</f>
        <v>3500933.6136215543</v>
      </c>
      <c r="M120" s="105">
        <f>M109*pricing!M33*2000</f>
        <v>2520086.7310817791</v>
      </c>
      <c r="N120" s="105">
        <f>N109*pricing!N33*2000</f>
        <v>2289236.2958437861</v>
      </c>
      <c r="O120" s="105">
        <f>O109*pricing!O33*2000</f>
        <v>1237351.9063730189</v>
      </c>
    </row>
    <row r="121" spans="2:15" x14ac:dyDescent="0.25">
      <c r="C121" s="104" t="s">
        <v>127</v>
      </c>
      <c r="D121" s="105">
        <f>D110*pricing!D34*2000</f>
        <v>768000</v>
      </c>
      <c r="E121" s="105">
        <f>E110*pricing!E34*2000</f>
        <v>1759272.7272727275</v>
      </c>
      <c r="F121" s="105">
        <f>F110*pricing!F34*2000</f>
        <v>1934545.4545454548</v>
      </c>
      <c r="G121" s="105">
        <f>G110*pricing!G34*2000</f>
        <v>2329090.9090909096</v>
      </c>
      <c r="H121" s="105">
        <f>H110*pricing!H34*2000</f>
        <v>2280727.2727272734</v>
      </c>
      <c r="I121" s="105">
        <f>I110*pricing!I34*2000</f>
        <v>2794545.454545456</v>
      </c>
      <c r="J121" s="105">
        <f>J110*pricing!J34*2000</f>
        <v>2874181.8181818197</v>
      </c>
      <c r="K121" s="105">
        <f>K110*pricing!K34*2000</f>
        <v>3395636.3636363661</v>
      </c>
      <c r="L121" s="105">
        <f>L110*pricing!L34*2000</f>
        <v>3061378.4237164198</v>
      </c>
      <c r="M121" s="105">
        <f>M110*pricing!M34*2000</f>
        <v>2437858.2877374794</v>
      </c>
      <c r="N121" s="105">
        <f>N110*pricing!N34*2000</f>
        <v>2060434.5630772151</v>
      </c>
      <c r="O121" s="105">
        <f>O110*pricing!O34*2000</f>
        <v>1264136.9925377488</v>
      </c>
    </row>
    <row r="122" spans="2:15" x14ac:dyDescent="0.25">
      <c r="C122" s="104" t="s">
        <v>128</v>
      </c>
      <c r="D122" s="105">
        <f>D111*pricing!D35*2000</f>
        <v>1104000</v>
      </c>
      <c r="E122" s="105">
        <f>E111*pricing!E35*2000</f>
        <v>2027636.3636363638</v>
      </c>
      <c r="F122" s="105">
        <f>F111*pricing!F35*2000</f>
        <v>2273090.9090909096</v>
      </c>
      <c r="G122" s="105">
        <f>G111*pricing!G35*2000</f>
        <v>2297272.727272728</v>
      </c>
      <c r="H122" s="105">
        <f>H111*pricing!H35*2000</f>
        <v>2658909.0909090918</v>
      </c>
      <c r="I122" s="105">
        <f>I111*pricing!I35*2000</f>
        <v>3026545.454545456</v>
      </c>
      <c r="J122" s="105">
        <f>J111*pricing!J35*2000</f>
        <v>3469818.181818184</v>
      </c>
      <c r="K122" s="105">
        <f>K111*pricing!K35*2000</f>
        <v>3918363.6363636395</v>
      </c>
      <c r="L122" s="105">
        <f>L111*pricing!L35*2000</f>
        <v>3638644.0862110178</v>
      </c>
      <c r="M122" s="105">
        <f>M111*pricing!M35*2000</f>
        <v>2847538.7092651525</v>
      </c>
      <c r="N122" s="105">
        <f>N111*pricing!N35*2000</f>
        <v>1610978.4352594956</v>
      </c>
      <c r="O122" s="105">
        <f>O111*pricing!O35*2000</f>
        <v>1158242.7978882669</v>
      </c>
    </row>
    <row r="123" spans="2:15" x14ac:dyDescent="0.25">
      <c r="C123" s="104" t="s">
        <v>129</v>
      </c>
      <c r="D123" s="105">
        <f>D112*pricing!D36*2000</f>
        <v>984000</v>
      </c>
      <c r="E123" s="105">
        <f>E112*pricing!E36*2000</f>
        <v>2959454.5454545454</v>
      </c>
      <c r="F123" s="105">
        <f>F112*pricing!F36*2000</f>
        <v>2639272.7272727275</v>
      </c>
      <c r="G123" s="105">
        <f>G112*pricing!G36*2000</f>
        <v>3213636.3636363642</v>
      </c>
      <c r="H123" s="105">
        <f>H112*pricing!H36*2000</f>
        <v>3421090.9090909106</v>
      </c>
      <c r="I123" s="105">
        <f>I112*pricing!I36*2000</f>
        <v>4481818.1818181835</v>
      </c>
      <c r="J123" s="105">
        <f>J112*pricing!J36*2000</f>
        <v>4476727.2727272753</v>
      </c>
      <c r="K123" s="105">
        <f>K112*pricing!K36*2000</f>
        <v>5236296.6188178649</v>
      </c>
      <c r="L123" s="105">
        <f>L112*pricing!L36*2000</f>
        <v>4685268.7185222683</v>
      </c>
      <c r="M123" s="105">
        <f>M112*pricing!M36*2000</f>
        <v>3277758.0667960583</v>
      </c>
      <c r="N123" s="105">
        <f>N112*pricing!N36*2000</f>
        <v>2939580.8720630528</v>
      </c>
      <c r="O123" s="105">
        <f>O112*pricing!O36*2000</f>
        <v>1635330.8773570298</v>
      </c>
    </row>
    <row r="124" spans="2:15" x14ac:dyDescent="0.25">
      <c r="C124" s="104" t="s">
        <v>130</v>
      </c>
      <c r="D124" s="105">
        <f>D113*pricing!D37*2000</f>
        <v>824000</v>
      </c>
      <c r="E124" s="105">
        <f>E113*pricing!E37*2000</f>
        <v>1550545.4545454548</v>
      </c>
      <c r="F124" s="105">
        <f>F113*pricing!F37*2000</f>
        <v>1851636.363636364</v>
      </c>
      <c r="G124" s="105">
        <f>G113*pricing!G37*2000</f>
        <v>2278181.8181818188</v>
      </c>
      <c r="H124" s="105">
        <f>H113*pricing!H37*2000</f>
        <v>2158545.4545454555</v>
      </c>
      <c r="I124" s="105">
        <f>I113*pricing!I37*2000</f>
        <v>3047636.3636363647</v>
      </c>
      <c r="J124" s="105">
        <f>J113*pricing!J37*2000</f>
        <v>2869454.5454545473</v>
      </c>
      <c r="K124" s="105">
        <f>K113*pricing!K37*2000</f>
        <v>2396712.243187041</v>
      </c>
      <c r="L124" s="105">
        <f>L113*pricing!L37*2000</f>
        <v>2944155.6565524749</v>
      </c>
      <c r="M124" s="105">
        <f>M113*pricing!M37*2000</f>
        <v>1588275.2146668318</v>
      </c>
      <c r="N124" s="105">
        <f>N113*pricing!N37*2000</f>
        <v>1744682.7018337646</v>
      </c>
      <c r="O124" s="105">
        <f>O113*pricing!O37*2000</f>
        <v>958184.32432410389</v>
      </c>
    </row>
    <row r="125" spans="2:15" x14ac:dyDescent="0.25">
      <c r="C125" s="104" t="s">
        <v>131</v>
      </c>
      <c r="D125" s="105">
        <f>D114*pricing!D38*2000</f>
        <v>408000</v>
      </c>
      <c r="E125" s="105">
        <f>E114*pricing!E38*2000</f>
        <v>857272.72727272741</v>
      </c>
      <c r="F125" s="105">
        <f>F114*pricing!F38*2000</f>
        <v>863636.36363636376</v>
      </c>
      <c r="G125" s="105">
        <f>G114*pricing!G38*2000</f>
        <v>801818.181818182</v>
      </c>
      <c r="H125" s="105">
        <f>H114*pricing!H38*2000</f>
        <v>1332363.6363636367</v>
      </c>
      <c r="I125" s="105">
        <f>I114*pricing!I38*2000</f>
        <v>1376181.8181818188</v>
      </c>
      <c r="J125" s="105">
        <f>J114*pricing!J38*2000</f>
        <v>1394545.4545454555</v>
      </c>
      <c r="K125" s="105">
        <f>K114*pricing!K38*2000</f>
        <v>1327437.5955712637</v>
      </c>
      <c r="L125" s="105">
        <f>L114*pricing!L38*2000</f>
        <v>1243729.2305419736</v>
      </c>
      <c r="M125" s="105">
        <f>M114*pricing!M38*2000</f>
        <v>724797.46807964554</v>
      </c>
      <c r="N125" s="105">
        <f>N114*pricing!N38*2000</f>
        <v>900720.07398395846</v>
      </c>
      <c r="O125" s="105">
        <f>O114*pricing!O38*2000</f>
        <v>463858.83520219167</v>
      </c>
    </row>
    <row r="126" spans="2:15" x14ac:dyDescent="0.25">
      <c r="C126" s="104" t="s">
        <v>132</v>
      </c>
      <c r="D126" s="105">
        <f>D115*pricing!D39*2000</f>
        <v>816000</v>
      </c>
      <c r="E126" s="105">
        <f>E115*pricing!E39*2000</f>
        <v>1453636.3636363638</v>
      </c>
      <c r="F126" s="105">
        <f>F115*pricing!F39*2000</f>
        <v>1374909.0909090911</v>
      </c>
      <c r="G126" s="105">
        <f>G115*pricing!G39*2000</f>
        <v>1832727.2727272732</v>
      </c>
      <c r="H126" s="105">
        <f>H115*pricing!H39*2000</f>
        <v>1716363.6363636369</v>
      </c>
      <c r="I126" s="105">
        <f>I115*pricing!I39*2000</f>
        <v>2425454.5454545463</v>
      </c>
      <c r="J126" s="105">
        <f>J115*pricing!J39*2000</f>
        <v>2590545.4545454565</v>
      </c>
      <c r="K126" s="105">
        <f>K115*pricing!K39*2000</f>
        <v>2836648.5535948589</v>
      </c>
      <c r="L126" s="105">
        <f>L115*pricing!L39*2000</f>
        <v>2122292.2515329258</v>
      </c>
      <c r="M126" s="105">
        <f>M115*pricing!M39*2000</f>
        <v>913862.4296901467</v>
      </c>
      <c r="N126" s="105">
        <f>N115*pricing!N39*2000</f>
        <v>1522987.3506216761</v>
      </c>
      <c r="O126" s="105">
        <f>O115*pricing!O39*2000</f>
        <v>671760.60778106994</v>
      </c>
    </row>
    <row r="127" spans="2:15" x14ac:dyDescent="0.25">
      <c r="C127" s="104" t="s">
        <v>277</v>
      </c>
      <c r="D127" s="105">
        <f>SUM(D$120:D$126)</f>
        <v>5800000</v>
      </c>
      <c r="E127" s="105">
        <f t="shared" ref="E127:O127" si="1">SUM(E$120:E$126)</f>
        <v>12374545.454545453</v>
      </c>
      <c r="F127" s="105">
        <f t="shared" si="1"/>
        <v>13065090.909090912</v>
      </c>
      <c r="G127" s="105">
        <f t="shared" si="1"/>
        <v>15056363.63636364</v>
      </c>
      <c r="H127" s="105">
        <f t="shared" si="1"/>
        <v>16058181.818181822</v>
      </c>
      <c r="I127" s="105">
        <f t="shared" si="1"/>
        <v>19941454.545454554</v>
      </c>
      <c r="J127" s="105">
        <f t="shared" si="1"/>
        <v>20686545.454545468</v>
      </c>
      <c r="K127" s="105">
        <f t="shared" si="1"/>
        <v>23334731.374807399</v>
      </c>
      <c r="L127" s="105">
        <f t="shared" si="1"/>
        <v>21196401.980698638</v>
      </c>
      <c r="M127" s="105">
        <f t="shared" si="1"/>
        <v>14310176.907317095</v>
      </c>
      <c r="N127" s="105">
        <f t="shared" si="1"/>
        <v>13068620.292682948</v>
      </c>
      <c r="O127" s="105">
        <f t="shared" si="1"/>
        <v>7388866.3414634308</v>
      </c>
    </row>
    <row r="129" spans="2:15" x14ac:dyDescent="0.25">
      <c r="B129" s="108" t="s">
        <v>279</v>
      </c>
    </row>
    <row r="130" spans="2:15" x14ac:dyDescent="0.25">
      <c r="C130" s="110" t="s">
        <v>276</v>
      </c>
      <c r="D130" s="110" t="s">
        <v>92</v>
      </c>
      <c r="E130" s="110" t="s">
        <v>93</v>
      </c>
      <c r="F130" s="110" t="s">
        <v>94</v>
      </c>
      <c r="G130" s="110" t="s">
        <v>95</v>
      </c>
      <c r="H130" s="110" t="s">
        <v>96</v>
      </c>
      <c r="I130" s="110" t="s">
        <v>97</v>
      </c>
      <c r="J130" s="110" t="s">
        <v>98</v>
      </c>
      <c r="K130" s="110" t="s">
        <v>99</v>
      </c>
      <c r="L130" s="110" t="s">
        <v>100</v>
      </c>
      <c r="M130" s="110" t="s">
        <v>101</v>
      </c>
      <c r="N130" s="110" t="s">
        <v>102</v>
      </c>
      <c r="O130" s="110" t="s">
        <v>103</v>
      </c>
    </row>
    <row r="131" spans="2:15" x14ac:dyDescent="0.25">
      <c r="C131" s="110" t="s">
        <v>126</v>
      </c>
      <c r="D131" s="111">
        <f>SUM(E$6:E$19)+SUM(G$6:G$19)+SUM(I$6:I$19)+SUM(K$6:K$19)</f>
        <v>56812.799999999996</v>
      </c>
      <c r="E131" s="111">
        <f>SUM(M$6:M$19)+SUM(O$6:O$19)+SUM(Q$6:Q$19)+SUM(S$6:S$19)</f>
        <v>120525.6</v>
      </c>
      <c r="F131" s="111">
        <f>SUM(U$6:U$19)+SUM(W$6:W$19)+SUM(Y$6:Y$19)+SUM(AA$6:AA$19)</f>
        <v>155323.20000000001</v>
      </c>
      <c r="G131" s="111">
        <f>SUM(AC$6:AC$19)+SUM(AE$6:AE$19)+SUM(AG$6:AG$19)+SUM(AI$6:AI$19)</f>
        <v>183760.8</v>
      </c>
      <c r="H131" s="111">
        <f>SUM(AK$6:AK$19)+SUM(AM$6:AM$19)+SUM(AO$6:AO$19)+SUM(AQ$6:AQ$19)</f>
        <v>215574</v>
      </c>
      <c r="I131" s="111">
        <f>SUM(AS$6:AS$19)+SUM(AU$6:AU$19)+SUM(AW$6:AW$19)+SUM(AY$6:AY$19)</f>
        <v>266266.8</v>
      </c>
      <c r="J131" s="111">
        <f>SUM(BA$6:BA$19)+SUM(BC$6:BC$19)+SUM(BE$6:BE$19)+SUM(BG$6:BG$19)</f>
        <v>320847.59999999998</v>
      </c>
      <c r="K131" s="111">
        <f>SUM(BI$6:BI$19)+SUM(BK$6:BK$19)+SUM(BM$6:BM$19)+SUM(BO$6:BO$19)</f>
        <v>506332.79999999993</v>
      </c>
      <c r="L131" s="111">
        <f>SUM(BQ$6:BQ$19)+SUM(BS$6:BS$19)+SUM(BU$6:BU$19)+SUM(BW$6:BW$19)</f>
        <v>482739.26399302471</v>
      </c>
      <c r="M131" s="111">
        <f>SUM(BY$6:BY$19)+SUM(CA$6:CA$19)+SUM(CC$6:CC$19)+SUM(CE$6:CE$19)</f>
        <v>409210.96867572365</v>
      </c>
      <c r="N131" s="111">
        <f>SUM(CG$6:CG$19)+SUM(CI$6:CI$19)+SUM(CK$6:CK$19)+SUM(CM$6:CM$19)</f>
        <v>453073.66363235709</v>
      </c>
      <c r="O131" s="111">
        <f>SUM(CO$6:CO$19)+SUM(CQ$6:CQ$19)+SUM(CS$6:CS$19)+SUM(CU$6:CU$19)</f>
        <v>309269.07810338296</v>
      </c>
    </row>
    <row r="132" spans="2:15" x14ac:dyDescent="0.25">
      <c r="C132" s="110" t="s">
        <v>127</v>
      </c>
      <c r="D132" s="111">
        <f>SUM(E$20:E$36)+SUM(G$20:G$36)+SUM(I$20:I$36)+SUM(K$20:K$36)</f>
        <v>40954.799999999996</v>
      </c>
      <c r="E132" s="111">
        <f>SUM(M$20:M$36)+SUM(O$20:O$36)+SUM(Q$20:Q$36)+SUM(S$20:S$36)</f>
        <v>101096.4</v>
      </c>
      <c r="F132" s="111">
        <f>SUM(U$20:U$36)+SUM(W$20:W$36)+SUM(Y$20:Y$36)+SUM(AA$20:AA$36)</f>
        <v>120309.6</v>
      </c>
      <c r="G132" s="111">
        <f>SUM(AC$20:AC$36)+SUM(AE$20:AE$36)+SUM(AG$20:AG$36)+SUM(AI$20:AI$36)</f>
        <v>155008.79999999999</v>
      </c>
      <c r="H132" s="111">
        <f>SUM(AK$20:AK$36)+SUM(AM$20:AM$36)+SUM(AO$20:AO$36)+SUM(AQ$20:AQ$36)</f>
        <v>167149.20000000001</v>
      </c>
      <c r="I132" s="111">
        <f>SUM(AS$20:AS$36)+SUM(AU$20:AU$36)+SUM(AW$20:AW$36)+SUM(AY$20:AY$36)</f>
        <v>226794</v>
      </c>
      <c r="J132" s="111">
        <f>SUM(BA$20:BA$36)+SUM(BC$20:BC$36)+SUM(BE$20:BE$36)+SUM(BG$20:BG$36)</f>
        <v>259476</v>
      </c>
      <c r="K132" s="111">
        <f>SUM(BI$20:BI$36)+SUM(BK$20:BK$36)+SUM(BM$20:BM$36)+SUM(BO$20:BO$36)</f>
        <v>344653.2</v>
      </c>
      <c r="L132" s="111">
        <f>SUM(BQ$20:BQ$36)+SUM(BS$20:BS$36)+SUM(BU$20:BU$36)+SUM(BW$20:BW$36)</f>
        <v>359419.95651358244</v>
      </c>
      <c r="M132" s="111">
        <f>SUM(BY$20:BY$36)+SUM(CA$20:CA$36)+SUM(CC$20:CC$36)+SUM(CE$20:CE$36)</f>
        <v>334396.68094428291</v>
      </c>
      <c r="N132" s="111">
        <f>SUM(CG$20:CG$36)+SUM(CI$20:CI$36)+SUM(CK$20:CK$36)+SUM(CM$20:CM$36)</f>
        <v>344851.30564595468</v>
      </c>
      <c r="O132" s="111">
        <f>SUM(CO$20:CO$36)+SUM(CQ$20:CQ$36)+SUM(CS$20:CS$36)+SUM(CU$20:CU$36)</f>
        <v>268207.38514755212</v>
      </c>
    </row>
    <row r="133" spans="2:15" x14ac:dyDescent="0.25">
      <c r="C133" s="110" t="s">
        <v>128</v>
      </c>
      <c r="D133" s="111">
        <f>SUM(E$37:E$48)+SUM(G$37:G$48)+SUM(I$37:I$48)+SUM(K$37:K$48)</f>
        <v>145141.19999999998</v>
      </c>
      <c r="E133" s="111">
        <f>SUM(M$37:M$48)+SUM(O$37:O$48)+SUM(Q$37:Q$48)+SUM(S$37:S$48)</f>
        <v>286573.19999999995</v>
      </c>
      <c r="F133" s="111">
        <f>SUM(U$37:U$48)+SUM(W$37:W$48)+SUM(Y$37:Y$48)+SUM(AA$37:AA$48)</f>
        <v>343644</v>
      </c>
      <c r="G133" s="111">
        <f>SUM(AC$37:AC$48)+SUM(AE$37:AE$48)+SUM(AG$37:AG$48)+SUM(AI$37:AI$48)</f>
        <v>377522.39999999997</v>
      </c>
      <c r="H133" s="111">
        <f>SUM(AK$37:AK$48)+SUM(AM$37:AM$48)+SUM(AO$37:AO$48)+SUM(AQ$37:AQ$48)</f>
        <v>479854.8</v>
      </c>
      <c r="I133" s="111">
        <f>SUM(AS$37:AS$48)+SUM(AU$37:AU$48)+SUM(AW$37:AW$48)+SUM(AY$37:AY$48)</f>
        <v>604387.19999999995</v>
      </c>
      <c r="J133" s="111">
        <f>SUM(BA$37:BA$48)+SUM(BC$37:BC$48)+SUM(BE$37:BE$48)+SUM(BG$37:BG$48)</f>
        <v>771361.2</v>
      </c>
      <c r="K133" s="111">
        <f>SUM(BI$37:BI$48)+SUM(BK$37:BK$48)+SUM(BM$37:BM$48)+SUM(BO$37:BO$48)</f>
        <v>985686</v>
      </c>
      <c r="L133" s="111">
        <f>SUM(BQ$37:BQ$48)+SUM(BS$37:BS$48)+SUM(BU$37:BU$48)+SUM(BW$37:BW$48)</f>
        <v>1049149.8559042921</v>
      </c>
      <c r="M133" s="111">
        <f>SUM(BY$37:BY$48)+SUM(CA$37:CA$48)+SUM(CC$37:CC$48)+SUM(CE$37:CE$48)</f>
        <v>964209.75825209217</v>
      </c>
      <c r="N133" s="111">
        <f>SUM(CG$37:CG$48)+SUM(CI$37:CI$48)+SUM(CK$37:CK$48)+SUM(CM$37:CM$48)</f>
        <v>661132.32792510884</v>
      </c>
      <c r="O133" s="111">
        <f>SUM(CO$37:CO$48)+SUM(CQ$37:CQ$48)+SUM(CS$37:CS$48)+SUM(CU$37:CU$48)</f>
        <v>602495.32662810432</v>
      </c>
    </row>
    <row r="134" spans="2:15" x14ac:dyDescent="0.25">
      <c r="C134" s="110" t="s">
        <v>129</v>
      </c>
      <c r="D134" s="111">
        <f>SUM(E$49:E$70)+SUM(G$49:G$70)+SUM(I$49:I$70)+SUM(K$49:K$70)</f>
        <v>104683.2</v>
      </c>
      <c r="E134" s="111">
        <f>SUM(M$49:M$70)+SUM(O$49:O$70)+SUM(Q$49:Q$70)+SUM(S$49:S$70)</f>
        <v>335599.2</v>
      </c>
      <c r="F134" s="111">
        <f>SUM(U$49:U$70)+SUM(W$49:W$70)+SUM(Y$49:Y$70)+SUM(AA$49:AA$70)</f>
        <v>324172.80000000005</v>
      </c>
      <c r="G134" s="111">
        <f>SUM(AC$49:AC$70)+SUM(AE$49:AE$70)+SUM(AG$49:AG$70)+SUM(AI$49:AI$70)</f>
        <v>426571.19999999995</v>
      </c>
      <c r="H134" s="111">
        <f>SUM(AK$49:AK$70)+SUM(AM$49:AM$70)+SUM(AO$49:AO$70)+SUM(AQ$49:AQ$70)</f>
        <v>500416.79999999993</v>
      </c>
      <c r="I134" s="111">
        <f>SUM(AS$49:AS$70)+SUM(AU$49:AU$70)+SUM(AW$49:AW$70)+SUM(AY$49:AY$70)</f>
        <v>719599.20000000007</v>
      </c>
      <c r="J134" s="111">
        <f>SUM(BA$49:BA$70)+SUM(BC$49:BC$70)+SUM(BE$49:BE$70)+SUM(BG$49:BG$70)</f>
        <v>798981.6</v>
      </c>
      <c r="K134" s="111">
        <f>SUM(BI$49:BI$70)+SUM(BK$49:BK$70)+SUM(BM$49:BM$70)+SUM(BO$49:BO$70)</f>
        <v>1045189.7480010341</v>
      </c>
      <c r="L134" s="111">
        <f>SUM(BQ$49:BQ$70)+SUM(BS$49:BS$70)+SUM(BU$49:BU$70)+SUM(BW$49:BW$70)</f>
        <v>1078346.8408618304</v>
      </c>
      <c r="M134" s="111">
        <f>SUM(BY$49:BY$70)+SUM(CA$49:CA$70)+SUM(CC$49:CC$70)+SUM(CE$49:CE$70)</f>
        <v>876835.4113847604</v>
      </c>
      <c r="N134" s="111">
        <f>SUM(CG$49:CG$70)+SUM(CI$49:CI$70)+SUM(CK$49:CK$70)+SUM(CM$49:CM$70)</f>
        <v>970049.05338980444</v>
      </c>
      <c r="O134" s="111">
        <f>SUM(CO$49:CO$70)+SUM(CQ$49:CQ$70)+SUM(CS$49:CS$70)+SUM(CU$49:CU$70)</f>
        <v>670421.27675145702</v>
      </c>
    </row>
    <row r="135" spans="2:15" x14ac:dyDescent="0.25">
      <c r="C135" s="110" t="s">
        <v>130</v>
      </c>
      <c r="D135" s="111">
        <f>SUM(E$71:E$86)+SUM(G$71:G$86)+SUM(I$71:I$86)+SUM(K$71:K$86)</f>
        <v>57298.8</v>
      </c>
      <c r="E135" s="111">
        <f>SUM(M$71:M$86)+SUM(O$71:O$86)+SUM(Q$71:Q$86)+SUM(S$71:S$86)</f>
        <v>115342.79999999999</v>
      </c>
      <c r="F135" s="111">
        <f>SUM(U$71:U$86)+SUM(W$71:W$86)+SUM(Y$71:Y$86)+SUM(AA$71:AA$86)</f>
        <v>150018</v>
      </c>
      <c r="G135" s="111">
        <f>SUM(AC$71:AC$86)+SUM(AE$71:AE$86)+SUM(AG$71:AG$86)+SUM(AI$71:AI$86)</f>
        <v>200352</v>
      </c>
      <c r="H135" s="111">
        <f>SUM(AK$71:AK$86)+SUM(AM$71:AM$86)+SUM(AO$71:AO$86)+SUM(AQ$71:AQ$86)</f>
        <v>207584.40000000002</v>
      </c>
      <c r="I135" s="111">
        <f>SUM(AS$71:AS$86)+SUM(AU$71:AU$86)+SUM(AW$71:AW$86)+SUM(AY$71:AY$86)</f>
        <v>322726.80000000005</v>
      </c>
      <c r="J135" s="111">
        <f>SUM(BA$71:BA$86)+SUM(BC$71:BC$86)+SUM(BE$71:BE$86)+SUM(BG$71:BG$86)</f>
        <v>340062</v>
      </c>
      <c r="K135" s="111">
        <f>SUM(BI$71:BI$86)+SUM(BK$71:BK$86)+SUM(BM$71:BM$86)+SUM(BO$71:BO$86)</f>
        <v>316995.91311065695</v>
      </c>
      <c r="L135" s="111">
        <f>SUM(BQ$71:BQ$86)+SUM(BS$71:BS$86)+SUM(BU$71:BU$86)+SUM(BW$71:BW$86)</f>
        <v>450570.21216474217</v>
      </c>
      <c r="M135" s="111">
        <f>SUM(BY$71:BY$86)+SUM(CA$71:CA$86)+SUM(CC$71:CC$86)+SUM(CE$71:CE$86)</f>
        <v>284784.43636946712</v>
      </c>
      <c r="N135" s="111">
        <f>SUM(CG$71:CG$86)+SUM(CI$71:CI$86)+SUM(CK$71:CK$86)+SUM(CM$71:CM$86)</f>
        <v>380866.24948276184</v>
      </c>
      <c r="O135" s="111">
        <f>SUM(CO$71:CO$86)+SUM(CQ$71:CQ$86)+SUM(CS$71:CS$86)+SUM(CU$71:CU$86)</f>
        <v>263911.29306280683</v>
      </c>
    </row>
    <row r="136" spans="2:15" x14ac:dyDescent="0.25">
      <c r="C136" s="110" t="s">
        <v>131</v>
      </c>
      <c r="D136" s="111">
        <f>SUM(E$87:E$94)+SUM(G$87:G$94)+SUM(I$87:I$94)+SUM(K$87:K$94)</f>
        <v>104450.4</v>
      </c>
      <c r="E136" s="111">
        <f>SUM(M$87:M$94)+SUM(O$87:O$94)+SUM(Q$87:Q$94)+SUM(S$87:S$94)</f>
        <v>234676.8</v>
      </c>
      <c r="F136" s="111">
        <f>SUM(U$87:U$94)+SUM(W$87:W$94)+SUM(Y$87:Y$94)+SUM(AA$87:AA$94)</f>
        <v>253893.59999999995</v>
      </c>
      <c r="G136" s="111">
        <f>SUM(AC$87:AC$94)+SUM(AE$87:AE$94)+SUM(AG$87:AG$94)+SUM(AI$87:AI$94)</f>
        <v>255043.19999999995</v>
      </c>
      <c r="H136" s="111">
        <f>SUM(AK$87:AK$94)+SUM(AM$87:AM$94)+SUM(AO$87:AO$94)+SUM(AQ$87:AQ$94)</f>
        <v>465443.99999999994</v>
      </c>
      <c r="I136" s="111">
        <f>SUM(AS$87:AS$94)+SUM(AU$87:AU$94)+SUM(AW$87:AW$94)+SUM(AY$87:AY$94)</f>
        <v>530545.19999999995</v>
      </c>
      <c r="J136" s="111">
        <f>SUM(BA$87:BA$94)+SUM(BC$87:BC$94)+SUM(BE$87:BE$94)+SUM(BG$87:BG$94)</f>
        <v>598984.80000000005</v>
      </c>
      <c r="K136" s="111">
        <f>SUM(BI$87:BI$94)+SUM(BK$87:BK$94)+SUM(BM$87:BM$94)+SUM(BO$87:BO$94)</f>
        <v>643376.26402270619</v>
      </c>
      <c r="L136" s="111">
        <f>SUM(BQ$87:BQ$94)+SUM(BS$87:BS$94)+SUM(BU$87:BU$94)+SUM(BW$87:BW$94)</f>
        <v>693820.39496225142</v>
      </c>
      <c r="M136" s="111">
        <f>SUM(BY$87:BY$94)+SUM(CA$87:CA$94)+SUM(CC$87:CC$94)+SUM(CE$87:CE$94)</f>
        <v>476650.06825764512</v>
      </c>
      <c r="N136" s="111">
        <f>SUM(CG$87:CG$94)+SUM(CI$87:CI$94)+SUM(CK$87:CK$94)+SUM(CM$87:CM$94)</f>
        <v>715851.95471780433</v>
      </c>
      <c r="O136" s="111">
        <f>SUM(CO$87:CO$94)+SUM(CQ$87:CQ$94)+SUM(CS$87:CS$94)+SUM(CU$87:CU$94)</f>
        <v>467975.6314235871</v>
      </c>
    </row>
    <row r="137" spans="2:15" x14ac:dyDescent="0.25">
      <c r="C137" s="110" t="s">
        <v>132</v>
      </c>
      <c r="D137" s="111">
        <f>SUM(E$95:E$105)+SUM(G$95:G$105)+SUM(I$95:I$105)+SUM(K$95:K$105)</f>
        <v>194595.6</v>
      </c>
      <c r="E137" s="111">
        <f>SUM(M$95:M$105)+SUM(O$95:O$105)+SUM(Q$95:Q$105)+SUM(S$95:S$105)</f>
        <v>380879.99999999994</v>
      </c>
      <c r="F137" s="111">
        <f>SUM(U$95:U$105)+SUM(W$95:W$105)+SUM(Y$95:Y$105)+SUM(AA$95:AA$105)</f>
        <v>379725.6</v>
      </c>
      <c r="G137" s="111">
        <f>SUM(AC$95:AC$105)+SUM(AE$95:AE$105)+SUM(AG$95:AG$105)+SUM(AI$95:AI$105)</f>
        <v>551524.80000000005</v>
      </c>
      <c r="H137" s="111">
        <f>SUM(AK$95:AK$105)+SUM(AM$95:AM$105)+SUM(AO$95:AO$105)+SUM(AQ$95:AQ$105)</f>
        <v>557477.99999999988</v>
      </c>
      <c r="I137" s="111">
        <f>SUM(AS$95:AS$105)+SUM(AU$95:AU$105)+SUM(AW$95:AW$105)+SUM(AY$95:AY$105)</f>
        <v>878710.8</v>
      </c>
      <c r="J137" s="111">
        <f>SUM(BA$95:BA$105)+SUM(BC$95:BC$105)+SUM(BE$95:BE$105)+SUM(BG$95:BG$105)</f>
        <v>1038160.8</v>
      </c>
      <c r="K137" s="111">
        <f>SUM(BI$95:BI$105)+SUM(BK$95:BK$105)+SUM(BM$95:BM$105)+SUM(BO$95:BO$105)</f>
        <v>1275233.9879986707</v>
      </c>
      <c r="L137" s="111">
        <f>SUM(BQ$95:BQ$105)+SUM(BS$95:BS$105)+SUM(BU$95:BU$105)+SUM(BW$95:BW$105)</f>
        <v>1089954.6242380207</v>
      </c>
      <c r="M137" s="111">
        <f>SUM(BY$95:BY$105)+SUM(CA$95:CA$105)+SUM(CC$95:CC$105)+SUM(CE$95:CE$105)</f>
        <v>545480.94499969541</v>
      </c>
      <c r="N137" s="111">
        <f>SUM(CG$95:CG$105)+SUM(CI$95:CI$105)+SUM(CK$95:CK$105)+SUM(CM$95:CM$105)</f>
        <v>1092548.4711431628</v>
      </c>
      <c r="O137" s="111">
        <f>SUM(CO$95:CO$105)+SUM(CQ$95:CQ$105)+SUM(CS$95:CS$105)+SUM(CU$95:CU$105)</f>
        <v>606728.00806049129</v>
      </c>
    </row>
    <row r="138" spans="2:15" x14ac:dyDescent="0.25">
      <c r="C138" s="110" t="s">
        <v>277</v>
      </c>
      <c r="D138" s="105">
        <f t="shared" ref="D138:O138" si="2">SUM(D$131:D$137)</f>
        <v>703936.79999999993</v>
      </c>
      <c r="E138" s="105">
        <f t="shared" si="2"/>
        <v>1574694</v>
      </c>
      <c r="F138" s="105">
        <f t="shared" si="2"/>
        <v>1727086.7999999998</v>
      </c>
      <c r="G138" s="105">
        <f t="shared" si="2"/>
        <v>2149783.2000000002</v>
      </c>
      <c r="H138" s="105">
        <f t="shared" si="2"/>
        <v>2593501.1999999997</v>
      </c>
      <c r="I138" s="105">
        <f t="shared" si="2"/>
        <v>3549030</v>
      </c>
      <c r="J138" s="105">
        <f t="shared" si="2"/>
        <v>4127874</v>
      </c>
      <c r="K138" s="105">
        <f t="shared" si="2"/>
        <v>5117467.913133068</v>
      </c>
      <c r="L138" s="105">
        <f t="shared" si="2"/>
        <v>5204001.1486377437</v>
      </c>
      <c r="M138" s="105">
        <f t="shared" si="2"/>
        <v>3891568.2688836665</v>
      </c>
      <c r="N138" s="105">
        <f t="shared" si="2"/>
        <v>4618373.0259369537</v>
      </c>
      <c r="O138" s="105">
        <f t="shared" si="2"/>
        <v>3189007.9991773814</v>
      </c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/>
  </sheetViews>
  <sheetFormatPr defaultRowHeight="13.2" x14ac:dyDescent="0.25"/>
  <cols>
    <col min="1" max="2" width="8.88671875" style="105"/>
    <col min="3" max="3" width="14.5546875" style="105" bestFit="1" customWidth="1"/>
    <col min="4" max="4" width="16.88671875" style="105" bestFit="1" customWidth="1"/>
    <col min="5" max="5" width="22.88671875" style="105" bestFit="1" customWidth="1"/>
    <col min="6" max="16384" width="8.88671875" style="105"/>
  </cols>
  <sheetData>
    <row r="1" spans="1:5" x14ac:dyDescent="0.25">
      <c r="A1" s="104" t="s">
        <v>166</v>
      </c>
      <c r="B1" s="104" t="s">
        <v>167</v>
      </c>
      <c r="C1" s="104" t="s">
        <v>168</v>
      </c>
      <c r="D1" s="104" t="s">
        <v>169</v>
      </c>
      <c r="E1" s="104" t="s">
        <v>170</v>
      </c>
    </row>
    <row r="2" spans="1:5" x14ac:dyDescent="0.25">
      <c r="A2" s="104" t="s">
        <v>126</v>
      </c>
      <c r="B2" s="104" t="s">
        <v>171</v>
      </c>
      <c r="C2" s="105" t="s">
        <v>59</v>
      </c>
      <c r="D2" s="105">
        <v>482</v>
      </c>
      <c r="E2" s="105">
        <v>578.4</v>
      </c>
    </row>
    <row r="3" spans="1:5" x14ac:dyDescent="0.25">
      <c r="B3" s="104" t="s">
        <v>172</v>
      </c>
      <c r="C3" s="105" t="s">
        <v>59</v>
      </c>
      <c r="D3" s="105">
        <v>657</v>
      </c>
      <c r="E3" s="105">
        <v>788.4</v>
      </c>
    </row>
    <row r="4" spans="1:5" x14ac:dyDescent="0.25">
      <c r="B4" s="104" t="s">
        <v>173</v>
      </c>
      <c r="C4" s="105" t="s">
        <v>59</v>
      </c>
      <c r="D4" s="105">
        <v>258</v>
      </c>
      <c r="E4" s="105">
        <v>309.59999999999997</v>
      </c>
    </row>
    <row r="5" spans="1:5" x14ac:dyDescent="0.25">
      <c r="B5" s="104" t="s">
        <v>174</v>
      </c>
      <c r="C5" s="105" t="s">
        <v>59</v>
      </c>
      <c r="D5" s="105">
        <v>585</v>
      </c>
      <c r="E5" s="105">
        <v>702</v>
      </c>
    </row>
    <row r="6" spans="1:5" x14ac:dyDescent="0.25">
      <c r="B6" s="104" t="s">
        <v>175</v>
      </c>
      <c r="C6" s="105" t="s">
        <v>59</v>
      </c>
      <c r="D6" s="105">
        <v>454</v>
      </c>
      <c r="E6" s="105">
        <v>544.79999999999995</v>
      </c>
    </row>
    <row r="7" spans="1:5" x14ac:dyDescent="0.25">
      <c r="B7" s="104" t="s">
        <v>176</v>
      </c>
      <c r="C7" s="105" t="s">
        <v>59</v>
      </c>
      <c r="D7" s="105">
        <v>444</v>
      </c>
      <c r="E7" s="105">
        <v>532.79999999999995</v>
      </c>
    </row>
    <row r="8" spans="1:5" x14ac:dyDescent="0.25">
      <c r="B8" s="104" t="s">
        <v>177</v>
      </c>
      <c r="C8" s="105" t="s">
        <v>59</v>
      </c>
      <c r="D8" s="105">
        <v>469</v>
      </c>
      <c r="E8" s="105">
        <v>562.79999999999995</v>
      </c>
    </row>
    <row r="9" spans="1:5" x14ac:dyDescent="0.25">
      <c r="B9" s="104" t="s">
        <v>178</v>
      </c>
      <c r="C9" s="105" t="s">
        <v>59</v>
      </c>
      <c r="D9" s="105">
        <v>71</v>
      </c>
      <c r="E9" s="105">
        <v>85.2</v>
      </c>
    </row>
    <row r="10" spans="1:5" x14ac:dyDescent="0.25">
      <c r="B10" s="104" t="s">
        <v>179</v>
      </c>
      <c r="C10" s="105" t="s">
        <v>59</v>
      </c>
      <c r="D10" s="105">
        <v>407</v>
      </c>
      <c r="E10" s="105">
        <v>488.4</v>
      </c>
    </row>
    <row r="11" spans="1:5" x14ac:dyDescent="0.25">
      <c r="B11" s="104" t="s">
        <v>180</v>
      </c>
      <c r="C11" s="105" t="s">
        <v>59</v>
      </c>
      <c r="D11" s="105">
        <v>636</v>
      </c>
      <c r="E11" s="105">
        <v>763.19999999999993</v>
      </c>
    </row>
    <row r="12" spans="1:5" x14ac:dyDescent="0.25">
      <c r="B12" s="104" t="s">
        <v>181</v>
      </c>
      <c r="C12" s="105" t="s">
        <v>59</v>
      </c>
      <c r="D12" s="105">
        <v>284</v>
      </c>
      <c r="E12" s="105">
        <v>340.8</v>
      </c>
    </row>
    <row r="13" spans="1:5" x14ac:dyDescent="0.25">
      <c r="B13" s="104" t="s">
        <v>182</v>
      </c>
      <c r="C13" s="105" t="s">
        <v>59</v>
      </c>
      <c r="D13" s="105">
        <v>352</v>
      </c>
      <c r="E13" s="105">
        <v>422.4</v>
      </c>
    </row>
    <row r="14" spans="1:5" x14ac:dyDescent="0.25">
      <c r="B14" s="104" t="s">
        <v>183</v>
      </c>
      <c r="C14" s="105" t="s">
        <v>59</v>
      </c>
      <c r="D14" s="105">
        <v>544</v>
      </c>
      <c r="E14" s="105">
        <v>652.79999999999995</v>
      </c>
    </row>
    <row r="15" spans="1:5" x14ac:dyDescent="0.25">
      <c r="B15" s="104" t="s">
        <v>184</v>
      </c>
      <c r="C15" s="105" t="s">
        <v>59</v>
      </c>
      <c r="D15" s="105">
        <v>275</v>
      </c>
      <c r="E15" s="105">
        <v>330</v>
      </c>
    </row>
    <row r="16" spans="1:5" x14ac:dyDescent="0.25">
      <c r="A16" s="104" t="s">
        <v>127</v>
      </c>
      <c r="B16" s="104" t="s">
        <v>185</v>
      </c>
      <c r="C16" s="105" t="s">
        <v>59</v>
      </c>
      <c r="D16" s="105">
        <v>239</v>
      </c>
      <c r="E16" s="105">
        <v>286.8</v>
      </c>
    </row>
    <row r="17" spans="2:5" x14ac:dyDescent="0.25">
      <c r="B17" s="104" t="s">
        <v>186</v>
      </c>
      <c r="C17" s="105" t="s">
        <v>59</v>
      </c>
      <c r="D17" s="105">
        <v>52</v>
      </c>
      <c r="E17" s="105">
        <v>62.4</v>
      </c>
    </row>
    <row r="18" spans="2:5" x14ac:dyDescent="0.25">
      <c r="B18" s="104" t="s">
        <v>187</v>
      </c>
      <c r="C18" s="105" t="s">
        <v>59</v>
      </c>
      <c r="D18" s="105">
        <v>156</v>
      </c>
      <c r="E18" s="105">
        <v>187.2</v>
      </c>
    </row>
    <row r="19" spans="2:5" x14ac:dyDescent="0.25">
      <c r="B19" s="104" t="s">
        <v>188</v>
      </c>
      <c r="C19" s="105" t="s">
        <v>59</v>
      </c>
      <c r="D19" s="105">
        <v>245</v>
      </c>
      <c r="E19" s="105">
        <v>294</v>
      </c>
    </row>
    <row r="20" spans="2:5" x14ac:dyDescent="0.25">
      <c r="B20" s="104" t="s">
        <v>189</v>
      </c>
      <c r="C20" s="105" t="s">
        <v>59</v>
      </c>
      <c r="D20" s="105">
        <v>306</v>
      </c>
      <c r="E20" s="105">
        <v>367.2</v>
      </c>
    </row>
    <row r="21" spans="2:5" x14ac:dyDescent="0.25">
      <c r="B21" s="104" t="s">
        <v>190</v>
      </c>
      <c r="C21" s="105" t="s">
        <v>59</v>
      </c>
      <c r="D21" s="105">
        <v>442</v>
      </c>
      <c r="E21" s="105">
        <v>530.4</v>
      </c>
    </row>
    <row r="22" spans="2:5" x14ac:dyDescent="0.25">
      <c r="B22" s="104" t="s">
        <v>191</v>
      </c>
      <c r="C22" s="105" t="s">
        <v>59</v>
      </c>
      <c r="D22" s="105">
        <v>405</v>
      </c>
      <c r="E22" s="105">
        <v>486</v>
      </c>
    </row>
    <row r="23" spans="2:5" x14ac:dyDescent="0.25">
      <c r="B23" s="104" t="s">
        <v>192</v>
      </c>
      <c r="C23" s="105" t="s">
        <v>59</v>
      </c>
      <c r="D23" s="105">
        <v>356</v>
      </c>
      <c r="E23" s="105">
        <v>427.2</v>
      </c>
    </row>
    <row r="24" spans="2:5" x14ac:dyDescent="0.25">
      <c r="B24" s="104" t="s">
        <v>193</v>
      </c>
      <c r="C24" s="105" t="s">
        <v>59</v>
      </c>
      <c r="D24" s="105">
        <v>615</v>
      </c>
      <c r="E24" s="105">
        <v>738</v>
      </c>
    </row>
    <row r="25" spans="2:5" x14ac:dyDescent="0.25">
      <c r="B25" s="104" t="s">
        <v>194</v>
      </c>
      <c r="C25" s="105" t="s">
        <v>59</v>
      </c>
      <c r="D25" s="105">
        <v>282</v>
      </c>
      <c r="E25" s="105">
        <v>338.4</v>
      </c>
    </row>
    <row r="26" spans="2:5" x14ac:dyDescent="0.25">
      <c r="B26" s="104" t="s">
        <v>195</v>
      </c>
      <c r="C26" s="105" t="s">
        <v>59</v>
      </c>
      <c r="D26" s="105">
        <v>116</v>
      </c>
      <c r="E26" s="105">
        <v>139.19999999999999</v>
      </c>
    </row>
    <row r="27" spans="2:5" x14ac:dyDescent="0.25">
      <c r="B27" s="104" t="s">
        <v>196</v>
      </c>
      <c r="C27" s="105" t="s">
        <v>59</v>
      </c>
      <c r="D27" s="105">
        <v>284</v>
      </c>
      <c r="E27" s="105">
        <v>340.8</v>
      </c>
    </row>
    <row r="28" spans="2:5" x14ac:dyDescent="0.25">
      <c r="B28" s="104" t="s">
        <v>197</v>
      </c>
      <c r="C28" s="105" t="s">
        <v>59</v>
      </c>
      <c r="D28" s="105">
        <v>700</v>
      </c>
      <c r="E28" s="105">
        <v>840</v>
      </c>
    </row>
    <row r="29" spans="2:5" x14ac:dyDescent="0.25">
      <c r="B29" s="104" t="s">
        <v>198</v>
      </c>
      <c r="C29" s="105" t="s">
        <v>59</v>
      </c>
      <c r="D29" s="105">
        <v>395</v>
      </c>
      <c r="E29" s="105">
        <v>474</v>
      </c>
    </row>
    <row r="30" spans="2:5" x14ac:dyDescent="0.25">
      <c r="B30" s="104" t="s">
        <v>199</v>
      </c>
      <c r="C30" s="105" t="s">
        <v>59</v>
      </c>
      <c r="D30" s="105">
        <v>457</v>
      </c>
      <c r="E30" s="105">
        <v>548.4</v>
      </c>
    </row>
    <row r="31" spans="2:5" x14ac:dyDescent="0.25">
      <c r="B31" s="104" t="s">
        <v>200</v>
      </c>
      <c r="C31" s="105" t="s">
        <v>59</v>
      </c>
      <c r="D31" s="105">
        <v>419</v>
      </c>
      <c r="E31" s="105">
        <v>502.7999999999999</v>
      </c>
    </row>
    <row r="32" spans="2:5" x14ac:dyDescent="0.25">
      <c r="B32" s="104" t="s">
        <v>201</v>
      </c>
      <c r="C32" s="105" t="s">
        <v>59</v>
      </c>
      <c r="D32" s="105">
        <v>634</v>
      </c>
      <c r="E32" s="105">
        <v>760.8</v>
      </c>
    </row>
    <row r="33" spans="1:5" x14ac:dyDescent="0.25">
      <c r="A33" s="104" t="s">
        <v>128</v>
      </c>
      <c r="B33" s="104" t="s">
        <v>202</v>
      </c>
      <c r="C33" s="105" t="s">
        <v>59</v>
      </c>
      <c r="D33" s="105">
        <v>717</v>
      </c>
      <c r="E33" s="105">
        <v>860.4</v>
      </c>
    </row>
    <row r="34" spans="1:5" x14ac:dyDescent="0.25">
      <c r="B34" s="104" t="s">
        <v>203</v>
      </c>
      <c r="C34" s="105" t="s">
        <v>59</v>
      </c>
      <c r="D34" s="105">
        <v>1035</v>
      </c>
      <c r="E34" s="105">
        <v>1242</v>
      </c>
    </row>
    <row r="35" spans="1:5" x14ac:dyDescent="0.25">
      <c r="B35" s="104" t="s">
        <v>204</v>
      </c>
      <c r="C35" s="105" t="s">
        <v>59</v>
      </c>
      <c r="D35" s="105">
        <v>1186</v>
      </c>
      <c r="E35" s="105">
        <v>1423.2</v>
      </c>
    </row>
    <row r="36" spans="1:5" x14ac:dyDescent="0.25">
      <c r="B36" s="104" t="s">
        <v>205</v>
      </c>
      <c r="C36" s="105" t="s">
        <v>59</v>
      </c>
      <c r="D36" s="105">
        <v>604</v>
      </c>
      <c r="E36" s="105">
        <v>724.8</v>
      </c>
    </row>
    <row r="37" spans="1:5" x14ac:dyDescent="0.25">
      <c r="B37" s="104" t="s">
        <v>206</v>
      </c>
      <c r="C37" s="105" t="s">
        <v>59</v>
      </c>
      <c r="D37" s="105">
        <v>550</v>
      </c>
      <c r="E37" s="105">
        <v>660</v>
      </c>
    </row>
    <row r="38" spans="1:5" x14ac:dyDescent="0.25">
      <c r="B38" s="104" t="s">
        <v>207</v>
      </c>
      <c r="C38" s="105" t="s">
        <v>59</v>
      </c>
      <c r="D38" s="105">
        <v>705</v>
      </c>
      <c r="E38" s="105">
        <v>846</v>
      </c>
    </row>
    <row r="39" spans="1:5" x14ac:dyDescent="0.25">
      <c r="B39" s="104" t="s">
        <v>208</v>
      </c>
      <c r="C39" s="105" t="s">
        <v>59</v>
      </c>
      <c r="D39" s="105">
        <v>852</v>
      </c>
      <c r="E39" s="105">
        <v>1022.4</v>
      </c>
    </row>
    <row r="40" spans="1:5" x14ac:dyDescent="0.25">
      <c r="B40" s="104" t="s">
        <v>209</v>
      </c>
      <c r="C40" s="105" t="s">
        <v>59</v>
      </c>
      <c r="D40" s="105">
        <v>852</v>
      </c>
      <c r="E40" s="105">
        <v>1022.4</v>
      </c>
    </row>
    <row r="41" spans="1:5" x14ac:dyDescent="0.25">
      <c r="B41" s="104" t="s">
        <v>210</v>
      </c>
      <c r="C41" s="105" t="s">
        <v>59</v>
      </c>
      <c r="D41" s="105">
        <v>1041</v>
      </c>
      <c r="E41" s="105">
        <v>1249.2</v>
      </c>
    </row>
    <row r="42" spans="1:5" x14ac:dyDescent="0.25">
      <c r="B42" s="104" t="s">
        <v>211</v>
      </c>
      <c r="C42" s="105" t="s">
        <v>59</v>
      </c>
      <c r="D42" s="105">
        <v>1010</v>
      </c>
      <c r="E42" s="105">
        <v>1212</v>
      </c>
    </row>
    <row r="43" spans="1:5" x14ac:dyDescent="0.25">
      <c r="B43" s="104" t="s">
        <v>212</v>
      </c>
      <c r="C43" s="105" t="s">
        <v>59</v>
      </c>
      <c r="D43" s="105">
        <v>1273</v>
      </c>
      <c r="E43" s="105">
        <v>1527.6</v>
      </c>
    </row>
    <row r="44" spans="1:5" x14ac:dyDescent="0.25">
      <c r="B44" s="104" t="s">
        <v>213</v>
      </c>
      <c r="C44" s="105" t="s">
        <v>59</v>
      </c>
      <c r="D44" s="105">
        <v>723</v>
      </c>
      <c r="E44" s="105">
        <v>867.6</v>
      </c>
    </row>
    <row r="45" spans="1:5" x14ac:dyDescent="0.25">
      <c r="A45" s="104" t="s">
        <v>129</v>
      </c>
      <c r="B45" s="104" t="s">
        <v>214</v>
      </c>
      <c r="C45" s="105" t="s">
        <v>22</v>
      </c>
      <c r="D45" s="105">
        <v>821</v>
      </c>
      <c r="E45" s="105">
        <v>985.19999999999993</v>
      </c>
    </row>
    <row r="46" spans="1:5" x14ac:dyDescent="0.25">
      <c r="B46" s="104" t="s">
        <v>215</v>
      </c>
      <c r="C46" s="105" t="s">
        <v>59</v>
      </c>
      <c r="D46" s="105">
        <v>235</v>
      </c>
      <c r="E46" s="105">
        <v>282</v>
      </c>
    </row>
    <row r="47" spans="1:5" x14ac:dyDescent="0.25">
      <c r="B47" s="104" t="s">
        <v>216</v>
      </c>
      <c r="C47" s="105" t="s">
        <v>59</v>
      </c>
      <c r="D47" s="105">
        <v>712</v>
      </c>
      <c r="E47" s="105">
        <v>854.4</v>
      </c>
    </row>
    <row r="48" spans="1:5" x14ac:dyDescent="0.25">
      <c r="B48" s="104" t="s">
        <v>217</v>
      </c>
      <c r="C48" s="105" t="s">
        <v>59</v>
      </c>
      <c r="D48" s="105">
        <v>450</v>
      </c>
      <c r="E48" s="105">
        <v>540</v>
      </c>
    </row>
    <row r="49" spans="2:5" x14ac:dyDescent="0.25">
      <c r="B49" s="104" t="s">
        <v>218</v>
      </c>
      <c r="C49" s="105" t="s">
        <v>59</v>
      </c>
      <c r="D49" s="105">
        <v>339</v>
      </c>
      <c r="E49" s="105">
        <v>406.8</v>
      </c>
    </row>
    <row r="50" spans="2:5" x14ac:dyDescent="0.25">
      <c r="B50" s="104" t="s">
        <v>219</v>
      </c>
      <c r="C50" s="105" t="s">
        <v>59</v>
      </c>
      <c r="D50" s="105">
        <v>279</v>
      </c>
      <c r="E50" s="105">
        <v>334.8</v>
      </c>
    </row>
    <row r="51" spans="2:5" x14ac:dyDescent="0.25">
      <c r="B51" s="104" t="s">
        <v>220</v>
      </c>
      <c r="C51" s="105" t="s">
        <v>59</v>
      </c>
      <c r="D51" s="105">
        <v>553</v>
      </c>
      <c r="E51" s="105">
        <v>663.6</v>
      </c>
    </row>
    <row r="52" spans="2:5" x14ac:dyDescent="0.25">
      <c r="B52" s="104" t="s">
        <v>221</v>
      </c>
      <c r="C52" s="105" t="s">
        <v>22</v>
      </c>
      <c r="D52" s="105">
        <v>959</v>
      </c>
      <c r="E52" s="105">
        <v>1150.8</v>
      </c>
    </row>
    <row r="53" spans="2:5" x14ac:dyDescent="0.25">
      <c r="B53" s="104" t="s">
        <v>222</v>
      </c>
      <c r="C53" s="105" t="s">
        <v>59</v>
      </c>
      <c r="D53" s="105">
        <v>1176</v>
      </c>
      <c r="E53" s="105">
        <v>1411.2</v>
      </c>
    </row>
    <row r="54" spans="2:5" x14ac:dyDescent="0.25">
      <c r="B54" s="104" t="s">
        <v>223</v>
      </c>
      <c r="C54" s="105" t="s">
        <v>22</v>
      </c>
      <c r="D54" s="105">
        <v>981</v>
      </c>
      <c r="E54" s="105">
        <v>1177.2</v>
      </c>
    </row>
    <row r="55" spans="2:5" x14ac:dyDescent="0.25">
      <c r="B55" s="104" t="s">
        <v>224</v>
      </c>
      <c r="C55" s="105" t="s">
        <v>59</v>
      </c>
      <c r="D55" s="105">
        <v>253</v>
      </c>
      <c r="E55" s="105">
        <v>303.59999999999997</v>
      </c>
    </row>
    <row r="56" spans="2:5" x14ac:dyDescent="0.25">
      <c r="B56" s="104" t="s">
        <v>225</v>
      </c>
      <c r="C56" s="105" t="s">
        <v>59</v>
      </c>
      <c r="D56" s="105">
        <v>543</v>
      </c>
      <c r="E56" s="105">
        <v>651.6</v>
      </c>
    </row>
    <row r="57" spans="2:5" x14ac:dyDescent="0.25">
      <c r="B57" s="104" t="s">
        <v>226</v>
      </c>
      <c r="C57" s="105" t="s">
        <v>59</v>
      </c>
      <c r="D57" s="105">
        <v>793</v>
      </c>
      <c r="E57" s="105">
        <v>951.59999999999991</v>
      </c>
    </row>
    <row r="58" spans="2:5" x14ac:dyDescent="0.25">
      <c r="B58" s="104" t="s">
        <v>227</v>
      </c>
      <c r="C58" s="105" t="s">
        <v>59</v>
      </c>
      <c r="D58" s="105">
        <v>1421</v>
      </c>
      <c r="E58" s="105">
        <v>1705.2</v>
      </c>
    </row>
    <row r="59" spans="2:5" x14ac:dyDescent="0.25">
      <c r="B59" s="104" t="s">
        <v>228</v>
      </c>
      <c r="C59" s="105" t="s">
        <v>59</v>
      </c>
      <c r="D59" s="105">
        <v>663</v>
      </c>
      <c r="E59" s="105">
        <v>795.6</v>
      </c>
    </row>
    <row r="60" spans="2:5" x14ac:dyDescent="0.25">
      <c r="B60" s="104" t="s">
        <v>229</v>
      </c>
      <c r="C60" s="105" t="s">
        <v>59</v>
      </c>
      <c r="D60" s="105">
        <v>841</v>
      </c>
      <c r="E60" s="105">
        <v>1009.1999999999998</v>
      </c>
    </row>
    <row r="61" spans="2:5" x14ac:dyDescent="0.25">
      <c r="B61" s="104" t="s">
        <v>230</v>
      </c>
      <c r="C61" s="105" t="s">
        <v>59</v>
      </c>
      <c r="D61" s="105">
        <v>855</v>
      </c>
      <c r="E61" s="105">
        <v>1026</v>
      </c>
    </row>
    <row r="62" spans="2:5" x14ac:dyDescent="0.25">
      <c r="B62" s="104" t="s">
        <v>231</v>
      </c>
      <c r="C62" s="105" t="s">
        <v>59</v>
      </c>
      <c r="D62" s="105">
        <v>992</v>
      </c>
      <c r="E62" s="105">
        <v>1190.3999999999999</v>
      </c>
    </row>
    <row r="63" spans="2:5" x14ac:dyDescent="0.25">
      <c r="B63" s="104" t="s">
        <v>232</v>
      </c>
      <c r="C63" s="105" t="s">
        <v>59</v>
      </c>
      <c r="D63" s="105">
        <v>936</v>
      </c>
      <c r="E63" s="105">
        <v>1123.2</v>
      </c>
    </row>
    <row r="64" spans="2:5" x14ac:dyDescent="0.25">
      <c r="B64" s="104" t="s">
        <v>233</v>
      </c>
      <c r="C64" s="105" t="s">
        <v>59</v>
      </c>
      <c r="D64" s="105">
        <v>861</v>
      </c>
      <c r="E64" s="105">
        <v>1033.2</v>
      </c>
    </row>
    <row r="65" spans="1:5" x14ac:dyDescent="0.25">
      <c r="B65" s="104" t="s">
        <v>234</v>
      </c>
      <c r="C65" s="105" t="s">
        <v>59</v>
      </c>
      <c r="D65" s="105">
        <v>632</v>
      </c>
      <c r="E65" s="105">
        <v>758.4</v>
      </c>
    </row>
    <row r="66" spans="1:5" x14ac:dyDescent="0.25">
      <c r="B66" s="104" t="s">
        <v>235</v>
      </c>
      <c r="C66" s="105" t="s">
        <v>59</v>
      </c>
      <c r="D66" s="105">
        <v>446</v>
      </c>
      <c r="E66" s="105">
        <v>535.19999999999993</v>
      </c>
    </row>
    <row r="67" spans="1:5" x14ac:dyDescent="0.25">
      <c r="A67" s="104" t="s">
        <v>130</v>
      </c>
      <c r="B67" s="104" t="s">
        <v>236</v>
      </c>
      <c r="C67" s="105" t="s">
        <v>22</v>
      </c>
      <c r="D67" s="105">
        <v>470</v>
      </c>
      <c r="E67" s="105">
        <v>564</v>
      </c>
    </row>
    <row r="68" spans="1:5" x14ac:dyDescent="0.25">
      <c r="B68" s="104" t="s">
        <v>237</v>
      </c>
      <c r="C68" s="105" t="s">
        <v>22</v>
      </c>
      <c r="D68" s="105">
        <v>62</v>
      </c>
      <c r="E68" s="105">
        <v>74.399999999999991</v>
      </c>
    </row>
    <row r="69" spans="1:5" x14ac:dyDescent="0.25">
      <c r="B69" s="104" t="s">
        <v>238</v>
      </c>
      <c r="C69" s="105" t="s">
        <v>22</v>
      </c>
      <c r="D69" s="105">
        <v>466</v>
      </c>
      <c r="E69" s="105">
        <v>559.19999999999993</v>
      </c>
    </row>
    <row r="70" spans="1:5" x14ac:dyDescent="0.25">
      <c r="B70" s="104" t="s">
        <v>239</v>
      </c>
      <c r="C70" s="105" t="s">
        <v>22</v>
      </c>
      <c r="D70" s="105">
        <v>336</v>
      </c>
      <c r="E70" s="105">
        <v>403.2</v>
      </c>
    </row>
    <row r="71" spans="1:5" x14ac:dyDescent="0.25">
      <c r="B71" s="104" t="s">
        <v>240</v>
      </c>
      <c r="C71" s="105" t="s">
        <v>22</v>
      </c>
      <c r="D71" s="105">
        <v>536</v>
      </c>
      <c r="E71" s="105">
        <v>643.19999999999993</v>
      </c>
    </row>
    <row r="72" spans="1:5" x14ac:dyDescent="0.25">
      <c r="B72" s="104" t="s">
        <v>241</v>
      </c>
      <c r="C72" s="105" t="s">
        <v>22</v>
      </c>
      <c r="D72" s="105">
        <v>649</v>
      </c>
      <c r="E72" s="105">
        <v>778.8</v>
      </c>
    </row>
    <row r="73" spans="1:5" x14ac:dyDescent="0.25">
      <c r="B73" s="104" t="s">
        <v>242</v>
      </c>
      <c r="C73" s="105" t="s">
        <v>22</v>
      </c>
      <c r="D73" s="105">
        <v>232</v>
      </c>
      <c r="E73" s="105">
        <v>278.39999999999998</v>
      </c>
    </row>
    <row r="74" spans="1:5" x14ac:dyDescent="0.25">
      <c r="B74" s="104" t="s">
        <v>243</v>
      </c>
      <c r="C74" s="105" t="s">
        <v>22</v>
      </c>
      <c r="D74" s="105">
        <v>460</v>
      </c>
      <c r="E74" s="105">
        <v>552</v>
      </c>
    </row>
    <row r="75" spans="1:5" x14ac:dyDescent="0.25">
      <c r="B75" s="104" t="s">
        <v>244</v>
      </c>
      <c r="C75" s="105" t="s">
        <v>22</v>
      </c>
      <c r="D75" s="105">
        <v>631</v>
      </c>
      <c r="E75" s="105">
        <v>757.19999999999993</v>
      </c>
    </row>
    <row r="76" spans="1:5" x14ac:dyDescent="0.25">
      <c r="B76" s="104" t="s">
        <v>245</v>
      </c>
      <c r="C76" s="105" t="s">
        <v>22</v>
      </c>
      <c r="D76" s="105">
        <v>671</v>
      </c>
      <c r="E76" s="105">
        <v>805.19999999999993</v>
      </c>
    </row>
    <row r="77" spans="1:5" x14ac:dyDescent="0.25">
      <c r="B77" s="104" t="s">
        <v>246</v>
      </c>
      <c r="C77" s="105" t="s">
        <v>22</v>
      </c>
      <c r="D77" s="105">
        <v>628</v>
      </c>
      <c r="E77" s="105">
        <v>753.6</v>
      </c>
    </row>
    <row r="78" spans="1:5" x14ac:dyDescent="0.25">
      <c r="B78" s="104" t="s">
        <v>247</v>
      </c>
      <c r="C78" s="105" t="s">
        <v>22</v>
      </c>
      <c r="D78" s="105">
        <v>424</v>
      </c>
      <c r="E78" s="105">
        <v>508.7999999999999</v>
      </c>
    </row>
    <row r="79" spans="1:5" x14ac:dyDescent="0.25">
      <c r="B79" s="104" t="s">
        <v>248</v>
      </c>
      <c r="C79" s="105" t="s">
        <v>22</v>
      </c>
      <c r="D79" s="105">
        <v>717</v>
      </c>
      <c r="E79" s="105">
        <v>860.4</v>
      </c>
    </row>
    <row r="80" spans="1:5" x14ac:dyDescent="0.25">
      <c r="B80" s="104" t="s">
        <v>249</v>
      </c>
      <c r="C80" s="105" t="s">
        <v>22</v>
      </c>
      <c r="D80" s="105">
        <v>651</v>
      </c>
      <c r="E80" s="105">
        <v>781.19999999999993</v>
      </c>
    </row>
    <row r="81" spans="1:5" x14ac:dyDescent="0.25">
      <c r="B81" s="104" t="s">
        <v>250</v>
      </c>
      <c r="C81" s="105" t="s">
        <v>22</v>
      </c>
      <c r="D81" s="105">
        <v>125</v>
      </c>
      <c r="E81" s="105">
        <v>150</v>
      </c>
    </row>
    <row r="82" spans="1:5" x14ac:dyDescent="0.25">
      <c r="B82" s="104" t="s">
        <v>251</v>
      </c>
      <c r="C82" s="105" t="s">
        <v>22</v>
      </c>
      <c r="D82" s="105">
        <v>450</v>
      </c>
      <c r="E82" s="105">
        <v>540</v>
      </c>
    </row>
    <row r="83" spans="1:5" x14ac:dyDescent="0.25">
      <c r="A83" s="104" t="s">
        <v>131</v>
      </c>
      <c r="B83" s="104" t="s">
        <v>252</v>
      </c>
      <c r="C83" s="105" t="s">
        <v>22</v>
      </c>
      <c r="D83" s="105">
        <v>1629</v>
      </c>
      <c r="E83" s="105">
        <v>1954.8</v>
      </c>
    </row>
    <row r="84" spans="1:5" x14ac:dyDescent="0.25">
      <c r="B84" s="104" t="s">
        <v>253</v>
      </c>
      <c r="C84" s="105" t="s">
        <v>22</v>
      </c>
      <c r="D84" s="105">
        <v>1577</v>
      </c>
      <c r="E84" s="105">
        <v>1892.3999999999999</v>
      </c>
    </row>
    <row r="85" spans="1:5" x14ac:dyDescent="0.25">
      <c r="B85" s="104" t="s">
        <v>254</v>
      </c>
      <c r="C85" s="105" t="s">
        <v>22</v>
      </c>
      <c r="D85" s="105">
        <v>1998</v>
      </c>
      <c r="E85" s="105">
        <v>2397.6</v>
      </c>
    </row>
    <row r="86" spans="1:5" x14ac:dyDescent="0.25">
      <c r="B86" s="104" t="s">
        <v>255</v>
      </c>
      <c r="C86" s="105" t="s">
        <v>22</v>
      </c>
      <c r="D86" s="105">
        <v>1831</v>
      </c>
      <c r="E86" s="105">
        <v>2197.1999999999998</v>
      </c>
    </row>
    <row r="87" spans="1:5" x14ac:dyDescent="0.25">
      <c r="B87" s="104" t="s">
        <v>256</v>
      </c>
      <c r="C87" s="105" t="s">
        <v>22</v>
      </c>
      <c r="D87" s="105">
        <v>1914</v>
      </c>
      <c r="E87" s="105">
        <v>2296.7999999999997</v>
      </c>
    </row>
    <row r="88" spans="1:5" x14ac:dyDescent="0.25">
      <c r="B88" s="104" t="s">
        <v>257</v>
      </c>
      <c r="C88" s="105" t="s">
        <v>22</v>
      </c>
      <c r="D88" s="105">
        <v>1184</v>
      </c>
      <c r="E88" s="105">
        <v>1420.8</v>
      </c>
    </row>
    <row r="89" spans="1:5" x14ac:dyDescent="0.25">
      <c r="B89" s="104" t="s">
        <v>258</v>
      </c>
      <c r="C89" s="105" t="s">
        <v>22</v>
      </c>
      <c r="D89" s="105">
        <v>1477</v>
      </c>
      <c r="E89" s="105">
        <v>1772.3999999999999</v>
      </c>
    </row>
    <row r="90" spans="1:5" x14ac:dyDescent="0.25">
      <c r="B90" s="104" t="s">
        <v>259</v>
      </c>
      <c r="C90" s="105" t="s">
        <v>22</v>
      </c>
      <c r="D90" s="105">
        <v>1996</v>
      </c>
      <c r="E90" s="105">
        <v>2395.1999999999998</v>
      </c>
    </row>
    <row r="91" spans="1:5" x14ac:dyDescent="0.25">
      <c r="A91" s="104" t="s">
        <v>132</v>
      </c>
      <c r="B91" s="104" t="s">
        <v>260</v>
      </c>
      <c r="C91" s="105" t="s">
        <v>22</v>
      </c>
      <c r="D91" s="105">
        <v>1444</v>
      </c>
      <c r="E91" s="105">
        <v>1732.8</v>
      </c>
    </row>
    <row r="92" spans="1:5" x14ac:dyDescent="0.25">
      <c r="B92" s="104" t="s">
        <v>261</v>
      </c>
      <c r="C92" s="105" t="s">
        <v>22</v>
      </c>
      <c r="D92" s="105">
        <v>686</v>
      </c>
      <c r="E92" s="105">
        <v>823.19999999999993</v>
      </c>
    </row>
    <row r="93" spans="1:5" x14ac:dyDescent="0.25">
      <c r="B93" s="104" t="s">
        <v>262</v>
      </c>
      <c r="C93" s="105" t="s">
        <v>22</v>
      </c>
      <c r="D93" s="105">
        <v>1524</v>
      </c>
      <c r="E93" s="105">
        <v>1828.8</v>
      </c>
    </row>
    <row r="94" spans="1:5" x14ac:dyDescent="0.25">
      <c r="B94" s="104" t="s">
        <v>263</v>
      </c>
      <c r="C94" s="105" t="s">
        <v>22</v>
      </c>
      <c r="D94" s="105">
        <v>1053</v>
      </c>
      <c r="E94" s="105">
        <v>1263.5999999999999</v>
      </c>
    </row>
    <row r="95" spans="1:5" x14ac:dyDescent="0.25">
      <c r="B95" s="104" t="s">
        <v>264</v>
      </c>
      <c r="C95" s="105" t="s">
        <v>22</v>
      </c>
      <c r="D95" s="105">
        <v>4568</v>
      </c>
      <c r="E95" s="105">
        <v>5481.5999999999995</v>
      </c>
    </row>
    <row r="96" spans="1:5" x14ac:dyDescent="0.25">
      <c r="B96" s="104" t="s">
        <v>265</v>
      </c>
      <c r="C96" s="105" t="s">
        <v>22</v>
      </c>
      <c r="D96" s="105">
        <v>1352</v>
      </c>
      <c r="E96" s="105">
        <v>1622.3999999999999</v>
      </c>
    </row>
    <row r="97" spans="2:5" x14ac:dyDescent="0.25">
      <c r="B97" s="104" t="s">
        <v>266</v>
      </c>
      <c r="C97" s="105" t="s">
        <v>22</v>
      </c>
      <c r="D97" s="105">
        <v>992</v>
      </c>
      <c r="E97" s="105">
        <v>1190.3999999999999</v>
      </c>
    </row>
    <row r="98" spans="2:5" x14ac:dyDescent="0.25">
      <c r="B98" s="104" t="s">
        <v>267</v>
      </c>
      <c r="C98" s="105" t="s">
        <v>22</v>
      </c>
      <c r="D98" s="105">
        <v>1616</v>
      </c>
      <c r="E98" s="105">
        <v>1939.1999999999998</v>
      </c>
    </row>
    <row r="99" spans="2:5" x14ac:dyDescent="0.25">
      <c r="B99" s="104" t="s">
        <v>268</v>
      </c>
      <c r="C99" s="105" t="s">
        <v>22</v>
      </c>
      <c r="D99" s="105">
        <v>1690</v>
      </c>
      <c r="E99" s="105">
        <v>2028</v>
      </c>
    </row>
    <row r="100" spans="2:5" x14ac:dyDescent="0.25">
      <c r="B100" s="104" t="s">
        <v>269</v>
      </c>
      <c r="C100" s="105" t="s">
        <v>22</v>
      </c>
      <c r="D100" s="105">
        <v>1727</v>
      </c>
      <c r="E100" s="105">
        <v>2072.4</v>
      </c>
    </row>
    <row r="101" spans="2:5" x14ac:dyDescent="0.25">
      <c r="B101" s="104" t="s">
        <v>270</v>
      </c>
      <c r="C101" s="105" t="s">
        <v>22</v>
      </c>
      <c r="D101" s="105">
        <v>1665</v>
      </c>
      <c r="E101" s="105">
        <v>1998</v>
      </c>
    </row>
  </sheetData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9</vt:i4>
      </vt:variant>
    </vt:vector>
  </HeadingPairs>
  <TitlesOfParts>
    <vt:vector size="26" baseType="lpstr">
      <vt:lpstr>basic_info</vt:lpstr>
      <vt:lpstr>facilities</vt:lpstr>
      <vt:lpstr>raw_materials</vt:lpstr>
      <vt:lpstr>shipping_manufacturing</vt:lpstr>
      <vt:lpstr>pricing</vt:lpstr>
      <vt:lpstr>annual_report</vt:lpstr>
      <vt:lpstr>grove</vt:lpstr>
      <vt:lpstr>P01</vt:lpstr>
      <vt:lpstr>P05</vt:lpstr>
      <vt:lpstr>P07</vt:lpstr>
      <vt:lpstr>S15</vt:lpstr>
      <vt:lpstr>S61</vt:lpstr>
      <vt:lpstr>ORA</vt:lpstr>
      <vt:lpstr>POJ</vt:lpstr>
      <vt:lpstr>ROJ</vt:lpstr>
      <vt:lpstr>FCOJ</vt:lpstr>
      <vt:lpstr>market</vt:lpstr>
      <vt:lpstr>AddColumn1</vt:lpstr>
      <vt:lpstr>AddColumn2</vt:lpstr>
      <vt:lpstr>AddColumn3</vt:lpstr>
      <vt:lpstr>AddRow3</vt:lpstr>
      <vt:lpstr>AddRow4</vt:lpstr>
      <vt:lpstr>Table1</vt:lpstr>
      <vt:lpstr>Table2</vt:lpstr>
      <vt:lpstr>Table3</vt:lpstr>
      <vt:lpstr>Table4</vt:lpstr>
    </vt:vector>
  </TitlesOfParts>
  <Company>Princeton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Jeff</cp:lastModifiedBy>
  <dcterms:created xsi:type="dcterms:W3CDTF">2003-07-09T21:14:27Z</dcterms:created>
  <dcterms:modified xsi:type="dcterms:W3CDTF">2015-11-20T22:19:57Z</dcterms:modified>
</cp:coreProperties>
</file>