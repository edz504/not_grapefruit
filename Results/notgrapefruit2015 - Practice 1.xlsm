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openxmlformats-officedocument.spreadsheetml.printerSettings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6311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/Users/edz/Documents/Princeton/Senior/ORF411/OJ/not_grapefruit/results/"/>
    </mc:Choice>
  </mc:AlternateContent>
  <bookViews>
    <workbookView xWindow="0" yWindow="460" windowWidth="38400" windowHeight="17460" firstSheet="3" activeTab="5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  <sheet name="annual_report" sheetId="20" r:id="rId6"/>
    <sheet name="grove" sheetId="19" r:id="rId7"/>
    <sheet name="P01" sheetId="18" r:id="rId8"/>
    <sheet name="P05" sheetId="17" r:id="rId9"/>
    <sheet name="P07" sheetId="16" r:id="rId10"/>
    <sheet name="S15" sheetId="15" r:id="rId11"/>
    <sheet name="S61" sheetId="14" r:id="rId12"/>
    <sheet name="ORA" sheetId="13" r:id="rId13"/>
    <sheet name="POJ" sheetId="12" r:id="rId14"/>
    <sheet name="ROJ" sheetId="11" r:id="rId15"/>
    <sheet name="FCOJ" sheetId="10" r:id="rId16"/>
    <sheet name="market" sheetId="9" r:id="rId17"/>
  </sheets>
  <definedNames>
    <definedName name="AddColumn1">shipping_manufacturing!$I$4:$I$12</definedName>
    <definedName name="AddColumn2">shipping_manufacturing!$I$16:$I$20</definedName>
    <definedName name="AddColumn3">shipping_manufacturing!$J$24:$J$30</definedName>
    <definedName name="AddRow3">shipping_manufacturing!$B$30</definedName>
    <definedName name="AddRow4">shipping_manufacturing!$B$38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shipping_manufacturing!$B$34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S16" i="20" l="1"/>
  <c r="S15" i="20"/>
  <c r="T19" i="20"/>
  <c r="S14" i="20"/>
  <c r="H40" i="20"/>
  <c r="H39" i="20"/>
  <c r="H38" i="20"/>
  <c r="H35" i="20"/>
  <c r="S42" i="20"/>
  <c r="H34" i="20"/>
  <c r="S39" i="20"/>
  <c r="H33" i="20"/>
  <c r="H30" i="20"/>
  <c r="H29" i="20"/>
  <c r="H28" i="20"/>
  <c r="S40" i="20"/>
  <c r="H27" i="20"/>
  <c r="S37" i="20"/>
  <c r="H24" i="20"/>
  <c r="H23" i="20"/>
  <c r="H15" i="20"/>
  <c r="H14" i="20"/>
  <c r="H13" i="20"/>
  <c r="AZ170" i="14"/>
  <c r="AZ121" i="14"/>
  <c r="AZ108" i="14"/>
  <c r="AZ99" i="14"/>
  <c r="AZ92" i="14"/>
  <c r="AZ170" i="15"/>
  <c r="AZ121" i="15"/>
  <c r="AZ108" i="15"/>
  <c r="AZ99" i="15"/>
  <c r="AZ92" i="15"/>
  <c r="AZ42" i="16"/>
  <c r="AZ43" i="16"/>
  <c r="AZ53" i="16"/>
  <c r="AZ54" i="16"/>
  <c r="AZ42" i="17"/>
  <c r="AZ43" i="17"/>
  <c r="AZ53" i="17"/>
  <c r="AZ54" i="17"/>
  <c r="AZ42" i="18"/>
  <c r="AZ43" i="18"/>
  <c r="AZ53" i="18"/>
  <c r="AZ54" i="18"/>
  <c r="T25" i="20"/>
  <c r="D109" i="10"/>
  <c r="E109" i="10"/>
  <c r="F109" i="10"/>
  <c r="G109" i="10"/>
  <c r="H109" i="10"/>
  <c r="I109" i="10"/>
  <c r="J109" i="10"/>
  <c r="K109" i="10"/>
  <c r="K116" i="10"/>
  <c r="L109" i="10"/>
  <c r="M109" i="10"/>
  <c r="N109" i="10"/>
  <c r="O109" i="10"/>
  <c r="D110" i="10"/>
  <c r="E110" i="10"/>
  <c r="F110" i="10"/>
  <c r="G110" i="10"/>
  <c r="H110" i="10"/>
  <c r="I110" i="10"/>
  <c r="J110" i="10"/>
  <c r="K110" i="10"/>
  <c r="L110" i="10"/>
  <c r="M110" i="10"/>
  <c r="N110" i="10"/>
  <c r="O110" i="10"/>
  <c r="D111" i="10"/>
  <c r="E111" i="10"/>
  <c r="F111" i="10"/>
  <c r="G111" i="10"/>
  <c r="H111" i="10"/>
  <c r="I111" i="10"/>
  <c r="J111" i="10"/>
  <c r="K111" i="10"/>
  <c r="L111" i="10"/>
  <c r="M111" i="10"/>
  <c r="N111" i="10"/>
  <c r="O111" i="10"/>
  <c r="D112" i="10"/>
  <c r="E112" i="10"/>
  <c r="F112" i="10"/>
  <c r="G112" i="10"/>
  <c r="H112" i="10"/>
  <c r="H123" i="10"/>
  <c r="I112" i="10"/>
  <c r="J112" i="10"/>
  <c r="K112" i="10"/>
  <c r="L112" i="10"/>
  <c r="M112" i="10"/>
  <c r="N112" i="10"/>
  <c r="O112" i="10"/>
  <c r="D113" i="10"/>
  <c r="D124" i="10"/>
  <c r="E113" i="10"/>
  <c r="F113" i="10"/>
  <c r="G113" i="10"/>
  <c r="H113" i="10"/>
  <c r="I113" i="10"/>
  <c r="J113" i="10"/>
  <c r="K113" i="10"/>
  <c r="L113" i="10"/>
  <c r="L124" i="10"/>
  <c r="M113" i="10"/>
  <c r="N113" i="10"/>
  <c r="O113" i="10"/>
  <c r="D114" i="10"/>
  <c r="E114" i="10"/>
  <c r="F114" i="10"/>
  <c r="G114" i="10"/>
  <c r="H114" i="10"/>
  <c r="H125" i="10"/>
  <c r="I114" i="10"/>
  <c r="J114" i="10"/>
  <c r="K114" i="10"/>
  <c r="L114" i="10"/>
  <c r="M114" i="10"/>
  <c r="N114" i="10"/>
  <c r="O114" i="10"/>
  <c r="D115" i="10"/>
  <c r="D126" i="10"/>
  <c r="E115" i="10"/>
  <c r="F115" i="10"/>
  <c r="G115" i="10"/>
  <c r="H115" i="10"/>
  <c r="I115" i="10"/>
  <c r="J115" i="10"/>
  <c r="J116" i="10"/>
  <c r="K115" i="10"/>
  <c r="L115" i="10"/>
  <c r="L126" i="10"/>
  <c r="M115" i="10"/>
  <c r="M116" i="10"/>
  <c r="N115" i="10"/>
  <c r="O115" i="10"/>
  <c r="E116" i="10"/>
  <c r="F116" i="10"/>
  <c r="G116" i="10"/>
  <c r="I116" i="10"/>
  <c r="N116" i="10"/>
  <c r="O116" i="10"/>
  <c r="D120" i="10"/>
  <c r="E120" i="10"/>
  <c r="F120" i="10"/>
  <c r="G120" i="10"/>
  <c r="H120" i="10"/>
  <c r="I120" i="10"/>
  <c r="J120" i="10"/>
  <c r="K120" i="10"/>
  <c r="K127" i="10"/>
  <c r="L120" i="10"/>
  <c r="M120" i="10"/>
  <c r="N120" i="10"/>
  <c r="O120" i="10"/>
  <c r="D121" i="10"/>
  <c r="E121" i="10"/>
  <c r="F121" i="10"/>
  <c r="G121" i="10"/>
  <c r="H121" i="10"/>
  <c r="I121" i="10"/>
  <c r="J121" i="10"/>
  <c r="K121" i="10"/>
  <c r="L121" i="10"/>
  <c r="M121" i="10"/>
  <c r="N121" i="10"/>
  <c r="O121" i="10"/>
  <c r="D122" i="10"/>
  <c r="E122" i="10"/>
  <c r="F122" i="10"/>
  <c r="G122" i="10"/>
  <c r="H122" i="10"/>
  <c r="I122" i="10"/>
  <c r="J122" i="10"/>
  <c r="K122" i="10"/>
  <c r="L122" i="10"/>
  <c r="M122" i="10"/>
  <c r="N122" i="10"/>
  <c r="O122" i="10"/>
  <c r="D123" i="10"/>
  <c r="E123" i="10"/>
  <c r="F123" i="10"/>
  <c r="G123" i="10"/>
  <c r="I123" i="10"/>
  <c r="J123" i="10"/>
  <c r="K123" i="10"/>
  <c r="L123" i="10"/>
  <c r="M123" i="10"/>
  <c r="N123" i="10"/>
  <c r="O123" i="10"/>
  <c r="E124" i="10"/>
  <c r="F124" i="10"/>
  <c r="G124" i="10"/>
  <c r="H124" i="10"/>
  <c r="I124" i="10"/>
  <c r="J124" i="10"/>
  <c r="K124" i="10"/>
  <c r="M124" i="10"/>
  <c r="N124" i="10"/>
  <c r="O124" i="10"/>
  <c r="D125" i="10"/>
  <c r="E125" i="10"/>
  <c r="F125" i="10"/>
  <c r="G125" i="10"/>
  <c r="I125" i="10"/>
  <c r="J125" i="10"/>
  <c r="K125" i="10"/>
  <c r="L125" i="10"/>
  <c r="M125" i="10"/>
  <c r="N125" i="10"/>
  <c r="O125" i="10"/>
  <c r="E126" i="10"/>
  <c r="F126" i="10"/>
  <c r="G126" i="10"/>
  <c r="H126" i="10"/>
  <c r="I126" i="10"/>
  <c r="J126" i="10"/>
  <c r="K126" i="10"/>
  <c r="M126" i="10"/>
  <c r="N126" i="10"/>
  <c r="O126" i="10"/>
  <c r="E127" i="10"/>
  <c r="F127" i="10"/>
  <c r="G127" i="10"/>
  <c r="I127" i="10"/>
  <c r="J127" i="10"/>
  <c r="M127" i="10"/>
  <c r="N127" i="10"/>
  <c r="O127" i="10"/>
  <c r="D131" i="10"/>
  <c r="E131" i="10"/>
  <c r="F131" i="10"/>
  <c r="G131" i="10"/>
  <c r="H131" i="10"/>
  <c r="I131" i="10"/>
  <c r="J131" i="10"/>
  <c r="K131" i="10"/>
  <c r="K138" i="10"/>
  <c r="L131" i="10"/>
  <c r="M131" i="10"/>
  <c r="N131" i="10"/>
  <c r="O131" i="10"/>
  <c r="D132" i="10"/>
  <c r="E132" i="10"/>
  <c r="F132" i="10"/>
  <c r="G132" i="10"/>
  <c r="H132" i="10"/>
  <c r="H138" i="10"/>
  <c r="I132" i="10"/>
  <c r="J132" i="10"/>
  <c r="K132" i="10"/>
  <c r="L132" i="10"/>
  <c r="M132" i="10"/>
  <c r="N132" i="10"/>
  <c r="O132" i="10"/>
  <c r="D133" i="10"/>
  <c r="E133" i="10"/>
  <c r="F133" i="10"/>
  <c r="G133" i="10"/>
  <c r="H133" i="10"/>
  <c r="I133" i="10"/>
  <c r="J133" i="10"/>
  <c r="K133" i="10"/>
  <c r="L133" i="10"/>
  <c r="M133" i="10"/>
  <c r="N133" i="10"/>
  <c r="O133" i="10"/>
  <c r="D134" i="10"/>
  <c r="E134" i="10"/>
  <c r="F134" i="10"/>
  <c r="G134" i="10"/>
  <c r="H134" i="10"/>
  <c r="I134" i="10"/>
  <c r="J134" i="10"/>
  <c r="K134" i="10"/>
  <c r="L134" i="10"/>
  <c r="M134" i="10"/>
  <c r="N134" i="10"/>
  <c r="O134" i="10"/>
  <c r="D135" i="10"/>
  <c r="E135" i="10"/>
  <c r="F135" i="10"/>
  <c r="G135" i="10"/>
  <c r="H135" i="10"/>
  <c r="I135" i="10"/>
  <c r="J135" i="10"/>
  <c r="J138" i="10"/>
  <c r="K135" i="10"/>
  <c r="L135" i="10"/>
  <c r="M135" i="10"/>
  <c r="N135" i="10"/>
  <c r="O135" i="10"/>
  <c r="D136" i="10"/>
  <c r="E136" i="10"/>
  <c r="F136" i="10"/>
  <c r="G136" i="10"/>
  <c r="H136" i="10"/>
  <c r="I136" i="10"/>
  <c r="J136" i="10"/>
  <c r="K136" i="10"/>
  <c r="L136" i="10"/>
  <c r="M136" i="10"/>
  <c r="N136" i="10"/>
  <c r="O136" i="10"/>
  <c r="D137" i="10"/>
  <c r="E137" i="10"/>
  <c r="F137" i="10"/>
  <c r="G137" i="10"/>
  <c r="H137" i="10"/>
  <c r="I137" i="10"/>
  <c r="J137" i="10"/>
  <c r="K137" i="10"/>
  <c r="L137" i="10"/>
  <c r="M137" i="10"/>
  <c r="N137" i="10"/>
  <c r="O137" i="10"/>
  <c r="E138" i="10"/>
  <c r="F138" i="10"/>
  <c r="G138" i="10"/>
  <c r="I138" i="10"/>
  <c r="M138" i="10"/>
  <c r="N138" i="10"/>
  <c r="O138" i="10"/>
  <c r="D109" i="11"/>
  <c r="E109" i="11"/>
  <c r="F109" i="11"/>
  <c r="G109" i="11"/>
  <c r="H109" i="11"/>
  <c r="I109" i="11"/>
  <c r="J109" i="11"/>
  <c r="K109" i="11"/>
  <c r="K116" i="11"/>
  <c r="L109" i="11"/>
  <c r="M109" i="11"/>
  <c r="N109" i="11"/>
  <c r="O109" i="11"/>
  <c r="D110" i="11"/>
  <c r="E110" i="11"/>
  <c r="F110" i="11"/>
  <c r="G110" i="11"/>
  <c r="H110" i="11"/>
  <c r="H116" i="11"/>
  <c r="I110" i="11"/>
  <c r="J110" i="11"/>
  <c r="K110" i="11"/>
  <c r="L110" i="11"/>
  <c r="M110" i="11"/>
  <c r="N110" i="11"/>
  <c r="O110" i="11"/>
  <c r="D111" i="11"/>
  <c r="D122" i="11"/>
  <c r="E111" i="11"/>
  <c r="F111" i="11"/>
  <c r="G111" i="11"/>
  <c r="H111" i="11"/>
  <c r="I111" i="11"/>
  <c r="J111" i="11"/>
  <c r="K111" i="11"/>
  <c r="L111" i="11"/>
  <c r="L122" i="11"/>
  <c r="M111" i="11"/>
  <c r="N111" i="11"/>
  <c r="O111" i="11"/>
  <c r="D112" i="11"/>
  <c r="E112" i="11"/>
  <c r="F112" i="11"/>
  <c r="G112" i="11"/>
  <c r="H112" i="11"/>
  <c r="H123" i="11"/>
  <c r="I112" i="11"/>
  <c r="J112" i="11"/>
  <c r="K112" i="11"/>
  <c r="L112" i="11"/>
  <c r="M112" i="11"/>
  <c r="N112" i="11"/>
  <c r="O112" i="11"/>
  <c r="D113" i="11"/>
  <c r="D124" i="11"/>
  <c r="E113" i="11"/>
  <c r="F113" i="11"/>
  <c r="G113" i="11"/>
  <c r="H113" i="11"/>
  <c r="I113" i="11"/>
  <c r="J113" i="11"/>
  <c r="K113" i="11"/>
  <c r="L113" i="11"/>
  <c r="L124" i="11"/>
  <c r="M113" i="11"/>
  <c r="N113" i="11"/>
  <c r="O113" i="11"/>
  <c r="D114" i="11"/>
  <c r="E114" i="11"/>
  <c r="F114" i="11"/>
  <c r="G114" i="11"/>
  <c r="H114" i="11"/>
  <c r="H125" i="11"/>
  <c r="I114" i="11"/>
  <c r="J114" i="11"/>
  <c r="K114" i="11"/>
  <c r="L114" i="11"/>
  <c r="M114" i="11"/>
  <c r="N114" i="11"/>
  <c r="O114" i="11"/>
  <c r="D115" i="11"/>
  <c r="D126" i="11"/>
  <c r="E115" i="11"/>
  <c r="F115" i="11"/>
  <c r="G115" i="11"/>
  <c r="H115" i="11"/>
  <c r="I115" i="11"/>
  <c r="I116" i="11"/>
  <c r="J115" i="11"/>
  <c r="J116" i="11"/>
  <c r="K115" i="11"/>
  <c r="L115" i="11"/>
  <c r="L126" i="11"/>
  <c r="M115" i="11"/>
  <c r="N115" i="11"/>
  <c r="O115" i="11"/>
  <c r="E116" i="11"/>
  <c r="F116" i="11"/>
  <c r="G116" i="11"/>
  <c r="M116" i="11"/>
  <c r="N116" i="11"/>
  <c r="O116" i="11"/>
  <c r="D120" i="11"/>
  <c r="E120" i="11"/>
  <c r="F120" i="11"/>
  <c r="G120" i="11"/>
  <c r="H120" i="11"/>
  <c r="I120" i="11"/>
  <c r="J120" i="11"/>
  <c r="J127" i="11"/>
  <c r="K120" i="11"/>
  <c r="K127" i="11"/>
  <c r="L120" i="11"/>
  <c r="M120" i="11"/>
  <c r="N120" i="11"/>
  <c r="O120" i="11"/>
  <c r="D121" i="11"/>
  <c r="E121" i="11"/>
  <c r="F121" i="11"/>
  <c r="G121" i="11"/>
  <c r="I121" i="11"/>
  <c r="J121" i="11"/>
  <c r="K121" i="11"/>
  <c r="L121" i="11"/>
  <c r="M121" i="11"/>
  <c r="N121" i="11"/>
  <c r="O121" i="11"/>
  <c r="E122" i="11"/>
  <c r="F122" i="11"/>
  <c r="G122" i="11"/>
  <c r="H122" i="11"/>
  <c r="I122" i="11"/>
  <c r="J122" i="11"/>
  <c r="K122" i="11"/>
  <c r="M122" i="11"/>
  <c r="N122" i="11"/>
  <c r="O122" i="11"/>
  <c r="D123" i="11"/>
  <c r="E123" i="11"/>
  <c r="F123" i="11"/>
  <c r="G123" i="11"/>
  <c r="I123" i="11"/>
  <c r="J123" i="11"/>
  <c r="K123" i="11"/>
  <c r="L123" i="11"/>
  <c r="M123" i="11"/>
  <c r="N123" i="11"/>
  <c r="O123" i="11"/>
  <c r="E124" i="11"/>
  <c r="F124" i="11"/>
  <c r="G124" i="11"/>
  <c r="H124" i="11"/>
  <c r="I124" i="11"/>
  <c r="J124" i="11"/>
  <c r="K124" i="11"/>
  <c r="M124" i="11"/>
  <c r="N124" i="11"/>
  <c r="O124" i="11"/>
  <c r="D125" i="11"/>
  <c r="E125" i="11"/>
  <c r="F125" i="11"/>
  <c r="G125" i="11"/>
  <c r="I125" i="11"/>
  <c r="J125" i="11"/>
  <c r="K125" i="11"/>
  <c r="L125" i="11"/>
  <c r="M125" i="11"/>
  <c r="N125" i="11"/>
  <c r="O125" i="11"/>
  <c r="E126" i="11"/>
  <c r="F126" i="11"/>
  <c r="G126" i="11"/>
  <c r="H126" i="11"/>
  <c r="I126" i="11"/>
  <c r="J126" i="11"/>
  <c r="K126" i="11"/>
  <c r="M126" i="11"/>
  <c r="N126" i="11"/>
  <c r="O126" i="11"/>
  <c r="E127" i="11"/>
  <c r="F127" i="11"/>
  <c r="G127" i="11"/>
  <c r="I127" i="11"/>
  <c r="M127" i="11"/>
  <c r="N127" i="11"/>
  <c r="O127" i="11"/>
  <c r="D131" i="11"/>
  <c r="E131" i="11"/>
  <c r="F131" i="11"/>
  <c r="G131" i="11"/>
  <c r="H131" i="11"/>
  <c r="I131" i="11"/>
  <c r="J131" i="11"/>
  <c r="K131" i="11"/>
  <c r="K138" i="11"/>
  <c r="L131" i="11"/>
  <c r="M131" i="11"/>
  <c r="N131" i="11"/>
  <c r="O131" i="11"/>
  <c r="D132" i="11"/>
  <c r="E132" i="11"/>
  <c r="F132" i="11"/>
  <c r="G132" i="11"/>
  <c r="H132" i="11"/>
  <c r="H138" i="11"/>
  <c r="I132" i="11"/>
  <c r="J132" i="11"/>
  <c r="K132" i="11"/>
  <c r="L132" i="11"/>
  <c r="M132" i="11"/>
  <c r="N132" i="11"/>
  <c r="O132" i="11"/>
  <c r="D133" i="11"/>
  <c r="E133" i="11"/>
  <c r="F133" i="11"/>
  <c r="G133" i="11"/>
  <c r="H133" i="11"/>
  <c r="I133" i="11"/>
  <c r="J133" i="11"/>
  <c r="K133" i="11"/>
  <c r="L133" i="11"/>
  <c r="M133" i="11"/>
  <c r="N133" i="11"/>
  <c r="O133" i="11"/>
  <c r="D134" i="11"/>
  <c r="E134" i="11"/>
  <c r="F134" i="11"/>
  <c r="G134" i="11"/>
  <c r="H134" i="11"/>
  <c r="I134" i="11"/>
  <c r="J134" i="11"/>
  <c r="K134" i="11"/>
  <c r="L134" i="11"/>
  <c r="M134" i="11"/>
  <c r="N134" i="11"/>
  <c r="O134" i="11"/>
  <c r="D135" i="11"/>
  <c r="E135" i="11"/>
  <c r="F135" i="11"/>
  <c r="G135" i="11"/>
  <c r="H135" i="11"/>
  <c r="I135" i="11"/>
  <c r="J135" i="11"/>
  <c r="J138" i="11"/>
  <c r="K135" i="11"/>
  <c r="L135" i="11"/>
  <c r="M135" i="11"/>
  <c r="N135" i="11"/>
  <c r="O135" i="11"/>
  <c r="D136" i="11"/>
  <c r="E136" i="11"/>
  <c r="F136" i="11"/>
  <c r="G136" i="11"/>
  <c r="H136" i="11"/>
  <c r="I136" i="11"/>
  <c r="J136" i="11"/>
  <c r="K136" i="11"/>
  <c r="L136" i="11"/>
  <c r="M136" i="11"/>
  <c r="N136" i="11"/>
  <c r="O136" i="11"/>
  <c r="D137" i="11"/>
  <c r="E137" i="11"/>
  <c r="F137" i="11"/>
  <c r="G137" i="11"/>
  <c r="H137" i="11"/>
  <c r="I137" i="11"/>
  <c r="I138" i="11"/>
  <c r="J137" i="11"/>
  <c r="K137" i="11"/>
  <c r="L137" i="11"/>
  <c r="M137" i="11"/>
  <c r="N137" i="11"/>
  <c r="O137" i="11"/>
  <c r="E138" i="11"/>
  <c r="F138" i="11"/>
  <c r="G138" i="11"/>
  <c r="M138" i="11"/>
  <c r="N138" i="11"/>
  <c r="O138" i="11"/>
  <c r="D109" i="12"/>
  <c r="E109" i="12"/>
  <c r="F109" i="12"/>
  <c r="G109" i="12"/>
  <c r="H109" i="12"/>
  <c r="I109" i="12"/>
  <c r="J109" i="12"/>
  <c r="K109" i="12"/>
  <c r="K116" i="12"/>
  <c r="L109" i="12"/>
  <c r="M109" i="12"/>
  <c r="N109" i="12"/>
  <c r="O109" i="12"/>
  <c r="D110" i="12"/>
  <c r="E110" i="12"/>
  <c r="F110" i="12"/>
  <c r="G110" i="12"/>
  <c r="H110" i="12"/>
  <c r="H116" i="12"/>
  <c r="I110" i="12"/>
  <c r="J110" i="12"/>
  <c r="K110" i="12"/>
  <c r="L110" i="12"/>
  <c r="M110" i="12"/>
  <c r="N110" i="12"/>
  <c r="O110" i="12"/>
  <c r="D111" i="12"/>
  <c r="E111" i="12"/>
  <c r="F111" i="12"/>
  <c r="G111" i="12"/>
  <c r="H111" i="12"/>
  <c r="I111" i="12"/>
  <c r="J111" i="12"/>
  <c r="K111" i="12"/>
  <c r="L111" i="12"/>
  <c r="M111" i="12"/>
  <c r="N111" i="12"/>
  <c r="O111" i="12"/>
  <c r="D112" i="12"/>
  <c r="E112" i="12"/>
  <c r="F112" i="12"/>
  <c r="G112" i="12"/>
  <c r="H112" i="12"/>
  <c r="I112" i="12"/>
  <c r="J112" i="12"/>
  <c r="K112" i="12"/>
  <c r="L112" i="12"/>
  <c r="M112" i="12"/>
  <c r="N112" i="12"/>
  <c r="O112" i="12"/>
  <c r="D113" i="12"/>
  <c r="E113" i="12"/>
  <c r="F113" i="12"/>
  <c r="G113" i="12"/>
  <c r="H113" i="12"/>
  <c r="I113" i="12"/>
  <c r="J113" i="12"/>
  <c r="K113" i="12"/>
  <c r="L113" i="12"/>
  <c r="M113" i="12"/>
  <c r="N113" i="12"/>
  <c r="O113" i="12"/>
  <c r="D114" i="12"/>
  <c r="E114" i="12"/>
  <c r="F114" i="12"/>
  <c r="G114" i="12"/>
  <c r="H114" i="12"/>
  <c r="I114" i="12"/>
  <c r="J114" i="12"/>
  <c r="K114" i="12"/>
  <c r="L114" i="12"/>
  <c r="M114" i="12"/>
  <c r="N114" i="12"/>
  <c r="O114" i="12"/>
  <c r="D115" i="12"/>
  <c r="E115" i="12"/>
  <c r="F115" i="12"/>
  <c r="G115" i="12"/>
  <c r="H115" i="12"/>
  <c r="I115" i="12"/>
  <c r="I116" i="12"/>
  <c r="J115" i="12"/>
  <c r="J116" i="12"/>
  <c r="K115" i="12"/>
  <c r="L115" i="12"/>
  <c r="M115" i="12"/>
  <c r="N115" i="12"/>
  <c r="O115" i="12"/>
  <c r="E116" i="12"/>
  <c r="F116" i="12"/>
  <c r="G116" i="12"/>
  <c r="M116" i="12"/>
  <c r="N116" i="12"/>
  <c r="O116" i="12"/>
  <c r="D120" i="12"/>
  <c r="E120" i="12"/>
  <c r="F120" i="12"/>
  <c r="G120" i="12"/>
  <c r="H120" i="12"/>
  <c r="I120" i="12"/>
  <c r="J120" i="12"/>
  <c r="J127" i="12"/>
  <c r="K120" i="12"/>
  <c r="K127" i="12"/>
  <c r="L120" i="12"/>
  <c r="M120" i="12"/>
  <c r="N120" i="12"/>
  <c r="O120" i="12"/>
  <c r="D121" i="12"/>
  <c r="E121" i="12"/>
  <c r="F121" i="12"/>
  <c r="G121" i="12"/>
  <c r="H121" i="12"/>
  <c r="I121" i="12"/>
  <c r="J121" i="12"/>
  <c r="K121" i="12"/>
  <c r="L121" i="12"/>
  <c r="M121" i="12"/>
  <c r="N121" i="12"/>
  <c r="O121" i="12"/>
  <c r="D122" i="12"/>
  <c r="E122" i="12"/>
  <c r="F122" i="12"/>
  <c r="G122" i="12"/>
  <c r="H122" i="12"/>
  <c r="I122" i="12"/>
  <c r="J122" i="12"/>
  <c r="K122" i="12"/>
  <c r="L122" i="12"/>
  <c r="M122" i="12"/>
  <c r="N122" i="12"/>
  <c r="O122" i="12"/>
  <c r="D123" i="12"/>
  <c r="E123" i="12"/>
  <c r="F123" i="12"/>
  <c r="G123" i="12"/>
  <c r="H123" i="12"/>
  <c r="I123" i="12"/>
  <c r="J123" i="12"/>
  <c r="K123" i="12"/>
  <c r="L123" i="12"/>
  <c r="M123" i="12"/>
  <c r="N123" i="12"/>
  <c r="O123" i="12"/>
  <c r="D124" i="12"/>
  <c r="E124" i="12"/>
  <c r="F124" i="12"/>
  <c r="G124" i="12"/>
  <c r="H124" i="12"/>
  <c r="I124" i="12"/>
  <c r="J124" i="12"/>
  <c r="K124" i="12"/>
  <c r="L124" i="12"/>
  <c r="M124" i="12"/>
  <c r="N124" i="12"/>
  <c r="O124" i="12"/>
  <c r="D125" i="12"/>
  <c r="E125" i="12"/>
  <c r="F125" i="12"/>
  <c r="G125" i="12"/>
  <c r="H125" i="12"/>
  <c r="I125" i="12"/>
  <c r="J125" i="12"/>
  <c r="K125" i="12"/>
  <c r="L125" i="12"/>
  <c r="M125" i="12"/>
  <c r="N125" i="12"/>
  <c r="O125" i="12"/>
  <c r="D126" i="12"/>
  <c r="E126" i="12"/>
  <c r="F126" i="12"/>
  <c r="G126" i="12"/>
  <c r="H126" i="12"/>
  <c r="I126" i="12"/>
  <c r="J126" i="12"/>
  <c r="K126" i="12"/>
  <c r="L126" i="12"/>
  <c r="M126" i="12"/>
  <c r="N126" i="12"/>
  <c r="O126" i="12"/>
  <c r="E127" i="12"/>
  <c r="F127" i="12"/>
  <c r="G127" i="12"/>
  <c r="I127" i="12"/>
  <c r="M127" i="12"/>
  <c r="N127" i="12"/>
  <c r="O127" i="12"/>
  <c r="D131" i="12"/>
  <c r="E131" i="12"/>
  <c r="F131" i="12"/>
  <c r="G131" i="12"/>
  <c r="H131" i="12"/>
  <c r="I131" i="12"/>
  <c r="J131" i="12"/>
  <c r="K131" i="12"/>
  <c r="K138" i="12"/>
  <c r="L131" i="12"/>
  <c r="M131" i="12"/>
  <c r="N131" i="12"/>
  <c r="O131" i="12"/>
  <c r="D132" i="12"/>
  <c r="E132" i="12"/>
  <c r="F132" i="12"/>
  <c r="G132" i="12"/>
  <c r="H132" i="12"/>
  <c r="I132" i="12"/>
  <c r="J132" i="12"/>
  <c r="K132" i="12"/>
  <c r="L132" i="12"/>
  <c r="M132" i="12"/>
  <c r="N132" i="12"/>
  <c r="O132" i="12"/>
  <c r="D133" i="12"/>
  <c r="E133" i="12"/>
  <c r="F133" i="12"/>
  <c r="G133" i="12"/>
  <c r="H133" i="12"/>
  <c r="I133" i="12"/>
  <c r="J133" i="12"/>
  <c r="K133" i="12"/>
  <c r="L133" i="12"/>
  <c r="M133" i="12"/>
  <c r="N133" i="12"/>
  <c r="O133" i="12"/>
  <c r="D134" i="12"/>
  <c r="E134" i="12"/>
  <c r="F134" i="12"/>
  <c r="G134" i="12"/>
  <c r="H134" i="12"/>
  <c r="I134" i="12"/>
  <c r="J134" i="12"/>
  <c r="K134" i="12"/>
  <c r="L134" i="12"/>
  <c r="M134" i="12"/>
  <c r="N134" i="12"/>
  <c r="O134" i="12"/>
  <c r="D135" i="12"/>
  <c r="E135" i="12"/>
  <c r="F135" i="12"/>
  <c r="G135" i="12"/>
  <c r="H135" i="12"/>
  <c r="I135" i="12"/>
  <c r="J135" i="12"/>
  <c r="J138" i="12"/>
  <c r="K135" i="12"/>
  <c r="L135" i="12"/>
  <c r="M135" i="12"/>
  <c r="N135" i="12"/>
  <c r="O135" i="12"/>
  <c r="D136" i="12"/>
  <c r="E136" i="12"/>
  <c r="F136" i="12"/>
  <c r="G136" i="12"/>
  <c r="H136" i="12"/>
  <c r="I136" i="12"/>
  <c r="J136" i="12"/>
  <c r="K136" i="12"/>
  <c r="L136" i="12"/>
  <c r="M136" i="12"/>
  <c r="N136" i="12"/>
  <c r="O136" i="12"/>
  <c r="D137" i="12"/>
  <c r="E137" i="12"/>
  <c r="F137" i="12"/>
  <c r="G137" i="12"/>
  <c r="H137" i="12"/>
  <c r="I137" i="12"/>
  <c r="J137" i="12"/>
  <c r="K137" i="12"/>
  <c r="L137" i="12"/>
  <c r="M137" i="12"/>
  <c r="N137" i="12"/>
  <c r="O137" i="12"/>
  <c r="E138" i="12"/>
  <c r="F138" i="12"/>
  <c r="G138" i="12"/>
  <c r="H138" i="12"/>
  <c r="I138" i="12"/>
  <c r="M138" i="12"/>
  <c r="N138" i="12"/>
  <c r="O138" i="12"/>
  <c r="D109" i="13"/>
  <c r="E109" i="13"/>
  <c r="F109" i="13"/>
  <c r="G109" i="13"/>
  <c r="H109" i="13"/>
  <c r="I109" i="13"/>
  <c r="J109" i="13"/>
  <c r="K109" i="13"/>
  <c r="L109" i="13"/>
  <c r="M109" i="13"/>
  <c r="N109" i="13"/>
  <c r="O109" i="13"/>
  <c r="D110" i="13"/>
  <c r="E110" i="13"/>
  <c r="F110" i="13"/>
  <c r="G110" i="13"/>
  <c r="H110" i="13"/>
  <c r="I110" i="13"/>
  <c r="J110" i="13"/>
  <c r="K110" i="13"/>
  <c r="L110" i="13"/>
  <c r="M110" i="13"/>
  <c r="N110" i="13"/>
  <c r="O110" i="13"/>
  <c r="D111" i="13"/>
  <c r="D122" i="13"/>
  <c r="E111" i="13"/>
  <c r="F111" i="13"/>
  <c r="G111" i="13"/>
  <c r="H111" i="13"/>
  <c r="I111" i="13"/>
  <c r="J111" i="13"/>
  <c r="K111" i="13"/>
  <c r="K116" i="13"/>
  <c r="L111" i="13"/>
  <c r="L122" i="13"/>
  <c r="M111" i="13"/>
  <c r="N111" i="13"/>
  <c r="O111" i="13"/>
  <c r="D112" i="13"/>
  <c r="E112" i="13"/>
  <c r="F112" i="13"/>
  <c r="G112" i="13"/>
  <c r="H112" i="13"/>
  <c r="H123" i="13"/>
  <c r="I112" i="13"/>
  <c r="J112" i="13"/>
  <c r="K112" i="13"/>
  <c r="L112" i="13"/>
  <c r="M112" i="13"/>
  <c r="N112" i="13"/>
  <c r="O112" i="13"/>
  <c r="D113" i="13"/>
  <c r="D124" i="13"/>
  <c r="E113" i="13"/>
  <c r="F113" i="13"/>
  <c r="G113" i="13"/>
  <c r="H113" i="13"/>
  <c r="I113" i="13"/>
  <c r="J113" i="13"/>
  <c r="K113" i="13"/>
  <c r="L113" i="13"/>
  <c r="L124" i="13"/>
  <c r="M113" i="13"/>
  <c r="N113" i="13"/>
  <c r="O113" i="13"/>
  <c r="D114" i="13"/>
  <c r="E114" i="13"/>
  <c r="F114" i="13"/>
  <c r="G114" i="13"/>
  <c r="H114" i="13"/>
  <c r="H125" i="13"/>
  <c r="I114" i="13"/>
  <c r="J114" i="13"/>
  <c r="K114" i="13"/>
  <c r="L114" i="13"/>
  <c r="M114" i="13"/>
  <c r="N114" i="13"/>
  <c r="O114" i="13"/>
  <c r="D115" i="13"/>
  <c r="D126" i="13"/>
  <c r="E115" i="13"/>
  <c r="F115" i="13"/>
  <c r="G115" i="13"/>
  <c r="H115" i="13"/>
  <c r="I115" i="13"/>
  <c r="I116" i="13"/>
  <c r="J115" i="13"/>
  <c r="J116" i="13"/>
  <c r="K115" i="13"/>
  <c r="L115" i="13"/>
  <c r="L126" i="13"/>
  <c r="M115" i="13"/>
  <c r="N115" i="13"/>
  <c r="O115" i="13"/>
  <c r="E116" i="13"/>
  <c r="F116" i="13"/>
  <c r="G116" i="13"/>
  <c r="M116" i="13"/>
  <c r="N116" i="13"/>
  <c r="O116" i="13"/>
  <c r="E120" i="13"/>
  <c r="F120" i="13"/>
  <c r="G120" i="13"/>
  <c r="H120" i="13"/>
  <c r="I120" i="13"/>
  <c r="J120" i="13"/>
  <c r="K120" i="13"/>
  <c r="K127" i="13"/>
  <c r="M120" i="13"/>
  <c r="N120" i="13"/>
  <c r="O120" i="13"/>
  <c r="D121" i="13"/>
  <c r="E121" i="13"/>
  <c r="F121" i="13"/>
  <c r="G121" i="13"/>
  <c r="I121" i="13"/>
  <c r="J121" i="13"/>
  <c r="K121" i="13"/>
  <c r="L121" i="13"/>
  <c r="M121" i="13"/>
  <c r="N121" i="13"/>
  <c r="O121" i="13"/>
  <c r="E122" i="13"/>
  <c r="F122" i="13"/>
  <c r="G122" i="13"/>
  <c r="H122" i="13"/>
  <c r="I122" i="13"/>
  <c r="J122" i="13"/>
  <c r="K122" i="13"/>
  <c r="M122" i="13"/>
  <c r="N122" i="13"/>
  <c r="O122" i="13"/>
  <c r="D123" i="13"/>
  <c r="E123" i="13"/>
  <c r="F123" i="13"/>
  <c r="G123" i="13"/>
  <c r="I123" i="13"/>
  <c r="J123" i="13"/>
  <c r="K123" i="13"/>
  <c r="L123" i="13"/>
  <c r="M123" i="13"/>
  <c r="N123" i="13"/>
  <c r="O123" i="13"/>
  <c r="E124" i="13"/>
  <c r="F124" i="13"/>
  <c r="G124" i="13"/>
  <c r="H124" i="13"/>
  <c r="I124" i="13"/>
  <c r="J124" i="13"/>
  <c r="J127" i="13"/>
  <c r="K124" i="13"/>
  <c r="M124" i="13"/>
  <c r="N124" i="13"/>
  <c r="O124" i="13"/>
  <c r="D125" i="13"/>
  <c r="E125" i="13"/>
  <c r="F125" i="13"/>
  <c r="G125" i="13"/>
  <c r="I125" i="13"/>
  <c r="J125" i="13"/>
  <c r="K125" i="13"/>
  <c r="L125" i="13"/>
  <c r="M125" i="13"/>
  <c r="N125" i="13"/>
  <c r="O125" i="13"/>
  <c r="E126" i="13"/>
  <c r="F126" i="13"/>
  <c r="G126" i="13"/>
  <c r="H126" i="13"/>
  <c r="I126" i="13"/>
  <c r="J126" i="13"/>
  <c r="K126" i="13"/>
  <c r="M126" i="13"/>
  <c r="N126" i="13"/>
  <c r="O126" i="13"/>
  <c r="E127" i="13"/>
  <c r="F127" i="13"/>
  <c r="G127" i="13"/>
  <c r="I127" i="13"/>
  <c r="M127" i="13"/>
  <c r="N127" i="13"/>
  <c r="O127" i="13"/>
  <c r="D131" i="13"/>
  <c r="E131" i="13"/>
  <c r="F131" i="13"/>
  <c r="G131" i="13"/>
  <c r="H131" i="13"/>
  <c r="I131" i="13"/>
  <c r="J131" i="13"/>
  <c r="K131" i="13"/>
  <c r="L131" i="13"/>
  <c r="M131" i="13"/>
  <c r="N131" i="13"/>
  <c r="O131" i="13"/>
  <c r="D132" i="13"/>
  <c r="E132" i="13"/>
  <c r="F132" i="13"/>
  <c r="G132" i="13"/>
  <c r="H132" i="13"/>
  <c r="H138" i="13"/>
  <c r="I132" i="13"/>
  <c r="J132" i="13"/>
  <c r="K132" i="13"/>
  <c r="L132" i="13"/>
  <c r="M132" i="13"/>
  <c r="N132" i="13"/>
  <c r="O132" i="13"/>
  <c r="D133" i="13"/>
  <c r="E133" i="13"/>
  <c r="F133" i="13"/>
  <c r="G133" i="13"/>
  <c r="H133" i="13"/>
  <c r="I133" i="13"/>
  <c r="J133" i="13"/>
  <c r="K133" i="13"/>
  <c r="K138" i="13"/>
  <c r="L133" i="13"/>
  <c r="M133" i="13"/>
  <c r="N133" i="13"/>
  <c r="O133" i="13"/>
  <c r="D134" i="13"/>
  <c r="E134" i="13"/>
  <c r="F134" i="13"/>
  <c r="G134" i="13"/>
  <c r="H134" i="13"/>
  <c r="I134" i="13"/>
  <c r="J134" i="13"/>
  <c r="K134" i="13"/>
  <c r="L134" i="13"/>
  <c r="M134" i="13"/>
  <c r="N134" i="13"/>
  <c r="O134" i="13"/>
  <c r="D135" i="13"/>
  <c r="E135" i="13"/>
  <c r="F135" i="13"/>
  <c r="G135" i="13"/>
  <c r="H135" i="13"/>
  <c r="I135" i="13"/>
  <c r="J135" i="13"/>
  <c r="K135" i="13"/>
  <c r="L135" i="13"/>
  <c r="M135" i="13"/>
  <c r="N135" i="13"/>
  <c r="O135" i="13"/>
  <c r="D136" i="13"/>
  <c r="E136" i="13"/>
  <c r="F136" i="13"/>
  <c r="G136" i="13"/>
  <c r="H136" i="13"/>
  <c r="I136" i="13"/>
  <c r="J136" i="13"/>
  <c r="K136" i="13"/>
  <c r="L136" i="13"/>
  <c r="M136" i="13"/>
  <c r="N136" i="13"/>
  <c r="O136" i="13"/>
  <c r="D137" i="13"/>
  <c r="E137" i="13"/>
  <c r="F137" i="13"/>
  <c r="G137" i="13"/>
  <c r="H137" i="13"/>
  <c r="I137" i="13"/>
  <c r="J137" i="13"/>
  <c r="J138" i="13"/>
  <c r="K137" i="13"/>
  <c r="L137" i="13"/>
  <c r="M137" i="13"/>
  <c r="N137" i="13"/>
  <c r="O137" i="13"/>
  <c r="E138" i="13"/>
  <c r="F138" i="13"/>
  <c r="G138" i="13"/>
  <c r="I138" i="13"/>
  <c r="M138" i="13"/>
  <c r="N138" i="13"/>
  <c r="O138" i="13"/>
  <c r="AY260" i="14"/>
  <c r="AZ14" i="14"/>
  <c r="AY259" i="14"/>
  <c r="AY181" i="14"/>
  <c r="AY179" i="14"/>
  <c r="AY177" i="14"/>
  <c r="AY175" i="14"/>
  <c r="AX260" i="14"/>
  <c r="AX259" i="14"/>
  <c r="AY14" i="14"/>
  <c r="AX181" i="14"/>
  <c r="AX179" i="14"/>
  <c r="AX177" i="14"/>
  <c r="AX175" i="14"/>
  <c r="AX14" i="14"/>
  <c r="AW259" i="14"/>
  <c r="AW181" i="14"/>
  <c r="AW179" i="14"/>
  <c r="AW177" i="14"/>
  <c r="AW175" i="14"/>
  <c r="AW260" i="14"/>
  <c r="AW14" i="14"/>
  <c r="AV259" i="14"/>
  <c r="AV181" i="14"/>
  <c r="AV179" i="14"/>
  <c r="AV177" i="14"/>
  <c r="AV175" i="14"/>
  <c r="AV14" i="14"/>
  <c r="AU259" i="14"/>
  <c r="AU181" i="14"/>
  <c r="AU179" i="14"/>
  <c r="AU177" i="14"/>
  <c r="AU175" i="14"/>
  <c r="AU14" i="14"/>
  <c r="AT259" i="14"/>
  <c r="AT181" i="14"/>
  <c r="AT179" i="14"/>
  <c r="AT177" i="14"/>
  <c r="AT175" i="14"/>
  <c r="AT260" i="14"/>
  <c r="AT14" i="14"/>
  <c r="AS259" i="14"/>
  <c r="AS181" i="14"/>
  <c r="AS179" i="14"/>
  <c r="AS177" i="14"/>
  <c r="AS175" i="14"/>
  <c r="AS260" i="14"/>
  <c r="AS14" i="14"/>
  <c r="AR259" i="14"/>
  <c r="AR181" i="14"/>
  <c r="AR179" i="14"/>
  <c r="AR177" i="14"/>
  <c r="AR175" i="14"/>
  <c r="AR260" i="14"/>
  <c r="AQ260" i="14"/>
  <c r="AR14" i="14"/>
  <c r="AQ259" i="14"/>
  <c r="AQ181" i="14"/>
  <c r="AQ179" i="14"/>
  <c r="AQ177" i="14"/>
  <c r="AQ175" i="14"/>
  <c r="AP260" i="14"/>
  <c r="AP259" i="14"/>
  <c r="AQ14" i="14"/>
  <c r="AP181" i="14"/>
  <c r="AP179" i="14"/>
  <c r="AP177" i="14"/>
  <c r="AP175" i="14"/>
  <c r="AP14" i="14"/>
  <c r="AO259" i="14"/>
  <c r="AO181" i="14"/>
  <c r="AO179" i="14"/>
  <c r="AO177" i="14"/>
  <c r="AO175" i="14"/>
  <c r="AO260" i="14"/>
  <c r="AO14" i="14"/>
  <c r="AN259" i="14"/>
  <c r="AN181" i="14"/>
  <c r="AN179" i="14"/>
  <c r="AN177" i="14"/>
  <c r="AN175" i="14"/>
  <c r="AN260" i="14"/>
  <c r="AN14" i="14"/>
  <c r="AM259" i="14"/>
  <c r="AM181" i="14"/>
  <c r="AM179" i="14"/>
  <c r="AM177" i="14"/>
  <c r="AM175" i="14"/>
  <c r="AM14" i="14"/>
  <c r="AL259" i="14"/>
  <c r="AL181" i="14"/>
  <c r="AL179" i="14"/>
  <c r="AL177" i="14"/>
  <c r="AL175" i="14"/>
  <c r="AL14" i="14"/>
  <c r="AK259" i="14"/>
  <c r="AK181" i="14"/>
  <c r="AK179" i="14"/>
  <c r="AK177" i="14"/>
  <c r="AK175" i="14"/>
  <c r="AK260" i="14"/>
  <c r="AK14" i="14"/>
  <c r="AJ259" i="14"/>
  <c r="AJ181" i="14"/>
  <c r="AJ179" i="14"/>
  <c r="AJ177" i="14"/>
  <c r="AJ175" i="14"/>
  <c r="AJ260" i="14"/>
  <c r="AI260" i="14"/>
  <c r="AJ14" i="14"/>
  <c r="AI259" i="14"/>
  <c r="AI181" i="14"/>
  <c r="AI179" i="14"/>
  <c r="AI177" i="14"/>
  <c r="AI175" i="14"/>
  <c r="AH259" i="14"/>
  <c r="AI14" i="14"/>
  <c r="AH181" i="14"/>
  <c r="AH179" i="14"/>
  <c r="AH177" i="14"/>
  <c r="AH175" i="14"/>
  <c r="AH260" i="14"/>
  <c r="AH14" i="14"/>
  <c r="AG259" i="14"/>
  <c r="AG181" i="14"/>
  <c r="AG179" i="14"/>
  <c r="AG177" i="14"/>
  <c r="AG175" i="14"/>
  <c r="AG260" i="14"/>
  <c r="AG14" i="14"/>
  <c r="AF259" i="14"/>
  <c r="AF181" i="14"/>
  <c r="AF179" i="14"/>
  <c r="AF177" i="14"/>
  <c r="AF175" i="14"/>
  <c r="AF14" i="14"/>
  <c r="AE259" i="14"/>
  <c r="AE181" i="14"/>
  <c r="AE179" i="14"/>
  <c r="AE177" i="14"/>
  <c r="AE175" i="14"/>
  <c r="AE260" i="14"/>
  <c r="AE14" i="14"/>
  <c r="AD259" i="14"/>
  <c r="AD181" i="14"/>
  <c r="AD179" i="14"/>
  <c r="AD177" i="14"/>
  <c r="AD175" i="14"/>
  <c r="AD260" i="14"/>
  <c r="AD14" i="14"/>
  <c r="AC259" i="14"/>
  <c r="AC181" i="14"/>
  <c r="AC179" i="14"/>
  <c r="AC177" i="14"/>
  <c r="AC175" i="14"/>
  <c r="AC260" i="14"/>
  <c r="AC14" i="14"/>
  <c r="AB259" i="14"/>
  <c r="AB181" i="14"/>
  <c r="AB179" i="14"/>
  <c r="AB177" i="14"/>
  <c r="AB175" i="14"/>
  <c r="AB260" i="14"/>
  <c r="AA260" i="14"/>
  <c r="AB14" i="14"/>
  <c r="AA259" i="14"/>
  <c r="AA181" i="14"/>
  <c r="AA179" i="14"/>
  <c r="AA177" i="14"/>
  <c r="AA175" i="14"/>
  <c r="Z259" i="14"/>
  <c r="AA14" i="14"/>
  <c r="Z181" i="14"/>
  <c r="Z179" i="14"/>
  <c r="Z177" i="14"/>
  <c r="Z175" i="14"/>
  <c r="Z260" i="14"/>
  <c r="Z14" i="14"/>
  <c r="Y259" i="14"/>
  <c r="Y181" i="14"/>
  <c r="Y179" i="14"/>
  <c r="Y177" i="14"/>
  <c r="Y175" i="14"/>
  <c r="Y260" i="14"/>
  <c r="Y14" i="14"/>
  <c r="X259" i="14"/>
  <c r="X181" i="14"/>
  <c r="X179" i="14"/>
  <c r="X177" i="14"/>
  <c r="X175" i="14"/>
  <c r="X260" i="14"/>
  <c r="X14" i="14"/>
  <c r="W259" i="14"/>
  <c r="W181" i="14"/>
  <c r="W179" i="14"/>
  <c r="W177" i="14"/>
  <c r="W175" i="14"/>
  <c r="W14" i="14"/>
  <c r="V259" i="14"/>
  <c r="V181" i="14"/>
  <c r="V179" i="14"/>
  <c r="V177" i="14"/>
  <c r="V175" i="14"/>
  <c r="V260" i="14"/>
  <c r="V14" i="14"/>
  <c r="U259" i="14"/>
  <c r="U181" i="14"/>
  <c r="U179" i="14"/>
  <c r="U177" i="14"/>
  <c r="U175" i="14"/>
  <c r="U260" i="14"/>
  <c r="U14" i="14"/>
  <c r="T259" i="14"/>
  <c r="T181" i="14"/>
  <c r="T179" i="14"/>
  <c r="T177" i="14"/>
  <c r="T175" i="14"/>
  <c r="T260" i="14"/>
  <c r="S260" i="14"/>
  <c r="T14" i="14"/>
  <c r="S259" i="14"/>
  <c r="S181" i="14"/>
  <c r="S179" i="14"/>
  <c r="S177" i="14"/>
  <c r="S175" i="14"/>
  <c r="R259" i="14"/>
  <c r="S14" i="14"/>
  <c r="R181" i="14"/>
  <c r="R179" i="14"/>
  <c r="R177" i="14"/>
  <c r="R175" i="14"/>
  <c r="R260" i="14"/>
  <c r="R14" i="14"/>
  <c r="Q259" i="14"/>
  <c r="Q181" i="14"/>
  <c r="Q179" i="14"/>
  <c r="Q177" i="14"/>
  <c r="Q175" i="14"/>
  <c r="Q260" i="14"/>
  <c r="Q14" i="14"/>
  <c r="P259" i="14"/>
  <c r="P181" i="14"/>
  <c r="P179" i="14"/>
  <c r="P177" i="14"/>
  <c r="P175" i="14"/>
  <c r="P14" i="14"/>
  <c r="O259" i="14"/>
  <c r="O181" i="14"/>
  <c r="O179" i="14"/>
  <c r="O177" i="14"/>
  <c r="O175" i="14"/>
  <c r="O260" i="14"/>
  <c r="O14" i="14"/>
  <c r="N259" i="14"/>
  <c r="N181" i="14"/>
  <c r="N179" i="14"/>
  <c r="N177" i="14"/>
  <c r="N175" i="14"/>
  <c r="N14" i="14"/>
  <c r="M259" i="14"/>
  <c r="M181" i="14"/>
  <c r="M179" i="14"/>
  <c r="M177" i="14"/>
  <c r="M175" i="14"/>
  <c r="M260" i="14"/>
  <c r="L260" i="14"/>
  <c r="M14" i="14"/>
  <c r="L259" i="14"/>
  <c r="L181" i="14"/>
  <c r="L179" i="14"/>
  <c r="L177" i="14"/>
  <c r="L175" i="14"/>
  <c r="K260" i="14"/>
  <c r="K259" i="14"/>
  <c r="L14" i="14"/>
  <c r="K181" i="14"/>
  <c r="K179" i="14"/>
  <c r="K177" i="14"/>
  <c r="K175" i="14"/>
  <c r="J259" i="14"/>
  <c r="K14" i="14"/>
  <c r="J181" i="14"/>
  <c r="J179" i="14"/>
  <c r="J177" i="14"/>
  <c r="J175" i="14"/>
  <c r="J260" i="14"/>
  <c r="J14" i="14"/>
  <c r="I259" i="14"/>
  <c r="I181" i="14"/>
  <c r="I179" i="14"/>
  <c r="I177" i="14"/>
  <c r="I175" i="14"/>
  <c r="I260" i="14"/>
  <c r="I14" i="14"/>
  <c r="H259" i="14"/>
  <c r="H181" i="14"/>
  <c r="H179" i="14"/>
  <c r="H177" i="14"/>
  <c r="H175" i="14"/>
  <c r="G259" i="14"/>
  <c r="H14" i="14"/>
  <c r="G181" i="14"/>
  <c r="G179" i="14"/>
  <c r="G177" i="14"/>
  <c r="G175" i="14"/>
  <c r="G14" i="14"/>
  <c r="F259" i="14"/>
  <c r="F181" i="14"/>
  <c r="F179" i="14"/>
  <c r="F177" i="14"/>
  <c r="F175" i="14"/>
  <c r="F14" i="14"/>
  <c r="E259" i="14"/>
  <c r="E181" i="14"/>
  <c r="E179" i="14"/>
  <c r="E177" i="14"/>
  <c r="E175" i="14"/>
  <c r="E260" i="14"/>
  <c r="D260" i="14"/>
  <c r="E14" i="14"/>
  <c r="D259" i="14"/>
  <c r="AZ259" i="14"/>
  <c r="D181" i="14"/>
  <c r="D179" i="14"/>
  <c r="D177" i="14"/>
  <c r="D175" i="14"/>
  <c r="AY260" i="15"/>
  <c r="AZ14" i="15"/>
  <c r="AY259" i="15"/>
  <c r="AY181" i="15"/>
  <c r="AY179" i="15"/>
  <c r="AY177" i="15"/>
  <c r="AY175" i="15"/>
  <c r="AX259" i="15"/>
  <c r="AY14" i="15"/>
  <c r="AX181" i="15"/>
  <c r="AX179" i="15"/>
  <c r="AX177" i="15"/>
  <c r="AX175" i="15"/>
  <c r="AX260" i="15"/>
  <c r="AX14" i="15"/>
  <c r="AW259" i="15"/>
  <c r="AW181" i="15"/>
  <c r="AW179" i="15"/>
  <c r="AW177" i="15"/>
  <c r="AW175" i="15"/>
  <c r="AW260" i="15"/>
  <c r="AW14" i="15"/>
  <c r="AV259" i="15"/>
  <c r="AV181" i="15"/>
  <c r="AV179" i="15"/>
  <c r="AV177" i="15"/>
  <c r="AV175" i="15"/>
  <c r="AV14" i="15"/>
  <c r="AU259" i="15"/>
  <c r="AU181" i="15"/>
  <c r="AU179" i="15"/>
  <c r="AU177" i="15"/>
  <c r="AU175" i="15"/>
  <c r="AU260" i="15"/>
  <c r="AU14" i="15"/>
  <c r="AT259" i="15"/>
  <c r="AT181" i="15"/>
  <c r="AT179" i="15"/>
  <c r="AT177" i="15"/>
  <c r="AT175" i="15"/>
  <c r="AT14" i="15"/>
  <c r="AS259" i="15"/>
  <c r="AS181" i="15"/>
  <c r="AS179" i="15"/>
  <c r="AS177" i="15"/>
  <c r="AS175" i="15"/>
  <c r="AS260" i="15"/>
  <c r="AS14" i="15"/>
  <c r="AR259" i="15"/>
  <c r="AR181" i="15"/>
  <c r="AR179" i="15"/>
  <c r="AR177" i="15"/>
  <c r="AR175" i="15"/>
  <c r="AR260" i="15"/>
  <c r="AQ260" i="15"/>
  <c r="AR14" i="15"/>
  <c r="AQ259" i="15"/>
  <c r="AQ181" i="15"/>
  <c r="AQ179" i="15"/>
  <c r="AQ177" i="15"/>
  <c r="AQ175" i="15"/>
  <c r="AP259" i="15"/>
  <c r="AQ14" i="15"/>
  <c r="AP181" i="15"/>
  <c r="AP179" i="15"/>
  <c r="AP177" i="15"/>
  <c r="AP175" i="15"/>
  <c r="AP260" i="15"/>
  <c r="AP14" i="15"/>
  <c r="AO259" i="15"/>
  <c r="AO181" i="15"/>
  <c r="AO179" i="15"/>
  <c r="AO177" i="15"/>
  <c r="AO175" i="15"/>
  <c r="AO260" i="15"/>
  <c r="AO14" i="15"/>
  <c r="AN259" i="15"/>
  <c r="AN181" i="15"/>
  <c r="AN179" i="15"/>
  <c r="AN177" i="15"/>
  <c r="AN175" i="15"/>
  <c r="AN260" i="15"/>
  <c r="AN14" i="15"/>
  <c r="AM259" i="15"/>
  <c r="AM181" i="15"/>
  <c r="AM179" i="15"/>
  <c r="AM177" i="15"/>
  <c r="AM175" i="15"/>
  <c r="AM14" i="15"/>
  <c r="AL259" i="15"/>
  <c r="AL181" i="15"/>
  <c r="AL179" i="15"/>
  <c r="AL177" i="15"/>
  <c r="AL175" i="15"/>
  <c r="AL14" i="15"/>
  <c r="AK259" i="15"/>
  <c r="AK181" i="15"/>
  <c r="AK179" i="15"/>
  <c r="AK177" i="15"/>
  <c r="AK175" i="15"/>
  <c r="AK260" i="15"/>
  <c r="AK14" i="15"/>
  <c r="AJ259" i="15"/>
  <c r="AJ181" i="15"/>
  <c r="AJ179" i="15"/>
  <c r="AJ177" i="15"/>
  <c r="AJ175" i="15"/>
  <c r="AJ260" i="15"/>
  <c r="AI260" i="15"/>
  <c r="AJ14" i="15"/>
  <c r="AI259" i="15"/>
  <c r="AI181" i="15"/>
  <c r="AI179" i="15"/>
  <c r="AI177" i="15"/>
  <c r="AI175" i="15"/>
  <c r="AH259" i="15"/>
  <c r="AI14" i="15"/>
  <c r="AH181" i="15"/>
  <c r="AH179" i="15"/>
  <c r="AH177" i="15"/>
  <c r="AH175" i="15"/>
  <c r="AH260" i="15"/>
  <c r="AH14" i="15"/>
  <c r="AG259" i="15"/>
  <c r="AG181" i="15"/>
  <c r="AG179" i="15"/>
  <c r="AG177" i="15"/>
  <c r="AG175" i="15"/>
  <c r="AG260" i="15"/>
  <c r="AG14" i="15"/>
  <c r="AF259" i="15"/>
  <c r="AF181" i="15"/>
  <c r="AF179" i="15"/>
  <c r="AF177" i="15"/>
  <c r="AF175" i="15"/>
  <c r="AF14" i="15"/>
  <c r="AE259" i="15"/>
  <c r="AE181" i="15"/>
  <c r="AE179" i="15"/>
  <c r="AE177" i="15"/>
  <c r="AE175" i="15"/>
  <c r="AE260" i="15"/>
  <c r="AE14" i="15"/>
  <c r="AD259" i="15"/>
  <c r="AD181" i="15"/>
  <c r="AD179" i="15"/>
  <c r="AD177" i="15"/>
  <c r="AD175" i="15"/>
  <c r="AD260" i="15"/>
  <c r="AD14" i="15"/>
  <c r="AC259" i="15"/>
  <c r="AC181" i="15"/>
  <c r="AC179" i="15"/>
  <c r="AC177" i="15"/>
  <c r="AC175" i="15"/>
  <c r="AC260" i="15"/>
  <c r="AC14" i="15"/>
  <c r="AB259" i="15"/>
  <c r="AB181" i="15"/>
  <c r="AB179" i="15"/>
  <c r="AB177" i="15"/>
  <c r="AB175" i="15"/>
  <c r="AB260" i="15"/>
  <c r="AA260" i="15"/>
  <c r="AB14" i="15"/>
  <c r="AA259" i="15"/>
  <c r="AA181" i="15"/>
  <c r="AA179" i="15"/>
  <c r="AA177" i="15"/>
  <c r="AA175" i="15"/>
  <c r="Z259" i="15"/>
  <c r="AA14" i="15"/>
  <c r="Z181" i="15"/>
  <c r="Z179" i="15"/>
  <c r="Z177" i="15"/>
  <c r="Z175" i="15"/>
  <c r="Z260" i="15"/>
  <c r="Z14" i="15"/>
  <c r="Y259" i="15"/>
  <c r="Y181" i="15"/>
  <c r="Y179" i="15"/>
  <c r="Y177" i="15"/>
  <c r="Y175" i="15"/>
  <c r="Y260" i="15"/>
  <c r="Y14" i="15"/>
  <c r="X259" i="15"/>
  <c r="X181" i="15"/>
  <c r="X179" i="15"/>
  <c r="X177" i="15"/>
  <c r="X175" i="15"/>
  <c r="X260" i="15"/>
  <c r="X14" i="15"/>
  <c r="W259" i="15"/>
  <c r="W181" i="15"/>
  <c r="W179" i="15"/>
  <c r="W177" i="15"/>
  <c r="W175" i="15"/>
  <c r="W14" i="15"/>
  <c r="V259" i="15"/>
  <c r="V181" i="15"/>
  <c r="V179" i="15"/>
  <c r="V177" i="15"/>
  <c r="V175" i="15"/>
  <c r="V260" i="15"/>
  <c r="V14" i="15"/>
  <c r="U259" i="15"/>
  <c r="U181" i="15"/>
  <c r="U179" i="15"/>
  <c r="U177" i="15"/>
  <c r="U175" i="15"/>
  <c r="U260" i="15"/>
  <c r="U14" i="15"/>
  <c r="T259" i="15"/>
  <c r="T181" i="15"/>
  <c r="T179" i="15"/>
  <c r="T177" i="15"/>
  <c r="T175" i="15"/>
  <c r="T260" i="15"/>
  <c r="S260" i="15"/>
  <c r="T14" i="15"/>
  <c r="S259" i="15"/>
  <c r="S181" i="15"/>
  <c r="S179" i="15"/>
  <c r="S177" i="15"/>
  <c r="S175" i="15"/>
  <c r="R259" i="15"/>
  <c r="S14" i="15"/>
  <c r="R181" i="15"/>
  <c r="R179" i="15"/>
  <c r="R177" i="15"/>
  <c r="R175" i="15"/>
  <c r="R260" i="15"/>
  <c r="R14" i="15"/>
  <c r="Q259" i="15"/>
  <c r="Q181" i="15"/>
  <c r="Q179" i="15"/>
  <c r="Q177" i="15"/>
  <c r="Q175" i="15"/>
  <c r="Q260" i="15"/>
  <c r="Q14" i="15"/>
  <c r="P259" i="15"/>
  <c r="P181" i="15"/>
  <c r="P179" i="15"/>
  <c r="P177" i="15"/>
  <c r="P175" i="15"/>
  <c r="P14" i="15"/>
  <c r="O259" i="15"/>
  <c r="O181" i="15"/>
  <c r="O179" i="15"/>
  <c r="O177" i="15"/>
  <c r="O175" i="15"/>
  <c r="O260" i="15"/>
  <c r="O14" i="15"/>
  <c r="N259" i="15"/>
  <c r="N181" i="15"/>
  <c r="N179" i="15"/>
  <c r="N177" i="15"/>
  <c r="N175" i="15"/>
  <c r="N14" i="15"/>
  <c r="M259" i="15"/>
  <c r="M181" i="15"/>
  <c r="M179" i="15"/>
  <c r="M177" i="15"/>
  <c r="M175" i="15"/>
  <c r="M260" i="15"/>
  <c r="M14" i="15"/>
  <c r="L259" i="15"/>
  <c r="L181" i="15"/>
  <c r="L179" i="15"/>
  <c r="L177" i="15"/>
  <c r="L175" i="15"/>
  <c r="L260" i="15"/>
  <c r="K260" i="15"/>
  <c r="L14" i="15"/>
  <c r="K259" i="15"/>
  <c r="K181" i="15"/>
  <c r="K179" i="15"/>
  <c r="K177" i="15"/>
  <c r="K175" i="15"/>
  <c r="J259" i="15"/>
  <c r="K14" i="15"/>
  <c r="J181" i="15"/>
  <c r="J179" i="15"/>
  <c r="J177" i="15"/>
  <c r="J175" i="15"/>
  <c r="J260" i="15"/>
  <c r="I260" i="15"/>
  <c r="J14" i="15"/>
  <c r="I259" i="15"/>
  <c r="I181" i="15"/>
  <c r="I179" i="15"/>
  <c r="I177" i="15"/>
  <c r="I175" i="15"/>
  <c r="H259" i="15"/>
  <c r="I14" i="15"/>
  <c r="H181" i="15"/>
  <c r="H260" i="15"/>
  <c r="H179" i="15"/>
  <c r="H177" i="15"/>
  <c r="H175" i="15"/>
  <c r="H14" i="15"/>
  <c r="G259" i="15"/>
  <c r="G181" i="15"/>
  <c r="G179" i="15"/>
  <c r="G260" i="15"/>
  <c r="G177" i="15"/>
  <c r="G175" i="15"/>
  <c r="G14" i="15"/>
  <c r="F259" i="15"/>
  <c r="F181" i="15"/>
  <c r="F179" i="15"/>
  <c r="F177" i="15"/>
  <c r="F175" i="15"/>
  <c r="F260" i="15"/>
  <c r="F14" i="15"/>
  <c r="E259" i="15"/>
  <c r="E181" i="15"/>
  <c r="E179" i="15"/>
  <c r="E177" i="15"/>
  <c r="E175" i="15"/>
  <c r="E260" i="15"/>
  <c r="E14" i="15"/>
  <c r="D259" i="15"/>
  <c r="D181" i="15"/>
  <c r="D179" i="15"/>
  <c r="D177" i="15"/>
  <c r="D175" i="15"/>
  <c r="D260" i="15"/>
  <c r="AY14" i="16"/>
  <c r="AY10" i="16"/>
  <c r="AY13" i="16"/>
  <c r="AY15" i="16"/>
  <c r="AY16" i="16"/>
  <c r="AY17" i="16"/>
  <c r="AY29" i="16"/>
  <c r="AX21" i="16"/>
  <c r="AX22" i="16"/>
  <c r="AX45" i="16"/>
  <c r="AX51" i="16"/>
  <c r="AX23" i="16"/>
  <c r="AX24" i="16"/>
  <c r="AX29" i="16"/>
  <c r="AX33" i="16"/>
  <c r="AX35" i="16"/>
  <c r="AX34" i="16"/>
  <c r="AX40" i="16"/>
  <c r="AX44" i="16"/>
  <c r="AX46" i="16"/>
  <c r="AX50" i="16"/>
  <c r="AW16" i="16"/>
  <c r="AX17" i="16"/>
  <c r="AW21" i="16"/>
  <c r="AW33" i="16"/>
  <c r="AW22" i="16"/>
  <c r="AW24" i="16"/>
  <c r="AW29" i="16"/>
  <c r="AW34" i="16"/>
  <c r="AW40" i="16"/>
  <c r="AW44" i="16"/>
  <c r="AW45" i="16"/>
  <c r="AW51" i="16"/>
  <c r="AV14" i="16"/>
  <c r="AW15" i="16"/>
  <c r="AX16" i="16"/>
  <c r="AV15" i="16"/>
  <c r="AV16" i="16"/>
  <c r="AW17" i="16"/>
  <c r="AV10" i="16"/>
  <c r="AV13" i="16"/>
  <c r="AW14" i="16"/>
  <c r="AV17" i="16"/>
  <c r="AV29" i="16"/>
  <c r="AU14" i="16"/>
  <c r="AU15" i="16"/>
  <c r="AU16" i="16"/>
  <c r="AU10" i="16"/>
  <c r="AU13" i="16"/>
  <c r="AU17" i="16"/>
  <c r="AU29" i="16"/>
  <c r="AT14" i="16"/>
  <c r="AT15" i="16"/>
  <c r="AT16" i="16"/>
  <c r="AT10" i="16"/>
  <c r="AT13" i="16"/>
  <c r="AT17" i="16"/>
  <c r="AT29" i="16"/>
  <c r="AS14" i="16"/>
  <c r="AS15" i="16"/>
  <c r="AS16" i="16"/>
  <c r="AS10" i="16"/>
  <c r="AS13" i="16"/>
  <c r="AS17" i="16"/>
  <c r="AS29" i="16"/>
  <c r="AR14" i="16"/>
  <c r="AR15" i="16"/>
  <c r="AR16" i="16"/>
  <c r="AR10" i="16"/>
  <c r="AR13" i="16"/>
  <c r="AR17" i="16"/>
  <c r="AR29" i="16"/>
  <c r="AQ21" i="16"/>
  <c r="AQ22" i="16"/>
  <c r="AQ24" i="16"/>
  <c r="AQ23" i="16"/>
  <c r="AQ29" i="16"/>
  <c r="AQ33" i="16"/>
  <c r="AQ35" i="16"/>
  <c r="AQ34" i="16"/>
  <c r="AQ40" i="16"/>
  <c r="AQ39" i="16"/>
  <c r="AQ44" i="16"/>
  <c r="AQ45" i="16"/>
  <c r="AQ46" i="16"/>
  <c r="AQ50" i="16"/>
  <c r="AP14" i="16"/>
  <c r="AQ15" i="16"/>
  <c r="AP15" i="16"/>
  <c r="AQ16" i="16"/>
  <c r="AP16" i="16"/>
  <c r="AQ17" i="16"/>
  <c r="AP17" i="16"/>
  <c r="AP29" i="16"/>
  <c r="AO14" i="16"/>
  <c r="AO15" i="16"/>
  <c r="AO16" i="16"/>
  <c r="AO10" i="16"/>
  <c r="AO13" i="16"/>
  <c r="AO17" i="16"/>
  <c r="AO29" i="16"/>
  <c r="AN21" i="16"/>
  <c r="AN22" i="16"/>
  <c r="AN23" i="16"/>
  <c r="AN24" i="16"/>
  <c r="AN29" i="16"/>
  <c r="AN33" i="16"/>
  <c r="AN34" i="16"/>
  <c r="AN35" i="16"/>
  <c r="AN39" i="16"/>
  <c r="AN40" i="16"/>
  <c r="AN44" i="16"/>
  <c r="AN45" i="16"/>
  <c r="AN50" i="16"/>
  <c r="AM14" i="16"/>
  <c r="AN15" i="16"/>
  <c r="AM15" i="16"/>
  <c r="AN16" i="16"/>
  <c r="AM16" i="16"/>
  <c r="AN17" i="16"/>
  <c r="AM10" i="16"/>
  <c r="AM13" i="16"/>
  <c r="AN14" i="16"/>
  <c r="AM17" i="16"/>
  <c r="AM29" i="16"/>
  <c r="AL17" i="16"/>
  <c r="AL21" i="16"/>
  <c r="AL23" i="16"/>
  <c r="AL22" i="16"/>
  <c r="AL24" i="16"/>
  <c r="AL29" i="16"/>
  <c r="AL33" i="16"/>
  <c r="AL34" i="16"/>
  <c r="AL40" i="16"/>
  <c r="AL44" i="16"/>
  <c r="AL46" i="16"/>
  <c r="AL45" i="16"/>
  <c r="AL51" i="16"/>
  <c r="AL50" i="16"/>
  <c r="AK14" i="16"/>
  <c r="AL15" i="16"/>
  <c r="AK15" i="16"/>
  <c r="AL16" i="16"/>
  <c r="AK16" i="16"/>
  <c r="AK10" i="16"/>
  <c r="AK13" i="16"/>
  <c r="AL14" i="16"/>
  <c r="AK17" i="16"/>
  <c r="AK29" i="16"/>
  <c r="AJ14" i="16"/>
  <c r="AJ15" i="16"/>
  <c r="AJ10" i="16"/>
  <c r="AJ13" i="16"/>
  <c r="AJ16" i="16"/>
  <c r="AJ17" i="16"/>
  <c r="AJ29" i="16"/>
  <c r="AI14" i="16"/>
  <c r="AI10" i="16"/>
  <c r="AI13" i="16"/>
  <c r="AI15" i="16"/>
  <c r="AI16" i="16"/>
  <c r="AI17" i="16"/>
  <c r="AI29" i="16"/>
  <c r="AH14" i="16"/>
  <c r="AH10" i="16"/>
  <c r="AH13" i="16"/>
  <c r="AH15" i="16"/>
  <c r="AH16" i="16"/>
  <c r="AH17" i="16"/>
  <c r="AH29" i="16"/>
  <c r="AG14" i="16"/>
  <c r="AG15" i="16"/>
  <c r="AG10" i="16"/>
  <c r="AG13" i="16"/>
  <c r="AG16" i="16"/>
  <c r="AG17" i="16"/>
  <c r="AG29" i="16"/>
  <c r="AF14" i="16"/>
  <c r="AF10" i="16"/>
  <c r="AF13" i="16"/>
  <c r="AF15" i="16"/>
  <c r="AF16" i="16"/>
  <c r="AF17" i="16"/>
  <c r="AF29" i="16"/>
  <c r="AE14" i="16"/>
  <c r="AE10" i="16"/>
  <c r="AE13" i="16"/>
  <c r="AE15" i="16"/>
  <c r="AE16" i="16"/>
  <c r="AE17" i="16"/>
  <c r="AE29" i="16"/>
  <c r="AD14" i="16"/>
  <c r="AD15" i="16"/>
  <c r="AD10" i="16"/>
  <c r="AD13" i="16"/>
  <c r="AD16" i="16"/>
  <c r="AD17" i="16"/>
  <c r="AD29" i="16"/>
  <c r="AC14" i="16"/>
  <c r="AC15" i="16"/>
  <c r="AC16" i="16"/>
  <c r="AC10" i="16"/>
  <c r="AC13" i="16"/>
  <c r="AC17" i="16"/>
  <c r="AC29" i="16"/>
  <c r="AB14" i="16"/>
  <c r="AB15" i="16"/>
  <c r="AB16" i="16"/>
  <c r="AB10" i="16"/>
  <c r="AB13" i="16"/>
  <c r="AB17" i="16"/>
  <c r="AB29" i="16"/>
  <c r="AA14" i="16"/>
  <c r="AA15" i="16"/>
  <c r="AA16" i="16"/>
  <c r="AA10" i="16"/>
  <c r="AA13" i="16"/>
  <c r="AA17" i="16"/>
  <c r="AA29" i="16"/>
  <c r="Z14" i="16"/>
  <c r="Z15" i="16"/>
  <c r="Z16" i="16"/>
  <c r="Z10" i="16"/>
  <c r="Z13" i="16"/>
  <c r="Z17" i="16"/>
  <c r="Z29" i="16"/>
  <c r="Y14" i="16"/>
  <c r="Y10" i="16"/>
  <c r="Y13" i="16"/>
  <c r="Y15" i="16"/>
  <c r="Y16" i="16"/>
  <c r="Y17" i="16"/>
  <c r="Y29" i="16"/>
  <c r="X14" i="16"/>
  <c r="X10" i="16"/>
  <c r="X13" i="16"/>
  <c r="X15" i="16"/>
  <c r="X16" i="16"/>
  <c r="X17" i="16"/>
  <c r="X29" i="16"/>
  <c r="W14" i="16"/>
  <c r="W15" i="16"/>
  <c r="W16" i="16"/>
  <c r="W17" i="16"/>
  <c r="W29" i="16"/>
  <c r="V14" i="16"/>
  <c r="V10" i="16"/>
  <c r="V13" i="16"/>
  <c r="V15" i="16"/>
  <c r="V16" i="16"/>
  <c r="V17" i="16"/>
  <c r="V29" i="16"/>
  <c r="U14" i="16"/>
  <c r="U15" i="16"/>
  <c r="U16" i="16"/>
  <c r="U10" i="16"/>
  <c r="U13" i="16"/>
  <c r="U17" i="16"/>
  <c r="U29" i="16"/>
  <c r="T14" i="16"/>
  <c r="T15" i="16"/>
  <c r="T16" i="16"/>
  <c r="T10" i="16"/>
  <c r="T13" i="16"/>
  <c r="T17" i="16"/>
  <c r="T29" i="16"/>
  <c r="S14" i="16"/>
  <c r="S15" i="16"/>
  <c r="S16" i="16"/>
  <c r="S10" i="16"/>
  <c r="S13" i="16"/>
  <c r="S17" i="16"/>
  <c r="S29" i="16"/>
  <c r="R14" i="16"/>
  <c r="R15" i="16"/>
  <c r="R16" i="16"/>
  <c r="R10" i="16"/>
  <c r="R13" i="16"/>
  <c r="R17" i="16"/>
  <c r="R29" i="16"/>
  <c r="Q14" i="16"/>
  <c r="Q15" i="16"/>
  <c r="Q16" i="16"/>
  <c r="Q10" i="16"/>
  <c r="Q13" i="16"/>
  <c r="Q17" i="16"/>
  <c r="Q29" i="16"/>
  <c r="P14" i="16"/>
  <c r="P10" i="16"/>
  <c r="P13" i="16"/>
  <c r="P15" i="16"/>
  <c r="P16" i="16"/>
  <c r="P17" i="16"/>
  <c r="P29" i="16"/>
  <c r="O14" i="16"/>
  <c r="O10" i="16"/>
  <c r="O13" i="16"/>
  <c r="O15" i="16"/>
  <c r="O16" i="16"/>
  <c r="O17" i="16"/>
  <c r="O29" i="16"/>
  <c r="N14" i="16"/>
  <c r="N15" i="16"/>
  <c r="N16" i="16"/>
  <c r="N17" i="16"/>
  <c r="N29" i="16"/>
  <c r="M14" i="16"/>
  <c r="M15" i="16"/>
  <c r="M16" i="16"/>
  <c r="M10" i="16"/>
  <c r="M13" i="16"/>
  <c r="M17" i="16"/>
  <c r="M29" i="16"/>
  <c r="L14" i="16"/>
  <c r="L15" i="16"/>
  <c r="L16" i="16"/>
  <c r="L10" i="16"/>
  <c r="L13" i="16"/>
  <c r="L17" i="16"/>
  <c r="L29" i="16"/>
  <c r="K14" i="16"/>
  <c r="K10" i="16"/>
  <c r="K13" i="16"/>
  <c r="K15" i="16"/>
  <c r="K16" i="16"/>
  <c r="K17" i="16"/>
  <c r="K29" i="16"/>
  <c r="J14" i="16"/>
  <c r="J15" i="16"/>
  <c r="J16" i="16"/>
  <c r="J10" i="16"/>
  <c r="J13" i="16"/>
  <c r="J17" i="16"/>
  <c r="J29" i="16"/>
  <c r="I14" i="16"/>
  <c r="I15" i="16"/>
  <c r="I16" i="16"/>
  <c r="I10" i="16"/>
  <c r="I13" i="16"/>
  <c r="I17" i="16"/>
  <c r="I29" i="16"/>
  <c r="H14" i="16"/>
  <c r="H10" i="16"/>
  <c r="H13" i="16"/>
  <c r="H15" i="16"/>
  <c r="H16" i="16"/>
  <c r="H17" i="16"/>
  <c r="H29" i="16"/>
  <c r="G14" i="16"/>
  <c r="G15" i="16"/>
  <c r="G10" i="16"/>
  <c r="G13" i="16"/>
  <c r="G16" i="16"/>
  <c r="G17" i="16"/>
  <c r="G29" i="16"/>
  <c r="F14" i="16"/>
  <c r="F15" i="16"/>
  <c r="F16" i="16"/>
  <c r="F17" i="16"/>
  <c r="F29" i="16"/>
  <c r="E14" i="16"/>
  <c r="E15" i="16"/>
  <c r="E16" i="16"/>
  <c r="E10" i="16"/>
  <c r="E13" i="16"/>
  <c r="E17" i="16"/>
  <c r="E29" i="16"/>
  <c r="F27" i="16"/>
  <c r="D14" i="16"/>
  <c r="D10" i="16"/>
  <c r="D15" i="16"/>
  <c r="D16" i="16"/>
  <c r="D13" i="16"/>
  <c r="D17" i="16"/>
  <c r="D27" i="16"/>
  <c r="E27" i="16"/>
  <c r="E30" i="16"/>
  <c r="D29" i="16"/>
  <c r="D30" i="16"/>
  <c r="AY14" i="17"/>
  <c r="AY10" i="17"/>
  <c r="AY13" i="17"/>
  <c r="AY15" i="17"/>
  <c r="AY16" i="17"/>
  <c r="AY17" i="17"/>
  <c r="AY29" i="17"/>
  <c r="AX14" i="17"/>
  <c r="AX10" i="17"/>
  <c r="AX13" i="17"/>
  <c r="AX15" i="17"/>
  <c r="AX16" i="17"/>
  <c r="AX17" i="17"/>
  <c r="AX29" i="17"/>
  <c r="AW14" i="17"/>
  <c r="AW15" i="17"/>
  <c r="AW10" i="17"/>
  <c r="AW13" i="17"/>
  <c r="AW16" i="17"/>
  <c r="AW17" i="17"/>
  <c r="AW29" i="17"/>
  <c r="AV14" i="17"/>
  <c r="AV10" i="17"/>
  <c r="AV13" i="17"/>
  <c r="AV15" i="17"/>
  <c r="AV16" i="17"/>
  <c r="AV17" i="17"/>
  <c r="AV29" i="17"/>
  <c r="AU14" i="17"/>
  <c r="AU15" i="17"/>
  <c r="AU10" i="17"/>
  <c r="AU13" i="17"/>
  <c r="AU16" i="17"/>
  <c r="AU17" i="17"/>
  <c r="AU29" i="17"/>
  <c r="AT14" i="17"/>
  <c r="AT15" i="17"/>
  <c r="AT16" i="17"/>
  <c r="AT10" i="17"/>
  <c r="AT13" i="17"/>
  <c r="AT17" i="17"/>
  <c r="AT29" i="17"/>
  <c r="AS14" i="17"/>
  <c r="AS15" i="17"/>
  <c r="AS16" i="17"/>
  <c r="AS10" i="17"/>
  <c r="AS13" i="17"/>
  <c r="AS17" i="17"/>
  <c r="AS29" i="17"/>
  <c r="AR14" i="17"/>
  <c r="AR15" i="17"/>
  <c r="AR16" i="17"/>
  <c r="AR10" i="17"/>
  <c r="AR13" i="17"/>
  <c r="AR17" i="17"/>
  <c r="AR29" i="17"/>
  <c r="AQ17" i="17"/>
  <c r="AQ21" i="17"/>
  <c r="AQ22" i="17"/>
  <c r="AQ23" i="17"/>
  <c r="AQ24" i="17"/>
  <c r="AQ29" i="17"/>
  <c r="AQ33" i="17"/>
  <c r="AQ34" i="17"/>
  <c r="AQ40" i="17"/>
  <c r="AQ44" i="17"/>
  <c r="AQ45" i="17"/>
  <c r="AQ51" i="17"/>
  <c r="AQ50" i="17"/>
  <c r="AP14" i="17"/>
  <c r="AQ15" i="17"/>
  <c r="AP15" i="17"/>
  <c r="AQ16" i="17"/>
  <c r="AP16" i="17"/>
  <c r="AP10" i="17"/>
  <c r="AP13" i="17"/>
  <c r="AQ14" i="17"/>
  <c r="AP17" i="17"/>
  <c r="AP29" i="17"/>
  <c r="AO14" i="17"/>
  <c r="AO15" i="17"/>
  <c r="AO16" i="17"/>
  <c r="AO10" i="17"/>
  <c r="AO13" i="17"/>
  <c r="AO17" i="17"/>
  <c r="AO29" i="17"/>
  <c r="AN14" i="17"/>
  <c r="AN10" i="17"/>
  <c r="AN13" i="17"/>
  <c r="AN15" i="17"/>
  <c r="AN16" i="17"/>
  <c r="AN17" i="17"/>
  <c r="AN29" i="17"/>
  <c r="AM14" i="17"/>
  <c r="AM15" i="17"/>
  <c r="AM10" i="17"/>
  <c r="AM13" i="17"/>
  <c r="AM16" i="17"/>
  <c r="AM17" i="17"/>
  <c r="AM29" i="17"/>
  <c r="AL14" i="17"/>
  <c r="AL15" i="17"/>
  <c r="AL16" i="17"/>
  <c r="AL10" i="17"/>
  <c r="AL13" i="17"/>
  <c r="AL17" i="17"/>
  <c r="AL29" i="17"/>
  <c r="AK14" i="17"/>
  <c r="AK15" i="17"/>
  <c r="AK16" i="17"/>
  <c r="AK10" i="17"/>
  <c r="AK13" i="17"/>
  <c r="AK17" i="17"/>
  <c r="AK29" i="17"/>
  <c r="AJ14" i="17"/>
  <c r="AJ15" i="17"/>
  <c r="AJ16" i="17"/>
  <c r="AJ10" i="17"/>
  <c r="AJ13" i="17"/>
  <c r="AJ17" i="17"/>
  <c r="AJ29" i="17"/>
  <c r="AI14" i="17"/>
  <c r="AI15" i="17"/>
  <c r="AI16" i="17"/>
  <c r="AI10" i="17"/>
  <c r="AI13" i="17"/>
  <c r="AI17" i="17"/>
  <c r="AI29" i="17"/>
  <c r="AH14" i="17"/>
  <c r="AH10" i="17"/>
  <c r="AH13" i="17"/>
  <c r="AH15" i="17"/>
  <c r="AH16" i="17"/>
  <c r="AH17" i="17"/>
  <c r="AH29" i="17"/>
  <c r="AG14" i="17"/>
  <c r="AG15" i="17"/>
  <c r="AG16" i="17"/>
  <c r="AG10" i="17"/>
  <c r="AG13" i="17"/>
  <c r="AG17" i="17"/>
  <c r="AG29" i="17"/>
  <c r="AF14" i="17"/>
  <c r="AF10" i="17"/>
  <c r="AF13" i="17"/>
  <c r="AF15" i="17"/>
  <c r="AF16" i="17"/>
  <c r="AF17" i="17"/>
  <c r="AF29" i="17"/>
  <c r="AE14" i="17"/>
  <c r="AE15" i="17"/>
  <c r="AE10" i="17"/>
  <c r="AE13" i="17"/>
  <c r="AE16" i="17"/>
  <c r="AE17" i="17"/>
  <c r="AE29" i="17"/>
  <c r="AD14" i="17"/>
  <c r="AD15" i="17"/>
  <c r="AD16" i="17"/>
  <c r="AD10" i="17"/>
  <c r="AD13" i="17"/>
  <c r="AD17" i="17"/>
  <c r="AD29" i="17"/>
  <c r="AC14" i="17"/>
  <c r="AC15" i="17"/>
  <c r="AC16" i="17"/>
  <c r="AC10" i="17"/>
  <c r="AC13" i="17"/>
  <c r="AC17" i="17"/>
  <c r="AC29" i="17"/>
  <c r="AB14" i="17"/>
  <c r="AB10" i="17"/>
  <c r="AB15" i="17"/>
  <c r="AB16" i="17"/>
  <c r="AB13" i="17"/>
  <c r="AB17" i="17"/>
  <c r="AB29" i="17"/>
  <c r="AA14" i="17"/>
  <c r="AA15" i="17"/>
  <c r="AA16" i="17"/>
  <c r="AA10" i="17"/>
  <c r="AA13" i="17"/>
  <c r="AA17" i="17"/>
  <c r="AA29" i="17"/>
  <c r="Z14" i="17"/>
  <c r="Z15" i="17"/>
  <c r="Z16" i="17"/>
  <c r="Z10" i="17"/>
  <c r="Z13" i="17"/>
  <c r="Z17" i="17"/>
  <c r="Z29" i="17"/>
  <c r="Y14" i="17"/>
  <c r="Y15" i="17"/>
  <c r="Y10" i="17"/>
  <c r="Y13" i="17"/>
  <c r="Y16" i="17"/>
  <c r="Y17" i="17"/>
  <c r="Y29" i="17"/>
  <c r="X14" i="17"/>
  <c r="X10" i="17"/>
  <c r="X13" i="17"/>
  <c r="X15" i="17"/>
  <c r="X16" i="17"/>
  <c r="X17" i="17"/>
  <c r="X29" i="17"/>
  <c r="W14" i="17"/>
  <c r="W10" i="17"/>
  <c r="W13" i="17"/>
  <c r="W15" i="17"/>
  <c r="W16" i="17"/>
  <c r="W17" i="17"/>
  <c r="W29" i="17"/>
  <c r="V14" i="17"/>
  <c r="V15" i="17"/>
  <c r="V16" i="17"/>
  <c r="V10" i="17"/>
  <c r="V13" i="17"/>
  <c r="V17" i="17"/>
  <c r="V29" i="17"/>
  <c r="U14" i="17"/>
  <c r="U10" i="17"/>
  <c r="U13" i="17"/>
  <c r="U15" i="17"/>
  <c r="U16" i="17"/>
  <c r="U17" i="17"/>
  <c r="U29" i="17"/>
  <c r="T14" i="17"/>
  <c r="T15" i="17"/>
  <c r="T10" i="17"/>
  <c r="T13" i="17"/>
  <c r="T16" i="17"/>
  <c r="T17" i="17"/>
  <c r="T29" i="17"/>
  <c r="S14" i="17"/>
  <c r="S15" i="17"/>
  <c r="S16" i="17"/>
  <c r="S17" i="17"/>
  <c r="S29" i="17"/>
  <c r="R14" i="17"/>
  <c r="R15" i="17"/>
  <c r="R16" i="17"/>
  <c r="R10" i="17"/>
  <c r="R13" i="17"/>
  <c r="R17" i="17"/>
  <c r="R29" i="17"/>
  <c r="Q14" i="17"/>
  <c r="Q10" i="17"/>
  <c r="Q15" i="17"/>
  <c r="Q16" i="17"/>
  <c r="Q13" i="17"/>
  <c r="Q17" i="17"/>
  <c r="Q29" i="17"/>
  <c r="P14" i="17"/>
  <c r="P10" i="17"/>
  <c r="P13" i="17"/>
  <c r="P15" i="17"/>
  <c r="P16" i="17"/>
  <c r="P17" i="17"/>
  <c r="P29" i="17"/>
  <c r="O14" i="17"/>
  <c r="O10" i="17"/>
  <c r="O13" i="17"/>
  <c r="O15" i="17"/>
  <c r="O16" i="17"/>
  <c r="O17" i="17"/>
  <c r="O29" i="17"/>
  <c r="N14" i="17"/>
  <c r="N10" i="17"/>
  <c r="N13" i="17"/>
  <c r="N15" i="17"/>
  <c r="N16" i="17"/>
  <c r="N17" i="17"/>
  <c r="N29" i="17"/>
  <c r="M14" i="17"/>
  <c r="M10" i="17"/>
  <c r="M13" i="17"/>
  <c r="M15" i="17"/>
  <c r="M16" i="17"/>
  <c r="M17" i="17"/>
  <c r="M29" i="17"/>
  <c r="L14" i="17"/>
  <c r="L15" i="17"/>
  <c r="L10" i="17"/>
  <c r="L13" i="17"/>
  <c r="L16" i="17"/>
  <c r="L17" i="17"/>
  <c r="L29" i="17"/>
  <c r="K14" i="17"/>
  <c r="K10" i="17"/>
  <c r="K13" i="17"/>
  <c r="K15" i="17"/>
  <c r="K16" i="17"/>
  <c r="K17" i="17"/>
  <c r="K29" i="17"/>
  <c r="J14" i="17"/>
  <c r="J15" i="17"/>
  <c r="J16" i="17"/>
  <c r="J10" i="17"/>
  <c r="J13" i="17"/>
  <c r="J17" i="17"/>
  <c r="J29" i="17"/>
  <c r="I14" i="17"/>
  <c r="I15" i="17"/>
  <c r="I16" i="17"/>
  <c r="I10" i="17"/>
  <c r="I13" i="17"/>
  <c r="I17" i="17"/>
  <c r="I29" i="17"/>
  <c r="H17" i="17"/>
  <c r="H21" i="17"/>
  <c r="H23" i="17"/>
  <c r="H22" i="17"/>
  <c r="H34" i="17"/>
  <c r="H40" i="17"/>
  <c r="H29" i="17"/>
  <c r="H33" i="17"/>
  <c r="H44" i="17"/>
  <c r="H45" i="17"/>
  <c r="H51" i="17"/>
  <c r="H50" i="17"/>
  <c r="G14" i="17"/>
  <c r="H15" i="17"/>
  <c r="G15" i="17"/>
  <c r="H16" i="17"/>
  <c r="G16" i="17"/>
  <c r="G17" i="17"/>
  <c r="G29" i="17"/>
  <c r="F14" i="17"/>
  <c r="F15" i="17"/>
  <c r="F16" i="17"/>
  <c r="F10" i="17"/>
  <c r="F13" i="17"/>
  <c r="F17" i="17"/>
  <c r="F29" i="17"/>
  <c r="E14" i="17"/>
  <c r="E10" i="17"/>
  <c r="E13" i="17"/>
  <c r="E15" i="17"/>
  <c r="E16" i="17"/>
  <c r="E17" i="17"/>
  <c r="E29" i="17"/>
  <c r="D14" i="17"/>
  <c r="D10" i="17"/>
  <c r="D15" i="17"/>
  <c r="D16" i="17"/>
  <c r="D17" i="17"/>
  <c r="D27" i="17"/>
  <c r="E27" i="17"/>
  <c r="D29" i="17"/>
  <c r="AY14" i="18"/>
  <c r="AY15" i="18"/>
  <c r="AY16" i="18"/>
  <c r="AY10" i="18"/>
  <c r="AY13" i="18"/>
  <c r="AY17" i="18"/>
  <c r="AY29" i="18"/>
  <c r="AX14" i="18"/>
  <c r="AX15" i="18"/>
  <c r="AX16" i="18"/>
  <c r="AX10" i="18"/>
  <c r="AX13" i="18"/>
  <c r="AX17" i="18"/>
  <c r="AX29" i="18"/>
  <c r="AW14" i="18"/>
  <c r="AW15" i="18"/>
  <c r="AW16" i="18"/>
  <c r="AW10" i="18"/>
  <c r="AW13" i="18"/>
  <c r="AW17" i="18"/>
  <c r="AW29" i="18"/>
  <c r="AV14" i="18"/>
  <c r="AV15" i="18"/>
  <c r="AV16" i="18"/>
  <c r="AV10" i="18"/>
  <c r="AV13" i="18"/>
  <c r="AV17" i="18"/>
  <c r="AV29" i="18"/>
  <c r="AU14" i="18"/>
  <c r="AU15" i="18"/>
  <c r="AU16" i="18"/>
  <c r="AU10" i="18"/>
  <c r="AU13" i="18"/>
  <c r="AU17" i="18"/>
  <c r="AU29" i="18"/>
  <c r="AT14" i="18"/>
  <c r="AT15" i="18"/>
  <c r="AT10" i="18"/>
  <c r="AT13" i="18"/>
  <c r="AT16" i="18"/>
  <c r="AT17" i="18"/>
  <c r="AT29" i="18"/>
  <c r="AS14" i="18"/>
  <c r="AS10" i="18"/>
  <c r="AS13" i="18"/>
  <c r="AS15" i="18"/>
  <c r="AS16" i="18"/>
  <c r="AS17" i="18"/>
  <c r="AS29" i="18"/>
  <c r="AR15" i="18"/>
  <c r="AR21" i="18"/>
  <c r="AR22" i="18"/>
  <c r="AR23" i="18"/>
  <c r="AR24" i="18"/>
  <c r="AR29" i="18"/>
  <c r="AR33" i="18"/>
  <c r="AR35" i="18"/>
  <c r="AR34" i="18"/>
  <c r="AR40" i="18"/>
  <c r="AR44" i="18"/>
  <c r="AR45" i="18"/>
  <c r="AR46" i="18"/>
  <c r="AR50" i="18"/>
  <c r="AR51" i="18"/>
  <c r="AQ14" i="18"/>
  <c r="AQ10" i="18"/>
  <c r="AQ13" i="18"/>
  <c r="AR14" i="18"/>
  <c r="AR10" i="18"/>
  <c r="AR13" i="18"/>
  <c r="AQ15" i="18"/>
  <c r="AR16" i="18"/>
  <c r="AQ16" i="18"/>
  <c r="AR17" i="18"/>
  <c r="AQ17" i="18"/>
  <c r="AQ29" i="18"/>
  <c r="AP14" i="18"/>
  <c r="AP15" i="18"/>
  <c r="AP16" i="18"/>
  <c r="AP10" i="18"/>
  <c r="AP13" i="18"/>
  <c r="AP17" i="18"/>
  <c r="AP29" i="18"/>
  <c r="AO17" i="18"/>
  <c r="AO21" i="18"/>
  <c r="AO44" i="18"/>
  <c r="AO46" i="18"/>
  <c r="AO22" i="18"/>
  <c r="AO24" i="18"/>
  <c r="AO23" i="18"/>
  <c r="AO29" i="18"/>
  <c r="AO33" i="18"/>
  <c r="AO34" i="18"/>
  <c r="AO40" i="18"/>
  <c r="AO45" i="18"/>
  <c r="AO51" i="18"/>
  <c r="AN14" i="18"/>
  <c r="AO15" i="18"/>
  <c r="AN15" i="18"/>
  <c r="AO16" i="18"/>
  <c r="AN16" i="18"/>
  <c r="AN17" i="18"/>
  <c r="AN29" i="18"/>
  <c r="AM14" i="18"/>
  <c r="AM10" i="18"/>
  <c r="AM13" i="18"/>
  <c r="AM15" i="18"/>
  <c r="AM16" i="18"/>
  <c r="AM17" i="18"/>
  <c r="AM29" i="18"/>
  <c r="AL14" i="18"/>
  <c r="AL10" i="18"/>
  <c r="AL13" i="18"/>
  <c r="AL15" i="18"/>
  <c r="AL16" i="18"/>
  <c r="AL17" i="18"/>
  <c r="AL29" i="18"/>
  <c r="AK14" i="18"/>
  <c r="AK15" i="18"/>
  <c r="AK16" i="18"/>
  <c r="AK17" i="18"/>
  <c r="AK29" i="18"/>
  <c r="AJ14" i="18"/>
  <c r="AJ15" i="18"/>
  <c r="AJ16" i="18"/>
  <c r="AJ10" i="18"/>
  <c r="AJ13" i="18"/>
  <c r="AJ17" i="18"/>
  <c r="AJ29" i="18"/>
  <c r="AI14" i="18"/>
  <c r="AI15" i="18"/>
  <c r="AI16" i="18"/>
  <c r="AI10" i="18"/>
  <c r="AI13" i="18"/>
  <c r="AI17" i="18"/>
  <c r="AI29" i="18"/>
  <c r="AH14" i="18"/>
  <c r="AH15" i="18"/>
  <c r="AH16" i="18"/>
  <c r="AH10" i="18"/>
  <c r="AH13" i="18"/>
  <c r="AH17" i="18"/>
  <c r="AH29" i="18"/>
  <c r="AG14" i="18"/>
  <c r="AG10" i="18"/>
  <c r="AG13" i="18"/>
  <c r="AG15" i="18"/>
  <c r="AG16" i="18"/>
  <c r="AG17" i="18"/>
  <c r="AG29" i="18"/>
  <c r="AF14" i="18"/>
  <c r="AF15" i="18"/>
  <c r="AF10" i="18"/>
  <c r="AF13" i="18"/>
  <c r="AF16" i="18"/>
  <c r="AF17" i="18"/>
  <c r="AF29" i="18"/>
  <c r="AE14" i="18"/>
  <c r="AE15" i="18"/>
  <c r="AE16" i="18"/>
  <c r="AE10" i="18"/>
  <c r="AE13" i="18"/>
  <c r="AE17" i="18"/>
  <c r="AE29" i="18"/>
  <c r="AD14" i="18"/>
  <c r="AD10" i="18"/>
  <c r="AD13" i="18"/>
  <c r="AD15" i="18"/>
  <c r="AD16" i="18"/>
  <c r="AD17" i="18"/>
  <c r="AD29" i="18"/>
  <c r="AC14" i="18"/>
  <c r="AC15" i="18"/>
  <c r="AC10" i="18"/>
  <c r="AC13" i="18"/>
  <c r="AC16" i="18"/>
  <c r="AC17" i="18"/>
  <c r="AC29" i="18"/>
  <c r="AB14" i="18"/>
  <c r="AB15" i="18"/>
  <c r="AB16" i="18"/>
  <c r="AB10" i="18"/>
  <c r="AB13" i="18"/>
  <c r="AB17" i="18"/>
  <c r="AB29" i="18"/>
  <c r="AA14" i="18"/>
  <c r="AA15" i="18"/>
  <c r="AA16" i="18"/>
  <c r="AA10" i="18"/>
  <c r="AA13" i="18"/>
  <c r="AA17" i="18"/>
  <c r="AA29" i="18"/>
  <c r="Z14" i="18"/>
  <c r="Z10" i="18"/>
  <c r="Z15" i="18"/>
  <c r="Z16" i="18"/>
  <c r="Z13" i="18"/>
  <c r="Z17" i="18"/>
  <c r="Z29" i="18"/>
  <c r="Y14" i="18"/>
  <c r="Y15" i="18"/>
  <c r="Y16" i="18"/>
  <c r="Y10" i="18"/>
  <c r="Y13" i="18"/>
  <c r="Y17" i="18"/>
  <c r="Y29" i="18"/>
  <c r="X14" i="18"/>
  <c r="X15" i="18"/>
  <c r="X16" i="18"/>
  <c r="X10" i="18"/>
  <c r="X13" i="18"/>
  <c r="X17" i="18"/>
  <c r="X29" i="18"/>
  <c r="W14" i="18"/>
  <c r="W10" i="18"/>
  <c r="W13" i="18"/>
  <c r="W15" i="18"/>
  <c r="W16" i="18"/>
  <c r="W17" i="18"/>
  <c r="W29" i="18"/>
  <c r="V14" i="18"/>
  <c r="V10" i="18"/>
  <c r="V13" i="18"/>
  <c r="V15" i="18"/>
  <c r="V16" i="18"/>
  <c r="V17" i="18"/>
  <c r="V29" i="18"/>
  <c r="U14" i="18"/>
  <c r="U15" i="18"/>
  <c r="U10" i="18"/>
  <c r="U13" i="18"/>
  <c r="U16" i="18"/>
  <c r="U17" i="18"/>
  <c r="U29" i="18"/>
  <c r="T14" i="18"/>
  <c r="T15" i="18"/>
  <c r="T16" i="18"/>
  <c r="T17" i="18"/>
  <c r="T29" i="18"/>
  <c r="S14" i="18"/>
  <c r="S15" i="18"/>
  <c r="S16" i="18"/>
  <c r="S10" i="18"/>
  <c r="S13" i="18"/>
  <c r="S17" i="18"/>
  <c r="S29" i="18"/>
  <c r="R14" i="18"/>
  <c r="R10" i="18"/>
  <c r="R13" i="18"/>
  <c r="R15" i="18"/>
  <c r="R16" i="18"/>
  <c r="R17" i="18"/>
  <c r="R29" i="18"/>
  <c r="Q14" i="18"/>
  <c r="Q10" i="18"/>
  <c r="Q13" i="18"/>
  <c r="Q15" i="18"/>
  <c r="Q16" i="18"/>
  <c r="Q17" i="18"/>
  <c r="Q29" i="18"/>
  <c r="P14" i="18"/>
  <c r="P10" i="18"/>
  <c r="P13" i="18"/>
  <c r="P15" i="18"/>
  <c r="P16" i="18"/>
  <c r="P17" i="18"/>
  <c r="P29" i="18"/>
  <c r="O14" i="18"/>
  <c r="O10" i="18"/>
  <c r="O13" i="18"/>
  <c r="P21" i="18"/>
  <c r="O15" i="18"/>
  <c r="O16" i="18"/>
  <c r="O17" i="18"/>
  <c r="O29" i="18"/>
  <c r="N14" i="18"/>
  <c r="N10" i="18"/>
  <c r="N13" i="18"/>
  <c r="O21" i="18"/>
  <c r="N15" i="18"/>
  <c r="N16" i="18"/>
  <c r="N17" i="18"/>
  <c r="N29" i="18"/>
  <c r="M14" i="18"/>
  <c r="M15" i="18"/>
  <c r="M10" i="18"/>
  <c r="M13" i="18"/>
  <c r="M16" i="18"/>
  <c r="M17" i="18"/>
  <c r="M29" i="18"/>
  <c r="L14" i="18"/>
  <c r="L15" i="18"/>
  <c r="L16" i="18"/>
  <c r="L10" i="18"/>
  <c r="L13" i="18"/>
  <c r="L17" i="18"/>
  <c r="L29" i="18"/>
  <c r="K14" i="18"/>
  <c r="K15" i="18"/>
  <c r="K16" i="18"/>
  <c r="K10" i="18"/>
  <c r="K13" i="18"/>
  <c r="K17" i="18"/>
  <c r="K29" i="18"/>
  <c r="J14" i="18"/>
  <c r="J10" i="18"/>
  <c r="J13" i="18"/>
  <c r="J15" i="18"/>
  <c r="J16" i="18"/>
  <c r="J17" i="18"/>
  <c r="J29" i="18"/>
  <c r="I14" i="18"/>
  <c r="I15" i="18"/>
  <c r="I16" i="18"/>
  <c r="I10" i="18"/>
  <c r="I13" i="18"/>
  <c r="I17" i="18"/>
  <c r="I29" i="18"/>
  <c r="H14" i="18"/>
  <c r="H10" i="18"/>
  <c r="H13" i="18"/>
  <c r="H15" i="18"/>
  <c r="H16" i="18"/>
  <c r="H17" i="18"/>
  <c r="H29" i="18"/>
  <c r="G14" i="18"/>
  <c r="G10" i="18"/>
  <c r="G13" i="18"/>
  <c r="G15" i="18"/>
  <c r="G16" i="18"/>
  <c r="G17" i="18"/>
  <c r="G29" i="18"/>
  <c r="F14" i="18"/>
  <c r="F10" i="18"/>
  <c r="F13" i="18"/>
  <c r="F15" i="18"/>
  <c r="F16" i="18"/>
  <c r="F17" i="18"/>
  <c r="F29" i="18"/>
  <c r="E14" i="18"/>
  <c r="E10" i="18"/>
  <c r="E13" i="18"/>
  <c r="E15" i="18"/>
  <c r="E16" i="18"/>
  <c r="E17" i="18"/>
  <c r="E29" i="18"/>
  <c r="D14" i="18"/>
  <c r="D10" i="18"/>
  <c r="D15" i="18"/>
  <c r="D16" i="18"/>
  <c r="D17" i="18"/>
  <c r="D27" i="18"/>
  <c r="D30" i="18"/>
  <c r="D29" i="18"/>
  <c r="E27" i="18"/>
  <c r="B21" i="16"/>
  <c r="D21" i="16"/>
  <c r="B21" i="17"/>
  <c r="B21" i="18"/>
  <c r="AN21" i="18"/>
  <c r="D133" i="19"/>
  <c r="E133" i="19"/>
  <c r="F133" i="19"/>
  <c r="G133" i="19"/>
  <c r="H133" i="19"/>
  <c r="I133" i="19"/>
  <c r="J133" i="19"/>
  <c r="K133" i="19"/>
  <c r="L133" i="19"/>
  <c r="M133" i="19"/>
  <c r="N133" i="19"/>
  <c r="O133" i="19"/>
  <c r="P133" i="19"/>
  <c r="Q133" i="19"/>
  <c r="R133" i="19"/>
  <c r="S133" i="19"/>
  <c r="T133" i="19"/>
  <c r="U133" i="19"/>
  <c r="V133" i="19"/>
  <c r="W133" i="19"/>
  <c r="X133" i="19"/>
  <c r="Y133" i="19"/>
  <c r="Z133" i="19"/>
  <c r="AA133" i="19"/>
  <c r="AB133" i="19"/>
  <c r="AC133" i="19"/>
  <c r="AD133" i="19"/>
  <c r="AE133" i="19"/>
  <c r="AF133" i="19"/>
  <c r="AG133" i="19"/>
  <c r="AH133" i="19"/>
  <c r="AI133" i="19"/>
  <c r="AJ133" i="19"/>
  <c r="AK133" i="19"/>
  <c r="AL133" i="19"/>
  <c r="AM133" i="19"/>
  <c r="AN133" i="19"/>
  <c r="AO133" i="19"/>
  <c r="AP133" i="19"/>
  <c r="AQ133" i="19"/>
  <c r="AR133" i="19"/>
  <c r="AS133" i="19"/>
  <c r="AT133" i="19"/>
  <c r="AU133" i="19"/>
  <c r="AV133" i="19"/>
  <c r="AW133" i="19"/>
  <c r="AX133" i="19"/>
  <c r="C133" i="19"/>
  <c r="D127" i="19"/>
  <c r="E127" i="19"/>
  <c r="F127" i="19"/>
  <c r="G127" i="19"/>
  <c r="H127" i="19"/>
  <c r="I127" i="19"/>
  <c r="J127" i="19"/>
  <c r="K127" i="19"/>
  <c r="L127" i="19"/>
  <c r="M127" i="19"/>
  <c r="N127" i="19"/>
  <c r="O127" i="19"/>
  <c r="P127" i="19"/>
  <c r="Q127" i="19"/>
  <c r="R127" i="19"/>
  <c r="S127" i="19"/>
  <c r="T127" i="19"/>
  <c r="U127" i="19"/>
  <c r="V127" i="19"/>
  <c r="W127" i="19"/>
  <c r="X127" i="19"/>
  <c r="Y127" i="19"/>
  <c r="Z127" i="19"/>
  <c r="AA127" i="19"/>
  <c r="AB127" i="19"/>
  <c r="AC127" i="19"/>
  <c r="AD127" i="19"/>
  <c r="AE127" i="19"/>
  <c r="AF127" i="19"/>
  <c r="AG127" i="19"/>
  <c r="AH127" i="19"/>
  <c r="AI127" i="19"/>
  <c r="AJ127" i="19"/>
  <c r="AK127" i="19"/>
  <c r="AL127" i="19"/>
  <c r="AM127" i="19"/>
  <c r="AN127" i="19"/>
  <c r="AO127" i="19"/>
  <c r="AP127" i="19"/>
  <c r="AQ127" i="19"/>
  <c r="AR127" i="19"/>
  <c r="AS127" i="19"/>
  <c r="AT127" i="19"/>
  <c r="AU127" i="19"/>
  <c r="AV127" i="19"/>
  <c r="AW127" i="19"/>
  <c r="AX127" i="19"/>
  <c r="C127" i="19"/>
  <c r="D121" i="19"/>
  <c r="E121" i="19"/>
  <c r="F121" i="19"/>
  <c r="G121" i="19"/>
  <c r="H121" i="19"/>
  <c r="I121" i="19"/>
  <c r="J121" i="19"/>
  <c r="K121" i="19"/>
  <c r="L121" i="19"/>
  <c r="M121" i="19"/>
  <c r="N121" i="19"/>
  <c r="O121" i="19"/>
  <c r="P121" i="19"/>
  <c r="Q121" i="19"/>
  <c r="R121" i="19"/>
  <c r="S121" i="19"/>
  <c r="T121" i="19"/>
  <c r="U121" i="19"/>
  <c r="V121" i="19"/>
  <c r="W121" i="19"/>
  <c r="X121" i="19"/>
  <c r="Y121" i="19"/>
  <c r="Z121" i="19"/>
  <c r="AA121" i="19"/>
  <c r="AB121" i="19"/>
  <c r="AC121" i="19"/>
  <c r="AD121" i="19"/>
  <c r="AE121" i="19"/>
  <c r="AF121" i="19"/>
  <c r="AG121" i="19"/>
  <c r="AH121" i="19"/>
  <c r="AI121" i="19"/>
  <c r="AJ121" i="19"/>
  <c r="AK121" i="19"/>
  <c r="AL121" i="19"/>
  <c r="AM121" i="19"/>
  <c r="AN121" i="19"/>
  <c r="AO121" i="19"/>
  <c r="AP121" i="19"/>
  <c r="AQ121" i="19"/>
  <c r="AR121" i="19"/>
  <c r="AS121" i="19"/>
  <c r="AT121" i="19"/>
  <c r="AU121" i="19"/>
  <c r="AV121" i="19"/>
  <c r="AW121" i="19"/>
  <c r="AX121" i="19"/>
  <c r="C121" i="19"/>
  <c r="D115" i="19"/>
  <c r="E115" i="19"/>
  <c r="F115" i="19"/>
  <c r="G115" i="19"/>
  <c r="H115" i="19"/>
  <c r="I115" i="19"/>
  <c r="J115" i="19"/>
  <c r="K115" i="19"/>
  <c r="L115" i="19"/>
  <c r="M115" i="19"/>
  <c r="N115" i="19"/>
  <c r="O115" i="19"/>
  <c r="P115" i="19"/>
  <c r="Q115" i="19"/>
  <c r="R115" i="19"/>
  <c r="S115" i="19"/>
  <c r="T115" i="19"/>
  <c r="U115" i="19"/>
  <c r="V115" i="19"/>
  <c r="W115" i="19"/>
  <c r="X115" i="19"/>
  <c r="Y115" i="19"/>
  <c r="Z115" i="19"/>
  <c r="AA115" i="19"/>
  <c r="AB115" i="19"/>
  <c r="AC115" i="19"/>
  <c r="AD115" i="19"/>
  <c r="AE115" i="19"/>
  <c r="AF115" i="19"/>
  <c r="AG115" i="19"/>
  <c r="AH115" i="19"/>
  <c r="AI115" i="19"/>
  <c r="AJ115" i="19"/>
  <c r="AK115" i="19"/>
  <c r="AL115" i="19"/>
  <c r="AM115" i="19"/>
  <c r="AN115" i="19"/>
  <c r="AO115" i="19"/>
  <c r="AP115" i="19"/>
  <c r="AQ115" i="19"/>
  <c r="AR115" i="19"/>
  <c r="AS115" i="19"/>
  <c r="AT115" i="19"/>
  <c r="AU115" i="19"/>
  <c r="AV115" i="19"/>
  <c r="AW115" i="19"/>
  <c r="AX115" i="19"/>
  <c r="C115" i="19"/>
  <c r="D109" i="19"/>
  <c r="E109" i="19"/>
  <c r="F109" i="19"/>
  <c r="G109" i="19"/>
  <c r="H109" i="19"/>
  <c r="I109" i="19"/>
  <c r="J109" i="19"/>
  <c r="K109" i="19"/>
  <c r="L109" i="19"/>
  <c r="M109" i="19"/>
  <c r="N109" i="19"/>
  <c r="O109" i="19"/>
  <c r="P109" i="19"/>
  <c r="Q109" i="19"/>
  <c r="R109" i="19"/>
  <c r="S109" i="19"/>
  <c r="T109" i="19"/>
  <c r="U109" i="19"/>
  <c r="V109" i="19"/>
  <c r="W109" i="19"/>
  <c r="X109" i="19"/>
  <c r="Y109" i="19"/>
  <c r="Z109" i="19"/>
  <c r="AA109" i="19"/>
  <c r="AB109" i="19"/>
  <c r="AC109" i="19"/>
  <c r="AD109" i="19"/>
  <c r="AE109" i="19"/>
  <c r="AF109" i="19"/>
  <c r="AG109" i="19"/>
  <c r="AH109" i="19"/>
  <c r="AI109" i="19"/>
  <c r="AJ109" i="19"/>
  <c r="AK109" i="19"/>
  <c r="AL109" i="19"/>
  <c r="AM109" i="19"/>
  <c r="AN109" i="19"/>
  <c r="AO109" i="19"/>
  <c r="AP109" i="19"/>
  <c r="AQ109" i="19"/>
  <c r="AR109" i="19"/>
  <c r="AS109" i="19"/>
  <c r="AT109" i="19"/>
  <c r="AU109" i="19"/>
  <c r="AV109" i="19"/>
  <c r="AW109" i="19"/>
  <c r="AX109" i="19"/>
  <c r="C109" i="19"/>
  <c r="D103" i="19"/>
  <c r="E103" i="19"/>
  <c r="F103" i="19"/>
  <c r="G103" i="19"/>
  <c r="H103" i="19"/>
  <c r="I103" i="19"/>
  <c r="J103" i="19"/>
  <c r="K103" i="19"/>
  <c r="L103" i="19"/>
  <c r="M103" i="19"/>
  <c r="N103" i="19"/>
  <c r="O103" i="19"/>
  <c r="P103" i="19"/>
  <c r="Q103" i="19"/>
  <c r="R103" i="19"/>
  <c r="S103" i="19"/>
  <c r="T103" i="19"/>
  <c r="U103" i="19"/>
  <c r="V103" i="19"/>
  <c r="W103" i="19"/>
  <c r="X103" i="19"/>
  <c r="Y103" i="19"/>
  <c r="Z103" i="19"/>
  <c r="AA103" i="19"/>
  <c r="AB103" i="19"/>
  <c r="AC103" i="19"/>
  <c r="AD103" i="19"/>
  <c r="AE103" i="19"/>
  <c r="AF103" i="19"/>
  <c r="AG103" i="19"/>
  <c r="AH103" i="19"/>
  <c r="AI103" i="19"/>
  <c r="AJ103" i="19"/>
  <c r="AK103" i="19"/>
  <c r="AL103" i="19"/>
  <c r="AM103" i="19"/>
  <c r="AN103" i="19"/>
  <c r="AO103" i="19"/>
  <c r="AP103" i="19"/>
  <c r="AQ103" i="19"/>
  <c r="AR103" i="19"/>
  <c r="AS103" i="19"/>
  <c r="AT103" i="19"/>
  <c r="AU103" i="19"/>
  <c r="AV103" i="19"/>
  <c r="AW103" i="19"/>
  <c r="AX103" i="19"/>
  <c r="C103" i="19"/>
  <c r="C88" i="19"/>
  <c r="D88" i="19"/>
  <c r="E88" i="19"/>
  <c r="F88" i="19"/>
  <c r="G88" i="19"/>
  <c r="H88" i="19"/>
  <c r="I88" i="19"/>
  <c r="J88" i="19"/>
  <c r="K88" i="19"/>
  <c r="L88" i="19"/>
  <c r="M88" i="19"/>
  <c r="N88" i="19"/>
  <c r="O88" i="19"/>
  <c r="P88" i="19"/>
  <c r="Q88" i="19"/>
  <c r="R88" i="19"/>
  <c r="S88" i="19"/>
  <c r="T88" i="19"/>
  <c r="U88" i="19"/>
  <c r="V88" i="19"/>
  <c r="W88" i="19"/>
  <c r="X88" i="19"/>
  <c r="Y88" i="19"/>
  <c r="Z88" i="19"/>
  <c r="AA88" i="19"/>
  <c r="AB88" i="19"/>
  <c r="AC88" i="19"/>
  <c r="AD88" i="19"/>
  <c r="AE88" i="19"/>
  <c r="AF88" i="19"/>
  <c r="AG88" i="19"/>
  <c r="AH88" i="19"/>
  <c r="AI88" i="19"/>
  <c r="AJ88" i="19"/>
  <c r="AK88" i="19"/>
  <c r="AL88" i="19"/>
  <c r="AM88" i="19"/>
  <c r="AN88" i="19"/>
  <c r="AO88" i="19"/>
  <c r="AP88" i="19"/>
  <c r="AQ88" i="19"/>
  <c r="AR88" i="19"/>
  <c r="AS88" i="19"/>
  <c r="AT88" i="19"/>
  <c r="AU88" i="19"/>
  <c r="AV88" i="19"/>
  <c r="AW88" i="19"/>
  <c r="AX88" i="19"/>
  <c r="C89" i="19"/>
  <c r="D89" i="19"/>
  <c r="E89" i="19"/>
  <c r="F89" i="19"/>
  <c r="G89" i="19"/>
  <c r="H89" i="19"/>
  <c r="I89" i="19"/>
  <c r="J89" i="19"/>
  <c r="K89" i="19"/>
  <c r="L89" i="19"/>
  <c r="M89" i="19"/>
  <c r="N89" i="19"/>
  <c r="O89" i="19"/>
  <c r="P89" i="19"/>
  <c r="Q89" i="19"/>
  <c r="R89" i="19"/>
  <c r="S89" i="19"/>
  <c r="T89" i="19"/>
  <c r="U89" i="19"/>
  <c r="V89" i="19"/>
  <c r="W89" i="19"/>
  <c r="X89" i="19"/>
  <c r="Y89" i="19"/>
  <c r="Z89" i="19"/>
  <c r="AA89" i="19"/>
  <c r="AB89" i="19"/>
  <c r="AC89" i="19"/>
  <c r="AD89" i="19"/>
  <c r="AE89" i="19"/>
  <c r="AF89" i="19"/>
  <c r="AG89" i="19"/>
  <c r="AH89" i="19"/>
  <c r="AI89" i="19"/>
  <c r="AJ89" i="19"/>
  <c r="AK89" i="19"/>
  <c r="AL89" i="19"/>
  <c r="AM89" i="19"/>
  <c r="AN89" i="19"/>
  <c r="AO89" i="19"/>
  <c r="AP89" i="19"/>
  <c r="AQ89" i="19"/>
  <c r="AR89" i="19"/>
  <c r="AS89" i="19"/>
  <c r="AT89" i="19"/>
  <c r="AU89" i="19"/>
  <c r="AV89" i="19"/>
  <c r="AW89" i="19"/>
  <c r="AX89" i="19"/>
  <c r="C90" i="19"/>
  <c r="D90" i="19"/>
  <c r="E90" i="19"/>
  <c r="F90" i="19"/>
  <c r="G90" i="19"/>
  <c r="H90" i="19"/>
  <c r="I90" i="19"/>
  <c r="J90" i="19"/>
  <c r="K90" i="19"/>
  <c r="L90" i="19"/>
  <c r="M90" i="19"/>
  <c r="N90" i="19"/>
  <c r="O90" i="19"/>
  <c r="P90" i="19"/>
  <c r="Q90" i="19"/>
  <c r="R90" i="19"/>
  <c r="S90" i="19"/>
  <c r="T90" i="19"/>
  <c r="U90" i="19"/>
  <c r="V90" i="19"/>
  <c r="W90" i="19"/>
  <c r="X90" i="19"/>
  <c r="Y90" i="19"/>
  <c r="Z90" i="19"/>
  <c r="AA90" i="19"/>
  <c r="AB90" i="19"/>
  <c r="AC90" i="19"/>
  <c r="AD90" i="19"/>
  <c r="AE90" i="19"/>
  <c r="AF90" i="19"/>
  <c r="AG90" i="19"/>
  <c r="AH90" i="19"/>
  <c r="AI90" i="19"/>
  <c r="AJ90" i="19"/>
  <c r="AK90" i="19"/>
  <c r="AL90" i="19"/>
  <c r="AM90" i="19"/>
  <c r="AN90" i="19"/>
  <c r="AO90" i="19"/>
  <c r="AP90" i="19"/>
  <c r="AQ90" i="19"/>
  <c r="AR90" i="19"/>
  <c r="AS90" i="19"/>
  <c r="AT90" i="19"/>
  <c r="AU90" i="19"/>
  <c r="AV90" i="19"/>
  <c r="AW90" i="19"/>
  <c r="AX90" i="19"/>
  <c r="C91" i="19"/>
  <c r="D91" i="19"/>
  <c r="E91" i="19"/>
  <c r="F91" i="19"/>
  <c r="G91" i="19"/>
  <c r="H91" i="19"/>
  <c r="I91" i="19"/>
  <c r="J91" i="19"/>
  <c r="K91" i="19"/>
  <c r="L91" i="19"/>
  <c r="M91" i="19"/>
  <c r="N91" i="19"/>
  <c r="O91" i="19"/>
  <c r="P91" i="19"/>
  <c r="Q91" i="19"/>
  <c r="R91" i="19"/>
  <c r="S91" i="19"/>
  <c r="T91" i="19"/>
  <c r="U91" i="19"/>
  <c r="V91" i="19"/>
  <c r="W91" i="19"/>
  <c r="X91" i="19"/>
  <c r="Y91" i="19"/>
  <c r="Z91" i="19"/>
  <c r="AA91" i="19"/>
  <c r="AB91" i="19"/>
  <c r="AC91" i="19"/>
  <c r="AD91" i="19"/>
  <c r="AE91" i="19"/>
  <c r="AF91" i="19"/>
  <c r="AG91" i="19"/>
  <c r="AH91" i="19"/>
  <c r="AI91" i="19"/>
  <c r="AJ91" i="19"/>
  <c r="AK91" i="19"/>
  <c r="AL91" i="19"/>
  <c r="AM91" i="19"/>
  <c r="AN91" i="19"/>
  <c r="AO91" i="19"/>
  <c r="AP91" i="19"/>
  <c r="AQ91" i="19"/>
  <c r="AR91" i="19"/>
  <c r="AS91" i="19"/>
  <c r="AT91" i="19"/>
  <c r="AU91" i="19"/>
  <c r="AV91" i="19"/>
  <c r="AW91" i="19"/>
  <c r="AX91" i="19"/>
  <c r="C92" i="19"/>
  <c r="D92" i="19"/>
  <c r="E92" i="19"/>
  <c r="F92" i="19"/>
  <c r="G92" i="19"/>
  <c r="H92" i="19"/>
  <c r="I92" i="19"/>
  <c r="J92" i="19"/>
  <c r="K92" i="19"/>
  <c r="L92" i="19"/>
  <c r="M92" i="19"/>
  <c r="N92" i="19"/>
  <c r="O92" i="19"/>
  <c r="P92" i="19"/>
  <c r="Q92" i="19"/>
  <c r="R92" i="19"/>
  <c r="S92" i="19"/>
  <c r="T92" i="19"/>
  <c r="U92" i="19"/>
  <c r="V92" i="19"/>
  <c r="W92" i="19"/>
  <c r="X92" i="19"/>
  <c r="Y92" i="19"/>
  <c r="Z92" i="19"/>
  <c r="AA92" i="19"/>
  <c r="AB92" i="19"/>
  <c r="AC92" i="19"/>
  <c r="AD92" i="19"/>
  <c r="AE92" i="19"/>
  <c r="AF92" i="19"/>
  <c r="AG92" i="19"/>
  <c r="AH92" i="19"/>
  <c r="AI92" i="19"/>
  <c r="AJ92" i="19"/>
  <c r="AK92" i="19"/>
  <c r="AL92" i="19"/>
  <c r="AM92" i="19"/>
  <c r="AN92" i="19"/>
  <c r="AO92" i="19"/>
  <c r="AP92" i="19"/>
  <c r="AQ92" i="19"/>
  <c r="AR92" i="19"/>
  <c r="AS92" i="19"/>
  <c r="AT92" i="19"/>
  <c r="AU92" i="19"/>
  <c r="AV92" i="19"/>
  <c r="AW92" i="19"/>
  <c r="AX92" i="19"/>
  <c r="C93" i="19"/>
  <c r="D93" i="19"/>
  <c r="E93" i="19"/>
  <c r="F93" i="19"/>
  <c r="G93" i="19"/>
  <c r="H93" i="19"/>
  <c r="I93" i="19"/>
  <c r="J93" i="19"/>
  <c r="K93" i="19"/>
  <c r="L93" i="19"/>
  <c r="M93" i="19"/>
  <c r="N93" i="19"/>
  <c r="O93" i="19"/>
  <c r="P93" i="19"/>
  <c r="Q93" i="19"/>
  <c r="R93" i="19"/>
  <c r="S93" i="19"/>
  <c r="T93" i="19"/>
  <c r="U93" i="19"/>
  <c r="V93" i="19"/>
  <c r="W93" i="19"/>
  <c r="X93" i="19"/>
  <c r="Y93" i="19"/>
  <c r="Z93" i="19"/>
  <c r="AA93" i="19"/>
  <c r="AB93" i="19"/>
  <c r="AC93" i="19"/>
  <c r="AD93" i="19"/>
  <c r="AE93" i="19"/>
  <c r="AF93" i="19"/>
  <c r="AG93" i="19"/>
  <c r="AH93" i="19"/>
  <c r="AI93" i="19"/>
  <c r="AJ93" i="19"/>
  <c r="AK93" i="19"/>
  <c r="AL93" i="19"/>
  <c r="AM93" i="19"/>
  <c r="AN93" i="19"/>
  <c r="AO93" i="19"/>
  <c r="AP93" i="19"/>
  <c r="AQ93" i="19"/>
  <c r="AR93" i="19"/>
  <c r="AS93" i="19"/>
  <c r="AT93" i="19"/>
  <c r="AU93" i="19"/>
  <c r="AV93" i="19"/>
  <c r="AW93" i="19"/>
  <c r="AX93" i="19"/>
  <c r="C19" i="19"/>
  <c r="C28" i="19"/>
  <c r="D19" i="19"/>
  <c r="D28" i="19"/>
  <c r="E19" i="19"/>
  <c r="E28" i="19"/>
  <c r="F19" i="19"/>
  <c r="F28" i="19"/>
  <c r="G19" i="19"/>
  <c r="G28" i="19"/>
  <c r="H19" i="19"/>
  <c r="H28" i="19"/>
  <c r="I19" i="19"/>
  <c r="I28" i="19"/>
  <c r="J19" i="19"/>
  <c r="J28" i="19"/>
  <c r="K19" i="19"/>
  <c r="K28" i="19"/>
  <c r="L19" i="19"/>
  <c r="L28" i="19"/>
  <c r="M19" i="19"/>
  <c r="M28" i="19"/>
  <c r="N19" i="19"/>
  <c r="N28" i="19"/>
  <c r="C20" i="19"/>
  <c r="C29" i="19"/>
  <c r="D20" i="19"/>
  <c r="D29" i="19"/>
  <c r="E20" i="19"/>
  <c r="E29" i="19"/>
  <c r="F20" i="19"/>
  <c r="F29" i="19"/>
  <c r="G20" i="19"/>
  <c r="G29" i="19"/>
  <c r="H20" i="19"/>
  <c r="H29" i="19"/>
  <c r="I20" i="19"/>
  <c r="I29" i="19"/>
  <c r="J20" i="19"/>
  <c r="J29" i="19"/>
  <c r="K20" i="19"/>
  <c r="K29" i="19"/>
  <c r="L20" i="19"/>
  <c r="L29" i="19"/>
  <c r="M20" i="19"/>
  <c r="M29" i="19"/>
  <c r="N20" i="19"/>
  <c r="N29" i="19"/>
  <c r="C21" i="19"/>
  <c r="C30" i="19"/>
  <c r="D21" i="19"/>
  <c r="D30" i="19"/>
  <c r="E21" i="19"/>
  <c r="E30" i="19"/>
  <c r="F21" i="19"/>
  <c r="F30" i="19"/>
  <c r="G21" i="19"/>
  <c r="G30" i="19"/>
  <c r="H21" i="19"/>
  <c r="H30" i="19"/>
  <c r="I21" i="19"/>
  <c r="I30" i="19"/>
  <c r="J21" i="19"/>
  <c r="J30" i="19"/>
  <c r="K21" i="19"/>
  <c r="K30" i="19"/>
  <c r="L21" i="19"/>
  <c r="L30" i="19"/>
  <c r="M21" i="19"/>
  <c r="M30" i="19"/>
  <c r="N21" i="19"/>
  <c r="N30" i="19"/>
  <c r="C22" i="19"/>
  <c r="C31" i="19"/>
  <c r="D22" i="19"/>
  <c r="D31" i="19"/>
  <c r="E22" i="19"/>
  <c r="E31" i="19"/>
  <c r="F22" i="19"/>
  <c r="F31" i="19"/>
  <c r="G22" i="19"/>
  <c r="G31" i="19"/>
  <c r="H22" i="19"/>
  <c r="H31" i="19"/>
  <c r="I22" i="19"/>
  <c r="I31" i="19"/>
  <c r="J22" i="19"/>
  <c r="J31" i="19"/>
  <c r="K22" i="19"/>
  <c r="K31" i="19"/>
  <c r="L22" i="19"/>
  <c r="L31" i="19"/>
  <c r="M22" i="19"/>
  <c r="M31" i="19"/>
  <c r="N22" i="19"/>
  <c r="N31" i="19"/>
  <c r="C23" i="19"/>
  <c r="C32" i="19"/>
  <c r="D23" i="19"/>
  <c r="D32" i="19"/>
  <c r="E23" i="19"/>
  <c r="E32" i="19"/>
  <c r="F23" i="19"/>
  <c r="F32" i="19"/>
  <c r="G23" i="19"/>
  <c r="G32" i="19"/>
  <c r="H23" i="19"/>
  <c r="H32" i="19"/>
  <c r="I23" i="19"/>
  <c r="I32" i="19"/>
  <c r="J23" i="19"/>
  <c r="J32" i="19"/>
  <c r="K23" i="19"/>
  <c r="K32" i="19"/>
  <c r="L23" i="19"/>
  <c r="L32" i="19"/>
  <c r="M23" i="19"/>
  <c r="M32" i="19"/>
  <c r="N23" i="19"/>
  <c r="N32" i="19"/>
  <c r="C24" i="19"/>
  <c r="C33" i="19"/>
  <c r="D24" i="19"/>
  <c r="D33" i="19"/>
  <c r="E24" i="19"/>
  <c r="E33" i="19"/>
  <c r="F24" i="19"/>
  <c r="F33" i="19"/>
  <c r="G24" i="19"/>
  <c r="G33" i="19"/>
  <c r="H24" i="19"/>
  <c r="H33" i="19"/>
  <c r="I24" i="19"/>
  <c r="I33" i="19"/>
  <c r="J24" i="19"/>
  <c r="J33" i="19"/>
  <c r="K24" i="19"/>
  <c r="K33" i="19"/>
  <c r="L24" i="19"/>
  <c r="L33" i="19"/>
  <c r="M24" i="19"/>
  <c r="M33" i="19"/>
  <c r="N24" i="19"/>
  <c r="N33" i="19"/>
  <c r="B22" i="18"/>
  <c r="AM22" i="18"/>
  <c r="B22" i="16"/>
  <c r="F27" i="18"/>
  <c r="E30" i="18"/>
  <c r="F22" i="18"/>
  <c r="F21" i="18"/>
  <c r="I21" i="18"/>
  <c r="I22" i="18"/>
  <c r="AM24" i="18"/>
  <c r="AM45" i="18"/>
  <c r="AM51" i="18"/>
  <c r="AM34" i="18"/>
  <c r="AM40" i="18"/>
  <c r="H21" i="18"/>
  <c r="H22" i="18"/>
  <c r="J21" i="18"/>
  <c r="J22" i="18"/>
  <c r="K21" i="18"/>
  <c r="K22" i="18"/>
  <c r="G21" i="18"/>
  <c r="G22" i="18"/>
  <c r="AN23" i="18"/>
  <c r="AN44" i="18"/>
  <c r="AN33" i="18"/>
  <c r="S21" i="18"/>
  <c r="S22" i="18"/>
  <c r="AZ10" i="18"/>
  <c r="D13" i="18"/>
  <c r="P23" i="18"/>
  <c r="P44" i="18"/>
  <c r="P33" i="18"/>
  <c r="M21" i="18"/>
  <c r="M22" i="18"/>
  <c r="D33" i="16"/>
  <c r="D23" i="16"/>
  <c r="D44" i="16"/>
  <c r="D22" i="18"/>
  <c r="X22" i="18"/>
  <c r="AE22" i="18"/>
  <c r="AN22" i="18"/>
  <c r="AT21" i="18"/>
  <c r="AT22" i="18"/>
  <c r="AH21" i="17"/>
  <c r="D21" i="17"/>
  <c r="AX21" i="17"/>
  <c r="AH22" i="16"/>
  <c r="AH21" i="16"/>
  <c r="D21" i="18"/>
  <c r="T21" i="18"/>
  <c r="T22" i="18"/>
  <c r="V21" i="18"/>
  <c r="V22" i="18"/>
  <c r="W21" i="18"/>
  <c r="AF21" i="18"/>
  <c r="AI21" i="18"/>
  <c r="AI22" i="18"/>
  <c r="AJ21" i="18"/>
  <c r="AJ22" i="18"/>
  <c r="AK21" i="18"/>
  <c r="AK22" i="18"/>
  <c r="AM21" i="18"/>
  <c r="L21" i="18"/>
  <c r="L22" i="18"/>
  <c r="AZ17" i="18"/>
  <c r="O22" i="18"/>
  <c r="AF22" i="18"/>
  <c r="AK10" i="18"/>
  <c r="AK13" i="18"/>
  <c r="AO50" i="18"/>
  <c r="T10" i="18"/>
  <c r="T13" i="18"/>
  <c r="W21" i="17"/>
  <c r="O23" i="18"/>
  <c r="O44" i="18"/>
  <c r="O33" i="18"/>
  <c r="AG22" i="16"/>
  <c r="D22" i="16"/>
  <c r="P22" i="16"/>
  <c r="B22" i="17"/>
  <c r="Z22" i="17"/>
  <c r="W22" i="18"/>
  <c r="X21" i="18"/>
  <c r="AG21" i="18"/>
  <c r="AG22" i="18"/>
  <c r="AH21" i="18"/>
  <c r="AH22" i="18"/>
  <c r="AU21" i="18"/>
  <c r="G21" i="17"/>
  <c r="Z21" i="17"/>
  <c r="N21" i="18"/>
  <c r="N22" i="18"/>
  <c r="R21" i="18"/>
  <c r="R22" i="18"/>
  <c r="AB21" i="18"/>
  <c r="AB22" i="18"/>
  <c r="AC21" i="18"/>
  <c r="AC22" i="18"/>
  <c r="AD21" i="18"/>
  <c r="AD22" i="18"/>
  <c r="AE21" i="18"/>
  <c r="AO35" i="18"/>
  <c r="AO39" i="18"/>
  <c r="P22" i="18"/>
  <c r="Q21" i="18"/>
  <c r="Q22" i="18"/>
  <c r="Y21" i="18"/>
  <c r="Y22" i="18"/>
  <c r="Z21" i="18"/>
  <c r="Z22" i="18"/>
  <c r="AA21" i="18"/>
  <c r="AA22" i="18"/>
  <c r="AQ21" i="18"/>
  <c r="AQ22" i="18"/>
  <c r="Q21" i="17"/>
  <c r="Q22" i="17"/>
  <c r="I21" i="16"/>
  <c r="I22" i="16"/>
  <c r="F27" i="17"/>
  <c r="E30" i="17"/>
  <c r="H35" i="17"/>
  <c r="H39" i="17"/>
  <c r="O22" i="17"/>
  <c r="P21" i="17"/>
  <c r="P22" i="17"/>
  <c r="AP22" i="17"/>
  <c r="AP21" i="17"/>
  <c r="AN10" i="18"/>
  <c r="AN13" i="18"/>
  <c r="AO14" i="18"/>
  <c r="AO10" i="18"/>
  <c r="AO13" i="18"/>
  <c r="AS21" i="18"/>
  <c r="AS22" i="18"/>
  <c r="G22" i="17"/>
  <c r="J21" i="17"/>
  <c r="K21" i="17"/>
  <c r="K22" i="17"/>
  <c r="M21" i="17"/>
  <c r="N21" i="17"/>
  <c r="AS21" i="17"/>
  <c r="AS22" i="17"/>
  <c r="H21" i="16"/>
  <c r="H22" i="16"/>
  <c r="Y21" i="17"/>
  <c r="Y22" i="17"/>
  <c r="AV21" i="18"/>
  <c r="AV22" i="18"/>
  <c r="AW21" i="18"/>
  <c r="AW22" i="18"/>
  <c r="AX21" i="18"/>
  <c r="AX22" i="18"/>
  <c r="AY21" i="18"/>
  <c r="AY22" i="18"/>
  <c r="L21" i="17"/>
  <c r="L22" i="17"/>
  <c r="S21" i="17"/>
  <c r="S22" i="17"/>
  <c r="U21" i="17"/>
  <c r="U22" i="17"/>
  <c r="V21" i="17"/>
  <c r="X21" i="17"/>
  <c r="AG22" i="17"/>
  <c r="G27" i="16"/>
  <c r="F30" i="16"/>
  <c r="AU22" i="18"/>
  <c r="F21" i="17"/>
  <c r="N22" i="17"/>
  <c r="O21" i="17"/>
  <c r="R21" i="17"/>
  <c r="R22" i="17"/>
  <c r="AZ10" i="17"/>
  <c r="D13" i="17"/>
  <c r="S10" i="17"/>
  <c r="S13" i="17"/>
  <c r="F21" i="16"/>
  <c r="F22" i="16"/>
  <c r="AR39" i="18"/>
  <c r="H46" i="17"/>
  <c r="AQ10" i="17"/>
  <c r="AQ13" i="17"/>
  <c r="E21" i="16"/>
  <c r="E22" i="16"/>
  <c r="Q21" i="16"/>
  <c r="F10" i="16"/>
  <c r="F13" i="16"/>
  <c r="G10" i="17"/>
  <c r="G13" i="17"/>
  <c r="H14" i="17"/>
  <c r="H10" i="17"/>
  <c r="H13" i="17"/>
  <c r="AH22" i="17"/>
  <c r="AJ21" i="17"/>
  <c r="AJ22" i="17"/>
  <c r="AK21" i="17"/>
  <c r="AK22" i="17"/>
  <c r="AL21" i="17"/>
  <c r="AL22" i="17"/>
  <c r="AM21" i="17"/>
  <c r="AM22" i="17"/>
  <c r="AN21" i="17"/>
  <c r="AN22" i="17"/>
  <c r="AO21" i="17"/>
  <c r="AQ35" i="17"/>
  <c r="AQ39" i="17"/>
  <c r="AX22" i="17"/>
  <c r="L21" i="16"/>
  <c r="L22" i="16"/>
  <c r="AJ22" i="16"/>
  <c r="AZ17" i="17"/>
  <c r="H24" i="17"/>
  <c r="AY21" i="17"/>
  <c r="D30" i="17"/>
  <c r="AT21" i="17"/>
  <c r="AU21" i="17"/>
  <c r="AU22" i="17"/>
  <c r="AV21" i="17"/>
  <c r="AW21" i="17"/>
  <c r="AD21" i="17"/>
  <c r="AE21" i="17"/>
  <c r="AE22" i="17"/>
  <c r="AF21" i="17"/>
  <c r="AF22" i="17"/>
  <c r="AG21" i="17"/>
  <c r="AI21" i="17"/>
  <c r="AI22" i="17"/>
  <c r="AO22" i="17"/>
  <c r="AA21" i="17"/>
  <c r="AA22" i="17"/>
  <c r="AB21" i="17"/>
  <c r="AB22" i="17"/>
  <c r="AC21" i="17"/>
  <c r="AC22" i="17"/>
  <c r="AQ46" i="17"/>
  <c r="K21" i="16"/>
  <c r="K22" i="16"/>
  <c r="N10" i="16"/>
  <c r="N13" i="16"/>
  <c r="Q22" i="16"/>
  <c r="T21" i="16"/>
  <c r="T22" i="16"/>
  <c r="AA21" i="16"/>
  <c r="AA22" i="16"/>
  <c r="AB21" i="16"/>
  <c r="AI21" i="16"/>
  <c r="AI22" i="16"/>
  <c r="AN10" i="16"/>
  <c r="AN13" i="16"/>
  <c r="AC21" i="16"/>
  <c r="AC22" i="16"/>
  <c r="AD21" i="16"/>
  <c r="AD22" i="16"/>
  <c r="AG21" i="16"/>
  <c r="P21" i="16"/>
  <c r="U21" i="16"/>
  <c r="U22" i="16"/>
  <c r="Z22" i="16"/>
  <c r="AE21" i="16"/>
  <c r="AE22" i="16"/>
  <c r="AF21" i="16"/>
  <c r="AF22" i="16"/>
  <c r="AS21" i="16"/>
  <c r="H127" i="12"/>
  <c r="L127" i="12"/>
  <c r="D127" i="12"/>
  <c r="M21" i="16"/>
  <c r="M22" i="16"/>
  <c r="R22" i="16"/>
  <c r="V21" i="16"/>
  <c r="V22" i="16"/>
  <c r="Y21" i="16"/>
  <c r="H121" i="13"/>
  <c r="H127" i="13"/>
  <c r="H116" i="13"/>
  <c r="L116" i="13"/>
  <c r="L120" i="13"/>
  <c r="L127" i="13"/>
  <c r="D116" i="13"/>
  <c r="D120" i="13"/>
  <c r="D127" i="13"/>
  <c r="H127" i="10"/>
  <c r="R21" i="16"/>
  <c r="W10" i="16"/>
  <c r="W13" i="16"/>
  <c r="AK21" i="16"/>
  <c r="J22" i="16"/>
  <c r="N21" i="16"/>
  <c r="N22" i="16"/>
  <c r="W21" i="16"/>
  <c r="W22" i="16"/>
  <c r="AZ17" i="16"/>
  <c r="J21" i="16"/>
  <c r="S21" i="16"/>
  <c r="S22" i="16"/>
  <c r="Y22" i="16"/>
  <c r="Z21" i="16"/>
  <c r="L138" i="13"/>
  <c r="D138" i="13"/>
  <c r="L138" i="10"/>
  <c r="D138" i="10"/>
  <c r="L116" i="10"/>
  <c r="D116" i="10"/>
  <c r="BA14" i="15"/>
  <c r="AW35" i="16"/>
  <c r="AW39" i="16"/>
  <c r="AZ259" i="15"/>
  <c r="AF260" i="15"/>
  <c r="AL260" i="15"/>
  <c r="AF260" i="14"/>
  <c r="AL260" i="14"/>
  <c r="AU260" i="14"/>
  <c r="H121" i="11"/>
  <c r="H127" i="11"/>
  <c r="L127" i="11"/>
  <c r="D127" i="11"/>
  <c r="S9" i="20"/>
  <c r="H116" i="10"/>
  <c r="AN46" i="16"/>
  <c r="AN51" i="16"/>
  <c r="W260" i="15"/>
  <c r="W260" i="14"/>
  <c r="L116" i="12"/>
  <c r="D116" i="12"/>
  <c r="H8" i="20"/>
  <c r="AL10" i="16"/>
  <c r="AL13" i="16"/>
  <c r="AL35" i="16"/>
  <c r="AL39" i="16"/>
  <c r="AP21" i="16"/>
  <c r="AP22" i="16"/>
  <c r="AW46" i="16"/>
  <c r="AW50" i="16"/>
  <c r="N260" i="15"/>
  <c r="AZ260" i="15"/>
  <c r="AT260" i="15"/>
  <c r="G260" i="14"/>
  <c r="H260" i="14"/>
  <c r="N260" i="14"/>
  <c r="L138" i="12"/>
  <c r="D138" i="12"/>
  <c r="AB22" i="16"/>
  <c r="AK22" i="16"/>
  <c r="AS22" i="16"/>
  <c r="L116" i="11"/>
  <c r="D116" i="11"/>
  <c r="AT21" i="16"/>
  <c r="AT22" i="16"/>
  <c r="AU21" i="16"/>
  <c r="AU22" i="16"/>
  <c r="AV21" i="16"/>
  <c r="AV22" i="16"/>
  <c r="AW10" i="16"/>
  <c r="AW13" i="16"/>
  <c r="AX14" i="16"/>
  <c r="AX10" i="16"/>
  <c r="AX13" i="16"/>
  <c r="AX15" i="16"/>
  <c r="P260" i="15"/>
  <c r="AV260" i="15"/>
  <c r="P260" i="14"/>
  <c r="L138" i="11"/>
  <c r="D138" i="11"/>
  <c r="L127" i="10"/>
  <c r="D127" i="10"/>
  <c r="AJ21" i="16"/>
  <c r="AM260" i="15"/>
  <c r="F260" i="14"/>
  <c r="AZ260" i="14"/>
  <c r="AM260" i="14"/>
  <c r="AV260" i="14"/>
  <c r="BA14" i="14"/>
  <c r="S36" i="20"/>
  <c r="T43" i="20"/>
  <c r="AX39" i="16"/>
  <c r="AQ51" i="16"/>
  <c r="AW23" i="16"/>
  <c r="AP10" i="16"/>
  <c r="AP13" i="16"/>
  <c r="AQ14" i="16"/>
  <c r="AQ10" i="16"/>
  <c r="AQ13" i="16"/>
  <c r="D6" i="6"/>
  <c r="E6" i="6"/>
  <c r="F6" i="6"/>
  <c r="G6" i="6"/>
  <c r="H6" i="6"/>
  <c r="I6" i="6"/>
  <c r="J6" i="6"/>
  <c r="K6" i="6"/>
  <c r="L6" i="6"/>
  <c r="M6" i="6"/>
  <c r="N6" i="6"/>
  <c r="D7" i="6"/>
  <c r="E7" i="6"/>
  <c r="F7" i="6"/>
  <c r="G7" i="6"/>
  <c r="H7" i="6"/>
  <c r="I7" i="6"/>
  <c r="J7" i="6"/>
  <c r="K7" i="6"/>
  <c r="L7" i="6"/>
  <c r="M7" i="6"/>
  <c r="N7" i="6"/>
  <c r="D8" i="6"/>
  <c r="E8" i="6"/>
  <c r="F8" i="6"/>
  <c r="G8" i="6"/>
  <c r="H8" i="6"/>
  <c r="I8" i="6"/>
  <c r="J8" i="6"/>
  <c r="K8" i="6"/>
  <c r="L8" i="6"/>
  <c r="M8" i="6"/>
  <c r="N8" i="6"/>
  <c r="D9" i="6"/>
  <c r="E9" i="6"/>
  <c r="F9" i="6"/>
  <c r="G9" i="6"/>
  <c r="H9" i="6"/>
  <c r="I9" i="6"/>
  <c r="J9" i="6"/>
  <c r="K9" i="6"/>
  <c r="L9" i="6"/>
  <c r="M9" i="6"/>
  <c r="N9" i="6"/>
  <c r="D10" i="6"/>
  <c r="E10" i="6"/>
  <c r="F10" i="6"/>
  <c r="G10" i="6"/>
  <c r="H10" i="6"/>
  <c r="I10" i="6"/>
  <c r="J10" i="6"/>
  <c r="K10" i="6"/>
  <c r="L10" i="6"/>
  <c r="M10" i="6"/>
  <c r="N10" i="6"/>
  <c r="D11" i="6"/>
  <c r="E11" i="6"/>
  <c r="F11" i="6"/>
  <c r="G11" i="6"/>
  <c r="H11" i="6"/>
  <c r="I11" i="6"/>
  <c r="J11" i="6"/>
  <c r="K11" i="6"/>
  <c r="L11" i="6"/>
  <c r="M11" i="6"/>
  <c r="N11" i="6"/>
  <c r="C7" i="6"/>
  <c r="C8" i="6"/>
  <c r="C9" i="6"/>
  <c r="C10" i="6"/>
  <c r="C11" i="6"/>
  <c r="C6" i="6"/>
  <c r="I29" i="7"/>
  <c r="H29" i="7"/>
  <c r="G29" i="7"/>
  <c r="F29" i="7"/>
  <c r="E29" i="7"/>
  <c r="D29" i="7"/>
  <c r="C29" i="7"/>
  <c r="H19" i="7"/>
  <c r="F19" i="7"/>
  <c r="D19" i="7"/>
  <c r="H11" i="7"/>
  <c r="H10" i="7"/>
  <c r="H9" i="7"/>
  <c r="H8" i="7"/>
  <c r="H7" i="7"/>
  <c r="H6" i="7"/>
  <c r="G12" i="5"/>
  <c r="G9" i="5"/>
  <c r="H9" i="5"/>
  <c r="D16" i="5"/>
  <c r="P36" i="6"/>
  <c r="P30" i="6"/>
  <c r="G21" i="5"/>
  <c r="G6" i="5"/>
  <c r="H6" i="5"/>
  <c r="G7" i="5"/>
  <c r="H7" i="5"/>
  <c r="G8" i="5"/>
  <c r="H8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G37" i="5"/>
  <c r="H37" i="5"/>
  <c r="G38" i="5"/>
  <c r="H38" i="5"/>
  <c r="G39" i="5"/>
  <c r="H39" i="5"/>
  <c r="G40" i="5"/>
  <c r="H40" i="5"/>
  <c r="G41" i="5"/>
  <c r="H41" i="5"/>
  <c r="G42" i="5"/>
  <c r="H42" i="5"/>
  <c r="G43" i="5"/>
  <c r="H43" i="5"/>
  <c r="G44" i="5"/>
  <c r="H44" i="5"/>
  <c r="G45" i="5"/>
  <c r="H45" i="5"/>
  <c r="G46" i="5"/>
  <c r="H46" i="5"/>
  <c r="G47" i="5"/>
  <c r="H47" i="5"/>
  <c r="G48" i="5"/>
  <c r="H48" i="5"/>
  <c r="G49" i="5"/>
  <c r="H49" i="5"/>
  <c r="G50" i="5"/>
  <c r="H50" i="5"/>
  <c r="G51" i="5"/>
  <c r="H51" i="5"/>
  <c r="G52" i="5"/>
  <c r="H52" i="5"/>
  <c r="G53" i="5"/>
  <c r="H53" i="5"/>
  <c r="G54" i="5"/>
  <c r="H54" i="5"/>
  <c r="G55" i="5"/>
  <c r="H55" i="5"/>
  <c r="G56" i="5"/>
  <c r="H56" i="5"/>
  <c r="G57" i="5"/>
  <c r="H57" i="5"/>
  <c r="G58" i="5"/>
  <c r="H58" i="5"/>
  <c r="G59" i="5"/>
  <c r="H59" i="5"/>
  <c r="G60" i="5"/>
  <c r="H60" i="5"/>
  <c r="G61" i="5"/>
  <c r="H61" i="5"/>
  <c r="G62" i="5"/>
  <c r="H62" i="5"/>
  <c r="G63" i="5"/>
  <c r="H63" i="5"/>
  <c r="G64" i="5"/>
  <c r="H64" i="5"/>
  <c r="G65" i="5"/>
  <c r="H65" i="5"/>
  <c r="G66" i="5"/>
  <c r="H66" i="5"/>
  <c r="G67" i="5"/>
  <c r="H67" i="5"/>
  <c r="G68" i="5"/>
  <c r="H68" i="5"/>
  <c r="G69" i="5"/>
  <c r="H69" i="5"/>
  <c r="G70" i="5"/>
  <c r="H70" i="5"/>
  <c r="G71" i="5"/>
  <c r="H71" i="5"/>
  <c r="G72" i="5"/>
  <c r="H72" i="5"/>
  <c r="G73" i="5"/>
  <c r="H73" i="5"/>
  <c r="G74" i="5"/>
  <c r="H74" i="5"/>
  <c r="G75" i="5"/>
  <c r="H75" i="5"/>
  <c r="G76" i="5"/>
  <c r="H76" i="5"/>
  <c r="G77" i="5"/>
  <c r="H77" i="5"/>
  <c r="G78" i="5"/>
  <c r="H78" i="5"/>
  <c r="G79" i="5"/>
  <c r="H79" i="5"/>
  <c r="G80" i="5"/>
  <c r="H80" i="5"/>
  <c r="G81" i="5"/>
  <c r="H81" i="5"/>
  <c r="G82" i="5"/>
  <c r="H82" i="5"/>
  <c r="G83" i="5"/>
  <c r="H83" i="5"/>
  <c r="G84" i="5"/>
  <c r="H84" i="5"/>
  <c r="G85" i="5"/>
  <c r="H85" i="5"/>
  <c r="G86" i="5"/>
  <c r="H86" i="5"/>
  <c r="G87" i="5"/>
  <c r="H87" i="5"/>
  <c r="G88" i="5"/>
  <c r="H88" i="5"/>
  <c r="G89" i="5"/>
  <c r="H89" i="5"/>
  <c r="G90" i="5"/>
  <c r="H90" i="5"/>
  <c r="G91" i="5"/>
  <c r="H91" i="5"/>
  <c r="G92" i="5"/>
  <c r="H92" i="5"/>
  <c r="G93" i="5"/>
  <c r="H93" i="5"/>
  <c r="G94" i="5"/>
  <c r="H94" i="5"/>
  <c r="G95" i="5"/>
  <c r="H95" i="5"/>
  <c r="G96" i="5"/>
  <c r="H96" i="5"/>
  <c r="G97" i="5"/>
  <c r="H97" i="5"/>
  <c r="G98" i="5"/>
  <c r="H98" i="5"/>
  <c r="G99" i="5"/>
  <c r="H99" i="5"/>
  <c r="G100" i="5"/>
  <c r="H100" i="5"/>
  <c r="G101" i="5"/>
  <c r="H101" i="5"/>
  <c r="G102" i="5"/>
  <c r="H102" i="5"/>
  <c r="G103" i="5"/>
  <c r="H103" i="5"/>
  <c r="G104" i="5"/>
  <c r="H104" i="5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G107" i="5"/>
  <c r="H36" i="5"/>
  <c r="G16" i="5"/>
  <c r="Z34" i="17"/>
  <c r="Z40" i="17"/>
  <c r="Z24" i="17"/>
  <c r="Z45" i="17"/>
  <c r="Z51" i="17"/>
  <c r="T45" i="18"/>
  <c r="T51" i="18"/>
  <c r="T34" i="18"/>
  <c r="T40" i="18"/>
  <c r="T24" i="18"/>
  <c r="AV34" i="18"/>
  <c r="AV40" i="18"/>
  <c r="AV24" i="18"/>
  <c r="AV45" i="18"/>
  <c r="AV51" i="18"/>
  <c r="AU34" i="16"/>
  <c r="AU40" i="16"/>
  <c r="AU24" i="16"/>
  <c r="AU45" i="16"/>
  <c r="AU51" i="16"/>
  <c r="AB34" i="16"/>
  <c r="AB40" i="16"/>
  <c r="AB24" i="16"/>
  <c r="AB45" i="16"/>
  <c r="AB51" i="16"/>
  <c r="W44" i="16"/>
  <c r="W33" i="16"/>
  <c r="W23" i="16"/>
  <c r="S7" i="20"/>
  <c r="V33" i="16"/>
  <c r="V23" i="16"/>
  <c r="V44" i="16"/>
  <c r="AF24" i="16"/>
  <c r="AF45" i="16"/>
  <c r="AF51" i="16"/>
  <c r="AF34" i="16"/>
  <c r="AF40" i="16"/>
  <c r="AG23" i="16"/>
  <c r="AG44" i="16"/>
  <c r="AG33" i="16"/>
  <c r="AB33" i="16"/>
  <c r="AB23" i="16"/>
  <c r="AB44" i="16"/>
  <c r="K23" i="16"/>
  <c r="K44" i="16"/>
  <c r="K33" i="16"/>
  <c r="AO24" i="17"/>
  <c r="AO45" i="17"/>
  <c r="AO51" i="17"/>
  <c r="AO34" i="17"/>
  <c r="AO40" i="17"/>
  <c r="AD22" i="17"/>
  <c r="AT22" i="17"/>
  <c r="AJ24" i="16"/>
  <c r="AJ45" i="16"/>
  <c r="AJ51" i="16"/>
  <c r="AJ34" i="16"/>
  <c r="AJ40" i="16"/>
  <c r="AN44" i="17"/>
  <c r="AN33" i="17"/>
  <c r="AN23" i="17"/>
  <c r="AJ33" i="17"/>
  <c r="AJ23" i="17"/>
  <c r="AJ44" i="17"/>
  <c r="R33" i="17"/>
  <c r="R23" i="17"/>
  <c r="R44" i="17"/>
  <c r="X22" i="17"/>
  <c r="L44" i="17"/>
  <c r="L33" i="17"/>
  <c r="L23" i="17"/>
  <c r="AV23" i="18"/>
  <c r="AV44" i="18"/>
  <c r="AV33" i="18"/>
  <c r="M22" i="17"/>
  <c r="AS44" i="18"/>
  <c r="AS33" i="18"/>
  <c r="AS23" i="18"/>
  <c r="AQ45" i="18"/>
  <c r="AQ51" i="18"/>
  <c r="AQ34" i="18"/>
  <c r="AQ40" i="18"/>
  <c r="AQ24" i="18"/>
  <c r="Q34" i="18"/>
  <c r="Q40" i="18"/>
  <c r="Q24" i="18"/>
  <c r="Q45" i="18"/>
  <c r="Q51" i="18"/>
  <c r="AC45" i="18"/>
  <c r="AC51" i="18"/>
  <c r="AC34" i="18"/>
  <c r="AC40" i="18"/>
  <c r="AC24" i="18"/>
  <c r="X23" i="18"/>
  <c r="X44" i="18"/>
  <c r="X33" i="18"/>
  <c r="L45" i="18"/>
  <c r="L51" i="18"/>
  <c r="L34" i="18"/>
  <c r="L40" i="18"/>
  <c r="L24" i="18"/>
  <c r="AI34" i="18"/>
  <c r="AI40" i="18"/>
  <c r="AI24" i="18"/>
  <c r="AI45" i="18"/>
  <c r="AI51" i="18"/>
  <c r="D23" i="18"/>
  <c r="D44" i="18"/>
  <c r="D33" i="18"/>
  <c r="AN24" i="18"/>
  <c r="AN45" i="18"/>
  <c r="AN51" i="18"/>
  <c r="AN34" i="18"/>
  <c r="AN40" i="18"/>
  <c r="M45" i="18"/>
  <c r="M51" i="18"/>
  <c r="M34" i="18"/>
  <c r="M40" i="18"/>
  <c r="M24" i="18"/>
  <c r="S33" i="18"/>
  <c r="S23" i="18"/>
  <c r="S44" i="18"/>
  <c r="J24" i="18"/>
  <c r="J45" i="18"/>
  <c r="J51" i="18"/>
  <c r="J34" i="18"/>
  <c r="J40" i="18"/>
  <c r="I33" i="18"/>
  <c r="I23" i="18"/>
  <c r="I44" i="18"/>
  <c r="S31" i="20"/>
  <c r="T32" i="20"/>
  <c r="AI24" i="16"/>
  <c r="AI34" i="16"/>
  <c r="AI40" i="16"/>
  <c r="AI45" i="16"/>
  <c r="AI51" i="16"/>
  <c r="Q34" i="17"/>
  <c r="Q40" i="17"/>
  <c r="Q24" i="17"/>
  <c r="Q45" i="17"/>
  <c r="Q51" i="17"/>
  <c r="D39" i="16"/>
  <c r="P44" i="16"/>
  <c r="P33" i="16"/>
  <c r="P23" i="16"/>
  <c r="AE44" i="17"/>
  <c r="AE33" i="17"/>
  <c r="AE23" i="17"/>
  <c r="AN24" i="17"/>
  <c r="AN45" i="17"/>
  <c r="AN51" i="17"/>
  <c r="AN34" i="17"/>
  <c r="AN40" i="17"/>
  <c r="L45" i="17"/>
  <c r="L51" i="17"/>
  <c r="L34" i="17"/>
  <c r="L40" i="17"/>
  <c r="L24" i="17"/>
  <c r="Q33" i="17"/>
  <c r="Q23" i="17"/>
  <c r="Q44" i="17"/>
  <c r="AT23" i="18"/>
  <c r="AT44" i="18"/>
  <c r="AT33" i="18"/>
  <c r="AR21" i="16"/>
  <c r="AR22" i="16"/>
  <c r="AU33" i="16"/>
  <c r="AU23" i="16"/>
  <c r="AU44" i="16"/>
  <c r="Z23" i="16"/>
  <c r="Z44" i="16"/>
  <c r="Z33" i="16"/>
  <c r="N45" i="16"/>
  <c r="N51" i="16"/>
  <c r="N34" i="16"/>
  <c r="N40" i="16"/>
  <c r="N24" i="16"/>
  <c r="H7" i="20"/>
  <c r="R24" i="16"/>
  <c r="R45" i="16"/>
  <c r="R51" i="16"/>
  <c r="R34" i="16"/>
  <c r="R40" i="16"/>
  <c r="AF44" i="16"/>
  <c r="AF33" i="16"/>
  <c r="AF23" i="16"/>
  <c r="AD45" i="16"/>
  <c r="AD51" i="16"/>
  <c r="AD34" i="16"/>
  <c r="AD40" i="16"/>
  <c r="AD24" i="16"/>
  <c r="AA34" i="16"/>
  <c r="AA40" i="16"/>
  <c r="AA24" i="16"/>
  <c r="AA45" i="16"/>
  <c r="AA51" i="16"/>
  <c r="AI34" i="17"/>
  <c r="AI40" i="17"/>
  <c r="AI24" i="17"/>
  <c r="AI45" i="17"/>
  <c r="AI51" i="17"/>
  <c r="AD33" i="17"/>
  <c r="AD23" i="17"/>
  <c r="AD44" i="17"/>
  <c r="AT33" i="17"/>
  <c r="AT23" i="17"/>
  <c r="AT44" i="17"/>
  <c r="L34" i="16"/>
  <c r="L40" i="16"/>
  <c r="L24" i="16"/>
  <c r="L45" i="16"/>
  <c r="L51" i="16"/>
  <c r="AM45" i="17"/>
  <c r="AM51" i="17"/>
  <c r="AM34" i="17"/>
  <c r="AM40" i="17"/>
  <c r="AM24" i="17"/>
  <c r="AH24" i="17"/>
  <c r="AH45" i="17"/>
  <c r="AH51" i="17"/>
  <c r="AH34" i="17"/>
  <c r="AH40" i="17"/>
  <c r="O23" i="17"/>
  <c r="O44" i="17"/>
  <c r="O33" i="17"/>
  <c r="X23" i="17"/>
  <c r="X44" i="17"/>
  <c r="X33" i="17"/>
  <c r="AY45" i="18"/>
  <c r="AY51" i="18"/>
  <c r="AY34" i="18"/>
  <c r="AY40" i="18"/>
  <c r="AY24" i="18"/>
  <c r="Y34" i="17"/>
  <c r="Y40" i="17"/>
  <c r="Y24" i="17"/>
  <c r="Y45" i="17"/>
  <c r="Y51" i="17"/>
  <c r="M44" i="17"/>
  <c r="M33" i="17"/>
  <c r="M23" i="17"/>
  <c r="AP21" i="18"/>
  <c r="AP22" i="18"/>
  <c r="AQ33" i="18"/>
  <c r="AQ23" i="18"/>
  <c r="AQ44" i="18"/>
  <c r="Q23" i="18"/>
  <c r="Q44" i="18"/>
  <c r="Q33" i="18"/>
  <c r="AC44" i="18"/>
  <c r="AC33" i="18"/>
  <c r="AC23" i="18"/>
  <c r="Z33" i="17"/>
  <c r="Z23" i="17"/>
  <c r="Z44" i="17"/>
  <c r="W24" i="18"/>
  <c r="W45" i="18"/>
  <c r="W51" i="18"/>
  <c r="W34" i="18"/>
  <c r="W40" i="18"/>
  <c r="W23" i="17"/>
  <c r="W44" i="17"/>
  <c r="W33" i="17"/>
  <c r="L33" i="18"/>
  <c r="L23" i="18"/>
  <c r="L44" i="18"/>
  <c r="AI33" i="18"/>
  <c r="AI23" i="18"/>
  <c r="AI44" i="18"/>
  <c r="AH23" i="16"/>
  <c r="AH44" i="16"/>
  <c r="AH33" i="16"/>
  <c r="AE24" i="18"/>
  <c r="AE45" i="18"/>
  <c r="AE51" i="18"/>
  <c r="AE34" i="18"/>
  <c r="AE40" i="18"/>
  <c r="M44" i="18"/>
  <c r="M33" i="18"/>
  <c r="M23" i="18"/>
  <c r="AN35" i="18"/>
  <c r="AN39" i="18"/>
  <c r="J23" i="18"/>
  <c r="J33" i="18"/>
  <c r="J44" i="18"/>
  <c r="F23" i="18"/>
  <c r="F44" i="18"/>
  <c r="F33" i="18"/>
  <c r="AS24" i="16"/>
  <c r="AS45" i="16"/>
  <c r="AS51" i="16"/>
  <c r="AS34" i="16"/>
  <c r="AS40" i="16"/>
  <c r="AA34" i="17"/>
  <c r="AA40" i="17"/>
  <c r="AA24" i="17"/>
  <c r="AA45" i="17"/>
  <c r="AA51" i="17"/>
  <c r="AW33" i="18"/>
  <c r="AW23" i="18"/>
  <c r="AW44" i="18"/>
  <c r="K34" i="16"/>
  <c r="K40" i="16"/>
  <c r="K24" i="16"/>
  <c r="K45" i="16"/>
  <c r="K51" i="16"/>
  <c r="AJ34" i="17"/>
  <c r="AJ40" i="17"/>
  <c r="AJ24" i="17"/>
  <c r="AJ45" i="17"/>
  <c r="AJ51" i="17"/>
  <c r="O24" i="17"/>
  <c r="O45" i="17"/>
  <c r="O51" i="17"/>
  <c r="O34" i="17"/>
  <c r="O40" i="17"/>
  <c r="K33" i="18"/>
  <c r="K23" i="18"/>
  <c r="K44" i="18"/>
  <c r="AT34" i="16"/>
  <c r="AT40" i="16"/>
  <c r="AT24" i="16"/>
  <c r="AT45" i="16"/>
  <c r="AT51" i="16"/>
  <c r="AP45" i="16"/>
  <c r="AP51" i="16"/>
  <c r="AP34" i="16"/>
  <c r="AP40" i="16"/>
  <c r="AP24" i="16"/>
  <c r="H10" i="20"/>
  <c r="Y24" i="16"/>
  <c r="Y45" i="16"/>
  <c r="Y51" i="16"/>
  <c r="Y34" i="16"/>
  <c r="Y40" i="16"/>
  <c r="N33" i="16"/>
  <c r="N23" i="16"/>
  <c r="N44" i="16"/>
  <c r="M34" i="16"/>
  <c r="M40" i="16"/>
  <c r="M24" i="16"/>
  <c r="M45" i="16"/>
  <c r="M51" i="16"/>
  <c r="AE45" i="16"/>
  <c r="AE51" i="16"/>
  <c r="AE34" i="16"/>
  <c r="AE40" i="16"/>
  <c r="AE24" i="16"/>
  <c r="AD33" i="16"/>
  <c r="AD23" i="16"/>
  <c r="AD44" i="16"/>
  <c r="AA23" i="16"/>
  <c r="AA44" i="16"/>
  <c r="AA33" i="16"/>
  <c r="AC34" i="17"/>
  <c r="AC40" i="17"/>
  <c r="AC24" i="17"/>
  <c r="AC45" i="17"/>
  <c r="AC51" i="17"/>
  <c r="AI23" i="17"/>
  <c r="AI44" i="17"/>
  <c r="AI33" i="17"/>
  <c r="L33" i="16"/>
  <c r="L23" i="16"/>
  <c r="L44" i="16"/>
  <c r="AM44" i="17"/>
  <c r="AM33" i="17"/>
  <c r="AM23" i="17"/>
  <c r="I21" i="17"/>
  <c r="I22" i="17"/>
  <c r="F45" i="16"/>
  <c r="F51" i="16"/>
  <c r="F34" i="16"/>
  <c r="F40" i="16"/>
  <c r="F24" i="16"/>
  <c r="N24" i="17"/>
  <c r="N45" i="17"/>
  <c r="N51" i="17"/>
  <c r="N34" i="17"/>
  <c r="N40" i="17"/>
  <c r="V23" i="17"/>
  <c r="V44" i="17"/>
  <c r="V33" i="17"/>
  <c r="AY33" i="18"/>
  <c r="AY23" i="18"/>
  <c r="AY44" i="18"/>
  <c r="Y33" i="17"/>
  <c r="Y23" i="17"/>
  <c r="Y44" i="17"/>
  <c r="K45" i="17"/>
  <c r="K51" i="17"/>
  <c r="K34" i="17"/>
  <c r="K40" i="17"/>
  <c r="K24" i="17"/>
  <c r="AP23" i="17"/>
  <c r="AP44" i="17"/>
  <c r="AP33" i="17"/>
  <c r="AA34" i="18"/>
  <c r="AA40" i="18"/>
  <c r="AA24" i="18"/>
  <c r="AA45" i="18"/>
  <c r="AA51" i="18"/>
  <c r="P24" i="18"/>
  <c r="P45" i="18"/>
  <c r="P51" i="18"/>
  <c r="P34" i="18"/>
  <c r="P40" i="18"/>
  <c r="AB45" i="18"/>
  <c r="AB51" i="18"/>
  <c r="AB34" i="18"/>
  <c r="AB40" i="18"/>
  <c r="AB24" i="18"/>
  <c r="G23" i="17"/>
  <c r="G44" i="17"/>
  <c r="G33" i="17"/>
  <c r="D22" i="17"/>
  <c r="AW22" i="17"/>
  <c r="V22" i="17"/>
  <c r="U21" i="18"/>
  <c r="U22" i="18"/>
  <c r="F22" i="17"/>
  <c r="AF23" i="18"/>
  <c r="AF44" i="18"/>
  <c r="AF33" i="18"/>
  <c r="AH24" i="16"/>
  <c r="AH45" i="16"/>
  <c r="AH51" i="16"/>
  <c r="AH34" i="16"/>
  <c r="AH40" i="16"/>
  <c r="X24" i="18"/>
  <c r="X45" i="18"/>
  <c r="X51" i="18"/>
  <c r="X34" i="18"/>
  <c r="X40" i="18"/>
  <c r="P35" i="18"/>
  <c r="P39" i="18"/>
  <c r="AN46" i="18"/>
  <c r="AN50" i="18"/>
  <c r="H34" i="18"/>
  <c r="H40" i="18"/>
  <c r="H24" i="18"/>
  <c r="H45" i="18"/>
  <c r="H51" i="18"/>
  <c r="F24" i="18"/>
  <c r="F45" i="18"/>
  <c r="F51" i="18"/>
  <c r="F34" i="18"/>
  <c r="F40" i="18"/>
  <c r="R23" i="16"/>
  <c r="R44" i="16"/>
  <c r="R33" i="16"/>
  <c r="U33" i="16"/>
  <c r="U23" i="16"/>
  <c r="U44" i="16"/>
  <c r="AE45" i="17"/>
  <c r="AE51" i="17"/>
  <c r="AE34" i="17"/>
  <c r="AE40" i="17"/>
  <c r="AE24" i="17"/>
  <c r="E33" i="16"/>
  <c r="E23" i="16"/>
  <c r="E44" i="16"/>
  <c r="S33" i="17"/>
  <c r="S23" i="17"/>
  <c r="S44" i="17"/>
  <c r="P23" i="17"/>
  <c r="P44" i="17"/>
  <c r="P33" i="17"/>
  <c r="N24" i="18"/>
  <c r="N45" i="18"/>
  <c r="N51" i="18"/>
  <c r="N34" i="18"/>
  <c r="N40" i="18"/>
  <c r="O24" i="18"/>
  <c r="O45" i="18"/>
  <c r="O51" i="18"/>
  <c r="O34" i="18"/>
  <c r="O40" i="18"/>
  <c r="K34" i="18"/>
  <c r="K40" i="18"/>
  <c r="K24" i="18"/>
  <c r="K45" i="18"/>
  <c r="K51" i="18"/>
  <c r="AK24" i="16"/>
  <c r="AK45" i="16"/>
  <c r="AK51" i="16"/>
  <c r="AK34" i="16"/>
  <c r="AK40" i="16"/>
  <c r="V45" i="16"/>
  <c r="V51" i="16"/>
  <c r="V34" i="16"/>
  <c r="V40" i="16"/>
  <c r="V24" i="16"/>
  <c r="AA23" i="17"/>
  <c r="AA44" i="17"/>
  <c r="AA33" i="17"/>
  <c r="AR21" i="17"/>
  <c r="AR22" i="17"/>
  <c r="N23" i="17"/>
  <c r="N44" i="17"/>
  <c r="N33" i="17"/>
  <c r="AD44" i="18"/>
  <c r="AD33" i="18"/>
  <c r="AD23" i="18"/>
  <c r="T33" i="18"/>
  <c r="T23" i="18"/>
  <c r="T44" i="18"/>
  <c r="S34" i="18"/>
  <c r="S40" i="18"/>
  <c r="S24" i="18"/>
  <c r="S45" i="18"/>
  <c r="S51" i="18"/>
  <c r="AJ23" i="16"/>
  <c r="AJ44" i="16"/>
  <c r="AJ33" i="16"/>
  <c r="AT23" i="16"/>
  <c r="AT44" i="16"/>
  <c r="AT33" i="16"/>
  <c r="AP44" i="16"/>
  <c r="AP33" i="16"/>
  <c r="AP23" i="16"/>
  <c r="S34" i="16"/>
  <c r="S40" i="16"/>
  <c r="S24" i="16"/>
  <c r="S45" i="16"/>
  <c r="S51" i="16"/>
  <c r="J24" i="16"/>
  <c r="J45" i="16"/>
  <c r="J51" i="16"/>
  <c r="J34" i="16"/>
  <c r="J40" i="16"/>
  <c r="M33" i="16"/>
  <c r="M23" i="16"/>
  <c r="M44" i="16"/>
  <c r="AE44" i="16"/>
  <c r="AE33" i="16"/>
  <c r="AE23" i="16"/>
  <c r="AC34" i="16"/>
  <c r="AC40" i="16"/>
  <c r="AC24" i="16"/>
  <c r="AC45" i="16"/>
  <c r="AC51" i="16"/>
  <c r="T34" i="16"/>
  <c r="T40" i="16"/>
  <c r="T24" i="16"/>
  <c r="T45" i="16"/>
  <c r="T51" i="16"/>
  <c r="AC33" i="17"/>
  <c r="AC23" i="17"/>
  <c r="AC44" i="17"/>
  <c r="AG23" i="17"/>
  <c r="AG44" i="17"/>
  <c r="AG33" i="17"/>
  <c r="AW23" i="17"/>
  <c r="AW44" i="17"/>
  <c r="AW33" i="17"/>
  <c r="AZ10" i="16"/>
  <c r="AX24" i="17"/>
  <c r="AX45" i="17"/>
  <c r="AX51" i="17"/>
  <c r="AX34" i="17"/>
  <c r="AX40" i="17"/>
  <c r="AL45" i="17"/>
  <c r="AL51" i="17"/>
  <c r="AL34" i="17"/>
  <c r="AL40" i="17"/>
  <c r="AL24" i="17"/>
  <c r="G21" i="16"/>
  <c r="G22" i="16"/>
  <c r="AZ22" i="16"/>
  <c r="F33" i="16"/>
  <c r="F23" i="16"/>
  <c r="F44" i="16"/>
  <c r="F23" i="17"/>
  <c r="F44" i="17"/>
  <c r="F33" i="17"/>
  <c r="U24" i="17"/>
  <c r="U45" i="17"/>
  <c r="U51" i="17"/>
  <c r="U34" i="17"/>
  <c r="U40" i="17"/>
  <c r="AX34" i="18"/>
  <c r="AX40" i="18"/>
  <c r="AX24" i="18"/>
  <c r="AX45" i="18"/>
  <c r="AX51" i="18"/>
  <c r="H24" i="16"/>
  <c r="H45" i="16"/>
  <c r="H51" i="16"/>
  <c r="H34" i="16"/>
  <c r="H40" i="16"/>
  <c r="K33" i="17"/>
  <c r="K23" i="17"/>
  <c r="K44" i="17"/>
  <c r="AP24" i="17"/>
  <c r="AP45" i="17"/>
  <c r="AP51" i="17"/>
  <c r="AP34" i="17"/>
  <c r="AP40" i="17"/>
  <c r="G27" i="17"/>
  <c r="F30" i="17"/>
  <c r="AA33" i="18"/>
  <c r="AA23" i="18"/>
  <c r="AA44" i="18"/>
  <c r="AB33" i="18"/>
  <c r="AB23" i="18"/>
  <c r="AB44" i="18"/>
  <c r="AU23" i="18"/>
  <c r="AU44" i="18"/>
  <c r="AU33" i="18"/>
  <c r="P24" i="16"/>
  <c r="P45" i="16"/>
  <c r="P51" i="16"/>
  <c r="P34" i="16"/>
  <c r="P40" i="16"/>
  <c r="AM23" i="18"/>
  <c r="AM44" i="18"/>
  <c r="AM33" i="18"/>
  <c r="W23" i="18"/>
  <c r="W44" i="18"/>
  <c r="W33" i="18"/>
  <c r="AX23" i="17"/>
  <c r="AX44" i="17"/>
  <c r="AX33" i="17"/>
  <c r="D24" i="18"/>
  <c r="D45" i="18"/>
  <c r="D51" i="18"/>
  <c r="D34" i="18"/>
  <c r="D40" i="18"/>
  <c r="P46" i="18"/>
  <c r="P50" i="18"/>
  <c r="H33" i="18"/>
  <c r="H23" i="18"/>
  <c r="H44" i="18"/>
  <c r="AV34" i="16"/>
  <c r="AV40" i="16"/>
  <c r="AV24" i="16"/>
  <c r="AV45" i="16"/>
  <c r="AV51" i="16"/>
  <c r="AU45" i="17"/>
  <c r="AU51" i="17"/>
  <c r="AU34" i="17"/>
  <c r="AU40" i="17"/>
  <c r="AU24" i="17"/>
  <c r="AK33" i="17"/>
  <c r="AK23" i="17"/>
  <c r="AK44" i="17"/>
  <c r="AS33" i="17"/>
  <c r="AS23" i="17"/>
  <c r="AS44" i="17"/>
  <c r="AD24" i="18"/>
  <c r="AD45" i="18"/>
  <c r="AD51" i="18"/>
  <c r="AD34" i="18"/>
  <c r="AD40" i="18"/>
  <c r="O39" i="18"/>
  <c r="O35" i="18"/>
  <c r="AT24" i="18"/>
  <c r="AT45" i="18"/>
  <c r="AT51" i="18"/>
  <c r="AT34" i="18"/>
  <c r="AT40" i="18"/>
  <c r="AV33" i="16"/>
  <c r="AV23" i="16"/>
  <c r="AV44" i="16"/>
  <c r="AS23" i="16"/>
  <c r="AS44" i="16"/>
  <c r="AS33" i="16"/>
  <c r="AU44" i="17"/>
  <c r="AU33" i="17"/>
  <c r="AU23" i="17"/>
  <c r="AG24" i="17"/>
  <c r="AG45" i="17"/>
  <c r="AG51" i="17"/>
  <c r="AG34" i="17"/>
  <c r="AG40" i="17"/>
  <c r="N44" i="18"/>
  <c r="N33" i="18"/>
  <c r="N23" i="18"/>
  <c r="S10" i="20"/>
  <c r="H9" i="20"/>
  <c r="S23" i="16"/>
  <c r="S44" i="16"/>
  <c r="S33" i="16"/>
  <c r="AK23" i="16"/>
  <c r="AK44" i="16"/>
  <c r="AK33" i="16"/>
  <c r="S8" i="20"/>
  <c r="Z24" i="16"/>
  <c r="Z45" i="16"/>
  <c r="Z51" i="16"/>
  <c r="Z34" i="16"/>
  <c r="Z40" i="16"/>
  <c r="AC33" i="16"/>
  <c r="AC23" i="16"/>
  <c r="AC44" i="16"/>
  <c r="T33" i="16"/>
  <c r="T23" i="16"/>
  <c r="T44" i="16"/>
  <c r="AB34" i="17"/>
  <c r="AB40" i="17"/>
  <c r="AB24" i="17"/>
  <c r="AB45" i="17"/>
  <c r="AB51" i="17"/>
  <c r="AF24" i="17"/>
  <c r="AF45" i="17"/>
  <c r="AF51" i="17"/>
  <c r="AF34" i="17"/>
  <c r="AF40" i="17"/>
  <c r="AV22" i="17"/>
  <c r="AY22" i="17"/>
  <c r="AL33" i="17"/>
  <c r="AL23" i="17"/>
  <c r="AL44" i="17"/>
  <c r="Q23" i="16"/>
  <c r="Q44" i="16"/>
  <c r="Q33" i="16"/>
  <c r="T21" i="17"/>
  <c r="T22" i="17"/>
  <c r="AU24" i="18"/>
  <c r="AU45" i="18"/>
  <c r="AU51" i="18"/>
  <c r="AU34" i="18"/>
  <c r="AU40" i="18"/>
  <c r="U44" i="17"/>
  <c r="U33" i="17"/>
  <c r="U23" i="17"/>
  <c r="AX33" i="18"/>
  <c r="AX23" i="18"/>
  <c r="AX44" i="18"/>
  <c r="H23" i="16"/>
  <c r="H44" i="16"/>
  <c r="H33" i="16"/>
  <c r="J22" i="17"/>
  <c r="W22" i="17"/>
  <c r="I24" i="16"/>
  <c r="I45" i="16"/>
  <c r="I51" i="16"/>
  <c r="I34" i="16"/>
  <c r="I40" i="16"/>
  <c r="Z34" i="18"/>
  <c r="Z40" i="18"/>
  <c r="Z24" i="18"/>
  <c r="Z45" i="18"/>
  <c r="Z51" i="18"/>
  <c r="R34" i="18"/>
  <c r="R40" i="18"/>
  <c r="R24" i="18"/>
  <c r="R45" i="18"/>
  <c r="R51" i="18"/>
  <c r="AH34" i="18"/>
  <c r="AH40" i="18"/>
  <c r="AH24" i="18"/>
  <c r="AH45" i="18"/>
  <c r="AH51" i="18"/>
  <c r="D34" i="16"/>
  <c r="D40" i="16"/>
  <c r="D24" i="16"/>
  <c r="D45" i="16"/>
  <c r="D51" i="16"/>
  <c r="AL21" i="18"/>
  <c r="AL22" i="18"/>
  <c r="AK45" i="18"/>
  <c r="AK51" i="18"/>
  <c r="AK34" i="18"/>
  <c r="AK40" i="18"/>
  <c r="AK24" i="18"/>
  <c r="V24" i="18"/>
  <c r="V45" i="18"/>
  <c r="V51" i="18"/>
  <c r="V34" i="18"/>
  <c r="V40" i="18"/>
  <c r="AZ21" i="17"/>
  <c r="D44" i="17"/>
  <c r="D33" i="17"/>
  <c r="D23" i="17"/>
  <c r="D50" i="16"/>
  <c r="G34" i="18"/>
  <c r="G40" i="18"/>
  <c r="G24" i="18"/>
  <c r="G45" i="18"/>
  <c r="G51" i="18"/>
  <c r="AM21" i="16"/>
  <c r="AM22" i="16"/>
  <c r="Y23" i="16"/>
  <c r="Y44" i="16"/>
  <c r="Y33" i="16"/>
  <c r="O21" i="16"/>
  <c r="O22" i="16"/>
  <c r="AO23" i="17"/>
  <c r="AO44" i="17"/>
  <c r="AO33" i="17"/>
  <c r="H27" i="16"/>
  <c r="G30" i="16"/>
  <c r="G24" i="17"/>
  <c r="G45" i="17"/>
  <c r="G51" i="17"/>
  <c r="G34" i="17"/>
  <c r="G40" i="17"/>
  <c r="Y34" i="18"/>
  <c r="Y40" i="18"/>
  <c r="Y24" i="18"/>
  <c r="Y45" i="18"/>
  <c r="Y51" i="18"/>
  <c r="AG34" i="18"/>
  <c r="AG40" i="18"/>
  <c r="AG24" i="18"/>
  <c r="AG45" i="18"/>
  <c r="AG51" i="18"/>
  <c r="AJ45" i="18"/>
  <c r="AJ51" i="18"/>
  <c r="AJ34" i="18"/>
  <c r="AJ40" i="18"/>
  <c r="AJ24" i="18"/>
  <c r="W45" i="16"/>
  <c r="W51" i="16"/>
  <c r="W34" i="16"/>
  <c r="W40" i="16"/>
  <c r="W24" i="16"/>
  <c r="AI23" i="16"/>
  <c r="AI44" i="16"/>
  <c r="AI33" i="16"/>
  <c r="R34" i="17"/>
  <c r="R40" i="17"/>
  <c r="R24" i="17"/>
  <c r="R45" i="17"/>
  <c r="R51" i="17"/>
  <c r="AS24" i="18"/>
  <c r="AS45" i="18"/>
  <c r="AS51" i="18"/>
  <c r="AS34" i="18"/>
  <c r="AS40" i="18"/>
  <c r="Y23" i="18"/>
  <c r="Y44" i="18"/>
  <c r="Y33" i="18"/>
  <c r="AG23" i="18"/>
  <c r="AG44" i="18"/>
  <c r="AG33" i="18"/>
  <c r="O50" i="18"/>
  <c r="AJ33" i="18"/>
  <c r="AJ23" i="18"/>
  <c r="AJ44" i="18"/>
  <c r="I34" i="18"/>
  <c r="I40" i="18"/>
  <c r="I45" i="18"/>
  <c r="I51" i="18"/>
  <c r="I24" i="18"/>
  <c r="AY21" i="16"/>
  <c r="AY22" i="16"/>
  <c r="J23" i="16"/>
  <c r="J44" i="16"/>
  <c r="J33" i="16"/>
  <c r="X21" i="16"/>
  <c r="X22" i="16"/>
  <c r="U34" i="16"/>
  <c r="U40" i="16"/>
  <c r="U24" i="16"/>
  <c r="U45" i="16"/>
  <c r="U51" i="16"/>
  <c r="AO21" i="16"/>
  <c r="AO22" i="16"/>
  <c r="Q24" i="16"/>
  <c r="Q45" i="16"/>
  <c r="Q51" i="16"/>
  <c r="Q34" i="16"/>
  <c r="Q40" i="16"/>
  <c r="AB33" i="17"/>
  <c r="AB23" i="17"/>
  <c r="AB44" i="17"/>
  <c r="AF44" i="17"/>
  <c r="AF33" i="17"/>
  <c r="AF23" i="17"/>
  <c r="AV44" i="17"/>
  <c r="AV33" i="17"/>
  <c r="AV23" i="17"/>
  <c r="AY23" i="17"/>
  <c r="AY44" i="17"/>
  <c r="AY33" i="17"/>
  <c r="AK34" i="17"/>
  <c r="AK40" i="17"/>
  <c r="AK24" i="17"/>
  <c r="AK45" i="17"/>
  <c r="AK51" i="17"/>
  <c r="E34" i="16"/>
  <c r="E40" i="16"/>
  <c r="E24" i="16"/>
  <c r="E45" i="16"/>
  <c r="E51" i="16"/>
  <c r="E21" i="17"/>
  <c r="E22" i="17"/>
  <c r="S45" i="17"/>
  <c r="S51" i="17"/>
  <c r="S34" i="17"/>
  <c r="S40" i="17"/>
  <c r="S24" i="17"/>
  <c r="AW34" i="18"/>
  <c r="AW40" i="18"/>
  <c r="AW24" i="18"/>
  <c r="AW45" i="18"/>
  <c r="AW51" i="18"/>
  <c r="AS34" i="17"/>
  <c r="AS40" i="17"/>
  <c r="AS24" i="17"/>
  <c r="AS45" i="17"/>
  <c r="AS51" i="17"/>
  <c r="J33" i="17"/>
  <c r="J23" i="17"/>
  <c r="J44" i="17"/>
  <c r="P34" i="17"/>
  <c r="P40" i="17"/>
  <c r="P24" i="17"/>
  <c r="P45" i="17"/>
  <c r="P51" i="17"/>
  <c r="I23" i="16"/>
  <c r="I44" i="16"/>
  <c r="I33" i="16"/>
  <c r="Z33" i="18"/>
  <c r="Z23" i="18"/>
  <c r="Z44" i="18"/>
  <c r="AE23" i="18"/>
  <c r="AE44" i="18"/>
  <c r="AE33" i="18"/>
  <c r="R33" i="18"/>
  <c r="R23" i="18"/>
  <c r="R44" i="18"/>
  <c r="AH33" i="18"/>
  <c r="AH23" i="18"/>
  <c r="AH44" i="18"/>
  <c r="AG24" i="16"/>
  <c r="AG45" i="16"/>
  <c r="AG51" i="16"/>
  <c r="AG34" i="16"/>
  <c r="AG40" i="16"/>
  <c r="AF24" i="18"/>
  <c r="AF45" i="18"/>
  <c r="AF51" i="18"/>
  <c r="AF34" i="18"/>
  <c r="AF40" i="18"/>
  <c r="AK44" i="18"/>
  <c r="AK33" i="18"/>
  <c r="AK23" i="18"/>
  <c r="V44" i="18"/>
  <c r="V33" i="18"/>
  <c r="V23" i="18"/>
  <c r="AH23" i="17"/>
  <c r="AH44" i="17"/>
  <c r="AH33" i="17"/>
  <c r="E21" i="18"/>
  <c r="E22" i="18"/>
  <c r="G33" i="18"/>
  <c r="G23" i="18"/>
  <c r="G44" i="18"/>
  <c r="G27" i="18"/>
  <c r="F30" i="18"/>
  <c r="AV50" i="17"/>
  <c r="AV24" i="17"/>
  <c r="AV45" i="17"/>
  <c r="AV51" i="17"/>
  <c r="AV34" i="17"/>
  <c r="AV40" i="17"/>
  <c r="G35" i="18"/>
  <c r="G39" i="18"/>
  <c r="AO45" i="16"/>
  <c r="AO51" i="16"/>
  <c r="AO34" i="16"/>
  <c r="AO40" i="16"/>
  <c r="AO24" i="16"/>
  <c r="J34" i="17"/>
  <c r="J40" i="17"/>
  <c r="J24" i="17"/>
  <c r="J45" i="17"/>
  <c r="J51" i="17"/>
  <c r="AK46" i="16"/>
  <c r="AK50" i="16"/>
  <c r="AU46" i="17"/>
  <c r="AU50" i="17"/>
  <c r="W46" i="18"/>
  <c r="W50" i="18"/>
  <c r="T46" i="18"/>
  <c r="T50" i="18"/>
  <c r="S46" i="17"/>
  <c r="S50" i="17"/>
  <c r="AF46" i="18"/>
  <c r="AF50" i="18"/>
  <c r="V39" i="17"/>
  <c r="AA35" i="16"/>
  <c r="AA39" i="16"/>
  <c r="M46" i="18"/>
  <c r="M50" i="18"/>
  <c r="AC46" i="18"/>
  <c r="AC50" i="18"/>
  <c r="AP33" i="18"/>
  <c r="AP23" i="18"/>
  <c r="AP44" i="18"/>
  <c r="AR24" i="16"/>
  <c r="AR45" i="16"/>
  <c r="AR51" i="16"/>
  <c r="AR34" i="16"/>
  <c r="AR40" i="16"/>
  <c r="AE46" i="17"/>
  <c r="AE50" i="17"/>
  <c r="AJ50" i="17"/>
  <c r="AJ46" i="17"/>
  <c r="W46" i="16"/>
  <c r="W50" i="16"/>
  <c r="E24" i="18"/>
  <c r="E45" i="18"/>
  <c r="E51" i="18"/>
  <c r="E34" i="18"/>
  <c r="E40" i="18"/>
  <c r="V46" i="18"/>
  <c r="V50" i="18"/>
  <c r="AE39" i="18"/>
  <c r="AE35" i="18"/>
  <c r="E24" i="17"/>
  <c r="E45" i="17"/>
  <c r="E51" i="17"/>
  <c r="E34" i="17"/>
  <c r="E40" i="17"/>
  <c r="AY39" i="17"/>
  <c r="AF46" i="17"/>
  <c r="AF50" i="17"/>
  <c r="AO33" i="16"/>
  <c r="AO23" i="16"/>
  <c r="AO44" i="16"/>
  <c r="AJ35" i="18"/>
  <c r="AJ39" i="18"/>
  <c r="AI46" i="16"/>
  <c r="AI50" i="16"/>
  <c r="Y39" i="16"/>
  <c r="Y35" i="16"/>
  <c r="D46" i="16"/>
  <c r="H35" i="16"/>
  <c r="H39" i="16"/>
  <c r="U46" i="17"/>
  <c r="U50" i="17"/>
  <c r="N35" i="18"/>
  <c r="N39" i="18"/>
  <c r="AS35" i="16"/>
  <c r="AS39" i="16"/>
  <c r="AS35" i="17"/>
  <c r="AS39" i="17"/>
  <c r="AU46" i="18"/>
  <c r="AU50" i="18"/>
  <c r="G44" i="16"/>
  <c r="G33" i="16"/>
  <c r="G23" i="16"/>
  <c r="AZ23" i="16"/>
  <c r="AW39" i="17"/>
  <c r="AW35" i="17"/>
  <c r="AC35" i="17"/>
  <c r="AC39" i="17"/>
  <c r="AE35" i="16"/>
  <c r="AE39" i="16"/>
  <c r="AR34" i="17"/>
  <c r="AR40" i="17"/>
  <c r="AR24" i="17"/>
  <c r="AR45" i="17"/>
  <c r="AR51" i="17"/>
  <c r="U46" i="16"/>
  <c r="U50" i="16"/>
  <c r="G46" i="17"/>
  <c r="G50" i="17"/>
  <c r="V50" i="17"/>
  <c r="I34" i="17"/>
  <c r="I40" i="17"/>
  <c r="I24" i="17"/>
  <c r="I45" i="17"/>
  <c r="I51" i="17"/>
  <c r="AA46" i="16"/>
  <c r="AA50" i="16"/>
  <c r="K46" i="18"/>
  <c r="K50" i="18"/>
  <c r="J46" i="18"/>
  <c r="J50" i="18"/>
  <c r="AI35" i="18"/>
  <c r="AI39" i="18"/>
  <c r="Q35" i="18"/>
  <c r="Q39" i="18"/>
  <c r="AT46" i="17"/>
  <c r="AT50" i="17"/>
  <c r="AF35" i="16"/>
  <c r="AF39" i="16"/>
  <c r="AR23" i="16"/>
  <c r="AR44" i="16"/>
  <c r="AR33" i="16"/>
  <c r="AT45" i="17"/>
  <c r="AT51" i="17"/>
  <c r="AT34" i="17"/>
  <c r="AT40" i="17"/>
  <c r="AT24" i="17"/>
  <c r="AB50" i="16"/>
  <c r="AB46" i="16"/>
  <c r="I46" i="16"/>
  <c r="I50" i="16"/>
  <c r="G35" i="17"/>
  <c r="G39" i="17"/>
  <c r="AE46" i="18"/>
  <c r="AE50" i="18"/>
  <c r="AY50" i="17"/>
  <c r="Y46" i="16"/>
  <c r="Y50" i="16"/>
  <c r="H46" i="16"/>
  <c r="H50" i="16"/>
  <c r="AL46" i="17"/>
  <c r="AL50" i="17"/>
  <c r="AC35" i="16"/>
  <c r="AC39" i="16"/>
  <c r="S35" i="16"/>
  <c r="S39" i="16"/>
  <c r="N46" i="18"/>
  <c r="N50" i="18"/>
  <c r="AS46" i="16"/>
  <c r="AS50" i="16"/>
  <c r="AK46" i="17"/>
  <c r="AK50" i="17"/>
  <c r="AM39" i="18"/>
  <c r="AM35" i="18"/>
  <c r="H27" i="17"/>
  <c r="G30" i="17"/>
  <c r="F39" i="17"/>
  <c r="AW50" i="17"/>
  <c r="AE46" i="16"/>
  <c r="AE50" i="16"/>
  <c r="AJ39" i="16"/>
  <c r="AJ35" i="16"/>
  <c r="T35" i="18"/>
  <c r="T39" i="18"/>
  <c r="AR33" i="17"/>
  <c r="AR23" i="17"/>
  <c r="AR44" i="17"/>
  <c r="S35" i="17"/>
  <c r="S39" i="17"/>
  <c r="F24" i="17"/>
  <c r="F45" i="17"/>
  <c r="F51" i="17"/>
  <c r="F34" i="17"/>
  <c r="F40" i="17"/>
  <c r="Y50" i="17"/>
  <c r="Y46" i="17"/>
  <c r="I33" i="17"/>
  <c r="I23" i="17"/>
  <c r="I44" i="17"/>
  <c r="AI35" i="17"/>
  <c r="AI39" i="17"/>
  <c r="J35" i="18"/>
  <c r="J39" i="18"/>
  <c r="L46" i="18"/>
  <c r="L50" i="18"/>
  <c r="Q46" i="18"/>
  <c r="Q50" i="18"/>
  <c r="M39" i="17"/>
  <c r="X35" i="17"/>
  <c r="X39" i="17"/>
  <c r="AF46" i="16"/>
  <c r="AF50" i="16"/>
  <c r="Z35" i="16"/>
  <c r="Z39" i="16"/>
  <c r="AT39" i="18"/>
  <c r="AT35" i="18"/>
  <c r="P35" i="16"/>
  <c r="P39" i="16"/>
  <c r="L35" i="17"/>
  <c r="L39" i="17"/>
  <c r="AJ35" i="17"/>
  <c r="AJ39" i="17"/>
  <c r="AD45" i="17"/>
  <c r="AD51" i="17"/>
  <c r="AD34" i="17"/>
  <c r="AD40" i="17"/>
  <c r="AD24" i="17"/>
  <c r="V46" i="16"/>
  <c r="V50" i="16"/>
  <c r="X44" i="16"/>
  <c r="X33" i="16"/>
  <c r="X23" i="16"/>
  <c r="V35" i="18"/>
  <c r="V39" i="18"/>
  <c r="U35" i="17"/>
  <c r="U39" i="17"/>
  <c r="AA35" i="18"/>
  <c r="AA39" i="18"/>
  <c r="E23" i="18"/>
  <c r="E44" i="18"/>
  <c r="E33" i="18"/>
  <c r="E44" i="17"/>
  <c r="E33" i="17"/>
  <c r="E23" i="17"/>
  <c r="AB50" i="17"/>
  <c r="AB46" i="17"/>
  <c r="AY24" i="16"/>
  <c r="AY45" i="16"/>
  <c r="AY51" i="16"/>
  <c r="AY34" i="16"/>
  <c r="AY40" i="16"/>
  <c r="AK35" i="18"/>
  <c r="AK39" i="18"/>
  <c r="AH50" i="18"/>
  <c r="AH46" i="18"/>
  <c r="AY44" i="16"/>
  <c r="AY33" i="16"/>
  <c r="AY23" i="16"/>
  <c r="O46" i="18"/>
  <c r="I27" i="16"/>
  <c r="H30" i="16"/>
  <c r="S46" i="16"/>
  <c r="S50" i="16"/>
  <c r="H50" i="18"/>
  <c r="H46" i="18"/>
  <c r="AZ22" i="18"/>
  <c r="AM46" i="18"/>
  <c r="AM50" i="18"/>
  <c r="AB46" i="18"/>
  <c r="AB50" i="18"/>
  <c r="F46" i="17"/>
  <c r="F50" i="17"/>
  <c r="M46" i="16"/>
  <c r="M50" i="16"/>
  <c r="AJ46" i="16"/>
  <c r="AJ50" i="16"/>
  <c r="AA35" i="17"/>
  <c r="AA39" i="17"/>
  <c r="E46" i="16"/>
  <c r="E50" i="16"/>
  <c r="U35" i="16"/>
  <c r="U39" i="16"/>
  <c r="U45" i="18"/>
  <c r="U51" i="18"/>
  <c r="U34" i="18"/>
  <c r="U40" i="18"/>
  <c r="U24" i="18"/>
  <c r="AI46" i="17"/>
  <c r="AI50" i="17"/>
  <c r="AD46" i="16"/>
  <c r="AD50" i="16"/>
  <c r="K35" i="18"/>
  <c r="K39" i="18"/>
  <c r="Z46" i="17"/>
  <c r="Z50" i="17"/>
  <c r="M46" i="17"/>
  <c r="M50" i="17"/>
  <c r="X50" i="17"/>
  <c r="AT35" i="17"/>
  <c r="AT39" i="17"/>
  <c r="Z46" i="16"/>
  <c r="Z50" i="16"/>
  <c r="AT46" i="18"/>
  <c r="AT50" i="18"/>
  <c r="P46" i="16"/>
  <c r="P50" i="16"/>
  <c r="S46" i="18"/>
  <c r="S50" i="18"/>
  <c r="AS35" i="18"/>
  <c r="AS39" i="18"/>
  <c r="L46" i="17"/>
  <c r="L50" i="17"/>
  <c r="AB35" i="16"/>
  <c r="AB39" i="16"/>
  <c r="Z35" i="18"/>
  <c r="Z39" i="18"/>
  <c r="AX35" i="18"/>
  <c r="AX39" i="18"/>
  <c r="R35" i="18"/>
  <c r="R39" i="18"/>
  <c r="AF35" i="17"/>
  <c r="AF39" i="17"/>
  <c r="Y46" i="18"/>
  <c r="Y50" i="18"/>
  <c r="AC46" i="16"/>
  <c r="AC50" i="16"/>
  <c r="K35" i="17"/>
  <c r="K39" i="17"/>
  <c r="AT46" i="16"/>
  <c r="AT50" i="16"/>
  <c r="AK46" i="18"/>
  <c r="AK50" i="18"/>
  <c r="AB35" i="17"/>
  <c r="AB39" i="17"/>
  <c r="AG35" i="18"/>
  <c r="AG39" i="18"/>
  <c r="AM34" i="16"/>
  <c r="AM40" i="16"/>
  <c r="AM24" i="16"/>
  <c r="AM45" i="16"/>
  <c r="AM51" i="16"/>
  <c r="AX46" i="18"/>
  <c r="AX50" i="18"/>
  <c r="AV46" i="16"/>
  <c r="AV50" i="16"/>
  <c r="AK35" i="17"/>
  <c r="AK39" i="17"/>
  <c r="AX35" i="17"/>
  <c r="AX39" i="17"/>
  <c r="AG39" i="17"/>
  <c r="AG35" i="17"/>
  <c r="AD35" i="18"/>
  <c r="AD39" i="18"/>
  <c r="AA46" i="17"/>
  <c r="AA50" i="17"/>
  <c r="R35" i="16"/>
  <c r="R39" i="16"/>
  <c r="U44" i="18"/>
  <c r="U33" i="18"/>
  <c r="U23" i="18"/>
  <c r="AZ23" i="18"/>
  <c r="AP35" i="17"/>
  <c r="AP39" i="17"/>
  <c r="Y35" i="17"/>
  <c r="Y39" i="17"/>
  <c r="AM35" i="17"/>
  <c r="AM39" i="17"/>
  <c r="N46" i="16"/>
  <c r="N50" i="16"/>
  <c r="AH35" i="16"/>
  <c r="AH39" i="16"/>
  <c r="L35" i="18"/>
  <c r="L39" i="18"/>
  <c r="AQ46" i="18"/>
  <c r="AQ50" i="18"/>
  <c r="AD46" i="17"/>
  <c r="AD50" i="17"/>
  <c r="D39" i="18"/>
  <c r="D35" i="18"/>
  <c r="AS46" i="18"/>
  <c r="AS50" i="18"/>
  <c r="X34" i="17"/>
  <c r="X40" i="17"/>
  <c r="X24" i="17"/>
  <c r="X45" i="17"/>
  <c r="X51" i="17"/>
  <c r="AN35" i="17"/>
  <c r="AN39" i="17"/>
  <c r="AG39" i="16"/>
  <c r="AG35" i="16"/>
  <c r="V35" i="16"/>
  <c r="V39" i="16"/>
  <c r="R50" i="18"/>
  <c r="R46" i="18"/>
  <c r="T44" i="17"/>
  <c r="T33" i="17"/>
  <c r="T23" i="17"/>
  <c r="AZ23" i="17"/>
  <c r="J46" i="16"/>
  <c r="J50" i="16"/>
  <c r="AI35" i="16"/>
  <c r="AI39" i="16"/>
  <c r="O44" i="16"/>
  <c r="O33" i="16"/>
  <c r="O23" i="16"/>
  <c r="Q46" i="16"/>
  <c r="Q50" i="16"/>
  <c r="AU35" i="18"/>
  <c r="AU39" i="18"/>
  <c r="G45" i="16"/>
  <c r="G51" i="16"/>
  <c r="G34" i="16"/>
  <c r="G40" i="16"/>
  <c r="G24" i="16"/>
  <c r="AZ24" i="16"/>
  <c r="L35" i="16"/>
  <c r="L39" i="16"/>
  <c r="AH35" i="17"/>
  <c r="AH39" i="17"/>
  <c r="Z50" i="18"/>
  <c r="Z46" i="18"/>
  <c r="AO39" i="17"/>
  <c r="AO35" i="17"/>
  <c r="D39" i="17"/>
  <c r="AL35" i="17"/>
  <c r="AL39" i="17"/>
  <c r="H27" i="18"/>
  <c r="G30" i="18"/>
  <c r="AH46" i="17"/>
  <c r="AH50" i="17"/>
  <c r="AH35" i="18"/>
  <c r="AH39" i="18"/>
  <c r="J46" i="17"/>
  <c r="J50" i="17"/>
  <c r="AV35" i="17"/>
  <c r="AV39" i="17"/>
  <c r="X24" i="16"/>
  <c r="X45" i="16"/>
  <c r="X51" i="16"/>
  <c r="X34" i="16"/>
  <c r="X40" i="16"/>
  <c r="AG46" i="18"/>
  <c r="AG50" i="18"/>
  <c r="AO46" i="17"/>
  <c r="AO50" i="17"/>
  <c r="AM33" i="16"/>
  <c r="AM23" i="16"/>
  <c r="AM44" i="16"/>
  <c r="D50" i="17"/>
  <c r="AL24" i="18"/>
  <c r="AL45" i="18"/>
  <c r="AL51" i="18"/>
  <c r="AL34" i="18"/>
  <c r="AL40" i="18"/>
  <c r="T45" i="17"/>
  <c r="T51" i="17"/>
  <c r="T34" i="17"/>
  <c r="T40" i="17"/>
  <c r="T24" i="17"/>
  <c r="AY34" i="17"/>
  <c r="AY40" i="17"/>
  <c r="AY24" i="17"/>
  <c r="AY45" i="17"/>
  <c r="AY51" i="17"/>
  <c r="T50" i="16"/>
  <c r="T46" i="16"/>
  <c r="H35" i="18"/>
  <c r="H39" i="18"/>
  <c r="AX46" i="17"/>
  <c r="AX50" i="17"/>
  <c r="AB35" i="18"/>
  <c r="AB39" i="18"/>
  <c r="F46" i="16"/>
  <c r="F50" i="16"/>
  <c r="AG46" i="17"/>
  <c r="AG50" i="17"/>
  <c r="M35" i="16"/>
  <c r="M39" i="16"/>
  <c r="AP35" i="16"/>
  <c r="AP39" i="16"/>
  <c r="AD46" i="18"/>
  <c r="AD50" i="18"/>
  <c r="P35" i="17"/>
  <c r="P39" i="17"/>
  <c r="E35" i="16"/>
  <c r="E39" i="16"/>
  <c r="R46" i="16"/>
  <c r="R50" i="16"/>
  <c r="V24" i="17"/>
  <c r="V45" i="17"/>
  <c r="V51" i="17"/>
  <c r="V34" i="17"/>
  <c r="V40" i="17"/>
  <c r="AP46" i="17"/>
  <c r="AP50" i="17"/>
  <c r="AY46" i="18"/>
  <c r="AY50" i="18"/>
  <c r="AM46" i="17"/>
  <c r="AM50" i="17"/>
  <c r="AD35" i="16"/>
  <c r="AD39" i="16"/>
  <c r="AW50" i="18"/>
  <c r="AW46" i="18"/>
  <c r="AH46" i="16"/>
  <c r="AH50" i="16"/>
  <c r="W35" i="17"/>
  <c r="W39" i="17"/>
  <c r="Z35" i="17"/>
  <c r="Z39" i="17"/>
  <c r="O35" i="17"/>
  <c r="O39" i="17"/>
  <c r="AU50" i="16"/>
  <c r="AU46" i="16"/>
  <c r="Q50" i="17"/>
  <c r="Q46" i="17"/>
  <c r="D35" i="16"/>
  <c r="I46" i="18"/>
  <c r="I50" i="18"/>
  <c r="S35" i="18"/>
  <c r="S39" i="18"/>
  <c r="D46" i="18"/>
  <c r="D50" i="18"/>
  <c r="M24" i="17"/>
  <c r="M45" i="17"/>
  <c r="M51" i="17"/>
  <c r="M34" i="17"/>
  <c r="M40" i="17"/>
  <c r="R46" i="17"/>
  <c r="R50" i="17"/>
  <c r="AN46" i="17"/>
  <c r="AN50" i="17"/>
  <c r="AG46" i="16"/>
  <c r="AG50" i="16"/>
  <c r="T11" i="20"/>
  <c r="T45" i="20"/>
  <c r="X35" i="18"/>
  <c r="X39" i="18"/>
  <c r="AV35" i="18"/>
  <c r="AV39" i="18"/>
  <c r="K35" i="16"/>
  <c r="K39" i="16"/>
  <c r="G50" i="18"/>
  <c r="G46" i="18"/>
  <c r="AL44" i="18"/>
  <c r="AL33" i="18"/>
  <c r="AL23" i="18"/>
  <c r="AV35" i="16"/>
  <c r="AV39" i="16"/>
  <c r="AA46" i="18"/>
  <c r="AA50" i="18"/>
  <c r="K46" i="17"/>
  <c r="K50" i="17"/>
  <c r="AP46" i="16"/>
  <c r="AP50" i="16"/>
  <c r="N39" i="17"/>
  <c r="N35" i="17"/>
  <c r="P46" i="17"/>
  <c r="P50" i="17"/>
  <c r="AW24" i="17"/>
  <c r="AW45" i="17"/>
  <c r="AW51" i="17"/>
  <c r="AW34" i="17"/>
  <c r="AW40" i="17"/>
  <c r="L50" i="16"/>
  <c r="L46" i="16"/>
  <c r="N35" i="16"/>
  <c r="N39" i="16"/>
  <c r="F35" i="18"/>
  <c r="F39" i="18"/>
  <c r="W46" i="17"/>
  <c r="W50" i="17"/>
  <c r="AQ35" i="18"/>
  <c r="AQ39" i="18"/>
  <c r="O46" i="17"/>
  <c r="O50" i="17"/>
  <c r="AD35" i="17"/>
  <c r="AD39" i="17"/>
  <c r="I39" i="16"/>
  <c r="I35" i="16"/>
  <c r="J35" i="17"/>
  <c r="J39" i="17"/>
  <c r="J35" i="16"/>
  <c r="J39" i="16"/>
  <c r="AJ46" i="18"/>
  <c r="AJ50" i="18"/>
  <c r="Y35" i="18"/>
  <c r="Y39" i="18"/>
  <c r="O45" i="16"/>
  <c r="O51" i="16"/>
  <c r="O34" i="16"/>
  <c r="O40" i="16"/>
  <c r="O24" i="16"/>
  <c r="W24" i="17"/>
  <c r="W45" i="17"/>
  <c r="W51" i="17"/>
  <c r="W34" i="17"/>
  <c r="W40" i="17"/>
  <c r="Q39" i="16"/>
  <c r="Q35" i="16"/>
  <c r="T35" i="16"/>
  <c r="T39" i="16"/>
  <c r="AK35" i="16"/>
  <c r="AK39" i="16"/>
  <c r="AZ21" i="16"/>
  <c r="AU35" i="17"/>
  <c r="AU39" i="17"/>
  <c r="AS46" i="17"/>
  <c r="AS50" i="17"/>
  <c r="W39" i="18"/>
  <c r="W35" i="18"/>
  <c r="F35" i="16"/>
  <c r="F39" i="16"/>
  <c r="AC46" i="17"/>
  <c r="AC50" i="17"/>
  <c r="AT35" i="16"/>
  <c r="AT39" i="16"/>
  <c r="N46" i="17"/>
  <c r="N50" i="17"/>
  <c r="AF35" i="18"/>
  <c r="AF39" i="18"/>
  <c r="AZ22" i="17"/>
  <c r="D45" i="17"/>
  <c r="D51" i="17"/>
  <c r="D34" i="17"/>
  <c r="D40" i="17"/>
  <c r="D24" i="17"/>
  <c r="AY35" i="18"/>
  <c r="AY39" i="18"/>
  <c r="AW35" i="18"/>
  <c r="AW39" i="18"/>
  <c r="F46" i="18"/>
  <c r="F50" i="18"/>
  <c r="M35" i="18"/>
  <c r="M39" i="18"/>
  <c r="AI46" i="18"/>
  <c r="AI50" i="18"/>
  <c r="AC35" i="18"/>
  <c r="AC39" i="18"/>
  <c r="AP34" i="18"/>
  <c r="AP40" i="18"/>
  <c r="AP24" i="18"/>
  <c r="AZ24" i="18"/>
  <c r="AP45" i="18"/>
  <c r="AP51" i="18"/>
  <c r="AU35" i="16"/>
  <c r="AU39" i="16"/>
  <c r="Q35" i="17"/>
  <c r="Q39" i="17"/>
  <c r="AE35" i="17"/>
  <c r="AE39" i="17"/>
  <c r="I35" i="18"/>
  <c r="I39" i="18"/>
  <c r="AZ21" i="18"/>
  <c r="X46" i="18"/>
  <c r="X50" i="18"/>
  <c r="AV46" i="18"/>
  <c r="AV50" i="18"/>
  <c r="R35" i="17"/>
  <c r="R39" i="17"/>
  <c r="K46" i="16"/>
  <c r="K50" i="16"/>
  <c r="W35" i="16"/>
  <c r="W39" i="16"/>
  <c r="O35" i="16"/>
  <c r="O39" i="16"/>
  <c r="T46" i="17"/>
  <c r="T50" i="17"/>
  <c r="AR46" i="16"/>
  <c r="AR50" i="16"/>
  <c r="AO46" i="16"/>
  <c r="AO50" i="16"/>
  <c r="AM35" i="16"/>
  <c r="AM39" i="16"/>
  <c r="O46" i="16"/>
  <c r="O50" i="16"/>
  <c r="U35" i="18"/>
  <c r="U39" i="18"/>
  <c r="AR35" i="17"/>
  <c r="AR39" i="17"/>
  <c r="AW46" i="17"/>
  <c r="J27" i="16"/>
  <c r="I30" i="16"/>
  <c r="E46" i="17"/>
  <c r="E50" i="17"/>
  <c r="AY46" i="17"/>
  <c r="G35" i="16"/>
  <c r="G39" i="16"/>
  <c r="V35" i="17"/>
  <c r="F35" i="17"/>
  <c r="E39" i="18"/>
  <c r="E35" i="18"/>
  <c r="M35" i="17"/>
  <c r="V46" i="17"/>
  <c r="G46" i="16"/>
  <c r="G50" i="16"/>
  <c r="AP35" i="18"/>
  <c r="AP39" i="18"/>
  <c r="E46" i="18"/>
  <c r="E50" i="18"/>
  <c r="I50" i="17"/>
  <c r="I46" i="17"/>
  <c r="I27" i="17"/>
  <c r="H30" i="17"/>
  <c r="AV46" i="17"/>
  <c r="AL46" i="18"/>
  <c r="AL50" i="18"/>
  <c r="H30" i="18"/>
  <c r="I27" i="18"/>
  <c r="E35" i="17"/>
  <c r="E39" i="17"/>
  <c r="AO35" i="16"/>
  <c r="AO39" i="16"/>
  <c r="AZ24" i="17"/>
  <c r="D46" i="17"/>
  <c r="D35" i="17"/>
  <c r="X46" i="17"/>
  <c r="AY35" i="16"/>
  <c r="AY39" i="16"/>
  <c r="X35" i="16"/>
  <c r="X39" i="16"/>
  <c r="AY35" i="17"/>
  <c r="U46" i="18"/>
  <c r="U50" i="18"/>
  <c r="AP46" i="18"/>
  <c r="AP50" i="18"/>
  <c r="AL35" i="18"/>
  <c r="AL39" i="18"/>
  <c r="AM50" i="16"/>
  <c r="AM46" i="16"/>
  <c r="T35" i="17"/>
  <c r="T39" i="17"/>
  <c r="AY46" i="16"/>
  <c r="AY50" i="16"/>
  <c r="X46" i="16"/>
  <c r="X50" i="16"/>
  <c r="I35" i="17"/>
  <c r="I39" i="17"/>
  <c r="AR50" i="17"/>
  <c r="AR46" i="17"/>
  <c r="AR39" i="16"/>
  <c r="AR35" i="16"/>
  <c r="J27" i="18"/>
  <c r="I30" i="18"/>
  <c r="J27" i="17"/>
  <c r="I30" i="17"/>
  <c r="K27" i="16"/>
  <c r="J30" i="16"/>
  <c r="L27" i="16"/>
  <c r="K30" i="16"/>
  <c r="J30" i="17"/>
  <c r="K27" i="17"/>
  <c r="K27" i="18"/>
  <c r="J30" i="18"/>
  <c r="K30" i="18"/>
  <c r="L27" i="18"/>
  <c r="L27" i="17"/>
  <c r="K30" i="17"/>
  <c r="M27" i="16"/>
  <c r="L30" i="16"/>
  <c r="M30" i="16"/>
  <c r="N27" i="16"/>
  <c r="M27" i="17"/>
  <c r="L30" i="17"/>
  <c r="M27" i="18"/>
  <c r="L30" i="18"/>
  <c r="N27" i="18"/>
  <c r="M30" i="18"/>
  <c r="N27" i="17"/>
  <c r="M30" i="17"/>
  <c r="O27" i="16"/>
  <c r="N30" i="16"/>
  <c r="P27" i="16"/>
  <c r="O30" i="16"/>
  <c r="O27" i="17"/>
  <c r="N30" i="17"/>
  <c r="O27" i="18"/>
  <c r="N30" i="18"/>
  <c r="P27" i="18"/>
  <c r="O30" i="18"/>
  <c r="P27" i="17"/>
  <c r="O30" i="17"/>
  <c r="Q27" i="16"/>
  <c r="P30" i="16"/>
  <c r="R27" i="16"/>
  <c r="Q30" i="16"/>
  <c r="Q27" i="17"/>
  <c r="P30" i="17"/>
  <c r="Q27" i="18"/>
  <c r="P30" i="18"/>
  <c r="R27" i="18"/>
  <c r="Q30" i="18"/>
  <c r="R27" i="17"/>
  <c r="Q30" i="17"/>
  <c r="S27" i="16"/>
  <c r="R30" i="16"/>
  <c r="T27" i="16"/>
  <c r="S30" i="16"/>
  <c r="R30" i="17"/>
  <c r="S27" i="17"/>
  <c r="S27" i="18"/>
  <c r="R30" i="18"/>
  <c r="S30" i="18"/>
  <c r="T27" i="18"/>
  <c r="T27" i="17"/>
  <c r="S30" i="17"/>
  <c r="U27" i="16"/>
  <c r="T30" i="16"/>
  <c r="U30" i="16"/>
  <c r="V27" i="16"/>
  <c r="U27" i="17"/>
  <c r="T30" i="17"/>
  <c r="U27" i="18"/>
  <c r="T30" i="18"/>
  <c r="V27" i="18"/>
  <c r="U30" i="18"/>
  <c r="V27" i="17"/>
  <c r="U30" i="17"/>
  <c r="W27" i="16"/>
  <c r="V30" i="16"/>
  <c r="X27" i="16"/>
  <c r="W30" i="16"/>
  <c r="W27" i="17"/>
  <c r="V30" i="17"/>
  <c r="W27" i="18"/>
  <c r="V30" i="18"/>
  <c r="X27" i="18"/>
  <c r="W30" i="18"/>
  <c r="X27" i="17"/>
  <c r="W30" i="17"/>
  <c r="Y27" i="16"/>
  <c r="X30" i="16"/>
  <c r="Y27" i="17"/>
  <c r="X30" i="17"/>
  <c r="Z27" i="16"/>
  <c r="Y30" i="16"/>
  <c r="Y27" i="18"/>
  <c r="X30" i="18"/>
  <c r="Z27" i="18"/>
  <c r="Y30" i="18"/>
  <c r="AA27" i="16"/>
  <c r="Z30" i="16"/>
  <c r="Z27" i="17"/>
  <c r="Y30" i="17"/>
  <c r="AA27" i="18"/>
  <c r="Z30" i="18"/>
  <c r="AA27" i="17"/>
  <c r="Z30" i="17"/>
  <c r="AB27" i="16"/>
  <c r="AA30" i="16"/>
  <c r="AA30" i="18"/>
  <c r="AB27" i="18"/>
  <c r="AC27" i="16"/>
  <c r="AB30" i="16"/>
  <c r="AB27" i="17"/>
  <c r="AA30" i="17"/>
  <c r="AC27" i="17"/>
  <c r="AB30" i="17"/>
  <c r="AC30" i="16"/>
  <c r="AD27" i="16"/>
  <c r="AC27" i="18"/>
  <c r="AB30" i="18"/>
  <c r="AD27" i="18"/>
  <c r="AC30" i="18"/>
  <c r="AE27" i="16"/>
  <c r="AD30" i="16"/>
  <c r="AC30" i="17"/>
  <c r="AD27" i="17"/>
  <c r="AE27" i="17"/>
  <c r="AD30" i="17"/>
  <c r="AF27" i="16"/>
  <c r="AE30" i="16"/>
  <c r="AE27" i="18"/>
  <c r="AD30" i="18"/>
  <c r="AF27" i="18"/>
  <c r="AE30" i="18"/>
  <c r="AG27" i="16"/>
  <c r="AF30" i="16"/>
  <c r="AF27" i="17"/>
  <c r="AE30" i="17"/>
  <c r="AG27" i="17"/>
  <c r="AF30" i="17"/>
  <c r="AH27" i="16"/>
  <c r="AG30" i="16"/>
  <c r="AG27" i="18"/>
  <c r="AF30" i="18"/>
  <c r="AH27" i="18"/>
  <c r="AG30" i="18"/>
  <c r="AI27" i="16"/>
  <c r="AH30" i="16"/>
  <c r="AH27" i="17"/>
  <c r="AG30" i="17"/>
  <c r="AI27" i="17"/>
  <c r="AH30" i="17"/>
  <c r="AJ27" i="16"/>
  <c r="AI30" i="16"/>
  <c r="AI27" i="18"/>
  <c r="AH30" i="18"/>
  <c r="AK27" i="16"/>
  <c r="AJ30" i="16"/>
  <c r="AI30" i="18"/>
  <c r="AJ27" i="18"/>
  <c r="AJ27" i="17"/>
  <c r="AI30" i="17"/>
  <c r="AK27" i="17"/>
  <c r="AJ30" i="17"/>
  <c r="AK27" i="18"/>
  <c r="AJ30" i="18"/>
  <c r="AL27" i="16"/>
  <c r="AK30" i="16"/>
  <c r="AM27" i="16"/>
  <c r="AL30" i="16"/>
  <c r="AL27" i="18"/>
  <c r="AK30" i="18"/>
  <c r="AK30" i="17"/>
  <c r="AL27" i="17"/>
  <c r="AM27" i="17"/>
  <c r="AL30" i="17"/>
  <c r="AM27" i="18"/>
  <c r="AL30" i="18"/>
  <c r="AN27" i="16"/>
  <c r="AM30" i="16"/>
  <c r="AN30" i="16"/>
  <c r="AO27" i="16"/>
  <c r="AN27" i="18"/>
  <c r="AM30" i="18"/>
  <c r="AN27" i="17"/>
  <c r="AM30" i="17"/>
  <c r="AO27" i="17"/>
  <c r="AN30" i="17"/>
  <c r="AO27" i="18"/>
  <c r="AN30" i="18"/>
  <c r="AP27" i="16"/>
  <c r="AO30" i="16"/>
  <c r="AQ27" i="16"/>
  <c r="AP30" i="16"/>
  <c r="AP27" i="18"/>
  <c r="AO30" i="18"/>
  <c r="AP27" i="17"/>
  <c r="AO30" i="17"/>
  <c r="AQ27" i="17"/>
  <c r="AP30" i="17"/>
  <c r="AP30" i="18"/>
  <c r="AQ27" i="18"/>
  <c r="AR27" i="16"/>
  <c r="AQ30" i="16"/>
  <c r="AS27" i="16"/>
  <c r="AR30" i="16"/>
  <c r="AR27" i="18"/>
  <c r="AQ30" i="18"/>
  <c r="AR27" i="17"/>
  <c r="AQ30" i="17"/>
  <c r="AS27" i="17"/>
  <c r="AR30" i="17"/>
  <c r="AS27" i="18"/>
  <c r="AR30" i="18"/>
  <c r="AT27" i="16"/>
  <c r="AS30" i="16"/>
  <c r="AU27" i="16"/>
  <c r="AT30" i="16"/>
  <c r="AT27" i="18"/>
  <c r="AS30" i="18"/>
  <c r="AS30" i="17"/>
  <c r="AT27" i="17"/>
  <c r="AU27" i="17"/>
  <c r="AT30" i="17"/>
  <c r="AU27" i="18"/>
  <c r="AT30" i="18"/>
  <c r="AV27" i="16"/>
  <c r="AU30" i="16"/>
  <c r="AV30" i="16"/>
  <c r="AW27" i="16"/>
  <c r="AV27" i="18"/>
  <c r="AU30" i="18"/>
  <c r="AV27" i="17"/>
  <c r="AU30" i="17"/>
  <c r="AW27" i="17"/>
  <c r="AV30" i="17"/>
  <c r="AW27" i="18"/>
  <c r="AV30" i="18"/>
  <c r="AX27" i="16"/>
  <c r="AW30" i="16"/>
  <c r="AY27" i="16"/>
  <c r="AY30" i="16"/>
  <c r="AZ30" i="16"/>
  <c r="AX30" i="16"/>
  <c r="AX27" i="18"/>
  <c r="AW30" i="18"/>
  <c r="AX27" i="17"/>
  <c r="AW30" i="17"/>
  <c r="AY27" i="17"/>
  <c r="AY30" i="17"/>
  <c r="AZ30" i="17"/>
  <c r="AX30" i="17"/>
  <c r="AX30" i="18"/>
  <c r="AY27" i="18"/>
  <c r="AY30" i="18"/>
  <c r="AZ30" i="18"/>
</calcChain>
</file>

<file path=xl/sharedStrings.xml><?xml version="1.0" encoding="utf-8"?>
<sst xmlns="http://schemas.openxmlformats.org/spreadsheetml/2006/main" count="2451" uniqueCount="413">
  <si>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</si>
  <si>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</si>
  <si>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</si>
  <si>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</si>
  <si>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</si>
  <si>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</si>
  <si>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</si>
  <si>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</si>
  <si>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</si>
  <si>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</si>
  <si>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</si>
  <si>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</si>
  <si>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</si>
  <si>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</si>
  <si>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</si>
  <si>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</si>
  <si>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</si>
  <si>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</si>
  <si>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</si>
  <si>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</si>
  <si>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</si>
  <si>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</si>
  <si>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</si>
  <si>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</si>
  <si>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</si>
  <si>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</si>
  <si>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</si>
  <si>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</si>
  <si>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</si>
  <si>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</si>
  <si>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</si>
  <si>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</si>
  <si>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</si>
  <si>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</si>
  <si>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</si>
  <si>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</si>
  <si>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</si>
  <si>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</si>
  <si>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</si>
  <si>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</si>
  <si>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</si>
  <si>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</si>
  <si>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</si>
  <si>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</si>
  <si>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</si>
  <si>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</si>
  <si>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</si>
  <si>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</si>
  <si>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</si>
  <si>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</si>
  <si>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</si>
  <si>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</si>
  <si>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</si>
  <si>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</si>
  <si>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</si>
  <si>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</si>
  <si>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</si>
  <si>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</si>
  <si>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</si>
  <si>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</si>
  <si>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</si>
  <si>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</si>
  <si>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</si>
  <si>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</si>
  <si>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</si>
  <si>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</si>
  <si>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</si>
  <si>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</si>
  <si>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</si>
  <si>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</si>
  <si>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</si>
  <si>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</si>
  <si>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</si>
  <si>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</si>
  <si>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</si>
  <si>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</si>
  <si>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</si>
  <si>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</si>
  <si>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</si>
  <si>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</si>
  <si>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</si>
  <si>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</si>
  <si>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</si>
  <si>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</si>
  <si>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</si>
  <si>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</si>
  <si>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</si>
  <si>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</si>
  <si>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</si>
  <si>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</si>
  <si>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</si>
  <si>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</si>
  <si>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</si>
  <si>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</si>
  <si>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</si>
  <si>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</si>
  <si>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</si>
  <si>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</si>
  <si>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</si>
  <si>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</si>
  <si>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</si>
  <si>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</si>
  <si>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</si>
  <si>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</si>
  <si>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</si>
  <si>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</si>
  <si>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</si>
  <si>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</si>
  <si>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</si>
  <si>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</si>
  <si>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</si>
  <si>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</si>
  <si>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</si>
  <si>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</si>
  <si>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</si>
  <si>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</si>
  <si>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</si>
  <si>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</si>
  <si>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</si>
  <si>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</si>
  <si>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</si>
  <si>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</si>
  <si>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</si>
  <si>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</si>
  <si>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</si>
  <si>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</si>
  <si>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</si>
  <si>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</si>
  <si>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</si>
  <si>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</si>
  <si>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</si>
  <si>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</si>
  <si>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</si>
  <si>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</si>
  <si>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</si>
  <si>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</si>
  <si>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</si>
  <si>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</si>
  <si>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</si>
  <si>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</si>
  <si>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</si>
  <si>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</si>
  <si>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</si>
  <si>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</si>
  <si>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</si>
  <si>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</si>
  <si>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</si>
  <si>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</si>
  <si>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</si>
  <si>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</si>
  <si>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</si>
  <si>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</si>
  <si>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</si>
  <si>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</si>
  <si>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</si>
  <si>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</si>
  <si>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</si>
  <si>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</si>
  <si>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</si>
  <si>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</si>
  <si>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</si>
  <si>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</si>
  <si>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</si>
  <si>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</si>
  <si>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</si>
  <si>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notgrapefruit</t>
  </si>
  <si>
    <t>Region</t>
  </si>
  <si>
    <t>Market</t>
  </si>
  <si>
    <t>Nearest Storage</t>
  </si>
  <si>
    <t>Distance(miles)</t>
  </si>
  <si>
    <t>Transportation Cost($/ton)</t>
  </si>
  <si>
    <t>ANY</t>
  </si>
  <si>
    <t>BOS</t>
  </si>
  <si>
    <t>CLP</t>
  </si>
  <si>
    <t>KEE</t>
  </si>
  <si>
    <t>LAK</t>
  </si>
  <si>
    <t>MBK</t>
  </si>
  <si>
    <t>MVY</t>
  </si>
  <si>
    <t>PGH</t>
  </si>
  <si>
    <t>PHI</t>
  </si>
  <si>
    <t>PVD</t>
  </si>
  <si>
    <t>RER</t>
  </si>
  <si>
    <t>SCR</t>
  </si>
  <si>
    <t>SMS</t>
  </si>
  <si>
    <t>SUP</t>
  </si>
  <si>
    <t>CRS</t>
  </si>
  <si>
    <t>CVE</t>
  </si>
  <si>
    <t>CWV</t>
  </si>
  <si>
    <t>DTN</t>
  </si>
  <si>
    <t>FRY</t>
  </si>
  <si>
    <t>HIP</t>
  </si>
  <si>
    <t>JTC</t>
  </si>
  <si>
    <t>LXK</t>
  </si>
  <si>
    <t>MAO</t>
  </si>
  <si>
    <t>MAY</t>
  </si>
  <si>
    <t>MSD</t>
  </si>
  <si>
    <t>MSP</t>
  </si>
  <si>
    <t>MTH</t>
  </si>
  <si>
    <t>RCH</t>
  </si>
  <si>
    <t>RRN</t>
  </si>
  <si>
    <t>SHK</t>
  </si>
  <si>
    <t>TIL</t>
  </si>
  <si>
    <t>CHR</t>
  </si>
  <si>
    <t>DAY</t>
  </si>
  <si>
    <t>FPR</t>
  </si>
  <si>
    <t>FSC</t>
  </si>
  <si>
    <t>GRN</t>
  </si>
  <si>
    <t>HVA</t>
  </si>
  <si>
    <t>JFL</t>
  </si>
  <si>
    <t>MTG</t>
  </si>
  <si>
    <t>OCL</t>
  </si>
  <si>
    <t>PAN</t>
  </si>
  <si>
    <t>WPB</t>
  </si>
  <si>
    <t>YEM</t>
  </si>
  <si>
    <t>ABL</t>
  </si>
  <si>
    <t>BYO</t>
  </si>
  <si>
    <t>CED</t>
  </si>
  <si>
    <t>CUP</t>
  </si>
  <si>
    <t>ELK</t>
  </si>
  <si>
    <t>FWA</t>
  </si>
  <si>
    <t>GBW</t>
  </si>
  <si>
    <t>GEE</t>
  </si>
  <si>
    <t>GFK</t>
  </si>
  <si>
    <t>HER</t>
  </si>
  <si>
    <t>JAC</t>
  </si>
  <si>
    <t>LSL</t>
  </si>
  <si>
    <t>MAS</t>
  </si>
  <si>
    <t>MND</t>
  </si>
  <si>
    <t>NLW</t>
  </si>
  <si>
    <t>OWT</t>
  </si>
  <si>
    <t>SDL</t>
  </si>
  <si>
    <t>SHL</t>
  </si>
  <si>
    <t>SJF</t>
  </si>
  <si>
    <t>STP</t>
  </si>
  <si>
    <t>SWI</t>
  </si>
  <si>
    <t>TRV</t>
  </si>
  <si>
    <t>BST</t>
  </si>
  <si>
    <t>DEL</t>
  </si>
  <si>
    <t>ELP</t>
  </si>
  <si>
    <t>FTW</t>
  </si>
  <si>
    <t>GRL</t>
  </si>
  <si>
    <t>LAF</t>
  </si>
  <si>
    <t>LRO</t>
  </si>
  <si>
    <t>MCX</t>
  </si>
  <si>
    <t>MKO</t>
  </si>
  <si>
    <t>MRE</t>
  </si>
  <si>
    <t>PRA</t>
  </si>
  <si>
    <t>RSW</t>
  </si>
  <si>
    <t>SGE</t>
  </si>
  <si>
    <t>SME</t>
  </si>
  <si>
    <t>SNA</t>
  </si>
  <si>
    <t>TYE</t>
  </si>
  <si>
    <t>BTT</t>
  </si>
  <si>
    <t>DIM</t>
  </si>
  <si>
    <t>EUG</t>
  </si>
  <si>
    <t>LEW</t>
  </si>
  <si>
    <t>PCO</t>
  </si>
  <si>
    <t>RSP</t>
  </si>
  <si>
    <t>TWF</t>
  </si>
  <si>
    <t>YKM</t>
  </si>
  <si>
    <t>BKR</t>
  </si>
  <si>
    <t>DOZ</t>
  </si>
  <si>
    <t>FSO</t>
  </si>
  <si>
    <t>GRU</t>
  </si>
  <si>
    <t>HUL</t>
  </si>
  <si>
    <t>LOS</t>
  </si>
  <si>
    <t>RFE</t>
  </si>
  <si>
    <t>RNE</t>
  </si>
  <si>
    <t>SCM</t>
  </si>
  <si>
    <t>SFC</t>
  </si>
  <si>
    <t>TCY</t>
  </si>
  <si>
    <t>Sales</t>
  </si>
  <si>
    <t>Sales For FCOJ(tons)(1st Column), Transportation Cost($)(2nd Column) (by market and week)</t>
  </si>
  <si>
    <t>Month</t>
  </si>
  <si>
    <t>Mar:Week</t>
  </si>
  <si>
    <t>Sales(tons) (by region and month)</t>
  </si>
  <si>
    <t>Reg:Mon</t>
  </si>
  <si>
    <t>Total</t>
  </si>
  <si>
    <t>Sales Revenue($) (by region and month)</t>
  </si>
  <si>
    <t>Transportation Cost from storages to markets($) (by region and month)</t>
  </si>
  <si>
    <t>Sales For ROJ(tons)(1st Column), Transportation Cost($)(2nd Column) (by market and week)</t>
  </si>
  <si>
    <t>Sales For POJ(tons)(1st Column), Transportation Cost($)(2nd Column) (by market and week)</t>
  </si>
  <si>
    <t>Sales For ORA(tons)(1st Column), Transportation Cost($)(2nd Column) (by market and week)</t>
  </si>
  <si>
    <t>Storage</t>
  </si>
  <si>
    <t>Storage:</t>
  </si>
  <si>
    <t>Capacity:</t>
  </si>
  <si>
    <t>Time (beginning of week)</t>
  </si>
  <si>
    <t>|-------</t>
  </si>
  <si>
    <t xml:space="preserve"> -------|-------</t>
  </si>
  <si>
    <t xml:space="preserve"> -------|</t>
  </si>
  <si>
    <t>Scheduled to ship in/Sum</t>
  </si>
  <si>
    <t>Shipped In + Reconstituted</t>
  </si>
  <si>
    <t xml:space="preserve"> -</t>
  </si>
  <si>
    <t>Toss Out</t>
  </si>
  <si>
    <t>Inventory</t>
  </si>
  <si>
    <t>rotten</t>
  </si>
  <si>
    <t>% of FCOJ</t>
  </si>
  <si>
    <t>Available</t>
  </si>
  <si>
    <t>Sold</t>
  </si>
  <si>
    <t>Ship Out</t>
  </si>
  <si>
    <t>Costs at storage</t>
  </si>
  <si>
    <t>Hold Inventory</t>
  </si>
  <si>
    <t>Plant:</t>
  </si>
  <si>
    <t>Shipped In</t>
  </si>
  <si>
    <t>Breakdown?</t>
  </si>
  <si>
    <t>(Yes/"")</t>
  </si>
  <si>
    <t>Cost for POJ</t>
  </si>
  <si>
    <t>Cost for FCOJ</t>
  </si>
  <si>
    <t>At home</t>
  </si>
  <si>
    <t>Going out</t>
  </si>
  <si>
    <t>Coming home</t>
  </si>
  <si>
    <t>Hold Cost</t>
  </si>
  <si>
    <t>Grove</t>
  </si>
  <si>
    <r>
      <t xml:space="preserve">Prices of oranges at the Spot Market(Currency/lb) </t>
    </r>
    <r>
      <rPr>
        <i/>
        <u/>
        <sz val="10"/>
        <rFont val="Arial"/>
        <family val="2"/>
      </rPr>
      <t>ORA</t>
    </r>
  </si>
  <si>
    <t>Foreign Exchange Rate: US$ value of 1 BRA Real or 1 SPA Euro ($/BRL)($/EUR)</t>
  </si>
  <si>
    <t>Currency:Month</t>
  </si>
  <si>
    <t>BRA Real</t>
  </si>
  <si>
    <t>SPA Euro</t>
  </si>
  <si>
    <r>
      <t xml:space="preserve">US$ Prices of oranges at the Spot Market($/lb) </t>
    </r>
    <r>
      <rPr>
        <i/>
        <u/>
        <sz val="10"/>
        <rFont val="Arial"/>
        <family val="2"/>
      </rPr>
      <t>ORA</t>
    </r>
  </si>
  <si>
    <t>Actual Quantity Multiplier(unit)</t>
  </si>
  <si>
    <t>Gro:Mon</t>
  </si>
  <si>
    <r>
      <t xml:space="preserve">Amount of oranges harvested(tons) </t>
    </r>
    <r>
      <rPr>
        <i/>
        <u/>
        <sz val="10"/>
        <rFont val="Arial"/>
        <family val="2"/>
      </rPr>
      <t>ORA</t>
    </r>
  </si>
  <si>
    <t>Gro:Week</t>
  </si>
  <si>
    <r>
      <t xml:space="preserve">Actual amount of oranges purchased(tons) </t>
    </r>
    <r>
      <rPr>
        <i/>
        <u/>
        <sz val="10"/>
        <rFont val="Arial"/>
        <family val="2"/>
      </rPr>
      <t>ORA</t>
    </r>
  </si>
  <si>
    <t>Gro:Wk</t>
  </si>
  <si>
    <r>
      <t xml:space="preserve">Purchasing cost of oranges($) </t>
    </r>
    <r>
      <rPr>
        <i/>
        <u/>
        <sz val="10"/>
        <rFont val="Arial"/>
        <family val="2"/>
      </rPr>
      <t>ORA</t>
    </r>
  </si>
  <si>
    <r>
      <t xml:space="preserve">Amount of matured futures products(tons) </t>
    </r>
    <r>
      <rPr>
        <i/>
        <u/>
        <sz val="10"/>
        <rFont val="Arial"/>
        <family val="2"/>
      </rPr>
      <t>ORA Futures, FCOJ Futures</t>
    </r>
  </si>
  <si>
    <t>from FLA:Month</t>
  </si>
  <si>
    <t>ORA Futures</t>
  </si>
  <si>
    <t>FCOJ Futures</t>
  </si>
  <si>
    <r>
      <t xml:space="preserve">Transportation Cost($) for shipping </t>
    </r>
    <r>
      <rPr>
        <i/>
        <u/>
        <sz val="10"/>
        <rFont val="Arial"/>
        <family val="2"/>
      </rPr>
      <t>FCOJ Futures</t>
    </r>
  </si>
  <si>
    <t>Month:Storage</t>
  </si>
  <si>
    <r>
      <t xml:space="preserve">Actual amount of oranges shipped out from groves(tons) </t>
    </r>
    <r>
      <rPr>
        <i/>
        <u/>
        <sz val="10"/>
        <rFont val="Arial"/>
        <family val="2"/>
      </rPr>
      <t>ORA, ORA Futures</t>
    </r>
  </si>
  <si>
    <t>from Grove:Week</t>
  </si>
  <si>
    <r>
      <t xml:space="preserve">Transportation Cost($) for shipping </t>
    </r>
    <r>
      <rPr>
        <i/>
        <u/>
        <sz val="10"/>
        <rFont val="Arial"/>
        <family val="2"/>
      </rPr>
      <t>ORA + ORA Futures</t>
    </r>
  </si>
  <si>
    <t>To</t>
  </si>
  <si>
    <t>plants</t>
  </si>
  <si>
    <t>storages</t>
  </si>
  <si>
    <t>Yes</t>
  </si>
  <si>
    <t>Distance:</t>
  </si>
  <si>
    <t>POJ to ship</t>
  </si>
  <si>
    <t>FCOJ to ship</t>
  </si>
  <si>
    <t>OJ to ship (Sum)</t>
  </si>
  <si>
    <t>POJ by TankCars</t>
  </si>
  <si>
    <t>FCOJ by TankCars</t>
  </si>
  <si>
    <t>No. TankCars</t>
  </si>
  <si>
    <t>POJ by Carrier</t>
  </si>
  <si>
    <t>FCOJ by Carrier</t>
  </si>
  <si>
    <t>No. Weeks</t>
  </si>
  <si>
    <t>Cost by TankCars</t>
  </si>
  <si>
    <t>Cost by Carrier</t>
  </si>
  <si>
    <t>Activities</t>
  </si>
  <si>
    <t>Earnings</t>
  </si>
  <si>
    <t>Sales (tons)</t>
  </si>
  <si>
    <t>Sales Revenue</t>
  </si>
  <si>
    <t>Fresh Oranges (ORA)</t>
  </si>
  <si>
    <t>Premium Orange Juice (POJ)</t>
  </si>
  <si>
    <t>Reconstituted Orange Juice (ROJ)</t>
  </si>
  <si>
    <t>Frozen Concentrated Orange Juice (FCOJ)</t>
  </si>
  <si>
    <t>Total Revenue</t>
  </si>
  <si>
    <t>Materials Acquisitions &amp; Losses (tons)</t>
  </si>
  <si>
    <t>Oranges Harvested</t>
  </si>
  <si>
    <t>Materials Costs</t>
  </si>
  <si>
    <t>ORA Futures Matured</t>
  </si>
  <si>
    <t xml:space="preserve">Orange (ORA) Purchases </t>
  </si>
  <si>
    <t>FCOJ Futures Matured</t>
  </si>
  <si>
    <t>ORA Futures Costs</t>
  </si>
  <si>
    <t>Premium Orange Juice (POJ) Manufactured</t>
  </si>
  <si>
    <t>FCOJ Futures Costs</t>
  </si>
  <si>
    <t>Frozen Concentrated Orange Juice (FCOJ) Manufactured</t>
  </si>
  <si>
    <t>Transportation Costs from Groves (ORA &amp; ORA futures)</t>
  </si>
  <si>
    <t>Reconstituted Orange Juice (ROJ) Manufactured</t>
  </si>
  <si>
    <t>Transportation Costs from Groves (FCOJ futures)</t>
  </si>
  <si>
    <t>Products Lost due to Capacity Shortage</t>
  </si>
  <si>
    <t>Total Materials Costs</t>
  </si>
  <si>
    <t>(</t>
  </si>
  <si>
    <t>)</t>
  </si>
  <si>
    <t>Products Lost due to Spoilage</t>
  </si>
  <si>
    <t>Manufacturing Costs</t>
  </si>
  <si>
    <t>Futures Contracts Purchases (tons)</t>
  </si>
  <si>
    <t>POJ Manufacturing Costs</t>
  </si>
  <si>
    <t>ORA Futures Contracts</t>
  </si>
  <si>
    <t>FCOJ Manufacturing Costs</t>
  </si>
  <si>
    <t>FCOJ Futures Contracts</t>
  </si>
  <si>
    <t>ROJ Reconstitution Costs</t>
  </si>
  <si>
    <t>Total Processing Costs</t>
  </si>
  <si>
    <t>Facilities Adjustment (tons of capacity)</t>
  </si>
  <si>
    <t>Processing Plants Capacity Upgrade</t>
  </si>
  <si>
    <t>Transportation Costs from Plants and Storages &amp; Inventory Hold Costs</t>
  </si>
  <si>
    <t>Storage Centers Capacity Upgrade</t>
  </si>
  <si>
    <t>Transportation Costs from Plants (TankCars)</t>
  </si>
  <si>
    <t>Processing Plants Capacity Downgrade</t>
  </si>
  <si>
    <t>Transportation Costs from Plants (Carriers)</t>
  </si>
  <si>
    <t>Storage Centers Capacity Downgrade</t>
  </si>
  <si>
    <t>Inventory Hold Costs at Storages</t>
  </si>
  <si>
    <t>Transportation Costs from Storages</t>
  </si>
  <si>
    <t>Facilities Acquisitions (unit)</t>
  </si>
  <si>
    <t>Total Transportation and Storage Costs</t>
  </si>
  <si>
    <t>Processing Plants</t>
  </si>
  <si>
    <t>Storage Centers</t>
  </si>
  <si>
    <t>Facilities Adjustment &amp; Maintenance Costs</t>
  </si>
  <si>
    <t>Processing Plant Maintenance Costs</t>
  </si>
  <si>
    <t>Costs(/Gains) of Acquiring(/Selling) Processing Plant</t>
  </si>
  <si>
    <t>Facilities Sold (unit)</t>
  </si>
  <si>
    <t>Processing Plant Capacity Adjustment Costs(/Gains)</t>
  </si>
  <si>
    <t>Storage Center Maintenance Costs</t>
  </si>
  <si>
    <t>Costs(/Gains) of Acquiring(/Selling) Storage Center</t>
  </si>
  <si>
    <t>Storage Center Capacity Adjustment Costs(/Gains)</t>
  </si>
  <si>
    <t>TankCars Hold Costs</t>
  </si>
  <si>
    <t>TankCars Purchase Costs(/Selling Gains)</t>
  </si>
  <si>
    <t>Total Facilities Costs</t>
  </si>
  <si>
    <t>Net Profit</t>
  </si>
  <si>
    <t>Annual Report for the year ending August 31st,  2015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</si>
</sst>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"/>
  </numFmts>
  <fonts count="14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i/>
      <u/>
      <sz val="10"/>
      <name val="Arial"/>
      <family val="2"/>
    </font>
    <font>
      <b/>
      <sz val="12"/>
      <name val="Times New Roman"/>
      <family val="1"/>
    </font>
    <font>
      <u/>
      <sz val="12"/>
      <name val="Times New Roman"/>
      <family val="1"/>
    </font>
    <font>
      <sz val="10"/>
      <name val="Times New Roman"/>
      <family val="1"/>
    </font>
    <font>
      <u/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b/>
      <i/>
      <sz val="10"/>
      <name val="Times New Roman"/>
      <family val="1"/>
    </font>
  </fonts>
  <fills count="11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44"/>
        <bgColor indexed="64"/>
      </patternFill>
    </fill>
  </fills>
  <borders count="28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</borders>
  <cellStyleXfs count="2">
    <xf numFmtId="0" fontId="0" fillId="0" borderId="0"/>
    <xf numFmtId="0" fontId="4" fillId="0" borderId="0"/>
  </cellStyleXfs>
  <cellXfs count="205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4" fillId="5" borderId="0" xfId="1" applyFill="1"/>
    <xf numFmtId="0" fontId="4" fillId="0" borderId="0" xfId="1"/>
    <xf numFmtId="0" fontId="4" fillId="0" borderId="0" xfId="1" applyFill="1"/>
    <xf numFmtId="0" fontId="1" fillId="0" borderId="0" xfId="1" applyFont="1"/>
    <xf numFmtId="0" fontId="2" fillId="0" borderId="0" xfId="1" applyFont="1"/>
    <xf numFmtId="0" fontId="2" fillId="0" borderId="0" xfId="1" applyFont="1" applyFill="1"/>
    <xf numFmtId="0" fontId="4" fillId="6" borderId="0" xfId="1" applyFill="1"/>
    <xf numFmtId="0" fontId="4" fillId="0" borderId="0" xfId="1" applyFill="1" applyBorder="1"/>
    <xf numFmtId="0" fontId="4" fillId="0" borderId="5" xfId="1" applyBorder="1"/>
    <xf numFmtId="0" fontId="4" fillId="0" borderId="11" xfId="1" applyBorder="1"/>
    <xf numFmtId="0" fontId="4" fillId="0" borderId="6" xfId="1" applyBorder="1"/>
    <xf numFmtId="0" fontId="4" fillId="0" borderId="0" xfId="1" applyBorder="1"/>
    <xf numFmtId="0" fontId="4" fillId="0" borderId="0" xfId="1" applyAlignment="1"/>
    <xf numFmtId="0" fontId="4" fillId="0" borderId="0" xfId="1" applyAlignment="1">
      <alignment horizontal="center"/>
    </xf>
    <xf numFmtId="0" fontId="4" fillId="0" borderId="0" xfId="1" applyBorder="1" applyAlignment="1">
      <alignment horizontal="right"/>
    </xf>
    <xf numFmtId="0" fontId="4" fillId="0" borderId="8" xfId="1" applyFill="1" applyBorder="1"/>
    <xf numFmtId="0" fontId="4" fillId="5" borderId="13" xfId="1" applyFill="1" applyBorder="1" applyAlignment="1">
      <alignment horizontal="right"/>
    </xf>
    <xf numFmtId="0" fontId="4" fillId="7" borderId="8" xfId="1" applyFill="1" applyBorder="1"/>
    <xf numFmtId="0" fontId="4" fillId="0" borderId="13" xfId="1" applyBorder="1"/>
    <xf numFmtId="0" fontId="4" fillId="5" borderId="0" xfId="1" applyFill="1" applyAlignment="1">
      <alignment horizontal="right"/>
    </xf>
    <xf numFmtId="0" fontId="4" fillId="7" borderId="0" xfId="1" applyFill="1" applyBorder="1"/>
    <xf numFmtId="0" fontId="4" fillId="2" borderId="0" xfId="1" applyFill="1" applyBorder="1"/>
    <xf numFmtId="0" fontId="4" fillId="7" borderId="13" xfId="1" applyFill="1" applyBorder="1"/>
    <xf numFmtId="0" fontId="4" fillId="5" borderId="9" xfId="1" applyFill="1" applyBorder="1" applyAlignment="1">
      <alignment horizontal="right"/>
    </xf>
    <xf numFmtId="0" fontId="4" fillId="7" borderId="9" xfId="1" applyFill="1" applyBorder="1"/>
    <xf numFmtId="0" fontId="4" fillId="0" borderId="9" xfId="1" applyBorder="1"/>
    <xf numFmtId="0" fontId="4" fillId="0" borderId="8" xfId="1" applyBorder="1"/>
    <xf numFmtId="0" fontId="4" fillId="5" borderId="1" xfId="1" applyFill="1" applyBorder="1" applyAlignment="1">
      <alignment horizontal="right"/>
    </xf>
    <xf numFmtId="0" fontId="4" fillId="3" borderId="0" xfId="1" applyFill="1" applyBorder="1"/>
    <xf numFmtId="0" fontId="4" fillId="0" borderId="3" xfId="1" applyBorder="1"/>
    <xf numFmtId="0" fontId="4" fillId="8" borderId="8" xfId="1" applyFill="1" applyBorder="1"/>
    <xf numFmtId="0" fontId="4" fillId="8" borderId="0" xfId="1" applyFill="1" applyBorder="1"/>
    <xf numFmtId="0" fontId="4" fillId="5" borderId="6" xfId="1" applyFill="1" applyBorder="1" applyAlignment="1">
      <alignment horizontal="right"/>
    </xf>
    <xf numFmtId="0" fontId="4" fillId="9" borderId="8" xfId="1" applyFill="1" applyBorder="1" applyAlignment="1">
      <alignment horizontal="right"/>
    </xf>
    <xf numFmtId="0" fontId="4" fillId="5" borderId="13" xfId="1" applyFill="1" applyBorder="1"/>
    <xf numFmtId="10" fontId="4" fillId="0" borderId="13" xfId="1" applyNumberFormat="1" applyBorder="1"/>
    <xf numFmtId="0" fontId="4" fillId="5" borderId="9" xfId="1" applyFill="1" applyBorder="1"/>
    <xf numFmtId="0" fontId="4" fillId="5" borderId="8" xfId="1" applyFill="1" applyBorder="1"/>
    <xf numFmtId="0" fontId="4" fillId="6" borderId="9" xfId="1" applyFill="1" applyBorder="1"/>
    <xf numFmtId="0" fontId="4" fillId="0" borderId="9" xfId="1" applyFill="1" applyBorder="1"/>
    <xf numFmtId="0" fontId="4" fillId="0" borderId="10" xfId="1" applyFill="1" applyBorder="1"/>
    <xf numFmtId="0" fontId="4" fillId="6" borderId="8" xfId="1" applyFill="1" applyBorder="1"/>
    <xf numFmtId="0" fontId="4" fillId="0" borderId="15" xfId="1" applyFill="1" applyBorder="1"/>
    <xf numFmtId="0" fontId="4" fillId="0" borderId="0" xfId="1" applyFill="1" applyBorder="1" applyAlignment="1">
      <alignment horizontal="left"/>
    </xf>
    <xf numFmtId="0" fontId="4" fillId="7" borderId="13" xfId="1" applyFill="1" applyBorder="1" applyAlignment="1">
      <alignment horizontal="right"/>
    </xf>
    <xf numFmtId="0" fontId="4" fillId="0" borderId="13" xfId="1" applyFill="1" applyBorder="1"/>
    <xf numFmtId="0" fontId="4" fillId="0" borderId="9" xfId="1" applyFont="1" applyFill="1" applyBorder="1"/>
    <xf numFmtId="0" fontId="4" fillId="0" borderId="0" xfId="1" applyFont="1" applyFill="1" applyBorder="1" applyAlignment="1">
      <alignment horizontal="right"/>
    </xf>
    <xf numFmtId="0" fontId="4" fillId="0" borderId="0" xfId="1" applyFont="1" applyFill="1" applyBorder="1"/>
    <xf numFmtId="0" fontId="4" fillId="0" borderId="0" xfId="1" applyFont="1" applyFill="1" applyBorder="1" applyAlignment="1"/>
    <xf numFmtId="0" fontId="4" fillId="5" borderId="13" xfId="1" applyFont="1" applyFill="1" applyBorder="1" applyAlignment="1">
      <alignment horizontal="right"/>
    </xf>
    <xf numFmtId="0" fontId="4" fillId="7" borderId="13" xfId="1" applyFont="1" applyFill="1" applyBorder="1" applyAlignment="1"/>
    <xf numFmtId="0" fontId="4" fillId="0" borderId="5" xfId="1" applyFill="1" applyBorder="1"/>
    <xf numFmtId="0" fontId="1" fillId="0" borderId="0" xfId="1" applyFont="1" applyBorder="1"/>
    <xf numFmtId="0" fontId="4" fillId="0" borderId="9" xfId="1" applyFill="1" applyBorder="1" applyAlignment="1">
      <alignment horizontal="right"/>
    </xf>
    <xf numFmtId="10" fontId="4" fillId="5" borderId="13" xfId="1" applyNumberFormat="1" applyFill="1" applyBorder="1"/>
    <xf numFmtId="0" fontId="4" fillId="5" borderId="0" xfId="1" applyFill="1" applyBorder="1" applyAlignment="1">
      <alignment horizontal="right"/>
    </xf>
    <xf numFmtId="10" fontId="4" fillId="0" borderId="0" xfId="1" applyNumberFormat="1" applyFill="1" applyBorder="1"/>
    <xf numFmtId="0" fontId="4" fillId="0" borderId="12" xfId="1" applyFill="1" applyBorder="1"/>
    <xf numFmtId="0" fontId="4" fillId="5" borderId="8" xfId="1" applyFill="1" applyBorder="1" applyAlignment="1">
      <alignment horizontal="right"/>
    </xf>
    <xf numFmtId="10" fontId="4" fillId="0" borderId="8" xfId="1" applyNumberFormat="1" applyFill="1" applyBorder="1"/>
    <xf numFmtId="0" fontId="4" fillId="6" borderId="9" xfId="1" applyFill="1" applyBorder="1" applyAlignment="1">
      <alignment horizontal="right"/>
    </xf>
    <xf numFmtId="0" fontId="4" fillId="6" borderId="8" xfId="1" applyFill="1" applyBorder="1" applyAlignment="1">
      <alignment horizontal="right"/>
    </xf>
    <xf numFmtId="0" fontId="4" fillId="0" borderId="8" xfId="1" applyNumberFormat="1" applyFill="1" applyBorder="1"/>
    <xf numFmtId="0" fontId="1" fillId="0" borderId="0" xfId="1" applyFont="1" applyFill="1" applyBorder="1" applyAlignment="1"/>
    <xf numFmtId="0" fontId="4" fillId="0" borderId="2" xfId="1" applyBorder="1"/>
    <xf numFmtId="0" fontId="4" fillId="5" borderId="0" xfId="1" applyFill="1" applyBorder="1"/>
    <xf numFmtId="0" fontId="4" fillId="0" borderId="7" xfId="1" applyBorder="1"/>
    <xf numFmtId="0" fontId="4" fillId="0" borderId="4" xfId="1" applyBorder="1"/>
    <xf numFmtId="0" fontId="4" fillId="0" borderId="3" xfId="1" applyFill="1" applyBorder="1"/>
    <xf numFmtId="0" fontId="4" fillId="6" borderId="13" xfId="1" applyFill="1" applyBorder="1" applyAlignment="1">
      <alignment horizontal="right"/>
    </xf>
    <xf numFmtId="0" fontId="4" fillId="10" borderId="0" xfId="1" applyFill="1"/>
    <xf numFmtId="0" fontId="4" fillId="10" borderId="0" xfId="1" applyFont="1" applyFill="1"/>
    <xf numFmtId="0" fontId="4" fillId="0" borderId="0" xfId="1" applyFont="1" applyFill="1"/>
    <xf numFmtId="0" fontId="4" fillId="5" borderId="0" xfId="1" applyFont="1" applyFill="1"/>
    <xf numFmtId="0" fontId="2" fillId="0" borderId="0" xfId="1" applyNumberFormat="1" applyFont="1" applyFill="1" applyAlignment="1"/>
    <xf numFmtId="0" fontId="4" fillId="0" borderId="0" xfId="1" applyNumberFormat="1" applyAlignment="1"/>
    <xf numFmtId="0" fontId="4" fillId="6" borderId="0" xfId="1" applyNumberFormat="1" applyFill="1" applyAlignment="1"/>
    <xf numFmtId="0" fontId="4" fillId="0" borderId="0" xfId="1" applyAlignment="1">
      <alignment horizontal="right"/>
    </xf>
    <xf numFmtId="0" fontId="4" fillId="6" borderId="0" xfId="1" applyFill="1" applyBorder="1"/>
    <xf numFmtId="0" fontId="4" fillId="0" borderId="0" xfId="1" applyNumberFormat="1"/>
    <xf numFmtId="0" fontId="7" fillId="0" borderId="0" xfId="1" applyFont="1"/>
    <xf numFmtId="0" fontId="8" fillId="0" borderId="0" xfId="1" applyFont="1"/>
    <xf numFmtId="0" fontId="9" fillId="0" borderId="0" xfId="1" applyFont="1"/>
    <xf numFmtId="0" fontId="10" fillId="0" borderId="0" xfId="1" applyFont="1"/>
    <xf numFmtId="0" fontId="11" fillId="0" borderId="0" xfId="1" applyFont="1"/>
    <xf numFmtId="0" fontId="12" fillId="0" borderId="0" xfId="1" applyNumberFormat="1" applyFont="1" applyAlignment="1">
      <alignment horizontal="left"/>
    </xf>
    <xf numFmtId="1" fontId="4" fillId="0" borderId="10" xfId="1" applyNumberFormat="1" applyBorder="1"/>
    <xf numFmtId="164" fontId="4" fillId="0" borderId="10" xfId="1" applyNumberFormat="1" applyBorder="1"/>
    <xf numFmtId="1" fontId="4" fillId="0" borderId="12" xfId="1" applyNumberFormat="1" applyBorder="1"/>
    <xf numFmtId="164" fontId="4" fillId="0" borderId="12" xfId="1" applyNumberFormat="1" applyBorder="1"/>
    <xf numFmtId="1" fontId="4" fillId="0" borderId="15" xfId="1" applyNumberFormat="1" applyBorder="1"/>
    <xf numFmtId="164" fontId="4" fillId="0" borderId="15" xfId="1" applyNumberFormat="1" applyBorder="1"/>
    <xf numFmtId="164" fontId="4" fillId="0" borderId="13" xfId="1" applyNumberFormat="1" applyBorder="1"/>
    <xf numFmtId="1" fontId="4" fillId="0" borderId="5" xfId="1" applyNumberFormat="1" applyBorder="1"/>
    <xf numFmtId="1" fontId="4" fillId="0" borderId="10" xfId="1" applyNumberFormat="1" applyFill="1" applyBorder="1"/>
    <xf numFmtId="1" fontId="4" fillId="0" borderId="12" xfId="1" applyNumberFormat="1" applyFill="1" applyBorder="1"/>
    <xf numFmtId="1" fontId="4" fillId="0" borderId="15" xfId="1" applyNumberFormat="1" applyFill="1" applyBorder="1"/>
    <xf numFmtId="0" fontId="4" fillId="0" borderId="9" xfId="1" applyBorder="1" applyAlignment="1">
      <alignment horizontal="right"/>
    </xf>
    <xf numFmtId="164" fontId="4" fillId="0" borderId="0" xfId="1" applyNumberFormat="1"/>
    <xf numFmtId="0" fontId="13" fillId="0" borderId="0" xfId="1" applyFont="1"/>
    <xf numFmtId="164" fontId="4" fillId="0" borderId="27" xfId="1" applyNumberFormat="1" applyBorder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7" fillId="0" borderId="0" xfId="1" applyFont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B2:F12"/>
  <sheetViews>
    <sheetView showGridLines="0" workbookViewId="0"/>
  </sheetViews>
  <sheetFormatPr baseColWidth="10" defaultColWidth="8.83203125" defaultRowHeight="13" x14ac:dyDescent="0.15"/>
  <cols>
    <col min="1" max="1" width="4.6640625" customWidth="1"/>
  </cols>
  <sheetData>
    <row r="2" spans="2:6" x14ac:dyDescent="0.15">
      <c r="B2" s="1" t="s">
        <v>0</v>
      </c>
    </row>
    <row r="3" spans="2:6" x14ac:dyDescent="0.15">
      <c r="B3" s="2"/>
      <c r="C3" s="3"/>
      <c r="D3" s="3"/>
      <c r="E3" s="3"/>
      <c r="F3" s="3"/>
    </row>
    <row r="4" spans="2:6" x14ac:dyDescent="0.15">
      <c r="B4" s="4"/>
      <c r="C4" s="5" t="s">
        <v>1</v>
      </c>
      <c r="D4" s="198" t="s">
        <v>165</v>
      </c>
      <c r="E4" s="199"/>
      <c r="F4" s="200"/>
    </row>
    <row r="5" spans="2:6" x14ac:dyDescent="0.15">
      <c r="B5" s="6"/>
      <c r="C5" s="7" t="s">
        <v>111</v>
      </c>
      <c r="D5" s="201">
        <v>2015</v>
      </c>
      <c r="E5" s="202"/>
      <c r="F5" s="203"/>
    </row>
    <row r="6" spans="2:6" x14ac:dyDescent="0.15">
      <c r="B6" s="3"/>
      <c r="C6" s="3"/>
      <c r="D6" s="3"/>
      <c r="E6" s="3"/>
      <c r="F6" s="3"/>
    </row>
    <row r="8" spans="2:6" x14ac:dyDescent="0.15">
      <c r="B8">
        <v>3</v>
      </c>
      <c r="C8" t="s">
        <v>336</v>
      </c>
      <c r="D8">
        <v>2</v>
      </c>
      <c r="E8" t="s">
        <v>337</v>
      </c>
    </row>
    <row r="10" spans="2:6" x14ac:dyDescent="0.15">
      <c r="C10" t="s">
        <v>5</v>
      </c>
      <c r="E10" t="s">
        <v>22</v>
      </c>
    </row>
    <row r="11" spans="2:6" x14ac:dyDescent="0.15">
      <c r="C11" t="s">
        <v>10</v>
      </c>
      <c r="E11" t="s">
        <v>59</v>
      </c>
    </row>
    <row r="12" spans="2:6" x14ac:dyDescent="0.15">
      <c r="C12" t="s">
        <v>12</v>
      </c>
    </row>
  </sheetData>
  <mergeCells count="2">
    <mergeCell ref="D4:F4"/>
    <mergeCell ref="D5:F5"/>
  </mergeCells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H107"/>
  <sheetViews>
    <sheetView showGridLines="0" zoomScale="170" workbookViewId="0">
      <selection activeCell="D6" sqref="D6"/>
    </sheetView>
  </sheetViews>
  <sheetFormatPr baseColWidth="10" defaultColWidth="8.83203125" defaultRowHeight="13" x14ac:dyDescent="0.15"/>
  <cols>
    <col min="1" max="1" width="4.6640625" style="9" customWidth="1"/>
    <col min="2" max="2" width="8" style="9" bestFit="1" customWidth="1"/>
    <col min="3" max="3" width="15.6640625" style="9" bestFit="1" customWidth="1"/>
    <col min="4" max="4" width="8.6640625" style="9" customWidth="1"/>
    <col min="5" max="5" width="4.5" style="9" customWidth="1"/>
    <col min="6" max="6" width="3.33203125" style="9" bestFit="1" customWidth="1"/>
    <col min="7" max="7" width="8.6640625" style="9" customWidth="1"/>
    <col min="8" max="8" width="9.5" style="9" customWidth="1"/>
    <col min="9" max="16384" width="8.83203125" style="9"/>
  </cols>
  <sheetData>
    <row r="2" spans="2:8" x14ac:dyDescent="0.15">
      <c r="B2" s="8" t="s">
        <v>2</v>
      </c>
    </row>
    <row r="3" spans="2:8" x14ac:dyDescent="0.15">
      <c r="B3" s="10" t="s">
        <v>155</v>
      </c>
    </row>
    <row r="4" spans="2:8" x14ac:dyDescent="0.15">
      <c r="B4" s="11"/>
      <c r="C4" s="12"/>
      <c r="D4" s="12"/>
      <c r="E4" s="12"/>
      <c r="F4" s="12"/>
      <c r="G4" s="12"/>
      <c r="H4" s="12"/>
    </row>
    <row r="5" spans="2:8" x14ac:dyDescent="0.15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 x14ac:dyDescent="0.15">
      <c r="B6" s="14" t="s">
        <v>5</v>
      </c>
      <c r="C6" s="84"/>
      <c r="D6" s="15">
        <v>345</v>
      </c>
      <c r="E6" s="15"/>
      <c r="F6" s="15" t="s">
        <v>6</v>
      </c>
      <c r="G6" s="15">
        <f t="shared" ref="G6:G15" si="0">$D6+$C6</f>
        <v>345</v>
      </c>
      <c r="H6" s="16" t="str">
        <f t="shared" ref="H6:H15" si="1">IF(AND($D6=0, $G6&gt;0),"new", IF(AND($D6&gt;0, $G6=0),"sold",""))</f>
        <v/>
      </c>
    </row>
    <row r="7" spans="2:8" x14ac:dyDescent="0.15">
      <c r="B7" s="14" t="s">
        <v>7</v>
      </c>
      <c r="C7" s="84"/>
      <c r="D7" s="15">
        <v>0</v>
      </c>
      <c r="E7" s="15"/>
      <c r="F7" s="15" t="s">
        <v>6</v>
      </c>
      <c r="G7" s="15">
        <f t="shared" si="0"/>
        <v>0</v>
      </c>
      <c r="H7" s="17" t="str">
        <f t="shared" si="1"/>
        <v/>
      </c>
    </row>
    <row r="8" spans="2:8" x14ac:dyDescent="0.15">
      <c r="B8" s="14" t="s">
        <v>8</v>
      </c>
      <c r="C8" s="84"/>
      <c r="D8" s="15">
        <v>0</v>
      </c>
      <c r="E8" s="15"/>
      <c r="F8" s="15" t="s">
        <v>6</v>
      </c>
      <c r="G8" s="15">
        <f t="shared" si="0"/>
        <v>0</v>
      </c>
      <c r="H8" s="17" t="str">
        <f t="shared" si="1"/>
        <v/>
      </c>
    </row>
    <row r="9" spans="2:8" x14ac:dyDescent="0.15">
      <c r="B9" s="14" t="s">
        <v>9</v>
      </c>
      <c r="C9" s="84"/>
      <c r="D9" s="15">
        <v>0</v>
      </c>
      <c r="E9" s="15"/>
      <c r="F9" s="15" t="s">
        <v>6</v>
      </c>
      <c r="G9" s="15">
        <f t="shared" si="0"/>
        <v>0</v>
      </c>
      <c r="H9" s="17" t="str">
        <f t="shared" si="1"/>
        <v/>
      </c>
    </row>
    <row r="10" spans="2:8" x14ac:dyDescent="0.15">
      <c r="B10" s="14" t="s">
        <v>10</v>
      </c>
      <c r="C10" s="84"/>
      <c r="D10" s="15">
        <v>500</v>
      </c>
      <c r="E10" s="15"/>
      <c r="F10" s="15" t="s">
        <v>6</v>
      </c>
      <c r="G10" s="15">
        <f t="shared" si="0"/>
        <v>500</v>
      </c>
      <c r="H10" s="17" t="str">
        <f t="shared" si="1"/>
        <v/>
      </c>
    </row>
    <row r="11" spans="2:8" x14ac:dyDescent="0.15">
      <c r="B11" s="14" t="s">
        <v>11</v>
      </c>
      <c r="C11" s="84"/>
      <c r="D11" s="15">
        <v>0</v>
      </c>
      <c r="E11" s="15"/>
      <c r="F11" s="15" t="s">
        <v>6</v>
      </c>
      <c r="G11" s="15">
        <f t="shared" si="0"/>
        <v>0</v>
      </c>
      <c r="H11" s="17" t="str">
        <f t="shared" si="1"/>
        <v/>
      </c>
    </row>
    <row r="12" spans="2:8" x14ac:dyDescent="0.15">
      <c r="B12" s="14" t="s">
        <v>12</v>
      </c>
      <c r="C12" s="84"/>
      <c r="D12" s="15">
        <v>3589</v>
      </c>
      <c r="E12" s="15"/>
      <c r="F12" s="15" t="s">
        <v>6</v>
      </c>
      <c r="G12" s="15">
        <f t="shared" si="0"/>
        <v>3589</v>
      </c>
      <c r="H12" s="17" t="str">
        <f t="shared" si="1"/>
        <v/>
      </c>
    </row>
    <row r="13" spans="2:8" x14ac:dyDescent="0.15">
      <c r="B13" s="14" t="s">
        <v>13</v>
      </c>
      <c r="C13" s="84"/>
      <c r="D13" s="15">
        <v>0</v>
      </c>
      <c r="E13" s="15"/>
      <c r="F13" s="15" t="s">
        <v>6</v>
      </c>
      <c r="G13" s="15">
        <f t="shared" si="0"/>
        <v>0</v>
      </c>
      <c r="H13" s="17" t="str">
        <f t="shared" si="1"/>
        <v/>
      </c>
    </row>
    <row r="14" spans="2:8" x14ac:dyDescent="0.15">
      <c r="B14" s="14" t="s">
        <v>14</v>
      </c>
      <c r="C14" s="84"/>
      <c r="D14" s="15">
        <v>0</v>
      </c>
      <c r="E14" s="15"/>
      <c r="F14" s="15" t="s">
        <v>6</v>
      </c>
      <c r="G14" s="15">
        <f t="shared" si="0"/>
        <v>0</v>
      </c>
      <c r="H14" s="17" t="str">
        <f t="shared" si="1"/>
        <v/>
      </c>
    </row>
    <row r="15" spans="2:8" x14ac:dyDescent="0.15">
      <c r="B15" s="18" t="s">
        <v>15</v>
      </c>
      <c r="C15" s="84"/>
      <c r="D15" s="15">
        <v>0</v>
      </c>
      <c r="E15" s="15"/>
      <c r="F15" s="19" t="s">
        <v>6</v>
      </c>
      <c r="G15" s="15">
        <f t="shared" si="0"/>
        <v>0</v>
      </c>
      <c r="H15" s="20" t="str">
        <f t="shared" si="1"/>
        <v/>
      </c>
    </row>
    <row r="16" spans="2:8" x14ac:dyDescent="0.15">
      <c r="B16" s="21"/>
      <c r="C16" s="21"/>
      <c r="D16" s="21">
        <f>COUNTIF($D$6:$D$15,"&gt;0")</f>
        <v>3</v>
      </c>
      <c r="E16" s="21" t="s">
        <v>16</v>
      </c>
      <c r="F16" s="12"/>
      <c r="G16" s="21">
        <f>COUNTIF(G6:G15,"&gt;0")</f>
        <v>3</v>
      </c>
      <c r="H16" s="82" t="s">
        <v>16</v>
      </c>
    </row>
    <row r="18" spans="2:8" x14ac:dyDescent="0.15">
      <c r="B18" s="10" t="s">
        <v>148</v>
      </c>
    </row>
    <row r="19" spans="2:8" x14ac:dyDescent="0.15">
      <c r="B19" s="11"/>
      <c r="C19" s="12"/>
      <c r="D19" s="12"/>
      <c r="E19" s="12"/>
      <c r="F19" s="12"/>
      <c r="G19" s="12"/>
      <c r="H19" s="12"/>
    </row>
    <row r="20" spans="2:8" x14ac:dyDescent="0.15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 x14ac:dyDescent="0.15">
      <c r="B21" s="14" t="s">
        <v>5</v>
      </c>
      <c r="C21" s="85"/>
      <c r="D21" s="15">
        <v>11</v>
      </c>
      <c r="E21" s="15"/>
      <c r="F21" s="15" t="s">
        <v>6</v>
      </c>
      <c r="G21" s="15">
        <f t="shared" ref="G21:G30" si="2">$D21+$C21</f>
        <v>11</v>
      </c>
      <c r="H21" s="17"/>
    </row>
    <row r="22" spans="2:8" x14ac:dyDescent="0.15">
      <c r="B22" s="14" t="s">
        <v>7</v>
      </c>
      <c r="C22" s="85"/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 x14ac:dyDescent="0.15">
      <c r="B23" s="14" t="s">
        <v>8</v>
      </c>
      <c r="C23" s="85"/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 x14ac:dyDescent="0.15">
      <c r="B24" s="14" t="s">
        <v>9</v>
      </c>
      <c r="C24" s="85"/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 x14ac:dyDescent="0.15">
      <c r="B25" s="14" t="s">
        <v>10</v>
      </c>
      <c r="C25" s="85"/>
      <c r="D25" s="15">
        <v>22</v>
      </c>
      <c r="E25" s="15"/>
      <c r="F25" s="15" t="s">
        <v>6</v>
      </c>
      <c r="G25" s="15">
        <f t="shared" si="2"/>
        <v>22</v>
      </c>
      <c r="H25" s="17"/>
    </row>
    <row r="26" spans="2:8" x14ac:dyDescent="0.15">
      <c r="B26" s="14" t="s">
        <v>11</v>
      </c>
      <c r="C26" s="85"/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 x14ac:dyDescent="0.15">
      <c r="B27" s="14" t="s">
        <v>12</v>
      </c>
      <c r="C27" s="85"/>
      <c r="D27" s="15">
        <v>53</v>
      </c>
      <c r="E27" s="15"/>
      <c r="F27" s="15" t="s">
        <v>6</v>
      </c>
      <c r="G27" s="15">
        <f t="shared" si="2"/>
        <v>53</v>
      </c>
      <c r="H27" s="17"/>
    </row>
    <row r="28" spans="2:8" x14ac:dyDescent="0.15">
      <c r="B28" s="14" t="s">
        <v>13</v>
      </c>
      <c r="C28" s="85"/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 x14ac:dyDescent="0.15">
      <c r="B29" s="14" t="s">
        <v>14</v>
      </c>
      <c r="C29" s="85"/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 x14ac:dyDescent="0.15">
      <c r="B30" s="18" t="s">
        <v>15</v>
      </c>
      <c r="C30" s="85"/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 x14ac:dyDescent="0.15">
      <c r="B31" s="21"/>
      <c r="C31" s="21"/>
      <c r="D31" s="21">
        <f>SUM($D$21:$D$30)</f>
        <v>86</v>
      </c>
      <c r="E31" s="21" t="s">
        <v>18</v>
      </c>
      <c r="F31" s="21"/>
      <c r="G31" s="21"/>
      <c r="H31" s="22"/>
    </row>
    <row r="33" spans="2:8" x14ac:dyDescent="0.15">
      <c r="B33" s="10" t="s">
        <v>156</v>
      </c>
    </row>
    <row r="34" spans="2:8" x14ac:dyDescent="0.15">
      <c r="B34" s="11"/>
      <c r="C34" s="12"/>
      <c r="D34" s="12"/>
      <c r="E34" s="12"/>
      <c r="F34" s="12"/>
      <c r="G34" s="12"/>
      <c r="H34" s="12"/>
    </row>
    <row r="35" spans="2:8" x14ac:dyDescent="0.15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 x14ac:dyDescent="0.15">
      <c r="B36" s="25" t="s">
        <v>19</v>
      </c>
      <c r="C36" s="84"/>
      <c r="D36" s="25">
        <v>0</v>
      </c>
      <c r="E36" s="26"/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 x14ac:dyDescent="0.15">
      <c r="B37" s="14" t="s">
        <v>20</v>
      </c>
      <c r="C37" s="84"/>
      <c r="D37" s="14">
        <v>0</v>
      </c>
      <c r="E37" s="15"/>
      <c r="F37" s="15" t="s">
        <v>6</v>
      </c>
      <c r="G37" s="15">
        <f t="shared" si="3"/>
        <v>0</v>
      </c>
      <c r="H37" s="17" t="str">
        <f t="shared" si="4"/>
        <v/>
      </c>
    </row>
    <row r="38" spans="2:8" x14ac:dyDescent="0.15">
      <c r="B38" s="14" t="s">
        <v>21</v>
      </c>
      <c r="C38" s="84"/>
      <c r="D38" s="14">
        <v>0</v>
      </c>
      <c r="E38" s="15"/>
      <c r="F38" s="15" t="s">
        <v>6</v>
      </c>
      <c r="G38" s="15">
        <f t="shared" si="3"/>
        <v>0</v>
      </c>
      <c r="H38" s="17" t="str">
        <f t="shared" si="4"/>
        <v/>
      </c>
    </row>
    <row r="39" spans="2:8" x14ac:dyDescent="0.15">
      <c r="B39" s="14" t="s">
        <v>22</v>
      </c>
      <c r="C39" s="84"/>
      <c r="D39" s="14">
        <v>50000</v>
      </c>
      <c r="E39" s="15"/>
      <c r="F39" s="15" t="s">
        <v>6</v>
      </c>
      <c r="G39" s="15">
        <f t="shared" si="3"/>
        <v>50000</v>
      </c>
      <c r="H39" s="17" t="str">
        <f t="shared" si="4"/>
        <v/>
      </c>
    </row>
    <row r="40" spans="2:8" x14ac:dyDescent="0.15">
      <c r="B40" s="14" t="s">
        <v>23</v>
      </c>
      <c r="C40" s="84"/>
      <c r="D40" s="14">
        <v>0</v>
      </c>
      <c r="E40" s="15"/>
      <c r="F40" s="15" t="s">
        <v>6</v>
      </c>
      <c r="G40" s="15">
        <f t="shared" si="3"/>
        <v>0</v>
      </c>
      <c r="H40" s="17" t="str">
        <f t="shared" si="4"/>
        <v/>
      </c>
    </row>
    <row r="41" spans="2:8" x14ac:dyDescent="0.15">
      <c r="B41" s="14" t="s">
        <v>24</v>
      </c>
      <c r="C41" s="84"/>
      <c r="D41" s="14">
        <v>0</v>
      </c>
      <c r="E41" s="15"/>
      <c r="F41" s="15" t="s">
        <v>6</v>
      </c>
      <c r="G41" s="15">
        <f t="shared" si="3"/>
        <v>0</v>
      </c>
      <c r="H41" s="17" t="str">
        <f t="shared" si="4"/>
        <v/>
      </c>
    </row>
    <row r="42" spans="2:8" x14ac:dyDescent="0.15">
      <c r="B42" s="14" t="s">
        <v>25</v>
      </c>
      <c r="C42" s="84"/>
      <c r="D42" s="14">
        <v>0</v>
      </c>
      <c r="E42" s="15"/>
      <c r="F42" s="15" t="s">
        <v>6</v>
      </c>
      <c r="G42" s="15">
        <f t="shared" si="3"/>
        <v>0</v>
      </c>
      <c r="H42" s="17" t="str">
        <f t="shared" si="4"/>
        <v/>
      </c>
    </row>
    <row r="43" spans="2:8" x14ac:dyDescent="0.15">
      <c r="B43" s="14" t="s">
        <v>26</v>
      </c>
      <c r="C43" s="84"/>
      <c r="D43" s="14">
        <v>0</v>
      </c>
      <c r="E43" s="15"/>
      <c r="F43" s="15" t="s">
        <v>6</v>
      </c>
      <c r="G43" s="15">
        <f t="shared" si="3"/>
        <v>0</v>
      </c>
      <c r="H43" s="17" t="str">
        <f t="shared" si="4"/>
        <v/>
      </c>
    </row>
    <row r="44" spans="2:8" x14ac:dyDescent="0.15">
      <c r="B44" s="14" t="s">
        <v>27</v>
      </c>
      <c r="C44" s="84"/>
      <c r="D44" s="14">
        <v>0</v>
      </c>
      <c r="E44" s="15"/>
      <c r="F44" s="15" t="s">
        <v>6</v>
      </c>
      <c r="G44" s="15">
        <f t="shared" si="3"/>
        <v>0</v>
      </c>
      <c r="H44" s="17" t="str">
        <f t="shared" si="4"/>
        <v/>
      </c>
    </row>
    <row r="45" spans="2:8" x14ac:dyDescent="0.15">
      <c r="B45" s="14" t="s">
        <v>28</v>
      </c>
      <c r="C45" s="84"/>
      <c r="D45" s="14">
        <v>0</v>
      </c>
      <c r="E45" s="15"/>
      <c r="F45" s="15" t="s">
        <v>6</v>
      </c>
      <c r="G45" s="15">
        <f t="shared" si="3"/>
        <v>0</v>
      </c>
      <c r="H45" s="17" t="str">
        <f t="shared" si="4"/>
        <v/>
      </c>
    </row>
    <row r="46" spans="2:8" x14ac:dyDescent="0.15">
      <c r="B46" s="14" t="s">
        <v>29</v>
      </c>
      <c r="C46" s="84"/>
      <c r="D46" s="14">
        <v>0</v>
      </c>
      <c r="E46" s="15"/>
      <c r="F46" s="15" t="s">
        <v>6</v>
      </c>
      <c r="G46" s="15">
        <f t="shared" si="3"/>
        <v>0</v>
      </c>
      <c r="H46" s="17" t="str">
        <f t="shared" si="4"/>
        <v/>
      </c>
    </row>
    <row r="47" spans="2:8" x14ac:dyDescent="0.15">
      <c r="B47" s="14" t="s">
        <v>30</v>
      </c>
      <c r="C47" s="84"/>
      <c r="D47" s="14">
        <v>0</v>
      </c>
      <c r="E47" s="15"/>
      <c r="F47" s="15" t="s">
        <v>6</v>
      </c>
      <c r="G47" s="15">
        <f t="shared" si="3"/>
        <v>0</v>
      </c>
      <c r="H47" s="17" t="str">
        <f t="shared" si="4"/>
        <v/>
      </c>
    </row>
    <row r="48" spans="2:8" x14ac:dyDescent="0.15">
      <c r="B48" s="14" t="s">
        <v>31</v>
      </c>
      <c r="C48" s="84"/>
      <c r="D48" s="14">
        <v>0</v>
      </c>
      <c r="E48" s="15"/>
      <c r="F48" s="15" t="s">
        <v>6</v>
      </c>
      <c r="G48" s="15">
        <f t="shared" si="3"/>
        <v>0</v>
      </c>
      <c r="H48" s="17" t="str">
        <f t="shared" si="4"/>
        <v/>
      </c>
    </row>
    <row r="49" spans="2:8" x14ac:dyDescent="0.15">
      <c r="B49" s="14" t="s">
        <v>32</v>
      </c>
      <c r="C49" s="84"/>
      <c r="D49" s="14">
        <v>0</v>
      </c>
      <c r="E49" s="15"/>
      <c r="F49" s="15" t="s">
        <v>6</v>
      </c>
      <c r="G49" s="15">
        <f t="shared" si="3"/>
        <v>0</v>
      </c>
      <c r="H49" s="17" t="str">
        <f t="shared" si="4"/>
        <v/>
      </c>
    </row>
    <row r="50" spans="2:8" x14ac:dyDescent="0.15">
      <c r="B50" s="14" t="s">
        <v>33</v>
      </c>
      <c r="C50" s="84"/>
      <c r="D50" s="14">
        <v>0</v>
      </c>
      <c r="E50" s="15"/>
      <c r="F50" s="15" t="s">
        <v>6</v>
      </c>
      <c r="G50" s="15">
        <f t="shared" si="3"/>
        <v>0</v>
      </c>
      <c r="H50" s="17" t="str">
        <f t="shared" si="4"/>
        <v/>
      </c>
    </row>
    <row r="51" spans="2:8" x14ac:dyDescent="0.15">
      <c r="B51" s="14" t="s">
        <v>34</v>
      </c>
      <c r="C51" s="84"/>
      <c r="D51" s="14">
        <v>0</v>
      </c>
      <c r="E51" s="15"/>
      <c r="F51" s="15" t="s">
        <v>6</v>
      </c>
      <c r="G51" s="15">
        <f t="shared" si="3"/>
        <v>0</v>
      </c>
      <c r="H51" s="17" t="str">
        <f t="shared" si="4"/>
        <v/>
      </c>
    </row>
    <row r="52" spans="2:8" x14ac:dyDescent="0.15">
      <c r="B52" s="14" t="s">
        <v>35</v>
      </c>
      <c r="C52" s="84"/>
      <c r="D52" s="14">
        <v>0</v>
      </c>
      <c r="E52" s="15"/>
      <c r="F52" s="15" t="s">
        <v>6</v>
      </c>
      <c r="G52" s="15">
        <f t="shared" si="3"/>
        <v>0</v>
      </c>
      <c r="H52" s="17" t="str">
        <f t="shared" si="4"/>
        <v/>
      </c>
    </row>
    <row r="53" spans="2:8" x14ac:dyDescent="0.15">
      <c r="B53" s="14" t="s">
        <v>36</v>
      </c>
      <c r="C53" s="84"/>
      <c r="D53" s="14">
        <v>0</v>
      </c>
      <c r="E53" s="15"/>
      <c r="F53" s="15" t="s">
        <v>6</v>
      </c>
      <c r="G53" s="15">
        <f t="shared" si="3"/>
        <v>0</v>
      </c>
      <c r="H53" s="17" t="str">
        <f t="shared" si="4"/>
        <v/>
      </c>
    </row>
    <row r="54" spans="2:8" x14ac:dyDescent="0.15">
      <c r="B54" s="14" t="s">
        <v>37</v>
      </c>
      <c r="C54" s="84"/>
      <c r="D54" s="14">
        <v>0</v>
      </c>
      <c r="E54" s="15"/>
      <c r="F54" s="15" t="s">
        <v>6</v>
      </c>
      <c r="G54" s="15">
        <f t="shared" si="3"/>
        <v>0</v>
      </c>
      <c r="H54" s="17" t="str">
        <f t="shared" si="4"/>
        <v/>
      </c>
    </row>
    <row r="55" spans="2:8" x14ac:dyDescent="0.15">
      <c r="B55" s="14" t="s">
        <v>38</v>
      </c>
      <c r="C55" s="84"/>
      <c r="D55" s="14">
        <v>0</v>
      </c>
      <c r="E55" s="15"/>
      <c r="F55" s="15" t="s">
        <v>6</v>
      </c>
      <c r="G55" s="15">
        <f t="shared" si="3"/>
        <v>0</v>
      </c>
      <c r="H55" s="17" t="str">
        <f t="shared" si="4"/>
        <v/>
      </c>
    </row>
    <row r="56" spans="2:8" x14ac:dyDescent="0.15">
      <c r="B56" s="14" t="s">
        <v>39</v>
      </c>
      <c r="C56" s="84"/>
      <c r="D56" s="14">
        <v>0</v>
      </c>
      <c r="E56" s="15"/>
      <c r="F56" s="15" t="s">
        <v>6</v>
      </c>
      <c r="G56" s="15">
        <f t="shared" si="3"/>
        <v>0</v>
      </c>
      <c r="H56" s="17" t="str">
        <f t="shared" si="4"/>
        <v/>
      </c>
    </row>
    <row r="57" spans="2:8" x14ac:dyDescent="0.15">
      <c r="B57" s="14" t="s">
        <v>40</v>
      </c>
      <c r="C57" s="84"/>
      <c r="D57" s="14">
        <v>0</v>
      </c>
      <c r="E57" s="15"/>
      <c r="F57" s="15" t="s">
        <v>6</v>
      </c>
      <c r="G57" s="15">
        <f t="shared" si="3"/>
        <v>0</v>
      </c>
      <c r="H57" s="17" t="str">
        <f t="shared" si="4"/>
        <v/>
      </c>
    </row>
    <row r="58" spans="2:8" x14ac:dyDescent="0.15">
      <c r="B58" s="14" t="s">
        <v>41</v>
      </c>
      <c r="C58" s="84"/>
      <c r="D58" s="14">
        <v>0</v>
      </c>
      <c r="E58" s="15"/>
      <c r="F58" s="15" t="s">
        <v>6</v>
      </c>
      <c r="G58" s="15">
        <f t="shared" si="3"/>
        <v>0</v>
      </c>
      <c r="H58" s="17" t="str">
        <f t="shared" si="4"/>
        <v/>
      </c>
    </row>
    <row r="59" spans="2:8" x14ac:dyDescent="0.15">
      <c r="B59" s="14" t="s">
        <v>42</v>
      </c>
      <c r="C59" s="84"/>
      <c r="D59" s="14">
        <v>0</v>
      </c>
      <c r="E59" s="15"/>
      <c r="F59" s="15" t="s">
        <v>6</v>
      </c>
      <c r="G59" s="15">
        <f t="shared" si="3"/>
        <v>0</v>
      </c>
      <c r="H59" s="17" t="str">
        <f t="shared" si="4"/>
        <v/>
      </c>
    </row>
    <row r="60" spans="2:8" x14ac:dyDescent="0.15">
      <c r="B60" s="14" t="s">
        <v>43</v>
      </c>
      <c r="C60" s="84"/>
      <c r="D60" s="15">
        <v>0</v>
      </c>
      <c r="E60" s="15"/>
      <c r="F60" s="15" t="s">
        <v>6</v>
      </c>
      <c r="G60" s="15">
        <f t="shared" si="3"/>
        <v>0</v>
      </c>
      <c r="H60" s="17" t="str">
        <f t="shared" si="4"/>
        <v/>
      </c>
    </row>
    <row r="61" spans="2:8" x14ac:dyDescent="0.15">
      <c r="B61" s="14" t="s">
        <v>44</v>
      </c>
      <c r="C61" s="85"/>
      <c r="D61" s="15">
        <v>0</v>
      </c>
      <c r="E61" s="15"/>
      <c r="F61" s="15" t="s">
        <v>6</v>
      </c>
      <c r="G61" s="15">
        <f t="shared" si="3"/>
        <v>0</v>
      </c>
      <c r="H61" s="17" t="str">
        <f t="shared" si="4"/>
        <v/>
      </c>
    </row>
    <row r="62" spans="2:8" x14ac:dyDescent="0.15">
      <c r="B62" s="14" t="s">
        <v>45</v>
      </c>
      <c r="C62" s="85"/>
      <c r="D62" s="15">
        <v>0</v>
      </c>
      <c r="E62" s="15"/>
      <c r="F62" s="15" t="s">
        <v>6</v>
      </c>
      <c r="G62" s="15">
        <f t="shared" si="3"/>
        <v>0</v>
      </c>
      <c r="H62" s="17" t="str">
        <f t="shared" si="4"/>
        <v/>
      </c>
    </row>
    <row r="63" spans="2:8" x14ac:dyDescent="0.15">
      <c r="B63" s="14" t="s">
        <v>46</v>
      </c>
      <c r="C63" s="85"/>
      <c r="D63" s="15">
        <v>0</v>
      </c>
      <c r="E63" s="15"/>
      <c r="F63" s="15" t="s">
        <v>6</v>
      </c>
      <c r="G63" s="15">
        <f t="shared" si="3"/>
        <v>0</v>
      </c>
      <c r="H63" s="17" t="str">
        <f t="shared" si="4"/>
        <v/>
      </c>
    </row>
    <row r="64" spans="2:8" x14ac:dyDescent="0.15">
      <c r="B64" s="14" t="s">
        <v>47</v>
      </c>
      <c r="C64" s="85"/>
      <c r="D64" s="15">
        <v>0</v>
      </c>
      <c r="E64" s="15"/>
      <c r="F64" s="15" t="s">
        <v>6</v>
      </c>
      <c r="G64" s="15">
        <f t="shared" si="3"/>
        <v>0</v>
      </c>
      <c r="H64" s="17" t="str">
        <f t="shared" si="4"/>
        <v/>
      </c>
    </row>
    <row r="65" spans="2:8" x14ac:dyDescent="0.15">
      <c r="B65" s="14" t="s">
        <v>48</v>
      </c>
      <c r="C65" s="85"/>
      <c r="D65" s="15">
        <v>0</v>
      </c>
      <c r="E65" s="15"/>
      <c r="F65" s="15" t="s">
        <v>6</v>
      </c>
      <c r="G65" s="15">
        <f t="shared" si="3"/>
        <v>0</v>
      </c>
      <c r="H65" s="17" t="str">
        <f t="shared" si="4"/>
        <v/>
      </c>
    </row>
    <row r="66" spans="2:8" x14ac:dyDescent="0.15">
      <c r="B66" s="14" t="s">
        <v>49</v>
      </c>
      <c r="C66" s="85"/>
      <c r="D66" s="15">
        <v>0</v>
      </c>
      <c r="E66" s="15"/>
      <c r="F66" s="15" t="s">
        <v>6</v>
      </c>
      <c r="G66" s="15">
        <f t="shared" si="3"/>
        <v>0</v>
      </c>
      <c r="H66" s="17" t="str">
        <f t="shared" si="4"/>
        <v/>
      </c>
    </row>
    <row r="67" spans="2:8" x14ac:dyDescent="0.15">
      <c r="B67" s="14" t="s">
        <v>50</v>
      </c>
      <c r="C67" s="85"/>
      <c r="D67" s="15">
        <v>0</v>
      </c>
      <c r="E67" s="15"/>
      <c r="F67" s="15" t="s">
        <v>6</v>
      </c>
      <c r="G67" s="15">
        <f t="shared" si="3"/>
        <v>0</v>
      </c>
      <c r="H67" s="17" t="str">
        <f t="shared" si="4"/>
        <v/>
      </c>
    </row>
    <row r="68" spans="2:8" x14ac:dyDescent="0.15">
      <c r="B68" s="14" t="s">
        <v>51</v>
      </c>
      <c r="C68" s="85"/>
      <c r="D68" s="15">
        <v>0</v>
      </c>
      <c r="E68" s="15"/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 x14ac:dyDescent="0.15">
      <c r="B69" s="14" t="s">
        <v>52</v>
      </c>
      <c r="C69" s="85"/>
      <c r="D69" s="15">
        <v>0</v>
      </c>
      <c r="E69" s="15"/>
      <c r="F69" s="15" t="s">
        <v>6</v>
      </c>
      <c r="G69" s="15">
        <f t="shared" si="5"/>
        <v>0</v>
      </c>
      <c r="H69" s="17" t="str">
        <f t="shared" si="6"/>
        <v/>
      </c>
    </row>
    <row r="70" spans="2:8" x14ac:dyDescent="0.15">
      <c r="B70" s="14" t="s">
        <v>53</v>
      </c>
      <c r="C70" s="85"/>
      <c r="D70" s="15">
        <v>0</v>
      </c>
      <c r="E70" s="15"/>
      <c r="F70" s="15" t="s">
        <v>6</v>
      </c>
      <c r="G70" s="15">
        <f t="shared" si="5"/>
        <v>0</v>
      </c>
      <c r="H70" s="17" t="str">
        <f t="shared" si="6"/>
        <v/>
      </c>
    </row>
    <row r="71" spans="2:8" x14ac:dyDescent="0.15">
      <c r="B71" s="14" t="s">
        <v>54</v>
      </c>
      <c r="C71" s="85"/>
      <c r="D71" s="15">
        <v>0</v>
      </c>
      <c r="E71" s="15"/>
      <c r="F71" s="15" t="s">
        <v>6</v>
      </c>
      <c r="G71" s="15">
        <f t="shared" si="5"/>
        <v>0</v>
      </c>
      <c r="H71" s="17" t="str">
        <f t="shared" si="6"/>
        <v/>
      </c>
    </row>
    <row r="72" spans="2:8" x14ac:dyDescent="0.15">
      <c r="B72" s="14" t="s">
        <v>55</v>
      </c>
      <c r="C72" s="85"/>
      <c r="D72" s="15">
        <v>0</v>
      </c>
      <c r="E72" s="15"/>
      <c r="F72" s="15" t="s">
        <v>6</v>
      </c>
      <c r="G72" s="15">
        <f t="shared" si="5"/>
        <v>0</v>
      </c>
      <c r="H72" s="17" t="str">
        <f t="shared" si="6"/>
        <v/>
      </c>
    </row>
    <row r="73" spans="2:8" x14ac:dyDescent="0.15">
      <c r="B73" s="14" t="s">
        <v>56</v>
      </c>
      <c r="C73" s="85"/>
      <c r="D73" s="15">
        <v>0</v>
      </c>
      <c r="E73" s="15"/>
      <c r="F73" s="15" t="s">
        <v>6</v>
      </c>
      <c r="G73" s="15">
        <f t="shared" si="5"/>
        <v>0</v>
      </c>
      <c r="H73" s="17" t="str">
        <f t="shared" si="6"/>
        <v/>
      </c>
    </row>
    <row r="74" spans="2:8" x14ac:dyDescent="0.15">
      <c r="B74" s="14" t="s">
        <v>57</v>
      </c>
      <c r="C74" s="85"/>
      <c r="D74" s="15">
        <v>0</v>
      </c>
      <c r="E74" s="15"/>
      <c r="F74" s="15" t="s">
        <v>6</v>
      </c>
      <c r="G74" s="15">
        <f t="shared" si="5"/>
        <v>0</v>
      </c>
      <c r="H74" s="17" t="str">
        <f t="shared" si="6"/>
        <v/>
      </c>
    </row>
    <row r="75" spans="2:8" x14ac:dyDescent="0.15">
      <c r="B75" s="14" t="s">
        <v>58</v>
      </c>
      <c r="C75" s="85"/>
      <c r="D75" s="15">
        <v>0</v>
      </c>
      <c r="E75" s="15"/>
      <c r="F75" s="15" t="s">
        <v>6</v>
      </c>
      <c r="G75" s="15">
        <f t="shared" si="5"/>
        <v>0</v>
      </c>
      <c r="H75" s="17" t="str">
        <f t="shared" si="6"/>
        <v/>
      </c>
    </row>
    <row r="76" spans="2:8" x14ac:dyDescent="0.15">
      <c r="B76" s="14" t="s">
        <v>59</v>
      </c>
      <c r="C76" s="85"/>
      <c r="D76" s="15">
        <v>51000</v>
      </c>
      <c r="E76" s="15"/>
      <c r="F76" s="15" t="s">
        <v>6</v>
      </c>
      <c r="G76" s="15">
        <f t="shared" si="5"/>
        <v>51000</v>
      </c>
      <c r="H76" s="17" t="str">
        <f t="shared" si="6"/>
        <v/>
      </c>
    </row>
    <row r="77" spans="2:8" x14ac:dyDescent="0.15">
      <c r="B77" s="14" t="s">
        <v>60</v>
      </c>
      <c r="C77" s="85"/>
      <c r="D77" s="15">
        <v>0</v>
      </c>
      <c r="E77" s="15"/>
      <c r="F77" s="15" t="s">
        <v>6</v>
      </c>
      <c r="G77" s="15">
        <f t="shared" si="5"/>
        <v>0</v>
      </c>
      <c r="H77" s="17" t="str">
        <f t="shared" si="6"/>
        <v/>
      </c>
    </row>
    <row r="78" spans="2:8" x14ac:dyDescent="0.15">
      <c r="B78" s="14" t="s">
        <v>61</v>
      </c>
      <c r="C78" s="85"/>
      <c r="D78" s="15">
        <v>0</v>
      </c>
      <c r="E78" s="15"/>
      <c r="F78" s="15" t="s">
        <v>6</v>
      </c>
      <c r="G78" s="15">
        <f t="shared" si="5"/>
        <v>0</v>
      </c>
      <c r="H78" s="17" t="str">
        <f t="shared" si="6"/>
        <v/>
      </c>
    </row>
    <row r="79" spans="2:8" x14ac:dyDescent="0.15">
      <c r="B79" s="14" t="s">
        <v>62</v>
      </c>
      <c r="C79" s="85"/>
      <c r="D79" s="15">
        <v>0</v>
      </c>
      <c r="E79" s="15"/>
      <c r="F79" s="15" t="s">
        <v>6</v>
      </c>
      <c r="G79" s="15">
        <f t="shared" si="5"/>
        <v>0</v>
      </c>
      <c r="H79" s="17" t="str">
        <f t="shared" si="6"/>
        <v/>
      </c>
    </row>
    <row r="80" spans="2:8" x14ac:dyDescent="0.15">
      <c r="B80" s="14" t="s">
        <v>63</v>
      </c>
      <c r="C80" s="85"/>
      <c r="D80" s="15">
        <v>0</v>
      </c>
      <c r="E80" s="15"/>
      <c r="F80" s="15" t="s">
        <v>6</v>
      </c>
      <c r="G80" s="15">
        <f t="shared" si="5"/>
        <v>0</v>
      </c>
      <c r="H80" s="17" t="str">
        <f t="shared" si="6"/>
        <v/>
      </c>
    </row>
    <row r="81" spans="2:8" x14ac:dyDescent="0.15">
      <c r="B81" s="14" t="s">
        <v>64</v>
      </c>
      <c r="C81" s="85"/>
      <c r="D81" s="15">
        <v>0</v>
      </c>
      <c r="E81" s="15"/>
      <c r="F81" s="15" t="s">
        <v>6</v>
      </c>
      <c r="G81" s="15">
        <f t="shared" si="5"/>
        <v>0</v>
      </c>
      <c r="H81" s="17" t="str">
        <f t="shared" si="6"/>
        <v/>
      </c>
    </row>
    <row r="82" spans="2:8" x14ac:dyDescent="0.15">
      <c r="B82" s="14" t="s">
        <v>65</v>
      </c>
      <c r="C82" s="85"/>
      <c r="D82" s="15">
        <v>0</v>
      </c>
      <c r="E82" s="15"/>
      <c r="F82" s="15" t="s">
        <v>6</v>
      </c>
      <c r="G82" s="15">
        <f t="shared" si="5"/>
        <v>0</v>
      </c>
      <c r="H82" s="17" t="str">
        <f t="shared" si="6"/>
        <v/>
      </c>
    </row>
    <row r="83" spans="2:8" x14ac:dyDescent="0.15">
      <c r="B83" s="27" t="s">
        <v>66</v>
      </c>
      <c r="C83" s="85"/>
      <c r="D83" s="14">
        <v>0</v>
      </c>
      <c r="E83" s="15"/>
      <c r="F83" s="15" t="s">
        <v>6</v>
      </c>
      <c r="G83" s="15">
        <f t="shared" si="5"/>
        <v>0</v>
      </c>
      <c r="H83" s="17" t="str">
        <f t="shared" si="6"/>
        <v/>
      </c>
    </row>
    <row r="84" spans="2:8" x14ac:dyDescent="0.15">
      <c r="B84" s="14" t="s">
        <v>67</v>
      </c>
      <c r="C84" s="85"/>
      <c r="D84" s="15">
        <v>0</v>
      </c>
      <c r="E84" s="15"/>
      <c r="F84" s="15" t="s">
        <v>6</v>
      </c>
      <c r="G84" s="15">
        <f t="shared" si="5"/>
        <v>0</v>
      </c>
      <c r="H84" s="17" t="str">
        <f t="shared" si="6"/>
        <v/>
      </c>
    </row>
    <row r="85" spans="2:8" x14ac:dyDescent="0.15">
      <c r="B85" s="14" t="s">
        <v>68</v>
      </c>
      <c r="C85" s="85"/>
      <c r="D85" s="15">
        <v>0</v>
      </c>
      <c r="E85" s="15"/>
      <c r="F85" s="15" t="s">
        <v>6</v>
      </c>
      <c r="G85" s="15">
        <f t="shared" si="5"/>
        <v>0</v>
      </c>
      <c r="H85" s="17" t="str">
        <f t="shared" si="6"/>
        <v/>
      </c>
    </row>
    <row r="86" spans="2:8" x14ac:dyDescent="0.15">
      <c r="B86" s="14" t="s">
        <v>69</v>
      </c>
      <c r="C86" s="85"/>
      <c r="D86" s="15">
        <v>0</v>
      </c>
      <c r="E86" s="15"/>
      <c r="F86" s="15" t="s">
        <v>6</v>
      </c>
      <c r="G86" s="15">
        <f t="shared" si="5"/>
        <v>0</v>
      </c>
      <c r="H86" s="17" t="str">
        <f t="shared" si="6"/>
        <v/>
      </c>
    </row>
    <row r="87" spans="2:8" x14ac:dyDescent="0.15">
      <c r="B87" s="14" t="s">
        <v>70</v>
      </c>
      <c r="C87" s="85"/>
      <c r="D87" s="15">
        <v>0</v>
      </c>
      <c r="E87" s="15"/>
      <c r="F87" s="15" t="s">
        <v>6</v>
      </c>
      <c r="G87" s="15">
        <f t="shared" si="5"/>
        <v>0</v>
      </c>
      <c r="H87" s="17" t="str">
        <f t="shared" si="6"/>
        <v/>
      </c>
    </row>
    <row r="88" spans="2:8" x14ac:dyDescent="0.15">
      <c r="B88" s="14" t="s">
        <v>71</v>
      </c>
      <c r="C88" s="85"/>
      <c r="D88" s="15">
        <v>0</v>
      </c>
      <c r="E88" s="15"/>
      <c r="F88" s="15" t="s">
        <v>6</v>
      </c>
      <c r="G88" s="15">
        <f t="shared" si="5"/>
        <v>0</v>
      </c>
      <c r="H88" s="17" t="str">
        <f t="shared" si="6"/>
        <v/>
      </c>
    </row>
    <row r="89" spans="2:8" x14ac:dyDescent="0.15">
      <c r="B89" s="14" t="s">
        <v>72</v>
      </c>
      <c r="C89" s="85"/>
      <c r="D89" s="15">
        <v>0</v>
      </c>
      <c r="E89" s="15"/>
      <c r="F89" s="15" t="s">
        <v>6</v>
      </c>
      <c r="G89" s="15">
        <f t="shared" si="5"/>
        <v>0</v>
      </c>
      <c r="H89" s="17" t="str">
        <f t="shared" si="6"/>
        <v/>
      </c>
    </row>
    <row r="90" spans="2:8" x14ac:dyDescent="0.15">
      <c r="B90" s="14" t="s">
        <v>73</v>
      </c>
      <c r="C90" s="85"/>
      <c r="D90" s="15">
        <v>0</v>
      </c>
      <c r="E90" s="15"/>
      <c r="F90" s="15" t="s">
        <v>6</v>
      </c>
      <c r="G90" s="15">
        <f t="shared" si="5"/>
        <v>0</v>
      </c>
      <c r="H90" s="17" t="str">
        <f t="shared" si="6"/>
        <v/>
      </c>
    </row>
    <row r="91" spans="2:8" x14ac:dyDescent="0.15">
      <c r="B91" s="14" t="s">
        <v>74</v>
      </c>
      <c r="C91" s="85"/>
      <c r="D91" s="15">
        <v>0</v>
      </c>
      <c r="E91" s="15"/>
      <c r="F91" s="15" t="s">
        <v>6</v>
      </c>
      <c r="G91" s="15">
        <f t="shared" si="5"/>
        <v>0</v>
      </c>
      <c r="H91" s="17" t="str">
        <f t="shared" si="6"/>
        <v/>
      </c>
    </row>
    <row r="92" spans="2:8" x14ac:dyDescent="0.15">
      <c r="B92" s="14" t="s">
        <v>75</v>
      </c>
      <c r="C92" s="85"/>
      <c r="D92" s="15">
        <v>0</v>
      </c>
      <c r="E92" s="15"/>
      <c r="F92" s="15" t="s">
        <v>6</v>
      </c>
      <c r="G92" s="15">
        <f t="shared" si="5"/>
        <v>0</v>
      </c>
      <c r="H92" s="17" t="str">
        <f t="shared" si="6"/>
        <v/>
      </c>
    </row>
    <row r="93" spans="2:8" x14ac:dyDescent="0.15">
      <c r="B93" s="14" t="s">
        <v>76</v>
      </c>
      <c r="C93" s="85"/>
      <c r="D93" s="15">
        <v>0</v>
      </c>
      <c r="E93" s="15"/>
      <c r="F93" s="15" t="s">
        <v>6</v>
      </c>
      <c r="G93" s="15">
        <f t="shared" si="5"/>
        <v>0</v>
      </c>
      <c r="H93" s="17" t="str">
        <f t="shared" si="6"/>
        <v/>
      </c>
    </row>
    <row r="94" spans="2:8" x14ac:dyDescent="0.15">
      <c r="B94" s="14" t="s">
        <v>77</v>
      </c>
      <c r="C94" s="85"/>
      <c r="D94" s="15">
        <v>0</v>
      </c>
      <c r="E94" s="15"/>
      <c r="F94" s="15" t="s">
        <v>6</v>
      </c>
      <c r="G94" s="15">
        <f t="shared" si="5"/>
        <v>0</v>
      </c>
      <c r="H94" s="17" t="str">
        <f t="shared" si="6"/>
        <v/>
      </c>
    </row>
    <row r="95" spans="2:8" x14ac:dyDescent="0.15">
      <c r="B95" s="14" t="s">
        <v>78</v>
      </c>
      <c r="C95" s="85"/>
      <c r="D95" s="15">
        <v>0</v>
      </c>
      <c r="E95" s="15"/>
      <c r="F95" s="15" t="s">
        <v>6</v>
      </c>
      <c r="G95" s="15">
        <f t="shared" si="5"/>
        <v>0</v>
      </c>
      <c r="H95" s="17" t="str">
        <f t="shared" si="6"/>
        <v/>
      </c>
    </row>
    <row r="96" spans="2:8" x14ac:dyDescent="0.15">
      <c r="B96" s="14" t="s">
        <v>79</v>
      </c>
      <c r="C96" s="85"/>
      <c r="D96" s="15">
        <v>0</v>
      </c>
      <c r="E96" s="15"/>
      <c r="F96" s="15" t="s">
        <v>6</v>
      </c>
      <c r="G96" s="15">
        <f t="shared" si="5"/>
        <v>0</v>
      </c>
      <c r="H96" s="17" t="str">
        <f t="shared" si="6"/>
        <v/>
      </c>
    </row>
    <row r="97" spans="2:8" x14ac:dyDescent="0.15">
      <c r="B97" s="14" t="s">
        <v>80</v>
      </c>
      <c r="C97" s="85"/>
      <c r="D97" s="15">
        <v>0</v>
      </c>
      <c r="E97" s="15"/>
      <c r="F97" s="15" t="s">
        <v>6</v>
      </c>
      <c r="G97" s="15">
        <f t="shared" si="5"/>
        <v>0</v>
      </c>
      <c r="H97" s="17" t="str">
        <f t="shared" si="6"/>
        <v/>
      </c>
    </row>
    <row r="98" spans="2:8" x14ac:dyDescent="0.15">
      <c r="B98" s="14" t="s">
        <v>81</v>
      </c>
      <c r="C98" s="85"/>
      <c r="D98" s="15">
        <v>0</v>
      </c>
      <c r="E98" s="15"/>
      <c r="F98" s="15" t="s">
        <v>6</v>
      </c>
      <c r="G98" s="15">
        <f t="shared" si="5"/>
        <v>0</v>
      </c>
      <c r="H98" s="17" t="str">
        <f t="shared" si="6"/>
        <v/>
      </c>
    </row>
    <row r="99" spans="2:8" x14ac:dyDescent="0.15">
      <c r="B99" s="14" t="s">
        <v>82</v>
      </c>
      <c r="C99" s="85"/>
      <c r="D99" s="15">
        <v>0</v>
      </c>
      <c r="E99" s="15"/>
      <c r="F99" s="15" t="s">
        <v>6</v>
      </c>
      <c r="G99" s="15">
        <f t="shared" si="5"/>
        <v>0</v>
      </c>
      <c r="H99" s="17" t="str">
        <f t="shared" si="6"/>
        <v/>
      </c>
    </row>
    <row r="100" spans="2:8" x14ac:dyDescent="0.15">
      <c r="B100" s="14" t="s">
        <v>83</v>
      </c>
      <c r="C100" s="85"/>
      <c r="D100" s="15">
        <v>0</v>
      </c>
      <c r="E100" s="15"/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 x14ac:dyDescent="0.15">
      <c r="B101" s="14" t="s">
        <v>84</v>
      </c>
      <c r="C101" s="85"/>
      <c r="D101" s="15">
        <v>0</v>
      </c>
      <c r="E101" s="15"/>
      <c r="F101" s="15" t="s">
        <v>6</v>
      </c>
      <c r="G101" s="15">
        <f t="shared" si="7"/>
        <v>0</v>
      </c>
      <c r="H101" s="17" t="str">
        <f t="shared" si="8"/>
        <v/>
      </c>
    </row>
    <row r="102" spans="2:8" x14ac:dyDescent="0.15">
      <c r="B102" s="14" t="s">
        <v>85</v>
      </c>
      <c r="C102" s="85"/>
      <c r="D102" s="15">
        <v>0</v>
      </c>
      <c r="E102" s="15"/>
      <c r="F102" s="15" t="s">
        <v>6</v>
      </c>
      <c r="G102" s="15">
        <f t="shared" si="7"/>
        <v>0</v>
      </c>
      <c r="H102" s="17" t="str">
        <f t="shared" si="8"/>
        <v/>
      </c>
    </row>
    <row r="103" spans="2:8" x14ac:dyDescent="0.15">
      <c r="B103" s="14" t="s">
        <v>86</v>
      </c>
      <c r="C103" s="85"/>
      <c r="D103" s="15">
        <v>0</v>
      </c>
      <c r="E103" s="15"/>
      <c r="F103" s="15" t="s">
        <v>6</v>
      </c>
      <c r="G103" s="15">
        <f t="shared" si="7"/>
        <v>0</v>
      </c>
      <c r="H103" s="17" t="str">
        <f t="shared" si="8"/>
        <v/>
      </c>
    </row>
    <row r="104" spans="2:8" x14ac:dyDescent="0.15">
      <c r="B104" s="14" t="s">
        <v>87</v>
      </c>
      <c r="C104" s="85"/>
      <c r="D104" s="15">
        <v>0</v>
      </c>
      <c r="E104" s="15"/>
      <c r="F104" s="15" t="s">
        <v>6</v>
      </c>
      <c r="G104" s="15">
        <f t="shared" si="7"/>
        <v>0</v>
      </c>
      <c r="H104" s="17" t="str">
        <f t="shared" si="8"/>
        <v/>
      </c>
    </row>
    <row r="105" spans="2:8" x14ac:dyDescent="0.15">
      <c r="B105" s="14" t="s">
        <v>88</v>
      </c>
      <c r="C105" s="85"/>
      <c r="D105" s="15">
        <v>0</v>
      </c>
      <c r="E105" s="15"/>
      <c r="F105" s="15" t="s">
        <v>6</v>
      </c>
      <c r="G105" s="15">
        <f t="shared" si="7"/>
        <v>0</v>
      </c>
      <c r="H105" s="17" t="str">
        <f t="shared" si="8"/>
        <v/>
      </c>
    </row>
    <row r="106" spans="2:8" x14ac:dyDescent="0.15">
      <c r="B106" s="18" t="s">
        <v>89</v>
      </c>
      <c r="C106" s="85"/>
      <c r="D106" s="19">
        <v>0</v>
      </c>
      <c r="E106" s="19"/>
      <c r="F106" s="19" t="s">
        <v>6</v>
      </c>
      <c r="G106" s="19">
        <f t="shared" si="7"/>
        <v>0</v>
      </c>
      <c r="H106" s="20" t="str">
        <f t="shared" si="8"/>
        <v/>
      </c>
    </row>
    <row r="107" spans="2:8" x14ac:dyDescent="0.15">
      <c r="B107" s="12"/>
      <c r="C107" s="12"/>
      <c r="D107" s="12">
        <f>COUNTIF($D$36:$D$106,"&gt;0")</f>
        <v>2</v>
      </c>
      <c r="E107" s="12" t="s">
        <v>90</v>
      </c>
      <c r="F107" s="12"/>
      <c r="G107" s="12">
        <f>COUNTIF(G36:G106,"&gt;0")</f>
        <v>2</v>
      </c>
      <c r="H107" s="83" t="s">
        <v>90</v>
      </c>
    </row>
  </sheetData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AG49"/>
  <sheetViews>
    <sheetView showGridLines="0" zoomScale="131" workbookViewId="0">
      <selection activeCell="G14" sqref="G14"/>
    </sheetView>
  </sheetViews>
  <sheetFormatPr baseColWidth="10" defaultColWidth="8.83203125" defaultRowHeight="13" x14ac:dyDescent="0.15"/>
  <cols>
    <col min="1" max="1" width="4.6640625" style="29" customWidth="1"/>
    <col min="2" max="2" width="16.6640625" style="29" customWidth="1"/>
    <col min="3" max="14" width="8.6640625" style="29" customWidth="1"/>
    <col min="15" max="16384" width="8.83203125" style="29"/>
  </cols>
  <sheetData>
    <row r="2" spans="2:14" x14ac:dyDescent="0.15">
      <c r="B2" s="28" t="s">
        <v>140</v>
      </c>
    </row>
    <row r="3" spans="2:14" x14ac:dyDescent="0.15">
      <c r="B3" s="30" t="s">
        <v>164</v>
      </c>
    </row>
    <row r="4" spans="2:14" x14ac:dyDescent="0.15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 x14ac:dyDescent="0.15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 x14ac:dyDescent="0.15">
      <c r="B6" s="36" t="s">
        <v>104</v>
      </c>
      <c r="C6" s="86">
        <f>25250/6</f>
        <v>4208.333333333333</v>
      </c>
      <c r="D6" s="86">
        <f t="shared" ref="D6:N6" si="0">25250/6</f>
        <v>4208.333333333333</v>
      </c>
      <c r="E6" s="86">
        <f t="shared" si="0"/>
        <v>4208.333333333333</v>
      </c>
      <c r="F6" s="86">
        <f t="shared" si="0"/>
        <v>4208.333333333333</v>
      </c>
      <c r="G6" s="86">
        <f t="shared" si="0"/>
        <v>4208.333333333333</v>
      </c>
      <c r="H6" s="86">
        <f t="shared" si="0"/>
        <v>4208.333333333333</v>
      </c>
      <c r="I6" s="86">
        <f t="shared" si="0"/>
        <v>4208.333333333333</v>
      </c>
      <c r="J6" s="86">
        <f t="shared" si="0"/>
        <v>4208.333333333333</v>
      </c>
      <c r="K6" s="86">
        <f t="shared" si="0"/>
        <v>4208.333333333333</v>
      </c>
      <c r="L6" s="86">
        <f t="shared" si="0"/>
        <v>4208.333333333333</v>
      </c>
      <c r="M6" s="86">
        <f t="shared" si="0"/>
        <v>4208.333333333333</v>
      </c>
      <c r="N6" s="86">
        <f t="shared" si="0"/>
        <v>4208.333333333333</v>
      </c>
    </row>
    <row r="7" spans="2:14" x14ac:dyDescent="0.15">
      <c r="B7" s="36" t="s">
        <v>105</v>
      </c>
      <c r="C7" s="86">
        <f t="shared" ref="C7:N11" si="1">25250/6</f>
        <v>4208.333333333333</v>
      </c>
      <c r="D7" s="86">
        <f t="shared" si="1"/>
        <v>4208.333333333333</v>
      </c>
      <c r="E7" s="86">
        <f t="shared" si="1"/>
        <v>4208.333333333333</v>
      </c>
      <c r="F7" s="86">
        <f t="shared" si="1"/>
        <v>4208.333333333333</v>
      </c>
      <c r="G7" s="86">
        <f t="shared" si="1"/>
        <v>4208.333333333333</v>
      </c>
      <c r="H7" s="86">
        <f t="shared" si="1"/>
        <v>4208.333333333333</v>
      </c>
      <c r="I7" s="86">
        <f t="shared" si="1"/>
        <v>4208.333333333333</v>
      </c>
      <c r="J7" s="86">
        <f t="shared" si="1"/>
        <v>4208.333333333333</v>
      </c>
      <c r="K7" s="86">
        <f t="shared" si="1"/>
        <v>4208.333333333333</v>
      </c>
      <c r="L7" s="86">
        <f t="shared" si="1"/>
        <v>4208.333333333333</v>
      </c>
      <c r="M7" s="86">
        <f t="shared" si="1"/>
        <v>4208.333333333333</v>
      </c>
      <c r="N7" s="86">
        <f t="shared" si="1"/>
        <v>4208.333333333333</v>
      </c>
    </row>
    <row r="8" spans="2:14" x14ac:dyDescent="0.15">
      <c r="B8" s="36" t="s">
        <v>106</v>
      </c>
      <c r="C8" s="86">
        <f t="shared" si="1"/>
        <v>4208.333333333333</v>
      </c>
      <c r="D8" s="86">
        <f t="shared" si="1"/>
        <v>4208.333333333333</v>
      </c>
      <c r="E8" s="86">
        <f t="shared" si="1"/>
        <v>4208.333333333333</v>
      </c>
      <c r="F8" s="86">
        <f t="shared" si="1"/>
        <v>4208.333333333333</v>
      </c>
      <c r="G8" s="86">
        <f t="shared" si="1"/>
        <v>4208.333333333333</v>
      </c>
      <c r="H8" s="86">
        <f t="shared" si="1"/>
        <v>4208.333333333333</v>
      </c>
      <c r="I8" s="86">
        <f t="shared" si="1"/>
        <v>4208.333333333333</v>
      </c>
      <c r="J8" s="86">
        <f t="shared" si="1"/>
        <v>4208.333333333333</v>
      </c>
      <c r="K8" s="86">
        <f t="shared" si="1"/>
        <v>4208.333333333333</v>
      </c>
      <c r="L8" s="86">
        <f t="shared" si="1"/>
        <v>4208.333333333333</v>
      </c>
      <c r="M8" s="86">
        <f t="shared" si="1"/>
        <v>4208.333333333333</v>
      </c>
      <c r="N8" s="86">
        <f t="shared" si="1"/>
        <v>4208.333333333333</v>
      </c>
    </row>
    <row r="9" spans="2:14" x14ac:dyDescent="0.15">
      <c r="B9" s="36" t="s">
        <v>107</v>
      </c>
      <c r="C9" s="86">
        <f t="shared" si="1"/>
        <v>4208.333333333333</v>
      </c>
      <c r="D9" s="86">
        <f t="shared" si="1"/>
        <v>4208.333333333333</v>
      </c>
      <c r="E9" s="86">
        <f t="shared" si="1"/>
        <v>4208.333333333333</v>
      </c>
      <c r="F9" s="86">
        <f t="shared" si="1"/>
        <v>4208.333333333333</v>
      </c>
      <c r="G9" s="86">
        <f t="shared" si="1"/>
        <v>4208.333333333333</v>
      </c>
      <c r="H9" s="86">
        <f t="shared" si="1"/>
        <v>4208.333333333333</v>
      </c>
      <c r="I9" s="86">
        <f t="shared" si="1"/>
        <v>4208.333333333333</v>
      </c>
      <c r="J9" s="86">
        <f t="shared" si="1"/>
        <v>4208.333333333333</v>
      </c>
      <c r="K9" s="86">
        <f t="shared" si="1"/>
        <v>4208.333333333333</v>
      </c>
      <c r="L9" s="86">
        <f t="shared" si="1"/>
        <v>4208.333333333333</v>
      </c>
      <c r="M9" s="86">
        <f t="shared" si="1"/>
        <v>4208.333333333333</v>
      </c>
      <c r="N9" s="86">
        <f t="shared" si="1"/>
        <v>4208.333333333333</v>
      </c>
    </row>
    <row r="10" spans="2:14" x14ac:dyDescent="0.15">
      <c r="B10" s="36" t="s">
        <v>108</v>
      </c>
      <c r="C10" s="86">
        <f t="shared" si="1"/>
        <v>4208.333333333333</v>
      </c>
      <c r="D10" s="86">
        <f t="shared" si="1"/>
        <v>4208.333333333333</v>
      </c>
      <c r="E10" s="86">
        <f t="shared" si="1"/>
        <v>4208.333333333333</v>
      </c>
      <c r="F10" s="86">
        <f t="shared" si="1"/>
        <v>4208.333333333333</v>
      </c>
      <c r="G10" s="86">
        <f t="shared" si="1"/>
        <v>4208.333333333333</v>
      </c>
      <c r="H10" s="86">
        <f t="shared" si="1"/>
        <v>4208.333333333333</v>
      </c>
      <c r="I10" s="86">
        <f t="shared" si="1"/>
        <v>4208.333333333333</v>
      </c>
      <c r="J10" s="86">
        <f t="shared" si="1"/>
        <v>4208.333333333333</v>
      </c>
      <c r="K10" s="86">
        <f t="shared" si="1"/>
        <v>4208.333333333333</v>
      </c>
      <c r="L10" s="86">
        <f t="shared" si="1"/>
        <v>4208.333333333333</v>
      </c>
      <c r="M10" s="86">
        <f t="shared" si="1"/>
        <v>4208.333333333333</v>
      </c>
      <c r="N10" s="86">
        <f t="shared" si="1"/>
        <v>4208.333333333333</v>
      </c>
    </row>
    <row r="11" spans="2:14" x14ac:dyDescent="0.15">
      <c r="B11" s="37" t="s">
        <v>109</v>
      </c>
      <c r="C11" s="86">
        <f t="shared" si="1"/>
        <v>4208.333333333333</v>
      </c>
      <c r="D11" s="86">
        <f t="shared" si="1"/>
        <v>4208.333333333333</v>
      </c>
      <c r="E11" s="86">
        <f t="shared" si="1"/>
        <v>4208.333333333333</v>
      </c>
      <c r="F11" s="86">
        <f t="shared" si="1"/>
        <v>4208.333333333333</v>
      </c>
      <c r="G11" s="86">
        <f t="shared" si="1"/>
        <v>4208.333333333333</v>
      </c>
      <c r="H11" s="86">
        <f t="shared" si="1"/>
        <v>4208.333333333333</v>
      </c>
      <c r="I11" s="86">
        <f t="shared" si="1"/>
        <v>4208.333333333333</v>
      </c>
      <c r="J11" s="86">
        <f t="shared" si="1"/>
        <v>4208.333333333333</v>
      </c>
      <c r="K11" s="86">
        <f t="shared" si="1"/>
        <v>4208.333333333333</v>
      </c>
      <c r="L11" s="86">
        <f t="shared" si="1"/>
        <v>4208.333333333333</v>
      </c>
      <c r="M11" s="86">
        <f t="shared" si="1"/>
        <v>4208.333333333333</v>
      </c>
      <c r="N11" s="86">
        <f t="shared" si="1"/>
        <v>4208.333333333333</v>
      </c>
    </row>
    <row r="12" spans="2:14" x14ac:dyDescent="0.15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 x14ac:dyDescent="0.15">
      <c r="B14" s="30" t="s">
        <v>157</v>
      </c>
    </row>
    <row r="15" spans="2:14" x14ac:dyDescent="0.15">
      <c r="B15" s="31"/>
      <c r="C15" s="32"/>
      <c r="D15" s="32"/>
      <c r="E15" s="51"/>
      <c r="F15" s="32"/>
      <c r="G15" s="32"/>
      <c r="H15" s="32"/>
    </row>
    <row r="16" spans="2:14" x14ac:dyDescent="0.15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 x14ac:dyDescent="0.15">
      <c r="B17" s="41" t="s">
        <v>104</v>
      </c>
      <c r="C17" s="88">
        <v>1</v>
      </c>
      <c r="D17" s="88">
        <v>10000000</v>
      </c>
      <c r="E17" s="88">
        <v>1</v>
      </c>
      <c r="F17" s="88">
        <v>10000000</v>
      </c>
      <c r="G17" s="88">
        <v>1</v>
      </c>
      <c r="H17" s="88">
        <v>10000000</v>
      </c>
      <c r="I17" s="29" t="s">
        <v>110</v>
      </c>
    </row>
    <row r="18" spans="2:33" x14ac:dyDescent="0.15">
      <c r="B18" s="36" t="s">
        <v>105</v>
      </c>
      <c r="C18" s="88">
        <v>1</v>
      </c>
      <c r="D18" s="88">
        <v>10000000</v>
      </c>
      <c r="E18" s="88">
        <v>1</v>
      </c>
      <c r="F18" s="88">
        <v>10000000</v>
      </c>
      <c r="G18" s="88">
        <v>1</v>
      </c>
      <c r="H18" s="88">
        <v>10000000</v>
      </c>
      <c r="I18" s="29" t="s">
        <v>110</v>
      </c>
    </row>
    <row r="19" spans="2:33" x14ac:dyDescent="0.15">
      <c r="B19" s="36" t="s">
        <v>106</v>
      </c>
      <c r="C19" s="88">
        <v>1</v>
      </c>
      <c r="D19" s="88">
        <v>10000000</v>
      </c>
      <c r="E19" s="88">
        <v>1</v>
      </c>
      <c r="F19" s="88">
        <v>10000000</v>
      </c>
      <c r="G19" s="88">
        <v>1</v>
      </c>
      <c r="H19" s="88">
        <v>10000000</v>
      </c>
      <c r="I19" s="29" t="s">
        <v>110</v>
      </c>
    </row>
    <row r="20" spans="2:33" x14ac:dyDescent="0.15">
      <c r="B20" s="36" t="s">
        <v>107</v>
      </c>
      <c r="C20" s="88">
        <v>1</v>
      </c>
      <c r="D20" s="88">
        <v>10000000</v>
      </c>
      <c r="E20" s="88">
        <v>1</v>
      </c>
      <c r="F20" s="88">
        <v>10000000</v>
      </c>
      <c r="G20" s="88">
        <v>1</v>
      </c>
      <c r="H20" s="88">
        <v>10000000</v>
      </c>
    </row>
    <row r="21" spans="2:33" x14ac:dyDescent="0.15">
      <c r="B21" s="36" t="s">
        <v>108</v>
      </c>
      <c r="C21" s="88">
        <v>1</v>
      </c>
      <c r="D21" s="88">
        <v>10000000</v>
      </c>
      <c r="E21" s="88">
        <v>1</v>
      </c>
      <c r="F21" s="88">
        <v>10000000</v>
      </c>
      <c r="G21" s="88">
        <v>1</v>
      </c>
      <c r="H21" s="88">
        <v>10000000</v>
      </c>
    </row>
    <row r="22" spans="2:33" x14ac:dyDescent="0.15">
      <c r="B22" s="37" t="s">
        <v>109</v>
      </c>
      <c r="C22" s="88">
        <v>1</v>
      </c>
      <c r="D22" s="88">
        <v>10000000</v>
      </c>
      <c r="E22" s="88">
        <v>1</v>
      </c>
      <c r="F22" s="88">
        <v>10000000</v>
      </c>
      <c r="G22" s="88">
        <v>1</v>
      </c>
      <c r="H22" s="88">
        <v>10000000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 x14ac:dyDescent="0.15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 x14ac:dyDescent="0.15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 x14ac:dyDescent="0.15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 x14ac:dyDescent="0.15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 x14ac:dyDescent="0.15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 x14ac:dyDescent="0.15">
      <c r="D28" s="45">
        <f>basic_info!$D$5-5</f>
        <v>2010</v>
      </c>
      <c r="E28" s="49"/>
      <c r="F28" s="45">
        <f>basic_info!$D$5-4</f>
        <v>2011</v>
      </c>
      <c r="G28" s="49"/>
      <c r="H28" s="45">
        <f>basic_info!$D$5-3</f>
        <v>2012</v>
      </c>
      <c r="I28" s="49"/>
      <c r="J28" s="45">
        <f>basic_info!$D$5-2</f>
        <v>2013</v>
      </c>
      <c r="K28" s="49"/>
      <c r="L28" s="45">
        <f>basic_info!$D$5-1</f>
        <v>2014</v>
      </c>
      <c r="N28" s="45">
        <f>basic_info!$D$5</f>
        <v>2015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 x14ac:dyDescent="0.15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 x14ac:dyDescent="0.15">
      <c r="B30" s="41" t="s">
        <v>112</v>
      </c>
      <c r="C30" s="36">
        <f>basic_info!$D$5</f>
        <v>2015</v>
      </c>
      <c r="D30" s="44">
        <v>0.71606841632270113</v>
      </c>
      <c r="E30" s="35">
        <v>0</v>
      </c>
      <c r="F30" s="47">
        <v>0.72887055332178219</v>
      </c>
      <c r="G30" s="46">
        <v>0</v>
      </c>
      <c r="H30" s="47">
        <v>0.83662811576897178</v>
      </c>
      <c r="I30" s="46">
        <v>0</v>
      </c>
      <c r="J30" s="47">
        <v>0.81866788858339068</v>
      </c>
      <c r="K30" s="46">
        <v>0</v>
      </c>
      <c r="L30" s="47">
        <v>0.66383864317884189</v>
      </c>
      <c r="M30" s="46">
        <v>0</v>
      </c>
      <c r="N30" s="60"/>
      <c r="O30" s="71" t="s">
        <v>162</v>
      </c>
      <c r="P30" s="41">
        <f>M30+K30+I30+E30+G30</f>
        <v>0</v>
      </c>
      <c r="Q30" s="70"/>
    </row>
    <row r="31" spans="2:33" x14ac:dyDescent="0.15">
      <c r="B31" s="36"/>
      <c r="C31" s="47">
        <f>basic_info!$D$5+1</f>
        <v>2016</v>
      </c>
      <c r="D31" s="76"/>
      <c r="E31" s="75"/>
      <c r="F31" s="69">
        <v>0.67862145488531522</v>
      </c>
      <c r="G31" s="79">
        <v>0</v>
      </c>
      <c r="H31" s="61">
        <v>0.77144919455166439</v>
      </c>
      <c r="I31" s="62">
        <v>0</v>
      </c>
      <c r="J31" s="61">
        <v>0.74927989201390566</v>
      </c>
      <c r="K31" s="62">
        <v>0</v>
      </c>
      <c r="L31" s="61">
        <v>0.67403456532264949</v>
      </c>
      <c r="M31" s="62">
        <v>0</v>
      </c>
      <c r="N31" s="63">
        <v>0.9094305994382329</v>
      </c>
      <c r="O31" s="87"/>
      <c r="P31" s="63">
        <f>O31+M31+K31+I31+G31</f>
        <v>0</v>
      </c>
    </row>
    <row r="32" spans="2:33" x14ac:dyDescent="0.15">
      <c r="B32" s="36"/>
      <c r="C32" s="47">
        <f>basic_info!$D$5+2</f>
        <v>2017</v>
      </c>
      <c r="D32" s="76"/>
      <c r="E32" s="75"/>
      <c r="F32" s="75"/>
      <c r="G32" s="75"/>
      <c r="H32" s="69">
        <v>0.71662753591933626</v>
      </c>
      <c r="I32" s="79">
        <v>0</v>
      </c>
      <c r="J32" s="61">
        <v>0.7118064307683698</v>
      </c>
      <c r="K32" s="62">
        <v>0</v>
      </c>
      <c r="L32" s="61">
        <v>0.65742258166301204</v>
      </c>
      <c r="M32" s="62">
        <v>0</v>
      </c>
      <c r="N32" s="63">
        <v>0.8608485705892801</v>
      </c>
      <c r="O32" s="87"/>
      <c r="P32" s="63">
        <f>O32+M32+K32+I32</f>
        <v>0</v>
      </c>
    </row>
    <row r="33" spans="2:17" x14ac:dyDescent="0.15">
      <c r="B33" s="36"/>
      <c r="C33" s="47">
        <f>basic_info!$D$5+3</f>
        <v>2018</v>
      </c>
      <c r="D33" s="76"/>
      <c r="E33" s="75"/>
      <c r="F33" s="75"/>
      <c r="G33" s="75"/>
      <c r="H33" s="75"/>
      <c r="I33" s="75"/>
      <c r="J33" s="69">
        <v>0.68616087553988669</v>
      </c>
      <c r="K33" s="79">
        <v>0</v>
      </c>
      <c r="L33" s="61">
        <v>0.64171751702829749</v>
      </c>
      <c r="M33" s="62">
        <v>0</v>
      </c>
      <c r="N33" s="63">
        <v>0.8295043288750632</v>
      </c>
      <c r="O33" s="87"/>
      <c r="P33" s="63">
        <f>O33+M33+K33</f>
        <v>0</v>
      </c>
    </row>
    <row r="34" spans="2:17" x14ac:dyDescent="0.15">
      <c r="B34" s="36"/>
      <c r="C34" s="47">
        <f>basic_info!$D$5+4</f>
        <v>2019</v>
      </c>
      <c r="D34" s="76"/>
      <c r="E34" s="75"/>
      <c r="F34" s="75"/>
      <c r="G34" s="75"/>
      <c r="H34" s="75"/>
      <c r="I34" s="75"/>
      <c r="J34" s="75"/>
      <c r="K34" s="75"/>
      <c r="L34" s="69">
        <v>0.65376248745918275</v>
      </c>
      <c r="M34" s="79">
        <v>0</v>
      </c>
      <c r="N34" s="63">
        <v>0.84540928358710421</v>
      </c>
      <c r="O34" s="87"/>
      <c r="P34" s="63">
        <f>O34+M34</f>
        <v>0</v>
      </c>
    </row>
    <row r="35" spans="2:17" x14ac:dyDescent="0.15">
      <c r="B35" s="37"/>
      <c r="C35" s="72">
        <f>basic_info!$D$5+5</f>
        <v>2020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0.76962524616122252</v>
      </c>
      <c r="O35" s="87"/>
      <c r="P35" s="65">
        <f>O35</f>
        <v>0</v>
      </c>
    </row>
    <row r="36" spans="2:17" x14ac:dyDescent="0.15">
      <c r="B36" s="41" t="s">
        <v>113</v>
      </c>
      <c r="C36" s="36">
        <f>basic_info!$D$5</f>
        <v>2015</v>
      </c>
      <c r="D36" s="44">
        <v>1.1250861635625817</v>
      </c>
      <c r="E36" s="35">
        <v>0</v>
      </c>
      <c r="F36" s="73">
        <v>1.3053357330394562</v>
      </c>
      <c r="G36" s="74">
        <v>0</v>
      </c>
      <c r="H36" s="73">
        <v>1.1125214549937747</v>
      </c>
      <c r="I36" s="74">
        <v>0</v>
      </c>
      <c r="J36" s="73">
        <v>1.2057521205584205</v>
      </c>
      <c r="K36" s="74">
        <v>0</v>
      </c>
      <c r="L36" s="66">
        <v>1.201165752532078</v>
      </c>
      <c r="M36" s="67">
        <v>0</v>
      </c>
      <c r="N36" s="68"/>
      <c r="O36" s="71" t="s">
        <v>162</v>
      </c>
      <c r="P36" s="41">
        <f>M36+K36+I36+E36+G36</f>
        <v>0</v>
      </c>
      <c r="Q36" s="70"/>
    </row>
    <row r="37" spans="2:17" x14ac:dyDescent="0.15">
      <c r="B37" s="36"/>
      <c r="C37" s="47">
        <f>basic_info!$D$5+1</f>
        <v>2016</v>
      </c>
      <c r="D37" s="76"/>
      <c r="E37" s="75"/>
      <c r="F37" s="69">
        <v>1.2381058075672227</v>
      </c>
      <c r="G37" s="79">
        <v>0</v>
      </c>
      <c r="H37" s="61">
        <v>1.0896456341169221</v>
      </c>
      <c r="I37" s="62">
        <v>0</v>
      </c>
      <c r="J37" s="61">
        <v>1.1880059380028796</v>
      </c>
      <c r="K37" s="62">
        <v>0</v>
      </c>
      <c r="L37" s="61">
        <v>1.1979988746751256</v>
      </c>
      <c r="M37" s="62">
        <v>0</v>
      </c>
      <c r="N37" s="61">
        <v>1.1284743819827652</v>
      </c>
      <c r="O37" s="87"/>
      <c r="P37" s="63">
        <f>O37+M37+K37+I37+G37</f>
        <v>0</v>
      </c>
    </row>
    <row r="38" spans="2:17" x14ac:dyDescent="0.15">
      <c r="B38" s="36"/>
      <c r="C38" s="47">
        <f>basic_info!$D$5+2</f>
        <v>2017</v>
      </c>
      <c r="D38" s="76"/>
      <c r="E38" s="75"/>
      <c r="F38" s="75"/>
      <c r="G38" s="75"/>
      <c r="H38" s="69">
        <v>1.0587453955633634</v>
      </c>
      <c r="I38" s="79">
        <v>0</v>
      </c>
      <c r="J38" s="61">
        <v>1.0938135695671274</v>
      </c>
      <c r="K38" s="62">
        <v>0</v>
      </c>
      <c r="L38" s="61">
        <v>1.1014713588815135</v>
      </c>
      <c r="M38" s="62">
        <v>0</v>
      </c>
      <c r="N38" s="61">
        <v>1.042842908637313</v>
      </c>
      <c r="O38" s="87"/>
      <c r="P38" s="63">
        <f>O38+M38+K38+I38</f>
        <v>0</v>
      </c>
    </row>
    <row r="39" spans="2:17" x14ac:dyDescent="0.15">
      <c r="B39" s="36"/>
      <c r="C39" s="47">
        <f>basic_info!$D$5+3</f>
        <v>2018</v>
      </c>
      <c r="D39" s="76"/>
      <c r="E39" s="75"/>
      <c r="F39" s="75"/>
      <c r="G39" s="75"/>
      <c r="H39" s="75"/>
      <c r="I39" s="75"/>
      <c r="J39" s="69">
        <v>1.0288140534879155</v>
      </c>
      <c r="K39" s="79">
        <v>0</v>
      </c>
      <c r="L39" s="61">
        <v>1.0108999284690923</v>
      </c>
      <c r="M39" s="62">
        <v>0</v>
      </c>
      <c r="N39" s="61">
        <v>1.0032828986441651</v>
      </c>
      <c r="O39" s="87"/>
      <c r="P39" s="63">
        <f>O39+M39+K39</f>
        <v>0</v>
      </c>
    </row>
    <row r="40" spans="2:17" x14ac:dyDescent="0.15">
      <c r="B40" s="36"/>
      <c r="C40" s="47">
        <f>basic_info!$D$5+4</f>
        <v>2019</v>
      </c>
      <c r="D40" s="76"/>
      <c r="E40" s="75"/>
      <c r="F40" s="75"/>
      <c r="G40" s="75"/>
      <c r="H40" s="75"/>
      <c r="I40" s="75"/>
      <c r="J40" s="75"/>
      <c r="K40" s="75"/>
      <c r="L40" s="69">
        <v>0.98955166281759732</v>
      </c>
      <c r="M40" s="79">
        <v>0</v>
      </c>
      <c r="N40" s="61">
        <v>0.95103433990902408</v>
      </c>
      <c r="O40" s="87"/>
      <c r="P40" s="63">
        <f>O40+M40</f>
        <v>0</v>
      </c>
    </row>
    <row r="41" spans="2:17" x14ac:dyDescent="0.15">
      <c r="B41" s="37"/>
      <c r="C41" s="72">
        <f>basic_info!$D$5+5</f>
        <v>2020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0.9180320969671012</v>
      </c>
      <c r="O41" s="87"/>
      <c r="P41" s="64">
        <f>O41</f>
        <v>0</v>
      </c>
    </row>
    <row r="42" spans="2:17" x14ac:dyDescent="0.15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 x14ac:dyDescent="0.15">
      <c r="B44" s="30" t="s">
        <v>153</v>
      </c>
    </row>
    <row r="45" spans="2:17" x14ac:dyDescent="0.15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 x14ac:dyDescent="0.15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 x14ac:dyDescent="0.15">
      <c r="B47" s="41" t="s">
        <v>112</v>
      </c>
      <c r="C47" s="89">
        <v>100</v>
      </c>
      <c r="D47" s="89">
        <v>0</v>
      </c>
      <c r="E47" s="89">
        <v>0</v>
      </c>
      <c r="F47" s="89">
        <v>0</v>
      </c>
      <c r="G47" s="89">
        <v>0</v>
      </c>
      <c r="H47" s="89">
        <v>0</v>
      </c>
      <c r="I47" s="89">
        <v>0</v>
      </c>
      <c r="J47" s="89">
        <v>0</v>
      </c>
      <c r="K47" s="89">
        <v>0</v>
      </c>
      <c r="L47" s="89">
        <v>0</v>
      </c>
      <c r="M47" s="89">
        <v>0</v>
      </c>
      <c r="N47" s="89">
        <v>0</v>
      </c>
      <c r="O47" s="33">
        <f>SUM(C47:N47)</f>
        <v>100</v>
      </c>
    </row>
    <row r="48" spans="2:17" x14ac:dyDescent="0.15">
      <c r="B48" s="37" t="s">
        <v>113</v>
      </c>
      <c r="C48" s="89">
        <v>100</v>
      </c>
      <c r="D48" s="89">
        <v>0</v>
      </c>
      <c r="E48" s="89">
        <v>0</v>
      </c>
      <c r="F48" s="89">
        <v>0</v>
      </c>
      <c r="G48" s="89">
        <v>0</v>
      </c>
      <c r="H48" s="89">
        <v>0</v>
      </c>
      <c r="I48" s="89">
        <v>0</v>
      </c>
      <c r="J48" s="89">
        <v>0</v>
      </c>
      <c r="K48" s="89">
        <v>0</v>
      </c>
      <c r="L48" s="89">
        <v>0</v>
      </c>
      <c r="M48" s="89">
        <v>0</v>
      </c>
      <c r="N48" s="89">
        <v>0</v>
      </c>
      <c r="O48" s="33">
        <f>SUM(C48:N48)</f>
        <v>100</v>
      </c>
    </row>
    <row r="49" spans="2:15" x14ac:dyDescent="0.15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2:X63"/>
  <sheetViews>
    <sheetView showGridLines="0" topLeftCell="A11" zoomScale="168" workbookViewId="0">
      <selection activeCell="B34" sqref="B34"/>
    </sheetView>
  </sheetViews>
  <sheetFormatPr baseColWidth="10" defaultColWidth="8.83203125" defaultRowHeight="13" x14ac:dyDescent="0.15"/>
  <cols>
    <col min="1" max="1" width="4.6640625" style="29" customWidth="1"/>
    <col min="2" max="2" width="17.33203125" style="29" customWidth="1"/>
    <col min="3" max="16384" width="8.83203125" style="29"/>
  </cols>
  <sheetData>
    <row r="2" spans="2:17" x14ac:dyDescent="0.15">
      <c r="B2" s="28" t="s">
        <v>114</v>
      </c>
    </row>
    <row r="3" spans="2:17" x14ac:dyDescent="0.15">
      <c r="B3" s="30" t="s">
        <v>144</v>
      </c>
    </row>
    <row r="4" spans="2:17" x14ac:dyDescent="0.15">
      <c r="B4" s="48"/>
      <c r="C4" s="48"/>
      <c r="D4" s="48"/>
      <c r="E4" s="48"/>
      <c r="F4" s="48"/>
      <c r="G4" s="48"/>
      <c r="H4" s="48"/>
      <c r="I4" s="49"/>
      <c r="J4" s="49"/>
      <c r="K4" s="49"/>
      <c r="L4" s="49"/>
      <c r="M4" s="49"/>
      <c r="N4" s="49"/>
    </row>
    <row r="5" spans="2:17" x14ac:dyDescent="0.15">
      <c r="B5" s="45" t="s">
        <v>115</v>
      </c>
      <c r="C5" s="45" t="s">
        <v>5</v>
      </c>
      <c r="D5" s="45" t="s">
        <v>10</v>
      </c>
      <c r="E5" s="45" t="s">
        <v>12</v>
      </c>
      <c r="F5" s="45" t="s">
        <v>22</v>
      </c>
      <c r="G5" s="45" t="s">
        <v>59</v>
      </c>
      <c r="H5" s="45" t="s">
        <v>150</v>
      </c>
      <c r="I5" s="50"/>
      <c r="J5" s="50"/>
      <c r="K5" s="50"/>
      <c r="L5" s="50"/>
      <c r="M5" s="50"/>
      <c r="N5" s="50"/>
      <c r="O5" s="50"/>
      <c r="P5" s="50"/>
      <c r="Q5" s="50"/>
    </row>
    <row r="6" spans="2:17" x14ac:dyDescent="0.15">
      <c r="B6" s="45" t="s">
        <v>163</v>
      </c>
      <c r="C6" s="90">
        <v>1.3663379999999998</v>
      </c>
      <c r="D6" s="90">
        <v>1.9801980000000001</v>
      </c>
      <c r="E6" s="90">
        <v>14.213861</v>
      </c>
      <c r="F6" s="90">
        <v>41.714850999999996</v>
      </c>
      <c r="G6" s="90">
        <v>40.724751999999995</v>
      </c>
      <c r="H6" s="94">
        <f>SUM($C$6:$G$6)</f>
        <v>99.999999999999986</v>
      </c>
      <c r="I6" s="49"/>
      <c r="J6" s="49"/>
      <c r="K6" s="49"/>
      <c r="L6" s="49"/>
      <c r="M6" s="49"/>
      <c r="N6" s="49"/>
      <c r="O6" s="50"/>
      <c r="P6" s="50"/>
      <c r="Q6" s="50"/>
    </row>
    <row r="7" spans="2:17" x14ac:dyDescent="0.15">
      <c r="B7" s="45" t="s">
        <v>105</v>
      </c>
      <c r="C7" s="90">
        <v>1.3663379999999998</v>
      </c>
      <c r="D7" s="90">
        <v>1.9801980000000001</v>
      </c>
      <c r="E7" s="90">
        <v>14.213861</v>
      </c>
      <c r="F7" s="90">
        <v>41.714850999999996</v>
      </c>
      <c r="G7" s="90">
        <v>40.724751999999995</v>
      </c>
      <c r="H7" s="94">
        <f>SUM($C$7:$G$7)</f>
        <v>99.999999999999986</v>
      </c>
      <c r="I7" s="49"/>
      <c r="J7" s="49"/>
      <c r="K7" s="49"/>
      <c r="L7" s="49"/>
      <c r="M7" s="49"/>
      <c r="N7" s="49"/>
      <c r="O7" s="50"/>
      <c r="P7" s="50"/>
      <c r="Q7" s="50"/>
    </row>
    <row r="8" spans="2:17" x14ac:dyDescent="0.15">
      <c r="B8" s="45" t="s">
        <v>106</v>
      </c>
      <c r="C8" s="90">
        <v>1.3663379999999998</v>
      </c>
      <c r="D8" s="90">
        <v>1.9801980000000001</v>
      </c>
      <c r="E8" s="90">
        <v>14.213861</v>
      </c>
      <c r="F8" s="90">
        <v>41.714850999999996</v>
      </c>
      <c r="G8" s="90">
        <v>40.724751999999995</v>
      </c>
      <c r="H8" s="94">
        <f>SUM($C$8:$G$8)</f>
        <v>99.999999999999986</v>
      </c>
      <c r="I8" s="49"/>
      <c r="J8" s="49"/>
      <c r="K8" s="49"/>
      <c r="L8" s="49"/>
      <c r="M8" s="49"/>
      <c r="N8" s="49"/>
      <c r="O8" s="50"/>
      <c r="P8" s="50"/>
      <c r="Q8" s="50"/>
    </row>
    <row r="9" spans="2:17" x14ac:dyDescent="0.15">
      <c r="B9" s="45" t="s">
        <v>107</v>
      </c>
      <c r="C9" s="90">
        <v>1.3663379999999998</v>
      </c>
      <c r="D9" s="90">
        <v>1.9801980000000001</v>
      </c>
      <c r="E9" s="90">
        <v>14.213861</v>
      </c>
      <c r="F9" s="90">
        <v>41.714850999999996</v>
      </c>
      <c r="G9" s="90">
        <v>40.724751999999995</v>
      </c>
      <c r="H9" s="94">
        <f>SUM($C$9:$G$9)</f>
        <v>99.999999999999986</v>
      </c>
      <c r="I9" s="49"/>
      <c r="J9" s="49"/>
      <c r="K9" s="49"/>
      <c r="L9" s="49"/>
      <c r="M9" s="49"/>
      <c r="N9" s="49"/>
      <c r="O9" s="50"/>
      <c r="P9" s="50"/>
      <c r="Q9" s="50"/>
    </row>
    <row r="10" spans="2:17" x14ac:dyDescent="0.15">
      <c r="B10" s="45" t="s">
        <v>108</v>
      </c>
      <c r="C10" s="90">
        <v>1.3663379999999998</v>
      </c>
      <c r="D10" s="90">
        <v>1.9801980000000001</v>
      </c>
      <c r="E10" s="90">
        <v>14.213861</v>
      </c>
      <c r="F10" s="90">
        <v>41.714850999999996</v>
      </c>
      <c r="G10" s="90">
        <v>40.724751999999995</v>
      </c>
      <c r="H10" s="94">
        <f>SUM($C$10:$G$10)</f>
        <v>99.999999999999986</v>
      </c>
      <c r="I10" s="49"/>
      <c r="J10" s="49"/>
      <c r="K10" s="49"/>
      <c r="L10" s="49"/>
      <c r="M10" s="49"/>
      <c r="N10" s="49"/>
      <c r="O10" s="50"/>
      <c r="P10" s="50"/>
      <c r="Q10" s="50"/>
    </row>
    <row r="11" spans="2:17" x14ac:dyDescent="0.15">
      <c r="B11" s="45" t="s">
        <v>109</v>
      </c>
      <c r="C11" s="90">
        <v>1.3663379999999998</v>
      </c>
      <c r="D11" s="90">
        <v>1.9801980000000001</v>
      </c>
      <c r="E11" s="90">
        <v>14.213861</v>
      </c>
      <c r="F11" s="90">
        <v>41.714850999999996</v>
      </c>
      <c r="G11" s="90">
        <v>40.724751999999995</v>
      </c>
      <c r="H11" s="93">
        <f>SUM($C$11:$G$11)</f>
        <v>99.999999999999986</v>
      </c>
      <c r="I11" s="49"/>
      <c r="J11" s="49"/>
      <c r="K11" s="49"/>
      <c r="L11" s="49"/>
      <c r="M11" s="49"/>
      <c r="N11" s="49"/>
      <c r="O11" s="50"/>
      <c r="P11" s="50"/>
      <c r="Q11" s="50"/>
    </row>
    <row r="12" spans="2:17" x14ac:dyDescent="0.15">
      <c r="B12" s="51"/>
      <c r="C12" s="51"/>
      <c r="D12" s="51"/>
      <c r="E12" s="51"/>
      <c r="F12" s="51"/>
      <c r="G12" s="51"/>
      <c r="H12" s="51"/>
      <c r="I12" s="49"/>
      <c r="J12" s="49"/>
      <c r="K12" s="49"/>
      <c r="L12" s="49"/>
      <c r="M12" s="49"/>
      <c r="N12" s="49"/>
      <c r="O12" s="50"/>
      <c r="P12" s="50"/>
      <c r="Q12" s="50"/>
    </row>
    <row r="13" spans="2:17" x14ac:dyDescent="0.15">
      <c r="C13" s="49"/>
      <c r="D13" s="49"/>
      <c r="E13" s="49"/>
      <c r="F13" s="49"/>
      <c r="G13" s="49"/>
      <c r="H13" s="49"/>
      <c r="I13" s="50"/>
      <c r="J13" s="50"/>
      <c r="K13" s="50"/>
    </row>
    <row r="14" spans="2:17" x14ac:dyDescent="0.15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7" x14ac:dyDescent="0.15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7" x14ac:dyDescent="0.15">
      <c r="B16" s="31"/>
      <c r="C16" s="31"/>
      <c r="D16" s="31"/>
      <c r="E16" s="31"/>
      <c r="F16" s="31"/>
      <c r="G16" s="31"/>
      <c r="H16" s="31"/>
      <c r="I16" s="50"/>
      <c r="J16" s="50"/>
      <c r="K16" s="50"/>
      <c r="L16" s="50"/>
      <c r="O16" s="50"/>
      <c r="P16" s="50"/>
      <c r="Q16" s="50"/>
    </row>
    <row r="17" spans="2:18" x14ac:dyDescent="0.15">
      <c r="B17" s="45" t="s">
        <v>118</v>
      </c>
      <c r="C17" s="45" t="s">
        <v>5</v>
      </c>
      <c r="D17" s="45"/>
      <c r="E17" s="45" t="s">
        <v>10</v>
      </c>
      <c r="F17" s="45"/>
      <c r="G17" s="45" t="s">
        <v>12</v>
      </c>
      <c r="H17" s="45"/>
      <c r="I17" s="50"/>
      <c r="J17" s="50"/>
      <c r="K17" s="50"/>
      <c r="L17" s="50"/>
      <c r="O17" s="50"/>
      <c r="P17" s="50"/>
      <c r="Q17" s="50"/>
    </row>
    <row r="18" spans="2:18" x14ac:dyDescent="0.15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45" t="s">
        <v>133</v>
      </c>
      <c r="H18" s="45" t="s">
        <v>123</v>
      </c>
      <c r="I18" s="50"/>
      <c r="J18" s="50"/>
      <c r="K18" s="50"/>
      <c r="L18" s="50"/>
      <c r="M18" s="50"/>
      <c r="O18" s="50"/>
      <c r="P18" s="50"/>
      <c r="Q18" s="50"/>
    </row>
    <row r="19" spans="2:18" x14ac:dyDescent="0.15">
      <c r="B19" s="45" t="s">
        <v>120</v>
      </c>
      <c r="C19" s="91">
        <v>50</v>
      </c>
      <c r="D19" s="44">
        <f>100-$C$19</f>
        <v>50</v>
      </c>
      <c r="E19" s="91">
        <v>50</v>
      </c>
      <c r="F19" s="44">
        <f>100-$E$19</f>
        <v>50</v>
      </c>
      <c r="G19" s="91">
        <v>50</v>
      </c>
      <c r="H19" s="33">
        <f>100-$G$19</f>
        <v>50</v>
      </c>
      <c r="O19" s="50"/>
      <c r="P19" s="50"/>
      <c r="Q19" s="50"/>
    </row>
    <row r="20" spans="2:18" x14ac:dyDescent="0.15">
      <c r="B20" s="54"/>
      <c r="C20" s="54"/>
      <c r="D20" s="54"/>
      <c r="E20" s="54"/>
      <c r="F20" s="54"/>
      <c r="G20" s="54"/>
      <c r="H20" s="54"/>
      <c r="I20" s="50"/>
      <c r="J20" s="50"/>
      <c r="K20" s="50"/>
      <c r="L20" s="50"/>
      <c r="O20" s="50"/>
      <c r="P20" s="50"/>
      <c r="Q20" s="50"/>
    </row>
    <row r="21" spans="2:18" x14ac:dyDescent="0.15">
      <c r="I21" s="50"/>
      <c r="J21" s="50"/>
      <c r="K21" s="50"/>
    </row>
    <row r="22" spans="2:18" x14ac:dyDescent="0.15">
      <c r="B22" s="52" t="s">
        <v>114</v>
      </c>
      <c r="I22" s="50"/>
      <c r="J22" s="50"/>
      <c r="K22" s="50"/>
    </row>
    <row r="23" spans="2:18" x14ac:dyDescent="0.15">
      <c r="B23" s="55" t="s">
        <v>145</v>
      </c>
      <c r="I23" s="50"/>
      <c r="J23" s="50"/>
      <c r="K23" s="50"/>
    </row>
    <row r="24" spans="2:18" x14ac:dyDescent="0.15">
      <c r="B24" s="31"/>
      <c r="C24" s="31"/>
      <c r="D24" s="31"/>
      <c r="E24" s="31"/>
      <c r="F24" s="31"/>
      <c r="G24" s="31"/>
      <c r="H24" s="31"/>
      <c r="I24" s="31"/>
      <c r="P24" s="50"/>
      <c r="Q24" s="50"/>
      <c r="R24" s="50"/>
    </row>
    <row r="25" spans="2:18" x14ac:dyDescent="0.15">
      <c r="B25" s="45" t="s">
        <v>121</v>
      </c>
      <c r="C25" s="45" t="s">
        <v>122</v>
      </c>
      <c r="D25" s="45" t="s">
        <v>5</v>
      </c>
      <c r="E25" s="45"/>
      <c r="F25" s="45" t="s">
        <v>10</v>
      </c>
      <c r="G25" s="45"/>
      <c r="H25" s="45" t="s">
        <v>12</v>
      </c>
      <c r="I25" s="45"/>
      <c r="P25" s="50"/>
      <c r="Q25" s="50"/>
      <c r="R25" s="50"/>
    </row>
    <row r="26" spans="2:18" x14ac:dyDescent="0.15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H26" s="45" t="s">
        <v>133</v>
      </c>
      <c r="I26" s="45" t="s">
        <v>123</v>
      </c>
      <c r="P26" s="50"/>
      <c r="Q26" s="50"/>
      <c r="R26" s="50"/>
    </row>
    <row r="27" spans="2:18" x14ac:dyDescent="0.15">
      <c r="B27" s="45" t="s">
        <v>22</v>
      </c>
      <c r="C27" s="90">
        <v>100</v>
      </c>
      <c r="D27" s="90">
        <v>100</v>
      </c>
      <c r="E27" s="90">
        <v>100</v>
      </c>
      <c r="F27" s="90"/>
      <c r="G27" s="90">
        <v>100</v>
      </c>
      <c r="H27" s="90"/>
      <c r="I27" s="92">
        <v>100</v>
      </c>
      <c r="P27" s="50"/>
      <c r="Q27" s="50"/>
      <c r="R27" s="50"/>
    </row>
    <row r="28" spans="2:18" x14ac:dyDescent="0.15">
      <c r="B28" s="45" t="s">
        <v>59</v>
      </c>
      <c r="C28" s="90">
        <v>0</v>
      </c>
      <c r="D28" s="90"/>
      <c r="E28" s="90"/>
      <c r="F28" s="90">
        <v>100</v>
      </c>
      <c r="G28" s="90"/>
      <c r="H28" s="90">
        <v>100</v>
      </c>
      <c r="I28" s="92"/>
      <c r="P28" s="50"/>
      <c r="Q28" s="50"/>
      <c r="R28" s="50"/>
    </row>
    <row r="29" spans="2:18" x14ac:dyDescent="0.15">
      <c r="B29" s="45" t="s">
        <v>150</v>
      </c>
      <c r="C29" s="95">
        <f>SUM($C$27:$C$28)</f>
        <v>100</v>
      </c>
      <c r="D29" s="95">
        <f>SUM($D$27:$D$28)</f>
        <v>100</v>
      </c>
      <c r="E29" s="95">
        <f>SUM($E$27:$E$28)</f>
        <v>100</v>
      </c>
      <c r="F29" s="95">
        <f>SUM($F$27:$F$28)</f>
        <v>100</v>
      </c>
      <c r="G29" s="95">
        <f>SUM($G$27:$G$28)</f>
        <v>100</v>
      </c>
      <c r="H29" s="95">
        <f>SUM($H$27:$H$28)</f>
        <v>100</v>
      </c>
      <c r="I29" s="93">
        <f>SUM($I$27:$I$28)</f>
        <v>100</v>
      </c>
      <c r="P29" s="50"/>
      <c r="Q29" s="50"/>
      <c r="R29" s="50"/>
    </row>
    <row r="30" spans="2:18" x14ac:dyDescent="0.15">
      <c r="B30" s="54"/>
      <c r="C30" s="54"/>
      <c r="D30" s="54"/>
      <c r="E30" s="54"/>
      <c r="F30" s="54"/>
      <c r="G30" s="54"/>
      <c r="H30" s="54"/>
      <c r="I30" s="54"/>
      <c r="P30" s="50"/>
      <c r="Q30" s="50"/>
      <c r="R30" s="50"/>
    </row>
    <row r="31" spans="2:18" x14ac:dyDescent="0.15">
      <c r="I31" s="50"/>
      <c r="J31" s="50"/>
      <c r="K31" s="50"/>
    </row>
    <row r="32" spans="2:18" x14ac:dyDescent="0.15">
      <c r="B32" s="52" t="s">
        <v>124</v>
      </c>
      <c r="C32" s="50"/>
      <c r="D32" s="50"/>
      <c r="E32" s="50"/>
      <c r="F32" s="50"/>
      <c r="G32" s="50"/>
      <c r="H32" s="50"/>
      <c r="I32" s="50"/>
      <c r="J32" s="50"/>
      <c r="K32" s="50"/>
    </row>
    <row r="33" spans="2:14" x14ac:dyDescent="0.15">
      <c r="B33" s="53" t="s">
        <v>143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 x14ac:dyDescent="0.15">
      <c r="B34" s="32"/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</row>
    <row r="35" spans="2:14" x14ac:dyDescent="0.15">
      <c r="B35" s="45" t="s">
        <v>147</v>
      </c>
      <c r="C35" s="45" t="s">
        <v>92</v>
      </c>
      <c r="D35" s="45" t="s">
        <v>93</v>
      </c>
      <c r="E35" s="45" t="s">
        <v>94</v>
      </c>
      <c r="F35" s="45" t="s">
        <v>95</v>
      </c>
      <c r="G35" s="45" t="s">
        <v>96</v>
      </c>
      <c r="H35" s="45" t="s">
        <v>97</v>
      </c>
      <c r="I35" s="45" t="s">
        <v>98</v>
      </c>
      <c r="J35" s="45" t="s">
        <v>99</v>
      </c>
      <c r="K35" s="45" t="s">
        <v>100</v>
      </c>
      <c r="L35" s="45" t="s">
        <v>101</v>
      </c>
      <c r="M35" s="45" t="s">
        <v>102</v>
      </c>
      <c r="N35" s="45" t="s">
        <v>103</v>
      </c>
    </row>
    <row r="36" spans="2:14" x14ac:dyDescent="0.15">
      <c r="B36" s="45" t="s">
        <v>22</v>
      </c>
      <c r="C36" s="90">
        <v>50</v>
      </c>
      <c r="D36" s="90">
        <v>50</v>
      </c>
      <c r="E36" s="90">
        <v>50</v>
      </c>
      <c r="F36" s="90">
        <v>50</v>
      </c>
      <c r="G36" s="90">
        <v>50</v>
      </c>
      <c r="H36" s="90">
        <v>50</v>
      </c>
      <c r="I36" s="90">
        <v>50</v>
      </c>
      <c r="J36" s="90">
        <v>50</v>
      </c>
      <c r="K36" s="90">
        <v>50</v>
      </c>
      <c r="L36" s="90">
        <v>50</v>
      </c>
      <c r="M36" s="90">
        <v>50</v>
      </c>
      <c r="N36" s="90">
        <v>50</v>
      </c>
    </row>
    <row r="37" spans="2:14" x14ac:dyDescent="0.15">
      <c r="B37" s="45" t="s">
        <v>59</v>
      </c>
      <c r="C37" s="91">
        <v>50</v>
      </c>
      <c r="D37" s="91">
        <v>50</v>
      </c>
      <c r="E37" s="91">
        <v>50</v>
      </c>
      <c r="F37" s="91">
        <v>50</v>
      </c>
      <c r="G37" s="91">
        <v>50</v>
      </c>
      <c r="H37" s="91">
        <v>50</v>
      </c>
      <c r="I37" s="91">
        <v>50</v>
      </c>
      <c r="J37" s="91">
        <v>50</v>
      </c>
      <c r="K37" s="91">
        <v>50</v>
      </c>
      <c r="L37" s="91">
        <v>50</v>
      </c>
      <c r="M37" s="91">
        <v>50</v>
      </c>
      <c r="N37" s="91">
        <v>50</v>
      </c>
    </row>
    <row r="38" spans="2:14" x14ac:dyDescent="0.15">
      <c r="B38" s="32"/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</row>
    <row r="39" spans="2:14" x14ac:dyDescent="0.15">
      <c r="I39" s="50"/>
      <c r="J39" s="50"/>
      <c r="K39" s="50"/>
    </row>
    <row r="40" spans="2:14" x14ac:dyDescent="0.15">
      <c r="B40" s="50"/>
      <c r="C40" s="50"/>
      <c r="D40" s="50"/>
      <c r="E40" s="50"/>
      <c r="F40" s="50"/>
      <c r="G40" s="50"/>
      <c r="H40" s="50"/>
      <c r="I40" s="50"/>
      <c r="J40" s="50"/>
      <c r="K40" s="50"/>
      <c r="L40" s="50"/>
      <c r="M40" s="50"/>
      <c r="N40" s="50"/>
    </row>
    <row r="41" spans="2:14" x14ac:dyDescent="0.15">
      <c r="B41" s="50"/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</row>
    <row r="42" spans="2:14" x14ac:dyDescent="0.15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 x14ac:dyDescent="0.15">
      <c r="B43" s="56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 x14ac:dyDescent="0.15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 x14ac:dyDescent="0.15">
      <c r="B45" s="50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 x14ac:dyDescent="0.15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 x14ac:dyDescent="0.15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9" spans="9:24" x14ac:dyDescent="0.15">
      <c r="P49" s="50"/>
      <c r="Q49" s="50"/>
      <c r="R49" s="50"/>
      <c r="S49" s="50"/>
      <c r="T49" s="50"/>
      <c r="U49" s="50"/>
      <c r="V49" s="50"/>
      <c r="W49" s="50"/>
      <c r="X49" s="50"/>
    </row>
    <row r="61" spans="9:24" x14ac:dyDescent="0.15">
      <c r="I61" s="50"/>
      <c r="J61" s="50"/>
    </row>
    <row r="62" spans="9:24" x14ac:dyDescent="0.15">
      <c r="I62" s="50"/>
      <c r="J62" s="50"/>
    </row>
    <row r="63" spans="9:24" x14ac:dyDescent="0.15">
      <c r="I63" s="50"/>
      <c r="J63" s="50"/>
    </row>
  </sheetData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G11 C19 E19 G19 C27:I28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6:N37">
      <formula1>0</formula1>
      <formula2>100</formula2>
    </dataValidation>
  </dataValidations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O41"/>
  <sheetViews>
    <sheetView showGridLines="0" topLeftCell="A4" zoomScale="144" workbookViewId="0">
      <selection activeCell="Q34" sqref="Q34"/>
    </sheetView>
  </sheetViews>
  <sheetFormatPr baseColWidth="10" defaultColWidth="8.83203125" defaultRowHeight="13" x14ac:dyDescent="0.15"/>
  <cols>
    <col min="1" max="2" width="4.6640625" style="29" customWidth="1"/>
    <col min="3" max="3" width="12.6640625" style="29" customWidth="1"/>
    <col min="4" max="15" width="8.6640625" style="29" customWidth="1"/>
    <col min="16" max="16384" width="8.83203125" style="29"/>
  </cols>
  <sheetData>
    <row r="2" spans="2:15" x14ac:dyDescent="0.15">
      <c r="C2" s="28" t="s">
        <v>158</v>
      </c>
    </row>
    <row r="3" spans="2:15" x14ac:dyDescent="0.15">
      <c r="C3" s="30" t="s">
        <v>138</v>
      </c>
    </row>
    <row r="4" spans="2:15" x14ac:dyDescent="0.15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 x14ac:dyDescent="0.15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 x14ac:dyDescent="0.15">
      <c r="C6" s="41" t="s">
        <v>126</v>
      </c>
      <c r="D6" s="87">
        <v>1</v>
      </c>
      <c r="E6" s="87">
        <v>1.2727272727272727</v>
      </c>
      <c r="F6" s="87">
        <v>1.5454545454545454</v>
      </c>
      <c r="G6" s="87">
        <v>1.8181818181818181</v>
      </c>
      <c r="H6" s="87">
        <v>2.0909090909090908</v>
      </c>
      <c r="I6" s="87">
        <v>2.3636363636363633</v>
      </c>
      <c r="J6" s="87">
        <v>2.6363636363636358</v>
      </c>
      <c r="K6" s="87">
        <v>2.9090909090909083</v>
      </c>
      <c r="L6" s="87">
        <v>3.1818181818181808</v>
      </c>
      <c r="M6" s="87">
        <v>3.4545454545454533</v>
      </c>
      <c r="N6" s="87">
        <v>3.7272727272727257</v>
      </c>
      <c r="O6" s="87">
        <v>3.9999999999999982</v>
      </c>
    </row>
    <row r="7" spans="2:15" x14ac:dyDescent="0.15">
      <c r="C7" s="36" t="s">
        <v>127</v>
      </c>
      <c r="D7" s="87">
        <v>1</v>
      </c>
      <c r="E7" s="87">
        <v>1.2727272727272727</v>
      </c>
      <c r="F7" s="87">
        <v>1.5454545454545454</v>
      </c>
      <c r="G7" s="87">
        <v>1.8181818181818181</v>
      </c>
      <c r="H7" s="87">
        <v>2.0909090909090908</v>
      </c>
      <c r="I7" s="87">
        <v>2.3636363636363633</v>
      </c>
      <c r="J7" s="87">
        <v>2.6363636363636358</v>
      </c>
      <c r="K7" s="87">
        <v>2.9090909090909083</v>
      </c>
      <c r="L7" s="87">
        <v>3.1818181818181808</v>
      </c>
      <c r="M7" s="87">
        <v>3.4545454545454533</v>
      </c>
      <c r="N7" s="87">
        <v>3.7272727272727257</v>
      </c>
      <c r="O7" s="87">
        <v>3.9999999999999982</v>
      </c>
    </row>
    <row r="8" spans="2:15" x14ac:dyDescent="0.15">
      <c r="C8" s="36" t="s">
        <v>128</v>
      </c>
      <c r="D8" s="87">
        <v>1</v>
      </c>
      <c r="E8" s="87">
        <v>1.2727272727272727</v>
      </c>
      <c r="F8" s="87">
        <v>1.5454545454545454</v>
      </c>
      <c r="G8" s="87">
        <v>1.8181818181818181</v>
      </c>
      <c r="H8" s="87">
        <v>2.0909090909090908</v>
      </c>
      <c r="I8" s="87">
        <v>2.3636363636363633</v>
      </c>
      <c r="J8" s="87">
        <v>2.6363636363636358</v>
      </c>
      <c r="K8" s="87">
        <v>2.9090909090909083</v>
      </c>
      <c r="L8" s="87">
        <v>3.1818181818181808</v>
      </c>
      <c r="M8" s="87">
        <v>3.4545454545454533</v>
      </c>
      <c r="N8" s="87">
        <v>3.7272727272727257</v>
      </c>
      <c r="O8" s="87">
        <v>3.9999999999999982</v>
      </c>
    </row>
    <row r="9" spans="2:15" x14ac:dyDescent="0.15">
      <c r="C9" s="36" t="s">
        <v>129</v>
      </c>
      <c r="D9" s="87">
        <v>1</v>
      </c>
      <c r="E9" s="87">
        <v>1.2727272727272727</v>
      </c>
      <c r="F9" s="87">
        <v>1.5454545454545454</v>
      </c>
      <c r="G9" s="87">
        <v>1.8181818181818181</v>
      </c>
      <c r="H9" s="87">
        <v>2.0909090909090908</v>
      </c>
      <c r="I9" s="87">
        <v>2.3636363636363633</v>
      </c>
      <c r="J9" s="87">
        <v>2.6363636363636358</v>
      </c>
      <c r="K9" s="87">
        <v>2.9090909090909083</v>
      </c>
      <c r="L9" s="87">
        <v>3.1818181818181808</v>
      </c>
      <c r="M9" s="87">
        <v>3.4545454545454533</v>
      </c>
      <c r="N9" s="87">
        <v>3.7272727272727257</v>
      </c>
      <c r="O9" s="87">
        <v>3.9999999999999982</v>
      </c>
    </row>
    <row r="10" spans="2:15" x14ac:dyDescent="0.15">
      <c r="C10" s="36" t="s">
        <v>130</v>
      </c>
      <c r="D10" s="87">
        <v>1</v>
      </c>
      <c r="E10" s="87">
        <v>1.2727272727272727</v>
      </c>
      <c r="F10" s="87">
        <v>1.5454545454545454</v>
      </c>
      <c r="G10" s="87">
        <v>1.8181818181818181</v>
      </c>
      <c r="H10" s="87">
        <v>2.0909090909090908</v>
      </c>
      <c r="I10" s="87">
        <v>2.3636363636363633</v>
      </c>
      <c r="J10" s="87">
        <v>2.6363636363636358</v>
      </c>
      <c r="K10" s="87">
        <v>2.9090909090909083</v>
      </c>
      <c r="L10" s="87">
        <v>3.1818181818181808</v>
      </c>
      <c r="M10" s="87">
        <v>3.4545454545454533</v>
      </c>
      <c r="N10" s="87">
        <v>3.7272727272727257</v>
      </c>
      <c r="O10" s="87">
        <v>3.9999999999999982</v>
      </c>
    </row>
    <row r="11" spans="2:15" x14ac:dyDescent="0.15">
      <c r="C11" s="36" t="s">
        <v>131</v>
      </c>
      <c r="D11" s="87">
        <v>1</v>
      </c>
      <c r="E11" s="87">
        <v>1.2727272727272727</v>
      </c>
      <c r="F11" s="87">
        <v>1.5454545454545454</v>
      </c>
      <c r="G11" s="87">
        <v>1.8181818181818181</v>
      </c>
      <c r="H11" s="87">
        <v>2.0909090909090908</v>
      </c>
      <c r="I11" s="87">
        <v>2.3636363636363633</v>
      </c>
      <c r="J11" s="87">
        <v>2.6363636363636358</v>
      </c>
      <c r="K11" s="87">
        <v>2.9090909090909083</v>
      </c>
      <c r="L11" s="87">
        <v>3.1818181818181808</v>
      </c>
      <c r="M11" s="87">
        <v>3.4545454545454533</v>
      </c>
      <c r="N11" s="87">
        <v>3.7272727272727257</v>
      </c>
      <c r="O11" s="87">
        <v>3.9999999999999982</v>
      </c>
    </row>
    <row r="12" spans="2:15" x14ac:dyDescent="0.15">
      <c r="C12" s="37" t="s">
        <v>132</v>
      </c>
      <c r="D12" s="87">
        <v>1</v>
      </c>
      <c r="E12" s="87">
        <v>1.2727272727272727</v>
      </c>
      <c r="F12" s="87">
        <v>1.5454545454545454</v>
      </c>
      <c r="G12" s="87">
        <v>1.8181818181818181</v>
      </c>
      <c r="H12" s="87">
        <v>2.0909090909090908</v>
      </c>
      <c r="I12" s="87">
        <v>2.3636363636363633</v>
      </c>
      <c r="J12" s="87">
        <v>2.6363636363636358</v>
      </c>
      <c r="K12" s="87">
        <v>2.9090909090909083</v>
      </c>
      <c r="L12" s="87">
        <v>3.1818181818181808</v>
      </c>
      <c r="M12" s="87">
        <v>3.4545454545454533</v>
      </c>
      <c r="N12" s="87">
        <v>3.7272727272727257</v>
      </c>
      <c r="O12" s="87">
        <v>3.9999999999999982</v>
      </c>
    </row>
    <row r="13" spans="2:15" x14ac:dyDescent="0.15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 x14ac:dyDescent="0.15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 x14ac:dyDescent="0.15">
      <c r="C15" s="41" t="s">
        <v>126</v>
      </c>
      <c r="D15" s="87">
        <v>1</v>
      </c>
      <c r="E15" s="87">
        <v>1.2727272727272727</v>
      </c>
      <c r="F15" s="87">
        <v>1.5454545454545454</v>
      </c>
      <c r="G15" s="87">
        <v>1.8181818181818181</v>
      </c>
      <c r="H15" s="87">
        <v>2.0909090909090908</v>
      </c>
      <c r="I15" s="87">
        <v>2.3636363636363633</v>
      </c>
      <c r="J15" s="87">
        <v>2.6363636363636358</v>
      </c>
      <c r="K15" s="87">
        <v>2.9090909090909083</v>
      </c>
      <c r="L15" s="87">
        <v>3.1818181818181808</v>
      </c>
      <c r="M15" s="87">
        <v>3.4545454545454533</v>
      </c>
      <c r="N15" s="87">
        <v>3.7272727272727257</v>
      </c>
      <c r="O15" s="87">
        <v>3.9999999999999982</v>
      </c>
    </row>
    <row r="16" spans="2:15" x14ac:dyDescent="0.15">
      <c r="C16" s="36" t="s">
        <v>127</v>
      </c>
      <c r="D16" s="87">
        <v>1</v>
      </c>
      <c r="E16" s="87">
        <v>1.2727272727272727</v>
      </c>
      <c r="F16" s="87">
        <v>1.5454545454545454</v>
      </c>
      <c r="G16" s="87">
        <v>1.8181818181818181</v>
      </c>
      <c r="H16" s="87">
        <v>2.0909090909090908</v>
      </c>
      <c r="I16" s="87">
        <v>2.3636363636363633</v>
      </c>
      <c r="J16" s="87">
        <v>2.6363636363636358</v>
      </c>
      <c r="K16" s="87">
        <v>2.9090909090909083</v>
      </c>
      <c r="L16" s="87">
        <v>3.1818181818181808</v>
      </c>
      <c r="M16" s="87">
        <v>3.4545454545454533</v>
      </c>
      <c r="N16" s="87">
        <v>3.7272727272727257</v>
      </c>
      <c r="O16" s="87">
        <v>3.9999999999999982</v>
      </c>
    </row>
    <row r="17" spans="2:15" x14ac:dyDescent="0.15">
      <c r="C17" s="36" t="s">
        <v>128</v>
      </c>
      <c r="D17" s="87">
        <v>1</v>
      </c>
      <c r="E17" s="87">
        <v>1.2727272727272727</v>
      </c>
      <c r="F17" s="87">
        <v>1.5454545454545454</v>
      </c>
      <c r="G17" s="87">
        <v>1.8181818181818181</v>
      </c>
      <c r="H17" s="87">
        <v>2.0909090909090908</v>
      </c>
      <c r="I17" s="87">
        <v>2.3636363636363633</v>
      </c>
      <c r="J17" s="87">
        <v>2.6363636363636358</v>
      </c>
      <c r="K17" s="87">
        <v>2.9090909090909083</v>
      </c>
      <c r="L17" s="87">
        <v>3.1818181818181808</v>
      </c>
      <c r="M17" s="87">
        <v>3.4545454545454533</v>
      </c>
      <c r="N17" s="87">
        <v>3.7272727272727257</v>
      </c>
      <c r="O17" s="87">
        <v>3.9999999999999982</v>
      </c>
    </row>
    <row r="18" spans="2:15" x14ac:dyDescent="0.15">
      <c r="C18" s="36" t="s">
        <v>129</v>
      </c>
      <c r="D18" s="87">
        <v>1</v>
      </c>
      <c r="E18" s="87">
        <v>1.2727272727272727</v>
      </c>
      <c r="F18" s="87">
        <v>1.5454545454545454</v>
      </c>
      <c r="G18" s="87">
        <v>1.8181818181818181</v>
      </c>
      <c r="H18" s="87">
        <v>2.0909090909090908</v>
      </c>
      <c r="I18" s="87">
        <v>2.3636363636363633</v>
      </c>
      <c r="J18" s="87">
        <v>2.6363636363636358</v>
      </c>
      <c r="K18" s="87">
        <v>2.9090909090909083</v>
      </c>
      <c r="L18" s="87">
        <v>3.1818181818181808</v>
      </c>
      <c r="M18" s="87">
        <v>3.4545454545454533</v>
      </c>
      <c r="N18" s="87">
        <v>3.7272727272727257</v>
      </c>
      <c r="O18" s="87">
        <v>3.9999999999999982</v>
      </c>
    </row>
    <row r="19" spans="2:15" x14ac:dyDescent="0.15">
      <c r="C19" s="36" t="s">
        <v>130</v>
      </c>
      <c r="D19" s="87">
        <v>1</v>
      </c>
      <c r="E19" s="87">
        <v>1.2727272727272727</v>
      </c>
      <c r="F19" s="87">
        <v>1.5454545454545454</v>
      </c>
      <c r="G19" s="87">
        <v>1.8181818181818181</v>
      </c>
      <c r="H19" s="87">
        <v>2.0909090909090908</v>
      </c>
      <c r="I19" s="87">
        <v>2.3636363636363633</v>
      </c>
      <c r="J19" s="87">
        <v>2.6363636363636358</v>
      </c>
      <c r="K19" s="87">
        <v>2.9090909090909083</v>
      </c>
      <c r="L19" s="87">
        <v>3.1818181818181808</v>
      </c>
      <c r="M19" s="87">
        <v>3.4545454545454533</v>
      </c>
      <c r="N19" s="87">
        <v>3.7272727272727257</v>
      </c>
      <c r="O19" s="87">
        <v>3.9999999999999982</v>
      </c>
    </row>
    <row r="20" spans="2:15" x14ac:dyDescent="0.15">
      <c r="C20" s="36" t="s">
        <v>131</v>
      </c>
      <c r="D20" s="87">
        <v>1</v>
      </c>
      <c r="E20" s="87">
        <v>1.2727272727272727</v>
      </c>
      <c r="F20" s="87">
        <v>1.5454545454545454</v>
      </c>
      <c r="G20" s="87">
        <v>1.8181818181818181</v>
      </c>
      <c r="H20" s="87">
        <v>2.0909090909090908</v>
      </c>
      <c r="I20" s="87">
        <v>2.3636363636363633</v>
      </c>
      <c r="J20" s="87">
        <v>2.6363636363636358</v>
      </c>
      <c r="K20" s="87">
        <v>2.9090909090909083</v>
      </c>
      <c r="L20" s="87">
        <v>3.1818181818181808</v>
      </c>
      <c r="M20" s="87">
        <v>3.4545454545454533</v>
      </c>
      <c r="N20" s="87">
        <v>3.7272727272727257</v>
      </c>
      <c r="O20" s="87">
        <v>3.9999999999999982</v>
      </c>
    </row>
    <row r="21" spans="2:15" x14ac:dyDescent="0.15">
      <c r="C21" s="37" t="s">
        <v>132</v>
      </c>
      <c r="D21" s="87">
        <v>1</v>
      </c>
      <c r="E21" s="87">
        <v>1.2727272727272727</v>
      </c>
      <c r="F21" s="87">
        <v>1.5454545454545454</v>
      </c>
      <c r="G21" s="87">
        <v>1.8181818181818181</v>
      </c>
      <c r="H21" s="87">
        <v>2.0909090909090908</v>
      </c>
      <c r="I21" s="87">
        <v>2.3636363636363633</v>
      </c>
      <c r="J21" s="87">
        <v>2.6363636363636358</v>
      </c>
      <c r="K21" s="87">
        <v>2.9090909090909083</v>
      </c>
      <c r="L21" s="87">
        <v>3.1818181818181808</v>
      </c>
      <c r="M21" s="87">
        <v>3.4545454545454533</v>
      </c>
      <c r="N21" s="87">
        <v>3.7272727272727257</v>
      </c>
      <c r="O21" s="87">
        <v>3.9999999999999982</v>
      </c>
    </row>
    <row r="22" spans="2:15" x14ac:dyDescent="0.15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 x14ac:dyDescent="0.15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 x14ac:dyDescent="0.15">
      <c r="C24" s="41" t="s">
        <v>126</v>
      </c>
      <c r="D24" s="87">
        <v>1</v>
      </c>
      <c r="E24" s="87">
        <v>1.2727272727272727</v>
      </c>
      <c r="F24" s="87">
        <v>1.5454545454545454</v>
      </c>
      <c r="G24" s="87">
        <v>1.8181818181818181</v>
      </c>
      <c r="H24" s="87">
        <v>2.0909090909090908</v>
      </c>
      <c r="I24" s="87">
        <v>2.3636363636363633</v>
      </c>
      <c r="J24" s="87">
        <v>2.6363636363636358</v>
      </c>
      <c r="K24" s="87">
        <v>2.9090909090909083</v>
      </c>
      <c r="L24" s="87">
        <v>3.1818181818181808</v>
      </c>
      <c r="M24" s="87">
        <v>3.4545454545454533</v>
      </c>
      <c r="N24" s="87">
        <v>3.7272727272727257</v>
      </c>
      <c r="O24" s="87">
        <v>3.9999999999999982</v>
      </c>
    </row>
    <row r="25" spans="2:15" x14ac:dyDescent="0.15">
      <c r="C25" s="36" t="s">
        <v>127</v>
      </c>
      <c r="D25" s="87">
        <v>1</v>
      </c>
      <c r="E25" s="87">
        <v>1.2727272727272727</v>
      </c>
      <c r="F25" s="87">
        <v>1.5454545454545454</v>
      </c>
      <c r="G25" s="87">
        <v>1.8181818181818181</v>
      </c>
      <c r="H25" s="87">
        <v>2.0909090909090908</v>
      </c>
      <c r="I25" s="87">
        <v>2.3636363636363633</v>
      </c>
      <c r="J25" s="87">
        <v>2.6363636363636358</v>
      </c>
      <c r="K25" s="87">
        <v>2.9090909090909083</v>
      </c>
      <c r="L25" s="87">
        <v>3.1818181818181808</v>
      </c>
      <c r="M25" s="87">
        <v>3.4545454545454533</v>
      </c>
      <c r="N25" s="87">
        <v>3.7272727272727257</v>
      </c>
      <c r="O25" s="87">
        <v>3.9999999999999982</v>
      </c>
    </row>
    <row r="26" spans="2:15" x14ac:dyDescent="0.15">
      <c r="C26" s="36" t="s">
        <v>128</v>
      </c>
      <c r="D26" s="87">
        <v>1</v>
      </c>
      <c r="E26" s="87">
        <v>1.2727272727272727</v>
      </c>
      <c r="F26" s="87">
        <v>1.5454545454545454</v>
      </c>
      <c r="G26" s="87">
        <v>1.8181818181818181</v>
      </c>
      <c r="H26" s="87">
        <v>2.0909090909090908</v>
      </c>
      <c r="I26" s="87">
        <v>2.3636363636363633</v>
      </c>
      <c r="J26" s="87">
        <v>2.6363636363636358</v>
      </c>
      <c r="K26" s="87">
        <v>2.9090909090909083</v>
      </c>
      <c r="L26" s="87">
        <v>3.1818181818181808</v>
      </c>
      <c r="M26" s="87">
        <v>3.4545454545454533</v>
      </c>
      <c r="N26" s="87">
        <v>3.7272727272727257</v>
      </c>
      <c r="O26" s="87">
        <v>3.9999999999999982</v>
      </c>
    </row>
    <row r="27" spans="2:15" x14ac:dyDescent="0.15">
      <c r="C27" s="36" t="s">
        <v>129</v>
      </c>
      <c r="D27" s="87">
        <v>1</v>
      </c>
      <c r="E27" s="87">
        <v>1.2727272727272727</v>
      </c>
      <c r="F27" s="87">
        <v>1.5454545454545454</v>
      </c>
      <c r="G27" s="87">
        <v>1.8181818181818181</v>
      </c>
      <c r="H27" s="87">
        <v>2.0909090909090908</v>
      </c>
      <c r="I27" s="87">
        <v>2.3636363636363633</v>
      </c>
      <c r="J27" s="87">
        <v>2.6363636363636358</v>
      </c>
      <c r="K27" s="87">
        <v>2.9090909090909083</v>
      </c>
      <c r="L27" s="87">
        <v>3.1818181818181808</v>
      </c>
      <c r="M27" s="87">
        <v>3.4545454545454533</v>
      </c>
      <c r="N27" s="87">
        <v>3.7272727272727257</v>
      </c>
      <c r="O27" s="87">
        <v>3.9999999999999982</v>
      </c>
    </row>
    <row r="28" spans="2:15" x14ac:dyDescent="0.15">
      <c r="C28" s="36" t="s">
        <v>130</v>
      </c>
      <c r="D28" s="87">
        <v>1</v>
      </c>
      <c r="E28" s="87">
        <v>1.2727272727272727</v>
      </c>
      <c r="F28" s="87">
        <v>1.5454545454545454</v>
      </c>
      <c r="G28" s="87">
        <v>1.8181818181818181</v>
      </c>
      <c r="H28" s="87">
        <v>2.0909090909090908</v>
      </c>
      <c r="I28" s="87">
        <v>2.3636363636363633</v>
      </c>
      <c r="J28" s="87">
        <v>2.6363636363636358</v>
      </c>
      <c r="K28" s="87">
        <v>2.9090909090909083</v>
      </c>
      <c r="L28" s="87">
        <v>3.1818181818181808</v>
      </c>
      <c r="M28" s="87">
        <v>3.4545454545454533</v>
      </c>
      <c r="N28" s="87">
        <v>3.7272727272727257</v>
      </c>
      <c r="O28" s="87">
        <v>3.9999999999999982</v>
      </c>
    </row>
    <row r="29" spans="2:15" x14ac:dyDescent="0.15">
      <c r="C29" s="36" t="s">
        <v>131</v>
      </c>
      <c r="D29" s="87">
        <v>1</v>
      </c>
      <c r="E29" s="87">
        <v>1.2727272727272727</v>
      </c>
      <c r="F29" s="87">
        <v>1.5454545454545454</v>
      </c>
      <c r="G29" s="87">
        <v>1.8181818181818181</v>
      </c>
      <c r="H29" s="87">
        <v>2.0909090909090908</v>
      </c>
      <c r="I29" s="87">
        <v>2.3636363636363633</v>
      </c>
      <c r="J29" s="87">
        <v>2.6363636363636358</v>
      </c>
      <c r="K29" s="87">
        <v>2.9090909090909083</v>
      </c>
      <c r="L29" s="87">
        <v>3.1818181818181808</v>
      </c>
      <c r="M29" s="87">
        <v>3.4545454545454533</v>
      </c>
      <c r="N29" s="87">
        <v>3.7272727272727257</v>
      </c>
      <c r="O29" s="87">
        <v>3.9999999999999982</v>
      </c>
    </row>
    <row r="30" spans="2:15" x14ac:dyDescent="0.15">
      <c r="C30" s="37" t="s">
        <v>132</v>
      </c>
      <c r="D30" s="87">
        <v>1</v>
      </c>
      <c r="E30" s="87">
        <v>1.2727272727272727</v>
      </c>
      <c r="F30" s="87">
        <v>1.5454545454545454</v>
      </c>
      <c r="G30" s="87">
        <v>1.8181818181818181</v>
      </c>
      <c r="H30" s="87">
        <v>2.0909090909090908</v>
      </c>
      <c r="I30" s="87">
        <v>2.3636363636363633</v>
      </c>
      <c r="J30" s="87">
        <v>2.6363636363636358</v>
      </c>
      <c r="K30" s="87">
        <v>2.9090909090909083</v>
      </c>
      <c r="L30" s="87">
        <v>3.1818181818181808</v>
      </c>
      <c r="M30" s="87">
        <v>3.4545454545454533</v>
      </c>
      <c r="N30" s="87">
        <v>3.7272727272727257</v>
      </c>
      <c r="O30" s="87">
        <v>3.9999999999999982</v>
      </c>
    </row>
    <row r="31" spans="2:15" x14ac:dyDescent="0.15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 x14ac:dyDescent="0.15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 x14ac:dyDescent="0.15">
      <c r="C33" s="41" t="s">
        <v>126</v>
      </c>
      <c r="D33" s="87">
        <v>1</v>
      </c>
      <c r="E33" s="87">
        <v>1.2727272727272727</v>
      </c>
      <c r="F33" s="87">
        <v>1.5454545454545454</v>
      </c>
      <c r="G33" s="87">
        <v>1.8181818181818181</v>
      </c>
      <c r="H33" s="87">
        <v>2.0909090909090908</v>
      </c>
      <c r="I33" s="87">
        <v>2.3636363636363633</v>
      </c>
      <c r="J33" s="87">
        <v>2.6363636363636358</v>
      </c>
      <c r="K33" s="87">
        <v>2.9090909090909083</v>
      </c>
      <c r="L33" s="87">
        <v>3.1818181818181808</v>
      </c>
      <c r="M33" s="87">
        <v>3.4545454545454533</v>
      </c>
      <c r="N33" s="87">
        <v>3.7272727272727257</v>
      </c>
      <c r="O33" s="87">
        <v>3.9999999999999982</v>
      </c>
    </row>
    <row r="34" spans="3:15" x14ac:dyDescent="0.15">
      <c r="C34" s="36" t="s">
        <v>127</v>
      </c>
      <c r="D34" s="87">
        <v>1</v>
      </c>
      <c r="E34" s="87">
        <v>1.2727272727272727</v>
      </c>
      <c r="F34" s="87">
        <v>1.5454545454545454</v>
      </c>
      <c r="G34" s="87">
        <v>1.8181818181818181</v>
      </c>
      <c r="H34" s="87">
        <v>2.0909090909090908</v>
      </c>
      <c r="I34" s="87">
        <v>2.3636363636363633</v>
      </c>
      <c r="J34" s="87">
        <v>2.6363636363636358</v>
      </c>
      <c r="K34" s="87">
        <v>2.9090909090909083</v>
      </c>
      <c r="L34" s="87">
        <v>3.1818181818181808</v>
      </c>
      <c r="M34" s="87">
        <v>3.4545454545454533</v>
      </c>
      <c r="N34" s="87">
        <v>3.7272727272727257</v>
      </c>
      <c r="O34" s="87">
        <v>3.9999999999999982</v>
      </c>
    </row>
    <row r="35" spans="3:15" x14ac:dyDescent="0.15">
      <c r="C35" s="36" t="s">
        <v>128</v>
      </c>
      <c r="D35" s="87">
        <v>1</v>
      </c>
      <c r="E35" s="87">
        <v>1.2727272727272727</v>
      </c>
      <c r="F35" s="87">
        <v>1.5454545454545454</v>
      </c>
      <c r="G35" s="87">
        <v>1.8181818181818181</v>
      </c>
      <c r="H35" s="87">
        <v>2.0909090909090908</v>
      </c>
      <c r="I35" s="87">
        <v>2.3636363636363633</v>
      </c>
      <c r="J35" s="87">
        <v>2.6363636363636358</v>
      </c>
      <c r="K35" s="87">
        <v>2.9090909090909083</v>
      </c>
      <c r="L35" s="87">
        <v>3.1818181818181808</v>
      </c>
      <c r="M35" s="87">
        <v>3.4545454545454533</v>
      </c>
      <c r="N35" s="87">
        <v>3.7272727272727257</v>
      </c>
      <c r="O35" s="87">
        <v>3.9999999999999982</v>
      </c>
    </row>
    <row r="36" spans="3:15" x14ac:dyDescent="0.15">
      <c r="C36" s="36" t="s">
        <v>129</v>
      </c>
      <c r="D36" s="87">
        <v>1</v>
      </c>
      <c r="E36" s="87">
        <v>1.2727272727272727</v>
      </c>
      <c r="F36" s="87">
        <v>1.5454545454545454</v>
      </c>
      <c r="G36" s="87">
        <v>1.8181818181818181</v>
      </c>
      <c r="H36" s="87">
        <v>2.0909090909090908</v>
      </c>
      <c r="I36" s="87">
        <v>2.3636363636363633</v>
      </c>
      <c r="J36" s="87">
        <v>2.6363636363636358</v>
      </c>
      <c r="K36" s="87">
        <v>2.9090909090909083</v>
      </c>
      <c r="L36" s="87">
        <v>3.1818181818181808</v>
      </c>
      <c r="M36" s="87">
        <v>3.4545454545454533</v>
      </c>
      <c r="N36" s="87">
        <v>3.7272727272727257</v>
      </c>
      <c r="O36" s="87">
        <v>3.9999999999999982</v>
      </c>
    </row>
    <row r="37" spans="3:15" x14ac:dyDescent="0.15">
      <c r="C37" s="36" t="s">
        <v>130</v>
      </c>
      <c r="D37" s="87">
        <v>1</v>
      </c>
      <c r="E37" s="87">
        <v>1.2727272727272727</v>
      </c>
      <c r="F37" s="87">
        <v>1.5454545454545454</v>
      </c>
      <c r="G37" s="87">
        <v>1.8181818181818181</v>
      </c>
      <c r="H37" s="87">
        <v>2.0909090909090908</v>
      </c>
      <c r="I37" s="87">
        <v>2.3636363636363633</v>
      </c>
      <c r="J37" s="87">
        <v>2.6363636363636358</v>
      </c>
      <c r="K37" s="87">
        <v>2.9090909090909083</v>
      </c>
      <c r="L37" s="87">
        <v>3.1818181818181808</v>
      </c>
      <c r="M37" s="87">
        <v>3.4545454545454533</v>
      </c>
      <c r="N37" s="87">
        <v>3.7272727272727257</v>
      </c>
      <c r="O37" s="87">
        <v>3.9999999999999982</v>
      </c>
    </row>
    <row r="38" spans="3:15" x14ac:dyDescent="0.15">
      <c r="C38" s="36" t="s">
        <v>131</v>
      </c>
      <c r="D38" s="87">
        <v>1</v>
      </c>
      <c r="E38" s="87">
        <v>1.2727272727272727</v>
      </c>
      <c r="F38" s="87">
        <v>1.5454545454545454</v>
      </c>
      <c r="G38" s="87">
        <v>1.8181818181818181</v>
      </c>
      <c r="H38" s="87">
        <v>2.0909090909090908</v>
      </c>
      <c r="I38" s="87">
        <v>2.3636363636363633</v>
      </c>
      <c r="J38" s="87">
        <v>2.6363636363636358</v>
      </c>
      <c r="K38" s="87">
        <v>2.9090909090909083</v>
      </c>
      <c r="L38" s="87">
        <v>3.1818181818181808</v>
      </c>
      <c r="M38" s="87">
        <v>3.4545454545454533</v>
      </c>
      <c r="N38" s="87">
        <v>3.7272727272727257</v>
      </c>
      <c r="O38" s="87">
        <v>3.9999999999999982</v>
      </c>
    </row>
    <row r="39" spans="3:15" x14ac:dyDescent="0.15">
      <c r="C39" s="37" t="s">
        <v>132</v>
      </c>
      <c r="D39" s="87">
        <v>1</v>
      </c>
      <c r="E39" s="87">
        <v>1.2727272727272727</v>
      </c>
      <c r="F39" s="87">
        <v>1.5454545454545454</v>
      </c>
      <c r="G39" s="87">
        <v>1.8181818181818181</v>
      </c>
      <c r="H39" s="87">
        <v>2.0909090909090908</v>
      </c>
      <c r="I39" s="87">
        <v>2.3636363636363633</v>
      </c>
      <c r="J39" s="87">
        <v>2.6363636363636358</v>
      </c>
      <c r="K39" s="87">
        <v>2.9090909090909083</v>
      </c>
      <c r="L39" s="87">
        <v>3.1818181818181808</v>
      </c>
      <c r="M39" s="87">
        <v>3.4545454545454533</v>
      </c>
      <c r="N39" s="87">
        <v>3.7272727272727257</v>
      </c>
      <c r="O39" s="87">
        <v>3.9999999999999982</v>
      </c>
    </row>
    <row r="40" spans="3:15" x14ac:dyDescent="0.15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 x14ac:dyDescent="0.15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350"/>
  <sheetViews>
    <sheetView showGridLines="0" tabSelected="1" workbookViewId="0">
      <selection activeCell="T11" sqref="T11"/>
    </sheetView>
  </sheetViews>
  <sheetFormatPr baseColWidth="10" defaultColWidth="8.83203125" defaultRowHeight="13" x14ac:dyDescent="0.15"/>
  <cols>
    <col min="1" max="1" width="4.6640625" style="97" customWidth="1"/>
    <col min="2" max="6" width="8.83203125" style="97"/>
    <col min="7" max="7" width="2.6640625" style="97" customWidth="1"/>
    <col min="8" max="8" width="11.1640625" style="97" customWidth="1"/>
    <col min="9" max="10" width="8.83203125" style="97"/>
    <col min="11" max="12" width="4.6640625" style="97" customWidth="1"/>
    <col min="13" max="17" width="8.83203125" style="97"/>
    <col min="18" max="18" width="2.6640625" style="97" customWidth="1"/>
    <col min="19" max="19" width="14.6640625" style="97" customWidth="1"/>
    <col min="20" max="20" width="16.6640625" style="97" customWidth="1"/>
    <col min="21" max="21" width="4.6640625" style="97" customWidth="1"/>
    <col min="22" max="16384" width="8.83203125" style="97"/>
  </cols>
  <sheetData>
    <row r="1" spans="1:20" x14ac:dyDescent="0.15">
      <c r="A1" s="176"/>
    </row>
    <row r="2" spans="1:20" ht="16" x14ac:dyDescent="0.2">
      <c r="C2" s="204" t="s">
        <v>165</v>
      </c>
      <c r="D2" s="204"/>
      <c r="E2" s="204"/>
      <c r="F2" s="204"/>
      <c r="G2" s="204"/>
      <c r="H2" s="204"/>
    </row>
    <row r="3" spans="1:20" ht="16" x14ac:dyDescent="0.2">
      <c r="C3" s="177" t="s">
        <v>412</v>
      </c>
      <c r="D3" s="177"/>
      <c r="E3" s="177"/>
      <c r="F3" s="177"/>
      <c r="G3" s="177"/>
    </row>
    <row r="5" spans="1:20" ht="16" x14ac:dyDescent="0.2">
      <c r="A5" s="178" t="s">
        <v>351</v>
      </c>
      <c r="B5" s="179"/>
      <c r="G5" s="180"/>
      <c r="L5" s="178" t="s">
        <v>352</v>
      </c>
      <c r="M5" s="179"/>
      <c r="R5" s="180"/>
    </row>
    <row r="6" spans="1:20" x14ac:dyDescent="0.15">
      <c r="A6" s="181" t="s">
        <v>353</v>
      </c>
      <c r="B6" s="179"/>
      <c r="G6" s="182"/>
      <c r="H6" s="107"/>
      <c r="L6" s="181" t="s">
        <v>354</v>
      </c>
      <c r="M6" s="179"/>
      <c r="S6" s="122"/>
    </row>
    <row r="7" spans="1:20" x14ac:dyDescent="0.15">
      <c r="A7" s="179"/>
      <c r="B7" s="179" t="s">
        <v>355</v>
      </c>
      <c r="G7" s="182"/>
      <c r="H7" s="183">
        <f>SUM(ORA!$D$116:$O$116)</f>
        <v>87321</v>
      </c>
      <c r="L7" s="179"/>
      <c r="M7" s="179" t="s">
        <v>355</v>
      </c>
      <c r="S7" s="184">
        <f>SUM(ORA!$D$127:$O$127)</f>
        <v>297729818.18181813</v>
      </c>
    </row>
    <row r="8" spans="1:20" x14ac:dyDescent="0.15">
      <c r="A8" s="179"/>
      <c r="B8" s="179" t="s">
        <v>356</v>
      </c>
      <c r="G8" s="182"/>
      <c r="H8" s="185">
        <f>SUM(POJ!$D$116:$O$116)</f>
        <v>60165.786829889243</v>
      </c>
      <c r="L8" s="179"/>
      <c r="M8" s="179" t="s">
        <v>356</v>
      </c>
      <c r="S8" s="186">
        <f>SUM(POJ!$D$127:$O$127)</f>
        <v>262704542.58543974</v>
      </c>
    </row>
    <row r="9" spans="1:20" x14ac:dyDescent="0.15">
      <c r="A9" s="179"/>
      <c r="B9" s="179" t="s">
        <v>357</v>
      </c>
      <c r="G9" s="182"/>
      <c r="H9" s="185">
        <f>SUM(ROJ!$D$116:$O$116)</f>
        <v>21574.901281761944</v>
      </c>
      <c r="L9" s="179"/>
      <c r="M9" s="179" t="s">
        <v>357</v>
      </c>
      <c r="S9" s="186">
        <f>SUM(ROJ!$D$127:$O$127)</f>
        <v>87921366.559025005</v>
      </c>
    </row>
    <row r="10" spans="1:20" x14ac:dyDescent="0.15">
      <c r="A10" s="179"/>
      <c r="B10" s="179" t="s">
        <v>358</v>
      </c>
      <c r="G10" s="182"/>
      <c r="H10" s="187">
        <f>SUM(FCOJ!$D$116:$O$116)</f>
        <v>21341.87788739906</v>
      </c>
      <c r="L10" s="179"/>
      <c r="M10" s="179" t="s">
        <v>358</v>
      </c>
      <c r="S10" s="188">
        <f>SUM(FCOJ!$D$127:$O$127)</f>
        <v>86013961.704865038</v>
      </c>
    </row>
    <row r="11" spans="1:20" x14ac:dyDescent="0.15">
      <c r="A11" s="179"/>
      <c r="B11" s="179"/>
      <c r="G11" s="182"/>
      <c r="M11" s="179" t="s">
        <v>359</v>
      </c>
      <c r="T11" s="189">
        <f>SUM($S$7:$S$10)</f>
        <v>734369689.03114796</v>
      </c>
    </row>
    <row r="12" spans="1:20" x14ac:dyDescent="0.15">
      <c r="A12" s="181" t="s">
        <v>360</v>
      </c>
      <c r="B12" s="179"/>
      <c r="G12" s="182"/>
    </row>
    <row r="13" spans="1:20" x14ac:dyDescent="0.15">
      <c r="A13" s="179"/>
      <c r="B13" s="179" t="s">
        <v>361</v>
      </c>
      <c r="G13" s="182"/>
      <c r="H13" s="190">
        <f>SUM(grove!$C$48:$AX$53)</f>
        <v>1143339.2198711527</v>
      </c>
      <c r="L13" s="181" t="s">
        <v>362</v>
      </c>
      <c r="M13" s="179"/>
    </row>
    <row r="14" spans="1:20" x14ac:dyDescent="0.15">
      <c r="A14" s="179"/>
      <c r="B14" s="179" t="s">
        <v>363</v>
      </c>
      <c r="G14" s="182"/>
      <c r="H14" s="183">
        <f>raw_materials!$P$30</f>
        <v>0</v>
      </c>
      <c r="L14" s="179"/>
      <c r="M14" s="179" t="s">
        <v>364</v>
      </c>
      <c r="S14" s="184">
        <f>SUM(grove!$C$58:$AX$63)</f>
        <v>1666523075.8756707</v>
      </c>
    </row>
    <row r="15" spans="1:20" x14ac:dyDescent="0.15">
      <c r="A15" s="179"/>
      <c r="B15" s="179" t="s">
        <v>365</v>
      </c>
      <c r="G15" s="182"/>
      <c r="H15" s="187">
        <f>raw_materials!$P$36</f>
        <v>0</v>
      </c>
      <c r="L15" s="179"/>
      <c r="M15" s="179" t="s">
        <v>366</v>
      </c>
      <c r="S15" s="186">
        <f>(raw_materials!D30*raw_materials!E30+raw_materials!F30*raw_materials!G30+raw_materials!H30*raw_materials!I30+raw_materials!J30*raw_materials!K30+raw_materials!L30*raw_materials!M30)*2000</f>
        <v>0</v>
      </c>
    </row>
    <row r="16" spans="1:20" x14ac:dyDescent="0.15">
      <c r="A16" s="179"/>
      <c r="B16" s="179" t="s">
        <v>367</v>
      </c>
      <c r="G16" s="182"/>
      <c r="H16" s="191">
        <v>89112.183391481842</v>
      </c>
      <c r="L16" s="179"/>
      <c r="M16" s="179" t="s">
        <v>368</v>
      </c>
      <c r="S16" s="186">
        <f>(raw_materials!D36*raw_materials!E36+raw_materials!F36*raw_materials!G36+raw_materials!H36*raw_materials!I36+raw_materials!J36*raw_materials!K36+raw_materials!L36*raw_materials!M36)*2000</f>
        <v>0</v>
      </c>
    </row>
    <row r="17" spans="1:21" x14ac:dyDescent="0.15">
      <c r="A17" s="179"/>
      <c r="B17" s="179" t="s">
        <v>369</v>
      </c>
      <c r="G17" s="182"/>
      <c r="H17" s="192">
        <v>89112.183391481842</v>
      </c>
      <c r="L17" s="179"/>
      <c r="M17" s="179" t="s">
        <v>370</v>
      </c>
      <c r="S17" s="186">
        <v>358159647.83439702</v>
      </c>
    </row>
    <row r="18" spans="1:21" x14ac:dyDescent="0.15">
      <c r="A18" s="179"/>
      <c r="B18" s="179" t="s">
        <v>371</v>
      </c>
      <c r="G18" s="182"/>
      <c r="H18" s="193">
        <v>64581.977729737322</v>
      </c>
      <c r="L18" s="179"/>
      <c r="M18" s="179" t="s">
        <v>372</v>
      </c>
      <c r="S18" s="188">
        <v>0</v>
      </c>
    </row>
    <row r="19" spans="1:21" x14ac:dyDescent="0.15">
      <c r="A19" s="179"/>
      <c r="B19" s="179" t="s">
        <v>373</v>
      </c>
      <c r="G19" s="182"/>
      <c r="H19" s="192">
        <v>277096.58020290278</v>
      </c>
      <c r="L19" s="179"/>
      <c r="M19" s="179" t="s">
        <v>374</v>
      </c>
      <c r="S19" s="194" t="s">
        <v>375</v>
      </c>
      <c r="T19" s="195">
        <f>SUM($S$14:$S$18)</f>
        <v>2024682723.7100677</v>
      </c>
      <c r="U19" s="97" t="s">
        <v>376</v>
      </c>
    </row>
    <row r="20" spans="1:21" x14ac:dyDescent="0.15">
      <c r="A20" s="179"/>
      <c r="B20" s="179" t="s">
        <v>377</v>
      </c>
      <c r="G20" s="182"/>
      <c r="H20" s="187">
        <v>568445.11309911404</v>
      </c>
      <c r="L20" s="179"/>
      <c r="M20" s="179"/>
    </row>
    <row r="21" spans="1:21" x14ac:dyDescent="0.15">
      <c r="A21" s="179"/>
      <c r="B21" s="179"/>
      <c r="G21" s="182"/>
      <c r="L21" s="181" t="s">
        <v>378</v>
      </c>
      <c r="M21" s="179"/>
      <c r="S21" s="122"/>
    </row>
    <row r="22" spans="1:21" x14ac:dyDescent="0.15">
      <c r="A22" s="181" t="s">
        <v>379</v>
      </c>
      <c r="B22" s="179"/>
      <c r="G22" s="182"/>
      <c r="L22" s="179"/>
      <c r="M22" s="179" t="s">
        <v>380</v>
      </c>
      <c r="S22" s="186">
        <v>178224366.78296372</v>
      </c>
    </row>
    <row r="23" spans="1:21" x14ac:dyDescent="0.15">
      <c r="A23" s="179"/>
      <c r="B23" s="179" t="s">
        <v>381</v>
      </c>
      <c r="G23" s="182"/>
      <c r="H23" s="183">
        <f>SUM(raw_materials!$O$31:$O$35)</f>
        <v>0</v>
      </c>
      <c r="L23" s="179"/>
      <c r="M23" s="179" t="s">
        <v>382</v>
      </c>
      <c r="S23" s="186">
        <v>89112183.391481861</v>
      </c>
    </row>
    <row r="24" spans="1:21" x14ac:dyDescent="0.15">
      <c r="A24" s="179"/>
      <c r="B24" s="179" t="s">
        <v>383</v>
      </c>
      <c r="G24" s="182"/>
      <c r="H24" s="187">
        <f>SUM(raw_materials!$O$37:$O$41)</f>
        <v>0</v>
      </c>
      <c r="L24" s="179"/>
      <c r="M24" s="179" t="s">
        <v>384</v>
      </c>
      <c r="S24" s="188">
        <v>41978285.524329253</v>
      </c>
    </row>
    <row r="25" spans="1:21" x14ac:dyDescent="0.15">
      <c r="A25" s="179"/>
      <c r="B25" s="179"/>
      <c r="G25" s="182"/>
      <c r="L25" s="179"/>
      <c r="M25" s="179" t="s">
        <v>385</v>
      </c>
      <c r="S25" s="194" t="s">
        <v>375</v>
      </c>
      <c r="T25" s="195">
        <f>SUM($S$22:$S$24)</f>
        <v>309314835.69877481</v>
      </c>
      <c r="U25" s="97" t="s">
        <v>376</v>
      </c>
    </row>
    <row r="26" spans="1:21" x14ac:dyDescent="0.15">
      <c r="A26" s="181" t="s">
        <v>386</v>
      </c>
      <c r="B26" s="179"/>
      <c r="G26" s="182"/>
      <c r="L26" s="179"/>
      <c r="M26" s="179"/>
    </row>
    <row r="27" spans="1:21" x14ac:dyDescent="0.15">
      <c r="A27" s="179"/>
      <c r="B27" s="179" t="s">
        <v>387</v>
      </c>
      <c r="G27" s="182"/>
      <c r="H27" s="183">
        <f>SUMIF(facilities!$C$6:$C$15,"&gt;0",facilities!$C$6:$C$15)</f>
        <v>0</v>
      </c>
      <c r="L27" s="181" t="s">
        <v>388</v>
      </c>
      <c r="M27" s="179"/>
    </row>
    <row r="28" spans="1:21" x14ac:dyDescent="0.15">
      <c r="A28" s="179"/>
      <c r="B28" s="179" t="s">
        <v>389</v>
      </c>
      <c r="G28" s="182"/>
      <c r="H28" s="185">
        <f>SUMIF(facilities!$C$36:$C$106,"&gt;0",facilities!$C$36:$C$106)</f>
        <v>0</v>
      </c>
      <c r="L28" s="179"/>
      <c r="M28" s="179" t="s">
        <v>390</v>
      </c>
      <c r="S28" s="184">
        <v>82724760</v>
      </c>
    </row>
    <row r="29" spans="1:21" x14ac:dyDescent="0.15">
      <c r="A29" s="179"/>
      <c r="B29" s="179" t="s">
        <v>391</v>
      </c>
      <c r="G29" s="182"/>
      <c r="H29" s="185">
        <f>SUMIF(facilities!$C$6:$C$15,"&lt;0",facilities!$C$6:$C$15)</f>
        <v>0</v>
      </c>
      <c r="L29" s="179"/>
      <c r="M29" s="179" t="s">
        <v>392</v>
      </c>
      <c r="S29" s="186">
        <v>73274883.764560521</v>
      </c>
    </row>
    <row r="30" spans="1:21" x14ac:dyDescent="0.15">
      <c r="A30" s="179"/>
      <c r="B30" s="179" t="s">
        <v>393</v>
      </c>
      <c r="G30" s="182"/>
      <c r="H30" s="187">
        <f>SUMIF(facilities!$C$36:$C$106,"&lt;0",facilities!$C$36:$C$106)</f>
        <v>0</v>
      </c>
      <c r="L30" s="179"/>
      <c r="M30" s="179" t="s">
        <v>394</v>
      </c>
      <c r="S30" s="186">
        <v>240026649.28509051</v>
      </c>
    </row>
    <row r="31" spans="1:21" x14ac:dyDescent="0.15">
      <c r="L31" s="179"/>
      <c r="M31" s="179" t="s">
        <v>395</v>
      </c>
      <c r="S31" s="188">
        <f>SUM(ORA!D138:O138)+SUM(POJ!D138:O138)+SUM(ROJ!D138:O138)+SUM(FCOJ!D138:O138)</f>
        <v>174973567.24977407</v>
      </c>
    </row>
    <row r="32" spans="1:21" x14ac:dyDescent="0.15">
      <c r="A32" s="181" t="s">
        <v>396</v>
      </c>
      <c r="B32" s="179"/>
      <c r="G32" s="182"/>
      <c r="L32" s="179"/>
      <c r="M32" s="179" t="s">
        <v>397</v>
      </c>
      <c r="S32" s="110" t="s">
        <v>375</v>
      </c>
      <c r="T32" s="195">
        <f>SUM($S$28:$S$31)</f>
        <v>570999860.29942513</v>
      </c>
      <c r="U32" s="97" t="s">
        <v>376</v>
      </c>
    </row>
    <row r="33" spans="1:21" x14ac:dyDescent="0.15">
      <c r="A33" s="179"/>
      <c r="B33" s="179" t="s">
        <v>398</v>
      </c>
      <c r="G33" s="182"/>
      <c r="H33" s="183">
        <f>COUNTIF(facilities!$H$6:$H$15,"=new")</f>
        <v>0</v>
      </c>
      <c r="M33" s="179"/>
    </row>
    <row r="34" spans="1:21" x14ac:dyDescent="0.15">
      <c r="A34" s="179"/>
      <c r="B34" s="179" t="s">
        <v>399</v>
      </c>
      <c r="G34" s="182"/>
      <c r="H34" s="185">
        <f>COUNTIF(facilities!$H$36:$H$106,"=new")</f>
        <v>0</v>
      </c>
      <c r="L34" s="181" t="s">
        <v>400</v>
      </c>
      <c r="M34" s="179"/>
    </row>
    <row r="35" spans="1:21" x14ac:dyDescent="0.15">
      <c r="B35" s="179" t="s">
        <v>18</v>
      </c>
      <c r="H35" s="187">
        <f>SUMIF(facilities!$C$21:$C$30,"&gt;0",facilities!$C$21:$C$30)</f>
        <v>0</v>
      </c>
      <c r="L35" s="179"/>
      <c r="M35" s="179" t="s">
        <v>401</v>
      </c>
      <c r="S35" s="184">
        <v>35085000</v>
      </c>
    </row>
    <row r="36" spans="1:21" x14ac:dyDescent="0.15">
      <c r="L36" s="179"/>
      <c r="M36" s="179" t="s">
        <v>402</v>
      </c>
      <c r="S36" s="186">
        <f>H33*12000000-H38*70/100*12000000</f>
        <v>0</v>
      </c>
    </row>
    <row r="37" spans="1:21" x14ac:dyDescent="0.15">
      <c r="A37" s="181" t="s">
        <v>403</v>
      </c>
      <c r="L37" s="179"/>
      <c r="M37" s="179" t="s">
        <v>404</v>
      </c>
      <c r="S37" s="186">
        <f>H27*8000+H29*70/100*8000</f>
        <v>0</v>
      </c>
    </row>
    <row r="38" spans="1:21" x14ac:dyDescent="0.15">
      <c r="B38" s="179" t="s">
        <v>398</v>
      </c>
      <c r="H38" s="183">
        <f>COUNTIF(facilities!$H$6:$H$15,"=sold")</f>
        <v>0</v>
      </c>
      <c r="L38" s="179"/>
      <c r="M38" s="179" t="s">
        <v>405</v>
      </c>
      <c r="S38" s="186">
        <v>80650000</v>
      </c>
    </row>
    <row r="39" spans="1:21" x14ac:dyDescent="0.15">
      <c r="B39" s="179" t="s">
        <v>399</v>
      </c>
      <c r="H39" s="185">
        <f>COUNTIF(facilities!$H$36:$H$106,"=sold")</f>
        <v>0</v>
      </c>
      <c r="L39" s="179"/>
      <c r="M39" s="179" t="s">
        <v>406</v>
      </c>
      <c r="S39" s="186">
        <f>H34*9000000-H39*80/100*9000000</f>
        <v>0</v>
      </c>
    </row>
    <row r="40" spans="1:21" x14ac:dyDescent="0.15">
      <c r="B40" s="179" t="s">
        <v>18</v>
      </c>
      <c r="H40" s="187">
        <f>-SUMIF(facilities!$C$21:$C$30,"&lt;0",facilities!$C$21:$C$30)</f>
        <v>0</v>
      </c>
      <c r="L40" s="179"/>
      <c r="M40" s="179" t="s">
        <v>407</v>
      </c>
      <c r="S40" s="186">
        <f>H28*6000+H30*80/100*6000</f>
        <v>0</v>
      </c>
    </row>
    <row r="41" spans="1:21" x14ac:dyDescent="0.15">
      <c r="L41" s="179"/>
      <c r="M41" s="179" t="s">
        <v>408</v>
      </c>
      <c r="S41" s="186">
        <v>22260</v>
      </c>
    </row>
    <row r="42" spans="1:21" x14ac:dyDescent="0.15">
      <c r="L42" s="179"/>
      <c r="M42" s="179" t="s">
        <v>409</v>
      </c>
      <c r="S42" s="188">
        <f>H35*100000-H40*60/100*100000</f>
        <v>0</v>
      </c>
    </row>
    <row r="43" spans="1:21" x14ac:dyDescent="0.15">
      <c r="L43" s="179"/>
      <c r="M43" s="179" t="s">
        <v>410</v>
      </c>
      <c r="S43" s="174" t="s">
        <v>375</v>
      </c>
      <c r="T43" s="195">
        <f>SUM($S$35:$S$42)</f>
        <v>115757260</v>
      </c>
      <c r="U43" s="97" t="s">
        <v>376</v>
      </c>
    </row>
    <row r="44" spans="1:21" x14ac:dyDescent="0.15">
      <c r="L44" s="179"/>
      <c r="S44" s="107"/>
    </row>
    <row r="45" spans="1:21" ht="14" thickBot="1" x14ac:dyDescent="0.2">
      <c r="L45" s="196" t="s">
        <v>411</v>
      </c>
      <c r="M45" s="179"/>
      <c r="T45" s="197">
        <f>$T$11-$T$19-$T$25-$T$32-$T$43</f>
        <v>-2286384990.6771197</v>
      </c>
    </row>
    <row r="46" spans="1:21" ht="14" thickTop="1" x14ac:dyDescent="0.15">
      <c r="M46" s="179"/>
    </row>
    <row r="316" spans="1:1" x14ac:dyDescent="0.15">
      <c r="A316" s="176"/>
    </row>
    <row r="317" spans="1:1" x14ac:dyDescent="0.15">
      <c r="A317" s="176"/>
    </row>
    <row r="318" spans="1:1" x14ac:dyDescent="0.15">
      <c r="A318" s="176"/>
    </row>
    <row r="319" spans="1:1" x14ac:dyDescent="0.15">
      <c r="A319" s="176"/>
    </row>
    <row r="320" spans="1:1" x14ac:dyDescent="0.15">
      <c r="A320" s="176"/>
    </row>
    <row r="321" spans="1:1" x14ac:dyDescent="0.15">
      <c r="A321" s="176"/>
    </row>
    <row r="322" spans="1:1" x14ac:dyDescent="0.15">
      <c r="A322" s="176"/>
    </row>
    <row r="323" spans="1:1" x14ac:dyDescent="0.15">
      <c r="A323" s="176"/>
    </row>
    <row r="325" spans="1:1" x14ac:dyDescent="0.15">
      <c r="A325" s="176"/>
    </row>
    <row r="326" spans="1:1" x14ac:dyDescent="0.15">
      <c r="A326" s="176"/>
    </row>
    <row r="327" spans="1:1" x14ac:dyDescent="0.15">
      <c r="A327" s="176"/>
    </row>
    <row r="328" spans="1:1" x14ac:dyDescent="0.15">
      <c r="A328" s="176"/>
    </row>
    <row r="329" spans="1:1" x14ac:dyDescent="0.15">
      <c r="A329" s="176"/>
    </row>
    <row r="330" spans="1:1" x14ac:dyDescent="0.15">
      <c r="A330" s="176"/>
    </row>
    <row r="331" spans="1:1" x14ac:dyDescent="0.15">
      <c r="A331" s="176"/>
    </row>
    <row r="332" spans="1:1" x14ac:dyDescent="0.15">
      <c r="A332" s="176"/>
    </row>
    <row r="334" spans="1:1" x14ac:dyDescent="0.15">
      <c r="A334" s="176"/>
    </row>
    <row r="335" spans="1:1" x14ac:dyDescent="0.15">
      <c r="A335" s="176"/>
    </row>
    <row r="336" spans="1:1" x14ac:dyDescent="0.15">
      <c r="A336" s="176"/>
    </row>
    <row r="337" spans="1:1" x14ac:dyDescent="0.15">
      <c r="A337" s="176"/>
    </row>
    <row r="338" spans="1:1" x14ac:dyDescent="0.15">
      <c r="A338" s="176"/>
    </row>
    <row r="339" spans="1:1" x14ac:dyDescent="0.15">
      <c r="A339" s="176"/>
    </row>
    <row r="340" spans="1:1" x14ac:dyDescent="0.15">
      <c r="A340" s="176"/>
    </row>
    <row r="341" spans="1:1" x14ac:dyDescent="0.15">
      <c r="A341" s="176"/>
    </row>
    <row r="343" spans="1:1" x14ac:dyDescent="0.15">
      <c r="A343" s="176"/>
    </row>
    <row r="344" spans="1:1" x14ac:dyDescent="0.15">
      <c r="A344" s="176"/>
    </row>
    <row r="345" spans="1:1" x14ac:dyDescent="0.15">
      <c r="A345" s="176"/>
    </row>
    <row r="346" spans="1:1" x14ac:dyDescent="0.15">
      <c r="A346" s="176"/>
    </row>
    <row r="347" spans="1:1" x14ac:dyDescent="0.15">
      <c r="A347" s="176"/>
    </row>
    <row r="348" spans="1:1" x14ac:dyDescent="0.15">
      <c r="A348" s="176"/>
    </row>
    <row r="349" spans="1:1" x14ac:dyDescent="0.15">
      <c r="A349" s="176"/>
    </row>
    <row r="350" spans="1:1" x14ac:dyDescent="0.15">
      <c r="A350" s="176"/>
    </row>
  </sheetData>
  <mergeCells count="1">
    <mergeCell ref="C2:H2"/>
  </mergeCells>
  <pageMargins left="0.75" right="0.75" top="1" bottom="1" header="0.5" footer="0.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Y133"/>
  <sheetViews>
    <sheetView workbookViewId="0">
      <selection activeCell="C38" sqref="C38:AX43"/>
    </sheetView>
  </sheetViews>
  <sheetFormatPr baseColWidth="10" defaultColWidth="8.83203125" defaultRowHeight="13" x14ac:dyDescent="0.15"/>
  <cols>
    <col min="1" max="1" width="4.6640625" style="97" customWidth="1"/>
    <col min="2" max="2" width="15.6640625" style="97" customWidth="1"/>
    <col min="3" max="16384" width="8.83203125" style="97"/>
  </cols>
  <sheetData>
    <row r="2" spans="2:14" x14ac:dyDescent="0.15">
      <c r="B2" s="99" t="s">
        <v>312</v>
      </c>
    </row>
    <row r="3" spans="2:14" x14ac:dyDescent="0.15">
      <c r="B3" s="100" t="s">
        <v>313</v>
      </c>
    </row>
    <row r="4" spans="2:14" x14ac:dyDescent="0.15">
      <c r="B4" s="167" t="s">
        <v>91</v>
      </c>
      <c r="C4" s="167" t="s">
        <v>92</v>
      </c>
      <c r="D4" s="167" t="s">
        <v>93</v>
      </c>
      <c r="E4" s="167" t="s">
        <v>94</v>
      </c>
      <c r="F4" s="167" t="s">
        <v>95</v>
      </c>
      <c r="G4" s="167" t="s">
        <v>96</v>
      </c>
      <c r="H4" s="167" t="s">
        <v>97</v>
      </c>
      <c r="I4" s="167" t="s">
        <v>98</v>
      </c>
      <c r="J4" s="167" t="s">
        <v>99</v>
      </c>
      <c r="K4" s="167" t="s">
        <v>100</v>
      </c>
      <c r="L4" s="167" t="s">
        <v>101</v>
      </c>
      <c r="M4" s="167" t="s">
        <v>102</v>
      </c>
      <c r="N4" s="167" t="s">
        <v>103</v>
      </c>
    </row>
    <row r="5" spans="2:14" x14ac:dyDescent="0.15">
      <c r="B5" s="168" t="s">
        <v>104</v>
      </c>
      <c r="C5" s="97">
        <v>0.67741335649818157</v>
      </c>
      <c r="D5" s="97">
        <v>0.67306361198030706</v>
      </c>
      <c r="E5" s="97">
        <v>0.63429629856453007</v>
      </c>
      <c r="F5" s="97">
        <v>0.69808639721708632</v>
      </c>
      <c r="G5" s="97">
        <v>0.70724112769495295</v>
      </c>
      <c r="H5" s="97">
        <v>0.5980741799547814</v>
      </c>
      <c r="I5" s="97">
        <v>0.64506078081390494</v>
      </c>
      <c r="J5" s="97">
        <v>0.61950430111258814</v>
      </c>
      <c r="K5" s="97">
        <v>0.56488458101668704</v>
      </c>
      <c r="L5" s="97">
        <v>0.71102622222764644</v>
      </c>
      <c r="M5" s="97">
        <v>0.7237409010704714</v>
      </c>
      <c r="N5" s="97">
        <v>0.60245694919618742</v>
      </c>
    </row>
    <row r="6" spans="2:14" x14ac:dyDescent="0.15">
      <c r="B6" s="168" t="s">
        <v>105</v>
      </c>
      <c r="C6" s="97">
        <v>0.691208702247601</v>
      </c>
      <c r="D6" s="97">
        <v>0.70639888532671125</v>
      </c>
      <c r="E6" s="97">
        <v>0.76501668382618615</v>
      </c>
      <c r="F6" s="97">
        <v>0.72298609822691973</v>
      </c>
      <c r="G6" s="97">
        <v>1.1000000000000001</v>
      </c>
      <c r="H6" s="97">
        <v>0.64659236005882259</v>
      </c>
      <c r="I6" s="97">
        <v>0.68560090947596286</v>
      </c>
      <c r="J6" s="97">
        <v>0.75559927261542148</v>
      </c>
      <c r="K6" s="97">
        <v>0.68375421684460724</v>
      </c>
      <c r="L6" s="97">
        <v>0.64755122745263294</v>
      </c>
      <c r="M6" s="97">
        <v>0.63517291777709128</v>
      </c>
      <c r="N6" s="97">
        <v>0.63837736899357989</v>
      </c>
    </row>
    <row r="7" spans="2:14" x14ac:dyDescent="0.15">
      <c r="B7" s="168" t="s">
        <v>106</v>
      </c>
      <c r="C7" s="97">
        <v>0.74760657902859307</v>
      </c>
      <c r="D7" s="97">
        <v>0.74080361230218661</v>
      </c>
      <c r="E7" s="97">
        <v>0.8298758235733199</v>
      </c>
      <c r="F7" s="97">
        <v>0.77506638069977385</v>
      </c>
      <c r="G7" s="97">
        <v>0.76779382237498128</v>
      </c>
      <c r="H7" s="97">
        <v>0.74768532912835473</v>
      </c>
      <c r="I7" s="97">
        <v>0.82467407343282673</v>
      </c>
      <c r="J7" s="97">
        <v>0.71140085518471019</v>
      </c>
      <c r="K7" s="97">
        <v>0.759502607055347</v>
      </c>
      <c r="L7" s="97">
        <v>0.72680293984924138</v>
      </c>
      <c r="M7" s="97">
        <v>0.71092183472043169</v>
      </c>
      <c r="N7" s="97">
        <v>0.73518345285574338</v>
      </c>
    </row>
    <row r="8" spans="2:14" x14ac:dyDescent="0.15">
      <c r="B8" s="168" t="s">
        <v>107</v>
      </c>
      <c r="C8" s="97">
        <v>0.74188668678311898</v>
      </c>
      <c r="D8" s="97">
        <v>0.74118622729628425</v>
      </c>
      <c r="E8" s="97">
        <v>0.7788210606208763</v>
      </c>
      <c r="F8" s="97">
        <v>0.69670912194501333</v>
      </c>
      <c r="G8" s="97">
        <v>0.73675634680278757</v>
      </c>
      <c r="H8" s="97">
        <v>0.68704235712703154</v>
      </c>
      <c r="I8" s="97">
        <v>0.72054500128757304</v>
      </c>
      <c r="J8" s="97">
        <v>0.73222811197822635</v>
      </c>
      <c r="K8" s="97">
        <v>0.70228298792888555</v>
      </c>
      <c r="L8" s="97">
        <v>0.71493581395385453</v>
      </c>
      <c r="M8" s="97">
        <v>0.68316600733067545</v>
      </c>
      <c r="N8" s="97">
        <v>0.67111377312283682</v>
      </c>
    </row>
    <row r="9" spans="2:14" x14ac:dyDescent="0.15">
      <c r="B9" s="168" t="s">
        <v>108</v>
      </c>
      <c r="C9" s="97">
        <v>2.0939883327484132</v>
      </c>
      <c r="D9" s="97">
        <v>2.0252206122875216</v>
      </c>
      <c r="E9" s="97">
        <v>2.1070303654670717</v>
      </c>
      <c r="F9" s="97">
        <v>2.053831330537796</v>
      </c>
      <c r="G9" s="97">
        <v>2.0804877614974977</v>
      </c>
      <c r="H9" s="97">
        <v>2.0680904901027679</v>
      </c>
      <c r="I9" s="97">
        <v>2.0963162398338318</v>
      </c>
      <c r="J9" s="97">
        <v>2.0572871840000153</v>
      </c>
      <c r="K9" s="97">
        <v>2.08117977142334</v>
      </c>
      <c r="L9" s="97">
        <v>2.0578357493877411</v>
      </c>
      <c r="M9" s="97">
        <v>2.0766165947914126</v>
      </c>
      <c r="N9" s="97">
        <v>2.0927777206897735</v>
      </c>
    </row>
    <row r="10" spans="2:14" x14ac:dyDescent="0.15">
      <c r="B10" s="168" t="s">
        <v>109</v>
      </c>
      <c r="C10" s="97">
        <v>0.66053335666656499</v>
      </c>
      <c r="D10" s="97">
        <v>0.6172994077205658</v>
      </c>
      <c r="E10" s="97">
        <v>0.67065237760543828</v>
      </c>
      <c r="F10" s="97">
        <v>0.65839009881019595</v>
      </c>
      <c r="G10" s="97">
        <v>0.69553704261779792</v>
      </c>
      <c r="H10" s="97">
        <v>0.65176588892936704</v>
      </c>
      <c r="I10" s="97">
        <v>0.67382031679153442</v>
      </c>
      <c r="J10" s="97">
        <v>0.65418413281440735</v>
      </c>
      <c r="K10" s="97">
        <v>0.61726138591766355</v>
      </c>
      <c r="L10" s="97">
        <v>0.68427352309226996</v>
      </c>
      <c r="M10" s="97">
        <v>0.60825542211532591</v>
      </c>
      <c r="N10" s="97">
        <v>0.68000479340553288</v>
      </c>
    </row>
    <row r="11" spans="2:14" x14ac:dyDescent="0.15">
      <c r="B11" s="169"/>
      <c r="C11" s="98"/>
      <c r="D11" s="98"/>
      <c r="E11" s="98"/>
      <c r="F11" s="98"/>
      <c r="G11" s="98"/>
    </row>
    <row r="12" spans="2:14" x14ac:dyDescent="0.15">
      <c r="B12" s="101" t="s">
        <v>314</v>
      </c>
      <c r="C12" s="98"/>
      <c r="D12" s="98"/>
      <c r="E12" s="98"/>
      <c r="F12" s="98"/>
      <c r="G12" s="98"/>
    </row>
    <row r="13" spans="2:14" x14ac:dyDescent="0.15">
      <c r="B13" s="168" t="s">
        <v>315</v>
      </c>
      <c r="C13" s="168" t="s">
        <v>92</v>
      </c>
      <c r="D13" s="168" t="s">
        <v>93</v>
      </c>
      <c r="E13" s="167" t="s">
        <v>94</v>
      </c>
      <c r="F13" s="167" t="s">
        <v>95</v>
      </c>
      <c r="G13" s="167" t="s">
        <v>96</v>
      </c>
      <c r="H13" s="167" t="s">
        <v>97</v>
      </c>
      <c r="I13" s="167" t="s">
        <v>98</v>
      </c>
      <c r="J13" s="167" t="s">
        <v>99</v>
      </c>
      <c r="K13" s="167" t="s">
        <v>100</v>
      </c>
      <c r="L13" s="167" t="s">
        <v>101</v>
      </c>
      <c r="M13" s="167" t="s">
        <v>102</v>
      </c>
      <c r="N13" s="167" t="s">
        <v>103</v>
      </c>
    </row>
    <row r="14" spans="2:14" x14ac:dyDescent="0.15">
      <c r="B14" s="167" t="s">
        <v>316</v>
      </c>
      <c r="C14" s="98">
        <v>0.34973536705607911</v>
      </c>
      <c r="D14" s="98">
        <v>0.3510335405330573</v>
      </c>
      <c r="E14" s="98">
        <v>0.3523280611870756</v>
      </c>
      <c r="F14" s="98">
        <v>0.35361528647355034</v>
      </c>
      <c r="G14" s="98">
        <v>0.35489159437572926</v>
      </c>
      <c r="H14" s="97">
        <v>0.35615339359638459</v>
      </c>
      <c r="I14" s="97">
        <v>0.3573971336630673</v>
      </c>
      <c r="J14" s="97">
        <v>0.35861931491848792</v>
      </c>
      <c r="K14" s="97">
        <v>0.35981649836791257</v>
      </c>
      <c r="L14" s="97">
        <v>0.36098531535586564</v>
      </c>
      <c r="M14" s="97">
        <v>0.3621224770449113</v>
      </c>
      <c r="N14" s="97">
        <v>0.36322478366984046</v>
      </c>
    </row>
    <row r="15" spans="2:14" x14ac:dyDescent="0.15">
      <c r="B15" s="167" t="s">
        <v>317</v>
      </c>
      <c r="C15" s="97">
        <v>1.1972566932870639</v>
      </c>
      <c r="D15" s="97">
        <v>1.2004310257982889</v>
      </c>
      <c r="E15" s="97">
        <v>1.2035964263178465</v>
      </c>
      <c r="F15" s="97">
        <v>1.2067439879870612</v>
      </c>
      <c r="G15" s="97">
        <v>1.2098648541425234</v>
      </c>
      <c r="H15" s="97">
        <v>1.2129502432371213</v>
      </c>
      <c r="I15" s="97">
        <v>1.2159914735497097</v>
      </c>
      <c r="J15" s="97">
        <v>1.2189799876138872</v>
      </c>
      <c r="K15" s="97">
        <v>1.2219073762971431</v>
      </c>
      <c r="L15" s="97">
        <v>1.2247654024626202</v>
      </c>
      <c r="M15" s="97">
        <v>1.2275460241469112</v>
      </c>
      <c r="N15" s="97">
        <v>1.2302414171886766</v>
      </c>
    </row>
    <row r="16" spans="2:14" x14ac:dyDescent="0.15">
      <c r="B16" s="98"/>
    </row>
    <row r="17" spans="2:14" x14ac:dyDescent="0.15">
      <c r="B17" s="100" t="s">
        <v>318</v>
      </c>
    </row>
    <row r="18" spans="2:14" x14ac:dyDescent="0.15">
      <c r="B18" s="96" t="s">
        <v>91</v>
      </c>
      <c r="C18" s="96" t="s">
        <v>92</v>
      </c>
      <c r="D18" s="96" t="s">
        <v>93</v>
      </c>
      <c r="E18" s="96" t="s">
        <v>94</v>
      </c>
      <c r="F18" s="96" t="s">
        <v>95</v>
      </c>
      <c r="G18" s="96" t="s">
        <v>96</v>
      </c>
      <c r="H18" s="96" t="s">
        <v>97</v>
      </c>
      <c r="I18" s="96" t="s">
        <v>98</v>
      </c>
      <c r="J18" s="96" t="s">
        <v>99</v>
      </c>
      <c r="K18" s="96" t="s">
        <v>100</v>
      </c>
      <c r="L18" s="96" t="s">
        <v>101</v>
      </c>
      <c r="M18" s="96" t="s">
        <v>102</v>
      </c>
      <c r="N18" s="96" t="s">
        <v>103</v>
      </c>
    </row>
    <row r="19" spans="2:14" x14ac:dyDescent="0.15">
      <c r="B19" s="170" t="s">
        <v>104</v>
      </c>
      <c r="C19" s="97">
        <f>C5</f>
        <v>0.67741335649818157</v>
      </c>
      <c r="D19" s="97">
        <f t="shared" ref="D19:N20" si="0">D5</f>
        <v>0.67306361198030706</v>
      </c>
      <c r="E19" s="97">
        <f t="shared" si="0"/>
        <v>0.63429629856453007</v>
      </c>
      <c r="F19" s="97">
        <f t="shared" si="0"/>
        <v>0.69808639721708632</v>
      </c>
      <c r="G19" s="97">
        <f t="shared" si="0"/>
        <v>0.70724112769495295</v>
      </c>
      <c r="H19" s="97">
        <f t="shared" si="0"/>
        <v>0.5980741799547814</v>
      </c>
      <c r="I19" s="97">
        <f t="shared" si="0"/>
        <v>0.64506078081390494</v>
      </c>
      <c r="J19" s="97">
        <f t="shared" si="0"/>
        <v>0.61950430111258814</v>
      </c>
      <c r="K19" s="97">
        <f t="shared" si="0"/>
        <v>0.56488458101668704</v>
      </c>
      <c r="L19" s="97">
        <f t="shared" si="0"/>
        <v>0.71102622222764644</v>
      </c>
      <c r="M19" s="97">
        <f t="shared" si="0"/>
        <v>0.7237409010704714</v>
      </c>
      <c r="N19" s="97">
        <f t="shared" si="0"/>
        <v>0.60245694919618742</v>
      </c>
    </row>
    <row r="20" spans="2:14" x14ac:dyDescent="0.15">
      <c r="B20" s="170" t="s">
        <v>105</v>
      </c>
      <c r="C20" s="97">
        <f>C6</f>
        <v>0.691208702247601</v>
      </c>
      <c r="D20" s="97">
        <f t="shared" si="0"/>
        <v>0.70639888532671125</v>
      </c>
      <c r="E20" s="97">
        <f t="shared" si="0"/>
        <v>0.76501668382618615</v>
      </c>
      <c r="F20" s="97">
        <f t="shared" si="0"/>
        <v>0.72298609822691973</v>
      </c>
      <c r="G20" s="97">
        <f t="shared" si="0"/>
        <v>1.1000000000000001</v>
      </c>
      <c r="H20" s="97">
        <f t="shared" si="0"/>
        <v>0.64659236005882259</v>
      </c>
      <c r="I20" s="97">
        <f t="shared" si="0"/>
        <v>0.68560090947596286</v>
      </c>
      <c r="J20" s="97">
        <f t="shared" si="0"/>
        <v>0.75559927261542148</v>
      </c>
      <c r="K20" s="97">
        <f t="shared" si="0"/>
        <v>0.68375421684460724</v>
      </c>
      <c r="L20" s="97">
        <f t="shared" si="0"/>
        <v>0.64755122745263294</v>
      </c>
      <c r="M20" s="97">
        <f t="shared" si="0"/>
        <v>0.63517291777709128</v>
      </c>
      <c r="N20" s="97">
        <f t="shared" si="0"/>
        <v>0.63837736899357989</v>
      </c>
    </row>
    <row r="21" spans="2:14" x14ac:dyDescent="0.15">
      <c r="B21" s="170" t="s">
        <v>106</v>
      </c>
      <c r="C21" s="97">
        <f t="shared" ref="C21:N22" si="1">C7</f>
        <v>0.74760657902859307</v>
      </c>
      <c r="D21" s="97">
        <f t="shared" si="1"/>
        <v>0.74080361230218661</v>
      </c>
      <c r="E21" s="97">
        <f t="shared" si="1"/>
        <v>0.8298758235733199</v>
      </c>
      <c r="F21" s="97">
        <f t="shared" si="1"/>
        <v>0.77506638069977385</v>
      </c>
      <c r="G21" s="97">
        <f t="shared" si="1"/>
        <v>0.76779382237498128</v>
      </c>
      <c r="H21" s="97">
        <f t="shared" si="1"/>
        <v>0.74768532912835473</v>
      </c>
      <c r="I21" s="97">
        <f t="shared" si="1"/>
        <v>0.82467407343282673</v>
      </c>
      <c r="J21" s="97">
        <f t="shared" si="1"/>
        <v>0.71140085518471019</v>
      </c>
      <c r="K21" s="97">
        <f t="shared" si="1"/>
        <v>0.759502607055347</v>
      </c>
      <c r="L21" s="97">
        <f t="shared" si="1"/>
        <v>0.72680293984924138</v>
      </c>
      <c r="M21" s="97">
        <f t="shared" si="1"/>
        <v>0.71092183472043169</v>
      </c>
      <c r="N21" s="97">
        <f t="shared" si="1"/>
        <v>0.73518345285574338</v>
      </c>
    </row>
    <row r="22" spans="2:14" x14ac:dyDescent="0.15">
      <c r="B22" s="170" t="s">
        <v>107</v>
      </c>
      <c r="C22" s="97">
        <f t="shared" si="1"/>
        <v>0.74188668678311898</v>
      </c>
      <c r="D22" s="97">
        <f t="shared" si="1"/>
        <v>0.74118622729628425</v>
      </c>
      <c r="E22" s="97">
        <f t="shared" si="1"/>
        <v>0.7788210606208763</v>
      </c>
      <c r="F22" s="97">
        <f t="shared" si="1"/>
        <v>0.69670912194501333</v>
      </c>
      <c r="G22" s="97">
        <f t="shared" si="1"/>
        <v>0.73675634680278757</v>
      </c>
      <c r="H22" s="97">
        <f t="shared" si="1"/>
        <v>0.68704235712703154</v>
      </c>
      <c r="I22" s="97">
        <f t="shared" si="1"/>
        <v>0.72054500128757304</v>
      </c>
      <c r="J22" s="97">
        <f t="shared" si="1"/>
        <v>0.73222811197822635</v>
      </c>
      <c r="K22" s="97">
        <f t="shared" si="1"/>
        <v>0.70228298792888555</v>
      </c>
      <c r="L22" s="97">
        <f t="shared" si="1"/>
        <v>0.71493581395385453</v>
      </c>
      <c r="M22" s="97">
        <f t="shared" si="1"/>
        <v>0.68316600733067545</v>
      </c>
      <c r="N22" s="97">
        <f t="shared" si="1"/>
        <v>0.67111377312283682</v>
      </c>
    </row>
    <row r="23" spans="2:14" x14ac:dyDescent="0.15">
      <c r="B23" s="170" t="s">
        <v>108</v>
      </c>
      <c r="C23" s="97">
        <f>C9*C14</f>
        <v>0.73234177816491342</v>
      </c>
      <c r="D23" s="97">
        <f t="shared" ref="D23:N24" si="2">D9*D14</f>
        <v>0.71092036189181484</v>
      </c>
      <c r="E23" s="97">
        <f t="shared" si="2"/>
        <v>0.74236592352730868</v>
      </c>
      <c r="F23" s="97">
        <f t="shared" si="2"/>
        <v>0.72626615431647579</v>
      </c>
      <c r="G23" s="97">
        <f t="shared" si="2"/>
        <v>0.73834761875703891</v>
      </c>
      <c r="H23" s="97">
        <f t="shared" si="2"/>
        <v>0.73655744631451103</v>
      </c>
      <c r="I23" s="97">
        <f t="shared" si="2"/>
        <v>0.74921741536795061</v>
      </c>
      <c r="J23" s="97">
        <f t="shared" si="2"/>
        <v>0.73778292051667071</v>
      </c>
      <c r="K23" s="97">
        <f t="shared" si="2"/>
        <v>0.74884281782767892</v>
      </c>
      <c r="L23" s="97">
        <f t="shared" si="2"/>
        <v>0.74284848694330785</v>
      </c>
      <c r="M23" s="97">
        <f t="shared" si="2"/>
        <v>0.75198954517843519</v>
      </c>
      <c r="N23" s="97">
        <f t="shared" si="2"/>
        <v>0.76014873486660484</v>
      </c>
    </row>
    <row r="24" spans="2:14" x14ac:dyDescent="0.15">
      <c r="B24" s="170" t="s">
        <v>109</v>
      </c>
      <c r="C24" s="97">
        <f>C10*C15</f>
        <v>0.79082798240841634</v>
      </c>
      <c r="D24" s="97">
        <f t="shared" si="2"/>
        <v>0.741025361234675</v>
      </c>
      <c r="E24" s="97">
        <f t="shared" si="2"/>
        <v>0.80719480498747243</v>
      </c>
      <c r="F24" s="97">
        <f t="shared" si="2"/>
        <v>0.7945082934894111</v>
      </c>
      <c r="G24" s="97">
        <f t="shared" si="2"/>
        <v>0.84150582261750417</v>
      </c>
      <c r="H24" s="97">
        <f t="shared" si="2"/>
        <v>0.7905595935105344</v>
      </c>
      <c r="I24" s="97">
        <f t="shared" si="2"/>
        <v>0.8193597599230702</v>
      </c>
      <c r="J24" s="97">
        <f t="shared" si="2"/>
        <v>0.7974373661153078</v>
      </c>
      <c r="K24" s="97">
        <f t="shared" si="2"/>
        <v>0.75423624055619054</v>
      </c>
      <c r="L24" s="97">
        <f t="shared" si="2"/>
        <v>0.83807453690461908</v>
      </c>
      <c r="M24" s="97">
        <f t="shared" si="2"/>
        <v>0.7466615250834695</v>
      </c>
      <c r="N24" s="97">
        <f t="shared" si="2"/>
        <v>0.83657006073431606</v>
      </c>
    </row>
    <row r="25" spans="2:14" x14ac:dyDescent="0.15">
      <c r="B25" s="169"/>
    </row>
    <row r="26" spans="2:14" x14ac:dyDescent="0.15">
      <c r="B26" s="101" t="s">
        <v>319</v>
      </c>
    </row>
    <row r="27" spans="2:14" x14ac:dyDescent="0.15">
      <c r="B27" s="96" t="s">
        <v>320</v>
      </c>
      <c r="C27" s="96" t="s">
        <v>92</v>
      </c>
      <c r="D27" s="96" t="s">
        <v>93</v>
      </c>
      <c r="E27" s="96" t="s">
        <v>94</v>
      </c>
      <c r="F27" s="96" t="s">
        <v>95</v>
      </c>
      <c r="G27" s="96" t="s">
        <v>96</v>
      </c>
      <c r="H27" s="96" t="s">
        <v>97</v>
      </c>
      <c r="I27" s="96" t="s">
        <v>98</v>
      </c>
      <c r="J27" s="96" t="s">
        <v>99</v>
      </c>
      <c r="K27" s="96" t="s">
        <v>100</v>
      </c>
      <c r="L27" s="96" t="s">
        <v>101</v>
      </c>
      <c r="M27" s="96" t="s">
        <v>102</v>
      </c>
      <c r="N27" s="96" t="s">
        <v>103</v>
      </c>
    </row>
    <row r="28" spans="2:14" x14ac:dyDescent="0.15">
      <c r="B28" s="96" t="s">
        <v>104</v>
      </c>
      <c r="C28" s="97">
        <f>IF(C19&lt;=raw_materials!$D17,raw_materials!$C17,IF(C19&lt;=raw_materials!$F17,raw_materials!$E17,IF(C19&lt;=raw_materials!$H17,raw_materials!$G17,0)))</f>
        <v>1</v>
      </c>
      <c r="D28" s="97">
        <f>IF(D19&lt;=raw_materials!$D17,raw_materials!$C17,IF(D19&lt;=raw_materials!$F17,raw_materials!$E17,IF(D19&lt;=raw_materials!$H17,raw_materials!$G17,0)))</f>
        <v>1</v>
      </c>
      <c r="E28" s="97">
        <f>IF(E19&lt;=raw_materials!$D17,raw_materials!$C17,IF(E19&lt;=raw_materials!$F17,raw_materials!$E17,IF(E19&lt;=raw_materials!$H17,raw_materials!$G17,0)))</f>
        <v>1</v>
      </c>
      <c r="F28" s="97">
        <f>IF(F19&lt;=raw_materials!$D17,raw_materials!$C17,IF(F19&lt;=raw_materials!$F17,raw_materials!$E17,IF(F19&lt;=raw_materials!$H17,raw_materials!$G17,0)))</f>
        <v>1</v>
      </c>
      <c r="G28" s="97">
        <f>IF(G19&lt;=raw_materials!$D17,raw_materials!$C17,IF(G19&lt;=raw_materials!$F17,raw_materials!$E17,IF(G19&lt;=raw_materials!$H17,raw_materials!$G17,0)))</f>
        <v>1</v>
      </c>
      <c r="H28" s="97">
        <f>IF(H19&lt;=raw_materials!$D17,raw_materials!$C17,IF(H19&lt;=raw_materials!$F17,raw_materials!$E17,IF(H19&lt;=raw_materials!$H17,raw_materials!$G17,0)))</f>
        <v>1</v>
      </c>
      <c r="I28" s="97">
        <f>IF(I19&lt;=raw_materials!$D17,raw_materials!$C17,IF(I19&lt;=raw_materials!$F17,raw_materials!$E17,IF(I19&lt;=raw_materials!$H17,raw_materials!$G17,0)))</f>
        <v>1</v>
      </c>
      <c r="J28" s="97">
        <f>IF(J19&lt;=raw_materials!$D17,raw_materials!$C17,IF(J19&lt;=raw_materials!$F17,raw_materials!$E17,IF(J19&lt;=raw_materials!$H17,raw_materials!$G17,0)))</f>
        <v>1</v>
      </c>
      <c r="K28" s="97">
        <f>IF(K19&lt;=raw_materials!$D17,raw_materials!$C17,IF(K19&lt;=raw_materials!$F17,raw_materials!$E17,IF(K19&lt;=raw_materials!$H17,raw_materials!$G17,0)))</f>
        <v>1</v>
      </c>
      <c r="L28" s="97">
        <f>IF(L19&lt;=raw_materials!$D17,raw_materials!$C17,IF(L19&lt;=raw_materials!$F17,raw_materials!$E17,IF(L19&lt;=raw_materials!$H17,raw_materials!$G17,0)))</f>
        <v>1</v>
      </c>
      <c r="M28" s="97">
        <f>IF(M19&lt;=raw_materials!$D17,raw_materials!$C17,IF(M19&lt;=raw_materials!$F17,raw_materials!$E17,IF(M19&lt;=raw_materials!$H17,raw_materials!$G17,0)))</f>
        <v>1</v>
      </c>
      <c r="N28" s="97">
        <f>IF(N19&lt;=raw_materials!$D17,raw_materials!$C17,IF(N19&lt;=raw_materials!$F17,raw_materials!$E17,IF(N19&lt;=raw_materials!$H17,raw_materials!$G17,0)))</f>
        <v>1</v>
      </c>
    </row>
    <row r="29" spans="2:14" x14ac:dyDescent="0.15">
      <c r="B29" s="96" t="s">
        <v>105</v>
      </c>
      <c r="C29" s="97">
        <f>IF(C20&lt;=raw_materials!$D18,raw_materials!$C18,IF(C20&lt;=raw_materials!$F18,raw_materials!$E18,IF(C20&lt;=raw_materials!$H18,raw_materials!$G18,0)))</f>
        <v>1</v>
      </c>
      <c r="D29" s="97">
        <f>IF(D20&lt;=raw_materials!$D18,raw_materials!$C18,IF(D20&lt;=raw_materials!$F18,raw_materials!$E18,IF(D20&lt;=raw_materials!$H18,raw_materials!$G18,0)))</f>
        <v>1</v>
      </c>
      <c r="E29" s="97">
        <f>IF(E20&lt;=raw_materials!$D18,raw_materials!$C18,IF(E20&lt;=raw_materials!$F18,raw_materials!$E18,IF(E20&lt;=raw_materials!$H18,raw_materials!$G18,0)))</f>
        <v>1</v>
      </c>
      <c r="F29" s="97">
        <f>IF(F20&lt;=raw_materials!$D18,raw_materials!$C18,IF(F20&lt;=raw_materials!$F18,raw_materials!$E18,IF(F20&lt;=raw_materials!$H18,raw_materials!$G18,0)))</f>
        <v>1</v>
      </c>
      <c r="G29" s="97">
        <f>IF(G20&lt;=raw_materials!$D18,raw_materials!$C18,IF(G20&lt;=raw_materials!$F18,raw_materials!$E18,IF(G20&lt;=raw_materials!$H18,raw_materials!$G18,0)))</f>
        <v>1</v>
      </c>
      <c r="H29" s="97">
        <f>IF(H20&lt;=raw_materials!$D18,raw_materials!$C18,IF(H20&lt;=raw_materials!$F18,raw_materials!$E18,IF(H20&lt;=raw_materials!$H18,raw_materials!$G18,0)))</f>
        <v>1</v>
      </c>
      <c r="I29" s="97">
        <f>IF(I20&lt;=raw_materials!$D18,raw_materials!$C18,IF(I20&lt;=raw_materials!$F18,raw_materials!$E18,IF(I20&lt;=raw_materials!$H18,raw_materials!$G18,0)))</f>
        <v>1</v>
      </c>
      <c r="J29" s="97">
        <f>IF(J20&lt;=raw_materials!$D18,raw_materials!$C18,IF(J20&lt;=raw_materials!$F18,raw_materials!$E18,IF(J20&lt;=raw_materials!$H18,raw_materials!$G18,0)))</f>
        <v>1</v>
      </c>
      <c r="K29" s="97">
        <f>IF(K20&lt;=raw_materials!$D18,raw_materials!$C18,IF(K20&lt;=raw_materials!$F18,raw_materials!$E18,IF(K20&lt;=raw_materials!$H18,raw_materials!$G18,0)))</f>
        <v>1</v>
      </c>
      <c r="L29" s="97">
        <f>IF(L20&lt;=raw_materials!$D18,raw_materials!$C18,IF(L20&lt;=raw_materials!$F18,raw_materials!$E18,IF(L20&lt;=raw_materials!$H18,raw_materials!$G18,0)))</f>
        <v>1</v>
      </c>
      <c r="M29" s="97">
        <f>IF(M20&lt;=raw_materials!$D18,raw_materials!$C18,IF(M20&lt;=raw_materials!$F18,raw_materials!$E18,IF(M20&lt;=raw_materials!$H18,raw_materials!$G18,0)))</f>
        <v>1</v>
      </c>
      <c r="N29" s="97">
        <f>IF(N20&lt;=raw_materials!$D18,raw_materials!$C18,IF(N20&lt;=raw_materials!$F18,raw_materials!$E18,IF(N20&lt;=raw_materials!$H18,raw_materials!$G18,0)))</f>
        <v>1</v>
      </c>
    </row>
    <row r="30" spans="2:14" x14ac:dyDescent="0.15">
      <c r="B30" s="96" t="s">
        <v>106</v>
      </c>
      <c r="C30" s="97">
        <f>IF(C21&lt;=raw_materials!$D19,raw_materials!$C19,IF(C21&lt;=raw_materials!$F19,raw_materials!$E19,IF(C21&lt;=raw_materials!$H19,raw_materials!$G19,0)))</f>
        <v>1</v>
      </c>
      <c r="D30" s="97">
        <f>IF(D21&lt;=raw_materials!$D19,raw_materials!$C19,IF(D21&lt;=raw_materials!$F19,raw_materials!$E19,IF(D21&lt;=raw_materials!$H19,raw_materials!$G19,0)))</f>
        <v>1</v>
      </c>
      <c r="E30" s="97">
        <f>IF(E21&lt;=raw_materials!$D19,raw_materials!$C19,IF(E21&lt;=raw_materials!$F19,raw_materials!$E19,IF(E21&lt;=raw_materials!$H19,raw_materials!$G19,0)))</f>
        <v>1</v>
      </c>
      <c r="F30" s="97">
        <f>IF(F21&lt;=raw_materials!$D19,raw_materials!$C19,IF(F21&lt;=raw_materials!$F19,raw_materials!$E19,IF(F21&lt;=raw_materials!$H19,raw_materials!$G19,0)))</f>
        <v>1</v>
      </c>
      <c r="G30" s="97">
        <f>IF(G21&lt;=raw_materials!$D19,raw_materials!$C19,IF(G21&lt;=raw_materials!$F19,raw_materials!$E19,IF(G21&lt;=raw_materials!$H19,raw_materials!$G19,0)))</f>
        <v>1</v>
      </c>
      <c r="H30" s="97">
        <f>IF(H21&lt;=raw_materials!$D19,raw_materials!$C19,IF(H21&lt;=raw_materials!$F19,raw_materials!$E19,IF(H21&lt;=raw_materials!$H19,raw_materials!$G19,0)))</f>
        <v>1</v>
      </c>
      <c r="I30" s="97">
        <f>IF(I21&lt;=raw_materials!$D19,raw_materials!$C19,IF(I21&lt;=raw_materials!$F19,raw_materials!$E19,IF(I21&lt;=raw_materials!$H19,raw_materials!$G19,0)))</f>
        <v>1</v>
      </c>
      <c r="J30" s="97">
        <f>IF(J21&lt;=raw_materials!$D19,raw_materials!$C19,IF(J21&lt;=raw_materials!$F19,raw_materials!$E19,IF(J21&lt;=raw_materials!$H19,raw_materials!$G19,0)))</f>
        <v>1</v>
      </c>
      <c r="K30" s="97">
        <f>IF(K21&lt;=raw_materials!$D19,raw_materials!$C19,IF(K21&lt;=raw_materials!$F19,raw_materials!$E19,IF(K21&lt;=raw_materials!$H19,raw_materials!$G19,0)))</f>
        <v>1</v>
      </c>
      <c r="L30" s="97">
        <f>IF(L21&lt;=raw_materials!$D19,raw_materials!$C19,IF(L21&lt;=raw_materials!$F19,raw_materials!$E19,IF(L21&lt;=raw_materials!$H19,raw_materials!$G19,0)))</f>
        <v>1</v>
      </c>
      <c r="M30" s="97">
        <f>IF(M21&lt;=raw_materials!$D19,raw_materials!$C19,IF(M21&lt;=raw_materials!$F19,raw_materials!$E19,IF(M21&lt;=raw_materials!$H19,raw_materials!$G19,0)))</f>
        <v>1</v>
      </c>
      <c r="N30" s="97">
        <f>IF(N21&lt;=raw_materials!$D19,raw_materials!$C19,IF(N21&lt;=raw_materials!$F19,raw_materials!$E19,IF(N21&lt;=raw_materials!$H19,raw_materials!$G19,0)))</f>
        <v>1</v>
      </c>
    </row>
    <row r="31" spans="2:14" x14ac:dyDescent="0.15">
      <c r="B31" s="96" t="s">
        <v>107</v>
      </c>
      <c r="C31" s="97">
        <f>IF(C22&lt;=raw_materials!$D20,raw_materials!$C20,IF(C22&lt;=raw_materials!$F20,raw_materials!$E20,IF(C22&lt;=raw_materials!$H20,raw_materials!$G20,0)))</f>
        <v>1</v>
      </c>
      <c r="D31" s="97">
        <f>IF(D22&lt;=raw_materials!$D20,raw_materials!$C20,IF(D22&lt;=raw_materials!$F20,raw_materials!$E20,IF(D22&lt;=raw_materials!$H20,raw_materials!$G20,0)))</f>
        <v>1</v>
      </c>
      <c r="E31" s="97">
        <f>IF(E22&lt;=raw_materials!$D20,raw_materials!$C20,IF(E22&lt;=raw_materials!$F20,raw_materials!$E20,IF(E22&lt;=raw_materials!$H20,raw_materials!$G20,0)))</f>
        <v>1</v>
      </c>
      <c r="F31" s="97">
        <f>IF(F22&lt;=raw_materials!$D20,raw_materials!$C20,IF(F22&lt;=raw_materials!$F20,raw_materials!$E20,IF(F22&lt;=raw_materials!$H20,raw_materials!$G20,0)))</f>
        <v>1</v>
      </c>
      <c r="G31" s="97">
        <f>IF(G22&lt;=raw_materials!$D20,raw_materials!$C20,IF(G22&lt;=raw_materials!$F20,raw_materials!$E20,IF(G22&lt;=raw_materials!$H20,raw_materials!$G20,0)))</f>
        <v>1</v>
      </c>
      <c r="H31" s="97">
        <f>IF(H22&lt;=raw_materials!$D20,raw_materials!$C20,IF(H22&lt;=raw_materials!$F20,raw_materials!$E20,IF(H22&lt;=raw_materials!$H20,raw_materials!$G20,0)))</f>
        <v>1</v>
      </c>
      <c r="I31" s="97">
        <f>IF(I22&lt;=raw_materials!$D20,raw_materials!$C20,IF(I22&lt;=raw_materials!$F20,raw_materials!$E20,IF(I22&lt;=raw_materials!$H20,raw_materials!$G20,0)))</f>
        <v>1</v>
      </c>
      <c r="J31" s="97">
        <f>IF(J22&lt;=raw_materials!$D20,raw_materials!$C20,IF(J22&lt;=raw_materials!$F20,raw_materials!$E20,IF(J22&lt;=raw_materials!$H20,raw_materials!$G20,0)))</f>
        <v>1</v>
      </c>
      <c r="K31" s="97">
        <f>IF(K22&lt;=raw_materials!$D20,raw_materials!$C20,IF(K22&lt;=raw_materials!$F20,raw_materials!$E20,IF(K22&lt;=raw_materials!$H20,raw_materials!$G20,0)))</f>
        <v>1</v>
      </c>
      <c r="L31" s="97">
        <f>IF(L22&lt;=raw_materials!$D20,raw_materials!$C20,IF(L22&lt;=raw_materials!$F20,raw_materials!$E20,IF(L22&lt;=raw_materials!$H20,raw_materials!$G20,0)))</f>
        <v>1</v>
      </c>
      <c r="M31" s="97">
        <f>IF(M22&lt;=raw_materials!$D20,raw_materials!$C20,IF(M22&lt;=raw_materials!$F20,raw_materials!$E20,IF(M22&lt;=raw_materials!$H20,raw_materials!$G20,0)))</f>
        <v>1</v>
      </c>
      <c r="N31" s="97">
        <f>IF(N22&lt;=raw_materials!$D20,raw_materials!$C20,IF(N22&lt;=raw_materials!$F20,raw_materials!$E20,IF(N22&lt;=raw_materials!$H20,raw_materials!$G20,0)))</f>
        <v>1</v>
      </c>
    </row>
    <row r="32" spans="2:14" x14ac:dyDescent="0.15">
      <c r="B32" s="96" t="s">
        <v>108</v>
      </c>
      <c r="C32" s="97">
        <f>IF(C23&lt;=raw_materials!$D21,raw_materials!$C21,IF(C23&lt;=raw_materials!$F21,raw_materials!$E21,IF(C23&lt;=raw_materials!$H21,raw_materials!$G21,0)))</f>
        <v>1</v>
      </c>
      <c r="D32" s="97">
        <f>IF(D23&lt;=raw_materials!$D21,raw_materials!$C21,IF(D23&lt;=raw_materials!$F21,raw_materials!$E21,IF(D23&lt;=raw_materials!$H21,raw_materials!$G21,0)))</f>
        <v>1</v>
      </c>
      <c r="E32" s="97">
        <f>IF(E23&lt;=raw_materials!$D21,raw_materials!$C21,IF(E23&lt;=raw_materials!$F21,raw_materials!$E21,IF(E23&lt;=raw_materials!$H21,raw_materials!$G21,0)))</f>
        <v>1</v>
      </c>
      <c r="F32" s="97">
        <f>IF(F23&lt;=raw_materials!$D21,raw_materials!$C21,IF(F23&lt;=raw_materials!$F21,raw_materials!$E21,IF(F23&lt;=raw_materials!$H21,raw_materials!$G21,0)))</f>
        <v>1</v>
      </c>
      <c r="G32" s="97">
        <f>IF(G23&lt;=raw_materials!$D21,raw_materials!$C21,IF(G23&lt;=raw_materials!$F21,raw_materials!$E21,IF(G23&lt;=raw_materials!$H21,raw_materials!$G21,0)))</f>
        <v>1</v>
      </c>
      <c r="H32" s="97">
        <f>IF(H23&lt;=raw_materials!$D21,raw_materials!$C21,IF(H23&lt;=raw_materials!$F21,raw_materials!$E21,IF(H23&lt;=raw_materials!$H21,raw_materials!$G21,0)))</f>
        <v>1</v>
      </c>
      <c r="I32" s="97">
        <f>IF(I23&lt;=raw_materials!$D21,raw_materials!$C21,IF(I23&lt;=raw_materials!$F21,raw_materials!$E21,IF(I23&lt;=raw_materials!$H21,raw_materials!$G21,0)))</f>
        <v>1</v>
      </c>
      <c r="J32" s="97">
        <f>IF(J23&lt;=raw_materials!$D21,raw_materials!$C21,IF(J23&lt;=raw_materials!$F21,raw_materials!$E21,IF(J23&lt;=raw_materials!$H21,raw_materials!$G21,0)))</f>
        <v>1</v>
      </c>
      <c r="K32" s="97">
        <f>IF(K23&lt;=raw_materials!$D21,raw_materials!$C21,IF(K23&lt;=raw_materials!$F21,raw_materials!$E21,IF(K23&lt;=raw_materials!$H21,raw_materials!$G21,0)))</f>
        <v>1</v>
      </c>
      <c r="L32" s="97">
        <f>IF(L23&lt;=raw_materials!$D21,raw_materials!$C21,IF(L23&lt;=raw_materials!$F21,raw_materials!$E21,IF(L23&lt;=raw_materials!$H21,raw_materials!$G21,0)))</f>
        <v>1</v>
      </c>
      <c r="M32" s="97">
        <f>IF(M23&lt;=raw_materials!$D21,raw_materials!$C21,IF(M23&lt;=raw_materials!$F21,raw_materials!$E21,IF(M23&lt;=raw_materials!$H21,raw_materials!$G21,0)))</f>
        <v>1</v>
      </c>
      <c r="N32" s="97">
        <f>IF(N23&lt;=raw_materials!$D21,raw_materials!$C21,IF(N23&lt;=raw_materials!$F21,raw_materials!$E21,IF(N23&lt;=raw_materials!$H21,raw_materials!$G21,0)))</f>
        <v>1</v>
      </c>
    </row>
    <row r="33" spans="2:50" x14ac:dyDescent="0.15">
      <c r="B33" s="96" t="s">
        <v>109</v>
      </c>
      <c r="C33" s="97">
        <f>IF(C24&lt;=raw_materials!$D22,raw_materials!$C22,IF(C24&lt;=raw_materials!$F22,raw_materials!$E22,IF(C24&lt;=raw_materials!$H22,raw_materials!$G22,0)))</f>
        <v>1</v>
      </c>
      <c r="D33" s="97">
        <f>IF(D24&lt;=raw_materials!$D22,raw_materials!$C22,IF(D24&lt;=raw_materials!$F22,raw_materials!$E22,IF(D24&lt;=raw_materials!$H22,raw_materials!$G22,0)))</f>
        <v>1</v>
      </c>
      <c r="E33" s="97">
        <f>IF(E24&lt;=raw_materials!$D22,raw_materials!$C22,IF(E24&lt;=raw_materials!$F22,raw_materials!$E22,IF(E24&lt;=raw_materials!$H22,raw_materials!$G22,0)))</f>
        <v>1</v>
      </c>
      <c r="F33" s="97">
        <f>IF(F24&lt;=raw_materials!$D22,raw_materials!$C22,IF(F24&lt;=raw_materials!$F22,raw_materials!$E22,IF(F24&lt;=raw_materials!$H22,raw_materials!$G22,0)))</f>
        <v>1</v>
      </c>
      <c r="G33" s="97">
        <f>IF(G24&lt;=raw_materials!$D22,raw_materials!$C22,IF(G24&lt;=raw_materials!$F22,raw_materials!$E22,IF(G24&lt;=raw_materials!$H22,raw_materials!$G22,0)))</f>
        <v>1</v>
      </c>
      <c r="H33" s="97">
        <f>IF(H24&lt;=raw_materials!$D22,raw_materials!$C22,IF(H24&lt;=raw_materials!$F22,raw_materials!$E22,IF(H24&lt;=raw_materials!$H22,raw_materials!$G22,0)))</f>
        <v>1</v>
      </c>
      <c r="I33" s="97">
        <f>IF(I24&lt;=raw_materials!$D22,raw_materials!$C22,IF(I24&lt;=raw_materials!$F22,raw_materials!$E22,IF(I24&lt;=raw_materials!$H22,raw_materials!$G22,0)))</f>
        <v>1</v>
      </c>
      <c r="J33" s="97">
        <f>IF(J24&lt;=raw_materials!$D22,raw_materials!$C22,IF(J24&lt;=raw_materials!$F22,raw_materials!$E22,IF(J24&lt;=raw_materials!$H22,raw_materials!$G22,0)))</f>
        <v>1</v>
      </c>
      <c r="K33" s="97">
        <f>IF(K24&lt;=raw_materials!$D22,raw_materials!$C22,IF(K24&lt;=raw_materials!$F22,raw_materials!$E22,IF(K24&lt;=raw_materials!$H22,raw_materials!$G22,0)))</f>
        <v>1</v>
      </c>
      <c r="L33" s="97">
        <f>IF(L24&lt;=raw_materials!$D22,raw_materials!$C22,IF(L24&lt;=raw_materials!$F22,raw_materials!$E22,IF(L24&lt;=raw_materials!$H22,raw_materials!$G22,0)))</f>
        <v>1</v>
      </c>
      <c r="M33" s="97">
        <f>IF(M24&lt;=raw_materials!$D22,raw_materials!$C22,IF(M24&lt;=raw_materials!$F22,raw_materials!$E22,IF(M24&lt;=raw_materials!$H22,raw_materials!$G22,0)))</f>
        <v>1</v>
      </c>
      <c r="N33" s="97">
        <f>IF(N24&lt;=raw_materials!$D22,raw_materials!$C22,IF(N24&lt;=raw_materials!$F22,raw_materials!$E22,IF(N24&lt;=raw_materials!$H22,raw_materials!$G22,0)))</f>
        <v>1</v>
      </c>
    </row>
    <row r="35" spans="2:50" x14ac:dyDescent="0.15">
      <c r="B35" s="100" t="s">
        <v>321</v>
      </c>
    </row>
    <row r="36" spans="2:50" x14ac:dyDescent="0.15">
      <c r="B36" s="167" t="s">
        <v>273</v>
      </c>
      <c r="C36" s="167" t="s">
        <v>92</v>
      </c>
      <c r="D36" s="98"/>
      <c r="E36" s="98"/>
      <c r="F36" s="98"/>
      <c r="G36" s="167" t="s">
        <v>93</v>
      </c>
      <c r="H36" s="98"/>
      <c r="I36" s="98"/>
      <c r="J36" s="98"/>
      <c r="K36" s="167" t="s">
        <v>94</v>
      </c>
      <c r="L36" s="98"/>
      <c r="M36" s="98"/>
      <c r="N36" s="98"/>
      <c r="O36" s="167" t="s">
        <v>95</v>
      </c>
      <c r="P36" s="98"/>
      <c r="Q36" s="98"/>
      <c r="R36" s="98"/>
      <c r="S36" s="167" t="s">
        <v>96</v>
      </c>
      <c r="T36" s="98"/>
      <c r="U36" s="98"/>
      <c r="V36" s="98"/>
      <c r="W36" s="167" t="s">
        <v>97</v>
      </c>
      <c r="X36" s="98"/>
      <c r="Y36" s="98"/>
      <c r="Z36" s="98"/>
      <c r="AA36" s="167" t="s">
        <v>98</v>
      </c>
      <c r="AB36" s="98"/>
      <c r="AC36" s="98"/>
      <c r="AD36" s="98"/>
      <c r="AE36" s="167" t="s">
        <v>99</v>
      </c>
      <c r="AF36" s="98"/>
      <c r="AG36" s="98"/>
      <c r="AH36" s="98"/>
      <c r="AI36" s="167" t="s">
        <v>100</v>
      </c>
      <c r="AJ36" s="98"/>
      <c r="AK36" s="98"/>
      <c r="AL36" s="98"/>
      <c r="AM36" s="167" t="s">
        <v>101</v>
      </c>
      <c r="AN36" s="98"/>
      <c r="AO36" s="98"/>
      <c r="AP36" s="98"/>
      <c r="AQ36" s="167" t="s">
        <v>102</v>
      </c>
      <c r="AR36" s="98"/>
      <c r="AS36" s="98"/>
      <c r="AT36" s="98"/>
      <c r="AU36" s="167" t="s">
        <v>103</v>
      </c>
      <c r="AV36" s="98"/>
      <c r="AW36" s="98"/>
      <c r="AX36" s="98"/>
    </row>
    <row r="37" spans="2:50" x14ac:dyDescent="0.15">
      <c r="B37" s="167" t="s">
        <v>322</v>
      </c>
      <c r="C37" s="167">
        <v>1</v>
      </c>
      <c r="D37" s="167">
        <v>2</v>
      </c>
      <c r="E37" s="167">
        <v>3</v>
      </c>
      <c r="F37" s="167">
        <v>4</v>
      </c>
      <c r="G37" s="167">
        <v>1</v>
      </c>
      <c r="H37" s="167">
        <v>2</v>
      </c>
      <c r="I37" s="167">
        <v>3</v>
      </c>
      <c r="J37" s="167">
        <v>4</v>
      </c>
      <c r="K37" s="167">
        <v>1</v>
      </c>
      <c r="L37" s="167">
        <v>2</v>
      </c>
      <c r="M37" s="167">
        <v>3</v>
      </c>
      <c r="N37" s="167">
        <v>4</v>
      </c>
      <c r="O37" s="167">
        <v>1</v>
      </c>
      <c r="P37" s="167">
        <v>2</v>
      </c>
      <c r="Q37" s="167">
        <v>3</v>
      </c>
      <c r="R37" s="167">
        <v>4</v>
      </c>
      <c r="S37" s="167">
        <v>1</v>
      </c>
      <c r="T37" s="167">
        <v>2</v>
      </c>
      <c r="U37" s="167">
        <v>3</v>
      </c>
      <c r="V37" s="167">
        <v>4</v>
      </c>
      <c r="W37" s="167">
        <v>1</v>
      </c>
      <c r="X37" s="167">
        <v>2</v>
      </c>
      <c r="Y37" s="167">
        <v>3</v>
      </c>
      <c r="Z37" s="167">
        <v>4</v>
      </c>
      <c r="AA37" s="167">
        <v>1</v>
      </c>
      <c r="AB37" s="167">
        <v>2</v>
      </c>
      <c r="AC37" s="167">
        <v>3</v>
      </c>
      <c r="AD37" s="167">
        <v>4</v>
      </c>
      <c r="AE37" s="167">
        <v>1</v>
      </c>
      <c r="AF37" s="167">
        <v>2</v>
      </c>
      <c r="AG37" s="167">
        <v>3</v>
      </c>
      <c r="AH37" s="167">
        <v>4</v>
      </c>
      <c r="AI37" s="167">
        <v>1</v>
      </c>
      <c r="AJ37" s="167">
        <v>2</v>
      </c>
      <c r="AK37" s="167">
        <v>3</v>
      </c>
      <c r="AL37" s="167">
        <v>4</v>
      </c>
      <c r="AM37" s="167">
        <v>1</v>
      </c>
      <c r="AN37" s="167">
        <v>2</v>
      </c>
      <c r="AO37" s="167">
        <v>3</v>
      </c>
      <c r="AP37" s="167">
        <v>4</v>
      </c>
      <c r="AQ37" s="167">
        <v>1</v>
      </c>
      <c r="AR37" s="167">
        <v>2</v>
      </c>
      <c r="AS37" s="167">
        <v>3</v>
      </c>
      <c r="AT37" s="167">
        <v>4</v>
      </c>
      <c r="AU37" s="167">
        <v>1</v>
      </c>
      <c r="AV37" s="167">
        <v>2</v>
      </c>
      <c r="AW37" s="167">
        <v>3</v>
      </c>
      <c r="AX37" s="167">
        <v>4</v>
      </c>
    </row>
    <row r="38" spans="2:50" x14ac:dyDescent="0.15">
      <c r="B38" s="167" t="s">
        <v>104</v>
      </c>
      <c r="C38" s="97">
        <v>25054.902514011505</v>
      </c>
      <c r="D38" s="97">
        <v>25109.81675262624</v>
      </c>
      <c r="E38" s="97">
        <v>25164.733912812586</v>
      </c>
      <c r="F38" s="97">
        <v>25219.64518704552</v>
      </c>
      <c r="G38" s="97">
        <v>25274.541764850626</v>
      </c>
      <c r="H38" s="97">
        <v>25329.41483434946</v>
      </c>
      <c r="I38" s="97">
        <v>25384.255583806131</v>
      </c>
      <c r="J38" s="97">
        <v>25439.055203174696</v>
      </c>
      <c r="K38" s="97">
        <v>25493.804885647136</v>
      </c>
      <c r="L38" s="97">
        <v>25548.495829201689</v>
      </c>
      <c r="M38" s="97">
        <v>25603.119238151201</v>
      </c>
      <c r="N38" s="97">
        <v>25657.666324691218</v>
      </c>
      <c r="O38" s="97">
        <v>25712.128310447646</v>
      </c>
      <c r="P38" s="97">
        <v>25766.496428023554</v>
      </c>
      <c r="Q38" s="97">
        <v>25820.761922544945</v>
      </c>
      <c r="R38" s="97">
        <v>25874.916053205223</v>
      </c>
      <c r="S38" s="97">
        <v>25928.950094808049</v>
      </c>
      <c r="T38" s="97">
        <v>25982.855339308269</v>
      </c>
      <c r="U38" s="97">
        <v>26036.623097350748</v>
      </c>
      <c r="V38" s="97">
        <v>26090.24469980675</v>
      </c>
      <c r="W38" s="97">
        <v>26143.711499307632</v>
      </c>
      <c r="X38" s="97">
        <v>26197.014871775551</v>
      </c>
      <c r="Y38" s="97">
        <v>26250.146217950878</v>
      </c>
      <c r="Z38" s="97">
        <v>18412.167875441355</v>
      </c>
      <c r="AA38" s="97">
        <v>26355.858567616488</v>
      </c>
      <c r="AB38" s="97">
        <v>26408.422510375025</v>
      </c>
      <c r="AC38" s="97">
        <v>26460.780308405316</v>
      </c>
      <c r="AD38" s="97">
        <v>26512.923509318131</v>
      </c>
      <c r="AE38" s="97">
        <v>26564.8436946238</v>
      </c>
      <c r="AF38" s="97">
        <v>26616.532481229282</v>
      </c>
      <c r="AG38" s="97">
        <v>26667.981522929855</v>
      </c>
      <c r="AH38" s="97">
        <v>26719.182511895149</v>
      </c>
      <c r="AI38" s="97">
        <v>26770.127180149142</v>
      </c>
      <c r="AJ38" s="97">
        <v>26820.807301044035</v>
      </c>
      <c r="AK38" s="97">
        <v>26871.21469072756</v>
      </c>
      <c r="AL38" s="97">
        <v>26921.341209603564</v>
      </c>
      <c r="AM38" s="97">
        <v>26971.178763785614</v>
      </c>
      <c r="AN38" s="97">
        <v>18914.503514580269</v>
      </c>
      <c r="AO38" s="97">
        <v>18948.968387818528</v>
      </c>
      <c r="AP38" s="97">
        <v>18983.2141906877</v>
      </c>
      <c r="AQ38" s="97">
        <v>27167.47913646403</v>
      </c>
      <c r="AR38" s="97">
        <v>27215.752159530173</v>
      </c>
      <c r="AS38" s="97">
        <v>27263.688694937566</v>
      </c>
      <c r="AT38" s="97">
        <v>27311.281008823513</v>
      </c>
      <c r="AU38" s="97">
        <v>27358.521424379818</v>
      </c>
      <c r="AV38" s="97">
        <v>27405.40232323145</v>
      </c>
      <c r="AW38" s="97">
        <v>27451.916146805794</v>
      </c>
      <c r="AX38" s="97">
        <v>27498.055397691911</v>
      </c>
    </row>
    <row r="39" spans="2:50" x14ac:dyDescent="0.15">
      <c r="B39" s="167" t="s">
        <v>105</v>
      </c>
      <c r="C39" s="97">
        <v>15032.941508406904</v>
      </c>
      <c r="D39" s="97">
        <v>15065.890051575743</v>
      </c>
      <c r="E39" s="97">
        <v>15098.84034768755</v>
      </c>
      <c r="F39" s="97">
        <v>15131.787112227312</v>
      </c>
      <c r="G39" s="97">
        <v>15164.725058910377</v>
      </c>
      <c r="H39" s="97">
        <v>15197.648900609674</v>
      </c>
      <c r="I39" s="97">
        <v>15230.553350283679</v>
      </c>
      <c r="J39" s="97">
        <v>15263.433121904818</v>
      </c>
      <c r="K39" s="97">
        <v>15296.282931388283</v>
      </c>
      <c r="L39" s="97">
        <v>10730.368248264709</v>
      </c>
      <c r="M39" s="97">
        <v>15361.87154289072</v>
      </c>
      <c r="N39" s="97">
        <v>10776.21985637031</v>
      </c>
      <c r="O39" s="97">
        <v>10799.093890388011</v>
      </c>
      <c r="P39" s="97">
        <v>10821.928499769892</v>
      </c>
      <c r="Q39" s="97">
        <v>10844.720007468877</v>
      </c>
      <c r="R39" s="97">
        <v>15524.949631923135</v>
      </c>
      <c r="S39" s="97">
        <v>1555.7370056884831</v>
      </c>
      <c r="T39" s="97">
        <v>1558.9713203584963</v>
      </c>
      <c r="U39" s="97">
        <v>1562.1973858410449</v>
      </c>
      <c r="V39" s="97">
        <v>15654.14681988405</v>
      </c>
      <c r="W39" s="97">
        <v>15686.226899584581</v>
      </c>
      <c r="X39" s="97">
        <v>15718.208923065331</v>
      </c>
      <c r="Y39" s="97">
        <v>15750.087730770527</v>
      </c>
      <c r="Z39" s="97">
        <v>15781.858178949733</v>
      </c>
      <c r="AA39" s="97">
        <v>15813.515140569893</v>
      </c>
      <c r="AB39" s="97">
        <v>15845.053506225015</v>
      </c>
      <c r="AC39" s="97">
        <v>15876.468185043188</v>
      </c>
      <c r="AD39" s="97">
        <v>15907.754105590879</v>
      </c>
      <c r="AE39" s="97">
        <v>1593.890621677428</v>
      </c>
      <c r="AF39" s="97">
        <v>15969.919488737569</v>
      </c>
      <c r="AG39" s="97">
        <v>16000.788913757913</v>
      </c>
      <c r="AH39" s="97">
        <v>16031.509507137089</v>
      </c>
      <c r="AI39" s="97">
        <v>16062.076308089485</v>
      </c>
      <c r="AJ39" s="97">
        <v>11264.739066438493</v>
      </c>
      <c r="AK39" s="97">
        <v>11285.910170105573</v>
      </c>
      <c r="AL39" s="97">
        <v>16152.80472576214</v>
      </c>
      <c r="AM39" s="97">
        <v>16182.707258271368</v>
      </c>
      <c r="AN39" s="97">
        <v>16212.431583925947</v>
      </c>
      <c r="AO39" s="97">
        <v>16241.972903844453</v>
      </c>
      <c r="AP39" s="97">
        <v>16271.326449160888</v>
      </c>
      <c r="AQ39" s="97">
        <v>16300.487481878417</v>
      </c>
      <c r="AR39" s="97">
        <v>16329.451295718105</v>
      </c>
      <c r="AS39" s="97">
        <v>16358.213216962538</v>
      </c>
      <c r="AT39" s="97">
        <v>16386.768605294106</v>
      </c>
      <c r="AU39" s="97">
        <v>16415.112854627889</v>
      </c>
      <c r="AV39" s="97">
        <v>16443.241393938872</v>
      </c>
      <c r="AW39" s="97">
        <v>16471.149688083475</v>
      </c>
      <c r="AX39" s="97">
        <v>16498.833238615145</v>
      </c>
    </row>
    <row r="40" spans="2:50" x14ac:dyDescent="0.15">
      <c r="B40" s="167" t="s">
        <v>106</v>
      </c>
      <c r="C40" s="97">
        <v>5010.9805028023011</v>
      </c>
      <c r="D40" s="97">
        <v>5021.9633505252477</v>
      </c>
      <c r="E40" s="97">
        <v>5032.946782562517</v>
      </c>
      <c r="F40" s="97">
        <v>5043.9290374091042</v>
      </c>
      <c r="G40" s="97">
        <v>5054.9083529701256</v>
      </c>
      <c r="H40" s="97">
        <v>5065.8829668698918</v>
      </c>
      <c r="I40" s="97">
        <v>5076.851116761226</v>
      </c>
      <c r="J40" s="97">
        <v>5087.8110406349388</v>
      </c>
      <c r="K40" s="97">
        <v>3569.1326839905992</v>
      </c>
      <c r="L40" s="97">
        <v>3576.7894160882365</v>
      </c>
      <c r="M40" s="97">
        <v>3584.4366933411679</v>
      </c>
      <c r="N40" s="97">
        <v>5131.5332649382435</v>
      </c>
      <c r="O40" s="97">
        <v>5142.4256620895294</v>
      </c>
      <c r="P40" s="97">
        <v>5153.2992856047113</v>
      </c>
      <c r="Q40" s="97">
        <v>5164.1523845089887</v>
      </c>
      <c r="R40" s="97">
        <v>5174.9832106410449</v>
      </c>
      <c r="S40" s="97">
        <v>5185.7900189616103</v>
      </c>
      <c r="T40" s="97">
        <v>5196.5710678616542</v>
      </c>
      <c r="U40" s="97">
        <v>5207.3246194701496</v>
      </c>
      <c r="V40" s="97">
        <v>5218.0489399613498</v>
      </c>
      <c r="W40" s="97">
        <v>5228.7422998615266</v>
      </c>
      <c r="X40" s="97">
        <v>5239.40297435511</v>
      </c>
      <c r="Y40" s="97">
        <v>5250.0292435901756</v>
      </c>
      <c r="Z40" s="97">
        <v>5260.6193929832443</v>
      </c>
      <c r="AA40" s="97">
        <v>5271.1717135232975</v>
      </c>
      <c r="AB40" s="97">
        <v>5281.6845020750052</v>
      </c>
      <c r="AC40" s="97">
        <v>2116.8624246724253</v>
      </c>
      <c r="AD40" s="97">
        <v>3711.8092913045384</v>
      </c>
      <c r="AE40" s="97">
        <v>5312.9687389247601</v>
      </c>
      <c r="AF40" s="97">
        <v>5323.3064962458566</v>
      </c>
      <c r="AG40" s="97">
        <v>5333.5963045859717</v>
      </c>
      <c r="AH40" s="97">
        <v>5343.8365023790293</v>
      </c>
      <c r="AI40" s="97">
        <v>5354.0254360298286</v>
      </c>
      <c r="AJ40" s="97">
        <v>5364.1614602088066</v>
      </c>
      <c r="AK40" s="97">
        <v>5374.2429381455113</v>
      </c>
      <c r="AL40" s="97">
        <v>5384.2682419207131</v>
      </c>
      <c r="AM40" s="97">
        <v>5394.2357527571221</v>
      </c>
      <c r="AN40" s="97">
        <v>5404.1438613086484</v>
      </c>
      <c r="AO40" s="97">
        <v>5413.9909679481507</v>
      </c>
      <c r="AP40" s="97">
        <v>5423.7754830536296</v>
      </c>
      <c r="AQ40" s="97">
        <v>5433.4958272928061</v>
      </c>
      <c r="AR40" s="97">
        <v>3810.2053023342241</v>
      </c>
      <c r="AS40" s="97">
        <v>5452.7377389875128</v>
      </c>
      <c r="AT40" s="97">
        <v>5462.2562017647024</v>
      </c>
      <c r="AU40" s="97">
        <v>5471.7042848759638</v>
      </c>
      <c r="AV40" s="97">
        <v>5481.0804646462902</v>
      </c>
      <c r="AW40" s="97">
        <v>5490.3832293611586</v>
      </c>
      <c r="AX40" s="97">
        <v>5499.611079538382</v>
      </c>
    </row>
    <row r="41" spans="2:50" x14ac:dyDescent="0.15">
      <c r="B41" s="167" t="s">
        <v>107</v>
      </c>
      <c r="C41" s="97">
        <v>3006.5883016813805</v>
      </c>
      <c r="D41" s="97">
        <v>3013.1780103151486</v>
      </c>
      <c r="E41" s="97">
        <v>3019.7680695375102</v>
      </c>
      <c r="F41" s="97">
        <v>3026.3574224454624</v>
      </c>
      <c r="G41" s="97">
        <v>3032.9450117820752</v>
      </c>
      <c r="H41" s="97">
        <v>3039.5297801219349</v>
      </c>
      <c r="I41" s="97">
        <v>2132.277469039715</v>
      </c>
      <c r="J41" s="97">
        <v>3052.6866243809636</v>
      </c>
      <c r="K41" s="97">
        <v>3059.2565862776564</v>
      </c>
      <c r="L41" s="97">
        <v>3065.8194995042027</v>
      </c>
      <c r="M41" s="97">
        <v>2150.6620160047005</v>
      </c>
      <c r="N41" s="97">
        <v>3078.9199589629461</v>
      </c>
      <c r="O41" s="97">
        <v>3085.4553972537178</v>
      </c>
      <c r="P41" s="97">
        <v>3091.9795713628264</v>
      </c>
      <c r="Q41" s="97">
        <v>3098.4914307053937</v>
      </c>
      <c r="R41" s="97">
        <v>3104.9899263846269</v>
      </c>
      <c r="S41" s="97">
        <v>2178.031807963876</v>
      </c>
      <c r="T41" s="97">
        <v>3117.9426407169926</v>
      </c>
      <c r="U41" s="97">
        <v>3124.3947716820899</v>
      </c>
      <c r="V41" s="97">
        <v>3130.8293639768099</v>
      </c>
      <c r="W41" s="97">
        <v>3137.2453799169161</v>
      </c>
      <c r="X41" s="97">
        <v>3143.6417846130662</v>
      </c>
      <c r="Y41" s="97">
        <v>3150.0175461541053</v>
      </c>
      <c r="Z41" s="97">
        <v>3156.3716357899466</v>
      </c>
      <c r="AA41" s="97">
        <v>3162.7030281139782</v>
      </c>
      <c r="AB41" s="97">
        <v>3169.010701245003</v>
      </c>
      <c r="AC41" s="97">
        <v>3175.2936370086377</v>
      </c>
      <c r="AD41" s="97">
        <v>3181.5508211181759</v>
      </c>
      <c r="AE41" s="97">
        <v>3187.7812433548561</v>
      </c>
      <c r="AF41" s="97">
        <v>3193.9838977475138</v>
      </c>
      <c r="AG41" s="97">
        <v>3200.1577827515825</v>
      </c>
      <c r="AH41" s="97">
        <v>3206.3019014274178</v>
      </c>
      <c r="AI41" s="97">
        <v>3212.4152616178967</v>
      </c>
      <c r="AJ41" s="97">
        <v>3218.496876125284</v>
      </c>
      <c r="AK41" s="97">
        <v>3224.5457628873069</v>
      </c>
      <c r="AL41" s="97">
        <v>3230.5609451524278</v>
      </c>
      <c r="AM41" s="97">
        <v>3236.5414516542737</v>
      </c>
      <c r="AN41" s="97">
        <v>3242.486316785189</v>
      </c>
      <c r="AO41" s="97">
        <v>3248.3945807688906</v>
      </c>
      <c r="AP41" s="97">
        <v>3254.2652898321776</v>
      </c>
      <c r="AQ41" s="97">
        <v>3260.0974963756835</v>
      </c>
      <c r="AR41" s="97">
        <v>3265.8902591436208</v>
      </c>
      <c r="AS41" s="97">
        <v>3271.6426433925076</v>
      </c>
      <c r="AT41" s="97">
        <v>3277.3537210588215</v>
      </c>
      <c r="AU41" s="97">
        <v>3283.0225709255783</v>
      </c>
      <c r="AV41" s="97">
        <v>3288.648278787774</v>
      </c>
      <c r="AW41" s="97">
        <v>3294.2299376166952</v>
      </c>
      <c r="AX41" s="97">
        <v>3299.7666477230291</v>
      </c>
    </row>
    <row r="42" spans="2:50" x14ac:dyDescent="0.15">
      <c r="B42" s="167" t="s">
        <v>108</v>
      </c>
      <c r="C42" s="97">
        <v>10000000</v>
      </c>
      <c r="D42" s="97">
        <v>10000000</v>
      </c>
      <c r="E42" s="97">
        <v>10000000</v>
      </c>
      <c r="F42" s="97">
        <v>10000000</v>
      </c>
      <c r="G42" s="97">
        <v>10000000</v>
      </c>
      <c r="H42" s="97">
        <v>10000000</v>
      </c>
      <c r="I42" s="97">
        <v>10000000</v>
      </c>
      <c r="J42" s="97">
        <v>10000000</v>
      </c>
      <c r="K42" s="97">
        <v>10000000</v>
      </c>
      <c r="L42" s="97">
        <v>10000000</v>
      </c>
      <c r="M42" s="97">
        <v>10000000</v>
      </c>
      <c r="N42" s="97">
        <v>10000000</v>
      </c>
      <c r="O42" s="97">
        <v>10000000</v>
      </c>
      <c r="P42" s="97">
        <v>10000000</v>
      </c>
      <c r="Q42" s="97">
        <v>10000000</v>
      </c>
      <c r="R42" s="97">
        <v>10000000</v>
      </c>
      <c r="S42" s="97">
        <v>10000000</v>
      </c>
      <c r="T42" s="97">
        <v>10000000</v>
      </c>
      <c r="U42" s="97">
        <v>10000000</v>
      </c>
      <c r="V42" s="97">
        <v>10000000</v>
      </c>
      <c r="W42" s="97">
        <v>10000000</v>
      </c>
      <c r="X42" s="97">
        <v>10000000</v>
      </c>
      <c r="Y42" s="97">
        <v>10000000</v>
      </c>
      <c r="Z42" s="97">
        <v>10000000</v>
      </c>
      <c r="AA42" s="97">
        <v>10000000</v>
      </c>
      <c r="AB42" s="97">
        <v>10000000</v>
      </c>
      <c r="AC42" s="97">
        <v>10000000</v>
      </c>
      <c r="AD42" s="97">
        <v>10000000</v>
      </c>
      <c r="AE42" s="97">
        <v>10000000</v>
      </c>
      <c r="AF42" s="97">
        <v>10000000</v>
      </c>
      <c r="AG42" s="97">
        <v>10000000</v>
      </c>
      <c r="AH42" s="97">
        <v>10000000</v>
      </c>
      <c r="AI42" s="97">
        <v>10000000</v>
      </c>
      <c r="AJ42" s="97">
        <v>10000000</v>
      </c>
      <c r="AK42" s="97">
        <v>10000000</v>
      </c>
      <c r="AL42" s="97">
        <v>10000000</v>
      </c>
      <c r="AM42" s="97">
        <v>10000000</v>
      </c>
      <c r="AN42" s="97">
        <v>10000000</v>
      </c>
      <c r="AO42" s="97">
        <v>10000000</v>
      </c>
      <c r="AP42" s="97">
        <v>10000000</v>
      </c>
      <c r="AQ42" s="97">
        <v>10000000</v>
      </c>
      <c r="AR42" s="97">
        <v>10000000</v>
      </c>
      <c r="AS42" s="97">
        <v>10000000</v>
      </c>
      <c r="AT42" s="97">
        <v>10000000</v>
      </c>
      <c r="AU42" s="97">
        <v>10000000</v>
      </c>
      <c r="AV42" s="97">
        <v>10000000</v>
      </c>
      <c r="AW42" s="97">
        <v>10000000</v>
      </c>
      <c r="AX42" s="97">
        <v>10000000</v>
      </c>
    </row>
    <row r="43" spans="2:50" x14ac:dyDescent="0.15">
      <c r="B43" s="167" t="s">
        <v>109</v>
      </c>
      <c r="C43" s="97">
        <v>10000000</v>
      </c>
      <c r="D43" s="97">
        <v>10000000</v>
      </c>
      <c r="E43" s="97">
        <v>10000000</v>
      </c>
      <c r="F43" s="97">
        <v>10000000</v>
      </c>
      <c r="G43" s="97">
        <v>10000000</v>
      </c>
      <c r="H43" s="97">
        <v>10000000</v>
      </c>
      <c r="I43" s="97">
        <v>10000000</v>
      </c>
      <c r="J43" s="97">
        <v>10000000</v>
      </c>
      <c r="K43" s="97">
        <v>10000000</v>
      </c>
      <c r="L43" s="97">
        <v>10000000</v>
      </c>
      <c r="M43" s="97">
        <v>10000000</v>
      </c>
      <c r="N43" s="97">
        <v>10000000</v>
      </c>
      <c r="O43" s="97">
        <v>10000000</v>
      </c>
      <c r="P43" s="97">
        <v>10000000</v>
      </c>
      <c r="Q43" s="97">
        <v>10000000</v>
      </c>
      <c r="R43" s="97">
        <v>10000000</v>
      </c>
      <c r="S43" s="97">
        <v>10000000</v>
      </c>
      <c r="T43" s="97">
        <v>10000000</v>
      </c>
      <c r="U43" s="97">
        <v>10000000</v>
      </c>
      <c r="V43" s="97">
        <v>10000000</v>
      </c>
      <c r="W43" s="97">
        <v>10000000</v>
      </c>
      <c r="X43" s="97">
        <v>10000000</v>
      </c>
      <c r="Y43" s="97">
        <v>10000000</v>
      </c>
      <c r="Z43" s="97">
        <v>10000000</v>
      </c>
      <c r="AA43" s="97">
        <v>10000000</v>
      </c>
      <c r="AB43" s="97">
        <v>10000000</v>
      </c>
      <c r="AC43" s="97">
        <v>10000000</v>
      </c>
      <c r="AD43" s="97">
        <v>10000000</v>
      </c>
      <c r="AE43" s="97">
        <v>10000000</v>
      </c>
      <c r="AF43" s="97">
        <v>10000000</v>
      </c>
      <c r="AG43" s="97">
        <v>10000000</v>
      </c>
      <c r="AH43" s="97">
        <v>10000000</v>
      </c>
      <c r="AI43" s="97">
        <v>10000000</v>
      </c>
      <c r="AJ43" s="97">
        <v>10000000</v>
      </c>
      <c r="AK43" s="97">
        <v>10000000</v>
      </c>
      <c r="AL43" s="97">
        <v>10000000</v>
      </c>
      <c r="AM43" s="97">
        <v>10000000</v>
      </c>
      <c r="AN43" s="97">
        <v>10000000</v>
      </c>
      <c r="AO43" s="97">
        <v>10000000</v>
      </c>
      <c r="AP43" s="97">
        <v>10000000</v>
      </c>
      <c r="AQ43" s="97">
        <v>10000000</v>
      </c>
      <c r="AR43" s="97">
        <v>10000000</v>
      </c>
      <c r="AS43" s="97">
        <v>10000000</v>
      </c>
      <c r="AT43" s="97">
        <v>10000000</v>
      </c>
      <c r="AU43" s="97">
        <v>10000000</v>
      </c>
      <c r="AV43" s="97">
        <v>10000000</v>
      </c>
      <c r="AW43" s="97">
        <v>10000000</v>
      </c>
      <c r="AX43" s="97">
        <v>10000000</v>
      </c>
    </row>
    <row r="45" spans="2:50" x14ac:dyDescent="0.15">
      <c r="B45" s="100" t="s">
        <v>323</v>
      </c>
    </row>
    <row r="46" spans="2:50" x14ac:dyDescent="0.15">
      <c r="B46" s="96" t="s">
        <v>273</v>
      </c>
      <c r="C46" s="96" t="s">
        <v>92</v>
      </c>
      <c r="D46" s="98"/>
      <c r="E46" s="98"/>
      <c r="F46" s="98"/>
      <c r="G46" s="96" t="s">
        <v>93</v>
      </c>
      <c r="H46" s="98"/>
      <c r="I46" s="98"/>
      <c r="J46" s="98"/>
      <c r="K46" s="96" t="s">
        <v>94</v>
      </c>
      <c r="L46" s="98"/>
      <c r="M46" s="98"/>
      <c r="N46" s="98"/>
      <c r="O46" s="96" t="s">
        <v>95</v>
      </c>
      <c r="P46" s="98"/>
      <c r="Q46" s="98"/>
      <c r="R46" s="98"/>
      <c r="S46" s="96" t="s">
        <v>96</v>
      </c>
      <c r="T46" s="98"/>
      <c r="U46" s="98"/>
      <c r="V46" s="98"/>
      <c r="W46" s="96" t="s">
        <v>97</v>
      </c>
      <c r="X46" s="98"/>
      <c r="Y46" s="98"/>
      <c r="Z46" s="98"/>
      <c r="AA46" s="96" t="s">
        <v>98</v>
      </c>
      <c r="AB46" s="98"/>
      <c r="AC46" s="98"/>
      <c r="AD46" s="98"/>
      <c r="AE46" s="96" t="s">
        <v>99</v>
      </c>
      <c r="AF46" s="98"/>
      <c r="AG46" s="98"/>
      <c r="AH46" s="98"/>
      <c r="AI46" s="96" t="s">
        <v>100</v>
      </c>
      <c r="AJ46" s="98"/>
      <c r="AK46" s="98"/>
      <c r="AL46" s="98"/>
      <c r="AM46" s="96" t="s">
        <v>101</v>
      </c>
      <c r="AN46" s="98"/>
      <c r="AO46" s="98"/>
      <c r="AP46" s="98"/>
      <c r="AQ46" s="96" t="s">
        <v>102</v>
      </c>
      <c r="AR46" s="98"/>
      <c r="AS46" s="98"/>
      <c r="AT46" s="98"/>
      <c r="AU46" s="96" t="s">
        <v>103</v>
      </c>
      <c r="AV46" s="98"/>
      <c r="AW46" s="98"/>
    </row>
    <row r="47" spans="2:50" x14ac:dyDescent="0.15">
      <c r="B47" s="96" t="s">
        <v>324</v>
      </c>
      <c r="C47" s="96">
        <v>1</v>
      </c>
      <c r="D47" s="96">
        <v>2</v>
      </c>
      <c r="E47" s="96">
        <v>3</v>
      </c>
      <c r="F47" s="96">
        <v>4</v>
      </c>
      <c r="G47" s="96">
        <v>1</v>
      </c>
      <c r="H47" s="96">
        <v>2</v>
      </c>
      <c r="I47" s="96">
        <v>3</v>
      </c>
      <c r="J47" s="96">
        <v>4</v>
      </c>
      <c r="K47" s="96">
        <v>1</v>
      </c>
      <c r="L47" s="96">
        <v>2</v>
      </c>
      <c r="M47" s="96">
        <v>3</v>
      </c>
      <c r="N47" s="96">
        <v>4</v>
      </c>
      <c r="O47" s="96">
        <v>1</v>
      </c>
      <c r="P47" s="96">
        <v>2</v>
      </c>
      <c r="Q47" s="96">
        <v>3</v>
      </c>
      <c r="R47" s="96">
        <v>4</v>
      </c>
      <c r="S47" s="96">
        <v>1</v>
      </c>
      <c r="T47" s="96">
        <v>2</v>
      </c>
      <c r="U47" s="96">
        <v>3</v>
      </c>
      <c r="V47" s="96">
        <v>4</v>
      </c>
      <c r="W47" s="96">
        <v>1</v>
      </c>
      <c r="X47" s="96">
        <v>2</v>
      </c>
      <c r="Y47" s="96">
        <v>3</v>
      </c>
      <c r="Z47" s="96">
        <v>4</v>
      </c>
      <c r="AA47" s="96">
        <v>1</v>
      </c>
      <c r="AB47" s="96">
        <v>2</v>
      </c>
      <c r="AC47" s="96">
        <v>3</v>
      </c>
      <c r="AD47" s="96">
        <v>4</v>
      </c>
      <c r="AE47" s="96">
        <v>1</v>
      </c>
      <c r="AF47" s="96">
        <v>2</v>
      </c>
      <c r="AG47" s="96">
        <v>3</v>
      </c>
      <c r="AH47" s="96">
        <v>4</v>
      </c>
      <c r="AI47" s="96">
        <v>1</v>
      </c>
      <c r="AJ47" s="96">
        <v>2</v>
      </c>
      <c r="AK47" s="96">
        <v>3</v>
      </c>
      <c r="AL47" s="96">
        <v>4</v>
      </c>
      <c r="AM47" s="96">
        <v>1</v>
      </c>
      <c r="AN47" s="96">
        <v>2</v>
      </c>
      <c r="AO47" s="96">
        <v>3</v>
      </c>
      <c r="AP47" s="96">
        <v>4</v>
      </c>
      <c r="AQ47" s="96">
        <v>1</v>
      </c>
      <c r="AR47" s="96">
        <v>2</v>
      </c>
      <c r="AS47" s="96">
        <v>3</v>
      </c>
      <c r="AT47" s="96">
        <v>4</v>
      </c>
      <c r="AU47" s="96">
        <v>1</v>
      </c>
      <c r="AV47" s="96">
        <v>2</v>
      </c>
      <c r="AW47" s="96">
        <v>3</v>
      </c>
      <c r="AX47" s="96">
        <v>4</v>
      </c>
    </row>
    <row r="48" spans="2:50" x14ac:dyDescent="0.15">
      <c r="B48" s="96" t="s">
        <v>104</v>
      </c>
      <c r="C48" s="97">
        <v>4208.333333333333</v>
      </c>
      <c r="D48" s="97">
        <v>4208.333333333333</v>
      </c>
      <c r="E48" s="97">
        <v>4208.333333333333</v>
      </c>
      <c r="F48" s="97">
        <v>4208.333333333333</v>
      </c>
      <c r="G48" s="97">
        <v>4208.333333333333</v>
      </c>
      <c r="H48" s="97">
        <v>4208.333333333333</v>
      </c>
      <c r="I48" s="97">
        <v>4208.333333333333</v>
      </c>
      <c r="J48" s="97">
        <v>4208.333333333333</v>
      </c>
      <c r="K48" s="97">
        <v>4208.333333333333</v>
      </c>
      <c r="L48" s="97">
        <v>4208.333333333333</v>
      </c>
      <c r="M48" s="97">
        <v>4208.333333333333</v>
      </c>
      <c r="N48" s="97">
        <v>4208.333333333333</v>
      </c>
      <c r="O48" s="97">
        <v>4208.333333333333</v>
      </c>
      <c r="P48" s="97">
        <v>4208.333333333333</v>
      </c>
      <c r="Q48" s="97">
        <v>4208.333333333333</v>
      </c>
      <c r="R48" s="97">
        <v>4208.333333333333</v>
      </c>
      <c r="S48" s="97">
        <v>4208.333333333333</v>
      </c>
      <c r="T48" s="97">
        <v>4208.333333333333</v>
      </c>
      <c r="U48" s="97">
        <v>4208.333333333333</v>
      </c>
      <c r="V48" s="97">
        <v>4208.333333333333</v>
      </c>
      <c r="W48" s="97">
        <v>4208.333333333333</v>
      </c>
      <c r="X48" s="97">
        <v>4208.333333333333</v>
      </c>
      <c r="Y48" s="97">
        <v>4208.333333333333</v>
      </c>
      <c r="Z48" s="97">
        <v>4208.333333333333</v>
      </c>
      <c r="AA48" s="97">
        <v>4208.333333333333</v>
      </c>
      <c r="AB48" s="97">
        <v>4208.333333333333</v>
      </c>
      <c r="AC48" s="97">
        <v>4208.333333333333</v>
      </c>
      <c r="AD48" s="97">
        <v>4208.333333333333</v>
      </c>
      <c r="AE48" s="97">
        <v>4208.333333333333</v>
      </c>
      <c r="AF48" s="97">
        <v>4208.333333333333</v>
      </c>
      <c r="AG48" s="97">
        <v>4208.333333333333</v>
      </c>
      <c r="AH48" s="97">
        <v>4208.333333333333</v>
      </c>
      <c r="AI48" s="97">
        <v>4208.333333333333</v>
      </c>
      <c r="AJ48" s="97">
        <v>4208.333333333333</v>
      </c>
      <c r="AK48" s="97">
        <v>4208.333333333333</v>
      </c>
      <c r="AL48" s="97">
        <v>4208.333333333333</v>
      </c>
      <c r="AM48" s="97">
        <v>4208.333333333333</v>
      </c>
      <c r="AN48" s="97">
        <v>4208.333333333333</v>
      </c>
      <c r="AO48" s="97">
        <v>4208.333333333333</v>
      </c>
      <c r="AP48" s="97">
        <v>4208.333333333333</v>
      </c>
      <c r="AQ48" s="97">
        <v>4208.333333333333</v>
      </c>
      <c r="AR48" s="97">
        <v>4208.333333333333</v>
      </c>
      <c r="AS48" s="97">
        <v>4208.333333333333</v>
      </c>
      <c r="AT48" s="97">
        <v>4208.333333333333</v>
      </c>
      <c r="AU48" s="97">
        <v>4208.333333333333</v>
      </c>
      <c r="AV48" s="97">
        <v>4208.333333333333</v>
      </c>
      <c r="AW48" s="97">
        <v>4208.333333333333</v>
      </c>
      <c r="AX48" s="97">
        <v>4208.333333333333</v>
      </c>
    </row>
    <row r="49" spans="2:51" x14ac:dyDescent="0.15">
      <c r="B49" s="96" t="s">
        <v>105</v>
      </c>
      <c r="C49" s="97">
        <v>4208.333333333333</v>
      </c>
      <c r="D49" s="97">
        <v>4208.333333333333</v>
      </c>
      <c r="E49" s="97">
        <v>4208.333333333333</v>
      </c>
      <c r="F49" s="97">
        <v>4208.333333333333</v>
      </c>
      <c r="G49" s="97">
        <v>4208.333333333333</v>
      </c>
      <c r="H49" s="97">
        <v>4208.333333333333</v>
      </c>
      <c r="I49" s="97">
        <v>4208.333333333333</v>
      </c>
      <c r="J49" s="97">
        <v>4208.333333333333</v>
      </c>
      <c r="K49" s="97">
        <v>4208.333333333333</v>
      </c>
      <c r="L49" s="97">
        <v>4208.333333333333</v>
      </c>
      <c r="M49" s="97">
        <v>4208.333333333333</v>
      </c>
      <c r="N49" s="97">
        <v>4208.333333333333</v>
      </c>
      <c r="O49" s="97">
        <v>4208.333333333333</v>
      </c>
      <c r="P49" s="97">
        <v>4208.333333333333</v>
      </c>
      <c r="Q49" s="97">
        <v>4208.333333333333</v>
      </c>
      <c r="R49" s="97">
        <v>4208.333333333333</v>
      </c>
      <c r="S49" s="97">
        <v>1555.7370056884831</v>
      </c>
      <c r="T49" s="97">
        <v>1558.9713203584963</v>
      </c>
      <c r="U49" s="97">
        <v>1562.1973858410449</v>
      </c>
      <c r="V49" s="97">
        <v>4208.333333333333</v>
      </c>
      <c r="W49" s="97">
        <v>4208.333333333333</v>
      </c>
      <c r="X49" s="97">
        <v>4208.333333333333</v>
      </c>
      <c r="Y49" s="97">
        <v>4208.333333333333</v>
      </c>
      <c r="Z49" s="97">
        <v>4208.333333333333</v>
      </c>
      <c r="AA49" s="97">
        <v>4208.333333333333</v>
      </c>
      <c r="AB49" s="97">
        <v>4208.333333333333</v>
      </c>
      <c r="AC49" s="97">
        <v>4208.333333333333</v>
      </c>
      <c r="AD49" s="97">
        <v>4208.333333333333</v>
      </c>
      <c r="AE49" s="97">
        <v>1593.890621677428</v>
      </c>
      <c r="AF49" s="97">
        <v>4208.333333333333</v>
      </c>
      <c r="AG49" s="97">
        <v>4208.333333333333</v>
      </c>
      <c r="AH49" s="97">
        <v>4208.333333333333</v>
      </c>
      <c r="AI49" s="97">
        <v>4208.333333333333</v>
      </c>
      <c r="AJ49" s="97">
        <v>4208.333333333333</v>
      </c>
      <c r="AK49" s="97">
        <v>4208.333333333333</v>
      </c>
      <c r="AL49" s="97">
        <v>4208.333333333333</v>
      </c>
      <c r="AM49" s="97">
        <v>4208.333333333333</v>
      </c>
      <c r="AN49" s="97">
        <v>4208.333333333333</v>
      </c>
      <c r="AO49" s="97">
        <v>4208.333333333333</v>
      </c>
      <c r="AP49" s="97">
        <v>4208.333333333333</v>
      </c>
      <c r="AQ49" s="97">
        <v>4208.333333333333</v>
      </c>
      <c r="AR49" s="97">
        <v>4208.333333333333</v>
      </c>
      <c r="AS49" s="97">
        <v>4208.333333333333</v>
      </c>
      <c r="AT49" s="97">
        <v>4208.333333333333</v>
      </c>
      <c r="AU49" s="97">
        <v>4208.333333333333</v>
      </c>
      <c r="AV49" s="97">
        <v>4208.333333333333</v>
      </c>
      <c r="AW49" s="97">
        <v>4208.333333333333</v>
      </c>
      <c r="AX49" s="97">
        <v>4208.333333333333</v>
      </c>
    </row>
    <row r="50" spans="2:51" x14ac:dyDescent="0.15">
      <c r="B50" s="96" t="s">
        <v>106</v>
      </c>
      <c r="C50" s="97">
        <v>4208.333333333333</v>
      </c>
      <c r="D50" s="97">
        <v>4208.333333333333</v>
      </c>
      <c r="E50" s="97">
        <v>4208.333333333333</v>
      </c>
      <c r="F50" s="97">
        <v>4208.333333333333</v>
      </c>
      <c r="G50" s="97">
        <v>4208.333333333333</v>
      </c>
      <c r="H50" s="97">
        <v>4208.333333333333</v>
      </c>
      <c r="I50" s="97">
        <v>4208.333333333333</v>
      </c>
      <c r="J50" s="97">
        <v>4208.333333333333</v>
      </c>
      <c r="K50" s="97">
        <v>3569.1326839905992</v>
      </c>
      <c r="L50" s="97">
        <v>3576.7894160882365</v>
      </c>
      <c r="M50" s="97">
        <v>3584.4366933411679</v>
      </c>
      <c r="N50" s="97">
        <v>4208.333333333333</v>
      </c>
      <c r="O50" s="97">
        <v>4208.333333333333</v>
      </c>
      <c r="P50" s="97">
        <v>4208.333333333333</v>
      </c>
      <c r="Q50" s="97">
        <v>4208.333333333333</v>
      </c>
      <c r="R50" s="97">
        <v>4208.333333333333</v>
      </c>
      <c r="S50" s="97">
        <v>4208.333333333333</v>
      </c>
      <c r="T50" s="97">
        <v>4208.333333333333</v>
      </c>
      <c r="U50" s="97">
        <v>4208.333333333333</v>
      </c>
      <c r="V50" s="97">
        <v>4208.333333333333</v>
      </c>
      <c r="W50" s="97">
        <v>4208.333333333333</v>
      </c>
      <c r="X50" s="97">
        <v>4208.333333333333</v>
      </c>
      <c r="Y50" s="97">
        <v>4208.333333333333</v>
      </c>
      <c r="Z50" s="97">
        <v>4208.333333333333</v>
      </c>
      <c r="AA50" s="97">
        <v>4208.333333333333</v>
      </c>
      <c r="AB50" s="97">
        <v>4208.333333333333</v>
      </c>
      <c r="AC50" s="97">
        <v>2116.8624246724253</v>
      </c>
      <c r="AD50" s="97">
        <v>3711.8092913045384</v>
      </c>
      <c r="AE50" s="97">
        <v>4208.333333333333</v>
      </c>
      <c r="AF50" s="97">
        <v>4208.333333333333</v>
      </c>
      <c r="AG50" s="97">
        <v>4208.333333333333</v>
      </c>
      <c r="AH50" s="97">
        <v>4208.333333333333</v>
      </c>
      <c r="AI50" s="97">
        <v>4208.333333333333</v>
      </c>
      <c r="AJ50" s="97">
        <v>4208.333333333333</v>
      </c>
      <c r="AK50" s="97">
        <v>4208.333333333333</v>
      </c>
      <c r="AL50" s="97">
        <v>4208.333333333333</v>
      </c>
      <c r="AM50" s="97">
        <v>4208.333333333333</v>
      </c>
      <c r="AN50" s="97">
        <v>4208.333333333333</v>
      </c>
      <c r="AO50" s="97">
        <v>4208.333333333333</v>
      </c>
      <c r="AP50" s="97">
        <v>4208.333333333333</v>
      </c>
      <c r="AQ50" s="97">
        <v>4208.333333333333</v>
      </c>
      <c r="AR50" s="97">
        <v>3810.2053023342241</v>
      </c>
      <c r="AS50" s="97">
        <v>4208.333333333333</v>
      </c>
      <c r="AT50" s="97">
        <v>4208.333333333333</v>
      </c>
      <c r="AU50" s="97">
        <v>4208.333333333333</v>
      </c>
      <c r="AV50" s="97">
        <v>4208.333333333333</v>
      </c>
      <c r="AW50" s="97">
        <v>4208.333333333333</v>
      </c>
      <c r="AX50" s="97">
        <v>4208.333333333333</v>
      </c>
      <c r="AY50" s="109"/>
    </row>
    <row r="51" spans="2:51" x14ac:dyDescent="0.15">
      <c r="B51" s="96" t="s">
        <v>107</v>
      </c>
      <c r="C51" s="97">
        <v>3006.5883016813805</v>
      </c>
      <c r="D51" s="97">
        <v>3013.1780103151486</v>
      </c>
      <c r="E51" s="97">
        <v>3019.7680695375102</v>
      </c>
      <c r="F51" s="97">
        <v>3026.3574224454624</v>
      </c>
      <c r="G51" s="97">
        <v>3032.9450117820752</v>
      </c>
      <c r="H51" s="97">
        <v>3039.5297801219349</v>
      </c>
      <c r="I51" s="97">
        <v>2132.277469039715</v>
      </c>
      <c r="J51" s="97">
        <v>3052.6866243809636</v>
      </c>
      <c r="K51" s="97">
        <v>3059.2565862776564</v>
      </c>
      <c r="L51" s="97">
        <v>3065.8194995042027</v>
      </c>
      <c r="M51" s="97">
        <v>2150.6620160047005</v>
      </c>
      <c r="N51" s="97">
        <v>3078.9199589629461</v>
      </c>
      <c r="O51" s="97">
        <v>3085.4553972537178</v>
      </c>
      <c r="P51" s="97">
        <v>3091.9795713628264</v>
      </c>
      <c r="Q51" s="97">
        <v>3098.4914307053937</v>
      </c>
      <c r="R51" s="97">
        <v>3104.9899263846269</v>
      </c>
      <c r="S51" s="97">
        <v>2178.031807963876</v>
      </c>
      <c r="T51" s="97">
        <v>3117.9426407169926</v>
      </c>
      <c r="U51" s="97">
        <v>3124.3947716820899</v>
      </c>
      <c r="V51" s="97">
        <v>3130.8293639768099</v>
      </c>
      <c r="W51" s="97">
        <v>3137.2453799169161</v>
      </c>
      <c r="X51" s="97">
        <v>3143.6417846130662</v>
      </c>
      <c r="Y51" s="97">
        <v>3150.0175461541053</v>
      </c>
      <c r="Z51" s="97">
        <v>3156.3716357899466</v>
      </c>
      <c r="AA51" s="97">
        <v>3162.7030281139782</v>
      </c>
      <c r="AB51" s="97">
        <v>3169.010701245003</v>
      </c>
      <c r="AC51" s="97">
        <v>3175.2936370086377</v>
      </c>
      <c r="AD51" s="97">
        <v>3181.5508211181759</v>
      </c>
      <c r="AE51" s="97">
        <v>3187.7812433548561</v>
      </c>
      <c r="AF51" s="97">
        <v>3193.9838977475138</v>
      </c>
      <c r="AG51" s="97">
        <v>3200.1577827515825</v>
      </c>
      <c r="AH51" s="97">
        <v>3206.3019014274178</v>
      </c>
      <c r="AI51" s="97">
        <v>3212.4152616178967</v>
      </c>
      <c r="AJ51" s="97">
        <v>3218.496876125284</v>
      </c>
      <c r="AK51" s="97">
        <v>3224.5457628873069</v>
      </c>
      <c r="AL51" s="97">
        <v>3230.5609451524278</v>
      </c>
      <c r="AM51" s="97">
        <v>3236.5414516542737</v>
      </c>
      <c r="AN51" s="97">
        <v>3242.486316785189</v>
      </c>
      <c r="AO51" s="97">
        <v>3248.3945807688906</v>
      </c>
      <c r="AP51" s="97">
        <v>3254.2652898321776</v>
      </c>
      <c r="AQ51" s="97">
        <v>3260.0974963756835</v>
      </c>
      <c r="AR51" s="97">
        <v>3265.8902591436208</v>
      </c>
      <c r="AS51" s="97">
        <v>3271.6426433925076</v>
      </c>
      <c r="AT51" s="97">
        <v>3277.3537210588215</v>
      </c>
      <c r="AU51" s="97">
        <v>3283.0225709255783</v>
      </c>
      <c r="AV51" s="97">
        <v>3288.648278787774</v>
      </c>
      <c r="AW51" s="97">
        <v>3294.2299376166952</v>
      </c>
      <c r="AX51" s="97">
        <v>3299.7666477230291</v>
      </c>
      <c r="AY51" s="108"/>
    </row>
    <row r="52" spans="2:51" x14ac:dyDescent="0.15">
      <c r="B52" s="96" t="s">
        <v>108</v>
      </c>
      <c r="C52" s="97">
        <v>4208.333333333333</v>
      </c>
      <c r="D52" s="97">
        <v>4208.333333333333</v>
      </c>
      <c r="E52" s="97">
        <v>4208.333333333333</v>
      </c>
      <c r="F52" s="97">
        <v>4208.333333333333</v>
      </c>
      <c r="G52" s="97">
        <v>4208.333333333333</v>
      </c>
      <c r="H52" s="97">
        <v>4208.333333333333</v>
      </c>
      <c r="I52" s="97">
        <v>4208.333333333333</v>
      </c>
      <c r="J52" s="97">
        <v>4208.333333333333</v>
      </c>
      <c r="K52" s="97">
        <v>4208.333333333333</v>
      </c>
      <c r="L52" s="97">
        <v>4208.333333333333</v>
      </c>
      <c r="M52" s="97">
        <v>4208.333333333333</v>
      </c>
      <c r="N52" s="97">
        <v>4208.333333333333</v>
      </c>
      <c r="O52" s="97">
        <v>4208.333333333333</v>
      </c>
      <c r="P52" s="97">
        <v>4208.333333333333</v>
      </c>
      <c r="Q52" s="97">
        <v>4208.333333333333</v>
      </c>
      <c r="R52" s="97">
        <v>4208.333333333333</v>
      </c>
      <c r="S52" s="97">
        <v>4208.333333333333</v>
      </c>
      <c r="T52" s="97">
        <v>4208.333333333333</v>
      </c>
      <c r="U52" s="97">
        <v>4208.333333333333</v>
      </c>
      <c r="V52" s="97">
        <v>4208.333333333333</v>
      </c>
      <c r="W52" s="97">
        <v>4208.333333333333</v>
      </c>
      <c r="X52" s="97">
        <v>4208.333333333333</v>
      </c>
      <c r="Y52" s="97">
        <v>4208.333333333333</v>
      </c>
      <c r="Z52" s="97">
        <v>4208.333333333333</v>
      </c>
      <c r="AA52" s="97">
        <v>4208.333333333333</v>
      </c>
      <c r="AB52" s="97">
        <v>4208.333333333333</v>
      </c>
      <c r="AC52" s="97">
        <v>4208.333333333333</v>
      </c>
      <c r="AD52" s="97">
        <v>4208.333333333333</v>
      </c>
      <c r="AE52" s="97">
        <v>4208.333333333333</v>
      </c>
      <c r="AF52" s="97">
        <v>4208.333333333333</v>
      </c>
      <c r="AG52" s="97">
        <v>4208.333333333333</v>
      </c>
      <c r="AH52" s="97">
        <v>4208.333333333333</v>
      </c>
      <c r="AI52" s="97">
        <v>4208.333333333333</v>
      </c>
      <c r="AJ52" s="97">
        <v>4208.333333333333</v>
      </c>
      <c r="AK52" s="97">
        <v>4208.333333333333</v>
      </c>
      <c r="AL52" s="97">
        <v>4208.333333333333</v>
      </c>
      <c r="AM52" s="97">
        <v>4208.333333333333</v>
      </c>
      <c r="AN52" s="97">
        <v>4208.333333333333</v>
      </c>
      <c r="AO52" s="97">
        <v>4208.333333333333</v>
      </c>
      <c r="AP52" s="97">
        <v>4208.333333333333</v>
      </c>
      <c r="AQ52" s="97">
        <v>4208.333333333333</v>
      </c>
      <c r="AR52" s="97">
        <v>4208.333333333333</v>
      </c>
      <c r="AS52" s="97">
        <v>4208.333333333333</v>
      </c>
      <c r="AT52" s="97">
        <v>4208.333333333333</v>
      </c>
      <c r="AU52" s="97">
        <v>4208.333333333333</v>
      </c>
      <c r="AV52" s="97">
        <v>4208.333333333333</v>
      </c>
      <c r="AW52" s="97">
        <v>4208.333333333333</v>
      </c>
      <c r="AX52" s="97">
        <v>4208.333333333333</v>
      </c>
    </row>
    <row r="53" spans="2:51" x14ac:dyDescent="0.15">
      <c r="B53" s="96" t="s">
        <v>109</v>
      </c>
      <c r="C53" s="97">
        <v>4208.333333333333</v>
      </c>
      <c r="D53" s="97">
        <v>4208.333333333333</v>
      </c>
      <c r="E53" s="97">
        <v>4208.333333333333</v>
      </c>
      <c r="F53" s="97">
        <v>4208.333333333333</v>
      </c>
      <c r="G53" s="97">
        <v>4208.333333333333</v>
      </c>
      <c r="H53" s="97">
        <v>4208.333333333333</v>
      </c>
      <c r="I53" s="97">
        <v>4208.333333333333</v>
      </c>
      <c r="J53" s="97">
        <v>4208.333333333333</v>
      </c>
      <c r="K53" s="97">
        <v>4208.333333333333</v>
      </c>
      <c r="L53" s="97">
        <v>4208.333333333333</v>
      </c>
      <c r="M53" s="97">
        <v>4208.333333333333</v>
      </c>
      <c r="N53" s="97">
        <v>4208.333333333333</v>
      </c>
      <c r="O53" s="97">
        <v>4208.333333333333</v>
      </c>
      <c r="P53" s="97">
        <v>4208.333333333333</v>
      </c>
      <c r="Q53" s="97">
        <v>4208.333333333333</v>
      </c>
      <c r="R53" s="97">
        <v>4208.333333333333</v>
      </c>
      <c r="S53" s="97">
        <v>4208.333333333333</v>
      </c>
      <c r="T53" s="97">
        <v>4208.333333333333</v>
      </c>
      <c r="U53" s="97">
        <v>4208.333333333333</v>
      </c>
      <c r="V53" s="97">
        <v>4208.333333333333</v>
      </c>
      <c r="W53" s="97">
        <v>4208.333333333333</v>
      </c>
      <c r="X53" s="97">
        <v>4208.333333333333</v>
      </c>
      <c r="Y53" s="97">
        <v>4208.333333333333</v>
      </c>
      <c r="Z53" s="97">
        <v>4208.333333333333</v>
      </c>
      <c r="AA53" s="97">
        <v>4208.333333333333</v>
      </c>
      <c r="AB53" s="97">
        <v>4208.333333333333</v>
      </c>
      <c r="AC53" s="97">
        <v>4208.333333333333</v>
      </c>
      <c r="AD53" s="97">
        <v>4208.333333333333</v>
      </c>
      <c r="AE53" s="97">
        <v>4208.333333333333</v>
      </c>
      <c r="AF53" s="97">
        <v>4208.333333333333</v>
      </c>
      <c r="AG53" s="97">
        <v>4208.333333333333</v>
      </c>
      <c r="AH53" s="97">
        <v>4208.333333333333</v>
      </c>
      <c r="AI53" s="97">
        <v>4208.333333333333</v>
      </c>
      <c r="AJ53" s="97">
        <v>4208.333333333333</v>
      </c>
      <c r="AK53" s="97">
        <v>4208.333333333333</v>
      </c>
      <c r="AL53" s="97">
        <v>4208.333333333333</v>
      </c>
      <c r="AM53" s="97">
        <v>4208.333333333333</v>
      </c>
      <c r="AN53" s="97">
        <v>4208.333333333333</v>
      </c>
      <c r="AO53" s="97">
        <v>4208.333333333333</v>
      </c>
      <c r="AP53" s="97">
        <v>4208.333333333333</v>
      </c>
      <c r="AQ53" s="97">
        <v>4208.333333333333</v>
      </c>
      <c r="AR53" s="97">
        <v>4208.333333333333</v>
      </c>
      <c r="AS53" s="97">
        <v>4208.333333333333</v>
      </c>
      <c r="AT53" s="97">
        <v>4208.333333333333</v>
      </c>
      <c r="AU53" s="97">
        <v>4208.333333333333</v>
      </c>
      <c r="AV53" s="97">
        <v>4208.333333333333</v>
      </c>
      <c r="AW53" s="97">
        <v>4208.333333333333</v>
      </c>
      <c r="AX53" s="97">
        <v>4208.333333333333</v>
      </c>
    </row>
    <row r="55" spans="2:51" x14ac:dyDescent="0.15">
      <c r="B55" s="171" t="s">
        <v>325</v>
      </c>
      <c r="C55" s="172"/>
      <c r="D55" s="172"/>
      <c r="E55" s="172"/>
      <c r="F55" s="172"/>
      <c r="G55" s="172"/>
      <c r="H55" s="172"/>
      <c r="I55" s="172"/>
      <c r="J55" s="172"/>
      <c r="K55" s="172"/>
      <c r="L55" s="172"/>
      <c r="M55" s="172"/>
      <c r="N55" s="172"/>
      <c r="O55" s="172"/>
      <c r="P55" s="172"/>
      <c r="Q55" s="172"/>
      <c r="R55" s="172"/>
      <c r="S55" s="172"/>
      <c r="T55" s="172"/>
      <c r="U55" s="172"/>
      <c r="V55" s="172"/>
      <c r="W55" s="172"/>
      <c r="X55" s="172"/>
      <c r="Y55" s="172"/>
      <c r="Z55" s="172"/>
      <c r="AA55" s="172"/>
      <c r="AB55" s="172"/>
      <c r="AC55" s="172"/>
      <c r="AD55" s="172"/>
      <c r="AE55" s="172"/>
      <c r="AF55" s="172"/>
      <c r="AG55" s="172"/>
      <c r="AH55" s="172"/>
      <c r="AI55" s="172"/>
      <c r="AJ55" s="172"/>
      <c r="AK55" s="172"/>
      <c r="AL55" s="172"/>
      <c r="AM55" s="172"/>
      <c r="AN55" s="172"/>
      <c r="AO55" s="172"/>
      <c r="AP55" s="172"/>
      <c r="AQ55" s="172"/>
      <c r="AR55" s="172"/>
      <c r="AS55" s="172"/>
      <c r="AT55" s="172"/>
      <c r="AU55" s="172"/>
      <c r="AV55" s="172"/>
      <c r="AW55" s="172"/>
      <c r="AX55" s="172"/>
    </row>
    <row r="56" spans="2:51" x14ac:dyDescent="0.15">
      <c r="B56" s="102" t="s">
        <v>273</v>
      </c>
      <c r="C56" s="102" t="s">
        <v>92</v>
      </c>
      <c r="D56" s="98"/>
      <c r="E56" s="98"/>
      <c r="F56" s="98"/>
      <c r="G56" s="102" t="s">
        <v>93</v>
      </c>
      <c r="H56" s="98"/>
      <c r="I56" s="98"/>
      <c r="J56" s="98"/>
      <c r="K56" s="102" t="s">
        <v>94</v>
      </c>
      <c r="L56" s="98"/>
      <c r="M56" s="98"/>
      <c r="N56" s="98"/>
      <c r="O56" s="102" t="s">
        <v>95</v>
      </c>
      <c r="P56" s="98"/>
      <c r="Q56" s="98"/>
      <c r="R56" s="98"/>
      <c r="S56" s="102" t="s">
        <v>96</v>
      </c>
      <c r="T56" s="98"/>
      <c r="U56" s="98"/>
      <c r="V56" s="98"/>
      <c r="W56" s="102" t="s">
        <v>97</v>
      </c>
      <c r="X56" s="98"/>
      <c r="Y56" s="98"/>
      <c r="Z56" s="98"/>
      <c r="AA56" s="102" t="s">
        <v>98</v>
      </c>
      <c r="AB56" s="98"/>
      <c r="AC56" s="98"/>
      <c r="AD56" s="98"/>
      <c r="AE56" s="102" t="s">
        <v>99</v>
      </c>
      <c r="AF56" s="98"/>
      <c r="AG56" s="98"/>
      <c r="AH56" s="98"/>
      <c r="AI56" s="102" t="s">
        <v>100</v>
      </c>
      <c r="AJ56" s="98"/>
      <c r="AK56" s="98"/>
      <c r="AL56" s="98"/>
      <c r="AM56" s="102" t="s">
        <v>101</v>
      </c>
      <c r="AN56" s="98"/>
      <c r="AO56" s="98"/>
      <c r="AP56" s="98"/>
      <c r="AQ56" s="102" t="s">
        <v>102</v>
      </c>
      <c r="AR56" s="98"/>
      <c r="AS56" s="98"/>
      <c r="AT56" s="98"/>
      <c r="AU56" s="102" t="s">
        <v>103</v>
      </c>
      <c r="AV56" s="98"/>
      <c r="AW56" s="98"/>
    </row>
    <row r="57" spans="2:51" x14ac:dyDescent="0.15">
      <c r="B57" s="102" t="s">
        <v>324</v>
      </c>
      <c r="C57" s="102">
        <v>1</v>
      </c>
      <c r="D57" s="102">
        <v>2</v>
      </c>
      <c r="E57" s="102">
        <v>3</v>
      </c>
      <c r="F57" s="102">
        <v>4</v>
      </c>
      <c r="G57" s="102">
        <v>1</v>
      </c>
      <c r="H57" s="102">
        <v>2</v>
      </c>
      <c r="I57" s="102">
        <v>3</v>
      </c>
      <c r="J57" s="102">
        <v>4</v>
      </c>
      <c r="K57" s="102">
        <v>1</v>
      </c>
      <c r="L57" s="102">
        <v>2</v>
      </c>
      <c r="M57" s="102">
        <v>3</v>
      </c>
      <c r="N57" s="102">
        <v>4</v>
      </c>
      <c r="O57" s="102">
        <v>1</v>
      </c>
      <c r="P57" s="102">
        <v>2</v>
      </c>
      <c r="Q57" s="102">
        <v>3</v>
      </c>
      <c r="R57" s="102">
        <v>4</v>
      </c>
      <c r="S57" s="102">
        <v>1</v>
      </c>
      <c r="T57" s="102">
        <v>2</v>
      </c>
      <c r="U57" s="102">
        <v>3</v>
      </c>
      <c r="V57" s="102">
        <v>4</v>
      </c>
      <c r="W57" s="102">
        <v>1</v>
      </c>
      <c r="X57" s="102">
        <v>2</v>
      </c>
      <c r="Y57" s="102">
        <v>3</v>
      </c>
      <c r="Z57" s="102">
        <v>4</v>
      </c>
      <c r="AA57" s="102">
        <v>1</v>
      </c>
      <c r="AB57" s="102">
        <v>2</v>
      </c>
      <c r="AC57" s="102">
        <v>3</v>
      </c>
      <c r="AD57" s="102">
        <v>4</v>
      </c>
      <c r="AE57" s="102">
        <v>1</v>
      </c>
      <c r="AF57" s="102">
        <v>2</v>
      </c>
      <c r="AG57" s="102">
        <v>3</v>
      </c>
      <c r="AH57" s="102">
        <v>4</v>
      </c>
      <c r="AI57" s="102">
        <v>1</v>
      </c>
      <c r="AJ57" s="102">
        <v>2</v>
      </c>
      <c r="AK57" s="102">
        <v>3</v>
      </c>
      <c r="AL57" s="102">
        <v>4</v>
      </c>
      <c r="AM57" s="102">
        <v>1</v>
      </c>
      <c r="AN57" s="102">
        <v>2</v>
      </c>
      <c r="AO57" s="102">
        <v>3</v>
      </c>
      <c r="AP57" s="102">
        <v>4</v>
      </c>
      <c r="AQ57" s="102">
        <v>1</v>
      </c>
      <c r="AR57" s="102">
        <v>2</v>
      </c>
      <c r="AS57" s="102">
        <v>3</v>
      </c>
      <c r="AT57" s="102">
        <v>4</v>
      </c>
      <c r="AU57" s="102">
        <v>1</v>
      </c>
      <c r="AV57" s="102">
        <v>2</v>
      </c>
      <c r="AW57" s="102">
        <v>3</v>
      </c>
      <c r="AX57" s="102">
        <v>4</v>
      </c>
    </row>
    <row r="58" spans="2:51" x14ac:dyDescent="0.15">
      <c r="B58" s="102" t="s">
        <v>104</v>
      </c>
      <c r="C58" s="97">
        <v>5701562.4171930272</v>
      </c>
      <c r="D58" s="97">
        <v>5701562.4171930272</v>
      </c>
      <c r="E58" s="97">
        <v>5701562.4171930272</v>
      </c>
      <c r="F58" s="97">
        <v>5701562.4171930272</v>
      </c>
      <c r="G58" s="97">
        <v>5664952.0675009172</v>
      </c>
      <c r="H58" s="97">
        <v>5664952.0675009172</v>
      </c>
      <c r="I58" s="97">
        <v>5664952.0675009172</v>
      </c>
      <c r="J58" s="97">
        <v>5664952.0675009172</v>
      </c>
      <c r="K58" s="97">
        <v>5338660.5129181277</v>
      </c>
      <c r="L58" s="97">
        <v>5338660.5129181277</v>
      </c>
      <c r="M58" s="97">
        <v>5338660.5129181277</v>
      </c>
      <c r="N58" s="97">
        <v>5338660.5129181277</v>
      </c>
      <c r="O58" s="97">
        <v>5875560.5099104764</v>
      </c>
      <c r="P58" s="97">
        <v>5875560.5099104764</v>
      </c>
      <c r="Q58" s="97">
        <v>5875560.5099104764</v>
      </c>
      <c r="R58" s="97">
        <v>5875560.5099104764</v>
      </c>
      <c r="S58" s="97">
        <v>5952612.8247658536</v>
      </c>
      <c r="T58" s="97">
        <v>5952612.8247658536</v>
      </c>
      <c r="U58" s="97">
        <v>5952612.8247658536</v>
      </c>
      <c r="V58" s="97">
        <v>5952612.8247658536</v>
      </c>
      <c r="W58" s="97">
        <v>5033791.01461941</v>
      </c>
      <c r="X58" s="97">
        <v>5033791.01461941</v>
      </c>
      <c r="Y58" s="97">
        <v>5033791.01461941</v>
      </c>
      <c r="Z58" s="97">
        <v>5033791.01461941</v>
      </c>
      <c r="AA58" s="97">
        <v>5429261.5718503669</v>
      </c>
      <c r="AB58" s="97">
        <v>5429261.5718503669</v>
      </c>
      <c r="AC58" s="97">
        <v>5429261.5718503669</v>
      </c>
      <c r="AD58" s="97">
        <v>5429261.5718503669</v>
      </c>
      <c r="AE58" s="97">
        <v>5214161.2010309501</v>
      </c>
      <c r="AF58" s="97">
        <v>5214161.2010309501</v>
      </c>
      <c r="AG58" s="97">
        <v>5214161.2010309501</v>
      </c>
      <c r="AH58" s="97">
        <v>5214161.2010309501</v>
      </c>
      <c r="AI58" s="97">
        <v>4754445.2235571155</v>
      </c>
      <c r="AJ58" s="97">
        <v>4754445.2235571155</v>
      </c>
      <c r="AK58" s="97">
        <v>4754445.2235571155</v>
      </c>
      <c r="AL58" s="97">
        <v>4754445.2235571155</v>
      </c>
      <c r="AM58" s="97">
        <v>5984470.7037493568</v>
      </c>
      <c r="AN58" s="97">
        <v>5984470.7037493568</v>
      </c>
      <c r="AO58" s="97">
        <v>5984470.7037493568</v>
      </c>
      <c r="AP58" s="97">
        <v>5984470.7037493568</v>
      </c>
      <c r="AQ58" s="97">
        <v>6091485.9173431341</v>
      </c>
      <c r="AR58" s="97">
        <v>6091485.9173431341</v>
      </c>
      <c r="AS58" s="97">
        <v>6091485.9173431341</v>
      </c>
      <c r="AT58" s="97">
        <v>6091485.9173431341</v>
      </c>
      <c r="AU58" s="97">
        <v>5070679.3224012433</v>
      </c>
      <c r="AV58" s="97">
        <v>5070679.3224012433</v>
      </c>
      <c r="AW58" s="97">
        <v>5070679.3224012433</v>
      </c>
      <c r="AX58" s="97">
        <v>5070679.3224012433</v>
      </c>
    </row>
    <row r="59" spans="2:51" x14ac:dyDescent="0.15">
      <c r="B59" s="102" t="s">
        <v>105</v>
      </c>
      <c r="C59" s="97">
        <v>5817673.2439173087</v>
      </c>
      <c r="D59" s="97">
        <v>5817673.2439173087</v>
      </c>
      <c r="E59" s="97">
        <v>5817673.2439173087</v>
      </c>
      <c r="F59" s="97">
        <v>5817673.2439173087</v>
      </c>
      <c r="G59" s="97">
        <v>5945523.9514998198</v>
      </c>
      <c r="H59" s="97">
        <v>5945523.9514998198</v>
      </c>
      <c r="I59" s="97">
        <v>5945523.9514998198</v>
      </c>
      <c r="J59" s="97">
        <v>5945523.9514998198</v>
      </c>
      <c r="K59" s="97">
        <v>6438890.4222037327</v>
      </c>
      <c r="L59" s="97">
        <v>6438890.4222037327</v>
      </c>
      <c r="M59" s="97">
        <v>6438890.4222037327</v>
      </c>
      <c r="N59" s="97">
        <v>6438890.4222037327</v>
      </c>
      <c r="O59" s="97">
        <v>6085132.9934099074</v>
      </c>
      <c r="P59" s="97">
        <v>6085132.9934099074</v>
      </c>
      <c r="Q59" s="97">
        <v>6085132.9934099074</v>
      </c>
      <c r="R59" s="97">
        <v>6085132.9934099074</v>
      </c>
      <c r="S59" s="97">
        <v>3422621.4125146628</v>
      </c>
      <c r="T59" s="97">
        <v>3429736.9047886925</v>
      </c>
      <c r="U59" s="97">
        <v>3436834.248850299</v>
      </c>
      <c r="V59" s="97">
        <v>9258333.333333334</v>
      </c>
      <c r="W59" s="97">
        <v>5442152.3638284234</v>
      </c>
      <c r="X59" s="97">
        <v>5442152.3638284234</v>
      </c>
      <c r="Y59" s="97">
        <v>5442152.3638284234</v>
      </c>
      <c r="Z59" s="97">
        <v>5442152.3638284234</v>
      </c>
      <c r="AA59" s="97">
        <v>5770474.3214226877</v>
      </c>
      <c r="AB59" s="97">
        <v>5770474.3214226877</v>
      </c>
      <c r="AC59" s="97">
        <v>5770474.3214226877</v>
      </c>
      <c r="AD59" s="97">
        <v>5770474.3214226877</v>
      </c>
      <c r="AE59" s="97">
        <v>2408685.1887360131</v>
      </c>
      <c r="AF59" s="97">
        <v>6359627.2111797975</v>
      </c>
      <c r="AG59" s="97">
        <v>6359627.2111797975</v>
      </c>
      <c r="AH59" s="97">
        <v>6359627.2111797975</v>
      </c>
      <c r="AI59" s="97">
        <v>5754931.3251087768</v>
      </c>
      <c r="AJ59" s="97">
        <v>5754931.3251087768</v>
      </c>
      <c r="AK59" s="97">
        <v>5754931.3251087768</v>
      </c>
      <c r="AL59" s="97">
        <v>5754931.3251087768</v>
      </c>
      <c r="AM59" s="97">
        <v>5450222.8310596598</v>
      </c>
      <c r="AN59" s="97">
        <v>5450222.8310596598</v>
      </c>
      <c r="AO59" s="97">
        <v>5450222.8310596598</v>
      </c>
      <c r="AP59" s="97">
        <v>5450222.8310596598</v>
      </c>
      <c r="AQ59" s="97">
        <v>5346038.7246238515</v>
      </c>
      <c r="AR59" s="97">
        <v>5346038.7246238515</v>
      </c>
      <c r="AS59" s="97">
        <v>5346038.7246238515</v>
      </c>
      <c r="AT59" s="97">
        <v>5346038.7246238515</v>
      </c>
      <c r="AU59" s="97">
        <v>5373009.5223626308</v>
      </c>
      <c r="AV59" s="97">
        <v>5373009.5223626308</v>
      </c>
      <c r="AW59" s="97">
        <v>5373009.5223626308</v>
      </c>
      <c r="AX59" s="97">
        <v>5373009.5223626308</v>
      </c>
    </row>
    <row r="60" spans="2:51" x14ac:dyDescent="0.15">
      <c r="B60" s="102" t="s">
        <v>106</v>
      </c>
      <c r="C60" s="97">
        <v>6292355.3734906586</v>
      </c>
      <c r="D60" s="97">
        <v>6292355.3734906586</v>
      </c>
      <c r="E60" s="97">
        <v>6292355.3734906586</v>
      </c>
      <c r="F60" s="97">
        <v>6292355.3734906586</v>
      </c>
      <c r="G60" s="97">
        <v>6235097.0702100703</v>
      </c>
      <c r="H60" s="97">
        <v>6235097.0702100703</v>
      </c>
      <c r="I60" s="97">
        <v>6235097.0702100703</v>
      </c>
      <c r="J60" s="97">
        <v>6235097.0702100703</v>
      </c>
      <c r="K60" s="97">
        <v>5923873.851138304</v>
      </c>
      <c r="L60" s="97">
        <v>5936582.1248491183</v>
      </c>
      <c r="M60" s="97">
        <v>5949274.7058658591</v>
      </c>
      <c r="N60" s="97">
        <v>6984788.1817421084</v>
      </c>
      <c r="O60" s="97">
        <v>6523475.3708897624</v>
      </c>
      <c r="P60" s="97">
        <v>6523475.3708897624</v>
      </c>
      <c r="Q60" s="97">
        <v>6523475.3708897624</v>
      </c>
      <c r="R60" s="97">
        <v>6523475.3708897624</v>
      </c>
      <c r="S60" s="97">
        <v>6462264.6716560917</v>
      </c>
      <c r="T60" s="97">
        <v>6462264.6716560917</v>
      </c>
      <c r="U60" s="97">
        <v>6462264.6716560917</v>
      </c>
      <c r="V60" s="97">
        <v>6462264.6716560917</v>
      </c>
      <c r="W60" s="97">
        <v>6293018.1868303185</v>
      </c>
      <c r="X60" s="97">
        <v>6293018.1868303185</v>
      </c>
      <c r="Y60" s="97">
        <v>6293018.1868303185</v>
      </c>
      <c r="Z60" s="97">
        <v>6293018.1868303185</v>
      </c>
      <c r="AA60" s="97">
        <v>6941006.784726291</v>
      </c>
      <c r="AB60" s="97">
        <v>6941006.784726291</v>
      </c>
      <c r="AC60" s="97">
        <v>3491443.1173029984</v>
      </c>
      <c r="AD60" s="97">
        <v>6122065.7761318553</v>
      </c>
      <c r="AE60" s="97">
        <v>5987623.8644713107</v>
      </c>
      <c r="AF60" s="97">
        <v>5987623.8644713107</v>
      </c>
      <c r="AG60" s="97">
        <v>5987623.8644713107</v>
      </c>
      <c r="AH60" s="97">
        <v>5987623.8644713107</v>
      </c>
      <c r="AI60" s="97">
        <v>6392480.2760491706</v>
      </c>
      <c r="AJ60" s="97">
        <v>6392480.2760491706</v>
      </c>
      <c r="AK60" s="97">
        <v>6392480.2760491706</v>
      </c>
      <c r="AL60" s="97">
        <v>6392480.2760491706</v>
      </c>
      <c r="AM60" s="97">
        <v>6117258.077064448</v>
      </c>
      <c r="AN60" s="97">
        <v>6117258.077064448</v>
      </c>
      <c r="AO60" s="97">
        <v>6117258.077064448</v>
      </c>
      <c r="AP60" s="97">
        <v>6117258.077064448</v>
      </c>
      <c r="AQ60" s="97">
        <v>5983592.1088969661</v>
      </c>
      <c r="AR60" s="97">
        <v>5417516.2883939277</v>
      </c>
      <c r="AS60" s="97">
        <v>5983592.1088969661</v>
      </c>
      <c r="AT60" s="97">
        <v>5983592.1088969661</v>
      </c>
      <c r="AU60" s="97">
        <v>6187794.061535839</v>
      </c>
      <c r="AV60" s="97">
        <v>6187794.061535839</v>
      </c>
      <c r="AW60" s="97">
        <v>6187794.061535839</v>
      </c>
      <c r="AX60" s="97">
        <v>6187794.061535839</v>
      </c>
    </row>
    <row r="61" spans="2:51" x14ac:dyDescent="0.15">
      <c r="B61" s="102" t="s">
        <v>107</v>
      </c>
      <c r="C61" s="97">
        <v>4461095.6673105676</v>
      </c>
      <c r="D61" s="97">
        <v>4470873.3015209129</v>
      </c>
      <c r="E61" s="97">
        <v>4480651.4559252774</v>
      </c>
      <c r="F61" s="97">
        <v>4490428.5623191278</v>
      </c>
      <c r="G61" s="97">
        <v>4495954.1417596815</v>
      </c>
      <c r="H61" s="97">
        <v>4505715.2209665626</v>
      </c>
      <c r="I61" s="97">
        <v>3160829.3856528318</v>
      </c>
      <c r="J61" s="97">
        <v>4525218.5644855108</v>
      </c>
      <c r="K61" s="97">
        <v>4765226.9184723319</v>
      </c>
      <c r="L61" s="97">
        <v>4775449.5885520549</v>
      </c>
      <c r="M61" s="97">
        <v>3349961.7446836261</v>
      </c>
      <c r="N61" s="97">
        <v>4795855.4160126131</v>
      </c>
      <c r="O61" s="97">
        <v>4299329.8412422799</v>
      </c>
      <c r="P61" s="97">
        <v>4308420.7444722271</v>
      </c>
      <c r="Q61" s="97">
        <v>4317494.4880818054</v>
      </c>
      <c r="R61" s="97">
        <v>4326549.6105190897</v>
      </c>
      <c r="S61" s="97">
        <v>3209357.5161114717</v>
      </c>
      <c r="T61" s="97">
        <v>4594328.0590305757</v>
      </c>
      <c r="U61" s="97">
        <v>4603835.3559084525</v>
      </c>
      <c r="V61" s="97">
        <v>4613316.8093328988</v>
      </c>
      <c r="W61" s="97">
        <v>4310840.9214080153</v>
      </c>
      <c r="X61" s="97">
        <v>4319630.1233271779</v>
      </c>
      <c r="Y61" s="97">
        <v>4328390.9598024487</v>
      </c>
      <c r="Z61" s="97">
        <v>4337122.0172440577</v>
      </c>
      <c r="AA61" s="97">
        <v>4557739.7149291951</v>
      </c>
      <c r="AB61" s="97">
        <v>4566829.6396178268</v>
      </c>
      <c r="AC61" s="97">
        <v>4575883.9155336227</v>
      </c>
      <c r="AD61" s="97">
        <v>4584901.0809981497</v>
      </c>
      <c r="AE61" s="97">
        <v>4668366.082442659</v>
      </c>
      <c r="AF61" s="97">
        <v>4677449.598273037</v>
      </c>
      <c r="AG61" s="97">
        <v>4686490.9825932365</v>
      </c>
      <c r="AH61" s="97">
        <v>4695488.7754287906</v>
      </c>
      <c r="AI61" s="97">
        <v>4512049.1767947376</v>
      </c>
      <c r="AJ61" s="97">
        <v>4520591.2056100974</v>
      </c>
      <c r="AK61" s="97">
        <v>4529087.2661478519</v>
      </c>
      <c r="AL61" s="97">
        <v>4537535.9864960229</v>
      </c>
      <c r="AM61" s="97">
        <v>4627838.7942676768</v>
      </c>
      <c r="AN61" s="97">
        <v>4636339.1882501105</v>
      </c>
      <c r="AO61" s="97">
        <v>4644787.2472905936</v>
      </c>
      <c r="AP61" s="97">
        <v>4653181.6076158881</v>
      </c>
      <c r="AQ61" s="97">
        <v>4454375.5802154141</v>
      </c>
      <c r="AR61" s="97">
        <v>4462290.4174385853</v>
      </c>
      <c r="AS61" s="97">
        <v>4470150.0841984721</v>
      </c>
      <c r="AT61" s="97">
        <v>4477953.3124521747</v>
      </c>
      <c r="AU61" s="97">
        <v>4406563.3296426022</v>
      </c>
      <c r="AV61" s="97">
        <v>4414114.3097023722</v>
      </c>
      <c r="AW61" s="97">
        <v>4421606.1659362959</v>
      </c>
      <c r="AX61" s="97">
        <v>4429037.6907565929</v>
      </c>
    </row>
    <row r="62" spans="2:51" x14ac:dyDescent="0.15">
      <c r="B62" s="102" t="s">
        <v>108</v>
      </c>
      <c r="C62" s="97">
        <v>6163876.6328880209</v>
      </c>
      <c r="D62" s="97">
        <v>6163876.6328880209</v>
      </c>
      <c r="E62" s="97">
        <v>6163876.6328880209</v>
      </c>
      <c r="F62" s="97">
        <v>6163876.6328880209</v>
      </c>
      <c r="G62" s="97">
        <v>5983579.7125894418</v>
      </c>
      <c r="H62" s="97">
        <v>5983579.7125894418</v>
      </c>
      <c r="I62" s="97">
        <v>5983579.7125894418</v>
      </c>
      <c r="J62" s="97">
        <v>5983579.7125894418</v>
      </c>
      <c r="K62" s="97">
        <v>6248246.5230215136</v>
      </c>
      <c r="L62" s="97">
        <v>6248246.5230215136</v>
      </c>
      <c r="M62" s="97">
        <v>6248246.5230215136</v>
      </c>
      <c r="N62" s="97">
        <v>6248246.5230215136</v>
      </c>
      <c r="O62" s="97">
        <v>6112740.1321636708</v>
      </c>
      <c r="P62" s="97">
        <v>6112740.1321636708</v>
      </c>
      <c r="Q62" s="97">
        <v>6112740.1321636708</v>
      </c>
      <c r="R62" s="97">
        <v>6112740.1321636708</v>
      </c>
      <c r="S62" s="97">
        <v>6214425.7912050774</v>
      </c>
      <c r="T62" s="97">
        <v>6214425.7912050774</v>
      </c>
      <c r="U62" s="97">
        <v>6214425.7912050774</v>
      </c>
      <c r="V62" s="97">
        <v>6214425.7912050774</v>
      </c>
      <c r="W62" s="97">
        <v>6199358.5064804675</v>
      </c>
      <c r="X62" s="97">
        <v>6199358.5064804675</v>
      </c>
      <c r="Y62" s="97">
        <v>6199358.5064804675</v>
      </c>
      <c r="Z62" s="97">
        <v>6199358.5064804675</v>
      </c>
      <c r="AA62" s="97">
        <v>6305913.2460135845</v>
      </c>
      <c r="AB62" s="97">
        <v>6305913.2460135845</v>
      </c>
      <c r="AC62" s="97">
        <v>6305913.2460135845</v>
      </c>
      <c r="AD62" s="97">
        <v>6305913.2460135845</v>
      </c>
      <c r="AE62" s="97">
        <v>6209672.9143486442</v>
      </c>
      <c r="AF62" s="97">
        <v>6209672.9143486442</v>
      </c>
      <c r="AG62" s="97">
        <v>6209672.9143486442</v>
      </c>
      <c r="AH62" s="97">
        <v>6209672.9143486442</v>
      </c>
      <c r="AI62" s="97">
        <v>6302760.383382963</v>
      </c>
      <c r="AJ62" s="97">
        <v>6302760.383382963</v>
      </c>
      <c r="AK62" s="97">
        <v>6302760.383382963</v>
      </c>
      <c r="AL62" s="97">
        <v>6302760.383382963</v>
      </c>
      <c r="AM62" s="97">
        <v>6252308.0984395072</v>
      </c>
      <c r="AN62" s="97">
        <v>6252308.0984395072</v>
      </c>
      <c r="AO62" s="97">
        <v>6252308.0984395072</v>
      </c>
      <c r="AP62" s="97">
        <v>6252308.0984395072</v>
      </c>
      <c r="AQ62" s="97">
        <v>6329245.3385851625</v>
      </c>
      <c r="AR62" s="97">
        <v>6329245.3385851625</v>
      </c>
      <c r="AS62" s="97">
        <v>6329245.3385851625</v>
      </c>
      <c r="AT62" s="97">
        <v>6329245.3385851625</v>
      </c>
      <c r="AU62" s="97">
        <v>6397918.5184605904</v>
      </c>
      <c r="AV62" s="97">
        <v>6397918.5184605904</v>
      </c>
      <c r="AW62" s="97">
        <v>6397918.5184605904</v>
      </c>
      <c r="AX62" s="97">
        <v>6397918.5184605904</v>
      </c>
    </row>
    <row r="63" spans="2:51" x14ac:dyDescent="0.15">
      <c r="B63" s="102" t="s">
        <v>109</v>
      </c>
      <c r="C63" s="97">
        <v>6656135.5186041705</v>
      </c>
      <c r="D63" s="97">
        <v>6656135.5186041705</v>
      </c>
      <c r="E63" s="97">
        <v>6656135.5186041705</v>
      </c>
      <c r="F63" s="97">
        <v>6656135.5186041705</v>
      </c>
      <c r="G63" s="97">
        <v>6236963.4570585135</v>
      </c>
      <c r="H63" s="97">
        <v>6236963.4570585135</v>
      </c>
      <c r="I63" s="97">
        <v>6236963.4570585135</v>
      </c>
      <c r="J63" s="97">
        <v>6236963.4570585135</v>
      </c>
      <c r="K63" s="97">
        <v>6793889.608644559</v>
      </c>
      <c r="L63" s="97">
        <v>6793889.608644559</v>
      </c>
      <c r="M63" s="97">
        <v>6793889.608644559</v>
      </c>
      <c r="N63" s="97">
        <v>6793889.608644559</v>
      </c>
      <c r="O63" s="97">
        <v>6687111.4702025438</v>
      </c>
      <c r="P63" s="97">
        <v>6687111.4702025438</v>
      </c>
      <c r="Q63" s="97">
        <v>6687111.4702025438</v>
      </c>
      <c r="R63" s="97">
        <v>6687111.4702025438</v>
      </c>
      <c r="S63" s="97">
        <v>7082674.0070306594</v>
      </c>
      <c r="T63" s="97">
        <v>7082674.0070306594</v>
      </c>
      <c r="U63" s="97">
        <v>7082674.0070306594</v>
      </c>
      <c r="V63" s="97">
        <v>7082674.0070306594</v>
      </c>
      <c r="W63" s="97">
        <v>6653876.5787136648</v>
      </c>
      <c r="X63" s="97">
        <v>6653876.5787136648</v>
      </c>
      <c r="Y63" s="97">
        <v>6653876.5787136648</v>
      </c>
      <c r="Z63" s="97">
        <v>6653876.5787136648</v>
      </c>
      <c r="AA63" s="97">
        <v>6896277.9793525068</v>
      </c>
      <c r="AB63" s="97">
        <v>6896277.9793525068</v>
      </c>
      <c r="AC63" s="97">
        <v>6896277.9793525068</v>
      </c>
      <c r="AD63" s="97">
        <v>6896277.9793525068</v>
      </c>
      <c r="AE63" s="97">
        <v>6711764.4981371732</v>
      </c>
      <c r="AF63" s="97">
        <v>6711764.4981371732</v>
      </c>
      <c r="AG63" s="97">
        <v>6711764.4981371732</v>
      </c>
      <c r="AH63" s="97">
        <v>6711764.4981371732</v>
      </c>
      <c r="AI63" s="97">
        <v>6348155.0246812701</v>
      </c>
      <c r="AJ63" s="97">
        <v>6348155.0246812701</v>
      </c>
      <c r="AK63" s="97">
        <v>6348155.0246812701</v>
      </c>
      <c r="AL63" s="97">
        <v>6348155.0246812701</v>
      </c>
      <c r="AM63" s="97">
        <v>7053794.0189472102</v>
      </c>
      <c r="AN63" s="97">
        <v>7053794.0189472102</v>
      </c>
      <c r="AO63" s="97">
        <v>7053794.0189472102</v>
      </c>
      <c r="AP63" s="97">
        <v>7053794.0189472102</v>
      </c>
      <c r="AQ63" s="97">
        <v>6284401.1694525341</v>
      </c>
      <c r="AR63" s="97">
        <v>6284401.1694525341</v>
      </c>
      <c r="AS63" s="97">
        <v>6284401.1694525341</v>
      </c>
      <c r="AT63" s="97">
        <v>6284401.1694525341</v>
      </c>
      <c r="AU63" s="97">
        <v>7041131.344513827</v>
      </c>
      <c r="AV63" s="97">
        <v>7041131.344513827</v>
      </c>
      <c r="AW63" s="97">
        <v>7041131.344513827</v>
      </c>
      <c r="AX63" s="97">
        <v>7041131.344513827</v>
      </c>
    </row>
    <row r="64" spans="2:51" x14ac:dyDescent="0.15">
      <c r="B64" s="98"/>
    </row>
    <row r="65" spans="1:14" x14ac:dyDescent="0.15">
      <c r="B65" s="101" t="s">
        <v>326</v>
      </c>
    </row>
    <row r="66" spans="1:14" x14ac:dyDescent="0.15">
      <c r="B66" s="96" t="s">
        <v>327</v>
      </c>
      <c r="C66" s="96" t="s">
        <v>92</v>
      </c>
      <c r="D66" s="96" t="s">
        <v>93</v>
      </c>
      <c r="E66" s="96" t="s">
        <v>94</v>
      </c>
      <c r="F66" s="96" t="s">
        <v>95</v>
      </c>
      <c r="G66" s="96" t="s">
        <v>96</v>
      </c>
      <c r="H66" s="96" t="s">
        <v>97</v>
      </c>
      <c r="I66" s="96" t="s">
        <v>98</v>
      </c>
      <c r="J66" s="96" t="s">
        <v>99</v>
      </c>
      <c r="K66" s="96" t="s">
        <v>100</v>
      </c>
      <c r="L66" s="96" t="s">
        <v>101</v>
      </c>
      <c r="M66" s="96" t="s">
        <v>102</v>
      </c>
      <c r="N66" s="96" t="s">
        <v>103</v>
      </c>
    </row>
    <row r="67" spans="1:14" x14ac:dyDescent="0.15">
      <c r="B67" s="96" t="s">
        <v>328</v>
      </c>
      <c r="C67" s="97">
        <v>0</v>
      </c>
      <c r="D67" s="97">
        <v>0</v>
      </c>
      <c r="E67" s="97">
        <v>0</v>
      </c>
      <c r="F67" s="97">
        <v>0</v>
      </c>
      <c r="G67" s="97">
        <v>0</v>
      </c>
      <c r="H67" s="97">
        <v>0</v>
      </c>
      <c r="I67" s="97">
        <v>0</v>
      </c>
      <c r="J67" s="97">
        <v>0</v>
      </c>
      <c r="K67" s="97">
        <v>0</v>
      </c>
      <c r="L67" s="97">
        <v>0</v>
      </c>
      <c r="M67" s="97">
        <v>0</v>
      </c>
      <c r="N67" s="97">
        <v>0</v>
      </c>
    </row>
    <row r="68" spans="1:14" x14ac:dyDescent="0.15">
      <c r="B68" s="96" t="s">
        <v>329</v>
      </c>
      <c r="C68" s="97">
        <v>0</v>
      </c>
      <c r="D68" s="97">
        <v>0</v>
      </c>
      <c r="E68" s="97">
        <v>0</v>
      </c>
      <c r="F68" s="97">
        <v>0</v>
      </c>
      <c r="G68" s="97">
        <v>0</v>
      </c>
      <c r="H68" s="97">
        <v>0</v>
      </c>
      <c r="I68" s="97">
        <v>0</v>
      </c>
      <c r="J68" s="97">
        <v>0</v>
      </c>
      <c r="K68" s="97">
        <v>0</v>
      </c>
      <c r="L68" s="97">
        <v>0</v>
      </c>
      <c r="M68" s="97">
        <v>0</v>
      </c>
      <c r="N68" s="97">
        <v>0</v>
      </c>
    </row>
    <row r="70" spans="1:14" x14ac:dyDescent="0.15">
      <c r="B70" s="101" t="s">
        <v>330</v>
      </c>
    </row>
    <row r="71" spans="1:14" x14ac:dyDescent="0.15">
      <c r="A71" s="102" t="s">
        <v>121</v>
      </c>
      <c r="B71" s="102" t="s">
        <v>331</v>
      </c>
      <c r="C71" s="102" t="s">
        <v>22</v>
      </c>
      <c r="D71" s="102" t="s">
        <v>59</v>
      </c>
    </row>
    <row r="72" spans="1:14" x14ac:dyDescent="0.15">
      <c r="A72" s="102" t="s">
        <v>104</v>
      </c>
      <c r="B72" s="102" t="s">
        <v>92</v>
      </c>
      <c r="C72" s="97">
        <v>0</v>
      </c>
      <c r="D72" s="97">
        <v>0</v>
      </c>
    </row>
    <row r="73" spans="1:14" x14ac:dyDescent="0.15">
      <c r="B73" s="102" t="s">
        <v>93</v>
      </c>
      <c r="C73" s="97">
        <v>0</v>
      </c>
      <c r="D73" s="97">
        <v>0</v>
      </c>
    </row>
    <row r="74" spans="1:14" x14ac:dyDescent="0.15">
      <c r="B74" s="102" t="s">
        <v>94</v>
      </c>
      <c r="C74" s="97">
        <v>0</v>
      </c>
      <c r="D74" s="97">
        <v>0</v>
      </c>
    </row>
    <row r="75" spans="1:14" x14ac:dyDescent="0.15">
      <c r="B75" s="102" t="s">
        <v>95</v>
      </c>
      <c r="C75" s="97">
        <v>0</v>
      </c>
      <c r="D75" s="97">
        <v>0</v>
      </c>
    </row>
    <row r="76" spans="1:14" x14ac:dyDescent="0.15">
      <c r="B76" s="102" t="s">
        <v>96</v>
      </c>
      <c r="C76" s="97">
        <v>0</v>
      </c>
      <c r="D76" s="97">
        <v>0</v>
      </c>
    </row>
    <row r="77" spans="1:14" x14ac:dyDescent="0.15">
      <c r="B77" s="102" t="s">
        <v>97</v>
      </c>
      <c r="C77" s="97">
        <v>0</v>
      </c>
      <c r="D77" s="97">
        <v>0</v>
      </c>
    </row>
    <row r="78" spans="1:14" x14ac:dyDescent="0.15">
      <c r="B78" s="102" t="s">
        <v>98</v>
      </c>
      <c r="C78" s="97">
        <v>0</v>
      </c>
      <c r="D78" s="97">
        <v>0</v>
      </c>
    </row>
    <row r="79" spans="1:14" x14ac:dyDescent="0.15">
      <c r="B79" s="102" t="s">
        <v>99</v>
      </c>
      <c r="C79" s="97">
        <v>0</v>
      </c>
      <c r="D79" s="97">
        <v>0</v>
      </c>
    </row>
    <row r="80" spans="1:14" x14ac:dyDescent="0.15">
      <c r="B80" s="102" t="s">
        <v>100</v>
      </c>
      <c r="C80" s="97">
        <v>0</v>
      </c>
      <c r="D80" s="97">
        <v>0</v>
      </c>
    </row>
    <row r="81" spans="2:50" x14ac:dyDescent="0.15">
      <c r="B81" s="102" t="s">
        <v>101</v>
      </c>
      <c r="C81" s="97">
        <v>0</v>
      </c>
      <c r="D81" s="97">
        <v>0</v>
      </c>
    </row>
    <row r="82" spans="2:50" x14ac:dyDescent="0.15">
      <c r="B82" s="102" t="s">
        <v>102</v>
      </c>
      <c r="C82" s="97">
        <v>0</v>
      </c>
      <c r="D82" s="97">
        <v>0</v>
      </c>
    </row>
    <row r="83" spans="2:50" x14ac:dyDescent="0.15">
      <c r="B83" s="102" t="s">
        <v>103</v>
      </c>
      <c r="C83" s="97">
        <v>0</v>
      </c>
      <c r="D83" s="97">
        <v>0</v>
      </c>
    </row>
    <row r="85" spans="2:50" x14ac:dyDescent="0.15">
      <c r="B85" s="100" t="s">
        <v>332</v>
      </c>
    </row>
    <row r="86" spans="2:50" x14ac:dyDescent="0.15">
      <c r="B86" s="96" t="s">
        <v>273</v>
      </c>
      <c r="C86" s="96" t="s">
        <v>92</v>
      </c>
      <c r="D86" s="98"/>
      <c r="E86" s="98"/>
      <c r="F86" s="98"/>
      <c r="G86" s="96" t="s">
        <v>93</v>
      </c>
      <c r="H86" s="98"/>
      <c r="I86" s="98"/>
      <c r="J86" s="98"/>
      <c r="K86" s="96" t="s">
        <v>94</v>
      </c>
      <c r="L86" s="98"/>
      <c r="M86" s="98"/>
      <c r="N86" s="98"/>
      <c r="O86" s="96" t="s">
        <v>95</v>
      </c>
      <c r="P86" s="98"/>
      <c r="Q86" s="98"/>
      <c r="R86" s="98"/>
      <c r="S86" s="96" t="s">
        <v>96</v>
      </c>
      <c r="T86" s="98"/>
      <c r="U86" s="98"/>
      <c r="V86" s="98"/>
      <c r="W86" s="96" t="s">
        <v>97</v>
      </c>
      <c r="X86" s="98"/>
      <c r="Y86" s="98"/>
      <c r="Z86" s="98"/>
      <c r="AA86" s="96" t="s">
        <v>98</v>
      </c>
      <c r="AB86" s="98"/>
      <c r="AC86" s="98"/>
      <c r="AD86" s="98"/>
      <c r="AE86" s="96" t="s">
        <v>99</v>
      </c>
      <c r="AF86" s="98"/>
      <c r="AG86" s="98"/>
      <c r="AH86" s="98"/>
      <c r="AI86" s="96" t="s">
        <v>100</v>
      </c>
      <c r="AJ86" s="98"/>
      <c r="AK86" s="98"/>
      <c r="AL86" s="98"/>
      <c r="AM86" s="96" t="s">
        <v>101</v>
      </c>
      <c r="AN86" s="98"/>
      <c r="AO86" s="98"/>
      <c r="AP86" s="98"/>
      <c r="AQ86" s="96" t="s">
        <v>102</v>
      </c>
      <c r="AR86" s="98"/>
      <c r="AS86" s="98"/>
      <c r="AT86" s="98"/>
      <c r="AU86" s="96" t="s">
        <v>103</v>
      </c>
      <c r="AV86" s="98"/>
      <c r="AW86" s="98"/>
    </row>
    <row r="87" spans="2:50" x14ac:dyDescent="0.15">
      <c r="B87" s="96" t="s">
        <v>333</v>
      </c>
      <c r="C87" s="96">
        <v>1</v>
      </c>
      <c r="D87" s="96">
        <v>2</v>
      </c>
      <c r="E87" s="96">
        <v>3</v>
      </c>
      <c r="F87" s="96">
        <v>4</v>
      </c>
      <c r="G87" s="96">
        <v>1</v>
      </c>
      <c r="H87" s="96">
        <v>2</v>
      </c>
      <c r="I87" s="96">
        <v>3</v>
      </c>
      <c r="J87" s="96">
        <v>4</v>
      </c>
      <c r="K87" s="96">
        <v>1</v>
      </c>
      <c r="L87" s="96">
        <v>2</v>
      </c>
      <c r="M87" s="96">
        <v>3</v>
      </c>
      <c r="N87" s="96">
        <v>4</v>
      </c>
      <c r="O87" s="96">
        <v>1</v>
      </c>
      <c r="P87" s="96">
        <v>2</v>
      </c>
      <c r="Q87" s="96">
        <v>3</v>
      </c>
      <c r="R87" s="96">
        <v>4</v>
      </c>
      <c r="S87" s="96">
        <v>1</v>
      </c>
      <c r="T87" s="96">
        <v>2</v>
      </c>
      <c r="U87" s="96">
        <v>3</v>
      </c>
      <c r="V87" s="96">
        <v>4</v>
      </c>
      <c r="W87" s="96">
        <v>1</v>
      </c>
      <c r="X87" s="96">
        <v>2</v>
      </c>
      <c r="Y87" s="96">
        <v>3</v>
      </c>
      <c r="Z87" s="96">
        <v>4</v>
      </c>
      <c r="AA87" s="96">
        <v>1</v>
      </c>
      <c r="AB87" s="96">
        <v>2</v>
      </c>
      <c r="AC87" s="96">
        <v>3</v>
      </c>
      <c r="AD87" s="96">
        <v>4</v>
      </c>
      <c r="AE87" s="96">
        <v>1</v>
      </c>
      <c r="AF87" s="96">
        <v>2</v>
      </c>
      <c r="AG87" s="96">
        <v>3</v>
      </c>
      <c r="AH87" s="96">
        <v>4</v>
      </c>
      <c r="AI87" s="96">
        <v>1</v>
      </c>
      <c r="AJ87" s="96">
        <v>2</v>
      </c>
      <c r="AK87" s="96">
        <v>3</v>
      </c>
      <c r="AL87" s="96">
        <v>4</v>
      </c>
      <c r="AM87" s="96">
        <v>1</v>
      </c>
      <c r="AN87" s="96">
        <v>2</v>
      </c>
      <c r="AO87" s="96">
        <v>3</v>
      </c>
      <c r="AP87" s="96">
        <v>4</v>
      </c>
      <c r="AQ87" s="96">
        <v>1</v>
      </c>
      <c r="AR87" s="96">
        <v>2</v>
      </c>
      <c r="AS87" s="96">
        <v>3</v>
      </c>
      <c r="AT87" s="96">
        <v>4</v>
      </c>
      <c r="AU87" s="96">
        <v>1</v>
      </c>
      <c r="AV87" s="96">
        <v>2</v>
      </c>
      <c r="AW87" s="96">
        <v>3</v>
      </c>
      <c r="AX87" s="96">
        <v>4</v>
      </c>
    </row>
    <row r="88" spans="2:50" x14ac:dyDescent="0.15">
      <c r="B88" s="96" t="s">
        <v>104</v>
      </c>
      <c r="C88" s="97">
        <f>C48+$C$67/4</f>
        <v>4208.333333333333</v>
      </c>
      <c r="D88" s="97">
        <f>D48+$C$67/4</f>
        <v>4208.333333333333</v>
      </c>
      <c r="E88" s="97">
        <f>E48+$C$67/4</f>
        <v>4208.333333333333</v>
      </c>
      <c r="F88" s="97">
        <f>F48+$C$67/4</f>
        <v>4208.333333333333</v>
      </c>
      <c r="G88" s="97">
        <f>G48+$D$67/4</f>
        <v>4208.333333333333</v>
      </c>
      <c r="H88" s="97">
        <f>H48+$D$67/4</f>
        <v>4208.333333333333</v>
      </c>
      <c r="I88" s="97">
        <f>I48+$D$67/4</f>
        <v>4208.333333333333</v>
      </c>
      <c r="J88" s="97">
        <f>J48+$D$67/4</f>
        <v>4208.333333333333</v>
      </c>
      <c r="K88" s="97">
        <f>K48+$E$67/4</f>
        <v>4208.333333333333</v>
      </c>
      <c r="L88" s="97">
        <f>L48+$E$67/4</f>
        <v>4208.333333333333</v>
      </c>
      <c r="M88" s="97">
        <f>M48+$E$67/4</f>
        <v>4208.333333333333</v>
      </c>
      <c r="N88" s="97">
        <f>N48+$E$67/4</f>
        <v>4208.333333333333</v>
      </c>
      <c r="O88" s="97">
        <f>O48+$F$67/4</f>
        <v>4208.333333333333</v>
      </c>
      <c r="P88" s="97">
        <f>P48+$F$67/4</f>
        <v>4208.333333333333</v>
      </c>
      <c r="Q88" s="97">
        <f>Q48+$F$67/4</f>
        <v>4208.333333333333</v>
      </c>
      <c r="R88" s="97">
        <f>R48+$F$67/4</f>
        <v>4208.333333333333</v>
      </c>
      <c r="S88" s="97">
        <f>S48+$G$67/4</f>
        <v>4208.333333333333</v>
      </c>
      <c r="T88" s="97">
        <f>T48+$G$67/4</f>
        <v>4208.333333333333</v>
      </c>
      <c r="U88" s="97">
        <f>U48+$G$67/4</f>
        <v>4208.333333333333</v>
      </c>
      <c r="V88" s="97">
        <f>V48+$G$67/4</f>
        <v>4208.333333333333</v>
      </c>
      <c r="W88" s="97">
        <f>W48+$H$67/4</f>
        <v>4208.333333333333</v>
      </c>
      <c r="X88" s="97">
        <f>X48+$H$67/4</f>
        <v>4208.333333333333</v>
      </c>
      <c r="Y88" s="97">
        <f>Y48+$H$67/4</f>
        <v>4208.333333333333</v>
      </c>
      <c r="Z88" s="97">
        <f>Z48+$H$67/4</f>
        <v>4208.333333333333</v>
      </c>
      <c r="AA88" s="97">
        <f>AA48+$I$67/4</f>
        <v>4208.333333333333</v>
      </c>
      <c r="AB88" s="97">
        <f>AB48+$I$67/4</f>
        <v>4208.333333333333</v>
      </c>
      <c r="AC88" s="97">
        <f>AC48+$I$67/4</f>
        <v>4208.333333333333</v>
      </c>
      <c r="AD88" s="97">
        <f>AD48+$I$67/4</f>
        <v>4208.333333333333</v>
      </c>
      <c r="AE88" s="97">
        <f>AE48+$J$67/4</f>
        <v>4208.333333333333</v>
      </c>
      <c r="AF88" s="97">
        <f>AF48+$J$67/4</f>
        <v>4208.333333333333</v>
      </c>
      <c r="AG88" s="97">
        <f>AG48+$J$67/4</f>
        <v>4208.333333333333</v>
      </c>
      <c r="AH88" s="97">
        <f>AH48+$J$67/4</f>
        <v>4208.333333333333</v>
      </c>
      <c r="AI88" s="97">
        <f>AI48+$K$67/4</f>
        <v>4208.333333333333</v>
      </c>
      <c r="AJ88" s="97">
        <f>AJ48+$K$67/4</f>
        <v>4208.333333333333</v>
      </c>
      <c r="AK88" s="97">
        <f>AK48+$K$67/4</f>
        <v>4208.333333333333</v>
      </c>
      <c r="AL88" s="97">
        <f>AL48+$K$67/4</f>
        <v>4208.333333333333</v>
      </c>
      <c r="AM88" s="97">
        <f>AM48+$L$67/4</f>
        <v>4208.333333333333</v>
      </c>
      <c r="AN88" s="97">
        <f>AN48+$L$67/4</f>
        <v>4208.333333333333</v>
      </c>
      <c r="AO88" s="97">
        <f>AO48+$L$67/4</f>
        <v>4208.333333333333</v>
      </c>
      <c r="AP88" s="97">
        <f>AP48+$L$67/4</f>
        <v>4208.333333333333</v>
      </c>
      <c r="AQ88" s="97">
        <f>AQ48+$M$67/4</f>
        <v>4208.333333333333</v>
      </c>
      <c r="AR88" s="97">
        <f>AR48+$M$67/4</f>
        <v>4208.333333333333</v>
      </c>
      <c r="AS88" s="97">
        <f>AS48+$M$67/4</f>
        <v>4208.333333333333</v>
      </c>
      <c r="AT88" s="97">
        <f>AT48+$M$67/4</f>
        <v>4208.333333333333</v>
      </c>
      <c r="AU88" s="97">
        <f>AU48+$N$67/4</f>
        <v>4208.333333333333</v>
      </c>
      <c r="AV88" s="97">
        <f>AV48+$N$67/4</f>
        <v>4208.333333333333</v>
      </c>
      <c r="AW88" s="97">
        <f>AW48+$N$67/4</f>
        <v>4208.333333333333</v>
      </c>
      <c r="AX88" s="97">
        <f>AX48+$N$67/4</f>
        <v>4208.333333333333</v>
      </c>
    </row>
    <row r="89" spans="2:50" x14ac:dyDescent="0.15">
      <c r="B89" s="96" t="s">
        <v>105</v>
      </c>
      <c r="C89" s="97">
        <f>C49</f>
        <v>4208.333333333333</v>
      </c>
      <c r="D89" s="97">
        <f t="shared" ref="D89:AX93" si="3">D49</f>
        <v>4208.333333333333</v>
      </c>
      <c r="E89" s="97">
        <f t="shared" si="3"/>
        <v>4208.333333333333</v>
      </c>
      <c r="F89" s="97">
        <f t="shared" si="3"/>
        <v>4208.333333333333</v>
      </c>
      <c r="G89" s="97">
        <f t="shared" si="3"/>
        <v>4208.333333333333</v>
      </c>
      <c r="H89" s="97">
        <f t="shared" si="3"/>
        <v>4208.333333333333</v>
      </c>
      <c r="I89" s="97">
        <f t="shared" si="3"/>
        <v>4208.333333333333</v>
      </c>
      <c r="J89" s="97">
        <f t="shared" si="3"/>
        <v>4208.333333333333</v>
      </c>
      <c r="K89" s="97">
        <f t="shared" si="3"/>
        <v>4208.333333333333</v>
      </c>
      <c r="L89" s="97">
        <f t="shared" si="3"/>
        <v>4208.333333333333</v>
      </c>
      <c r="M89" s="97">
        <f t="shared" si="3"/>
        <v>4208.333333333333</v>
      </c>
      <c r="N89" s="97">
        <f t="shared" si="3"/>
        <v>4208.333333333333</v>
      </c>
      <c r="O89" s="97">
        <f t="shared" si="3"/>
        <v>4208.333333333333</v>
      </c>
      <c r="P89" s="97">
        <f t="shared" si="3"/>
        <v>4208.333333333333</v>
      </c>
      <c r="Q89" s="97">
        <f t="shared" si="3"/>
        <v>4208.333333333333</v>
      </c>
      <c r="R89" s="97">
        <f t="shared" si="3"/>
        <v>4208.333333333333</v>
      </c>
      <c r="S89" s="97">
        <f t="shared" si="3"/>
        <v>1555.7370056884831</v>
      </c>
      <c r="T89" s="97">
        <f t="shared" si="3"/>
        <v>1558.9713203584963</v>
      </c>
      <c r="U89" s="97">
        <f t="shared" si="3"/>
        <v>1562.1973858410449</v>
      </c>
      <c r="V89" s="97">
        <f t="shared" si="3"/>
        <v>4208.333333333333</v>
      </c>
      <c r="W89" s="97">
        <f t="shared" si="3"/>
        <v>4208.333333333333</v>
      </c>
      <c r="X89" s="97">
        <f t="shared" si="3"/>
        <v>4208.333333333333</v>
      </c>
      <c r="Y89" s="97">
        <f t="shared" si="3"/>
        <v>4208.333333333333</v>
      </c>
      <c r="Z89" s="97">
        <f t="shared" si="3"/>
        <v>4208.333333333333</v>
      </c>
      <c r="AA89" s="97">
        <f t="shared" si="3"/>
        <v>4208.333333333333</v>
      </c>
      <c r="AB89" s="97">
        <f t="shared" si="3"/>
        <v>4208.333333333333</v>
      </c>
      <c r="AC89" s="97">
        <f t="shared" si="3"/>
        <v>4208.333333333333</v>
      </c>
      <c r="AD89" s="97">
        <f t="shared" si="3"/>
        <v>4208.333333333333</v>
      </c>
      <c r="AE89" s="97">
        <f t="shared" si="3"/>
        <v>1593.890621677428</v>
      </c>
      <c r="AF89" s="97">
        <f t="shared" si="3"/>
        <v>4208.333333333333</v>
      </c>
      <c r="AG89" s="97">
        <f t="shared" si="3"/>
        <v>4208.333333333333</v>
      </c>
      <c r="AH89" s="97">
        <f t="shared" si="3"/>
        <v>4208.333333333333</v>
      </c>
      <c r="AI89" s="97">
        <f t="shared" si="3"/>
        <v>4208.333333333333</v>
      </c>
      <c r="AJ89" s="97">
        <f t="shared" si="3"/>
        <v>4208.333333333333</v>
      </c>
      <c r="AK89" s="97">
        <f t="shared" si="3"/>
        <v>4208.333333333333</v>
      </c>
      <c r="AL89" s="97">
        <f t="shared" si="3"/>
        <v>4208.333333333333</v>
      </c>
      <c r="AM89" s="97">
        <f t="shared" si="3"/>
        <v>4208.333333333333</v>
      </c>
      <c r="AN89" s="97">
        <f t="shared" si="3"/>
        <v>4208.333333333333</v>
      </c>
      <c r="AO89" s="97">
        <f t="shared" si="3"/>
        <v>4208.333333333333</v>
      </c>
      <c r="AP89" s="97">
        <f t="shared" si="3"/>
        <v>4208.333333333333</v>
      </c>
      <c r="AQ89" s="97">
        <f t="shared" si="3"/>
        <v>4208.333333333333</v>
      </c>
      <c r="AR89" s="97">
        <f t="shared" si="3"/>
        <v>4208.333333333333</v>
      </c>
      <c r="AS89" s="97">
        <f t="shared" si="3"/>
        <v>4208.333333333333</v>
      </c>
      <c r="AT89" s="97">
        <f t="shared" si="3"/>
        <v>4208.333333333333</v>
      </c>
      <c r="AU89" s="97">
        <f t="shared" si="3"/>
        <v>4208.333333333333</v>
      </c>
      <c r="AV89" s="97">
        <f t="shared" si="3"/>
        <v>4208.333333333333</v>
      </c>
      <c r="AW89" s="97">
        <f t="shared" si="3"/>
        <v>4208.333333333333</v>
      </c>
      <c r="AX89" s="97">
        <f t="shared" si="3"/>
        <v>4208.333333333333</v>
      </c>
    </row>
    <row r="90" spans="2:50" x14ac:dyDescent="0.15">
      <c r="B90" s="96" t="s">
        <v>106</v>
      </c>
      <c r="C90" s="97">
        <f t="shared" ref="C90:R93" si="4">C50</f>
        <v>4208.333333333333</v>
      </c>
      <c r="D90" s="97">
        <f t="shared" si="4"/>
        <v>4208.333333333333</v>
      </c>
      <c r="E90" s="97">
        <f t="shared" si="4"/>
        <v>4208.333333333333</v>
      </c>
      <c r="F90" s="97">
        <f t="shared" si="4"/>
        <v>4208.333333333333</v>
      </c>
      <c r="G90" s="97">
        <f t="shared" si="4"/>
        <v>4208.333333333333</v>
      </c>
      <c r="H90" s="97">
        <f t="shared" si="4"/>
        <v>4208.333333333333</v>
      </c>
      <c r="I90" s="97">
        <f t="shared" si="4"/>
        <v>4208.333333333333</v>
      </c>
      <c r="J90" s="97">
        <f t="shared" si="4"/>
        <v>4208.333333333333</v>
      </c>
      <c r="K90" s="97">
        <f t="shared" si="4"/>
        <v>3569.1326839905992</v>
      </c>
      <c r="L90" s="97">
        <f t="shared" si="4"/>
        <v>3576.7894160882365</v>
      </c>
      <c r="M90" s="97">
        <f t="shared" si="4"/>
        <v>3584.4366933411679</v>
      </c>
      <c r="N90" s="97">
        <f t="shared" si="4"/>
        <v>4208.333333333333</v>
      </c>
      <c r="O90" s="97">
        <f t="shared" si="4"/>
        <v>4208.333333333333</v>
      </c>
      <c r="P90" s="97">
        <f t="shared" si="4"/>
        <v>4208.333333333333</v>
      </c>
      <c r="Q90" s="97">
        <f t="shared" si="4"/>
        <v>4208.333333333333</v>
      </c>
      <c r="R90" s="97">
        <f t="shared" si="4"/>
        <v>4208.333333333333</v>
      </c>
      <c r="S90" s="97">
        <f t="shared" si="3"/>
        <v>4208.333333333333</v>
      </c>
      <c r="T90" s="97">
        <f t="shared" si="3"/>
        <v>4208.333333333333</v>
      </c>
      <c r="U90" s="97">
        <f t="shared" si="3"/>
        <v>4208.333333333333</v>
      </c>
      <c r="V90" s="97">
        <f t="shared" si="3"/>
        <v>4208.333333333333</v>
      </c>
      <c r="W90" s="97">
        <f t="shared" si="3"/>
        <v>4208.333333333333</v>
      </c>
      <c r="X90" s="97">
        <f t="shared" si="3"/>
        <v>4208.333333333333</v>
      </c>
      <c r="Y90" s="97">
        <f t="shared" si="3"/>
        <v>4208.333333333333</v>
      </c>
      <c r="Z90" s="97">
        <f t="shared" si="3"/>
        <v>4208.333333333333</v>
      </c>
      <c r="AA90" s="97">
        <f t="shared" si="3"/>
        <v>4208.333333333333</v>
      </c>
      <c r="AB90" s="97">
        <f t="shared" si="3"/>
        <v>4208.333333333333</v>
      </c>
      <c r="AC90" s="97">
        <f t="shared" si="3"/>
        <v>2116.8624246724253</v>
      </c>
      <c r="AD90" s="97">
        <f t="shared" si="3"/>
        <v>3711.8092913045384</v>
      </c>
      <c r="AE90" s="97">
        <f t="shared" si="3"/>
        <v>4208.333333333333</v>
      </c>
      <c r="AF90" s="97">
        <f t="shared" si="3"/>
        <v>4208.333333333333</v>
      </c>
      <c r="AG90" s="97">
        <f t="shared" si="3"/>
        <v>4208.333333333333</v>
      </c>
      <c r="AH90" s="97">
        <f t="shared" si="3"/>
        <v>4208.333333333333</v>
      </c>
      <c r="AI90" s="97">
        <f t="shared" si="3"/>
        <v>4208.333333333333</v>
      </c>
      <c r="AJ90" s="97">
        <f t="shared" si="3"/>
        <v>4208.333333333333</v>
      </c>
      <c r="AK90" s="97">
        <f t="shared" si="3"/>
        <v>4208.333333333333</v>
      </c>
      <c r="AL90" s="97">
        <f t="shared" si="3"/>
        <v>4208.333333333333</v>
      </c>
      <c r="AM90" s="97">
        <f t="shared" si="3"/>
        <v>4208.333333333333</v>
      </c>
      <c r="AN90" s="97">
        <f t="shared" si="3"/>
        <v>4208.333333333333</v>
      </c>
      <c r="AO90" s="97">
        <f t="shared" si="3"/>
        <v>4208.333333333333</v>
      </c>
      <c r="AP90" s="97">
        <f t="shared" si="3"/>
        <v>4208.333333333333</v>
      </c>
      <c r="AQ90" s="97">
        <f t="shared" si="3"/>
        <v>4208.333333333333</v>
      </c>
      <c r="AR90" s="97">
        <f t="shared" si="3"/>
        <v>3810.2053023342241</v>
      </c>
      <c r="AS90" s="97">
        <f t="shared" si="3"/>
        <v>4208.333333333333</v>
      </c>
      <c r="AT90" s="97">
        <f t="shared" si="3"/>
        <v>4208.333333333333</v>
      </c>
      <c r="AU90" s="97">
        <f t="shared" si="3"/>
        <v>4208.333333333333</v>
      </c>
      <c r="AV90" s="97">
        <f t="shared" si="3"/>
        <v>4208.333333333333</v>
      </c>
      <c r="AW90" s="97">
        <f t="shared" si="3"/>
        <v>4208.333333333333</v>
      </c>
      <c r="AX90" s="97">
        <f t="shared" si="3"/>
        <v>4208.333333333333</v>
      </c>
    </row>
    <row r="91" spans="2:50" x14ac:dyDescent="0.15">
      <c r="B91" s="96" t="s">
        <v>107</v>
      </c>
      <c r="C91" s="97">
        <f t="shared" si="4"/>
        <v>3006.5883016813805</v>
      </c>
      <c r="D91" s="97">
        <f t="shared" si="3"/>
        <v>3013.1780103151486</v>
      </c>
      <c r="E91" s="97">
        <f t="shared" si="3"/>
        <v>3019.7680695375102</v>
      </c>
      <c r="F91" s="97">
        <f t="shared" si="3"/>
        <v>3026.3574224454624</v>
      </c>
      <c r="G91" s="97">
        <f t="shared" si="3"/>
        <v>3032.9450117820752</v>
      </c>
      <c r="H91" s="97">
        <f t="shared" si="3"/>
        <v>3039.5297801219349</v>
      </c>
      <c r="I91" s="97">
        <f t="shared" si="3"/>
        <v>2132.277469039715</v>
      </c>
      <c r="J91" s="97">
        <f t="shared" si="3"/>
        <v>3052.6866243809636</v>
      </c>
      <c r="K91" s="97">
        <f t="shared" si="3"/>
        <v>3059.2565862776564</v>
      </c>
      <c r="L91" s="97">
        <f t="shared" si="3"/>
        <v>3065.8194995042027</v>
      </c>
      <c r="M91" s="97">
        <f t="shared" si="3"/>
        <v>2150.6620160047005</v>
      </c>
      <c r="N91" s="97">
        <f t="shared" si="3"/>
        <v>3078.9199589629461</v>
      </c>
      <c r="O91" s="97">
        <f t="shared" si="3"/>
        <v>3085.4553972537178</v>
      </c>
      <c r="P91" s="97">
        <f t="shared" si="3"/>
        <v>3091.9795713628264</v>
      </c>
      <c r="Q91" s="97">
        <f t="shared" si="3"/>
        <v>3098.4914307053937</v>
      </c>
      <c r="R91" s="97">
        <f t="shared" si="3"/>
        <v>3104.9899263846269</v>
      </c>
      <c r="S91" s="97">
        <f t="shared" si="3"/>
        <v>2178.031807963876</v>
      </c>
      <c r="T91" s="97">
        <f t="shared" si="3"/>
        <v>3117.9426407169926</v>
      </c>
      <c r="U91" s="97">
        <f t="shared" si="3"/>
        <v>3124.3947716820899</v>
      </c>
      <c r="V91" s="97">
        <f t="shared" si="3"/>
        <v>3130.8293639768099</v>
      </c>
      <c r="W91" s="97">
        <f t="shared" si="3"/>
        <v>3137.2453799169161</v>
      </c>
      <c r="X91" s="97">
        <f t="shared" si="3"/>
        <v>3143.6417846130662</v>
      </c>
      <c r="Y91" s="97">
        <f t="shared" si="3"/>
        <v>3150.0175461541053</v>
      </c>
      <c r="Z91" s="97">
        <f t="shared" si="3"/>
        <v>3156.3716357899466</v>
      </c>
      <c r="AA91" s="97">
        <f t="shared" si="3"/>
        <v>3162.7030281139782</v>
      </c>
      <c r="AB91" s="97">
        <f t="shared" si="3"/>
        <v>3169.010701245003</v>
      </c>
      <c r="AC91" s="97">
        <f t="shared" si="3"/>
        <v>3175.2936370086377</v>
      </c>
      <c r="AD91" s="97">
        <f t="shared" si="3"/>
        <v>3181.5508211181759</v>
      </c>
      <c r="AE91" s="97">
        <f t="shared" si="3"/>
        <v>3187.7812433548561</v>
      </c>
      <c r="AF91" s="97">
        <f t="shared" si="3"/>
        <v>3193.9838977475138</v>
      </c>
      <c r="AG91" s="97">
        <f t="shared" si="3"/>
        <v>3200.1577827515825</v>
      </c>
      <c r="AH91" s="97">
        <f t="shared" si="3"/>
        <v>3206.3019014274178</v>
      </c>
      <c r="AI91" s="97">
        <f t="shared" si="3"/>
        <v>3212.4152616178967</v>
      </c>
      <c r="AJ91" s="97">
        <f t="shared" si="3"/>
        <v>3218.496876125284</v>
      </c>
      <c r="AK91" s="97">
        <f t="shared" si="3"/>
        <v>3224.5457628873069</v>
      </c>
      <c r="AL91" s="97">
        <f t="shared" si="3"/>
        <v>3230.5609451524278</v>
      </c>
      <c r="AM91" s="97">
        <f t="shared" si="3"/>
        <v>3236.5414516542737</v>
      </c>
      <c r="AN91" s="97">
        <f t="shared" si="3"/>
        <v>3242.486316785189</v>
      </c>
      <c r="AO91" s="97">
        <f t="shared" si="3"/>
        <v>3248.3945807688906</v>
      </c>
      <c r="AP91" s="97">
        <f t="shared" si="3"/>
        <v>3254.2652898321776</v>
      </c>
      <c r="AQ91" s="97">
        <f t="shared" si="3"/>
        <v>3260.0974963756835</v>
      </c>
      <c r="AR91" s="97">
        <f t="shared" si="3"/>
        <v>3265.8902591436208</v>
      </c>
      <c r="AS91" s="97">
        <f t="shared" si="3"/>
        <v>3271.6426433925076</v>
      </c>
      <c r="AT91" s="97">
        <f t="shared" si="3"/>
        <v>3277.3537210588215</v>
      </c>
      <c r="AU91" s="97">
        <f t="shared" si="3"/>
        <v>3283.0225709255783</v>
      </c>
      <c r="AV91" s="97">
        <f t="shared" si="3"/>
        <v>3288.648278787774</v>
      </c>
      <c r="AW91" s="97">
        <f t="shared" si="3"/>
        <v>3294.2299376166952</v>
      </c>
      <c r="AX91" s="97">
        <f t="shared" si="3"/>
        <v>3299.7666477230291</v>
      </c>
    </row>
    <row r="92" spans="2:50" x14ac:dyDescent="0.15">
      <c r="B92" s="96" t="s">
        <v>108</v>
      </c>
      <c r="C92" s="97">
        <f t="shared" si="4"/>
        <v>4208.333333333333</v>
      </c>
      <c r="D92" s="97">
        <f t="shared" si="4"/>
        <v>4208.333333333333</v>
      </c>
      <c r="E92" s="97">
        <f t="shared" si="4"/>
        <v>4208.333333333333</v>
      </c>
      <c r="F92" s="97">
        <f t="shared" si="4"/>
        <v>4208.333333333333</v>
      </c>
      <c r="G92" s="97">
        <f t="shared" si="4"/>
        <v>4208.333333333333</v>
      </c>
      <c r="H92" s="97">
        <f t="shared" si="4"/>
        <v>4208.333333333333</v>
      </c>
      <c r="I92" s="97">
        <f t="shared" si="4"/>
        <v>4208.333333333333</v>
      </c>
      <c r="J92" s="97">
        <f t="shared" si="4"/>
        <v>4208.333333333333</v>
      </c>
      <c r="K92" s="97">
        <f t="shared" si="4"/>
        <v>4208.333333333333</v>
      </c>
      <c r="L92" s="97">
        <f t="shared" si="4"/>
        <v>4208.333333333333</v>
      </c>
      <c r="M92" s="97">
        <f t="shared" si="4"/>
        <v>4208.333333333333</v>
      </c>
      <c r="N92" s="97">
        <f t="shared" si="4"/>
        <v>4208.333333333333</v>
      </c>
      <c r="O92" s="97">
        <f t="shared" si="4"/>
        <v>4208.333333333333</v>
      </c>
      <c r="P92" s="97">
        <f t="shared" si="4"/>
        <v>4208.333333333333</v>
      </c>
      <c r="Q92" s="97">
        <f t="shared" si="4"/>
        <v>4208.333333333333</v>
      </c>
      <c r="R92" s="97">
        <f t="shared" si="4"/>
        <v>4208.333333333333</v>
      </c>
      <c r="S92" s="97">
        <f t="shared" si="3"/>
        <v>4208.333333333333</v>
      </c>
      <c r="T92" s="97">
        <f t="shared" si="3"/>
        <v>4208.333333333333</v>
      </c>
      <c r="U92" s="97">
        <f t="shared" si="3"/>
        <v>4208.333333333333</v>
      </c>
      <c r="V92" s="97">
        <f t="shared" si="3"/>
        <v>4208.333333333333</v>
      </c>
      <c r="W92" s="97">
        <f t="shared" si="3"/>
        <v>4208.333333333333</v>
      </c>
      <c r="X92" s="97">
        <f t="shared" si="3"/>
        <v>4208.333333333333</v>
      </c>
      <c r="Y92" s="97">
        <f t="shared" si="3"/>
        <v>4208.333333333333</v>
      </c>
      <c r="Z92" s="97">
        <f t="shared" si="3"/>
        <v>4208.333333333333</v>
      </c>
      <c r="AA92" s="97">
        <f t="shared" si="3"/>
        <v>4208.333333333333</v>
      </c>
      <c r="AB92" s="97">
        <f t="shared" si="3"/>
        <v>4208.333333333333</v>
      </c>
      <c r="AC92" s="97">
        <f t="shared" si="3"/>
        <v>4208.333333333333</v>
      </c>
      <c r="AD92" s="97">
        <f t="shared" si="3"/>
        <v>4208.333333333333</v>
      </c>
      <c r="AE92" s="97">
        <f t="shared" si="3"/>
        <v>4208.333333333333</v>
      </c>
      <c r="AF92" s="97">
        <f t="shared" si="3"/>
        <v>4208.333333333333</v>
      </c>
      <c r="AG92" s="97">
        <f t="shared" si="3"/>
        <v>4208.333333333333</v>
      </c>
      <c r="AH92" s="97">
        <f t="shared" si="3"/>
        <v>4208.333333333333</v>
      </c>
      <c r="AI92" s="97">
        <f t="shared" si="3"/>
        <v>4208.333333333333</v>
      </c>
      <c r="AJ92" s="97">
        <f t="shared" si="3"/>
        <v>4208.333333333333</v>
      </c>
      <c r="AK92" s="97">
        <f t="shared" si="3"/>
        <v>4208.333333333333</v>
      </c>
      <c r="AL92" s="97">
        <f t="shared" si="3"/>
        <v>4208.333333333333</v>
      </c>
      <c r="AM92" s="97">
        <f t="shared" si="3"/>
        <v>4208.333333333333</v>
      </c>
      <c r="AN92" s="97">
        <f t="shared" si="3"/>
        <v>4208.333333333333</v>
      </c>
      <c r="AO92" s="97">
        <f t="shared" si="3"/>
        <v>4208.333333333333</v>
      </c>
      <c r="AP92" s="97">
        <f t="shared" si="3"/>
        <v>4208.333333333333</v>
      </c>
      <c r="AQ92" s="97">
        <f t="shared" si="3"/>
        <v>4208.333333333333</v>
      </c>
      <c r="AR92" s="97">
        <f t="shared" si="3"/>
        <v>4208.333333333333</v>
      </c>
      <c r="AS92" s="97">
        <f t="shared" si="3"/>
        <v>4208.333333333333</v>
      </c>
      <c r="AT92" s="97">
        <f t="shared" si="3"/>
        <v>4208.333333333333</v>
      </c>
      <c r="AU92" s="97">
        <f t="shared" si="3"/>
        <v>4208.333333333333</v>
      </c>
      <c r="AV92" s="97">
        <f t="shared" si="3"/>
        <v>4208.333333333333</v>
      </c>
      <c r="AW92" s="97">
        <f t="shared" si="3"/>
        <v>4208.333333333333</v>
      </c>
      <c r="AX92" s="97">
        <f t="shared" si="3"/>
        <v>4208.333333333333</v>
      </c>
    </row>
    <row r="93" spans="2:50" x14ac:dyDescent="0.15">
      <c r="B93" s="96" t="s">
        <v>109</v>
      </c>
      <c r="C93" s="97">
        <f t="shared" si="4"/>
        <v>4208.333333333333</v>
      </c>
      <c r="D93" s="97">
        <f t="shared" si="4"/>
        <v>4208.333333333333</v>
      </c>
      <c r="E93" s="97">
        <f t="shared" si="4"/>
        <v>4208.333333333333</v>
      </c>
      <c r="F93" s="97">
        <f t="shared" si="4"/>
        <v>4208.333333333333</v>
      </c>
      <c r="G93" s="97">
        <f t="shared" si="4"/>
        <v>4208.333333333333</v>
      </c>
      <c r="H93" s="97">
        <f t="shared" si="4"/>
        <v>4208.333333333333</v>
      </c>
      <c r="I93" s="97">
        <f t="shared" si="4"/>
        <v>4208.333333333333</v>
      </c>
      <c r="J93" s="97">
        <f t="shared" si="4"/>
        <v>4208.333333333333</v>
      </c>
      <c r="K93" s="97">
        <f t="shared" si="4"/>
        <v>4208.333333333333</v>
      </c>
      <c r="L93" s="97">
        <f t="shared" si="4"/>
        <v>4208.333333333333</v>
      </c>
      <c r="M93" s="97">
        <f t="shared" si="4"/>
        <v>4208.333333333333</v>
      </c>
      <c r="N93" s="97">
        <f t="shared" si="4"/>
        <v>4208.333333333333</v>
      </c>
      <c r="O93" s="97">
        <f t="shared" si="4"/>
        <v>4208.333333333333</v>
      </c>
      <c r="P93" s="97">
        <f t="shared" si="4"/>
        <v>4208.333333333333</v>
      </c>
      <c r="Q93" s="97">
        <f t="shared" si="4"/>
        <v>4208.333333333333</v>
      </c>
      <c r="R93" s="97">
        <f t="shared" si="4"/>
        <v>4208.333333333333</v>
      </c>
      <c r="S93" s="97">
        <f t="shared" si="3"/>
        <v>4208.333333333333</v>
      </c>
      <c r="T93" s="97">
        <f t="shared" si="3"/>
        <v>4208.333333333333</v>
      </c>
      <c r="U93" s="97">
        <f t="shared" si="3"/>
        <v>4208.333333333333</v>
      </c>
      <c r="V93" s="97">
        <f t="shared" si="3"/>
        <v>4208.333333333333</v>
      </c>
      <c r="W93" s="97">
        <f t="shared" si="3"/>
        <v>4208.333333333333</v>
      </c>
      <c r="X93" s="97">
        <f t="shared" si="3"/>
        <v>4208.333333333333</v>
      </c>
      <c r="Y93" s="97">
        <f t="shared" si="3"/>
        <v>4208.333333333333</v>
      </c>
      <c r="Z93" s="97">
        <f t="shared" si="3"/>
        <v>4208.333333333333</v>
      </c>
      <c r="AA93" s="97">
        <f t="shared" si="3"/>
        <v>4208.333333333333</v>
      </c>
      <c r="AB93" s="97">
        <f t="shared" si="3"/>
        <v>4208.333333333333</v>
      </c>
      <c r="AC93" s="97">
        <f t="shared" si="3"/>
        <v>4208.333333333333</v>
      </c>
      <c r="AD93" s="97">
        <f t="shared" si="3"/>
        <v>4208.333333333333</v>
      </c>
      <c r="AE93" s="97">
        <f t="shared" si="3"/>
        <v>4208.333333333333</v>
      </c>
      <c r="AF93" s="97">
        <f t="shared" si="3"/>
        <v>4208.333333333333</v>
      </c>
      <c r="AG93" s="97">
        <f t="shared" si="3"/>
        <v>4208.333333333333</v>
      </c>
      <c r="AH93" s="97">
        <f t="shared" si="3"/>
        <v>4208.333333333333</v>
      </c>
      <c r="AI93" s="97">
        <f t="shared" si="3"/>
        <v>4208.333333333333</v>
      </c>
      <c r="AJ93" s="97">
        <f t="shared" si="3"/>
        <v>4208.333333333333</v>
      </c>
      <c r="AK93" s="97">
        <f t="shared" si="3"/>
        <v>4208.333333333333</v>
      </c>
      <c r="AL93" s="97">
        <f t="shared" si="3"/>
        <v>4208.333333333333</v>
      </c>
      <c r="AM93" s="97">
        <f t="shared" si="3"/>
        <v>4208.333333333333</v>
      </c>
      <c r="AN93" s="97">
        <f t="shared" si="3"/>
        <v>4208.333333333333</v>
      </c>
      <c r="AO93" s="97">
        <f t="shared" si="3"/>
        <v>4208.333333333333</v>
      </c>
      <c r="AP93" s="97">
        <f t="shared" si="3"/>
        <v>4208.333333333333</v>
      </c>
      <c r="AQ93" s="97">
        <f t="shared" si="3"/>
        <v>4208.333333333333</v>
      </c>
      <c r="AR93" s="97">
        <f t="shared" si="3"/>
        <v>4208.333333333333</v>
      </c>
      <c r="AS93" s="97">
        <f t="shared" si="3"/>
        <v>4208.333333333333</v>
      </c>
      <c r="AT93" s="97">
        <f t="shared" si="3"/>
        <v>4208.333333333333</v>
      </c>
      <c r="AU93" s="97">
        <f t="shared" si="3"/>
        <v>4208.333333333333</v>
      </c>
      <c r="AV93" s="97">
        <f t="shared" si="3"/>
        <v>4208.333333333333</v>
      </c>
      <c r="AW93" s="97">
        <f t="shared" si="3"/>
        <v>4208.333333333333</v>
      </c>
      <c r="AX93" s="97">
        <f t="shared" si="3"/>
        <v>4208.333333333333</v>
      </c>
    </row>
    <row r="94" spans="2:50" x14ac:dyDescent="0.15">
      <c r="B94" s="98"/>
    </row>
    <row r="95" spans="2:50" x14ac:dyDescent="0.15">
      <c r="B95" s="171" t="s">
        <v>334</v>
      </c>
    </row>
    <row r="96" spans="2:50" x14ac:dyDescent="0.15">
      <c r="B96" s="172"/>
      <c r="C96" s="102" t="s">
        <v>92</v>
      </c>
      <c r="D96" s="98"/>
      <c r="E96" s="98"/>
      <c r="F96" s="98"/>
      <c r="G96" s="102" t="s">
        <v>93</v>
      </c>
      <c r="H96" s="98"/>
      <c r="I96" s="98"/>
      <c r="J96" s="98"/>
      <c r="K96" s="102" t="s">
        <v>94</v>
      </c>
      <c r="L96" s="98"/>
      <c r="M96" s="98"/>
      <c r="N96" s="98"/>
      <c r="O96" s="102" t="s">
        <v>95</v>
      </c>
      <c r="P96" s="98"/>
      <c r="Q96" s="98"/>
      <c r="R96" s="98"/>
      <c r="S96" s="102" t="s">
        <v>96</v>
      </c>
      <c r="T96" s="98"/>
      <c r="U96" s="98"/>
      <c r="V96" s="98"/>
      <c r="W96" s="102" t="s">
        <v>97</v>
      </c>
      <c r="X96" s="98"/>
      <c r="Y96" s="98"/>
      <c r="Z96" s="98"/>
      <c r="AA96" s="102" t="s">
        <v>98</v>
      </c>
      <c r="AB96" s="98"/>
      <c r="AC96" s="98"/>
      <c r="AD96" s="98"/>
      <c r="AE96" s="102" t="s">
        <v>99</v>
      </c>
      <c r="AF96" s="98"/>
      <c r="AG96" s="98"/>
      <c r="AH96" s="98"/>
      <c r="AI96" s="102" t="s">
        <v>100</v>
      </c>
      <c r="AJ96" s="98"/>
      <c r="AK96" s="98"/>
      <c r="AL96" s="98"/>
      <c r="AM96" s="102" t="s">
        <v>101</v>
      </c>
      <c r="AN96" s="98"/>
      <c r="AO96" s="98"/>
      <c r="AP96" s="98"/>
      <c r="AQ96" s="102" t="s">
        <v>102</v>
      </c>
      <c r="AR96" s="98"/>
      <c r="AS96" s="98"/>
      <c r="AT96" s="98"/>
      <c r="AU96" s="102" t="s">
        <v>103</v>
      </c>
      <c r="AV96" s="98"/>
      <c r="AW96" s="98"/>
    </row>
    <row r="97" spans="1:50" x14ac:dyDescent="0.15">
      <c r="A97" s="173" t="s">
        <v>121</v>
      </c>
      <c r="B97" s="173" t="s">
        <v>335</v>
      </c>
      <c r="C97" s="102">
        <v>1</v>
      </c>
      <c r="D97" s="102">
        <v>2</v>
      </c>
      <c r="E97" s="102">
        <v>3</v>
      </c>
      <c r="F97" s="102">
        <v>4</v>
      </c>
      <c r="G97" s="102">
        <v>1</v>
      </c>
      <c r="H97" s="102">
        <v>2</v>
      </c>
      <c r="I97" s="102">
        <v>3</v>
      </c>
      <c r="J97" s="102">
        <v>4</v>
      </c>
      <c r="K97" s="102">
        <v>1</v>
      </c>
      <c r="L97" s="102">
        <v>2</v>
      </c>
      <c r="M97" s="102">
        <v>3</v>
      </c>
      <c r="N97" s="102">
        <v>4</v>
      </c>
      <c r="O97" s="102">
        <v>1</v>
      </c>
      <c r="P97" s="102">
        <v>2</v>
      </c>
      <c r="Q97" s="102">
        <v>3</v>
      </c>
      <c r="R97" s="102">
        <v>4</v>
      </c>
      <c r="S97" s="102">
        <v>1</v>
      </c>
      <c r="T97" s="102">
        <v>2</v>
      </c>
      <c r="U97" s="102">
        <v>3</v>
      </c>
      <c r="V97" s="102">
        <v>4</v>
      </c>
      <c r="W97" s="102">
        <v>1</v>
      </c>
      <c r="X97" s="102">
        <v>2</v>
      </c>
      <c r="Y97" s="102">
        <v>3</v>
      </c>
      <c r="Z97" s="102">
        <v>4</v>
      </c>
      <c r="AA97" s="102">
        <v>1</v>
      </c>
      <c r="AB97" s="102">
        <v>2</v>
      </c>
      <c r="AC97" s="102">
        <v>3</v>
      </c>
      <c r="AD97" s="102">
        <v>4</v>
      </c>
      <c r="AE97" s="102">
        <v>1</v>
      </c>
      <c r="AF97" s="102">
        <v>2</v>
      </c>
      <c r="AG97" s="102">
        <v>3</v>
      </c>
      <c r="AH97" s="102">
        <v>4</v>
      </c>
      <c r="AI97" s="102">
        <v>1</v>
      </c>
      <c r="AJ97" s="102">
        <v>2</v>
      </c>
      <c r="AK97" s="102">
        <v>3</v>
      </c>
      <c r="AL97" s="102">
        <v>4</v>
      </c>
      <c r="AM97" s="102">
        <v>1</v>
      </c>
      <c r="AN97" s="102">
        <v>2</v>
      </c>
      <c r="AO97" s="102">
        <v>3</v>
      </c>
      <c r="AP97" s="102">
        <v>4</v>
      </c>
      <c r="AQ97" s="102">
        <v>1</v>
      </c>
      <c r="AR97" s="102">
        <v>2</v>
      </c>
      <c r="AS97" s="102">
        <v>3</v>
      </c>
      <c r="AT97" s="102">
        <v>4</v>
      </c>
      <c r="AU97" s="102">
        <v>1</v>
      </c>
      <c r="AV97" s="102">
        <v>2</v>
      </c>
      <c r="AW97" s="102">
        <v>3</v>
      </c>
      <c r="AX97" s="102">
        <v>4</v>
      </c>
    </row>
    <row r="98" spans="1:50" x14ac:dyDescent="0.15">
      <c r="A98" s="102" t="s">
        <v>104</v>
      </c>
      <c r="B98" s="102" t="s">
        <v>5</v>
      </c>
      <c r="C98" s="97">
        <v>5743.105743099999</v>
      </c>
      <c r="D98" s="97">
        <v>5743.105743099999</v>
      </c>
      <c r="E98" s="97">
        <v>5743.105743099999</v>
      </c>
      <c r="F98" s="97">
        <v>5743.105743099999</v>
      </c>
      <c r="G98" s="97">
        <v>5743.105743099999</v>
      </c>
      <c r="H98" s="97">
        <v>5743.105743099999</v>
      </c>
      <c r="I98" s="97">
        <v>5743.105743099999</v>
      </c>
      <c r="J98" s="97">
        <v>5743.105743099999</v>
      </c>
      <c r="K98" s="97">
        <v>5743.105743099999</v>
      </c>
      <c r="L98" s="97">
        <v>5743.105743099999</v>
      </c>
      <c r="M98" s="97">
        <v>5743.105743099999</v>
      </c>
      <c r="N98" s="97">
        <v>5743.105743099999</v>
      </c>
      <c r="O98" s="97">
        <v>5743.105743099999</v>
      </c>
      <c r="P98" s="97">
        <v>5743.105743099999</v>
      </c>
      <c r="Q98" s="97">
        <v>5743.105743099999</v>
      </c>
      <c r="R98" s="97">
        <v>5743.105743099999</v>
      </c>
      <c r="S98" s="97">
        <v>5743.105743099999</v>
      </c>
      <c r="T98" s="97">
        <v>5743.105743099999</v>
      </c>
      <c r="U98" s="97">
        <v>5743.105743099999</v>
      </c>
      <c r="V98" s="97">
        <v>5743.105743099999</v>
      </c>
      <c r="W98" s="97">
        <v>5743.105743099999</v>
      </c>
      <c r="X98" s="97">
        <v>5743.105743099999</v>
      </c>
      <c r="Y98" s="97">
        <v>5743.105743099999</v>
      </c>
      <c r="Z98" s="97">
        <v>5743.105743099999</v>
      </c>
      <c r="AA98" s="97">
        <v>5743.105743099999</v>
      </c>
      <c r="AB98" s="97">
        <v>5743.105743099999</v>
      </c>
      <c r="AC98" s="97">
        <v>5743.105743099999</v>
      </c>
      <c r="AD98" s="97">
        <v>5743.105743099999</v>
      </c>
      <c r="AE98" s="97">
        <v>5743.105743099999</v>
      </c>
      <c r="AF98" s="97">
        <v>5743.105743099999</v>
      </c>
      <c r="AG98" s="97">
        <v>5743.105743099999</v>
      </c>
      <c r="AH98" s="97">
        <v>5743.105743099999</v>
      </c>
      <c r="AI98" s="97">
        <v>5743.105743099999</v>
      </c>
      <c r="AJ98" s="97">
        <v>5743.105743099999</v>
      </c>
      <c r="AK98" s="97">
        <v>5743.105743099999</v>
      </c>
      <c r="AL98" s="97">
        <v>5743.105743099999</v>
      </c>
      <c r="AM98" s="97">
        <v>5743.105743099999</v>
      </c>
      <c r="AN98" s="97">
        <v>5743.105743099999</v>
      </c>
      <c r="AO98" s="97">
        <v>5743.105743099999</v>
      </c>
      <c r="AP98" s="97">
        <v>5743.105743099999</v>
      </c>
      <c r="AQ98" s="97">
        <v>5743.105743099999</v>
      </c>
      <c r="AR98" s="97">
        <v>5743.105743099999</v>
      </c>
      <c r="AS98" s="97">
        <v>5743.105743099999</v>
      </c>
      <c r="AT98" s="97">
        <v>5743.105743099999</v>
      </c>
      <c r="AU98" s="97">
        <v>5743.105743099999</v>
      </c>
      <c r="AV98" s="97">
        <v>5743.105743099999</v>
      </c>
      <c r="AW98" s="97">
        <v>5743.105743099999</v>
      </c>
      <c r="AX98" s="97">
        <v>5743.105743099999</v>
      </c>
    </row>
    <row r="99" spans="1:50" x14ac:dyDescent="0.15">
      <c r="B99" s="102" t="s">
        <v>10</v>
      </c>
      <c r="C99" s="97">
        <v>47464.999525349995</v>
      </c>
      <c r="D99" s="97">
        <v>47464.999525349995</v>
      </c>
      <c r="E99" s="97">
        <v>47464.999525349995</v>
      </c>
      <c r="F99" s="97">
        <v>47464.999525349995</v>
      </c>
      <c r="G99" s="97">
        <v>47464.999525349995</v>
      </c>
      <c r="H99" s="97">
        <v>47464.999525349995</v>
      </c>
      <c r="I99" s="97">
        <v>47464.999525349995</v>
      </c>
      <c r="J99" s="97">
        <v>47464.999525349995</v>
      </c>
      <c r="K99" s="97">
        <v>47464.999525349995</v>
      </c>
      <c r="L99" s="97">
        <v>47464.999525349995</v>
      </c>
      <c r="M99" s="97">
        <v>47464.999525349995</v>
      </c>
      <c r="N99" s="97">
        <v>47464.999525349995</v>
      </c>
      <c r="O99" s="97">
        <v>47464.999525349995</v>
      </c>
      <c r="P99" s="97">
        <v>47464.999525349995</v>
      </c>
      <c r="Q99" s="97">
        <v>47464.999525349995</v>
      </c>
      <c r="R99" s="97">
        <v>47464.999525349995</v>
      </c>
      <c r="S99" s="97">
        <v>47464.999525349995</v>
      </c>
      <c r="T99" s="97">
        <v>47464.999525349995</v>
      </c>
      <c r="U99" s="97">
        <v>47464.999525349995</v>
      </c>
      <c r="V99" s="97">
        <v>47464.999525349995</v>
      </c>
      <c r="W99" s="97">
        <v>47464.999525349995</v>
      </c>
      <c r="X99" s="97">
        <v>47464.999525349995</v>
      </c>
      <c r="Y99" s="97">
        <v>47464.999525349995</v>
      </c>
      <c r="Z99" s="97">
        <v>47464.999525349995</v>
      </c>
      <c r="AA99" s="97">
        <v>47464.999525349995</v>
      </c>
      <c r="AB99" s="97">
        <v>47464.999525349995</v>
      </c>
      <c r="AC99" s="97">
        <v>47464.999525349995</v>
      </c>
      <c r="AD99" s="97">
        <v>47464.999525349995</v>
      </c>
      <c r="AE99" s="97">
        <v>47464.999525349995</v>
      </c>
      <c r="AF99" s="97">
        <v>47464.999525349995</v>
      </c>
      <c r="AG99" s="97">
        <v>47464.999525349995</v>
      </c>
      <c r="AH99" s="97">
        <v>47464.999525349995</v>
      </c>
      <c r="AI99" s="97">
        <v>47464.999525349995</v>
      </c>
      <c r="AJ99" s="97">
        <v>47464.999525349995</v>
      </c>
      <c r="AK99" s="97">
        <v>47464.999525349995</v>
      </c>
      <c r="AL99" s="97">
        <v>47464.999525349995</v>
      </c>
      <c r="AM99" s="97">
        <v>47464.999525349995</v>
      </c>
      <c r="AN99" s="97">
        <v>47464.999525349995</v>
      </c>
      <c r="AO99" s="97">
        <v>47464.999525349995</v>
      </c>
      <c r="AP99" s="97">
        <v>47464.999525349995</v>
      </c>
      <c r="AQ99" s="97">
        <v>47464.999525349995</v>
      </c>
      <c r="AR99" s="97">
        <v>47464.999525349995</v>
      </c>
      <c r="AS99" s="97">
        <v>47464.999525349995</v>
      </c>
      <c r="AT99" s="97">
        <v>47464.999525349995</v>
      </c>
      <c r="AU99" s="97">
        <v>47464.999525349995</v>
      </c>
      <c r="AV99" s="97">
        <v>47464.999525349995</v>
      </c>
      <c r="AW99" s="97">
        <v>47464.999525349995</v>
      </c>
      <c r="AX99" s="97">
        <v>47464.999525349995</v>
      </c>
    </row>
    <row r="100" spans="1:50" x14ac:dyDescent="0.15">
      <c r="B100" s="102" t="s">
        <v>12</v>
      </c>
      <c r="C100" s="97">
        <v>152783.72584942498</v>
      </c>
      <c r="D100" s="97">
        <v>152783.72584942498</v>
      </c>
      <c r="E100" s="97">
        <v>152783.72584942498</v>
      </c>
      <c r="F100" s="97">
        <v>152783.72584942498</v>
      </c>
      <c r="G100" s="97">
        <v>152783.72584942498</v>
      </c>
      <c r="H100" s="97">
        <v>152783.72584942498</v>
      </c>
      <c r="I100" s="97">
        <v>152783.72584942498</v>
      </c>
      <c r="J100" s="97">
        <v>152783.72584942498</v>
      </c>
      <c r="K100" s="97">
        <v>152783.72584942498</v>
      </c>
      <c r="L100" s="97">
        <v>152783.72584942498</v>
      </c>
      <c r="M100" s="97">
        <v>152783.72584942498</v>
      </c>
      <c r="N100" s="97">
        <v>152783.72584942498</v>
      </c>
      <c r="O100" s="97">
        <v>152783.72584942498</v>
      </c>
      <c r="P100" s="97">
        <v>152783.72584942498</v>
      </c>
      <c r="Q100" s="97">
        <v>152783.72584942498</v>
      </c>
      <c r="R100" s="97">
        <v>152783.72584942498</v>
      </c>
      <c r="S100" s="97">
        <v>152783.72584942498</v>
      </c>
      <c r="T100" s="97">
        <v>152783.72584942498</v>
      </c>
      <c r="U100" s="97">
        <v>152783.72584942498</v>
      </c>
      <c r="V100" s="97">
        <v>152783.72584942498</v>
      </c>
      <c r="W100" s="97">
        <v>152783.72584942498</v>
      </c>
      <c r="X100" s="97">
        <v>152783.72584942498</v>
      </c>
      <c r="Y100" s="97">
        <v>152783.72584942498</v>
      </c>
      <c r="Z100" s="97">
        <v>152783.72584942498</v>
      </c>
      <c r="AA100" s="97">
        <v>152783.72584942498</v>
      </c>
      <c r="AB100" s="97">
        <v>152783.72584942498</v>
      </c>
      <c r="AC100" s="97">
        <v>152783.72584942498</v>
      </c>
      <c r="AD100" s="97">
        <v>152783.72584942498</v>
      </c>
      <c r="AE100" s="97">
        <v>152783.72584942498</v>
      </c>
      <c r="AF100" s="97">
        <v>152783.72584942498</v>
      </c>
      <c r="AG100" s="97">
        <v>152783.72584942498</v>
      </c>
      <c r="AH100" s="97">
        <v>152783.72584942498</v>
      </c>
      <c r="AI100" s="97">
        <v>152783.72584942498</v>
      </c>
      <c r="AJ100" s="97">
        <v>152783.72584942498</v>
      </c>
      <c r="AK100" s="97">
        <v>152783.72584942498</v>
      </c>
      <c r="AL100" s="97">
        <v>152783.72584942498</v>
      </c>
      <c r="AM100" s="97">
        <v>152783.72584942498</v>
      </c>
      <c r="AN100" s="97">
        <v>152783.72584942498</v>
      </c>
      <c r="AO100" s="97">
        <v>152783.72584942498</v>
      </c>
      <c r="AP100" s="97">
        <v>152783.72584942498</v>
      </c>
      <c r="AQ100" s="97">
        <v>152783.72584942498</v>
      </c>
      <c r="AR100" s="97">
        <v>152783.72584942498</v>
      </c>
      <c r="AS100" s="97">
        <v>152783.72584942498</v>
      </c>
      <c r="AT100" s="97">
        <v>152783.72584942498</v>
      </c>
      <c r="AU100" s="97">
        <v>152783.72584942498</v>
      </c>
      <c r="AV100" s="97">
        <v>152783.72584942498</v>
      </c>
      <c r="AW100" s="97">
        <v>152783.72584942498</v>
      </c>
      <c r="AX100" s="97">
        <v>152783.72584942498</v>
      </c>
    </row>
    <row r="101" spans="1:50" x14ac:dyDescent="0.15">
      <c r="B101" s="102" t="s">
        <v>22</v>
      </c>
      <c r="C101" s="97">
        <v>567342.48340174148</v>
      </c>
      <c r="D101" s="97">
        <v>567342.48340174148</v>
      </c>
      <c r="E101" s="97">
        <v>567342.48340174148</v>
      </c>
      <c r="F101" s="97">
        <v>567342.48340174148</v>
      </c>
      <c r="G101" s="97">
        <v>567342.48340174148</v>
      </c>
      <c r="H101" s="97">
        <v>567342.48340174148</v>
      </c>
      <c r="I101" s="97">
        <v>567342.48340174148</v>
      </c>
      <c r="J101" s="97">
        <v>567342.48340174148</v>
      </c>
      <c r="K101" s="97">
        <v>567342.48340174148</v>
      </c>
      <c r="L101" s="97">
        <v>567342.48340174148</v>
      </c>
      <c r="M101" s="97">
        <v>567342.48340174148</v>
      </c>
      <c r="N101" s="97">
        <v>567342.48340174148</v>
      </c>
      <c r="O101" s="97">
        <v>567342.48340174148</v>
      </c>
      <c r="P101" s="97">
        <v>567342.48340174148</v>
      </c>
      <c r="Q101" s="97">
        <v>567342.48340174148</v>
      </c>
      <c r="R101" s="97">
        <v>567342.48340174148</v>
      </c>
      <c r="S101" s="97">
        <v>567342.48340174148</v>
      </c>
      <c r="T101" s="97">
        <v>567342.48340174148</v>
      </c>
      <c r="U101" s="97">
        <v>567342.48340174148</v>
      </c>
      <c r="V101" s="97">
        <v>567342.48340174148</v>
      </c>
      <c r="W101" s="97">
        <v>567342.48340174148</v>
      </c>
      <c r="X101" s="97">
        <v>567342.48340174148</v>
      </c>
      <c r="Y101" s="97">
        <v>567342.48340174148</v>
      </c>
      <c r="Z101" s="97">
        <v>567342.48340174148</v>
      </c>
      <c r="AA101" s="97">
        <v>567342.48340174148</v>
      </c>
      <c r="AB101" s="97">
        <v>567342.48340174148</v>
      </c>
      <c r="AC101" s="97">
        <v>567342.48340174148</v>
      </c>
      <c r="AD101" s="97">
        <v>567342.48340174148</v>
      </c>
      <c r="AE101" s="97">
        <v>567342.48340174148</v>
      </c>
      <c r="AF101" s="97">
        <v>567342.48340174148</v>
      </c>
      <c r="AG101" s="97">
        <v>567342.48340174148</v>
      </c>
      <c r="AH101" s="97">
        <v>567342.48340174148</v>
      </c>
      <c r="AI101" s="97">
        <v>567342.48340174148</v>
      </c>
      <c r="AJ101" s="97">
        <v>567342.48340174148</v>
      </c>
      <c r="AK101" s="97">
        <v>567342.48340174148</v>
      </c>
      <c r="AL101" s="97">
        <v>567342.48340174148</v>
      </c>
      <c r="AM101" s="97">
        <v>567342.48340174148</v>
      </c>
      <c r="AN101" s="97">
        <v>567342.48340174148</v>
      </c>
      <c r="AO101" s="97">
        <v>567342.48340174148</v>
      </c>
      <c r="AP101" s="97">
        <v>567342.48340174148</v>
      </c>
      <c r="AQ101" s="97">
        <v>567342.48340174148</v>
      </c>
      <c r="AR101" s="97">
        <v>567342.48340174148</v>
      </c>
      <c r="AS101" s="97">
        <v>567342.48340174148</v>
      </c>
      <c r="AT101" s="97">
        <v>567342.48340174148</v>
      </c>
      <c r="AU101" s="97">
        <v>567342.48340174148</v>
      </c>
      <c r="AV101" s="97">
        <v>567342.48340174148</v>
      </c>
      <c r="AW101" s="97">
        <v>567342.48340174148</v>
      </c>
      <c r="AX101" s="97">
        <v>567342.48340174148</v>
      </c>
    </row>
    <row r="102" spans="1:50" x14ac:dyDescent="0.15">
      <c r="B102" s="102" t="s">
        <v>59</v>
      </c>
      <c r="C102" s="97">
        <v>430960.52497079992</v>
      </c>
      <c r="D102" s="97">
        <v>430960.52497079992</v>
      </c>
      <c r="E102" s="97">
        <v>430960.52497079992</v>
      </c>
      <c r="F102" s="97">
        <v>430960.52497079992</v>
      </c>
      <c r="G102" s="97">
        <v>430960.52497079992</v>
      </c>
      <c r="H102" s="97">
        <v>430960.52497079992</v>
      </c>
      <c r="I102" s="97">
        <v>430960.52497079992</v>
      </c>
      <c r="J102" s="97">
        <v>430960.52497079992</v>
      </c>
      <c r="K102" s="97">
        <v>430960.52497079992</v>
      </c>
      <c r="L102" s="97">
        <v>430960.52497079992</v>
      </c>
      <c r="M102" s="97">
        <v>430960.52497079992</v>
      </c>
      <c r="N102" s="97">
        <v>430960.52497079992</v>
      </c>
      <c r="O102" s="97">
        <v>430960.52497079992</v>
      </c>
      <c r="P102" s="97">
        <v>430960.52497079992</v>
      </c>
      <c r="Q102" s="97">
        <v>430960.52497079992</v>
      </c>
      <c r="R102" s="97">
        <v>430960.52497079992</v>
      </c>
      <c r="S102" s="97">
        <v>430960.52497079992</v>
      </c>
      <c r="T102" s="97">
        <v>430960.52497079992</v>
      </c>
      <c r="U102" s="97">
        <v>430960.52497079992</v>
      </c>
      <c r="V102" s="97">
        <v>430960.52497079992</v>
      </c>
      <c r="W102" s="97">
        <v>430960.52497079992</v>
      </c>
      <c r="X102" s="97">
        <v>430960.52497079992</v>
      </c>
      <c r="Y102" s="97">
        <v>430960.52497079992</v>
      </c>
      <c r="Z102" s="97">
        <v>430960.52497079992</v>
      </c>
      <c r="AA102" s="97">
        <v>430960.52497079992</v>
      </c>
      <c r="AB102" s="97">
        <v>430960.52497079992</v>
      </c>
      <c r="AC102" s="97">
        <v>430960.52497079992</v>
      </c>
      <c r="AD102" s="97">
        <v>430960.52497079992</v>
      </c>
      <c r="AE102" s="97">
        <v>430960.52497079992</v>
      </c>
      <c r="AF102" s="97">
        <v>430960.52497079992</v>
      </c>
      <c r="AG102" s="97">
        <v>430960.52497079992</v>
      </c>
      <c r="AH102" s="97">
        <v>430960.52497079992</v>
      </c>
      <c r="AI102" s="97">
        <v>430960.52497079992</v>
      </c>
      <c r="AJ102" s="97">
        <v>430960.52497079992</v>
      </c>
      <c r="AK102" s="97">
        <v>430960.52497079992</v>
      </c>
      <c r="AL102" s="97">
        <v>430960.52497079992</v>
      </c>
      <c r="AM102" s="97">
        <v>430960.52497079992</v>
      </c>
      <c r="AN102" s="97">
        <v>430960.52497079992</v>
      </c>
      <c r="AO102" s="97">
        <v>430960.52497079992</v>
      </c>
      <c r="AP102" s="97">
        <v>430960.52497079992</v>
      </c>
      <c r="AQ102" s="97">
        <v>430960.52497079992</v>
      </c>
      <c r="AR102" s="97">
        <v>430960.52497079992</v>
      </c>
      <c r="AS102" s="97">
        <v>430960.52497079992</v>
      </c>
      <c r="AT102" s="97">
        <v>430960.52497079992</v>
      </c>
      <c r="AU102" s="97">
        <v>430960.52497079992</v>
      </c>
      <c r="AV102" s="97">
        <v>430960.52497079992</v>
      </c>
      <c r="AW102" s="97">
        <v>430960.52497079992</v>
      </c>
      <c r="AX102" s="97">
        <v>430960.52497079992</v>
      </c>
    </row>
    <row r="103" spans="1:50" x14ac:dyDescent="0.15">
      <c r="B103" s="97" t="s">
        <v>277</v>
      </c>
      <c r="C103" s="102">
        <f>SUM(C$98:C$102)</f>
        <v>1204294.8394904165</v>
      </c>
      <c r="D103" s="102">
        <f t="shared" ref="D103:AX103" si="5">SUM(D$98:D$102)</f>
        <v>1204294.8394904165</v>
      </c>
      <c r="E103" s="102">
        <f t="shared" si="5"/>
        <v>1204294.8394904165</v>
      </c>
      <c r="F103" s="102">
        <f t="shared" si="5"/>
        <v>1204294.8394904165</v>
      </c>
      <c r="G103" s="102">
        <f t="shared" si="5"/>
        <v>1204294.8394904165</v>
      </c>
      <c r="H103" s="102">
        <f t="shared" si="5"/>
        <v>1204294.8394904165</v>
      </c>
      <c r="I103" s="102">
        <f t="shared" si="5"/>
        <v>1204294.8394904165</v>
      </c>
      <c r="J103" s="102">
        <f t="shared" si="5"/>
        <v>1204294.8394904165</v>
      </c>
      <c r="K103" s="102">
        <f t="shared" si="5"/>
        <v>1204294.8394904165</v>
      </c>
      <c r="L103" s="102">
        <f t="shared" si="5"/>
        <v>1204294.8394904165</v>
      </c>
      <c r="M103" s="102">
        <f t="shared" si="5"/>
        <v>1204294.8394904165</v>
      </c>
      <c r="N103" s="102">
        <f t="shared" si="5"/>
        <v>1204294.8394904165</v>
      </c>
      <c r="O103" s="102">
        <f t="shared" si="5"/>
        <v>1204294.8394904165</v>
      </c>
      <c r="P103" s="102">
        <f t="shared" si="5"/>
        <v>1204294.8394904165</v>
      </c>
      <c r="Q103" s="102">
        <f t="shared" si="5"/>
        <v>1204294.8394904165</v>
      </c>
      <c r="R103" s="102">
        <f t="shared" si="5"/>
        <v>1204294.8394904165</v>
      </c>
      <c r="S103" s="102">
        <f t="shared" si="5"/>
        <v>1204294.8394904165</v>
      </c>
      <c r="T103" s="102">
        <f t="shared" si="5"/>
        <v>1204294.8394904165</v>
      </c>
      <c r="U103" s="102">
        <f t="shared" si="5"/>
        <v>1204294.8394904165</v>
      </c>
      <c r="V103" s="102">
        <f t="shared" si="5"/>
        <v>1204294.8394904165</v>
      </c>
      <c r="W103" s="102">
        <f t="shared" si="5"/>
        <v>1204294.8394904165</v>
      </c>
      <c r="X103" s="102">
        <f t="shared" si="5"/>
        <v>1204294.8394904165</v>
      </c>
      <c r="Y103" s="102">
        <f t="shared" si="5"/>
        <v>1204294.8394904165</v>
      </c>
      <c r="Z103" s="102">
        <f t="shared" si="5"/>
        <v>1204294.8394904165</v>
      </c>
      <c r="AA103" s="102">
        <f t="shared" si="5"/>
        <v>1204294.8394904165</v>
      </c>
      <c r="AB103" s="102">
        <f t="shared" si="5"/>
        <v>1204294.8394904165</v>
      </c>
      <c r="AC103" s="102">
        <f t="shared" si="5"/>
        <v>1204294.8394904165</v>
      </c>
      <c r="AD103" s="102">
        <f t="shared" si="5"/>
        <v>1204294.8394904165</v>
      </c>
      <c r="AE103" s="102">
        <f t="shared" si="5"/>
        <v>1204294.8394904165</v>
      </c>
      <c r="AF103" s="102">
        <f t="shared" si="5"/>
        <v>1204294.8394904165</v>
      </c>
      <c r="AG103" s="102">
        <f t="shared" si="5"/>
        <v>1204294.8394904165</v>
      </c>
      <c r="AH103" s="102">
        <f t="shared" si="5"/>
        <v>1204294.8394904165</v>
      </c>
      <c r="AI103" s="102">
        <f t="shared" si="5"/>
        <v>1204294.8394904165</v>
      </c>
      <c r="AJ103" s="102">
        <f t="shared" si="5"/>
        <v>1204294.8394904165</v>
      </c>
      <c r="AK103" s="102">
        <f t="shared" si="5"/>
        <v>1204294.8394904165</v>
      </c>
      <c r="AL103" s="102">
        <f t="shared" si="5"/>
        <v>1204294.8394904165</v>
      </c>
      <c r="AM103" s="102">
        <f t="shared" si="5"/>
        <v>1204294.8394904165</v>
      </c>
      <c r="AN103" s="102">
        <f t="shared" si="5"/>
        <v>1204294.8394904165</v>
      </c>
      <c r="AO103" s="102">
        <f t="shared" si="5"/>
        <v>1204294.8394904165</v>
      </c>
      <c r="AP103" s="102">
        <f t="shared" si="5"/>
        <v>1204294.8394904165</v>
      </c>
      <c r="AQ103" s="102">
        <f t="shared" si="5"/>
        <v>1204294.8394904165</v>
      </c>
      <c r="AR103" s="102">
        <f t="shared" si="5"/>
        <v>1204294.8394904165</v>
      </c>
      <c r="AS103" s="102">
        <f t="shared" si="5"/>
        <v>1204294.8394904165</v>
      </c>
      <c r="AT103" s="102">
        <f t="shared" si="5"/>
        <v>1204294.8394904165</v>
      </c>
      <c r="AU103" s="102">
        <f t="shared" si="5"/>
        <v>1204294.8394904165</v>
      </c>
      <c r="AV103" s="102">
        <f t="shared" si="5"/>
        <v>1204294.8394904165</v>
      </c>
      <c r="AW103" s="102">
        <f t="shared" si="5"/>
        <v>1204294.8394904165</v>
      </c>
      <c r="AX103" s="102">
        <f t="shared" si="5"/>
        <v>1204294.8394904165</v>
      </c>
    </row>
    <row r="104" spans="1:50" x14ac:dyDescent="0.15">
      <c r="A104" s="102" t="s">
        <v>105</v>
      </c>
      <c r="B104" s="102" t="s">
        <v>5</v>
      </c>
      <c r="C104" s="97">
        <v>33762.88376284999</v>
      </c>
      <c r="D104" s="97">
        <v>33762.88376284999</v>
      </c>
      <c r="E104" s="97">
        <v>33762.88376284999</v>
      </c>
      <c r="F104" s="97">
        <v>33762.88376284999</v>
      </c>
      <c r="G104" s="97">
        <v>33762.88376284999</v>
      </c>
      <c r="H104" s="97">
        <v>33762.88376284999</v>
      </c>
      <c r="I104" s="97">
        <v>33762.88376284999</v>
      </c>
      <c r="J104" s="97">
        <v>33762.88376284999</v>
      </c>
      <c r="K104" s="97">
        <v>33762.88376284999</v>
      </c>
      <c r="L104" s="97">
        <v>33762.88376284999</v>
      </c>
      <c r="M104" s="97">
        <v>33762.88376284999</v>
      </c>
      <c r="N104" s="97">
        <v>33762.88376284999</v>
      </c>
      <c r="O104" s="97">
        <v>33762.88376284999</v>
      </c>
      <c r="P104" s="97">
        <v>33762.88376284999</v>
      </c>
      <c r="Q104" s="97">
        <v>33762.88376284999</v>
      </c>
      <c r="R104" s="97">
        <v>33762.88376284999</v>
      </c>
      <c r="S104" s="97">
        <v>12481.465589376132</v>
      </c>
      <c r="T104" s="97">
        <v>12507.414054387491</v>
      </c>
      <c r="U104" s="97">
        <v>12533.296337294096</v>
      </c>
      <c r="V104" s="97">
        <v>33762.88376284999</v>
      </c>
      <c r="W104" s="97">
        <v>33762.88376284999</v>
      </c>
      <c r="X104" s="97">
        <v>33762.88376284999</v>
      </c>
      <c r="Y104" s="97">
        <v>33762.88376284999</v>
      </c>
      <c r="Z104" s="97">
        <v>33762.88376284999</v>
      </c>
      <c r="AA104" s="97">
        <v>33762.88376284999</v>
      </c>
      <c r="AB104" s="97">
        <v>33762.88376284999</v>
      </c>
      <c r="AC104" s="97">
        <v>33762.88376284999</v>
      </c>
      <c r="AD104" s="97">
        <v>33762.88376284999</v>
      </c>
      <c r="AE104" s="97">
        <v>12787.566841281199</v>
      </c>
      <c r="AF104" s="97">
        <v>33762.88376284999</v>
      </c>
      <c r="AG104" s="97">
        <v>33762.88376284999</v>
      </c>
      <c r="AH104" s="97">
        <v>33762.88376284999</v>
      </c>
      <c r="AI104" s="97">
        <v>33762.88376284999</v>
      </c>
      <c r="AJ104" s="97">
        <v>33762.88376284999</v>
      </c>
      <c r="AK104" s="97">
        <v>33762.88376284999</v>
      </c>
      <c r="AL104" s="97">
        <v>33762.88376284999</v>
      </c>
      <c r="AM104" s="97">
        <v>33762.88376284999</v>
      </c>
      <c r="AN104" s="97">
        <v>33762.88376284999</v>
      </c>
      <c r="AO104" s="97">
        <v>33762.88376284999</v>
      </c>
      <c r="AP104" s="97">
        <v>33762.88376284999</v>
      </c>
      <c r="AQ104" s="97">
        <v>33762.88376284999</v>
      </c>
      <c r="AR104" s="97">
        <v>33762.88376284999</v>
      </c>
      <c r="AS104" s="97">
        <v>33762.88376284999</v>
      </c>
      <c r="AT104" s="97">
        <v>33762.88376284999</v>
      </c>
      <c r="AU104" s="97">
        <v>33762.88376284999</v>
      </c>
      <c r="AV104" s="97">
        <v>33762.88376284999</v>
      </c>
      <c r="AW104" s="97">
        <v>33762.88376284999</v>
      </c>
      <c r="AX104" s="97">
        <v>33762.88376284999</v>
      </c>
    </row>
    <row r="105" spans="1:50" x14ac:dyDescent="0.15">
      <c r="B105" s="102" t="s">
        <v>10</v>
      </c>
      <c r="C105" s="97">
        <v>6434.9999356500002</v>
      </c>
      <c r="D105" s="97">
        <v>6434.9999356500002</v>
      </c>
      <c r="E105" s="97">
        <v>6434.9999356500002</v>
      </c>
      <c r="F105" s="97">
        <v>6434.9999356500002</v>
      </c>
      <c r="G105" s="97">
        <v>6434.9999356500002</v>
      </c>
      <c r="H105" s="97">
        <v>6434.9999356500002</v>
      </c>
      <c r="I105" s="97">
        <v>6434.9999356500002</v>
      </c>
      <c r="J105" s="97">
        <v>6434.9999356500002</v>
      </c>
      <c r="K105" s="97">
        <v>6434.9999356500002</v>
      </c>
      <c r="L105" s="97">
        <v>6434.9999356500002</v>
      </c>
      <c r="M105" s="97">
        <v>6434.9999356500002</v>
      </c>
      <c r="N105" s="97">
        <v>6434.9999356500002</v>
      </c>
      <c r="O105" s="97">
        <v>6434.9999356500002</v>
      </c>
      <c r="P105" s="97">
        <v>6434.9999356500002</v>
      </c>
      <c r="Q105" s="97">
        <v>6434.9999356500002</v>
      </c>
      <c r="R105" s="97">
        <v>6434.9999356500002</v>
      </c>
      <c r="S105" s="97">
        <v>2378.8912946123673</v>
      </c>
      <c r="T105" s="97">
        <v>2383.8369139454544</v>
      </c>
      <c r="U105" s="97">
        <v>2388.7699193726075</v>
      </c>
      <c r="V105" s="97">
        <v>6434.9999356500002</v>
      </c>
      <c r="W105" s="97">
        <v>6434.9999356500002</v>
      </c>
      <c r="X105" s="97">
        <v>6434.9999356500002</v>
      </c>
      <c r="Y105" s="97">
        <v>6434.9999356500002</v>
      </c>
      <c r="Z105" s="97">
        <v>6434.9999356500002</v>
      </c>
      <c r="AA105" s="97">
        <v>6434.9999356500002</v>
      </c>
      <c r="AB105" s="97">
        <v>6434.9999356500002</v>
      </c>
      <c r="AC105" s="97">
        <v>6434.9999356500002</v>
      </c>
      <c r="AD105" s="97">
        <v>6434.9999356500002</v>
      </c>
      <c r="AE105" s="97">
        <v>2437.2323282203697</v>
      </c>
      <c r="AF105" s="97">
        <v>6434.9999356500002</v>
      </c>
      <c r="AG105" s="97">
        <v>6434.9999356500002</v>
      </c>
      <c r="AH105" s="97">
        <v>6434.9999356500002</v>
      </c>
      <c r="AI105" s="97">
        <v>6434.9999356500002</v>
      </c>
      <c r="AJ105" s="97">
        <v>6434.9999356500002</v>
      </c>
      <c r="AK105" s="97">
        <v>6434.9999356500002</v>
      </c>
      <c r="AL105" s="97">
        <v>6434.9999356500002</v>
      </c>
      <c r="AM105" s="97">
        <v>6434.9999356500002</v>
      </c>
      <c r="AN105" s="97">
        <v>6434.9999356500002</v>
      </c>
      <c r="AO105" s="97">
        <v>6434.9999356500002</v>
      </c>
      <c r="AP105" s="97">
        <v>6434.9999356500002</v>
      </c>
      <c r="AQ105" s="97">
        <v>6434.9999356500002</v>
      </c>
      <c r="AR105" s="97">
        <v>6434.9999356500002</v>
      </c>
      <c r="AS105" s="97">
        <v>6434.9999356500002</v>
      </c>
      <c r="AT105" s="97">
        <v>6434.9999356500002</v>
      </c>
      <c r="AU105" s="97">
        <v>6434.9999356500002</v>
      </c>
      <c r="AV105" s="97">
        <v>6434.9999356500002</v>
      </c>
      <c r="AW105" s="97">
        <v>6434.9999356500002</v>
      </c>
      <c r="AX105" s="97">
        <v>6434.9999356500002</v>
      </c>
    </row>
    <row r="106" spans="1:50" x14ac:dyDescent="0.15">
      <c r="B106" s="102" t="s">
        <v>12</v>
      </c>
      <c r="C106" s="97">
        <v>288196.69217075</v>
      </c>
      <c r="D106" s="97">
        <v>288196.69217075</v>
      </c>
      <c r="E106" s="97">
        <v>288196.69217075</v>
      </c>
      <c r="F106" s="97">
        <v>288196.69217075</v>
      </c>
      <c r="G106" s="97">
        <v>288196.69217075</v>
      </c>
      <c r="H106" s="97">
        <v>288196.69217075</v>
      </c>
      <c r="I106" s="97">
        <v>288196.69217075</v>
      </c>
      <c r="J106" s="97">
        <v>288196.69217075</v>
      </c>
      <c r="K106" s="97">
        <v>288196.69217075</v>
      </c>
      <c r="L106" s="97">
        <v>288196.69217075</v>
      </c>
      <c r="M106" s="97">
        <v>288196.69217075</v>
      </c>
      <c r="N106" s="97">
        <v>288196.69217075</v>
      </c>
      <c r="O106" s="97">
        <v>288196.69217075</v>
      </c>
      <c r="P106" s="97">
        <v>288196.69217075</v>
      </c>
      <c r="Q106" s="97">
        <v>288196.69217075</v>
      </c>
      <c r="R106" s="97">
        <v>288196.69217075</v>
      </c>
      <c r="S106" s="97">
        <v>106540.5763787045</v>
      </c>
      <c r="T106" s="97">
        <v>106762.06995240839</v>
      </c>
      <c r="U106" s="97">
        <v>106982.99860210266</v>
      </c>
      <c r="V106" s="97">
        <v>288196.69217075</v>
      </c>
      <c r="W106" s="97">
        <v>288196.69217075</v>
      </c>
      <c r="X106" s="97">
        <v>288196.69217075</v>
      </c>
      <c r="Y106" s="97">
        <v>288196.69217075</v>
      </c>
      <c r="Z106" s="97">
        <v>288196.69217075</v>
      </c>
      <c r="AA106" s="97">
        <v>288196.69217075</v>
      </c>
      <c r="AB106" s="97">
        <v>288196.69217075</v>
      </c>
      <c r="AC106" s="97">
        <v>288196.69217075</v>
      </c>
      <c r="AD106" s="97">
        <v>288196.69217075</v>
      </c>
      <c r="AE106" s="97">
        <v>109153.4268949105</v>
      </c>
      <c r="AF106" s="97">
        <v>288196.69217075</v>
      </c>
      <c r="AG106" s="97">
        <v>288196.69217075</v>
      </c>
      <c r="AH106" s="97">
        <v>288196.69217075</v>
      </c>
      <c r="AI106" s="97">
        <v>288196.69217075</v>
      </c>
      <c r="AJ106" s="97">
        <v>288196.69217075</v>
      </c>
      <c r="AK106" s="97">
        <v>288196.69217075</v>
      </c>
      <c r="AL106" s="97">
        <v>288196.69217075</v>
      </c>
      <c r="AM106" s="97">
        <v>288196.69217075</v>
      </c>
      <c r="AN106" s="97">
        <v>288196.69217075</v>
      </c>
      <c r="AO106" s="97">
        <v>288196.69217075</v>
      </c>
      <c r="AP106" s="97">
        <v>288196.69217075</v>
      </c>
      <c r="AQ106" s="97">
        <v>288196.69217075</v>
      </c>
      <c r="AR106" s="97">
        <v>288196.69217075</v>
      </c>
      <c r="AS106" s="97">
        <v>288196.69217075</v>
      </c>
      <c r="AT106" s="97">
        <v>288196.69217075</v>
      </c>
      <c r="AU106" s="97">
        <v>288196.69217075</v>
      </c>
      <c r="AV106" s="97">
        <v>288196.69217075</v>
      </c>
      <c r="AW106" s="97">
        <v>288196.69217075</v>
      </c>
      <c r="AX106" s="97">
        <v>288196.69217075</v>
      </c>
    </row>
    <row r="107" spans="1:50" x14ac:dyDescent="0.15">
      <c r="B107" s="102" t="s">
        <v>22</v>
      </c>
      <c r="C107" s="97">
        <v>599011.70303342491</v>
      </c>
      <c r="D107" s="97">
        <v>599011.70303342491</v>
      </c>
      <c r="E107" s="97">
        <v>599011.70303342491</v>
      </c>
      <c r="F107" s="97">
        <v>599011.70303342491</v>
      </c>
      <c r="G107" s="97">
        <v>599011.70303342491</v>
      </c>
      <c r="H107" s="97">
        <v>599011.70303342491</v>
      </c>
      <c r="I107" s="97">
        <v>599011.70303342491</v>
      </c>
      <c r="J107" s="97">
        <v>599011.70303342491</v>
      </c>
      <c r="K107" s="97">
        <v>599011.70303342491</v>
      </c>
      <c r="L107" s="97">
        <v>599011.70303342491</v>
      </c>
      <c r="M107" s="97">
        <v>599011.70303342491</v>
      </c>
      <c r="N107" s="97">
        <v>599011.70303342491</v>
      </c>
      <c r="O107" s="97">
        <v>599011.70303342491</v>
      </c>
      <c r="P107" s="97">
        <v>599011.70303342491</v>
      </c>
      <c r="Q107" s="97">
        <v>599011.70303342491</v>
      </c>
      <c r="R107" s="97">
        <v>599011.70303342491</v>
      </c>
      <c r="S107" s="97">
        <v>221442.6946335634</v>
      </c>
      <c r="T107" s="97">
        <v>221903.06509026772</v>
      </c>
      <c r="U107" s="97">
        <v>222362.26136245753</v>
      </c>
      <c r="V107" s="97">
        <v>599011.70303342491</v>
      </c>
      <c r="W107" s="97">
        <v>599011.70303342491</v>
      </c>
      <c r="X107" s="97">
        <v>599011.70303342491</v>
      </c>
      <c r="Y107" s="97">
        <v>599011.70303342491</v>
      </c>
      <c r="Z107" s="97">
        <v>599011.70303342491</v>
      </c>
      <c r="AA107" s="97">
        <v>599011.70303342491</v>
      </c>
      <c r="AB107" s="97">
        <v>599011.70303342491</v>
      </c>
      <c r="AC107" s="97">
        <v>599011.70303342491</v>
      </c>
      <c r="AD107" s="97">
        <v>599011.70303342491</v>
      </c>
      <c r="AE107" s="97">
        <v>226873.45799762392</v>
      </c>
      <c r="AF107" s="97">
        <v>599011.70303342491</v>
      </c>
      <c r="AG107" s="97">
        <v>599011.70303342491</v>
      </c>
      <c r="AH107" s="97">
        <v>599011.70303342491</v>
      </c>
      <c r="AI107" s="97">
        <v>599011.70303342491</v>
      </c>
      <c r="AJ107" s="97">
        <v>599011.70303342491</v>
      </c>
      <c r="AK107" s="97">
        <v>599011.70303342491</v>
      </c>
      <c r="AL107" s="97">
        <v>599011.70303342491</v>
      </c>
      <c r="AM107" s="97">
        <v>599011.70303342491</v>
      </c>
      <c r="AN107" s="97">
        <v>599011.70303342491</v>
      </c>
      <c r="AO107" s="97">
        <v>599011.70303342491</v>
      </c>
      <c r="AP107" s="97">
        <v>599011.70303342491</v>
      </c>
      <c r="AQ107" s="97">
        <v>599011.70303342491</v>
      </c>
      <c r="AR107" s="97">
        <v>599011.70303342491</v>
      </c>
      <c r="AS107" s="97">
        <v>599011.70303342491</v>
      </c>
      <c r="AT107" s="97">
        <v>599011.70303342491</v>
      </c>
      <c r="AU107" s="97">
        <v>599011.70303342491</v>
      </c>
      <c r="AV107" s="97">
        <v>599011.70303342491</v>
      </c>
      <c r="AW107" s="97">
        <v>599011.70303342491</v>
      </c>
      <c r="AX107" s="97">
        <v>599011.70303342491</v>
      </c>
    </row>
    <row r="108" spans="1:50" x14ac:dyDescent="0.15">
      <c r="B108" s="102" t="s">
        <v>59</v>
      </c>
      <c r="C108" s="97">
        <v>1006705.6882519999</v>
      </c>
      <c r="D108" s="97">
        <v>1006705.6882519999</v>
      </c>
      <c r="E108" s="97">
        <v>1006705.6882519999</v>
      </c>
      <c r="F108" s="97">
        <v>1006705.6882519999</v>
      </c>
      <c r="G108" s="97">
        <v>1006705.6882519999</v>
      </c>
      <c r="H108" s="97">
        <v>1006705.6882519999</v>
      </c>
      <c r="I108" s="97">
        <v>1006705.6882519999</v>
      </c>
      <c r="J108" s="97">
        <v>1006705.6882519999</v>
      </c>
      <c r="K108" s="97">
        <v>1006705.6882519999</v>
      </c>
      <c r="L108" s="97">
        <v>1006705.6882519999</v>
      </c>
      <c r="M108" s="97">
        <v>1006705.6882519999</v>
      </c>
      <c r="N108" s="97">
        <v>1006705.6882519999</v>
      </c>
      <c r="O108" s="97">
        <v>1006705.6882519999</v>
      </c>
      <c r="P108" s="97">
        <v>1006705.6882519999</v>
      </c>
      <c r="Q108" s="97">
        <v>1006705.6882519999</v>
      </c>
      <c r="R108" s="97">
        <v>1006705.6882519999</v>
      </c>
      <c r="S108" s="97">
        <v>372159.03993284673</v>
      </c>
      <c r="T108" s="97">
        <v>372932.74361028813</v>
      </c>
      <c r="U108" s="97">
        <v>373704.47394025762</v>
      </c>
      <c r="V108" s="97">
        <v>1006705.6882519999</v>
      </c>
      <c r="W108" s="97">
        <v>1006705.6882519999</v>
      </c>
      <c r="X108" s="97">
        <v>1006705.6882519999</v>
      </c>
      <c r="Y108" s="97">
        <v>1006705.6882519999</v>
      </c>
      <c r="Z108" s="97">
        <v>1006705.6882519999</v>
      </c>
      <c r="AA108" s="97">
        <v>1006705.6882519999</v>
      </c>
      <c r="AB108" s="97">
        <v>1006705.6882519999</v>
      </c>
      <c r="AC108" s="97">
        <v>1006705.6882519999</v>
      </c>
      <c r="AD108" s="97">
        <v>1006705.6882519999</v>
      </c>
      <c r="AE108" s="97">
        <v>381286.04086198419</v>
      </c>
      <c r="AF108" s="97">
        <v>1006705.6882519999</v>
      </c>
      <c r="AG108" s="97">
        <v>1006705.6882519999</v>
      </c>
      <c r="AH108" s="97">
        <v>1006705.6882519999</v>
      </c>
      <c r="AI108" s="97">
        <v>1006705.6882519999</v>
      </c>
      <c r="AJ108" s="97">
        <v>1006705.6882519999</v>
      </c>
      <c r="AK108" s="97">
        <v>1006705.6882519999</v>
      </c>
      <c r="AL108" s="97">
        <v>1006705.6882519999</v>
      </c>
      <c r="AM108" s="97">
        <v>1006705.6882519999</v>
      </c>
      <c r="AN108" s="97">
        <v>1006705.6882519999</v>
      </c>
      <c r="AO108" s="97">
        <v>1006705.6882519999</v>
      </c>
      <c r="AP108" s="97">
        <v>1006705.6882519999</v>
      </c>
      <c r="AQ108" s="97">
        <v>1006705.6882519999</v>
      </c>
      <c r="AR108" s="97">
        <v>1006705.6882519999</v>
      </c>
      <c r="AS108" s="97">
        <v>1006705.6882519999</v>
      </c>
      <c r="AT108" s="97">
        <v>1006705.6882519999</v>
      </c>
      <c r="AU108" s="97">
        <v>1006705.6882519999</v>
      </c>
      <c r="AV108" s="97">
        <v>1006705.6882519999</v>
      </c>
      <c r="AW108" s="97">
        <v>1006705.6882519999</v>
      </c>
      <c r="AX108" s="97">
        <v>1006705.6882519999</v>
      </c>
    </row>
    <row r="109" spans="1:50" x14ac:dyDescent="0.15">
      <c r="B109" s="98" t="s">
        <v>277</v>
      </c>
      <c r="C109" s="102">
        <f>SUM(C$104:C$108)</f>
        <v>1934111.9671546747</v>
      </c>
      <c r="D109" s="102">
        <f t="shared" ref="D109:AX109" si="6">SUM(D$104:D$108)</f>
        <v>1934111.9671546747</v>
      </c>
      <c r="E109" s="102">
        <f t="shared" si="6"/>
        <v>1934111.9671546747</v>
      </c>
      <c r="F109" s="102">
        <f t="shared" si="6"/>
        <v>1934111.9671546747</v>
      </c>
      <c r="G109" s="102">
        <f t="shared" si="6"/>
        <v>1934111.9671546747</v>
      </c>
      <c r="H109" s="102">
        <f t="shared" si="6"/>
        <v>1934111.9671546747</v>
      </c>
      <c r="I109" s="102">
        <f t="shared" si="6"/>
        <v>1934111.9671546747</v>
      </c>
      <c r="J109" s="102">
        <f t="shared" si="6"/>
        <v>1934111.9671546747</v>
      </c>
      <c r="K109" s="102">
        <f t="shared" si="6"/>
        <v>1934111.9671546747</v>
      </c>
      <c r="L109" s="102">
        <f t="shared" si="6"/>
        <v>1934111.9671546747</v>
      </c>
      <c r="M109" s="102">
        <f t="shared" si="6"/>
        <v>1934111.9671546747</v>
      </c>
      <c r="N109" s="102">
        <f t="shared" si="6"/>
        <v>1934111.9671546747</v>
      </c>
      <c r="O109" s="102">
        <f t="shared" si="6"/>
        <v>1934111.9671546747</v>
      </c>
      <c r="P109" s="102">
        <f t="shared" si="6"/>
        <v>1934111.9671546747</v>
      </c>
      <c r="Q109" s="102">
        <f t="shared" si="6"/>
        <v>1934111.9671546747</v>
      </c>
      <c r="R109" s="102">
        <f t="shared" si="6"/>
        <v>1934111.9671546747</v>
      </c>
      <c r="S109" s="102">
        <f t="shared" si="6"/>
        <v>715002.66782910307</v>
      </c>
      <c r="T109" s="102">
        <f t="shared" si="6"/>
        <v>716489.12962129712</v>
      </c>
      <c r="U109" s="102">
        <f t="shared" si="6"/>
        <v>717971.80016148451</v>
      </c>
      <c r="V109" s="102">
        <f t="shared" si="6"/>
        <v>1934111.9671546747</v>
      </c>
      <c r="W109" s="102">
        <f t="shared" si="6"/>
        <v>1934111.9671546747</v>
      </c>
      <c r="X109" s="102">
        <f t="shared" si="6"/>
        <v>1934111.9671546747</v>
      </c>
      <c r="Y109" s="102">
        <f t="shared" si="6"/>
        <v>1934111.9671546747</v>
      </c>
      <c r="Z109" s="102">
        <f t="shared" si="6"/>
        <v>1934111.9671546747</v>
      </c>
      <c r="AA109" s="102">
        <f t="shared" si="6"/>
        <v>1934111.9671546747</v>
      </c>
      <c r="AB109" s="102">
        <f t="shared" si="6"/>
        <v>1934111.9671546747</v>
      </c>
      <c r="AC109" s="102">
        <f t="shared" si="6"/>
        <v>1934111.9671546747</v>
      </c>
      <c r="AD109" s="102">
        <f t="shared" si="6"/>
        <v>1934111.9671546747</v>
      </c>
      <c r="AE109" s="102">
        <f t="shared" si="6"/>
        <v>732537.72492402024</v>
      </c>
      <c r="AF109" s="102">
        <f t="shared" si="6"/>
        <v>1934111.9671546747</v>
      </c>
      <c r="AG109" s="102">
        <f t="shared" si="6"/>
        <v>1934111.9671546747</v>
      </c>
      <c r="AH109" s="102">
        <f t="shared" si="6"/>
        <v>1934111.9671546747</v>
      </c>
      <c r="AI109" s="102">
        <f t="shared" si="6"/>
        <v>1934111.9671546747</v>
      </c>
      <c r="AJ109" s="102">
        <f t="shared" si="6"/>
        <v>1934111.9671546747</v>
      </c>
      <c r="AK109" s="102">
        <f t="shared" si="6"/>
        <v>1934111.9671546747</v>
      </c>
      <c r="AL109" s="102">
        <f t="shared" si="6"/>
        <v>1934111.9671546747</v>
      </c>
      <c r="AM109" s="102">
        <f t="shared" si="6"/>
        <v>1934111.9671546747</v>
      </c>
      <c r="AN109" s="102">
        <f t="shared" si="6"/>
        <v>1934111.9671546747</v>
      </c>
      <c r="AO109" s="102">
        <f t="shared" si="6"/>
        <v>1934111.9671546747</v>
      </c>
      <c r="AP109" s="102">
        <f t="shared" si="6"/>
        <v>1934111.9671546747</v>
      </c>
      <c r="AQ109" s="102">
        <f t="shared" si="6"/>
        <v>1934111.9671546747</v>
      </c>
      <c r="AR109" s="102">
        <f t="shared" si="6"/>
        <v>1934111.9671546747</v>
      </c>
      <c r="AS109" s="102">
        <f t="shared" si="6"/>
        <v>1934111.9671546747</v>
      </c>
      <c r="AT109" s="102">
        <f t="shared" si="6"/>
        <v>1934111.9671546747</v>
      </c>
      <c r="AU109" s="102">
        <f t="shared" si="6"/>
        <v>1934111.9671546747</v>
      </c>
      <c r="AV109" s="102">
        <f t="shared" si="6"/>
        <v>1934111.9671546747</v>
      </c>
      <c r="AW109" s="102">
        <f t="shared" si="6"/>
        <v>1934111.9671546747</v>
      </c>
      <c r="AX109" s="102">
        <f t="shared" si="6"/>
        <v>1934111.9671546747</v>
      </c>
    </row>
    <row r="110" spans="1:50" x14ac:dyDescent="0.15">
      <c r="A110" s="102" t="s">
        <v>106</v>
      </c>
      <c r="B110" s="102" t="s">
        <v>5</v>
      </c>
      <c r="C110" s="97">
        <v>16154.066154049997</v>
      </c>
      <c r="D110" s="97">
        <v>16154.066154049997</v>
      </c>
      <c r="E110" s="97">
        <v>16154.066154049997</v>
      </c>
      <c r="F110" s="97">
        <v>16154.066154049997</v>
      </c>
      <c r="G110" s="97">
        <v>16154.066154049997</v>
      </c>
      <c r="H110" s="97">
        <v>16154.066154049997</v>
      </c>
      <c r="I110" s="97">
        <v>16154.066154049997</v>
      </c>
      <c r="J110" s="97">
        <v>16154.066154049997</v>
      </c>
      <c r="K110" s="97">
        <v>13700.436948063247</v>
      </c>
      <c r="L110" s="97">
        <v>13729.828003151342</v>
      </c>
      <c r="M110" s="97">
        <v>13759.182764967314</v>
      </c>
      <c r="N110" s="97">
        <v>16154.066154049997</v>
      </c>
      <c r="O110" s="97">
        <v>16154.066154049997</v>
      </c>
      <c r="P110" s="97">
        <v>16154.066154049997</v>
      </c>
      <c r="Q110" s="97">
        <v>16154.066154049997</v>
      </c>
      <c r="R110" s="97">
        <v>16154.066154049997</v>
      </c>
      <c r="S110" s="97">
        <v>16154.066154049997</v>
      </c>
      <c r="T110" s="97">
        <v>16154.066154049997</v>
      </c>
      <c r="U110" s="97">
        <v>16154.066154049997</v>
      </c>
      <c r="V110" s="97">
        <v>16154.066154049997</v>
      </c>
      <c r="W110" s="97">
        <v>16154.066154049997</v>
      </c>
      <c r="X110" s="97">
        <v>16154.066154049997</v>
      </c>
      <c r="Y110" s="97">
        <v>16154.066154049997</v>
      </c>
      <c r="Z110" s="97">
        <v>16154.066154049997</v>
      </c>
      <c r="AA110" s="97">
        <v>16154.066154049997</v>
      </c>
      <c r="AB110" s="97">
        <v>16154.066154049997</v>
      </c>
      <c r="AC110" s="97">
        <v>8125.7668864588604</v>
      </c>
      <c r="AD110" s="97">
        <v>14248.113942879432</v>
      </c>
      <c r="AE110" s="97">
        <v>16154.066154049997</v>
      </c>
      <c r="AF110" s="97">
        <v>16154.066154049997</v>
      </c>
      <c r="AG110" s="97">
        <v>16154.066154049997</v>
      </c>
      <c r="AH110" s="97">
        <v>16154.066154049997</v>
      </c>
      <c r="AI110" s="97">
        <v>16154.066154049997</v>
      </c>
      <c r="AJ110" s="97">
        <v>16154.066154049997</v>
      </c>
      <c r="AK110" s="97">
        <v>16154.066154049997</v>
      </c>
      <c r="AL110" s="97">
        <v>16154.066154049997</v>
      </c>
      <c r="AM110" s="97">
        <v>16154.066154049997</v>
      </c>
      <c r="AN110" s="97">
        <v>16154.066154049997</v>
      </c>
      <c r="AO110" s="97">
        <v>16154.066154049997</v>
      </c>
      <c r="AP110" s="97">
        <v>16154.066154049997</v>
      </c>
      <c r="AQ110" s="97">
        <v>16154.066154049997</v>
      </c>
      <c r="AR110" s="97">
        <v>14625.815884614447</v>
      </c>
      <c r="AS110" s="97">
        <v>16154.066154049997</v>
      </c>
      <c r="AT110" s="97">
        <v>16154.066154049997</v>
      </c>
      <c r="AU110" s="97">
        <v>16154.066154049997</v>
      </c>
      <c r="AV110" s="97">
        <v>16154.066154049997</v>
      </c>
      <c r="AW110" s="97">
        <v>16154.066154049997</v>
      </c>
      <c r="AX110" s="97">
        <v>16154.066154049997</v>
      </c>
    </row>
    <row r="111" spans="1:50" x14ac:dyDescent="0.15">
      <c r="B111" s="102" t="s">
        <v>10</v>
      </c>
      <c r="C111" s="97">
        <v>22201.66644465</v>
      </c>
      <c r="D111" s="97">
        <v>22201.66644465</v>
      </c>
      <c r="E111" s="97">
        <v>22201.66644465</v>
      </c>
      <c r="F111" s="97">
        <v>22201.66644465</v>
      </c>
      <c r="G111" s="97">
        <v>22201.66644465</v>
      </c>
      <c r="H111" s="97">
        <v>22201.66644465</v>
      </c>
      <c r="I111" s="97">
        <v>22201.66644465</v>
      </c>
      <c r="J111" s="97">
        <v>22201.66644465</v>
      </c>
      <c r="K111" s="97">
        <v>18829.471686334498</v>
      </c>
      <c r="L111" s="97">
        <v>18869.865875345458</v>
      </c>
      <c r="M111" s="97">
        <v>18910.210183966294</v>
      </c>
      <c r="N111" s="97">
        <v>22201.66644465</v>
      </c>
      <c r="O111" s="97">
        <v>22201.66644465</v>
      </c>
      <c r="P111" s="97">
        <v>22201.66644465</v>
      </c>
      <c r="Q111" s="97">
        <v>22201.66644465</v>
      </c>
      <c r="R111" s="97">
        <v>22201.66644465</v>
      </c>
      <c r="S111" s="97">
        <v>22201.66644465</v>
      </c>
      <c r="T111" s="97">
        <v>22201.66644465</v>
      </c>
      <c r="U111" s="97">
        <v>22201.66644465</v>
      </c>
      <c r="V111" s="97">
        <v>22201.66644465</v>
      </c>
      <c r="W111" s="97">
        <v>22201.66644465</v>
      </c>
      <c r="X111" s="97">
        <v>22201.66644465</v>
      </c>
      <c r="Y111" s="97">
        <v>22201.66644465</v>
      </c>
      <c r="Z111" s="97">
        <v>22201.66644465</v>
      </c>
      <c r="AA111" s="97">
        <v>22201.66644465</v>
      </c>
      <c r="AB111" s="97">
        <v>22201.66644465</v>
      </c>
      <c r="AC111" s="97">
        <v>11167.811515672924</v>
      </c>
      <c r="AD111" s="97">
        <v>19582.182603967383</v>
      </c>
      <c r="AE111" s="97">
        <v>22201.66644465</v>
      </c>
      <c r="AF111" s="97">
        <v>22201.66644465</v>
      </c>
      <c r="AG111" s="97">
        <v>22201.66644465</v>
      </c>
      <c r="AH111" s="97">
        <v>22201.66644465</v>
      </c>
      <c r="AI111" s="97">
        <v>22201.66644465</v>
      </c>
      <c r="AJ111" s="97">
        <v>22201.66644465</v>
      </c>
      <c r="AK111" s="97">
        <v>22201.66644465</v>
      </c>
      <c r="AL111" s="97">
        <v>22201.66644465</v>
      </c>
      <c r="AM111" s="97">
        <v>22201.66644465</v>
      </c>
      <c r="AN111" s="97">
        <v>22201.66644465</v>
      </c>
      <c r="AO111" s="97">
        <v>22201.66644465</v>
      </c>
      <c r="AP111" s="97">
        <v>22201.66644465</v>
      </c>
      <c r="AQ111" s="97">
        <v>22201.66644465</v>
      </c>
      <c r="AR111" s="97">
        <v>20101.284881123465</v>
      </c>
      <c r="AS111" s="97">
        <v>22201.66644465</v>
      </c>
      <c r="AT111" s="97">
        <v>22201.66644465</v>
      </c>
      <c r="AU111" s="97">
        <v>22201.66644465</v>
      </c>
      <c r="AV111" s="97">
        <v>22201.66644465</v>
      </c>
      <c r="AW111" s="97">
        <v>22201.66644465</v>
      </c>
      <c r="AX111" s="97">
        <v>22201.66644465</v>
      </c>
    </row>
    <row r="112" spans="1:50" x14ac:dyDescent="0.15">
      <c r="B112" s="102" t="s">
        <v>12</v>
      </c>
      <c r="C112" s="97">
        <v>151862.5492077833</v>
      </c>
      <c r="D112" s="97">
        <v>151862.5492077833</v>
      </c>
      <c r="E112" s="97">
        <v>151862.5492077833</v>
      </c>
      <c r="F112" s="97">
        <v>151862.5492077833</v>
      </c>
      <c r="G112" s="97">
        <v>151862.5492077833</v>
      </c>
      <c r="H112" s="97">
        <v>151862.5492077833</v>
      </c>
      <c r="I112" s="97">
        <v>151862.5492077833</v>
      </c>
      <c r="J112" s="97">
        <v>151862.5492077833</v>
      </c>
      <c r="K112" s="97">
        <v>128796.25849939726</v>
      </c>
      <c r="L112" s="97">
        <v>129072.56048473153</v>
      </c>
      <c r="M112" s="97">
        <v>129348.52128111856</v>
      </c>
      <c r="N112" s="97">
        <v>151862.5492077833</v>
      </c>
      <c r="O112" s="97">
        <v>151862.5492077833</v>
      </c>
      <c r="P112" s="97">
        <v>151862.5492077833</v>
      </c>
      <c r="Q112" s="97">
        <v>151862.5492077833</v>
      </c>
      <c r="R112" s="97">
        <v>151862.5492077833</v>
      </c>
      <c r="S112" s="97">
        <v>151862.5492077833</v>
      </c>
      <c r="T112" s="97">
        <v>151862.5492077833</v>
      </c>
      <c r="U112" s="97">
        <v>151862.5492077833</v>
      </c>
      <c r="V112" s="97">
        <v>151862.5492077833</v>
      </c>
      <c r="W112" s="97">
        <v>151862.5492077833</v>
      </c>
      <c r="X112" s="97">
        <v>151862.5492077833</v>
      </c>
      <c r="Y112" s="97">
        <v>151862.5492077833</v>
      </c>
      <c r="Z112" s="97">
        <v>151862.5492077833</v>
      </c>
      <c r="AA112" s="97">
        <v>151862.5492077833</v>
      </c>
      <c r="AB112" s="97">
        <v>151862.5492077833</v>
      </c>
      <c r="AC112" s="97">
        <v>76389.415635546233</v>
      </c>
      <c r="AD112" s="97">
        <v>133944.90799619234</v>
      </c>
      <c r="AE112" s="97">
        <v>151862.5492077833</v>
      </c>
      <c r="AF112" s="97">
        <v>151862.5492077833</v>
      </c>
      <c r="AG112" s="97">
        <v>151862.5492077833</v>
      </c>
      <c r="AH112" s="97">
        <v>151862.5492077833</v>
      </c>
      <c r="AI112" s="97">
        <v>151862.5492077833</v>
      </c>
      <c r="AJ112" s="97">
        <v>151862.5492077833</v>
      </c>
      <c r="AK112" s="97">
        <v>151862.5492077833</v>
      </c>
      <c r="AL112" s="97">
        <v>151862.5492077833</v>
      </c>
      <c r="AM112" s="97">
        <v>151862.5492077833</v>
      </c>
      <c r="AN112" s="97">
        <v>151862.5492077833</v>
      </c>
      <c r="AO112" s="97">
        <v>151862.5492077833</v>
      </c>
      <c r="AP112" s="97">
        <v>151862.5492077833</v>
      </c>
      <c r="AQ112" s="97">
        <v>151862.5492077833</v>
      </c>
      <c r="AR112" s="97">
        <v>137495.64123979915</v>
      </c>
      <c r="AS112" s="97">
        <v>151862.5492077833</v>
      </c>
      <c r="AT112" s="97">
        <v>151862.5492077833</v>
      </c>
      <c r="AU112" s="97">
        <v>151862.5492077833</v>
      </c>
      <c r="AV112" s="97">
        <v>151862.5492077833</v>
      </c>
      <c r="AW112" s="97">
        <v>151862.5492077833</v>
      </c>
      <c r="AX112" s="97">
        <v>151862.5492077833</v>
      </c>
    </row>
    <row r="113" spans="1:50" x14ac:dyDescent="0.15">
      <c r="B113" s="102" t="s">
        <v>22</v>
      </c>
      <c r="C113" s="97">
        <v>37076.159568799994</v>
      </c>
      <c r="D113" s="97">
        <v>37076.159568799994</v>
      </c>
      <c r="E113" s="97">
        <v>37076.159568799994</v>
      </c>
      <c r="F113" s="97">
        <v>37076.159568799994</v>
      </c>
      <c r="G113" s="97">
        <v>37076.159568799994</v>
      </c>
      <c r="H113" s="97">
        <v>37076.159568799994</v>
      </c>
      <c r="I113" s="97">
        <v>37076.159568799994</v>
      </c>
      <c r="J113" s="97">
        <v>37076.159568799994</v>
      </c>
      <c r="K113" s="97">
        <v>31444.689009232839</v>
      </c>
      <c r="L113" s="97">
        <v>31512.146170665132</v>
      </c>
      <c r="M113" s="97">
        <v>31579.520033246488</v>
      </c>
      <c r="N113" s="97">
        <v>37076.159568799994</v>
      </c>
      <c r="O113" s="97">
        <v>37076.159568799994</v>
      </c>
      <c r="P113" s="97">
        <v>37076.159568799994</v>
      </c>
      <c r="Q113" s="97">
        <v>37076.159568799994</v>
      </c>
      <c r="R113" s="97">
        <v>37076.159568799994</v>
      </c>
      <c r="S113" s="97">
        <v>37076.159568799994</v>
      </c>
      <c r="T113" s="97">
        <v>37076.159568799994</v>
      </c>
      <c r="U113" s="97">
        <v>37076.159568799994</v>
      </c>
      <c r="V113" s="97">
        <v>37076.159568799994</v>
      </c>
      <c r="W113" s="97">
        <v>37076.159568799994</v>
      </c>
      <c r="X113" s="97">
        <v>37076.159568799994</v>
      </c>
      <c r="Y113" s="97">
        <v>37076.159568799994</v>
      </c>
      <c r="Z113" s="97">
        <v>37076.159568799994</v>
      </c>
      <c r="AA113" s="97">
        <v>37076.159568799994</v>
      </c>
      <c r="AB113" s="97">
        <v>37076.159568799994</v>
      </c>
      <c r="AC113" s="97">
        <v>18649.931653628126</v>
      </c>
      <c r="AD113" s="97">
        <v>32701.695106541341</v>
      </c>
      <c r="AE113" s="97">
        <v>37076.159568799994</v>
      </c>
      <c r="AF113" s="97">
        <v>37076.159568799994</v>
      </c>
      <c r="AG113" s="97">
        <v>37076.159568799994</v>
      </c>
      <c r="AH113" s="97">
        <v>37076.159568799994</v>
      </c>
      <c r="AI113" s="97">
        <v>37076.159568799994</v>
      </c>
      <c r="AJ113" s="97">
        <v>37076.159568799994</v>
      </c>
      <c r="AK113" s="97">
        <v>37076.159568799994</v>
      </c>
      <c r="AL113" s="97">
        <v>37076.159568799994</v>
      </c>
      <c r="AM113" s="97">
        <v>37076.159568799994</v>
      </c>
      <c r="AN113" s="97">
        <v>37076.159568799994</v>
      </c>
      <c r="AO113" s="97">
        <v>37076.159568799994</v>
      </c>
      <c r="AP113" s="97">
        <v>37076.159568799994</v>
      </c>
      <c r="AQ113" s="97">
        <v>37076.159568799994</v>
      </c>
      <c r="AR113" s="97">
        <v>33568.581333678783</v>
      </c>
      <c r="AS113" s="97">
        <v>37076.159568799994</v>
      </c>
      <c r="AT113" s="97">
        <v>37076.159568799994</v>
      </c>
      <c r="AU113" s="97">
        <v>37076.159568799994</v>
      </c>
      <c r="AV113" s="97">
        <v>37076.159568799994</v>
      </c>
      <c r="AW113" s="97">
        <v>37076.159568799994</v>
      </c>
      <c r="AX113" s="97">
        <v>37076.159568799994</v>
      </c>
    </row>
    <row r="114" spans="1:50" x14ac:dyDescent="0.15">
      <c r="B114" s="102" t="s">
        <v>59</v>
      </c>
      <c r="C114" s="97">
        <v>607416.80291159987</v>
      </c>
      <c r="D114" s="97">
        <v>607416.80291159987</v>
      </c>
      <c r="E114" s="97">
        <v>607416.80291159987</v>
      </c>
      <c r="F114" s="97">
        <v>607416.80291159987</v>
      </c>
      <c r="G114" s="97">
        <v>607416.80291159987</v>
      </c>
      <c r="H114" s="97">
        <v>607416.80291159987</v>
      </c>
      <c r="I114" s="97">
        <v>607416.80291159987</v>
      </c>
      <c r="J114" s="97">
        <v>607416.80291159987</v>
      </c>
      <c r="K114" s="97">
        <v>515156.71225588932</v>
      </c>
      <c r="L114" s="97">
        <v>516261.85943961149</v>
      </c>
      <c r="M114" s="97">
        <v>517365.64194257098</v>
      </c>
      <c r="N114" s="97">
        <v>607416.80291159987</v>
      </c>
      <c r="O114" s="97">
        <v>607416.80291159987</v>
      </c>
      <c r="P114" s="97">
        <v>607416.80291159987</v>
      </c>
      <c r="Q114" s="97">
        <v>607416.80291159987</v>
      </c>
      <c r="R114" s="97">
        <v>607416.80291159987</v>
      </c>
      <c r="S114" s="97">
        <v>607416.80291159987</v>
      </c>
      <c r="T114" s="97">
        <v>607416.80291159987</v>
      </c>
      <c r="U114" s="97">
        <v>607416.80291159987</v>
      </c>
      <c r="V114" s="97">
        <v>607416.80291159987</v>
      </c>
      <c r="W114" s="97">
        <v>607416.80291159987</v>
      </c>
      <c r="X114" s="97">
        <v>607416.80291159987</v>
      </c>
      <c r="Y114" s="97">
        <v>607416.80291159987</v>
      </c>
      <c r="Z114" s="97">
        <v>607416.80291159987</v>
      </c>
      <c r="AA114" s="97">
        <v>607416.80291159987</v>
      </c>
      <c r="AB114" s="97">
        <v>607416.80291159987</v>
      </c>
      <c r="AC114" s="97">
        <v>305540.86483918154</v>
      </c>
      <c r="AD114" s="97">
        <v>535750.17807725328</v>
      </c>
      <c r="AE114" s="97">
        <v>607416.80291159987</v>
      </c>
      <c r="AF114" s="97">
        <v>607416.80291159987</v>
      </c>
      <c r="AG114" s="97">
        <v>607416.80291159987</v>
      </c>
      <c r="AH114" s="97">
        <v>607416.80291159987</v>
      </c>
      <c r="AI114" s="97">
        <v>607416.80291159987</v>
      </c>
      <c r="AJ114" s="97">
        <v>607416.80291159987</v>
      </c>
      <c r="AK114" s="97">
        <v>607416.80291159987</v>
      </c>
      <c r="AL114" s="97">
        <v>607416.80291159987</v>
      </c>
      <c r="AM114" s="97">
        <v>607416.80291159987</v>
      </c>
      <c r="AN114" s="97">
        <v>607416.80291159987</v>
      </c>
      <c r="AO114" s="97">
        <v>607416.80291159987</v>
      </c>
      <c r="AP114" s="97">
        <v>607416.80291159987</v>
      </c>
      <c r="AQ114" s="97">
        <v>607416.80291159987</v>
      </c>
      <c r="AR114" s="97">
        <v>549952.33026075584</v>
      </c>
      <c r="AS114" s="97">
        <v>607416.80291159987</v>
      </c>
      <c r="AT114" s="97">
        <v>607416.80291159987</v>
      </c>
      <c r="AU114" s="97">
        <v>607416.80291159987</v>
      </c>
      <c r="AV114" s="97">
        <v>607416.80291159987</v>
      </c>
      <c r="AW114" s="97">
        <v>607416.80291159987</v>
      </c>
      <c r="AX114" s="97">
        <v>607416.80291159987</v>
      </c>
    </row>
    <row r="115" spans="1:50" x14ac:dyDescent="0.15">
      <c r="B115" s="97" t="s">
        <v>277</v>
      </c>
      <c r="C115" s="102">
        <f>SUM(C$110:C$114)</f>
        <v>834711.24428688316</v>
      </c>
      <c r="D115" s="102">
        <f t="shared" ref="D115:AX115" si="7">SUM(D$110:D$114)</f>
        <v>834711.24428688316</v>
      </c>
      <c r="E115" s="102">
        <f t="shared" si="7"/>
        <v>834711.24428688316</v>
      </c>
      <c r="F115" s="102">
        <f t="shared" si="7"/>
        <v>834711.24428688316</v>
      </c>
      <c r="G115" s="102">
        <f t="shared" si="7"/>
        <v>834711.24428688316</v>
      </c>
      <c r="H115" s="102">
        <f t="shared" si="7"/>
        <v>834711.24428688316</v>
      </c>
      <c r="I115" s="102">
        <f t="shared" si="7"/>
        <v>834711.24428688316</v>
      </c>
      <c r="J115" s="102">
        <f t="shared" si="7"/>
        <v>834711.24428688316</v>
      </c>
      <c r="K115" s="102">
        <f t="shared" si="7"/>
        <v>707927.56839891709</v>
      </c>
      <c r="L115" s="102">
        <f t="shared" si="7"/>
        <v>709446.25997350493</v>
      </c>
      <c r="M115" s="102">
        <f t="shared" si="7"/>
        <v>710963.07620586967</v>
      </c>
      <c r="N115" s="102">
        <f t="shared" si="7"/>
        <v>834711.24428688316</v>
      </c>
      <c r="O115" s="102">
        <f t="shared" si="7"/>
        <v>834711.24428688316</v>
      </c>
      <c r="P115" s="102">
        <f t="shared" si="7"/>
        <v>834711.24428688316</v>
      </c>
      <c r="Q115" s="102">
        <f t="shared" si="7"/>
        <v>834711.24428688316</v>
      </c>
      <c r="R115" s="102">
        <f t="shared" si="7"/>
        <v>834711.24428688316</v>
      </c>
      <c r="S115" s="102">
        <f t="shared" si="7"/>
        <v>834711.24428688316</v>
      </c>
      <c r="T115" s="102">
        <f t="shared" si="7"/>
        <v>834711.24428688316</v>
      </c>
      <c r="U115" s="102">
        <f t="shared" si="7"/>
        <v>834711.24428688316</v>
      </c>
      <c r="V115" s="102">
        <f t="shared" si="7"/>
        <v>834711.24428688316</v>
      </c>
      <c r="W115" s="102">
        <f t="shared" si="7"/>
        <v>834711.24428688316</v>
      </c>
      <c r="X115" s="102">
        <f t="shared" si="7"/>
        <v>834711.24428688316</v>
      </c>
      <c r="Y115" s="102">
        <f t="shared" si="7"/>
        <v>834711.24428688316</v>
      </c>
      <c r="Z115" s="102">
        <f t="shared" si="7"/>
        <v>834711.24428688316</v>
      </c>
      <c r="AA115" s="102">
        <f t="shared" si="7"/>
        <v>834711.24428688316</v>
      </c>
      <c r="AB115" s="102">
        <f t="shared" si="7"/>
        <v>834711.24428688316</v>
      </c>
      <c r="AC115" s="102">
        <f t="shared" si="7"/>
        <v>419873.79053048766</v>
      </c>
      <c r="AD115" s="102">
        <f t="shared" si="7"/>
        <v>736227.07772683376</v>
      </c>
      <c r="AE115" s="102">
        <f t="shared" si="7"/>
        <v>834711.24428688316</v>
      </c>
      <c r="AF115" s="102">
        <f t="shared" si="7"/>
        <v>834711.24428688316</v>
      </c>
      <c r="AG115" s="102">
        <f t="shared" si="7"/>
        <v>834711.24428688316</v>
      </c>
      <c r="AH115" s="102">
        <f t="shared" si="7"/>
        <v>834711.24428688316</v>
      </c>
      <c r="AI115" s="102">
        <f t="shared" si="7"/>
        <v>834711.24428688316</v>
      </c>
      <c r="AJ115" s="102">
        <f t="shared" si="7"/>
        <v>834711.24428688316</v>
      </c>
      <c r="AK115" s="102">
        <f t="shared" si="7"/>
        <v>834711.24428688316</v>
      </c>
      <c r="AL115" s="102">
        <f t="shared" si="7"/>
        <v>834711.24428688316</v>
      </c>
      <c r="AM115" s="102">
        <f t="shared" si="7"/>
        <v>834711.24428688316</v>
      </c>
      <c r="AN115" s="102">
        <f t="shared" si="7"/>
        <v>834711.24428688316</v>
      </c>
      <c r="AO115" s="102">
        <f t="shared" si="7"/>
        <v>834711.24428688316</v>
      </c>
      <c r="AP115" s="102">
        <f t="shared" si="7"/>
        <v>834711.24428688316</v>
      </c>
      <c r="AQ115" s="102">
        <f t="shared" si="7"/>
        <v>834711.24428688316</v>
      </c>
      <c r="AR115" s="102">
        <f t="shared" si="7"/>
        <v>755743.65359997167</v>
      </c>
      <c r="AS115" s="102">
        <f t="shared" si="7"/>
        <v>834711.24428688316</v>
      </c>
      <c r="AT115" s="102">
        <f t="shared" si="7"/>
        <v>834711.24428688316</v>
      </c>
      <c r="AU115" s="102">
        <f t="shared" si="7"/>
        <v>834711.24428688316</v>
      </c>
      <c r="AV115" s="102">
        <f t="shared" si="7"/>
        <v>834711.24428688316</v>
      </c>
      <c r="AW115" s="102">
        <f t="shared" si="7"/>
        <v>834711.24428688316</v>
      </c>
      <c r="AX115" s="102">
        <f t="shared" si="7"/>
        <v>834711.24428688316</v>
      </c>
    </row>
    <row r="116" spans="1:50" x14ac:dyDescent="0.15">
      <c r="A116" s="102" t="s">
        <v>107</v>
      </c>
      <c r="B116" s="102" t="s">
        <v>5</v>
      </c>
      <c r="C116" s="97">
        <v>20976.350517658982</v>
      </c>
      <c r="D116" s="97">
        <v>21022.325564536492</v>
      </c>
      <c r="E116" s="97">
        <v>21068.303057398778</v>
      </c>
      <c r="F116" s="97">
        <v>21114.275622450154</v>
      </c>
      <c r="G116" s="97">
        <v>21160.235883425663</v>
      </c>
      <c r="H116" s="97">
        <v>21206.176462884861</v>
      </c>
      <c r="I116" s="97">
        <v>14876.462988454663</v>
      </c>
      <c r="J116" s="97">
        <v>21297.969069384821</v>
      </c>
      <c r="K116" s="97">
        <v>21343.806347323949</v>
      </c>
      <c r="L116" s="97">
        <v>21389.594448135766</v>
      </c>
      <c r="M116" s="97">
        <v>15004.728205554802</v>
      </c>
      <c r="N116" s="97">
        <v>21480.99366943763</v>
      </c>
      <c r="O116" s="97">
        <v>21526.590083252286</v>
      </c>
      <c r="P116" s="97">
        <v>21572.107909179555</v>
      </c>
      <c r="Q116" s="97">
        <v>21617.539817504014</v>
      </c>
      <c r="R116" s="97">
        <v>21662.878490287665</v>
      </c>
      <c r="S116" s="97">
        <v>15195.681635863168</v>
      </c>
      <c r="T116" s="97">
        <v>21753.246924116422</v>
      </c>
      <c r="U116" s="97">
        <v>21798.262119789881</v>
      </c>
      <c r="V116" s="97">
        <v>21843.15495175387</v>
      </c>
      <c r="W116" s="97">
        <v>21887.918180298097</v>
      </c>
      <c r="X116" s="97">
        <v>21932.544585211668</v>
      </c>
      <c r="Y116" s="97">
        <v>21977.026967061905</v>
      </c>
      <c r="Z116" s="97">
        <v>22021.358148470244</v>
      </c>
      <c r="AA116" s="97">
        <v>22065.530975384871</v>
      </c>
      <c r="AB116" s="97">
        <v>22109.538318350053</v>
      </c>
      <c r="AC116" s="97">
        <v>22153.373073771745</v>
      </c>
      <c r="AD116" s="97">
        <v>22197.028165179439</v>
      </c>
      <c r="AE116" s="97">
        <v>22240.496544483824</v>
      </c>
      <c r="AF116" s="97">
        <v>22283.771193230223</v>
      </c>
      <c r="AG116" s="97">
        <v>22326.845123847408</v>
      </c>
      <c r="AH116" s="97">
        <v>22369.71138089176</v>
      </c>
      <c r="AI116" s="97">
        <v>22412.363042286328</v>
      </c>
      <c r="AJ116" s="97">
        <v>22454.793220554799</v>
      </c>
      <c r="AK116" s="97">
        <v>22496.995064049919</v>
      </c>
      <c r="AL116" s="97">
        <v>22538.961758176356</v>
      </c>
      <c r="AM116" s="97">
        <v>22580.686526607635</v>
      </c>
      <c r="AN116" s="97">
        <v>22622.162632497009</v>
      </c>
      <c r="AO116" s="97">
        <v>22663.383379682011</v>
      </c>
      <c r="AP116" s="97">
        <v>22704.342113882445</v>
      </c>
      <c r="AQ116" s="97">
        <v>22745.032223891703</v>
      </c>
      <c r="AR116" s="97">
        <v>22785.447142761022</v>
      </c>
      <c r="AS116" s="97">
        <v>22825.580348976666</v>
      </c>
      <c r="AT116" s="97">
        <v>22865.425367629588</v>
      </c>
      <c r="AU116" s="97">
        <v>22904.975771577672</v>
      </c>
      <c r="AV116" s="97">
        <v>22944.225182599919</v>
      </c>
      <c r="AW116" s="97">
        <v>22983.167272542851</v>
      </c>
      <c r="AX116" s="97">
        <v>23021.795764458482</v>
      </c>
    </row>
    <row r="117" spans="1:50" x14ac:dyDescent="0.15">
      <c r="B117" s="102" t="s">
        <v>10</v>
      </c>
      <c r="C117" s="97">
        <v>1152.624731454971</v>
      </c>
      <c r="D117" s="97">
        <v>1155.1510038881192</v>
      </c>
      <c r="E117" s="97">
        <v>1157.6774107251308</v>
      </c>
      <c r="F117" s="97">
        <v>1160.2035467849776</v>
      </c>
      <c r="G117" s="97">
        <v>1162.7290067509471</v>
      </c>
      <c r="H117" s="97">
        <v>1165.2533852417366</v>
      </c>
      <c r="I117" s="97">
        <v>817.44339381782106</v>
      </c>
      <c r="J117" s="97">
        <v>1170.2972763765413</v>
      </c>
      <c r="K117" s="97">
        <v>1172.8159785755122</v>
      </c>
      <c r="L117" s="97">
        <v>1175.3319785516576</v>
      </c>
      <c r="M117" s="97">
        <v>824.49141016797694</v>
      </c>
      <c r="N117" s="97">
        <v>1180.3542536523512</v>
      </c>
      <c r="O117" s="97">
        <v>1182.859720663125</v>
      </c>
      <c r="P117" s="97">
        <v>1185.3608693658828</v>
      </c>
      <c r="Q117" s="97">
        <v>1187.8572970017522</v>
      </c>
      <c r="R117" s="97">
        <v>1190.3486014590164</v>
      </c>
      <c r="S117" s="97">
        <v>834.98406694086498</v>
      </c>
      <c r="T117" s="97">
        <v>1195.3142360524214</v>
      </c>
      <c r="U117" s="97">
        <v>1197.7877658392561</v>
      </c>
      <c r="V117" s="97">
        <v>1200.2545718903461</v>
      </c>
      <c r="W117" s="97">
        <v>1202.7142563924908</v>
      </c>
      <c r="X117" s="97">
        <v>1205.1664226039588</v>
      </c>
      <c r="Y117" s="97">
        <v>1207.6106749247542</v>
      </c>
      <c r="Z117" s="97">
        <v>1210.0466189667291</v>
      </c>
      <c r="AA117" s="97">
        <v>1212.4738616235111</v>
      </c>
      <c r="AB117" s="97">
        <v>1214.8920111402533</v>
      </c>
      <c r="AC117" s="97">
        <v>1217.3006771831758</v>
      </c>
      <c r="AD117" s="97">
        <v>1219.699470908904</v>
      </c>
      <c r="AE117" s="97">
        <v>1222.0880050335757</v>
      </c>
      <c r="AF117" s="97">
        <v>1224.4658939017147</v>
      </c>
      <c r="AG117" s="97">
        <v>1226.8327535548535</v>
      </c>
      <c r="AH117" s="97">
        <v>1229.1882017998962</v>
      </c>
      <c r="AI117" s="97">
        <v>1231.5318582772056</v>
      </c>
      <c r="AJ117" s="97">
        <v>1233.8633445284061</v>
      </c>
      <c r="AK117" s="97">
        <v>1236.1822840638852</v>
      </c>
      <c r="AL117" s="97">
        <v>1238.4883024299882</v>
      </c>
      <c r="AM117" s="97">
        <v>1240.7810272758875</v>
      </c>
      <c r="AN117" s="97">
        <v>1243.0600884201172</v>
      </c>
      <c r="AO117" s="97">
        <v>1245.325117916763</v>
      </c>
      <c r="AP117" s="97">
        <v>1247.5757501212911</v>
      </c>
      <c r="AQ117" s="97">
        <v>1249.8116217560073</v>
      </c>
      <c r="AR117" s="97">
        <v>1252.0323719751316</v>
      </c>
      <c r="AS117" s="97">
        <v>1254.2376424294839</v>
      </c>
      <c r="AT117" s="97">
        <v>1256.4270773307544</v>
      </c>
      <c r="AU117" s="97">
        <v>1258.6003235153667</v>
      </c>
      <c r="AV117" s="97">
        <v>1260.7570305079009</v>
      </c>
      <c r="AW117" s="97">
        <v>1262.8968505840851</v>
      </c>
      <c r="AX117" s="97">
        <v>1265.0194388333271</v>
      </c>
    </row>
    <row r="118" spans="1:50" x14ac:dyDescent="0.15">
      <c r="B118" s="102" t="s">
        <v>12</v>
      </c>
      <c r="C118" s="97">
        <v>176846.92135513859</v>
      </c>
      <c r="D118" s="97">
        <v>177234.52669633465</v>
      </c>
      <c r="E118" s="97">
        <v>177622.15265908148</v>
      </c>
      <c r="F118" s="97">
        <v>178009.73707655634</v>
      </c>
      <c r="G118" s="97">
        <v>178397.21776111843</v>
      </c>
      <c r="H118" s="97">
        <v>178784.53251521688</v>
      </c>
      <c r="I118" s="97">
        <v>125420.13339961492</v>
      </c>
      <c r="J118" s="97">
        <v>179558.41545777241</v>
      </c>
      <c r="K118" s="97">
        <v>179944.85929985114</v>
      </c>
      <c r="L118" s="97">
        <v>180330.88854056445</v>
      </c>
      <c r="M118" s="97">
        <v>126501.50876765199</v>
      </c>
      <c r="N118" s="97">
        <v>181101.45494046732</v>
      </c>
      <c r="O118" s="97">
        <v>181485.8681109646</v>
      </c>
      <c r="P118" s="97">
        <v>181869.61872455393</v>
      </c>
      <c r="Q118" s="97">
        <v>182252.64498604331</v>
      </c>
      <c r="R118" s="97">
        <v>182634.88519953363</v>
      </c>
      <c r="S118" s="97">
        <v>128111.39444551615</v>
      </c>
      <c r="T118" s="97">
        <v>183396.76126071249</v>
      </c>
      <c r="U118" s="97">
        <v>183776.27431100921</v>
      </c>
      <c r="V118" s="97">
        <v>184154.75574022927</v>
      </c>
      <c r="W118" s="97">
        <v>184532.14451199389</v>
      </c>
      <c r="X118" s="97">
        <v>184908.3797543192</v>
      </c>
      <c r="Y118" s="97">
        <v>185283.40077039806</v>
      </c>
      <c r="Z118" s="97">
        <v>185657.1470493564</v>
      </c>
      <c r="AA118" s="97">
        <v>186029.55827698289</v>
      </c>
      <c r="AB118" s="97">
        <v>186400.57434643025</v>
      </c>
      <c r="AC118" s="97">
        <v>186770.13536888533</v>
      </c>
      <c r="AD118" s="97">
        <v>187138.18168420737</v>
      </c>
      <c r="AE118" s="97">
        <v>187504.65387153119</v>
      </c>
      <c r="AF118" s="97">
        <v>187869.4927598346</v>
      </c>
      <c r="AG118" s="97">
        <v>188232.63943846687</v>
      </c>
      <c r="AH118" s="97">
        <v>188594.0352676379</v>
      </c>
      <c r="AI118" s="97">
        <v>188953.62188886458</v>
      </c>
      <c r="AJ118" s="97">
        <v>189311.34123537395</v>
      </c>
      <c r="AK118" s="97">
        <v>189667.13554245996</v>
      </c>
      <c r="AL118" s="97">
        <v>190020.9473577929</v>
      </c>
      <c r="AM118" s="97">
        <v>190372.71955167936</v>
      </c>
      <c r="AN118" s="97">
        <v>190722.39532727058</v>
      </c>
      <c r="AO118" s="97">
        <v>191069.91823071789</v>
      </c>
      <c r="AP118" s="97">
        <v>191415.23216127281</v>
      </c>
      <c r="AQ118" s="97">
        <v>191758.28138133048</v>
      </c>
      <c r="AR118" s="97">
        <v>192099.01052641412</v>
      </c>
      <c r="AS118" s="97">
        <v>192437.36461509948</v>
      </c>
      <c r="AT118" s="97">
        <v>192773.28905887614</v>
      </c>
      <c r="AU118" s="97">
        <v>193106.72967194571</v>
      </c>
      <c r="AV118" s="97">
        <v>193437.63268095304</v>
      </c>
      <c r="AW118" s="97">
        <v>193765.94473465107</v>
      </c>
      <c r="AX118" s="97">
        <v>194091.61291349467</v>
      </c>
    </row>
    <row r="119" spans="1:50" x14ac:dyDescent="0.15">
      <c r="B119" s="102" t="s">
        <v>22</v>
      </c>
      <c r="C119" s="97">
        <v>328072.02211151592</v>
      </c>
      <c r="D119" s="97">
        <v>328791.07600905048</v>
      </c>
      <c r="E119" s="97">
        <v>329510.16816200863</v>
      </c>
      <c r="F119" s="97">
        <v>330229.18324355781</v>
      </c>
      <c r="G119" s="97">
        <v>330948.00588824588</v>
      </c>
      <c r="H119" s="97">
        <v>331666.52071223606</v>
      </c>
      <c r="I119" s="97">
        <v>232669.228633491</v>
      </c>
      <c r="J119" s="97">
        <v>333102.16539237136</v>
      </c>
      <c r="K119" s="97">
        <v>333819.06457123073</v>
      </c>
      <c r="L119" s="97">
        <v>334535.19461536471</v>
      </c>
      <c r="M119" s="97">
        <v>234675.30824706293</v>
      </c>
      <c r="N119" s="97">
        <v>335964.68671536929</v>
      </c>
      <c r="O119" s="97">
        <v>336677.81875750469</v>
      </c>
      <c r="P119" s="97">
        <v>337389.72167796304</v>
      </c>
      <c r="Q119" s="97">
        <v>338100.28083933116</v>
      </c>
      <c r="R119" s="97">
        <v>338809.38178839581</v>
      </c>
      <c r="S119" s="97">
        <v>237661.83719344271</v>
      </c>
      <c r="T119" s="97">
        <v>340222.75227895333</v>
      </c>
      <c r="U119" s="97">
        <v>340926.79401671438</v>
      </c>
      <c r="V119" s="97">
        <v>341628.92197497573</v>
      </c>
      <c r="W119" s="97">
        <v>342329.02292401262</v>
      </c>
      <c r="X119" s="97">
        <v>343026.98393907276</v>
      </c>
      <c r="Y119" s="97">
        <v>343722.69242037693</v>
      </c>
      <c r="Z119" s="97">
        <v>344416.03611307422</v>
      </c>
      <c r="AA119" s="97">
        <v>345106.90312714624</v>
      </c>
      <c r="AB119" s="97">
        <v>345795.1819572596</v>
      </c>
      <c r="AC119" s="97">
        <v>346480.76150256005</v>
      </c>
      <c r="AD119" s="97">
        <v>347163.53108640772</v>
      </c>
      <c r="AE119" s="97">
        <v>347843.38047604752</v>
      </c>
      <c r="AF119" s="97">
        <v>348520.19990221242</v>
      </c>
      <c r="AG119" s="97">
        <v>349193.88007865561</v>
      </c>
      <c r="AH119" s="97">
        <v>349864.31222160888</v>
      </c>
      <c r="AI119" s="97">
        <v>350531.38806916168</v>
      </c>
      <c r="AJ119" s="97">
        <v>351194.99990056054</v>
      </c>
      <c r="AK119" s="97">
        <v>351855.04055542196</v>
      </c>
      <c r="AL119" s="97">
        <v>352511.40345285757</v>
      </c>
      <c r="AM119" s="97">
        <v>353163.98261050758</v>
      </c>
      <c r="AN119" s="97">
        <v>353812.67266347853</v>
      </c>
      <c r="AO119" s="97">
        <v>354457.36888318299</v>
      </c>
      <c r="AP119" s="97">
        <v>355097.967196076</v>
      </c>
      <c r="AQ119" s="97">
        <v>355734.3642022874</v>
      </c>
      <c r="AR119" s="97">
        <v>356366.4571941435</v>
      </c>
      <c r="AS119" s="97">
        <v>356994.14417457889</v>
      </c>
      <c r="AT119" s="97">
        <v>357617.32387542975</v>
      </c>
      <c r="AU119" s="97">
        <v>358235.89577561093</v>
      </c>
      <c r="AV119" s="97">
        <v>358849.76011916832</v>
      </c>
      <c r="AW119" s="97">
        <v>359458.81793320848</v>
      </c>
      <c r="AX119" s="97">
        <v>360062.97104569635</v>
      </c>
    </row>
    <row r="120" spans="1:50" x14ac:dyDescent="0.15">
      <c r="B120" s="102" t="s">
        <v>59</v>
      </c>
      <c r="C120" s="97">
        <v>638146.14959362661</v>
      </c>
      <c r="D120" s="97">
        <v>639544.81039105973</v>
      </c>
      <c r="E120" s="97">
        <v>640943.5456006634</v>
      </c>
      <c r="F120" s="97">
        <v>642342.13089555455</v>
      </c>
      <c r="G120" s="97">
        <v>643740.34187372949</v>
      </c>
      <c r="H120" s="97">
        <v>645137.95409742417</v>
      </c>
      <c r="I120" s="97">
        <v>452574.32019275392</v>
      </c>
      <c r="J120" s="97">
        <v>647930.48458788311</v>
      </c>
      <c r="K120" s="97">
        <v>649324.95415493578</v>
      </c>
      <c r="L120" s="97">
        <v>650717.92764694849</v>
      </c>
      <c r="M120" s="97">
        <v>456476.42672698345</v>
      </c>
      <c r="N120" s="97">
        <v>653498.49050513213</v>
      </c>
      <c r="O120" s="97">
        <v>654885.63246229012</v>
      </c>
      <c r="P120" s="97">
        <v>656270.38360519765</v>
      </c>
      <c r="Q120" s="97">
        <v>657652.52094798943</v>
      </c>
      <c r="R120" s="97">
        <v>659031.82186309458</v>
      </c>
      <c r="S120" s="97">
        <v>462285.64488437428</v>
      </c>
      <c r="T120" s="97">
        <v>661781.02592717053</v>
      </c>
      <c r="U120" s="97">
        <v>663150.48596589535</v>
      </c>
      <c r="V120" s="97">
        <v>664516.22343476804</v>
      </c>
      <c r="W120" s="97">
        <v>665878.01808607439</v>
      </c>
      <c r="X120" s="97">
        <v>667235.65026531485</v>
      </c>
      <c r="Y120" s="97">
        <v>668588.90095010807</v>
      </c>
      <c r="Z120" s="97">
        <v>669937.55178900645</v>
      </c>
      <c r="AA120" s="97">
        <v>671281.3851402133</v>
      </c>
      <c r="AB120" s="97">
        <v>672620.18411019782</v>
      </c>
      <c r="AC120" s="97">
        <v>673953.73259219818</v>
      </c>
      <c r="AD120" s="97">
        <v>675281.81530460925</v>
      </c>
      <c r="AE120" s="97">
        <v>676604.21782924375</v>
      </c>
      <c r="AF120" s="97">
        <v>677920.72664946399</v>
      </c>
      <c r="AG120" s="97">
        <v>679231.12918817438</v>
      </c>
      <c r="AH120" s="97">
        <v>680535.21384567069</v>
      </c>
      <c r="AI120" s="97">
        <v>681832.77003733534</v>
      </c>
      <c r="AJ120" s="97">
        <v>683123.58823117695</v>
      </c>
      <c r="AK120" s="97">
        <v>684407.45998520264</v>
      </c>
      <c r="AL120" s="97">
        <v>685684.17798461893</v>
      </c>
      <c r="AM120" s="97">
        <v>686953.53607885423</v>
      </c>
      <c r="AN120" s="97">
        <v>688215.32931839605</v>
      </c>
      <c r="AO120" s="97">
        <v>689469.35399143607</v>
      </c>
      <c r="AP120" s="97">
        <v>690715.40766031586</v>
      </c>
      <c r="AQ120" s="97">
        <v>691953.28919776867</v>
      </c>
      <c r="AR120" s="97">
        <v>693182.79882294778</v>
      </c>
      <c r="AS120" s="97">
        <v>694403.73813723878</v>
      </c>
      <c r="AT120" s="97">
        <v>695615.91015984339</v>
      </c>
      <c r="AU120" s="97">
        <v>696819.11936313612</v>
      </c>
      <c r="AV120" s="97">
        <v>698013.17170777905</v>
      </c>
      <c r="AW120" s="97">
        <v>699197.87467759696</v>
      </c>
      <c r="AX120" s="97">
        <v>700373.03731419635</v>
      </c>
    </row>
    <row r="121" spans="1:50" x14ac:dyDescent="0.15">
      <c r="B121" s="97" t="s">
        <v>277</v>
      </c>
      <c r="C121" s="102">
        <f>SUM(C$116:C$120)</f>
        <v>1165194.0683093951</v>
      </c>
      <c r="D121" s="102">
        <f t="shared" ref="D121:AX121" si="8">SUM(D$116:D$120)</f>
        <v>1167747.8896648693</v>
      </c>
      <c r="E121" s="102">
        <f t="shared" si="8"/>
        <v>1170301.8468898775</v>
      </c>
      <c r="F121" s="102">
        <f t="shared" si="8"/>
        <v>1172855.5303849038</v>
      </c>
      <c r="G121" s="102">
        <f t="shared" si="8"/>
        <v>1175408.5304132705</v>
      </c>
      <c r="H121" s="102">
        <f t="shared" si="8"/>
        <v>1177960.4371730038</v>
      </c>
      <c r="I121" s="102">
        <f t="shared" si="8"/>
        <v>826357.58860813233</v>
      </c>
      <c r="J121" s="102">
        <f t="shared" si="8"/>
        <v>1183059.3317837883</v>
      </c>
      <c r="K121" s="102">
        <f t="shared" si="8"/>
        <v>1185605.500351917</v>
      </c>
      <c r="L121" s="102">
        <f t="shared" si="8"/>
        <v>1188148.9372295651</v>
      </c>
      <c r="M121" s="102">
        <f t="shared" si="8"/>
        <v>833482.4633574211</v>
      </c>
      <c r="N121" s="102">
        <f t="shared" si="8"/>
        <v>1193225.9800840588</v>
      </c>
      <c r="O121" s="102">
        <f t="shared" si="8"/>
        <v>1195758.7691346747</v>
      </c>
      <c r="P121" s="102">
        <f t="shared" si="8"/>
        <v>1198287.19278626</v>
      </c>
      <c r="Q121" s="102">
        <f t="shared" si="8"/>
        <v>1200810.8438878697</v>
      </c>
      <c r="R121" s="102">
        <f t="shared" si="8"/>
        <v>1203329.3159427708</v>
      </c>
      <c r="S121" s="102">
        <f t="shared" si="8"/>
        <v>844089.54222613713</v>
      </c>
      <c r="T121" s="102">
        <f t="shared" si="8"/>
        <v>1208349.1006270051</v>
      </c>
      <c r="U121" s="102">
        <f t="shared" si="8"/>
        <v>1210849.6041792482</v>
      </c>
      <c r="V121" s="102">
        <f t="shared" si="8"/>
        <v>1213343.3106736173</v>
      </c>
      <c r="W121" s="102">
        <f t="shared" si="8"/>
        <v>1215829.8179587715</v>
      </c>
      <c r="X121" s="102">
        <f t="shared" si="8"/>
        <v>1218308.7249665223</v>
      </c>
      <c r="Y121" s="102">
        <f t="shared" si="8"/>
        <v>1220779.6317828698</v>
      </c>
      <c r="Z121" s="102">
        <f t="shared" si="8"/>
        <v>1223242.1397188739</v>
      </c>
      <c r="AA121" s="102">
        <f t="shared" si="8"/>
        <v>1225695.8513813508</v>
      </c>
      <c r="AB121" s="102">
        <f t="shared" si="8"/>
        <v>1228140.3707433781</v>
      </c>
      <c r="AC121" s="102">
        <f t="shared" si="8"/>
        <v>1230575.3032145984</v>
      </c>
      <c r="AD121" s="102">
        <f t="shared" si="8"/>
        <v>1233000.2557113126</v>
      </c>
      <c r="AE121" s="102">
        <f t="shared" si="8"/>
        <v>1235414.83672634</v>
      </c>
      <c r="AF121" s="102">
        <f t="shared" si="8"/>
        <v>1237818.6563986428</v>
      </c>
      <c r="AG121" s="102">
        <f t="shared" si="8"/>
        <v>1240211.3265826991</v>
      </c>
      <c r="AH121" s="102">
        <f t="shared" si="8"/>
        <v>1242592.4609176093</v>
      </c>
      <c r="AI121" s="102">
        <f t="shared" si="8"/>
        <v>1244961.674895925</v>
      </c>
      <c r="AJ121" s="102">
        <f t="shared" si="8"/>
        <v>1247318.5859321947</v>
      </c>
      <c r="AK121" s="102">
        <f t="shared" si="8"/>
        <v>1249662.8134311982</v>
      </c>
      <c r="AL121" s="102">
        <f t="shared" si="8"/>
        <v>1251993.9788558758</v>
      </c>
      <c r="AM121" s="102">
        <f t="shared" si="8"/>
        <v>1254311.7057949246</v>
      </c>
      <c r="AN121" s="102">
        <f t="shared" si="8"/>
        <v>1256615.6200300623</v>
      </c>
      <c r="AO121" s="102">
        <f t="shared" si="8"/>
        <v>1258905.3496029358</v>
      </c>
      <c r="AP121" s="102">
        <f t="shared" si="8"/>
        <v>1261180.5248816684</v>
      </c>
      <c r="AQ121" s="102">
        <f t="shared" si="8"/>
        <v>1263440.7786270343</v>
      </c>
      <c r="AR121" s="102">
        <f t="shared" si="8"/>
        <v>1265685.7460582415</v>
      </c>
      <c r="AS121" s="102">
        <f t="shared" si="8"/>
        <v>1267915.0649183234</v>
      </c>
      <c r="AT121" s="102">
        <f t="shared" si="8"/>
        <v>1270128.3755391096</v>
      </c>
      <c r="AU121" s="102">
        <f t="shared" si="8"/>
        <v>1272325.3209057858</v>
      </c>
      <c r="AV121" s="102">
        <f t="shared" si="8"/>
        <v>1274505.5467210081</v>
      </c>
      <c r="AW121" s="102">
        <f t="shared" si="8"/>
        <v>1276668.7014685834</v>
      </c>
      <c r="AX121" s="102">
        <f t="shared" si="8"/>
        <v>1278814.4364766791</v>
      </c>
    </row>
    <row r="122" spans="1:50" x14ac:dyDescent="0.15">
      <c r="A122" s="102" t="s">
        <v>108</v>
      </c>
      <c r="B122" s="102" t="s">
        <v>5</v>
      </c>
      <c r="C122" s="97">
        <v>5743.105743099999</v>
      </c>
      <c r="D122" s="97">
        <v>5743.105743099999</v>
      </c>
      <c r="E122" s="97">
        <v>5743.105743099999</v>
      </c>
      <c r="F122" s="97">
        <v>5743.105743099999</v>
      </c>
      <c r="G122" s="97">
        <v>5743.105743099999</v>
      </c>
      <c r="H122" s="97">
        <v>5743.105743099999</v>
      </c>
      <c r="I122" s="97">
        <v>5743.105743099999</v>
      </c>
      <c r="J122" s="97">
        <v>5743.105743099999</v>
      </c>
      <c r="K122" s="97">
        <v>5743.105743099999</v>
      </c>
      <c r="L122" s="97">
        <v>5743.105743099999</v>
      </c>
      <c r="M122" s="97">
        <v>5743.105743099999</v>
      </c>
      <c r="N122" s="97">
        <v>5743.105743099999</v>
      </c>
      <c r="O122" s="97">
        <v>5743.105743099999</v>
      </c>
      <c r="P122" s="97">
        <v>5743.105743099999</v>
      </c>
      <c r="Q122" s="97">
        <v>5743.105743099999</v>
      </c>
      <c r="R122" s="97">
        <v>5743.105743099999</v>
      </c>
      <c r="S122" s="97">
        <v>5743.105743099999</v>
      </c>
      <c r="T122" s="97">
        <v>5743.105743099999</v>
      </c>
      <c r="U122" s="97">
        <v>5743.105743099999</v>
      </c>
      <c r="V122" s="97">
        <v>5743.105743099999</v>
      </c>
      <c r="W122" s="97">
        <v>5743.105743099999</v>
      </c>
      <c r="X122" s="97">
        <v>5743.105743099999</v>
      </c>
      <c r="Y122" s="97">
        <v>5743.105743099999</v>
      </c>
      <c r="Z122" s="97">
        <v>5743.105743099999</v>
      </c>
      <c r="AA122" s="97">
        <v>5743.105743099999</v>
      </c>
      <c r="AB122" s="97">
        <v>5743.105743099999</v>
      </c>
      <c r="AC122" s="97">
        <v>5743.105743099999</v>
      </c>
      <c r="AD122" s="97">
        <v>5743.105743099999</v>
      </c>
      <c r="AE122" s="97">
        <v>5743.105743099999</v>
      </c>
      <c r="AF122" s="97">
        <v>5743.105743099999</v>
      </c>
      <c r="AG122" s="97">
        <v>5743.105743099999</v>
      </c>
      <c r="AH122" s="97">
        <v>5743.105743099999</v>
      </c>
      <c r="AI122" s="97">
        <v>5743.105743099999</v>
      </c>
      <c r="AJ122" s="97">
        <v>5743.105743099999</v>
      </c>
      <c r="AK122" s="97">
        <v>5743.105743099999</v>
      </c>
      <c r="AL122" s="97">
        <v>5743.105743099999</v>
      </c>
      <c r="AM122" s="97">
        <v>5743.105743099999</v>
      </c>
      <c r="AN122" s="97">
        <v>5743.105743099999</v>
      </c>
      <c r="AO122" s="97">
        <v>5743.105743099999</v>
      </c>
      <c r="AP122" s="97">
        <v>5743.105743099999</v>
      </c>
      <c r="AQ122" s="97">
        <v>5743.105743099999</v>
      </c>
      <c r="AR122" s="97">
        <v>5743.105743099999</v>
      </c>
      <c r="AS122" s="97">
        <v>5743.105743099999</v>
      </c>
      <c r="AT122" s="97">
        <v>5743.105743099999</v>
      </c>
      <c r="AU122" s="97">
        <v>5743.105743099999</v>
      </c>
      <c r="AV122" s="97">
        <v>5743.105743099999</v>
      </c>
      <c r="AW122" s="97">
        <v>5743.105743099999</v>
      </c>
      <c r="AX122" s="97">
        <v>5743.105743099999</v>
      </c>
    </row>
    <row r="123" spans="1:50" x14ac:dyDescent="0.15">
      <c r="B123" s="102" t="s">
        <v>10</v>
      </c>
      <c r="C123" s="97">
        <v>47464.999525349995</v>
      </c>
      <c r="D123" s="97">
        <v>47464.999525349995</v>
      </c>
      <c r="E123" s="97">
        <v>47464.999525349995</v>
      </c>
      <c r="F123" s="97">
        <v>47464.999525349995</v>
      </c>
      <c r="G123" s="97">
        <v>47464.999525349995</v>
      </c>
      <c r="H123" s="97">
        <v>47464.999525349995</v>
      </c>
      <c r="I123" s="97">
        <v>47464.999525349995</v>
      </c>
      <c r="J123" s="97">
        <v>47464.999525349995</v>
      </c>
      <c r="K123" s="97">
        <v>47464.999525349995</v>
      </c>
      <c r="L123" s="97">
        <v>47464.999525349995</v>
      </c>
      <c r="M123" s="97">
        <v>47464.999525349995</v>
      </c>
      <c r="N123" s="97">
        <v>47464.999525349995</v>
      </c>
      <c r="O123" s="97">
        <v>47464.999525349995</v>
      </c>
      <c r="P123" s="97">
        <v>47464.999525349995</v>
      </c>
      <c r="Q123" s="97">
        <v>47464.999525349995</v>
      </c>
      <c r="R123" s="97">
        <v>47464.999525349995</v>
      </c>
      <c r="S123" s="97">
        <v>47464.999525349995</v>
      </c>
      <c r="T123" s="97">
        <v>47464.999525349995</v>
      </c>
      <c r="U123" s="97">
        <v>47464.999525349995</v>
      </c>
      <c r="V123" s="97">
        <v>47464.999525349995</v>
      </c>
      <c r="W123" s="97">
        <v>47464.999525349995</v>
      </c>
      <c r="X123" s="97">
        <v>47464.999525349995</v>
      </c>
      <c r="Y123" s="97">
        <v>47464.999525349995</v>
      </c>
      <c r="Z123" s="97">
        <v>47464.999525349995</v>
      </c>
      <c r="AA123" s="97">
        <v>47464.999525349995</v>
      </c>
      <c r="AB123" s="97">
        <v>47464.999525349995</v>
      </c>
      <c r="AC123" s="97">
        <v>47464.999525349995</v>
      </c>
      <c r="AD123" s="97">
        <v>47464.999525349995</v>
      </c>
      <c r="AE123" s="97">
        <v>47464.999525349995</v>
      </c>
      <c r="AF123" s="97">
        <v>47464.999525349995</v>
      </c>
      <c r="AG123" s="97">
        <v>47464.999525349995</v>
      </c>
      <c r="AH123" s="97">
        <v>47464.999525349995</v>
      </c>
      <c r="AI123" s="97">
        <v>47464.999525349995</v>
      </c>
      <c r="AJ123" s="97">
        <v>47464.999525349995</v>
      </c>
      <c r="AK123" s="97">
        <v>47464.999525349995</v>
      </c>
      <c r="AL123" s="97">
        <v>47464.999525349995</v>
      </c>
      <c r="AM123" s="97">
        <v>47464.999525349995</v>
      </c>
      <c r="AN123" s="97">
        <v>47464.999525349995</v>
      </c>
      <c r="AO123" s="97">
        <v>47464.999525349995</v>
      </c>
      <c r="AP123" s="97">
        <v>47464.999525349995</v>
      </c>
      <c r="AQ123" s="97">
        <v>47464.999525349995</v>
      </c>
      <c r="AR123" s="97">
        <v>47464.999525349995</v>
      </c>
      <c r="AS123" s="97">
        <v>47464.999525349995</v>
      </c>
      <c r="AT123" s="97">
        <v>47464.999525349995</v>
      </c>
      <c r="AU123" s="97">
        <v>47464.999525349995</v>
      </c>
      <c r="AV123" s="97">
        <v>47464.999525349995</v>
      </c>
      <c r="AW123" s="97">
        <v>47464.999525349995</v>
      </c>
      <c r="AX123" s="97">
        <v>47464.999525349995</v>
      </c>
    </row>
    <row r="124" spans="1:50" x14ac:dyDescent="0.15">
      <c r="B124" s="102" t="s">
        <v>12</v>
      </c>
      <c r="C124" s="97">
        <v>152783.72584942498</v>
      </c>
      <c r="D124" s="97">
        <v>152783.72584942498</v>
      </c>
      <c r="E124" s="97">
        <v>152783.72584942498</v>
      </c>
      <c r="F124" s="97">
        <v>152783.72584942498</v>
      </c>
      <c r="G124" s="97">
        <v>152783.72584942498</v>
      </c>
      <c r="H124" s="97">
        <v>152783.72584942498</v>
      </c>
      <c r="I124" s="97">
        <v>152783.72584942498</v>
      </c>
      <c r="J124" s="97">
        <v>152783.72584942498</v>
      </c>
      <c r="K124" s="97">
        <v>152783.72584942498</v>
      </c>
      <c r="L124" s="97">
        <v>152783.72584942498</v>
      </c>
      <c r="M124" s="97">
        <v>152783.72584942498</v>
      </c>
      <c r="N124" s="97">
        <v>152783.72584942498</v>
      </c>
      <c r="O124" s="97">
        <v>152783.72584942498</v>
      </c>
      <c r="P124" s="97">
        <v>152783.72584942498</v>
      </c>
      <c r="Q124" s="97">
        <v>152783.72584942498</v>
      </c>
      <c r="R124" s="97">
        <v>152783.72584942498</v>
      </c>
      <c r="S124" s="97">
        <v>152783.72584942498</v>
      </c>
      <c r="T124" s="97">
        <v>152783.72584942498</v>
      </c>
      <c r="U124" s="97">
        <v>152783.72584942498</v>
      </c>
      <c r="V124" s="97">
        <v>152783.72584942498</v>
      </c>
      <c r="W124" s="97">
        <v>152783.72584942498</v>
      </c>
      <c r="X124" s="97">
        <v>152783.72584942498</v>
      </c>
      <c r="Y124" s="97">
        <v>152783.72584942498</v>
      </c>
      <c r="Z124" s="97">
        <v>152783.72584942498</v>
      </c>
      <c r="AA124" s="97">
        <v>152783.72584942498</v>
      </c>
      <c r="AB124" s="97">
        <v>152783.72584942498</v>
      </c>
      <c r="AC124" s="97">
        <v>152783.72584942498</v>
      </c>
      <c r="AD124" s="97">
        <v>152783.72584942498</v>
      </c>
      <c r="AE124" s="97">
        <v>152783.72584942498</v>
      </c>
      <c r="AF124" s="97">
        <v>152783.72584942498</v>
      </c>
      <c r="AG124" s="97">
        <v>152783.72584942498</v>
      </c>
      <c r="AH124" s="97">
        <v>152783.72584942498</v>
      </c>
      <c r="AI124" s="97">
        <v>152783.72584942498</v>
      </c>
      <c r="AJ124" s="97">
        <v>152783.72584942498</v>
      </c>
      <c r="AK124" s="97">
        <v>152783.72584942498</v>
      </c>
      <c r="AL124" s="97">
        <v>152783.72584942498</v>
      </c>
      <c r="AM124" s="97">
        <v>152783.72584942498</v>
      </c>
      <c r="AN124" s="97">
        <v>152783.72584942498</v>
      </c>
      <c r="AO124" s="97">
        <v>152783.72584942498</v>
      </c>
      <c r="AP124" s="97">
        <v>152783.72584942498</v>
      </c>
      <c r="AQ124" s="97">
        <v>152783.72584942498</v>
      </c>
      <c r="AR124" s="97">
        <v>152783.72584942498</v>
      </c>
      <c r="AS124" s="97">
        <v>152783.72584942498</v>
      </c>
      <c r="AT124" s="97">
        <v>152783.72584942498</v>
      </c>
      <c r="AU124" s="97">
        <v>152783.72584942498</v>
      </c>
      <c r="AV124" s="97">
        <v>152783.72584942498</v>
      </c>
      <c r="AW124" s="97">
        <v>152783.72584942498</v>
      </c>
      <c r="AX124" s="97">
        <v>152783.72584942498</v>
      </c>
    </row>
    <row r="125" spans="1:50" x14ac:dyDescent="0.15">
      <c r="B125" s="102" t="s">
        <v>22</v>
      </c>
      <c r="C125" s="97">
        <v>567342.48340174148</v>
      </c>
      <c r="D125" s="97">
        <v>567342.48340174148</v>
      </c>
      <c r="E125" s="97">
        <v>567342.48340174148</v>
      </c>
      <c r="F125" s="97">
        <v>567342.48340174148</v>
      </c>
      <c r="G125" s="97">
        <v>567342.48340174148</v>
      </c>
      <c r="H125" s="97">
        <v>567342.48340174148</v>
      </c>
      <c r="I125" s="97">
        <v>567342.48340174148</v>
      </c>
      <c r="J125" s="97">
        <v>567342.48340174148</v>
      </c>
      <c r="K125" s="97">
        <v>567342.48340174148</v>
      </c>
      <c r="L125" s="97">
        <v>567342.48340174148</v>
      </c>
      <c r="M125" s="97">
        <v>567342.48340174148</v>
      </c>
      <c r="N125" s="97">
        <v>567342.48340174148</v>
      </c>
      <c r="O125" s="97">
        <v>567342.48340174148</v>
      </c>
      <c r="P125" s="97">
        <v>567342.48340174148</v>
      </c>
      <c r="Q125" s="97">
        <v>567342.48340174148</v>
      </c>
      <c r="R125" s="97">
        <v>567342.48340174148</v>
      </c>
      <c r="S125" s="97">
        <v>567342.48340174148</v>
      </c>
      <c r="T125" s="97">
        <v>567342.48340174148</v>
      </c>
      <c r="U125" s="97">
        <v>567342.48340174148</v>
      </c>
      <c r="V125" s="97">
        <v>567342.48340174148</v>
      </c>
      <c r="W125" s="97">
        <v>567342.48340174148</v>
      </c>
      <c r="X125" s="97">
        <v>567342.48340174148</v>
      </c>
      <c r="Y125" s="97">
        <v>567342.48340174148</v>
      </c>
      <c r="Z125" s="97">
        <v>567342.48340174148</v>
      </c>
      <c r="AA125" s="97">
        <v>567342.48340174148</v>
      </c>
      <c r="AB125" s="97">
        <v>567342.48340174148</v>
      </c>
      <c r="AC125" s="97">
        <v>567342.48340174148</v>
      </c>
      <c r="AD125" s="97">
        <v>567342.48340174148</v>
      </c>
      <c r="AE125" s="97">
        <v>567342.48340174148</v>
      </c>
      <c r="AF125" s="97">
        <v>567342.48340174148</v>
      </c>
      <c r="AG125" s="97">
        <v>567342.48340174148</v>
      </c>
      <c r="AH125" s="97">
        <v>567342.48340174148</v>
      </c>
      <c r="AI125" s="97">
        <v>567342.48340174148</v>
      </c>
      <c r="AJ125" s="97">
        <v>567342.48340174148</v>
      </c>
      <c r="AK125" s="97">
        <v>567342.48340174148</v>
      </c>
      <c r="AL125" s="97">
        <v>567342.48340174148</v>
      </c>
      <c r="AM125" s="97">
        <v>567342.48340174148</v>
      </c>
      <c r="AN125" s="97">
        <v>567342.48340174148</v>
      </c>
      <c r="AO125" s="97">
        <v>567342.48340174148</v>
      </c>
      <c r="AP125" s="97">
        <v>567342.48340174148</v>
      </c>
      <c r="AQ125" s="97">
        <v>567342.48340174148</v>
      </c>
      <c r="AR125" s="97">
        <v>567342.48340174148</v>
      </c>
      <c r="AS125" s="97">
        <v>567342.48340174148</v>
      </c>
      <c r="AT125" s="97">
        <v>567342.48340174148</v>
      </c>
      <c r="AU125" s="97">
        <v>567342.48340174148</v>
      </c>
      <c r="AV125" s="97">
        <v>567342.48340174148</v>
      </c>
      <c r="AW125" s="97">
        <v>567342.48340174148</v>
      </c>
      <c r="AX125" s="97">
        <v>567342.48340174148</v>
      </c>
    </row>
    <row r="126" spans="1:50" x14ac:dyDescent="0.15">
      <c r="B126" s="102" t="s">
        <v>59</v>
      </c>
      <c r="C126" s="97">
        <v>430960.52497079992</v>
      </c>
      <c r="D126" s="97">
        <v>430960.52497079992</v>
      </c>
      <c r="E126" s="97">
        <v>430960.52497079992</v>
      </c>
      <c r="F126" s="97">
        <v>430960.52497079992</v>
      </c>
      <c r="G126" s="97">
        <v>430960.52497079992</v>
      </c>
      <c r="H126" s="97">
        <v>430960.52497079992</v>
      </c>
      <c r="I126" s="97">
        <v>430960.52497079992</v>
      </c>
      <c r="J126" s="97">
        <v>430960.52497079992</v>
      </c>
      <c r="K126" s="97">
        <v>430960.52497079992</v>
      </c>
      <c r="L126" s="97">
        <v>430960.52497079992</v>
      </c>
      <c r="M126" s="97">
        <v>430960.52497079992</v>
      </c>
      <c r="N126" s="97">
        <v>430960.52497079992</v>
      </c>
      <c r="O126" s="97">
        <v>430960.52497079992</v>
      </c>
      <c r="P126" s="97">
        <v>430960.52497079992</v>
      </c>
      <c r="Q126" s="97">
        <v>430960.52497079992</v>
      </c>
      <c r="R126" s="97">
        <v>430960.52497079992</v>
      </c>
      <c r="S126" s="97">
        <v>430960.52497079992</v>
      </c>
      <c r="T126" s="97">
        <v>430960.52497079992</v>
      </c>
      <c r="U126" s="97">
        <v>430960.52497079992</v>
      </c>
      <c r="V126" s="97">
        <v>430960.52497079992</v>
      </c>
      <c r="W126" s="97">
        <v>430960.52497079992</v>
      </c>
      <c r="X126" s="97">
        <v>430960.52497079992</v>
      </c>
      <c r="Y126" s="97">
        <v>430960.52497079992</v>
      </c>
      <c r="Z126" s="97">
        <v>430960.52497079992</v>
      </c>
      <c r="AA126" s="97">
        <v>430960.52497079992</v>
      </c>
      <c r="AB126" s="97">
        <v>430960.52497079992</v>
      </c>
      <c r="AC126" s="97">
        <v>430960.52497079992</v>
      </c>
      <c r="AD126" s="97">
        <v>430960.52497079992</v>
      </c>
      <c r="AE126" s="97">
        <v>430960.52497079992</v>
      </c>
      <c r="AF126" s="97">
        <v>430960.52497079992</v>
      </c>
      <c r="AG126" s="97">
        <v>430960.52497079992</v>
      </c>
      <c r="AH126" s="97">
        <v>430960.52497079992</v>
      </c>
      <c r="AI126" s="97">
        <v>430960.52497079992</v>
      </c>
      <c r="AJ126" s="97">
        <v>430960.52497079992</v>
      </c>
      <c r="AK126" s="97">
        <v>430960.52497079992</v>
      </c>
      <c r="AL126" s="97">
        <v>430960.52497079992</v>
      </c>
      <c r="AM126" s="97">
        <v>430960.52497079992</v>
      </c>
      <c r="AN126" s="97">
        <v>430960.52497079992</v>
      </c>
      <c r="AO126" s="97">
        <v>430960.52497079992</v>
      </c>
      <c r="AP126" s="97">
        <v>430960.52497079992</v>
      </c>
      <c r="AQ126" s="97">
        <v>430960.52497079992</v>
      </c>
      <c r="AR126" s="97">
        <v>430960.52497079992</v>
      </c>
      <c r="AS126" s="97">
        <v>430960.52497079992</v>
      </c>
      <c r="AT126" s="97">
        <v>430960.52497079992</v>
      </c>
      <c r="AU126" s="97">
        <v>430960.52497079992</v>
      </c>
      <c r="AV126" s="97">
        <v>430960.52497079992</v>
      </c>
      <c r="AW126" s="97">
        <v>430960.52497079992</v>
      </c>
      <c r="AX126" s="97">
        <v>430960.52497079992</v>
      </c>
    </row>
    <row r="127" spans="1:50" x14ac:dyDescent="0.15">
      <c r="B127" s="97" t="s">
        <v>277</v>
      </c>
      <c r="C127" s="102">
        <f>SUM(C$122:C$126)</f>
        <v>1204294.8394904165</v>
      </c>
      <c r="D127" s="102">
        <f t="shared" ref="D127:AX127" si="9">SUM(D$122:D$126)</f>
        <v>1204294.8394904165</v>
      </c>
      <c r="E127" s="102">
        <f t="shared" si="9"/>
        <v>1204294.8394904165</v>
      </c>
      <c r="F127" s="102">
        <f t="shared" si="9"/>
        <v>1204294.8394904165</v>
      </c>
      <c r="G127" s="102">
        <f t="shared" si="9"/>
        <v>1204294.8394904165</v>
      </c>
      <c r="H127" s="102">
        <f t="shared" si="9"/>
        <v>1204294.8394904165</v>
      </c>
      <c r="I127" s="102">
        <f t="shared" si="9"/>
        <v>1204294.8394904165</v>
      </c>
      <c r="J127" s="102">
        <f t="shared" si="9"/>
        <v>1204294.8394904165</v>
      </c>
      <c r="K127" s="102">
        <f t="shared" si="9"/>
        <v>1204294.8394904165</v>
      </c>
      <c r="L127" s="102">
        <f t="shared" si="9"/>
        <v>1204294.8394904165</v>
      </c>
      <c r="M127" s="102">
        <f t="shared" si="9"/>
        <v>1204294.8394904165</v>
      </c>
      <c r="N127" s="102">
        <f t="shared" si="9"/>
        <v>1204294.8394904165</v>
      </c>
      <c r="O127" s="102">
        <f t="shared" si="9"/>
        <v>1204294.8394904165</v>
      </c>
      <c r="P127" s="102">
        <f t="shared" si="9"/>
        <v>1204294.8394904165</v>
      </c>
      <c r="Q127" s="102">
        <f t="shared" si="9"/>
        <v>1204294.8394904165</v>
      </c>
      <c r="R127" s="102">
        <f t="shared" si="9"/>
        <v>1204294.8394904165</v>
      </c>
      <c r="S127" s="102">
        <f t="shared" si="9"/>
        <v>1204294.8394904165</v>
      </c>
      <c r="T127" s="102">
        <f t="shared" si="9"/>
        <v>1204294.8394904165</v>
      </c>
      <c r="U127" s="102">
        <f t="shared" si="9"/>
        <v>1204294.8394904165</v>
      </c>
      <c r="V127" s="102">
        <f t="shared" si="9"/>
        <v>1204294.8394904165</v>
      </c>
      <c r="W127" s="102">
        <f t="shared" si="9"/>
        <v>1204294.8394904165</v>
      </c>
      <c r="X127" s="102">
        <f t="shared" si="9"/>
        <v>1204294.8394904165</v>
      </c>
      <c r="Y127" s="102">
        <f t="shared" si="9"/>
        <v>1204294.8394904165</v>
      </c>
      <c r="Z127" s="102">
        <f t="shared" si="9"/>
        <v>1204294.8394904165</v>
      </c>
      <c r="AA127" s="102">
        <f t="shared" si="9"/>
        <v>1204294.8394904165</v>
      </c>
      <c r="AB127" s="102">
        <f t="shared" si="9"/>
        <v>1204294.8394904165</v>
      </c>
      <c r="AC127" s="102">
        <f t="shared" si="9"/>
        <v>1204294.8394904165</v>
      </c>
      <c r="AD127" s="102">
        <f t="shared" si="9"/>
        <v>1204294.8394904165</v>
      </c>
      <c r="AE127" s="102">
        <f t="shared" si="9"/>
        <v>1204294.8394904165</v>
      </c>
      <c r="AF127" s="102">
        <f t="shared" si="9"/>
        <v>1204294.8394904165</v>
      </c>
      <c r="AG127" s="102">
        <f t="shared" si="9"/>
        <v>1204294.8394904165</v>
      </c>
      <c r="AH127" s="102">
        <f t="shared" si="9"/>
        <v>1204294.8394904165</v>
      </c>
      <c r="AI127" s="102">
        <f t="shared" si="9"/>
        <v>1204294.8394904165</v>
      </c>
      <c r="AJ127" s="102">
        <f t="shared" si="9"/>
        <v>1204294.8394904165</v>
      </c>
      <c r="AK127" s="102">
        <f t="shared" si="9"/>
        <v>1204294.8394904165</v>
      </c>
      <c r="AL127" s="102">
        <f t="shared" si="9"/>
        <v>1204294.8394904165</v>
      </c>
      <c r="AM127" s="102">
        <f t="shared" si="9"/>
        <v>1204294.8394904165</v>
      </c>
      <c r="AN127" s="102">
        <f t="shared" si="9"/>
        <v>1204294.8394904165</v>
      </c>
      <c r="AO127" s="102">
        <f t="shared" si="9"/>
        <v>1204294.8394904165</v>
      </c>
      <c r="AP127" s="102">
        <f t="shared" si="9"/>
        <v>1204294.8394904165</v>
      </c>
      <c r="AQ127" s="102">
        <f t="shared" si="9"/>
        <v>1204294.8394904165</v>
      </c>
      <c r="AR127" s="102">
        <f t="shared" si="9"/>
        <v>1204294.8394904165</v>
      </c>
      <c r="AS127" s="102">
        <f t="shared" si="9"/>
        <v>1204294.8394904165</v>
      </c>
      <c r="AT127" s="102">
        <f t="shared" si="9"/>
        <v>1204294.8394904165</v>
      </c>
      <c r="AU127" s="102">
        <f t="shared" si="9"/>
        <v>1204294.8394904165</v>
      </c>
      <c r="AV127" s="102">
        <f t="shared" si="9"/>
        <v>1204294.8394904165</v>
      </c>
      <c r="AW127" s="102">
        <f t="shared" si="9"/>
        <v>1204294.8394904165</v>
      </c>
      <c r="AX127" s="102">
        <f t="shared" si="9"/>
        <v>1204294.8394904165</v>
      </c>
    </row>
    <row r="128" spans="1:50" x14ac:dyDescent="0.15">
      <c r="A128" s="102" t="s">
        <v>109</v>
      </c>
      <c r="B128" s="102" t="s">
        <v>5</v>
      </c>
      <c r="C128" s="97">
        <v>5743.105743099999</v>
      </c>
      <c r="D128" s="97">
        <v>5743.105743099999</v>
      </c>
      <c r="E128" s="97">
        <v>5743.105743099999</v>
      </c>
      <c r="F128" s="97">
        <v>5743.105743099999</v>
      </c>
      <c r="G128" s="97">
        <v>5743.105743099999</v>
      </c>
      <c r="H128" s="97">
        <v>5743.105743099999</v>
      </c>
      <c r="I128" s="97">
        <v>5743.105743099999</v>
      </c>
      <c r="J128" s="97">
        <v>5743.105743099999</v>
      </c>
      <c r="K128" s="97">
        <v>5743.105743099999</v>
      </c>
      <c r="L128" s="97">
        <v>5743.105743099999</v>
      </c>
      <c r="M128" s="97">
        <v>5743.105743099999</v>
      </c>
      <c r="N128" s="97">
        <v>5743.105743099999</v>
      </c>
      <c r="O128" s="97">
        <v>5743.105743099999</v>
      </c>
      <c r="P128" s="97">
        <v>5743.105743099999</v>
      </c>
      <c r="Q128" s="97">
        <v>5743.105743099999</v>
      </c>
      <c r="R128" s="97">
        <v>5743.105743099999</v>
      </c>
      <c r="S128" s="97">
        <v>5743.105743099999</v>
      </c>
      <c r="T128" s="97">
        <v>5743.105743099999</v>
      </c>
      <c r="U128" s="97">
        <v>5743.105743099999</v>
      </c>
      <c r="V128" s="97">
        <v>5743.105743099999</v>
      </c>
      <c r="W128" s="97">
        <v>5743.105743099999</v>
      </c>
      <c r="X128" s="97">
        <v>5743.105743099999</v>
      </c>
      <c r="Y128" s="97">
        <v>5743.105743099999</v>
      </c>
      <c r="Z128" s="97">
        <v>5743.105743099999</v>
      </c>
      <c r="AA128" s="97">
        <v>5743.105743099999</v>
      </c>
      <c r="AB128" s="97">
        <v>5743.105743099999</v>
      </c>
      <c r="AC128" s="97">
        <v>5743.105743099999</v>
      </c>
      <c r="AD128" s="97">
        <v>5743.105743099999</v>
      </c>
      <c r="AE128" s="97">
        <v>5743.105743099999</v>
      </c>
      <c r="AF128" s="97">
        <v>5743.105743099999</v>
      </c>
      <c r="AG128" s="97">
        <v>5743.105743099999</v>
      </c>
      <c r="AH128" s="97">
        <v>5743.105743099999</v>
      </c>
      <c r="AI128" s="97">
        <v>5743.105743099999</v>
      </c>
      <c r="AJ128" s="97">
        <v>5743.105743099999</v>
      </c>
      <c r="AK128" s="97">
        <v>5743.105743099999</v>
      </c>
      <c r="AL128" s="97">
        <v>5743.105743099999</v>
      </c>
      <c r="AM128" s="97">
        <v>5743.105743099999</v>
      </c>
      <c r="AN128" s="97">
        <v>5743.105743099999</v>
      </c>
      <c r="AO128" s="97">
        <v>5743.105743099999</v>
      </c>
      <c r="AP128" s="97">
        <v>5743.105743099999</v>
      </c>
      <c r="AQ128" s="97">
        <v>5743.105743099999</v>
      </c>
      <c r="AR128" s="97">
        <v>5743.105743099999</v>
      </c>
      <c r="AS128" s="97">
        <v>5743.105743099999</v>
      </c>
      <c r="AT128" s="97">
        <v>5743.105743099999</v>
      </c>
      <c r="AU128" s="97">
        <v>5743.105743099999</v>
      </c>
      <c r="AV128" s="97">
        <v>5743.105743099999</v>
      </c>
      <c r="AW128" s="97">
        <v>5743.105743099999</v>
      </c>
      <c r="AX128" s="97">
        <v>5743.105743099999</v>
      </c>
    </row>
    <row r="129" spans="2:50" x14ac:dyDescent="0.15">
      <c r="B129" s="102" t="s">
        <v>10</v>
      </c>
      <c r="C129" s="97">
        <v>47464.999525349995</v>
      </c>
      <c r="D129" s="97">
        <v>47464.999525349995</v>
      </c>
      <c r="E129" s="97">
        <v>47464.999525349995</v>
      </c>
      <c r="F129" s="97">
        <v>47464.999525349995</v>
      </c>
      <c r="G129" s="97">
        <v>47464.999525349995</v>
      </c>
      <c r="H129" s="97">
        <v>47464.999525349995</v>
      </c>
      <c r="I129" s="97">
        <v>47464.999525349995</v>
      </c>
      <c r="J129" s="97">
        <v>47464.999525349995</v>
      </c>
      <c r="K129" s="97">
        <v>47464.999525349995</v>
      </c>
      <c r="L129" s="97">
        <v>47464.999525349995</v>
      </c>
      <c r="M129" s="97">
        <v>47464.999525349995</v>
      </c>
      <c r="N129" s="97">
        <v>47464.999525349995</v>
      </c>
      <c r="O129" s="97">
        <v>47464.999525349995</v>
      </c>
      <c r="P129" s="97">
        <v>47464.999525349995</v>
      </c>
      <c r="Q129" s="97">
        <v>47464.999525349995</v>
      </c>
      <c r="R129" s="97">
        <v>47464.999525349995</v>
      </c>
      <c r="S129" s="97">
        <v>47464.999525349995</v>
      </c>
      <c r="T129" s="97">
        <v>47464.999525349995</v>
      </c>
      <c r="U129" s="97">
        <v>47464.999525349995</v>
      </c>
      <c r="V129" s="97">
        <v>47464.999525349995</v>
      </c>
      <c r="W129" s="97">
        <v>47464.999525349995</v>
      </c>
      <c r="X129" s="97">
        <v>47464.999525349995</v>
      </c>
      <c r="Y129" s="97">
        <v>47464.999525349995</v>
      </c>
      <c r="Z129" s="97">
        <v>47464.999525349995</v>
      </c>
      <c r="AA129" s="97">
        <v>47464.999525349995</v>
      </c>
      <c r="AB129" s="97">
        <v>47464.999525349995</v>
      </c>
      <c r="AC129" s="97">
        <v>47464.999525349995</v>
      </c>
      <c r="AD129" s="97">
        <v>47464.999525349995</v>
      </c>
      <c r="AE129" s="97">
        <v>47464.999525349995</v>
      </c>
      <c r="AF129" s="97">
        <v>47464.999525349995</v>
      </c>
      <c r="AG129" s="97">
        <v>47464.999525349995</v>
      </c>
      <c r="AH129" s="97">
        <v>47464.999525349995</v>
      </c>
      <c r="AI129" s="97">
        <v>47464.999525349995</v>
      </c>
      <c r="AJ129" s="97">
        <v>47464.999525349995</v>
      </c>
      <c r="AK129" s="97">
        <v>47464.999525349995</v>
      </c>
      <c r="AL129" s="97">
        <v>47464.999525349995</v>
      </c>
      <c r="AM129" s="97">
        <v>47464.999525349995</v>
      </c>
      <c r="AN129" s="97">
        <v>47464.999525349995</v>
      </c>
      <c r="AO129" s="97">
        <v>47464.999525349995</v>
      </c>
      <c r="AP129" s="97">
        <v>47464.999525349995</v>
      </c>
      <c r="AQ129" s="97">
        <v>47464.999525349995</v>
      </c>
      <c r="AR129" s="97">
        <v>47464.999525349995</v>
      </c>
      <c r="AS129" s="97">
        <v>47464.999525349995</v>
      </c>
      <c r="AT129" s="97">
        <v>47464.999525349995</v>
      </c>
      <c r="AU129" s="97">
        <v>47464.999525349995</v>
      </c>
      <c r="AV129" s="97">
        <v>47464.999525349995</v>
      </c>
      <c r="AW129" s="97">
        <v>47464.999525349995</v>
      </c>
      <c r="AX129" s="97">
        <v>47464.999525349995</v>
      </c>
    </row>
    <row r="130" spans="2:50" x14ac:dyDescent="0.15">
      <c r="B130" s="102" t="s">
        <v>12</v>
      </c>
      <c r="C130" s="97">
        <v>152783.72584942498</v>
      </c>
      <c r="D130" s="97">
        <v>152783.72584942498</v>
      </c>
      <c r="E130" s="97">
        <v>152783.72584942498</v>
      </c>
      <c r="F130" s="97">
        <v>152783.72584942498</v>
      </c>
      <c r="G130" s="97">
        <v>152783.72584942498</v>
      </c>
      <c r="H130" s="97">
        <v>152783.72584942498</v>
      </c>
      <c r="I130" s="97">
        <v>152783.72584942498</v>
      </c>
      <c r="J130" s="97">
        <v>152783.72584942498</v>
      </c>
      <c r="K130" s="97">
        <v>152783.72584942498</v>
      </c>
      <c r="L130" s="97">
        <v>152783.72584942498</v>
      </c>
      <c r="M130" s="97">
        <v>152783.72584942498</v>
      </c>
      <c r="N130" s="97">
        <v>152783.72584942498</v>
      </c>
      <c r="O130" s="97">
        <v>152783.72584942498</v>
      </c>
      <c r="P130" s="97">
        <v>152783.72584942498</v>
      </c>
      <c r="Q130" s="97">
        <v>152783.72584942498</v>
      </c>
      <c r="R130" s="97">
        <v>152783.72584942498</v>
      </c>
      <c r="S130" s="97">
        <v>152783.72584942498</v>
      </c>
      <c r="T130" s="97">
        <v>152783.72584942498</v>
      </c>
      <c r="U130" s="97">
        <v>152783.72584942498</v>
      </c>
      <c r="V130" s="97">
        <v>152783.72584942498</v>
      </c>
      <c r="W130" s="97">
        <v>152783.72584942498</v>
      </c>
      <c r="X130" s="97">
        <v>152783.72584942498</v>
      </c>
      <c r="Y130" s="97">
        <v>152783.72584942498</v>
      </c>
      <c r="Z130" s="97">
        <v>152783.72584942498</v>
      </c>
      <c r="AA130" s="97">
        <v>152783.72584942498</v>
      </c>
      <c r="AB130" s="97">
        <v>152783.72584942498</v>
      </c>
      <c r="AC130" s="97">
        <v>152783.72584942498</v>
      </c>
      <c r="AD130" s="97">
        <v>152783.72584942498</v>
      </c>
      <c r="AE130" s="97">
        <v>152783.72584942498</v>
      </c>
      <c r="AF130" s="97">
        <v>152783.72584942498</v>
      </c>
      <c r="AG130" s="97">
        <v>152783.72584942498</v>
      </c>
      <c r="AH130" s="97">
        <v>152783.72584942498</v>
      </c>
      <c r="AI130" s="97">
        <v>152783.72584942498</v>
      </c>
      <c r="AJ130" s="97">
        <v>152783.72584942498</v>
      </c>
      <c r="AK130" s="97">
        <v>152783.72584942498</v>
      </c>
      <c r="AL130" s="97">
        <v>152783.72584942498</v>
      </c>
      <c r="AM130" s="97">
        <v>152783.72584942498</v>
      </c>
      <c r="AN130" s="97">
        <v>152783.72584942498</v>
      </c>
      <c r="AO130" s="97">
        <v>152783.72584942498</v>
      </c>
      <c r="AP130" s="97">
        <v>152783.72584942498</v>
      </c>
      <c r="AQ130" s="97">
        <v>152783.72584942498</v>
      </c>
      <c r="AR130" s="97">
        <v>152783.72584942498</v>
      </c>
      <c r="AS130" s="97">
        <v>152783.72584942498</v>
      </c>
      <c r="AT130" s="97">
        <v>152783.72584942498</v>
      </c>
      <c r="AU130" s="97">
        <v>152783.72584942498</v>
      </c>
      <c r="AV130" s="97">
        <v>152783.72584942498</v>
      </c>
      <c r="AW130" s="97">
        <v>152783.72584942498</v>
      </c>
      <c r="AX130" s="97">
        <v>152783.72584942498</v>
      </c>
    </row>
    <row r="131" spans="2:50" x14ac:dyDescent="0.15">
      <c r="B131" s="102" t="s">
        <v>22</v>
      </c>
      <c r="C131" s="97">
        <v>567342.48340174148</v>
      </c>
      <c r="D131" s="97">
        <v>567342.48340174148</v>
      </c>
      <c r="E131" s="97">
        <v>567342.48340174148</v>
      </c>
      <c r="F131" s="97">
        <v>567342.48340174148</v>
      </c>
      <c r="G131" s="97">
        <v>567342.48340174148</v>
      </c>
      <c r="H131" s="97">
        <v>567342.48340174148</v>
      </c>
      <c r="I131" s="97">
        <v>567342.48340174148</v>
      </c>
      <c r="J131" s="97">
        <v>567342.48340174148</v>
      </c>
      <c r="K131" s="97">
        <v>567342.48340174148</v>
      </c>
      <c r="L131" s="97">
        <v>567342.48340174148</v>
      </c>
      <c r="M131" s="97">
        <v>567342.48340174148</v>
      </c>
      <c r="N131" s="97">
        <v>567342.48340174148</v>
      </c>
      <c r="O131" s="97">
        <v>567342.48340174148</v>
      </c>
      <c r="P131" s="97">
        <v>567342.48340174148</v>
      </c>
      <c r="Q131" s="97">
        <v>567342.48340174148</v>
      </c>
      <c r="R131" s="97">
        <v>567342.48340174148</v>
      </c>
      <c r="S131" s="97">
        <v>567342.48340174148</v>
      </c>
      <c r="T131" s="97">
        <v>567342.48340174148</v>
      </c>
      <c r="U131" s="97">
        <v>567342.48340174148</v>
      </c>
      <c r="V131" s="97">
        <v>567342.48340174148</v>
      </c>
      <c r="W131" s="97">
        <v>567342.48340174148</v>
      </c>
      <c r="X131" s="97">
        <v>567342.48340174148</v>
      </c>
      <c r="Y131" s="97">
        <v>567342.48340174148</v>
      </c>
      <c r="Z131" s="97">
        <v>567342.48340174148</v>
      </c>
      <c r="AA131" s="97">
        <v>567342.48340174148</v>
      </c>
      <c r="AB131" s="97">
        <v>567342.48340174148</v>
      </c>
      <c r="AC131" s="97">
        <v>567342.48340174148</v>
      </c>
      <c r="AD131" s="97">
        <v>567342.48340174148</v>
      </c>
      <c r="AE131" s="97">
        <v>567342.48340174148</v>
      </c>
      <c r="AF131" s="97">
        <v>567342.48340174148</v>
      </c>
      <c r="AG131" s="97">
        <v>567342.48340174148</v>
      </c>
      <c r="AH131" s="97">
        <v>567342.48340174148</v>
      </c>
      <c r="AI131" s="97">
        <v>567342.48340174148</v>
      </c>
      <c r="AJ131" s="97">
        <v>567342.48340174148</v>
      </c>
      <c r="AK131" s="97">
        <v>567342.48340174148</v>
      </c>
      <c r="AL131" s="97">
        <v>567342.48340174148</v>
      </c>
      <c r="AM131" s="97">
        <v>567342.48340174148</v>
      </c>
      <c r="AN131" s="97">
        <v>567342.48340174148</v>
      </c>
      <c r="AO131" s="97">
        <v>567342.48340174148</v>
      </c>
      <c r="AP131" s="97">
        <v>567342.48340174148</v>
      </c>
      <c r="AQ131" s="97">
        <v>567342.48340174148</v>
      </c>
      <c r="AR131" s="97">
        <v>567342.48340174148</v>
      </c>
      <c r="AS131" s="97">
        <v>567342.48340174148</v>
      </c>
      <c r="AT131" s="97">
        <v>567342.48340174148</v>
      </c>
      <c r="AU131" s="97">
        <v>567342.48340174148</v>
      </c>
      <c r="AV131" s="97">
        <v>567342.48340174148</v>
      </c>
      <c r="AW131" s="97">
        <v>567342.48340174148</v>
      </c>
      <c r="AX131" s="97">
        <v>567342.48340174148</v>
      </c>
    </row>
    <row r="132" spans="2:50" x14ac:dyDescent="0.15">
      <c r="B132" s="102" t="s">
        <v>59</v>
      </c>
      <c r="C132" s="97">
        <v>430960.52497079992</v>
      </c>
      <c r="D132" s="97">
        <v>430960.52497079992</v>
      </c>
      <c r="E132" s="97">
        <v>430960.52497079992</v>
      </c>
      <c r="F132" s="97">
        <v>430960.52497079992</v>
      </c>
      <c r="G132" s="97">
        <v>430960.52497079992</v>
      </c>
      <c r="H132" s="97">
        <v>430960.52497079992</v>
      </c>
      <c r="I132" s="97">
        <v>430960.52497079992</v>
      </c>
      <c r="J132" s="97">
        <v>430960.52497079992</v>
      </c>
      <c r="K132" s="97">
        <v>430960.52497079992</v>
      </c>
      <c r="L132" s="97">
        <v>430960.52497079992</v>
      </c>
      <c r="M132" s="97">
        <v>430960.52497079992</v>
      </c>
      <c r="N132" s="97">
        <v>430960.52497079992</v>
      </c>
      <c r="O132" s="97">
        <v>430960.52497079992</v>
      </c>
      <c r="P132" s="97">
        <v>430960.52497079992</v>
      </c>
      <c r="Q132" s="97">
        <v>430960.52497079992</v>
      </c>
      <c r="R132" s="97">
        <v>430960.52497079992</v>
      </c>
      <c r="S132" s="97">
        <v>430960.52497079992</v>
      </c>
      <c r="T132" s="97">
        <v>430960.52497079992</v>
      </c>
      <c r="U132" s="97">
        <v>430960.52497079992</v>
      </c>
      <c r="V132" s="97">
        <v>430960.52497079992</v>
      </c>
      <c r="W132" s="97">
        <v>430960.52497079992</v>
      </c>
      <c r="X132" s="97">
        <v>430960.52497079992</v>
      </c>
      <c r="Y132" s="97">
        <v>430960.52497079992</v>
      </c>
      <c r="Z132" s="97">
        <v>430960.52497079992</v>
      </c>
      <c r="AA132" s="97">
        <v>430960.52497079992</v>
      </c>
      <c r="AB132" s="97">
        <v>430960.52497079992</v>
      </c>
      <c r="AC132" s="97">
        <v>430960.52497079992</v>
      </c>
      <c r="AD132" s="97">
        <v>430960.52497079992</v>
      </c>
      <c r="AE132" s="97">
        <v>430960.52497079992</v>
      </c>
      <c r="AF132" s="97">
        <v>430960.52497079992</v>
      </c>
      <c r="AG132" s="97">
        <v>430960.52497079992</v>
      </c>
      <c r="AH132" s="97">
        <v>430960.52497079992</v>
      </c>
      <c r="AI132" s="97">
        <v>430960.52497079992</v>
      </c>
      <c r="AJ132" s="97">
        <v>430960.52497079992</v>
      </c>
      <c r="AK132" s="97">
        <v>430960.52497079992</v>
      </c>
      <c r="AL132" s="97">
        <v>430960.52497079992</v>
      </c>
      <c r="AM132" s="97">
        <v>430960.52497079992</v>
      </c>
      <c r="AN132" s="97">
        <v>430960.52497079992</v>
      </c>
      <c r="AO132" s="97">
        <v>430960.52497079992</v>
      </c>
      <c r="AP132" s="97">
        <v>430960.52497079992</v>
      </c>
      <c r="AQ132" s="97">
        <v>430960.52497079992</v>
      </c>
      <c r="AR132" s="97">
        <v>430960.52497079992</v>
      </c>
      <c r="AS132" s="97">
        <v>430960.52497079992</v>
      </c>
      <c r="AT132" s="97">
        <v>430960.52497079992</v>
      </c>
      <c r="AU132" s="97">
        <v>430960.52497079992</v>
      </c>
      <c r="AV132" s="97">
        <v>430960.52497079992</v>
      </c>
      <c r="AW132" s="97">
        <v>430960.52497079992</v>
      </c>
      <c r="AX132" s="97">
        <v>430960.52497079992</v>
      </c>
    </row>
    <row r="133" spans="2:50" x14ac:dyDescent="0.15">
      <c r="B133" s="97" t="s">
        <v>277</v>
      </c>
      <c r="C133" s="102">
        <f>SUM(C$128:C$132)</f>
        <v>1204294.8394904165</v>
      </c>
      <c r="D133" s="102">
        <f t="shared" ref="D133:AX133" si="10">SUM(D$128:D$132)</f>
        <v>1204294.8394904165</v>
      </c>
      <c r="E133" s="102">
        <f t="shared" si="10"/>
        <v>1204294.8394904165</v>
      </c>
      <c r="F133" s="102">
        <f t="shared" si="10"/>
        <v>1204294.8394904165</v>
      </c>
      <c r="G133" s="102">
        <f t="shared" si="10"/>
        <v>1204294.8394904165</v>
      </c>
      <c r="H133" s="102">
        <f t="shared" si="10"/>
        <v>1204294.8394904165</v>
      </c>
      <c r="I133" s="102">
        <f t="shared" si="10"/>
        <v>1204294.8394904165</v>
      </c>
      <c r="J133" s="102">
        <f t="shared" si="10"/>
        <v>1204294.8394904165</v>
      </c>
      <c r="K133" s="102">
        <f t="shared" si="10"/>
        <v>1204294.8394904165</v>
      </c>
      <c r="L133" s="102">
        <f t="shared" si="10"/>
        <v>1204294.8394904165</v>
      </c>
      <c r="M133" s="102">
        <f t="shared" si="10"/>
        <v>1204294.8394904165</v>
      </c>
      <c r="N133" s="102">
        <f t="shared" si="10"/>
        <v>1204294.8394904165</v>
      </c>
      <c r="O133" s="102">
        <f t="shared" si="10"/>
        <v>1204294.8394904165</v>
      </c>
      <c r="P133" s="102">
        <f t="shared" si="10"/>
        <v>1204294.8394904165</v>
      </c>
      <c r="Q133" s="102">
        <f t="shared" si="10"/>
        <v>1204294.8394904165</v>
      </c>
      <c r="R133" s="102">
        <f t="shared" si="10"/>
        <v>1204294.8394904165</v>
      </c>
      <c r="S133" s="102">
        <f t="shared" si="10"/>
        <v>1204294.8394904165</v>
      </c>
      <c r="T133" s="102">
        <f t="shared" si="10"/>
        <v>1204294.8394904165</v>
      </c>
      <c r="U133" s="102">
        <f t="shared" si="10"/>
        <v>1204294.8394904165</v>
      </c>
      <c r="V133" s="102">
        <f t="shared" si="10"/>
        <v>1204294.8394904165</v>
      </c>
      <c r="W133" s="102">
        <f t="shared" si="10"/>
        <v>1204294.8394904165</v>
      </c>
      <c r="X133" s="102">
        <f t="shared" si="10"/>
        <v>1204294.8394904165</v>
      </c>
      <c r="Y133" s="102">
        <f t="shared" si="10"/>
        <v>1204294.8394904165</v>
      </c>
      <c r="Z133" s="102">
        <f t="shared" si="10"/>
        <v>1204294.8394904165</v>
      </c>
      <c r="AA133" s="102">
        <f t="shared" si="10"/>
        <v>1204294.8394904165</v>
      </c>
      <c r="AB133" s="102">
        <f t="shared" si="10"/>
        <v>1204294.8394904165</v>
      </c>
      <c r="AC133" s="102">
        <f t="shared" si="10"/>
        <v>1204294.8394904165</v>
      </c>
      <c r="AD133" s="102">
        <f t="shared" si="10"/>
        <v>1204294.8394904165</v>
      </c>
      <c r="AE133" s="102">
        <f t="shared" si="10"/>
        <v>1204294.8394904165</v>
      </c>
      <c r="AF133" s="102">
        <f t="shared" si="10"/>
        <v>1204294.8394904165</v>
      </c>
      <c r="AG133" s="102">
        <f t="shared" si="10"/>
        <v>1204294.8394904165</v>
      </c>
      <c r="AH133" s="102">
        <f t="shared" si="10"/>
        <v>1204294.8394904165</v>
      </c>
      <c r="AI133" s="102">
        <f t="shared" si="10"/>
        <v>1204294.8394904165</v>
      </c>
      <c r="AJ133" s="102">
        <f t="shared" si="10"/>
        <v>1204294.8394904165</v>
      </c>
      <c r="AK133" s="102">
        <f t="shared" si="10"/>
        <v>1204294.8394904165</v>
      </c>
      <c r="AL133" s="102">
        <f t="shared" si="10"/>
        <v>1204294.8394904165</v>
      </c>
      <c r="AM133" s="102">
        <f t="shared" si="10"/>
        <v>1204294.8394904165</v>
      </c>
      <c r="AN133" s="102">
        <f t="shared" si="10"/>
        <v>1204294.8394904165</v>
      </c>
      <c r="AO133" s="102">
        <f t="shared" si="10"/>
        <v>1204294.8394904165</v>
      </c>
      <c r="AP133" s="102">
        <f t="shared" si="10"/>
        <v>1204294.8394904165</v>
      </c>
      <c r="AQ133" s="102">
        <f t="shared" si="10"/>
        <v>1204294.8394904165</v>
      </c>
      <c r="AR133" s="102">
        <f t="shared" si="10"/>
        <v>1204294.8394904165</v>
      </c>
      <c r="AS133" s="102">
        <f t="shared" si="10"/>
        <v>1204294.8394904165</v>
      </c>
      <c r="AT133" s="102">
        <f t="shared" si="10"/>
        <v>1204294.8394904165</v>
      </c>
      <c r="AU133" s="102">
        <f t="shared" si="10"/>
        <v>1204294.8394904165</v>
      </c>
      <c r="AV133" s="102">
        <f t="shared" si="10"/>
        <v>1204294.8394904165</v>
      </c>
      <c r="AW133" s="102">
        <f t="shared" si="10"/>
        <v>1204294.8394904165</v>
      </c>
      <c r="AX133" s="102">
        <f t="shared" si="10"/>
        <v>1204294.8394904165</v>
      </c>
    </row>
  </sheetData>
  <pageMargins left="0.75" right="0.75" top="1" bottom="1" header="0.5" footer="0.5"/>
  <pageSetup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54"/>
  <sheetViews>
    <sheetView workbookViewId="0">
      <pane xSplit="2" ySplit="6" topLeftCell="C7" activePane="bottomRight" state="frozen"/>
      <selection pane="topRight"/>
      <selection pane="bottomLeft"/>
      <selection pane="bottomRight" activeCell="D14" sqref="D14"/>
    </sheetView>
  </sheetViews>
  <sheetFormatPr baseColWidth="10" defaultColWidth="8.83203125" defaultRowHeight="13" x14ac:dyDescent="0.15"/>
  <cols>
    <col min="1" max="1" width="14.6640625" style="97" customWidth="1"/>
    <col min="2" max="2" width="17.6640625" style="97" customWidth="1"/>
    <col min="3" max="51" width="8.83203125" style="97"/>
    <col min="52" max="52" width="10.6640625" style="97" customWidth="1"/>
    <col min="53" max="16384" width="8.83203125" style="97"/>
  </cols>
  <sheetData>
    <row r="1" spans="1:52" x14ac:dyDescent="0.15">
      <c r="A1" s="99" t="s">
        <v>118</v>
      </c>
    </row>
    <row r="2" spans="1:52" x14ac:dyDescent="0.15">
      <c r="A2" s="97" t="s">
        <v>302</v>
      </c>
      <c r="B2" s="104" t="s">
        <v>5</v>
      </c>
      <c r="E2" s="107"/>
    </row>
    <row r="3" spans="1:52" x14ac:dyDescent="0.15">
      <c r="A3" s="97" t="s">
        <v>285</v>
      </c>
      <c r="B3" s="104">
        <v>345</v>
      </c>
      <c r="E3" s="107"/>
    </row>
    <row r="4" spans="1:52" x14ac:dyDescent="0.15">
      <c r="A4" s="99"/>
      <c r="C4" s="108" t="s">
        <v>286</v>
      </c>
    </row>
    <row r="5" spans="1:52" x14ac:dyDescent="0.15">
      <c r="B5" s="103"/>
      <c r="C5" s="109">
        <v>0</v>
      </c>
      <c r="D5" s="109">
        <v>1</v>
      </c>
      <c r="E5" s="109">
        <v>2</v>
      </c>
      <c r="F5" s="109">
        <v>3</v>
      </c>
      <c r="G5" s="109">
        <v>4</v>
      </c>
      <c r="H5" s="109">
        <v>5</v>
      </c>
      <c r="I5" s="109">
        <v>6</v>
      </c>
      <c r="J5" s="109">
        <v>7</v>
      </c>
      <c r="K5" s="109">
        <v>8</v>
      </c>
      <c r="L5" s="109">
        <v>9</v>
      </c>
      <c r="M5" s="109">
        <v>10</v>
      </c>
      <c r="N5" s="109">
        <v>11</v>
      </c>
      <c r="O5" s="109">
        <v>12</v>
      </c>
      <c r="P5" s="109">
        <v>13</v>
      </c>
      <c r="Q5" s="109">
        <v>14</v>
      </c>
      <c r="R5" s="109">
        <v>15</v>
      </c>
      <c r="S5" s="109">
        <v>16</v>
      </c>
      <c r="T5" s="109">
        <v>17</v>
      </c>
      <c r="U5" s="109">
        <v>18</v>
      </c>
      <c r="V5" s="109">
        <v>19</v>
      </c>
      <c r="W5" s="109">
        <v>20</v>
      </c>
      <c r="X5" s="109">
        <v>21</v>
      </c>
      <c r="Y5" s="109">
        <v>22</v>
      </c>
      <c r="Z5" s="109">
        <v>23</v>
      </c>
      <c r="AA5" s="109">
        <v>24</v>
      </c>
      <c r="AB5" s="109">
        <v>25</v>
      </c>
      <c r="AC5" s="109">
        <v>26</v>
      </c>
      <c r="AD5" s="109">
        <v>27</v>
      </c>
      <c r="AE5" s="109">
        <v>28</v>
      </c>
      <c r="AF5" s="109">
        <v>29</v>
      </c>
      <c r="AG5" s="109">
        <v>30</v>
      </c>
      <c r="AH5" s="109">
        <v>31</v>
      </c>
      <c r="AI5" s="109">
        <v>32</v>
      </c>
      <c r="AJ5" s="109">
        <v>33</v>
      </c>
      <c r="AK5" s="109">
        <v>34</v>
      </c>
      <c r="AL5" s="109">
        <v>35</v>
      </c>
      <c r="AM5" s="109">
        <v>36</v>
      </c>
      <c r="AN5" s="109">
        <v>37</v>
      </c>
      <c r="AO5" s="109">
        <v>38</v>
      </c>
      <c r="AP5" s="109">
        <v>39</v>
      </c>
      <c r="AQ5" s="109">
        <v>40</v>
      </c>
      <c r="AR5" s="109">
        <v>41</v>
      </c>
      <c r="AS5" s="109">
        <v>42</v>
      </c>
      <c r="AT5" s="109">
        <v>43</v>
      </c>
      <c r="AU5" s="109">
        <v>44</v>
      </c>
      <c r="AV5" s="109">
        <v>45</v>
      </c>
      <c r="AW5" s="109">
        <v>46</v>
      </c>
      <c r="AX5" s="109">
        <v>47</v>
      </c>
      <c r="AY5" s="109">
        <v>48</v>
      </c>
    </row>
    <row r="6" spans="1:52" x14ac:dyDescent="0.15">
      <c r="A6" s="99" t="s">
        <v>303</v>
      </c>
      <c r="B6" s="111"/>
      <c r="C6" s="110" t="s">
        <v>287</v>
      </c>
      <c r="D6" s="109" t="s">
        <v>288</v>
      </c>
      <c r="E6" s="109" t="s">
        <v>288</v>
      </c>
      <c r="F6" s="109" t="s">
        <v>288</v>
      </c>
      <c r="G6" s="109" t="s">
        <v>288</v>
      </c>
      <c r="H6" s="109" t="s">
        <v>288</v>
      </c>
      <c r="I6" s="109" t="s">
        <v>288</v>
      </c>
      <c r="J6" s="109" t="s">
        <v>288</v>
      </c>
      <c r="K6" s="109" t="s">
        <v>288</v>
      </c>
      <c r="L6" s="109" t="s">
        <v>288</v>
      </c>
      <c r="M6" s="109" t="s">
        <v>288</v>
      </c>
      <c r="N6" s="109" t="s">
        <v>288</v>
      </c>
      <c r="O6" s="109" t="s">
        <v>288</v>
      </c>
      <c r="P6" s="109" t="s">
        <v>288</v>
      </c>
      <c r="Q6" s="109" t="s">
        <v>288</v>
      </c>
      <c r="R6" s="109" t="s">
        <v>288</v>
      </c>
      <c r="S6" s="109" t="s">
        <v>288</v>
      </c>
      <c r="T6" s="109" t="s">
        <v>288</v>
      </c>
      <c r="U6" s="109" t="s">
        <v>288</v>
      </c>
      <c r="V6" s="109" t="s">
        <v>288</v>
      </c>
      <c r="W6" s="109" t="s">
        <v>288</v>
      </c>
      <c r="X6" s="109" t="s">
        <v>288</v>
      </c>
      <c r="Y6" s="109" t="s">
        <v>288</v>
      </c>
      <c r="Z6" s="109" t="s">
        <v>288</v>
      </c>
      <c r="AA6" s="109" t="s">
        <v>288</v>
      </c>
      <c r="AB6" s="109" t="s">
        <v>288</v>
      </c>
      <c r="AC6" s="109" t="s">
        <v>288</v>
      </c>
      <c r="AD6" s="109" t="s">
        <v>288</v>
      </c>
      <c r="AE6" s="109" t="s">
        <v>288</v>
      </c>
      <c r="AF6" s="109" t="s">
        <v>288</v>
      </c>
      <c r="AG6" s="109" t="s">
        <v>288</v>
      </c>
      <c r="AH6" s="109" t="s">
        <v>288</v>
      </c>
      <c r="AI6" s="109" t="s">
        <v>288</v>
      </c>
      <c r="AJ6" s="109" t="s">
        <v>288</v>
      </c>
      <c r="AK6" s="109" t="s">
        <v>288</v>
      </c>
      <c r="AL6" s="109" t="s">
        <v>288</v>
      </c>
      <c r="AM6" s="109" t="s">
        <v>288</v>
      </c>
      <c r="AN6" s="109" t="s">
        <v>288</v>
      </c>
      <c r="AO6" s="109" t="s">
        <v>288</v>
      </c>
      <c r="AP6" s="109" t="s">
        <v>288</v>
      </c>
      <c r="AQ6" s="109" t="s">
        <v>288</v>
      </c>
      <c r="AR6" s="109" t="s">
        <v>288</v>
      </c>
      <c r="AS6" s="109" t="s">
        <v>288</v>
      </c>
      <c r="AT6" s="109" t="s">
        <v>288</v>
      </c>
      <c r="AU6" s="109" t="s">
        <v>288</v>
      </c>
      <c r="AV6" s="109" t="s">
        <v>288</v>
      </c>
      <c r="AW6" s="109" t="s">
        <v>288</v>
      </c>
      <c r="AX6" s="109" t="s">
        <v>288</v>
      </c>
      <c r="AY6" s="108" t="s">
        <v>289</v>
      </c>
      <c r="AZ6" s="139" t="s">
        <v>150</v>
      </c>
    </row>
    <row r="7" spans="1:52" x14ac:dyDescent="0.15">
      <c r="A7" s="112" t="s">
        <v>125</v>
      </c>
      <c r="B7" s="140">
        <v>1</v>
      </c>
      <c r="C7" s="141" t="s">
        <v>292</v>
      </c>
      <c r="D7" s="141">
        <v>328.58044596942722</v>
      </c>
      <c r="E7" s="141">
        <v>328.67048366257967</v>
      </c>
      <c r="F7" s="141">
        <v>328.76052614595733</v>
      </c>
      <c r="G7" s="141">
        <v>328.85055897869279</v>
      </c>
      <c r="H7" s="141">
        <v>328.94056771508286</v>
      </c>
      <c r="I7" s="141">
        <v>329.03053790712232</v>
      </c>
      <c r="J7" s="141">
        <v>316.63440482492774</v>
      </c>
      <c r="K7" s="141">
        <v>329.21030486983426</v>
      </c>
      <c r="L7" s="141">
        <v>320.56643138759779</v>
      </c>
      <c r="M7" s="141">
        <v>320.76071980512734</v>
      </c>
      <c r="N7" s="141">
        <v>308.36106300330204</v>
      </c>
      <c r="O7" s="141">
        <v>329.56874088889504</v>
      </c>
      <c r="P7" s="141">
        <v>329.65803706572842</v>
      </c>
      <c r="Q7" s="141">
        <v>329.74717933576733</v>
      </c>
      <c r="R7" s="141">
        <v>329.83615334447137</v>
      </c>
      <c r="S7" s="141">
        <v>329.92494476036507</v>
      </c>
      <c r="T7" s="141">
        <v>281.01613213308127</v>
      </c>
      <c r="U7" s="141">
        <v>293.9026826774795</v>
      </c>
      <c r="V7" s="141">
        <v>294.03491955325836</v>
      </c>
      <c r="W7" s="141">
        <v>330.27799881517336</v>
      </c>
      <c r="X7" s="141">
        <v>330.3656632790491</v>
      </c>
      <c r="Y7" s="141">
        <v>330.45305978704636</v>
      </c>
      <c r="Z7" s="141">
        <v>330.54017423977098</v>
      </c>
      <c r="AA7" s="141">
        <v>330.62699258101952</v>
      </c>
      <c r="AB7" s="141">
        <v>330.71350080027185</v>
      </c>
      <c r="AC7" s="141">
        <v>330.79968493517686</v>
      </c>
      <c r="AD7" s="141">
        <v>302.30896929005172</v>
      </c>
      <c r="AE7" s="141">
        <v>324.18682869287414</v>
      </c>
      <c r="AF7" s="141">
        <v>295.33402972724474</v>
      </c>
      <c r="AG7" s="141">
        <v>331.14090320880536</v>
      </c>
      <c r="AH7" s="141">
        <v>331.22525934569222</v>
      </c>
      <c r="AI7" s="141">
        <v>331.30920877392526</v>
      </c>
      <c r="AJ7" s="141">
        <v>331.39273793728466</v>
      </c>
      <c r="AK7" s="141">
        <v>331.47583334731257</v>
      </c>
      <c r="AL7" s="141">
        <v>331.55848158571905</v>
      </c>
      <c r="AM7" s="141">
        <v>331.64066930677666</v>
      </c>
      <c r="AN7" s="141">
        <v>331.72238323970384</v>
      </c>
      <c r="AO7" s="141">
        <v>331.80361019103634</v>
      </c>
      <c r="AP7" s="141">
        <v>331.88433704698593</v>
      </c>
      <c r="AQ7" s="141">
        <v>331.96455077578707</v>
      </c>
      <c r="AR7" s="141">
        <v>332.04423843002951</v>
      </c>
      <c r="AS7" s="141">
        <v>326.68361257278508</v>
      </c>
      <c r="AT7" s="141">
        <v>332.20198416087624</v>
      </c>
      <c r="AU7" s="141">
        <v>332.2800167852406</v>
      </c>
      <c r="AV7" s="141">
        <v>332.35747243513305</v>
      </c>
      <c r="AW7" s="141">
        <v>332.43433861942322</v>
      </c>
      <c r="AX7" s="141">
        <v>332.5106029450331</v>
      </c>
      <c r="AY7" s="141">
        <v>332.5862531191658</v>
      </c>
      <c r="AZ7" s="103"/>
    </row>
    <row r="8" spans="1:52" x14ac:dyDescent="0.15">
      <c r="A8" s="142"/>
      <c r="B8" s="143"/>
      <c r="C8" s="142"/>
      <c r="D8" s="142"/>
      <c r="E8" s="142"/>
      <c r="F8" s="142"/>
      <c r="G8" s="142"/>
      <c r="H8" s="142"/>
      <c r="I8" s="142"/>
      <c r="J8" s="142"/>
      <c r="K8" s="142"/>
      <c r="L8" s="142"/>
      <c r="M8" s="142"/>
      <c r="N8" s="142"/>
      <c r="O8" s="142"/>
      <c r="P8" s="142"/>
      <c r="Q8" s="142"/>
      <c r="R8" s="142"/>
      <c r="S8" s="142"/>
      <c r="T8" s="142"/>
      <c r="U8" s="142"/>
      <c r="V8" s="142"/>
      <c r="W8" s="142"/>
      <c r="X8" s="142"/>
      <c r="Y8" s="142"/>
      <c r="Z8" s="142"/>
      <c r="AA8" s="142"/>
      <c r="AB8" s="142"/>
      <c r="AC8" s="142"/>
      <c r="AD8" s="142"/>
      <c r="AE8" s="142"/>
      <c r="AF8" s="142"/>
      <c r="AG8" s="142"/>
      <c r="AH8" s="142"/>
      <c r="AI8" s="142"/>
      <c r="AJ8" s="142"/>
      <c r="AK8" s="142"/>
      <c r="AL8" s="142"/>
      <c r="AM8" s="142"/>
      <c r="AN8" s="142"/>
      <c r="AO8" s="142"/>
      <c r="AP8" s="142"/>
      <c r="AQ8" s="142"/>
      <c r="AR8" s="142"/>
      <c r="AS8" s="142"/>
      <c r="AT8" s="142"/>
      <c r="AU8" s="142"/>
      <c r="AV8" s="142"/>
      <c r="AW8" s="142"/>
      <c r="AX8" s="142"/>
      <c r="AY8" s="142"/>
      <c r="AZ8" s="144"/>
    </row>
    <row r="9" spans="1:52" x14ac:dyDescent="0.15">
      <c r="A9" s="99" t="s">
        <v>293</v>
      </c>
      <c r="B9" s="145"/>
      <c r="C9" s="103"/>
      <c r="D9" s="103"/>
      <c r="E9" s="103"/>
      <c r="F9" s="103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  <c r="AB9" s="103"/>
      <c r="AC9" s="103"/>
      <c r="AD9" s="103"/>
      <c r="AE9" s="103"/>
      <c r="AF9" s="103"/>
      <c r="AG9" s="103"/>
      <c r="AH9" s="103"/>
      <c r="AI9" s="103"/>
      <c r="AJ9" s="103"/>
      <c r="AK9" s="103"/>
      <c r="AL9" s="103"/>
      <c r="AM9" s="103"/>
      <c r="AN9" s="103"/>
      <c r="AO9" s="103"/>
      <c r="AP9" s="103"/>
      <c r="AQ9" s="103"/>
      <c r="AR9" s="103"/>
      <c r="AS9" s="103"/>
      <c r="AT9" s="103"/>
      <c r="AU9" s="103"/>
      <c r="AV9" s="103"/>
      <c r="AW9" s="103"/>
      <c r="AX9" s="103"/>
      <c r="AY9" s="103"/>
      <c r="AZ9" s="103"/>
    </row>
    <row r="10" spans="1:52" x14ac:dyDescent="0.15">
      <c r="A10" s="146" t="s">
        <v>125</v>
      </c>
      <c r="B10" s="147">
        <v>1</v>
      </c>
      <c r="C10" s="141" t="s">
        <v>292</v>
      </c>
      <c r="D10" s="141">
        <f t="shared" ref="D10:AY10" si="0">MAX(SUM(D$14:D$16)+D$7-$B$3,0)</f>
        <v>0</v>
      </c>
      <c r="E10" s="141">
        <f t="shared" si="0"/>
        <v>0</v>
      </c>
      <c r="F10" s="141">
        <f t="shared" si="0"/>
        <v>0</v>
      </c>
      <c r="G10" s="141">
        <f t="shared" si="0"/>
        <v>0</v>
      </c>
      <c r="H10" s="141">
        <f t="shared" si="0"/>
        <v>0</v>
      </c>
      <c r="I10" s="141">
        <f t="shared" si="0"/>
        <v>0</v>
      </c>
      <c r="J10" s="141">
        <f t="shared" si="0"/>
        <v>0</v>
      </c>
      <c r="K10" s="141">
        <f t="shared" si="0"/>
        <v>0</v>
      </c>
      <c r="L10" s="141">
        <f t="shared" si="0"/>
        <v>0</v>
      </c>
      <c r="M10" s="141">
        <f t="shared" si="0"/>
        <v>0</v>
      </c>
      <c r="N10" s="141">
        <f t="shared" si="0"/>
        <v>0</v>
      </c>
      <c r="O10" s="141">
        <f t="shared" si="0"/>
        <v>0</v>
      </c>
      <c r="P10" s="141">
        <f t="shared" si="0"/>
        <v>0</v>
      </c>
      <c r="Q10" s="141">
        <f t="shared" si="0"/>
        <v>0</v>
      </c>
      <c r="R10" s="141">
        <f t="shared" si="0"/>
        <v>0</v>
      </c>
      <c r="S10" s="141">
        <f t="shared" si="0"/>
        <v>0</v>
      </c>
      <c r="T10" s="141">
        <f t="shared" si="0"/>
        <v>0</v>
      </c>
      <c r="U10" s="141">
        <f t="shared" si="0"/>
        <v>0</v>
      </c>
      <c r="V10" s="141">
        <f t="shared" si="0"/>
        <v>0</v>
      </c>
      <c r="W10" s="141">
        <f t="shared" si="0"/>
        <v>0</v>
      </c>
      <c r="X10" s="141">
        <f t="shared" si="0"/>
        <v>0</v>
      </c>
      <c r="Y10" s="141">
        <f t="shared" si="0"/>
        <v>0</v>
      </c>
      <c r="Z10" s="141">
        <f t="shared" si="0"/>
        <v>0</v>
      </c>
      <c r="AA10" s="141">
        <f t="shared" si="0"/>
        <v>0</v>
      </c>
      <c r="AB10" s="141">
        <f t="shared" si="0"/>
        <v>0</v>
      </c>
      <c r="AC10" s="141">
        <f t="shared" si="0"/>
        <v>0</v>
      </c>
      <c r="AD10" s="141">
        <f t="shared" si="0"/>
        <v>0</v>
      </c>
      <c r="AE10" s="141">
        <f t="shared" si="0"/>
        <v>0</v>
      </c>
      <c r="AF10" s="141">
        <f t="shared" si="0"/>
        <v>0</v>
      </c>
      <c r="AG10" s="141">
        <f t="shared" si="0"/>
        <v>0</v>
      </c>
      <c r="AH10" s="141">
        <f t="shared" si="0"/>
        <v>0</v>
      </c>
      <c r="AI10" s="141">
        <f t="shared" si="0"/>
        <v>0</v>
      </c>
      <c r="AJ10" s="141">
        <f t="shared" si="0"/>
        <v>0</v>
      </c>
      <c r="AK10" s="141">
        <f t="shared" si="0"/>
        <v>0</v>
      </c>
      <c r="AL10" s="141">
        <f t="shared" si="0"/>
        <v>0</v>
      </c>
      <c r="AM10" s="141">
        <f t="shared" si="0"/>
        <v>0</v>
      </c>
      <c r="AN10" s="141">
        <f t="shared" si="0"/>
        <v>0</v>
      </c>
      <c r="AO10" s="141">
        <f t="shared" si="0"/>
        <v>318.52599343074019</v>
      </c>
      <c r="AP10" s="141">
        <f t="shared" si="0"/>
        <v>0</v>
      </c>
      <c r="AQ10" s="141">
        <f t="shared" si="0"/>
        <v>0</v>
      </c>
      <c r="AR10" s="141">
        <f t="shared" si="0"/>
        <v>319.00878920581658</v>
      </c>
      <c r="AS10" s="141">
        <f t="shared" si="0"/>
        <v>0</v>
      </c>
      <c r="AT10" s="141">
        <f t="shared" si="0"/>
        <v>0</v>
      </c>
      <c r="AU10" s="141">
        <f t="shared" si="0"/>
        <v>0</v>
      </c>
      <c r="AV10" s="141">
        <f t="shared" si="0"/>
        <v>0</v>
      </c>
      <c r="AW10" s="141">
        <f t="shared" si="0"/>
        <v>0</v>
      </c>
      <c r="AX10" s="141">
        <f t="shared" si="0"/>
        <v>0</v>
      </c>
      <c r="AY10" s="141">
        <f t="shared" si="0"/>
        <v>0</v>
      </c>
      <c r="AZ10" s="148">
        <f>SUM($D10:$AY10)</f>
        <v>637.53478263655677</v>
      </c>
    </row>
    <row r="11" spans="1:52" x14ac:dyDescent="0.15">
      <c r="C11" s="107"/>
    </row>
    <row r="12" spans="1:52" x14ac:dyDescent="0.15">
      <c r="A12" s="149" t="s">
        <v>294</v>
      </c>
      <c r="B12" s="143"/>
      <c r="C12" s="107"/>
    </row>
    <row r="13" spans="1:52" x14ac:dyDescent="0.15">
      <c r="A13" s="119" t="s">
        <v>125</v>
      </c>
      <c r="B13" s="120">
        <v>1</v>
      </c>
      <c r="C13" s="121"/>
      <c r="D13" s="135">
        <f t="shared" ref="D13:AY13" si="1">D$7-D$10</f>
        <v>328.58044596942722</v>
      </c>
      <c r="E13" s="135">
        <f t="shared" si="1"/>
        <v>328.67048366257967</v>
      </c>
      <c r="F13" s="135">
        <f t="shared" si="1"/>
        <v>328.76052614595733</v>
      </c>
      <c r="G13" s="135">
        <f t="shared" si="1"/>
        <v>328.85055897869279</v>
      </c>
      <c r="H13" s="135">
        <f t="shared" si="1"/>
        <v>328.94056771508286</v>
      </c>
      <c r="I13" s="135">
        <f t="shared" si="1"/>
        <v>329.03053790712232</v>
      </c>
      <c r="J13" s="135">
        <f t="shared" si="1"/>
        <v>316.63440482492774</v>
      </c>
      <c r="K13" s="135">
        <f t="shared" si="1"/>
        <v>329.21030486983426</v>
      </c>
      <c r="L13" s="135">
        <f t="shared" si="1"/>
        <v>320.56643138759779</v>
      </c>
      <c r="M13" s="135">
        <f t="shared" si="1"/>
        <v>320.76071980512734</v>
      </c>
      <c r="N13" s="135">
        <f t="shared" si="1"/>
        <v>308.36106300330204</v>
      </c>
      <c r="O13" s="135">
        <f t="shared" si="1"/>
        <v>329.56874088889504</v>
      </c>
      <c r="P13" s="135">
        <f t="shared" si="1"/>
        <v>329.65803706572842</v>
      </c>
      <c r="Q13" s="135">
        <f t="shared" si="1"/>
        <v>329.74717933576733</v>
      </c>
      <c r="R13" s="135">
        <f t="shared" si="1"/>
        <v>329.83615334447137</v>
      </c>
      <c r="S13" s="135">
        <f t="shared" si="1"/>
        <v>329.92494476036507</v>
      </c>
      <c r="T13" s="135">
        <f t="shared" si="1"/>
        <v>281.01613213308127</v>
      </c>
      <c r="U13" s="135">
        <f t="shared" si="1"/>
        <v>293.9026826774795</v>
      </c>
      <c r="V13" s="135">
        <f t="shared" si="1"/>
        <v>294.03491955325836</v>
      </c>
      <c r="W13" s="135">
        <f t="shared" si="1"/>
        <v>330.27799881517336</v>
      </c>
      <c r="X13" s="135">
        <f t="shared" si="1"/>
        <v>330.3656632790491</v>
      </c>
      <c r="Y13" s="135">
        <f t="shared" si="1"/>
        <v>330.45305978704636</v>
      </c>
      <c r="Z13" s="135">
        <f t="shared" si="1"/>
        <v>330.54017423977098</v>
      </c>
      <c r="AA13" s="135">
        <f t="shared" si="1"/>
        <v>330.62699258101952</v>
      </c>
      <c r="AB13" s="135">
        <f t="shared" si="1"/>
        <v>330.71350080027185</v>
      </c>
      <c r="AC13" s="135">
        <f t="shared" si="1"/>
        <v>330.79968493517686</v>
      </c>
      <c r="AD13" s="135">
        <f t="shared" si="1"/>
        <v>302.30896929005172</v>
      </c>
      <c r="AE13" s="135">
        <f t="shared" si="1"/>
        <v>324.18682869287414</v>
      </c>
      <c r="AF13" s="135">
        <f t="shared" si="1"/>
        <v>295.33402972724474</v>
      </c>
      <c r="AG13" s="135">
        <f t="shared" si="1"/>
        <v>331.14090320880536</v>
      </c>
      <c r="AH13" s="135">
        <f t="shared" si="1"/>
        <v>331.22525934569222</v>
      </c>
      <c r="AI13" s="135">
        <f t="shared" si="1"/>
        <v>331.30920877392526</v>
      </c>
      <c r="AJ13" s="135">
        <f t="shared" si="1"/>
        <v>331.39273793728466</v>
      </c>
      <c r="AK13" s="135">
        <f t="shared" si="1"/>
        <v>331.47583334731257</v>
      </c>
      <c r="AL13" s="135">
        <f t="shared" si="1"/>
        <v>331.55848158571905</v>
      </c>
      <c r="AM13" s="135">
        <f t="shared" si="1"/>
        <v>331.64066930677666</v>
      </c>
      <c r="AN13" s="135">
        <f t="shared" si="1"/>
        <v>331.72238323970384</v>
      </c>
      <c r="AO13" s="135">
        <f t="shared" si="1"/>
        <v>13.277616760296155</v>
      </c>
      <c r="AP13" s="135">
        <f t="shared" si="1"/>
        <v>331.88433704698593</v>
      </c>
      <c r="AQ13" s="135">
        <f t="shared" si="1"/>
        <v>331.96455077578707</v>
      </c>
      <c r="AR13" s="135">
        <f t="shared" si="1"/>
        <v>13.035449224212925</v>
      </c>
      <c r="AS13" s="135">
        <f t="shared" si="1"/>
        <v>326.68361257278508</v>
      </c>
      <c r="AT13" s="135">
        <f t="shared" si="1"/>
        <v>332.20198416087624</v>
      </c>
      <c r="AU13" s="135">
        <f t="shared" si="1"/>
        <v>332.2800167852406</v>
      </c>
      <c r="AV13" s="135">
        <f t="shared" si="1"/>
        <v>332.35747243513305</v>
      </c>
      <c r="AW13" s="135">
        <f t="shared" si="1"/>
        <v>332.43433861942322</v>
      </c>
      <c r="AX13" s="135">
        <f t="shared" si="1"/>
        <v>332.5106029450331</v>
      </c>
      <c r="AY13" s="135">
        <f t="shared" si="1"/>
        <v>332.5862531191658</v>
      </c>
      <c r="AZ13" s="106"/>
    </row>
    <row r="14" spans="1:52" x14ac:dyDescent="0.15">
      <c r="A14" s="107"/>
      <c r="B14" s="117">
        <v>2</v>
      </c>
      <c r="C14" s="107"/>
      <c r="D14" s="103">
        <f>IF(C$20="Yes",C13,0)</f>
        <v>0</v>
      </c>
      <c r="E14" s="103">
        <f t="shared" ref="E14:AY17" si="2">IF(D$20="Yes",D13,0)</f>
        <v>0</v>
      </c>
      <c r="F14" s="103">
        <f t="shared" si="2"/>
        <v>0</v>
      </c>
      <c r="G14" s="103">
        <f t="shared" si="2"/>
        <v>0</v>
      </c>
      <c r="H14" s="103">
        <f t="shared" si="2"/>
        <v>0</v>
      </c>
      <c r="I14" s="103">
        <f t="shared" si="2"/>
        <v>0</v>
      </c>
      <c r="J14" s="103">
        <f t="shared" si="2"/>
        <v>0</v>
      </c>
      <c r="K14" s="103">
        <f t="shared" si="2"/>
        <v>0</v>
      </c>
      <c r="L14" s="103">
        <f t="shared" si="2"/>
        <v>0</v>
      </c>
      <c r="M14" s="103">
        <f t="shared" si="2"/>
        <v>0</v>
      </c>
      <c r="N14" s="103">
        <f t="shared" si="2"/>
        <v>0</v>
      </c>
      <c r="O14" s="103">
        <f t="shared" si="2"/>
        <v>0</v>
      </c>
      <c r="P14" s="103">
        <f t="shared" si="2"/>
        <v>0</v>
      </c>
      <c r="Q14" s="103">
        <f t="shared" si="2"/>
        <v>0</v>
      </c>
      <c r="R14" s="103">
        <f t="shared" si="2"/>
        <v>0</v>
      </c>
      <c r="S14" s="103">
        <f t="shared" si="2"/>
        <v>0</v>
      </c>
      <c r="T14" s="103">
        <f t="shared" si="2"/>
        <v>0</v>
      </c>
      <c r="U14" s="103">
        <f t="shared" si="2"/>
        <v>0</v>
      </c>
      <c r="V14" s="103">
        <f t="shared" si="2"/>
        <v>0</v>
      </c>
      <c r="W14" s="103">
        <f t="shared" si="2"/>
        <v>0</v>
      </c>
      <c r="X14" s="103">
        <f t="shared" si="2"/>
        <v>0</v>
      </c>
      <c r="Y14" s="103">
        <f t="shared" si="2"/>
        <v>0</v>
      </c>
      <c r="Z14" s="103">
        <f t="shared" si="2"/>
        <v>0</v>
      </c>
      <c r="AA14" s="103">
        <f t="shared" si="2"/>
        <v>0</v>
      </c>
      <c r="AB14" s="103">
        <f t="shared" si="2"/>
        <v>0</v>
      </c>
      <c r="AC14" s="103">
        <f t="shared" si="2"/>
        <v>0</v>
      </c>
      <c r="AD14" s="103">
        <f t="shared" si="2"/>
        <v>0</v>
      </c>
      <c r="AE14" s="103">
        <f t="shared" si="2"/>
        <v>0</v>
      </c>
      <c r="AF14" s="103">
        <f t="shared" si="2"/>
        <v>0</v>
      </c>
      <c r="AG14" s="103">
        <f t="shared" si="2"/>
        <v>0</v>
      </c>
      <c r="AH14" s="103">
        <f t="shared" si="2"/>
        <v>0</v>
      </c>
      <c r="AI14" s="103">
        <f t="shared" si="2"/>
        <v>0</v>
      </c>
      <c r="AJ14" s="103">
        <f t="shared" si="2"/>
        <v>0</v>
      </c>
      <c r="AK14" s="103">
        <f t="shared" si="2"/>
        <v>0</v>
      </c>
      <c r="AL14" s="103">
        <f t="shared" si="2"/>
        <v>0</v>
      </c>
      <c r="AM14" s="103">
        <f t="shared" si="2"/>
        <v>0</v>
      </c>
      <c r="AN14" s="103">
        <f t="shared" si="2"/>
        <v>0</v>
      </c>
      <c r="AO14" s="103">
        <f t="shared" si="2"/>
        <v>331.72238323970384</v>
      </c>
      <c r="AP14" s="103">
        <f t="shared" si="2"/>
        <v>0</v>
      </c>
      <c r="AQ14" s="103">
        <f t="shared" si="2"/>
        <v>0</v>
      </c>
      <c r="AR14" s="103">
        <f t="shared" si="2"/>
        <v>331.96455077578707</v>
      </c>
      <c r="AS14" s="103">
        <f t="shared" si="2"/>
        <v>0</v>
      </c>
      <c r="AT14" s="103">
        <f t="shared" si="2"/>
        <v>0</v>
      </c>
      <c r="AU14" s="103">
        <f t="shared" si="2"/>
        <v>0</v>
      </c>
      <c r="AV14" s="103">
        <f t="shared" si="2"/>
        <v>0</v>
      </c>
      <c r="AW14" s="103">
        <f t="shared" si="2"/>
        <v>0</v>
      </c>
      <c r="AX14" s="103">
        <f t="shared" si="2"/>
        <v>0</v>
      </c>
      <c r="AY14" s="103">
        <f t="shared" si="2"/>
        <v>0</v>
      </c>
      <c r="AZ14" s="106"/>
    </row>
    <row r="15" spans="1:52" x14ac:dyDescent="0.15">
      <c r="A15" s="107"/>
      <c r="B15" s="124">
        <v>3</v>
      </c>
      <c r="C15" s="107"/>
      <c r="D15" s="103">
        <f>IF(C$20="Yes",C14,0)</f>
        <v>0</v>
      </c>
      <c r="E15" s="103">
        <f t="shared" si="2"/>
        <v>0</v>
      </c>
      <c r="F15" s="103">
        <f t="shared" si="2"/>
        <v>0</v>
      </c>
      <c r="G15" s="103">
        <f t="shared" si="2"/>
        <v>0</v>
      </c>
      <c r="H15" s="103">
        <f t="shared" si="2"/>
        <v>0</v>
      </c>
      <c r="I15" s="103">
        <f t="shared" si="2"/>
        <v>0</v>
      </c>
      <c r="J15" s="103">
        <f t="shared" si="2"/>
        <v>0</v>
      </c>
      <c r="K15" s="103">
        <f t="shared" si="2"/>
        <v>0</v>
      </c>
      <c r="L15" s="103">
        <f t="shared" si="2"/>
        <v>0</v>
      </c>
      <c r="M15" s="103">
        <f t="shared" si="2"/>
        <v>0</v>
      </c>
      <c r="N15" s="103">
        <f t="shared" si="2"/>
        <v>0</v>
      </c>
      <c r="O15" s="103">
        <f t="shared" si="2"/>
        <v>0</v>
      </c>
      <c r="P15" s="103">
        <f t="shared" si="2"/>
        <v>0</v>
      </c>
      <c r="Q15" s="103">
        <f t="shared" si="2"/>
        <v>0</v>
      </c>
      <c r="R15" s="103">
        <f t="shared" si="2"/>
        <v>0</v>
      </c>
      <c r="S15" s="103">
        <f t="shared" si="2"/>
        <v>0</v>
      </c>
      <c r="T15" s="103">
        <f t="shared" si="2"/>
        <v>0</v>
      </c>
      <c r="U15" s="103">
        <f t="shared" si="2"/>
        <v>0</v>
      </c>
      <c r="V15" s="103">
        <f t="shared" si="2"/>
        <v>0</v>
      </c>
      <c r="W15" s="103">
        <f t="shared" si="2"/>
        <v>0</v>
      </c>
      <c r="X15" s="103">
        <f t="shared" si="2"/>
        <v>0</v>
      </c>
      <c r="Y15" s="103">
        <f t="shared" si="2"/>
        <v>0</v>
      </c>
      <c r="Z15" s="103">
        <f t="shared" si="2"/>
        <v>0</v>
      </c>
      <c r="AA15" s="103">
        <f t="shared" si="2"/>
        <v>0</v>
      </c>
      <c r="AB15" s="103">
        <f t="shared" si="2"/>
        <v>0</v>
      </c>
      <c r="AC15" s="103">
        <f t="shared" si="2"/>
        <v>0</v>
      </c>
      <c r="AD15" s="103">
        <f t="shared" si="2"/>
        <v>0</v>
      </c>
      <c r="AE15" s="103">
        <f t="shared" si="2"/>
        <v>0</v>
      </c>
      <c r="AF15" s="103">
        <f t="shared" si="2"/>
        <v>0</v>
      </c>
      <c r="AG15" s="103">
        <f t="shared" si="2"/>
        <v>0</v>
      </c>
      <c r="AH15" s="103">
        <f t="shared" si="2"/>
        <v>0</v>
      </c>
      <c r="AI15" s="103">
        <f t="shared" si="2"/>
        <v>0</v>
      </c>
      <c r="AJ15" s="103">
        <f t="shared" si="2"/>
        <v>0</v>
      </c>
      <c r="AK15" s="103">
        <f t="shared" si="2"/>
        <v>0</v>
      </c>
      <c r="AL15" s="103">
        <f t="shared" si="2"/>
        <v>0</v>
      </c>
      <c r="AM15" s="103">
        <f t="shared" si="2"/>
        <v>0</v>
      </c>
      <c r="AN15" s="103">
        <f t="shared" si="2"/>
        <v>0</v>
      </c>
      <c r="AO15" s="103">
        <f t="shared" si="2"/>
        <v>0</v>
      </c>
      <c r="AP15" s="103">
        <f t="shared" si="2"/>
        <v>0</v>
      </c>
      <c r="AQ15" s="103">
        <f t="shared" si="2"/>
        <v>0</v>
      </c>
      <c r="AR15" s="103">
        <f t="shared" si="2"/>
        <v>0</v>
      </c>
      <c r="AS15" s="103">
        <f t="shared" si="2"/>
        <v>0</v>
      </c>
      <c r="AT15" s="103">
        <f t="shared" si="2"/>
        <v>0</v>
      </c>
      <c r="AU15" s="103">
        <f t="shared" si="2"/>
        <v>0</v>
      </c>
      <c r="AV15" s="103">
        <f t="shared" si="2"/>
        <v>0</v>
      </c>
      <c r="AW15" s="103">
        <f t="shared" si="2"/>
        <v>0</v>
      </c>
      <c r="AX15" s="103">
        <f t="shared" si="2"/>
        <v>0</v>
      </c>
      <c r="AY15" s="103">
        <f t="shared" si="2"/>
        <v>0</v>
      </c>
      <c r="AZ15" s="106"/>
    </row>
    <row r="16" spans="1:52" x14ac:dyDescent="0.15">
      <c r="A16" s="107"/>
      <c r="B16" s="127">
        <v>4</v>
      </c>
      <c r="C16" s="107"/>
      <c r="D16" s="103">
        <f>IF(C$20="Yes",C15,0)</f>
        <v>0</v>
      </c>
      <c r="E16" s="103">
        <f t="shared" si="2"/>
        <v>0</v>
      </c>
      <c r="F16" s="103">
        <f t="shared" si="2"/>
        <v>0</v>
      </c>
      <c r="G16" s="103">
        <f t="shared" si="2"/>
        <v>0</v>
      </c>
      <c r="H16" s="103">
        <f t="shared" si="2"/>
        <v>0</v>
      </c>
      <c r="I16" s="103">
        <f t="shared" si="2"/>
        <v>0</v>
      </c>
      <c r="J16" s="103">
        <f t="shared" si="2"/>
        <v>0</v>
      </c>
      <c r="K16" s="103">
        <f t="shared" si="2"/>
        <v>0</v>
      </c>
      <c r="L16" s="103">
        <f t="shared" si="2"/>
        <v>0</v>
      </c>
      <c r="M16" s="103">
        <f t="shared" si="2"/>
        <v>0</v>
      </c>
      <c r="N16" s="103">
        <f t="shared" si="2"/>
        <v>0</v>
      </c>
      <c r="O16" s="103">
        <f t="shared" si="2"/>
        <v>0</v>
      </c>
      <c r="P16" s="103">
        <f t="shared" si="2"/>
        <v>0</v>
      </c>
      <c r="Q16" s="103">
        <f t="shared" si="2"/>
        <v>0</v>
      </c>
      <c r="R16" s="103">
        <f t="shared" si="2"/>
        <v>0</v>
      </c>
      <c r="S16" s="103">
        <f t="shared" si="2"/>
        <v>0</v>
      </c>
      <c r="T16" s="103">
        <f t="shared" si="2"/>
        <v>0</v>
      </c>
      <c r="U16" s="103">
        <f t="shared" si="2"/>
        <v>0</v>
      </c>
      <c r="V16" s="103">
        <f t="shared" si="2"/>
        <v>0</v>
      </c>
      <c r="W16" s="103">
        <f t="shared" si="2"/>
        <v>0</v>
      </c>
      <c r="X16" s="103">
        <f t="shared" si="2"/>
        <v>0</v>
      </c>
      <c r="Y16" s="103">
        <f t="shared" si="2"/>
        <v>0</v>
      </c>
      <c r="Z16" s="103">
        <f t="shared" si="2"/>
        <v>0</v>
      </c>
      <c r="AA16" s="103">
        <f t="shared" si="2"/>
        <v>0</v>
      </c>
      <c r="AB16" s="103">
        <f t="shared" si="2"/>
        <v>0</v>
      </c>
      <c r="AC16" s="103">
        <f t="shared" si="2"/>
        <v>0</v>
      </c>
      <c r="AD16" s="103">
        <f t="shared" si="2"/>
        <v>0</v>
      </c>
      <c r="AE16" s="103">
        <f t="shared" si="2"/>
        <v>0</v>
      </c>
      <c r="AF16" s="103">
        <f t="shared" si="2"/>
        <v>0</v>
      </c>
      <c r="AG16" s="103">
        <f t="shared" si="2"/>
        <v>0</v>
      </c>
      <c r="AH16" s="103">
        <f t="shared" si="2"/>
        <v>0</v>
      </c>
      <c r="AI16" s="103">
        <f t="shared" si="2"/>
        <v>0</v>
      </c>
      <c r="AJ16" s="103">
        <f t="shared" si="2"/>
        <v>0</v>
      </c>
      <c r="AK16" s="103">
        <f t="shared" si="2"/>
        <v>0</v>
      </c>
      <c r="AL16" s="103">
        <f t="shared" si="2"/>
        <v>0</v>
      </c>
      <c r="AM16" s="103">
        <f t="shared" si="2"/>
        <v>0</v>
      </c>
      <c r="AN16" s="103">
        <f t="shared" si="2"/>
        <v>0</v>
      </c>
      <c r="AO16" s="103">
        <f t="shared" si="2"/>
        <v>0</v>
      </c>
      <c r="AP16" s="103">
        <f t="shared" si="2"/>
        <v>0</v>
      </c>
      <c r="AQ16" s="103">
        <f t="shared" si="2"/>
        <v>0</v>
      </c>
      <c r="AR16" s="103">
        <f t="shared" si="2"/>
        <v>0</v>
      </c>
      <c r="AS16" s="103">
        <f t="shared" si="2"/>
        <v>0</v>
      </c>
      <c r="AT16" s="103">
        <f t="shared" si="2"/>
        <v>0</v>
      </c>
      <c r="AU16" s="103">
        <f t="shared" si="2"/>
        <v>0</v>
      </c>
      <c r="AV16" s="103">
        <f t="shared" si="2"/>
        <v>0</v>
      </c>
      <c r="AW16" s="103">
        <f t="shared" si="2"/>
        <v>0</v>
      </c>
      <c r="AX16" s="103">
        <f t="shared" si="2"/>
        <v>0</v>
      </c>
      <c r="AY16" s="103">
        <f t="shared" si="2"/>
        <v>0</v>
      </c>
      <c r="AZ16" s="125"/>
    </row>
    <row r="17" spans="1:52" x14ac:dyDescent="0.15">
      <c r="A17" s="122"/>
      <c r="B17" s="129" t="s">
        <v>295</v>
      </c>
      <c r="C17" s="122"/>
      <c r="D17" s="111">
        <f>IF(C$20="Yes",C16,0)</f>
        <v>0</v>
      </c>
      <c r="E17" s="111">
        <f t="shared" si="2"/>
        <v>0</v>
      </c>
      <c r="F17" s="111">
        <f t="shared" si="2"/>
        <v>0</v>
      </c>
      <c r="G17" s="111">
        <f t="shared" si="2"/>
        <v>0</v>
      </c>
      <c r="H17" s="111">
        <f t="shared" si="2"/>
        <v>0</v>
      </c>
      <c r="I17" s="111">
        <f t="shared" si="2"/>
        <v>0</v>
      </c>
      <c r="J17" s="111">
        <f t="shared" si="2"/>
        <v>0</v>
      </c>
      <c r="K17" s="111">
        <f t="shared" si="2"/>
        <v>0</v>
      </c>
      <c r="L17" s="111">
        <f t="shared" si="2"/>
        <v>0</v>
      </c>
      <c r="M17" s="111">
        <f t="shared" si="2"/>
        <v>0</v>
      </c>
      <c r="N17" s="111">
        <f t="shared" si="2"/>
        <v>0</v>
      </c>
      <c r="O17" s="111">
        <f t="shared" si="2"/>
        <v>0</v>
      </c>
      <c r="P17" s="111">
        <f t="shared" si="2"/>
        <v>0</v>
      </c>
      <c r="Q17" s="111">
        <f t="shared" si="2"/>
        <v>0</v>
      </c>
      <c r="R17" s="111">
        <f t="shared" si="2"/>
        <v>0</v>
      </c>
      <c r="S17" s="111">
        <f t="shared" si="2"/>
        <v>0</v>
      </c>
      <c r="T17" s="111">
        <f t="shared" si="2"/>
        <v>0</v>
      </c>
      <c r="U17" s="111">
        <f t="shared" si="2"/>
        <v>0</v>
      </c>
      <c r="V17" s="111">
        <f t="shared" si="2"/>
        <v>0</v>
      </c>
      <c r="W17" s="111">
        <f t="shared" si="2"/>
        <v>0</v>
      </c>
      <c r="X17" s="111">
        <f t="shared" si="2"/>
        <v>0</v>
      </c>
      <c r="Y17" s="111">
        <f t="shared" si="2"/>
        <v>0</v>
      </c>
      <c r="Z17" s="111">
        <f t="shared" si="2"/>
        <v>0</v>
      </c>
      <c r="AA17" s="111">
        <f t="shared" si="2"/>
        <v>0</v>
      </c>
      <c r="AB17" s="111">
        <f t="shared" si="2"/>
        <v>0</v>
      </c>
      <c r="AC17" s="111">
        <f t="shared" si="2"/>
        <v>0</v>
      </c>
      <c r="AD17" s="111">
        <f t="shared" si="2"/>
        <v>0</v>
      </c>
      <c r="AE17" s="111">
        <f t="shared" si="2"/>
        <v>0</v>
      </c>
      <c r="AF17" s="111">
        <f t="shared" si="2"/>
        <v>0</v>
      </c>
      <c r="AG17" s="111">
        <f t="shared" si="2"/>
        <v>0</v>
      </c>
      <c r="AH17" s="111">
        <f t="shared" si="2"/>
        <v>0</v>
      </c>
      <c r="AI17" s="111">
        <f t="shared" si="2"/>
        <v>0</v>
      </c>
      <c r="AJ17" s="111">
        <f t="shared" si="2"/>
        <v>0</v>
      </c>
      <c r="AK17" s="111">
        <f t="shared" si="2"/>
        <v>0</v>
      </c>
      <c r="AL17" s="111">
        <f t="shared" si="2"/>
        <v>0</v>
      </c>
      <c r="AM17" s="111">
        <f t="shared" si="2"/>
        <v>0</v>
      </c>
      <c r="AN17" s="111">
        <f t="shared" si="2"/>
        <v>0</v>
      </c>
      <c r="AO17" s="111">
        <f t="shared" si="2"/>
        <v>0</v>
      </c>
      <c r="AP17" s="111">
        <f t="shared" si="2"/>
        <v>0</v>
      </c>
      <c r="AQ17" s="111">
        <f t="shared" si="2"/>
        <v>0</v>
      </c>
      <c r="AR17" s="111">
        <f t="shared" si="2"/>
        <v>0</v>
      </c>
      <c r="AS17" s="111">
        <f t="shared" si="2"/>
        <v>0</v>
      </c>
      <c r="AT17" s="111">
        <f t="shared" si="2"/>
        <v>0</v>
      </c>
      <c r="AU17" s="111">
        <f t="shared" si="2"/>
        <v>0</v>
      </c>
      <c r="AV17" s="111">
        <f t="shared" si="2"/>
        <v>0</v>
      </c>
      <c r="AW17" s="111">
        <f t="shared" si="2"/>
        <v>0</v>
      </c>
      <c r="AX17" s="111">
        <f t="shared" si="2"/>
        <v>0</v>
      </c>
      <c r="AY17" s="111">
        <f t="shared" si="2"/>
        <v>0</v>
      </c>
      <c r="AZ17" s="148">
        <f>SUM($D$17:$AY$17)</f>
        <v>0</v>
      </c>
    </row>
    <row r="18" spans="1:52" x14ac:dyDescent="0.15">
      <c r="A18" s="103"/>
      <c r="B18" s="150"/>
      <c r="C18" s="135"/>
      <c r="D18" s="135"/>
      <c r="E18" s="135"/>
      <c r="F18" s="135"/>
      <c r="G18" s="135"/>
      <c r="H18" s="135"/>
      <c r="I18" s="135"/>
      <c r="J18" s="135"/>
      <c r="K18" s="135"/>
      <c r="L18" s="135"/>
      <c r="M18" s="135"/>
      <c r="N18" s="135"/>
      <c r="O18" s="135"/>
      <c r="P18" s="135"/>
      <c r="Q18" s="135"/>
      <c r="R18" s="135"/>
      <c r="S18" s="135"/>
      <c r="T18" s="135"/>
      <c r="U18" s="135"/>
      <c r="V18" s="135"/>
      <c r="W18" s="135"/>
      <c r="X18" s="135"/>
      <c r="Y18" s="135"/>
      <c r="Z18" s="135"/>
      <c r="AA18" s="135"/>
      <c r="AB18" s="135"/>
      <c r="AC18" s="135"/>
      <c r="AD18" s="135"/>
      <c r="AE18" s="135"/>
      <c r="AF18" s="135"/>
      <c r="AG18" s="135"/>
      <c r="AH18" s="135"/>
      <c r="AI18" s="135"/>
      <c r="AJ18" s="135"/>
      <c r="AK18" s="135"/>
      <c r="AL18" s="135"/>
      <c r="AM18" s="135"/>
      <c r="AN18" s="135"/>
      <c r="AO18" s="135"/>
      <c r="AP18" s="135"/>
      <c r="AQ18" s="135"/>
      <c r="AR18" s="135"/>
      <c r="AS18" s="135"/>
      <c r="AT18" s="135"/>
      <c r="AU18" s="135"/>
      <c r="AV18" s="135"/>
      <c r="AW18" s="135"/>
      <c r="AX18" s="135"/>
      <c r="AY18" s="135"/>
      <c r="AZ18" s="103"/>
    </row>
    <row r="19" spans="1:52" x14ac:dyDescent="0.15">
      <c r="A19" s="99" t="s">
        <v>116</v>
      </c>
      <c r="B19" s="103"/>
      <c r="C19" s="103"/>
      <c r="D19" s="103"/>
      <c r="E19" s="103"/>
      <c r="F19" s="103"/>
      <c r="G19" s="103"/>
      <c r="H19" s="103"/>
      <c r="I19" s="103"/>
      <c r="J19" s="103"/>
      <c r="K19" s="103"/>
      <c r="L19" s="103"/>
      <c r="M19" s="103"/>
      <c r="N19" s="103"/>
      <c r="O19" s="103"/>
      <c r="P19" s="103"/>
      <c r="Q19" s="103"/>
      <c r="R19" s="103"/>
      <c r="S19" s="103"/>
      <c r="T19" s="103"/>
      <c r="U19" s="103"/>
      <c r="V19" s="103"/>
      <c r="W19" s="103"/>
      <c r="X19" s="103"/>
      <c r="Y19" s="103"/>
      <c r="Z19" s="103"/>
      <c r="AA19" s="103"/>
      <c r="AB19" s="103"/>
      <c r="AC19" s="103"/>
      <c r="AD19" s="103"/>
      <c r="AE19" s="103"/>
      <c r="AF19" s="103"/>
      <c r="AG19" s="103"/>
      <c r="AH19" s="103"/>
      <c r="AI19" s="103"/>
      <c r="AJ19" s="103"/>
      <c r="AK19" s="103"/>
      <c r="AL19" s="103"/>
      <c r="AM19" s="103"/>
      <c r="AN19" s="103"/>
      <c r="AO19" s="103"/>
      <c r="AP19" s="103"/>
      <c r="AQ19" s="103"/>
      <c r="AR19" s="103"/>
      <c r="AS19" s="103"/>
      <c r="AT19" s="103"/>
      <c r="AU19" s="103"/>
      <c r="AV19" s="103"/>
      <c r="AW19" s="103"/>
      <c r="AX19" s="103"/>
      <c r="AY19" s="103"/>
    </row>
    <row r="20" spans="1:52" s="107" customFormat="1" x14ac:dyDescent="0.15">
      <c r="A20" s="112" t="s">
        <v>304</v>
      </c>
      <c r="B20" s="151" t="s">
        <v>305</v>
      </c>
      <c r="C20" s="114"/>
      <c r="D20" s="114"/>
      <c r="E20" s="114"/>
      <c r="F20" s="114"/>
      <c r="G20" s="114"/>
      <c r="H20" s="114"/>
      <c r="I20" s="114"/>
      <c r="J20" s="114"/>
      <c r="K20" s="114"/>
      <c r="L20" s="114"/>
      <c r="M20" s="114"/>
      <c r="N20" s="114"/>
      <c r="O20" s="114"/>
      <c r="P20" s="114"/>
      <c r="Q20" s="114"/>
      <c r="R20" s="114"/>
      <c r="S20" s="114"/>
      <c r="T20" s="114"/>
      <c r="U20" s="114"/>
      <c r="V20" s="114"/>
      <c r="W20" s="114"/>
      <c r="X20" s="114"/>
      <c r="Y20" s="114"/>
      <c r="Z20" s="114"/>
      <c r="AA20" s="114"/>
      <c r="AB20" s="114"/>
      <c r="AC20" s="114"/>
      <c r="AD20" s="114"/>
      <c r="AE20" s="114"/>
      <c r="AF20" s="114"/>
      <c r="AG20" s="114"/>
      <c r="AH20" s="114"/>
      <c r="AI20" s="114"/>
      <c r="AJ20" s="114"/>
      <c r="AK20" s="114"/>
      <c r="AL20" s="114"/>
      <c r="AM20" s="114"/>
      <c r="AN20" s="114" t="s">
        <v>338</v>
      </c>
      <c r="AO20" s="114"/>
      <c r="AP20" s="114"/>
      <c r="AQ20" s="114" t="s">
        <v>338</v>
      </c>
      <c r="AR20" s="114"/>
      <c r="AS20" s="114"/>
      <c r="AT20" s="114"/>
      <c r="AU20" s="114"/>
      <c r="AV20" s="114"/>
      <c r="AW20" s="114"/>
      <c r="AX20" s="114"/>
      <c r="AY20" s="114"/>
      <c r="AZ20" s="104"/>
    </row>
    <row r="21" spans="1:52" s="107" customFormat="1" x14ac:dyDescent="0.15">
      <c r="A21" s="152" t="s">
        <v>133</v>
      </c>
      <c r="B21" s="153">
        <f>shipping_manufacturing!$C$19/100</f>
        <v>0.5</v>
      </c>
      <c r="C21" s="153" t="s">
        <v>292</v>
      </c>
      <c r="D21" s="103">
        <f>IF(C$20="Yes",0,SUM(C$13:C$16)*$B$21)</f>
        <v>0</v>
      </c>
      <c r="E21" s="103">
        <f t="shared" ref="E21:AY21" si="3">IF(D$20="Yes",0,SUM(D$13:D$16)*$B$21)</f>
        <v>164.29022298471361</v>
      </c>
      <c r="F21" s="103">
        <f t="shared" si="3"/>
        <v>164.33524183128984</v>
      </c>
      <c r="G21" s="103">
        <f t="shared" si="3"/>
        <v>164.38026307297866</v>
      </c>
      <c r="H21" s="103">
        <f t="shared" si="3"/>
        <v>164.42527948934639</v>
      </c>
      <c r="I21" s="103">
        <f t="shared" si="3"/>
        <v>164.47028385754143</v>
      </c>
      <c r="J21" s="103">
        <f t="shared" si="3"/>
        <v>164.51526895356116</v>
      </c>
      <c r="K21" s="103">
        <f t="shared" si="3"/>
        <v>158.31720241246387</v>
      </c>
      <c r="L21" s="103">
        <f t="shared" si="3"/>
        <v>164.60515243491713</v>
      </c>
      <c r="M21" s="103">
        <f t="shared" si="3"/>
        <v>160.28321569379889</v>
      </c>
      <c r="N21" s="103">
        <f t="shared" si="3"/>
        <v>160.38035990256367</v>
      </c>
      <c r="O21" s="103">
        <f t="shared" si="3"/>
        <v>154.18053150165102</v>
      </c>
      <c r="P21" s="103">
        <f t="shared" si="3"/>
        <v>164.78437044444752</v>
      </c>
      <c r="Q21" s="103">
        <f t="shared" si="3"/>
        <v>164.82901853286421</v>
      </c>
      <c r="R21" s="103">
        <f t="shared" si="3"/>
        <v>164.87358966788366</v>
      </c>
      <c r="S21" s="103">
        <f t="shared" si="3"/>
        <v>164.91807667223569</v>
      </c>
      <c r="T21" s="103">
        <f t="shared" si="3"/>
        <v>164.96247238018253</v>
      </c>
      <c r="U21" s="103">
        <f t="shared" si="3"/>
        <v>140.50806606654064</v>
      </c>
      <c r="V21" s="103">
        <f t="shared" si="3"/>
        <v>146.95134133873975</v>
      </c>
      <c r="W21" s="103">
        <f t="shared" si="3"/>
        <v>147.01745977662918</v>
      </c>
      <c r="X21" s="103">
        <f t="shared" si="3"/>
        <v>165.13899940758668</v>
      </c>
      <c r="Y21" s="103">
        <f t="shared" si="3"/>
        <v>165.18283163952455</v>
      </c>
      <c r="Z21" s="103">
        <f t="shared" si="3"/>
        <v>165.22652989352318</v>
      </c>
      <c r="AA21" s="103">
        <f t="shared" si="3"/>
        <v>165.27008711988549</v>
      </c>
      <c r="AB21" s="103">
        <f t="shared" si="3"/>
        <v>165.31349629050976</v>
      </c>
      <c r="AC21" s="103">
        <f t="shared" si="3"/>
        <v>165.35675040013592</v>
      </c>
      <c r="AD21" s="103">
        <f t="shared" si="3"/>
        <v>165.39984246758843</v>
      </c>
      <c r="AE21" s="103">
        <f t="shared" si="3"/>
        <v>151.15448464502586</v>
      </c>
      <c r="AF21" s="103">
        <f t="shared" si="3"/>
        <v>162.09341434643707</v>
      </c>
      <c r="AG21" s="103">
        <f t="shared" si="3"/>
        <v>147.66701486362237</v>
      </c>
      <c r="AH21" s="103">
        <f t="shared" si="3"/>
        <v>165.57045160440268</v>
      </c>
      <c r="AI21" s="103">
        <f t="shared" si="3"/>
        <v>165.61262967284611</v>
      </c>
      <c r="AJ21" s="103">
        <f t="shared" si="3"/>
        <v>165.65460438696263</v>
      </c>
      <c r="AK21" s="103">
        <f t="shared" si="3"/>
        <v>165.69636896864233</v>
      </c>
      <c r="AL21" s="103">
        <f t="shared" si="3"/>
        <v>165.73791667365629</v>
      </c>
      <c r="AM21" s="103">
        <f t="shared" si="3"/>
        <v>165.77924079285953</v>
      </c>
      <c r="AN21" s="103">
        <f t="shared" si="3"/>
        <v>165.82033465338833</v>
      </c>
      <c r="AO21" s="103">
        <f t="shared" si="3"/>
        <v>0</v>
      </c>
      <c r="AP21" s="103">
        <f t="shared" si="3"/>
        <v>172.5</v>
      </c>
      <c r="AQ21" s="103">
        <f t="shared" si="3"/>
        <v>165.94216852349297</v>
      </c>
      <c r="AR21" s="103">
        <f t="shared" si="3"/>
        <v>0</v>
      </c>
      <c r="AS21" s="103">
        <f t="shared" si="3"/>
        <v>172.5</v>
      </c>
      <c r="AT21" s="103">
        <f t="shared" si="3"/>
        <v>163.34180628639254</v>
      </c>
      <c r="AU21" s="103">
        <f t="shared" si="3"/>
        <v>166.10099208043812</v>
      </c>
      <c r="AV21" s="103">
        <f t="shared" si="3"/>
        <v>166.1400083926203</v>
      </c>
      <c r="AW21" s="103">
        <f t="shared" si="3"/>
        <v>166.17873621756652</v>
      </c>
      <c r="AX21" s="103">
        <f t="shared" si="3"/>
        <v>166.21716930971161</v>
      </c>
      <c r="AY21" s="103">
        <f t="shared" si="3"/>
        <v>166.25530147251655</v>
      </c>
      <c r="AZ21" s="154">
        <f>SUM($D21:$AY21)</f>
        <v>7325.8785971236848</v>
      </c>
    </row>
    <row r="22" spans="1:52" s="107" customFormat="1" x14ac:dyDescent="0.15">
      <c r="A22" s="155" t="s">
        <v>123</v>
      </c>
      <c r="B22" s="156">
        <f>1-$B$21</f>
        <v>0.5</v>
      </c>
      <c r="C22" s="156" t="s">
        <v>292</v>
      </c>
      <c r="D22" s="111">
        <f>IF(C$20="Yes",0,SUM(C$13:C$16)*$B$22)</f>
        <v>0</v>
      </c>
      <c r="E22" s="111">
        <f t="shared" ref="E22:AY22" si="4">IF(D$20="Yes",0,SUM(D$13:D$16)*$B$22)</f>
        <v>164.29022298471361</v>
      </c>
      <c r="F22" s="111">
        <f t="shared" si="4"/>
        <v>164.33524183128984</v>
      </c>
      <c r="G22" s="111">
        <f t="shared" si="4"/>
        <v>164.38026307297866</v>
      </c>
      <c r="H22" s="111">
        <f t="shared" si="4"/>
        <v>164.42527948934639</v>
      </c>
      <c r="I22" s="111">
        <f t="shared" si="4"/>
        <v>164.47028385754143</v>
      </c>
      <c r="J22" s="111">
        <f t="shared" si="4"/>
        <v>164.51526895356116</v>
      </c>
      <c r="K22" s="111">
        <f t="shared" si="4"/>
        <v>158.31720241246387</v>
      </c>
      <c r="L22" s="111">
        <f t="shared" si="4"/>
        <v>164.60515243491713</v>
      </c>
      <c r="M22" s="111">
        <f t="shared" si="4"/>
        <v>160.28321569379889</v>
      </c>
      <c r="N22" s="111">
        <f t="shared" si="4"/>
        <v>160.38035990256367</v>
      </c>
      <c r="O22" s="111">
        <f t="shared" si="4"/>
        <v>154.18053150165102</v>
      </c>
      <c r="P22" s="111">
        <f t="shared" si="4"/>
        <v>164.78437044444752</v>
      </c>
      <c r="Q22" s="111">
        <f t="shared" si="4"/>
        <v>164.82901853286421</v>
      </c>
      <c r="R22" s="111">
        <f t="shared" si="4"/>
        <v>164.87358966788366</v>
      </c>
      <c r="S22" s="111">
        <f t="shared" si="4"/>
        <v>164.91807667223569</v>
      </c>
      <c r="T22" s="111">
        <f t="shared" si="4"/>
        <v>164.96247238018253</v>
      </c>
      <c r="U22" s="111">
        <f t="shared" si="4"/>
        <v>140.50806606654064</v>
      </c>
      <c r="V22" s="111">
        <f t="shared" si="4"/>
        <v>146.95134133873975</v>
      </c>
      <c r="W22" s="111">
        <f t="shared" si="4"/>
        <v>147.01745977662918</v>
      </c>
      <c r="X22" s="111">
        <f t="shared" si="4"/>
        <v>165.13899940758668</v>
      </c>
      <c r="Y22" s="111">
        <f t="shared" si="4"/>
        <v>165.18283163952455</v>
      </c>
      <c r="Z22" s="111">
        <f t="shared" si="4"/>
        <v>165.22652989352318</v>
      </c>
      <c r="AA22" s="111">
        <f t="shared" si="4"/>
        <v>165.27008711988549</v>
      </c>
      <c r="AB22" s="111">
        <f t="shared" si="4"/>
        <v>165.31349629050976</v>
      </c>
      <c r="AC22" s="111">
        <f t="shared" si="4"/>
        <v>165.35675040013592</v>
      </c>
      <c r="AD22" s="111">
        <f t="shared" si="4"/>
        <v>165.39984246758843</v>
      </c>
      <c r="AE22" s="111">
        <f t="shared" si="4"/>
        <v>151.15448464502586</v>
      </c>
      <c r="AF22" s="111">
        <f t="shared" si="4"/>
        <v>162.09341434643707</v>
      </c>
      <c r="AG22" s="111">
        <f t="shared" si="4"/>
        <v>147.66701486362237</v>
      </c>
      <c r="AH22" s="111">
        <f t="shared" si="4"/>
        <v>165.57045160440268</v>
      </c>
      <c r="AI22" s="111">
        <f t="shared" si="4"/>
        <v>165.61262967284611</v>
      </c>
      <c r="AJ22" s="111">
        <f t="shared" si="4"/>
        <v>165.65460438696263</v>
      </c>
      <c r="AK22" s="111">
        <f t="shared" si="4"/>
        <v>165.69636896864233</v>
      </c>
      <c r="AL22" s="111">
        <f t="shared" si="4"/>
        <v>165.73791667365629</v>
      </c>
      <c r="AM22" s="111">
        <f t="shared" si="4"/>
        <v>165.77924079285953</v>
      </c>
      <c r="AN22" s="111">
        <f t="shared" si="4"/>
        <v>165.82033465338833</v>
      </c>
      <c r="AO22" s="111">
        <f t="shared" si="4"/>
        <v>0</v>
      </c>
      <c r="AP22" s="111">
        <f t="shared" si="4"/>
        <v>172.5</v>
      </c>
      <c r="AQ22" s="111">
        <f t="shared" si="4"/>
        <v>165.94216852349297</v>
      </c>
      <c r="AR22" s="111">
        <f t="shared" si="4"/>
        <v>0</v>
      </c>
      <c r="AS22" s="111">
        <f t="shared" si="4"/>
        <v>172.5</v>
      </c>
      <c r="AT22" s="111">
        <f t="shared" si="4"/>
        <v>163.34180628639254</v>
      </c>
      <c r="AU22" s="111">
        <f t="shared" si="4"/>
        <v>166.10099208043812</v>
      </c>
      <c r="AV22" s="111">
        <f t="shared" si="4"/>
        <v>166.1400083926203</v>
      </c>
      <c r="AW22" s="111">
        <f t="shared" si="4"/>
        <v>166.17873621756652</v>
      </c>
      <c r="AX22" s="111">
        <f t="shared" si="4"/>
        <v>166.21716930971161</v>
      </c>
      <c r="AY22" s="111">
        <f t="shared" si="4"/>
        <v>166.25530147251655</v>
      </c>
      <c r="AZ22" s="138">
        <f t="shared" ref="AZ22:AZ30" si="5">SUM($D22:$AY22)</f>
        <v>7325.8785971236848</v>
      </c>
    </row>
    <row r="23" spans="1:52" x14ac:dyDescent="0.15">
      <c r="A23" s="157" t="s">
        <v>306</v>
      </c>
      <c r="B23" s="121">
        <v>2000</v>
      </c>
      <c r="C23" s="97" t="s">
        <v>292</v>
      </c>
      <c r="D23" s="97">
        <f>D$21*$B$23</f>
        <v>0</v>
      </c>
      <c r="E23" s="97">
        <f t="shared" ref="E23:AY23" si="6">E$21*$B$23</f>
        <v>328580.44596942724</v>
      </c>
      <c r="F23" s="97">
        <f t="shared" si="6"/>
        <v>328670.48366257967</v>
      </c>
      <c r="G23" s="97">
        <f t="shared" si="6"/>
        <v>328760.52614595735</v>
      </c>
      <c r="H23" s="97">
        <f t="shared" si="6"/>
        <v>328850.5589786928</v>
      </c>
      <c r="I23" s="97">
        <f t="shared" si="6"/>
        <v>328940.56771508284</v>
      </c>
      <c r="J23" s="97">
        <f t="shared" si="6"/>
        <v>329030.53790712234</v>
      </c>
      <c r="K23" s="97">
        <f t="shared" si="6"/>
        <v>316634.40482492774</v>
      </c>
      <c r="L23" s="97">
        <f t="shared" si="6"/>
        <v>329210.30486983428</v>
      </c>
      <c r="M23" s="97">
        <f t="shared" si="6"/>
        <v>320566.43138759781</v>
      </c>
      <c r="N23" s="97">
        <f t="shared" si="6"/>
        <v>320760.71980512736</v>
      </c>
      <c r="O23" s="97">
        <f t="shared" si="6"/>
        <v>308361.06300330203</v>
      </c>
      <c r="P23" s="97">
        <f t="shared" si="6"/>
        <v>329568.74088889506</v>
      </c>
      <c r="Q23" s="97">
        <f t="shared" si="6"/>
        <v>329658.03706572845</v>
      </c>
      <c r="R23" s="97">
        <f t="shared" si="6"/>
        <v>329747.17933576735</v>
      </c>
      <c r="S23" s="97">
        <f t="shared" si="6"/>
        <v>329836.15334447136</v>
      </c>
      <c r="T23" s="97">
        <f t="shared" si="6"/>
        <v>329924.94476036506</v>
      </c>
      <c r="U23" s="97">
        <f t="shared" si="6"/>
        <v>281016.13213308126</v>
      </c>
      <c r="V23" s="97">
        <f t="shared" si="6"/>
        <v>293902.68267747952</v>
      </c>
      <c r="W23" s="97">
        <f t="shared" si="6"/>
        <v>294034.91955325834</v>
      </c>
      <c r="X23" s="97">
        <f t="shared" si="6"/>
        <v>330277.99881517334</v>
      </c>
      <c r="Y23" s="97">
        <f t="shared" si="6"/>
        <v>330365.6632790491</v>
      </c>
      <c r="Z23" s="97">
        <f t="shared" si="6"/>
        <v>330453.05978704634</v>
      </c>
      <c r="AA23" s="97">
        <f t="shared" si="6"/>
        <v>330540.17423977097</v>
      </c>
      <c r="AB23" s="97">
        <f t="shared" si="6"/>
        <v>330626.99258101953</v>
      </c>
      <c r="AC23" s="97">
        <f t="shared" si="6"/>
        <v>330713.50080027187</v>
      </c>
      <c r="AD23" s="97">
        <f t="shared" si="6"/>
        <v>330799.68493517686</v>
      </c>
      <c r="AE23" s="97">
        <f t="shared" si="6"/>
        <v>302308.96929005173</v>
      </c>
      <c r="AF23" s="97">
        <f t="shared" si="6"/>
        <v>324186.82869287417</v>
      </c>
      <c r="AG23" s="97">
        <f t="shared" si="6"/>
        <v>295334.02972724475</v>
      </c>
      <c r="AH23" s="97">
        <f t="shared" si="6"/>
        <v>331140.90320880536</v>
      </c>
      <c r="AI23" s="97">
        <f t="shared" si="6"/>
        <v>331225.25934569223</v>
      </c>
      <c r="AJ23" s="97">
        <f t="shared" si="6"/>
        <v>331309.20877392526</v>
      </c>
      <c r="AK23" s="97">
        <f t="shared" si="6"/>
        <v>331392.73793728469</v>
      </c>
      <c r="AL23" s="97">
        <f t="shared" si="6"/>
        <v>331475.83334731258</v>
      </c>
      <c r="AM23" s="97">
        <f t="shared" si="6"/>
        <v>331558.48158571904</v>
      </c>
      <c r="AN23" s="97">
        <f t="shared" si="6"/>
        <v>331640.66930677666</v>
      </c>
      <c r="AO23" s="97">
        <f t="shared" si="6"/>
        <v>0</v>
      </c>
      <c r="AP23" s="97">
        <f t="shared" si="6"/>
        <v>345000</v>
      </c>
      <c r="AQ23" s="97">
        <f t="shared" si="6"/>
        <v>331884.33704698592</v>
      </c>
      <c r="AR23" s="97">
        <f t="shared" si="6"/>
        <v>0</v>
      </c>
      <c r="AS23" s="97">
        <f t="shared" si="6"/>
        <v>345000</v>
      </c>
      <c r="AT23" s="97">
        <f t="shared" si="6"/>
        <v>326683.61257278506</v>
      </c>
      <c r="AU23" s="97">
        <f t="shared" si="6"/>
        <v>332201.98416087625</v>
      </c>
      <c r="AV23" s="97">
        <f t="shared" si="6"/>
        <v>332280.01678524062</v>
      </c>
      <c r="AW23" s="97">
        <f t="shared" si="6"/>
        <v>332357.47243513307</v>
      </c>
      <c r="AX23" s="97">
        <f t="shared" si="6"/>
        <v>332434.33861942322</v>
      </c>
      <c r="AY23" s="97">
        <f t="shared" si="6"/>
        <v>332510.60294503311</v>
      </c>
      <c r="AZ23" s="136">
        <f t="shared" si="5"/>
        <v>14651757.194247372</v>
      </c>
    </row>
    <row r="24" spans="1:52" s="107" customFormat="1" x14ac:dyDescent="0.15">
      <c r="A24" s="158" t="s">
        <v>307</v>
      </c>
      <c r="B24" s="159">
        <v>1000</v>
      </c>
      <c r="C24" s="153" t="s">
        <v>292</v>
      </c>
      <c r="D24" s="103">
        <f>D$22*$B$24</f>
        <v>0</v>
      </c>
      <c r="E24" s="103">
        <f t="shared" ref="E24:AY24" si="7">E$22*$B$24</f>
        <v>164290.22298471362</v>
      </c>
      <c r="F24" s="103">
        <f t="shared" si="7"/>
        <v>164335.24183128984</v>
      </c>
      <c r="G24" s="103">
        <f t="shared" si="7"/>
        <v>164380.26307297868</v>
      </c>
      <c r="H24" s="103">
        <f t="shared" si="7"/>
        <v>164425.2794893464</v>
      </c>
      <c r="I24" s="103">
        <f t="shared" si="7"/>
        <v>164470.28385754142</v>
      </c>
      <c r="J24" s="103">
        <f t="shared" si="7"/>
        <v>164515.26895356117</v>
      </c>
      <c r="K24" s="103">
        <f t="shared" si="7"/>
        <v>158317.20241246387</v>
      </c>
      <c r="L24" s="103">
        <f t="shared" si="7"/>
        <v>164605.15243491714</v>
      </c>
      <c r="M24" s="103">
        <f t="shared" si="7"/>
        <v>160283.21569379891</v>
      </c>
      <c r="N24" s="103">
        <f t="shared" si="7"/>
        <v>160380.35990256368</v>
      </c>
      <c r="O24" s="103">
        <f t="shared" si="7"/>
        <v>154180.53150165101</v>
      </c>
      <c r="P24" s="103">
        <f t="shared" si="7"/>
        <v>164784.37044444753</v>
      </c>
      <c r="Q24" s="103">
        <f t="shared" si="7"/>
        <v>164829.01853286423</v>
      </c>
      <c r="R24" s="103">
        <f t="shared" si="7"/>
        <v>164873.58966788367</v>
      </c>
      <c r="S24" s="103">
        <f t="shared" si="7"/>
        <v>164918.07667223568</v>
      </c>
      <c r="T24" s="103">
        <f t="shared" si="7"/>
        <v>164962.47238018253</v>
      </c>
      <c r="U24" s="103">
        <f t="shared" si="7"/>
        <v>140508.06606654063</v>
      </c>
      <c r="V24" s="103">
        <f t="shared" si="7"/>
        <v>146951.34133873976</v>
      </c>
      <c r="W24" s="103">
        <f t="shared" si="7"/>
        <v>147017.45977662917</v>
      </c>
      <c r="X24" s="103">
        <f t="shared" si="7"/>
        <v>165138.99940758667</v>
      </c>
      <c r="Y24" s="103">
        <f t="shared" si="7"/>
        <v>165182.83163952455</v>
      </c>
      <c r="Z24" s="103">
        <f t="shared" si="7"/>
        <v>165226.52989352317</v>
      </c>
      <c r="AA24" s="103">
        <f t="shared" si="7"/>
        <v>165270.08711988549</v>
      </c>
      <c r="AB24" s="103">
        <f t="shared" si="7"/>
        <v>165313.49629050976</v>
      </c>
      <c r="AC24" s="103">
        <f t="shared" si="7"/>
        <v>165356.75040013593</v>
      </c>
      <c r="AD24" s="103">
        <f t="shared" si="7"/>
        <v>165399.84246758843</v>
      </c>
      <c r="AE24" s="103">
        <f t="shared" si="7"/>
        <v>151154.48464502586</v>
      </c>
      <c r="AF24" s="103">
        <f t="shared" si="7"/>
        <v>162093.41434643709</v>
      </c>
      <c r="AG24" s="103">
        <f t="shared" si="7"/>
        <v>147667.01486362237</v>
      </c>
      <c r="AH24" s="103">
        <f t="shared" si="7"/>
        <v>165570.45160440268</v>
      </c>
      <c r="AI24" s="103">
        <f t="shared" si="7"/>
        <v>165612.62967284612</v>
      </c>
      <c r="AJ24" s="103">
        <f t="shared" si="7"/>
        <v>165654.60438696263</v>
      </c>
      <c r="AK24" s="103">
        <f t="shared" si="7"/>
        <v>165696.36896864235</v>
      </c>
      <c r="AL24" s="103">
        <f t="shared" si="7"/>
        <v>165737.91667365629</v>
      </c>
      <c r="AM24" s="103">
        <f t="shared" si="7"/>
        <v>165779.24079285952</v>
      </c>
      <c r="AN24" s="103">
        <f t="shared" si="7"/>
        <v>165820.33465338833</v>
      </c>
      <c r="AO24" s="103">
        <f t="shared" si="7"/>
        <v>0</v>
      </c>
      <c r="AP24" s="103">
        <f t="shared" si="7"/>
        <v>172500</v>
      </c>
      <c r="AQ24" s="103">
        <f t="shared" si="7"/>
        <v>165942.16852349296</v>
      </c>
      <c r="AR24" s="103">
        <f t="shared" si="7"/>
        <v>0</v>
      </c>
      <c r="AS24" s="103">
        <f t="shared" si="7"/>
        <v>172500</v>
      </c>
      <c r="AT24" s="103">
        <f t="shared" si="7"/>
        <v>163341.80628639253</v>
      </c>
      <c r="AU24" s="103">
        <f t="shared" si="7"/>
        <v>166100.99208043813</v>
      </c>
      <c r="AV24" s="103">
        <f t="shared" si="7"/>
        <v>166140.00839262031</v>
      </c>
      <c r="AW24" s="103">
        <f t="shared" si="7"/>
        <v>166178.73621756653</v>
      </c>
      <c r="AX24" s="103">
        <f t="shared" si="7"/>
        <v>166217.16930971161</v>
      </c>
      <c r="AY24" s="103">
        <f t="shared" si="7"/>
        <v>166255.30147251656</v>
      </c>
      <c r="AZ24" s="138">
        <f t="shared" si="5"/>
        <v>7325878.5971236862</v>
      </c>
    </row>
    <row r="25" spans="1:52" x14ac:dyDescent="0.15">
      <c r="C25" s="135"/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5"/>
      <c r="Q25" s="135"/>
      <c r="R25" s="135"/>
      <c r="S25" s="135"/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5"/>
      <c r="AG25" s="135"/>
      <c r="AH25" s="135"/>
      <c r="AI25" s="135"/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5"/>
      <c r="AW25" s="135"/>
      <c r="AX25" s="135"/>
      <c r="AY25" s="135"/>
      <c r="AZ25" s="103"/>
    </row>
    <row r="26" spans="1:52" x14ac:dyDescent="0.15">
      <c r="A26" s="160" t="s">
        <v>18</v>
      </c>
      <c r="C26" s="103"/>
      <c r="D26" s="103"/>
      <c r="E26" s="103"/>
      <c r="F26" s="103"/>
      <c r="G26" s="103"/>
      <c r="H26" s="103"/>
      <c r="I26" s="103"/>
      <c r="J26" s="103"/>
      <c r="K26" s="103"/>
      <c r="L26" s="103"/>
      <c r="M26" s="103"/>
      <c r="N26" s="103"/>
      <c r="O26" s="103"/>
      <c r="P26" s="103"/>
      <c r="Q26" s="103"/>
      <c r="R26" s="103"/>
      <c r="S26" s="103"/>
      <c r="T26" s="103"/>
      <c r="U26" s="103"/>
      <c r="V26" s="103"/>
      <c r="W26" s="103"/>
      <c r="X26" s="103"/>
      <c r="Y26" s="103"/>
      <c r="Z26" s="103"/>
      <c r="AA26" s="103"/>
      <c r="AB26" s="103"/>
      <c r="AC26" s="103"/>
      <c r="AD26" s="103"/>
      <c r="AE26" s="103"/>
      <c r="AF26" s="103"/>
      <c r="AG26" s="103"/>
      <c r="AH26" s="103"/>
      <c r="AI26" s="103"/>
      <c r="AJ26" s="103"/>
      <c r="AK26" s="103"/>
      <c r="AL26" s="103"/>
      <c r="AM26" s="103"/>
      <c r="AN26" s="103"/>
      <c r="AO26" s="103"/>
      <c r="AP26" s="103"/>
      <c r="AQ26" s="103"/>
      <c r="AR26" s="103"/>
      <c r="AS26" s="103"/>
      <c r="AT26" s="103"/>
      <c r="AU26" s="103"/>
      <c r="AV26" s="103"/>
      <c r="AW26" s="103"/>
      <c r="AX26" s="103"/>
      <c r="AY26" s="103"/>
      <c r="AZ26" s="103"/>
    </row>
    <row r="27" spans="1:52" x14ac:dyDescent="0.15">
      <c r="B27" s="132" t="s">
        <v>308</v>
      </c>
      <c r="C27" s="121">
        <v>11</v>
      </c>
      <c r="D27" s="121">
        <f>C$27-C$28+C$29</f>
        <v>11</v>
      </c>
      <c r="E27" s="121">
        <f t="shared" ref="E27:AY27" si="8">D27-D28+D29</f>
        <v>11</v>
      </c>
      <c r="F27" s="121">
        <f t="shared" si="8"/>
        <v>0</v>
      </c>
      <c r="G27" s="121">
        <f t="shared" si="8"/>
        <v>11</v>
      </c>
      <c r="H27" s="121">
        <f t="shared" si="8"/>
        <v>0</v>
      </c>
      <c r="I27" s="121">
        <f t="shared" si="8"/>
        <v>11</v>
      </c>
      <c r="J27" s="121">
        <f t="shared" si="8"/>
        <v>0</v>
      </c>
      <c r="K27" s="121">
        <f t="shared" si="8"/>
        <v>11</v>
      </c>
      <c r="L27" s="121">
        <f t="shared" si="8"/>
        <v>0</v>
      </c>
      <c r="M27" s="121">
        <f t="shared" si="8"/>
        <v>11</v>
      </c>
      <c r="N27" s="121">
        <f t="shared" si="8"/>
        <v>0</v>
      </c>
      <c r="O27" s="121">
        <f t="shared" si="8"/>
        <v>11</v>
      </c>
      <c r="P27" s="121">
        <f t="shared" si="8"/>
        <v>0</v>
      </c>
      <c r="Q27" s="121">
        <f t="shared" si="8"/>
        <v>11</v>
      </c>
      <c r="R27" s="121">
        <f t="shared" si="8"/>
        <v>0</v>
      </c>
      <c r="S27" s="121">
        <f t="shared" si="8"/>
        <v>11</v>
      </c>
      <c r="T27" s="121">
        <f t="shared" si="8"/>
        <v>0</v>
      </c>
      <c r="U27" s="121">
        <f t="shared" si="8"/>
        <v>11</v>
      </c>
      <c r="V27" s="121">
        <f t="shared" si="8"/>
        <v>1</v>
      </c>
      <c r="W27" s="121">
        <f t="shared" si="8"/>
        <v>10</v>
      </c>
      <c r="X27" s="121">
        <f t="shared" si="8"/>
        <v>1</v>
      </c>
      <c r="Y27" s="121">
        <f t="shared" si="8"/>
        <v>10</v>
      </c>
      <c r="Z27" s="121">
        <f t="shared" si="8"/>
        <v>1</v>
      </c>
      <c r="AA27" s="121">
        <f t="shared" si="8"/>
        <v>10</v>
      </c>
      <c r="AB27" s="121">
        <f t="shared" si="8"/>
        <v>1</v>
      </c>
      <c r="AC27" s="121">
        <f t="shared" si="8"/>
        <v>10</v>
      </c>
      <c r="AD27" s="121">
        <f t="shared" si="8"/>
        <v>1</v>
      </c>
      <c r="AE27" s="121">
        <f t="shared" si="8"/>
        <v>10</v>
      </c>
      <c r="AF27" s="121">
        <f t="shared" si="8"/>
        <v>1</v>
      </c>
      <c r="AG27" s="121">
        <f t="shared" si="8"/>
        <v>10</v>
      </c>
      <c r="AH27" s="121">
        <f t="shared" si="8"/>
        <v>1</v>
      </c>
      <c r="AI27" s="121">
        <f t="shared" si="8"/>
        <v>10</v>
      </c>
      <c r="AJ27" s="121">
        <f t="shared" si="8"/>
        <v>1</v>
      </c>
      <c r="AK27" s="121">
        <f t="shared" si="8"/>
        <v>10</v>
      </c>
      <c r="AL27" s="121">
        <f t="shared" si="8"/>
        <v>1</v>
      </c>
      <c r="AM27" s="121">
        <f t="shared" si="8"/>
        <v>10</v>
      </c>
      <c r="AN27" s="121">
        <f t="shared" si="8"/>
        <v>1</v>
      </c>
      <c r="AO27" s="121">
        <f t="shared" si="8"/>
        <v>10</v>
      </c>
      <c r="AP27" s="121">
        <f t="shared" si="8"/>
        <v>11</v>
      </c>
      <c r="AQ27" s="121">
        <f t="shared" si="8"/>
        <v>0</v>
      </c>
      <c r="AR27" s="121">
        <f t="shared" si="8"/>
        <v>11</v>
      </c>
      <c r="AS27" s="121">
        <f t="shared" si="8"/>
        <v>11</v>
      </c>
      <c r="AT27" s="121">
        <f t="shared" si="8"/>
        <v>0</v>
      </c>
      <c r="AU27" s="121">
        <f t="shared" si="8"/>
        <v>11</v>
      </c>
      <c r="AV27" s="121">
        <f t="shared" si="8"/>
        <v>0</v>
      </c>
      <c r="AW27" s="121">
        <f t="shared" si="8"/>
        <v>11</v>
      </c>
      <c r="AX27" s="121">
        <f t="shared" si="8"/>
        <v>0</v>
      </c>
      <c r="AY27" s="161">
        <f t="shared" si="8"/>
        <v>11</v>
      </c>
      <c r="AZ27" s="103"/>
    </row>
    <row r="28" spans="1:52" x14ac:dyDescent="0.15">
      <c r="B28" s="162" t="s">
        <v>309</v>
      </c>
      <c r="C28" s="107"/>
      <c r="D28" s="107">
        <v>0</v>
      </c>
      <c r="E28" s="107">
        <v>11</v>
      </c>
      <c r="F28" s="107">
        <v>0</v>
      </c>
      <c r="G28" s="107">
        <v>11</v>
      </c>
      <c r="H28" s="107">
        <v>0</v>
      </c>
      <c r="I28" s="107">
        <v>11</v>
      </c>
      <c r="J28" s="107">
        <v>0</v>
      </c>
      <c r="K28" s="107">
        <v>11</v>
      </c>
      <c r="L28" s="107">
        <v>0</v>
      </c>
      <c r="M28" s="107">
        <v>11</v>
      </c>
      <c r="N28" s="107">
        <v>0</v>
      </c>
      <c r="O28" s="107">
        <v>11</v>
      </c>
      <c r="P28" s="107">
        <v>0</v>
      </c>
      <c r="Q28" s="107">
        <v>11</v>
      </c>
      <c r="R28" s="107">
        <v>0</v>
      </c>
      <c r="S28" s="107">
        <v>11</v>
      </c>
      <c r="T28" s="107">
        <v>0</v>
      </c>
      <c r="U28" s="107">
        <v>10</v>
      </c>
      <c r="V28" s="107">
        <v>1</v>
      </c>
      <c r="W28" s="107">
        <v>10</v>
      </c>
      <c r="X28" s="107">
        <v>1</v>
      </c>
      <c r="Y28" s="107">
        <v>10</v>
      </c>
      <c r="Z28" s="107">
        <v>1</v>
      </c>
      <c r="AA28" s="107">
        <v>10</v>
      </c>
      <c r="AB28" s="107">
        <v>1</v>
      </c>
      <c r="AC28" s="107">
        <v>10</v>
      </c>
      <c r="AD28" s="107">
        <v>1</v>
      </c>
      <c r="AE28" s="107">
        <v>10</v>
      </c>
      <c r="AF28" s="107">
        <v>1</v>
      </c>
      <c r="AG28" s="107">
        <v>10</v>
      </c>
      <c r="AH28" s="107">
        <v>1</v>
      </c>
      <c r="AI28" s="107">
        <v>10</v>
      </c>
      <c r="AJ28" s="107">
        <v>1</v>
      </c>
      <c r="AK28" s="107">
        <v>10</v>
      </c>
      <c r="AL28" s="107">
        <v>1</v>
      </c>
      <c r="AM28" s="107">
        <v>10</v>
      </c>
      <c r="AN28" s="107">
        <v>1</v>
      </c>
      <c r="AO28" s="107">
        <v>0</v>
      </c>
      <c r="AP28" s="107">
        <v>11</v>
      </c>
      <c r="AQ28" s="107">
        <v>0</v>
      </c>
      <c r="AR28" s="107">
        <v>0</v>
      </c>
      <c r="AS28" s="107">
        <v>11</v>
      </c>
      <c r="AT28" s="107">
        <v>0</v>
      </c>
      <c r="AU28" s="107">
        <v>11</v>
      </c>
      <c r="AV28" s="107">
        <v>0</v>
      </c>
      <c r="AW28" s="107">
        <v>11</v>
      </c>
      <c r="AX28" s="107">
        <v>0</v>
      </c>
      <c r="AY28" s="163">
        <v>11</v>
      </c>
      <c r="AZ28" s="103"/>
    </row>
    <row r="29" spans="1:52" x14ac:dyDescent="0.15">
      <c r="B29" s="133" t="s">
        <v>310</v>
      </c>
      <c r="C29" s="122"/>
      <c r="D29" s="122">
        <f>C$28</f>
        <v>0</v>
      </c>
      <c r="E29" s="122">
        <f t="shared" ref="E29:AY29" si="9">D$28</f>
        <v>0</v>
      </c>
      <c r="F29" s="122">
        <f t="shared" si="9"/>
        <v>11</v>
      </c>
      <c r="G29" s="122">
        <f t="shared" si="9"/>
        <v>0</v>
      </c>
      <c r="H29" s="122">
        <f t="shared" si="9"/>
        <v>11</v>
      </c>
      <c r="I29" s="122">
        <f t="shared" si="9"/>
        <v>0</v>
      </c>
      <c r="J29" s="122">
        <f t="shared" si="9"/>
        <v>11</v>
      </c>
      <c r="K29" s="122">
        <f t="shared" si="9"/>
        <v>0</v>
      </c>
      <c r="L29" s="122">
        <f t="shared" si="9"/>
        <v>11</v>
      </c>
      <c r="M29" s="122">
        <f t="shared" si="9"/>
        <v>0</v>
      </c>
      <c r="N29" s="122">
        <f t="shared" si="9"/>
        <v>11</v>
      </c>
      <c r="O29" s="122">
        <f t="shared" si="9"/>
        <v>0</v>
      </c>
      <c r="P29" s="122">
        <f t="shared" si="9"/>
        <v>11</v>
      </c>
      <c r="Q29" s="122">
        <f t="shared" si="9"/>
        <v>0</v>
      </c>
      <c r="R29" s="122">
        <f t="shared" si="9"/>
        <v>11</v>
      </c>
      <c r="S29" s="122">
        <f t="shared" si="9"/>
        <v>0</v>
      </c>
      <c r="T29" s="122">
        <f t="shared" si="9"/>
        <v>11</v>
      </c>
      <c r="U29" s="122">
        <f t="shared" si="9"/>
        <v>0</v>
      </c>
      <c r="V29" s="122">
        <f t="shared" si="9"/>
        <v>10</v>
      </c>
      <c r="W29" s="122">
        <f t="shared" si="9"/>
        <v>1</v>
      </c>
      <c r="X29" s="122">
        <f t="shared" si="9"/>
        <v>10</v>
      </c>
      <c r="Y29" s="122">
        <f t="shared" si="9"/>
        <v>1</v>
      </c>
      <c r="Z29" s="122">
        <f t="shared" si="9"/>
        <v>10</v>
      </c>
      <c r="AA29" s="122">
        <f t="shared" si="9"/>
        <v>1</v>
      </c>
      <c r="AB29" s="122">
        <f t="shared" si="9"/>
        <v>10</v>
      </c>
      <c r="AC29" s="122">
        <f t="shared" si="9"/>
        <v>1</v>
      </c>
      <c r="AD29" s="122">
        <f t="shared" si="9"/>
        <v>10</v>
      </c>
      <c r="AE29" s="122">
        <f t="shared" si="9"/>
        <v>1</v>
      </c>
      <c r="AF29" s="122">
        <f t="shared" si="9"/>
        <v>10</v>
      </c>
      <c r="AG29" s="122">
        <f t="shared" si="9"/>
        <v>1</v>
      </c>
      <c r="AH29" s="122">
        <f t="shared" si="9"/>
        <v>10</v>
      </c>
      <c r="AI29" s="122">
        <f t="shared" si="9"/>
        <v>1</v>
      </c>
      <c r="AJ29" s="122">
        <f t="shared" si="9"/>
        <v>10</v>
      </c>
      <c r="AK29" s="122">
        <f t="shared" si="9"/>
        <v>1</v>
      </c>
      <c r="AL29" s="122">
        <f t="shared" si="9"/>
        <v>10</v>
      </c>
      <c r="AM29" s="122">
        <f t="shared" si="9"/>
        <v>1</v>
      </c>
      <c r="AN29" s="122">
        <f t="shared" si="9"/>
        <v>10</v>
      </c>
      <c r="AO29" s="122">
        <f t="shared" si="9"/>
        <v>1</v>
      </c>
      <c r="AP29" s="122">
        <f t="shared" si="9"/>
        <v>0</v>
      </c>
      <c r="AQ29" s="122">
        <f t="shared" si="9"/>
        <v>11</v>
      </c>
      <c r="AR29" s="122">
        <f t="shared" si="9"/>
        <v>0</v>
      </c>
      <c r="AS29" s="122">
        <f t="shared" si="9"/>
        <v>0</v>
      </c>
      <c r="AT29" s="122">
        <f t="shared" si="9"/>
        <v>11</v>
      </c>
      <c r="AU29" s="122">
        <f t="shared" si="9"/>
        <v>0</v>
      </c>
      <c r="AV29" s="122">
        <f t="shared" si="9"/>
        <v>11</v>
      </c>
      <c r="AW29" s="122">
        <f t="shared" si="9"/>
        <v>0</v>
      </c>
      <c r="AX29" s="122">
        <f t="shared" si="9"/>
        <v>11</v>
      </c>
      <c r="AY29" s="164">
        <f t="shared" si="9"/>
        <v>0</v>
      </c>
      <c r="AZ29" s="165"/>
    </row>
    <row r="30" spans="1:52" x14ac:dyDescent="0.15">
      <c r="A30" s="166" t="s">
        <v>311</v>
      </c>
      <c r="B30" s="141">
        <v>10</v>
      </c>
      <c r="C30" s="114" t="s">
        <v>292</v>
      </c>
      <c r="D30" s="114">
        <f>D$27*$B$30</f>
        <v>110</v>
      </c>
      <c r="E30" s="114">
        <f t="shared" ref="E30:AY30" si="10">E$27*$B$30</f>
        <v>110</v>
      </c>
      <c r="F30" s="114">
        <f t="shared" si="10"/>
        <v>0</v>
      </c>
      <c r="G30" s="114">
        <f t="shared" si="10"/>
        <v>110</v>
      </c>
      <c r="H30" s="114">
        <f t="shared" si="10"/>
        <v>0</v>
      </c>
      <c r="I30" s="114">
        <f t="shared" si="10"/>
        <v>110</v>
      </c>
      <c r="J30" s="114">
        <f t="shared" si="10"/>
        <v>0</v>
      </c>
      <c r="K30" s="114">
        <f t="shared" si="10"/>
        <v>110</v>
      </c>
      <c r="L30" s="114">
        <f t="shared" si="10"/>
        <v>0</v>
      </c>
      <c r="M30" s="114">
        <f t="shared" si="10"/>
        <v>110</v>
      </c>
      <c r="N30" s="114">
        <f t="shared" si="10"/>
        <v>0</v>
      </c>
      <c r="O30" s="114">
        <f t="shared" si="10"/>
        <v>110</v>
      </c>
      <c r="P30" s="114">
        <f t="shared" si="10"/>
        <v>0</v>
      </c>
      <c r="Q30" s="114">
        <f t="shared" si="10"/>
        <v>110</v>
      </c>
      <c r="R30" s="114">
        <f>R$27*$B$30</f>
        <v>0</v>
      </c>
      <c r="S30" s="114">
        <f t="shared" si="10"/>
        <v>110</v>
      </c>
      <c r="T30" s="114">
        <f t="shared" si="10"/>
        <v>0</v>
      </c>
      <c r="U30" s="114">
        <f t="shared" si="10"/>
        <v>110</v>
      </c>
      <c r="V30" s="114">
        <f t="shared" si="10"/>
        <v>10</v>
      </c>
      <c r="W30" s="114">
        <f t="shared" si="10"/>
        <v>100</v>
      </c>
      <c r="X30" s="114">
        <f t="shared" si="10"/>
        <v>10</v>
      </c>
      <c r="Y30" s="114">
        <f t="shared" si="10"/>
        <v>100</v>
      </c>
      <c r="Z30" s="114">
        <f t="shared" si="10"/>
        <v>10</v>
      </c>
      <c r="AA30" s="114">
        <f t="shared" si="10"/>
        <v>100</v>
      </c>
      <c r="AB30" s="114">
        <f t="shared" si="10"/>
        <v>10</v>
      </c>
      <c r="AC30" s="114">
        <f t="shared" si="10"/>
        <v>100</v>
      </c>
      <c r="AD30" s="114">
        <f t="shared" si="10"/>
        <v>10</v>
      </c>
      <c r="AE30" s="114">
        <f>AE$27*$B$30</f>
        <v>100</v>
      </c>
      <c r="AF30" s="114">
        <f t="shared" si="10"/>
        <v>10</v>
      </c>
      <c r="AG30" s="114">
        <f t="shared" si="10"/>
        <v>100</v>
      </c>
      <c r="AH30" s="114">
        <f t="shared" si="10"/>
        <v>10</v>
      </c>
      <c r="AI30" s="114">
        <f t="shared" si="10"/>
        <v>100</v>
      </c>
      <c r="AJ30" s="114">
        <f t="shared" si="10"/>
        <v>10</v>
      </c>
      <c r="AK30" s="114">
        <f t="shared" si="10"/>
        <v>100</v>
      </c>
      <c r="AL30" s="114">
        <f t="shared" si="10"/>
        <v>10</v>
      </c>
      <c r="AM30" s="114">
        <f t="shared" si="10"/>
        <v>100</v>
      </c>
      <c r="AN30" s="114">
        <f t="shared" si="10"/>
        <v>10</v>
      </c>
      <c r="AO30" s="114">
        <f t="shared" si="10"/>
        <v>100</v>
      </c>
      <c r="AP30" s="114">
        <f t="shared" si="10"/>
        <v>110</v>
      </c>
      <c r="AQ30" s="114">
        <f t="shared" si="10"/>
        <v>0</v>
      </c>
      <c r="AR30" s="114">
        <f t="shared" si="10"/>
        <v>110</v>
      </c>
      <c r="AS30" s="114">
        <f t="shared" si="10"/>
        <v>110</v>
      </c>
      <c r="AT30" s="114">
        <f t="shared" si="10"/>
        <v>0</v>
      </c>
      <c r="AU30" s="114">
        <f t="shared" si="10"/>
        <v>110</v>
      </c>
      <c r="AV30" s="114">
        <f t="shared" si="10"/>
        <v>0</v>
      </c>
      <c r="AW30" s="114">
        <f t="shared" si="10"/>
        <v>110</v>
      </c>
      <c r="AX30" s="114">
        <f t="shared" si="10"/>
        <v>0</v>
      </c>
      <c r="AY30" s="114">
        <f t="shared" si="10"/>
        <v>110</v>
      </c>
      <c r="AZ30" s="138">
        <f t="shared" si="5"/>
        <v>2860</v>
      </c>
    </row>
    <row r="32" spans="1:52" x14ac:dyDescent="0.15">
      <c r="A32" s="99" t="s">
        <v>299</v>
      </c>
    </row>
    <row r="33" spans="1:52" x14ac:dyDescent="0.15">
      <c r="A33" s="132" t="s">
        <v>22</v>
      </c>
      <c r="B33" s="132" t="s">
        <v>340</v>
      </c>
      <c r="C33" s="121"/>
      <c r="D33" s="121">
        <f>D$21*shipping_manufacturing!$D$27/100</f>
        <v>0</v>
      </c>
      <c r="E33" s="121">
        <f>E$21*shipping_manufacturing!$D$27/100</f>
        <v>164.29022298471361</v>
      </c>
      <c r="F33" s="121">
        <f>F$21*shipping_manufacturing!$D$27/100</f>
        <v>164.33524183128984</v>
      </c>
      <c r="G33" s="121">
        <f>G$21*shipping_manufacturing!$D$27/100</f>
        <v>164.38026307297866</v>
      </c>
      <c r="H33" s="121">
        <f>H$21*shipping_manufacturing!$D$27/100</f>
        <v>164.42527948934639</v>
      </c>
      <c r="I33" s="121">
        <f>I$21*shipping_manufacturing!$D$27/100</f>
        <v>164.47028385754143</v>
      </c>
      <c r="J33" s="121">
        <f>J$21*shipping_manufacturing!$D$27/100</f>
        <v>164.51526895356116</v>
      </c>
      <c r="K33" s="121">
        <f>K$21*shipping_manufacturing!$D$27/100</f>
        <v>158.31720241246387</v>
      </c>
      <c r="L33" s="121">
        <f>L$21*shipping_manufacturing!$D$27/100</f>
        <v>164.60515243491716</v>
      </c>
      <c r="M33" s="121">
        <f>M$21*shipping_manufacturing!$D$27/100</f>
        <v>160.28321569379889</v>
      </c>
      <c r="N33" s="121">
        <f>N$21*shipping_manufacturing!$D$27/100</f>
        <v>160.38035990256367</v>
      </c>
      <c r="O33" s="121">
        <f>O$21*shipping_manufacturing!$D$27/100</f>
        <v>154.18053150165102</v>
      </c>
      <c r="P33" s="121">
        <f>P$21*shipping_manufacturing!$D$27/100</f>
        <v>164.78437044444752</v>
      </c>
      <c r="Q33" s="121">
        <f>Q$21*shipping_manufacturing!$D$27/100</f>
        <v>164.82901853286421</v>
      </c>
      <c r="R33" s="121">
        <f>R$21*shipping_manufacturing!$D$27/100</f>
        <v>164.87358966788369</v>
      </c>
      <c r="S33" s="121">
        <f>S$21*shipping_manufacturing!$D$27/100</f>
        <v>164.91807667223569</v>
      </c>
      <c r="T33" s="121">
        <f>T$21*shipping_manufacturing!$D$27/100</f>
        <v>164.9624723801825</v>
      </c>
      <c r="U33" s="121">
        <f>U$21*shipping_manufacturing!$D$27/100</f>
        <v>140.50806606654064</v>
      </c>
      <c r="V33" s="121">
        <f>V$21*shipping_manufacturing!$D$27/100</f>
        <v>146.95134133873975</v>
      </c>
      <c r="W33" s="121">
        <f>W$21*shipping_manufacturing!$D$27/100</f>
        <v>147.01745977662918</v>
      </c>
      <c r="X33" s="121">
        <f>X$21*shipping_manufacturing!$D$27/100</f>
        <v>165.13899940758668</v>
      </c>
      <c r="Y33" s="121">
        <f>Y$21*shipping_manufacturing!$D$27/100</f>
        <v>165.18283163952455</v>
      </c>
      <c r="Z33" s="121">
        <f>Z$21*shipping_manufacturing!$D$27/100</f>
        <v>165.22652989352318</v>
      </c>
      <c r="AA33" s="121">
        <f>AA$21*shipping_manufacturing!$D$27/100</f>
        <v>165.27008711988549</v>
      </c>
      <c r="AB33" s="121">
        <f>AB$21*shipping_manufacturing!$D$27/100</f>
        <v>165.31349629050976</v>
      </c>
      <c r="AC33" s="121">
        <f>AC$21*shipping_manufacturing!$D$27/100</f>
        <v>165.35675040013592</v>
      </c>
      <c r="AD33" s="121">
        <f>AD$21*shipping_manufacturing!$D$27/100</f>
        <v>165.39984246758843</v>
      </c>
      <c r="AE33" s="121">
        <f>AE$21*shipping_manufacturing!$D$27/100</f>
        <v>151.15448464502586</v>
      </c>
      <c r="AF33" s="121">
        <f>AF$21*shipping_manufacturing!$D$27/100</f>
        <v>162.09341434643707</v>
      </c>
      <c r="AG33" s="121">
        <f>AG$21*shipping_manufacturing!$D$27/100</f>
        <v>147.66701486362237</v>
      </c>
      <c r="AH33" s="121">
        <f>AH$21*shipping_manufacturing!$D$27/100</f>
        <v>165.57045160440265</v>
      </c>
      <c r="AI33" s="121">
        <f>AI$21*shipping_manufacturing!$D$27/100</f>
        <v>165.61262967284611</v>
      </c>
      <c r="AJ33" s="121">
        <f>AJ$21*shipping_manufacturing!$D$27/100</f>
        <v>165.65460438696263</v>
      </c>
      <c r="AK33" s="121">
        <f>AK$21*shipping_manufacturing!$D$27/100</f>
        <v>165.69636896864233</v>
      </c>
      <c r="AL33" s="121">
        <f>AL$21*shipping_manufacturing!$D$27/100</f>
        <v>165.73791667365629</v>
      </c>
      <c r="AM33" s="121">
        <f>AM$21*shipping_manufacturing!$D$27/100</f>
        <v>165.77924079285953</v>
      </c>
      <c r="AN33" s="121">
        <f>AN$21*shipping_manufacturing!$D$27/100</f>
        <v>165.82033465338836</v>
      </c>
      <c r="AO33" s="121">
        <f>AO$21*shipping_manufacturing!$D$27/100</f>
        <v>0</v>
      </c>
      <c r="AP33" s="121">
        <f>AP$21*shipping_manufacturing!$D$27/100</f>
        <v>172.5</v>
      </c>
      <c r="AQ33" s="121">
        <f>AQ$21*shipping_manufacturing!$D$27/100</f>
        <v>165.942168523493</v>
      </c>
      <c r="AR33" s="121">
        <f>AR$21*shipping_manufacturing!$D$27/100</f>
        <v>0</v>
      </c>
      <c r="AS33" s="121">
        <f>AS$21*shipping_manufacturing!$D$27/100</f>
        <v>172.5</v>
      </c>
      <c r="AT33" s="121">
        <f>AT$21*shipping_manufacturing!$D$27/100</f>
        <v>163.34180628639254</v>
      </c>
      <c r="AU33" s="121">
        <f>AU$21*shipping_manufacturing!$D$27/100</f>
        <v>166.10099208043812</v>
      </c>
      <c r="AV33" s="121">
        <f>AV$21*shipping_manufacturing!$D$27/100</f>
        <v>166.1400083926203</v>
      </c>
      <c r="AW33" s="121">
        <f>AW$21*shipping_manufacturing!$D$27/100</f>
        <v>166.17873621756652</v>
      </c>
      <c r="AX33" s="121">
        <f>AX$21*shipping_manufacturing!$D$27/100</f>
        <v>166.21716930971161</v>
      </c>
      <c r="AY33" s="121">
        <f>AY$21*shipping_manufacturing!$D$27/100</f>
        <v>166.25530147251655</v>
      </c>
    </row>
    <row r="34" spans="1:52" x14ac:dyDescent="0.15">
      <c r="A34" s="110" t="s">
        <v>339</v>
      </c>
      <c r="B34" s="162" t="s">
        <v>341</v>
      </c>
      <c r="C34" s="107"/>
      <c r="D34" s="107">
        <f>D$22*shipping_manufacturing!$E$27/100</f>
        <v>0</v>
      </c>
      <c r="E34" s="107">
        <f>E$22*shipping_manufacturing!$E$27/100</f>
        <v>164.29022298471361</v>
      </c>
      <c r="F34" s="107">
        <f>F$22*shipping_manufacturing!$E$27/100</f>
        <v>164.33524183128984</v>
      </c>
      <c r="G34" s="107">
        <f>G$22*shipping_manufacturing!$E$27/100</f>
        <v>164.38026307297866</v>
      </c>
      <c r="H34" s="107">
        <f>H$22*shipping_manufacturing!$E$27/100</f>
        <v>164.42527948934639</v>
      </c>
      <c r="I34" s="107">
        <f>I$22*shipping_manufacturing!$E$27/100</f>
        <v>164.47028385754143</v>
      </c>
      <c r="J34" s="107">
        <f>J$22*shipping_manufacturing!$E$27/100</f>
        <v>164.51526895356116</v>
      </c>
      <c r="K34" s="107">
        <f>K$22*shipping_manufacturing!$E$27/100</f>
        <v>158.31720241246387</v>
      </c>
      <c r="L34" s="107">
        <f>L$22*shipping_manufacturing!$E$27/100</f>
        <v>164.60515243491716</v>
      </c>
      <c r="M34" s="107">
        <f>M$22*shipping_manufacturing!$E$27/100</f>
        <v>160.28321569379889</v>
      </c>
      <c r="N34" s="107">
        <f>N$22*shipping_manufacturing!$E$27/100</f>
        <v>160.38035990256367</v>
      </c>
      <c r="O34" s="107">
        <f>O$22*shipping_manufacturing!$E$27/100</f>
        <v>154.18053150165102</v>
      </c>
      <c r="P34" s="107">
        <f>P$22*shipping_manufacturing!$E$27/100</f>
        <v>164.78437044444752</v>
      </c>
      <c r="Q34" s="107">
        <f>Q$22*shipping_manufacturing!$E$27/100</f>
        <v>164.82901853286421</v>
      </c>
      <c r="R34" s="107">
        <f>R$22*shipping_manufacturing!$E$27/100</f>
        <v>164.87358966788369</v>
      </c>
      <c r="S34" s="107">
        <f>S$22*shipping_manufacturing!$E$27/100</f>
        <v>164.91807667223569</v>
      </c>
      <c r="T34" s="107">
        <f>T$22*shipping_manufacturing!$E$27/100</f>
        <v>164.9624723801825</v>
      </c>
      <c r="U34" s="107">
        <f>U$22*shipping_manufacturing!$E$27/100</f>
        <v>140.50806606654064</v>
      </c>
      <c r="V34" s="107">
        <f>V$22*shipping_manufacturing!$E$27/100</f>
        <v>146.95134133873975</v>
      </c>
      <c r="W34" s="107">
        <f>W$22*shipping_manufacturing!$E$27/100</f>
        <v>147.01745977662918</v>
      </c>
      <c r="X34" s="107">
        <f>X$22*shipping_manufacturing!$E$27/100</f>
        <v>165.13899940758668</v>
      </c>
      <c r="Y34" s="107">
        <f>Y$22*shipping_manufacturing!$E$27/100</f>
        <v>165.18283163952455</v>
      </c>
      <c r="Z34" s="107">
        <f>Z$22*shipping_manufacturing!$E$27/100</f>
        <v>165.22652989352318</v>
      </c>
      <c r="AA34" s="107">
        <f>AA$22*shipping_manufacturing!$E$27/100</f>
        <v>165.27008711988549</v>
      </c>
      <c r="AB34" s="107">
        <f>AB$22*shipping_manufacturing!$E$27/100</f>
        <v>165.31349629050976</v>
      </c>
      <c r="AC34" s="107">
        <f>AC$22*shipping_manufacturing!$E$27/100</f>
        <v>165.35675040013592</v>
      </c>
      <c r="AD34" s="107">
        <f>AD$22*shipping_manufacturing!$E$27/100</f>
        <v>165.39984246758843</v>
      </c>
      <c r="AE34" s="107">
        <f>AE$22*shipping_manufacturing!$E$27/100</f>
        <v>151.15448464502586</v>
      </c>
      <c r="AF34" s="107">
        <f>AF$22*shipping_manufacturing!$E$27/100</f>
        <v>162.09341434643707</v>
      </c>
      <c r="AG34" s="107">
        <f>AG$22*shipping_manufacturing!$E$27/100</f>
        <v>147.66701486362237</v>
      </c>
      <c r="AH34" s="107">
        <f>AH$22*shipping_manufacturing!$E$27/100</f>
        <v>165.57045160440265</v>
      </c>
      <c r="AI34" s="107">
        <f>AI$22*shipping_manufacturing!$E$27/100</f>
        <v>165.61262967284611</v>
      </c>
      <c r="AJ34" s="107">
        <f>AJ$22*shipping_manufacturing!$E$27/100</f>
        <v>165.65460438696263</v>
      </c>
      <c r="AK34" s="107">
        <f>AK$22*shipping_manufacturing!$E$27/100</f>
        <v>165.69636896864233</v>
      </c>
      <c r="AL34" s="107">
        <f>AL$22*shipping_manufacturing!$E$27/100</f>
        <v>165.73791667365629</v>
      </c>
      <c r="AM34" s="107">
        <f>AM$22*shipping_manufacturing!$E$27/100</f>
        <v>165.77924079285953</v>
      </c>
      <c r="AN34" s="107">
        <f>AN$22*shipping_manufacturing!$E$27/100</f>
        <v>165.82033465338836</v>
      </c>
      <c r="AO34" s="107">
        <f>AO$22*shipping_manufacturing!$E$27/100</f>
        <v>0</v>
      </c>
      <c r="AP34" s="107">
        <f>AP$22*shipping_manufacturing!$E$27/100</f>
        <v>172.5</v>
      </c>
      <c r="AQ34" s="107">
        <f>AQ$22*shipping_manufacturing!$E$27/100</f>
        <v>165.942168523493</v>
      </c>
      <c r="AR34" s="107">
        <f>AR$22*shipping_manufacturing!$E$27/100</f>
        <v>0</v>
      </c>
      <c r="AS34" s="107">
        <f>AS$22*shipping_manufacturing!$E$27/100</f>
        <v>172.5</v>
      </c>
      <c r="AT34" s="107">
        <f>AT$22*shipping_manufacturing!$E$27/100</f>
        <v>163.34180628639254</v>
      </c>
      <c r="AU34" s="107">
        <f>AU$22*shipping_manufacturing!$E$27/100</f>
        <v>166.10099208043812</v>
      </c>
      <c r="AV34" s="107">
        <f>AV$22*shipping_manufacturing!$E$27/100</f>
        <v>166.1400083926203</v>
      </c>
      <c r="AW34" s="107">
        <f>AW$22*shipping_manufacturing!$E$27/100</f>
        <v>166.17873621756652</v>
      </c>
      <c r="AX34" s="107">
        <f>AX$22*shipping_manufacturing!$E$27/100</f>
        <v>166.21716930971161</v>
      </c>
      <c r="AY34" s="107">
        <f>AY$22*shipping_manufacturing!$E$27/100</f>
        <v>166.25530147251655</v>
      </c>
    </row>
    <row r="35" spans="1:52" x14ac:dyDescent="0.15">
      <c r="A35" s="107">
        <v>1335</v>
      </c>
      <c r="B35" s="162" t="s">
        <v>342</v>
      </c>
      <c r="C35" s="107"/>
      <c r="D35" s="107">
        <f>SUM(D33:D34)</f>
        <v>0</v>
      </c>
      <c r="E35" s="107">
        <f t="shared" ref="E35:AY35" si="11">SUM(E33:E34)</f>
        <v>328.58044596942722</v>
      </c>
      <c r="F35" s="107">
        <f t="shared" si="11"/>
        <v>328.67048366257967</v>
      </c>
      <c r="G35" s="107">
        <f t="shared" si="11"/>
        <v>328.76052614595733</v>
      </c>
      <c r="H35" s="107">
        <f t="shared" si="11"/>
        <v>328.85055897869279</v>
      </c>
      <c r="I35" s="107">
        <f t="shared" si="11"/>
        <v>328.94056771508286</v>
      </c>
      <c r="J35" s="107">
        <f t="shared" si="11"/>
        <v>329.03053790712232</v>
      </c>
      <c r="K35" s="107">
        <f t="shared" si="11"/>
        <v>316.63440482492774</v>
      </c>
      <c r="L35" s="107">
        <f t="shared" si="11"/>
        <v>329.21030486983432</v>
      </c>
      <c r="M35" s="107">
        <f t="shared" si="11"/>
        <v>320.56643138759779</v>
      </c>
      <c r="N35" s="107">
        <f t="shared" si="11"/>
        <v>320.76071980512734</v>
      </c>
      <c r="O35" s="107">
        <f t="shared" si="11"/>
        <v>308.36106300330204</v>
      </c>
      <c r="P35" s="107">
        <f t="shared" si="11"/>
        <v>329.56874088889504</v>
      </c>
      <c r="Q35" s="107">
        <f t="shared" si="11"/>
        <v>329.65803706572842</v>
      </c>
      <c r="R35" s="107">
        <f t="shared" si="11"/>
        <v>329.74717933576738</v>
      </c>
      <c r="S35" s="107">
        <f t="shared" si="11"/>
        <v>329.83615334447137</v>
      </c>
      <c r="T35" s="107">
        <f t="shared" si="11"/>
        <v>329.92494476036501</v>
      </c>
      <c r="U35" s="107">
        <f t="shared" si="11"/>
        <v>281.01613213308127</v>
      </c>
      <c r="V35" s="107">
        <f t="shared" si="11"/>
        <v>293.9026826774795</v>
      </c>
      <c r="W35" s="107">
        <f t="shared" si="11"/>
        <v>294.03491955325836</v>
      </c>
      <c r="X35" s="107">
        <f t="shared" si="11"/>
        <v>330.27799881517336</v>
      </c>
      <c r="Y35" s="107">
        <f t="shared" si="11"/>
        <v>330.3656632790491</v>
      </c>
      <c r="Z35" s="107">
        <f t="shared" si="11"/>
        <v>330.45305978704636</v>
      </c>
      <c r="AA35" s="107">
        <f t="shared" si="11"/>
        <v>330.54017423977098</v>
      </c>
      <c r="AB35" s="107">
        <f t="shared" si="11"/>
        <v>330.62699258101952</v>
      </c>
      <c r="AC35" s="107">
        <f t="shared" si="11"/>
        <v>330.71350080027185</v>
      </c>
      <c r="AD35" s="107">
        <f t="shared" si="11"/>
        <v>330.79968493517686</v>
      </c>
      <c r="AE35" s="107">
        <f t="shared" si="11"/>
        <v>302.30896929005172</v>
      </c>
      <c r="AF35" s="107">
        <f t="shared" si="11"/>
        <v>324.18682869287414</v>
      </c>
      <c r="AG35" s="107">
        <f t="shared" si="11"/>
        <v>295.33402972724474</v>
      </c>
      <c r="AH35" s="107">
        <f t="shared" si="11"/>
        <v>331.1409032088053</v>
      </c>
      <c r="AI35" s="107">
        <f t="shared" si="11"/>
        <v>331.22525934569222</v>
      </c>
      <c r="AJ35" s="107">
        <f t="shared" si="11"/>
        <v>331.30920877392526</v>
      </c>
      <c r="AK35" s="107">
        <f t="shared" si="11"/>
        <v>331.39273793728466</v>
      </c>
      <c r="AL35" s="107">
        <f t="shared" si="11"/>
        <v>331.47583334731257</v>
      </c>
      <c r="AM35" s="107">
        <f t="shared" si="11"/>
        <v>331.55848158571905</v>
      </c>
      <c r="AN35" s="107">
        <f t="shared" si="11"/>
        <v>331.64066930677672</v>
      </c>
      <c r="AO35" s="107">
        <f t="shared" si="11"/>
        <v>0</v>
      </c>
      <c r="AP35" s="107">
        <f t="shared" si="11"/>
        <v>345</v>
      </c>
      <c r="AQ35" s="107">
        <f t="shared" si="11"/>
        <v>331.88433704698599</v>
      </c>
      <c r="AR35" s="107">
        <f t="shared" si="11"/>
        <v>0</v>
      </c>
      <c r="AS35" s="107">
        <f t="shared" si="11"/>
        <v>345</v>
      </c>
      <c r="AT35" s="107">
        <f t="shared" si="11"/>
        <v>326.68361257278508</v>
      </c>
      <c r="AU35" s="107">
        <f t="shared" si="11"/>
        <v>332.20198416087624</v>
      </c>
      <c r="AV35" s="107">
        <f t="shared" si="11"/>
        <v>332.2800167852406</v>
      </c>
      <c r="AW35" s="107">
        <f t="shared" si="11"/>
        <v>332.35747243513305</v>
      </c>
      <c r="AX35" s="107">
        <f t="shared" si="11"/>
        <v>332.43433861942322</v>
      </c>
      <c r="AY35" s="107">
        <f t="shared" si="11"/>
        <v>332.5106029450331</v>
      </c>
    </row>
    <row r="36" spans="1:52" x14ac:dyDescent="0.15">
      <c r="A36" s="107"/>
      <c r="B36" s="162" t="s">
        <v>343</v>
      </c>
      <c r="C36" s="107"/>
      <c r="D36" s="107"/>
      <c r="E36" s="107">
        <v>164.29022298471361</v>
      </c>
      <c r="F36" s="107"/>
      <c r="G36" s="107">
        <v>164.38026307297866</v>
      </c>
      <c r="H36" s="107"/>
      <c r="I36" s="107">
        <v>164.47028385754143</v>
      </c>
      <c r="J36" s="107"/>
      <c r="K36" s="107">
        <v>158.31720241246387</v>
      </c>
      <c r="L36" s="107"/>
      <c r="M36" s="107">
        <v>160.28321569379889</v>
      </c>
      <c r="N36" s="107"/>
      <c r="O36" s="107">
        <v>154.18053150165102</v>
      </c>
      <c r="P36" s="107"/>
      <c r="Q36" s="107">
        <v>164.82901853286421</v>
      </c>
      <c r="R36" s="107"/>
      <c r="S36" s="107">
        <v>164.91807667223569</v>
      </c>
      <c r="T36" s="107"/>
      <c r="U36" s="107">
        <v>140.50806606654064</v>
      </c>
      <c r="V36" s="107">
        <v>15</v>
      </c>
      <c r="W36" s="107">
        <v>147.01745977662918</v>
      </c>
      <c r="X36" s="107">
        <v>15</v>
      </c>
      <c r="Y36" s="107">
        <v>150</v>
      </c>
      <c r="Z36" s="107">
        <v>15</v>
      </c>
      <c r="AA36" s="107">
        <v>150</v>
      </c>
      <c r="AB36" s="107">
        <v>15</v>
      </c>
      <c r="AC36" s="107">
        <v>150</v>
      </c>
      <c r="AD36" s="107">
        <v>15</v>
      </c>
      <c r="AE36" s="107">
        <v>150</v>
      </c>
      <c r="AF36" s="107">
        <v>15</v>
      </c>
      <c r="AG36" s="107">
        <v>147.66701486362237</v>
      </c>
      <c r="AH36" s="107">
        <v>15</v>
      </c>
      <c r="AI36" s="107">
        <v>150</v>
      </c>
      <c r="AJ36" s="107">
        <v>15</v>
      </c>
      <c r="AK36" s="107">
        <v>150</v>
      </c>
      <c r="AL36" s="107">
        <v>15</v>
      </c>
      <c r="AM36" s="107">
        <v>150</v>
      </c>
      <c r="AN36" s="107">
        <v>15</v>
      </c>
      <c r="AO36" s="107"/>
      <c r="AP36" s="107">
        <v>165</v>
      </c>
      <c r="AQ36" s="107"/>
      <c r="AR36" s="107"/>
      <c r="AS36" s="107">
        <v>165</v>
      </c>
      <c r="AT36" s="107"/>
      <c r="AU36" s="107">
        <v>165</v>
      </c>
      <c r="AV36" s="107"/>
      <c r="AW36" s="107">
        <v>165</v>
      </c>
      <c r="AX36" s="107"/>
      <c r="AY36" s="107">
        <v>165</v>
      </c>
    </row>
    <row r="37" spans="1:52" x14ac:dyDescent="0.15">
      <c r="A37" s="107"/>
      <c r="B37" s="162" t="s">
        <v>344</v>
      </c>
      <c r="C37" s="107"/>
      <c r="D37" s="107"/>
      <c r="E37" s="107">
        <v>164.29022298471361</v>
      </c>
      <c r="F37" s="107"/>
      <c r="G37" s="107">
        <v>164.38026307297866</v>
      </c>
      <c r="H37" s="107"/>
      <c r="I37" s="107">
        <v>164.47028385754143</v>
      </c>
      <c r="J37" s="107"/>
      <c r="K37" s="107">
        <v>158.31720241246387</v>
      </c>
      <c r="L37" s="107"/>
      <c r="M37" s="107">
        <v>160.28321569379889</v>
      </c>
      <c r="N37" s="107"/>
      <c r="O37" s="107">
        <v>154.18053150165102</v>
      </c>
      <c r="P37" s="107"/>
      <c r="Q37" s="107">
        <v>164.82901853286421</v>
      </c>
      <c r="R37" s="107"/>
      <c r="S37" s="107">
        <v>164.91807667223569</v>
      </c>
      <c r="T37" s="107"/>
      <c r="U37" s="107">
        <v>140.50806606654064</v>
      </c>
      <c r="V37" s="107">
        <v>15</v>
      </c>
      <c r="W37" s="107">
        <v>147.01745977662918</v>
      </c>
      <c r="X37" s="107">
        <v>15</v>
      </c>
      <c r="Y37" s="107">
        <v>150</v>
      </c>
      <c r="Z37" s="107">
        <v>15</v>
      </c>
      <c r="AA37" s="107">
        <v>150</v>
      </c>
      <c r="AB37" s="107">
        <v>15</v>
      </c>
      <c r="AC37" s="107">
        <v>150</v>
      </c>
      <c r="AD37" s="107">
        <v>15</v>
      </c>
      <c r="AE37" s="107">
        <v>150</v>
      </c>
      <c r="AF37" s="107">
        <v>15</v>
      </c>
      <c r="AG37" s="107">
        <v>147.66701486362237</v>
      </c>
      <c r="AH37" s="107">
        <v>15</v>
      </c>
      <c r="AI37" s="107">
        <v>150</v>
      </c>
      <c r="AJ37" s="107">
        <v>15</v>
      </c>
      <c r="AK37" s="107">
        <v>150</v>
      </c>
      <c r="AL37" s="107">
        <v>15</v>
      </c>
      <c r="AM37" s="107">
        <v>150</v>
      </c>
      <c r="AN37" s="107">
        <v>15</v>
      </c>
      <c r="AO37" s="107"/>
      <c r="AP37" s="107">
        <v>165</v>
      </c>
      <c r="AQ37" s="107"/>
      <c r="AR37" s="107"/>
      <c r="AS37" s="107">
        <v>165</v>
      </c>
      <c r="AT37" s="107"/>
      <c r="AU37" s="107">
        <v>165</v>
      </c>
      <c r="AV37" s="107"/>
      <c r="AW37" s="107">
        <v>165</v>
      </c>
      <c r="AX37" s="107"/>
      <c r="AY37" s="107">
        <v>165</v>
      </c>
    </row>
    <row r="38" spans="1:52" x14ac:dyDescent="0.15">
      <c r="A38" s="107"/>
      <c r="B38" s="162" t="s">
        <v>345</v>
      </c>
      <c r="C38" s="107"/>
      <c r="D38" s="107"/>
      <c r="E38" s="107">
        <v>11</v>
      </c>
      <c r="F38" s="107"/>
      <c r="G38" s="107">
        <v>11</v>
      </c>
      <c r="H38" s="107"/>
      <c r="I38" s="107">
        <v>11</v>
      </c>
      <c r="J38" s="107"/>
      <c r="K38" s="107">
        <v>11</v>
      </c>
      <c r="L38" s="107"/>
      <c r="M38" s="107">
        <v>11</v>
      </c>
      <c r="N38" s="107"/>
      <c r="O38" s="107">
        <v>11</v>
      </c>
      <c r="P38" s="107"/>
      <c r="Q38" s="107">
        <v>11</v>
      </c>
      <c r="R38" s="107"/>
      <c r="S38" s="107">
        <v>11</v>
      </c>
      <c r="T38" s="107"/>
      <c r="U38" s="107">
        <v>10</v>
      </c>
      <c r="V38" s="107">
        <v>1</v>
      </c>
      <c r="W38" s="107">
        <v>10</v>
      </c>
      <c r="X38" s="107">
        <v>1</v>
      </c>
      <c r="Y38" s="107">
        <v>10</v>
      </c>
      <c r="Z38" s="107">
        <v>1</v>
      </c>
      <c r="AA38" s="107">
        <v>10</v>
      </c>
      <c r="AB38" s="107">
        <v>1</v>
      </c>
      <c r="AC38" s="107">
        <v>10</v>
      </c>
      <c r="AD38" s="107">
        <v>1</v>
      </c>
      <c r="AE38" s="107">
        <v>10</v>
      </c>
      <c r="AF38" s="107">
        <v>1</v>
      </c>
      <c r="AG38" s="107">
        <v>10</v>
      </c>
      <c r="AH38" s="107">
        <v>1</v>
      </c>
      <c r="AI38" s="107">
        <v>10</v>
      </c>
      <c r="AJ38" s="107">
        <v>1</v>
      </c>
      <c r="AK38" s="107">
        <v>10</v>
      </c>
      <c r="AL38" s="107">
        <v>1</v>
      </c>
      <c r="AM38" s="107">
        <v>10</v>
      </c>
      <c r="AN38" s="107">
        <v>1</v>
      </c>
      <c r="AO38" s="107"/>
      <c r="AP38" s="107">
        <v>11</v>
      </c>
      <c r="AQ38" s="107"/>
      <c r="AR38" s="107"/>
      <c r="AS38" s="107">
        <v>11</v>
      </c>
      <c r="AT38" s="107"/>
      <c r="AU38" s="107">
        <v>11</v>
      </c>
      <c r="AV38" s="107"/>
      <c r="AW38" s="107">
        <v>11</v>
      </c>
      <c r="AX38" s="107"/>
      <c r="AY38" s="107">
        <v>11</v>
      </c>
    </row>
    <row r="39" spans="1:52" x14ac:dyDescent="0.15">
      <c r="A39" s="107"/>
      <c r="B39" s="162" t="s">
        <v>346</v>
      </c>
      <c r="C39" s="107"/>
      <c r="D39" s="107">
        <f>D33-D36</f>
        <v>0</v>
      </c>
      <c r="E39" s="107">
        <f t="shared" ref="E39:AY39" si="12">E33-E36</f>
        <v>0</v>
      </c>
      <c r="F39" s="107">
        <f t="shared" si="12"/>
        <v>164.33524183128984</v>
      </c>
      <c r="G39" s="107">
        <f t="shared" si="12"/>
        <v>0</v>
      </c>
      <c r="H39" s="107">
        <f t="shared" si="12"/>
        <v>164.42527948934639</v>
      </c>
      <c r="I39" s="107">
        <f t="shared" si="12"/>
        <v>0</v>
      </c>
      <c r="J39" s="107">
        <f t="shared" si="12"/>
        <v>164.51526895356116</v>
      </c>
      <c r="K39" s="107">
        <f t="shared" si="12"/>
        <v>0</v>
      </c>
      <c r="L39" s="107">
        <f t="shared" si="12"/>
        <v>164.60515243491716</v>
      </c>
      <c r="M39" s="107">
        <f t="shared" si="12"/>
        <v>0</v>
      </c>
      <c r="N39" s="107">
        <f t="shared" si="12"/>
        <v>160.38035990256367</v>
      </c>
      <c r="O39" s="107">
        <f t="shared" si="12"/>
        <v>0</v>
      </c>
      <c r="P39" s="107">
        <f t="shared" si="12"/>
        <v>164.78437044444752</v>
      </c>
      <c r="Q39" s="107">
        <f t="shared" si="12"/>
        <v>0</v>
      </c>
      <c r="R39" s="107">
        <f t="shared" si="12"/>
        <v>164.87358966788369</v>
      </c>
      <c r="S39" s="107">
        <f t="shared" si="12"/>
        <v>0</v>
      </c>
      <c r="T39" s="107">
        <f t="shared" si="12"/>
        <v>164.9624723801825</v>
      </c>
      <c r="U39" s="107">
        <f t="shared" si="12"/>
        <v>0</v>
      </c>
      <c r="V39" s="107">
        <f t="shared" si="12"/>
        <v>131.95134133873975</v>
      </c>
      <c r="W39" s="107">
        <f t="shared" si="12"/>
        <v>0</v>
      </c>
      <c r="X39" s="107">
        <f t="shared" si="12"/>
        <v>150.13899940758668</v>
      </c>
      <c r="Y39" s="107">
        <f t="shared" si="12"/>
        <v>15.182831639524551</v>
      </c>
      <c r="Z39" s="107">
        <f t="shared" si="12"/>
        <v>150.22652989352318</v>
      </c>
      <c r="AA39" s="107">
        <f t="shared" si="12"/>
        <v>15.270087119885488</v>
      </c>
      <c r="AB39" s="107">
        <f t="shared" si="12"/>
        <v>150.31349629050976</v>
      </c>
      <c r="AC39" s="107">
        <f t="shared" si="12"/>
        <v>15.356750400135923</v>
      </c>
      <c r="AD39" s="107">
        <f t="shared" si="12"/>
        <v>150.39984246758843</v>
      </c>
      <c r="AE39" s="107">
        <f t="shared" si="12"/>
        <v>1.1544846450258603</v>
      </c>
      <c r="AF39" s="107">
        <f t="shared" si="12"/>
        <v>147.09341434643707</v>
      </c>
      <c r="AG39" s="107">
        <f t="shared" si="12"/>
        <v>0</v>
      </c>
      <c r="AH39" s="107">
        <f t="shared" si="12"/>
        <v>150.57045160440265</v>
      </c>
      <c r="AI39" s="107">
        <f t="shared" si="12"/>
        <v>15.612629672846111</v>
      </c>
      <c r="AJ39" s="107">
        <f t="shared" si="12"/>
        <v>150.65460438696263</v>
      </c>
      <c r="AK39" s="107">
        <f t="shared" si="12"/>
        <v>15.696368968642332</v>
      </c>
      <c r="AL39" s="107">
        <f t="shared" si="12"/>
        <v>150.73791667365629</v>
      </c>
      <c r="AM39" s="107">
        <f t="shared" si="12"/>
        <v>15.779240792859525</v>
      </c>
      <c r="AN39" s="107">
        <f t="shared" si="12"/>
        <v>150.82033465338836</v>
      </c>
      <c r="AO39" s="107">
        <f t="shared" si="12"/>
        <v>0</v>
      </c>
      <c r="AP39" s="107">
        <f t="shared" si="12"/>
        <v>7.5</v>
      </c>
      <c r="AQ39" s="107">
        <f t="shared" si="12"/>
        <v>165.942168523493</v>
      </c>
      <c r="AR39" s="107">
        <f t="shared" si="12"/>
        <v>0</v>
      </c>
      <c r="AS39" s="107">
        <f t="shared" si="12"/>
        <v>7.5</v>
      </c>
      <c r="AT39" s="107">
        <f t="shared" si="12"/>
        <v>163.34180628639254</v>
      </c>
      <c r="AU39" s="107">
        <f t="shared" si="12"/>
        <v>1.1009920804381181</v>
      </c>
      <c r="AV39" s="107">
        <f t="shared" si="12"/>
        <v>166.1400083926203</v>
      </c>
      <c r="AW39" s="107">
        <f t="shared" si="12"/>
        <v>1.1787362175665237</v>
      </c>
      <c r="AX39" s="107">
        <f t="shared" si="12"/>
        <v>166.21716930971161</v>
      </c>
      <c r="AY39" s="107">
        <f t="shared" si="12"/>
        <v>1.2553014725165497</v>
      </c>
    </row>
    <row r="40" spans="1:52" x14ac:dyDescent="0.15">
      <c r="A40" s="107"/>
      <c r="B40" s="162" t="s">
        <v>347</v>
      </c>
      <c r="C40" s="107"/>
      <c r="D40" s="107">
        <f>D34-D37</f>
        <v>0</v>
      </c>
      <c r="E40" s="107">
        <f t="shared" ref="E40:AY40" si="13">E34-E37</f>
        <v>0</v>
      </c>
      <c r="F40" s="107">
        <f t="shared" si="13"/>
        <v>164.33524183128984</v>
      </c>
      <c r="G40" s="107">
        <f t="shared" si="13"/>
        <v>0</v>
      </c>
      <c r="H40" s="107">
        <f t="shared" si="13"/>
        <v>164.42527948934639</v>
      </c>
      <c r="I40" s="107">
        <f t="shared" si="13"/>
        <v>0</v>
      </c>
      <c r="J40" s="107">
        <f t="shared" si="13"/>
        <v>164.51526895356116</v>
      </c>
      <c r="K40" s="107">
        <f t="shared" si="13"/>
        <v>0</v>
      </c>
      <c r="L40" s="107">
        <f t="shared" si="13"/>
        <v>164.60515243491716</v>
      </c>
      <c r="M40" s="107">
        <f t="shared" si="13"/>
        <v>0</v>
      </c>
      <c r="N40" s="107">
        <f t="shared" si="13"/>
        <v>160.38035990256367</v>
      </c>
      <c r="O40" s="107">
        <f t="shared" si="13"/>
        <v>0</v>
      </c>
      <c r="P40" s="107">
        <f t="shared" si="13"/>
        <v>164.78437044444752</v>
      </c>
      <c r="Q40" s="107">
        <f t="shared" si="13"/>
        <v>0</v>
      </c>
      <c r="R40" s="107">
        <f t="shared" si="13"/>
        <v>164.87358966788369</v>
      </c>
      <c r="S40" s="107">
        <f t="shared" si="13"/>
        <v>0</v>
      </c>
      <c r="T40" s="107">
        <f t="shared" si="13"/>
        <v>164.9624723801825</v>
      </c>
      <c r="U40" s="107">
        <f t="shared" si="13"/>
        <v>0</v>
      </c>
      <c r="V40" s="107">
        <f t="shared" si="13"/>
        <v>131.95134133873975</v>
      </c>
      <c r="W40" s="107">
        <f t="shared" si="13"/>
        <v>0</v>
      </c>
      <c r="X40" s="107">
        <f t="shared" si="13"/>
        <v>150.13899940758668</v>
      </c>
      <c r="Y40" s="107">
        <f t="shared" si="13"/>
        <v>15.182831639524551</v>
      </c>
      <c r="Z40" s="107">
        <f t="shared" si="13"/>
        <v>150.22652989352318</v>
      </c>
      <c r="AA40" s="107">
        <f t="shared" si="13"/>
        <v>15.270087119885488</v>
      </c>
      <c r="AB40" s="107">
        <f t="shared" si="13"/>
        <v>150.31349629050976</v>
      </c>
      <c r="AC40" s="107">
        <f t="shared" si="13"/>
        <v>15.356750400135923</v>
      </c>
      <c r="AD40" s="107">
        <f t="shared" si="13"/>
        <v>150.39984246758843</v>
      </c>
      <c r="AE40" s="107">
        <f t="shared" si="13"/>
        <v>1.1544846450258603</v>
      </c>
      <c r="AF40" s="107">
        <f t="shared" si="13"/>
        <v>147.09341434643707</v>
      </c>
      <c r="AG40" s="107">
        <f t="shared" si="13"/>
        <v>0</v>
      </c>
      <c r="AH40" s="107">
        <f t="shared" si="13"/>
        <v>150.57045160440265</v>
      </c>
      <c r="AI40" s="107">
        <f t="shared" si="13"/>
        <v>15.612629672846111</v>
      </c>
      <c r="AJ40" s="107">
        <f t="shared" si="13"/>
        <v>150.65460438696263</v>
      </c>
      <c r="AK40" s="107">
        <f t="shared" si="13"/>
        <v>15.696368968642332</v>
      </c>
      <c r="AL40" s="107">
        <f t="shared" si="13"/>
        <v>150.73791667365629</v>
      </c>
      <c r="AM40" s="107">
        <f t="shared" si="13"/>
        <v>15.779240792859525</v>
      </c>
      <c r="AN40" s="107">
        <f t="shared" si="13"/>
        <v>150.82033465338836</v>
      </c>
      <c r="AO40" s="107">
        <f t="shared" si="13"/>
        <v>0</v>
      </c>
      <c r="AP40" s="107">
        <f t="shared" si="13"/>
        <v>7.5</v>
      </c>
      <c r="AQ40" s="107">
        <f t="shared" si="13"/>
        <v>165.942168523493</v>
      </c>
      <c r="AR40" s="107">
        <f t="shared" si="13"/>
        <v>0</v>
      </c>
      <c r="AS40" s="107">
        <f t="shared" si="13"/>
        <v>7.5</v>
      </c>
      <c r="AT40" s="107">
        <f t="shared" si="13"/>
        <v>163.34180628639254</v>
      </c>
      <c r="AU40" s="107">
        <f t="shared" si="13"/>
        <v>1.1009920804381181</v>
      </c>
      <c r="AV40" s="107">
        <f t="shared" si="13"/>
        <v>166.1400083926203</v>
      </c>
      <c r="AW40" s="107">
        <f t="shared" si="13"/>
        <v>1.1787362175665237</v>
      </c>
      <c r="AX40" s="107">
        <f t="shared" si="13"/>
        <v>166.21716930971161</v>
      </c>
      <c r="AY40" s="107">
        <f t="shared" si="13"/>
        <v>1.2553014725165497</v>
      </c>
    </row>
    <row r="41" spans="1:52" x14ac:dyDescent="0.15">
      <c r="A41" s="107"/>
      <c r="B41" s="162" t="s">
        <v>348</v>
      </c>
      <c r="C41" s="107"/>
      <c r="D41" s="107">
        <v>1</v>
      </c>
      <c r="E41" s="107">
        <v>1</v>
      </c>
      <c r="F41" s="107">
        <v>1</v>
      </c>
      <c r="G41" s="107">
        <v>2</v>
      </c>
      <c r="H41" s="107">
        <v>2</v>
      </c>
      <c r="I41" s="107">
        <v>1</v>
      </c>
      <c r="J41" s="107">
        <v>1</v>
      </c>
      <c r="K41" s="107">
        <v>2</v>
      </c>
      <c r="L41" s="107">
        <v>2</v>
      </c>
      <c r="M41" s="107">
        <v>1</v>
      </c>
      <c r="N41" s="107">
        <v>2</v>
      </c>
      <c r="O41" s="107">
        <v>1</v>
      </c>
      <c r="P41" s="107">
        <v>1</v>
      </c>
      <c r="Q41" s="107">
        <v>2</v>
      </c>
      <c r="R41" s="107">
        <v>1</v>
      </c>
      <c r="S41" s="107">
        <v>2</v>
      </c>
      <c r="T41" s="107">
        <v>1</v>
      </c>
      <c r="U41" s="107">
        <v>1</v>
      </c>
      <c r="V41" s="107">
        <v>2</v>
      </c>
      <c r="W41" s="107">
        <v>1</v>
      </c>
      <c r="X41" s="107">
        <v>1</v>
      </c>
      <c r="Y41" s="107">
        <v>2</v>
      </c>
      <c r="Z41" s="107">
        <v>1</v>
      </c>
      <c r="AA41" s="107">
        <v>1</v>
      </c>
      <c r="AB41" s="107">
        <v>2</v>
      </c>
      <c r="AC41" s="107">
        <v>3</v>
      </c>
      <c r="AD41" s="107">
        <v>1</v>
      </c>
      <c r="AE41" s="107">
        <v>2</v>
      </c>
      <c r="AF41" s="107">
        <v>1</v>
      </c>
      <c r="AG41" s="107">
        <v>2</v>
      </c>
      <c r="AH41" s="107">
        <v>3</v>
      </c>
      <c r="AI41" s="107">
        <v>1</v>
      </c>
      <c r="AJ41" s="107">
        <v>2</v>
      </c>
      <c r="AK41" s="107">
        <v>3</v>
      </c>
      <c r="AL41" s="107">
        <v>2</v>
      </c>
      <c r="AM41" s="107">
        <v>1</v>
      </c>
      <c r="AN41" s="107">
        <v>2</v>
      </c>
      <c r="AO41" s="107">
        <v>2</v>
      </c>
      <c r="AP41" s="107">
        <v>3</v>
      </c>
      <c r="AQ41" s="107">
        <v>1</v>
      </c>
      <c r="AR41" s="107">
        <v>2</v>
      </c>
      <c r="AS41" s="107">
        <v>1</v>
      </c>
      <c r="AT41" s="107">
        <v>1</v>
      </c>
      <c r="AU41" s="107">
        <v>2</v>
      </c>
      <c r="AV41" s="107">
        <v>2</v>
      </c>
      <c r="AW41" s="107">
        <v>1</v>
      </c>
      <c r="AX41" s="107">
        <v>1</v>
      </c>
      <c r="AY41" s="107">
        <v>1</v>
      </c>
    </row>
    <row r="42" spans="1:52" x14ac:dyDescent="0.15">
      <c r="A42" s="107"/>
      <c r="B42" s="175" t="s">
        <v>349</v>
      </c>
      <c r="C42" s="107"/>
      <c r="D42" s="107">
        <v>0</v>
      </c>
      <c r="E42" s="107">
        <v>528660</v>
      </c>
      <c r="F42" s="107">
        <v>0</v>
      </c>
      <c r="G42" s="107">
        <v>528660</v>
      </c>
      <c r="H42" s="107">
        <v>0</v>
      </c>
      <c r="I42" s="107">
        <v>528660</v>
      </c>
      <c r="J42" s="107">
        <v>0</v>
      </c>
      <c r="K42" s="107">
        <v>528660</v>
      </c>
      <c r="L42" s="107">
        <v>0</v>
      </c>
      <c r="M42" s="107">
        <v>528660</v>
      </c>
      <c r="N42" s="107">
        <v>0</v>
      </c>
      <c r="O42" s="107">
        <v>528660</v>
      </c>
      <c r="P42" s="107">
        <v>0</v>
      </c>
      <c r="Q42" s="107">
        <v>528660</v>
      </c>
      <c r="R42" s="107">
        <v>0</v>
      </c>
      <c r="S42" s="107">
        <v>528660</v>
      </c>
      <c r="T42" s="107">
        <v>0</v>
      </c>
      <c r="U42" s="107">
        <v>480600</v>
      </c>
      <c r="V42" s="107">
        <v>48060</v>
      </c>
      <c r="W42" s="107">
        <v>480600</v>
      </c>
      <c r="X42" s="107">
        <v>48060</v>
      </c>
      <c r="Y42" s="107">
        <v>480600</v>
      </c>
      <c r="Z42" s="107">
        <v>48060</v>
      </c>
      <c r="AA42" s="107">
        <v>480600</v>
      </c>
      <c r="AB42" s="107">
        <v>48060</v>
      </c>
      <c r="AC42" s="107">
        <v>480600</v>
      </c>
      <c r="AD42" s="107">
        <v>48060</v>
      </c>
      <c r="AE42" s="107">
        <v>480600</v>
      </c>
      <c r="AF42" s="107">
        <v>48060</v>
      </c>
      <c r="AG42" s="107">
        <v>480600</v>
      </c>
      <c r="AH42" s="107">
        <v>48060</v>
      </c>
      <c r="AI42" s="107">
        <v>480600</v>
      </c>
      <c r="AJ42" s="107">
        <v>48060</v>
      </c>
      <c r="AK42" s="107">
        <v>480600</v>
      </c>
      <c r="AL42" s="107">
        <v>48060</v>
      </c>
      <c r="AM42" s="107">
        <v>480600</v>
      </c>
      <c r="AN42" s="107">
        <v>48060</v>
      </c>
      <c r="AO42" s="107">
        <v>0</v>
      </c>
      <c r="AP42" s="107">
        <v>528660</v>
      </c>
      <c r="AQ42" s="107">
        <v>0</v>
      </c>
      <c r="AR42" s="107">
        <v>0</v>
      </c>
      <c r="AS42" s="107">
        <v>528660</v>
      </c>
      <c r="AT42" s="107">
        <v>0</v>
      </c>
      <c r="AU42" s="107">
        <v>528660</v>
      </c>
      <c r="AV42" s="107">
        <v>0</v>
      </c>
      <c r="AW42" s="107">
        <v>528660</v>
      </c>
      <c r="AX42" s="107">
        <v>0</v>
      </c>
      <c r="AY42" s="107">
        <v>528660</v>
      </c>
      <c r="AZ42" s="97">
        <f>SUM($D$42:$AY$42)</f>
        <v>12159180</v>
      </c>
    </row>
    <row r="43" spans="1:52" x14ac:dyDescent="0.15">
      <c r="A43" s="107"/>
      <c r="B43" s="175" t="s">
        <v>350</v>
      </c>
      <c r="C43" s="107"/>
      <c r="D43" s="107">
        <v>0</v>
      </c>
      <c r="E43" s="107">
        <v>0</v>
      </c>
      <c r="F43" s="107">
        <v>285203.81219820352</v>
      </c>
      <c r="G43" s="107">
        <v>0</v>
      </c>
      <c r="H43" s="107">
        <v>285360.07255376066</v>
      </c>
      <c r="I43" s="107">
        <v>0</v>
      </c>
      <c r="J43" s="107">
        <v>285516.24926890538</v>
      </c>
      <c r="K43" s="107">
        <v>0</v>
      </c>
      <c r="L43" s="107">
        <v>285672.24205079873</v>
      </c>
      <c r="M43" s="107">
        <v>0</v>
      </c>
      <c r="N43" s="107">
        <v>278340.11461089924</v>
      </c>
      <c r="O43" s="107">
        <v>0</v>
      </c>
      <c r="P43" s="107">
        <v>285983.27490633866</v>
      </c>
      <c r="Q43" s="107">
        <v>0</v>
      </c>
      <c r="R43" s="107">
        <v>286138.11486861215</v>
      </c>
      <c r="S43" s="107">
        <v>0</v>
      </c>
      <c r="T43" s="107">
        <v>286292.37081580679</v>
      </c>
      <c r="U43" s="107">
        <v>0</v>
      </c>
      <c r="V43" s="107">
        <v>229001.55289338288</v>
      </c>
      <c r="W43" s="107">
        <v>0</v>
      </c>
      <c r="X43" s="107">
        <v>260566.23347186667</v>
      </c>
      <c r="Y43" s="107">
        <v>26349.804310394862</v>
      </c>
      <c r="Z43" s="107">
        <v>260718.14263020948</v>
      </c>
      <c r="AA43" s="107">
        <v>26501.236196561265</v>
      </c>
      <c r="AB43" s="107">
        <v>260869.07281217971</v>
      </c>
      <c r="AC43" s="107">
        <v>26651.640319435894</v>
      </c>
      <c r="AD43" s="107">
        <v>261018.92660249971</v>
      </c>
      <c r="AE43" s="107">
        <v>2003.6081014423808</v>
      </c>
      <c r="AF43" s="107">
        <v>255280.62059824154</v>
      </c>
      <c r="AG43" s="107">
        <v>0</v>
      </c>
      <c r="AH43" s="107">
        <v>261315.01875944081</v>
      </c>
      <c r="AI43" s="107">
        <v>27095.718797224428</v>
      </c>
      <c r="AJ43" s="107">
        <v>261461.06591357366</v>
      </c>
      <c r="AK43" s="107">
        <v>27241.048345078769</v>
      </c>
      <c r="AL43" s="107">
        <v>261605.65438713049</v>
      </c>
      <c r="AM43" s="107">
        <v>27384.872396007708</v>
      </c>
      <c r="AN43" s="107">
        <v>261748.6907909555</v>
      </c>
      <c r="AO43" s="107">
        <v>0</v>
      </c>
      <c r="AP43" s="107">
        <v>13016.25</v>
      </c>
      <c r="AQ43" s="107">
        <v>287992.63347252208</v>
      </c>
      <c r="AR43" s="107">
        <v>0</v>
      </c>
      <c r="AS43" s="107">
        <v>13016.25</v>
      </c>
      <c r="AT43" s="107">
        <v>283479.70481003425</v>
      </c>
      <c r="AU43" s="107">
        <v>1910.771755600354</v>
      </c>
      <c r="AV43" s="107">
        <v>288335.98456539254</v>
      </c>
      <c r="AW43" s="107">
        <v>2045.6967055867021</v>
      </c>
      <c r="AX43" s="107">
        <v>288469.89733700454</v>
      </c>
      <c r="AY43" s="107">
        <v>2178.5757055524718</v>
      </c>
      <c r="AZ43" s="97">
        <f>SUM($D$43:$AY$43)</f>
        <v>6195764.9229506431</v>
      </c>
    </row>
    <row r="44" spans="1:52" x14ac:dyDescent="0.15">
      <c r="A44" s="132" t="s">
        <v>59</v>
      </c>
      <c r="B44" s="132" t="s">
        <v>340</v>
      </c>
      <c r="C44" s="121"/>
      <c r="D44" s="121">
        <f>D$21*shipping_manufacturing!$D$28/100</f>
        <v>0</v>
      </c>
      <c r="E44" s="121">
        <f>E$21*shipping_manufacturing!$D$28/100</f>
        <v>0</v>
      </c>
      <c r="F44" s="121">
        <f>F$21*shipping_manufacturing!$D$28/100</f>
        <v>0</v>
      </c>
      <c r="G44" s="121">
        <f>G$21*shipping_manufacturing!$D$28/100</f>
        <v>0</v>
      </c>
      <c r="H44" s="121">
        <f>H$21*shipping_manufacturing!$D$28/100</f>
        <v>0</v>
      </c>
      <c r="I44" s="121">
        <f>I$21*shipping_manufacturing!$D$28/100</f>
        <v>0</v>
      </c>
      <c r="J44" s="121">
        <f>J$21*shipping_manufacturing!$D$28/100</f>
        <v>0</v>
      </c>
      <c r="K44" s="121">
        <f>K$21*shipping_manufacturing!$D$28/100</f>
        <v>0</v>
      </c>
      <c r="L44" s="121">
        <f>L$21*shipping_manufacturing!$D$28/100</f>
        <v>0</v>
      </c>
      <c r="M44" s="121">
        <f>M$21*shipping_manufacturing!$D$28/100</f>
        <v>0</v>
      </c>
      <c r="N44" s="121">
        <f>N$21*shipping_manufacturing!$D$28/100</f>
        <v>0</v>
      </c>
      <c r="O44" s="121">
        <f>O$21*shipping_manufacturing!$D$28/100</f>
        <v>0</v>
      </c>
      <c r="P44" s="121">
        <f>P$21*shipping_manufacturing!$D$28/100</f>
        <v>0</v>
      </c>
      <c r="Q44" s="121">
        <f>Q$21*shipping_manufacturing!$D$28/100</f>
        <v>0</v>
      </c>
      <c r="R44" s="121">
        <f>R$21*shipping_manufacturing!$D$28/100</f>
        <v>0</v>
      </c>
      <c r="S44" s="121">
        <f>S$21*shipping_manufacturing!$D$28/100</f>
        <v>0</v>
      </c>
      <c r="T44" s="121">
        <f>T$21*shipping_manufacturing!$D$28/100</f>
        <v>0</v>
      </c>
      <c r="U44" s="121">
        <f>U$21*shipping_manufacturing!$D$28/100</f>
        <v>0</v>
      </c>
      <c r="V44" s="121">
        <f>V$21*shipping_manufacturing!$D$28/100</f>
        <v>0</v>
      </c>
      <c r="W44" s="121">
        <f>W$21*shipping_manufacturing!$D$28/100</f>
        <v>0</v>
      </c>
      <c r="X44" s="121">
        <f>X$21*shipping_manufacturing!$D$28/100</f>
        <v>0</v>
      </c>
      <c r="Y44" s="121">
        <f>Y$21*shipping_manufacturing!$D$28/100</f>
        <v>0</v>
      </c>
      <c r="Z44" s="121">
        <f>Z$21*shipping_manufacturing!$D$28/100</f>
        <v>0</v>
      </c>
      <c r="AA44" s="121">
        <f>AA$21*shipping_manufacturing!$D$28/100</f>
        <v>0</v>
      </c>
      <c r="AB44" s="121">
        <f>AB$21*shipping_manufacturing!$D$28/100</f>
        <v>0</v>
      </c>
      <c r="AC44" s="121">
        <f>AC$21*shipping_manufacturing!$D$28/100</f>
        <v>0</v>
      </c>
      <c r="AD44" s="121">
        <f>AD$21*shipping_manufacturing!$D$28/100</f>
        <v>0</v>
      </c>
      <c r="AE44" s="121">
        <f>AE$21*shipping_manufacturing!$D$28/100</f>
        <v>0</v>
      </c>
      <c r="AF44" s="121">
        <f>AF$21*shipping_manufacturing!$D$28/100</f>
        <v>0</v>
      </c>
      <c r="AG44" s="121">
        <f>AG$21*shipping_manufacturing!$D$28/100</f>
        <v>0</v>
      </c>
      <c r="AH44" s="121">
        <f>AH$21*shipping_manufacturing!$D$28/100</f>
        <v>0</v>
      </c>
      <c r="AI44" s="121">
        <f>AI$21*shipping_manufacturing!$D$28/100</f>
        <v>0</v>
      </c>
      <c r="AJ44" s="121">
        <f>AJ$21*shipping_manufacturing!$D$28/100</f>
        <v>0</v>
      </c>
      <c r="AK44" s="121">
        <f>AK$21*shipping_manufacturing!$D$28/100</f>
        <v>0</v>
      </c>
      <c r="AL44" s="121">
        <f>AL$21*shipping_manufacturing!$D$28/100</f>
        <v>0</v>
      </c>
      <c r="AM44" s="121">
        <f>AM$21*shipping_manufacturing!$D$28/100</f>
        <v>0</v>
      </c>
      <c r="AN44" s="121">
        <f>AN$21*shipping_manufacturing!$D$28/100</f>
        <v>0</v>
      </c>
      <c r="AO44" s="121">
        <f>AO$21*shipping_manufacturing!$D$28/100</f>
        <v>0</v>
      </c>
      <c r="AP44" s="121">
        <f>AP$21*shipping_manufacturing!$D$28/100</f>
        <v>0</v>
      </c>
      <c r="AQ44" s="121">
        <f>AQ$21*shipping_manufacturing!$D$28/100</f>
        <v>0</v>
      </c>
      <c r="AR44" s="121">
        <f>AR$21*shipping_manufacturing!$D$28/100</f>
        <v>0</v>
      </c>
      <c r="AS44" s="121">
        <f>AS$21*shipping_manufacturing!$D$28/100</f>
        <v>0</v>
      </c>
      <c r="AT44" s="121">
        <f>AT$21*shipping_manufacturing!$D$28/100</f>
        <v>0</v>
      </c>
      <c r="AU44" s="121">
        <f>AU$21*shipping_manufacturing!$D$28/100</f>
        <v>0</v>
      </c>
      <c r="AV44" s="121">
        <f>AV$21*shipping_manufacturing!$D$28/100</f>
        <v>0</v>
      </c>
      <c r="AW44" s="121">
        <f>AW$21*shipping_manufacturing!$D$28/100</f>
        <v>0</v>
      </c>
      <c r="AX44" s="121">
        <f>AX$21*shipping_manufacturing!$D$28/100</f>
        <v>0</v>
      </c>
      <c r="AY44" s="121">
        <f>AY$21*shipping_manufacturing!$D$28/100</f>
        <v>0</v>
      </c>
    </row>
    <row r="45" spans="1:52" x14ac:dyDescent="0.15">
      <c r="A45" s="110" t="s">
        <v>339</v>
      </c>
      <c r="B45" s="162" t="s">
        <v>341</v>
      </c>
      <c r="C45" s="107"/>
      <c r="D45" s="107">
        <f>D$22*shipping_manufacturing!$E$28/100</f>
        <v>0</v>
      </c>
      <c r="E45" s="107">
        <f>E$22*shipping_manufacturing!$E$28/100</f>
        <v>0</v>
      </c>
      <c r="F45" s="107">
        <f>F$22*shipping_manufacturing!$E$28/100</f>
        <v>0</v>
      </c>
      <c r="G45" s="107">
        <f>G$22*shipping_manufacturing!$E$28/100</f>
        <v>0</v>
      </c>
      <c r="H45" s="107">
        <f>H$22*shipping_manufacturing!$E$28/100</f>
        <v>0</v>
      </c>
      <c r="I45" s="107">
        <f>I$22*shipping_manufacturing!$E$28/100</f>
        <v>0</v>
      </c>
      <c r="J45" s="107">
        <f>J$22*shipping_manufacturing!$E$28/100</f>
        <v>0</v>
      </c>
      <c r="K45" s="107">
        <f>K$22*shipping_manufacturing!$E$28/100</f>
        <v>0</v>
      </c>
      <c r="L45" s="107">
        <f>L$22*shipping_manufacturing!$E$28/100</f>
        <v>0</v>
      </c>
      <c r="M45" s="107">
        <f>M$22*shipping_manufacturing!$E$28/100</f>
        <v>0</v>
      </c>
      <c r="N45" s="107">
        <f>N$22*shipping_manufacturing!$E$28/100</f>
        <v>0</v>
      </c>
      <c r="O45" s="107">
        <f>O$22*shipping_manufacturing!$E$28/100</f>
        <v>0</v>
      </c>
      <c r="P45" s="107">
        <f>P$22*shipping_manufacturing!$E$28/100</f>
        <v>0</v>
      </c>
      <c r="Q45" s="107">
        <f>Q$22*shipping_manufacturing!$E$28/100</f>
        <v>0</v>
      </c>
      <c r="R45" s="107">
        <f>R$22*shipping_manufacturing!$E$28/100</f>
        <v>0</v>
      </c>
      <c r="S45" s="107">
        <f>S$22*shipping_manufacturing!$E$28/100</f>
        <v>0</v>
      </c>
      <c r="T45" s="107">
        <f>T$22*shipping_manufacturing!$E$28/100</f>
        <v>0</v>
      </c>
      <c r="U45" s="107">
        <f>U$22*shipping_manufacturing!$E$28/100</f>
        <v>0</v>
      </c>
      <c r="V45" s="107">
        <f>V$22*shipping_manufacturing!$E$28/100</f>
        <v>0</v>
      </c>
      <c r="W45" s="107">
        <f>W$22*shipping_manufacturing!$E$28/100</f>
        <v>0</v>
      </c>
      <c r="X45" s="107">
        <f>X$22*shipping_manufacturing!$E$28/100</f>
        <v>0</v>
      </c>
      <c r="Y45" s="107">
        <f>Y$22*shipping_manufacturing!$E$28/100</f>
        <v>0</v>
      </c>
      <c r="Z45" s="107">
        <f>Z$22*shipping_manufacturing!$E$28/100</f>
        <v>0</v>
      </c>
      <c r="AA45" s="107">
        <f>AA$22*shipping_manufacturing!$E$28/100</f>
        <v>0</v>
      </c>
      <c r="AB45" s="107">
        <f>AB$22*shipping_manufacturing!$E$28/100</f>
        <v>0</v>
      </c>
      <c r="AC45" s="107">
        <f>AC$22*shipping_manufacturing!$E$28/100</f>
        <v>0</v>
      </c>
      <c r="AD45" s="107">
        <f>AD$22*shipping_manufacturing!$E$28/100</f>
        <v>0</v>
      </c>
      <c r="AE45" s="107">
        <f>AE$22*shipping_manufacturing!$E$28/100</f>
        <v>0</v>
      </c>
      <c r="AF45" s="107">
        <f>AF$22*shipping_manufacturing!$E$28/100</f>
        <v>0</v>
      </c>
      <c r="AG45" s="107">
        <f>AG$22*shipping_manufacturing!$E$28/100</f>
        <v>0</v>
      </c>
      <c r="AH45" s="107">
        <f>AH$22*shipping_manufacturing!$E$28/100</f>
        <v>0</v>
      </c>
      <c r="AI45" s="107">
        <f>AI$22*shipping_manufacturing!$E$28/100</f>
        <v>0</v>
      </c>
      <c r="AJ45" s="107">
        <f>AJ$22*shipping_manufacturing!$E$28/100</f>
        <v>0</v>
      </c>
      <c r="AK45" s="107">
        <f>AK$22*shipping_manufacturing!$E$28/100</f>
        <v>0</v>
      </c>
      <c r="AL45" s="107">
        <f>AL$22*shipping_manufacturing!$E$28/100</f>
        <v>0</v>
      </c>
      <c r="AM45" s="107">
        <f>AM$22*shipping_manufacturing!$E$28/100</f>
        <v>0</v>
      </c>
      <c r="AN45" s="107">
        <f>AN$22*shipping_manufacturing!$E$28/100</f>
        <v>0</v>
      </c>
      <c r="AO45" s="107">
        <f>AO$22*shipping_manufacturing!$E$28/100</f>
        <v>0</v>
      </c>
      <c r="AP45" s="107">
        <f>AP$22*shipping_manufacturing!$E$28/100</f>
        <v>0</v>
      </c>
      <c r="AQ45" s="107">
        <f>AQ$22*shipping_manufacturing!$E$28/100</f>
        <v>0</v>
      </c>
      <c r="AR45" s="107">
        <f>AR$22*shipping_manufacturing!$E$28/100</f>
        <v>0</v>
      </c>
      <c r="AS45" s="107">
        <f>AS$22*shipping_manufacturing!$E$28/100</f>
        <v>0</v>
      </c>
      <c r="AT45" s="107">
        <f>AT$22*shipping_manufacturing!$E$28/100</f>
        <v>0</v>
      </c>
      <c r="AU45" s="107">
        <f>AU$22*shipping_manufacturing!$E$28/100</f>
        <v>0</v>
      </c>
      <c r="AV45" s="107">
        <f>AV$22*shipping_manufacturing!$E$28/100</f>
        <v>0</v>
      </c>
      <c r="AW45" s="107">
        <f>AW$22*shipping_manufacturing!$E$28/100</f>
        <v>0</v>
      </c>
      <c r="AX45" s="107">
        <f>AX$22*shipping_manufacturing!$E$28/100</f>
        <v>0</v>
      </c>
      <c r="AY45" s="107">
        <f>AY$22*shipping_manufacturing!$E$28/100</f>
        <v>0</v>
      </c>
    </row>
    <row r="46" spans="1:52" x14ac:dyDescent="0.15">
      <c r="A46" s="107">
        <v>718</v>
      </c>
      <c r="B46" s="162" t="s">
        <v>342</v>
      </c>
      <c r="C46" s="107"/>
      <c r="D46" s="107">
        <f>SUM(D44:D45)</f>
        <v>0</v>
      </c>
      <c r="E46" s="107">
        <f t="shared" ref="E46:AY46" si="14">SUM(E44:E45)</f>
        <v>0</v>
      </c>
      <c r="F46" s="107">
        <f t="shared" si="14"/>
        <v>0</v>
      </c>
      <c r="G46" s="107">
        <f t="shared" si="14"/>
        <v>0</v>
      </c>
      <c r="H46" s="107">
        <f t="shared" si="14"/>
        <v>0</v>
      </c>
      <c r="I46" s="107">
        <f t="shared" si="14"/>
        <v>0</v>
      </c>
      <c r="J46" s="107">
        <f t="shared" si="14"/>
        <v>0</v>
      </c>
      <c r="K46" s="107">
        <f t="shared" si="14"/>
        <v>0</v>
      </c>
      <c r="L46" s="107">
        <f t="shared" si="14"/>
        <v>0</v>
      </c>
      <c r="M46" s="107">
        <f t="shared" si="14"/>
        <v>0</v>
      </c>
      <c r="N46" s="107">
        <f t="shared" si="14"/>
        <v>0</v>
      </c>
      <c r="O46" s="107">
        <f t="shared" si="14"/>
        <v>0</v>
      </c>
      <c r="P46" s="107">
        <f t="shared" si="14"/>
        <v>0</v>
      </c>
      <c r="Q46" s="107">
        <f t="shared" si="14"/>
        <v>0</v>
      </c>
      <c r="R46" s="107">
        <f t="shared" si="14"/>
        <v>0</v>
      </c>
      <c r="S46" s="107">
        <f t="shared" si="14"/>
        <v>0</v>
      </c>
      <c r="T46" s="107">
        <f t="shared" si="14"/>
        <v>0</v>
      </c>
      <c r="U46" s="107">
        <f t="shared" si="14"/>
        <v>0</v>
      </c>
      <c r="V46" s="107">
        <f t="shared" si="14"/>
        <v>0</v>
      </c>
      <c r="W46" s="107">
        <f t="shared" si="14"/>
        <v>0</v>
      </c>
      <c r="X46" s="107">
        <f t="shared" si="14"/>
        <v>0</v>
      </c>
      <c r="Y46" s="107">
        <f t="shared" si="14"/>
        <v>0</v>
      </c>
      <c r="Z46" s="107">
        <f t="shared" si="14"/>
        <v>0</v>
      </c>
      <c r="AA46" s="107">
        <f t="shared" si="14"/>
        <v>0</v>
      </c>
      <c r="AB46" s="107">
        <f t="shared" si="14"/>
        <v>0</v>
      </c>
      <c r="AC46" s="107">
        <f t="shared" si="14"/>
        <v>0</v>
      </c>
      <c r="AD46" s="107">
        <f t="shared" si="14"/>
        <v>0</v>
      </c>
      <c r="AE46" s="107">
        <f t="shared" si="14"/>
        <v>0</v>
      </c>
      <c r="AF46" s="107">
        <f t="shared" si="14"/>
        <v>0</v>
      </c>
      <c r="AG46" s="107">
        <f t="shared" si="14"/>
        <v>0</v>
      </c>
      <c r="AH46" s="107">
        <f t="shared" si="14"/>
        <v>0</v>
      </c>
      <c r="AI46" s="107">
        <f t="shared" si="14"/>
        <v>0</v>
      </c>
      <c r="AJ46" s="107">
        <f t="shared" si="14"/>
        <v>0</v>
      </c>
      <c r="AK46" s="107">
        <f t="shared" si="14"/>
        <v>0</v>
      </c>
      <c r="AL46" s="107">
        <f t="shared" si="14"/>
        <v>0</v>
      </c>
      <c r="AM46" s="107">
        <f t="shared" si="14"/>
        <v>0</v>
      </c>
      <c r="AN46" s="107">
        <f t="shared" si="14"/>
        <v>0</v>
      </c>
      <c r="AO46" s="107">
        <f t="shared" si="14"/>
        <v>0</v>
      </c>
      <c r="AP46" s="107">
        <f t="shared" si="14"/>
        <v>0</v>
      </c>
      <c r="AQ46" s="107">
        <f t="shared" si="14"/>
        <v>0</v>
      </c>
      <c r="AR46" s="107">
        <f t="shared" si="14"/>
        <v>0</v>
      </c>
      <c r="AS46" s="107">
        <f t="shared" si="14"/>
        <v>0</v>
      </c>
      <c r="AT46" s="107">
        <f t="shared" si="14"/>
        <v>0</v>
      </c>
      <c r="AU46" s="107">
        <f t="shared" si="14"/>
        <v>0</v>
      </c>
      <c r="AV46" s="107">
        <f t="shared" si="14"/>
        <v>0</v>
      </c>
      <c r="AW46" s="107">
        <f t="shared" si="14"/>
        <v>0</v>
      </c>
      <c r="AX46" s="107">
        <f t="shared" si="14"/>
        <v>0</v>
      </c>
      <c r="AY46" s="107">
        <f t="shared" si="14"/>
        <v>0</v>
      </c>
    </row>
    <row r="47" spans="1:52" x14ac:dyDescent="0.15">
      <c r="A47" s="107"/>
      <c r="B47" s="162" t="s">
        <v>343</v>
      </c>
      <c r="C47" s="107"/>
      <c r="D47" s="107"/>
      <c r="E47" s="107"/>
      <c r="F47" s="107"/>
      <c r="G47" s="107"/>
      <c r="H47" s="107"/>
      <c r="I47" s="107"/>
      <c r="J47" s="107"/>
      <c r="K47" s="107"/>
      <c r="L47" s="107"/>
      <c r="M47" s="107"/>
      <c r="N47" s="107"/>
      <c r="O47" s="107"/>
      <c r="P47" s="107"/>
      <c r="Q47" s="107"/>
      <c r="R47" s="107"/>
      <c r="S47" s="107"/>
      <c r="T47" s="107"/>
      <c r="U47" s="107"/>
      <c r="V47" s="107"/>
      <c r="W47" s="107"/>
      <c r="X47" s="107"/>
      <c r="Y47" s="107"/>
      <c r="Z47" s="107"/>
      <c r="AA47" s="107"/>
      <c r="AB47" s="107"/>
      <c r="AC47" s="107"/>
      <c r="AD47" s="107"/>
      <c r="AE47" s="107"/>
      <c r="AF47" s="107"/>
      <c r="AG47" s="107"/>
      <c r="AH47" s="107"/>
      <c r="AI47" s="107"/>
      <c r="AJ47" s="107"/>
      <c r="AK47" s="107"/>
      <c r="AL47" s="107"/>
      <c r="AM47" s="107"/>
      <c r="AN47" s="107"/>
      <c r="AO47" s="107"/>
      <c r="AP47" s="107"/>
      <c r="AQ47" s="107"/>
      <c r="AR47" s="107"/>
      <c r="AS47" s="107"/>
      <c r="AT47" s="107"/>
      <c r="AU47" s="107"/>
      <c r="AV47" s="107"/>
      <c r="AW47" s="107"/>
      <c r="AX47" s="107"/>
      <c r="AY47" s="107"/>
    </row>
    <row r="48" spans="1:52" x14ac:dyDescent="0.15">
      <c r="A48" s="107"/>
      <c r="B48" s="162" t="s">
        <v>344</v>
      </c>
      <c r="C48" s="107"/>
      <c r="D48" s="107"/>
      <c r="E48" s="107"/>
      <c r="F48" s="107"/>
      <c r="G48" s="107"/>
      <c r="H48" s="107"/>
      <c r="I48" s="107"/>
      <c r="J48" s="107"/>
      <c r="K48" s="107"/>
      <c r="L48" s="107"/>
      <c r="M48" s="107"/>
      <c r="N48" s="107"/>
      <c r="O48" s="107"/>
      <c r="P48" s="107"/>
      <c r="Q48" s="107"/>
      <c r="R48" s="107"/>
      <c r="S48" s="107"/>
      <c r="T48" s="107"/>
      <c r="U48" s="107"/>
      <c r="V48" s="107"/>
      <c r="W48" s="107"/>
      <c r="X48" s="107"/>
      <c r="Y48" s="107"/>
      <c r="Z48" s="107"/>
      <c r="AA48" s="107"/>
      <c r="AB48" s="107"/>
      <c r="AC48" s="107"/>
      <c r="AD48" s="107"/>
      <c r="AE48" s="107"/>
      <c r="AF48" s="107"/>
      <c r="AG48" s="107"/>
      <c r="AH48" s="107"/>
      <c r="AI48" s="107"/>
      <c r="AJ48" s="107"/>
      <c r="AK48" s="107"/>
      <c r="AL48" s="107"/>
      <c r="AM48" s="107"/>
      <c r="AN48" s="107"/>
      <c r="AO48" s="107"/>
      <c r="AP48" s="107"/>
      <c r="AQ48" s="107"/>
      <c r="AR48" s="107"/>
      <c r="AS48" s="107"/>
      <c r="AT48" s="107"/>
      <c r="AU48" s="107"/>
      <c r="AV48" s="107"/>
      <c r="AW48" s="107"/>
      <c r="AX48" s="107"/>
      <c r="AY48" s="107"/>
    </row>
    <row r="49" spans="1:52" x14ac:dyDescent="0.15">
      <c r="A49" s="107"/>
      <c r="B49" s="162" t="s">
        <v>345</v>
      </c>
      <c r="C49" s="107"/>
      <c r="D49" s="107"/>
      <c r="E49" s="107"/>
      <c r="F49" s="107"/>
      <c r="G49" s="107"/>
      <c r="H49" s="107"/>
      <c r="I49" s="107"/>
      <c r="J49" s="107"/>
      <c r="K49" s="107"/>
      <c r="L49" s="107"/>
      <c r="M49" s="107"/>
      <c r="N49" s="107"/>
      <c r="O49" s="107"/>
      <c r="P49" s="107"/>
      <c r="Q49" s="107"/>
      <c r="R49" s="107"/>
      <c r="S49" s="107"/>
      <c r="T49" s="107"/>
      <c r="U49" s="107"/>
      <c r="V49" s="107"/>
      <c r="W49" s="107"/>
      <c r="X49" s="107"/>
      <c r="Y49" s="107"/>
      <c r="Z49" s="107"/>
      <c r="AA49" s="107"/>
      <c r="AB49" s="107"/>
      <c r="AC49" s="107"/>
      <c r="AD49" s="107"/>
      <c r="AE49" s="107"/>
      <c r="AF49" s="107"/>
      <c r="AG49" s="107"/>
      <c r="AH49" s="107"/>
      <c r="AI49" s="107"/>
      <c r="AJ49" s="107"/>
      <c r="AK49" s="107"/>
      <c r="AL49" s="107"/>
      <c r="AM49" s="107"/>
      <c r="AN49" s="107"/>
      <c r="AO49" s="107"/>
      <c r="AP49" s="107"/>
      <c r="AQ49" s="107"/>
      <c r="AR49" s="107"/>
      <c r="AS49" s="107"/>
      <c r="AT49" s="107"/>
      <c r="AU49" s="107"/>
      <c r="AV49" s="107"/>
      <c r="AW49" s="107"/>
      <c r="AX49" s="107"/>
      <c r="AY49" s="107"/>
    </row>
    <row r="50" spans="1:52" x14ac:dyDescent="0.15">
      <c r="A50" s="107"/>
      <c r="B50" s="162" t="s">
        <v>346</v>
      </c>
      <c r="C50" s="107"/>
      <c r="D50" s="107">
        <f>D44-D47</f>
        <v>0</v>
      </c>
      <c r="E50" s="107">
        <f t="shared" ref="E50:AY50" si="15">E44-E47</f>
        <v>0</v>
      </c>
      <c r="F50" s="107">
        <f t="shared" si="15"/>
        <v>0</v>
      </c>
      <c r="G50" s="107">
        <f t="shared" si="15"/>
        <v>0</v>
      </c>
      <c r="H50" s="107">
        <f t="shared" si="15"/>
        <v>0</v>
      </c>
      <c r="I50" s="107">
        <f t="shared" si="15"/>
        <v>0</v>
      </c>
      <c r="J50" s="107">
        <f t="shared" si="15"/>
        <v>0</v>
      </c>
      <c r="K50" s="107">
        <f t="shared" si="15"/>
        <v>0</v>
      </c>
      <c r="L50" s="107">
        <f t="shared" si="15"/>
        <v>0</v>
      </c>
      <c r="M50" s="107">
        <f t="shared" si="15"/>
        <v>0</v>
      </c>
      <c r="N50" s="107">
        <f t="shared" si="15"/>
        <v>0</v>
      </c>
      <c r="O50" s="107">
        <f t="shared" si="15"/>
        <v>0</v>
      </c>
      <c r="P50" s="107">
        <f t="shared" si="15"/>
        <v>0</v>
      </c>
      <c r="Q50" s="107">
        <f t="shared" si="15"/>
        <v>0</v>
      </c>
      <c r="R50" s="107">
        <f t="shared" si="15"/>
        <v>0</v>
      </c>
      <c r="S50" s="107">
        <f t="shared" si="15"/>
        <v>0</v>
      </c>
      <c r="T50" s="107">
        <f t="shared" si="15"/>
        <v>0</v>
      </c>
      <c r="U50" s="107">
        <f t="shared" si="15"/>
        <v>0</v>
      </c>
      <c r="V50" s="107">
        <f t="shared" si="15"/>
        <v>0</v>
      </c>
      <c r="W50" s="107">
        <f t="shared" si="15"/>
        <v>0</v>
      </c>
      <c r="X50" s="107">
        <f t="shared" si="15"/>
        <v>0</v>
      </c>
      <c r="Y50" s="107">
        <f t="shared" si="15"/>
        <v>0</v>
      </c>
      <c r="Z50" s="107">
        <f t="shared" si="15"/>
        <v>0</v>
      </c>
      <c r="AA50" s="107">
        <f t="shared" si="15"/>
        <v>0</v>
      </c>
      <c r="AB50" s="107">
        <f t="shared" si="15"/>
        <v>0</v>
      </c>
      <c r="AC50" s="107">
        <f t="shared" si="15"/>
        <v>0</v>
      </c>
      <c r="AD50" s="107">
        <f t="shared" si="15"/>
        <v>0</v>
      </c>
      <c r="AE50" s="107">
        <f t="shared" si="15"/>
        <v>0</v>
      </c>
      <c r="AF50" s="107">
        <f t="shared" si="15"/>
        <v>0</v>
      </c>
      <c r="AG50" s="107">
        <f t="shared" si="15"/>
        <v>0</v>
      </c>
      <c r="AH50" s="107">
        <f t="shared" si="15"/>
        <v>0</v>
      </c>
      <c r="AI50" s="107">
        <f t="shared" si="15"/>
        <v>0</v>
      </c>
      <c r="AJ50" s="107">
        <f t="shared" si="15"/>
        <v>0</v>
      </c>
      <c r="AK50" s="107">
        <f t="shared" si="15"/>
        <v>0</v>
      </c>
      <c r="AL50" s="107">
        <f t="shared" si="15"/>
        <v>0</v>
      </c>
      <c r="AM50" s="107">
        <f t="shared" si="15"/>
        <v>0</v>
      </c>
      <c r="AN50" s="107">
        <f t="shared" si="15"/>
        <v>0</v>
      </c>
      <c r="AO50" s="107">
        <f t="shared" si="15"/>
        <v>0</v>
      </c>
      <c r="AP50" s="107">
        <f t="shared" si="15"/>
        <v>0</v>
      </c>
      <c r="AQ50" s="107">
        <f t="shared" si="15"/>
        <v>0</v>
      </c>
      <c r="AR50" s="107">
        <f t="shared" si="15"/>
        <v>0</v>
      </c>
      <c r="AS50" s="107">
        <f t="shared" si="15"/>
        <v>0</v>
      </c>
      <c r="AT50" s="107">
        <f t="shared" si="15"/>
        <v>0</v>
      </c>
      <c r="AU50" s="107">
        <f t="shared" si="15"/>
        <v>0</v>
      </c>
      <c r="AV50" s="107">
        <f t="shared" si="15"/>
        <v>0</v>
      </c>
      <c r="AW50" s="107">
        <f t="shared" si="15"/>
        <v>0</v>
      </c>
      <c r="AX50" s="107">
        <f t="shared" si="15"/>
        <v>0</v>
      </c>
      <c r="AY50" s="107">
        <f t="shared" si="15"/>
        <v>0</v>
      </c>
    </row>
    <row r="51" spans="1:52" x14ac:dyDescent="0.15">
      <c r="A51" s="107"/>
      <c r="B51" s="162" t="s">
        <v>347</v>
      </c>
      <c r="C51" s="107"/>
      <c r="D51" s="107">
        <f>D45-D48</f>
        <v>0</v>
      </c>
      <c r="E51" s="107">
        <f t="shared" ref="E51:AY51" si="16">E45-E48</f>
        <v>0</v>
      </c>
      <c r="F51" s="107">
        <f t="shared" si="16"/>
        <v>0</v>
      </c>
      <c r="G51" s="107">
        <f t="shared" si="16"/>
        <v>0</v>
      </c>
      <c r="H51" s="107">
        <f t="shared" si="16"/>
        <v>0</v>
      </c>
      <c r="I51" s="107">
        <f t="shared" si="16"/>
        <v>0</v>
      </c>
      <c r="J51" s="107">
        <f t="shared" si="16"/>
        <v>0</v>
      </c>
      <c r="K51" s="107">
        <f t="shared" si="16"/>
        <v>0</v>
      </c>
      <c r="L51" s="107">
        <f t="shared" si="16"/>
        <v>0</v>
      </c>
      <c r="M51" s="107">
        <f t="shared" si="16"/>
        <v>0</v>
      </c>
      <c r="N51" s="107">
        <f t="shared" si="16"/>
        <v>0</v>
      </c>
      <c r="O51" s="107">
        <f t="shared" si="16"/>
        <v>0</v>
      </c>
      <c r="P51" s="107">
        <f t="shared" si="16"/>
        <v>0</v>
      </c>
      <c r="Q51" s="107">
        <f t="shared" si="16"/>
        <v>0</v>
      </c>
      <c r="R51" s="107">
        <f t="shared" si="16"/>
        <v>0</v>
      </c>
      <c r="S51" s="107">
        <f t="shared" si="16"/>
        <v>0</v>
      </c>
      <c r="T51" s="107">
        <f t="shared" si="16"/>
        <v>0</v>
      </c>
      <c r="U51" s="107">
        <f t="shared" si="16"/>
        <v>0</v>
      </c>
      <c r="V51" s="107">
        <f t="shared" si="16"/>
        <v>0</v>
      </c>
      <c r="W51" s="107">
        <f t="shared" si="16"/>
        <v>0</v>
      </c>
      <c r="X51" s="107">
        <f t="shared" si="16"/>
        <v>0</v>
      </c>
      <c r="Y51" s="107">
        <f t="shared" si="16"/>
        <v>0</v>
      </c>
      <c r="Z51" s="107">
        <f t="shared" si="16"/>
        <v>0</v>
      </c>
      <c r="AA51" s="107">
        <f t="shared" si="16"/>
        <v>0</v>
      </c>
      <c r="AB51" s="107">
        <f t="shared" si="16"/>
        <v>0</v>
      </c>
      <c r="AC51" s="107">
        <f t="shared" si="16"/>
        <v>0</v>
      </c>
      <c r="AD51" s="107">
        <f t="shared" si="16"/>
        <v>0</v>
      </c>
      <c r="AE51" s="107">
        <f t="shared" si="16"/>
        <v>0</v>
      </c>
      <c r="AF51" s="107">
        <f t="shared" si="16"/>
        <v>0</v>
      </c>
      <c r="AG51" s="107">
        <f t="shared" si="16"/>
        <v>0</v>
      </c>
      <c r="AH51" s="107">
        <f t="shared" si="16"/>
        <v>0</v>
      </c>
      <c r="AI51" s="107">
        <f t="shared" si="16"/>
        <v>0</v>
      </c>
      <c r="AJ51" s="107">
        <f t="shared" si="16"/>
        <v>0</v>
      </c>
      <c r="AK51" s="107">
        <f t="shared" si="16"/>
        <v>0</v>
      </c>
      <c r="AL51" s="107">
        <f t="shared" si="16"/>
        <v>0</v>
      </c>
      <c r="AM51" s="107">
        <f t="shared" si="16"/>
        <v>0</v>
      </c>
      <c r="AN51" s="107">
        <f t="shared" si="16"/>
        <v>0</v>
      </c>
      <c r="AO51" s="107">
        <f t="shared" si="16"/>
        <v>0</v>
      </c>
      <c r="AP51" s="107">
        <f t="shared" si="16"/>
        <v>0</v>
      </c>
      <c r="AQ51" s="107">
        <f t="shared" si="16"/>
        <v>0</v>
      </c>
      <c r="AR51" s="107">
        <f t="shared" si="16"/>
        <v>0</v>
      </c>
      <c r="AS51" s="107">
        <f t="shared" si="16"/>
        <v>0</v>
      </c>
      <c r="AT51" s="107">
        <f t="shared" si="16"/>
        <v>0</v>
      </c>
      <c r="AU51" s="107">
        <f t="shared" si="16"/>
        <v>0</v>
      </c>
      <c r="AV51" s="107">
        <f t="shared" si="16"/>
        <v>0</v>
      </c>
      <c r="AW51" s="107">
        <f t="shared" si="16"/>
        <v>0</v>
      </c>
      <c r="AX51" s="107">
        <f t="shared" si="16"/>
        <v>0</v>
      </c>
      <c r="AY51" s="107">
        <f t="shared" si="16"/>
        <v>0</v>
      </c>
    </row>
    <row r="52" spans="1:52" x14ac:dyDescent="0.15">
      <c r="A52" s="107"/>
      <c r="B52" s="162" t="s">
        <v>348</v>
      </c>
      <c r="C52" s="107"/>
      <c r="D52" s="107">
        <v>1</v>
      </c>
      <c r="E52" s="107">
        <v>1</v>
      </c>
      <c r="F52" s="107">
        <v>1</v>
      </c>
      <c r="G52" s="107">
        <v>1</v>
      </c>
      <c r="H52" s="107">
        <v>1</v>
      </c>
      <c r="I52" s="107">
        <v>1</v>
      </c>
      <c r="J52" s="107">
        <v>1</v>
      </c>
      <c r="K52" s="107">
        <v>2</v>
      </c>
      <c r="L52" s="107">
        <v>2</v>
      </c>
      <c r="M52" s="107">
        <v>2</v>
      </c>
      <c r="N52" s="107">
        <v>2</v>
      </c>
      <c r="O52" s="107">
        <v>1</v>
      </c>
      <c r="P52" s="107">
        <v>2</v>
      </c>
      <c r="Q52" s="107">
        <v>2</v>
      </c>
      <c r="R52" s="107">
        <v>1</v>
      </c>
      <c r="S52" s="107">
        <v>3</v>
      </c>
      <c r="T52" s="107">
        <v>1</v>
      </c>
      <c r="U52" s="107">
        <v>3</v>
      </c>
      <c r="V52" s="107">
        <v>1</v>
      </c>
      <c r="W52" s="107">
        <v>3</v>
      </c>
      <c r="X52" s="107">
        <v>1</v>
      </c>
      <c r="Y52" s="107">
        <v>1</v>
      </c>
      <c r="Z52" s="107">
        <v>2</v>
      </c>
      <c r="AA52" s="107">
        <v>2</v>
      </c>
      <c r="AB52" s="107">
        <v>1</v>
      </c>
      <c r="AC52" s="107">
        <v>1</v>
      </c>
      <c r="AD52" s="107">
        <v>2</v>
      </c>
      <c r="AE52" s="107">
        <v>1</v>
      </c>
      <c r="AF52" s="107">
        <v>1</v>
      </c>
      <c r="AG52" s="107">
        <v>1</v>
      </c>
      <c r="AH52" s="107">
        <v>2</v>
      </c>
      <c r="AI52" s="107">
        <v>2</v>
      </c>
      <c r="AJ52" s="107">
        <v>1</v>
      </c>
      <c r="AK52" s="107">
        <v>2</v>
      </c>
      <c r="AL52" s="107">
        <v>1</v>
      </c>
      <c r="AM52" s="107">
        <v>2</v>
      </c>
      <c r="AN52" s="107">
        <v>1</v>
      </c>
      <c r="AO52" s="107">
        <v>1</v>
      </c>
      <c r="AP52" s="107">
        <v>1</v>
      </c>
      <c r="AQ52" s="107">
        <v>1</v>
      </c>
      <c r="AR52" s="107">
        <v>1</v>
      </c>
      <c r="AS52" s="107">
        <v>1</v>
      </c>
      <c r="AT52" s="107">
        <v>2</v>
      </c>
      <c r="AU52" s="107">
        <v>1</v>
      </c>
      <c r="AV52" s="107">
        <v>1</v>
      </c>
      <c r="AW52" s="107">
        <v>1</v>
      </c>
      <c r="AX52" s="107">
        <v>2</v>
      </c>
      <c r="AY52" s="107">
        <v>2</v>
      </c>
    </row>
    <row r="53" spans="1:52" x14ac:dyDescent="0.15">
      <c r="A53" s="107"/>
      <c r="B53" s="175" t="s">
        <v>349</v>
      </c>
      <c r="C53" s="107"/>
      <c r="D53" s="107">
        <v>0</v>
      </c>
      <c r="E53" s="107">
        <v>0</v>
      </c>
      <c r="F53" s="107">
        <v>0</v>
      </c>
      <c r="G53" s="107">
        <v>0</v>
      </c>
      <c r="H53" s="107">
        <v>0</v>
      </c>
      <c r="I53" s="107">
        <v>0</v>
      </c>
      <c r="J53" s="107">
        <v>0</v>
      </c>
      <c r="K53" s="107">
        <v>0</v>
      </c>
      <c r="L53" s="107">
        <v>0</v>
      </c>
      <c r="M53" s="107">
        <v>0</v>
      </c>
      <c r="N53" s="107">
        <v>0</v>
      </c>
      <c r="O53" s="107">
        <v>0</v>
      </c>
      <c r="P53" s="107">
        <v>0</v>
      </c>
      <c r="Q53" s="107">
        <v>0</v>
      </c>
      <c r="R53" s="107">
        <v>0</v>
      </c>
      <c r="S53" s="107">
        <v>0</v>
      </c>
      <c r="T53" s="107">
        <v>0</v>
      </c>
      <c r="U53" s="107">
        <v>0</v>
      </c>
      <c r="V53" s="107">
        <v>0</v>
      </c>
      <c r="W53" s="107">
        <v>0</v>
      </c>
      <c r="X53" s="107">
        <v>0</v>
      </c>
      <c r="Y53" s="107">
        <v>0</v>
      </c>
      <c r="Z53" s="107">
        <v>0</v>
      </c>
      <c r="AA53" s="107">
        <v>0</v>
      </c>
      <c r="AB53" s="107">
        <v>0</v>
      </c>
      <c r="AC53" s="107">
        <v>0</v>
      </c>
      <c r="AD53" s="107">
        <v>0</v>
      </c>
      <c r="AE53" s="107">
        <v>0</v>
      </c>
      <c r="AF53" s="107">
        <v>0</v>
      </c>
      <c r="AG53" s="107">
        <v>0</v>
      </c>
      <c r="AH53" s="107">
        <v>0</v>
      </c>
      <c r="AI53" s="107">
        <v>0</v>
      </c>
      <c r="AJ53" s="107">
        <v>0</v>
      </c>
      <c r="AK53" s="107">
        <v>0</v>
      </c>
      <c r="AL53" s="107">
        <v>0</v>
      </c>
      <c r="AM53" s="107">
        <v>0</v>
      </c>
      <c r="AN53" s="107">
        <v>0</v>
      </c>
      <c r="AO53" s="107">
        <v>0</v>
      </c>
      <c r="AP53" s="107">
        <v>0</v>
      </c>
      <c r="AQ53" s="107">
        <v>0</v>
      </c>
      <c r="AR53" s="107">
        <v>0</v>
      </c>
      <c r="AS53" s="107">
        <v>0</v>
      </c>
      <c r="AT53" s="107">
        <v>0</v>
      </c>
      <c r="AU53" s="107">
        <v>0</v>
      </c>
      <c r="AV53" s="107">
        <v>0</v>
      </c>
      <c r="AW53" s="107">
        <v>0</v>
      </c>
      <c r="AX53" s="107">
        <v>0</v>
      </c>
      <c r="AY53" s="107">
        <v>0</v>
      </c>
      <c r="AZ53" s="97">
        <f>SUM($D$53:$AY$53)</f>
        <v>0</v>
      </c>
    </row>
    <row r="54" spans="1:52" x14ac:dyDescent="0.15">
      <c r="A54" s="122"/>
      <c r="B54" s="137" t="s">
        <v>350</v>
      </c>
      <c r="C54" s="122"/>
      <c r="D54" s="122">
        <v>0</v>
      </c>
      <c r="E54" s="122">
        <v>0</v>
      </c>
      <c r="F54" s="122">
        <v>0</v>
      </c>
      <c r="G54" s="122">
        <v>0</v>
      </c>
      <c r="H54" s="122">
        <v>0</v>
      </c>
      <c r="I54" s="122">
        <v>0</v>
      </c>
      <c r="J54" s="122">
        <v>0</v>
      </c>
      <c r="K54" s="122">
        <v>0</v>
      </c>
      <c r="L54" s="122">
        <v>0</v>
      </c>
      <c r="M54" s="122">
        <v>0</v>
      </c>
      <c r="N54" s="122">
        <v>0</v>
      </c>
      <c r="O54" s="122">
        <v>0</v>
      </c>
      <c r="P54" s="122">
        <v>0</v>
      </c>
      <c r="Q54" s="122">
        <v>0</v>
      </c>
      <c r="R54" s="122">
        <v>0</v>
      </c>
      <c r="S54" s="122">
        <v>0</v>
      </c>
      <c r="T54" s="122">
        <v>0</v>
      </c>
      <c r="U54" s="122">
        <v>0</v>
      </c>
      <c r="V54" s="122">
        <v>0</v>
      </c>
      <c r="W54" s="122">
        <v>0</v>
      </c>
      <c r="X54" s="122">
        <v>0</v>
      </c>
      <c r="Y54" s="122">
        <v>0</v>
      </c>
      <c r="Z54" s="122">
        <v>0</v>
      </c>
      <c r="AA54" s="122">
        <v>0</v>
      </c>
      <c r="AB54" s="122">
        <v>0</v>
      </c>
      <c r="AC54" s="122">
        <v>0</v>
      </c>
      <c r="AD54" s="122">
        <v>0</v>
      </c>
      <c r="AE54" s="122">
        <v>0</v>
      </c>
      <c r="AF54" s="122">
        <v>0</v>
      </c>
      <c r="AG54" s="122">
        <v>0</v>
      </c>
      <c r="AH54" s="122">
        <v>0</v>
      </c>
      <c r="AI54" s="122">
        <v>0</v>
      </c>
      <c r="AJ54" s="122">
        <v>0</v>
      </c>
      <c r="AK54" s="122">
        <v>0</v>
      </c>
      <c r="AL54" s="122">
        <v>0</v>
      </c>
      <c r="AM54" s="122">
        <v>0</v>
      </c>
      <c r="AN54" s="122">
        <v>0</v>
      </c>
      <c r="AO54" s="122">
        <v>0</v>
      </c>
      <c r="AP54" s="122">
        <v>0</v>
      </c>
      <c r="AQ54" s="122">
        <v>0</v>
      </c>
      <c r="AR54" s="122">
        <v>0</v>
      </c>
      <c r="AS54" s="122">
        <v>0</v>
      </c>
      <c r="AT54" s="122">
        <v>0</v>
      </c>
      <c r="AU54" s="122">
        <v>0</v>
      </c>
      <c r="AV54" s="122">
        <v>0</v>
      </c>
      <c r="AW54" s="122">
        <v>0</v>
      </c>
      <c r="AX54" s="122">
        <v>0</v>
      </c>
      <c r="AY54" s="122">
        <v>0</v>
      </c>
      <c r="AZ54" s="97">
        <f>SUM($D$54:$AY$54)</f>
        <v>0</v>
      </c>
    </row>
  </sheetData>
  <pageMargins left="0.75" right="0.75" top="1" bottom="1" header="0.5" footer="0.5"/>
  <pageSetup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54"/>
  <sheetViews>
    <sheetView workbookViewId="0">
      <pane xSplit="2" ySplit="6" topLeftCell="C7" activePane="bottomRight" state="frozen"/>
      <selection pane="topRight"/>
      <selection pane="bottomLeft"/>
      <selection pane="bottomRight" activeCell="D14" sqref="D14"/>
    </sheetView>
  </sheetViews>
  <sheetFormatPr baseColWidth="10" defaultColWidth="8.83203125" defaultRowHeight="13" x14ac:dyDescent="0.15"/>
  <cols>
    <col min="1" max="1" width="14.6640625" style="97" customWidth="1"/>
    <col min="2" max="2" width="17.6640625" style="97" customWidth="1"/>
    <col min="3" max="51" width="8.83203125" style="97"/>
    <col min="52" max="52" width="10.6640625" style="97" customWidth="1"/>
    <col min="53" max="16384" width="8.83203125" style="97"/>
  </cols>
  <sheetData>
    <row r="1" spans="1:52" x14ac:dyDescent="0.15">
      <c r="A1" s="99" t="s">
        <v>118</v>
      </c>
    </row>
    <row r="2" spans="1:52" x14ac:dyDescent="0.15">
      <c r="A2" s="97" t="s">
        <v>302</v>
      </c>
      <c r="B2" s="104" t="s">
        <v>10</v>
      </c>
      <c r="E2" s="107"/>
    </row>
    <row r="3" spans="1:52" x14ac:dyDescent="0.15">
      <c r="A3" s="97" t="s">
        <v>285</v>
      </c>
      <c r="B3" s="104">
        <v>500</v>
      </c>
      <c r="E3" s="107"/>
    </row>
    <row r="4" spans="1:52" x14ac:dyDescent="0.15">
      <c r="A4" s="99"/>
      <c r="C4" s="108" t="s">
        <v>286</v>
      </c>
    </row>
    <row r="5" spans="1:52" x14ac:dyDescent="0.15">
      <c r="B5" s="103"/>
      <c r="C5" s="109">
        <v>0</v>
      </c>
      <c r="D5" s="109">
        <v>1</v>
      </c>
      <c r="E5" s="109">
        <v>2</v>
      </c>
      <c r="F5" s="109">
        <v>3</v>
      </c>
      <c r="G5" s="109">
        <v>4</v>
      </c>
      <c r="H5" s="109">
        <v>5</v>
      </c>
      <c r="I5" s="109">
        <v>6</v>
      </c>
      <c r="J5" s="109">
        <v>7</v>
      </c>
      <c r="K5" s="109">
        <v>8</v>
      </c>
      <c r="L5" s="109">
        <v>9</v>
      </c>
      <c r="M5" s="109">
        <v>10</v>
      </c>
      <c r="N5" s="109">
        <v>11</v>
      </c>
      <c r="O5" s="109">
        <v>12</v>
      </c>
      <c r="P5" s="109">
        <v>13</v>
      </c>
      <c r="Q5" s="109">
        <v>14</v>
      </c>
      <c r="R5" s="109">
        <v>15</v>
      </c>
      <c r="S5" s="109">
        <v>16</v>
      </c>
      <c r="T5" s="109">
        <v>17</v>
      </c>
      <c r="U5" s="109">
        <v>18</v>
      </c>
      <c r="V5" s="109">
        <v>19</v>
      </c>
      <c r="W5" s="109">
        <v>20</v>
      </c>
      <c r="X5" s="109">
        <v>21</v>
      </c>
      <c r="Y5" s="109">
        <v>22</v>
      </c>
      <c r="Z5" s="109">
        <v>23</v>
      </c>
      <c r="AA5" s="109">
        <v>24</v>
      </c>
      <c r="AB5" s="109">
        <v>25</v>
      </c>
      <c r="AC5" s="109">
        <v>26</v>
      </c>
      <c r="AD5" s="109">
        <v>27</v>
      </c>
      <c r="AE5" s="109">
        <v>28</v>
      </c>
      <c r="AF5" s="109">
        <v>29</v>
      </c>
      <c r="AG5" s="109">
        <v>30</v>
      </c>
      <c r="AH5" s="109">
        <v>31</v>
      </c>
      <c r="AI5" s="109">
        <v>32</v>
      </c>
      <c r="AJ5" s="109">
        <v>33</v>
      </c>
      <c r="AK5" s="109">
        <v>34</v>
      </c>
      <c r="AL5" s="109">
        <v>35</v>
      </c>
      <c r="AM5" s="109">
        <v>36</v>
      </c>
      <c r="AN5" s="109">
        <v>37</v>
      </c>
      <c r="AO5" s="109">
        <v>38</v>
      </c>
      <c r="AP5" s="109">
        <v>39</v>
      </c>
      <c r="AQ5" s="109">
        <v>40</v>
      </c>
      <c r="AR5" s="109">
        <v>41</v>
      </c>
      <c r="AS5" s="109">
        <v>42</v>
      </c>
      <c r="AT5" s="109">
        <v>43</v>
      </c>
      <c r="AU5" s="109">
        <v>44</v>
      </c>
      <c r="AV5" s="109">
        <v>45</v>
      </c>
      <c r="AW5" s="109">
        <v>46</v>
      </c>
      <c r="AX5" s="109">
        <v>47</v>
      </c>
      <c r="AY5" s="109">
        <v>48</v>
      </c>
    </row>
    <row r="6" spans="1:52" x14ac:dyDescent="0.15">
      <c r="A6" s="99" t="s">
        <v>303</v>
      </c>
      <c r="B6" s="111"/>
      <c r="C6" s="110" t="s">
        <v>287</v>
      </c>
      <c r="D6" s="109" t="s">
        <v>288</v>
      </c>
      <c r="E6" s="109" t="s">
        <v>288</v>
      </c>
      <c r="F6" s="109" t="s">
        <v>288</v>
      </c>
      <c r="G6" s="109" t="s">
        <v>288</v>
      </c>
      <c r="H6" s="109" t="s">
        <v>288</v>
      </c>
      <c r="I6" s="109" t="s">
        <v>288</v>
      </c>
      <c r="J6" s="109" t="s">
        <v>288</v>
      </c>
      <c r="K6" s="109" t="s">
        <v>288</v>
      </c>
      <c r="L6" s="109" t="s">
        <v>288</v>
      </c>
      <c r="M6" s="109" t="s">
        <v>288</v>
      </c>
      <c r="N6" s="109" t="s">
        <v>288</v>
      </c>
      <c r="O6" s="109" t="s">
        <v>288</v>
      </c>
      <c r="P6" s="109" t="s">
        <v>288</v>
      </c>
      <c r="Q6" s="109" t="s">
        <v>288</v>
      </c>
      <c r="R6" s="109" t="s">
        <v>288</v>
      </c>
      <c r="S6" s="109" t="s">
        <v>288</v>
      </c>
      <c r="T6" s="109" t="s">
        <v>288</v>
      </c>
      <c r="U6" s="109" t="s">
        <v>288</v>
      </c>
      <c r="V6" s="109" t="s">
        <v>288</v>
      </c>
      <c r="W6" s="109" t="s">
        <v>288</v>
      </c>
      <c r="X6" s="109" t="s">
        <v>288</v>
      </c>
      <c r="Y6" s="109" t="s">
        <v>288</v>
      </c>
      <c r="Z6" s="109" t="s">
        <v>288</v>
      </c>
      <c r="AA6" s="109" t="s">
        <v>288</v>
      </c>
      <c r="AB6" s="109" t="s">
        <v>288</v>
      </c>
      <c r="AC6" s="109" t="s">
        <v>288</v>
      </c>
      <c r="AD6" s="109" t="s">
        <v>288</v>
      </c>
      <c r="AE6" s="109" t="s">
        <v>288</v>
      </c>
      <c r="AF6" s="109" t="s">
        <v>288</v>
      </c>
      <c r="AG6" s="109" t="s">
        <v>288</v>
      </c>
      <c r="AH6" s="109" t="s">
        <v>288</v>
      </c>
      <c r="AI6" s="109" t="s">
        <v>288</v>
      </c>
      <c r="AJ6" s="109" t="s">
        <v>288</v>
      </c>
      <c r="AK6" s="109" t="s">
        <v>288</v>
      </c>
      <c r="AL6" s="109" t="s">
        <v>288</v>
      </c>
      <c r="AM6" s="109" t="s">
        <v>288</v>
      </c>
      <c r="AN6" s="109" t="s">
        <v>288</v>
      </c>
      <c r="AO6" s="109" t="s">
        <v>288</v>
      </c>
      <c r="AP6" s="109" t="s">
        <v>288</v>
      </c>
      <c r="AQ6" s="109" t="s">
        <v>288</v>
      </c>
      <c r="AR6" s="109" t="s">
        <v>288</v>
      </c>
      <c r="AS6" s="109" t="s">
        <v>288</v>
      </c>
      <c r="AT6" s="109" t="s">
        <v>288</v>
      </c>
      <c r="AU6" s="109" t="s">
        <v>288</v>
      </c>
      <c r="AV6" s="109" t="s">
        <v>288</v>
      </c>
      <c r="AW6" s="109" t="s">
        <v>288</v>
      </c>
      <c r="AX6" s="109" t="s">
        <v>288</v>
      </c>
      <c r="AY6" s="108" t="s">
        <v>289</v>
      </c>
      <c r="AZ6" s="139" t="s">
        <v>150</v>
      </c>
    </row>
    <row r="7" spans="1:52" x14ac:dyDescent="0.15">
      <c r="A7" s="112" t="s">
        <v>125</v>
      </c>
      <c r="B7" s="140">
        <v>1</v>
      </c>
      <c r="C7" s="141" t="s">
        <v>292</v>
      </c>
      <c r="D7" s="141">
        <v>476.20306391812863</v>
      </c>
      <c r="E7" s="141">
        <v>476.33355319670034</v>
      </c>
      <c r="F7" s="141">
        <v>476.46404941762034</v>
      </c>
      <c r="G7" s="141">
        <v>476.59453165211659</v>
      </c>
      <c r="H7" s="141">
        <v>476.72497896440836</v>
      </c>
      <c r="I7" s="141">
        <v>476.85537041537896</v>
      </c>
      <c r="J7" s="141">
        <v>458.88997829637503</v>
      </c>
      <c r="K7" s="141">
        <v>477.11590198225935</v>
      </c>
      <c r="L7" s="141">
        <v>464.58856176206655</v>
      </c>
      <c r="M7" s="141">
        <v>464.87013889438316</v>
      </c>
      <c r="N7" s="141">
        <v>446.89963994049265</v>
      </c>
      <c r="O7" s="141">
        <v>477.63537394898503</v>
      </c>
      <c r="P7" s="141">
        <v>477.76478856731012</v>
      </c>
      <c r="Q7" s="141">
        <v>477.89398013253526</v>
      </c>
      <c r="R7" s="141">
        <v>478.02292784099956</v>
      </c>
      <c r="S7" s="141">
        <v>478.15161092246984</v>
      </c>
      <c r="T7" s="141">
        <v>407.26934537256773</v>
      </c>
      <c r="U7" s="141">
        <v>425.94548671893756</v>
      </c>
      <c r="V7" s="141">
        <v>426.13713417142992</v>
      </c>
      <c r="W7" s="141">
        <v>478.66328294888149</v>
      </c>
      <c r="X7" s="141">
        <v>478.79033276820712</v>
      </c>
      <c r="Y7" s="141">
        <v>478.91699424607225</v>
      </c>
      <c r="Z7" s="141">
        <v>479.04324694859264</v>
      </c>
      <c r="AA7" s="141">
        <v>479.16907050447981</v>
      </c>
      <c r="AB7" s="141">
        <v>479.29444460865238</v>
      </c>
      <c r="AC7" s="141">
        <v>479.41934902583949</v>
      </c>
      <c r="AD7" s="141">
        <v>438.12849849028714</v>
      </c>
      <c r="AE7" s="141">
        <v>469.83550907899229</v>
      </c>
      <c r="AF7" s="141">
        <v>428.01990063793198</v>
      </c>
      <c r="AG7" s="141">
        <v>479.91386776351828</v>
      </c>
      <c r="AH7" s="141">
        <v>480.03612291089115</v>
      </c>
      <c r="AI7" s="141">
        <v>480.1577886260277</v>
      </c>
      <c r="AJ7" s="141">
        <v>480.27884526225233</v>
      </c>
      <c r="AK7" s="141">
        <v>480.39927327109535</v>
      </c>
      <c r="AL7" s="141">
        <v>480.51905320577919</v>
      </c>
      <c r="AM7" s="141">
        <v>480.63816572468943</v>
      </c>
      <c r="AN7" s="141">
        <v>480.75659159482888</v>
      </c>
      <c r="AO7" s="141">
        <v>480.87431169525394</v>
      </c>
      <c r="AP7" s="141">
        <v>480.99130702049393</v>
      </c>
      <c r="AQ7" s="141">
        <v>481.10755868395097</v>
      </c>
      <c r="AR7" s="141">
        <v>481.22304792128136</v>
      </c>
      <c r="AS7" s="141">
        <v>473.45403278647302</v>
      </c>
      <c r="AT7" s="141">
        <v>481.45166469160552</v>
      </c>
      <c r="AU7" s="141">
        <v>481.56475533733231</v>
      </c>
      <c r="AV7" s="141">
        <v>481.67700978901684</v>
      </c>
      <c r="AW7" s="141">
        <v>481.7884099435899</v>
      </c>
      <c r="AX7" s="141">
        <v>481.898937840087</v>
      </c>
      <c r="AY7" s="141">
        <v>482.00857566287846</v>
      </c>
      <c r="AZ7" s="103"/>
    </row>
    <row r="8" spans="1:52" x14ac:dyDescent="0.15">
      <c r="A8" s="142"/>
      <c r="B8" s="143"/>
      <c r="C8" s="142"/>
      <c r="D8" s="142"/>
      <c r="E8" s="142"/>
      <c r="F8" s="142"/>
      <c r="G8" s="142"/>
      <c r="H8" s="142"/>
      <c r="I8" s="142"/>
      <c r="J8" s="142"/>
      <c r="K8" s="142"/>
      <c r="L8" s="142"/>
      <c r="M8" s="142"/>
      <c r="N8" s="142"/>
      <c r="O8" s="142"/>
      <c r="P8" s="142"/>
      <c r="Q8" s="142"/>
      <c r="R8" s="142"/>
      <c r="S8" s="142"/>
      <c r="T8" s="142"/>
      <c r="U8" s="142"/>
      <c r="V8" s="142"/>
      <c r="W8" s="142"/>
      <c r="X8" s="142"/>
      <c r="Y8" s="142"/>
      <c r="Z8" s="142"/>
      <c r="AA8" s="142"/>
      <c r="AB8" s="142"/>
      <c r="AC8" s="142"/>
      <c r="AD8" s="142"/>
      <c r="AE8" s="142"/>
      <c r="AF8" s="142"/>
      <c r="AG8" s="142"/>
      <c r="AH8" s="142"/>
      <c r="AI8" s="142"/>
      <c r="AJ8" s="142"/>
      <c r="AK8" s="142"/>
      <c r="AL8" s="142"/>
      <c r="AM8" s="142"/>
      <c r="AN8" s="142"/>
      <c r="AO8" s="142"/>
      <c r="AP8" s="142"/>
      <c r="AQ8" s="142"/>
      <c r="AR8" s="142"/>
      <c r="AS8" s="142"/>
      <c r="AT8" s="142"/>
      <c r="AU8" s="142"/>
      <c r="AV8" s="142"/>
      <c r="AW8" s="142"/>
      <c r="AX8" s="142"/>
      <c r="AY8" s="142"/>
      <c r="AZ8" s="144"/>
    </row>
    <row r="9" spans="1:52" x14ac:dyDescent="0.15">
      <c r="A9" s="99" t="s">
        <v>293</v>
      </c>
      <c r="B9" s="145"/>
      <c r="C9" s="103"/>
      <c r="D9" s="103"/>
      <c r="E9" s="103"/>
      <c r="F9" s="103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  <c r="AB9" s="103"/>
      <c r="AC9" s="103"/>
      <c r="AD9" s="103"/>
      <c r="AE9" s="103"/>
      <c r="AF9" s="103"/>
      <c r="AG9" s="103"/>
      <c r="AH9" s="103"/>
      <c r="AI9" s="103"/>
      <c r="AJ9" s="103"/>
      <c r="AK9" s="103"/>
      <c r="AL9" s="103"/>
      <c r="AM9" s="103"/>
      <c r="AN9" s="103"/>
      <c r="AO9" s="103"/>
      <c r="AP9" s="103"/>
      <c r="AQ9" s="103"/>
      <c r="AR9" s="103"/>
      <c r="AS9" s="103"/>
      <c r="AT9" s="103"/>
      <c r="AU9" s="103"/>
      <c r="AV9" s="103"/>
      <c r="AW9" s="103"/>
      <c r="AX9" s="103"/>
      <c r="AY9" s="103"/>
      <c r="AZ9" s="103"/>
    </row>
    <row r="10" spans="1:52" x14ac:dyDescent="0.15">
      <c r="A10" s="146" t="s">
        <v>125</v>
      </c>
      <c r="B10" s="147">
        <v>1</v>
      </c>
      <c r="C10" s="141" t="s">
        <v>292</v>
      </c>
      <c r="D10" s="141">
        <f t="shared" ref="D10:AY10" si="0">MAX(SUM(D$14:D$16)+D$7-$B$3,0)</f>
        <v>0</v>
      </c>
      <c r="E10" s="141">
        <f t="shared" si="0"/>
        <v>0</v>
      </c>
      <c r="F10" s="141">
        <f t="shared" si="0"/>
        <v>0</v>
      </c>
      <c r="G10" s="141">
        <f t="shared" si="0"/>
        <v>0</v>
      </c>
      <c r="H10" s="141">
        <f t="shared" si="0"/>
        <v>453.31951061652489</v>
      </c>
      <c r="I10" s="141">
        <f t="shared" si="0"/>
        <v>0</v>
      </c>
      <c r="J10" s="141">
        <f t="shared" si="0"/>
        <v>0</v>
      </c>
      <c r="K10" s="141">
        <f t="shared" si="0"/>
        <v>0</v>
      </c>
      <c r="L10" s="141">
        <f t="shared" si="0"/>
        <v>0</v>
      </c>
      <c r="M10" s="141">
        <f t="shared" si="0"/>
        <v>0</v>
      </c>
      <c r="N10" s="141">
        <f t="shared" si="0"/>
        <v>0</v>
      </c>
      <c r="O10" s="141">
        <f t="shared" si="0"/>
        <v>0</v>
      </c>
      <c r="P10" s="141">
        <f t="shared" si="0"/>
        <v>0</v>
      </c>
      <c r="Q10" s="141">
        <f t="shared" si="0"/>
        <v>0</v>
      </c>
      <c r="R10" s="141">
        <f t="shared" si="0"/>
        <v>0</v>
      </c>
      <c r="S10" s="141">
        <f t="shared" si="0"/>
        <v>0</v>
      </c>
      <c r="T10" s="141">
        <f t="shared" si="0"/>
        <v>0</v>
      </c>
      <c r="U10" s="141">
        <f t="shared" si="0"/>
        <v>0</v>
      </c>
      <c r="V10" s="141">
        <f t="shared" si="0"/>
        <v>0</v>
      </c>
      <c r="W10" s="141">
        <f t="shared" si="0"/>
        <v>0</v>
      </c>
      <c r="X10" s="141">
        <f t="shared" si="0"/>
        <v>0</v>
      </c>
      <c r="Y10" s="141">
        <f t="shared" si="0"/>
        <v>0</v>
      </c>
      <c r="Z10" s="141">
        <f t="shared" si="0"/>
        <v>0</v>
      </c>
      <c r="AA10" s="141">
        <f t="shared" si="0"/>
        <v>0</v>
      </c>
      <c r="AB10" s="141">
        <f t="shared" si="0"/>
        <v>0</v>
      </c>
      <c r="AC10" s="141">
        <f t="shared" si="0"/>
        <v>0</v>
      </c>
      <c r="AD10" s="141">
        <f t="shared" si="0"/>
        <v>0</v>
      </c>
      <c r="AE10" s="141">
        <f t="shared" si="0"/>
        <v>0</v>
      </c>
      <c r="AF10" s="141">
        <f t="shared" si="0"/>
        <v>0</v>
      </c>
      <c r="AG10" s="141">
        <f t="shared" si="0"/>
        <v>0</v>
      </c>
      <c r="AH10" s="141">
        <f t="shared" si="0"/>
        <v>0</v>
      </c>
      <c r="AI10" s="141">
        <f t="shared" si="0"/>
        <v>0</v>
      </c>
      <c r="AJ10" s="141">
        <f t="shared" si="0"/>
        <v>0</v>
      </c>
      <c r="AK10" s="141">
        <f t="shared" si="0"/>
        <v>0</v>
      </c>
      <c r="AL10" s="141">
        <f t="shared" si="0"/>
        <v>0</v>
      </c>
      <c r="AM10" s="141">
        <f t="shared" si="0"/>
        <v>0</v>
      </c>
      <c r="AN10" s="141">
        <f t="shared" si="0"/>
        <v>0</v>
      </c>
      <c r="AO10" s="141">
        <f t="shared" si="0"/>
        <v>0</v>
      </c>
      <c r="AP10" s="141">
        <f t="shared" si="0"/>
        <v>0</v>
      </c>
      <c r="AQ10" s="141">
        <f t="shared" si="0"/>
        <v>462.09886570444496</v>
      </c>
      <c r="AR10" s="141">
        <f t="shared" si="0"/>
        <v>0</v>
      </c>
      <c r="AS10" s="141">
        <f t="shared" si="0"/>
        <v>0</v>
      </c>
      <c r="AT10" s="141">
        <f t="shared" si="0"/>
        <v>0</v>
      </c>
      <c r="AU10" s="141">
        <f t="shared" si="0"/>
        <v>0</v>
      </c>
      <c r="AV10" s="141">
        <f t="shared" si="0"/>
        <v>0</v>
      </c>
      <c r="AW10" s="141">
        <f t="shared" si="0"/>
        <v>0</v>
      </c>
      <c r="AX10" s="141">
        <f t="shared" si="0"/>
        <v>0</v>
      </c>
      <c r="AY10" s="141">
        <f t="shared" si="0"/>
        <v>0</v>
      </c>
      <c r="AZ10" s="148">
        <f>SUM($D10:$AY10)</f>
        <v>915.41837632096986</v>
      </c>
    </row>
    <row r="11" spans="1:52" x14ac:dyDescent="0.15">
      <c r="C11" s="107"/>
    </row>
    <row r="12" spans="1:52" x14ac:dyDescent="0.15">
      <c r="A12" s="149" t="s">
        <v>294</v>
      </c>
      <c r="B12" s="143"/>
      <c r="C12" s="107"/>
    </row>
    <row r="13" spans="1:52" x14ac:dyDescent="0.15">
      <c r="A13" s="119" t="s">
        <v>125</v>
      </c>
      <c r="B13" s="120">
        <v>1</v>
      </c>
      <c r="C13" s="121"/>
      <c r="D13" s="135">
        <f t="shared" ref="D13:AY13" si="1">D$7-D$10</f>
        <v>476.20306391812863</v>
      </c>
      <c r="E13" s="135">
        <f t="shared" si="1"/>
        <v>476.33355319670034</v>
      </c>
      <c r="F13" s="135">
        <f t="shared" si="1"/>
        <v>476.46404941762034</v>
      </c>
      <c r="G13" s="135">
        <f t="shared" si="1"/>
        <v>476.59453165211659</v>
      </c>
      <c r="H13" s="135">
        <f t="shared" si="1"/>
        <v>23.40546834788347</v>
      </c>
      <c r="I13" s="135">
        <f t="shared" si="1"/>
        <v>476.85537041537896</v>
      </c>
      <c r="J13" s="135">
        <f t="shared" si="1"/>
        <v>458.88997829637503</v>
      </c>
      <c r="K13" s="135">
        <f t="shared" si="1"/>
        <v>477.11590198225935</v>
      </c>
      <c r="L13" s="135">
        <f t="shared" si="1"/>
        <v>464.58856176206655</v>
      </c>
      <c r="M13" s="135">
        <f t="shared" si="1"/>
        <v>464.87013889438316</v>
      </c>
      <c r="N13" s="135">
        <f t="shared" si="1"/>
        <v>446.89963994049265</v>
      </c>
      <c r="O13" s="135">
        <f t="shared" si="1"/>
        <v>477.63537394898503</v>
      </c>
      <c r="P13" s="135">
        <f t="shared" si="1"/>
        <v>477.76478856731012</v>
      </c>
      <c r="Q13" s="135">
        <f t="shared" si="1"/>
        <v>477.89398013253526</v>
      </c>
      <c r="R13" s="135">
        <f t="shared" si="1"/>
        <v>478.02292784099956</v>
      </c>
      <c r="S13" s="135">
        <f t="shared" si="1"/>
        <v>478.15161092246984</v>
      </c>
      <c r="T13" s="135">
        <f t="shared" si="1"/>
        <v>407.26934537256773</v>
      </c>
      <c r="U13" s="135">
        <f t="shared" si="1"/>
        <v>425.94548671893756</v>
      </c>
      <c r="V13" s="135">
        <f t="shared" si="1"/>
        <v>426.13713417142992</v>
      </c>
      <c r="W13" s="135">
        <f t="shared" si="1"/>
        <v>478.66328294888149</v>
      </c>
      <c r="X13" s="135">
        <f t="shared" si="1"/>
        <v>478.79033276820712</v>
      </c>
      <c r="Y13" s="135">
        <f t="shared" si="1"/>
        <v>478.91699424607225</v>
      </c>
      <c r="Z13" s="135">
        <f t="shared" si="1"/>
        <v>479.04324694859264</v>
      </c>
      <c r="AA13" s="135">
        <f t="shared" si="1"/>
        <v>479.16907050447981</v>
      </c>
      <c r="AB13" s="135">
        <f t="shared" si="1"/>
        <v>479.29444460865238</v>
      </c>
      <c r="AC13" s="135">
        <f t="shared" si="1"/>
        <v>479.41934902583949</v>
      </c>
      <c r="AD13" s="135">
        <f t="shared" si="1"/>
        <v>438.12849849028714</v>
      </c>
      <c r="AE13" s="135">
        <f t="shared" si="1"/>
        <v>469.83550907899229</v>
      </c>
      <c r="AF13" s="135">
        <f t="shared" si="1"/>
        <v>428.01990063793198</v>
      </c>
      <c r="AG13" s="135">
        <f t="shared" si="1"/>
        <v>479.91386776351828</v>
      </c>
      <c r="AH13" s="135">
        <f t="shared" si="1"/>
        <v>480.03612291089115</v>
      </c>
      <c r="AI13" s="135">
        <f t="shared" si="1"/>
        <v>480.1577886260277</v>
      </c>
      <c r="AJ13" s="135">
        <f t="shared" si="1"/>
        <v>480.27884526225233</v>
      </c>
      <c r="AK13" s="135">
        <f t="shared" si="1"/>
        <v>480.39927327109535</v>
      </c>
      <c r="AL13" s="135">
        <f t="shared" si="1"/>
        <v>480.51905320577919</v>
      </c>
      <c r="AM13" s="135">
        <f t="shared" si="1"/>
        <v>480.63816572468943</v>
      </c>
      <c r="AN13" s="135">
        <f t="shared" si="1"/>
        <v>480.75659159482888</v>
      </c>
      <c r="AO13" s="135">
        <f t="shared" si="1"/>
        <v>480.87431169525394</v>
      </c>
      <c r="AP13" s="135">
        <f t="shared" si="1"/>
        <v>480.99130702049393</v>
      </c>
      <c r="AQ13" s="135">
        <f t="shared" si="1"/>
        <v>19.008692979506009</v>
      </c>
      <c r="AR13" s="135">
        <f t="shared" si="1"/>
        <v>481.22304792128136</v>
      </c>
      <c r="AS13" s="135">
        <f t="shared" si="1"/>
        <v>473.45403278647302</v>
      </c>
      <c r="AT13" s="135">
        <f t="shared" si="1"/>
        <v>481.45166469160552</v>
      </c>
      <c r="AU13" s="135">
        <f t="shared" si="1"/>
        <v>481.56475533733231</v>
      </c>
      <c r="AV13" s="135">
        <f t="shared" si="1"/>
        <v>481.67700978901684</v>
      </c>
      <c r="AW13" s="135">
        <f t="shared" si="1"/>
        <v>481.7884099435899</v>
      </c>
      <c r="AX13" s="135">
        <f t="shared" si="1"/>
        <v>481.898937840087</v>
      </c>
      <c r="AY13" s="135">
        <f t="shared" si="1"/>
        <v>482.00857566287846</v>
      </c>
      <c r="AZ13" s="106"/>
    </row>
    <row r="14" spans="1:52" x14ac:dyDescent="0.15">
      <c r="A14" s="107"/>
      <c r="B14" s="117">
        <v>2</v>
      </c>
      <c r="C14" s="107"/>
      <c r="D14" s="103">
        <f>IF(C$20="Yes",C13,0)</f>
        <v>0</v>
      </c>
      <c r="E14" s="103">
        <f t="shared" ref="E14:AY17" si="2">IF(D$20="Yes",D13,0)</f>
        <v>0</v>
      </c>
      <c r="F14" s="103">
        <f t="shared" si="2"/>
        <v>0</v>
      </c>
      <c r="G14" s="103">
        <f t="shared" si="2"/>
        <v>0</v>
      </c>
      <c r="H14" s="103">
        <f t="shared" si="2"/>
        <v>476.59453165211659</v>
      </c>
      <c r="I14" s="103">
        <f t="shared" si="2"/>
        <v>0</v>
      </c>
      <c r="J14" s="103">
        <f t="shared" si="2"/>
        <v>0</v>
      </c>
      <c r="K14" s="103">
        <f t="shared" si="2"/>
        <v>0</v>
      </c>
      <c r="L14" s="103">
        <f t="shared" si="2"/>
        <v>0</v>
      </c>
      <c r="M14" s="103">
        <f t="shared" si="2"/>
        <v>0</v>
      </c>
      <c r="N14" s="103">
        <f t="shared" si="2"/>
        <v>0</v>
      </c>
      <c r="O14" s="103">
        <f t="shared" si="2"/>
        <v>0</v>
      </c>
      <c r="P14" s="103">
        <f t="shared" si="2"/>
        <v>0</v>
      </c>
      <c r="Q14" s="103">
        <f t="shared" si="2"/>
        <v>0</v>
      </c>
      <c r="R14" s="103">
        <f t="shared" si="2"/>
        <v>0</v>
      </c>
      <c r="S14" s="103">
        <f t="shared" si="2"/>
        <v>0</v>
      </c>
      <c r="T14" s="103">
        <f t="shared" si="2"/>
        <v>0</v>
      </c>
      <c r="U14" s="103">
        <f t="shared" si="2"/>
        <v>0</v>
      </c>
      <c r="V14" s="103">
        <f t="shared" si="2"/>
        <v>0</v>
      </c>
      <c r="W14" s="103">
        <f t="shared" si="2"/>
        <v>0</v>
      </c>
      <c r="X14" s="103">
        <f t="shared" si="2"/>
        <v>0</v>
      </c>
      <c r="Y14" s="103">
        <f t="shared" si="2"/>
        <v>0</v>
      </c>
      <c r="Z14" s="103">
        <f t="shared" si="2"/>
        <v>0</v>
      </c>
      <c r="AA14" s="103">
        <f t="shared" si="2"/>
        <v>0</v>
      </c>
      <c r="AB14" s="103">
        <f t="shared" si="2"/>
        <v>0</v>
      </c>
      <c r="AC14" s="103">
        <f t="shared" si="2"/>
        <v>0</v>
      </c>
      <c r="AD14" s="103">
        <f t="shared" si="2"/>
        <v>0</v>
      </c>
      <c r="AE14" s="103">
        <f t="shared" si="2"/>
        <v>0</v>
      </c>
      <c r="AF14" s="103">
        <f t="shared" si="2"/>
        <v>0</v>
      </c>
      <c r="AG14" s="103">
        <f t="shared" si="2"/>
        <v>0</v>
      </c>
      <c r="AH14" s="103">
        <f t="shared" si="2"/>
        <v>0</v>
      </c>
      <c r="AI14" s="103">
        <f t="shared" si="2"/>
        <v>0</v>
      </c>
      <c r="AJ14" s="103">
        <f t="shared" si="2"/>
        <v>0</v>
      </c>
      <c r="AK14" s="103">
        <f t="shared" si="2"/>
        <v>0</v>
      </c>
      <c r="AL14" s="103">
        <f t="shared" si="2"/>
        <v>0</v>
      </c>
      <c r="AM14" s="103">
        <f t="shared" si="2"/>
        <v>0</v>
      </c>
      <c r="AN14" s="103">
        <f t="shared" si="2"/>
        <v>0</v>
      </c>
      <c r="AO14" s="103">
        <f t="shared" si="2"/>
        <v>0</v>
      </c>
      <c r="AP14" s="103">
        <f t="shared" si="2"/>
        <v>0</v>
      </c>
      <c r="AQ14" s="103">
        <f t="shared" si="2"/>
        <v>480.99130702049393</v>
      </c>
      <c r="AR14" s="103">
        <f t="shared" si="2"/>
        <v>0</v>
      </c>
      <c r="AS14" s="103">
        <f t="shared" si="2"/>
        <v>0</v>
      </c>
      <c r="AT14" s="103">
        <f t="shared" si="2"/>
        <v>0</v>
      </c>
      <c r="AU14" s="103">
        <f t="shared" si="2"/>
        <v>0</v>
      </c>
      <c r="AV14" s="103">
        <f t="shared" si="2"/>
        <v>0</v>
      </c>
      <c r="AW14" s="103">
        <f t="shared" si="2"/>
        <v>0</v>
      </c>
      <c r="AX14" s="103">
        <f t="shared" si="2"/>
        <v>0</v>
      </c>
      <c r="AY14" s="103">
        <f t="shared" si="2"/>
        <v>0</v>
      </c>
      <c r="AZ14" s="106"/>
    </row>
    <row r="15" spans="1:52" x14ac:dyDescent="0.15">
      <c r="A15" s="107"/>
      <c r="B15" s="124">
        <v>3</v>
      </c>
      <c r="C15" s="107"/>
      <c r="D15" s="103">
        <f>IF(C$20="Yes",C14,0)</f>
        <v>0</v>
      </c>
      <c r="E15" s="103">
        <f t="shared" si="2"/>
        <v>0</v>
      </c>
      <c r="F15" s="103">
        <f t="shared" si="2"/>
        <v>0</v>
      </c>
      <c r="G15" s="103">
        <f t="shared" si="2"/>
        <v>0</v>
      </c>
      <c r="H15" s="103">
        <f t="shared" si="2"/>
        <v>0</v>
      </c>
      <c r="I15" s="103">
        <f t="shared" si="2"/>
        <v>0</v>
      </c>
      <c r="J15" s="103">
        <f t="shared" si="2"/>
        <v>0</v>
      </c>
      <c r="K15" s="103">
        <f t="shared" si="2"/>
        <v>0</v>
      </c>
      <c r="L15" s="103">
        <f t="shared" si="2"/>
        <v>0</v>
      </c>
      <c r="M15" s="103">
        <f t="shared" si="2"/>
        <v>0</v>
      </c>
      <c r="N15" s="103">
        <f t="shared" si="2"/>
        <v>0</v>
      </c>
      <c r="O15" s="103">
        <f t="shared" si="2"/>
        <v>0</v>
      </c>
      <c r="P15" s="103">
        <f t="shared" si="2"/>
        <v>0</v>
      </c>
      <c r="Q15" s="103">
        <f t="shared" si="2"/>
        <v>0</v>
      </c>
      <c r="R15" s="103">
        <f t="shared" si="2"/>
        <v>0</v>
      </c>
      <c r="S15" s="103">
        <f t="shared" si="2"/>
        <v>0</v>
      </c>
      <c r="T15" s="103">
        <f t="shared" si="2"/>
        <v>0</v>
      </c>
      <c r="U15" s="103">
        <f t="shared" si="2"/>
        <v>0</v>
      </c>
      <c r="V15" s="103">
        <f t="shared" si="2"/>
        <v>0</v>
      </c>
      <c r="W15" s="103">
        <f t="shared" si="2"/>
        <v>0</v>
      </c>
      <c r="X15" s="103">
        <f t="shared" si="2"/>
        <v>0</v>
      </c>
      <c r="Y15" s="103">
        <f t="shared" si="2"/>
        <v>0</v>
      </c>
      <c r="Z15" s="103">
        <f t="shared" si="2"/>
        <v>0</v>
      </c>
      <c r="AA15" s="103">
        <f t="shared" si="2"/>
        <v>0</v>
      </c>
      <c r="AB15" s="103">
        <f t="shared" si="2"/>
        <v>0</v>
      </c>
      <c r="AC15" s="103">
        <f t="shared" si="2"/>
        <v>0</v>
      </c>
      <c r="AD15" s="103">
        <f t="shared" si="2"/>
        <v>0</v>
      </c>
      <c r="AE15" s="103">
        <f t="shared" si="2"/>
        <v>0</v>
      </c>
      <c r="AF15" s="103">
        <f t="shared" si="2"/>
        <v>0</v>
      </c>
      <c r="AG15" s="103">
        <f t="shared" si="2"/>
        <v>0</v>
      </c>
      <c r="AH15" s="103">
        <f t="shared" si="2"/>
        <v>0</v>
      </c>
      <c r="AI15" s="103">
        <f t="shared" si="2"/>
        <v>0</v>
      </c>
      <c r="AJ15" s="103">
        <f t="shared" si="2"/>
        <v>0</v>
      </c>
      <c r="AK15" s="103">
        <f t="shared" si="2"/>
        <v>0</v>
      </c>
      <c r="AL15" s="103">
        <f t="shared" si="2"/>
        <v>0</v>
      </c>
      <c r="AM15" s="103">
        <f t="shared" si="2"/>
        <v>0</v>
      </c>
      <c r="AN15" s="103">
        <f t="shared" si="2"/>
        <v>0</v>
      </c>
      <c r="AO15" s="103">
        <f t="shared" si="2"/>
        <v>0</v>
      </c>
      <c r="AP15" s="103">
        <f t="shared" si="2"/>
        <v>0</v>
      </c>
      <c r="AQ15" s="103">
        <f t="shared" si="2"/>
        <v>0</v>
      </c>
      <c r="AR15" s="103">
        <f t="shared" si="2"/>
        <v>0</v>
      </c>
      <c r="AS15" s="103">
        <f t="shared" si="2"/>
        <v>0</v>
      </c>
      <c r="AT15" s="103">
        <f t="shared" si="2"/>
        <v>0</v>
      </c>
      <c r="AU15" s="103">
        <f t="shared" si="2"/>
        <v>0</v>
      </c>
      <c r="AV15" s="103">
        <f t="shared" si="2"/>
        <v>0</v>
      </c>
      <c r="AW15" s="103">
        <f t="shared" si="2"/>
        <v>0</v>
      </c>
      <c r="AX15" s="103">
        <f t="shared" si="2"/>
        <v>0</v>
      </c>
      <c r="AY15" s="103">
        <f t="shared" si="2"/>
        <v>0</v>
      </c>
      <c r="AZ15" s="106"/>
    </row>
    <row r="16" spans="1:52" x14ac:dyDescent="0.15">
      <c r="A16" s="107"/>
      <c r="B16" s="127">
        <v>4</v>
      </c>
      <c r="C16" s="107"/>
      <c r="D16" s="103">
        <f>IF(C$20="Yes",C15,0)</f>
        <v>0</v>
      </c>
      <c r="E16" s="103">
        <f t="shared" si="2"/>
        <v>0</v>
      </c>
      <c r="F16" s="103">
        <f t="shared" si="2"/>
        <v>0</v>
      </c>
      <c r="G16" s="103">
        <f t="shared" si="2"/>
        <v>0</v>
      </c>
      <c r="H16" s="103">
        <f t="shared" si="2"/>
        <v>0</v>
      </c>
      <c r="I16" s="103">
        <f t="shared" si="2"/>
        <v>0</v>
      </c>
      <c r="J16" s="103">
        <f t="shared" si="2"/>
        <v>0</v>
      </c>
      <c r="K16" s="103">
        <f t="shared" si="2"/>
        <v>0</v>
      </c>
      <c r="L16" s="103">
        <f t="shared" si="2"/>
        <v>0</v>
      </c>
      <c r="M16" s="103">
        <f t="shared" si="2"/>
        <v>0</v>
      </c>
      <c r="N16" s="103">
        <f t="shared" si="2"/>
        <v>0</v>
      </c>
      <c r="O16" s="103">
        <f t="shared" si="2"/>
        <v>0</v>
      </c>
      <c r="P16" s="103">
        <f t="shared" si="2"/>
        <v>0</v>
      </c>
      <c r="Q16" s="103">
        <f t="shared" si="2"/>
        <v>0</v>
      </c>
      <c r="R16" s="103">
        <f t="shared" si="2"/>
        <v>0</v>
      </c>
      <c r="S16" s="103">
        <f t="shared" si="2"/>
        <v>0</v>
      </c>
      <c r="T16" s="103">
        <f t="shared" si="2"/>
        <v>0</v>
      </c>
      <c r="U16" s="103">
        <f t="shared" si="2"/>
        <v>0</v>
      </c>
      <c r="V16" s="103">
        <f t="shared" si="2"/>
        <v>0</v>
      </c>
      <c r="W16" s="103">
        <f t="shared" si="2"/>
        <v>0</v>
      </c>
      <c r="X16" s="103">
        <f t="shared" si="2"/>
        <v>0</v>
      </c>
      <c r="Y16" s="103">
        <f t="shared" si="2"/>
        <v>0</v>
      </c>
      <c r="Z16" s="103">
        <f t="shared" si="2"/>
        <v>0</v>
      </c>
      <c r="AA16" s="103">
        <f t="shared" si="2"/>
        <v>0</v>
      </c>
      <c r="AB16" s="103">
        <f t="shared" si="2"/>
        <v>0</v>
      </c>
      <c r="AC16" s="103">
        <f t="shared" si="2"/>
        <v>0</v>
      </c>
      <c r="AD16" s="103">
        <f t="shared" si="2"/>
        <v>0</v>
      </c>
      <c r="AE16" s="103">
        <f t="shared" si="2"/>
        <v>0</v>
      </c>
      <c r="AF16" s="103">
        <f t="shared" si="2"/>
        <v>0</v>
      </c>
      <c r="AG16" s="103">
        <f t="shared" si="2"/>
        <v>0</v>
      </c>
      <c r="AH16" s="103">
        <f t="shared" si="2"/>
        <v>0</v>
      </c>
      <c r="AI16" s="103">
        <f t="shared" si="2"/>
        <v>0</v>
      </c>
      <c r="AJ16" s="103">
        <f t="shared" si="2"/>
        <v>0</v>
      </c>
      <c r="AK16" s="103">
        <f t="shared" si="2"/>
        <v>0</v>
      </c>
      <c r="AL16" s="103">
        <f t="shared" si="2"/>
        <v>0</v>
      </c>
      <c r="AM16" s="103">
        <f t="shared" si="2"/>
        <v>0</v>
      </c>
      <c r="AN16" s="103">
        <f t="shared" si="2"/>
        <v>0</v>
      </c>
      <c r="AO16" s="103">
        <f t="shared" si="2"/>
        <v>0</v>
      </c>
      <c r="AP16" s="103">
        <f t="shared" si="2"/>
        <v>0</v>
      </c>
      <c r="AQ16" s="103">
        <f t="shared" si="2"/>
        <v>0</v>
      </c>
      <c r="AR16" s="103">
        <f t="shared" si="2"/>
        <v>0</v>
      </c>
      <c r="AS16" s="103">
        <f t="shared" si="2"/>
        <v>0</v>
      </c>
      <c r="AT16" s="103">
        <f t="shared" si="2"/>
        <v>0</v>
      </c>
      <c r="AU16" s="103">
        <f t="shared" si="2"/>
        <v>0</v>
      </c>
      <c r="AV16" s="103">
        <f t="shared" si="2"/>
        <v>0</v>
      </c>
      <c r="AW16" s="103">
        <f t="shared" si="2"/>
        <v>0</v>
      </c>
      <c r="AX16" s="103">
        <f t="shared" si="2"/>
        <v>0</v>
      </c>
      <c r="AY16" s="103">
        <f t="shared" si="2"/>
        <v>0</v>
      </c>
      <c r="AZ16" s="125"/>
    </row>
    <row r="17" spans="1:52" x14ac:dyDescent="0.15">
      <c r="A17" s="122"/>
      <c r="B17" s="129" t="s">
        <v>295</v>
      </c>
      <c r="C17" s="122"/>
      <c r="D17" s="111">
        <f>IF(C$20="Yes",C16,0)</f>
        <v>0</v>
      </c>
      <c r="E17" s="111">
        <f t="shared" si="2"/>
        <v>0</v>
      </c>
      <c r="F17" s="111">
        <f t="shared" si="2"/>
        <v>0</v>
      </c>
      <c r="G17" s="111">
        <f t="shared" si="2"/>
        <v>0</v>
      </c>
      <c r="H17" s="111">
        <f t="shared" si="2"/>
        <v>0</v>
      </c>
      <c r="I17" s="111">
        <f t="shared" si="2"/>
        <v>0</v>
      </c>
      <c r="J17" s="111">
        <f t="shared" si="2"/>
        <v>0</v>
      </c>
      <c r="K17" s="111">
        <f t="shared" si="2"/>
        <v>0</v>
      </c>
      <c r="L17" s="111">
        <f t="shared" si="2"/>
        <v>0</v>
      </c>
      <c r="M17" s="111">
        <f t="shared" si="2"/>
        <v>0</v>
      </c>
      <c r="N17" s="111">
        <f t="shared" si="2"/>
        <v>0</v>
      </c>
      <c r="O17" s="111">
        <f t="shared" si="2"/>
        <v>0</v>
      </c>
      <c r="P17" s="111">
        <f t="shared" si="2"/>
        <v>0</v>
      </c>
      <c r="Q17" s="111">
        <f t="shared" si="2"/>
        <v>0</v>
      </c>
      <c r="R17" s="111">
        <f t="shared" si="2"/>
        <v>0</v>
      </c>
      <c r="S17" s="111">
        <f t="shared" si="2"/>
        <v>0</v>
      </c>
      <c r="T17" s="111">
        <f t="shared" si="2"/>
        <v>0</v>
      </c>
      <c r="U17" s="111">
        <f t="shared" si="2"/>
        <v>0</v>
      </c>
      <c r="V17" s="111">
        <f t="shared" si="2"/>
        <v>0</v>
      </c>
      <c r="W17" s="111">
        <f t="shared" si="2"/>
        <v>0</v>
      </c>
      <c r="X17" s="111">
        <f t="shared" si="2"/>
        <v>0</v>
      </c>
      <c r="Y17" s="111">
        <f t="shared" si="2"/>
        <v>0</v>
      </c>
      <c r="Z17" s="111">
        <f t="shared" si="2"/>
        <v>0</v>
      </c>
      <c r="AA17" s="111">
        <f t="shared" si="2"/>
        <v>0</v>
      </c>
      <c r="AB17" s="111">
        <f t="shared" si="2"/>
        <v>0</v>
      </c>
      <c r="AC17" s="111">
        <f t="shared" si="2"/>
        <v>0</v>
      </c>
      <c r="AD17" s="111">
        <f t="shared" si="2"/>
        <v>0</v>
      </c>
      <c r="AE17" s="111">
        <f t="shared" si="2"/>
        <v>0</v>
      </c>
      <c r="AF17" s="111">
        <f t="shared" si="2"/>
        <v>0</v>
      </c>
      <c r="AG17" s="111">
        <f t="shared" si="2"/>
        <v>0</v>
      </c>
      <c r="AH17" s="111">
        <f t="shared" si="2"/>
        <v>0</v>
      </c>
      <c r="AI17" s="111">
        <f t="shared" si="2"/>
        <v>0</v>
      </c>
      <c r="AJ17" s="111">
        <f t="shared" si="2"/>
        <v>0</v>
      </c>
      <c r="AK17" s="111">
        <f t="shared" si="2"/>
        <v>0</v>
      </c>
      <c r="AL17" s="111">
        <f t="shared" si="2"/>
        <v>0</v>
      </c>
      <c r="AM17" s="111">
        <f t="shared" si="2"/>
        <v>0</v>
      </c>
      <c r="AN17" s="111">
        <f t="shared" si="2"/>
        <v>0</v>
      </c>
      <c r="AO17" s="111">
        <f t="shared" si="2"/>
        <v>0</v>
      </c>
      <c r="AP17" s="111">
        <f t="shared" si="2"/>
        <v>0</v>
      </c>
      <c r="AQ17" s="111">
        <f t="shared" si="2"/>
        <v>0</v>
      </c>
      <c r="AR17" s="111">
        <f t="shared" si="2"/>
        <v>0</v>
      </c>
      <c r="AS17" s="111">
        <f t="shared" si="2"/>
        <v>0</v>
      </c>
      <c r="AT17" s="111">
        <f t="shared" si="2"/>
        <v>0</v>
      </c>
      <c r="AU17" s="111">
        <f t="shared" si="2"/>
        <v>0</v>
      </c>
      <c r="AV17" s="111">
        <f t="shared" si="2"/>
        <v>0</v>
      </c>
      <c r="AW17" s="111">
        <f t="shared" si="2"/>
        <v>0</v>
      </c>
      <c r="AX17" s="111">
        <f t="shared" si="2"/>
        <v>0</v>
      </c>
      <c r="AY17" s="111">
        <f t="shared" si="2"/>
        <v>0</v>
      </c>
      <c r="AZ17" s="148">
        <f>SUM($D$17:$AY$17)</f>
        <v>0</v>
      </c>
    </row>
    <row r="18" spans="1:52" x14ac:dyDescent="0.15">
      <c r="A18" s="103"/>
      <c r="B18" s="150"/>
      <c r="C18" s="135"/>
      <c r="D18" s="135"/>
      <c r="E18" s="135"/>
      <c r="F18" s="135"/>
      <c r="G18" s="135"/>
      <c r="H18" s="135"/>
      <c r="I18" s="135"/>
      <c r="J18" s="135"/>
      <c r="K18" s="135"/>
      <c r="L18" s="135"/>
      <c r="M18" s="135"/>
      <c r="N18" s="135"/>
      <c r="O18" s="135"/>
      <c r="P18" s="135"/>
      <c r="Q18" s="135"/>
      <c r="R18" s="135"/>
      <c r="S18" s="135"/>
      <c r="T18" s="135"/>
      <c r="U18" s="135"/>
      <c r="V18" s="135"/>
      <c r="W18" s="135"/>
      <c r="X18" s="135"/>
      <c r="Y18" s="135"/>
      <c r="Z18" s="135"/>
      <c r="AA18" s="135"/>
      <c r="AB18" s="135"/>
      <c r="AC18" s="135"/>
      <c r="AD18" s="135"/>
      <c r="AE18" s="135"/>
      <c r="AF18" s="135"/>
      <c r="AG18" s="135"/>
      <c r="AH18" s="135"/>
      <c r="AI18" s="135"/>
      <c r="AJ18" s="135"/>
      <c r="AK18" s="135"/>
      <c r="AL18" s="135"/>
      <c r="AM18" s="135"/>
      <c r="AN18" s="135"/>
      <c r="AO18" s="135"/>
      <c r="AP18" s="135"/>
      <c r="AQ18" s="135"/>
      <c r="AR18" s="135"/>
      <c r="AS18" s="135"/>
      <c r="AT18" s="135"/>
      <c r="AU18" s="135"/>
      <c r="AV18" s="135"/>
      <c r="AW18" s="135"/>
      <c r="AX18" s="135"/>
      <c r="AY18" s="135"/>
      <c r="AZ18" s="103"/>
    </row>
    <row r="19" spans="1:52" x14ac:dyDescent="0.15">
      <c r="A19" s="99" t="s">
        <v>116</v>
      </c>
      <c r="B19" s="103"/>
      <c r="C19" s="103"/>
      <c r="D19" s="103"/>
      <c r="E19" s="103"/>
      <c r="F19" s="103"/>
      <c r="G19" s="103"/>
      <c r="H19" s="103"/>
      <c r="I19" s="103"/>
      <c r="J19" s="103"/>
      <c r="K19" s="103"/>
      <c r="L19" s="103"/>
      <c r="M19" s="103"/>
      <c r="N19" s="103"/>
      <c r="O19" s="103"/>
      <c r="P19" s="103"/>
      <c r="Q19" s="103"/>
      <c r="R19" s="103"/>
      <c r="S19" s="103"/>
      <c r="T19" s="103"/>
      <c r="U19" s="103"/>
      <c r="V19" s="103"/>
      <c r="W19" s="103"/>
      <c r="X19" s="103"/>
      <c r="Y19" s="103"/>
      <c r="Z19" s="103"/>
      <c r="AA19" s="103"/>
      <c r="AB19" s="103"/>
      <c r="AC19" s="103"/>
      <c r="AD19" s="103"/>
      <c r="AE19" s="103"/>
      <c r="AF19" s="103"/>
      <c r="AG19" s="103"/>
      <c r="AH19" s="103"/>
      <c r="AI19" s="103"/>
      <c r="AJ19" s="103"/>
      <c r="AK19" s="103"/>
      <c r="AL19" s="103"/>
      <c r="AM19" s="103"/>
      <c r="AN19" s="103"/>
      <c r="AO19" s="103"/>
      <c r="AP19" s="103"/>
      <c r="AQ19" s="103"/>
      <c r="AR19" s="103"/>
      <c r="AS19" s="103"/>
      <c r="AT19" s="103"/>
      <c r="AU19" s="103"/>
      <c r="AV19" s="103"/>
      <c r="AW19" s="103"/>
      <c r="AX19" s="103"/>
      <c r="AY19" s="103"/>
    </row>
    <row r="20" spans="1:52" s="107" customFormat="1" x14ac:dyDescent="0.15">
      <c r="A20" s="112" t="s">
        <v>304</v>
      </c>
      <c r="B20" s="151" t="s">
        <v>305</v>
      </c>
      <c r="C20" s="114"/>
      <c r="D20" s="114"/>
      <c r="E20" s="114"/>
      <c r="F20" s="114"/>
      <c r="G20" s="114" t="s">
        <v>338</v>
      </c>
      <c r="H20" s="114"/>
      <c r="I20" s="114"/>
      <c r="J20" s="114"/>
      <c r="K20" s="114"/>
      <c r="L20" s="114"/>
      <c r="M20" s="114"/>
      <c r="N20" s="114"/>
      <c r="O20" s="114"/>
      <c r="P20" s="114"/>
      <c r="Q20" s="114"/>
      <c r="R20" s="114"/>
      <c r="S20" s="114"/>
      <c r="T20" s="114"/>
      <c r="U20" s="114"/>
      <c r="V20" s="114"/>
      <c r="W20" s="114"/>
      <c r="X20" s="114"/>
      <c r="Y20" s="114"/>
      <c r="Z20" s="114"/>
      <c r="AA20" s="114"/>
      <c r="AB20" s="114"/>
      <c r="AC20" s="114"/>
      <c r="AD20" s="114"/>
      <c r="AE20" s="114"/>
      <c r="AF20" s="114"/>
      <c r="AG20" s="114"/>
      <c r="AH20" s="114"/>
      <c r="AI20" s="114"/>
      <c r="AJ20" s="114"/>
      <c r="AK20" s="114"/>
      <c r="AL20" s="114"/>
      <c r="AM20" s="114"/>
      <c r="AN20" s="114"/>
      <c r="AO20" s="114"/>
      <c r="AP20" s="114" t="s">
        <v>338</v>
      </c>
      <c r="AQ20" s="114"/>
      <c r="AR20" s="114"/>
      <c r="AS20" s="114"/>
      <c r="AT20" s="114"/>
      <c r="AU20" s="114"/>
      <c r="AV20" s="114"/>
      <c r="AW20" s="114"/>
      <c r="AX20" s="114"/>
      <c r="AY20" s="114"/>
      <c r="AZ20" s="104"/>
    </row>
    <row r="21" spans="1:52" s="107" customFormat="1" x14ac:dyDescent="0.15">
      <c r="A21" s="152" t="s">
        <v>133</v>
      </c>
      <c r="B21" s="153">
        <f>shipping_manufacturing!$E$19/100</f>
        <v>0.5</v>
      </c>
      <c r="C21" s="153" t="s">
        <v>292</v>
      </c>
      <c r="D21" s="103">
        <f>IF(C$20="Yes",0,SUM(C$13:C$16)*$B$21)</f>
        <v>0</v>
      </c>
      <c r="E21" s="103">
        <f t="shared" ref="E21:AY21" si="3">IF(D$20="Yes",0,SUM(D$13:D$16)*$B$21)</f>
        <v>238.10153195906432</v>
      </c>
      <c r="F21" s="103">
        <f t="shared" si="3"/>
        <v>238.16677659835017</v>
      </c>
      <c r="G21" s="103">
        <f t="shared" si="3"/>
        <v>238.23202470881017</v>
      </c>
      <c r="H21" s="103">
        <f t="shared" si="3"/>
        <v>0</v>
      </c>
      <c r="I21" s="103">
        <f t="shared" si="3"/>
        <v>250.00000000000003</v>
      </c>
      <c r="J21" s="103">
        <f t="shared" si="3"/>
        <v>238.42768520768948</v>
      </c>
      <c r="K21" s="103">
        <f t="shared" si="3"/>
        <v>229.44498914818752</v>
      </c>
      <c r="L21" s="103">
        <f t="shared" si="3"/>
        <v>238.55795099112967</v>
      </c>
      <c r="M21" s="103">
        <f t="shared" si="3"/>
        <v>232.29428088103327</v>
      </c>
      <c r="N21" s="103">
        <f t="shared" si="3"/>
        <v>232.43506944719158</v>
      </c>
      <c r="O21" s="103">
        <f t="shared" si="3"/>
        <v>223.44981997024632</v>
      </c>
      <c r="P21" s="103">
        <f t="shared" si="3"/>
        <v>238.81768697449252</v>
      </c>
      <c r="Q21" s="103">
        <f t="shared" si="3"/>
        <v>238.88239428365506</v>
      </c>
      <c r="R21" s="103">
        <f t="shared" si="3"/>
        <v>238.94699006626763</v>
      </c>
      <c r="S21" s="103">
        <f t="shared" si="3"/>
        <v>239.01146392049978</v>
      </c>
      <c r="T21" s="103">
        <f t="shared" si="3"/>
        <v>239.07580546123492</v>
      </c>
      <c r="U21" s="103">
        <f t="shared" si="3"/>
        <v>203.63467268628386</v>
      </c>
      <c r="V21" s="103">
        <f t="shared" si="3"/>
        <v>212.97274335946878</v>
      </c>
      <c r="W21" s="103">
        <f t="shared" si="3"/>
        <v>213.06856708571496</v>
      </c>
      <c r="X21" s="103">
        <f t="shared" si="3"/>
        <v>239.33164147444074</v>
      </c>
      <c r="Y21" s="103">
        <f t="shared" si="3"/>
        <v>239.39516638410356</v>
      </c>
      <c r="Z21" s="103">
        <f t="shared" si="3"/>
        <v>239.45849712303612</v>
      </c>
      <c r="AA21" s="103">
        <f t="shared" si="3"/>
        <v>239.52162347429632</v>
      </c>
      <c r="AB21" s="103">
        <f t="shared" si="3"/>
        <v>239.5845352522399</v>
      </c>
      <c r="AC21" s="103">
        <f t="shared" si="3"/>
        <v>239.64722230432619</v>
      </c>
      <c r="AD21" s="103">
        <f t="shared" si="3"/>
        <v>239.70967451291975</v>
      </c>
      <c r="AE21" s="103">
        <f t="shared" si="3"/>
        <v>219.06424924514357</v>
      </c>
      <c r="AF21" s="103">
        <f t="shared" si="3"/>
        <v>234.91775453949614</v>
      </c>
      <c r="AG21" s="103">
        <f t="shared" si="3"/>
        <v>214.00995031896599</v>
      </c>
      <c r="AH21" s="103">
        <f t="shared" si="3"/>
        <v>239.95693388175914</v>
      </c>
      <c r="AI21" s="103">
        <f t="shared" si="3"/>
        <v>240.01806145544558</v>
      </c>
      <c r="AJ21" s="103">
        <f t="shared" si="3"/>
        <v>240.07889431301385</v>
      </c>
      <c r="AK21" s="103">
        <f t="shared" si="3"/>
        <v>240.13942263112617</v>
      </c>
      <c r="AL21" s="103">
        <f t="shared" si="3"/>
        <v>240.19963663554768</v>
      </c>
      <c r="AM21" s="103">
        <f t="shared" si="3"/>
        <v>240.25952660288959</v>
      </c>
      <c r="AN21" s="103">
        <f t="shared" si="3"/>
        <v>240.31908286234471</v>
      </c>
      <c r="AO21" s="103">
        <f t="shared" si="3"/>
        <v>240.37829579741444</v>
      </c>
      <c r="AP21" s="103">
        <f t="shared" si="3"/>
        <v>240.43715584762697</v>
      </c>
      <c r="AQ21" s="103">
        <f t="shared" si="3"/>
        <v>0</v>
      </c>
      <c r="AR21" s="103">
        <f t="shared" si="3"/>
        <v>249.99999999999997</v>
      </c>
      <c r="AS21" s="103">
        <f t="shared" si="3"/>
        <v>240.61152396064068</v>
      </c>
      <c r="AT21" s="103">
        <f t="shared" si="3"/>
        <v>236.72701639323651</v>
      </c>
      <c r="AU21" s="103">
        <f t="shared" si="3"/>
        <v>240.72583234580276</v>
      </c>
      <c r="AV21" s="103">
        <f t="shared" si="3"/>
        <v>240.78237766866616</v>
      </c>
      <c r="AW21" s="103">
        <f t="shared" si="3"/>
        <v>240.83850489450842</v>
      </c>
      <c r="AX21" s="103">
        <f t="shared" si="3"/>
        <v>240.89420497179495</v>
      </c>
      <c r="AY21" s="103">
        <f t="shared" si="3"/>
        <v>240.9494689200435</v>
      </c>
      <c r="AZ21" s="154">
        <f>SUM($D21:$AY21)</f>
        <v>10621.47670656015</v>
      </c>
    </row>
    <row r="22" spans="1:52" s="107" customFormat="1" x14ac:dyDescent="0.15">
      <c r="A22" s="155" t="s">
        <v>123</v>
      </c>
      <c r="B22" s="156">
        <f>1-$B$21</f>
        <v>0.5</v>
      </c>
      <c r="C22" s="156" t="s">
        <v>292</v>
      </c>
      <c r="D22" s="111">
        <f>IF(C$20="Yes",0,SUM(C$13:C$16)*$B$22)</f>
        <v>0</v>
      </c>
      <c r="E22" s="111">
        <f t="shared" ref="E22:AY22" si="4">IF(D$20="Yes",0,SUM(D$13:D$16)*$B$22)</f>
        <v>238.10153195906432</v>
      </c>
      <c r="F22" s="111">
        <f t="shared" si="4"/>
        <v>238.16677659835017</v>
      </c>
      <c r="G22" s="111">
        <f t="shared" si="4"/>
        <v>238.23202470881017</v>
      </c>
      <c r="H22" s="111">
        <f t="shared" si="4"/>
        <v>0</v>
      </c>
      <c r="I22" s="111">
        <f t="shared" si="4"/>
        <v>250.00000000000003</v>
      </c>
      <c r="J22" s="111">
        <f t="shared" si="4"/>
        <v>238.42768520768948</v>
      </c>
      <c r="K22" s="111">
        <f t="shared" si="4"/>
        <v>229.44498914818752</v>
      </c>
      <c r="L22" s="111">
        <f t="shared" si="4"/>
        <v>238.55795099112967</v>
      </c>
      <c r="M22" s="111">
        <f t="shared" si="4"/>
        <v>232.29428088103327</v>
      </c>
      <c r="N22" s="111">
        <f t="shared" si="4"/>
        <v>232.43506944719158</v>
      </c>
      <c r="O22" s="111">
        <f t="shared" si="4"/>
        <v>223.44981997024632</v>
      </c>
      <c r="P22" s="111">
        <f t="shared" si="4"/>
        <v>238.81768697449252</v>
      </c>
      <c r="Q22" s="111">
        <f t="shared" si="4"/>
        <v>238.88239428365506</v>
      </c>
      <c r="R22" s="111">
        <f t="shared" si="4"/>
        <v>238.94699006626763</v>
      </c>
      <c r="S22" s="111">
        <f t="shared" si="4"/>
        <v>239.01146392049978</v>
      </c>
      <c r="T22" s="111">
        <f t="shared" si="4"/>
        <v>239.07580546123492</v>
      </c>
      <c r="U22" s="111">
        <f t="shared" si="4"/>
        <v>203.63467268628386</v>
      </c>
      <c r="V22" s="111">
        <f t="shared" si="4"/>
        <v>212.97274335946878</v>
      </c>
      <c r="W22" s="111">
        <f t="shared" si="4"/>
        <v>213.06856708571496</v>
      </c>
      <c r="X22" s="111">
        <f t="shared" si="4"/>
        <v>239.33164147444074</v>
      </c>
      <c r="Y22" s="111">
        <f t="shared" si="4"/>
        <v>239.39516638410356</v>
      </c>
      <c r="Z22" s="111">
        <f t="shared" si="4"/>
        <v>239.45849712303612</v>
      </c>
      <c r="AA22" s="111">
        <f t="shared" si="4"/>
        <v>239.52162347429632</v>
      </c>
      <c r="AB22" s="111">
        <f t="shared" si="4"/>
        <v>239.5845352522399</v>
      </c>
      <c r="AC22" s="111">
        <f t="shared" si="4"/>
        <v>239.64722230432619</v>
      </c>
      <c r="AD22" s="111">
        <f t="shared" si="4"/>
        <v>239.70967451291975</v>
      </c>
      <c r="AE22" s="111">
        <f t="shared" si="4"/>
        <v>219.06424924514357</v>
      </c>
      <c r="AF22" s="111">
        <f t="shared" si="4"/>
        <v>234.91775453949614</v>
      </c>
      <c r="AG22" s="111">
        <f t="shared" si="4"/>
        <v>214.00995031896599</v>
      </c>
      <c r="AH22" s="111">
        <f t="shared" si="4"/>
        <v>239.95693388175914</v>
      </c>
      <c r="AI22" s="111">
        <f t="shared" si="4"/>
        <v>240.01806145544558</v>
      </c>
      <c r="AJ22" s="111">
        <f t="shared" si="4"/>
        <v>240.07889431301385</v>
      </c>
      <c r="AK22" s="111">
        <f t="shared" si="4"/>
        <v>240.13942263112617</v>
      </c>
      <c r="AL22" s="111">
        <f t="shared" si="4"/>
        <v>240.19963663554768</v>
      </c>
      <c r="AM22" s="111">
        <f t="shared" si="4"/>
        <v>240.25952660288959</v>
      </c>
      <c r="AN22" s="111">
        <f t="shared" si="4"/>
        <v>240.31908286234471</v>
      </c>
      <c r="AO22" s="111">
        <f t="shared" si="4"/>
        <v>240.37829579741444</v>
      </c>
      <c r="AP22" s="111">
        <f t="shared" si="4"/>
        <v>240.43715584762697</v>
      </c>
      <c r="AQ22" s="111">
        <f t="shared" si="4"/>
        <v>0</v>
      </c>
      <c r="AR22" s="111">
        <f t="shared" si="4"/>
        <v>249.99999999999997</v>
      </c>
      <c r="AS22" s="111">
        <f t="shared" si="4"/>
        <v>240.61152396064068</v>
      </c>
      <c r="AT22" s="111">
        <f t="shared" si="4"/>
        <v>236.72701639323651</v>
      </c>
      <c r="AU22" s="111">
        <f t="shared" si="4"/>
        <v>240.72583234580276</v>
      </c>
      <c r="AV22" s="111">
        <f t="shared" si="4"/>
        <v>240.78237766866616</v>
      </c>
      <c r="AW22" s="111">
        <f t="shared" si="4"/>
        <v>240.83850489450842</v>
      </c>
      <c r="AX22" s="111">
        <f t="shared" si="4"/>
        <v>240.89420497179495</v>
      </c>
      <c r="AY22" s="111">
        <f t="shared" si="4"/>
        <v>240.9494689200435</v>
      </c>
      <c r="AZ22" s="138">
        <f t="shared" ref="AZ22:AZ30" si="5">SUM($D22:$AY22)</f>
        <v>10621.47670656015</v>
      </c>
    </row>
    <row r="23" spans="1:52" x14ac:dyDescent="0.15">
      <c r="A23" s="157" t="s">
        <v>306</v>
      </c>
      <c r="B23" s="121">
        <v>2000</v>
      </c>
      <c r="C23" s="97" t="s">
        <v>292</v>
      </c>
      <c r="D23" s="97">
        <f>D$21*$B$23</f>
        <v>0</v>
      </c>
      <c r="E23" s="97">
        <f t="shared" ref="E23:AY23" si="6">E$21*$B$23</f>
        <v>476203.06391812861</v>
      </c>
      <c r="F23" s="97">
        <f t="shared" si="6"/>
        <v>476333.55319670035</v>
      </c>
      <c r="G23" s="97">
        <f t="shared" si="6"/>
        <v>476464.04941762035</v>
      </c>
      <c r="H23" s="97">
        <f t="shared" si="6"/>
        <v>0</v>
      </c>
      <c r="I23" s="97">
        <f t="shared" si="6"/>
        <v>500000.00000000006</v>
      </c>
      <c r="J23" s="97">
        <f t="shared" si="6"/>
        <v>476855.37041537894</v>
      </c>
      <c r="K23" s="97">
        <f t="shared" si="6"/>
        <v>458889.97829637502</v>
      </c>
      <c r="L23" s="97">
        <f t="shared" si="6"/>
        <v>477115.90198225935</v>
      </c>
      <c r="M23" s="97">
        <f t="shared" si="6"/>
        <v>464588.56176206656</v>
      </c>
      <c r="N23" s="97">
        <f t="shared" si="6"/>
        <v>464870.13889438316</v>
      </c>
      <c r="O23" s="97">
        <f t="shared" si="6"/>
        <v>446899.63994049263</v>
      </c>
      <c r="P23" s="97">
        <f t="shared" si="6"/>
        <v>477635.37394898501</v>
      </c>
      <c r="Q23" s="97">
        <f t="shared" si="6"/>
        <v>477764.78856731014</v>
      </c>
      <c r="R23" s="97">
        <f t="shared" si="6"/>
        <v>477893.98013253527</v>
      </c>
      <c r="S23" s="97">
        <f t="shared" si="6"/>
        <v>478022.92784099956</v>
      </c>
      <c r="T23" s="97">
        <f t="shared" si="6"/>
        <v>478151.61092246982</v>
      </c>
      <c r="U23" s="97">
        <f t="shared" si="6"/>
        <v>407269.34537256771</v>
      </c>
      <c r="V23" s="97">
        <f t="shared" si="6"/>
        <v>425945.48671893758</v>
      </c>
      <c r="W23" s="97">
        <f t="shared" si="6"/>
        <v>426137.13417142991</v>
      </c>
      <c r="X23" s="97">
        <f t="shared" si="6"/>
        <v>478663.2829488815</v>
      </c>
      <c r="Y23" s="97">
        <f t="shared" si="6"/>
        <v>478790.33276820712</v>
      </c>
      <c r="Z23" s="97">
        <f t="shared" si="6"/>
        <v>478916.99424607225</v>
      </c>
      <c r="AA23" s="97">
        <f t="shared" si="6"/>
        <v>479043.24694859266</v>
      </c>
      <c r="AB23" s="97">
        <f t="shared" si="6"/>
        <v>479169.07050447981</v>
      </c>
      <c r="AC23" s="97">
        <f t="shared" si="6"/>
        <v>479294.44460865238</v>
      </c>
      <c r="AD23" s="97">
        <f t="shared" si="6"/>
        <v>479419.34902583947</v>
      </c>
      <c r="AE23" s="97">
        <f t="shared" si="6"/>
        <v>438128.49849028717</v>
      </c>
      <c r="AF23" s="97">
        <f t="shared" si="6"/>
        <v>469835.5090789923</v>
      </c>
      <c r="AG23" s="97">
        <f t="shared" si="6"/>
        <v>428019.90063793201</v>
      </c>
      <c r="AH23" s="97">
        <f t="shared" si="6"/>
        <v>479913.8677635183</v>
      </c>
      <c r="AI23" s="97">
        <f t="shared" si="6"/>
        <v>480036.12291089114</v>
      </c>
      <c r="AJ23" s="97">
        <f t="shared" si="6"/>
        <v>480157.7886260277</v>
      </c>
      <c r="AK23" s="97">
        <f t="shared" si="6"/>
        <v>480278.84526225232</v>
      </c>
      <c r="AL23" s="97">
        <f t="shared" si="6"/>
        <v>480399.27327109536</v>
      </c>
      <c r="AM23" s="97">
        <f t="shared" si="6"/>
        <v>480519.05320577917</v>
      </c>
      <c r="AN23" s="97">
        <f t="shared" si="6"/>
        <v>480638.16572468943</v>
      </c>
      <c r="AO23" s="97">
        <f t="shared" si="6"/>
        <v>480756.59159482887</v>
      </c>
      <c r="AP23" s="97">
        <f t="shared" si="6"/>
        <v>480874.31169525394</v>
      </c>
      <c r="AQ23" s="97">
        <f t="shared" si="6"/>
        <v>0</v>
      </c>
      <c r="AR23" s="97">
        <f t="shared" si="6"/>
        <v>499999.99999999994</v>
      </c>
      <c r="AS23" s="97">
        <f t="shared" si="6"/>
        <v>481223.04792128137</v>
      </c>
      <c r="AT23" s="97">
        <f t="shared" si="6"/>
        <v>473454.03278647305</v>
      </c>
      <c r="AU23" s="97">
        <f t="shared" si="6"/>
        <v>481451.66469160549</v>
      </c>
      <c r="AV23" s="97">
        <f t="shared" si="6"/>
        <v>481564.75533733232</v>
      </c>
      <c r="AW23" s="97">
        <f t="shared" si="6"/>
        <v>481677.00978901685</v>
      </c>
      <c r="AX23" s="97">
        <f t="shared" si="6"/>
        <v>481788.40994358988</v>
      </c>
      <c r="AY23" s="97">
        <f t="shared" si="6"/>
        <v>481898.93784008699</v>
      </c>
      <c r="AZ23" s="136">
        <f t="shared" si="5"/>
        <v>21242953.413120296</v>
      </c>
    </row>
    <row r="24" spans="1:52" s="107" customFormat="1" x14ac:dyDescent="0.15">
      <c r="A24" s="158" t="s">
        <v>307</v>
      </c>
      <c r="B24" s="159">
        <v>1000</v>
      </c>
      <c r="C24" s="153" t="s">
        <v>292</v>
      </c>
      <c r="D24" s="103">
        <f>D$22*$B$24</f>
        <v>0</v>
      </c>
      <c r="E24" s="103">
        <f t="shared" ref="E24:AY24" si="7">E$22*$B$24</f>
        <v>238101.5319590643</v>
      </c>
      <c r="F24" s="103">
        <f t="shared" si="7"/>
        <v>238166.77659835017</v>
      </c>
      <c r="G24" s="103">
        <f t="shared" si="7"/>
        <v>238232.02470881018</v>
      </c>
      <c r="H24" s="103">
        <f t="shared" si="7"/>
        <v>0</v>
      </c>
      <c r="I24" s="103">
        <f t="shared" si="7"/>
        <v>250000.00000000003</v>
      </c>
      <c r="J24" s="103">
        <f t="shared" si="7"/>
        <v>238427.68520768947</v>
      </c>
      <c r="K24" s="103">
        <f t="shared" si="7"/>
        <v>229444.98914818751</v>
      </c>
      <c r="L24" s="103">
        <f t="shared" si="7"/>
        <v>238557.95099112968</v>
      </c>
      <c r="M24" s="103">
        <f t="shared" si="7"/>
        <v>232294.28088103328</v>
      </c>
      <c r="N24" s="103">
        <f t="shared" si="7"/>
        <v>232435.06944719158</v>
      </c>
      <c r="O24" s="103">
        <f t="shared" si="7"/>
        <v>223449.81997024632</v>
      </c>
      <c r="P24" s="103">
        <f t="shared" si="7"/>
        <v>238817.68697449251</v>
      </c>
      <c r="Q24" s="103">
        <f t="shared" si="7"/>
        <v>238882.39428365507</v>
      </c>
      <c r="R24" s="103">
        <f t="shared" si="7"/>
        <v>238946.99006626764</v>
      </c>
      <c r="S24" s="103">
        <f t="shared" si="7"/>
        <v>239011.46392049978</v>
      </c>
      <c r="T24" s="103">
        <f t="shared" si="7"/>
        <v>239075.80546123491</v>
      </c>
      <c r="U24" s="103">
        <f t="shared" si="7"/>
        <v>203634.67268628386</v>
      </c>
      <c r="V24" s="103">
        <f t="shared" si="7"/>
        <v>212972.74335946879</v>
      </c>
      <c r="W24" s="103">
        <f t="shared" si="7"/>
        <v>213068.56708571495</v>
      </c>
      <c r="X24" s="103">
        <f t="shared" si="7"/>
        <v>239331.64147444075</v>
      </c>
      <c r="Y24" s="103">
        <f t="shared" si="7"/>
        <v>239395.16638410356</v>
      </c>
      <c r="Z24" s="103">
        <f t="shared" si="7"/>
        <v>239458.49712303613</v>
      </c>
      <c r="AA24" s="103">
        <f t="shared" si="7"/>
        <v>239521.62347429633</v>
      </c>
      <c r="AB24" s="103">
        <f t="shared" si="7"/>
        <v>239584.5352522399</v>
      </c>
      <c r="AC24" s="103">
        <f t="shared" si="7"/>
        <v>239647.22230432619</v>
      </c>
      <c r="AD24" s="103">
        <f t="shared" si="7"/>
        <v>239709.67451291974</v>
      </c>
      <c r="AE24" s="103">
        <f t="shared" si="7"/>
        <v>219064.24924514358</v>
      </c>
      <c r="AF24" s="103">
        <f t="shared" si="7"/>
        <v>234917.75453949615</v>
      </c>
      <c r="AG24" s="103">
        <f t="shared" si="7"/>
        <v>214009.950318966</v>
      </c>
      <c r="AH24" s="103">
        <f t="shared" si="7"/>
        <v>239956.93388175915</v>
      </c>
      <c r="AI24" s="103">
        <f t="shared" si="7"/>
        <v>240018.06145544557</v>
      </c>
      <c r="AJ24" s="103">
        <f t="shared" si="7"/>
        <v>240078.89431301385</v>
      </c>
      <c r="AK24" s="103">
        <f t="shared" si="7"/>
        <v>240139.42263112616</v>
      </c>
      <c r="AL24" s="103">
        <f t="shared" si="7"/>
        <v>240199.63663554768</v>
      </c>
      <c r="AM24" s="103">
        <f t="shared" si="7"/>
        <v>240259.52660288959</v>
      </c>
      <c r="AN24" s="103">
        <f t="shared" si="7"/>
        <v>240319.08286234472</v>
      </c>
      <c r="AO24" s="103">
        <f t="shared" si="7"/>
        <v>240378.29579741444</v>
      </c>
      <c r="AP24" s="103">
        <f t="shared" si="7"/>
        <v>240437.15584762697</v>
      </c>
      <c r="AQ24" s="103">
        <f t="shared" si="7"/>
        <v>0</v>
      </c>
      <c r="AR24" s="103">
        <f t="shared" si="7"/>
        <v>249999.99999999997</v>
      </c>
      <c r="AS24" s="103">
        <f t="shared" si="7"/>
        <v>240611.52396064068</v>
      </c>
      <c r="AT24" s="103">
        <f t="shared" si="7"/>
        <v>236727.01639323652</v>
      </c>
      <c r="AU24" s="103">
        <f t="shared" si="7"/>
        <v>240725.83234580274</v>
      </c>
      <c r="AV24" s="103">
        <f t="shared" si="7"/>
        <v>240782.37766866616</v>
      </c>
      <c r="AW24" s="103">
        <f t="shared" si="7"/>
        <v>240838.50489450843</v>
      </c>
      <c r="AX24" s="103">
        <f t="shared" si="7"/>
        <v>240894.20497179494</v>
      </c>
      <c r="AY24" s="103">
        <f t="shared" si="7"/>
        <v>240949.4689200435</v>
      </c>
      <c r="AZ24" s="138">
        <f t="shared" si="5"/>
        <v>10621476.706560148</v>
      </c>
    </row>
    <row r="25" spans="1:52" x14ac:dyDescent="0.15">
      <c r="C25" s="135"/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5"/>
      <c r="Q25" s="135"/>
      <c r="R25" s="135"/>
      <c r="S25" s="135"/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5"/>
      <c r="AG25" s="135"/>
      <c r="AH25" s="135"/>
      <c r="AI25" s="135"/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5"/>
      <c r="AW25" s="135"/>
      <c r="AX25" s="135"/>
      <c r="AY25" s="135"/>
      <c r="AZ25" s="103"/>
    </row>
    <row r="26" spans="1:52" x14ac:dyDescent="0.15">
      <c r="A26" s="160" t="s">
        <v>18</v>
      </c>
      <c r="C26" s="103"/>
      <c r="D26" s="103"/>
      <c r="E26" s="103"/>
      <c r="F26" s="103"/>
      <c r="G26" s="103"/>
      <c r="H26" s="103"/>
      <c r="I26" s="103"/>
      <c r="J26" s="103"/>
      <c r="K26" s="103"/>
      <c r="L26" s="103"/>
      <c r="M26" s="103"/>
      <c r="N26" s="103"/>
      <c r="O26" s="103"/>
      <c r="P26" s="103"/>
      <c r="Q26" s="103"/>
      <c r="R26" s="103"/>
      <c r="S26" s="103"/>
      <c r="T26" s="103"/>
      <c r="U26" s="103"/>
      <c r="V26" s="103"/>
      <c r="W26" s="103"/>
      <c r="X26" s="103"/>
      <c r="Y26" s="103"/>
      <c r="Z26" s="103"/>
      <c r="AA26" s="103"/>
      <c r="AB26" s="103"/>
      <c r="AC26" s="103"/>
      <c r="AD26" s="103"/>
      <c r="AE26" s="103"/>
      <c r="AF26" s="103"/>
      <c r="AG26" s="103"/>
      <c r="AH26" s="103"/>
      <c r="AI26" s="103"/>
      <c r="AJ26" s="103"/>
      <c r="AK26" s="103"/>
      <c r="AL26" s="103"/>
      <c r="AM26" s="103"/>
      <c r="AN26" s="103"/>
      <c r="AO26" s="103"/>
      <c r="AP26" s="103"/>
      <c r="AQ26" s="103"/>
      <c r="AR26" s="103"/>
      <c r="AS26" s="103"/>
      <c r="AT26" s="103"/>
      <c r="AU26" s="103"/>
      <c r="AV26" s="103"/>
      <c r="AW26" s="103"/>
      <c r="AX26" s="103"/>
      <c r="AY26" s="103"/>
      <c r="AZ26" s="103"/>
    </row>
    <row r="27" spans="1:52" x14ac:dyDescent="0.15">
      <c r="B27" s="132" t="s">
        <v>308</v>
      </c>
      <c r="C27" s="121">
        <v>22</v>
      </c>
      <c r="D27" s="121">
        <f>C$27-C$28+C$29</f>
        <v>22</v>
      </c>
      <c r="E27" s="121">
        <f t="shared" ref="E27:AY27" si="8">D27-D28+D29</f>
        <v>22</v>
      </c>
      <c r="F27" s="121">
        <f t="shared" si="8"/>
        <v>6</v>
      </c>
      <c r="G27" s="121">
        <f t="shared" si="8"/>
        <v>16</v>
      </c>
      <c r="H27" s="121">
        <f t="shared" si="8"/>
        <v>6</v>
      </c>
      <c r="I27" s="121">
        <f t="shared" si="8"/>
        <v>22</v>
      </c>
      <c r="J27" s="121">
        <f t="shared" si="8"/>
        <v>4</v>
      </c>
      <c r="K27" s="121">
        <f t="shared" si="8"/>
        <v>18</v>
      </c>
      <c r="L27" s="121">
        <f t="shared" si="8"/>
        <v>6</v>
      </c>
      <c r="M27" s="121">
        <f t="shared" si="8"/>
        <v>16</v>
      </c>
      <c r="N27" s="121">
        <f t="shared" si="8"/>
        <v>6</v>
      </c>
      <c r="O27" s="121">
        <f t="shared" si="8"/>
        <v>16</v>
      </c>
      <c r="P27" s="121">
        <f t="shared" si="8"/>
        <v>6</v>
      </c>
      <c r="Q27" s="121">
        <f t="shared" si="8"/>
        <v>16</v>
      </c>
      <c r="R27" s="121">
        <f t="shared" si="8"/>
        <v>6</v>
      </c>
      <c r="S27" s="121">
        <f t="shared" si="8"/>
        <v>16</v>
      </c>
      <c r="T27" s="121">
        <f t="shared" si="8"/>
        <v>6</v>
      </c>
      <c r="U27" s="121">
        <f t="shared" si="8"/>
        <v>16</v>
      </c>
      <c r="V27" s="121">
        <f t="shared" si="8"/>
        <v>8</v>
      </c>
      <c r="W27" s="121">
        <f t="shared" si="8"/>
        <v>14</v>
      </c>
      <c r="X27" s="121">
        <f t="shared" si="8"/>
        <v>8</v>
      </c>
      <c r="Y27" s="121">
        <f t="shared" si="8"/>
        <v>14</v>
      </c>
      <c r="Z27" s="121">
        <f t="shared" si="8"/>
        <v>8</v>
      </c>
      <c r="AA27" s="121">
        <f t="shared" si="8"/>
        <v>14</v>
      </c>
      <c r="AB27" s="121">
        <f t="shared" si="8"/>
        <v>8</v>
      </c>
      <c r="AC27" s="121">
        <f t="shared" si="8"/>
        <v>14</v>
      </c>
      <c r="AD27" s="121">
        <f t="shared" si="8"/>
        <v>8</v>
      </c>
      <c r="AE27" s="121">
        <f t="shared" si="8"/>
        <v>14</v>
      </c>
      <c r="AF27" s="121">
        <f t="shared" si="8"/>
        <v>8</v>
      </c>
      <c r="AG27" s="121">
        <f t="shared" si="8"/>
        <v>14</v>
      </c>
      <c r="AH27" s="121">
        <f t="shared" si="8"/>
        <v>8</v>
      </c>
      <c r="AI27" s="121">
        <f t="shared" si="8"/>
        <v>14</v>
      </c>
      <c r="AJ27" s="121">
        <f t="shared" si="8"/>
        <v>8</v>
      </c>
      <c r="AK27" s="121">
        <f t="shared" si="8"/>
        <v>14</v>
      </c>
      <c r="AL27" s="121">
        <f t="shared" si="8"/>
        <v>8</v>
      </c>
      <c r="AM27" s="121">
        <f t="shared" si="8"/>
        <v>14</v>
      </c>
      <c r="AN27" s="121">
        <f t="shared" si="8"/>
        <v>8</v>
      </c>
      <c r="AO27" s="121">
        <f t="shared" si="8"/>
        <v>14</v>
      </c>
      <c r="AP27" s="121">
        <f t="shared" si="8"/>
        <v>8</v>
      </c>
      <c r="AQ27" s="121">
        <f t="shared" si="8"/>
        <v>14</v>
      </c>
      <c r="AR27" s="121">
        <f t="shared" si="8"/>
        <v>22</v>
      </c>
      <c r="AS27" s="121">
        <f t="shared" si="8"/>
        <v>4</v>
      </c>
      <c r="AT27" s="121">
        <f t="shared" si="8"/>
        <v>18</v>
      </c>
      <c r="AU27" s="121">
        <f t="shared" si="8"/>
        <v>6</v>
      </c>
      <c r="AV27" s="121">
        <f t="shared" si="8"/>
        <v>16</v>
      </c>
      <c r="AW27" s="121">
        <f t="shared" si="8"/>
        <v>6</v>
      </c>
      <c r="AX27" s="121">
        <f t="shared" si="8"/>
        <v>16</v>
      </c>
      <c r="AY27" s="161">
        <f t="shared" si="8"/>
        <v>6</v>
      </c>
      <c r="AZ27" s="103"/>
    </row>
    <row r="28" spans="1:52" x14ac:dyDescent="0.15">
      <c r="B28" s="162" t="s">
        <v>309</v>
      </c>
      <c r="C28" s="107"/>
      <c r="D28" s="107">
        <v>0</v>
      </c>
      <c r="E28" s="107">
        <v>16</v>
      </c>
      <c r="F28" s="107">
        <v>6</v>
      </c>
      <c r="G28" s="107">
        <v>16</v>
      </c>
      <c r="H28" s="107">
        <v>0</v>
      </c>
      <c r="I28" s="107">
        <v>18</v>
      </c>
      <c r="J28" s="107">
        <v>4</v>
      </c>
      <c r="K28" s="107">
        <v>16</v>
      </c>
      <c r="L28" s="107">
        <v>6</v>
      </c>
      <c r="M28" s="107">
        <v>16</v>
      </c>
      <c r="N28" s="107">
        <v>6</v>
      </c>
      <c r="O28" s="107">
        <v>16</v>
      </c>
      <c r="P28" s="107">
        <v>6</v>
      </c>
      <c r="Q28" s="107">
        <v>16</v>
      </c>
      <c r="R28" s="107">
        <v>6</v>
      </c>
      <c r="S28" s="107">
        <v>16</v>
      </c>
      <c r="T28" s="107">
        <v>6</v>
      </c>
      <c r="U28" s="107">
        <v>14</v>
      </c>
      <c r="V28" s="107">
        <v>8</v>
      </c>
      <c r="W28" s="107">
        <v>14</v>
      </c>
      <c r="X28" s="107">
        <v>8</v>
      </c>
      <c r="Y28" s="107">
        <v>14</v>
      </c>
      <c r="Z28" s="107">
        <v>8</v>
      </c>
      <c r="AA28" s="107">
        <v>14</v>
      </c>
      <c r="AB28" s="107">
        <v>8</v>
      </c>
      <c r="AC28" s="107">
        <v>14</v>
      </c>
      <c r="AD28" s="107">
        <v>8</v>
      </c>
      <c r="AE28" s="107">
        <v>14</v>
      </c>
      <c r="AF28" s="107">
        <v>8</v>
      </c>
      <c r="AG28" s="107">
        <v>14</v>
      </c>
      <c r="AH28" s="107">
        <v>8</v>
      </c>
      <c r="AI28" s="107">
        <v>14</v>
      </c>
      <c r="AJ28" s="107">
        <v>8</v>
      </c>
      <c r="AK28" s="107">
        <v>14</v>
      </c>
      <c r="AL28" s="107">
        <v>8</v>
      </c>
      <c r="AM28" s="107">
        <v>14</v>
      </c>
      <c r="AN28" s="107">
        <v>8</v>
      </c>
      <c r="AO28" s="107">
        <v>14</v>
      </c>
      <c r="AP28" s="107">
        <v>8</v>
      </c>
      <c r="AQ28" s="107">
        <v>0</v>
      </c>
      <c r="AR28" s="107">
        <v>18</v>
      </c>
      <c r="AS28" s="107">
        <v>4</v>
      </c>
      <c r="AT28" s="107">
        <v>16</v>
      </c>
      <c r="AU28" s="107">
        <v>6</v>
      </c>
      <c r="AV28" s="107">
        <v>16</v>
      </c>
      <c r="AW28" s="107">
        <v>6</v>
      </c>
      <c r="AX28" s="107">
        <v>16</v>
      </c>
      <c r="AY28" s="163">
        <v>6</v>
      </c>
      <c r="AZ28" s="103"/>
    </row>
    <row r="29" spans="1:52" x14ac:dyDescent="0.15">
      <c r="B29" s="133" t="s">
        <v>310</v>
      </c>
      <c r="C29" s="122"/>
      <c r="D29" s="122">
        <f>C$28</f>
        <v>0</v>
      </c>
      <c r="E29" s="122">
        <f t="shared" ref="E29:AY29" si="9">D$28</f>
        <v>0</v>
      </c>
      <c r="F29" s="122">
        <f t="shared" si="9"/>
        <v>16</v>
      </c>
      <c r="G29" s="122">
        <f t="shared" si="9"/>
        <v>6</v>
      </c>
      <c r="H29" s="122">
        <f t="shared" si="9"/>
        <v>16</v>
      </c>
      <c r="I29" s="122">
        <f t="shared" si="9"/>
        <v>0</v>
      </c>
      <c r="J29" s="122">
        <f t="shared" si="9"/>
        <v>18</v>
      </c>
      <c r="K29" s="122">
        <f t="shared" si="9"/>
        <v>4</v>
      </c>
      <c r="L29" s="122">
        <f t="shared" si="9"/>
        <v>16</v>
      </c>
      <c r="M29" s="122">
        <f t="shared" si="9"/>
        <v>6</v>
      </c>
      <c r="N29" s="122">
        <f t="shared" si="9"/>
        <v>16</v>
      </c>
      <c r="O29" s="122">
        <f t="shared" si="9"/>
        <v>6</v>
      </c>
      <c r="P29" s="122">
        <f t="shared" si="9"/>
        <v>16</v>
      </c>
      <c r="Q29" s="122">
        <f t="shared" si="9"/>
        <v>6</v>
      </c>
      <c r="R29" s="122">
        <f t="shared" si="9"/>
        <v>16</v>
      </c>
      <c r="S29" s="122">
        <f t="shared" si="9"/>
        <v>6</v>
      </c>
      <c r="T29" s="122">
        <f t="shared" si="9"/>
        <v>16</v>
      </c>
      <c r="U29" s="122">
        <f t="shared" si="9"/>
        <v>6</v>
      </c>
      <c r="V29" s="122">
        <f t="shared" si="9"/>
        <v>14</v>
      </c>
      <c r="W29" s="122">
        <f t="shared" si="9"/>
        <v>8</v>
      </c>
      <c r="X29" s="122">
        <f t="shared" si="9"/>
        <v>14</v>
      </c>
      <c r="Y29" s="122">
        <f t="shared" si="9"/>
        <v>8</v>
      </c>
      <c r="Z29" s="122">
        <f t="shared" si="9"/>
        <v>14</v>
      </c>
      <c r="AA29" s="122">
        <f t="shared" si="9"/>
        <v>8</v>
      </c>
      <c r="AB29" s="122">
        <f t="shared" si="9"/>
        <v>14</v>
      </c>
      <c r="AC29" s="122">
        <f t="shared" si="9"/>
        <v>8</v>
      </c>
      <c r="AD29" s="122">
        <f t="shared" si="9"/>
        <v>14</v>
      </c>
      <c r="AE29" s="122">
        <f t="shared" si="9"/>
        <v>8</v>
      </c>
      <c r="AF29" s="122">
        <f t="shared" si="9"/>
        <v>14</v>
      </c>
      <c r="AG29" s="122">
        <f t="shared" si="9"/>
        <v>8</v>
      </c>
      <c r="AH29" s="122">
        <f t="shared" si="9"/>
        <v>14</v>
      </c>
      <c r="AI29" s="122">
        <f t="shared" si="9"/>
        <v>8</v>
      </c>
      <c r="AJ29" s="122">
        <f t="shared" si="9"/>
        <v>14</v>
      </c>
      <c r="AK29" s="122">
        <f t="shared" si="9"/>
        <v>8</v>
      </c>
      <c r="AL29" s="122">
        <f t="shared" si="9"/>
        <v>14</v>
      </c>
      <c r="AM29" s="122">
        <f t="shared" si="9"/>
        <v>8</v>
      </c>
      <c r="AN29" s="122">
        <f t="shared" si="9"/>
        <v>14</v>
      </c>
      <c r="AO29" s="122">
        <f t="shared" si="9"/>
        <v>8</v>
      </c>
      <c r="AP29" s="122">
        <f t="shared" si="9"/>
        <v>14</v>
      </c>
      <c r="AQ29" s="122">
        <f t="shared" si="9"/>
        <v>8</v>
      </c>
      <c r="AR29" s="122">
        <f t="shared" si="9"/>
        <v>0</v>
      </c>
      <c r="AS29" s="122">
        <f t="shared" si="9"/>
        <v>18</v>
      </c>
      <c r="AT29" s="122">
        <f t="shared" si="9"/>
        <v>4</v>
      </c>
      <c r="AU29" s="122">
        <f t="shared" si="9"/>
        <v>16</v>
      </c>
      <c r="AV29" s="122">
        <f t="shared" si="9"/>
        <v>6</v>
      </c>
      <c r="AW29" s="122">
        <f t="shared" si="9"/>
        <v>16</v>
      </c>
      <c r="AX29" s="122">
        <f t="shared" si="9"/>
        <v>6</v>
      </c>
      <c r="AY29" s="164">
        <f t="shared" si="9"/>
        <v>16</v>
      </c>
      <c r="AZ29" s="165"/>
    </row>
    <row r="30" spans="1:52" x14ac:dyDescent="0.15">
      <c r="A30" s="166" t="s">
        <v>311</v>
      </c>
      <c r="B30" s="141">
        <v>10</v>
      </c>
      <c r="C30" s="114" t="s">
        <v>292</v>
      </c>
      <c r="D30" s="114">
        <f>D$27*$B$30</f>
        <v>220</v>
      </c>
      <c r="E30" s="114">
        <f t="shared" ref="E30:AY30" si="10">E$27*$B$30</f>
        <v>220</v>
      </c>
      <c r="F30" s="114">
        <f t="shared" si="10"/>
        <v>60</v>
      </c>
      <c r="G30" s="114">
        <f t="shared" si="10"/>
        <v>160</v>
      </c>
      <c r="H30" s="114">
        <f t="shared" si="10"/>
        <v>60</v>
      </c>
      <c r="I30" s="114">
        <f t="shared" si="10"/>
        <v>220</v>
      </c>
      <c r="J30" s="114">
        <f t="shared" si="10"/>
        <v>40</v>
      </c>
      <c r="K30" s="114">
        <f t="shared" si="10"/>
        <v>180</v>
      </c>
      <c r="L30" s="114">
        <f t="shared" si="10"/>
        <v>60</v>
      </c>
      <c r="M30" s="114">
        <f t="shared" si="10"/>
        <v>160</v>
      </c>
      <c r="N30" s="114">
        <f t="shared" si="10"/>
        <v>60</v>
      </c>
      <c r="O30" s="114">
        <f t="shared" si="10"/>
        <v>160</v>
      </c>
      <c r="P30" s="114">
        <f t="shared" si="10"/>
        <v>60</v>
      </c>
      <c r="Q30" s="114">
        <f t="shared" si="10"/>
        <v>160</v>
      </c>
      <c r="R30" s="114">
        <f>R$27*$B$30</f>
        <v>60</v>
      </c>
      <c r="S30" s="114">
        <f t="shared" si="10"/>
        <v>160</v>
      </c>
      <c r="T30" s="114">
        <f t="shared" si="10"/>
        <v>60</v>
      </c>
      <c r="U30" s="114">
        <f t="shared" si="10"/>
        <v>160</v>
      </c>
      <c r="V30" s="114">
        <f t="shared" si="10"/>
        <v>80</v>
      </c>
      <c r="W30" s="114">
        <f t="shared" si="10"/>
        <v>140</v>
      </c>
      <c r="X30" s="114">
        <f t="shared" si="10"/>
        <v>80</v>
      </c>
      <c r="Y30" s="114">
        <f t="shared" si="10"/>
        <v>140</v>
      </c>
      <c r="Z30" s="114">
        <f t="shared" si="10"/>
        <v>80</v>
      </c>
      <c r="AA30" s="114">
        <f t="shared" si="10"/>
        <v>140</v>
      </c>
      <c r="AB30" s="114">
        <f t="shared" si="10"/>
        <v>80</v>
      </c>
      <c r="AC30" s="114">
        <f t="shared" si="10"/>
        <v>140</v>
      </c>
      <c r="AD30" s="114">
        <f t="shared" si="10"/>
        <v>80</v>
      </c>
      <c r="AE30" s="114">
        <f>AE$27*$B$30</f>
        <v>140</v>
      </c>
      <c r="AF30" s="114">
        <f t="shared" si="10"/>
        <v>80</v>
      </c>
      <c r="AG30" s="114">
        <f t="shared" si="10"/>
        <v>140</v>
      </c>
      <c r="AH30" s="114">
        <f t="shared" si="10"/>
        <v>80</v>
      </c>
      <c r="AI30" s="114">
        <f t="shared" si="10"/>
        <v>140</v>
      </c>
      <c r="AJ30" s="114">
        <f t="shared" si="10"/>
        <v>80</v>
      </c>
      <c r="AK30" s="114">
        <f t="shared" si="10"/>
        <v>140</v>
      </c>
      <c r="AL30" s="114">
        <f t="shared" si="10"/>
        <v>80</v>
      </c>
      <c r="AM30" s="114">
        <f t="shared" si="10"/>
        <v>140</v>
      </c>
      <c r="AN30" s="114">
        <f t="shared" si="10"/>
        <v>80</v>
      </c>
      <c r="AO30" s="114">
        <f t="shared" si="10"/>
        <v>140</v>
      </c>
      <c r="AP30" s="114">
        <f t="shared" si="10"/>
        <v>80</v>
      </c>
      <c r="AQ30" s="114">
        <f t="shared" si="10"/>
        <v>140</v>
      </c>
      <c r="AR30" s="114">
        <f t="shared" si="10"/>
        <v>220</v>
      </c>
      <c r="AS30" s="114">
        <f t="shared" si="10"/>
        <v>40</v>
      </c>
      <c r="AT30" s="114">
        <f t="shared" si="10"/>
        <v>180</v>
      </c>
      <c r="AU30" s="114">
        <f t="shared" si="10"/>
        <v>60</v>
      </c>
      <c r="AV30" s="114">
        <f t="shared" si="10"/>
        <v>160</v>
      </c>
      <c r="AW30" s="114">
        <f t="shared" si="10"/>
        <v>60</v>
      </c>
      <c r="AX30" s="114">
        <f t="shared" si="10"/>
        <v>160</v>
      </c>
      <c r="AY30" s="114">
        <f t="shared" si="10"/>
        <v>60</v>
      </c>
      <c r="AZ30" s="138">
        <f t="shared" si="5"/>
        <v>5620</v>
      </c>
    </row>
    <row r="32" spans="1:52" x14ac:dyDescent="0.15">
      <c r="A32" s="99" t="s">
        <v>299</v>
      </c>
    </row>
    <row r="33" spans="1:52" x14ac:dyDescent="0.15">
      <c r="A33" s="132" t="s">
        <v>22</v>
      </c>
      <c r="B33" s="132" t="s">
        <v>340</v>
      </c>
      <c r="C33" s="121"/>
      <c r="D33" s="121">
        <f>D$21*shipping_manufacturing!$F$27/100</f>
        <v>0</v>
      </c>
      <c r="E33" s="121">
        <f>E$21*shipping_manufacturing!$F$27/100</f>
        <v>0</v>
      </c>
      <c r="F33" s="121">
        <f>F$21*shipping_manufacturing!$F$27/100</f>
        <v>0</v>
      </c>
      <c r="G33" s="121">
        <f>G$21*shipping_manufacturing!$F$27/100</f>
        <v>0</v>
      </c>
      <c r="H33" s="121">
        <f>H$21*shipping_manufacturing!$F$27/100</f>
        <v>0</v>
      </c>
      <c r="I33" s="121">
        <f>I$21*shipping_manufacturing!$F$27/100</f>
        <v>0</v>
      </c>
      <c r="J33" s="121">
        <f>J$21*shipping_manufacturing!$F$27/100</f>
        <v>0</v>
      </c>
      <c r="K33" s="121">
        <f>K$21*shipping_manufacturing!$F$27/100</f>
        <v>0</v>
      </c>
      <c r="L33" s="121">
        <f>L$21*shipping_manufacturing!$F$27/100</f>
        <v>0</v>
      </c>
      <c r="M33" s="121">
        <f>M$21*shipping_manufacturing!$F$27/100</f>
        <v>0</v>
      </c>
      <c r="N33" s="121">
        <f>N$21*shipping_manufacturing!$F$27/100</f>
        <v>0</v>
      </c>
      <c r="O33" s="121">
        <f>O$21*shipping_manufacturing!$F$27/100</f>
        <v>0</v>
      </c>
      <c r="P33" s="121">
        <f>P$21*shipping_manufacturing!$F$27/100</f>
        <v>0</v>
      </c>
      <c r="Q33" s="121">
        <f>Q$21*shipping_manufacturing!$F$27/100</f>
        <v>0</v>
      </c>
      <c r="R33" s="121">
        <f>R$21*shipping_manufacturing!$F$27/100</f>
        <v>0</v>
      </c>
      <c r="S33" s="121">
        <f>S$21*shipping_manufacturing!$F$27/100</f>
        <v>0</v>
      </c>
      <c r="T33" s="121">
        <f>T$21*shipping_manufacturing!$F$27/100</f>
        <v>0</v>
      </c>
      <c r="U33" s="121">
        <f>U$21*shipping_manufacturing!$F$27/100</f>
        <v>0</v>
      </c>
      <c r="V33" s="121">
        <f>V$21*shipping_manufacturing!$F$27/100</f>
        <v>0</v>
      </c>
      <c r="W33" s="121">
        <f>W$21*shipping_manufacturing!$F$27/100</f>
        <v>0</v>
      </c>
      <c r="X33" s="121">
        <f>X$21*shipping_manufacturing!$F$27/100</f>
        <v>0</v>
      </c>
      <c r="Y33" s="121">
        <f>Y$21*shipping_manufacturing!$F$27/100</f>
        <v>0</v>
      </c>
      <c r="Z33" s="121">
        <f>Z$21*shipping_manufacturing!$F$27/100</f>
        <v>0</v>
      </c>
      <c r="AA33" s="121">
        <f>AA$21*shipping_manufacturing!$F$27/100</f>
        <v>0</v>
      </c>
      <c r="AB33" s="121">
        <f>AB$21*shipping_manufacturing!$F$27/100</f>
        <v>0</v>
      </c>
      <c r="AC33" s="121">
        <f>AC$21*shipping_manufacturing!$F$27/100</f>
        <v>0</v>
      </c>
      <c r="AD33" s="121">
        <f>AD$21*shipping_manufacturing!$F$27/100</f>
        <v>0</v>
      </c>
      <c r="AE33" s="121">
        <f>AE$21*shipping_manufacturing!$F$27/100</f>
        <v>0</v>
      </c>
      <c r="AF33" s="121">
        <f>AF$21*shipping_manufacturing!$F$27/100</f>
        <v>0</v>
      </c>
      <c r="AG33" s="121">
        <f>AG$21*shipping_manufacturing!$F$27/100</f>
        <v>0</v>
      </c>
      <c r="AH33" s="121">
        <f>AH$21*shipping_manufacturing!$F$27/100</f>
        <v>0</v>
      </c>
      <c r="AI33" s="121">
        <f>AI$21*shipping_manufacturing!$F$27/100</f>
        <v>0</v>
      </c>
      <c r="AJ33" s="121">
        <f>AJ$21*shipping_manufacturing!$F$27/100</f>
        <v>0</v>
      </c>
      <c r="AK33" s="121">
        <f>AK$21*shipping_manufacturing!$F$27/100</f>
        <v>0</v>
      </c>
      <c r="AL33" s="121">
        <f>AL$21*shipping_manufacturing!$F$27/100</f>
        <v>0</v>
      </c>
      <c r="AM33" s="121">
        <f>AM$21*shipping_manufacturing!$F$27/100</f>
        <v>0</v>
      </c>
      <c r="AN33" s="121">
        <f>AN$21*shipping_manufacturing!$F$27/100</f>
        <v>0</v>
      </c>
      <c r="AO33" s="121">
        <f>AO$21*shipping_manufacturing!$F$27/100</f>
        <v>0</v>
      </c>
      <c r="AP33" s="121">
        <f>AP$21*shipping_manufacturing!$F$27/100</f>
        <v>0</v>
      </c>
      <c r="AQ33" s="121">
        <f>AQ$21*shipping_manufacturing!$F$27/100</f>
        <v>0</v>
      </c>
      <c r="AR33" s="121">
        <f>AR$21*shipping_manufacturing!$F$27/100</f>
        <v>0</v>
      </c>
      <c r="AS33" s="121">
        <f>AS$21*shipping_manufacturing!$F$27/100</f>
        <v>0</v>
      </c>
      <c r="AT33" s="121">
        <f>AT$21*shipping_manufacturing!$F$27/100</f>
        <v>0</v>
      </c>
      <c r="AU33" s="121">
        <f>AU$21*shipping_manufacturing!$F$27/100</f>
        <v>0</v>
      </c>
      <c r="AV33" s="121">
        <f>AV$21*shipping_manufacturing!$F$27/100</f>
        <v>0</v>
      </c>
      <c r="AW33" s="121">
        <f>AW$21*shipping_manufacturing!$F$27/100</f>
        <v>0</v>
      </c>
      <c r="AX33" s="121">
        <f>AX$21*shipping_manufacturing!$F$27/100</f>
        <v>0</v>
      </c>
      <c r="AY33" s="121">
        <f>AY$21*shipping_manufacturing!$F$27/100</f>
        <v>0</v>
      </c>
    </row>
    <row r="34" spans="1:52" x14ac:dyDescent="0.15">
      <c r="A34" s="110" t="s">
        <v>339</v>
      </c>
      <c r="B34" s="162" t="s">
        <v>341</v>
      </c>
      <c r="C34" s="107"/>
      <c r="D34" s="107">
        <f>D$22*shipping_manufacturing!$G$27/100</f>
        <v>0</v>
      </c>
      <c r="E34" s="107">
        <f>E$22*shipping_manufacturing!$G$27/100</f>
        <v>238.10153195906432</v>
      </c>
      <c r="F34" s="107">
        <f>F$22*shipping_manufacturing!$G$27/100</f>
        <v>238.16677659835014</v>
      </c>
      <c r="G34" s="107">
        <f>G$22*shipping_manufacturing!$G$27/100</f>
        <v>238.23202470881017</v>
      </c>
      <c r="H34" s="107">
        <f>H$22*shipping_manufacturing!$G$27/100</f>
        <v>0</v>
      </c>
      <c r="I34" s="107">
        <f>I$22*shipping_manufacturing!$G$27/100</f>
        <v>250.00000000000003</v>
      </c>
      <c r="J34" s="107">
        <f>J$22*shipping_manufacturing!$G$27/100</f>
        <v>238.42768520768948</v>
      </c>
      <c r="K34" s="107">
        <f>K$22*shipping_manufacturing!$G$27/100</f>
        <v>229.44498914818752</v>
      </c>
      <c r="L34" s="107">
        <f>L$22*shipping_manufacturing!$G$27/100</f>
        <v>238.55795099112964</v>
      </c>
      <c r="M34" s="107">
        <f>M$22*shipping_manufacturing!$G$27/100</f>
        <v>232.29428088103327</v>
      </c>
      <c r="N34" s="107">
        <f>N$22*shipping_manufacturing!$G$27/100</f>
        <v>232.43506944719155</v>
      </c>
      <c r="O34" s="107">
        <f>O$22*shipping_manufacturing!$G$27/100</f>
        <v>223.44981997024632</v>
      </c>
      <c r="P34" s="107">
        <f>P$22*shipping_manufacturing!$G$27/100</f>
        <v>238.81768697449255</v>
      </c>
      <c r="Q34" s="107">
        <f>Q$22*shipping_manufacturing!$G$27/100</f>
        <v>238.88239428365506</v>
      </c>
      <c r="R34" s="107">
        <f>R$22*shipping_manufacturing!$G$27/100</f>
        <v>238.94699006626763</v>
      </c>
      <c r="S34" s="107">
        <f>S$22*shipping_manufacturing!$G$27/100</f>
        <v>239.01146392049978</v>
      </c>
      <c r="T34" s="107">
        <f>T$22*shipping_manufacturing!$G$27/100</f>
        <v>239.07580546123492</v>
      </c>
      <c r="U34" s="107">
        <f>U$22*shipping_manufacturing!$G$27/100</f>
        <v>203.63467268628384</v>
      </c>
      <c r="V34" s="107">
        <f>V$22*shipping_manufacturing!$G$27/100</f>
        <v>212.97274335946878</v>
      </c>
      <c r="W34" s="107">
        <f>W$22*shipping_manufacturing!$G$27/100</f>
        <v>213.06856708571496</v>
      </c>
      <c r="X34" s="107">
        <f>X$22*shipping_manufacturing!$G$27/100</f>
        <v>239.33164147444074</v>
      </c>
      <c r="Y34" s="107">
        <f>Y$22*shipping_manufacturing!$G$27/100</f>
        <v>239.39516638410359</v>
      </c>
      <c r="Z34" s="107">
        <f>Z$22*shipping_manufacturing!$G$27/100</f>
        <v>239.45849712303615</v>
      </c>
      <c r="AA34" s="107">
        <f>AA$22*shipping_manufacturing!$G$27/100</f>
        <v>239.52162347429632</v>
      </c>
      <c r="AB34" s="107">
        <f>AB$22*shipping_manufacturing!$G$27/100</f>
        <v>239.5845352522399</v>
      </c>
      <c r="AC34" s="107">
        <f>AC$22*shipping_manufacturing!$G$27/100</f>
        <v>239.64722230432619</v>
      </c>
      <c r="AD34" s="107">
        <f>AD$22*shipping_manufacturing!$G$27/100</f>
        <v>239.70967451291975</v>
      </c>
      <c r="AE34" s="107">
        <f>AE$22*shipping_manufacturing!$G$27/100</f>
        <v>219.06424924514357</v>
      </c>
      <c r="AF34" s="107">
        <f>AF$22*shipping_manufacturing!$G$27/100</f>
        <v>234.91775453949612</v>
      </c>
      <c r="AG34" s="107">
        <f>AG$22*shipping_manufacturing!$G$27/100</f>
        <v>214.00995031896599</v>
      </c>
      <c r="AH34" s="107">
        <f>AH$22*shipping_manufacturing!$G$27/100</f>
        <v>239.95693388175914</v>
      </c>
      <c r="AI34" s="107">
        <f>AI$22*shipping_manufacturing!$G$27/100</f>
        <v>240.01806145544558</v>
      </c>
      <c r="AJ34" s="107">
        <f>AJ$22*shipping_manufacturing!$G$27/100</f>
        <v>240.07889431301385</v>
      </c>
      <c r="AK34" s="107">
        <f>AK$22*shipping_manufacturing!$G$27/100</f>
        <v>240.13942263112619</v>
      </c>
      <c r="AL34" s="107">
        <f>AL$22*shipping_manufacturing!$G$27/100</f>
        <v>240.19963663554768</v>
      </c>
      <c r="AM34" s="107">
        <f>AM$22*shipping_manufacturing!$G$27/100</f>
        <v>240.25952660288959</v>
      </c>
      <c r="AN34" s="107">
        <f>AN$22*shipping_manufacturing!$G$27/100</f>
        <v>240.31908286234474</v>
      </c>
      <c r="AO34" s="107">
        <f>AO$22*shipping_manufacturing!$G$27/100</f>
        <v>240.37829579741444</v>
      </c>
      <c r="AP34" s="107">
        <f>AP$22*shipping_manufacturing!$G$27/100</f>
        <v>240.43715584762697</v>
      </c>
      <c r="AQ34" s="107">
        <f>AQ$22*shipping_manufacturing!$G$27/100</f>
        <v>0</v>
      </c>
      <c r="AR34" s="107">
        <f>AR$22*shipping_manufacturing!$G$27/100</f>
        <v>249.99999999999997</v>
      </c>
      <c r="AS34" s="107">
        <f>AS$22*shipping_manufacturing!$G$27/100</f>
        <v>240.61152396064071</v>
      </c>
      <c r="AT34" s="107">
        <f>AT$22*shipping_manufacturing!$G$27/100</f>
        <v>236.72701639323651</v>
      </c>
      <c r="AU34" s="107">
        <f>AU$22*shipping_manufacturing!$G$27/100</f>
        <v>240.72583234580279</v>
      </c>
      <c r="AV34" s="107">
        <f>AV$22*shipping_manufacturing!$G$27/100</f>
        <v>240.78237766866616</v>
      </c>
      <c r="AW34" s="107">
        <f>AW$22*shipping_manufacturing!$G$27/100</f>
        <v>240.83850489450842</v>
      </c>
      <c r="AX34" s="107">
        <f>AX$22*shipping_manufacturing!$G$27/100</f>
        <v>240.89420497179492</v>
      </c>
      <c r="AY34" s="107">
        <f>AY$22*shipping_manufacturing!$G$27/100</f>
        <v>240.9494689200435</v>
      </c>
    </row>
    <row r="35" spans="1:52" x14ac:dyDescent="0.15">
      <c r="A35" s="107">
        <v>1225</v>
      </c>
      <c r="B35" s="162" t="s">
        <v>342</v>
      </c>
      <c r="C35" s="107"/>
      <c r="D35" s="107">
        <f>SUM(D33:D34)</f>
        <v>0</v>
      </c>
      <c r="E35" s="107">
        <f t="shared" ref="E35:AY35" si="11">SUM(E33:E34)</f>
        <v>238.10153195906432</v>
      </c>
      <c r="F35" s="107">
        <f t="shared" si="11"/>
        <v>238.16677659835014</v>
      </c>
      <c r="G35" s="107">
        <f t="shared" si="11"/>
        <v>238.23202470881017</v>
      </c>
      <c r="H35" s="107">
        <f t="shared" si="11"/>
        <v>0</v>
      </c>
      <c r="I35" s="107">
        <f t="shared" si="11"/>
        <v>250.00000000000003</v>
      </c>
      <c r="J35" s="107">
        <f t="shared" si="11"/>
        <v>238.42768520768948</v>
      </c>
      <c r="K35" s="107">
        <f t="shared" si="11"/>
        <v>229.44498914818752</v>
      </c>
      <c r="L35" s="107">
        <f t="shared" si="11"/>
        <v>238.55795099112964</v>
      </c>
      <c r="M35" s="107">
        <f t="shared" si="11"/>
        <v>232.29428088103327</v>
      </c>
      <c r="N35" s="107">
        <f t="shared" si="11"/>
        <v>232.43506944719155</v>
      </c>
      <c r="O35" s="107">
        <f t="shared" si="11"/>
        <v>223.44981997024632</v>
      </c>
      <c r="P35" s="107">
        <f t="shared" si="11"/>
        <v>238.81768697449255</v>
      </c>
      <c r="Q35" s="107">
        <f t="shared" si="11"/>
        <v>238.88239428365506</v>
      </c>
      <c r="R35" s="107">
        <f t="shared" si="11"/>
        <v>238.94699006626763</v>
      </c>
      <c r="S35" s="107">
        <f t="shared" si="11"/>
        <v>239.01146392049978</v>
      </c>
      <c r="T35" s="107">
        <f t="shared" si="11"/>
        <v>239.07580546123492</v>
      </c>
      <c r="U35" s="107">
        <f t="shared" si="11"/>
        <v>203.63467268628384</v>
      </c>
      <c r="V35" s="107">
        <f t="shared" si="11"/>
        <v>212.97274335946878</v>
      </c>
      <c r="W35" s="107">
        <f t="shared" si="11"/>
        <v>213.06856708571496</v>
      </c>
      <c r="X35" s="107">
        <f t="shared" si="11"/>
        <v>239.33164147444074</v>
      </c>
      <c r="Y35" s="107">
        <f t="shared" si="11"/>
        <v>239.39516638410359</v>
      </c>
      <c r="Z35" s="107">
        <f t="shared" si="11"/>
        <v>239.45849712303615</v>
      </c>
      <c r="AA35" s="107">
        <f t="shared" si="11"/>
        <v>239.52162347429632</v>
      </c>
      <c r="AB35" s="107">
        <f t="shared" si="11"/>
        <v>239.5845352522399</v>
      </c>
      <c r="AC35" s="107">
        <f t="shared" si="11"/>
        <v>239.64722230432619</v>
      </c>
      <c r="AD35" s="107">
        <f t="shared" si="11"/>
        <v>239.70967451291975</v>
      </c>
      <c r="AE35" s="107">
        <f t="shared" si="11"/>
        <v>219.06424924514357</v>
      </c>
      <c r="AF35" s="107">
        <f t="shared" si="11"/>
        <v>234.91775453949612</v>
      </c>
      <c r="AG35" s="107">
        <f t="shared" si="11"/>
        <v>214.00995031896599</v>
      </c>
      <c r="AH35" s="107">
        <f t="shared" si="11"/>
        <v>239.95693388175914</v>
      </c>
      <c r="AI35" s="107">
        <f t="shared" si="11"/>
        <v>240.01806145544558</v>
      </c>
      <c r="AJ35" s="107">
        <f t="shared" si="11"/>
        <v>240.07889431301385</v>
      </c>
      <c r="AK35" s="107">
        <f t="shared" si="11"/>
        <v>240.13942263112619</v>
      </c>
      <c r="AL35" s="107">
        <f t="shared" si="11"/>
        <v>240.19963663554768</v>
      </c>
      <c r="AM35" s="107">
        <f t="shared" si="11"/>
        <v>240.25952660288959</v>
      </c>
      <c r="AN35" s="107">
        <f t="shared" si="11"/>
        <v>240.31908286234474</v>
      </c>
      <c r="AO35" s="107">
        <f t="shared" si="11"/>
        <v>240.37829579741444</v>
      </c>
      <c r="AP35" s="107">
        <f t="shared" si="11"/>
        <v>240.43715584762697</v>
      </c>
      <c r="AQ35" s="107">
        <f t="shared" si="11"/>
        <v>0</v>
      </c>
      <c r="AR35" s="107">
        <f t="shared" si="11"/>
        <v>249.99999999999997</v>
      </c>
      <c r="AS35" s="107">
        <f t="shared" si="11"/>
        <v>240.61152396064071</v>
      </c>
      <c r="AT35" s="107">
        <f t="shared" si="11"/>
        <v>236.72701639323651</v>
      </c>
      <c r="AU35" s="107">
        <f t="shared" si="11"/>
        <v>240.72583234580279</v>
      </c>
      <c r="AV35" s="107">
        <f t="shared" si="11"/>
        <v>240.78237766866616</v>
      </c>
      <c r="AW35" s="107">
        <f t="shared" si="11"/>
        <v>240.83850489450842</v>
      </c>
      <c r="AX35" s="107">
        <f t="shared" si="11"/>
        <v>240.89420497179492</v>
      </c>
      <c r="AY35" s="107">
        <f t="shared" si="11"/>
        <v>240.9494689200435</v>
      </c>
    </row>
    <row r="36" spans="1:52" x14ac:dyDescent="0.15">
      <c r="A36" s="107"/>
      <c r="B36" s="162" t="s">
        <v>343</v>
      </c>
      <c r="C36" s="107"/>
      <c r="D36" s="107"/>
      <c r="E36" s="107">
        <v>0</v>
      </c>
      <c r="F36" s="107">
        <v>0</v>
      </c>
      <c r="G36" s="107">
        <v>0</v>
      </c>
      <c r="H36" s="107"/>
      <c r="I36" s="107">
        <v>0</v>
      </c>
      <c r="J36" s="107">
        <v>0</v>
      </c>
      <c r="K36" s="107">
        <v>0</v>
      </c>
      <c r="L36" s="107">
        <v>0</v>
      </c>
      <c r="M36" s="107">
        <v>0</v>
      </c>
      <c r="N36" s="107">
        <v>0</v>
      </c>
      <c r="O36" s="107">
        <v>0</v>
      </c>
      <c r="P36" s="107">
        <v>0</v>
      </c>
      <c r="Q36" s="107">
        <v>0</v>
      </c>
      <c r="R36" s="107">
        <v>0</v>
      </c>
      <c r="S36" s="107">
        <v>0</v>
      </c>
      <c r="T36" s="107">
        <v>0</v>
      </c>
      <c r="U36" s="107">
        <v>0</v>
      </c>
      <c r="V36" s="107">
        <v>0</v>
      </c>
      <c r="W36" s="107">
        <v>0</v>
      </c>
      <c r="X36" s="107">
        <v>0</v>
      </c>
      <c r="Y36" s="107">
        <v>0</v>
      </c>
      <c r="Z36" s="107">
        <v>0</v>
      </c>
      <c r="AA36" s="107">
        <v>0</v>
      </c>
      <c r="AB36" s="107">
        <v>0</v>
      </c>
      <c r="AC36" s="107">
        <v>0</v>
      </c>
      <c r="AD36" s="107">
        <v>0</v>
      </c>
      <c r="AE36" s="107">
        <v>0</v>
      </c>
      <c r="AF36" s="107">
        <v>0</v>
      </c>
      <c r="AG36" s="107">
        <v>0</v>
      </c>
      <c r="AH36" s="107">
        <v>0</v>
      </c>
      <c r="AI36" s="107">
        <v>0</v>
      </c>
      <c r="AJ36" s="107">
        <v>0</v>
      </c>
      <c r="AK36" s="107">
        <v>0</v>
      </c>
      <c r="AL36" s="107">
        <v>0</v>
      </c>
      <c r="AM36" s="107">
        <v>0</v>
      </c>
      <c r="AN36" s="107">
        <v>0</v>
      </c>
      <c r="AO36" s="107">
        <v>0</v>
      </c>
      <c r="AP36" s="107">
        <v>0</v>
      </c>
      <c r="AQ36" s="107"/>
      <c r="AR36" s="107">
        <v>0</v>
      </c>
      <c r="AS36" s="107">
        <v>0</v>
      </c>
      <c r="AT36" s="107">
        <v>0</v>
      </c>
      <c r="AU36" s="107">
        <v>0</v>
      </c>
      <c r="AV36" s="107">
        <v>0</v>
      </c>
      <c r="AW36" s="107">
        <v>0</v>
      </c>
      <c r="AX36" s="107">
        <v>0</v>
      </c>
      <c r="AY36" s="107">
        <v>0</v>
      </c>
    </row>
    <row r="37" spans="1:52" x14ac:dyDescent="0.15">
      <c r="A37" s="107"/>
      <c r="B37" s="162" t="s">
        <v>344</v>
      </c>
      <c r="C37" s="107"/>
      <c r="D37" s="107"/>
      <c r="E37" s="107">
        <v>238.10153195906432</v>
      </c>
      <c r="F37" s="107">
        <v>90</v>
      </c>
      <c r="G37" s="107">
        <v>238.23202470881017</v>
      </c>
      <c r="H37" s="107"/>
      <c r="I37" s="107">
        <v>250.00000000000003</v>
      </c>
      <c r="J37" s="107">
        <v>60</v>
      </c>
      <c r="K37" s="107">
        <v>229.44498914818752</v>
      </c>
      <c r="L37" s="107">
        <v>90</v>
      </c>
      <c r="M37" s="107">
        <v>232.29428088103327</v>
      </c>
      <c r="N37" s="107">
        <v>90</v>
      </c>
      <c r="O37" s="107">
        <v>223.44981997024632</v>
      </c>
      <c r="P37" s="107">
        <v>90</v>
      </c>
      <c r="Q37" s="107">
        <v>238.88239428365506</v>
      </c>
      <c r="R37" s="107">
        <v>90</v>
      </c>
      <c r="S37" s="107">
        <v>239.01146392049978</v>
      </c>
      <c r="T37" s="107">
        <v>90</v>
      </c>
      <c r="U37" s="107">
        <v>203.63467268628384</v>
      </c>
      <c r="V37" s="107">
        <v>120</v>
      </c>
      <c r="W37" s="107">
        <v>210</v>
      </c>
      <c r="X37" s="107">
        <v>120</v>
      </c>
      <c r="Y37" s="107">
        <v>210</v>
      </c>
      <c r="Z37" s="107">
        <v>120</v>
      </c>
      <c r="AA37" s="107">
        <v>210</v>
      </c>
      <c r="AB37" s="107">
        <v>120</v>
      </c>
      <c r="AC37" s="107">
        <v>210</v>
      </c>
      <c r="AD37" s="107">
        <v>120</v>
      </c>
      <c r="AE37" s="107">
        <v>210</v>
      </c>
      <c r="AF37" s="107">
        <v>120</v>
      </c>
      <c r="AG37" s="107">
        <v>210</v>
      </c>
      <c r="AH37" s="107">
        <v>120</v>
      </c>
      <c r="AI37" s="107">
        <v>210</v>
      </c>
      <c r="AJ37" s="107">
        <v>120</v>
      </c>
      <c r="AK37" s="107">
        <v>210</v>
      </c>
      <c r="AL37" s="107">
        <v>120</v>
      </c>
      <c r="AM37" s="107">
        <v>210</v>
      </c>
      <c r="AN37" s="107">
        <v>120</v>
      </c>
      <c r="AO37" s="107">
        <v>210</v>
      </c>
      <c r="AP37" s="107">
        <v>120</v>
      </c>
      <c r="AQ37" s="107"/>
      <c r="AR37" s="107">
        <v>249.99999999999997</v>
      </c>
      <c r="AS37" s="107">
        <v>60</v>
      </c>
      <c r="AT37" s="107">
        <v>236.72701639323651</v>
      </c>
      <c r="AU37" s="107">
        <v>90</v>
      </c>
      <c r="AV37" s="107">
        <v>240</v>
      </c>
      <c r="AW37" s="107">
        <v>90</v>
      </c>
      <c r="AX37" s="107">
        <v>240</v>
      </c>
      <c r="AY37" s="107">
        <v>90</v>
      </c>
    </row>
    <row r="38" spans="1:52" x14ac:dyDescent="0.15">
      <c r="A38" s="107"/>
      <c r="B38" s="162" t="s">
        <v>345</v>
      </c>
      <c r="C38" s="107"/>
      <c r="D38" s="107"/>
      <c r="E38" s="107">
        <v>8</v>
      </c>
      <c r="F38" s="107">
        <v>3</v>
      </c>
      <c r="G38" s="107">
        <v>8</v>
      </c>
      <c r="H38" s="107"/>
      <c r="I38" s="107">
        <v>9</v>
      </c>
      <c r="J38" s="107">
        <v>2</v>
      </c>
      <c r="K38" s="107">
        <v>8</v>
      </c>
      <c r="L38" s="107">
        <v>3</v>
      </c>
      <c r="M38" s="107">
        <v>8</v>
      </c>
      <c r="N38" s="107">
        <v>3</v>
      </c>
      <c r="O38" s="107">
        <v>8</v>
      </c>
      <c r="P38" s="107">
        <v>3</v>
      </c>
      <c r="Q38" s="107">
        <v>8</v>
      </c>
      <c r="R38" s="107">
        <v>3</v>
      </c>
      <c r="S38" s="107">
        <v>8</v>
      </c>
      <c r="T38" s="107">
        <v>3</v>
      </c>
      <c r="U38" s="107">
        <v>7</v>
      </c>
      <c r="V38" s="107">
        <v>4</v>
      </c>
      <c r="W38" s="107">
        <v>7</v>
      </c>
      <c r="X38" s="107">
        <v>4</v>
      </c>
      <c r="Y38" s="107">
        <v>7</v>
      </c>
      <c r="Z38" s="107">
        <v>4</v>
      </c>
      <c r="AA38" s="107">
        <v>7</v>
      </c>
      <c r="AB38" s="107">
        <v>4</v>
      </c>
      <c r="AC38" s="107">
        <v>7</v>
      </c>
      <c r="AD38" s="107">
        <v>4</v>
      </c>
      <c r="AE38" s="107">
        <v>7</v>
      </c>
      <c r="AF38" s="107">
        <v>4</v>
      </c>
      <c r="AG38" s="107">
        <v>7</v>
      </c>
      <c r="AH38" s="107">
        <v>4</v>
      </c>
      <c r="AI38" s="107">
        <v>7</v>
      </c>
      <c r="AJ38" s="107">
        <v>4</v>
      </c>
      <c r="AK38" s="107">
        <v>7</v>
      </c>
      <c r="AL38" s="107">
        <v>4</v>
      </c>
      <c r="AM38" s="107">
        <v>7</v>
      </c>
      <c r="AN38" s="107">
        <v>4</v>
      </c>
      <c r="AO38" s="107">
        <v>7</v>
      </c>
      <c r="AP38" s="107">
        <v>4</v>
      </c>
      <c r="AQ38" s="107"/>
      <c r="AR38" s="107">
        <v>9</v>
      </c>
      <c r="AS38" s="107">
        <v>2</v>
      </c>
      <c r="AT38" s="107">
        <v>8</v>
      </c>
      <c r="AU38" s="107">
        <v>3</v>
      </c>
      <c r="AV38" s="107">
        <v>8</v>
      </c>
      <c r="AW38" s="107">
        <v>3</v>
      </c>
      <c r="AX38" s="107">
        <v>8</v>
      </c>
      <c r="AY38" s="107">
        <v>3</v>
      </c>
    </row>
    <row r="39" spans="1:52" x14ac:dyDescent="0.15">
      <c r="A39" s="107"/>
      <c r="B39" s="162" t="s">
        <v>346</v>
      </c>
      <c r="C39" s="107"/>
      <c r="D39" s="107">
        <f>D33-D36</f>
        <v>0</v>
      </c>
      <c r="E39" s="107">
        <f t="shared" ref="E39:AY39" si="12">E33-E36</f>
        <v>0</v>
      </c>
      <c r="F39" s="107">
        <f t="shared" si="12"/>
        <v>0</v>
      </c>
      <c r="G39" s="107">
        <f t="shared" si="12"/>
        <v>0</v>
      </c>
      <c r="H39" s="107">
        <f t="shared" si="12"/>
        <v>0</v>
      </c>
      <c r="I39" s="107">
        <f t="shared" si="12"/>
        <v>0</v>
      </c>
      <c r="J39" s="107">
        <f t="shared" si="12"/>
        <v>0</v>
      </c>
      <c r="K39" s="107">
        <f t="shared" si="12"/>
        <v>0</v>
      </c>
      <c r="L39" s="107">
        <f t="shared" si="12"/>
        <v>0</v>
      </c>
      <c r="M39" s="107">
        <f t="shared" si="12"/>
        <v>0</v>
      </c>
      <c r="N39" s="107">
        <f t="shared" si="12"/>
        <v>0</v>
      </c>
      <c r="O39" s="107">
        <f t="shared" si="12"/>
        <v>0</v>
      </c>
      <c r="P39" s="107">
        <f t="shared" si="12"/>
        <v>0</v>
      </c>
      <c r="Q39" s="107">
        <f t="shared" si="12"/>
        <v>0</v>
      </c>
      <c r="R39" s="107">
        <f t="shared" si="12"/>
        <v>0</v>
      </c>
      <c r="S39" s="107">
        <f t="shared" si="12"/>
        <v>0</v>
      </c>
      <c r="T39" s="107">
        <f t="shared" si="12"/>
        <v>0</v>
      </c>
      <c r="U39" s="107">
        <f t="shared" si="12"/>
        <v>0</v>
      </c>
      <c r="V39" s="107">
        <f t="shared" si="12"/>
        <v>0</v>
      </c>
      <c r="W39" s="107">
        <f t="shared" si="12"/>
        <v>0</v>
      </c>
      <c r="X39" s="107">
        <f t="shared" si="12"/>
        <v>0</v>
      </c>
      <c r="Y39" s="107">
        <f t="shared" si="12"/>
        <v>0</v>
      </c>
      <c r="Z39" s="107">
        <f t="shared" si="12"/>
        <v>0</v>
      </c>
      <c r="AA39" s="107">
        <f t="shared" si="12"/>
        <v>0</v>
      </c>
      <c r="AB39" s="107">
        <f t="shared" si="12"/>
        <v>0</v>
      </c>
      <c r="AC39" s="107">
        <f t="shared" si="12"/>
        <v>0</v>
      </c>
      <c r="AD39" s="107">
        <f t="shared" si="12"/>
        <v>0</v>
      </c>
      <c r="AE39" s="107">
        <f t="shared" si="12"/>
        <v>0</v>
      </c>
      <c r="AF39" s="107">
        <f t="shared" si="12"/>
        <v>0</v>
      </c>
      <c r="AG39" s="107">
        <f t="shared" si="12"/>
        <v>0</v>
      </c>
      <c r="AH39" s="107">
        <f t="shared" si="12"/>
        <v>0</v>
      </c>
      <c r="AI39" s="107">
        <f t="shared" si="12"/>
        <v>0</v>
      </c>
      <c r="AJ39" s="107">
        <f t="shared" si="12"/>
        <v>0</v>
      </c>
      <c r="AK39" s="107">
        <f t="shared" si="12"/>
        <v>0</v>
      </c>
      <c r="AL39" s="107">
        <f t="shared" si="12"/>
        <v>0</v>
      </c>
      <c r="AM39" s="107">
        <f t="shared" si="12"/>
        <v>0</v>
      </c>
      <c r="AN39" s="107">
        <f t="shared" si="12"/>
        <v>0</v>
      </c>
      <c r="AO39" s="107">
        <f t="shared" si="12"/>
        <v>0</v>
      </c>
      <c r="AP39" s="107">
        <f t="shared" si="12"/>
        <v>0</v>
      </c>
      <c r="AQ39" s="107">
        <f t="shared" si="12"/>
        <v>0</v>
      </c>
      <c r="AR39" s="107">
        <f t="shared" si="12"/>
        <v>0</v>
      </c>
      <c r="AS39" s="107">
        <f t="shared" si="12"/>
        <v>0</v>
      </c>
      <c r="AT39" s="107">
        <f t="shared" si="12"/>
        <v>0</v>
      </c>
      <c r="AU39" s="107">
        <f t="shared" si="12"/>
        <v>0</v>
      </c>
      <c r="AV39" s="107">
        <f t="shared" si="12"/>
        <v>0</v>
      </c>
      <c r="AW39" s="107">
        <f t="shared" si="12"/>
        <v>0</v>
      </c>
      <c r="AX39" s="107">
        <f t="shared" si="12"/>
        <v>0</v>
      </c>
      <c r="AY39" s="107">
        <f t="shared" si="12"/>
        <v>0</v>
      </c>
    </row>
    <row r="40" spans="1:52" x14ac:dyDescent="0.15">
      <c r="A40" s="107"/>
      <c r="B40" s="162" t="s">
        <v>347</v>
      </c>
      <c r="C40" s="107"/>
      <c r="D40" s="107">
        <f>D34-D37</f>
        <v>0</v>
      </c>
      <c r="E40" s="107">
        <f t="shared" ref="E40:AY40" si="13">E34-E37</f>
        <v>0</v>
      </c>
      <c r="F40" s="107">
        <f t="shared" si="13"/>
        <v>148.16677659835014</v>
      </c>
      <c r="G40" s="107">
        <f t="shared" si="13"/>
        <v>0</v>
      </c>
      <c r="H40" s="107">
        <f t="shared" si="13"/>
        <v>0</v>
      </c>
      <c r="I40" s="107">
        <f t="shared" si="13"/>
        <v>0</v>
      </c>
      <c r="J40" s="107">
        <f t="shared" si="13"/>
        <v>178.42768520768948</v>
      </c>
      <c r="K40" s="107">
        <f t="shared" si="13"/>
        <v>0</v>
      </c>
      <c r="L40" s="107">
        <f t="shared" si="13"/>
        <v>148.55795099112964</v>
      </c>
      <c r="M40" s="107">
        <f t="shared" si="13"/>
        <v>0</v>
      </c>
      <c r="N40" s="107">
        <f t="shared" si="13"/>
        <v>142.43506944719155</v>
      </c>
      <c r="O40" s="107">
        <f t="shared" si="13"/>
        <v>0</v>
      </c>
      <c r="P40" s="107">
        <f t="shared" si="13"/>
        <v>148.81768697449255</v>
      </c>
      <c r="Q40" s="107">
        <f t="shared" si="13"/>
        <v>0</v>
      </c>
      <c r="R40" s="107">
        <f t="shared" si="13"/>
        <v>148.94699006626763</v>
      </c>
      <c r="S40" s="107">
        <f t="shared" si="13"/>
        <v>0</v>
      </c>
      <c r="T40" s="107">
        <f t="shared" si="13"/>
        <v>149.07580546123492</v>
      </c>
      <c r="U40" s="107">
        <f t="shared" si="13"/>
        <v>0</v>
      </c>
      <c r="V40" s="107">
        <f t="shared" si="13"/>
        <v>92.97274335946878</v>
      </c>
      <c r="W40" s="107">
        <f t="shared" si="13"/>
        <v>3.0685670857149603</v>
      </c>
      <c r="X40" s="107">
        <f t="shared" si="13"/>
        <v>119.33164147444074</v>
      </c>
      <c r="Y40" s="107">
        <f t="shared" si="13"/>
        <v>29.39516638410359</v>
      </c>
      <c r="Z40" s="107">
        <f t="shared" si="13"/>
        <v>119.45849712303615</v>
      </c>
      <c r="AA40" s="107">
        <f t="shared" si="13"/>
        <v>29.52162347429632</v>
      </c>
      <c r="AB40" s="107">
        <f t="shared" si="13"/>
        <v>119.5845352522399</v>
      </c>
      <c r="AC40" s="107">
        <f t="shared" si="13"/>
        <v>29.647222304326192</v>
      </c>
      <c r="AD40" s="107">
        <f t="shared" si="13"/>
        <v>119.70967451291975</v>
      </c>
      <c r="AE40" s="107">
        <f t="shared" si="13"/>
        <v>9.0642492451435714</v>
      </c>
      <c r="AF40" s="107">
        <f t="shared" si="13"/>
        <v>114.91775453949612</v>
      </c>
      <c r="AG40" s="107">
        <f t="shared" si="13"/>
        <v>4.0099503189659913</v>
      </c>
      <c r="AH40" s="107">
        <f t="shared" si="13"/>
        <v>119.95693388175914</v>
      </c>
      <c r="AI40" s="107">
        <f t="shared" si="13"/>
        <v>30.018061455445576</v>
      </c>
      <c r="AJ40" s="107">
        <f t="shared" si="13"/>
        <v>120.07889431301385</v>
      </c>
      <c r="AK40" s="107">
        <f t="shared" si="13"/>
        <v>30.139422631126195</v>
      </c>
      <c r="AL40" s="107">
        <f t="shared" si="13"/>
        <v>120.19963663554768</v>
      </c>
      <c r="AM40" s="107">
        <f t="shared" si="13"/>
        <v>30.259526602889594</v>
      </c>
      <c r="AN40" s="107">
        <f t="shared" si="13"/>
        <v>120.31908286234474</v>
      </c>
      <c r="AO40" s="107">
        <f t="shared" si="13"/>
        <v>30.378295797414438</v>
      </c>
      <c r="AP40" s="107">
        <f t="shared" si="13"/>
        <v>120.43715584762697</v>
      </c>
      <c r="AQ40" s="107">
        <f t="shared" si="13"/>
        <v>0</v>
      </c>
      <c r="AR40" s="107">
        <f t="shared" si="13"/>
        <v>0</v>
      </c>
      <c r="AS40" s="107">
        <f t="shared" si="13"/>
        <v>180.61152396064071</v>
      </c>
      <c r="AT40" s="107">
        <f t="shared" si="13"/>
        <v>0</v>
      </c>
      <c r="AU40" s="107">
        <f t="shared" si="13"/>
        <v>150.72583234580279</v>
      </c>
      <c r="AV40" s="107">
        <f t="shared" si="13"/>
        <v>0.78237766866615743</v>
      </c>
      <c r="AW40" s="107">
        <f t="shared" si="13"/>
        <v>150.83850489450842</v>
      </c>
      <c r="AX40" s="107">
        <f t="shared" si="13"/>
        <v>0.89420497179492031</v>
      </c>
      <c r="AY40" s="107">
        <f t="shared" si="13"/>
        <v>150.9494689200435</v>
      </c>
    </row>
    <row r="41" spans="1:52" x14ac:dyDescent="0.15">
      <c r="A41" s="107"/>
      <c r="B41" s="162" t="s">
        <v>348</v>
      </c>
      <c r="C41" s="107"/>
      <c r="D41" s="107">
        <v>2</v>
      </c>
      <c r="E41" s="107">
        <v>2</v>
      </c>
      <c r="F41" s="107">
        <v>2</v>
      </c>
      <c r="G41" s="107">
        <v>1</v>
      </c>
      <c r="H41" s="107">
        <v>2</v>
      </c>
      <c r="I41" s="107">
        <v>2</v>
      </c>
      <c r="J41" s="107">
        <v>2</v>
      </c>
      <c r="K41" s="107">
        <v>1</v>
      </c>
      <c r="L41" s="107">
        <v>1</v>
      </c>
      <c r="M41" s="107">
        <v>2</v>
      </c>
      <c r="N41" s="107">
        <v>1</v>
      </c>
      <c r="O41" s="107">
        <v>2</v>
      </c>
      <c r="P41" s="107">
        <v>3</v>
      </c>
      <c r="Q41" s="107">
        <v>1</v>
      </c>
      <c r="R41" s="107">
        <v>1</v>
      </c>
      <c r="S41" s="107">
        <v>2</v>
      </c>
      <c r="T41" s="107">
        <v>1</v>
      </c>
      <c r="U41" s="107">
        <v>1</v>
      </c>
      <c r="V41" s="107">
        <v>1</v>
      </c>
      <c r="W41" s="107">
        <v>1</v>
      </c>
      <c r="X41" s="107">
        <v>3</v>
      </c>
      <c r="Y41" s="107">
        <v>2</v>
      </c>
      <c r="Z41" s="107">
        <v>1</v>
      </c>
      <c r="AA41" s="107">
        <v>2</v>
      </c>
      <c r="AB41" s="107">
        <v>1</v>
      </c>
      <c r="AC41" s="107">
        <v>2</v>
      </c>
      <c r="AD41" s="107">
        <v>1</v>
      </c>
      <c r="AE41" s="107">
        <v>2</v>
      </c>
      <c r="AF41" s="107">
        <v>1</v>
      </c>
      <c r="AG41" s="107">
        <v>1</v>
      </c>
      <c r="AH41" s="107">
        <v>2</v>
      </c>
      <c r="AI41" s="107">
        <v>1</v>
      </c>
      <c r="AJ41" s="107">
        <v>2</v>
      </c>
      <c r="AK41" s="107">
        <v>1</v>
      </c>
      <c r="AL41" s="107">
        <v>1</v>
      </c>
      <c r="AM41" s="107">
        <v>3</v>
      </c>
      <c r="AN41" s="107">
        <v>1</v>
      </c>
      <c r="AO41" s="107">
        <v>1</v>
      </c>
      <c r="AP41" s="107">
        <v>1</v>
      </c>
      <c r="AQ41" s="107">
        <v>1</v>
      </c>
      <c r="AR41" s="107">
        <v>1</v>
      </c>
      <c r="AS41" s="107">
        <v>1</v>
      </c>
      <c r="AT41" s="107">
        <v>1</v>
      </c>
      <c r="AU41" s="107">
        <v>1</v>
      </c>
      <c r="AV41" s="107">
        <v>2</v>
      </c>
      <c r="AW41" s="107">
        <v>1</v>
      </c>
      <c r="AX41" s="107">
        <v>1</v>
      </c>
      <c r="AY41" s="107">
        <v>1</v>
      </c>
    </row>
    <row r="42" spans="1:52" x14ac:dyDescent="0.15">
      <c r="A42" s="107"/>
      <c r="B42" s="175" t="s">
        <v>349</v>
      </c>
      <c r="C42" s="107"/>
      <c r="D42" s="107">
        <v>0</v>
      </c>
      <c r="E42" s="107">
        <v>352800</v>
      </c>
      <c r="F42" s="107">
        <v>132300</v>
      </c>
      <c r="G42" s="107">
        <v>352800</v>
      </c>
      <c r="H42" s="107">
        <v>0</v>
      </c>
      <c r="I42" s="107">
        <v>396900</v>
      </c>
      <c r="J42" s="107">
        <v>88200</v>
      </c>
      <c r="K42" s="107">
        <v>352800</v>
      </c>
      <c r="L42" s="107">
        <v>132300</v>
      </c>
      <c r="M42" s="107">
        <v>352800</v>
      </c>
      <c r="N42" s="107">
        <v>132300</v>
      </c>
      <c r="O42" s="107">
        <v>352800</v>
      </c>
      <c r="P42" s="107">
        <v>132300</v>
      </c>
      <c r="Q42" s="107">
        <v>352800</v>
      </c>
      <c r="R42" s="107">
        <v>132300</v>
      </c>
      <c r="S42" s="107">
        <v>352800</v>
      </c>
      <c r="T42" s="107">
        <v>132300</v>
      </c>
      <c r="U42" s="107">
        <v>308700</v>
      </c>
      <c r="V42" s="107">
        <v>176400</v>
      </c>
      <c r="W42" s="107">
        <v>308700</v>
      </c>
      <c r="X42" s="107">
        <v>176400</v>
      </c>
      <c r="Y42" s="107">
        <v>308700</v>
      </c>
      <c r="Z42" s="107">
        <v>176400</v>
      </c>
      <c r="AA42" s="107">
        <v>308700</v>
      </c>
      <c r="AB42" s="107">
        <v>176400</v>
      </c>
      <c r="AC42" s="107">
        <v>308700</v>
      </c>
      <c r="AD42" s="107">
        <v>176400</v>
      </c>
      <c r="AE42" s="107">
        <v>308700</v>
      </c>
      <c r="AF42" s="107">
        <v>176400</v>
      </c>
      <c r="AG42" s="107">
        <v>308700</v>
      </c>
      <c r="AH42" s="107">
        <v>176400</v>
      </c>
      <c r="AI42" s="107">
        <v>308700</v>
      </c>
      <c r="AJ42" s="107">
        <v>176400</v>
      </c>
      <c r="AK42" s="107">
        <v>308700</v>
      </c>
      <c r="AL42" s="107">
        <v>176400</v>
      </c>
      <c r="AM42" s="107">
        <v>308700</v>
      </c>
      <c r="AN42" s="107">
        <v>176400</v>
      </c>
      <c r="AO42" s="107">
        <v>308700</v>
      </c>
      <c r="AP42" s="107">
        <v>176400</v>
      </c>
      <c r="AQ42" s="107">
        <v>0</v>
      </c>
      <c r="AR42" s="107">
        <v>396900</v>
      </c>
      <c r="AS42" s="107">
        <v>88200</v>
      </c>
      <c r="AT42" s="107">
        <v>352800</v>
      </c>
      <c r="AU42" s="107">
        <v>132300</v>
      </c>
      <c r="AV42" s="107">
        <v>352800</v>
      </c>
      <c r="AW42" s="107">
        <v>132300</v>
      </c>
      <c r="AX42" s="107">
        <v>352800</v>
      </c>
      <c r="AY42" s="107">
        <v>132300</v>
      </c>
      <c r="AZ42" s="97">
        <f>SUM($D$42:$AY$42)</f>
        <v>11025000</v>
      </c>
    </row>
    <row r="43" spans="1:52" x14ac:dyDescent="0.15">
      <c r="A43" s="107"/>
      <c r="B43" s="175" t="s">
        <v>350</v>
      </c>
      <c r="C43" s="107"/>
      <c r="D43" s="107">
        <v>0</v>
      </c>
      <c r="E43" s="107">
        <v>0</v>
      </c>
      <c r="F43" s="107">
        <v>117977.7958664363</v>
      </c>
      <c r="G43" s="107">
        <v>0</v>
      </c>
      <c r="H43" s="107">
        <v>0</v>
      </c>
      <c r="I43" s="107">
        <v>0</v>
      </c>
      <c r="J43" s="107">
        <v>142073.04434662274</v>
      </c>
      <c r="K43" s="107">
        <v>0</v>
      </c>
      <c r="L43" s="107">
        <v>118289.26847668699</v>
      </c>
      <c r="M43" s="107">
        <v>0</v>
      </c>
      <c r="N43" s="107">
        <v>113413.92404732628</v>
      </c>
      <c r="O43" s="107">
        <v>0</v>
      </c>
      <c r="P43" s="107">
        <v>118496.08325343971</v>
      </c>
      <c r="Q43" s="107">
        <v>0</v>
      </c>
      <c r="R43" s="107">
        <v>118599.0408402656</v>
      </c>
      <c r="S43" s="107">
        <v>0</v>
      </c>
      <c r="T43" s="107">
        <v>118701.6100985083</v>
      </c>
      <c r="U43" s="107">
        <v>0</v>
      </c>
      <c r="V43" s="107">
        <v>74029.546899977024</v>
      </c>
      <c r="W43" s="107">
        <v>2443.3465420005373</v>
      </c>
      <c r="X43" s="107">
        <v>95017.819524023449</v>
      </c>
      <c r="Y43" s="107">
        <v>23405.901233342483</v>
      </c>
      <c r="Z43" s="107">
        <v>95118.828334217542</v>
      </c>
      <c r="AA43" s="107">
        <v>23506.592691408448</v>
      </c>
      <c r="AB43" s="107">
        <v>95219.186194596026</v>
      </c>
      <c r="AC43" s="107">
        <v>23606.600759819732</v>
      </c>
      <c r="AD43" s="107">
        <v>95318.828330912351</v>
      </c>
      <c r="AE43" s="107">
        <v>7217.4084614455687</v>
      </c>
      <c r="AF43" s="107">
        <v>91503.262052073784</v>
      </c>
      <c r="AG43" s="107">
        <v>3192.922941476671</v>
      </c>
      <c r="AH43" s="107">
        <v>95515.708603350708</v>
      </c>
      <c r="AI43" s="107">
        <v>23901.881433898543</v>
      </c>
      <c r="AJ43" s="107">
        <v>95612.819596737289</v>
      </c>
      <c r="AK43" s="107">
        <v>23998.515270034233</v>
      </c>
      <c r="AL43" s="107">
        <v>95708.96067105484</v>
      </c>
      <c r="AM43" s="107">
        <v>24094.148057550839</v>
      </c>
      <c r="AN43" s="107">
        <v>95804.069729141993</v>
      </c>
      <c r="AO43" s="107">
        <v>24188.718028691248</v>
      </c>
      <c r="AP43" s="107">
        <v>95898.085343672967</v>
      </c>
      <c r="AQ43" s="107">
        <v>0</v>
      </c>
      <c r="AR43" s="107">
        <v>0</v>
      </c>
      <c r="AS43" s="107">
        <v>143811.92595366016</v>
      </c>
      <c r="AT43" s="107">
        <v>0</v>
      </c>
      <c r="AU43" s="107">
        <v>120015.44400534547</v>
      </c>
      <c r="AV43" s="107">
        <v>622.96821867542792</v>
      </c>
      <c r="AW43" s="107">
        <v>120105.15952225233</v>
      </c>
      <c r="AX43" s="107">
        <v>712.01070879170527</v>
      </c>
      <c r="AY43" s="107">
        <v>120193.51462758465</v>
      </c>
      <c r="AZ43" s="97">
        <f>SUM($D$43:$AY$43)</f>
        <v>2557314.9406650215</v>
      </c>
    </row>
    <row r="44" spans="1:52" x14ac:dyDescent="0.15">
      <c r="A44" s="132" t="s">
        <v>59</v>
      </c>
      <c r="B44" s="132" t="s">
        <v>340</v>
      </c>
      <c r="C44" s="121"/>
      <c r="D44" s="121">
        <f>D$21*shipping_manufacturing!$F$28/100</f>
        <v>0</v>
      </c>
      <c r="E44" s="121">
        <f>E$21*shipping_manufacturing!$F$28/100</f>
        <v>238.10153195906432</v>
      </c>
      <c r="F44" s="121">
        <f>F$21*shipping_manufacturing!$F$28/100</f>
        <v>238.16677659835014</v>
      </c>
      <c r="G44" s="121">
        <f>G$21*shipping_manufacturing!$F$28/100</f>
        <v>238.23202470881017</v>
      </c>
      <c r="H44" s="121">
        <f>H$21*shipping_manufacturing!$F$28/100</f>
        <v>0</v>
      </c>
      <c r="I44" s="121">
        <f>I$21*shipping_manufacturing!$F$28/100</f>
        <v>250.00000000000003</v>
      </c>
      <c r="J44" s="121">
        <f>J$21*shipping_manufacturing!$F$28/100</f>
        <v>238.42768520768948</v>
      </c>
      <c r="K44" s="121">
        <f>K$21*shipping_manufacturing!$F$28/100</f>
        <v>229.44498914818752</v>
      </c>
      <c r="L44" s="121">
        <f>L$21*shipping_manufacturing!$F$28/100</f>
        <v>238.55795099112964</v>
      </c>
      <c r="M44" s="121">
        <f>M$21*shipping_manufacturing!$F$28/100</f>
        <v>232.29428088103327</v>
      </c>
      <c r="N44" s="121">
        <f>N$21*shipping_manufacturing!$F$28/100</f>
        <v>232.43506944719155</v>
      </c>
      <c r="O44" s="121">
        <f>O$21*shipping_manufacturing!$F$28/100</f>
        <v>223.44981997024632</v>
      </c>
      <c r="P44" s="121">
        <f>P$21*shipping_manufacturing!$F$28/100</f>
        <v>238.81768697449255</v>
      </c>
      <c r="Q44" s="121">
        <f>Q$21*shipping_manufacturing!$F$28/100</f>
        <v>238.88239428365506</v>
      </c>
      <c r="R44" s="121">
        <f>R$21*shipping_manufacturing!$F$28/100</f>
        <v>238.94699006626763</v>
      </c>
      <c r="S44" s="121">
        <f>S$21*shipping_manufacturing!$F$28/100</f>
        <v>239.01146392049978</v>
      </c>
      <c r="T44" s="121">
        <f>T$21*shipping_manufacturing!$F$28/100</f>
        <v>239.07580546123492</v>
      </c>
      <c r="U44" s="121">
        <f>U$21*shipping_manufacturing!$F$28/100</f>
        <v>203.63467268628384</v>
      </c>
      <c r="V44" s="121">
        <f>V$21*shipping_manufacturing!$F$28/100</f>
        <v>212.97274335946878</v>
      </c>
      <c r="W44" s="121">
        <f>W$21*shipping_manufacturing!$F$28/100</f>
        <v>213.06856708571496</v>
      </c>
      <c r="X44" s="121">
        <f>X$21*shipping_manufacturing!$F$28/100</f>
        <v>239.33164147444074</v>
      </c>
      <c r="Y44" s="121">
        <f>Y$21*shipping_manufacturing!$F$28/100</f>
        <v>239.39516638410359</v>
      </c>
      <c r="Z44" s="121">
        <f>Z$21*shipping_manufacturing!$F$28/100</f>
        <v>239.45849712303615</v>
      </c>
      <c r="AA44" s="121">
        <f>AA$21*shipping_manufacturing!$F$28/100</f>
        <v>239.52162347429632</v>
      </c>
      <c r="AB44" s="121">
        <f>AB$21*shipping_manufacturing!$F$28/100</f>
        <v>239.5845352522399</v>
      </c>
      <c r="AC44" s="121">
        <f>AC$21*shipping_manufacturing!$F$28/100</f>
        <v>239.64722230432619</v>
      </c>
      <c r="AD44" s="121">
        <f>AD$21*shipping_manufacturing!$F$28/100</f>
        <v>239.70967451291975</v>
      </c>
      <c r="AE44" s="121">
        <f>AE$21*shipping_manufacturing!$F$28/100</f>
        <v>219.06424924514357</v>
      </c>
      <c r="AF44" s="121">
        <f>AF$21*shipping_manufacturing!$F$28/100</f>
        <v>234.91775453949612</v>
      </c>
      <c r="AG44" s="121">
        <f>AG$21*shipping_manufacturing!$F$28/100</f>
        <v>214.00995031896599</v>
      </c>
      <c r="AH44" s="121">
        <f>AH$21*shipping_manufacturing!$F$28/100</f>
        <v>239.95693388175914</v>
      </c>
      <c r="AI44" s="121">
        <f>AI$21*shipping_manufacturing!$F$28/100</f>
        <v>240.01806145544558</v>
      </c>
      <c r="AJ44" s="121">
        <f>AJ$21*shipping_manufacturing!$F$28/100</f>
        <v>240.07889431301385</v>
      </c>
      <c r="AK44" s="121">
        <f>AK$21*shipping_manufacturing!$F$28/100</f>
        <v>240.13942263112619</v>
      </c>
      <c r="AL44" s="121">
        <f>AL$21*shipping_manufacturing!$F$28/100</f>
        <v>240.19963663554768</v>
      </c>
      <c r="AM44" s="121">
        <f>AM$21*shipping_manufacturing!$F$28/100</f>
        <v>240.25952660288959</v>
      </c>
      <c r="AN44" s="121">
        <f>AN$21*shipping_manufacturing!$F$28/100</f>
        <v>240.31908286234474</v>
      </c>
      <c r="AO44" s="121">
        <f>AO$21*shipping_manufacturing!$F$28/100</f>
        <v>240.37829579741444</v>
      </c>
      <c r="AP44" s="121">
        <f>AP$21*shipping_manufacturing!$F$28/100</f>
        <v>240.43715584762697</v>
      </c>
      <c r="AQ44" s="121">
        <f>AQ$21*shipping_manufacturing!$F$28/100</f>
        <v>0</v>
      </c>
      <c r="AR44" s="121">
        <f>AR$21*shipping_manufacturing!$F$28/100</f>
        <v>249.99999999999997</v>
      </c>
      <c r="AS44" s="121">
        <f>AS$21*shipping_manufacturing!$F$28/100</f>
        <v>240.61152396064071</v>
      </c>
      <c r="AT44" s="121">
        <f>AT$21*shipping_manufacturing!$F$28/100</f>
        <v>236.72701639323651</v>
      </c>
      <c r="AU44" s="121">
        <f>AU$21*shipping_manufacturing!$F$28/100</f>
        <v>240.72583234580279</v>
      </c>
      <c r="AV44" s="121">
        <f>AV$21*shipping_manufacturing!$F$28/100</f>
        <v>240.78237766866616</v>
      </c>
      <c r="AW44" s="121">
        <f>AW$21*shipping_manufacturing!$F$28/100</f>
        <v>240.83850489450842</v>
      </c>
      <c r="AX44" s="121">
        <f>AX$21*shipping_manufacturing!$F$28/100</f>
        <v>240.89420497179492</v>
      </c>
      <c r="AY44" s="121">
        <f>AY$21*shipping_manufacturing!$F$28/100</f>
        <v>240.9494689200435</v>
      </c>
    </row>
    <row r="45" spans="1:52" x14ac:dyDescent="0.15">
      <c r="A45" s="110" t="s">
        <v>339</v>
      </c>
      <c r="B45" s="162" t="s">
        <v>341</v>
      </c>
      <c r="C45" s="107"/>
      <c r="D45" s="107">
        <f>D$22*shipping_manufacturing!$G$28/100</f>
        <v>0</v>
      </c>
      <c r="E45" s="107">
        <f>E$22*shipping_manufacturing!$G$28/100</f>
        <v>0</v>
      </c>
      <c r="F45" s="107">
        <f>F$22*shipping_manufacturing!$G$28/100</f>
        <v>0</v>
      </c>
      <c r="G45" s="107">
        <f>G$22*shipping_manufacturing!$G$28/100</f>
        <v>0</v>
      </c>
      <c r="H45" s="107">
        <f>H$22*shipping_manufacturing!$G$28/100</f>
        <v>0</v>
      </c>
      <c r="I45" s="107">
        <f>I$22*shipping_manufacturing!$G$28/100</f>
        <v>0</v>
      </c>
      <c r="J45" s="107">
        <f>J$22*shipping_manufacturing!$G$28/100</f>
        <v>0</v>
      </c>
      <c r="K45" s="107">
        <f>K$22*shipping_manufacturing!$G$28/100</f>
        <v>0</v>
      </c>
      <c r="L45" s="107">
        <f>L$22*shipping_manufacturing!$G$28/100</f>
        <v>0</v>
      </c>
      <c r="M45" s="107">
        <f>M$22*shipping_manufacturing!$G$28/100</f>
        <v>0</v>
      </c>
      <c r="N45" s="107">
        <f>N$22*shipping_manufacturing!$G$28/100</f>
        <v>0</v>
      </c>
      <c r="O45" s="107">
        <f>O$22*shipping_manufacturing!$G$28/100</f>
        <v>0</v>
      </c>
      <c r="P45" s="107">
        <f>P$22*shipping_manufacturing!$G$28/100</f>
        <v>0</v>
      </c>
      <c r="Q45" s="107">
        <f>Q$22*shipping_manufacturing!$G$28/100</f>
        <v>0</v>
      </c>
      <c r="R45" s="107">
        <f>R$22*shipping_manufacturing!$G$28/100</f>
        <v>0</v>
      </c>
      <c r="S45" s="107">
        <f>S$22*shipping_manufacturing!$G$28/100</f>
        <v>0</v>
      </c>
      <c r="T45" s="107">
        <f>T$22*shipping_manufacturing!$G$28/100</f>
        <v>0</v>
      </c>
      <c r="U45" s="107">
        <f>U$22*shipping_manufacturing!$G$28/100</f>
        <v>0</v>
      </c>
      <c r="V45" s="107">
        <f>V$22*shipping_manufacturing!$G$28/100</f>
        <v>0</v>
      </c>
      <c r="W45" s="107">
        <f>W$22*shipping_manufacturing!$G$28/100</f>
        <v>0</v>
      </c>
      <c r="X45" s="107">
        <f>X$22*shipping_manufacturing!$G$28/100</f>
        <v>0</v>
      </c>
      <c r="Y45" s="107">
        <f>Y$22*shipping_manufacturing!$G$28/100</f>
        <v>0</v>
      </c>
      <c r="Z45" s="107">
        <f>Z$22*shipping_manufacturing!$G$28/100</f>
        <v>0</v>
      </c>
      <c r="AA45" s="107">
        <f>AA$22*shipping_manufacturing!$G$28/100</f>
        <v>0</v>
      </c>
      <c r="AB45" s="107">
        <f>AB$22*shipping_manufacturing!$G$28/100</f>
        <v>0</v>
      </c>
      <c r="AC45" s="107">
        <f>AC$22*shipping_manufacturing!$G$28/100</f>
        <v>0</v>
      </c>
      <c r="AD45" s="107">
        <f>AD$22*shipping_manufacturing!$G$28/100</f>
        <v>0</v>
      </c>
      <c r="AE45" s="107">
        <f>AE$22*shipping_manufacturing!$G$28/100</f>
        <v>0</v>
      </c>
      <c r="AF45" s="107">
        <f>AF$22*shipping_manufacturing!$G$28/100</f>
        <v>0</v>
      </c>
      <c r="AG45" s="107">
        <f>AG$22*shipping_manufacturing!$G$28/100</f>
        <v>0</v>
      </c>
      <c r="AH45" s="107">
        <f>AH$22*shipping_manufacturing!$G$28/100</f>
        <v>0</v>
      </c>
      <c r="AI45" s="107">
        <f>AI$22*shipping_manufacturing!$G$28/100</f>
        <v>0</v>
      </c>
      <c r="AJ45" s="107">
        <f>AJ$22*shipping_manufacturing!$G$28/100</f>
        <v>0</v>
      </c>
      <c r="AK45" s="107">
        <f>AK$22*shipping_manufacturing!$G$28/100</f>
        <v>0</v>
      </c>
      <c r="AL45" s="107">
        <f>AL$22*shipping_manufacturing!$G$28/100</f>
        <v>0</v>
      </c>
      <c r="AM45" s="107">
        <f>AM$22*shipping_manufacturing!$G$28/100</f>
        <v>0</v>
      </c>
      <c r="AN45" s="107">
        <f>AN$22*shipping_manufacturing!$G$28/100</f>
        <v>0</v>
      </c>
      <c r="AO45" s="107">
        <f>AO$22*shipping_manufacturing!$G$28/100</f>
        <v>0</v>
      </c>
      <c r="AP45" s="107">
        <f>AP$22*shipping_manufacturing!$G$28/100</f>
        <v>0</v>
      </c>
      <c r="AQ45" s="107">
        <f>AQ$22*shipping_manufacturing!$G$28/100</f>
        <v>0</v>
      </c>
      <c r="AR45" s="107">
        <f>AR$22*shipping_manufacturing!$G$28/100</f>
        <v>0</v>
      </c>
      <c r="AS45" s="107">
        <f>AS$22*shipping_manufacturing!$G$28/100</f>
        <v>0</v>
      </c>
      <c r="AT45" s="107">
        <f>AT$22*shipping_manufacturing!$G$28/100</f>
        <v>0</v>
      </c>
      <c r="AU45" s="107">
        <f>AU$22*shipping_manufacturing!$G$28/100</f>
        <v>0</v>
      </c>
      <c r="AV45" s="107">
        <f>AV$22*shipping_manufacturing!$G$28/100</f>
        <v>0</v>
      </c>
      <c r="AW45" s="107">
        <f>AW$22*shipping_manufacturing!$G$28/100</f>
        <v>0</v>
      </c>
      <c r="AX45" s="107">
        <f>AX$22*shipping_manufacturing!$G$28/100</f>
        <v>0</v>
      </c>
      <c r="AY45" s="107">
        <f>AY$22*shipping_manufacturing!$G$28/100</f>
        <v>0</v>
      </c>
    </row>
    <row r="46" spans="1:52" x14ac:dyDescent="0.15">
      <c r="A46" s="107">
        <v>2339</v>
      </c>
      <c r="B46" s="162" t="s">
        <v>342</v>
      </c>
      <c r="C46" s="107"/>
      <c r="D46" s="107">
        <f>SUM(D44:D45)</f>
        <v>0</v>
      </c>
      <c r="E46" s="107">
        <f t="shared" ref="E46:AY46" si="14">SUM(E44:E45)</f>
        <v>238.10153195906432</v>
      </c>
      <c r="F46" s="107">
        <f t="shared" si="14"/>
        <v>238.16677659835014</v>
      </c>
      <c r="G46" s="107">
        <f t="shared" si="14"/>
        <v>238.23202470881017</v>
      </c>
      <c r="H46" s="107">
        <f t="shared" si="14"/>
        <v>0</v>
      </c>
      <c r="I46" s="107">
        <f t="shared" si="14"/>
        <v>250.00000000000003</v>
      </c>
      <c r="J46" s="107">
        <f t="shared" si="14"/>
        <v>238.42768520768948</v>
      </c>
      <c r="K46" s="107">
        <f t="shared" si="14"/>
        <v>229.44498914818752</v>
      </c>
      <c r="L46" s="107">
        <f t="shared" si="14"/>
        <v>238.55795099112964</v>
      </c>
      <c r="M46" s="107">
        <f t="shared" si="14"/>
        <v>232.29428088103327</v>
      </c>
      <c r="N46" s="107">
        <f t="shared" si="14"/>
        <v>232.43506944719155</v>
      </c>
      <c r="O46" s="107">
        <f t="shared" si="14"/>
        <v>223.44981997024632</v>
      </c>
      <c r="P46" s="107">
        <f t="shared" si="14"/>
        <v>238.81768697449255</v>
      </c>
      <c r="Q46" s="107">
        <f t="shared" si="14"/>
        <v>238.88239428365506</v>
      </c>
      <c r="R46" s="107">
        <f t="shared" si="14"/>
        <v>238.94699006626763</v>
      </c>
      <c r="S46" s="107">
        <f t="shared" si="14"/>
        <v>239.01146392049978</v>
      </c>
      <c r="T46" s="107">
        <f t="shared" si="14"/>
        <v>239.07580546123492</v>
      </c>
      <c r="U46" s="107">
        <f t="shared" si="14"/>
        <v>203.63467268628384</v>
      </c>
      <c r="V46" s="107">
        <f t="shared" si="14"/>
        <v>212.97274335946878</v>
      </c>
      <c r="W46" s="107">
        <f t="shared" si="14"/>
        <v>213.06856708571496</v>
      </c>
      <c r="X46" s="107">
        <f t="shared" si="14"/>
        <v>239.33164147444074</v>
      </c>
      <c r="Y46" s="107">
        <f t="shared" si="14"/>
        <v>239.39516638410359</v>
      </c>
      <c r="Z46" s="107">
        <f t="shared" si="14"/>
        <v>239.45849712303615</v>
      </c>
      <c r="AA46" s="107">
        <f t="shared" si="14"/>
        <v>239.52162347429632</v>
      </c>
      <c r="AB46" s="107">
        <f t="shared" si="14"/>
        <v>239.5845352522399</v>
      </c>
      <c r="AC46" s="107">
        <f t="shared" si="14"/>
        <v>239.64722230432619</v>
      </c>
      <c r="AD46" s="107">
        <f t="shared" si="14"/>
        <v>239.70967451291975</v>
      </c>
      <c r="AE46" s="107">
        <f t="shared" si="14"/>
        <v>219.06424924514357</v>
      </c>
      <c r="AF46" s="107">
        <f t="shared" si="14"/>
        <v>234.91775453949612</v>
      </c>
      <c r="AG46" s="107">
        <f t="shared" si="14"/>
        <v>214.00995031896599</v>
      </c>
      <c r="AH46" s="107">
        <f t="shared" si="14"/>
        <v>239.95693388175914</v>
      </c>
      <c r="AI46" s="107">
        <f t="shared" si="14"/>
        <v>240.01806145544558</v>
      </c>
      <c r="AJ46" s="107">
        <f t="shared" si="14"/>
        <v>240.07889431301385</v>
      </c>
      <c r="AK46" s="107">
        <f t="shared" si="14"/>
        <v>240.13942263112619</v>
      </c>
      <c r="AL46" s="107">
        <f t="shared" si="14"/>
        <v>240.19963663554768</v>
      </c>
      <c r="AM46" s="107">
        <f t="shared" si="14"/>
        <v>240.25952660288959</v>
      </c>
      <c r="AN46" s="107">
        <f t="shared" si="14"/>
        <v>240.31908286234474</v>
      </c>
      <c r="AO46" s="107">
        <f t="shared" si="14"/>
        <v>240.37829579741444</v>
      </c>
      <c r="AP46" s="107">
        <f t="shared" si="14"/>
        <v>240.43715584762697</v>
      </c>
      <c r="AQ46" s="107">
        <f t="shared" si="14"/>
        <v>0</v>
      </c>
      <c r="AR46" s="107">
        <f t="shared" si="14"/>
        <v>249.99999999999997</v>
      </c>
      <c r="AS46" s="107">
        <f t="shared" si="14"/>
        <v>240.61152396064071</v>
      </c>
      <c r="AT46" s="107">
        <f t="shared" si="14"/>
        <v>236.72701639323651</v>
      </c>
      <c r="AU46" s="107">
        <f t="shared" si="14"/>
        <v>240.72583234580279</v>
      </c>
      <c r="AV46" s="107">
        <f t="shared" si="14"/>
        <v>240.78237766866616</v>
      </c>
      <c r="AW46" s="107">
        <f t="shared" si="14"/>
        <v>240.83850489450842</v>
      </c>
      <c r="AX46" s="107">
        <f t="shared" si="14"/>
        <v>240.89420497179492</v>
      </c>
      <c r="AY46" s="107">
        <f t="shared" si="14"/>
        <v>240.9494689200435</v>
      </c>
    </row>
    <row r="47" spans="1:52" x14ac:dyDescent="0.15">
      <c r="A47" s="107"/>
      <c r="B47" s="162" t="s">
        <v>343</v>
      </c>
      <c r="C47" s="107"/>
      <c r="D47" s="107"/>
      <c r="E47" s="107">
        <v>238.10153195906432</v>
      </c>
      <c r="F47" s="107">
        <v>90</v>
      </c>
      <c r="G47" s="107">
        <v>238.23202470881017</v>
      </c>
      <c r="H47" s="107"/>
      <c r="I47" s="107">
        <v>250.00000000000003</v>
      </c>
      <c r="J47" s="107">
        <v>60</v>
      </c>
      <c r="K47" s="107">
        <v>229.44498914818752</v>
      </c>
      <c r="L47" s="107">
        <v>90</v>
      </c>
      <c r="M47" s="107">
        <v>232.29428088103327</v>
      </c>
      <c r="N47" s="107">
        <v>90</v>
      </c>
      <c r="O47" s="107">
        <v>223.44981997024632</v>
      </c>
      <c r="P47" s="107">
        <v>90</v>
      </c>
      <c r="Q47" s="107">
        <v>238.88239428365506</v>
      </c>
      <c r="R47" s="107">
        <v>90</v>
      </c>
      <c r="S47" s="107">
        <v>239.01146392049978</v>
      </c>
      <c r="T47" s="107">
        <v>90</v>
      </c>
      <c r="U47" s="107">
        <v>203.63467268628384</v>
      </c>
      <c r="V47" s="107">
        <v>120</v>
      </c>
      <c r="W47" s="107">
        <v>210</v>
      </c>
      <c r="X47" s="107">
        <v>120</v>
      </c>
      <c r="Y47" s="107">
        <v>210</v>
      </c>
      <c r="Z47" s="107">
        <v>120</v>
      </c>
      <c r="AA47" s="107">
        <v>210</v>
      </c>
      <c r="AB47" s="107">
        <v>120</v>
      </c>
      <c r="AC47" s="107">
        <v>210</v>
      </c>
      <c r="AD47" s="107">
        <v>120</v>
      </c>
      <c r="AE47" s="107">
        <v>210</v>
      </c>
      <c r="AF47" s="107">
        <v>120</v>
      </c>
      <c r="AG47" s="107">
        <v>210</v>
      </c>
      <c r="AH47" s="107">
        <v>120</v>
      </c>
      <c r="AI47" s="107">
        <v>210</v>
      </c>
      <c r="AJ47" s="107">
        <v>120</v>
      </c>
      <c r="AK47" s="107">
        <v>210</v>
      </c>
      <c r="AL47" s="107">
        <v>120</v>
      </c>
      <c r="AM47" s="107">
        <v>210</v>
      </c>
      <c r="AN47" s="107">
        <v>120</v>
      </c>
      <c r="AO47" s="107">
        <v>210</v>
      </c>
      <c r="AP47" s="107">
        <v>120</v>
      </c>
      <c r="AQ47" s="107"/>
      <c r="AR47" s="107">
        <v>249.99999999999997</v>
      </c>
      <c r="AS47" s="107">
        <v>60</v>
      </c>
      <c r="AT47" s="107">
        <v>236.72701639323651</v>
      </c>
      <c r="AU47" s="107">
        <v>90</v>
      </c>
      <c r="AV47" s="107">
        <v>240</v>
      </c>
      <c r="AW47" s="107">
        <v>90</v>
      </c>
      <c r="AX47" s="107">
        <v>240</v>
      </c>
      <c r="AY47" s="107">
        <v>90</v>
      </c>
    </row>
    <row r="48" spans="1:52" x14ac:dyDescent="0.15">
      <c r="A48" s="107"/>
      <c r="B48" s="162" t="s">
        <v>344</v>
      </c>
      <c r="C48" s="107"/>
      <c r="D48" s="107"/>
      <c r="E48" s="107">
        <v>0</v>
      </c>
      <c r="F48" s="107">
        <v>0</v>
      </c>
      <c r="G48" s="107">
        <v>0</v>
      </c>
      <c r="H48" s="107"/>
      <c r="I48" s="107">
        <v>0</v>
      </c>
      <c r="J48" s="107">
        <v>0</v>
      </c>
      <c r="K48" s="107">
        <v>0</v>
      </c>
      <c r="L48" s="107">
        <v>0</v>
      </c>
      <c r="M48" s="107">
        <v>0</v>
      </c>
      <c r="N48" s="107">
        <v>0</v>
      </c>
      <c r="O48" s="107">
        <v>0</v>
      </c>
      <c r="P48" s="107">
        <v>0</v>
      </c>
      <c r="Q48" s="107">
        <v>0</v>
      </c>
      <c r="R48" s="107">
        <v>0</v>
      </c>
      <c r="S48" s="107">
        <v>0</v>
      </c>
      <c r="T48" s="107">
        <v>0</v>
      </c>
      <c r="U48" s="107">
        <v>0</v>
      </c>
      <c r="V48" s="107">
        <v>0</v>
      </c>
      <c r="W48" s="107">
        <v>0</v>
      </c>
      <c r="X48" s="107">
        <v>0</v>
      </c>
      <c r="Y48" s="107">
        <v>0</v>
      </c>
      <c r="Z48" s="107">
        <v>0</v>
      </c>
      <c r="AA48" s="107">
        <v>0</v>
      </c>
      <c r="AB48" s="107">
        <v>0</v>
      </c>
      <c r="AC48" s="107">
        <v>0</v>
      </c>
      <c r="AD48" s="107">
        <v>0</v>
      </c>
      <c r="AE48" s="107">
        <v>0</v>
      </c>
      <c r="AF48" s="107">
        <v>0</v>
      </c>
      <c r="AG48" s="107">
        <v>0</v>
      </c>
      <c r="AH48" s="107">
        <v>0</v>
      </c>
      <c r="AI48" s="107">
        <v>0</v>
      </c>
      <c r="AJ48" s="107">
        <v>0</v>
      </c>
      <c r="AK48" s="107">
        <v>0</v>
      </c>
      <c r="AL48" s="107">
        <v>0</v>
      </c>
      <c r="AM48" s="107">
        <v>0</v>
      </c>
      <c r="AN48" s="107">
        <v>0</v>
      </c>
      <c r="AO48" s="107">
        <v>0</v>
      </c>
      <c r="AP48" s="107">
        <v>0</v>
      </c>
      <c r="AQ48" s="107"/>
      <c r="AR48" s="107">
        <v>0</v>
      </c>
      <c r="AS48" s="107">
        <v>0</v>
      </c>
      <c r="AT48" s="107">
        <v>0</v>
      </c>
      <c r="AU48" s="107">
        <v>0</v>
      </c>
      <c r="AV48" s="107">
        <v>0</v>
      </c>
      <c r="AW48" s="107">
        <v>0</v>
      </c>
      <c r="AX48" s="107">
        <v>0</v>
      </c>
      <c r="AY48" s="107">
        <v>0</v>
      </c>
    </row>
    <row r="49" spans="1:52" x14ac:dyDescent="0.15">
      <c r="A49" s="107"/>
      <c r="B49" s="162" t="s">
        <v>345</v>
      </c>
      <c r="C49" s="107"/>
      <c r="D49" s="107"/>
      <c r="E49" s="107">
        <v>8</v>
      </c>
      <c r="F49" s="107">
        <v>3</v>
      </c>
      <c r="G49" s="107">
        <v>8</v>
      </c>
      <c r="H49" s="107"/>
      <c r="I49" s="107">
        <v>9</v>
      </c>
      <c r="J49" s="107">
        <v>2</v>
      </c>
      <c r="K49" s="107">
        <v>8</v>
      </c>
      <c r="L49" s="107">
        <v>3</v>
      </c>
      <c r="M49" s="107">
        <v>8</v>
      </c>
      <c r="N49" s="107">
        <v>3</v>
      </c>
      <c r="O49" s="107">
        <v>8</v>
      </c>
      <c r="P49" s="107">
        <v>3</v>
      </c>
      <c r="Q49" s="107">
        <v>8</v>
      </c>
      <c r="R49" s="107">
        <v>3</v>
      </c>
      <c r="S49" s="107">
        <v>8</v>
      </c>
      <c r="T49" s="107">
        <v>3</v>
      </c>
      <c r="U49" s="107">
        <v>7</v>
      </c>
      <c r="V49" s="107">
        <v>4</v>
      </c>
      <c r="W49" s="107">
        <v>7</v>
      </c>
      <c r="X49" s="107">
        <v>4</v>
      </c>
      <c r="Y49" s="107">
        <v>7</v>
      </c>
      <c r="Z49" s="107">
        <v>4</v>
      </c>
      <c r="AA49" s="107">
        <v>7</v>
      </c>
      <c r="AB49" s="107">
        <v>4</v>
      </c>
      <c r="AC49" s="107">
        <v>7</v>
      </c>
      <c r="AD49" s="107">
        <v>4</v>
      </c>
      <c r="AE49" s="107">
        <v>7</v>
      </c>
      <c r="AF49" s="107">
        <v>4</v>
      </c>
      <c r="AG49" s="107">
        <v>7</v>
      </c>
      <c r="AH49" s="107">
        <v>4</v>
      </c>
      <c r="AI49" s="107">
        <v>7</v>
      </c>
      <c r="AJ49" s="107">
        <v>4</v>
      </c>
      <c r="AK49" s="107">
        <v>7</v>
      </c>
      <c r="AL49" s="107">
        <v>4</v>
      </c>
      <c r="AM49" s="107">
        <v>7</v>
      </c>
      <c r="AN49" s="107">
        <v>4</v>
      </c>
      <c r="AO49" s="107">
        <v>7</v>
      </c>
      <c r="AP49" s="107">
        <v>4</v>
      </c>
      <c r="AQ49" s="107"/>
      <c r="AR49" s="107">
        <v>9</v>
      </c>
      <c r="AS49" s="107">
        <v>2</v>
      </c>
      <c r="AT49" s="107">
        <v>8</v>
      </c>
      <c r="AU49" s="107">
        <v>3</v>
      </c>
      <c r="AV49" s="107">
        <v>8</v>
      </c>
      <c r="AW49" s="107">
        <v>3</v>
      </c>
      <c r="AX49" s="107">
        <v>8</v>
      </c>
      <c r="AY49" s="107">
        <v>3</v>
      </c>
    </row>
    <row r="50" spans="1:52" x14ac:dyDescent="0.15">
      <c r="A50" s="107"/>
      <c r="B50" s="162" t="s">
        <v>346</v>
      </c>
      <c r="C50" s="107"/>
      <c r="D50" s="107">
        <f>D44-D47</f>
        <v>0</v>
      </c>
      <c r="E50" s="107">
        <f t="shared" ref="E50:AY50" si="15">E44-E47</f>
        <v>0</v>
      </c>
      <c r="F50" s="107">
        <f t="shared" si="15"/>
        <v>148.16677659835014</v>
      </c>
      <c r="G50" s="107">
        <f t="shared" si="15"/>
        <v>0</v>
      </c>
      <c r="H50" s="107">
        <f t="shared" si="15"/>
        <v>0</v>
      </c>
      <c r="I50" s="107">
        <f t="shared" si="15"/>
        <v>0</v>
      </c>
      <c r="J50" s="107">
        <f t="shared" si="15"/>
        <v>178.42768520768948</v>
      </c>
      <c r="K50" s="107">
        <f t="shared" si="15"/>
        <v>0</v>
      </c>
      <c r="L50" s="107">
        <f t="shared" si="15"/>
        <v>148.55795099112964</v>
      </c>
      <c r="M50" s="107">
        <f t="shared" si="15"/>
        <v>0</v>
      </c>
      <c r="N50" s="107">
        <f t="shared" si="15"/>
        <v>142.43506944719155</v>
      </c>
      <c r="O50" s="107">
        <f t="shared" si="15"/>
        <v>0</v>
      </c>
      <c r="P50" s="107">
        <f t="shared" si="15"/>
        <v>148.81768697449255</v>
      </c>
      <c r="Q50" s="107">
        <f t="shared" si="15"/>
        <v>0</v>
      </c>
      <c r="R50" s="107">
        <f t="shared" si="15"/>
        <v>148.94699006626763</v>
      </c>
      <c r="S50" s="107">
        <f t="shared" si="15"/>
        <v>0</v>
      </c>
      <c r="T50" s="107">
        <f t="shared" si="15"/>
        <v>149.07580546123492</v>
      </c>
      <c r="U50" s="107">
        <f t="shared" si="15"/>
        <v>0</v>
      </c>
      <c r="V50" s="107">
        <f t="shared" si="15"/>
        <v>92.97274335946878</v>
      </c>
      <c r="W50" s="107">
        <f t="shared" si="15"/>
        <v>3.0685670857149603</v>
      </c>
      <c r="X50" s="107">
        <f t="shared" si="15"/>
        <v>119.33164147444074</v>
      </c>
      <c r="Y50" s="107">
        <f t="shared" si="15"/>
        <v>29.39516638410359</v>
      </c>
      <c r="Z50" s="107">
        <f t="shared" si="15"/>
        <v>119.45849712303615</v>
      </c>
      <c r="AA50" s="107">
        <f t="shared" si="15"/>
        <v>29.52162347429632</v>
      </c>
      <c r="AB50" s="107">
        <f t="shared" si="15"/>
        <v>119.5845352522399</v>
      </c>
      <c r="AC50" s="107">
        <f t="shared" si="15"/>
        <v>29.647222304326192</v>
      </c>
      <c r="AD50" s="107">
        <f t="shared" si="15"/>
        <v>119.70967451291975</v>
      </c>
      <c r="AE50" s="107">
        <f t="shared" si="15"/>
        <v>9.0642492451435714</v>
      </c>
      <c r="AF50" s="107">
        <f t="shared" si="15"/>
        <v>114.91775453949612</v>
      </c>
      <c r="AG50" s="107">
        <f t="shared" si="15"/>
        <v>4.0099503189659913</v>
      </c>
      <c r="AH50" s="107">
        <f t="shared" si="15"/>
        <v>119.95693388175914</v>
      </c>
      <c r="AI50" s="107">
        <f t="shared" si="15"/>
        <v>30.018061455445576</v>
      </c>
      <c r="AJ50" s="107">
        <f t="shared" si="15"/>
        <v>120.07889431301385</v>
      </c>
      <c r="AK50" s="107">
        <f t="shared" si="15"/>
        <v>30.139422631126195</v>
      </c>
      <c r="AL50" s="107">
        <f t="shared" si="15"/>
        <v>120.19963663554768</v>
      </c>
      <c r="AM50" s="107">
        <f t="shared" si="15"/>
        <v>30.259526602889594</v>
      </c>
      <c r="AN50" s="107">
        <f t="shared" si="15"/>
        <v>120.31908286234474</v>
      </c>
      <c r="AO50" s="107">
        <f t="shared" si="15"/>
        <v>30.378295797414438</v>
      </c>
      <c r="AP50" s="107">
        <f t="shared" si="15"/>
        <v>120.43715584762697</v>
      </c>
      <c r="AQ50" s="107">
        <f t="shared" si="15"/>
        <v>0</v>
      </c>
      <c r="AR50" s="107">
        <f t="shared" si="15"/>
        <v>0</v>
      </c>
      <c r="AS50" s="107">
        <f t="shared" si="15"/>
        <v>180.61152396064071</v>
      </c>
      <c r="AT50" s="107">
        <f t="shared" si="15"/>
        <v>0</v>
      </c>
      <c r="AU50" s="107">
        <f t="shared" si="15"/>
        <v>150.72583234580279</v>
      </c>
      <c r="AV50" s="107">
        <f t="shared" si="15"/>
        <v>0.78237766866615743</v>
      </c>
      <c r="AW50" s="107">
        <f t="shared" si="15"/>
        <v>150.83850489450842</v>
      </c>
      <c r="AX50" s="107">
        <f t="shared" si="15"/>
        <v>0.89420497179492031</v>
      </c>
      <c r="AY50" s="107">
        <f t="shared" si="15"/>
        <v>150.9494689200435</v>
      </c>
    </row>
    <row r="51" spans="1:52" x14ac:dyDescent="0.15">
      <c r="A51" s="107"/>
      <c r="B51" s="162" t="s">
        <v>347</v>
      </c>
      <c r="C51" s="107"/>
      <c r="D51" s="107">
        <f>D45-D48</f>
        <v>0</v>
      </c>
      <c r="E51" s="107">
        <f t="shared" ref="E51:AY51" si="16">E45-E48</f>
        <v>0</v>
      </c>
      <c r="F51" s="107">
        <f t="shared" si="16"/>
        <v>0</v>
      </c>
      <c r="G51" s="107">
        <f t="shared" si="16"/>
        <v>0</v>
      </c>
      <c r="H51" s="107">
        <f t="shared" si="16"/>
        <v>0</v>
      </c>
      <c r="I51" s="107">
        <f t="shared" si="16"/>
        <v>0</v>
      </c>
      <c r="J51" s="107">
        <f t="shared" si="16"/>
        <v>0</v>
      </c>
      <c r="K51" s="107">
        <f t="shared" si="16"/>
        <v>0</v>
      </c>
      <c r="L51" s="107">
        <f t="shared" si="16"/>
        <v>0</v>
      </c>
      <c r="M51" s="107">
        <f t="shared" si="16"/>
        <v>0</v>
      </c>
      <c r="N51" s="107">
        <f t="shared" si="16"/>
        <v>0</v>
      </c>
      <c r="O51" s="107">
        <f t="shared" si="16"/>
        <v>0</v>
      </c>
      <c r="P51" s="107">
        <f t="shared" si="16"/>
        <v>0</v>
      </c>
      <c r="Q51" s="107">
        <f t="shared" si="16"/>
        <v>0</v>
      </c>
      <c r="R51" s="107">
        <f t="shared" si="16"/>
        <v>0</v>
      </c>
      <c r="S51" s="107">
        <f t="shared" si="16"/>
        <v>0</v>
      </c>
      <c r="T51" s="107">
        <f t="shared" si="16"/>
        <v>0</v>
      </c>
      <c r="U51" s="107">
        <f t="shared" si="16"/>
        <v>0</v>
      </c>
      <c r="V51" s="107">
        <f t="shared" si="16"/>
        <v>0</v>
      </c>
      <c r="W51" s="107">
        <f t="shared" si="16"/>
        <v>0</v>
      </c>
      <c r="X51" s="107">
        <f t="shared" si="16"/>
        <v>0</v>
      </c>
      <c r="Y51" s="107">
        <f t="shared" si="16"/>
        <v>0</v>
      </c>
      <c r="Z51" s="107">
        <f t="shared" si="16"/>
        <v>0</v>
      </c>
      <c r="AA51" s="107">
        <f t="shared" si="16"/>
        <v>0</v>
      </c>
      <c r="AB51" s="107">
        <f t="shared" si="16"/>
        <v>0</v>
      </c>
      <c r="AC51" s="107">
        <f t="shared" si="16"/>
        <v>0</v>
      </c>
      <c r="AD51" s="107">
        <f t="shared" si="16"/>
        <v>0</v>
      </c>
      <c r="AE51" s="107">
        <f t="shared" si="16"/>
        <v>0</v>
      </c>
      <c r="AF51" s="107">
        <f t="shared" si="16"/>
        <v>0</v>
      </c>
      <c r="AG51" s="107">
        <f t="shared" si="16"/>
        <v>0</v>
      </c>
      <c r="AH51" s="107">
        <f t="shared" si="16"/>
        <v>0</v>
      </c>
      <c r="AI51" s="107">
        <f t="shared" si="16"/>
        <v>0</v>
      </c>
      <c r="AJ51" s="107">
        <f t="shared" si="16"/>
        <v>0</v>
      </c>
      <c r="AK51" s="107">
        <f t="shared" si="16"/>
        <v>0</v>
      </c>
      <c r="AL51" s="107">
        <f t="shared" si="16"/>
        <v>0</v>
      </c>
      <c r="AM51" s="107">
        <f t="shared" si="16"/>
        <v>0</v>
      </c>
      <c r="AN51" s="107">
        <f t="shared" si="16"/>
        <v>0</v>
      </c>
      <c r="AO51" s="107">
        <f t="shared" si="16"/>
        <v>0</v>
      </c>
      <c r="AP51" s="107">
        <f t="shared" si="16"/>
        <v>0</v>
      </c>
      <c r="AQ51" s="107">
        <f t="shared" si="16"/>
        <v>0</v>
      </c>
      <c r="AR51" s="107">
        <f t="shared" si="16"/>
        <v>0</v>
      </c>
      <c r="AS51" s="107">
        <f t="shared" si="16"/>
        <v>0</v>
      </c>
      <c r="AT51" s="107">
        <f t="shared" si="16"/>
        <v>0</v>
      </c>
      <c r="AU51" s="107">
        <f t="shared" si="16"/>
        <v>0</v>
      </c>
      <c r="AV51" s="107">
        <f t="shared" si="16"/>
        <v>0</v>
      </c>
      <c r="AW51" s="107">
        <f t="shared" si="16"/>
        <v>0</v>
      </c>
      <c r="AX51" s="107">
        <f t="shared" si="16"/>
        <v>0</v>
      </c>
      <c r="AY51" s="107">
        <f t="shared" si="16"/>
        <v>0</v>
      </c>
    </row>
    <row r="52" spans="1:52" x14ac:dyDescent="0.15">
      <c r="A52" s="107"/>
      <c r="B52" s="162" t="s">
        <v>348</v>
      </c>
      <c r="C52" s="107"/>
      <c r="D52" s="107">
        <v>4</v>
      </c>
      <c r="E52" s="107">
        <v>2</v>
      </c>
      <c r="F52" s="107">
        <v>3</v>
      </c>
      <c r="G52" s="107">
        <v>2</v>
      </c>
      <c r="H52" s="107">
        <v>3</v>
      </c>
      <c r="I52" s="107">
        <v>2</v>
      </c>
      <c r="J52" s="107">
        <v>3</v>
      </c>
      <c r="K52" s="107">
        <v>2</v>
      </c>
      <c r="L52" s="107">
        <v>2</v>
      </c>
      <c r="M52" s="107">
        <v>4</v>
      </c>
      <c r="N52" s="107">
        <v>3</v>
      </c>
      <c r="O52" s="107">
        <v>3</v>
      </c>
      <c r="P52" s="107">
        <v>2</v>
      </c>
      <c r="Q52" s="107">
        <v>2</v>
      </c>
      <c r="R52" s="107">
        <v>3</v>
      </c>
      <c r="S52" s="107">
        <v>3</v>
      </c>
      <c r="T52" s="107">
        <v>2</v>
      </c>
      <c r="U52" s="107">
        <v>2</v>
      </c>
      <c r="V52" s="107">
        <v>3</v>
      </c>
      <c r="W52" s="107">
        <v>2</v>
      </c>
      <c r="X52" s="107">
        <v>3</v>
      </c>
      <c r="Y52" s="107">
        <v>2</v>
      </c>
      <c r="Z52" s="107">
        <v>3</v>
      </c>
      <c r="AA52" s="107">
        <v>2</v>
      </c>
      <c r="AB52" s="107">
        <v>2</v>
      </c>
      <c r="AC52" s="107">
        <v>4</v>
      </c>
      <c r="AD52" s="107">
        <v>2</v>
      </c>
      <c r="AE52" s="107">
        <v>2</v>
      </c>
      <c r="AF52" s="107">
        <v>2</v>
      </c>
      <c r="AG52" s="107">
        <v>3</v>
      </c>
      <c r="AH52" s="107">
        <v>2</v>
      </c>
      <c r="AI52" s="107">
        <v>2</v>
      </c>
      <c r="AJ52" s="107">
        <v>3</v>
      </c>
      <c r="AK52" s="107">
        <v>2</v>
      </c>
      <c r="AL52" s="107">
        <v>2</v>
      </c>
      <c r="AM52" s="107">
        <v>3</v>
      </c>
      <c r="AN52" s="107">
        <v>2</v>
      </c>
      <c r="AO52" s="107">
        <v>3</v>
      </c>
      <c r="AP52" s="107">
        <v>3</v>
      </c>
      <c r="AQ52" s="107">
        <v>3</v>
      </c>
      <c r="AR52" s="107">
        <v>2</v>
      </c>
      <c r="AS52" s="107">
        <v>2</v>
      </c>
      <c r="AT52" s="107">
        <v>2</v>
      </c>
      <c r="AU52" s="107">
        <v>4</v>
      </c>
      <c r="AV52" s="107">
        <v>3</v>
      </c>
      <c r="AW52" s="107">
        <v>4</v>
      </c>
      <c r="AX52" s="107">
        <v>2</v>
      </c>
      <c r="AY52" s="107">
        <v>3</v>
      </c>
    </row>
    <row r="53" spans="1:52" x14ac:dyDescent="0.15">
      <c r="A53" s="107"/>
      <c r="B53" s="175" t="s">
        <v>349</v>
      </c>
      <c r="C53" s="107"/>
      <c r="D53" s="107">
        <v>0</v>
      </c>
      <c r="E53" s="107">
        <v>673632</v>
      </c>
      <c r="F53" s="107">
        <v>252612</v>
      </c>
      <c r="G53" s="107">
        <v>673632</v>
      </c>
      <c r="H53" s="107">
        <v>0</v>
      </c>
      <c r="I53" s="107">
        <v>757836</v>
      </c>
      <c r="J53" s="107">
        <v>168408</v>
      </c>
      <c r="K53" s="107">
        <v>673632</v>
      </c>
      <c r="L53" s="107">
        <v>252612</v>
      </c>
      <c r="M53" s="107">
        <v>673632</v>
      </c>
      <c r="N53" s="107">
        <v>252612</v>
      </c>
      <c r="O53" s="107">
        <v>673632</v>
      </c>
      <c r="P53" s="107">
        <v>252612</v>
      </c>
      <c r="Q53" s="107">
        <v>673632</v>
      </c>
      <c r="R53" s="107">
        <v>252612</v>
      </c>
      <c r="S53" s="107">
        <v>673632</v>
      </c>
      <c r="T53" s="107">
        <v>252612</v>
      </c>
      <c r="U53" s="107">
        <v>589428</v>
      </c>
      <c r="V53" s="107">
        <v>336816</v>
      </c>
      <c r="W53" s="107">
        <v>589428</v>
      </c>
      <c r="X53" s="107">
        <v>336816</v>
      </c>
      <c r="Y53" s="107">
        <v>589428</v>
      </c>
      <c r="Z53" s="107">
        <v>336816</v>
      </c>
      <c r="AA53" s="107">
        <v>589428</v>
      </c>
      <c r="AB53" s="107">
        <v>336816</v>
      </c>
      <c r="AC53" s="107">
        <v>589428</v>
      </c>
      <c r="AD53" s="107">
        <v>336816</v>
      </c>
      <c r="AE53" s="107">
        <v>589428</v>
      </c>
      <c r="AF53" s="107">
        <v>336816</v>
      </c>
      <c r="AG53" s="107">
        <v>589428</v>
      </c>
      <c r="AH53" s="107">
        <v>336816</v>
      </c>
      <c r="AI53" s="107">
        <v>589428</v>
      </c>
      <c r="AJ53" s="107">
        <v>336816</v>
      </c>
      <c r="AK53" s="107">
        <v>589428</v>
      </c>
      <c r="AL53" s="107">
        <v>336816</v>
      </c>
      <c r="AM53" s="107">
        <v>589428</v>
      </c>
      <c r="AN53" s="107">
        <v>336816</v>
      </c>
      <c r="AO53" s="107">
        <v>589428</v>
      </c>
      <c r="AP53" s="107">
        <v>336816</v>
      </c>
      <c r="AQ53" s="107">
        <v>0</v>
      </c>
      <c r="AR53" s="107">
        <v>757836</v>
      </c>
      <c r="AS53" s="107">
        <v>168408</v>
      </c>
      <c r="AT53" s="107">
        <v>673632</v>
      </c>
      <c r="AU53" s="107">
        <v>252612</v>
      </c>
      <c r="AV53" s="107">
        <v>673632</v>
      </c>
      <c r="AW53" s="107">
        <v>252612</v>
      </c>
      <c r="AX53" s="107">
        <v>673632</v>
      </c>
      <c r="AY53" s="107">
        <v>252612</v>
      </c>
      <c r="AZ53" s="97">
        <f>SUM($D$53:$AY$53)</f>
        <v>21051000</v>
      </c>
    </row>
    <row r="54" spans="1:52" x14ac:dyDescent="0.15">
      <c r="A54" s="122"/>
      <c r="B54" s="137" t="s">
        <v>350</v>
      </c>
      <c r="C54" s="122"/>
      <c r="D54" s="122">
        <v>0</v>
      </c>
      <c r="E54" s="122">
        <v>0</v>
      </c>
      <c r="F54" s="122">
        <v>225265.35880130166</v>
      </c>
      <c r="G54" s="122">
        <v>0</v>
      </c>
      <c r="H54" s="122">
        <v>0</v>
      </c>
      <c r="I54" s="122">
        <v>0</v>
      </c>
      <c r="J54" s="122">
        <v>271272.53120551072</v>
      </c>
      <c r="K54" s="122">
        <v>0</v>
      </c>
      <c r="L54" s="122">
        <v>225860.08078936397</v>
      </c>
      <c r="M54" s="122">
        <v>0</v>
      </c>
      <c r="N54" s="122">
        <v>216551.15783403767</v>
      </c>
      <c r="O54" s="122">
        <v>0</v>
      </c>
      <c r="P54" s="122">
        <v>226254.97039166978</v>
      </c>
      <c r="Q54" s="122">
        <v>0</v>
      </c>
      <c r="R54" s="122">
        <v>226451.55634724998</v>
      </c>
      <c r="S54" s="122">
        <v>0</v>
      </c>
      <c r="T54" s="122">
        <v>226647.40083298853</v>
      </c>
      <c r="U54" s="122">
        <v>0</v>
      </c>
      <c r="V54" s="122">
        <v>141351.11036656838</v>
      </c>
      <c r="W54" s="122">
        <v>4665.2959687667399</v>
      </c>
      <c r="X54" s="122">
        <v>181425.86111566599</v>
      </c>
      <c r="Y54" s="122">
        <v>44690.941212071892</v>
      </c>
      <c r="Z54" s="122">
        <v>181618.72610100801</v>
      </c>
      <c r="AA54" s="122">
        <v>44883.200249146415</v>
      </c>
      <c r="AB54" s="122">
        <v>181810.34817074295</v>
      </c>
      <c r="AC54" s="122">
        <v>45074.154430382332</v>
      </c>
      <c r="AD54" s="122">
        <v>182000.60364571752</v>
      </c>
      <c r="AE54" s="122">
        <v>13780.83133985403</v>
      </c>
      <c r="AF54" s="122">
        <v>174715.20811412294</v>
      </c>
      <c r="AG54" s="122">
        <v>6096.5279674399453</v>
      </c>
      <c r="AH54" s="122">
        <v>182376.52442713254</v>
      </c>
      <c r="AI54" s="122">
        <v>45637.95973378668</v>
      </c>
      <c r="AJ54" s="122">
        <v>182561.94696879061</v>
      </c>
      <c r="AK54" s="122">
        <v>45822.471197232713</v>
      </c>
      <c r="AL54" s="122">
        <v>182745.51755885495</v>
      </c>
      <c r="AM54" s="122">
        <v>46005.0712707032</v>
      </c>
      <c r="AN54" s="122">
        <v>182927.11762976582</v>
      </c>
      <c r="AO54" s="122">
        <v>46185.642015599049</v>
      </c>
      <c r="AP54" s="122">
        <v>183106.62989293964</v>
      </c>
      <c r="AQ54" s="122">
        <v>0</v>
      </c>
      <c r="AR54" s="122">
        <v>0</v>
      </c>
      <c r="AS54" s="122">
        <v>274592.73045356007</v>
      </c>
      <c r="AT54" s="122">
        <v>0</v>
      </c>
      <c r="AU54" s="122">
        <v>229156.01920694127</v>
      </c>
      <c r="AV54" s="122">
        <v>1189.4878885565925</v>
      </c>
      <c r="AW54" s="122">
        <v>229327.32091636586</v>
      </c>
      <c r="AX54" s="122">
        <v>1359.5045288684073</v>
      </c>
      <c r="AY54" s="122">
        <v>229496.02507258815</v>
      </c>
      <c r="AZ54" s="97">
        <f>SUM($D$54:$AY$54)</f>
        <v>4882905.8336452954</v>
      </c>
    </row>
  </sheetData>
  <pageMargins left="0.75" right="0.75" top="1" bottom="1" header="0.5" footer="0.5"/>
  <pageSetup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54"/>
  <sheetViews>
    <sheetView workbookViewId="0">
      <pane xSplit="2" ySplit="6" topLeftCell="C7" activePane="bottomRight" state="frozen"/>
      <selection pane="topRight"/>
      <selection pane="bottomLeft"/>
      <selection pane="bottomRight" activeCell="D14" sqref="D14"/>
    </sheetView>
  </sheetViews>
  <sheetFormatPr baseColWidth="10" defaultColWidth="8.83203125" defaultRowHeight="13" x14ac:dyDescent="0.15"/>
  <cols>
    <col min="1" max="1" width="14.6640625" style="97" customWidth="1"/>
    <col min="2" max="2" width="17.6640625" style="97" customWidth="1"/>
    <col min="3" max="51" width="8.83203125" style="97"/>
    <col min="52" max="52" width="10.6640625" style="97" customWidth="1"/>
    <col min="53" max="16384" width="8.83203125" style="97"/>
  </cols>
  <sheetData>
    <row r="1" spans="1:52" x14ac:dyDescent="0.15">
      <c r="A1" s="99" t="s">
        <v>118</v>
      </c>
    </row>
    <row r="2" spans="1:52" x14ac:dyDescent="0.15">
      <c r="A2" s="97" t="s">
        <v>302</v>
      </c>
      <c r="B2" s="104" t="s">
        <v>12</v>
      </c>
      <c r="E2" s="107"/>
    </row>
    <row r="3" spans="1:52" x14ac:dyDescent="0.15">
      <c r="A3" s="97" t="s">
        <v>285</v>
      </c>
      <c r="B3" s="104">
        <v>3589</v>
      </c>
      <c r="E3" s="107"/>
    </row>
    <row r="4" spans="1:52" x14ac:dyDescent="0.15">
      <c r="A4" s="99"/>
      <c r="C4" s="108" t="s">
        <v>286</v>
      </c>
    </row>
    <row r="5" spans="1:52" x14ac:dyDescent="0.15">
      <c r="B5" s="103"/>
      <c r="C5" s="109">
        <v>0</v>
      </c>
      <c r="D5" s="109">
        <v>1</v>
      </c>
      <c r="E5" s="109">
        <v>2</v>
      </c>
      <c r="F5" s="109">
        <v>3</v>
      </c>
      <c r="G5" s="109">
        <v>4</v>
      </c>
      <c r="H5" s="109">
        <v>5</v>
      </c>
      <c r="I5" s="109">
        <v>6</v>
      </c>
      <c r="J5" s="109">
        <v>7</v>
      </c>
      <c r="K5" s="109">
        <v>8</v>
      </c>
      <c r="L5" s="109">
        <v>9</v>
      </c>
      <c r="M5" s="109">
        <v>10</v>
      </c>
      <c r="N5" s="109">
        <v>11</v>
      </c>
      <c r="O5" s="109">
        <v>12</v>
      </c>
      <c r="P5" s="109">
        <v>13</v>
      </c>
      <c r="Q5" s="109">
        <v>14</v>
      </c>
      <c r="R5" s="109">
        <v>15</v>
      </c>
      <c r="S5" s="109">
        <v>16</v>
      </c>
      <c r="T5" s="109">
        <v>17</v>
      </c>
      <c r="U5" s="109">
        <v>18</v>
      </c>
      <c r="V5" s="109">
        <v>19</v>
      </c>
      <c r="W5" s="109">
        <v>20</v>
      </c>
      <c r="X5" s="109">
        <v>21</v>
      </c>
      <c r="Y5" s="109">
        <v>22</v>
      </c>
      <c r="Z5" s="109">
        <v>23</v>
      </c>
      <c r="AA5" s="109">
        <v>24</v>
      </c>
      <c r="AB5" s="109">
        <v>25</v>
      </c>
      <c r="AC5" s="109">
        <v>26</v>
      </c>
      <c r="AD5" s="109">
        <v>27</v>
      </c>
      <c r="AE5" s="109">
        <v>28</v>
      </c>
      <c r="AF5" s="109">
        <v>29</v>
      </c>
      <c r="AG5" s="109">
        <v>30</v>
      </c>
      <c r="AH5" s="109">
        <v>31</v>
      </c>
      <c r="AI5" s="109">
        <v>32</v>
      </c>
      <c r="AJ5" s="109">
        <v>33</v>
      </c>
      <c r="AK5" s="109">
        <v>34</v>
      </c>
      <c r="AL5" s="109">
        <v>35</v>
      </c>
      <c r="AM5" s="109">
        <v>36</v>
      </c>
      <c r="AN5" s="109">
        <v>37</v>
      </c>
      <c r="AO5" s="109">
        <v>38</v>
      </c>
      <c r="AP5" s="109">
        <v>39</v>
      </c>
      <c r="AQ5" s="109">
        <v>40</v>
      </c>
      <c r="AR5" s="109">
        <v>41</v>
      </c>
      <c r="AS5" s="109">
        <v>42</v>
      </c>
      <c r="AT5" s="109">
        <v>43</v>
      </c>
      <c r="AU5" s="109">
        <v>44</v>
      </c>
      <c r="AV5" s="109">
        <v>45</v>
      </c>
      <c r="AW5" s="109">
        <v>46</v>
      </c>
      <c r="AX5" s="109">
        <v>47</v>
      </c>
      <c r="AY5" s="109">
        <v>48</v>
      </c>
    </row>
    <row r="6" spans="1:52" x14ac:dyDescent="0.15">
      <c r="A6" s="99" t="s">
        <v>303</v>
      </c>
      <c r="B6" s="111"/>
      <c r="C6" s="110" t="s">
        <v>287</v>
      </c>
      <c r="D6" s="109" t="s">
        <v>288</v>
      </c>
      <c r="E6" s="109" t="s">
        <v>288</v>
      </c>
      <c r="F6" s="109" t="s">
        <v>288</v>
      </c>
      <c r="G6" s="109" t="s">
        <v>288</v>
      </c>
      <c r="H6" s="109" t="s">
        <v>288</v>
      </c>
      <c r="I6" s="109" t="s">
        <v>288</v>
      </c>
      <c r="J6" s="109" t="s">
        <v>288</v>
      </c>
      <c r="K6" s="109" t="s">
        <v>288</v>
      </c>
      <c r="L6" s="109" t="s">
        <v>288</v>
      </c>
      <c r="M6" s="109" t="s">
        <v>288</v>
      </c>
      <c r="N6" s="109" t="s">
        <v>288</v>
      </c>
      <c r="O6" s="109" t="s">
        <v>288</v>
      </c>
      <c r="P6" s="109" t="s">
        <v>288</v>
      </c>
      <c r="Q6" s="109" t="s">
        <v>288</v>
      </c>
      <c r="R6" s="109" t="s">
        <v>288</v>
      </c>
      <c r="S6" s="109" t="s">
        <v>288</v>
      </c>
      <c r="T6" s="109" t="s">
        <v>288</v>
      </c>
      <c r="U6" s="109" t="s">
        <v>288</v>
      </c>
      <c r="V6" s="109" t="s">
        <v>288</v>
      </c>
      <c r="W6" s="109" t="s">
        <v>288</v>
      </c>
      <c r="X6" s="109" t="s">
        <v>288</v>
      </c>
      <c r="Y6" s="109" t="s">
        <v>288</v>
      </c>
      <c r="Z6" s="109" t="s">
        <v>288</v>
      </c>
      <c r="AA6" s="109" t="s">
        <v>288</v>
      </c>
      <c r="AB6" s="109" t="s">
        <v>288</v>
      </c>
      <c r="AC6" s="109" t="s">
        <v>288</v>
      </c>
      <c r="AD6" s="109" t="s">
        <v>288</v>
      </c>
      <c r="AE6" s="109" t="s">
        <v>288</v>
      </c>
      <c r="AF6" s="109" t="s">
        <v>288</v>
      </c>
      <c r="AG6" s="109" t="s">
        <v>288</v>
      </c>
      <c r="AH6" s="109" t="s">
        <v>288</v>
      </c>
      <c r="AI6" s="109" t="s">
        <v>288</v>
      </c>
      <c r="AJ6" s="109" t="s">
        <v>288</v>
      </c>
      <c r="AK6" s="109" t="s">
        <v>288</v>
      </c>
      <c r="AL6" s="109" t="s">
        <v>288</v>
      </c>
      <c r="AM6" s="109" t="s">
        <v>288</v>
      </c>
      <c r="AN6" s="109" t="s">
        <v>288</v>
      </c>
      <c r="AO6" s="109" t="s">
        <v>288</v>
      </c>
      <c r="AP6" s="109" t="s">
        <v>288</v>
      </c>
      <c r="AQ6" s="109" t="s">
        <v>288</v>
      </c>
      <c r="AR6" s="109" t="s">
        <v>288</v>
      </c>
      <c r="AS6" s="109" t="s">
        <v>288</v>
      </c>
      <c r="AT6" s="109" t="s">
        <v>288</v>
      </c>
      <c r="AU6" s="109" t="s">
        <v>288</v>
      </c>
      <c r="AV6" s="109" t="s">
        <v>288</v>
      </c>
      <c r="AW6" s="109" t="s">
        <v>288</v>
      </c>
      <c r="AX6" s="109" t="s">
        <v>288</v>
      </c>
      <c r="AY6" s="108" t="s">
        <v>289</v>
      </c>
      <c r="AZ6" s="139" t="s">
        <v>150</v>
      </c>
    </row>
    <row r="7" spans="1:52" x14ac:dyDescent="0.15">
      <c r="A7" s="112" t="s">
        <v>125</v>
      </c>
      <c r="B7" s="140">
        <v>1</v>
      </c>
      <c r="C7" s="141" t="s">
        <v>292</v>
      </c>
      <c r="D7" s="141">
        <v>3418.185534126585</v>
      </c>
      <c r="E7" s="141">
        <v>3419.1221861520935</v>
      </c>
      <c r="F7" s="141">
        <v>3420.058888009778</v>
      </c>
      <c r="G7" s="141">
        <v>3420.9954894729135</v>
      </c>
      <c r="H7" s="141">
        <v>3421.9318402644708</v>
      </c>
      <c r="I7" s="141">
        <v>3422.86779008347</v>
      </c>
      <c r="J7" s="141">
        <v>3293.912207666956</v>
      </c>
      <c r="K7" s="141">
        <v>3424.7378856384353</v>
      </c>
      <c r="L7" s="141">
        <v>3334.8166390815104</v>
      </c>
      <c r="M7" s="141">
        <v>3336.8377997025827</v>
      </c>
      <c r="N7" s="141">
        <v>3207.845560425882</v>
      </c>
      <c r="O7" s="141">
        <v>3428.4666553515831</v>
      </c>
      <c r="P7" s="141">
        <v>3429.3955934659739</v>
      </c>
      <c r="Q7" s="141">
        <v>3430.3229305052409</v>
      </c>
      <c r="R7" s="141">
        <v>3431.2485171407088</v>
      </c>
      <c r="S7" s="141">
        <v>3432.1722042836459</v>
      </c>
      <c r="T7" s="141">
        <v>2923.3793109005614</v>
      </c>
      <c r="U7" s="141">
        <v>3057.4366511835306</v>
      </c>
      <c r="V7" s="141">
        <v>3058.8122965739058</v>
      </c>
      <c r="W7" s="141">
        <v>3435.8449860261808</v>
      </c>
      <c r="X7" s="141">
        <v>3436.7569496136452</v>
      </c>
      <c r="Y7" s="141">
        <v>3437.6661256861535</v>
      </c>
      <c r="Z7" s="141">
        <v>3438.572367569288</v>
      </c>
      <c r="AA7" s="141">
        <v>3439.4755290379421</v>
      </c>
      <c r="AB7" s="141">
        <v>3440.3754643422444</v>
      </c>
      <c r="AC7" s="141">
        <v>3441.272028233423</v>
      </c>
      <c r="AD7" s="141">
        <v>3144.8863081770869</v>
      </c>
      <c r="AE7" s="141">
        <v>3372.4792262758747</v>
      </c>
      <c r="AF7" s="141">
        <v>3072.3267940384626</v>
      </c>
      <c r="AG7" s="141">
        <v>3444.8216836715465</v>
      </c>
      <c r="AH7" s="141">
        <v>3445.6992311043246</v>
      </c>
      <c r="AI7" s="141">
        <v>3446.5725475925829</v>
      </c>
      <c r="AJ7" s="141">
        <v>3447.4414921124871</v>
      </c>
      <c r="AK7" s="141">
        <v>3448.305924345123</v>
      </c>
      <c r="AL7" s="141">
        <v>3449.1657047015242</v>
      </c>
      <c r="AM7" s="141">
        <v>3450.020694347585</v>
      </c>
      <c r="AN7" s="141">
        <v>3450.8707552288533</v>
      </c>
      <c r="AO7" s="141">
        <v>3451.7157500951994</v>
      </c>
      <c r="AP7" s="141">
        <v>3452.5555425253556</v>
      </c>
      <c r="AQ7" s="141">
        <v>3453.3899969513259</v>
      </c>
      <c r="AR7" s="141">
        <v>3454.2189786826525</v>
      </c>
      <c r="AS7" s="141">
        <v>3398.4529890022968</v>
      </c>
      <c r="AT7" s="141">
        <v>3455.8599898318694</v>
      </c>
      <c r="AU7" s="141">
        <v>3456.6717544729613</v>
      </c>
      <c r="AV7" s="141">
        <v>3457.4775169133209</v>
      </c>
      <c r="AW7" s="141">
        <v>3458.2771472091194</v>
      </c>
      <c r="AX7" s="141">
        <v>3459.0705164365568</v>
      </c>
      <c r="AY7" s="141">
        <v>3459.8574967150439</v>
      </c>
      <c r="AZ7" s="103"/>
    </row>
    <row r="8" spans="1:52" x14ac:dyDescent="0.15">
      <c r="A8" s="142"/>
      <c r="B8" s="143"/>
      <c r="C8" s="142"/>
      <c r="D8" s="142"/>
      <c r="E8" s="142"/>
      <c r="F8" s="142"/>
      <c r="G8" s="142"/>
      <c r="H8" s="142"/>
      <c r="I8" s="142"/>
      <c r="J8" s="142"/>
      <c r="K8" s="142"/>
      <c r="L8" s="142"/>
      <c r="M8" s="142"/>
      <c r="N8" s="142"/>
      <c r="O8" s="142"/>
      <c r="P8" s="142"/>
      <c r="Q8" s="142"/>
      <c r="R8" s="142"/>
      <c r="S8" s="142"/>
      <c r="T8" s="142"/>
      <c r="U8" s="142"/>
      <c r="V8" s="142"/>
      <c r="W8" s="142"/>
      <c r="X8" s="142"/>
      <c r="Y8" s="142"/>
      <c r="Z8" s="142"/>
      <c r="AA8" s="142"/>
      <c r="AB8" s="142"/>
      <c r="AC8" s="142"/>
      <c r="AD8" s="142"/>
      <c r="AE8" s="142"/>
      <c r="AF8" s="142"/>
      <c r="AG8" s="142"/>
      <c r="AH8" s="142"/>
      <c r="AI8" s="142"/>
      <c r="AJ8" s="142"/>
      <c r="AK8" s="142"/>
      <c r="AL8" s="142"/>
      <c r="AM8" s="142"/>
      <c r="AN8" s="142"/>
      <c r="AO8" s="142"/>
      <c r="AP8" s="142"/>
      <c r="AQ8" s="142"/>
      <c r="AR8" s="142"/>
      <c r="AS8" s="142"/>
      <c r="AT8" s="142"/>
      <c r="AU8" s="142"/>
      <c r="AV8" s="142"/>
      <c r="AW8" s="142"/>
      <c r="AX8" s="142"/>
      <c r="AY8" s="142"/>
      <c r="AZ8" s="144"/>
    </row>
    <row r="9" spans="1:52" x14ac:dyDescent="0.15">
      <c r="A9" s="99" t="s">
        <v>293</v>
      </c>
      <c r="B9" s="145"/>
      <c r="C9" s="103"/>
      <c r="D9" s="103"/>
      <c r="E9" s="103"/>
      <c r="F9" s="103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  <c r="AB9" s="103"/>
      <c r="AC9" s="103"/>
      <c r="AD9" s="103"/>
      <c r="AE9" s="103"/>
      <c r="AF9" s="103"/>
      <c r="AG9" s="103"/>
      <c r="AH9" s="103"/>
      <c r="AI9" s="103"/>
      <c r="AJ9" s="103"/>
      <c r="AK9" s="103"/>
      <c r="AL9" s="103"/>
      <c r="AM9" s="103"/>
      <c r="AN9" s="103"/>
      <c r="AO9" s="103"/>
      <c r="AP9" s="103"/>
      <c r="AQ9" s="103"/>
      <c r="AR9" s="103"/>
      <c r="AS9" s="103"/>
      <c r="AT9" s="103"/>
      <c r="AU9" s="103"/>
      <c r="AV9" s="103"/>
      <c r="AW9" s="103"/>
      <c r="AX9" s="103"/>
      <c r="AY9" s="103"/>
      <c r="AZ9" s="103"/>
    </row>
    <row r="10" spans="1:52" x14ac:dyDescent="0.15">
      <c r="A10" s="146" t="s">
        <v>125</v>
      </c>
      <c r="B10" s="147">
        <v>1</v>
      </c>
      <c r="C10" s="141" t="s">
        <v>292</v>
      </c>
      <c r="D10" s="141">
        <f t="shared" ref="D10:AY10" si="0">MAX(SUM(D$14:D$16)+D$7-$B$3,0)</f>
        <v>0</v>
      </c>
      <c r="E10" s="141">
        <f t="shared" si="0"/>
        <v>0</v>
      </c>
      <c r="F10" s="141">
        <f t="shared" si="0"/>
        <v>0</v>
      </c>
      <c r="G10" s="141">
        <f t="shared" si="0"/>
        <v>0</v>
      </c>
      <c r="H10" s="141">
        <f t="shared" si="0"/>
        <v>0</v>
      </c>
      <c r="I10" s="141">
        <f t="shared" si="0"/>
        <v>0</v>
      </c>
      <c r="J10" s="141">
        <f t="shared" si="0"/>
        <v>0</v>
      </c>
      <c r="K10" s="141">
        <f t="shared" si="0"/>
        <v>0</v>
      </c>
      <c r="L10" s="141">
        <f t="shared" si="0"/>
        <v>0</v>
      </c>
      <c r="M10" s="141">
        <f t="shared" si="0"/>
        <v>0</v>
      </c>
      <c r="N10" s="141">
        <f t="shared" si="0"/>
        <v>0</v>
      </c>
      <c r="O10" s="141">
        <f t="shared" si="0"/>
        <v>0</v>
      </c>
      <c r="P10" s="141">
        <f t="shared" si="0"/>
        <v>0</v>
      </c>
      <c r="Q10" s="141">
        <f t="shared" si="0"/>
        <v>0</v>
      </c>
      <c r="R10" s="141">
        <f t="shared" si="0"/>
        <v>0</v>
      </c>
      <c r="S10" s="141">
        <f t="shared" si="0"/>
        <v>0</v>
      </c>
      <c r="T10" s="141">
        <f t="shared" si="0"/>
        <v>0</v>
      </c>
      <c r="U10" s="141">
        <f t="shared" si="0"/>
        <v>0</v>
      </c>
      <c r="V10" s="141">
        <f t="shared" si="0"/>
        <v>0</v>
      </c>
      <c r="W10" s="141">
        <f t="shared" si="0"/>
        <v>0</v>
      </c>
      <c r="X10" s="141">
        <f t="shared" si="0"/>
        <v>0</v>
      </c>
      <c r="Y10" s="141">
        <f t="shared" si="0"/>
        <v>0</v>
      </c>
      <c r="Z10" s="141">
        <f t="shared" si="0"/>
        <v>0</v>
      </c>
      <c r="AA10" s="141">
        <f t="shared" si="0"/>
        <v>0</v>
      </c>
      <c r="AB10" s="141">
        <f t="shared" si="0"/>
        <v>0</v>
      </c>
      <c r="AC10" s="141">
        <f t="shared" si="0"/>
        <v>0</v>
      </c>
      <c r="AD10" s="141">
        <f t="shared" si="0"/>
        <v>0</v>
      </c>
      <c r="AE10" s="141">
        <f t="shared" si="0"/>
        <v>0</v>
      </c>
      <c r="AF10" s="141">
        <f t="shared" si="0"/>
        <v>0</v>
      </c>
      <c r="AG10" s="141">
        <f t="shared" si="0"/>
        <v>0</v>
      </c>
      <c r="AH10" s="141">
        <f t="shared" si="0"/>
        <v>0</v>
      </c>
      <c r="AI10" s="141">
        <f t="shared" si="0"/>
        <v>0</v>
      </c>
      <c r="AJ10" s="141">
        <f t="shared" si="0"/>
        <v>0</v>
      </c>
      <c r="AK10" s="141">
        <f t="shared" si="0"/>
        <v>0</v>
      </c>
      <c r="AL10" s="141">
        <f t="shared" si="0"/>
        <v>3308.4716290466476</v>
      </c>
      <c r="AM10" s="141">
        <f t="shared" si="0"/>
        <v>0</v>
      </c>
      <c r="AN10" s="141">
        <f t="shared" si="0"/>
        <v>3311.8914495764384</v>
      </c>
      <c r="AO10" s="141">
        <f t="shared" si="0"/>
        <v>0</v>
      </c>
      <c r="AP10" s="141">
        <f t="shared" si="0"/>
        <v>0</v>
      </c>
      <c r="AQ10" s="141">
        <f t="shared" si="0"/>
        <v>3316.945539476681</v>
      </c>
      <c r="AR10" s="141">
        <f t="shared" si="0"/>
        <v>0</v>
      </c>
      <c r="AS10" s="141">
        <f t="shared" si="0"/>
        <v>0</v>
      </c>
      <c r="AT10" s="141">
        <f t="shared" si="0"/>
        <v>0</v>
      </c>
      <c r="AU10" s="141">
        <f t="shared" si="0"/>
        <v>0</v>
      </c>
      <c r="AV10" s="141">
        <f t="shared" si="0"/>
        <v>0</v>
      </c>
      <c r="AW10" s="141">
        <f t="shared" si="0"/>
        <v>3326.7546641224399</v>
      </c>
      <c r="AX10" s="141">
        <f t="shared" si="0"/>
        <v>3459.0705164365572</v>
      </c>
      <c r="AY10" s="141">
        <f t="shared" si="0"/>
        <v>0</v>
      </c>
      <c r="AZ10" s="148">
        <f>SUM($D10:$AY10)</f>
        <v>16723.133798658764</v>
      </c>
    </row>
    <row r="11" spans="1:52" x14ac:dyDescent="0.15">
      <c r="C11" s="107"/>
    </row>
    <row r="12" spans="1:52" x14ac:dyDescent="0.15">
      <c r="A12" s="149" t="s">
        <v>294</v>
      </c>
      <c r="B12" s="143"/>
      <c r="C12" s="107"/>
    </row>
    <row r="13" spans="1:52" x14ac:dyDescent="0.15">
      <c r="A13" s="119" t="s">
        <v>125</v>
      </c>
      <c r="B13" s="120">
        <v>1</v>
      </c>
      <c r="C13" s="121"/>
      <c r="D13" s="135">
        <f t="shared" ref="D13:AY13" si="1">D$7-D$10</f>
        <v>3418.185534126585</v>
      </c>
      <c r="E13" s="135">
        <f t="shared" si="1"/>
        <v>3419.1221861520935</v>
      </c>
      <c r="F13" s="135">
        <f t="shared" si="1"/>
        <v>3420.058888009778</v>
      </c>
      <c r="G13" s="135">
        <f t="shared" si="1"/>
        <v>3420.9954894729135</v>
      </c>
      <c r="H13" s="135">
        <f t="shared" si="1"/>
        <v>3421.9318402644708</v>
      </c>
      <c r="I13" s="135">
        <f t="shared" si="1"/>
        <v>3422.86779008347</v>
      </c>
      <c r="J13" s="135">
        <f t="shared" si="1"/>
        <v>3293.912207666956</v>
      </c>
      <c r="K13" s="135">
        <f t="shared" si="1"/>
        <v>3424.7378856384353</v>
      </c>
      <c r="L13" s="135">
        <f t="shared" si="1"/>
        <v>3334.8166390815104</v>
      </c>
      <c r="M13" s="135">
        <f t="shared" si="1"/>
        <v>3336.8377997025827</v>
      </c>
      <c r="N13" s="135">
        <f t="shared" si="1"/>
        <v>3207.845560425882</v>
      </c>
      <c r="O13" s="135">
        <f t="shared" si="1"/>
        <v>3428.4666553515831</v>
      </c>
      <c r="P13" s="135">
        <f t="shared" si="1"/>
        <v>3429.3955934659739</v>
      </c>
      <c r="Q13" s="135">
        <f t="shared" si="1"/>
        <v>3430.3229305052409</v>
      </c>
      <c r="R13" s="135">
        <f t="shared" si="1"/>
        <v>3431.2485171407088</v>
      </c>
      <c r="S13" s="135">
        <f t="shared" si="1"/>
        <v>3432.1722042836459</v>
      </c>
      <c r="T13" s="135">
        <f t="shared" si="1"/>
        <v>2923.3793109005614</v>
      </c>
      <c r="U13" s="135">
        <f t="shared" si="1"/>
        <v>3057.4366511835306</v>
      </c>
      <c r="V13" s="135">
        <f t="shared" si="1"/>
        <v>3058.8122965739058</v>
      </c>
      <c r="W13" s="135">
        <f t="shared" si="1"/>
        <v>3435.8449860261808</v>
      </c>
      <c r="X13" s="135">
        <f t="shared" si="1"/>
        <v>3436.7569496136452</v>
      </c>
      <c r="Y13" s="135">
        <f t="shared" si="1"/>
        <v>3437.6661256861535</v>
      </c>
      <c r="Z13" s="135">
        <f t="shared" si="1"/>
        <v>3438.572367569288</v>
      </c>
      <c r="AA13" s="135">
        <f t="shared" si="1"/>
        <v>3439.4755290379421</v>
      </c>
      <c r="AB13" s="135">
        <f t="shared" si="1"/>
        <v>3440.3754643422444</v>
      </c>
      <c r="AC13" s="135">
        <f t="shared" si="1"/>
        <v>3441.272028233423</v>
      </c>
      <c r="AD13" s="135">
        <f t="shared" si="1"/>
        <v>3144.8863081770869</v>
      </c>
      <c r="AE13" s="135">
        <f t="shared" si="1"/>
        <v>3372.4792262758747</v>
      </c>
      <c r="AF13" s="135">
        <f t="shared" si="1"/>
        <v>3072.3267940384626</v>
      </c>
      <c r="AG13" s="135">
        <f t="shared" si="1"/>
        <v>3444.8216836715465</v>
      </c>
      <c r="AH13" s="135">
        <f t="shared" si="1"/>
        <v>3445.6992311043246</v>
      </c>
      <c r="AI13" s="135">
        <f t="shared" si="1"/>
        <v>3446.5725475925829</v>
      </c>
      <c r="AJ13" s="135">
        <f t="shared" si="1"/>
        <v>3447.4414921124871</v>
      </c>
      <c r="AK13" s="135">
        <f t="shared" si="1"/>
        <v>3448.305924345123</v>
      </c>
      <c r="AL13" s="135">
        <f t="shared" si="1"/>
        <v>140.69407565487654</v>
      </c>
      <c r="AM13" s="135">
        <f t="shared" si="1"/>
        <v>3450.020694347585</v>
      </c>
      <c r="AN13" s="135">
        <f t="shared" si="1"/>
        <v>138.97930565241495</v>
      </c>
      <c r="AO13" s="135">
        <f t="shared" si="1"/>
        <v>3451.7157500951994</v>
      </c>
      <c r="AP13" s="135">
        <f t="shared" si="1"/>
        <v>3452.5555425253556</v>
      </c>
      <c r="AQ13" s="135">
        <f t="shared" si="1"/>
        <v>136.44445747464488</v>
      </c>
      <c r="AR13" s="135">
        <f t="shared" si="1"/>
        <v>3454.2189786826525</v>
      </c>
      <c r="AS13" s="135">
        <f t="shared" si="1"/>
        <v>3398.4529890022968</v>
      </c>
      <c r="AT13" s="135">
        <f t="shared" si="1"/>
        <v>3455.8599898318694</v>
      </c>
      <c r="AU13" s="135">
        <f t="shared" si="1"/>
        <v>3456.6717544729613</v>
      </c>
      <c r="AV13" s="135">
        <f t="shared" si="1"/>
        <v>3457.4775169133209</v>
      </c>
      <c r="AW13" s="135">
        <f t="shared" si="1"/>
        <v>131.52248308667959</v>
      </c>
      <c r="AX13" s="135">
        <f t="shared" si="1"/>
        <v>0</v>
      </c>
      <c r="AY13" s="135">
        <f t="shared" si="1"/>
        <v>3459.8574967150439</v>
      </c>
      <c r="AZ13" s="106"/>
    </row>
    <row r="14" spans="1:52" x14ac:dyDescent="0.15">
      <c r="A14" s="107"/>
      <c r="B14" s="117">
        <v>2</v>
      </c>
      <c r="C14" s="107"/>
      <c r="D14" s="103">
        <f>IF(C$20="Yes",C13,0)</f>
        <v>0</v>
      </c>
      <c r="E14" s="103">
        <f t="shared" ref="E14:AY17" si="2">IF(D$20="Yes",D13,0)</f>
        <v>0</v>
      </c>
      <c r="F14" s="103">
        <f t="shared" si="2"/>
        <v>0</v>
      </c>
      <c r="G14" s="103">
        <f t="shared" si="2"/>
        <v>0</v>
      </c>
      <c r="H14" s="103">
        <f t="shared" si="2"/>
        <v>0</v>
      </c>
      <c r="I14" s="103">
        <f t="shared" si="2"/>
        <v>0</v>
      </c>
      <c r="J14" s="103">
        <f t="shared" si="2"/>
        <v>0</v>
      </c>
      <c r="K14" s="103">
        <f t="shared" si="2"/>
        <v>0</v>
      </c>
      <c r="L14" s="103">
        <f t="shared" si="2"/>
        <v>0</v>
      </c>
      <c r="M14" s="103">
        <f t="shared" si="2"/>
        <v>0</v>
      </c>
      <c r="N14" s="103">
        <f t="shared" si="2"/>
        <v>0</v>
      </c>
      <c r="O14" s="103">
        <f t="shared" si="2"/>
        <v>0</v>
      </c>
      <c r="P14" s="103">
        <f t="shared" si="2"/>
        <v>0</v>
      </c>
      <c r="Q14" s="103">
        <f t="shared" si="2"/>
        <v>0</v>
      </c>
      <c r="R14" s="103">
        <f t="shared" si="2"/>
        <v>0</v>
      </c>
      <c r="S14" s="103">
        <f t="shared" si="2"/>
        <v>0</v>
      </c>
      <c r="T14" s="103">
        <f t="shared" si="2"/>
        <v>0</v>
      </c>
      <c r="U14" s="103">
        <f t="shared" si="2"/>
        <v>0</v>
      </c>
      <c r="V14" s="103">
        <f t="shared" si="2"/>
        <v>0</v>
      </c>
      <c r="W14" s="103">
        <f t="shared" si="2"/>
        <v>0</v>
      </c>
      <c r="X14" s="103">
        <f t="shared" si="2"/>
        <v>0</v>
      </c>
      <c r="Y14" s="103">
        <f t="shared" si="2"/>
        <v>0</v>
      </c>
      <c r="Z14" s="103">
        <f t="shared" si="2"/>
        <v>0</v>
      </c>
      <c r="AA14" s="103">
        <f t="shared" si="2"/>
        <v>0</v>
      </c>
      <c r="AB14" s="103">
        <f t="shared" si="2"/>
        <v>0</v>
      </c>
      <c r="AC14" s="103">
        <f t="shared" si="2"/>
        <v>0</v>
      </c>
      <c r="AD14" s="103">
        <f t="shared" si="2"/>
        <v>0</v>
      </c>
      <c r="AE14" s="103">
        <f t="shared" si="2"/>
        <v>0</v>
      </c>
      <c r="AF14" s="103">
        <f t="shared" si="2"/>
        <v>0</v>
      </c>
      <c r="AG14" s="103">
        <f t="shared" si="2"/>
        <v>0</v>
      </c>
      <c r="AH14" s="103">
        <f t="shared" si="2"/>
        <v>0</v>
      </c>
      <c r="AI14" s="103">
        <f t="shared" si="2"/>
        <v>0</v>
      </c>
      <c r="AJ14" s="103">
        <f t="shared" si="2"/>
        <v>0</v>
      </c>
      <c r="AK14" s="103">
        <f t="shared" si="2"/>
        <v>0</v>
      </c>
      <c r="AL14" s="103">
        <f t="shared" si="2"/>
        <v>3448.305924345123</v>
      </c>
      <c r="AM14" s="103">
        <f t="shared" si="2"/>
        <v>0</v>
      </c>
      <c r="AN14" s="103">
        <f t="shared" si="2"/>
        <v>3450.020694347585</v>
      </c>
      <c r="AO14" s="103">
        <f t="shared" si="2"/>
        <v>0</v>
      </c>
      <c r="AP14" s="103">
        <f t="shared" si="2"/>
        <v>0</v>
      </c>
      <c r="AQ14" s="103">
        <f t="shared" si="2"/>
        <v>3452.5555425253556</v>
      </c>
      <c r="AR14" s="103">
        <f t="shared" si="2"/>
        <v>0</v>
      </c>
      <c r="AS14" s="103">
        <f t="shared" si="2"/>
        <v>0</v>
      </c>
      <c r="AT14" s="103">
        <f t="shared" si="2"/>
        <v>0</v>
      </c>
      <c r="AU14" s="103">
        <f t="shared" si="2"/>
        <v>0</v>
      </c>
      <c r="AV14" s="103">
        <f t="shared" si="2"/>
        <v>0</v>
      </c>
      <c r="AW14" s="103">
        <f t="shared" si="2"/>
        <v>3457.4775169133209</v>
      </c>
      <c r="AX14" s="103">
        <f t="shared" si="2"/>
        <v>131.52248308667959</v>
      </c>
      <c r="AY14" s="103">
        <f t="shared" si="2"/>
        <v>0</v>
      </c>
      <c r="AZ14" s="106"/>
    </row>
    <row r="15" spans="1:52" x14ac:dyDescent="0.15">
      <c r="A15" s="107"/>
      <c r="B15" s="124">
        <v>3</v>
      </c>
      <c r="C15" s="107"/>
      <c r="D15" s="103">
        <f>IF(C$20="Yes",C14,0)</f>
        <v>0</v>
      </c>
      <c r="E15" s="103">
        <f t="shared" si="2"/>
        <v>0</v>
      </c>
      <c r="F15" s="103">
        <f t="shared" si="2"/>
        <v>0</v>
      </c>
      <c r="G15" s="103">
        <f t="shared" si="2"/>
        <v>0</v>
      </c>
      <c r="H15" s="103">
        <f t="shared" si="2"/>
        <v>0</v>
      </c>
      <c r="I15" s="103">
        <f t="shared" si="2"/>
        <v>0</v>
      </c>
      <c r="J15" s="103">
        <f t="shared" si="2"/>
        <v>0</v>
      </c>
      <c r="K15" s="103">
        <f t="shared" si="2"/>
        <v>0</v>
      </c>
      <c r="L15" s="103">
        <f t="shared" si="2"/>
        <v>0</v>
      </c>
      <c r="M15" s="103">
        <f t="shared" si="2"/>
        <v>0</v>
      </c>
      <c r="N15" s="103">
        <f t="shared" si="2"/>
        <v>0</v>
      </c>
      <c r="O15" s="103">
        <f t="shared" si="2"/>
        <v>0</v>
      </c>
      <c r="P15" s="103">
        <f t="shared" si="2"/>
        <v>0</v>
      </c>
      <c r="Q15" s="103">
        <f t="shared" si="2"/>
        <v>0</v>
      </c>
      <c r="R15" s="103">
        <f t="shared" si="2"/>
        <v>0</v>
      </c>
      <c r="S15" s="103">
        <f t="shared" si="2"/>
        <v>0</v>
      </c>
      <c r="T15" s="103">
        <f t="shared" si="2"/>
        <v>0</v>
      </c>
      <c r="U15" s="103">
        <f t="shared" si="2"/>
        <v>0</v>
      </c>
      <c r="V15" s="103">
        <f t="shared" si="2"/>
        <v>0</v>
      </c>
      <c r="W15" s="103">
        <f t="shared" si="2"/>
        <v>0</v>
      </c>
      <c r="X15" s="103">
        <f t="shared" si="2"/>
        <v>0</v>
      </c>
      <c r="Y15" s="103">
        <f t="shared" si="2"/>
        <v>0</v>
      </c>
      <c r="Z15" s="103">
        <f t="shared" si="2"/>
        <v>0</v>
      </c>
      <c r="AA15" s="103">
        <f t="shared" si="2"/>
        <v>0</v>
      </c>
      <c r="AB15" s="103">
        <f t="shared" si="2"/>
        <v>0</v>
      </c>
      <c r="AC15" s="103">
        <f t="shared" si="2"/>
        <v>0</v>
      </c>
      <c r="AD15" s="103">
        <f t="shared" si="2"/>
        <v>0</v>
      </c>
      <c r="AE15" s="103">
        <f t="shared" si="2"/>
        <v>0</v>
      </c>
      <c r="AF15" s="103">
        <f t="shared" si="2"/>
        <v>0</v>
      </c>
      <c r="AG15" s="103">
        <f t="shared" si="2"/>
        <v>0</v>
      </c>
      <c r="AH15" s="103">
        <f t="shared" si="2"/>
        <v>0</v>
      </c>
      <c r="AI15" s="103">
        <f t="shared" si="2"/>
        <v>0</v>
      </c>
      <c r="AJ15" s="103">
        <f t="shared" si="2"/>
        <v>0</v>
      </c>
      <c r="AK15" s="103">
        <f t="shared" si="2"/>
        <v>0</v>
      </c>
      <c r="AL15" s="103">
        <f t="shared" si="2"/>
        <v>0</v>
      </c>
      <c r="AM15" s="103">
        <f t="shared" si="2"/>
        <v>0</v>
      </c>
      <c r="AN15" s="103">
        <f t="shared" si="2"/>
        <v>0</v>
      </c>
      <c r="AO15" s="103">
        <f t="shared" si="2"/>
        <v>0</v>
      </c>
      <c r="AP15" s="103">
        <f t="shared" si="2"/>
        <v>0</v>
      </c>
      <c r="AQ15" s="103">
        <f t="shared" si="2"/>
        <v>0</v>
      </c>
      <c r="AR15" s="103">
        <f t="shared" si="2"/>
        <v>0</v>
      </c>
      <c r="AS15" s="103">
        <f t="shared" si="2"/>
        <v>0</v>
      </c>
      <c r="AT15" s="103">
        <f t="shared" si="2"/>
        <v>0</v>
      </c>
      <c r="AU15" s="103">
        <f t="shared" si="2"/>
        <v>0</v>
      </c>
      <c r="AV15" s="103">
        <f t="shared" si="2"/>
        <v>0</v>
      </c>
      <c r="AW15" s="103">
        <f t="shared" si="2"/>
        <v>0</v>
      </c>
      <c r="AX15" s="103">
        <f t="shared" si="2"/>
        <v>3457.4775169133209</v>
      </c>
      <c r="AY15" s="103">
        <f t="shared" si="2"/>
        <v>0</v>
      </c>
      <c r="AZ15" s="106"/>
    </row>
    <row r="16" spans="1:52" x14ac:dyDescent="0.15">
      <c r="A16" s="107"/>
      <c r="B16" s="127">
        <v>4</v>
      </c>
      <c r="C16" s="107"/>
      <c r="D16" s="103">
        <f>IF(C$20="Yes",C15,0)</f>
        <v>0</v>
      </c>
      <c r="E16" s="103">
        <f t="shared" si="2"/>
        <v>0</v>
      </c>
      <c r="F16" s="103">
        <f t="shared" si="2"/>
        <v>0</v>
      </c>
      <c r="G16" s="103">
        <f t="shared" si="2"/>
        <v>0</v>
      </c>
      <c r="H16" s="103">
        <f t="shared" si="2"/>
        <v>0</v>
      </c>
      <c r="I16" s="103">
        <f t="shared" si="2"/>
        <v>0</v>
      </c>
      <c r="J16" s="103">
        <f t="shared" si="2"/>
        <v>0</v>
      </c>
      <c r="K16" s="103">
        <f t="shared" si="2"/>
        <v>0</v>
      </c>
      <c r="L16" s="103">
        <f t="shared" si="2"/>
        <v>0</v>
      </c>
      <c r="M16" s="103">
        <f t="shared" si="2"/>
        <v>0</v>
      </c>
      <c r="N16" s="103">
        <f t="shared" si="2"/>
        <v>0</v>
      </c>
      <c r="O16" s="103">
        <f t="shared" si="2"/>
        <v>0</v>
      </c>
      <c r="P16" s="103">
        <f t="shared" si="2"/>
        <v>0</v>
      </c>
      <c r="Q16" s="103">
        <f t="shared" si="2"/>
        <v>0</v>
      </c>
      <c r="R16" s="103">
        <f t="shared" si="2"/>
        <v>0</v>
      </c>
      <c r="S16" s="103">
        <f t="shared" si="2"/>
        <v>0</v>
      </c>
      <c r="T16" s="103">
        <f t="shared" si="2"/>
        <v>0</v>
      </c>
      <c r="U16" s="103">
        <f t="shared" si="2"/>
        <v>0</v>
      </c>
      <c r="V16" s="103">
        <f t="shared" si="2"/>
        <v>0</v>
      </c>
      <c r="W16" s="103">
        <f t="shared" si="2"/>
        <v>0</v>
      </c>
      <c r="X16" s="103">
        <f t="shared" si="2"/>
        <v>0</v>
      </c>
      <c r="Y16" s="103">
        <f t="shared" si="2"/>
        <v>0</v>
      </c>
      <c r="Z16" s="103">
        <f t="shared" si="2"/>
        <v>0</v>
      </c>
      <c r="AA16" s="103">
        <f t="shared" si="2"/>
        <v>0</v>
      </c>
      <c r="AB16" s="103">
        <f t="shared" si="2"/>
        <v>0</v>
      </c>
      <c r="AC16" s="103">
        <f t="shared" si="2"/>
        <v>0</v>
      </c>
      <c r="AD16" s="103">
        <f t="shared" si="2"/>
        <v>0</v>
      </c>
      <c r="AE16" s="103">
        <f t="shared" si="2"/>
        <v>0</v>
      </c>
      <c r="AF16" s="103">
        <f t="shared" si="2"/>
        <v>0</v>
      </c>
      <c r="AG16" s="103">
        <f t="shared" si="2"/>
        <v>0</v>
      </c>
      <c r="AH16" s="103">
        <f t="shared" si="2"/>
        <v>0</v>
      </c>
      <c r="AI16" s="103">
        <f t="shared" si="2"/>
        <v>0</v>
      </c>
      <c r="AJ16" s="103">
        <f t="shared" si="2"/>
        <v>0</v>
      </c>
      <c r="AK16" s="103">
        <f t="shared" si="2"/>
        <v>0</v>
      </c>
      <c r="AL16" s="103">
        <f t="shared" si="2"/>
        <v>0</v>
      </c>
      <c r="AM16" s="103">
        <f t="shared" si="2"/>
        <v>0</v>
      </c>
      <c r="AN16" s="103">
        <f t="shared" si="2"/>
        <v>0</v>
      </c>
      <c r="AO16" s="103">
        <f t="shared" si="2"/>
        <v>0</v>
      </c>
      <c r="AP16" s="103">
        <f t="shared" si="2"/>
        <v>0</v>
      </c>
      <c r="AQ16" s="103">
        <f t="shared" si="2"/>
        <v>0</v>
      </c>
      <c r="AR16" s="103">
        <f t="shared" si="2"/>
        <v>0</v>
      </c>
      <c r="AS16" s="103">
        <f t="shared" si="2"/>
        <v>0</v>
      </c>
      <c r="AT16" s="103">
        <f t="shared" si="2"/>
        <v>0</v>
      </c>
      <c r="AU16" s="103">
        <f t="shared" si="2"/>
        <v>0</v>
      </c>
      <c r="AV16" s="103">
        <f t="shared" si="2"/>
        <v>0</v>
      </c>
      <c r="AW16" s="103">
        <f t="shared" si="2"/>
        <v>0</v>
      </c>
      <c r="AX16" s="103">
        <f t="shared" si="2"/>
        <v>0</v>
      </c>
      <c r="AY16" s="103">
        <f t="shared" si="2"/>
        <v>0</v>
      </c>
      <c r="AZ16" s="125"/>
    </row>
    <row r="17" spans="1:52" x14ac:dyDescent="0.15">
      <c r="A17" s="122"/>
      <c r="B17" s="129" t="s">
        <v>295</v>
      </c>
      <c r="C17" s="122"/>
      <c r="D17" s="111">
        <f>IF(C$20="Yes",C16,0)</f>
        <v>0</v>
      </c>
      <c r="E17" s="111">
        <f t="shared" si="2"/>
        <v>0</v>
      </c>
      <c r="F17" s="111">
        <f t="shared" si="2"/>
        <v>0</v>
      </c>
      <c r="G17" s="111">
        <f t="shared" si="2"/>
        <v>0</v>
      </c>
      <c r="H17" s="111">
        <f t="shared" si="2"/>
        <v>0</v>
      </c>
      <c r="I17" s="111">
        <f t="shared" si="2"/>
        <v>0</v>
      </c>
      <c r="J17" s="111">
        <f t="shared" si="2"/>
        <v>0</v>
      </c>
      <c r="K17" s="111">
        <f t="shared" si="2"/>
        <v>0</v>
      </c>
      <c r="L17" s="111">
        <f t="shared" si="2"/>
        <v>0</v>
      </c>
      <c r="M17" s="111">
        <f t="shared" si="2"/>
        <v>0</v>
      </c>
      <c r="N17" s="111">
        <f t="shared" si="2"/>
        <v>0</v>
      </c>
      <c r="O17" s="111">
        <f t="shared" si="2"/>
        <v>0</v>
      </c>
      <c r="P17" s="111">
        <f t="shared" si="2"/>
        <v>0</v>
      </c>
      <c r="Q17" s="111">
        <f t="shared" si="2"/>
        <v>0</v>
      </c>
      <c r="R17" s="111">
        <f t="shared" si="2"/>
        <v>0</v>
      </c>
      <c r="S17" s="111">
        <f t="shared" si="2"/>
        <v>0</v>
      </c>
      <c r="T17" s="111">
        <f t="shared" si="2"/>
        <v>0</v>
      </c>
      <c r="U17" s="111">
        <f t="shared" si="2"/>
        <v>0</v>
      </c>
      <c r="V17" s="111">
        <f t="shared" si="2"/>
        <v>0</v>
      </c>
      <c r="W17" s="111">
        <f t="shared" si="2"/>
        <v>0</v>
      </c>
      <c r="X17" s="111">
        <f t="shared" si="2"/>
        <v>0</v>
      </c>
      <c r="Y17" s="111">
        <f t="shared" si="2"/>
        <v>0</v>
      </c>
      <c r="Z17" s="111">
        <f t="shared" si="2"/>
        <v>0</v>
      </c>
      <c r="AA17" s="111">
        <f t="shared" si="2"/>
        <v>0</v>
      </c>
      <c r="AB17" s="111">
        <f t="shared" si="2"/>
        <v>0</v>
      </c>
      <c r="AC17" s="111">
        <f t="shared" si="2"/>
        <v>0</v>
      </c>
      <c r="AD17" s="111">
        <f t="shared" si="2"/>
        <v>0</v>
      </c>
      <c r="AE17" s="111">
        <f t="shared" si="2"/>
        <v>0</v>
      </c>
      <c r="AF17" s="111">
        <f t="shared" si="2"/>
        <v>0</v>
      </c>
      <c r="AG17" s="111">
        <f t="shared" si="2"/>
        <v>0</v>
      </c>
      <c r="AH17" s="111">
        <f t="shared" si="2"/>
        <v>0</v>
      </c>
      <c r="AI17" s="111">
        <f t="shared" si="2"/>
        <v>0</v>
      </c>
      <c r="AJ17" s="111">
        <f t="shared" si="2"/>
        <v>0</v>
      </c>
      <c r="AK17" s="111">
        <f t="shared" si="2"/>
        <v>0</v>
      </c>
      <c r="AL17" s="111">
        <f t="shared" si="2"/>
        <v>0</v>
      </c>
      <c r="AM17" s="111">
        <f t="shared" si="2"/>
        <v>0</v>
      </c>
      <c r="AN17" s="111">
        <f t="shared" si="2"/>
        <v>0</v>
      </c>
      <c r="AO17" s="111">
        <f t="shared" si="2"/>
        <v>0</v>
      </c>
      <c r="AP17" s="111">
        <f t="shared" si="2"/>
        <v>0</v>
      </c>
      <c r="AQ17" s="111">
        <f t="shared" si="2"/>
        <v>0</v>
      </c>
      <c r="AR17" s="111">
        <f t="shared" si="2"/>
        <v>0</v>
      </c>
      <c r="AS17" s="111">
        <f t="shared" si="2"/>
        <v>0</v>
      </c>
      <c r="AT17" s="111">
        <f t="shared" si="2"/>
        <v>0</v>
      </c>
      <c r="AU17" s="111">
        <f t="shared" si="2"/>
        <v>0</v>
      </c>
      <c r="AV17" s="111">
        <f t="shared" si="2"/>
        <v>0</v>
      </c>
      <c r="AW17" s="111">
        <f t="shared" si="2"/>
        <v>0</v>
      </c>
      <c r="AX17" s="111">
        <f t="shared" si="2"/>
        <v>0</v>
      </c>
      <c r="AY17" s="111">
        <f t="shared" si="2"/>
        <v>0</v>
      </c>
      <c r="AZ17" s="148">
        <f>SUM($D$17:$AY$17)</f>
        <v>0</v>
      </c>
    </row>
    <row r="18" spans="1:52" x14ac:dyDescent="0.15">
      <c r="A18" s="103"/>
      <c r="B18" s="150"/>
      <c r="C18" s="135"/>
      <c r="D18" s="135"/>
      <c r="E18" s="135"/>
      <c r="F18" s="135"/>
      <c r="G18" s="135"/>
      <c r="H18" s="135"/>
      <c r="I18" s="135"/>
      <c r="J18" s="135"/>
      <c r="K18" s="135"/>
      <c r="L18" s="135"/>
      <c r="M18" s="135"/>
      <c r="N18" s="135"/>
      <c r="O18" s="135"/>
      <c r="P18" s="135"/>
      <c r="Q18" s="135"/>
      <c r="R18" s="135"/>
      <c r="S18" s="135"/>
      <c r="T18" s="135"/>
      <c r="U18" s="135"/>
      <c r="V18" s="135"/>
      <c r="W18" s="135"/>
      <c r="X18" s="135"/>
      <c r="Y18" s="135"/>
      <c r="Z18" s="135"/>
      <c r="AA18" s="135"/>
      <c r="AB18" s="135"/>
      <c r="AC18" s="135"/>
      <c r="AD18" s="135"/>
      <c r="AE18" s="135"/>
      <c r="AF18" s="135"/>
      <c r="AG18" s="135"/>
      <c r="AH18" s="135"/>
      <c r="AI18" s="135"/>
      <c r="AJ18" s="135"/>
      <c r="AK18" s="135"/>
      <c r="AL18" s="135"/>
      <c r="AM18" s="135"/>
      <c r="AN18" s="135"/>
      <c r="AO18" s="135"/>
      <c r="AP18" s="135"/>
      <c r="AQ18" s="135"/>
      <c r="AR18" s="135"/>
      <c r="AS18" s="135"/>
      <c r="AT18" s="135"/>
      <c r="AU18" s="135"/>
      <c r="AV18" s="135"/>
      <c r="AW18" s="135"/>
      <c r="AX18" s="135"/>
      <c r="AY18" s="135"/>
      <c r="AZ18" s="103"/>
    </row>
    <row r="19" spans="1:52" x14ac:dyDescent="0.15">
      <c r="A19" s="99" t="s">
        <v>116</v>
      </c>
      <c r="B19" s="103"/>
      <c r="C19" s="103"/>
      <c r="D19" s="103"/>
      <c r="E19" s="103"/>
      <c r="F19" s="103"/>
      <c r="G19" s="103"/>
      <c r="H19" s="103"/>
      <c r="I19" s="103"/>
      <c r="J19" s="103"/>
      <c r="K19" s="103"/>
      <c r="L19" s="103"/>
      <c r="M19" s="103"/>
      <c r="N19" s="103"/>
      <c r="O19" s="103"/>
      <c r="P19" s="103"/>
      <c r="Q19" s="103"/>
      <c r="R19" s="103"/>
      <c r="S19" s="103"/>
      <c r="T19" s="103"/>
      <c r="U19" s="103"/>
      <c r="V19" s="103"/>
      <c r="W19" s="103"/>
      <c r="X19" s="103"/>
      <c r="Y19" s="103"/>
      <c r="Z19" s="103"/>
      <c r="AA19" s="103"/>
      <c r="AB19" s="103"/>
      <c r="AC19" s="103"/>
      <c r="AD19" s="103"/>
      <c r="AE19" s="103"/>
      <c r="AF19" s="103"/>
      <c r="AG19" s="103"/>
      <c r="AH19" s="103"/>
      <c r="AI19" s="103"/>
      <c r="AJ19" s="103"/>
      <c r="AK19" s="103"/>
      <c r="AL19" s="103"/>
      <c r="AM19" s="103"/>
      <c r="AN19" s="103"/>
      <c r="AO19" s="103"/>
      <c r="AP19" s="103"/>
      <c r="AQ19" s="103"/>
      <c r="AR19" s="103"/>
      <c r="AS19" s="103"/>
      <c r="AT19" s="103"/>
      <c r="AU19" s="103"/>
      <c r="AV19" s="103"/>
      <c r="AW19" s="103"/>
      <c r="AX19" s="103"/>
      <c r="AY19" s="103"/>
    </row>
    <row r="20" spans="1:52" s="107" customFormat="1" x14ac:dyDescent="0.15">
      <c r="A20" s="112" t="s">
        <v>304</v>
      </c>
      <c r="B20" s="151" t="s">
        <v>305</v>
      </c>
      <c r="C20" s="114"/>
      <c r="D20" s="114"/>
      <c r="E20" s="114"/>
      <c r="F20" s="114"/>
      <c r="G20" s="114"/>
      <c r="H20" s="114"/>
      <c r="I20" s="114"/>
      <c r="J20" s="114"/>
      <c r="K20" s="114"/>
      <c r="L20" s="114"/>
      <c r="M20" s="114"/>
      <c r="N20" s="114"/>
      <c r="O20" s="114"/>
      <c r="P20" s="114"/>
      <c r="Q20" s="114"/>
      <c r="R20" s="114"/>
      <c r="S20" s="114"/>
      <c r="T20" s="114"/>
      <c r="U20" s="114"/>
      <c r="V20" s="114"/>
      <c r="W20" s="114"/>
      <c r="X20" s="114"/>
      <c r="Y20" s="114"/>
      <c r="Z20" s="114"/>
      <c r="AA20" s="114"/>
      <c r="AB20" s="114"/>
      <c r="AC20" s="114"/>
      <c r="AD20" s="114"/>
      <c r="AE20" s="114"/>
      <c r="AF20" s="114"/>
      <c r="AG20" s="114"/>
      <c r="AH20" s="114"/>
      <c r="AI20" s="114"/>
      <c r="AJ20" s="114"/>
      <c r="AK20" s="114" t="s">
        <v>338</v>
      </c>
      <c r="AL20" s="114"/>
      <c r="AM20" s="114" t="s">
        <v>338</v>
      </c>
      <c r="AN20" s="114"/>
      <c r="AO20" s="114"/>
      <c r="AP20" s="114" t="s">
        <v>338</v>
      </c>
      <c r="AQ20" s="114"/>
      <c r="AR20" s="114"/>
      <c r="AS20" s="114"/>
      <c r="AT20" s="114"/>
      <c r="AU20" s="114"/>
      <c r="AV20" s="114" t="s">
        <v>338</v>
      </c>
      <c r="AW20" s="114" t="s">
        <v>338</v>
      </c>
      <c r="AX20" s="114"/>
      <c r="AY20" s="114"/>
      <c r="AZ20" s="104"/>
    </row>
    <row r="21" spans="1:52" s="107" customFormat="1" x14ac:dyDescent="0.15">
      <c r="A21" s="152" t="s">
        <v>133</v>
      </c>
      <c r="B21" s="153">
        <f>shipping_manufacturing!$G$19/100</f>
        <v>0.5</v>
      </c>
      <c r="C21" s="153" t="s">
        <v>292</v>
      </c>
      <c r="D21" s="103">
        <f>IF(C$20="Yes",0,SUM(C$13:C$16)*$B$21)</f>
        <v>0</v>
      </c>
      <c r="E21" s="103">
        <f t="shared" ref="E21:AY21" si="3">IF(D$20="Yes",0,SUM(D$13:D$16)*$B$21)</f>
        <v>1709.0927670632925</v>
      </c>
      <c r="F21" s="103">
        <f t="shared" si="3"/>
        <v>1709.5610930760467</v>
      </c>
      <c r="G21" s="103">
        <f t="shared" si="3"/>
        <v>1710.029444004889</v>
      </c>
      <c r="H21" s="103">
        <f t="shared" si="3"/>
        <v>1710.4977447364568</v>
      </c>
      <c r="I21" s="103">
        <f t="shared" si="3"/>
        <v>1710.9659201322354</v>
      </c>
      <c r="J21" s="103">
        <f t="shared" si="3"/>
        <v>1711.433895041735</v>
      </c>
      <c r="K21" s="103">
        <f t="shared" si="3"/>
        <v>1646.956103833478</v>
      </c>
      <c r="L21" s="103">
        <f t="shared" si="3"/>
        <v>1712.3689428192176</v>
      </c>
      <c r="M21" s="103">
        <f t="shared" si="3"/>
        <v>1667.4083195407552</v>
      </c>
      <c r="N21" s="103">
        <f t="shared" si="3"/>
        <v>1668.4188998512914</v>
      </c>
      <c r="O21" s="103">
        <f t="shared" si="3"/>
        <v>1603.922780212941</v>
      </c>
      <c r="P21" s="103">
        <f t="shared" si="3"/>
        <v>1714.2333276757915</v>
      </c>
      <c r="Q21" s="103">
        <f t="shared" si="3"/>
        <v>1714.6977967329869</v>
      </c>
      <c r="R21" s="103">
        <f t="shared" si="3"/>
        <v>1715.1614652526205</v>
      </c>
      <c r="S21" s="103">
        <f t="shared" si="3"/>
        <v>1715.6242585703544</v>
      </c>
      <c r="T21" s="103">
        <f t="shared" si="3"/>
        <v>1716.0861021418229</v>
      </c>
      <c r="U21" s="103">
        <f t="shared" si="3"/>
        <v>1461.6896554502807</v>
      </c>
      <c r="V21" s="103">
        <f t="shared" si="3"/>
        <v>1528.7183255917653</v>
      </c>
      <c r="W21" s="103">
        <f t="shared" si="3"/>
        <v>1529.4061482869529</v>
      </c>
      <c r="X21" s="103">
        <f t="shared" si="3"/>
        <v>1717.9224930130904</v>
      </c>
      <c r="Y21" s="103">
        <f t="shared" si="3"/>
        <v>1718.3784748068226</v>
      </c>
      <c r="Z21" s="103">
        <f t="shared" si="3"/>
        <v>1718.8330628430767</v>
      </c>
      <c r="AA21" s="103">
        <f t="shared" si="3"/>
        <v>1719.286183784644</v>
      </c>
      <c r="AB21" s="103">
        <f t="shared" si="3"/>
        <v>1719.7377645189711</v>
      </c>
      <c r="AC21" s="103">
        <f t="shared" si="3"/>
        <v>1720.1877321711222</v>
      </c>
      <c r="AD21" s="103">
        <f t="shared" si="3"/>
        <v>1720.6360141167115</v>
      </c>
      <c r="AE21" s="103">
        <f t="shared" si="3"/>
        <v>1572.4431540885435</v>
      </c>
      <c r="AF21" s="103">
        <f t="shared" si="3"/>
        <v>1686.2396131379373</v>
      </c>
      <c r="AG21" s="103">
        <f t="shared" si="3"/>
        <v>1536.1633970192313</v>
      </c>
      <c r="AH21" s="103">
        <f t="shared" si="3"/>
        <v>1722.4108418357732</v>
      </c>
      <c r="AI21" s="103">
        <f t="shared" si="3"/>
        <v>1722.8496155521623</v>
      </c>
      <c r="AJ21" s="103">
        <f t="shared" si="3"/>
        <v>1723.2862737962914</v>
      </c>
      <c r="AK21" s="103">
        <f t="shared" si="3"/>
        <v>1723.7207460562436</v>
      </c>
      <c r="AL21" s="103">
        <f t="shared" si="3"/>
        <v>0</v>
      </c>
      <c r="AM21" s="103">
        <f t="shared" si="3"/>
        <v>1794.4999999999998</v>
      </c>
      <c r="AN21" s="103">
        <f t="shared" si="3"/>
        <v>0</v>
      </c>
      <c r="AO21" s="103">
        <f t="shared" si="3"/>
        <v>1794.5</v>
      </c>
      <c r="AP21" s="103">
        <f t="shared" si="3"/>
        <v>1725.8578750475997</v>
      </c>
      <c r="AQ21" s="103">
        <f t="shared" si="3"/>
        <v>0</v>
      </c>
      <c r="AR21" s="103">
        <f t="shared" si="3"/>
        <v>1794.5000000000002</v>
      </c>
      <c r="AS21" s="103">
        <f t="shared" si="3"/>
        <v>1727.1094893413263</v>
      </c>
      <c r="AT21" s="103">
        <f t="shared" si="3"/>
        <v>1699.2264945011484</v>
      </c>
      <c r="AU21" s="103">
        <f t="shared" si="3"/>
        <v>1727.9299949159347</v>
      </c>
      <c r="AV21" s="103">
        <f t="shared" si="3"/>
        <v>1728.3358772364807</v>
      </c>
      <c r="AW21" s="103">
        <f t="shared" si="3"/>
        <v>0</v>
      </c>
      <c r="AX21" s="103">
        <f t="shared" si="3"/>
        <v>0</v>
      </c>
      <c r="AY21" s="103">
        <f t="shared" si="3"/>
        <v>1794.5000000000002</v>
      </c>
      <c r="AZ21" s="154">
        <f>SUM($D21:$AY21)</f>
        <v>71164.828087798014</v>
      </c>
    </row>
    <row r="22" spans="1:52" s="107" customFormat="1" x14ac:dyDescent="0.15">
      <c r="A22" s="155" t="s">
        <v>123</v>
      </c>
      <c r="B22" s="156">
        <f>1-$B$21</f>
        <v>0.5</v>
      </c>
      <c r="C22" s="156" t="s">
        <v>292</v>
      </c>
      <c r="D22" s="111">
        <f>IF(C$20="Yes",0,SUM(C$13:C$16)*$B$22)</f>
        <v>0</v>
      </c>
      <c r="E22" s="111">
        <f t="shared" ref="E22:AY22" si="4">IF(D$20="Yes",0,SUM(D$13:D$16)*$B$22)</f>
        <v>1709.0927670632925</v>
      </c>
      <c r="F22" s="111">
        <f t="shared" si="4"/>
        <v>1709.5610930760467</v>
      </c>
      <c r="G22" s="111">
        <f t="shared" si="4"/>
        <v>1710.029444004889</v>
      </c>
      <c r="H22" s="111">
        <f t="shared" si="4"/>
        <v>1710.4977447364568</v>
      </c>
      <c r="I22" s="111">
        <f t="shared" si="4"/>
        <v>1710.9659201322354</v>
      </c>
      <c r="J22" s="111">
        <f t="shared" si="4"/>
        <v>1711.433895041735</v>
      </c>
      <c r="K22" s="111">
        <f t="shared" si="4"/>
        <v>1646.956103833478</v>
      </c>
      <c r="L22" s="111">
        <f t="shared" si="4"/>
        <v>1712.3689428192176</v>
      </c>
      <c r="M22" s="111">
        <f t="shared" si="4"/>
        <v>1667.4083195407552</v>
      </c>
      <c r="N22" s="111">
        <f t="shared" si="4"/>
        <v>1668.4188998512914</v>
      </c>
      <c r="O22" s="111">
        <f t="shared" si="4"/>
        <v>1603.922780212941</v>
      </c>
      <c r="P22" s="111">
        <f t="shared" si="4"/>
        <v>1714.2333276757915</v>
      </c>
      <c r="Q22" s="111">
        <f t="shared" si="4"/>
        <v>1714.6977967329869</v>
      </c>
      <c r="R22" s="111">
        <f t="shared" si="4"/>
        <v>1715.1614652526205</v>
      </c>
      <c r="S22" s="111">
        <f t="shared" si="4"/>
        <v>1715.6242585703544</v>
      </c>
      <c r="T22" s="111">
        <f t="shared" si="4"/>
        <v>1716.0861021418229</v>
      </c>
      <c r="U22" s="111">
        <f t="shared" si="4"/>
        <v>1461.6896554502807</v>
      </c>
      <c r="V22" s="111">
        <f t="shared" si="4"/>
        <v>1528.7183255917653</v>
      </c>
      <c r="W22" s="111">
        <f t="shared" si="4"/>
        <v>1529.4061482869529</v>
      </c>
      <c r="X22" s="111">
        <f t="shared" si="4"/>
        <v>1717.9224930130904</v>
      </c>
      <c r="Y22" s="111">
        <f t="shared" si="4"/>
        <v>1718.3784748068226</v>
      </c>
      <c r="Z22" s="111">
        <f t="shared" si="4"/>
        <v>1718.8330628430767</v>
      </c>
      <c r="AA22" s="111">
        <f t="shared" si="4"/>
        <v>1719.286183784644</v>
      </c>
      <c r="AB22" s="111">
        <f t="shared" si="4"/>
        <v>1719.7377645189711</v>
      </c>
      <c r="AC22" s="111">
        <f t="shared" si="4"/>
        <v>1720.1877321711222</v>
      </c>
      <c r="AD22" s="111">
        <f t="shared" si="4"/>
        <v>1720.6360141167115</v>
      </c>
      <c r="AE22" s="111">
        <f t="shared" si="4"/>
        <v>1572.4431540885435</v>
      </c>
      <c r="AF22" s="111">
        <f t="shared" si="4"/>
        <v>1686.2396131379373</v>
      </c>
      <c r="AG22" s="111">
        <f t="shared" si="4"/>
        <v>1536.1633970192313</v>
      </c>
      <c r="AH22" s="111">
        <f t="shared" si="4"/>
        <v>1722.4108418357732</v>
      </c>
      <c r="AI22" s="111">
        <f t="shared" si="4"/>
        <v>1722.8496155521623</v>
      </c>
      <c r="AJ22" s="111">
        <f t="shared" si="4"/>
        <v>1723.2862737962914</v>
      </c>
      <c r="AK22" s="111">
        <f t="shared" si="4"/>
        <v>1723.7207460562436</v>
      </c>
      <c r="AL22" s="111">
        <f t="shared" si="4"/>
        <v>0</v>
      </c>
      <c r="AM22" s="111">
        <f t="shared" si="4"/>
        <v>1794.4999999999998</v>
      </c>
      <c r="AN22" s="111">
        <f t="shared" si="4"/>
        <v>0</v>
      </c>
      <c r="AO22" s="111">
        <f t="shared" si="4"/>
        <v>1794.5</v>
      </c>
      <c r="AP22" s="111">
        <f t="shared" si="4"/>
        <v>1725.8578750475997</v>
      </c>
      <c r="AQ22" s="111">
        <f t="shared" si="4"/>
        <v>0</v>
      </c>
      <c r="AR22" s="111">
        <f t="shared" si="4"/>
        <v>1794.5000000000002</v>
      </c>
      <c r="AS22" s="111">
        <f t="shared" si="4"/>
        <v>1727.1094893413263</v>
      </c>
      <c r="AT22" s="111">
        <f t="shared" si="4"/>
        <v>1699.2264945011484</v>
      </c>
      <c r="AU22" s="111">
        <f t="shared" si="4"/>
        <v>1727.9299949159347</v>
      </c>
      <c r="AV22" s="111">
        <f t="shared" si="4"/>
        <v>1728.3358772364807</v>
      </c>
      <c r="AW22" s="111">
        <f t="shared" si="4"/>
        <v>0</v>
      </c>
      <c r="AX22" s="111">
        <f t="shared" si="4"/>
        <v>0</v>
      </c>
      <c r="AY22" s="111">
        <f t="shared" si="4"/>
        <v>1794.5000000000002</v>
      </c>
      <c r="AZ22" s="138">
        <f t="shared" ref="AZ22:AZ30" si="5">SUM($D22:$AY22)</f>
        <v>71164.828087798014</v>
      </c>
    </row>
    <row r="23" spans="1:52" x14ac:dyDescent="0.15">
      <c r="A23" s="157" t="s">
        <v>306</v>
      </c>
      <c r="B23" s="121">
        <v>2000</v>
      </c>
      <c r="C23" s="97" t="s">
        <v>292</v>
      </c>
      <c r="D23" s="97">
        <f>D$21*$B$23</f>
        <v>0</v>
      </c>
      <c r="E23" s="97">
        <f t="shared" ref="E23:AY23" si="6">E$21*$B$23</f>
        <v>3418185.5341265849</v>
      </c>
      <c r="F23" s="97">
        <f t="shared" si="6"/>
        <v>3419122.1861520936</v>
      </c>
      <c r="G23" s="97">
        <f t="shared" si="6"/>
        <v>3420058.8880097782</v>
      </c>
      <c r="H23" s="97">
        <f t="shared" si="6"/>
        <v>3420995.4894729136</v>
      </c>
      <c r="I23" s="97">
        <f t="shared" si="6"/>
        <v>3421931.8402644708</v>
      </c>
      <c r="J23" s="97">
        <f t="shared" si="6"/>
        <v>3422867.7900834698</v>
      </c>
      <c r="K23" s="97">
        <f t="shared" si="6"/>
        <v>3293912.2076669559</v>
      </c>
      <c r="L23" s="97">
        <f t="shared" si="6"/>
        <v>3424737.8856384354</v>
      </c>
      <c r="M23" s="97">
        <f t="shared" si="6"/>
        <v>3334816.6390815102</v>
      </c>
      <c r="N23" s="97">
        <f t="shared" si="6"/>
        <v>3336837.7997025829</v>
      </c>
      <c r="O23" s="97">
        <f t="shared" si="6"/>
        <v>3207845.5604258822</v>
      </c>
      <c r="P23" s="97">
        <f t="shared" si="6"/>
        <v>3428466.6553515829</v>
      </c>
      <c r="Q23" s="97">
        <f t="shared" si="6"/>
        <v>3429395.5934659741</v>
      </c>
      <c r="R23" s="97">
        <f t="shared" si="6"/>
        <v>3430322.9305052408</v>
      </c>
      <c r="S23" s="97">
        <f t="shared" si="6"/>
        <v>3431248.5171407089</v>
      </c>
      <c r="T23" s="97">
        <f t="shared" si="6"/>
        <v>3432172.2042836458</v>
      </c>
      <c r="U23" s="97">
        <f t="shared" si="6"/>
        <v>2923379.3109005615</v>
      </c>
      <c r="V23" s="97">
        <f t="shared" si="6"/>
        <v>3057436.6511835307</v>
      </c>
      <c r="W23" s="97">
        <f t="shared" si="6"/>
        <v>3058812.2965739057</v>
      </c>
      <c r="X23" s="97">
        <f t="shared" si="6"/>
        <v>3435844.9860261809</v>
      </c>
      <c r="Y23" s="97">
        <f t="shared" si="6"/>
        <v>3436756.9496136452</v>
      </c>
      <c r="Z23" s="97">
        <f t="shared" si="6"/>
        <v>3437666.1256861533</v>
      </c>
      <c r="AA23" s="97">
        <f t="shared" si="6"/>
        <v>3438572.3675692878</v>
      </c>
      <c r="AB23" s="97">
        <f t="shared" si="6"/>
        <v>3439475.5290379422</v>
      </c>
      <c r="AC23" s="97">
        <f t="shared" si="6"/>
        <v>3440375.4643422444</v>
      </c>
      <c r="AD23" s="97">
        <f t="shared" si="6"/>
        <v>3441272.0282334229</v>
      </c>
      <c r="AE23" s="97">
        <f t="shared" si="6"/>
        <v>3144886.308177087</v>
      </c>
      <c r="AF23" s="97">
        <f t="shared" si="6"/>
        <v>3372479.2262758748</v>
      </c>
      <c r="AG23" s="97">
        <f t="shared" si="6"/>
        <v>3072326.7940384625</v>
      </c>
      <c r="AH23" s="97">
        <f t="shared" si="6"/>
        <v>3444821.6836715466</v>
      </c>
      <c r="AI23" s="97">
        <f t="shared" si="6"/>
        <v>3445699.2311043246</v>
      </c>
      <c r="AJ23" s="97">
        <f t="shared" si="6"/>
        <v>3446572.5475925826</v>
      </c>
      <c r="AK23" s="97">
        <f t="shared" si="6"/>
        <v>3447441.4921124871</v>
      </c>
      <c r="AL23" s="97">
        <f t="shared" si="6"/>
        <v>0</v>
      </c>
      <c r="AM23" s="97">
        <f t="shared" si="6"/>
        <v>3588999.9999999995</v>
      </c>
      <c r="AN23" s="97">
        <f t="shared" si="6"/>
        <v>0</v>
      </c>
      <c r="AO23" s="97">
        <f t="shared" si="6"/>
        <v>3589000</v>
      </c>
      <c r="AP23" s="97">
        <f t="shared" si="6"/>
        <v>3451715.7500951993</v>
      </c>
      <c r="AQ23" s="97">
        <f t="shared" si="6"/>
        <v>0</v>
      </c>
      <c r="AR23" s="97">
        <f t="shared" si="6"/>
        <v>3589000.0000000005</v>
      </c>
      <c r="AS23" s="97">
        <f t="shared" si="6"/>
        <v>3454218.9786826526</v>
      </c>
      <c r="AT23" s="97">
        <f t="shared" si="6"/>
        <v>3398452.9890022967</v>
      </c>
      <c r="AU23" s="97">
        <f t="shared" si="6"/>
        <v>3455859.9898318695</v>
      </c>
      <c r="AV23" s="97">
        <f t="shared" si="6"/>
        <v>3456671.7544729612</v>
      </c>
      <c r="AW23" s="97">
        <f t="shared" si="6"/>
        <v>0</v>
      </c>
      <c r="AX23" s="97">
        <f t="shared" si="6"/>
        <v>0</v>
      </c>
      <c r="AY23" s="97">
        <f t="shared" si="6"/>
        <v>3589000.0000000005</v>
      </c>
      <c r="AZ23" s="136">
        <f t="shared" si="5"/>
        <v>142329656.17559606</v>
      </c>
    </row>
    <row r="24" spans="1:52" s="107" customFormat="1" x14ac:dyDescent="0.15">
      <c r="A24" s="158" t="s">
        <v>307</v>
      </c>
      <c r="B24" s="159">
        <v>1000</v>
      </c>
      <c r="C24" s="153" t="s">
        <v>292</v>
      </c>
      <c r="D24" s="103">
        <f>D$22*$B$24</f>
        <v>0</v>
      </c>
      <c r="E24" s="103">
        <f t="shared" ref="E24:AY24" si="7">E$22*$B$24</f>
        <v>1709092.7670632924</v>
      </c>
      <c r="F24" s="103">
        <f t="shared" si="7"/>
        <v>1709561.0930760468</v>
      </c>
      <c r="G24" s="103">
        <f t="shared" si="7"/>
        <v>1710029.4440048891</v>
      </c>
      <c r="H24" s="103">
        <f t="shared" si="7"/>
        <v>1710497.7447364568</v>
      </c>
      <c r="I24" s="103">
        <f t="shared" si="7"/>
        <v>1710965.9201322354</v>
      </c>
      <c r="J24" s="103">
        <f t="shared" si="7"/>
        <v>1711433.8950417349</v>
      </c>
      <c r="K24" s="103">
        <f t="shared" si="7"/>
        <v>1646956.1038334779</v>
      </c>
      <c r="L24" s="103">
        <f t="shared" si="7"/>
        <v>1712368.9428192177</v>
      </c>
      <c r="M24" s="103">
        <f t="shared" si="7"/>
        <v>1667408.3195407551</v>
      </c>
      <c r="N24" s="103">
        <f t="shared" si="7"/>
        <v>1668418.8998512914</v>
      </c>
      <c r="O24" s="103">
        <f t="shared" si="7"/>
        <v>1603922.7802129411</v>
      </c>
      <c r="P24" s="103">
        <f t="shared" si="7"/>
        <v>1714233.3276757915</v>
      </c>
      <c r="Q24" s="103">
        <f t="shared" si="7"/>
        <v>1714697.796732987</v>
      </c>
      <c r="R24" s="103">
        <f t="shared" si="7"/>
        <v>1715161.4652526204</v>
      </c>
      <c r="S24" s="103">
        <f t="shared" si="7"/>
        <v>1715624.2585703544</v>
      </c>
      <c r="T24" s="103">
        <f t="shared" si="7"/>
        <v>1716086.1021418229</v>
      </c>
      <c r="U24" s="103">
        <f t="shared" si="7"/>
        <v>1461689.6554502808</v>
      </c>
      <c r="V24" s="103">
        <f t="shared" si="7"/>
        <v>1528718.3255917653</v>
      </c>
      <c r="W24" s="103">
        <f t="shared" si="7"/>
        <v>1529406.1482869529</v>
      </c>
      <c r="X24" s="103">
        <f t="shared" si="7"/>
        <v>1717922.4930130905</v>
      </c>
      <c r="Y24" s="103">
        <f t="shared" si="7"/>
        <v>1718378.4748068226</v>
      </c>
      <c r="Z24" s="103">
        <f t="shared" si="7"/>
        <v>1718833.0628430767</v>
      </c>
      <c r="AA24" s="103">
        <f t="shared" si="7"/>
        <v>1719286.1837846439</v>
      </c>
      <c r="AB24" s="103">
        <f t="shared" si="7"/>
        <v>1719737.7645189711</v>
      </c>
      <c r="AC24" s="103">
        <f t="shared" si="7"/>
        <v>1720187.7321711222</v>
      </c>
      <c r="AD24" s="103">
        <f t="shared" si="7"/>
        <v>1720636.0141167114</v>
      </c>
      <c r="AE24" s="103">
        <f t="shared" si="7"/>
        <v>1572443.1540885435</v>
      </c>
      <c r="AF24" s="103">
        <f t="shared" si="7"/>
        <v>1686239.6131379374</v>
      </c>
      <c r="AG24" s="103">
        <f t="shared" si="7"/>
        <v>1536163.3970192312</v>
      </c>
      <c r="AH24" s="103">
        <f t="shared" si="7"/>
        <v>1722410.8418357733</v>
      </c>
      <c r="AI24" s="103">
        <f t="shared" si="7"/>
        <v>1722849.6155521623</v>
      </c>
      <c r="AJ24" s="103">
        <f t="shared" si="7"/>
        <v>1723286.2737962913</v>
      </c>
      <c r="AK24" s="103">
        <f t="shared" si="7"/>
        <v>1723720.7460562435</v>
      </c>
      <c r="AL24" s="103">
        <f t="shared" si="7"/>
        <v>0</v>
      </c>
      <c r="AM24" s="103">
        <f t="shared" si="7"/>
        <v>1794499.9999999998</v>
      </c>
      <c r="AN24" s="103">
        <f t="shared" si="7"/>
        <v>0</v>
      </c>
      <c r="AO24" s="103">
        <f t="shared" si="7"/>
        <v>1794500</v>
      </c>
      <c r="AP24" s="103">
        <f t="shared" si="7"/>
        <v>1725857.8750475997</v>
      </c>
      <c r="AQ24" s="103">
        <f t="shared" si="7"/>
        <v>0</v>
      </c>
      <c r="AR24" s="103">
        <f t="shared" si="7"/>
        <v>1794500.0000000002</v>
      </c>
      <c r="AS24" s="103">
        <f t="shared" si="7"/>
        <v>1727109.4893413263</v>
      </c>
      <c r="AT24" s="103">
        <f t="shared" si="7"/>
        <v>1699226.4945011484</v>
      </c>
      <c r="AU24" s="103">
        <f t="shared" si="7"/>
        <v>1727929.9949159347</v>
      </c>
      <c r="AV24" s="103">
        <f t="shared" si="7"/>
        <v>1728335.8772364806</v>
      </c>
      <c r="AW24" s="103">
        <f t="shared" si="7"/>
        <v>0</v>
      </c>
      <c r="AX24" s="103">
        <f t="shared" si="7"/>
        <v>0</v>
      </c>
      <c r="AY24" s="103">
        <f t="shared" si="7"/>
        <v>1794500.0000000002</v>
      </c>
      <c r="AZ24" s="138">
        <f t="shared" si="5"/>
        <v>71164828.087798029</v>
      </c>
    </row>
    <row r="25" spans="1:52" x14ac:dyDescent="0.15">
      <c r="C25" s="135"/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5"/>
      <c r="Q25" s="135"/>
      <c r="R25" s="135"/>
      <c r="S25" s="135"/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5"/>
      <c r="AG25" s="135"/>
      <c r="AH25" s="135"/>
      <c r="AI25" s="135"/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5"/>
      <c r="AW25" s="135"/>
      <c r="AX25" s="135"/>
      <c r="AY25" s="135"/>
      <c r="AZ25" s="103"/>
    </row>
    <row r="26" spans="1:52" x14ac:dyDescent="0.15">
      <c r="A26" s="160" t="s">
        <v>18</v>
      </c>
      <c r="C26" s="103"/>
      <c r="D26" s="103"/>
      <c r="E26" s="103"/>
      <c r="F26" s="103"/>
      <c r="G26" s="103"/>
      <c r="H26" s="103"/>
      <c r="I26" s="103"/>
      <c r="J26" s="103"/>
      <c r="K26" s="103"/>
      <c r="L26" s="103"/>
      <c r="M26" s="103"/>
      <c r="N26" s="103"/>
      <c r="O26" s="103"/>
      <c r="P26" s="103"/>
      <c r="Q26" s="103"/>
      <c r="R26" s="103"/>
      <c r="S26" s="103"/>
      <c r="T26" s="103"/>
      <c r="U26" s="103"/>
      <c r="V26" s="103"/>
      <c r="W26" s="103"/>
      <c r="X26" s="103"/>
      <c r="Y26" s="103"/>
      <c r="Z26" s="103"/>
      <c r="AA26" s="103"/>
      <c r="AB26" s="103"/>
      <c r="AC26" s="103"/>
      <c r="AD26" s="103"/>
      <c r="AE26" s="103"/>
      <c r="AF26" s="103"/>
      <c r="AG26" s="103"/>
      <c r="AH26" s="103"/>
      <c r="AI26" s="103"/>
      <c r="AJ26" s="103"/>
      <c r="AK26" s="103"/>
      <c r="AL26" s="103"/>
      <c r="AM26" s="103"/>
      <c r="AN26" s="103"/>
      <c r="AO26" s="103"/>
      <c r="AP26" s="103"/>
      <c r="AQ26" s="103"/>
      <c r="AR26" s="103"/>
      <c r="AS26" s="103"/>
      <c r="AT26" s="103"/>
      <c r="AU26" s="103"/>
      <c r="AV26" s="103"/>
      <c r="AW26" s="103"/>
      <c r="AX26" s="103"/>
      <c r="AY26" s="103"/>
      <c r="AZ26" s="103"/>
    </row>
    <row r="27" spans="1:52" x14ac:dyDescent="0.15">
      <c r="B27" s="132" t="s">
        <v>308</v>
      </c>
      <c r="C27" s="121">
        <v>53</v>
      </c>
      <c r="D27" s="121">
        <f>C$27-C$28+C$29</f>
        <v>53</v>
      </c>
      <c r="E27" s="121">
        <f t="shared" ref="E27:AY27" si="8">D27-D28+D29</f>
        <v>53</v>
      </c>
      <c r="F27" s="121">
        <f t="shared" si="8"/>
        <v>0</v>
      </c>
      <c r="G27" s="121">
        <f t="shared" si="8"/>
        <v>53</v>
      </c>
      <c r="H27" s="121">
        <f t="shared" si="8"/>
        <v>0</v>
      </c>
      <c r="I27" s="121">
        <f t="shared" si="8"/>
        <v>53</v>
      </c>
      <c r="J27" s="121">
        <f t="shared" si="8"/>
        <v>0</v>
      </c>
      <c r="K27" s="121">
        <f t="shared" si="8"/>
        <v>53</v>
      </c>
      <c r="L27" s="121">
        <f t="shared" si="8"/>
        <v>0</v>
      </c>
      <c r="M27" s="121">
        <f t="shared" si="8"/>
        <v>53</v>
      </c>
      <c r="N27" s="121">
        <f t="shared" si="8"/>
        <v>0</v>
      </c>
      <c r="O27" s="121">
        <f t="shared" si="8"/>
        <v>53</v>
      </c>
      <c r="P27" s="121">
        <f t="shared" si="8"/>
        <v>0</v>
      </c>
      <c r="Q27" s="121">
        <f t="shared" si="8"/>
        <v>53</v>
      </c>
      <c r="R27" s="121">
        <f t="shared" si="8"/>
        <v>0</v>
      </c>
      <c r="S27" s="121">
        <f t="shared" si="8"/>
        <v>53</v>
      </c>
      <c r="T27" s="121">
        <f t="shared" si="8"/>
        <v>0</v>
      </c>
      <c r="U27" s="121">
        <f t="shared" si="8"/>
        <v>53</v>
      </c>
      <c r="V27" s="121">
        <f t="shared" si="8"/>
        <v>0</v>
      </c>
      <c r="W27" s="121">
        <f t="shared" si="8"/>
        <v>53</v>
      </c>
      <c r="X27" s="121">
        <f t="shared" si="8"/>
        <v>0</v>
      </c>
      <c r="Y27" s="121">
        <f t="shared" si="8"/>
        <v>53</v>
      </c>
      <c r="Z27" s="121">
        <f t="shared" si="8"/>
        <v>0</v>
      </c>
      <c r="AA27" s="121">
        <f t="shared" si="8"/>
        <v>53</v>
      </c>
      <c r="AB27" s="121">
        <f t="shared" si="8"/>
        <v>0</v>
      </c>
      <c r="AC27" s="121">
        <f t="shared" si="8"/>
        <v>53</v>
      </c>
      <c r="AD27" s="121">
        <f t="shared" si="8"/>
        <v>0</v>
      </c>
      <c r="AE27" s="121">
        <f t="shared" si="8"/>
        <v>53</v>
      </c>
      <c r="AF27" s="121">
        <f t="shared" si="8"/>
        <v>0</v>
      </c>
      <c r="AG27" s="121">
        <f t="shared" si="8"/>
        <v>53</v>
      </c>
      <c r="AH27" s="121">
        <f t="shared" si="8"/>
        <v>0</v>
      </c>
      <c r="AI27" s="121">
        <f t="shared" si="8"/>
        <v>53</v>
      </c>
      <c r="AJ27" s="121">
        <f t="shared" si="8"/>
        <v>0</v>
      </c>
      <c r="AK27" s="121">
        <f t="shared" si="8"/>
        <v>53</v>
      </c>
      <c r="AL27" s="121">
        <f t="shared" si="8"/>
        <v>0</v>
      </c>
      <c r="AM27" s="121">
        <f t="shared" si="8"/>
        <v>53</v>
      </c>
      <c r="AN27" s="121">
        <f t="shared" si="8"/>
        <v>0</v>
      </c>
      <c r="AO27" s="121">
        <f t="shared" si="8"/>
        <v>53</v>
      </c>
      <c r="AP27" s="121">
        <f t="shared" si="8"/>
        <v>0</v>
      </c>
      <c r="AQ27" s="121">
        <f t="shared" si="8"/>
        <v>53</v>
      </c>
      <c r="AR27" s="121">
        <f t="shared" si="8"/>
        <v>53</v>
      </c>
      <c r="AS27" s="121">
        <f t="shared" si="8"/>
        <v>0</v>
      </c>
      <c r="AT27" s="121">
        <f t="shared" si="8"/>
        <v>53</v>
      </c>
      <c r="AU27" s="121">
        <f t="shared" si="8"/>
        <v>0</v>
      </c>
      <c r="AV27" s="121">
        <f t="shared" si="8"/>
        <v>53</v>
      </c>
      <c r="AW27" s="121">
        <f t="shared" si="8"/>
        <v>0</v>
      </c>
      <c r="AX27" s="121">
        <f t="shared" si="8"/>
        <v>53</v>
      </c>
      <c r="AY27" s="161">
        <f t="shared" si="8"/>
        <v>53</v>
      </c>
      <c r="AZ27" s="103"/>
    </row>
    <row r="28" spans="1:52" x14ac:dyDescent="0.15">
      <c r="B28" s="162" t="s">
        <v>309</v>
      </c>
      <c r="C28" s="107"/>
      <c r="D28" s="107">
        <v>0</v>
      </c>
      <c r="E28" s="107">
        <v>53</v>
      </c>
      <c r="F28" s="107">
        <v>0</v>
      </c>
      <c r="G28" s="107">
        <v>53</v>
      </c>
      <c r="H28" s="107">
        <v>0</v>
      </c>
      <c r="I28" s="107">
        <v>53</v>
      </c>
      <c r="J28" s="107">
        <v>0</v>
      </c>
      <c r="K28" s="107">
        <v>53</v>
      </c>
      <c r="L28" s="107">
        <v>0</v>
      </c>
      <c r="M28" s="107">
        <v>53</v>
      </c>
      <c r="N28" s="107">
        <v>0</v>
      </c>
      <c r="O28" s="107">
        <v>53</v>
      </c>
      <c r="P28" s="107">
        <v>0</v>
      </c>
      <c r="Q28" s="107">
        <v>53</v>
      </c>
      <c r="R28" s="107">
        <v>0</v>
      </c>
      <c r="S28" s="107">
        <v>53</v>
      </c>
      <c r="T28" s="107">
        <v>0</v>
      </c>
      <c r="U28" s="107">
        <v>53</v>
      </c>
      <c r="V28" s="107">
        <v>0</v>
      </c>
      <c r="W28" s="107">
        <v>53</v>
      </c>
      <c r="X28" s="107">
        <v>0</v>
      </c>
      <c r="Y28" s="107">
        <v>53</v>
      </c>
      <c r="Z28" s="107">
        <v>0</v>
      </c>
      <c r="AA28" s="107">
        <v>53</v>
      </c>
      <c r="AB28" s="107">
        <v>0</v>
      </c>
      <c r="AC28" s="107">
        <v>53</v>
      </c>
      <c r="AD28" s="107">
        <v>0</v>
      </c>
      <c r="AE28" s="107">
        <v>53</v>
      </c>
      <c r="AF28" s="107">
        <v>0</v>
      </c>
      <c r="AG28" s="107">
        <v>53</v>
      </c>
      <c r="AH28" s="107">
        <v>0</v>
      </c>
      <c r="AI28" s="107">
        <v>53</v>
      </c>
      <c r="AJ28" s="107">
        <v>0</v>
      </c>
      <c r="AK28" s="107">
        <v>53</v>
      </c>
      <c r="AL28" s="107">
        <v>0</v>
      </c>
      <c r="AM28" s="107">
        <v>53</v>
      </c>
      <c r="AN28" s="107">
        <v>0</v>
      </c>
      <c r="AO28" s="107">
        <v>53</v>
      </c>
      <c r="AP28" s="107">
        <v>0</v>
      </c>
      <c r="AQ28" s="107">
        <v>0</v>
      </c>
      <c r="AR28" s="107">
        <v>53</v>
      </c>
      <c r="AS28" s="107">
        <v>0</v>
      </c>
      <c r="AT28" s="107">
        <v>53</v>
      </c>
      <c r="AU28" s="107">
        <v>0</v>
      </c>
      <c r="AV28" s="107">
        <v>53</v>
      </c>
      <c r="AW28" s="107">
        <v>0</v>
      </c>
      <c r="AX28" s="107">
        <v>0</v>
      </c>
      <c r="AY28" s="163">
        <v>53</v>
      </c>
      <c r="AZ28" s="103"/>
    </row>
    <row r="29" spans="1:52" x14ac:dyDescent="0.15">
      <c r="B29" s="133" t="s">
        <v>310</v>
      </c>
      <c r="C29" s="122"/>
      <c r="D29" s="122">
        <f>C$28</f>
        <v>0</v>
      </c>
      <c r="E29" s="122">
        <f t="shared" ref="E29:AY29" si="9">D$28</f>
        <v>0</v>
      </c>
      <c r="F29" s="122">
        <f t="shared" si="9"/>
        <v>53</v>
      </c>
      <c r="G29" s="122">
        <f t="shared" si="9"/>
        <v>0</v>
      </c>
      <c r="H29" s="122">
        <f t="shared" si="9"/>
        <v>53</v>
      </c>
      <c r="I29" s="122">
        <f t="shared" si="9"/>
        <v>0</v>
      </c>
      <c r="J29" s="122">
        <f t="shared" si="9"/>
        <v>53</v>
      </c>
      <c r="K29" s="122">
        <f t="shared" si="9"/>
        <v>0</v>
      </c>
      <c r="L29" s="122">
        <f t="shared" si="9"/>
        <v>53</v>
      </c>
      <c r="M29" s="122">
        <f t="shared" si="9"/>
        <v>0</v>
      </c>
      <c r="N29" s="122">
        <f t="shared" si="9"/>
        <v>53</v>
      </c>
      <c r="O29" s="122">
        <f t="shared" si="9"/>
        <v>0</v>
      </c>
      <c r="P29" s="122">
        <f t="shared" si="9"/>
        <v>53</v>
      </c>
      <c r="Q29" s="122">
        <f t="shared" si="9"/>
        <v>0</v>
      </c>
      <c r="R29" s="122">
        <f t="shared" si="9"/>
        <v>53</v>
      </c>
      <c r="S29" s="122">
        <f t="shared" si="9"/>
        <v>0</v>
      </c>
      <c r="T29" s="122">
        <f t="shared" si="9"/>
        <v>53</v>
      </c>
      <c r="U29" s="122">
        <f t="shared" si="9"/>
        <v>0</v>
      </c>
      <c r="V29" s="122">
        <f t="shared" si="9"/>
        <v>53</v>
      </c>
      <c r="W29" s="122">
        <f t="shared" si="9"/>
        <v>0</v>
      </c>
      <c r="X29" s="122">
        <f t="shared" si="9"/>
        <v>53</v>
      </c>
      <c r="Y29" s="122">
        <f t="shared" si="9"/>
        <v>0</v>
      </c>
      <c r="Z29" s="122">
        <f t="shared" si="9"/>
        <v>53</v>
      </c>
      <c r="AA29" s="122">
        <f t="shared" si="9"/>
        <v>0</v>
      </c>
      <c r="AB29" s="122">
        <f t="shared" si="9"/>
        <v>53</v>
      </c>
      <c r="AC29" s="122">
        <f t="shared" si="9"/>
        <v>0</v>
      </c>
      <c r="AD29" s="122">
        <f t="shared" si="9"/>
        <v>53</v>
      </c>
      <c r="AE29" s="122">
        <f t="shared" si="9"/>
        <v>0</v>
      </c>
      <c r="AF29" s="122">
        <f t="shared" si="9"/>
        <v>53</v>
      </c>
      <c r="AG29" s="122">
        <f t="shared" si="9"/>
        <v>0</v>
      </c>
      <c r="AH29" s="122">
        <f t="shared" si="9"/>
        <v>53</v>
      </c>
      <c r="AI29" s="122">
        <f t="shared" si="9"/>
        <v>0</v>
      </c>
      <c r="AJ29" s="122">
        <f t="shared" si="9"/>
        <v>53</v>
      </c>
      <c r="AK29" s="122">
        <f t="shared" si="9"/>
        <v>0</v>
      </c>
      <c r="AL29" s="122">
        <f t="shared" si="9"/>
        <v>53</v>
      </c>
      <c r="AM29" s="122">
        <f t="shared" si="9"/>
        <v>0</v>
      </c>
      <c r="AN29" s="122">
        <f t="shared" si="9"/>
        <v>53</v>
      </c>
      <c r="AO29" s="122">
        <f t="shared" si="9"/>
        <v>0</v>
      </c>
      <c r="AP29" s="122">
        <f t="shared" si="9"/>
        <v>53</v>
      </c>
      <c r="AQ29" s="122">
        <f t="shared" si="9"/>
        <v>0</v>
      </c>
      <c r="AR29" s="122">
        <f t="shared" si="9"/>
        <v>0</v>
      </c>
      <c r="AS29" s="122">
        <f t="shared" si="9"/>
        <v>53</v>
      </c>
      <c r="AT29" s="122">
        <f t="shared" si="9"/>
        <v>0</v>
      </c>
      <c r="AU29" s="122">
        <f t="shared" si="9"/>
        <v>53</v>
      </c>
      <c r="AV29" s="122">
        <f t="shared" si="9"/>
        <v>0</v>
      </c>
      <c r="AW29" s="122">
        <f t="shared" si="9"/>
        <v>53</v>
      </c>
      <c r="AX29" s="122">
        <f t="shared" si="9"/>
        <v>0</v>
      </c>
      <c r="AY29" s="164">
        <f t="shared" si="9"/>
        <v>0</v>
      </c>
      <c r="AZ29" s="165"/>
    </row>
    <row r="30" spans="1:52" x14ac:dyDescent="0.15">
      <c r="A30" s="166" t="s">
        <v>311</v>
      </c>
      <c r="B30" s="141">
        <v>10</v>
      </c>
      <c r="C30" s="114" t="s">
        <v>292</v>
      </c>
      <c r="D30" s="114">
        <f>D$27*$B$30</f>
        <v>530</v>
      </c>
      <c r="E30" s="114">
        <f t="shared" ref="E30:AY30" si="10">E$27*$B$30</f>
        <v>530</v>
      </c>
      <c r="F30" s="114">
        <f t="shared" si="10"/>
        <v>0</v>
      </c>
      <c r="G30" s="114">
        <f t="shared" si="10"/>
        <v>530</v>
      </c>
      <c r="H30" s="114">
        <f t="shared" si="10"/>
        <v>0</v>
      </c>
      <c r="I30" s="114">
        <f t="shared" si="10"/>
        <v>530</v>
      </c>
      <c r="J30" s="114">
        <f t="shared" si="10"/>
        <v>0</v>
      </c>
      <c r="K30" s="114">
        <f t="shared" si="10"/>
        <v>530</v>
      </c>
      <c r="L30" s="114">
        <f t="shared" si="10"/>
        <v>0</v>
      </c>
      <c r="M30" s="114">
        <f t="shared" si="10"/>
        <v>530</v>
      </c>
      <c r="N30" s="114">
        <f t="shared" si="10"/>
        <v>0</v>
      </c>
      <c r="O30" s="114">
        <f t="shared" si="10"/>
        <v>530</v>
      </c>
      <c r="P30" s="114">
        <f t="shared" si="10"/>
        <v>0</v>
      </c>
      <c r="Q30" s="114">
        <f t="shared" si="10"/>
        <v>530</v>
      </c>
      <c r="R30" s="114">
        <f>R$27*$B$30</f>
        <v>0</v>
      </c>
      <c r="S30" s="114">
        <f t="shared" si="10"/>
        <v>530</v>
      </c>
      <c r="T30" s="114">
        <f t="shared" si="10"/>
        <v>0</v>
      </c>
      <c r="U30" s="114">
        <f t="shared" si="10"/>
        <v>530</v>
      </c>
      <c r="V30" s="114">
        <f t="shared" si="10"/>
        <v>0</v>
      </c>
      <c r="W30" s="114">
        <f t="shared" si="10"/>
        <v>530</v>
      </c>
      <c r="X30" s="114">
        <f t="shared" si="10"/>
        <v>0</v>
      </c>
      <c r="Y30" s="114">
        <f t="shared" si="10"/>
        <v>530</v>
      </c>
      <c r="Z30" s="114">
        <f t="shared" si="10"/>
        <v>0</v>
      </c>
      <c r="AA30" s="114">
        <f t="shared" si="10"/>
        <v>530</v>
      </c>
      <c r="AB30" s="114">
        <f t="shared" si="10"/>
        <v>0</v>
      </c>
      <c r="AC30" s="114">
        <f t="shared" si="10"/>
        <v>530</v>
      </c>
      <c r="AD30" s="114">
        <f t="shared" si="10"/>
        <v>0</v>
      </c>
      <c r="AE30" s="114">
        <f>AE$27*$B$30</f>
        <v>530</v>
      </c>
      <c r="AF30" s="114">
        <f t="shared" si="10"/>
        <v>0</v>
      </c>
      <c r="AG30" s="114">
        <f t="shared" si="10"/>
        <v>530</v>
      </c>
      <c r="AH30" s="114">
        <f t="shared" si="10"/>
        <v>0</v>
      </c>
      <c r="AI30" s="114">
        <f t="shared" si="10"/>
        <v>530</v>
      </c>
      <c r="AJ30" s="114">
        <f t="shared" si="10"/>
        <v>0</v>
      </c>
      <c r="AK30" s="114">
        <f t="shared" si="10"/>
        <v>530</v>
      </c>
      <c r="AL30" s="114">
        <f t="shared" si="10"/>
        <v>0</v>
      </c>
      <c r="AM30" s="114">
        <f t="shared" si="10"/>
        <v>530</v>
      </c>
      <c r="AN30" s="114">
        <f t="shared" si="10"/>
        <v>0</v>
      </c>
      <c r="AO30" s="114">
        <f t="shared" si="10"/>
        <v>530</v>
      </c>
      <c r="AP30" s="114">
        <f t="shared" si="10"/>
        <v>0</v>
      </c>
      <c r="AQ30" s="114">
        <f t="shared" si="10"/>
        <v>530</v>
      </c>
      <c r="AR30" s="114">
        <f t="shared" si="10"/>
        <v>530</v>
      </c>
      <c r="AS30" s="114">
        <f t="shared" si="10"/>
        <v>0</v>
      </c>
      <c r="AT30" s="114">
        <f t="shared" si="10"/>
        <v>530</v>
      </c>
      <c r="AU30" s="114">
        <f t="shared" si="10"/>
        <v>0</v>
      </c>
      <c r="AV30" s="114">
        <f t="shared" si="10"/>
        <v>530</v>
      </c>
      <c r="AW30" s="114">
        <f t="shared" si="10"/>
        <v>0</v>
      </c>
      <c r="AX30" s="114">
        <f t="shared" si="10"/>
        <v>530</v>
      </c>
      <c r="AY30" s="114">
        <f t="shared" si="10"/>
        <v>530</v>
      </c>
      <c r="AZ30" s="138">
        <f t="shared" si="5"/>
        <v>13780</v>
      </c>
    </row>
    <row r="32" spans="1:52" x14ac:dyDescent="0.15">
      <c r="A32" s="99" t="s">
        <v>299</v>
      </c>
    </row>
    <row r="33" spans="1:52" x14ac:dyDescent="0.15">
      <c r="A33" s="132" t="s">
        <v>22</v>
      </c>
      <c r="B33" s="132" t="s">
        <v>340</v>
      </c>
      <c r="C33" s="121"/>
      <c r="D33" s="121">
        <f>D$21*shipping_manufacturing!$H$27/100</f>
        <v>0</v>
      </c>
      <c r="E33" s="121">
        <f>E$21*shipping_manufacturing!$H$27/100</f>
        <v>0</v>
      </c>
      <c r="F33" s="121">
        <f>F$21*shipping_manufacturing!$H$27/100</f>
        <v>0</v>
      </c>
      <c r="G33" s="121">
        <f>G$21*shipping_manufacturing!$H$27/100</f>
        <v>0</v>
      </c>
      <c r="H33" s="121">
        <f>H$21*shipping_manufacturing!$H$27/100</f>
        <v>0</v>
      </c>
      <c r="I33" s="121">
        <f>I$21*shipping_manufacturing!$H$27/100</f>
        <v>0</v>
      </c>
      <c r="J33" s="121">
        <f>J$21*shipping_manufacturing!$H$27/100</f>
        <v>0</v>
      </c>
      <c r="K33" s="121">
        <f>K$21*shipping_manufacturing!$H$27/100</f>
        <v>0</v>
      </c>
      <c r="L33" s="121">
        <f>L$21*shipping_manufacturing!$H$27/100</f>
        <v>0</v>
      </c>
      <c r="M33" s="121">
        <f>M$21*shipping_manufacturing!$H$27/100</f>
        <v>0</v>
      </c>
      <c r="N33" s="121">
        <f>N$21*shipping_manufacturing!$H$27/100</f>
        <v>0</v>
      </c>
      <c r="O33" s="121">
        <f>O$21*shipping_manufacturing!$H$27/100</f>
        <v>0</v>
      </c>
      <c r="P33" s="121">
        <f>P$21*shipping_manufacturing!$H$27/100</f>
        <v>0</v>
      </c>
      <c r="Q33" s="121">
        <f>Q$21*shipping_manufacturing!$H$27/100</f>
        <v>0</v>
      </c>
      <c r="R33" s="121">
        <f>R$21*shipping_manufacturing!$H$27/100</f>
        <v>0</v>
      </c>
      <c r="S33" s="121">
        <f>S$21*shipping_manufacturing!$H$27/100</f>
        <v>0</v>
      </c>
      <c r="T33" s="121">
        <f>T$21*shipping_manufacturing!$H$27/100</f>
        <v>0</v>
      </c>
      <c r="U33" s="121">
        <f>U$21*shipping_manufacturing!$H$27/100</f>
        <v>0</v>
      </c>
      <c r="V33" s="121">
        <f>V$21*shipping_manufacturing!$H$27/100</f>
        <v>0</v>
      </c>
      <c r="W33" s="121">
        <f>W$21*shipping_manufacturing!$H$27/100</f>
        <v>0</v>
      </c>
      <c r="X33" s="121">
        <f>X$21*shipping_manufacturing!$H$27/100</f>
        <v>0</v>
      </c>
      <c r="Y33" s="121">
        <f>Y$21*shipping_manufacturing!$H$27/100</f>
        <v>0</v>
      </c>
      <c r="Z33" s="121">
        <f>Z$21*shipping_manufacturing!$H$27/100</f>
        <v>0</v>
      </c>
      <c r="AA33" s="121">
        <f>AA$21*shipping_manufacturing!$H$27/100</f>
        <v>0</v>
      </c>
      <c r="AB33" s="121">
        <f>AB$21*shipping_manufacturing!$H$27/100</f>
        <v>0</v>
      </c>
      <c r="AC33" s="121">
        <f>AC$21*shipping_manufacturing!$H$27/100</f>
        <v>0</v>
      </c>
      <c r="AD33" s="121">
        <f>AD$21*shipping_manufacturing!$H$27/100</f>
        <v>0</v>
      </c>
      <c r="AE33" s="121">
        <f>AE$21*shipping_manufacturing!$H$27/100</f>
        <v>0</v>
      </c>
      <c r="AF33" s="121">
        <f>AF$21*shipping_manufacturing!$H$27/100</f>
        <v>0</v>
      </c>
      <c r="AG33" s="121">
        <f>AG$21*shipping_manufacturing!$H$27/100</f>
        <v>0</v>
      </c>
      <c r="AH33" s="121">
        <f>AH$21*shipping_manufacturing!$H$27/100</f>
        <v>0</v>
      </c>
      <c r="AI33" s="121">
        <f>AI$21*shipping_manufacturing!$H$27/100</f>
        <v>0</v>
      </c>
      <c r="AJ33" s="121">
        <f>AJ$21*shipping_manufacturing!$H$27/100</f>
        <v>0</v>
      </c>
      <c r="AK33" s="121">
        <f>AK$21*shipping_manufacturing!$H$27/100</f>
        <v>0</v>
      </c>
      <c r="AL33" s="121">
        <f>AL$21*shipping_manufacturing!$H$27/100</f>
        <v>0</v>
      </c>
      <c r="AM33" s="121">
        <f>AM$21*shipping_manufacturing!$H$27/100</f>
        <v>0</v>
      </c>
      <c r="AN33" s="121">
        <f>AN$21*shipping_manufacturing!$H$27/100</f>
        <v>0</v>
      </c>
      <c r="AO33" s="121">
        <f>AO$21*shipping_manufacturing!$H$27/100</f>
        <v>0</v>
      </c>
      <c r="AP33" s="121">
        <f>AP$21*shipping_manufacturing!$H$27/100</f>
        <v>0</v>
      </c>
      <c r="AQ33" s="121">
        <f>AQ$21*shipping_manufacturing!$H$27/100</f>
        <v>0</v>
      </c>
      <c r="AR33" s="121">
        <f>AR$21*shipping_manufacturing!$H$27/100</f>
        <v>0</v>
      </c>
      <c r="AS33" s="121">
        <f>AS$21*shipping_manufacturing!$H$27/100</f>
        <v>0</v>
      </c>
      <c r="AT33" s="121">
        <f>AT$21*shipping_manufacturing!$H$27/100</f>
        <v>0</v>
      </c>
      <c r="AU33" s="121">
        <f>AU$21*shipping_manufacturing!$H$27/100</f>
        <v>0</v>
      </c>
      <c r="AV33" s="121">
        <f>AV$21*shipping_manufacturing!$H$27/100</f>
        <v>0</v>
      </c>
      <c r="AW33" s="121">
        <f>AW$21*shipping_manufacturing!$H$27/100</f>
        <v>0</v>
      </c>
      <c r="AX33" s="121">
        <f>AX$21*shipping_manufacturing!$H$27/100</f>
        <v>0</v>
      </c>
      <c r="AY33" s="121">
        <f>AY$21*shipping_manufacturing!$H$27/100</f>
        <v>0</v>
      </c>
    </row>
    <row r="34" spans="1:52" x14ac:dyDescent="0.15">
      <c r="A34" s="110" t="s">
        <v>339</v>
      </c>
      <c r="B34" s="162" t="s">
        <v>341</v>
      </c>
      <c r="C34" s="107"/>
      <c r="D34" s="107">
        <f>D$22*shipping_manufacturing!$I$27/100</f>
        <v>0</v>
      </c>
      <c r="E34" s="107">
        <f>E$22*shipping_manufacturing!$I$27/100</f>
        <v>1709.0927670632925</v>
      </c>
      <c r="F34" s="107">
        <f>F$22*shipping_manufacturing!$I$27/100</f>
        <v>1709.5610930760467</v>
      </c>
      <c r="G34" s="107">
        <f>G$22*shipping_manufacturing!$I$27/100</f>
        <v>1710.029444004889</v>
      </c>
      <c r="H34" s="107">
        <f>H$22*shipping_manufacturing!$I$27/100</f>
        <v>1710.4977447364568</v>
      </c>
      <c r="I34" s="107">
        <f>I$22*shipping_manufacturing!$I$27/100</f>
        <v>1710.9659201322354</v>
      </c>
      <c r="J34" s="107">
        <f>J$22*shipping_manufacturing!$I$27/100</f>
        <v>1711.433895041735</v>
      </c>
      <c r="K34" s="107">
        <f>K$22*shipping_manufacturing!$I$27/100</f>
        <v>1646.9561038334782</v>
      </c>
      <c r="L34" s="107">
        <f>L$22*shipping_manufacturing!$I$27/100</f>
        <v>1712.3689428192176</v>
      </c>
      <c r="M34" s="107">
        <f>M$22*shipping_manufacturing!$I$27/100</f>
        <v>1667.4083195407552</v>
      </c>
      <c r="N34" s="107">
        <f>N$22*shipping_manufacturing!$I$27/100</f>
        <v>1668.4188998512916</v>
      </c>
      <c r="O34" s="107">
        <f>O$22*shipping_manufacturing!$I$27/100</f>
        <v>1603.922780212941</v>
      </c>
      <c r="P34" s="107">
        <f>P$22*shipping_manufacturing!$I$27/100</f>
        <v>1714.2333276757915</v>
      </c>
      <c r="Q34" s="107">
        <f>Q$22*shipping_manufacturing!$I$27/100</f>
        <v>1714.6977967329869</v>
      </c>
      <c r="R34" s="107">
        <f>R$22*shipping_manufacturing!$I$27/100</f>
        <v>1715.1614652526205</v>
      </c>
      <c r="S34" s="107">
        <f>S$22*shipping_manufacturing!$I$27/100</f>
        <v>1715.6242585703544</v>
      </c>
      <c r="T34" s="107">
        <f>T$22*shipping_manufacturing!$I$27/100</f>
        <v>1716.0861021418229</v>
      </c>
      <c r="U34" s="107">
        <f>U$22*shipping_manufacturing!$I$27/100</f>
        <v>1461.6896554502807</v>
      </c>
      <c r="V34" s="107">
        <f>V$22*shipping_manufacturing!$I$27/100</f>
        <v>1528.7183255917653</v>
      </c>
      <c r="W34" s="107">
        <f>W$22*shipping_manufacturing!$I$27/100</f>
        <v>1529.4061482869529</v>
      </c>
      <c r="X34" s="107">
        <f>X$22*shipping_manufacturing!$I$27/100</f>
        <v>1717.9224930130904</v>
      </c>
      <c r="Y34" s="107">
        <f>Y$22*shipping_manufacturing!$I$27/100</f>
        <v>1718.3784748068224</v>
      </c>
      <c r="Z34" s="107">
        <f>Z$22*shipping_manufacturing!$I$27/100</f>
        <v>1718.8330628430767</v>
      </c>
      <c r="AA34" s="107">
        <f>AA$22*shipping_manufacturing!$I$27/100</f>
        <v>1719.286183784644</v>
      </c>
      <c r="AB34" s="107">
        <f>AB$22*shipping_manufacturing!$I$27/100</f>
        <v>1719.7377645189711</v>
      </c>
      <c r="AC34" s="107">
        <f>AC$22*shipping_manufacturing!$I$27/100</f>
        <v>1720.1877321711224</v>
      </c>
      <c r="AD34" s="107">
        <f>AD$22*shipping_manufacturing!$I$27/100</f>
        <v>1720.6360141167115</v>
      </c>
      <c r="AE34" s="107">
        <f>AE$22*shipping_manufacturing!$I$27/100</f>
        <v>1572.4431540885435</v>
      </c>
      <c r="AF34" s="107">
        <f>AF$22*shipping_manufacturing!$I$27/100</f>
        <v>1686.2396131379373</v>
      </c>
      <c r="AG34" s="107">
        <f>AG$22*shipping_manufacturing!$I$27/100</f>
        <v>1536.1633970192313</v>
      </c>
      <c r="AH34" s="107">
        <f>AH$22*shipping_manufacturing!$I$27/100</f>
        <v>1722.4108418357732</v>
      </c>
      <c r="AI34" s="107">
        <f>AI$22*shipping_manufacturing!$I$27/100</f>
        <v>1722.8496155521623</v>
      </c>
      <c r="AJ34" s="107">
        <f>AJ$22*shipping_manufacturing!$I$27/100</f>
        <v>1723.2862737962914</v>
      </c>
      <c r="AK34" s="107">
        <f>AK$22*shipping_manufacturing!$I$27/100</f>
        <v>1723.7207460562436</v>
      </c>
      <c r="AL34" s="107">
        <f>AL$22*shipping_manufacturing!$I$27/100</f>
        <v>0</v>
      </c>
      <c r="AM34" s="107">
        <f>AM$22*shipping_manufacturing!$I$27/100</f>
        <v>1794.4999999999998</v>
      </c>
      <c r="AN34" s="107">
        <f>AN$22*shipping_manufacturing!$I$27/100</f>
        <v>0</v>
      </c>
      <c r="AO34" s="107">
        <f>AO$22*shipping_manufacturing!$I$27/100</f>
        <v>1794.5</v>
      </c>
      <c r="AP34" s="107">
        <f>AP$22*shipping_manufacturing!$I$27/100</f>
        <v>1725.8578750475997</v>
      </c>
      <c r="AQ34" s="107">
        <f>AQ$22*shipping_manufacturing!$I$27/100</f>
        <v>0</v>
      </c>
      <c r="AR34" s="107">
        <f>AR$22*shipping_manufacturing!$I$27/100</f>
        <v>1794.5000000000002</v>
      </c>
      <c r="AS34" s="107">
        <f>AS$22*shipping_manufacturing!$I$27/100</f>
        <v>1727.109489341326</v>
      </c>
      <c r="AT34" s="107">
        <f>AT$22*shipping_manufacturing!$I$27/100</f>
        <v>1699.2264945011484</v>
      </c>
      <c r="AU34" s="107">
        <f>AU$22*shipping_manufacturing!$I$27/100</f>
        <v>1727.9299949159349</v>
      </c>
      <c r="AV34" s="107">
        <f>AV$22*shipping_manufacturing!$I$27/100</f>
        <v>1728.3358772364807</v>
      </c>
      <c r="AW34" s="107">
        <f>AW$22*shipping_manufacturing!$I$27/100</f>
        <v>0</v>
      </c>
      <c r="AX34" s="107">
        <f>AX$22*shipping_manufacturing!$I$27/100</f>
        <v>0</v>
      </c>
      <c r="AY34" s="107">
        <f>AY$22*shipping_manufacturing!$I$27/100</f>
        <v>1794.5000000000002</v>
      </c>
    </row>
    <row r="35" spans="1:52" x14ac:dyDescent="0.15">
      <c r="A35" s="107">
        <v>1245</v>
      </c>
      <c r="B35" s="162" t="s">
        <v>342</v>
      </c>
      <c r="C35" s="107"/>
      <c r="D35" s="107">
        <f>SUM(D33:D34)</f>
        <v>0</v>
      </c>
      <c r="E35" s="107">
        <f t="shared" ref="E35:AY35" si="11">SUM(E33:E34)</f>
        <v>1709.0927670632925</v>
      </c>
      <c r="F35" s="107">
        <f t="shared" si="11"/>
        <v>1709.5610930760467</v>
      </c>
      <c r="G35" s="107">
        <f t="shared" si="11"/>
        <v>1710.029444004889</v>
      </c>
      <c r="H35" s="107">
        <f t="shared" si="11"/>
        <v>1710.4977447364568</v>
      </c>
      <c r="I35" s="107">
        <f t="shared" si="11"/>
        <v>1710.9659201322354</v>
      </c>
      <c r="J35" s="107">
        <f t="shared" si="11"/>
        <v>1711.433895041735</v>
      </c>
      <c r="K35" s="107">
        <f t="shared" si="11"/>
        <v>1646.9561038334782</v>
      </c>
      <c r="L35" s="107">
        <f t="shared" si="11"/>
        <v>1712.3689428192176</v>
      </c>
      <c r="M35" s="107">
        <f t="shared" si="11"/>
        <v>1667.4083195407552</v>
      </c>
      <c r="N35" s="107">
        <f t="shared" si="11"/>
        <v>1668.4188998512916</v>
      </c>
      <c r="O35" s="107">
        <f t="shared" si="11"/>
        <v>1603.922780212941</v>
      </c>
      <c r="P35" s="107">
        <f t="shared" si="11"/>
        <v>1714.2333276757915</v>
      </c>
      <c r="Q35" s="107">
        <f t="shared" si="11"/>
        <v>1714.6977967329869</v>
      </c>
      <c r="R35" s="107">
        <f t="shared" si="11"/>
        <v>1715.1614652526205</v>
      </c>
      <c r="S35" s="107">
        <f t="shared" si="11"/>
        <v>1715.6242585703544</v>
      </c>
      <c r="T35" s="107">
        <f t="shared" si="11"/>
        <v>1716.0861021418229</v>
      </c>
      <c r="U35" s="107">
        <f t="shared" si="11"/>
        <v>1461.6896554502807</v>
      </c>
      <c r="V35" s="107">
        <f t="shared" si="11"/>
        <v>1528.7183255917653</v>
      </c>
      <c r="W35" s="107">
        <f t="shared" si="11"/>
        <v>1529.4061482869529</v>
      </c>
      <c r="X35" s="107">
        <f t="shared" si="11"/>
        <v>1717.9224930130904</v>
      </c>
      <c r="Y35" s="107">
        <f t="shared" si="11"/>
        <v>1718.3784748068224</v>
      </c>
      <c r="Z35" s="107">
        <f t="shared" si="11"/>
        <v>1718.8330628430767</v>
      </c>
      <c r="AA35" s="107">
        <f t="shared" si="11"/>
        <v>1719.286183784644</v>
      </c>
      <c r="AB35" s="107">
        <f t="shared" si="11"/>
        <v>1719.7377645189711</v>
      </c>
      <c r="AC35" s="107">
        <f t="shared" si="11"/>
        <v>1720.1877321711224</v>
      </c>
      <c r="AD35" s="107">
        <f t="shared" si="11"/>
        <v>1720.6360141167115</v>
      </c>
      <c r="AE35" s="107">
        <f t="shared" si="11"/>
        <v>1572.4431540885435</v>
      </c>
      <c r="AF35" s="107">
        <f t="shared" si="11"/>
        <v>1686.2396131379373</v>
      </c>
      <c r="AG35" s="107">
        <f t="shared" si="11"/>
        <v>1536.1633970192313</v>
      </c>
      <c r="AH35" s="107">
        <f t="shared" si="11"/>
        <v>1722.4108418357732</v>
      </c>
      <c r="AI35" s="107">
        <f t="shared" si="11"/>
        <v>1722.8496155521623</v>
      </c>
      <c r="AJ35" s="107">
        <f t="shared" si="11"/>
        <v>1723.2862737962914</v>
      </c>
      <c r="AK35" s="107">
        <f t="shared" si="11"/>
        <v>1723.7207460562436</v>
      </c>
      <c r="AL35" s="107">
        <f t="shared" si="11"/>
        <v>0</v>
      </c>
      <c r="AM35" s="107">
        <f t="shared" si="11"/>
        <v>1794.4999999999998</v>
      </c>
      <c r="AN35" s="107">
        <f t="shared" si="11"/>
        <v>0</v>
      </c>
      <c r="AO35" s="107">
        <f t="shared" si="11"/>
        <v>1794.5</v>
      </c>
      <c r="AP35" s="107">
        <f t="shared" si="11"/>
        <v>1725.8578750475997</v>
      </c>
      <c r="AQ35" s="107">
        <f t="shared" si="11"/>
        <v>0</v>
      </c>
      <c r="AR35" s="107">
        <f t="shared" si="11"/>
        <v>1794.5000000000002</v>
      </c>
      <c r="AS35" s="107">
        <f t="shared" si="11"/>
        <v>1727.109489341326</v>
      </c>
      <c r="AT35" s="107">
        <f t="shared" si="11"/>
        <v>1699.2264945011484</v>
      </c>
      <c r="AU35" s="107">
        <f t="shared" si="11"/>
        <v>1727.9299949159349</v>
      </c>
      <c r="AV35" s="107">
        <f t="shared" si="11"/>
        <v>1728.3358772364807</v>
      </c>
      <c r="AW35" s="107">
        <f t="shared" si="11"/>
        <v>0</v>
      </c>
      <c r="AX35" s="107">
        <f t="shared" si="11"/>
        <v>0</v>
      </c>
      <c r="AY35" s="107">
        <f t="shared" si="11"/>
        <v>1794.5000000000002</v>
      </c>
    </row>
    <row r="36" spans="1:52" x14ac:dyDescent="0.15">
      <c r="A36" s="107"/>
      <c r="B36" s="162" t="s">
        <v>343</v>
      </c>
      <c r="C36" s="107"/>
      <c r="D36" s="107"/>
      <c r="E36" s="107">
        <v>0</v>
      </c>
      <c r="F36" s="107"/>
      <c r="G36" s="107">
        <v>0</v>
      </c>
      <c r="H36" s="107"/>
      <c r="I36" s="107">
        <v>0</v>
      </c>
      <c r="J36" s="107"/>
      <c r="K36" s="107">
        <v>0</v>
      </c>
      <c r="L36" s="107"/>
      <c r="M36" s="107">
        <v>0</v>
      </c>
      <c r="N36" s="107"/>
      <c r="O36" s="107">
        <v>0</v>
      </c>
      <c r="P36" s="107"/>
      <c r="Q36" s="107">
        <v>0</v>
      </c>
      <c r="R36" s="107"/>
      <c r="S36" s="107">
        <v>0</v>
      </c>
      <c r="T36" s="107"/>
      <c r="U36" s="107">
        <v>0</v>
      </c>
      <c r="V36" s="107"/>
      <c r="W36" s="107">
        <v>0</v>
      </c>
      <c r="X36" s="107"/>
      <c r="Y36" s="107">
        <v>0</v>
      </c>
      <c r="Z36" s="107"/>
      <c r="AA36" s="107">
        <v>0</v>
      </c>
      <c r="AB36" s="107"/>
      <c r="AC36" s="107">
        <v>0</v>
      </c>
      <c r="AD36" s="107"/>
      <c r="AE36" s="107">
        <v>0</v>
      </c>
      <c r="AF36" s="107"/>
      <c r="AG36" s="107">
        <v>0</v>
      </c>
      <c r="AH36" s="107"/>
      <c r="AI36" s="107">
        <v>0</v>
      </c>
      <c r="AJ36" s="107"/>
      <c r="AK36" s="107">
        <v>0</v>
      </c>
      <c r="AL36" s="107"/>
      <c r="AM36" s="107">
        <v>0</v>
      </c>
      <c r="AN36" s="107"/>
      <c r="AO36" s="107">
        <v>0</v>
      </c>
      <c r="AP36" s="107"/>
      <c r="AQ36" s="107"/>
      <c r="AR36" s="107">
        <v>0</v>
      </c>
      <c r="AS36" s="107"/>
      <c r="AT36" s="107">
        <v>0</v>
      </c>
      <c r="AU36" s="107"/>
      <c r="AV36" s="107">
        <v>0</v>
      </c>
      <c r="AW36" s="107"/>
      <c r="AX36" s="107"/>
      <c r="AY36" s="107">
        <v>0</v>
      </c>
    </row>
    <row r="37" spans="1:52" x14ac:dyDescent="0.15">
      <c r="A37" s="107"/>
      <c r="B37" s="162" t="s">
        <v>344</v>
      </c>
      <c r="C37" s="107"/>
      <c r="D37" s="107"/>
      <c r="E37" s="107">
        <v>810</v>
      </c>
      <c r="F37" s="107"/>
      <c r="G37" s="107">
        <v>810</v>
      </c>
      <c r="H37" s="107"/>
      <c r="I37" s="107">
        <v>810</v>
      </c>
      <c r="J37" s="107"/>
      <c r="K37" s="107">
        <v>810</v>
      </c>
      <c r="L37" s="107"/>
      <c r="M37" s="107">
        <v>810</v>
      </c>
      <c r="N37" s="107"/>
      <c r="O37" s="107">
        <v>810</v>
      </c>
      <c r="P37" s="107"/>
      <c r="Q37" s="107">
        <v>810</v>
      </c>
      <c r="R37" s="107"/>
      <c r="S37" s="107">
        <v>810</v>
      </c>
      <c r="T37" s="107"/>
      <c r="U37" s="107">
        <v>810</v>
      </c>
      <c r="V37" s="107"/>
      <c r="W37" s="107">
        <v>810</v>
      </c>
      <c r="X37" s="107"/>
      <c r="Y37" s="107">
        <v>810</v>
      </c>
      <c r="Z37" s="107"/>
      <c r="AA37" s="107">
        <v>810</v>
      </c>
      <c r="AB37" s="107"/>
      <c r="AC37" s="107">
        <v>810</v>
      </c>
      <c r="AD37" s="107"/>
      <c r="AE37" s="107">
        <v>810</v>
      </c>
      <c r="AF37" s="107"/>
      <c r="AG37" s="107">
        <v>810</v>
      </c>
      <c r="AH37" s="107"/>
      <c r="AI37" s="107">
        <v>810</v>
      </c>
      <c r="AJ37" s="107"/>
      <c r="AK37" s="107">
        <v>810</v>
      </c>
      <c r="AL37" s="107"/>
      <c r="AM37" s="107">
        <v>810</v>
      </c>
      <c r="AN37" s="107"/>
      <c r="AO37" s="107">
        <v>810</v>
      </c>
      <c r="AP37" s="107"/>
      <c r="AQ37" s="107"/>
      <c r="AR37" s="107">
        <v>810</v>
      </c>
      <c r="AS37" s="107"/>
      <c r="AT37" s="107">
        <v>810</v>
      </c>
      <c r="AU37" s="107"/>
      <c r="AV37" s="107">
        <v>810</v>
      </c>
      <c r="AW37" s="107"/>
      <c r="AX37" s="107"/>
      <c r="AY37" s="107">
        <v>810</v>
      </c>
    </row>
    <row r="38" spans="1:52" x14ac:dyDescent="0.15">
      <c r="A38" s="107"/>
      <c r="B38" s="162" t="s">
        <v>345</v>
      </c>
      <c r="C38" s="107"/>
      <c r="D38" s="107"/>
      <c r="E38" s="107">
        <v>27</v>
      </c>
      <c r="F38" s="107"/>
      <c r="G38" s="107">
        <v>27</v>
      </c>
      <c r="H38" s="107"/>
      <c r="I38" s="107">
        <v>27</v>
      </c>
      <c r="J38" s="107"/>
      <c r="K38" s="107">
        <v>27</v>
      </c>
      <c r="L38" s="107"/>
      <c r="M38" s="107">
        <v>27</v>
      </c>
      <c r="N38" s="107"/>
      <c r="O38" s="107">
        <v>27</v>
      </c>
      <c r="P38" s="107"/>
      <c r="Q38" s="107">
        <v>27</v>
      </c>
      <c r="R38" s="107"/>
      <c r="S38" s="107">
        <v>27</v>
      </c>
      <c r="T38" s="107"/>
      <c r="U38" s="107">
        <v>27</v>
      </c>
      <c r="V38" s="107"/>
      <c r="W38" s="107">
        <v>27</v>
      </c>
      <c r="X38" s="107"/>
      <c r="Y38" s="107">
        <v>27</v>
      </c>
      <c r="Z38" s="107"/>
      <c r="AA38" s="107">
        <v>27</v>
      </c>
      <c r="AB38" s="107"/>
      <c r="AC38" s="107">
        <v>27</v>
      </c>
      <c r="AD38" s="107"/>
      <c r="AE38" s="107">
        <v>27</v>
      </c>
      <c r="AF38" s="107"/>
      <c r="AG38" s="107">
        <v>27</v>
      </c>
      <c r="AH38" s="107"/>
      <c r="AI38" s="107">
        <v>27</v>
      </c>
      <c r="AJ38" s="107"/>
      <c r="AK38" s="107">
        <v>27</v>
      </c>
      <c r="AL38" s="107"/>
      <c r="AM38" s="107">
        <v>27</v>
      </c>
      <c r="AN38" s="107"/>
      <c r="AO38" s="107">
        <v>27</v>
      </c>
      <c r="AP38" s="107"/>
      <c r="AQ38" s="107"/>
      <c r="AR38" s="107">
        <v>27</v>
      </c>
      <c r="AS38" s="107"/>
      <c r="AT38" s="107">
        <v>27</v>
      </c>
      <c r="AU38" s="107"/>
      <c r="AV38" s="107">
        <v>27</v>
      </c>
      <c r="AW38" s="107"/>
      <c r="AX38" s="107"/>
      <c r="AY38" s="107">
        <v>27</v>
      </c>
    </row>
    <row r="39" spans="1:52" x14ac:dyDescent="0.15">
      <c r="A39" s="107"/>
      <c r="B39" s="162" t="s">
        <v>346</v>
      </c>
      <c r="C39" s="107"/>
      <c r="D39" s="107">
        <f>D33-D36</f>
        <v>0</v>
      </c>
      <c r="E39" s="107">
        <f t="shared" ref="E39:AY39" si="12">E33-E36</f>
        <v>0</v>
      </c>
      <c r="F39" s="107">
        <f t="shared" si="12"/>
        <v>0</v>
      </c>
      <c r="G39" s="107">
        <f t="shared" si="12"/>
        <v>0</v>
      </c>
      <c r="H39" s="107">
        <f t="shared" si="12"/>
        <v>0</v>
      </c>
      <c r="I39" s="107">
        <f t="shared" si="12"/>
        <v>0</v>
      </c>
      <c r="J39" s="107">
        <f t="shared" si="12"/>
        <v>0</v>
      </c>
      <c r="K39" s="107">
        <f t="shared" si="12"/>
        <v>0</v>
      </c>
      <c r="L39" s="107">
        <f t="shared" si="12"/>
        <v>0</v>
      </c>
      <c r="M39" s="107">
        <f t="shared" si="12"/>
        <v>0</v>
      </c>
      <c r="N39" s="107">
        <f t="shared" si="12"/>
        <v>0</v>
      </c>
      <c r="O39" s="107">
        <f t="shared" si="12"/>
        <v>0</v>
      </c>
      <c r="P39" s="107">
        <f t="shared" si="12"/>
        <v>0</v>
      </c>
      <c r="Q39" s="107">
        <f t="shared" si="12"/>
        <v>0</v>
      </c>
      <c r="R39" s="107">
        <f t="shared" si="12"/>
        <v>0</v>
      </c>
      <c r="S39" s="107">
        <f t="shared" si="12"/>
        <v>0</v>
      </c>
      <c r="T39" s="107">
        <f t="shared" si="12"/>
        <v>0</v>
      </c>
      <c r="U39" s="107">
        <f t="shared" si="12"/>
        <v>0</v>
      </c>
      <c r="V39" s="107">
        <f t="shared" si="12"/>
        <v>0</v>
      </c>
      <c r="W39" s="107">
        <f t="shared" si="12"/>
        <v>0</v>
      </c>
      <c r="X39" s="107">
        <f t="shared" si="12"/>
        <v>0</v>
      </c>
      <c r="Y39" s="107">
        <f t="shared" si="12"/>
        <v>0</v>
      </c>
      <c r="Z39" s="107">
        <f t="shared" si="12"/>
        <v>0</v>
      </c>
      <c r="AA39" s="107">
        <f t="shared" si="12"/>
        <v>0</v>
      </c>
      <c r="AB39" s="107">
        <f t="shared" si="12"/>
        <v>0</v>
      </c>
      <c r="AC39" s="107">
        <f t="shared" si="12"/>
        <v>0</v>
      </c>
      <c r="AD39" s="107">
        <f t="shared" si="12"/>
        <v>0</v>
      </c>
      <c r="AE39" s="107">
        <f t="shared" si="12"/>
        <v>0</v>
      </c>
      <c r="AF39" s="107">
        <f t="shared" si="12"/>
        <v>0</v>
      </c>
      <c r="AG39" s="107">
        <f t="shared" si="12"/>
        <v>0</v>
      </c>
      <c r="AH39" s="107">
        <f t="shared" si="12"/>
        <v>0</v>
      </c>
      <c r="AI39" s="107">
        <f t="shared" si="12"/>
        <v>0</v>
      </c>
      <c r="AJ39" s="107">
        <f t="shared" si="12"/>
        <v>0</v>
      </c>
      <c r="AK39" s="107">
        <f t="shared" si="12"/>
        <v>0</v>
      </c>
      <c r="AL39" s="107">
        <f t="shared" si="12"/>
        <v>0</v>
      </c>
      <c r="AM39" s="107">
        <f t="shared" si="12"/>
        <v>0</v>
      </c>
      <c r="AN39" s="107">
        <f t="shared" si="12"/>
        <v>0</v>
      </c>
      <c r="AO39" s="107">
        <f t="shared" si="12"/>
        <v>0</v>
      </c>
      <c r="AP39" s="107">
        <f t="shared" si="12"/>
        <v>0</v>
      </c>
      <c r="AQ39" s="107">
        <f t="shared" si="12"/>
        <v>0</v>
      </c>
      <c r="AR39" s="107">
        <f t="shared" si="12"/>
        <v>0</v>
      </c>
      <c r="AS39" s="107">
        <f t="shared" si="12"/>
        <v>0</v>
      </c>
      <c r="AT39" s="107">
        <f t="shared" si="12"/>
        <v>0</v>
      </c>
      <c r="AU39" s="107">
        <f t="shared" si="12"/>
        <v>0</v>
      </c>
      <c r="AV39" s="107">
        <f t="shared" si="12"/>
        <v>0</v>
      </c>
      <c r="AW39" s="107">
        <f t="shared" si="12"/>
        <v>0</v>
      </c>
      <c r="AX39" s="107">
        <f t="shared" si="12"/>
        <v>0</v>
      </c>
      <c r="AY39" s="107">
        <f t="shared" si="12"/>
        <v>0</v>
      </c>
    </row>
    <row r="40" spans="1:52" x14ac:dyDescent="0.15">
      <c r="A40" s="107"/>
      <c r="B40" s="162" t="s">
        <v>347</v>
      </c>
      <c r="C40" s="107"/>
      <c r="D40" s="107">
        <f>D34-D37</f>
        <v>0</v>
      </c>
      <c r="E40" s="107">
        <f t="shared" ref="E40:AY40" si="13">E34-E37</f>
        <v>899.09276706329251</v>
      </c>
      <c r="F40" s="107">
        <f t="shared" si="13"/>
        <v>1709.5610930760467</v>
      </c>
      <c r="G40" s="107">
        <f t="shared" si="13"/>
        <v>900.029444004889</v>
      </c>
      <c r="H40" s="107">
        <f t="shared" si="13"/>
        <v>1710.4977447364568</v>
      </c>
      <c r="I40" s="107">
        <f t="shared" si="13"/>
        <v>900.9659201322354</v>
      </c>
      <c r="J40" s="107">
        <f t="shared" si="13"/>
        <v>1711.433895041735</v>
      </c>
      <c r="K40" s="107">
        <f t="shared" si="13"/>
        <v>836.95610383347821</v>
      </c>
      <c r="L40" s="107">
        <f t="shared" si="13"/>
        <v>1712.3689428192176</v>
      </c>
      <c r="M40" s="107">
        <f t="shared" si="13"/>
        <v>857.4083195407552</v>
      </c>
      <c r="N40" s="107">
        <f t="shared" si="13"/>
        <v>1668.4188998512916</v>
      </c>
      <c r="O40" s="107">
        <f t="shared" si="13"/>
        <v>793.92278021294101</v>
      </c>
      <c r="P40" s="107">
        <f t="shared" si="13"/>
        <v>1714.2333276757915</v>
      </c>
      <c r="Q40" s="107">
        <f t="shared" si="13"/>
        <v>904.69779673298694</v>
      </c>
      <c r="R40" s="107">
        <f t="shared" si="13"/>
        <v>1715.1614652526205</v>
      </c>
      <c r="S40" s="107">
        <f t="shared" si="13"/>
        <v>905.62425857035441</v>
      </c>
      <c r="T40" s="107">
        <f t="shared" si="13"/>
        <v>1716.0861021418229</v>
      </c>
      <c r="U40" s="107">
        <f t="shared" si="13"/>
        <v>651.68965545028072</v>
      </c>
      <c r="V40" s="107">
        <f t="shared" si="13"/>
        <v>1528.7183255917653</v>
      </c>
      <c r="W40" s="107">
        <f t="shared" si="13"/>
        <v>719.40614828695288</v>
      </c>
      <c r="X40" s="107">
        <f t="shared" si="13"/>
        <v>1717.9224930130904</v>
      </c>
      <c r="Y40" s="107">
        <f t="shared" si="13"/>
        <v>908.3784748068224</v>
      </c>
      <c r="Z40" s="107">
        <f t="shared" si="13"/>
        <v>1718.8330628430767</v>
      </c>
      <c r="AA40" s="107">
        <f t="shared" si="13"/>
        <v>909.28618378464398</v>
      </c>
      <c r="AB40" s="107">
        <f t="shared" si="13"/>
        <v>1719.7377645189711</v>
      </c>
      <c r="AC40" s="107">
        <f t="shared" si="13"/>
        <v>910.18773217112243</v>
      </c>
      <c r="AD40" s="107">
        <f t="shared" si="13"/>
        <v>1720.6360141167115</v>
      </c>
      <c r="AE40" s="107">
        <f t="shared" si="13"/>
        <v>762.44315408854345</v>
      </c>
      <c r="AF40" s="107">
        <f t="shared" si="13"/>
        <v>1686.2396131379373</v>
      </c>
      <c r="AG40" s="107">
        <f t="shared" si="13"/>
        <v>726.1633970192313</v>
      </c>
      <c r="AH40" s="107">
        <f t="shared" si="13"/>
        <v>1722.4108418357732</v>
      </c>
      <c r="AI40" s="107">
        <f t="shared" si="13"/>
        <v>912.84961555216228</v>
      </c>
      <c r="AJ40" s="107">
        <f t="shared" si="13"/>
        <v>1723.2862737962914</v>
      </c>
      <c r="AK40" s="107">
        <f t="shared" si="13"/>
        <v>913.72074605624357</v>
      </c>
      <c r="AL40" s="107">
        <f t="shared" si="13"/>
        <v>0</v>
      </c>
      <c r="AM40" s="107">
        <f t="shared" si="13"/>
        <v>984.49999999999977</v>
      </c>
      <c r="AN40" s="107">
        <f t="shared" si="13"/>
        <v>0</v>
      </c>
      <c r="AO40" s="107">
        <f t="shared" si="13"/>
        <v>984.5</v>
      </c>
      <c r="AP40" s="107">
        <f t="shared" si="13"/>
        <v>1725.8578750475997</v>
      </c>
      <c r="AQ40" s="107">
        <f t="shared" si="13"/>
        <v>0</v>
      </c>
      <c r="AR40" s="107">
        <f t="shared" si="13"/>
        <v>984.50000000000023</v>
      </c>
      <c r="AS40" s="107">
        <f t="shared" si="13"/>
        <v>1727.109489341326</v>
      </c>
      <c r="AT40" s="107">
        <f t="shared" si="13"/>
        <v>889.22649450114841</v>
      </c>
      <c r="AU40" s="107">
        <f t="shared" si="13"/>
        <v>1727.9299949159349</v>
      </c>
      <c r="AV40" s="107">
        <f t="shared" si="13"/>
        <v>918.33587723648066</v>
      </c>
      <c r="AW40" s="107">
        <f t="shared" si="13"/>
        <v>0</v>
      </c>
      <c r="AX40" s="107">
        <f t="shared" si="13"/>
        <v>0</v>
      </c>
      <c r="AY40" s="107">
        <f t="shared" si="13"/>
        <v>984.50000000000023</v>
      </c>
    </row>
    <row r="41" spans="1:52" x14ac:dyDescent="0.15">
      <c r="A41" s="107"/>
      <c r="B41" s="162" t="s">
        <v>348</v>
      </c>
      <c r="C41" s="107"/>
      <c r="D41" s="107">
        <v>1</v>
      </c>
      <c r="E41" s="107">
        <v>1</v>
      </c>
      <c r="F41" s="107">
        <v>2</v>
      </c>
      <c r="G41" s="107">
        <v>1</v>
      </c>
      <c r="H41" s="107">
        <v>1</v>
      </c>
      <c r="I41" s="107">
        <v>3</v>
      </c>
      <c r="J41" s="107">
        <v>1</v>
      </c>
      <c r="K41" s="107">
        <v>3</v>
      </c>
      <c r="L41" s="107">
        <v>1</v>
      </c>
      <c r="M41" s="107">
        <v>1</v>
      </c>
      <c r="N41" s="107">
        <v>2</v>
      </c>
      <c r="O41" s="107">
        <v>3</v>
      </c>
      <c r="P41" s="107">
        <v>1</v>
      </c>
      <c r="Q41" s="107">
        <v>1</v>
      </c>
      <c r="R41" s="107">
        <v>2</v>
      </c>
      <c r="S41" s="107">
        <v>2</v>
      </c>
      <c r="T41" s="107">
        <v>1</v>
      </c>
      <c r="U41" s="107">
        <v>2</v>
      </c>
      <c r="V41" s="107">
        <v>2</v>
      </c>
      <c r="W41" s="107">
        <v>1</v>
      </c>
      <c r="X41" s="107">
        <v>2</v>
      </c>
      <c r="Y41" s="107">
        <v>2</v>
      </c>
      <c r="Z41" s="107">
        <v>2</v>
      </c>
      <c r="AA41" s="107">
        <v>1</v>
      </c>
      <c r="AB41" s="107">
        <v>1</v>
      </c>
      <c r="AC41" s="107">
        <v>2</v>
      </c>
      <c r="AD41" s="107">
        <v>3</v>
      </c>
      <c r="AE41" s="107">
        <v>2</v>
      </c>
      <c r="AF41" s="107">
        <v>1</v>
      </c>
      <c r="AG41" s="107">
        <v>3</v>
      </c>
      <c r="AH41" s="107">
        <v>1</v>
      </c>
      <c r="AI41" s="107">
        <v>1</v>
      </c>
      <c r="AJ41" s="107">
        <v>2</v>
      </c>
      <c r="AK41" s="107">
        <v>2</v>
      </c>
      <c r="AL41" s="107">
        <v>1</v>
      </c>
      <c r="AM41" s="107">
        <v>1</v>
      </c>
      <c r="AN41" s="107">
        <v>2</v>
      </c>
      <c r="AO41" s="107">
        <v>1</v>
      </c>
      <c r="AP41" s="107">
        <v>3</v>
      </c>
      <c r="AQ41" s="107">
        <v>2</v>
      </c>
      <c r="AR41" s="107">
        <v>2</v>
      </c>
      <c r="AS41" s="107">
        <v>2</v>
      </c>
      <c r="AT41" s="107">
        <v>1</v>
      </c>
      <c r="AU41" s="107">
        <v>3</v>
      </c>
      <c r="AV41" s="107">
        <v>1</v>
      </c>
      <c r="AW41" s="107">
        <v>1</v>
      </c>
      <c r="AX41" s="107">
        <v>2</v>
      </c>
      <c r="AY41" s="107">
        <v>1</v>
      </c>
    </row>
    <row r="42" spans="1:52" x14ac:dyDescent="0.15">
      <c r="A42" s="107"/>
      <c r="B42" s="175" t="s">
        <v>349</v>
      </c>
      <c r="C42" s="107"/>
      <c r="D42" s="107">
        <v>0</v>
      </c>
      <c r="E42" s="107">
        <v>1210140</v>
      </c>
      <c r="F42" s="107">
        <v>0</v>
      </c>
      <c r="G42" s="107">
        <v>1210140</v>
      </c>
      <c r="H42" s="107">
        <v>0</v>
      </c>
      <c r="I42" s="107">
        <v>1210140</v>
      </c>
      <c r="J42" s="107">
        <v>0</v>
      </c>
      <c r="K42" s="107">
        <v>1210140</v>
      </c>
      <c r="L42" s="107">
        <v>0</v>
      </c>
      <c r="M42" s="107">
        <v>1210140</v>
      </c>
      <c r="N42" s="107">
        <v>0</v>
      </c>
      <c r="O42" s="107">
        <v>1210140</v>
      </c>
      <c r="P42" s="107">
        <v>0</v>
      </c>
      <c r="Q42" s="107">
        <v>1210140</v>
      </c>
      <c r="R42" s="107">
        <v>0</v>
      </c>
      <c r="S42" s="107">
        <v>1210140</v>
      </c>
      <c r="T42" s="107">
        <v>0</v>
      </c>
      <c r="U42" s="107">
        <v>1210140</v>
      </c>
      <c r="V42" s="107">
        <v>0</v>
      </c>
      <c r="W42" s="107">
        <v>1210140</v>
      </c>
      <c r="X42" s="107">
        <v>0</v>
      </c>
      <c r="Y42" s="107">
        <v>1210140</v>
      </c>
      <c r="Z42" s="107">
        <v>0</v>
      </c>
      <c r="AA42" s="107">
        <v>1210140</v>
      </c>
      <c r="AB42" s="107">
        <v>0</v>
      </c>
      <c r="AC42" s="107">
        <v>1210140</v>
      </c>
      <c r="AD42" s="107">
        <v>0</v>
      </c>
      <c r="AE42" s="107">
        <v>1210140</v>
      </c>
      <c r="AF42" s="107">
        <v>0</v>
      </c>
      <c r="AG42" s="107">
        <v>1210140</v>
      </c>
      <c r="AH42" s="107">
        <v>0</v>
      </c>
      <c r="AI42" s="107">
        <v>1210140</v>
      </c>
      <c r="AJ42" s="107">
        <v>0</v>
      </c>
      <c r="AK42" s="107">
        <v>1210140</v>
      </c>
      <c r="AL42" s="107">
        <v>0</v>
      </c>
      <c r="AM42" s="107">
        <v>1210140</v>
      </c>
      <c r="AN42" s="107">
        <v>0</v>
      </c>
      <c r="AO42" s="107">
        <v>1210140</v>
      </c>
      <c r="AP42" s="107">
        <v>0</v>
      </c>
      <c r="AQ42" s="107">
        <v>0</v>
      </c>
      <c r="AR42" s="107">
        <v>1210140</v>
      </c>
      <c r="AS42" s="107">
        <v>0</v>
      </c>
      <c r="AT42" s="107">
        <v>1210140</v>
      </c>
      <c r="AU42" s="107">
        <v>0</v>
      </c>
      <c r="AV42" s="107">
        <v>1210140</v>
      </c>
      <c r="AW42" s="107">
        <v>0</v>
      </c>
      <c r="AX42" s="107">
        <v>0</v>
      </c>
      <c r="AY42" s="107">
        <v>1210140</v>
      </c>
      <c r="AZ42" s="97">
        <f>SUM($D$42:$AY$42)</f>
        <v>27833220</v>
      </c>
    </row>
    <row r="43" spans="1:52" x14ac:dyDescent="0.15">
      <c r="A43" s="107"/>
      <c r="B43" s="175" t="s">
        <v>350</v>
      </c>
      <c r="C43" s="107"/>
      <c r="D43" s="107">
        <v>0</v>
      </c>
      <c r="E43" s="107">
        <v>727590.82174596947</v>
      </c>
      <c r="F43" s="107">
        <v>1383462.3145717909</v>
      </c>
      <c r="G43" s="107">
        <v>728348.82756095647</v>
      </c>
      <c r="H43" s="107">
        <v>1384220.2999279778</v>
      </c>
      <c r="I43" s="107">
        <v>729106.67086701153</v>
      </c>
      <c r="J43" s="107">
        <v>1384977.8795625239</v>
      </c>
      <c r="K43" s="107">
        <v>677306.7270272423</v>
      </c>
      <c r="L43" s="107">
        <v>1385734.566976452</v>
      </c>
      <c r="M43" s="107">
        <v>693857.68258835608</v>
      </c>
      <c r="N43" s="107">
        <v>1350167.9947046577</v>
      </c>
      <c r="O43" s="107">
        <v>642482.00988732255</v>
      </c>
      <c r="P43" s="107">
        <v>1387243.3204216342</v>
      </c>
      <c r="Q43" s="107">
        <v>732126.6920061697</v>
      </c>
      <c r="R43" s="107">
        <v>1387994.4157556833</v>
      </c>
      <c r="S43" s="107">
        <v>732876.43124805926</v>
      </c>
      <c r="T43" s="107">
        <v>1388742.6781582702</v>
      </c>
      <c r="U43" s="107">
        <v>527379.8536731397</v>
      </c>
      <c r="V43" s="107">
        <v>1237115.304985136</v>
      </c>
      <c r="W43" s="107">
        <v>582179.42550121667</v>
      </c>
      <c r="X43" s="107">
        <v>1390228.7774708434</v>
      </c>
      <c r="Y43" s="107">
        <v>735105.28073742101</v>
      </c>
      <c r="Z43" s="107">
        <v>1390965.6561057598</v>
      </c>
      <c r="AA43" s="107">
        <v>735839.8442277232</v>
      </c>
      <c r="AB43" s="107">
        <v>1391697.7859369772</v>
      </c>
      <c r="AC43" s="107">
        <v>736569.42225948093</v>
      </c>
      <c r="AD43" s="107">
        <v>1392424.6944239489</v>
      </c>
      <c r="AE43" s="107">
        <v>617007.12244615378</v>
      </c>
      <c r="AF43" s="107">
        <v>1364589.4069318757</v>
      </c>
      <c r="AG43" s="107">
        <v>587647.72903781291</v>
      </c>
      <c r="AH43" s="107">
        <v>1393860.9737555995</v>
      </c>
      <c r="AI43" s="107">
        <v>738723.55138558731</v>
      </c>
      <c r="AJ43" s="107">
        <v>1394569.4170696489</v>
      </c>
      <c r="AK43" s="107">
        <v>739428.51374601503</v>
      </c>
      <c r="AL43" s="107">
        <v>0</v>
      </c>
      <c r="AM43" s="107">
        <v>796706.62499999988</v>
      </c>
      <c r="AN43" s="107">
        <v>0</v>
      </c>
      <c r="AO43" s="107">
        <v>796706.625</v>
      </c>
      <c r="AP43" s="107">
        <v>1396650.4853822703</v>
      </c>
      <c r="AQ43" s="107">
        <v>0</v>
      </c>
      <c r="AR43" s="107">
        <v>796706.62500000023</v>
      </c>
      <c r="AS43" s="107">
        <v>1397663.3542494681</v>
      </c>
      <c r="AT43" s="107">
        <v>719606.54067505442</v>
      </c>
      <c r="AU43" s="107">
        <v>1398327.3483857203</v>
      </c>
      <c r="AV43" s="107">
        <v>743163.30865362193</v>
      </c>
      <c r="AW43" s="107">
        <v>0</v>
      </c>
      <c r="AX43" s="107">
        <v>0</v>
      </c>
      <c r="AY43" s="107">
        <v>796706.62500000023</v>
      </c>
      <c r="AZ43" s="97">
        <f>SUM($D$43:$AY$43)</f>
        <v>42513809.630050555</v>
      </c>
    </row>
    <row r="44" spans="1:52" x14ac:dyDescent="0.15">
      <c r="A44" s="132" t="s">
        <v>59</v>
      </c>
      <c r="B44" s="132" t="s">
        <v>340</v>
      </c>
      <c r="C44" s="121"/>
      <c r="D44" s="121">
        <f>D$21*shipping_manufacturing!$H$28/100</f>
        <v>0</v>
      </c>
      <c r="E44" s="121">
        <f>E$21*shipping_manufacturing!$H$28/100</f>
        <v>1709.0927670632925</v>
      </c>
      <c r="F44" s="121">
        <f>F$21*shipping_manufacturing!$H$28/100</f>
        <v>1709.5610930760467</v>
      </c>
      <c r="G44" s="121">
        <f>G$21*shipping_manufacturing!$H$28/100</f>
        <v>1710.029444004889</v>
      </c>
      <c r="H44" s="121">
        <f>H$21*shipping_manufacturing!$H$28/100</f>
        <v>1710.4977447364568</v>
      </c>
      <c r="I44" s="121">
        <f>I$21*shipping_manufacturing!$H$28/100</f>
        <v>1710.9659201322354</v>
      </c>
      <c r="J44" s="121">
        <f>J$21*shipping_manufacturing!$H$28/100</f>
        <v>1711.433895041735</v>
      </c>
      <c r="K44" s="121">
        <f>K$21*shipping_manufacturing!$H$28/100</f>
        <v>1646.9561038334782</v>
      </c>
      <c r="L44" s="121">
        <f>L$21*shipping_manufacturing!$H$28/100</f>
        <v>1712.3689428192176</v>
      </c>
      <c r="M44" s="121">
        <f>M$21*shipping_manufacturing!$H$28/100</f>
        <v>1667.4083195407552</v>
      </c>
      <c r="N44" s="121">
        <f>N$21*shipping_manufacturing!$H$28/100</f>
        <v>1668.4188998512916</v>
      </c>
      <c r="O44" s="121">
        <f>O$21*shipping_manufacturing!$H$28/100</f>
        <v>1603.922780212941</v>
      </c>
      <c r="P44" s="121">
        <f>P$21*shipping_manufacturing!$H$28/100</f>
        <v>1714.2333276757915</v>
      </c>
      <c r="Q44" s="121">
        <f>Q$21*shipping_manufacturing!$H$28/100</f>
        <v>1714.6977967329869</v>
      </c>
      <c r="R44" s="121">
        <f>R$21*shipping_manufacturing!$H$28/100</f>
        <v>1715.1614652526205</v>
      </c>
      <c r="S44" s="121">
        <f>S$21*shipping_manufacturing!$H$28/100</f>
        <v>1715.6242585703544</v>
      </c>
      <c r="T44" s="121">
        <f>T$21*shipping_manufacturing!$H$28/100</f>
        <v>1716.0861021418229</v>
      </c>
      <c r="U44" s="121">
        <f>U$21*shipping_manufacturing!$H$28/100</f>
        <v>1461.6896554502807</v>
      </c>
      <c r="V44" s="121">
        <f>V$21*shipping_manufacturing!$H$28/100</f>
        <v>1528.7183255917653</v>
      </c>
      <c r="W44" s="121">
        <f>W$21*shipping_manufacturing!$H$28/100</f>
        <v>1529.4061482869529</v>
      </c>
      <c r="X44" s="121">
        <f>X$21*shipping_manufacturing!$H$28/100</f>
        <v>1717.9224930130904</v>
      </c>
      <c r="Y44" s="121">
        <f>Y$21*shipping_manufacturing!$H$28/100</f>
        <v>1718.3784748068224</v>
      </c>
      <c r="Z44" s="121">
        <f>Z$21*shipping_manufacturing!$H$28/100</f>
        <v>1718.8330628430767</v>
      </c>
      <c r="AA44" s="121">
        <f>AA$21*shipping_manufacturing!$H$28/100</f>
        <v>1719.286183784644</v>
      </c>
      <c r="AB44" s="121">
        <f>AB$21*shipping_manufacturing!$H$28/100</f>
        <v>1719.7377645189711</v>
      </c>
      <c r="AC44" s="121">
        <f>AC$21*shipping_manufacturing!$H$28/100</f>
        <v>1720.1877321711224</v>
      </c>
      <c r="AD44" s="121">
        <f>AD$21*shipping_manufacturing!$H$28/100</f>
        <v>1720.6360141167115</v>
      </c>
      <c r="AE44" s="121">
        <f>AE$21*shipping_manufacturing!$H$28/100</f>
        <v>1572.4431540885435</v>
      </c>
      <c r="AF44" s="121">
        <f>AF$21*shipping_manufacturing!$H$28/100</f>
        <v>1686.2396131379373</v>
      </c>
      <c r="AG44" s="121">
        <f>AG$21*shipping_manufacturing!$H$28/100</f>
        <v>1536.1633970192313</v>
      </c>
      <c r="AH44" s="121">
        <f>AH$21*shipping_manufacturing!$H$28/100</f>
        <v>1722.4108418357732</v>
      </c>
      <c r="AI44" s="121">
        <f>AI$21*shipping_manufacturing!$H$28/100</f>
        <v>1722.8496155521623</v>
      </c>
      <c r="AJ44" s="121">
        <f>AJ$21*shipping_manufacturing!$H$28/100</f>
        <v>1723.2862737962914</v>
      </c>
      <c r="AK44" s="121">
        <f>AK$21*shipping_manufacturing!$H$28/100</f>
        <v>1723.7207460562436</v>
      </c>
      <c r="AL44" s="121">
        <f>AL$21*shipping_manufacturing!$H$28/100</f>
        <v>0</v>
      </c>
      <c r="AM44" s="121">
        <f>AM$21*shipping_manufacturing!$H$28/100</f>
        <v>1794.4999999999998</v>
      </c>
      <c r="AN44" s="121">
        <f>AN$21*shipping_manufacturing!$H$28/100</f>
        <v>0</v>
      </c>
      <c r="AO44" s="121">
        <f>AO$21*shipping_manufacturing!$H$28/100</f>
        <v>1794.5</v>
      </c>
      <c r="AP44" s="121">
        <f>AP$21*shipping_manufacturing!$H$28/100</f>
        <v>1725.8578750475997</v>
      </c>
      <c r="AQ44" s="121">
        <f>AQ$21*shipping_manufacturing!$H$28/100</f>
        <v>0</v>
      </c>
      <c r="AR44" s="121">
        <f>AR$21*shipping_manufacturing!$H$28/100</f>
        <v>1794.5000000000002</v>
      </c>
      <c r="AS44" s="121">
        <f>AS$21*shipping_manufacturing!$H$28/100</f>
        <v>1727.109489341326</v>
      </c>
      <c r="AT44" s="121">
        <f>AT$21*shipping_manufacturing!$H$28/100</f>
        <v>1699.2264945011484</v>
      </c>
      <c r="AU44" s="121">
        <f>AU$21*shipping_manufacturing!$H$28/100</f>
        <v>1727.9299949159349</v>
      </c>
      <c r="AV44" s="121">
        <f>AV$21*shipping_manufacturing!$H$28/100</f>
        <v>1728.3358772364807</v>
      </c>
      <c r="AW44" s="121">
        <f>AW$21*shipping_manufacturing!$H$28/100</f>
        <v>0</v>
      </c>
      <c r="AX44" s="121">
        <f>AX$21*shipping_manufacturing!$H$28/100</f>
        <v>0</v>
      </c>
      <c r="AY44" s="121">
        <f>AY$21*shipping_manufacturing!$H$28/100</f>
        <v>1794.5000000000002</v>
      </c>
    </row>
    <row r="45" spans="1:52" x14ac:dyDescent="0.15">
      <c r="A45" s="110" t="s">
        <v>339</v>
      </c>
      <c r="B45" s="162" t="s">
        <v>341</v>
      </c>
      <c r="C45" s="107"/>
      <c r="D45" s="107">
        <f>D$22*shipping_manufacturing!$I$28/100</f>
        <v>0</v>
      </c>
      <c r="E45" s="107">
        <f>E$22*shipping_manufacturing!$I$28/100</f>
        <v>0</v>
      </c>
      <c r="F45" s="107">
        <f>F$22*shipping_manufacturing!$I$28/100</f>
        <v>0</v>
      </c>
      <c r="G45" s="107">
        <f>G$22*shipping_manufacturing!$I$28/100</f>
        <v>0</v>
      </c>
      <c r="H45" s="107">
        <f>H$22*shipping_manufacturing!$I$28/100</f>
        <v>0</v>
      </c>
      <c r="I45" s="107">
        <f>I$22*shipping_manufacturing!$I$28/100</f>
        <v>0</v>
      </c>
      <c r="J45" s="107">
        <f>J$22*shipping_manufacturing!$I$28/100</f>
        <v>0</v>
      </c>
      <c r="K45" s="107">
        <f>K$22*shipping_manufacturing!$I$28/100</f>
        <v>0</v>
      </c>
      <c r="L45" s="107">
        <f>L$22*shipping_manufacturing!$I$28/100</f>
        <v>0</v>
      </c>
      <c r="M45" s="107">
        <f>M$22*shipping_manufacturing!$I$28/100</f>
        <v>0</v>
      </c>
      <c r="N45" s="107">
        <f>N$22*shipping_manufacturing!$I$28/100</f>
        <v>0</v>
      </c>
      <c r="O45" s="107">
        <f>O$22*shipping_manufacturing!$I$28/100</f>
        <v>0</v>
      </c>
      <c r="P45" s="107">
        <f>P$22*shipping_manufacturing!$I$28/100</f>
        <v>0</v>
      </c>
      <c r="Q45" s="107">
        <f>Q$22*shipping_manufacturing!$I$28/100</f>
        <v>0</v>
      </c>
      <c r="R45" s="107">
        <f>R$22*shipping_manufacturing!$I$28/100</f>
        <v>0</v>
      </c>
      <c r="S45" s="107">
        <f>S$22*shipping_manufacturing!$I$28/100</f>
        <v>0</v>
      </c>
      <c r="T45" s="107">
        <f>T$22*shipping_manufacturing!$I$28/100</f>
        <v>0</v>
      </c>
      <c r="U45" s="107">
        <f>U$22*shipping_manufacturing!$I$28/100</f>
        <v>0</v>
      </c>
      <c r="V45" s="107">
        <f>V$22*shipping_manufacturing!$I$28/100</f>
        <v>0</v>
      </c>
      <c r="W45" s="107">
        <f>W$22*shipping_manufacturing!$I$28/100</f>
        <v>0</v>
      </c>
      <c r="X45" s="107">
        <f>X$22*shipping_manufacturing!$I$28/100</f>
        <v>0</v>
      </c>
      <c r="Y45" s="107">
        <f>Y$22*shipping_manufacturing!$I$28/100</f>
        <v>0</v>
      </c>
      <c r="Z45" s="107">
        <f>Z$22*shipping_manufacturing!$I$28/100</f>
        <v>0</v>
      </c>
      <c r="AA45" s="107">
        <f>AA$22*shipping_manufacturing!$I$28/100</f>
        <v>0</v>
      </c>
      <c r="AB45" s="107">
        <f>AB$22*shipping_manufacturing!$I$28/100</f>
        <v>0</v>
      </c>
      <c r="AC45" s="107">
        <f>AC$22*shipping_manufacturing!$I$28/100</f>
        <v>0</v>
      </c>
      <c r="AD45" s="107">
        <f>AD$22*shipping_manufacturing!$I$28/100</f>
        <v>0</v>
      </c>
      <c r="AE45" s="107">
        <f>AE$22*shipping_manufacturing!$I$28/100</f>
        <v>0</v>
      </c>
      <c r="AF45" s="107">
        <f>AF$22*shipping_manufacturing!$I$28/100</f>
        <v>0</v>
      </c>
      <c r="AG45" s="107">
        <f>AG$22*shipping_manufacturing!$I$28/100</f>
        <v>0</v>
      </c>
      <c r="AH45" s="107">
        <f>AH$22*shipping_manufacturing!$I$28/100</f>
        <v>0</v>
      </c>
      <c r="AI45" s="107">
        <f>AI$22*shipping_manufacturing!$I$28/100</f>
        <v>0</v>
      </c>
      <c r="AJ45" s="107">
        <f>AJ$22*shipping_manufacturing!$I$28/100</f>
        <v>0</v>
      </c>
      <c r="AK45" s="107">
        <f>AK$22*shipping_manufacturing!$I$28/100</f>
        <v>0</v>
      </c>
      <c r="AL45" s="107">
        <f>AL$22*shipping_manufacturing!$I$28/100</f>
        <v>0</v>
      </c>
      <c r="AM45" s="107">
        <f>AM$22*shipping_manufacturing!$I$28/100</f>
        <v>0</v>
      </c>
      <c r="AN45" s="107">
        <f>AN$22*shipping_manufacturing!$I$28/100</f>
        <v>0</v>
      </c>
      <c r="AO45" s="107">
        <f>AO$22*shipping_manufacturing!$I$28/100</f>
        <v>0</v>
      </c>
      <c r="AP45" s="107">
        <f>AP$22*shipping_manufacturing!$I$28/100</f>
        <v>0</v>
      </c>
      <c r="AQ45" s="107">
        <f>AQ$22*shipping_manufacturing!$I$28/100</f>
        <v>0</v>
      </c>
      <c r="AR45" s="107">
        <f>AR$22*shipping_manufacturing!$I$28/100</f>
        <v>0</v>
      </c>
      <c r="AS45" s="107">
        <f>AS$22*shipping_manufacturing!$I$28/100</f>
        <v>0</v>
      </c>
      <c r="AT45" s="107">
        <f>AT$22*shipping_manufacturing!$I$28/100</f>
        <v>0</v>
      </c>
      <c r="AU45" s="107">
        <f>AU$22*shipping_manufacturing!$I$28/100</f>
        <v>0</v>
      </c>
      <c r="AV45" s="107">
        <f>AV$22*shipping_manufacturing!$I$28/100</f>
        <v>0</v>
      </c>
      <c r="AW45" s="107">
        <f>AW$22*shipping_manufacturing!$I$28/100</f>
        <v>0</v>
      </c>
      <c r="AX45" s="107">
        <f>AX$22*shipping_manufacturing!$I$28/100</f>
        <v>0</v>
      </c>
      <c r="AY45" s="107">
        <f>AY$22*shipping_manufacturing!$I$28/100</f>
        <v>0</v>
      </c>
    </row>
    <row r="46" spans="1:52" x14ac:dyDescent="0.15">
      <c r="A46" s="107">
        <v>495</v>
      </c>
      <c r="B46" s="162" t="s">
        <v>342</v>
      </c>
      <c r="C46" s="107"/>
      <c r="D46" s="107">
        <f>SUM(D44:D45)</f>
        <v>0</v>
      </c>
      <c r="E46" s="107">
        <f t="shared" ref="E46:AY46" si="14">SUM(E44:E45)</f>
        <v>1709.0927670632925</v>
      </c>
      <c r="F46" s="107">
        <f t="shared" si="14"/>
        <v>1709.5610930760467</v>
      </c>
      <c r="G46" s="107">
        <f t="shared" si="14"/>
        <v>1710.029444004889</v>
      </c>
      <c r="H46" s="107">
        <f t="shared" si="14"/>
        <v>1710.4977447364568</v>
      </c>
      <c r="I46" s="107">
        <f t="shared" si="14"/>
        <v>1710.9659201322354</v>
      </c>
      <c r="J46" s="107">
        <f t="shared" si="14"/>
        <v>1711.433895041735</v>
      </c>
      <c r="K46" s="107">
        <f t="shared" si="14"/>
        <v>1646.9561038334782</v>
      </c>
      <c r="L46" s="107">
        <f t="shared" si="14"/>
        <v>1712.3689428192176</v>
      </c>
      <c r="M46" s="107">
        <f t="shared" si="14"/>
        <v>1667.4083195407552</v>
      </c>
      <c r="N46" s="107">
        <f t="shared" si="14"/>
        <v>1668.4188998512916</v>
      </c>
      <c r="O46" s="107">
        <f t="shared" si="14"/>
        <v>1603.922780212941</v>
      </c>
      <c r="P46" s="107">
        <f t="shared" si="14"/>
        <v>1714.2333276757915</v>
      </c>
      <c r="Q46" s="107">
        <f t="shared" si="14"/>
        <v>1714.6977967329869</v>
      </c>
      <c r="R46" s="107">
        <f t="shared" si="14"/>
        <v>1715.1614652526205</v>
      </c>
      <c r="S46" s="107">
        <f t="shared" si="14"/>
        <v>1715.6242585703544</v>
      </c>
      <c r="T46" s="107">
        <f t="shared" si="14"/>
        <v>1716.0861021418229</v>
      </c>
      <c r="U46" s="107">
        <f t="shared" si="14"/>
        <v>1461.6896554502807</v>
      </c>
      <c r="V46" s="107">
        <f t="shared" si="14"/>
        <v>1528.7183255917653</v>
      </c>
      <c r="W46" s="107">
        <f t="shared" si="14"/>
        <v>1529.4061482869529</v>
      </c>
      <c r="X46" s="107">
        <f t="shared" si="14"/>
        <v>1717.9224930130904</v>
      </c>
      <c r="Y46" s="107">
        <f t="shared" si="14"/>
        <v>1718.3784748068224</v>
      </c>
      <c r="Z46" s="107">
        <f t="shared" si="14"/>
        <v>1718.8330628430767</v>
      </c>
      <c r="AA46" s="107">
        <f t="shared" si="14"/>
        <v>1719.286183784644</v>
      </c>
      <c r="AB46" s="107">
        <f t="shared" si="14"/>
        <v>1719.7377645189711</v>
      </c>
      <c r="AC46" s="107">
        <f t="shared" si="14"/>
        <v>1720.1877321711224</v>
      </c>
      <c r="AD46" s="107">
        <f t="shared" si="14"/>
        <v>1720.6360141167115</v>
      </c>
      <c r="AE46" s="107">
        <f t="shared" si="14"/>
        <v>1572.4431540885435</v>
      </c>
      <c r="AF46" s="107">
        <f t="shared" si="14"/>
        <v>1686.2396131379373</v>
      </c>
      <c r="AG46" s="107">
        <f t="shared" si="14"/>
        <v>1536.1633970192313</v>
      </c>
      <c r="AH46" s="107">
        <f t="shared" si="14"/>
        <v>1722.4108418357732</v>
      </c>
      <c r="AI46" s="107">
        <f t="shared" si="14"/>
        <v>1722.8496155521623</v>
      </c>
      <c r="AJ46" s="107">
        <f t="shared" si="14"/>
        <v>1723.2862737962914</v>
      </c>
      <c r="AK46" s="107">
        <f t="shared" si="14"/>
        <v>1723.7207460562436</v>
      </c>
      <c r="AL46" s="107">
        <f t="shared" si="14"/>
        <v>0</v>
      </c>
      <c r="AM46" s="107">
        <f t="shared" si="14"/>
        <v>1794.4999999999998</v>
      </c>
      <c r="AN46" s="107">
        <f t="shared" si="14"/>
        <v>0</v>
      </c>
      <c r="AO46" s="107">
        <f t="shared" si="14"/>
        <v>1794.5</v>
      </c>
      <c r="AP46" s="107">
        <f t="shared" si="14"/>
        <v>1725.8578750475997</v>
      </c>
      <c r="AQ46" s="107">
        <f t="shared" si="14"/>
        <v>0</v>
      </c>
      <c r="AR46" s="107">
        <f t="shared" si="14"/>
        <v>1794.5000000000002</v>
      </c>
      <c r="AS46" s="107">
        <f t="shared" si="14"/>
        <v>1727.109489341326</v>
      </c>
      <c r="AT46" s="107">
        <f t="shared" si="14"/>
        <v>1699.2264945011484</v>
      </c>
      <c r="AU46" s="107">
        <f t="shared" si="14"/>
        <v>1727.9299949159349</v>
      </c>
      <c r="AV46" s="107">
        <f t="shared" si="14"/>
        <v>1728.3358772364807</v>
      </c>
      <c r="AW46" s="107">
        <f t="shared" si="14"/>
        <v>0</v>
      </c>
      <c r="AX46" s="107">
        <f t="shared" si="14"/>
        <v>0</v>
      </c>
      <c r="AY46" s="107">
        <f t="shared" si="14"/>
        <v>1794.5000000000002</v>
      </c>
    </row>
    <row r="47" spans="1:52" x14ac:dyDescent="0.15">
      <c r="A47" s="107"/>
      <c r="B47" s="162" t="s">
        <v>343</v>
      </c>
      <c r="C47" s="107"/>
      <c r="D47" s="107"/>
      <c r="E47" s="107">
        <v>780</v>
      </c>
      <c r="F47" s="107"/>
      <c r="G47" s="107">
        <v>780</v>
      </c>
      <c r="H47" s="107"/>
      <c r="I47" s="107">
        <v>780</v>
      </c>
      <c r="J47" s="107"/>
      <c r="K47" s="107">
        <v>780</v>
      </c>
      <c r="L47" s="107"/>
      <c r="M47" s="107">
        <v>780</v>
      </c>
      <c r="N47" s="107"/>
      <c r="O47" s="107">
        <v>780</v>
      </c>
      <c r="P47" s="107"/>
      <c r="Q47" s="107">
        <v>780</v>
      </c>
      <c r="R47" s="107"/>
      <c r="S47" s="107">
        <v>780</v>
      </c>
      <c r="T47" s="107"/>
      <c r="U47" s="107">
        <v>780</v>
      </c>
      <c r="V47" s="107"/>
      <c r="W47" s="107">
        <v>780</v>
      </c>
      <c r="X47" s="107"/>
      <c r="Y47" s="107">
        <v>780</v>
      </c>
      <c r="Z47" s="107"/>
      <c r="AA47" s="107">
        <v>780</v>
      </c>
      <c r="AB47" s="107"/>
      <c r="AC47" s="107">
        <v>780</v>
      </c>
      <c r="AD47" s="107"/>
      <c r="AE47" s="107">
        <v>780</v>
      </c>
      <c r="AF47" s="107"/>
      <c r="AG47" s="107">
        <v>780</v>
      </c>
      <c r="AH47" s="107"/>
      <c r="AI47" s="107">
        <v>780</v>
      </c>
      <c r="AJ47" s="107"/>
      <c r="AK47" s="107">
        <v>780</v>
      </c>
      <c r="AL47" s="107"/>
      <c r="AM47" s="107">
        <v>780</v>
      </c>
      <c r="AN47" s="107"/>
      <c r="AO47" s="107">
        <v>780</v>
      </c>
      <c r="AP47" s="107"/>
      <c r="AQ47" s="107"/>
      <c r="AR47" s="107">
        <v>780</v>
      </c>
      <c r="AS47" s="107"/>
      <c r="AT47" s="107">
        <v>780</v>
      </c>
      <c r="AU47" s="107"/>
      <c r="AV47" s="107">
        <v>780</v>
      </c>
      <c r="AW47" s="107"/>
      <c r="AX47" s="107"/>
      <c r="AY47" s="107">
        <v>780</v>
      </c>
    </row>
    <row r="48" spans="1:52" x14ac:dyDescent="0.15">
      <c r="A48" s="107"/>
      <c r="B48" s="162" t="s">
        <v>344</v>
      </c>
      <c r="C48" s="107"/>
      <c r="D48" s="107"/>
      <c r="E48" s="107">
        <v>0</v>
      </c>
      <c r="F48" s="107"/>
      <c r="G48" s="107">
        <v>0</v>
      </c>
      <c r="H48" s="107"/>
      <c r="I48" s="107">
        <v>0</v>
      </c>
      <c r="J48" s="107"/>
      <c r="K48" s="107">
        <v>0</v>
      </c>
      <c r="L48" s="107"/>
      <c r="M48" s="107">
        <v>0</v>
      </c>
      <c r="N48" s="107"/>
      <c r="O48" s="107">
        <v>0</v>
      </c>
      <c r="P48" s="107"/>
      <c r="Q48" s="107">
        <v>0</v>
      </c>
      <c r="R48" s="107"/>
      <c r="S48" s="107">
        <v>0</v>
      </c>
      <c r="T48" s="107"/>
      <c r="U48" s="107">
        <v>0</v>
      </c>
      <c r="V48" s="107"/>
      <c r="W48" s="107">
        <v>0</v>
      </c>
      <c r="X48" s="107"/>
      <c r="Y48" s="107">
        <v>0</v>
      </c>
      <c r="Z48" s="107"/>
      <c r="AA48" s="107">
        <v>0</v>
      </c>
      <c r="AB48" s="107"/>
      <c r="AC48" s="107">
        <v>0</v>
      </c>
      <c r="AD48" s="107"/>
      <c r="AE48" s="107">
        <v>0</v>
      </c>
      <c r="AF48" s="107"/>
      <c r="AG48" s="107">
        <v>0</v>
      </c>
      <c r="AH48" s="107"/>
      <c r="AI48" s="107">
        <v>0</v>
      </c>
      <c r="AJ48" s="107"/>
      <c r="AK48" s="107">
        <v>0</v>
      </c>
      <c r="AL48" s="107"/>
      <c r="AM48" s="107">
        <v>0</v>
      </c>
      <c r="AN48" s="107"/>
      <c r="AO48" s="107">
        <v>0</v>
      </c>
      <c r="AP48" s="107"/>
      <c r="AQ48" s="107"/>
      <c r="AR48" s="107">
        <v>0</v>
      </c>
      <c r="AS48" s="107"/>
      <c r="AT48" s="107">
        <v>0</v>
      </c>
      <c r="AU48" s="107"/>
      <c r="AV48" s="107">
        <v>0</v>
      </c>
      <c r="AW48" s="107"/>
      <c r="AX48" s="107"/>
      <c r="AY48" s="107">
        <v>0</v>
      </c>
    </row>
    <row r="49" spans="1:52" x14ac:dyDescent="0.15">
      <c r="A49" s="107"/>
      <c r="B49" s="162" t="s">
        <v>345</v>
      </c>
      <c r="C49" s="107"/>
      <c r="D49" s="107"/>
      <c r="E49" s="107">
        <v>26</v>
      </c>
      <c r="F49" s="107"/>
      <c r="G49" s="107">
        <v>26</v>
      </c>
      <c r="H49" s="107"/>
      <c r="I49" s="107">
        <v>26</v>
      </c>
      <c r="J49" s="107"/>
      <c r="K49" s="107">
        <v>26</v>
      </c>
      <c r="L49" s="107"/>
      <c r="M49" s="107">
        <v>26</v>
      </c>
      <c r="N49" s="107"/>
      <c r="O49" s="107">
        <v>26</v>
      </c>
      <c r="P49" s="107"/>
      <c r="Q49" s="107">
        <v>26</v>
      </c>
      <c r="R49" s="107"/>
      <c r="S49" s="107">
        <v>26</v>
      </c>
      <c r="T49" s="107"/>
      <c r="U49" s="107">
        <v>26</v>
      </c>
      <c r="V49" s="107"/>
      <c r="W49" s="107">
        <v>26</v>
      </c>
      <c r="X49" s="107"/>
      <c r="Y49" s="107">
        <v>26</v>
      </c>
      <c r="Z49" s="107"/>
      <c r="AA49" s="107">
        <v>26</v>
      </c>
      <c r="AB49" s="107"/>
      <c r="AC49" s="107">
        <v>26</v>
      </c>
      <c r="AD49" s="107"/>
      <c r="AE49" s="107">
        <v>26</v>
      </c>
      <c r="AF49" s="107"/>
      <c r="AG49" s="107">
        <v>26</v>
      </c>
      <c r="AH49" s="107"/>
      <c r="AI49" s="107">
        <v>26</v>
      </c>
      <c r="AJ49" s="107"/>
      <c r="AK49" s="107">
        <v>26</v>
      </c>
      <c r="AL49" s="107"/>
      <c r="AM49" s="107">
        <v>26</v>
      </c>
      <c r="AN49" s="107"/>
      <c r="AO49" s="107">
        <v>26</v>
      </c>
      <c r="AP49" s="107"/>
      <c r="AQ49" s="107"/>
      <c r="AR49" s="107">
        <v>26</v>
      </c>
      <c r="AS49" s="107"/>
      <c r="AT49" s="107">
        <v>26</v>
      </c>
      <c r="AU49" s="107"/>
      <c r="AV49" s="107">
        <v>26</v>
      </c>
      <c r="AW49" s="107"/>
      <c r="AX49" s="107"/>
      <c r="AY49" s="107">
        <v>26</v>
      </c>
    </row>
    <row r="50" spans="1:52" x14ac:dyDescent="0.15">
      <c r="A50" s="107"/>
      <c r="B50" s="162" t="s">
        <v>346</v>
      </c>
      <c r="C50" s="107"/>
      <c r="D50" s="107">
        <f>D44-D47</f>
        <v>0</v>
      </c>
      <c r="E50" s="107">
        <f t="shared" ref="E50:AY50" si="15">E44-E47</f>
        <v>929.09276706329251</v>
      </c>
      <c r="F50" s="107">
        <f t="shared" si="15"/>
        <v>1709.5610930760467</v>
      </c>
      <c r="G50" s="107">
        <f t="shared" si="15"/>
        <v>930.029444004889</v>
      </c>
      <c r="H50" s="107">
        <f t="shared" si="15"/>
        <v>1710.4977447364568</v>
      </c>
      <c r="I50" s="107">
        <f t="shared" si="15"/>
        <v>930.9659201322354</v>
      </c>
      <c r="J50" s="107">
        <f t="shared" si="15"/>
        <v>1711.433895041735</v>
      </c>
      <c r="K50" s="107">
        <f t="shared" si="15"/>
        <v>866.95610383347821</v>
      </c>
      <c r="L50" s="107">
        <f t="shared" si="15"/>
        <v>1712.3689428192176</v>
      </c>
      <c r="M50" s="107">
        <f t="shared" si="15"/>
        <v>887.4083195407552</v>
      </c>
      <c r="N50" s="107">
        <f t="shared" si="15"/>
        <v>1668.4188998512916</v>
      </c>
      <c r="O50" s="107">
        <f t="shared" si="15"/>
        <v>823.92278021294101</v>
      </c>
      <c r="P50" s="107">
        <f t="shared" si="15"/>
        <v>1714.2333276757915</v>
      </c>
      <c r="Q50" s="107">
        <f t="shared" si="15"/>
        <v>934.69779673298694</v>
      </c>
      <c r="R50" s="107">
        <f t="shared" si="15"/>
        <v>1715.1614652526205</v>
      </c>
      <c r="S50" s="107">
        <f t="shared" si="15"/>
        <v>935.62425857035441</v>
      </c>
      <c r="T50" s="107">
        <f t="shared" si="15"/>
        <v>1716.0861021418229</v>
      </c>
      <c r="U50" s="107">
        <f t="shared" si="15"/>
        <v>681.68965545028072</v>
      </c>
      <c r="V50" s="107">
        <f t="shared" si="15"/>
        <v>1528.7183255917653</v>
      </c>
      <c r="W50" s="107">
        <f t="shared" si="15"/>
        <v>749.40614828695288</v>
      </c>
      <c r="X50" s="107">
        <f t="shared" si="15"/>
        <v>1717.9224930130904</v>
      </c>
      <c r="Y50" s="107">
        <f t="shared" si="15"/>
        <v>938.3784748068224</v>
      </c>
      <c r="Z50" s="107">
        <f t="shared" si="15"/>
        <v>1718.8330628430767</v>
      </c>
      <c r="AA50" s="107">
        <f t="shared" si="15"/>
        <v>939.28618378464398</v>
      </c>
      <c r="AB50" s="107">
        <f t="shared" si="15"/>
        <v>1719.7377645189711</v>
      </c>
      <c r="AC50" s="107">
        <f t="shared" si="15"/>
        <v>940.18773217112243</v>
      </c>
      <c r="AD50" s="107">
        <f t="shared" si="15"/>
        <v>1720.6360141167115</v>
      </c>
      <c r="AE50" s="107">
        <f t="shared" si="15"/>
        <v>792.44315408854345</v>
      </c>
      <c r="AF50" s="107">
        <f t="shared" si="15"/>
        <v>1686.2396131379373</v>
      </c>
      <c r="AG50" s="107">
        <f t="shared" si="15"/>
        <v>756.1633970192313</v>
      </c>
      <c r="AH50" s="107">
        <f t="shared" si="15"/>
        <v>1722.4108418357732</v>
      </c>
      <c r="AI50" s="107">
        <f t="shared" si="15"/>
        <v>942.84961555216228</v>
      </c>
      <c r="AJ50" s="107">
        <f t="shared" si="15"/>
        <v>1723.2862737962914</v>
      </c>
      <c r="AK50" s="107">
        <f t="shared" si="15"/>
        <v>943.72074605624357</v>
      </c>
      <c r="AL50" s="107">
        <f t="shared" si="15"/>
        <v>0</v>
      </c>
      <c r="AM50" s="107">
        <f t="shared" si="15"/>
        <v>1014.4999999999998</v>
      </c>
      <c r="AN50" s="107">
        <f t="shared" si="15"/>
        <v>0</v>
      </c>
      <c r="AO50" s="107">
        <f t="shared" si="15"/>
        <v>1014.5</v>
      </c>
      <c r="AP50" s="107">
        <f t="shared" si="15"/>
        <v>1725.8578750475997</v>
      </c>
      <c r="AQ50" s="107">
        <f t="shared" si="15"/>
        <v>0</v>
      </c>
      <c r="AR50" s="107">
        <f t="shared" si="15"/>
        <v>1014.5000000000002</v>
      </c>
      <c r="AS50" s="107">
        <f t="shared" si="15"/>
        <v>1727.109489341326</v>
      </c>
      <c r="AT50" s="107">
        <f t="shared" si="15"/>
        <v>919.22649450114841</v>
      </c>
      <c r="AU50" s="107">
        <f t="shared" si="15"/>
        <v>1727.9299949159349</v>
      </c>
      <c r="AV50" s="107">
        <f t="shared" si="15"/>
        <v>948.33587723648066</v>
      </c>
      <c r="AW50" s="107">
        <f t="shared" si="15"/>
        <v>0</v>
      </c>
      <c r="AX50" s="107">
        <f t="shared" si="15"/>
        <v>0</v>
      </c>
      <c r="AY50" s="107">
        <f t="shared" si="15"/>
        <v>1014.5000000000002</v>
      </c>
    </row>
    <row r="51" spans="1:52" x14ac:dyDescent="0.15">
      <c r="A51" s="107"/>
      <c r="B51" s="162" t="s">
        <v>347</v>
      </c>
      <c r="C51" s="107"/>
      <c r="D51" s="107">
        <f>D45-D48</f>
        <v>0</v>
      </c>
      <c r="E51" s="107">
        <f t="shared" ref="E51:AY51" si="16">E45-E48</f>
        <v>0</v>
      </c>
      <c r="F51" s="107">
        <f t="shared" si="16"/>
        <v>0</v>
      </c>
      <c r="G51" s="107">
        <f t="shared" si="16"/>
        <v>0</v>
      </c>
      <c r="H51" s="107">
        <f t="shared" si="16"/>
        <v>0</v>
      </c>
      <c r="I51" s="107">
        <f t="shared" si="16"/>
        <v>0</v>
      </c>
      <c r="J51" s="107">
        <f t="shared" si="16"/>
        <v>0</v>
      </c>
      <c r="K51" s="107">
        <f t="shared" si="16"/>
        <v>0</v>
      </c>
      <c r="L51" s="107">
        <f t="shared" si="16"/>
        <v>0</v>
      </c>
      <c r="M51" s="107">
        <f t="shared" si="16"/>
        <v>0</v>
      </c>
      <c r="N51" s="107">
        <f t="shared" si="16"/>
        <v>0</v>
      </c>
      <c r="O51" s="107">
        <f t="shared" si="16"/>
        <v>0</v>
      </c>
      <c r="P51" s="107">
        <f t="shared" si="16"/>
        <v>0</v>
      </c>
      <c r="Q51" s="107">
        <f t="shared" si="16"/>
        <v>0</v>
      </c>
      <c r="R51" s="107">
        <f t="shared" si="16"/>
        <v>0</v>
      </c>
      <c r="S51" s="107">
        <f t="shared" si="16"/>
        <v>0</v>
      </c>
      <c r="T51" s="107">
        <f t="shared" si="16"/>
        <v>0</v>
      </c>
      <c r="U51" s="107">
        <f t="shared" si="16"/>
        <v>0</v>
      </c>
      <c r="V51" s="107">
        <f t="shared" si="16"/>
        <v>0</v>
      </c>
      <c r="W51" s="107">
        <f t="shared" si="16"/>
        <v>0</v>
      </c>
      <c r="X51" s="107">
        <f t="shared" si="16"/>
        <v>0</v>
      </c>
      <c r="Y51" s="107">
        <f t="shared" si="16"/>
        <v>0</v>
      </c>
      <c r="Z51" s="107">
        <f t="shared" si="16"/>
        <v>0</v>
      </c>
      <c r="AA51" s="107">
        <f t="shared" si="16"/>
        <v>0</v>
      </c>
      <c r="AB51" s="107">
        <f t="shared" si="16"/>
        <v>0</v>
      </c>
      <c r="AC51" s="107">
        <f t="shared" si="16"/>
        <v>0</v>
      </c>
      <c r="AD51" s="107">
        <f t="shared" si="16"/>
        <v>0</v>
      </c>
      <c r="AE51" s="107">
        <f t="shared" si="16"/>
        <v>0</v>
      </c>
      <c r="AF51" s="107">
        <f t="shared" si="16"/>
        <v>0</v>
      </c>
      <c r="AG51" s="107">
        <f t="shared" si="16"/>
        <v>0</v>
      </c>
      <c r="AH51" s="107">
        <f t="shared" si="16"/>
        <v>0</v>
      </c>
      <c r="AI51" s="107">
        <f t="shared" si="16"/>
        <v>0</v>
      </c>
      <c r="AJ51" s="107">
        <f t="shared" si="16"/>
        <v>0</v>
      </c>
      <c r="AK51" s="107">
        <f t="shared" si="16"/>
        <v>0</v>
      </c>
      <c r="AL51" s="107">
        <f t="shared" si="16"/>
        <v>0</v>
      </c>
      <c r="AM51" s="107">
        <f t="shared" si="16"/>
        <v>0</v>
      </c>
      <c r="AN51" s="107">
        <f t="shared" si="16"/>
        <v>0</v>
      </c>
      <c r="AO51" s="107">
        <f t="shared" si="16"/>
        <v>0</v>
      </c>
      <c r="AP51" s="107">
        <f t="shared" si="16"/>
        <v>0</v>
      </c>
      <c r="AQ51" s="107">
        <f t="shared" si="16"/>
        <v>0</v>
      </c>
      <c r="AR51" s="107">
        <f t="shared" si="16"/>
        <v>0</v>
      </c>
      <c r="AS51" s="107">
        <f t="shared" si="16"/>
        <v>0</v>
      </c>
      <c r="AT51" s="107">
        <f t="shared" si="16"/>
        <v>0</v>
      </c>
      <c r="AU51" s="107">
        <f t="shared" si="16"/>
        <v>0</v>
      </c>
      <c r="AV51" s="107">
        <f t="shared" si="16"/>
        <v>0</v>
      </c>
      <c r="AW51" s="107">
        <f t="shared" si="16"/>
        <v>0</v>
      </c>
      <c r="AX51" s="107">
        <f t="shared" si="16"/>
        <v>0</v>
      </c>
      <c r="AY51" s="107">
        <f t="shared" si="16"/>
        <v>0</v>
      </c>
    </row>
    <row r="52" spans="1:52" x14ac:dyDescent="0.15">
      <c r="A52" s="107"/>
      <c r="B52" s="162" t="s">
        <v>348</v>
      </c>
      <c r="C52" s="107"/>
      <c r="D52" s="107">
        <v>2</v>
      </c>
      <c r="E52" s="107">
        <v>1</v>
      </c>
      <c r="F52" s="107">
        <v>2</v>
      </c>
      <c r="G52" s="107">
        <v>1</v>
      </c>
      <c r="H52" s="107">
        <v>3</v>
      </c>
      <c r="I52" s="107">
        <v>2</v>
      </c>
      <c r="J52" s="107">
        <v>1</v>
      </c>
      <c r="K52" s="107">
        <v>1</v>
      </c>
      <c r="L52" s="107">
        <v>1</v>
      </c>
      <c r="M52" s="107">
        <v>1</v>
      </c>
      <c r="N52" s="107">
        <v>1</v>
      </c>
      <c r="O52" s="107">
        <v>1</v>
      </c>
      <c r="P52" s="107">
        <v>1</v>
      </c>
      <c r="Q52" s="107">
        <v>2</v>
      </c>
      <c r="R52" s="107">
        <v>1</v>
      </c>
      <c r="S52" s="107">
        <v>1</v>
      </c>
      <c r="T52" s="107">
        <v>1</v>
      </c>
      <c r="U52" s="107">
        <v>1</v>
      </c>
      <c r="V52" s="107">
        <v>1</v>
      </c>
      <c r="W52" s="107">
        <v>2</v>
      </c>
      <c r="X52" s="107">
        <v>2</v>
      </c>
      <c r="Y52" s="107">
        <v>1</v>
      </c>
      <c r="Z52" s="107">
        <v>2</v>
      </c>
      <c r="AA52" s="107">
        <v>1</v>
      </c>
      <c r="AB52" s="107">
        <v>1</v>
      </c>
      <c r="AC52" s="107">
        <v>1</v>
      </c>
      <c r="AD52" s="107">
        <v>1</v>
      </c>
      <c r="AE52" s="107">
        <v>1</v>
      </c>
      <c r="AF52" s="107">
        <v>1</v>
      </c>
      <c r="AG52" s="107">
        <v>2</v>
      </c>
      <c r="AH52" s="107">
        <v>1</v>
      </c>
      <c r="AI52" s="107">
        <v>1</v>
      </c>
      <c r="AJ52" s="107">
        <v>3</v>
      </c>
      <c r="AK52" s="107">
        <v>2</v>
      </c>
      <c r="AL52" s="107">
        <v>1</v>
      </c>
      <c r="AM52" s="107">
        <v>3</v>
      </c>
      <c r="AN52" s="107">
        <v>1</v>
      </c>
      <c r="AO52" s="107">
        <v>1</v>
      </c>
      <c r="AP52" s="107">
        <v>1</v>
      </c>
      <c r="AQ52" s="107">
        <v>2</v>
      </c>
      <c r="AR52" s="107">
        <v>2</v>
      </c>
      <c r="AS52" s="107">
        <v>2</v>
      </c>
      <c r="AT52" s="107">
        <v>1</v>
      </c>
      <c r="AU52" s="107">
        <v>1</v>
      </c>
      <c r="AV52" s="107">
        <v>3</v>
      </c>
      <c r="AW52" s="107">
        <v>1</v>
      </c>
      <c r="AX52" s="107">
        <v>1</v>
      </c>
      <c r="AY52" s="107">
        <v>2</v>
      </c>
    </row>
    <row r="53" spans="1:52" x14ac:dyDescent="0.15">
      <c r="A53" s="107"/>
      <c r="B53" s="175" t="s">
        <v>349</v>
      </c>
      <c r="C53" s="107"/>
      <c r="D53" s="107">
        <v>0</v>
      </c>
      <c r="E53" s="107">
        <v>463320</v>
      </c>
      <c r="F53" s="107">
        <v>0</v>
      </c>
      <c r="G53" s="107">
        <v>463320</v>
      </c>
      <c r="H53" s="107">
        <v>0</v>
      </c>
      <c r="I53" s="107">
        <v>463320</v>
      </c>
      <c r="J53" s="107">
        <v>0</v>
      </c>
      <c r="K53" s="107">
        <v>463320</v>
      </c>
      <c r="L53" s="107">
        <v>0</v>
      </c>
      <c r="M53" s="107">
        <v>463320</v>
      </c>
      <c r="N53" s="107">
        <v>0</v>
      </c>
      <c r="O53" s="107">
        <v>463320</v>
      </c>
      <c r="P53" s="107">
        <v>0</v>
      </c>
      <c r="Q53" s="107">
        <v>463320</v>
      </c>
      <c r="R53" s="107">
        <v>0</v>
      </c>
      <c r="S53" s="107">
        <v>463320</v>
      </c>
      <c r="T53" s="107">
        <v>0</v>
      </c>
      <c r="U53" s="107">
        <v>463320</v>
      </c>
      <c r="V53" s="107">
        <v>0</v>
      </c>
      <c r="W53" s="107">
        <v>463320</v>
      </c>
      <c r="X53" s="107">
        <v>0</v>
      </c>
      <c r="Y53" s="107">
        <v>463320</v>
      </c>
      <c r="Z53" s="107">
        <v>0</v>
      </c>
      <c r="AA53" s="107">
        <v>463320</v>
      </c>
      <c r="AB53" s="107">
        <v>0</v>
      </c>
      <c r="AC53" s="107">
        <v>463320</v>
      </c>
      <c r="AD53" s="107">
        <v>0</v>
      </c>
      <c r="AE53" s="107">
        <v>463320</v>
      </c>
      <c r="AF53" s="107">
        <v>0</v>
      </c>
      <c r="AG53" s="107">
        <v>463320</v>
      </c>
      <c r="AH53" s="107">
        <v>0</v>
      </c>
      <c r="AI53" s="107">
        <v>463320</v>
      </c>
      <c r="AJ53" s="107">
        <v>0</v>
      </c>
      <c r="AK53" s="107">
        <v>463320</v>
      </c>
      <c r="AL53" s="107">
        <v>0</v>
      </c>
      <c r="AM53" s="107">
        <v>463320</v>
      </c>
      <c r="AN53" s="107">
        <v>0</v>
      </c>
      <c r="AO53" s="107">
        <v>463320</v>
      </c>
      <c r="AP53" s="107">
        <v>0</v>
      </c>
      <c r="AQ53" s="107">
        <v>0</v>
      </c>
      <c r="AR53" s="107">
        <v>463320</v>
      </c>
      <c r="AS53" s="107">
        <v>0</v>
      </c>
      <c r="AT53" s="107">
        <v>463320</v>
      </c>
      <c r="AU53" s="107">
        <v>0</v>
      </c>
      <c r="AV53" s="107">
        <v>463320</v>
      </c>
      <c r="AW53" s="107">
        <v>0</v>
      </c>
      <c r="AX53" s="107">
        <v>0</v>
      </c>
      <c r="AY53" s="107">
        <v>463320</v>
      </c>
      <c r="AZ53" s="97">
        <f>SUM($D$53:$AY$53)</f>
        <v>10656360</v>
      </c>
    </row>
    <row r="54" spans="1:52" x14ac:dyDescent="0.15">
      <c r="A54" s="122"/>
      <c r="B54" s="137" t="s">
        <v>350</v>
      </c>
      <c r="C54" s="122"/>
      <c r="D54" s="122">
        <v>0</v>
      </c>
      <c r="E54" s="122">
        <v>298935.59780261439</v>
      </c>
      <c r="F54" s="122">
        <v>550051.28169721807</v>
      </c>
      <c r="G54" s="122">
        <v>299236.97360857303</v>
      </c>
      <c r="H54" s="122">
        <v>550352.64936895506</v>
      </c>
      <c r="I54" s="122">
        <v>299538.28480254672</v>
      </c>
      <c r="J54" s="122">
        <v>550653.8557296783</v>
      </c>
      <c r="K54" s="122">
        <v>278943.12640842161</v>
      </c>
      <c r="L54" s="122">
        <v>550954.70735208329</v>
      </c>
      <c r="M54" s="122">
        <v>285523.62681223796</v>
      </c>
      <c r="N54" s="122">
        <v>536813.78102715313</v>
      </c>
      <c r="O54" s="122">
        <v>265097.15453351382</v>
      </c>
      <c r="P54" s="122">
        <v>551554.57317968598</v>
      </c>
      <c r="Q54" s="122">
        <v>300739.01609883853</v>
      </c>
      <c r="R54" s="122">
        <v>551853.20144503063</v>
      </c>
      <c r="S54" s="122">
        <v>301037.10519501154</v>
      </c>
      <c r="T54" s="122">
        <v>552150.70336413162</v>
      </c>
      <c r="U54" s="122">
        <v>219333.64664112782</v>
      </c>
      <c r="V54" s="122">
        <v>491865.1212591505</v>
      </c>
      <c r="W54" s="122">
        <v>241121.42821132709</v>
      </c>
      <c r="X54" s="122">
        <v>552741.56212696189</v>
      </c>
      <c r="Y54" s="122">
        <v>301923.2742690951</v>
      </c>
      <c r="Z54" s="122">
        <v>553034.5379697599</v>
      </c>
      <c r="AA54" s="122">
        <v>302215.32963270921</v>
      </c>
      <c r="AB54" s="122">
        <v>553325.62573397905</v>
      </c>
      <c r="AC54" s="122">
        <v>302505.40282605862</v>
      </c>
      <c r="AD54" s="122">
        <v>553614.63754205196</v>
      </c>
      <c r="AE54" s="122">
        <v>254968.58482798887</v>
      </c>
      <c r="AF54" s="122">
        <v>542547.59552713134</v>
      </c>
      <c r="AG54" s="122">
        <v>243295.57299093765</v>
      </c>
      <c r="AH54" s="122">
        <v>554185.6883606601</v>
      </c>
      <c r="AI54" s="122">
        <v>303361.86380390823</v>
      </c>
      <c r="AJ54" s="122">
        <v>554467.3585939568</v>
      </c>
      <c r="AK54" s="122">
        <v>303642.15004359634</v>
      </c>
      <c r="AL54" s="122">
        <v>0</v>
      </c>
      <c r="AM54" s="122">
        <v>326415.37499999994</v>
      </c>
      <c r="AN54" s="122">
        <v>0</v>
      </c>
      <c r="AO54" s="122">
        <v>326415.375</v>
      </c>
      <c r="AP54" s="122">
        <v>555294.77129656519</v>
      </c>
      <c r="AQ54" s="122">
        <v>0</v>
      </c>
      <c r="AR54" s="122">
        <v>326415.37500000006</v>
      </c>
      <c r="AS54" s="122">
        <v>555697.47819557169</v>
      </c>
      <c r="AT54" s="122">
        <v>295761.1246057445</v>
      </c>
      <c r="AU54" s="122">
        <v>555961.47586420213</v>
      </c>
      <c r="AV54" s="122">
        <v>305127.06850083766</v>
      </c>
      <c r="AW54" s="122">
        <v>0</v>
      </c>
      <c r="AX54" s="122">
        <v>0</v>
      </c>
      <c r="AY54" s="122">
        <v>326415.37500000006</v>
      </c>
      <c r="AZ54" s="97">
        <f>SUM($D$54:$AY$54)</f>
        <v>17125088.437249012</v>
      </c>
    </row>
  </sheetData>
  <pageMargins left="0.75" right="0.75" top="1" bottom="1" header="0.5" footer="0.5"/>
  <pageSetup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60"/>
  <sheetViews>
    <sheetView workbookViewId="0">
      <pane xSplit="2" ySplit="7" topLeftCell="C8" activePane="bottomRight" state="frozen"/>
      <selection pane="topRight"/>
      <selection pane="bottomLeft"/>
      <selection pane="bottomRight"/>
    </sheetView>
  </sheetViews>
  <sheetFormatPr baseColWidth="10" defaultColWidth="8.83203125" defaultRowHeight="13" x14ac:dyDescent="0.15"/>
  <cols>
    <col min="1" max="1" width="14.6640625" style="97" customWidth="1"/>
    <col min="2" max="2" width="12.6640625" style="97" customWidth="1"/>
    <col min="3" max="16384" width="8.83203125" style="97"/>
  </cols>
  <sheetData>
    <row r="1" spans="1:53" x14ac:dyDescent="0.15">
      <c r="A1" s="99" t="s">
        <v>283</v>
      </c>
    </row>
    <row r="2" spans="1:53" x14ac:dyDescent="0.15">
      <c r="A2" s="97" t="s">
        <v>284</v>
      </c>
      <c r="B2" s="104" t="s">
        <v>22</v>
      </c>
    </row>
    <row r="3" spans="1:53" x14ac:dyDescent="0.15">
      <c r="A3" s="97" t="s">
        <v>285</v>
      </c>
      <c r="B3" s="105">
        <v>50000</v>
      </c>
      <c r="C3" s="106"/>
    </row>
    <row r="4" spans="1:53" x14ac:dyDescent="0.15">
      <c r="B4" s="107"/>
      <c r="C4" s="107"/>
    </row>
    <row r="5" spans="1:53" x14ac:dyDescent="0.15">
      <c r="C5" s="108" t="s">
        <v>286</v>
      </c>
    </row>
    <row r="6" spans="1:53" x14ac:dyDescent="0.15">
      <c r="C6" s="109">
        <v>0</v>
      </c>
      <c r="D6" s="109">
        <v>1</v>
      </c>
      <c r="E6" s="109">
        <v>2</v>
      </c>
      <c r="F6" s="109">
        <v>3</v>
      </c>
      <c r="G6" s="109">
        <v>4</v>
      </c>
      <c r="H6" s="109">
        <v>5</v>
      </c>
      <c r="I6" s="109">
        <v>6</v>
      </c>
      <c r="J6" s="109">
        <v>7</v>
      </c>
      <c r="K6" s="109">
        <v>8</v>
      </c>
      <c r="L6" s="109">
        <v>9</v>
      </c>
      <c r="M6" s="109">
        <v>10</v>
      </c>
      <c r="N6" s="109">
        <v>11</v>
      </c>
      <c r="O6" s="109">
        <v>12</v>
      </c>
      <c r="P6" s="109">
        <v>13</v>
      </c>
      <c r="Q6" s="109">
        <v>14</v>
      </c>
      <c r="R6" s="109">
        <v>15</v>
      </c>
      <c r="S6" s="109">
        <v>16</v>
      </c>
      <c r="T6" s="109">
        <v>17</v>
      </c>
      <c r="U6" s="109">
        <v>18</v>
      </c>
      <c r="V6" s="109">
        <v>19</v>
      </c>
      <c r="W6" s="109">
        <v>20</v>
      </c>
      <c r="X6" s="109">
        <v>21</v>
      </c>
      <c r="Y6" s="109">
        <v>22</v>
      </c>
      <c r="Z6" s="109">
        <v>23</v>
      </c>
      <c r="AA6" s="109">
        <v>24</v>
      </c>
      <c r="AB6" s="109">
        <v>25</v>
      </c>
      <c r="AC6" s="109">
        <v>26</v>
      </c>
      <c r="AD6" s="109">
        <v>27</v>
      </c>
      <c r="AE6" s="109">
        <v>28</v>
      </c>
      <c r="AF6" s="109">
        <v>29</v>
      </c>
      <c r="AG6" s="109">
        <v>30</v>
      </c>
      <c r="AH6" s="109">
        <v>31</v>
      </c>
      <c r="AI6" s="109">
        <v>32</v>
      </c>
      <c r="AJ6" s="109">
        <v>33</v>
      </c>
      <c r="AK6" s="109">
        <v>34</v>
      </c>
      <c r="AL6" s="109">
        <v>35</v>
      </c>
      <c r="AM6" s="109">
        <v>36</v>
      </c>
      <c r="AN6" s="109">
        <v>37</v>
      </c>
      <c r="AO6" s="109">
        <v>38</v>
      </c>
      <c r="AP6" s="109">
        <v>39</v>
      </c>
      <c r="AQ6" s="109">
        <v>40</v>
      </c>
      <c r="AR6" s="109">
        <v>41</v>
      </c>
      <c r="AS6" s="109">
        <v>42</v>
      </c>
      <c r="AT6" s="109">
        <v>43</v>
      </c>
      <c r="AU6" s="109">
        <v>44</v>
      </c>
      <c r="AV6" s="109">
        <v>45</v>
      </c>
      <c r="AW6" s="109">
        <v>46</v>
      </c>
      <c r="AX6" s="109">
        <v>47</v>
      </c>
      <c r="AY6" s="109">
        <v>48</v>
      </c>
    </row>
    <row r="7" spans="1:53" x14ac:dyDescent="0.15">
      <c r="B7" s="107"/>
      <c r="C7" s="110" t="s">
        <v>287</v>
      </c>
      <c r="D7" s="109" t="s">
        <v>288</v>
      </c>
      <c r="E7" s="109" t="s">
        <v>288</v>
      </c>
      <c r="F7" s="109" t="s">
        <v>288</v>
      </c>
      <c r="G7" s="109" t="s">
        <v>288</v>
      </c>
      <c r="H7" s="109" t="s">
        <v>288</v>
      </c>
      <c r="I7" s="109" t="s">
        <v>288</v>
      </c>
      <c r="J7" s="109" t="s">
        <v>288</v>
      </c>
      <c r="K7" s="109" t="s">
        <v>288</v>
      </c>
      <c r="L7" s="109" t="s">
        <v>288</v>
      </c>
      <c r="M7" s="109" t="s">
        <v>288</v>
      </c>
      <c r="N7" s="109" t="s">
        <v>288</v>
      </c>
      <c r="O7" s="109" t="s">
        <v>288</v>
      </c>
      <c r="P7" s="109" t="s">
        <v>288</v>
      </c>
      <c r="Q7" s="109" t="s">
        <v>288</v>
      </c>
      <c r="R7" s="109" t="s">
        <v>288</v>
      </c>
      <c r="S7" s="109" t="s">
        <v>288</v>
      </c>
      <c r="T7" s="109" t="s">
        <v>288</v>
      </c>
      <c r="U7" s="109" t="s">
        <v>288</v>
      </c>
      <c r="V7" s="109" t="s">
        <v>288</v>
      </c>
      <c r="W7" s="109" t="s">
        <v>288</v>
      </c>
      <c r="X7" s="109" t="s">
        <v>288</v>
      </c>
      <c r="Y7" s="109" t="s">
        <v>288</v>
      </c>
      <c r="Z7" s="109" t="s">
        <v>288</v>
      </c>
      <c r="AA7" s="109" t="s">
        <v>288</v>
      </c>
      <c r="AB7" s="109" t="s">
        <v>288</v>
      </c>
      <c r="AC7" s="109" t="s">
        <v>288</v>
      </c>
      <c r="AD7" s="109" t="s">
        <v>288</v>
      </c>
      <c r="AE7" s="109" t="s">
        <v>288</v>
      </c>
      <c r="AF7" s="109" t="s">
        <v>288</v>
      </c>
      <c r="AG7" s="109" t="s">
        <v>288</v>
      </c>
      <c r="AH7" s="109" t="s">
        <v>288</v>
      </c>
      <c r="AI7" s="109" t="s">
        <v>288</v>
      </c>
      <c r="AJ7" s="109" t="s">
        <v>288</v>
      </c>
      <c r="AK7" s="109" t="s">
        <v>288</v>
      </c>
      <c r="AL7" s="109" t="s">
        <v>288</v>
      </c>
      <c r="AM7" s="109" t="s">
        <v>288</v>
      </c>
      <c r="AN7" s="109" t="s">
        <v>288</v>
      </c>
      <c r="AO7" s="109" t="s">
        <v>288</v>
      </c>
      <c r="AP7" s="109" t="s">
        <v>288</v>
      </c>
      <c r="AQ7" s="109" t="s">
        <v>288</v>
      </c>
      <c r="AR7" s="109" t="s">
        <v>288</v>
      </c>
      <c r="AS7" s="109" t="s">
        <v>288</v>
      </c>
      <c r="AT7" s="109" t="s">
        <v>288</v>
      </c>
      <c r="AU7" s="109" t="s">
        <v>288</v>
      </c>
      <c r="AV7" s="109" t="s">
        <v>288</v>
      </c>
      <c r="AW7" s="109" t="s">
        <v>288</v>
      </c>
      <c r="AX7" s="109" t="s">
        <v>288</v>
      </c>
      <c r="AY7" s="108" t="s">
        <v>289</v>
      </c>
      <c r="AZ7" s="108" t="s">
        <v>290</v>
      </c>
    </row>
    <row r="8" spans="1:53" x14ac:dyDescent="0.15">
      <c r="A8" s="99" t="s">
        <v>291</v>
      </c>
      <c r="B8" s="111"/>
      <c r="AY8" s="107"/>
    </row>
    <row r="9" spans="1:53" x14ac:dyDescent="0.15">
      <c r="A9" s="112" t="s">
        <v>125</v>
      </c>
      <c r="B9" s="113">
        <v>1</v>
      </c>
      <c r="C9" s="114" t="s">
        <v>292</v>
      </c>
      <c r="D9" s="114">
        <v>10031.693728146485</v>
      </c>
      <c r="E9" s="114">
        <v>10034.442615284395</v>
      </c>
      <c r="F9" s="114">
        <v>10037.191648669816</v>
      </c>
      <c r="G9" s="114">
        <v>10039.940387417231</v>
      </c>
      <c r="H9" s="114">
        <v>10042.688390493491</v>
      </c>
      <c r="I9" s="114">
        <v>10045.435216795158</v>
      </c>
      <c r="J9" s="114">
        <v>9666.9762670331529</v>
      </c>
      <c r="K9" s="114">
        <v>10050.923574774115</v>
      </c>
      <c r="L9" s="114">
        <v>9787.022626125723</v>
      </c>
      <c r="M9" s="114">
        <v>9792.954329985434</v>
      </c>
      <c r="N9" s="114">
        <v>9414.3877996398842</v>
      </c>
      <c r="O9" s="114">
        <v>10061.86677120732</v>
      </c>
      <c r="P9" s="114">
        <v>10064.593019552512</v>
      </c>
      <c r="Q9" s="114">
        <v>10067.314569061107</v>
      </c>
      <c r="R9" s="114">
        <v>10070.030981483189</v>
      </c>
      <c r="S9" s="114">
        <v>10072.741819273024</v>
      </c>
      <c r="T9" s="114">
        <v>8579.5360156328807</v>
      </c>
      <c r="U9" s="114">
        <v>8972.9676085941701</v>
      </c>
      <c r="V9" s="114">
        <v>8977.0048538217925</v>
      </c>
      <c r="W9" s="114">
        <v>10083.52070216384</v>
      </c>
      <c r="X9" s="114">
        <v>10086.197133653392</v>
      </c>
      <c r="Y9" s="114">
        <v>10088.865384341747</v>
      </c>
      <c r="Z9" s="114">
        <v>10091.525023768707</v>
      </c>
      <c r="AA9" s="114">
        <v>10094.175622792705</v>
      </c>
      <c r="AB9" s="114">
        <v>10096.816753666901</v>
      </c>
      <c r="AC9" s="114">
        <v>10099.447990115075</v>
      </c>
      <c r="AD9" s="114">
        <v>9229.6149341510554</v>
      </c>
      <c r="AE9" s="114">
        <v>9897.5548181238992</v>
      </c>
      <c r="AF9" s="114">
        <v>9016.6672121404699</v>
      </c>
      <c r="AG9" s="114">
        <v>10109.865521826034</v>
      </c>
      <c r="AH9" s="114">
        <v>10112.440948756393</v>
      </c>
      <c r="AI9" s="114">
        <v>10115.003958707281</v>
      </c>
      <c r="AJ9" s="114">
        <v>10117.554137801832</v>
      </c>
      <c r="AK9" s="114">
        <v>10120.091074231983</v>
      </c>
      <c r="AL9" s="114">
        <v>10122.614358331919</v>
      </c>
      <c r="AM9" s="114">
        <v>10125.123582651193</v>
      </c>
      <c r="AN9" s="114">
        <v>10127.618342027483</v>
      </c>
      <c r="AO9" s="114">
        <v>10130.098233658995</v>
      </c>
      <c r="AP9" s="114">
        <v>10132.562857176483</v>
      </c>
      <c r="AQ9" s="114">
        <v>10135.011814714877</v>
      </c>
      <c r="AR9" s="114">
        <v>10137.444710984513</v>
      </c>
      <c r="AS9" s="114">
        <v>9973.7826384214295</v>
      </c>
      <c r="AT9" s="114">
        <v>10142.260751860313</v>
      </c>
      <c r="AU9" s="114">
        <v>10144.643119399308</v>
      </c>
      <c r="AV9" s="114">
        <v>10147.007871674641</v>
      </c>
      <c r="AW9" s="114">
        <v>10149.354627327051</v>
      </c>
      <c r="AX9" s="114">
        <v>10151.683007990863</v>
      </c>
      <c r="AY9" s="114">
        <v>10153.992638362022</v>
      </c>
    </row>
    <row r="10" spans="1:53" x14ac:dyDescent="0.15">
      <c r="A10" s="115" t="s">
        <v>133</v>
      </c>
      <c r="B10" s="116">
        <v>1</v>
      </c>
      <c r="C10" s="103" t="s">
        <v>292</v>
      </c>
      <c r="E10" s="97">
        <v>0</v>
      </c>
      <c r="F10" s="97">
        <v>164.29022298471361</v>
      </c>
      <c r="G10" s="97">
        <v>164.33524183128984</v>
      </c>
      <c r="H10" s="97">
        <v>164.38026307297866</v>
      </c>
      <c r="I10" s="97">
        <v>0</v>
      </c>
      <c r="J10" s="97">
        <v>164.47028385754143</v>
      </c>
      <c r="K10" s="97">
        <v>164.51526895356116</v>
      </c>
      <c r="L10" s="97">
        <v>158.31720241246387</v>
      </c>
      <c r="M10" s="97">
        <v>0</v>
      </c>
      <c r="N10" s="97">
        <v>160.28321569379889</v>
      </c>
      <c r="O10" s="97">
        <v>0</v>
      </c>
      <c r="P10" s="97">
        <v>154.18053150165102</v>
      </c>
      <c r="Q10" s="97">
        <v>164.78437044444752</v>
      </c>
      <c r="R10" s="97">
        <v>164.82901853286421</v>
      </c>
      <c r="S10" s="97">
        <v>164.87358966788369</v>
      </c>
      <c r="T10" s="97">
        <v>164.91807667223569</v>
      </c>
      <c r="U10" s="97">
        <v>164.9624723801825</v>
      </c>
      <c r="V10" s="97">
        <v>140.50806606654064</v>
      </c>
      <c r="W10" s="97">
        <v>15</v>
      </c>
      <c r="X10" s="97">
        <v>147.01745977662918</v>
      </c>
      <c r="Y10" s="97">
        <v>165.13899940758668</v>
      </c>
      <c r="Z10" s="97">
        <v>150</v>
      </c>
      <c r="AA10" s="97">
        <v>165.22652989352318</v>
      </c>
      <c r="AB10" s="97">
        <v>165.27008711988549</v>
      </c>
      <c r="AC10" s="97">
        <v>15</v>
      </c>
      <c r="AD10" s="97">
        <v>150</v>
      </c>
      <c r="AE10" s="97">
        <v>165.39984246758843</v>
      </c>
      <c r="AF10" s="97">
        <v>150</v>
      </c>
      <c r="AG10" s="97">
        <v>162.09341434643707</v>
      </c>
      <c r="AH10" s="97">
        <v>147.66701486362237</v>
      </c>
      <c r="AI10" s="97">
        <v>15</v>
      </c>
      <c r="AJ10" s="97">
        <v>165.61262967284611</v>
      </c>
      <c r="AK10" s="97">
        <v>15</v>
      </c>
      <c r="AL10" s="97">
        <v>150</v>
      </c>
      <c r="AM10" s="97">
        <v>15</v>
      </c>
      <c r="AN10" s="97">
        <v>165.77924079285953</v>
      </c>
      <c r="AO10" s="97">
        <v>15</v>
      </c>
      <c r="AP10" s="97">
        <v>0</v>
      </c>
      <c r="AQ10" s="97">
        <v>165</v>
      </c>
      <c r="AR10" s="97">
        <v>165.942168523493</v>
      </c>
      <c r="AS10" s="97">
        <v>0</v>
      </c>
      <c r="AT10" s="97">
        <v>172.5</v>
      </c>
      <c r="AU10" s="97">
        <v>163.34180628639254</v>
      </c>
      <c r="AV10" s="97">
        <v>165</v>
      </c>
      <c r="AW10" s="97">
        <v>0</v>
      </c>
      <c r="AX10" s="97">
        <v>166.17873621756652</v>
      </c>
      <c r="AY10" s="97">
        <v>166.21716930971161</v>
      </c>
      <c r="AZ10" s="97">
        <v>166.25530147251655</v>
      </c>
    </row>
    <row r="11" spans="1:53" x14ac:dyDescent="0.15">
      <c r="B11" s="116">
        <v>2</v>
      </c>
      <c r="C11" s="103" t="s">
        <v>292</v>
      </c>
      <c r="F11" s="97">
        <v>0</v>
      </c>
      <c r="G11" s="97">
        <v>0</v>
      </c>
      <c r="H11" s="97">
        <v>0</v>
      </c>
      <c r="I11" s="97">
        <v>0</v>
      </c>
      <c r="J11" s="97">
        <v>164.42527948934639</v>
      </c>
      <c r="K11" s="97">
        <v>0</v>
      </c>
      <c r="L11" s="97">
        <v>0</v>
      </c>
      <c r="M11" s="97">
        <v>0</v>
      </c>
      <c r="N11" s="97">
        <v>164.60515243491716</v>
      </c>
      <c r="O11" s="97">
        <v>0</v>
      </c>
      <c r="P11" s="97">
        <v>160.38035990256367</v>
      </c>
      <c r="Q11" s="97">
        <v>0</v>
      </c>
      <c r="S11" s="97">
        <v>0</v>
      </c>
      <c r="T11" s="97">
        <v>0</v>
      </c>
      <c r="U11" s="97">
        <v>0</v>
      </c>
      <c r="W11" s="97">
        <v>0</v>
      </c>
      <c r="X11" s="97">
        <v>131.95134133873975</v>
      </c>
      <c r="Z11" s="97">
        <v>0</v>
      </c>
      <c r="AA11" s="97">
        <v>15.182831639524551</v>
      </c>
      <c r="AB11" s="97">
        <v>0</v>
      </c>
      <c r="AC11" s="97">
        <v>0</v>
      </c>
      <c r="AD11" s="97">
        <v>150.31349629050976</v>
      </c>
      <c r="AE11" s="97">
        <v>0</v>
      </c>
      <c r="AG11" s="97">
        <v>1.1544846450258603</v>
      </c>
      <c r="AI11" s="97">
        <v>0</v>
      </c>
      <c r="AJ11" s="97">
        <v>0</v>
      </c>
      <c r="AL11" s="97">
        <v>150.65460438696263</v>
      </c>
      <c r="AM11" s="97">
        <v>0</v>
      </c>
      <c r="AN11" s="97">
        <v>150.73791667365629</v>
      </c>
      <c r="AP11" s="97">
        <v>150.82033465338836</v>
      </c>
      <c r="AQ11" s="97">
        <v>0</v>
      </c>
      <c r="AS11" s="97">
        <v>0</v>
      </c>
      <c r="AT11" s="97">
        <v>0</v>
      </c>
      <c r="AU11" s="97">
        <v>0</v>
      </c>
      <c r="AW11" s="97">
        <v>1.1009920804381181</v>
      </c>
      <c r="AX11" s="97">
        <v>166.1400083926203</v>
      </c>
      <c r="AZ11" s="97">
        <v>0</v>
      </c>
    </row>
    <row r="12" spans="1:53" x14ac:dyDescent="0.15">
      <c r="B12" s="117">
        <v>3</v>
      </c>
      <c r="C12" s="103" t="s">
        <v>292</v>
      </c>
      <c r="L12" s="97">
        <v>0</v>
      </c>
      <c r="N12" s="97">
        <v>0</v>
      </c>
      <c r="R12" s="97">
        <v>0</v>
      </c>
      <c r="S12" s="97">
        <v>0</v>
      </c>
      <c r="AA12" s="97">
        <v>0</v>
      </c>
      <c r="AF12" s="97">
        <v>15.356750400135923</v>
      </c>
      <c r="AG12" s="97">
        <v>0</v>
      </c>
      <c r="AJ12" s="97">
        <v>0</v>
      </c>
      <c r="AK12" s="97">
        <v>150.57045160440265</v>
      </c>
      <c r="AN12" s="97">
        <v>15.696368968642332</v>
      </c>
      <c r="AP12" s="97">
        <v>0</v>
      </c>
      <c r="AS12" s="97">
        <v>7.5</v>
      </c>
      <c r="AX12" s="97">
        <v>0</v>
      </c>
    </row>
    <row r="13" spans="1:53" x14ac:dyDescent="0.15">
      <c r="B13" s="117">
        <v>4</v>
      </c>
      <c r="C13" s="103" t="s">
        <v>292</v>
      </c>
    </row>
    <row r="14" spans="1:53" x14ac:dyDescent="0.15">
      <c r="A14" s="112" t="s">
        <v>134</v>
      </c>
      <c r="B14" s="118">
        <v>1</v>
      </c>
      <c r="C14" s="114" t="s">
        <v>292</v>
      </c>
      <c r="D14" s="114"/>
      <c r="E14" s="114">
        <f t="shared" ref="E14:AZ14" si="0">D$172*SUM(D$122:D$169)</f>
        <v>0</v>
      </c>
      <c r="F14" s="114">
        <f t="shared" si="0"/>
        <v>0</v>
      </c>
      <c r="G14" s="114">
        <f t="shared" si="0"/>
        <v>1055.7422610035351</v>
      </c>
      <c r="H14" s="114">
        <f t="shared" si="0"/>
        <v>127.16762091564492</v>
      </c>
      <c r="I14" s="114">
        <f t="shared" si="0"/>
        <v>1985.1848007305375</v>
      </c>
      <c r="J14" s="114">
        <f t="shared" si="0"/>
        <v>932.59677557620353</v>
      </c>
      <c r="K14" s="114">
        <f t="shared" si="0"/>
        <v>694.44778167344396</v>
      </c>
      <c r="L14" s="114">
        <f t="shared" si="0"/>
        <v>967.9745819976481</v>
      </c>
      <c r="M14" s="114">
        <f t="shared" si="0"/>
        <v>1138.5778984502881</v>
      </c>
      <c r="N14" s="114">
        <f t="shared" si="0"/>
        <v>975.46344690517367</v>
      </c>
      <c r="O14" s="114">
        <f t="shared" si="0"/>
        <v>1530.7735361919911</v>
      </c>
      <c r="P14" s="114">
        <f t="shared" si="0"/>
        <v>375.03983921094016</v>
      </c>
      <c r="Q14" s="114">
        <f t="shared" si="0"/>
        <v>1508.2148056128763</v>
      </c>
      <c r="R14" s="114">
        <f t="shared" si="0"/>
        <v>1326.6917012327121</v>
      </c>
      <c r="S14" s="114">
        <f t="shared" si="0"/>
        <v>1705.545331556074</v>
      </c>
      <c r="T14" s="114">
        <f t="shared" si="0"/>
        <v>786.5433601241001</v>
      </c>
      <c r="U14" s="114">
        <f t="shared" si="0"/>
        <v>1464.545502922678</v>
      </c>
      <c r="V14" s="114">
        <f t="shared" si="0"/>
        <v>1947.4380130032173</v>
      </c>
      <c r="W14" s="114">
        <f t="shared" si="0"/>
        <v>1295.7300651669955</v>
      </c>
      <c r="X14" s="114">
        <f t="shared" si="0"/>
        <v>855.54427308885795</v>
      </c>
      <c r="Y14" s="114">
        <f t="shared" si="0"/>
        <v>1916.3789196532957</v>
      </c>
      <c r="Z14" s="114">
        <f t="shared" si="0"/>
        <v>874.08425605326329</v>
      </c>
      <c r="AA14" s="114">
        <f t="shared" si="0"/>
        <v>1660.3999463949997</v>
      </c>
      <c r="AB14" s="114">
        <f t="shared" si="0"/>
        <v>1321.4332971049785</v>
      </c>
      <c r="AC14" s="114">
        <f t="shared" si="0"/>
        <v>2310.5203061288044</v>
      </c>
      <c r="AD14" s="114">
        <f t="shared" si="0"/>
        <v>2006.7132914745403</v>
      </c>
      <c r="AE14" s="114">
        <f t="shared" si="0"/>
        <v>1526.0519873645148</v>
      </c>
      <c r="AF14" s="114">
        <f t="shared" si="0"/>
        <v>1243.5621227620727</v>
      </c>
      <c r="AG14" s="114">
        <f t="shared" si="0"/>
        <v>1056.8344162545593</v>
      </c>
      <c r="AH14" s="114">
        <f t="shared" si="0"/>
        <v>2685.0273203137504</v>
      </c>
      <c r="AI14" s="114">
        <f t="shared" si="0"/>
        <v>1791.3153866746109</v>
      </c>
      <c r="AJ14" s="114">
        <f t="shared" si="0"/>
        <v>1680.5199421157809</v>
      </c>
      <c r="AK14" s="114">
        <f t="shared" si="0"/>
        <v>2203.6191903721733</v>
      </c>
      <c r="AL14" s="114">
        <f t="shared" si="0"/>
        <v>1124.5605667382879</v>
      </c>
      <c r="AM14" s="114">
        <f t="shared" si="0"/>
        <v>2045.6658861790538</v>
      </c>
      <c r="AN14" s="114">
        <f t="shared" si="0"/>
        <v>1485.0971261076988</v>
      </c>
      <c r="AO14" s="114">
        <f t="shared" si="0"/>
        <v>1824.9728938389958</v>
      </c>
      <c r="AP14" s="114">
        <f t="shared" si="0"/>
        <v>943.64598835067022</v>
      </c>
      <c r="AQ14" s="114">
        <f t="shared" si="0"/>
        <v>1494.1165805872838</v>
      </c>
      <c r="AR14" s="114">
        <f t="shared" si="0"/>
        <v>856.79822405179993</v>
      </c>
      <c r="AS14" s="114">
        <f t="shared" si="0"/>
        <v>408.4542127733904</v>
      </c>
      <c r="AT14" s="114">
        <f t="shared" si="0"/>
        <v>1525.4060439104949</v>
      </c>
      <c r="AU14" s="114">
        <f t="shared" si="0"/>
        <v>1384.778451767736</v>
      </c>
      <c r="AV14" s="114">
        <f t="shared" si="0"/>
        <v>2536.1475512649849</v>
      </c>
      <c r="AW14" s="114">
        <f t="shared" si="0"/>
        <v>1403.7361413721706</v>
      </c>
      <c r="AX14" s="114">
        <f t="shared" si="0"/>
        <v>1615.3555736950045</v>
      </c>
      <c r="AY14" s="114">
        <f t="shared" si="0"/>
        <v>1897.003215952486</v>
      </c>
      <c r="AZ14" s="107">
        <f t="shared" si="0"/>
        <v>1086.5572951169961</v>
      </c>
      <c r="BA14" s="104">
        <f>SUM($E14:$AZ14)</f>
        <v>64581.977729737322</v>
      </c>
    </row>
    <row r="15" spans="1:53" x14ac:dyDescent="0.15">
      <c r="A15" s="119" t="s">
        <v>123</v>
      </c>
      <c r="B15" s="120">
        <v>1</v>
      </c>
      <c r="C15" s="121" t="s">
        <v>292</v>
      </c>
      <c r="D15" s="121">
        <v>0</v>
      </c>
      <c r="E15" s="121">
        <v>0</v>
      </c>
      <c r="F15" s="121">
        <v>2111.4845220070702</v>
      </c>
      <c r="G15" s="121">
        <v>254.33524183128984</v>
      </c>
      <c r="H15" s="121">
        <v>2112.6417317866781</v>
      </c>
      <c r="I15" s="121">
        <v>1710.4977447364568</v>
      </c>
      <c r="J15" s="121">
        <v>1224.4702838575415</v>
      </c>
      <c r="K15" s="121">
        <v>1935.9491639952962</v>
      </c>
      <c r="L15" s="121">
        <v>1197.7621915606514</v>
      </c>
      <c r="M15" s="121">
        <v>1950.9268938103473</v>
      </c>
      <c r="N15" s="121">
        <v>2059.9858161155871</v>
      </c>
      <c r="O15" s="121">
        <v>232.43506944719155</v>
      </c>
      <c r="P15" s="121">
        <v>1187.6303514718975</v>
      </c>
      <c r="Q15" s="121">
        <v>1969.0176981202389</v>
      </c>
      <c r="R15" s="121">
        <v>2118.4092095495062</v>
      </c>
      <c r="S15" s="121">
        <v>403.82057973415135</v>
      </c>
      <c r="T15" s="121">
        <v>1213.9295405927355</v>
      </c>
      <c r="U15" s="121">
        <v>2120.1243799832405</v>
      </c>
      <c r="V15" s="121">
        <v>1154.1427387528245</v>
      </c>
      <c r="W15" s="121">
        <v>227.97274335946878</v>
      </c>
      <c r="X15" s="121">
        <v>1889.4921751492971</v>
      </c>
      <c r="Y15" s="121">
        <v>285.13899940758665</v>
      </c>
      <c r="Z15" s="121">
        <v>1170</v>
      </c>
      <c r="AA15" s="121">
        <v>404.68502701655939</v>
      </c>
      <c r="AB15" s="121">
        <v>2094.5562709045294</v>
      </c>
      <c r="AC15" s="121">
        <v>1974.322299771211</v>
      </c>
      <c r="AD15" s="121">
        <v>1170</v>
      </c>
      <c r="AE15" s="121">
        <v>405.10951698050815</v>
      </c>
      <c r="AF15" s="121">
        <v>1170</v>
      </c>
      <c r="AG15" s="121">
        <v>2083.2507820238707</v>
      </c>
      <c r="AH15" s="121">
        <v>1171.6769651825884</v>
      </c>
      <c r="AI15" s="121">
        <v>1857.4108418357732</v>
      </c>
      <c r="AJ15" s="121">
        <v>2128.4803066804543</v>
      </c>
      <c r="AK15" s="121">
        <v>135</v>
      </c>
      <c r="AL15" s="121">
        <v>1200.1394226311263</v>
      </c>
      <c r="AM15" s="121">
        <v>255.19963663554768</v>
      </c>
      <c r="AN15" s="121">
        <v>2170.2792407928591</v>
      </c>
      <c r="AO15" s="121">
        <v>255.31908286234474</v>
      </c>
      <c r="AP15" s="121">
        <v>2034.8782957974145</v>
      </c>
      <c r="AQ15" s="121">
        <v>405.43715584762697</v>
      </c>
      <c r="AR15" s="121">
        <v>165.942168523493</v>
      </c>
      <c r="AS15" s="121">
        <v>1060</v>
      </c>
      <c r="AT15" s="121">
        <v>413.11152396064074</v>
      </c>
      <c r="AU15" s="121">
        <v>2099.2953171807776</v>
      </c>
      <c r="AV15" s="121">
        <v>405.72583234580281</v>
      </c>
      <c r="AW15" s="121">
        <v>1968.3358772364807</v>
      </c>
      <c r="AX15" s="121">
        <v>407.017241112075</v>
      </c>
      <c r="AY15" s="121">
        <v>407.11137428150653</v>
      </c>
      <c r="AZ15" s="97">
        <v>2201.70477039256</v>
      </c>
    </row>
    <row r="16" spans="1:53" x14ac:dyDescent="0.15">
      <c r="A16" s="107"/>
      <c r="B16" s="116">
        <v>2</v>
      </c>
      <c r="C16" s="106" t="s">
        <v>292</v>
      </c>
      <c r="D16" s="103"/>
      <c r="E16" s="107"/>
      <c r="F16" s="107">
        <v>0</v>
      </c>
      <c r="G16" s="107">
        <v>0</v>
      </c>
      <c r="H16" s="107">
        <v>1857.727869674397</v>
      </c>
      <c r="I16" s="107">
        <v>0</v>
      </c>
      <c r="J16" s="107">
        <v>164.42527948934639</v>
      </c>
      <c r="K16" s="107">
        <v>0</v>
      </c>
      <c r="L16" s="107">
        <v>178.42768520768948</v>
      </c>
      <c r="M16" s="107">
        <v>0</v>
      </c>
      <c r="N16" s="107">
        <v>164.60515243491716</v>
      </c>
      <c r="O16" s="107">
        <v>0</v>
      </c>
      <c r="P16" s="107">
        <v>1828.7992597538553</v>
      </c>
      <c r="Q16" s="107">
        <v>0</v>
      </c>
      <c r="R16" s="107"/>
      <c r="S16" s="107">
        <v>0</v>
      </c>
      <c r="T16" s="107">
        <v>1715.1614652526205</v>
      </c>
      <c r="U16" s="107">
        <v>905.62425857035441</v>
      </c>
      <c r="V16" s="107"/>
      <c r="W16" s="107">
        <v>651.68965545028072</v>
      </c>
      <c r="X16" s="107">
        <v>1660.6696669305049</v>
      </c>
      <c r="Y16" s="107"/>
      <c r="Z16" s="107">
        <v>1717.9224930130904</v>
      </c>
      <c r="AA16" s="107">
        <v>952.95647283045059</v>
      </c>
      <c r="AB16" s="107">
        <v>1718.8330628430767</v>
      </c>
      <c r="AC16" s="107">
        <v>29.52162347429632</v>
      </c>
      <c r="AD16" s="107">
        <v>150.31349629050976</v>
      </c>
      <c r="AE16" s="107">
        <v>939.83495447544863</v>
      </c>
      <c r="AF16" s="107"/>
      <c r="AG16" s="107">
        <v>772.66188797871291</v>
      </c>
      <c r="AH16" s="107"/>
      <c r="AI16" s="107">
        <v>0</v>
      </c>
      <c r="AJ16" s="107">
        <v>119.95693388175914</v>
      </c>
      <c r="AK16" s="107"/>
      <c r="AL16" s="107">
        <v>1994.0197724962679</v>
      </c>
      <c r="AM16" s="107">
        <v>913.72074605624357</v>
      </c>
      <c r="AN16" s="107">
        <v>150.73791667365629</v>
      </c>
      <c r="AO16" s="107"/>
      <c r="AP16" s="107">
        <v>150.82033465338836</v>
      </c>
      <c r="AQ16" s="107">
        <v>0</v>
      </c>
      <c r="AR16" s="107"/>
      <c r="AS16" s="107">
        <v>0</v>
      </c>
      <c r="AT16" s="107">
        <v>984.50000000000023</v>
      </c>
      <c r="AU16" s="107">
        <v>1727.109489341326</v>
      </c>
      <c r="AV16" s="107"/>
      <c r="AW16" s="107">
        <v>1.1009920804381181</v>
      </c>
      <c r="AX16" s="107">
        <v>166.92238606128646</v>
      </c>
      <c r="AY16" s="107"/>
      <c r="AZ16" s="97">
        <v>0</v>
      </c>
    </row>
    <row r="17" spans="1:51" x14ac:dyDescent="0.15">
      <c r="A17" s="107"/>
      <c r="B17" s="116">
        <v>3</v>
      </c>
      <c r="C17" s="106" t="s">
        <v>292</v>
      </c>
      <c r="D17" s="103"/>
      <c r="E17" s="107"/>
      <c r="F17" s="107"/>
      <c r="G17" s="107"/>
      <c r="H17" s="107"/>
      <c r="I17" s="107"/>
      <c r="J17" s="107"/>
      <c r="K17" s="107"/>
      <c r="L17" s="107">
        <v>900.9659201322354</v>
      </c>
      <c r="M17" s="107"/>
      <c r="N17" s="107">
        <v>836.95610383347821</v>
      </c>
      <c r="O17" s="107"/>
      <c r="P17" s="107"/>
      <c r="Q17" s="107"/>
      <c r="R17" s="107">
        <v>793.92278021294101</v>
      </c>
      <c r="S17" s="107">
        <v>148.81768697449255</v>
      </c>
      <c r="T17" s="107"/>
      <c r="U17" s="107"/>
      <c r="V17" s="107"/>
      <c r="W17" s="107"/>
      <c r="X17" s="107"/>
      <c r="Y17" s="107"/>
      <c r="Z17" s="107"/>
      <c r="AA17" s="107">
        <v>119.33164147444074</v>
      </c>
      <c r="AB17" s="107"/>
      <c r="AC17" s="107"/>
      <c r="AD17" s="107"/>
      <c r="AE17" s="107"/>
      <c r="AF17" s="107">
        <v>15.356750400135923</v>
      </c>
      <c r="AG17" s="107">
        <v>1720.6360141167115</v>
      </c>
      <c r="AH17" s="107"/>
      <c r="AI17" s="107"/>
      <c r="AJ17" s="107">
        <v>726.1633970192313</v>
      </c>
      <c r="AK17" s="107">
        <v>150.57045160440265</v>
      </c>
      <c r="AL17" s="107"/>
      <c r="AM17" s="107"/>
      <c r="AN17" s="107">
        <v>15.696368968642332</v>
      </c>
      <c r="AO17" s="107"/>
      <c r="AP17" s="107">
        <v>30.259526602889594</v>
      </c>
      <c r="AQ17" s="107"/>
      <c r="AR17" s="107"/>
      <c r="AS17" s="107">
        <v>1733.3578750475997</v>
      </c>
      <c r="AT17" s="107"/>
      <c r="AU17" s="107"/>
      <c r="AV17" s="107"/>
      <c r="AW17" s="107"/>
      <c r="AX17" s="107">
        <v>1727.9299949159349</v>
      </c>
      <c r="AY17" s="107"/>
    </row>
    <row r="18" spans="1:51" x14ac:dyDescent="0.15">
      <c r="A18" s="122"/>
      <c r="B18" s="113">
        <v>4</v>
      </c>
      <c r="C18" s="122" t="s">
        <v>292</v>
      </c>
      <c r="D18" s="122"/>
      <c r="E18" s="122"/>
      <c r="F18" s="122"/>
      <c r="G18" s="122"/>
      <c r="H18" s="122"/>
      <c r="I18" s="122"/>
      <c r="J18" s="122"/>
      <c r="K18" s="122"/>
      <c r="L18" s="122"/>
      <c r="M18" s="122"/>
      <c r="N18" s="122"/>
      <c r="O18" s="122"/>
      <c r="P18" s="122"/>
      <c r="Q18" s="122"/>
      <c r="R18" s="122"/>
      <c r="S18" s="122"/>
      <c r="T18" s="122"/>
      <c r="U18" s="122"/>
      <c r="V18" s="122"/>
      <c r="W18" s="122"/>
      <c r="X18" s="122"/>
      <c r="Y18" s="122"/>
      <c r="Z18" s="122"/>
      <c r="AA18" s="122"/>
      <c r="AB18" s="122"/>
      <c r="AC18" s="122"/>
      <c r="AD18" s="122"/>
      <c r="AE18" s="122"/>
      <c r="AF18" s="122"/>
      <c r="AG18" s="122"/>
      <c r="AH18" s="122"/>
      <c r="AI18" s="122"/>
      <c r="AJ18" s="122"/>
      <c r="AK18" s="122"/>
      <c r="AL18" s="122"/>
      <c r="AM18" s="122"/>
      <c r="AN18" s="122"/>
      <c r="AO18" s="122"/>
      <c r="AP18" s="122"/>
      <c r="AQ18" s="122"/>
      <c r="AR18" s="122"/>
      <c r="AS18" s="122"/>
      <c r="AT18" s="122"/>
      <c r="AU18" s="122"/>
      <c r="AV18" s="122"/>
      <c r="AW18" s="122"/>
      <c r="AX18" s="122"/>
      <c r="AY18" s="122"/>
    </row>
    <row r="20" spans="1:51" x14ac:dyDescent="0.15">
      <c r="A20" s="99" t="s">
        <v>293</v>
      </c>
    </row>
    <row r="21" spans="1:51" x14ac:dyDescent="0.15">
      <c r="A21" s="123" t="s">
        <v>125</v>
      </c>
      <c r="B21" s="120">
        <v>1</v>
      </c>
      <c r="C21" s="121" t="s">
        <v>292</v>
      </c>
      <c r="D21" s="121"/>
      <c r="E21" s="121"/>
      <c r="F21" s="121"/>
      <c r="G21" s="121"/>
      <c r="H21" s="121"/>
      <c r="I21" s="121"/>
      <c r="J21" s="121"/>
      <c r="K21" s="121"/>
      <c r="L21" s="121"/>
      <c r="M21" s="121"/>
      <c r="N21" s="121"/>
      <c r="O21" s="121"/>
      <c r="P21" s="121"/>
      <c r="Q21" s="121"/>
      <c r="R21" s="121"/>
      <c r="S21" s="121"/>
      <c r="T21" s="121"/>
      <c r="U21" s="121"/>
      <c r="V21" s="121"/>
      <c r="W21" s="121"/>
      <c r="X21" s="121"/>
      <c r="Y21" s="121"/>
      <c r="Z21" s="121"/>
      <c r="AA21" s="121"/>
      <c r="AB21" s="121"/>
      <c r="AC21" s="121"/>
      <c r="AD21" s="121"/>
      <c r="AE21" s="121"/>
      <c r="AF21" s="121"/>
      <c r="AG21" s="121"/>
      <c r="AH21" s="121"/>
      <c r="AI21" s="121"/>
      <c r="AJ21" s="121"/>
      <c r="AK21" s="121"/>
      <c r="AL21" s="121"/>
      <c r="AM21" s="121"/>
      <c r="AN21" s="121"/>
      <c r="AO21" s="121"/>
      <c r="AP21" s="121"/>
      <c r="AQ21" s="121"/>
      <c r="AR21" s="121"/>
      <c r="AS21" s="121"/>
      <c r="AT21" s="121"/>
      <c r="AU21" s="121"/>
      <c r="AV21" s="121"/>
      <c r="AW21" s="121"/>
      <c r="AX21" s="121"/>
      <c r="AY21" s="121"/>
    </row>
    <row r="22" spans="1:51" x14ac:dyDescent="0.15">
      <c r="A22" s="106"/>
      <c r="B22" s="117">
        <v>2</v>
      </c>
      <c r="C22" s="107" t="s">
        <v>292</v>
      </c>
      <c r="D22" s="107"/>
      <c r="E22" s="107"/>
      <c r="F22" s="107"/>
      <c r="G22" s="107"/>
      <c r="H22" s="107"/>
      <c r="I22" s="107"/>
      <c r="J22" s="107"/>
      <c r="K22" s="107"/>
      <c r="L22" s="107"/>
      <c r="M22" s="107"/>
      <c r="N22" s="107"/>
      <c r="O22" s="107"/>
      <c r="P22" s="107"/>
      <c r="Q22" s="107"/>
      <c r="R22" s="107"/>
      <c r="S22" s="107"/>
      <c r="T22" s="107"/>
      <c r="U22" s="107"/>
      <c r="V22" s="107"/>
      <c r="W22" s="107"/>
      <c r="X22" s="107"/>
      <c r="Y22" s="107"/>
      <c r="Z22" s="107"/>
      <c r="AA22" s="107"/>
      <c r="AB22" s="107"/>
      <c r="AC22" s="107"/>
      <c r="AD22" s="107"/>
      <c r="AE22" s="107"/>
      <c r="AF22" s="107"/>
      <c r="AG22" s="107"/>
      <c r="AH22" s="107"/>
      <c r="AI22" s="107"/>
      <c r="AJ22" s="107"/>
      <c r="AK22" s="107"/>
      <c r="AL22" s="107"/>
      <c r="AM22" s="107"/>
      <c r="AN22" s="107"/>
      <c r="AO22" s="107"/>
      <c r="AP22" s="107"/>
      <c r="AQ22" s="107"/>
      <c r="AR22" s="107"/>
      <c r="AS22" s="107"/>
      <c r="AT22" s="107"/>
      <c r="AU22" s="107"/>
      <c r="AV22" s="107"/>
      <c r="AW22" s="107"/>
      <c r="AX22" s="107"/>
      <c r="AY22" s="107"/>
    </row>
    <row r="23" spans="1:51" x14ac:dyDescent="0.15">
      <c r="A23" s="106"/>
      <c r="B23" s="124">
        <v>3</v>
      </c>
      <c r="C23" s="107" t="s">
        <v>292</v>
      </c>
      <c r="D23" s="107"/>
      <c r="E23" s="107"/>
      <c r="F23" s="107"/>
      <c r="G23" s="107"/>
      <c r="H23" s="107"/>
      <c r="I23" s="107"/>
      <c r="J23" s="107"/>
      <c r="K23" s="107"/>
      <c r="L23" s="107"/>
      <c r="M23" s="107"/>
      <c r="N23" s="107"/>
      <c r="O23" s="107"/>
      <c r="P23" s="107"/>
      <c r="Q23" s="107"/>
      <c r="R23" s="107"/>
      <c r="S23" s="107"/>
      <c r="T23" s="107"/>
      <c r="U23" s="107"/>
      <c r="V23" s="107"/>
      <c r="W23" s="107"/>
      <c r="X23" s="107"/>
      <c r="Y23" s="107"/>
      <c r="Z23" s="107"/>
      <c r="AA23" s="107"/>
      <c r="AB23" s="107"/>
      <c r="AC23" s="107"/>
      <c r="AD23" s="107"/>
      <c r="AE23" s="107"/>
      <c r="AF23" s="107"/>
      <c r="AG23" s="107">
        <v>552.33455889243385</v>
      </c>
      <c r="AH23" s="107">
        <v>388.91911225521329</v>
      </c>
      <c r="AI23" s="107">
        <v>1770.1333484227896</v>
      </c>
      <c r="AJ23" s="107">
        <v>2829.7210718276965</v>
      </c>
      <c r="AK23" s="107">
        <v>1935.6042983780819</v>
      </c>
      <c r="AL23" s="107">
        <v>3274.7016150516056</v>
      </c>
      <c r="AM23" s="107">
        <v>2464.6979349643516</v>
      </c>
      <c r="AN23" s="107">
        <v>2675.9924463294842</v>
      </c>
      <c r="AO23" s="107">
        <v>921.66044261471814</v>
      </c>
      <c r="AP23" s="107">
        <v>1437.6285173123129</v>
      </c>
      <c r="AQ23" s="107">
        <v>553.86231369350719</v>
      </c>
      <c r="AR23" s="107"/>
      <c r="AS23" s="107"/>
      <c r="AT23" s="107"/>
      <c r="AU23" s="107">
        <v>649.85816160001991</v>
      </c>
      <c r="AV23" s="107"/>
      <c r="AW23" s="107"/>
      <c r="AX23" s="107">
        <v>46.128229662844866</v>
      </c>
      <c r="AY23" s="107"/>
    </row>
    <row r="24" spans="1:51" x14ac:dyDescent="0.15">
      <c r="A24" s="125"/>
      <c r="B24" s="126">
        <v>4</v>
      </c>
      <c r="C24" s="125" t="s">
        <v>292</v>
      </c>
      <c r="D24" s="122">
        <v>0</v>
      </c>
      <c r="E24" s="122">
        <v>0</v>
      </c>
      <c r="F24" s="122">
        <v>0</v>
      </c>
      <c r="G24" s="122">
        <v>0</v>
      </c>
      <c r="H24" s="122">
        <v>0</v>
      </c>
      <c r="I24" s="122">
        <v>0</v>
      </c>
      <c r="J24" s="122">
        <v>0</v>
      </c>
      <c r="K24" s="122">
        <v>0</v>
      </c>
      <c r="L24" s="122">
        <v>0</v>
      </c>
      <c r="M24" s="122">
        <v>0</v>
      </c>
      <c r="N24" s="122">
        <v>0</v>
      </c>
      <c r="O24" s="122">
        <v>0</v>
      </c>
      <c r="P24" s="122">
        <v>0</v>
      </c>
      <c r="Q24" s="122">
        <v>0</v>
      </c>
      <c r="R24" s="122">
        <v>0</v>
      </c>
      <c r="S24" s="122">
        <v>0</v>
      </c>
      <c r="T24" s="122">
        <v>0</v>
      </c>
      <c r="U24" s="122">
        <v>0</v>
      </c>
      <c r="V24" s="122">
        <v>0</v>
      </c>
      <c r="W24" s="122">
        <v>0</v>
      </c>
      <c r="X24" s="122">
        <v>0</v>
      </c>
      <c r="Y24" s="122">
        <v>0</v>
      </c>
      <c r="Z24" s="122">
        <v>1945.23753392043</v>
      </c>
      <c r="AA24" s="122">
        <v>2574.2619703908058</v>
      </c>
      <c r="AB24" s="122">
        <v>5417.5676125488026</v>
      </c>
      <c r="AC24" s="122">
        <v>6628.8487615972917</v>
      </c>
      <c r="AD24" s="122">
        <v>6667.7200384886164</v>
      </c>
      <c r="AE24" s="122">
        <v>6932.3856248601951</v>
      </c>
      <c r="AF24" s="122">
        <v>6422.0496603602733</v>
      </c>
      <c r="AG24" s="122">
        <v>9229.6149341510554</v>
      </c>
      <c r="AH24" s="122">
        <v>9078.2202592314661</v>
      </c>
      <c r="AI24" s="122">
        <v>8384.748099885257</v>
      </c>
      <c r="AJ24" s="122">
        <v>8092.7321734032448</v>
      </c>
      <c r="AK24" s="122">
        <v>7072.719876928697</v>
      </c>
      <c r="AL24" s="122">
        <v>7995.3996603291989</v>
      </c>
      <c r="AM24" s="122">
        <v>6610.8525227502259</v>
      </c>
      <c r="AN24" s="122">
        <v>7405.3931392676313</v>
      </c>
      <c r="AO24" s="122">
        <v>7256.6219120024343</v>
      </c>
      <c r="AP24" s="122">
        <v>9010.4631400364742</v>
      </c>
      <c r="AQ24" s="122">
        <v>8543.9898247151705</v>
      </c>
      <c r="AR24" s="122">
        <v>8981.2366615054125</v>
      </c>
      <c r="AS24" s="122">
        <v>9466.3033353093597</v>
      </c>
      <c r="AT24" s="122">
        <v>9105.3936191896028</v>
      </c>
      <c r="AU24" s="122">
        <v>10137.444710984513</v>
      </c>
      <c r="AV24" s="122">
        <v>8364.5073653677991</v>
      </c>
      <c r="AW24" s="122">
        <v>9765.6551455071549</v>
      </c>
      <c r="AX24" s="122">
        <v>10144.643119399308</v>
      </c>
      <c r="AY24" s="122">
        <v>8948.0977749183676</v>
      </c>
    </row>
    <row r="25" spans="1:51" x14ac:dyDescent="0.15">
      <c r="A25" s="123" t="s">
        <v>133</v>
      </c>
      <c r="B25" s="120">
        <v>1</v>
      </c>
      <c r="C25" s="106" t="s">
        <v>292</v>
      </c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7"/>
      <c r="S25" s="107"/>
      <c r="T25" s="107"/>
      <c r="U25" s="107"/>
      <c r="V25" s="107"/>
      <c r="W25" s="107"/>
      <c r="X25" s="107"/>
      <c r="Y25" s="107"/>
      <c r="Z25" s="107"/>
      <c r="AA25" s="107"/>
      <c r="AB25" s="107"/>
      <c r="AC25" s="107"/>
      <c r="AD25" s="107"/>
      <c r="AE25" s="107"/>
      <c r="AF25" s="107"/>
      <c r="AG25" s="107"/>
      <c r="AH25" s="107"/>
      <c r="AI25" s="107"/>
      <c r="AJ25" s="107"/>
      <c r="AK25" s="107"/>
      <c r="AL25" s="107"/>
      <c r="AM25" s="107"/>
      <c r="AN25" s="107"/>
      <c r="AO25" s="107"/>
      <c r="AP25" s="107"/>
      <c r="AQ25" s="107"/>
      <c r="AR25" s="107"/>
      <c r="AS25" s="107"/>
      <c r="AT25" s="107"/>
      <c r="AU25" s="107"/>
      <c r="AV25" s="107"/>
      <c r="AW25" s="107"/>
      <c r="AX25" s="107"/>
      <c r="AY25" s="107"/>
    </row>
    <row r="26" spans="1:51" x14ac:dyDescent="0.15">
      <c r="A26" s="106"/>
      <c r="B26" s="116">
        <v>2</v>
      </c>
      <c r="C26" s="106" t="s">
        <v>292</v>
      </c>
      <c r="D26" s="107"/>
      <c r="E26" s="107"/>
      <c r="F26" s="107"/>
      <c r="G26" s="107"/>
      <c r="H26" s="107"/>
      <c r="I26" s="107"/>
      <c r="J26" s="107"/>
      <c r="K26" s="107"/>
      <c r="L26" s="107"/>
      <c r="M26" s="107"/>
      <c r="N26" s="107"/>
      <c r="O26" s="107"/>
      <c r="P26" s="107"/>
      <c r="Q26" s="107"/>
      <c r="R26" s="107"/>
      <c r="S26" s="107"/>
      <c r="T26" s="107"/>
      <c r="U26" s="107"/>
      <c r="V26" s="107"/>
      <c r="W26" s="107"/>
      <c r="X26" s="107"/>
      <c r="Y26" s="107"/>
      <c r="Z26" s="107"/>
      <c r="AA26" s="107"/>
      <c r="AB26" s="107"/>
      <c r="AC26" s="107"/>
      <c r="AD26" s="107"/>
      <c r="AE26" s="107"/>
      <c r="AF26" s="107"/>
      <c r="AG26" s="107"/>
      <c r="AH26" s="107"/>
      <c r="AI26" s="107"/>
      <c r="AJ26" s="107"/>
      <c r="AK26" s="107"/>
      <c r="AL26" s="107"/>
      <c r="AM26" s="107"/>
      <c r="AN26" s="107"/>
      <c r="AO26" s="107"/>
      <c r="AP26" s="107"/>
      <c r="AQ26" s="107"/>
      <c r="AR26" s="107"/>
      <c r="AS26" s="107"/>
      <c r="AT26" s="107"/>
      <c r="AU26" s="107"/>
      <c r="AV26" s="107"/>
      <c r="AW26" s="107"/>
      <c r="AX26" s="107"/>
      <c r="AY26" s="107"/>
    </row>
    <row r="27" spans="1:51" x14ac:dyDescent="0.15">
      <c r="A27" s="106"/>
      <c r="B27" s="117">
        <v>3</v>
      </c>
      <c r="C27" s="106" t="s">
        <v>292</v>
      </c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107"/>
      <c r="AC27" s="107"/>
      <c r="AD27" s="107"/>
      <c r="AE27" s="107"/>
      <c r="AF27" s="107"/>
      <c r="AG27" s="107"/>
      <c r="AH27" s="107"/>
      <c r="AI27" s="107"/>
      <c r="AJ27" s="107"/>
      <c r="AK27" s="107"/>
      <c r="AL27" s="107"/>
      <c r="AM27" s="107"/>
      <c r="AN27" s="107"/>
      <c r="AO27" s="107"/>
      <c r="AP27" s="107"/>
      <c r="AQ27" s="107"/>
      <c r="AR27" s="107"/>
      <c r="AS27" s="107"/>
      <c r="AT27" s="107"/>
      <c r="AU27" s="107"/>
      <c r="AV27" s="107"/>
      <c r="AW27" s="107"/>
      <c r="AX27" s="107"/>
      <c r="AY27" s="107"/>
    </row>
    <row r="28" spans="1:51" x14ac:dyDescent="0.15">
      <c r="A28" s="106"/>
      <c r="B28" s="117">
        <v>4</v>
      </c>
      <c r="C28" s="106" t="s">
        <v>292</v>
      </c>
      <c r="D28" s="107"/>
      <c r="E28" s="107"/>
      <c r="F28" s="107"/>
      <c r="G28" s="107"/>
      <c r="H28" s="107"/>
      <c r="I28" s="107"/>
      <c r="J28" s="107"/>
      <c r="K28" s="107"/>
      <c r="L28" s="107"/>
      <c r="M28" s="107"/>
      <c r="N28" s="107"/>
      <c r="O28" s="107"/>
      <c r="P28" s="107"/>
      <c r="Q28" s="107"/>
      <c r="R28" s="107"/>
      <c r="S28" s="107"/>
      <c r="T28" s="107"/>
      <c r="U28" s="107"/>
      <c r="V28" s="107"/>
      <c r="W28" s="107"/>
      <c r="X28" s="107"/>
      <c r="Y28" s="107"/>
      <c r="Z28" s="107"/>
      <c r="AA28" s="107"/>
      <c r="AB28" s="107"/>
      <c r="AC28" s="107"/>
      <c r="AD28" s="107"/>
      <c r="AE28" s="107"/>
      <c r="AF28" s="107"/>
      <c r="AG28" s="107"/>
      <c r="AH28" s="107"/>
      <c r="AI28" s="107"/>
      <c r="AJ28" s="107"/>
      <c r="AK28" s="107"/>
      <c r="AL28" s="107"/>
      <c r="AM28" s="107"/>
      <c r="AN28" s="107"/>
      <c r="AO28" s="107"/>
      <c r="AP28" s="107"/>
      <c r="AQ28" s="107"/>
      <c r="AR28" s="107"/>
      <c r="AS28" s="107"/>
      <c r="AT28" s="107"/>
      <c r="AU28" s="107"/>
      <c r="AV28" s="107"/>
      <c r="AW28" s="107"/>
      <c r="AX28" s="107"/>
      <c r="AY28" s="107"/>
    </row>
    <row r="29" spans="1:51" x14ac:dyDescent="0.15">
      <c r="A29" s="106"/>
      <c r="B29" s="124">
        <v>5</v>
      </c>
      <c r="C29" s="106" t="s">
        <v>292</v>
      </c>
      <c r="D29" s="107"/>
      <c r="E29" s="107"/>
      <c r="F29" s="107"/>
      <c r="G29" s="107"/>
      <c r="H29" s="107"/>
      <c r="I29" s="107"/>
      <c r="J29" s="107"/>
      <c r="K29" s="107"/>
      <c r="L29" s="107"/>
      <c r="M29" s="107"/>
      <c r="N29" s="107"/>
      <c r="O29" s="107"/>
      <c r="P29" s="107"/>
      <c r="Q29" s="107"/>
      <c r="R29" s="107"/>
      <c r="S29" s="107"/>
      <c r="T29" s="107"/>
      <c r="U29" s="107"/>
      <c r="V29" s="107"/>
      <c r="W29" s="107"/>
      <c r="X29" s="107"/>
      <c r="Y29" s="107"/>
      <c r="Z29" s="107"/>
      <c r="AA29" s="107"/>
      <c r="AB29" s="107"/>
      <c r="AC29" s="107"/>
      <c r="AD29" s="107"/>
      <c r="AE29" s="107"/>
      <c r="AF29" s="107"/>
      <c r="AG29" s="107"/>
      <c r="AH29" s="107"/>
      <c r="AI29" s="107"/>
      <c r="AJ29" s="107"/>
      <c r="AK29" s="107"/>
      <c r="AL29" s="107"/>
      <c r="AM29" s="107"/>
      <c r="AN29" s="107"/>
      <c r="AO29" s="107"/>
      <c r="AP29" s="107"/>
      <c r="AQ29" s="107"/>
      <c r="AR29" s="107"/>
      <c r="AS29" s="107"/>
      <c r="AT29" s="107"/>
      <c r="AU29" s="107"/>
      <c r="AV29" s="107"/>
      <c r="AW29" s="107"/>
      <c r="AX29" s="107"/>
      <c r="AY29" s="107"/>
    </row>
    <row r="30" spans="1:51" x14ac:dyDescent="0.15">
      <c r="A30" s="106"/>
      <c r="B30" s="124">
        <v>6</v>
      </c>
      <c r="C30" s="106" t="s">
        <v>292</v>
      </c>
      <c r="D30" s="107"/>
      <c r="E30" s="107"/>
      <c r="F30" s="107"/>
      <c r="G30" s="107"/>
      <c r="H30" s="107"/>
      <c r="I30" s="107"/>
      <c r="J30" s="107"/>
      <c r="K30" s="107"/>
      <c r="L30" s="107"/>
      <c r="M30" s="107"/>
      <c r="N30" s="107"/>
      <c r="O30" s="107"/>
      <c r="P30" s="107"/>
      <c r="Q30" s="107"/>
      <c r="R30" s="107"/>
      <c r="S30" s="107"/>
      <c r="T30" s="107"/>
      <c r="U30" s="107"/>
      <c r="V30" s="107"/>
      <c r="W30" s="107"/>
      <c r="X30" s="107"/>
      <c r="Y30" s="107"/>
      <c r="Z30" s="107"/>
      <c r="AA30" s="107"/>
      <c r="AB30" s="107"/>
      <c r="AC30" s="107"/>
      <c r="AD30" s="107"/>
      <c r="AE30" s="107"/>
      <c r="AF30" s="107"/>
      <c r="AG30" s="107"/>
      <c r="AH30" s="107"/>
      <c r="AI30" s="107"/>
      <c r="AJ30" s="107"/>
      <c r="AK30" s="107"/>
      <c r="AL30" s="107"/>
      <c r="AM30" s="107"/>
      <c r="AN30" s="107"/>
      <c r="AO30" s="107"/>
      <c r="AP30" s="107"/>
      <c r="AQ30" s="107"/>
      <c r="AR30" s="107"/>
      <c r="AS30" s="107"/>
      <c r="AT30" s="107"/>
      <c r="AU30" s="107"/>
      <c r="AV30" s="107"/>
      <c r="AW30" s="107"/>
      <c r="AX30" s="107"/>
      <c r="AY30" s="107"/>
    </row>
    <row r="31" spans="1:51" x14ac:dyDescent="0.15">
      <c r="A31" s="106"/>
      <c r="B31" s="127">
        <v>7</v>
      </c>
      <c r="C31" s="106" t="s">
        <v>292</v>
      </c>
      <c r="D31" s="107"/>
      <c r="E31" s="107"/>
      <c r="F31" s="107"/>
      <c r="G31" s="107"/>
      <c r="H31" s="107"/>
      <c r="I31" s="107"/>
      <c r="J31" s="107"/>
      <c r="K31" s="107"/>
      <c r="L31" s="107"/>
      <c r="M31" s="107"/>
      <c r="N31" s="107"/>
      <c r="O31" s="107"/>
      <c r="P31" s="107"/>
      <c r="Q31" s="107"/>
      <c r="R31" s="107"/>
      <c r="S31" s="107"/>
      <c r="T31" s="107"/>
      <c r="U31" s="107"/>
      <c r="V31" s="107"/>
      <c r="W31" s="107"/>
      <c r="X31" s="107"/>
      <c r="Y31" s="107"/>
      <c r="Z31" s="107"/>
      <c r="AA31" s="107"/>
      <c r="AB31" s="107"/>
      <c r="AC31" s="107"/>
      <c r="AD31" s="107"/>
      <c r="AE31" s="107"/>
      <c r="AF31" s="107"/>
      <c r="AG31" s="107">
        <v>0</v>
      </c>
      <c r="AH31" s="107">
        <v>0</v>
      </c>
      <c r="AI31" s="107">
        <v>0</v>
      </c>
      <c r="AJ31" s="107">
        <v>0</v>
      </c>
      <c r="AK31" s="107">
        <v>0</v>
      </c>
      <c r="AL31" s="107">
        <v>0</v>
      </c>
      <c r="AM31" s="107">
        <v>0</v>
      </c>
      <c r="AN31" s="107">
        <v>0</v>
      </c>
      <c r="AO31" s="107">
        <v>0</v>
      </c>
      <c r="AP31" s="107">
        <v>0</v>
      </c>
      <c r="AQ31" s="107">
        <v>0</v>
      </c>
      <c r="AR31" s="107"/>
      <c r="AS31" s="107"/>
      <c r="AT31" s="107"/>
      <c r="AU31" s="107">
        <v>0</v>
      </c>
      <c r="AV31" s="107"/>
      <c r="AW31" s="107"/>
      <c r="AX31" s="107">
        <v>0</v>
      </c>
      <c r="AY31" s="107"/>
    </row>
    <row r="32" spans="1:51" x14ac:dyDescent="0.15">
      <c r="A32" s="125"/>
      <c r="B32" s="126">
        <v>8</v>
      </c>
      <c r="C32" s="125" t="s">
        <v>292</v>
      </c>
      <c r="D32" s="122">
        <v>0</v>
      </c>
      <c r="E32" s="122">
        <v>0</v>
      </c>
      <c r="F32" s="122">
        <v>0</v>
      </c>
      <c r="G32" s="122">
        <v>0</v>
      </c>
      <c r="H32" s="122">
        <v>0</v>
      </c>
      <c r="I32" s="122">
        <v>0</v>
      </c>
      <c r="J32" s="122">
        <v>0</v>
      </c>
      <c r="K32" s="122">
        <v>0</v>
      </c>
      <c r="L32" s="122">
        <v>0</v>
      </c>
      <c r="M32" s="122">
        <v>0</v>
      </c>
      <c r="N32" s="122">
        <v>0</v>
      </c>
      <c r="O32" s="122">
        <v>0</v>
      </c>
      <c r="P32" s="122">
        <v>0</v>
      </c>
      <c r="Q32" s="122">
        <v>0</v>
      </c>
      <c r="R32" s="122">
        <v>0</v>
      </c>
      <c r="S32" s="122">
        <v>0</v>
      </c>
      <c r="T32" s="122">
        <v>0</v>
      </c>
      <c r="U32" s="122">
        <v>0</v>
      </c>
      <c r="V32" s="122">
        <v>0</v>
      </c>
      <c r="W32" s="122">
        <v>0</v>
      </c>
      <c r="X32" s="122">
        <v>0</v>
      </c>
      <c r="Y32" s="122">
        <v>0</v>
      </c>
      <c r="Z32" s="122">
        <v>0</v>
      </c>
      <c r="AA32" s="122">
        <v>0</v>
      </c>
      <c r="AB32" s="122">
        <v>0</v>
      </c>
      <c r="AC32" s="122">
        <v>0</v>
      </c>
      <c r="AD32" s="122">
        <v>0</v>
      </c>
      <c r="AE32" s="122">
        <v>0</v>
      </c>
      <c r="AF32" s="122">
        <v>0</v>
      </c>
      <c r="AG32" s="122">
        <v>0</v>
      </c>
      <c r="AH32" s="122">
        <v>0</v>
      </c>
      <c r="AI32" s="122">
        <v>0</v>
      </c>
      <c r="AJ32" s="122">
        <v>0</v>
      </c>
      <c r="AK32" s="122">
        <v>0</v>
      </c>
      <c r="AL32" s="122">
        <v>0</v>
      </c>
      <c r="AM32" s="122">
        <v>0</v>
      </c>
      <c r="AN32" s="122">
        <v>0</v>
      </c>
      <c r="AO32" s="122">
        <v>0</v>
      </c>
      <c r="AP32" s="122">
        <v>0</v>
      </c>
      <c r="AQ32" s="122">
        <v>0</v>
      </c>
      <c r="AR32" s="122">
        <v>0</v>
      </c>
      <c r="AS32" s="122">
        <v>0</v>
      </c>
      <c r="AT32" s="122">
        <v>0</v>
      </c>
      <c r="AU32" s="122">
        <v>0</v>
      </c>
      <c r="AV32" s="122">
        <v>0</v>
      </c>
      <c r="AW32" s="122">
        <v>0</v>
      </c>
      <c r="AX32" s="122">
        <v>0</v>
      </c>
      <c r="AY32" s="122">
        <v>0</v>
      </c>
    </row>
    <row r="33" spans="1:51" x14ac:dyDescent="0.15">
      <c r="A33" s="128" t="s">
        <v>134</v>
      </c>
      <c r="B33" s="116">
        <v>1</v>
      </c>
      <c r="C33" s="106" t="s">
        <v>292</v>
      </c>
      <c r="D33" s="103"/>
      <c r="E33" s="103"/>
      <c r="F33" s="103"/>
      <c r="G33" s="103"/>
      <c r="H33" s="103"/>
      <c r="I33" s="103"/>
      <c r="J33" s="103"/>
      <c r="K33" s="103"/>
      <c r="L33" s="103"/>
      <c r="M33" s="103"/>
      <c r="N33" s="103"/>
      <c r="O33" s="103"/>
      <c r="P33" s="103"/>
      <c r="Q33" s="103"/>
      <c r="R33" s="103"/>
      <c r="S33" s="103"/>
      <c r="T33" s="103"/>
      <c r="U33" s="103"/>
      <c r="V33" s="103"/>
      <c r="W33" s="103"/>
      <c r="X33" s="103"/>
      <c r="Y33" s="103"/>
      <c r="Z33" s="103"/>
      <c r="AA33" s="103"/>
      <c r="AB33" s="103"/>
      <c r="AC33" s="103"/>
      <c r="AD33" s="103"/>
      <c r="AE33" s="103"/>
      <c r="AF33" s="103"/>
      <c r="AG33" s="103"/>
      <c r="AH33" s="103"/>
      <c r="AI33" s="103"/>
      <c r="AJ33" s="103"/>
      <c r="AK33" s="103"/>
      <c r="AL33" s="103"/>
      <c r="AM33" s="103"/>
      <c r="AN33" s="103"/>
      <c r="AO33" s="103"/>
      <c r="AP33" s="103"/>
      <c r="AQ33" s="103"/>
      <c r="AR33" s="103"/>
      <c r="AS33" s="103"/>
      <c r="AT33" s="103"/>
      <c r="AU33" s="103"/>
      <c r="AV33" s="103"/>
      <c r="AW33" s="103"/>
      <c r="AX33" s="103"/>
      <c r="AY33" s="103"/>
    </row>
    <row r="34" spans="1:51" x14ac:dyDescent="0.15">
      <c r="A34" s="106"/>
      <c r="B34" s="116">
        <v>2</v>
      </c>
      <c r="C34" s="106" t="s">
        <v>292</v>
      </c>
      <c r="D34" s="103"/>
      <c r="E34" s="103"/>
      <c r="F34" s="103"/>
      <c r="G34" s="103"/>
      <c r="H34" s="103"/>
      <c r="I34" s="103"/>
      <c r="J34" s="103"/>
      <c r="K34" s="103"/>
      <c r="L34" s="103"/>
      <c r="M34" s="103"/>
      <c r="N34" s="103"/>
      <c r="O34" s="103"/>
      <c r="P34" s="103"/>
      <c r="Q34" s="103"/>
      <c r="R34" s="103"/>
      <c r="S34" s="103"/>
      <c r="T34" s="103"/>
      <c r="U34" s="103"/>
      <c r="V34" s="103"/>
      <c r="W34" s="103"/>
      <c r="X34" s="103"/>
      <c r="Y34" s="103"/>
      <c r="Z34" s="103"/>
      <c r="AA34" s="103"/>
      <c r="AB34" s="103"/>
      <c r="AC34" s="103"/>
      <c r="AD34" s="103"/>
      <c r="AE34" s="103"/>
      <c r="AF34" s="103"/>
      <c r="AG34" s="103"/>
      <c r="AH34" s="103"/>
      <c r="AI34" s="103"/>
      <c r="AJ34" s="103"/>
      <c r="AK34" s="103"/>
      <c r="AL34" s="103"/>
      <c r="AM34" s="103"/>
      <c r="AN34" s="103"/>
      <c r="AO34" s="103"/>
      <c r="AP34" s="103"/>
      <c r="AQ34" s="103"/>
      <c r="AR34" s="103"/>
      <c r="AS34" s="103"/>
      <c r="AT34" s="103"/>
      <c r="AU34" s="103"/>
      <c r="AV34" s="103"/>
      <c r="AW34" s="103"/>
      <c r="AX34" s="103"/>
      <c r="AY34" s="103"/>
    </row>
    <row r="35" spans="1:51" x14ac:dyDescent="0.15">
      <c r="A35" s="106"/>
      <c r="B35" s="116">
        <v>3</v>
      </c>
      <c r="C35" s="106" t="s">
        <v>292</v>
      </c>
      <c r="D35" s="103"/>
      <c r="E35" s="103"/>
      <c r="F35" s="103"/>
      <c r="G35" s="103"/>
      <c r="H35" s="103"/>
      <c r="I35" s="103"/>
      <c r="J35" s="103"/>
      <c r="K35" s="103"/>
      <c r="L35" s="103"/>
      <c r="M35" s="103"/>
      <c r="N35" s="103"/>
      <c r="O35" s="103"/>
      <c r="P35" s="103"/>
      <c r="Q35" s="103"/>
      <c r="R35" s="103"/>
      <c r="S35" s="103"/>
      <c r="T35" s="103"/>
      <c r="U35" s="103"/>
      <c r="V35" s="103"/>
      <c r="W35" s="103"/>
      <c r="X35" s="103"/>
      <c r="Y35" s="103"/>
      <c r="Z35" s="103"/>
      <c r="AA35" s="103"/>
      <c r="AB35" s="103"/>
      <c r="AC35" s="103"/>
      <c r="AD35" s="103"/>
      <c r="AE35" s="103"/>
      <c r="AF35" s="103"/>
      <c r="AG35" s="103"/>
      <c r="AH35" s="103"/>
      <c r="AI35" s="103"/>
      <c r="AJ35" s="103"/>
      <c r="AK35" s="103"/>
      <c r="AL35" s="103"/>
      <c r="AM35" s="103"/>
      <c r="AN35" s="103"/>
      <c r="AO35" s="103"/>
      <c r="AP35" s="103"/>
      <c r="AQ35" s="103"/>
      <c r="AR35" s="103"/>
      <c r="AS35" s="103"/>
      <c r="AT35" s="103"/>
      <c r="AU35" s="103"/>
      <c r="AV35" s="103"/>
      <c r="AW35" s="103"/>
      <c r="AX35" s="103"/>
      <c r="AY35" s="103"/>
    </row>
    <row r="36" spans="1:51" x14ac:dyDescent="0.15">
      <c r="A36" s="106"/>
      <c r="B36" s="117">
        <v>4</v>
      </c>
      <c r="C36" s="106" t="s">
        <v>292</v>
      </c>
      <c r="D36" s="103"/>
      <c r="E36" s="103"/>
      <c r="F36" s="103"/>
      <c r="G36" s="103"/>
      <c r="H36" s="103"/>
      <c r="I36" s="103"/>
      <c r="J36" s="103"/>
      <c r="K36" s="103"/>
      <c r="L36" s="103"/>
      <c r="M36" s="103"/>
      <c r="N36" s="103"/>
      <c r="O36" s="103"/>
      <c r="P36" s="103"/>
      <c r="Q36" s="103"/>
      <c r="R36" s="103"/>
      <c r="S36" s="103"/>
      <c r="T36" s="103"/>
      <c r="U36" s="103"/>
      <c r="V36" s="103"/>
      <c r="W36" s="103"/>
      <c r="X36" s="103"/>
      <c r="Y36" s="103"/>
      <c r="Z36" s="103"/>
      <c r="AA36" s="103"/>
      <c r="AB36" s="103"/>
      <c r="AC36" s="103"/>
      <c r="AD36" s="103"/>
      <c r="AE36" s="103"/>
      <c r="AF36" s="103"/>
      <c r="AG36" s="103"/>
      <c r="AH36" s="103"/>
      <c r="AI36" s="103"/>
      <c r="AJ36" s="103"/>
      <c r="AK36" s="103"/>
      <c r="AL36" s="103"/>
      <c r="AM36" s="103"/>
      <c r="AN36" s="103"/>
      <c r="AO36" s="103"/>
      <c r="AP36" s="103"/>
      <c r="AQ36" s="103"/>
      <c r="AR36" s="103"/>
      <c r="AS36" s="103"/>
      <c r="AT36" s="103"/>
      <c r="AU36" s="103"/>
      <c r="AV36" s="103"/>
      <c r="AW36" s="103"/>
      <c r="AX36" s="103"/>
      <c r="AY36" s="103"/>
    </row>
    <row r="37" spans="1:51" x14ac:dyDescent="0.15">
      <c r="A37" s="106"/>
      <c r="B37" s="117">
        <v>5</v>
      </c>
      <c r="C37" s="106" t="s">
        <v>292</v>
      </c>
      <c r="D37" s="103"/>
      <c r="E37" s="103"/>
      <c r="F37" s="103"/>
      <c r="G37" s="103"/>
      <c r="H37" s="103"/>
      <c r="I37" s="103"/>
      <c r="J37" s="103"/>
      <c r="K37" s="103"/>
      <c r="L37" s="103"/>
      <c r="M37" s="103"/>
      <c r="N37" s="103"/>
      <c r="O37" s="103"/>
      <c r="P37" s="103"/>
      <c r="Q37" s="103"/>
      <c r="R37" s="103"/>
      <c r="S37" s="103"/>
      <c r="T37" s="103"/>
      <c r="U37" s="103"/>
      <c r="V37" s="103"/>
      <c r="W37" s="103"/>
      <c r="X37" s="103"/>
      <c r="Y37" s="103"/>
      <c r="Z37" s="103"/>
      <c r="AA37" s="103"/>
      <c r="AB37" s="103"/>
      <c r="AC37" s="103"/>
      <c r="AD37" s="103"/>
      <c r="AE37" s="103"/>
      <c r="AF37" s="103"/>
      <c r="AG37" s="103"/>
      <c r="AH37" s="103"/>
      <c r="AI37" s="103"/>
      <c r="AJ37" s="103"/>
      <c r="AK37" s="103"/>
      <c r="AL37" s="103"/>
      <c r="AM37" s="103"/>
      <c r="AN37" s="103"/>
      <c r="AO37" s="103"/>
      <c r="AP37" s="103"/>
      <c r="AQ37" s="103"/>
      <c r="AR37" s="103"/>
      <c r="AS37" s="103"/>
      <c r="AT37" s="103"/>
      <c r="AU37" s="103"/>
      <c r="AV37" s="103"/>
      <c r="AW37" s="103"/>
      <c r="AX37" s="103"/>
      <c r="AY37" s="103"/>
    </row>
    <row r="38" spans="1:51" x14ac:dyDescent="0.15">
      <c r="A38" s="106"/>
      <c r="B38" s="117">
        <v>6</v>
      </c>
      <c r="C38" s="106" t="s">
        <v>292</v>
      </c>
      <c r="D38" s="103"/>
      <c r="E38" s="103"/>
      <c r="F38" s="103"/>
      <c r="G38" s="103"/>
      <c r="H38" s="103"/>
      <c r="I38" s="103"/>
      <c r="J38" s="103"/>
      <c r="K38" s="103"/>
      <c r="L38" s="103"/>
      <c r="M38" s="103"/>
      <c r="N38" s="103"/>
      <c r="O38" s="103"/>
      <c r="P38" s="103"/>
      <c r="Q38" s="103"/>
      <c r="R38" s="103"/>
      <c r="S38" s="103"/>
      <c r="T38" s="103"/>
      <c r="U38" s="103"/>
      <c r="V38" s="103"/>
      <c r="W38" s="103"/>
      <c r="X38" s="103"/>
      <c r="Y38" s="103"/>
      <c r="Z38" s="103"/>
      <c r="AA38" s="103"/>
      <c r="AB38" s="103"/>
      <c r="AC38" s="103"/>
      <c r="AD38" s="103"/>
      <c r="AE38" s="103"/>
      <c r="AF38" s="103"/>
      <c r="AG38" s="103"/>
      <c r="AH38" s="103"/>
      <c r="AI38" s="103"/>
      <c r="AJ38" s="103"/>
      <c r="AK38" s="103"/>
      <c r="AL38" s="103"/>
      <c r="AM38" s="103"/>
      <c r="AN38" s="103"/>
      <c r="AO38" s="103"/>
      <c r="AP38" s="103"/>
      <c r="AQ38" s="103"/>
      <c r="AR38" s="103"/>
      <c r="AS38" s="103"/>
      <c r="AT38" s="103"/>
      <c r="AU38" s="103"/>
      <c r="AV38" s="103"/>
      <c r="AW38" s="103"/>
      <c r="AX38" s="103"/>
      <c r="AY38" s="103"/>
    </row>
    <row r="39" spans="1:51" x14ac:dyDescent="0.15">
      <c r="A39" s="106"/>
      <c r="B39" s="124">
        <v>7</v>
      </c>
      <c r="C39" s="106" t="s">
        <v>292</v>
      </c>
      <c r="D39" s="103"/>
      <c r="E39" s="103"/>
      <c r="F39" s="103"/>
      <c r="G39" s="103"/>
      <c r="H39" s="103"/>
      <c r="I39" s="103"/>
      <c r="J39" s="103"/>
      <c r="K39" s="103"/>
      <c r="L39" s="103"/>
      <c r="M39" s="103"/>
      <c r="N39" s="103"/>
      <c r="O39" s="103"/>
      <c r="P39" s="103"/>
      <c r="Q39" s="103"/>
      <c r="R39" s="103"/>
      <c r="S39" s="103"/>
      <c r="T39" s="103"/>
      <c r="U39" s="103"/>
      <c r="V39" s="103"/>
      <c r="W39" s="103"/>
      <c r="X39" s="103"/>
      <c r="Y39" s="103"/>
      <c r="Z39" s="103"/>
      <c r="AA39" s="103"/>
      <c r="AB39" s="103"/>
      <c r="AC39" s="103"/>
      <c r="AD39" s="103"/>
      <c r="AE39" s="103"/>
      <c r="AF39" s="103"/>
      <c r="AG39" s="103"/>
      <c r="AH39" s="103"/>
      <c r="AI39" s="103"/>
      <c r="AJ39" s="103"/>
      <c r="AK39" s="103"/>
      <c r="AL39" s="103"/>
      <c r="AM39" s="103"/>
      <c r="AN39" s="103"/>
      <c r="AO39" s="103"/>
      <c r="AP39" s="103"/>
      <c r="AQ39" s="103"/>
      <c r="AR39" s="103"/>
      <c r="AS39" s="103"/>
      <c r="AT39" s="103"/>
      <c r="AU39" s="103"/>
      <c r="AV39" s="103"/>
      <c r="AW39" s="103"/>
      <c r="AX39" s="103"/>
      <c r="AY39" s="103"/>
    </row>
    <row r="40" spans="1:51" x14ac:dyDescent="0.15">
      <c r="A40" s="106"/>
      <c r="B40" s="124">
        <v>8</v>
      </c>
      <c r="C40" s="106" t="s">
        <v>292</v>
      </c>
      <c r="D40" s="103"/>
      <c r="E40" s="103"/>
      <c r="F40" s="103"/>
      <c r="G40" s="103"/>
      <c r="H40" s="103"/>
      <c r="I40" s="103"/>
      <c r="J40" s="103"/>
      <c r="K40" s="103"/>
      <c r="L40" s="103"/>
      <c r="M40" s="103"/>
      <c r="N40" s="103"/>
      <c r="O40" s="103"/>
      <c r="P40" s="103"/>
      <c r="Q40" s="103"/>
      <c r="R40" s="103"/>
      <c r="S40" s="103"/>
      <c r="T40" s="103"/>
      <c r="U40" s="103"/>
      <c r="V40" s="103"/>
      <c r="W40" s="103"/>
      <c r="X40" s="103"/>
      <c r="Y40" s="103"/>
      <c r="Z40" s="103"/>
      <c r="AA40" s="103"/>
      <c r="AB40" s="103"/>
      <c r="AC40" s="103"/>
      <c r="AD40" s="103"/>
      <c r="AE40" s="103"/>
      <c r="AF40" s="103"/>
      <c r="AG40" s="103"/>
      <c r="AH40" s="103"/>
      <c r="AI40" s="103"/>
      <c r="AJ40" s="103"/>
      <c r="AK40" s="103"/>
      <c r="AL40" s="103"/>
      <c r="AM40" s="103"/>
      <c r="AN40" s="103"/>
      <c r="AO40" s="103"/>
      <c r="AP40" s="103"/>
      <c r="AQ40" s="103"/>
      <c r="AR40" s="103"/>
      <c r="AS40" s="103"/>
      <c r="AT40" s="103"/>
      <c r="AU40" s="103"/>
      <c r="AV40" s="103"/>
      <c r="AW40" s="103"/>
      <c r="AX40" s="103"/>
      <c r="AY40" s="103"/>
    </row>
    <row r="41" spans="1:51" x14ac:dyDescent="0.15">
      <c r="A41" s="106"/>
      <c r="B41" s="124">
        <v>9</v>
      </c>
      <c r="C41" s="106" t="s">
        <v>292</v>
      </c>
      <c r="D41" s="103"/>
      <c r="E41" s="103"/>
      <c r="F41" s="103"/>
      <c r="G41" s="103"/>
      <c r="H41" s="103"/>
      <c r="I41" s="103"/>
      <c r="J41" s="103"/>
      <c r="K41" s="103"/>
      <c r="L41" s="103"/>
      <c r="M41" s="103"/>
      <c r="N41" s="103"/>
      <c r="O41" s="103"/>
      <c r="P41" s="103"/>
      <c r="Q41" s="103"/>
      <c r="R41" s="103"/>
      <c r="S41" s="103"/>
      <c r="T41" s="103"/>
      <c r="U41" s="103"/>
      <c r="V41" s="103"/>
      <c r="W41" s="103"/>
      <c r="X41" s="103"/>
      <c r="Y41" s="103"/>
      <c r="Z41" s="103"/>
      <c r="AA41" s="103"/>
      <c r="AB41" s="103"/>
      <c r="AC41" s="103"/>
      <c r="AD41" s="103"/>
      <c r="AE41" s="103"/>
      <c r="AF41" s="103"/>
      <c r="AG41" s="103"/>
      <c r="AH41" s="103"/>
      <c r="AI41" s="103"/>
      <c r="AJ41" s="103"/>
      <c r="AK41" s="103"/>
      <c r="AL41" s="103"/>
      <c r="AM41" s="103"/>
      <c r="AN41" s="103"/>
      <c r="AO41" s="103"/>
      <c r="AP41" s="103"/>
      <c r="AQ41" s="103"/>
      <c r="AR41" s="103"/>
      <c r="AS41" s="103"/>
      <c r="AT41" s="103"/>
      <c r="AU41" s="103"/>
      <c r="AV41" s="103"/>
      <c r="AW41" s="103"/>
      <c r="AX41" s="103"/>
      <c r="AY41" s="103"/>
    </row>
    <row r="42" spans="1:51" x14ac:dyDescent="0.15">
      <c r="A42" s="106"/>
      <c r="B42" s="127">
        <v>10</v>
      </c>
      <c r="C42" s="106" t="s">
        <v>292</v>
      </c>
      <c r="D42" s="103"/>
      <c r="E42" s="103"/>
      <c r="F42" s="103"/>
      <c r="G42" s="103"/>
      <c r="H42" s="103"/>
      <c r="I42" s="103"/>
      <c r="J42" s="103"/>
      <c r="K42" s="103"/>
      <c r="L42" s="103"/>
      <c r="M42" s="103"/>
      <c r="N42" s="103"/>
      <c r="O42" s="103"/>
      <c r="P42" s="103"/>
      <c r="Q42" s="103"/>
      <c r="R42" s="103"/>
      <c r="S42" s="103"/>
      <c r="T42" s="103"/>
      <c r="U42" s="103"/>
      <c r="V42" s="103"/>
      <c r="W42" s="103"/>
      <c r="X42" s="103"/>
      <c r="Y42" s="103"/>
      <c r="Z42" s="103"/>
      <c r="AA42" s="103"/>
      <c r="AB42" s="103"/>
      <c r="AC42" s="103"/>
      <c r="AD42" s="103"/>
      <c r="AE42" s="103"/>
      <c r="AF42" s="103"/>
      <c r="AG42" s="103"/>
      <c r="AH42" s="103"/>
      <c r="AI42" s="103"/>
      <c r="AJ42" s="103"/>
      <c r="AK42" s="103"/>
      <c r="AL42" s="103"/>
      <c r="AM42" s="103"/>
      <c r="AN42" s="103"/>
      <c r="AO42" s="103"/>
      <c r="AP42" s="103"/>
      <c r="AQ42" s="103"/>
      <c r="AR42" s="103"/>
      <c r="AS42" s="103"/>
      <c r="AT42" s="103"/>
      <c r="AU42" s="103"/>
      <c r="AV42" s="103"/>
      <c r="AW42" s="103"/>
      <c r="AX42" s="103"/>
      <c r="AY42" s="103"/>
    </row>
    <row r="43" spans="1:51" x14ac:dyDescent="0.15">
      <c r="A43" s="106"/>
      <c r="B43" s="127">
        <v>11</v>
      </c>
      <c r="C43" s="106" t="s">
        <v>292</v>
      </c>
      <c r="D43" s="103"/>
      <c r="E43" s="103"/>
      <c r="F43" s="103"/>
      <c r="G43" s="103"/>
      <c r="H43" s="103"/>
      <c r="I43" s="103"/>
      <c r="J43" s="103"/>
      <c r="K43" s="103"/>
      <c r="L43" s="103"/>
      <c r="M43" s="103"/>
      <c r="N43" s="103"/>
      <c r="O43" s="103"/>
      <c r="P43" s="103"/>
      <c r="Q43" s="103"/>
      <c r="R43" s="103"/>
      <c r="S43" s="103"/>
      <c r="T43" s="103"/>
      <c r="U43" s="103"/>
      <c r="V43" s="103"/>
      <c r="W43" s="103"/>
      <c r="X43" s="103"/>
      <c r="Y43" s="103"/>
      <c r="Z43" s="103"/>
      <c r="AA43" s="103"/>
      <c r="AB43" s="103"/>
      <c r="AC43" s="103"/>
      <c r="AD43" s="103"/>
      <c r="AE43" s="103"/>
      <c r="AF43" s="103"/>
      <c r="AG43" s="103">
        <v>72.308414263810562</v>
      </c>
      <c r="AH43" s="103">
        <v>36.902495274167023</v>
      </c>
      <c r="AI43" s="103">
        <v>335.53821527786579</v>
      </c>
      <c r="AJ43" s="103">
        <v>244.5912564968728</v>
      </c>
      <c r="AK43" s="103">
        <v>317.73366440477787</v>
      </c>
      <c r="AL43" s="103">
        <v>427.70215936327105</v>
      </c>
      <c r="AM43" s="103">
        <v>562.71574884429003</v>
      </c>
      <c r="AN43" s="103">
        <v>530.49038715130382</v>
      </c>
      <c r="AO43" s="103">
        <v>138.91205758094722</v>
      </c>
      <c r="AP43" s="103">
        <v>176.52525108625773</v>
      </c>
      <c r="AQ43" s="103">
        <v>57.782337493310962</v>
      </c>
      <c r="AR43" s="103"/>
      <c r="AS43" s="103"/>
      <c r="AT43" s="103"/>
      <c r="AU43" s="103">
        <v>143.58042157498198</v>
      </c>
      <c r="AV43" s="103"/>
      <c r="AW43" s="103"/>
      <c r="AX43" s="103">
        <v>6.7512415651078941</v>
      </c>
      <c r="AY43" s="103"/>
    </row>
    <row r="44" spans="1:51" x14ac:dyDescent="0.15">
      <c r="A44" s="106"/>
      <c r="B44" s="127">
        <v>12</v>
      </c>
      <c r="C44" s="125" t="s">
        <v>292</v>
      </c>
      <c r="D44" s="103">
        <v>0</v>
      </c>
      <c r="E44" s="103">
        <v>0</v>
      </c>
      <c r="F44" s="103">
        <v>0</v>
      </c>
      <c r="G44" s="103">
        <v>0</v>
      </c>
      <c r="H44" s="103">
        <v>0</v>
      </c>
      <c r="I44" s="103">
        <v>0</v>
      </c>
      <c r="J44" s="103">
        <v>0</v>
      </c>
      <c r="K44" s="103">
        <v>0</v>
      </c>
      <c r="L44" s="103">
        <v>0</v>
      </c>
      <c r="M44" s="103">
        <v>0</v>
      </c>
      <c r="N44" s="103">
        <v>0</v>
      </c>
      <c r="O44" s="103">
        <v>0</v>
      </c>
      <c r="P44" s="103">
        <v>0</v>
      </c>
      <c r="Q44" s="103">
        <v>0</v>
      </c>
      <c r="R44" s="103">
        <v>0</v>
      </c>
      <c r="S44" s="103">
        <v>0</v>
      </c>
      <c r="T44" s="103">
        <v>0</v>
      </c>
      <c r="U44" s="103">
        <v>0</v>
      </c>
      <c r="V44" s="103">
        <v>0</v>
      </c>
      <c r="W44" s="103">
        <v>0</v>
      </c>
      <c r="X44" s="103">
        <v>0</v>
      </c>
      <c r="Y44" s="103">
        <v>0</v>
      </c>
      <c r="Z44" s="103">
        <v>0</v>
      </c>
      <c r="AA44" s="103">
        <v>0</v>
      </c>
      <c r="AB44" s="103">
        <v>0</v>
      </c>
      <c r="AC44" s="103">
        <v>0</v>
      </c>
      <c r="AD44" s="103">
        <v>0</v>
      </c>
      <c r="AE44" s="103">
        <v>0</v>
      </c>
      <c r="AF44" s="103">
        <v>0</v>
      </c>
      <c r="AG44" s="103">
        <v>653.99219798183856</v>
      </c>
      <c r="AH44" s="103">
        <v>895.34813875606778</v>
      </c>
      <c r="AI44" s="103">
        <v>541.95543353586868</v>
      </c>
      <c r="AJ44" s="103">
        <v>1316.9585054225504</v>
      </c>
      <c r="AK44" s="103">
        <v>378.42449105639042</v>
      </c>
      <c r="AL44" s="103">
        <v>1134.2782924826474</v>
      </c>
      <c r="AM44" s="103">
        <v>663.33912108626009</v>
      </c>
      <c r="AN44" s="103">
        <v>1548.9396924196496</v>
      </c>
      <c r="AO44" s="103">
        <v>1244.2229043232364</v>
      </c>
      <c r="AP44" s="103">
        <v>1163.7689455537723</v>
      </c>
      <c r="AQ44" s="103">
        <v>909.07958334450439</v>
      </c>
      <c r="AR44" s="103">
        <v>795.42845246906643</v>
      </c>
      <c r="AS44" s="103">
        <v>2421.3957511760932</v>
      </c>
      <c r="AT44" s="103">
        <v>1609.3352420272456</v>
      </c>
      <c r="AU44" s="103">
        <v>1671.6119310032759</v>
      </c>
      <c r="AV44" s="103">
        <v>1747.0823306333607</v>
      </c>
      <c r="AW44" s="103">
        <v>1082.8030311671737</v>
      </c>
      <c r="AX44" s="103">
        <v>1925.2046578708391</v>
      </c>
      <c r="AY44" s="103">
        <v>1207.22340703487</v>
      </c>
    </row>
    <row r="45" spans="1:51" x14ac:dyDescent="0.15">
      <c r="A45" s="123" t="s">
        <v>123</v>
      </c>
      <c r="B45" s="120">
        <v>1</v>
      </c>
      <c r="C45" s="106" t="s">
        <v>292</v>
      </c>
      <c r="D45" s="121"/>
      <c r="E45" s="121"/>
      <c r="F45" s="121"/>
      <c r="G45" s="121"/>
      <c r="H45" s="121"/>
      <c r="I45" s="121"/>
      <c r="J45" s="121"/>
      <c r="K45" s="121"/>
      <c r="L45" s="121"/>
      <c r="M45" s="121"/>
      <c r="N45" s="121"/>
      <c r="O45" s="121"/>
      <c r="P45" s="121"/>
      <c r="Q45" s="121"/>
      <c r="R45" s="121"/>
      <c r="S45" s="121"/>
      <c r="T45" s="121"/>
      <c r="U45" s="121"/>
      <c r="V45" s="121"/>
      <c r="W45" s="121"/>
      <c r="X45" s="121"/>
      <c r="Y45" s="121"/>
      <c r="Z45" s="121"/>
      <c r="AA45" s="121"/>
      <c r="AB45" s="121"/>
      <c r="AC45" s="121"/>
      <c r="AD45" s="121"/>
      <c r="AE45" s="121"/>
      <c r="AF45" s="121"/>
      <c r="AG45" s="121"/>
      <c r="AH45" s="121"/>
      <c r="AI45" s="121"/>
      <c r="AJ45" s="121"/>
      <c r="AK45" s="121"/>
      <c r="AL45" s="121"/>
      <c r="AM45" s="121"/>
      <c r="AN45" s="121"/>
      <c r="AO45" s="121"/>
      <c r="AP45" s="121"/>
      <c r="AQ45" s="121"/>
      <c r="AR45" s="121"/>
      <c r="AS45" s="121"/>
      <c r="AT45" s="121"/>
      <c r="AU45" s="121"/>
      <c r="AV45" s="121"/>
      <c r="AW45" s="121"/>
      <c r="AX45" s="121"/>
      <c r="AY45" s="121"/>
    </row>
    <row r="46" spans="1:51" x14ac:dyDescent="0.15">
      <c r="A46" s="106"/>
      <c r="B46" s="116">
        <v>2</v>
      </c>
      <c r="C46" s="106" t="s">
        <v>292</v>
      </c>
      <c r="D46" s="107"/>
      <c r="E46" s="107"/>
      <c r="F46" s="107"/>
      <c r="G46" s="107"/>
      <c r="H46" s="107"/>
      <c r="I46" s="107"/>
      <c r="J46" s="107"/>
      <c r="K46" s="107"/>
      <c r="L46" s="107"/>
      <c r="M46" s="107"/>
      <c r="N46" s="107"/>
      <c r="O46" s="107"/>
      <c r="P46" s="107"/>
      <c r="Q46" s="107"/>
      <c r="R46" s="107"/>
      <c r="S46" s="107"/>
      <c r="T46" s="107"/>
      <c r="U46" s="107"/>
      <c r="V46" s="107"/>
      <c r="W46" s="107"/>
      <c r="X46" s="107"/>
      <c r="Y46" s="107"/>
      <c r="Z46" s="107"/>
      <c r="AA46" s="107"/>
      <c r="AB46" s="107"/>
      <c r="AC46" s="107"/>
      <c r="AD46" s="107"/>
      <c r="AE46" s="107"/>
      <c r="AF46" s="107"/>
      <c r="AG46" s="107"/>
      <c r="AH46" s="107"/>
      <c r="AI46" s="107"/>
      <c r="AJ46" s="107"/>
      <c r="AK46" s="107"/>
      <c r="AL46" s="107"/>
      <c r="AM46" s="107"/>
      <c r="AN46" s="107"/>
      <c r="AO46" s="107"/>
      <c r="AP46" s="107"/>
      <c r="AQ46" s="107"/>
      <c r="AR46" s="107"/>
      <c r="AS46" s="107"/>
      <c r="AT46" s="107"/>
      <c r="AU46" s="107"/>
      <c r="AV46" s="107"/>
      <c r="AW46" s="107"/>
      <c r="AX46" s="107"/>
      <c r="AY46" s="107"/>
    </row>
    <row r="47" spans="1:51" x14ac:dyDescent="0.15">
      <c r="A47" s="106"/>
      <c r="B47" s="116">
        <v>3</v>
      </c>
      <c r="C47" s="106" t="s">
        <v>292</v>
      </c>
      <c r="D47" s="107"/>
      <c r="E47" s="107"/>
      <c r="F47" s="107"/>
      <c r="G47" s="107"/>
      <c r="H47" s="107"/>
      <c r="I47" s="107"/>
      <c r="J47" s="107"/>
      <c r="K47" s="107"/>
      <c r="L47" s="107"/>
      <c r="M47" s="107"/>
      <c r="N47" s="107"/>
      <c r="O47" s="107"/>
      <c r="P47" s="107"/>
      <c r="Q47" s="107"/>
      <c r="R47" s="107"/>
      <c r="S47" s="107"/>
      <c r="T47" s="107"/>
      <c r="U47" s="107"/>
      <c r="V47" s="107"/>
      <c r="W47" s="107"/>
      <c r="X47" s="107"/>
      <c r="Y47" s="107"/>
      <c r="Z47" s="107"/>
      <c r="AA47" s="107"/>
      <c r="AB47" s="107"/>
      <c r="AC47" s="107"/>
      <c r="AD47" s="107"/>
      <c r="AE47" s="107"/>
      <c r="AF47" s="107"/>
      <c r="AG47" s="107"/>
      <c r="AH47" s="107"/>
      <c r="AI47" s="107"/>
      <c r="AJ47" s="107"/>
      <c r="AK47" s="107"/>
      <c r="AL47" s="107"/>
      <c r="AM47" s="107"/>
      <c r="AN47" s="107"/>
      <c r="AO47" s="107"/>
      <c r="AP47" s="107"/>
      <c r="AQ47" s="107"/>
      <c r="AR47" s="107"/>
      <c r="AS47" s="107"/>
      <c r="AT47" s="107"/>
      <c r="AU47" s="107"/>
      <c r="AV47" s="107"/>
      <c r="AW47" s="107"/>
      <c r="AX47" s="107"/>
      <c r="AY47" s="107"/>
    </row>
    <row r="48" spans="1:51" x14ac:dyDescent="0.15">
      <c r="A48" s="106"/>
      <c r="B48" s="116">
        <v>4</v>
      </c>
      <c r="C48" s="106" t="s">
        <v>292</v>
      </c>
      <c r="D48" s="107"/>
      <c r="E48" s="107"/>
      <c r="F48" s="107"/>
      <c r="G48" s="107"/>
      <c r="H48" s="107"/>
      <c r="I48" s="107"/>
      <c r="J48" s="107"/>
      <c r="K48" s="107"/>
      <c r="L48" s="107"/>
      <c r="M48" s="107"/>
      <c r="N48" s="107"/>
      <c r="O48" s="107"/>
      <c r="P48" s="107"/>
      <c r="Q48" s="107"/>
      <c r="R48" s="107"/>
      <c r="S48" s="107"/>
      <c r="T48" s="107"/>
      <c r="U48" s="107"/>
      <c r="V48" s="107"/>
      <c r="W48" s="107"/>
      <c r="X48" s="107"/>
      <c r="Y48" s="107"/>
      <c r="Z48" s="107"/>
      <c r="AA48" s="107"/>
      <c r="AB48" s="107"/>
      <c r="AC48" s="107"/>
      <c r="AD48" s="107"/>
      <c r="AE48" s="107"/>
      <c r="AF48" s="107"/>
      <c r="AG48" s="107"/>
      <c r="AH48" s="107"/>
      <c r="AI48" s="107"/>
      <c r="AJ48" s="107"/>
      <c r="AK48" s="107"/>
      <c r="AL48" s="107"/>
      <c r="AM48" s="107"/>
      <c r="AN48" s="107"/>
      <c r="AO48" s="107"/>
      <c r="AP48" s="107"/>
      <c r="AQ48" s="107"/>
      <c r="AR48" s="107"/>
      <c r="AS48" s="107"/>
      <c r="AT48" s="107"/>
      <c r="AU48" s="107"/>
      <c r="AV48" s="107"/>
      <c r="AW48" s="107"/>
      <c r="AX48" s="107"/>
      <c r="AY48" s="107"/>
    </row>
    <row r="49" spans="1:51" x14ac:dyDescent="0.15">
      <c r="A49" s="106"/>
      <c r="B49" s="116">
        <v>5</v>
      </c>
      <c r="C49" s="106" t="s">
        <v>292</v>
      </c>
      <c r="D49" s="107"/>
      <c r="E49" s="107"/>
      <c r="F49" s="107"/>
      <c r="G49" s="107"/>
      <c r="H49" s="107"/>
      <c r="I49" s="107"/>
      <c r="J49" s="107"/>
      <c r="K49" s="107"/>
      <c r="L49" s="107"/>
      <c r="M49" s="107"/>
      <c r="N49" s="107"/>
      <c r="O49" s="107"/>
      <c r="P49" s="107"/>
      <c r="Q49" s="107"/>
      <c r="R49" s="107"/>
      <c r="S49" s="107"/>
      <c r="T49" s="107"/>
      <c r="U49" s="107"/>
      <c r="V49" s="107"/>
      <c r="W49" s="107"/>
      <c r="X49" s="107"/>
      <c r="Y49" s="107"/>
      <c r="Z49" s="107"/>
      <c r="AA49" s="107"/>
      <c r="AB49" s="107"/>
      <c r="AC49" s="107"/>
      <c r="AD49" s="107"/>
      <c r="AE49" s="107"/>
      <c r="AF49" s="107"/>
      <c r="AG49" s="107"/>
      <c r="AH49" s="107"/>
      <c r="AI49" s="107"/>
      <c r="AJ49" s="107"/>
      <c r="AK49" s="107"/>
      <c r="AL49" s="107"/>
      <c r="AM49" s="107"/>
      <c r="AN49" s="107"/>
      <c r="AO49" s="107"/>
      <c r="AP49" s="107"/>
      <c r="AQ49" s="107"/>
      <c r="AR49" s="107"/>
      <c r="AS49" s="107"/>
      <c r="AT49" s="107"/>
      <c r="AU49" s="107"/>
      <c r="AV49" s="107"/>
      <c r="AW49" s="107"/>
      <c r="AX49" s="107"/>
      <c r="AY49" s="107"/>
    </row>
    <row r="50" spans="1:51" x14ac:dyDescent="0.15">
      <c r="A50" s="106"/>
      <c r="B50" s="116">
        <v>6</v>
      </c>
      <c r="C50" s="106" t="s">
        <v>292</v>
      </c>
      <c r="D50" s="107"/>
      <c r="E50" s="107"/>
      <c r="F50" s="107"/>
      <c r="G50" s="107"/>
      <c r="H50" s="107"/>
      <c r="I50" s="107"/>
      <c r="J50" s="107"/>
      <c r="K50" s="107"/>
      <c r="L50" s="107"/>
      <c r="M50" s="107"/>
      <c r="N50" s="107"/>
      <c r="O50" s="107"/>
      <c r="P50" s="107"/>
      <c r="Q50" s="107"/>
      <c r="R50" s="107"/>
      <c r="S50" s="107"/>
      <c r="T50" s="107"/>
      <c r="U50" s="107"/>
      <c r="V50" s="107"/>
      <c r="W50" s="107"/>
      <c r="X50" s="107"/>
      <c r="Y50" s="107"/>
      <c r="Z50" s="107"/>
      <c r="AA50" s="107"/>
      <c r="AB50" s="107"/>
      <c r="AC50" s="107"/>
      <c r="AD50" s="107"/>
      <c r="AE50" s="107"/>
      <c r="AF50" s="107"/>
      <c r="AG50" s="107"/>
      <c r="AH50" s="107"/>
      <c r="AI50" s="107"/>
      <c r="AJ50" s="107"/>
      <c r="AK50" s="107"/>
      <c r="AL50" s="107"/>
      <c r="AM50" s="107"/>
      <c r="AN50" s="107"/>
      <c r="AO50" s="107"/>
      <c r="AP50" s="107"/>
      <c r="AQ50" s="107"/>
      <c r="AR50" s="107"/>
      <c r="AS50" s="107"/>
      <c r="AT50" s="107"/>
      <c r="AU50" s="107"/>
      <c r="AV50" s="107"/>
      <c r="AW50" s="107"/>
      <c r="AX50" s="107"/>
      <c r="AY50" s="107"/>
    </row>
    <row r="51" spans="1:51" x14ac:dyDescent="0.15">
      <c r="A51" s="106"/>
      <c r="B51" s="116">
        <v>7</v>
      </c>
      <c r="C51" s="106" t="s">
        <v>292</v>
      </c>
      <c r="D51" s="107"/>
      <c r="E51" s="107"/>
      <c r="F51" s="107"/>
      <c r="G51" s="107"/>
      <c r="H51" s="107"/>
      <c r="I51" s="107"/>
      <c r="J51" s="107"/>
      <c r="K51" s="107"/>
      <c r="L51" s="107"/>
      <c r="M51" s="107"/>
      <c r="N51" s="107"/>
      <c r="O51" s="107"/>
      <c r="P51" s="107"/>
      <c r="Q51" s="107"/>
      <c r="R51" s="107"/>
      <c r="S51" s="107"/>
      <c r="T51" s="107"/>
      <c r="U51" s="107"/>
      <c r="V51" s="107"/>
      <c r="W51" s="107"/>
      <c r="X51" s="107"/>
      <c r="Y51" s="107"/>
      <c r="Z51" s="107"/>
      <c r="AA51" s="107"/>
      <c r="AB51" s="107"/>
      <c r="AC51" s="107"/>
      <c r="AD51" s="107"/>
      <c r="AE51" s="107"/>
      <c r="AF51" s="107"/>
      <c r="AG51" s="107"/>
      <c r="AH51" s="107"/>
      <c r="AI51" s="107"/>
      <c r="AJ51" s="107"/>
      <c r="AK51" s="107"/>
      <c r="AL51" s="107"/>
      <c r="AM51" s="107"/>
      <c r="AN51" s="107"/>
      <c r="AO51" s="107"/>
      <c r="AP51" s="107"/>
      <c r="AQ51" s="107"/>
      <c r="AR51" s="107"/>
      <c r="AS51" s="107"/>
      <c r="AT51" s="107"/>
      <c r="AU51" s="107"/>
      <c r="AV51" s="107"/>
      <c r="AW51" s="107"/>
      <c r="AX51" s="107"/>
      <c r="AY51" s="107"/>
    </row>
    <row r="52" spans="1:51" x14ac:dyDescent="0.15">
      <c r="A52" s="106"/>
      <c r="B52" s="116">
        <v>8</v>
      </c>
      <c r="C52" s="106" t="s">
        <v>292</v>
      </c>
      <c r="D52" s="107"/>
      <c r="E52" s="107"/>
      <c r="F52" s="107"/>
      <c r="G52" s="107"/>
      <c r="H52" s="107"/>
      <c r="I52" s="107"/>
      <c r="J52" s="107"/>
      <c r="K52" s="107"/>
      <c r="L52" s="107"/>
      <c r="M52" s="107"/>
      <c r="N52" s="107"/>
      <c r="O52" s="107"/>
      <c r="P52" s="107"/>
      <c r="Q52" s="107"/>
      <c r="R52" s="107"/>
      <c r="S52" s="107"/>
      <c r="T52" s="107"/>
      <c r="U52" s="107"/>
      <c r="V52" s="107"/>
      <c r="W52" s="107"/>
      <c r="X52" s="107"/>
      <c r="Y52" s="107"/>
      <c r="Z52" s="107"/>
      <c r="AA52" s="107"/>
      <c r="AB52" s="107"/>
      <c r="AC52" s="107"/>
      <c r="AD52" s="107"/>
      <c r="AE52" s="107"/>
      <c r="AF52" s="107"/>
      <c r="AG52" s="107"/>
      <c r="AH52" s="107"/>
      <c r="AI52" s="107"/>
      <c r="AJ52" s="107"/>
      <c r="AK52" s="107"/>
      <c r="AL52" s="107"/>
      <c r="AM52" s="107"/>
      <c r="AN52" s="107"/>
      <c r="AO52" s="107"/>
      <c r="AP52" s="107"/>
      <c r="AQ52" s="107"/>
      <c r="AR52" s="107"/>
      <c r="AS52" s="107"/>
      <c r="AT52" s="107"/>
      <c r="AU52" s="107"/>
      <c r="AV52" s="107"/>
      <c r="AW52" s="107"/>
      <c r="AX52" s="107"/>
      <c r="AY52" s="107"/>
    </row>
    <row r="53" spans="1:51" x14ac:dyDescent="0.15">
      <c r="A53" s="106"/>
      <c r="B53" s="116">
        <v>9</v>
      </c>
      <c r="C53" s="106" t="s">
        <v>292</v>
      </c>
      <c r="D53" s="107"/>
      <c r="E53" s="107"/>
      <c r="F53" s="107"/>
      <c r="G53" s="107"/>
      <c r="H53" s="107"/>
      <c r="I53" s="107"/>
      <c r="J53" s="107"/>
      <c r="K53" s="107"/>
      <c r="L53" s="107"/>
      <c r="M53" s="107"/>
      <c r="N53" s="107"/>
      <c r="O53" s="107"/>
      <c r="P53" s="107"/>
      <c r="Q53" s="107"/>
      <c r="R53" s="107"/>
      <c r="S53" s="107"/>
      <c r="T53" s="107"/>
      <c r="U53" s="107"/>
      <c r="V53" s="107"/>
      <c r="W53" s="107"/>
      <c r="X53" s="107"/>
      <c r="Y53" s="107"/>
      <c r="Z53" s="107"/>
      <c r="AA53" s="107"/>
      <c r="AB53" s="107"/>
      <c r="AC53" s="107"/>
      <c r="AD53" s="107"/>
      <c r="AE53" s="107"/>
      <c r="AF53" s="107"/>
      <c r="AG53" s="107"/>
      <c r="AH53" s="107"/>
      <c r="AI53" s="107"/>
      <c r="AJ53" s="107"/>
      <c r="AK53" s="107"/>
      <c r="AL53" s="107"/>
      <c r="AM53" s="107"/>
      <c r="AN53" s="107"/>
      <c r="AO53" s="107"/>
      <c r="AP53" s="107"/>
      <c r="AQ53" s="107"/>
      <c r="AR53" s="107"/>
      <c r="AS53" s="107"/>
      <c r="AT53" s="107"/>
      <c r="AU53" s="107"/>
      <c r="AV53" s="107"/>
      <c r="AW53" s="107"/>
      <c r="AX53" s="107"/>
      <c r="AY53" s="107"/>
    </row>
    <row r="54" spans="1:51" x14ac:dyDescent="0.15">
      <c r="A54" s="106"/>
      <c r="B54" s="116">
        <v>10</v>
      </c>
      <c r="C54" s="106" t="s">
        <v>292</v>
      </c>
      <c r="D54" s="107"/>
      <c r="E54" s="107"/>
      <c r="F54" s="107"/>
      <c r="G54" s="107"/>
      <c r="H54" s="107"/>
      <c r="I54" s="107"/>
      <c r="J54" s="107"/>
      <c r="K54" s="107"/>
      <c r="L54" s="107"/>
      <c r="M54" s="107"/>
      <c r="N54" s="107"/>
      <c r="O54" s="107"/>
      <c r="P54" s="107"/>
      <c r="Q54" s="107"/>
      <c r="R54" s="107"/>
      <c r="S54" s="107"/>
      <c r="T54" s="107"/>
      <c r="U54" s="107"/>
      <c r="V54" s="107"/>
      <c r="W54" s="107"/>
      <c r="X54" s="107"/>
      <c r="Y54" s="107"/>
      <c r="Z54" s="107"/>
      <c r="AA54" s="107"/>
      <c r="AB54" s="107"/>
      <c r="AC54" s="107"/>
      <c r="AD54" s="107"/>
      <c r="AE54" s="107"/>
      <c r="AF54" s="107"/>
      <c r="AG54" s="107"/>
      <c r="AH54" s="107"/>
      <c r="AI54" s="107"/>
      <c r="AJ54" s="107"/>
      <c r="AK54" s="107"/>
      <c r="AL54" s="107"/>
      <c r="AM54" s="107"/>
      <c r="AN54" s="107"/>
      <c r="AO54" s="107"/>
      <c r="AP54" s="107"/>
      <c r="AQ54" s="107"/>
      <c r="AR54" s="107"/>
      <c r="AS54" s="107"/>
      <c r="AT54" s="107"/>
      <c r="AU54" s="107"/>
      <c r="AV54" s="107"/>
      <c r="AW54" s="107"/>
      <c r="AX54" s="107"/>
      <c r="AY54" s="107"/>
    </row>
    <row r="55" spans="1:51" x14ac:dyDescent="0.15">
      <c r="A55" s="106"/>
      <c r="B55" s="116">
        <v>11</v>
      </c>
      <c r="C55" s="106" t="s">
        <v>292</v>
      </c>
      <c r="D55" s="107"/>
      <c r="E55" s="107"/>
      <c r="F55" s="107"/>
      <c r="G55" s="107"/>
      <c r="H55" s="107"/>
      <c r="I55" s="107"/>
      <c r="J55" s="107"/>
      <c r="K55" s="107"/>
      <c r="L55" s="107"/>
      <c r="M55" s="107"/>
      <c r="N55" s="107"/>
      <c r="O55" s="107"/>
      <c r="P55" s="107"/>
      <c r="Q55" s="107"/>
      <c r="R55" s="107"/>
      <c r="S55" s="107"/>
      <c r="T55" s="107"/>
      <c r="U55" s="107"/>
      <c r="V55" s="107"/>
      <c r="W55" s="107"/>
      <c r="X55" s="107"/>
      <c r="Y55" s="107"/>
      <c r="Z55" s="107"/>
      <c r="AA55" s="107"/>
      <c r="AB55" s="107"/>
      <c r="AC55" s="107"/>
      <c r="AD55" s="107"/>
      <c r="AE55" s="107"/>
      <c r="AF55" s="107"/>
      <c r="AG55" s="107"/>
      <c r="AH55" s="107"/>
      <c r="AI55" s="107"/>
      <c r="AJ55" s="107"/>
      <c r="AK55" s="107"/>
      <c r="AL55" s="107"/>
      <c r="AM55" s="107"/>
      <c r="AN55" s="107"/>
      <c r="AO55" s="107"/>
      <c r="AP55" s="107"/>
      <c r="AQ55" s="107"/>
      <c r="AR55" s="107"/>
      <c r="AS55" s="107"/>
      <c r="AT55" s="107"/>
      <c r="AU55" s="107"/>
      <c r="AV55" s="107"/>
      <c r="AW55" s="107"/>
      <c r="AX55" s="107"/>
      <c r="AY55" s="107"/>
    </row>
    <row r="56" spans="1:51" x14ac:dyDescent="0.15">
      <c r="A56" s="106"/>
      <c r="B56" s="116">
        <v>12</v>
      </c>
      <c r="C56" s="106" t="s">
        <v>292</v>
      </c>
      <c r="D56" s="107"/>
      <c r="E56" s="107"/>
      <c r="F56" s="107"/>
      <c r="G56" s="107"/>
      <c r="H56" s="107"/>
      <c r="I56" s="107"/>
      <c r="J56" s="107"/>
      <c r="K56" s="107"/>
      <c r="L56" s="107"/>
      <c r="M56" s="107"/>
      <c r="N56" s="107"/>
      <c r="O56" s="107"/>
      <c r="P56" s="107"/>
      <c r="Q56" s="107"/>
      <c r="R56" s="107"/>
      <c r="S56" s="107"/>
      <c r="T56" s="107"/>
      <c r="U56" s="107"/>
      <c r="V56" s="107"/>
      <c r="W56" s="107"/>
      <c r="X56" s="107"/>
      <c r="Y56" s="107"/>
      <c r="Z56" s="107"/>
      <c r="AA56" s="107"/>
      <c r="AB56" s="107"/>
      <c r="AC56" s="107"/>
      <c r="AD56" s="107"/>
      <c r="AE56" s="107"/>
      <c r="AF56" s="107"/>
      <c r="AG56" s="107"/>
      <c r="AH56" s="107"/>
      <c r="AI56" s="107"/>
      <c r="AJ56" s="107"/>
      <c r="AK56" s="107"/>
      <c r="AL56" s="107"/>
      <c r="AM56" s="107"/>
      <c r="AN56" s="107"/>
      <c r="AO56" s="107"/>
      <c r="AP56" s="107"/>
      <c r="AQ56" s="107"/>
      <c r="AR56" s="107"/>
      <c r="AS56" s="107"/>
      <c r="AT56" s="107"/>
      <c r="AU56" s="107"/>
      <c r="AV56" s="107"/>
      <c r="AW56" s="107"/>
      <c r="AX56" s="107"/>
      <c r="AY56" s="107"/>
    </row>
    <row r="57" spans="1:51" x14ac:dyDescent="0.15">
      <c r="A57" s="106"/>
      <c r="B57" s="117">
        <v>13</v>
      </c>
      <c r="C57" s="106" t="s">
        <v>292</v>
      </c>
      <c r="D57" s="107"/>
      <c r="E57" s="107"/>
      <c r="F57" s="107"/>
      <c r="G57" s="107"/>
      <c r="H57" s="107"/>
      <c r="I57" s="107"/>
      <c r="J57" s="107"/>
      <c r="K57" s="107"/>
      <c r="L57" s="107"/>
      <c r="M57" s="107"/>
      <c r="N57" s="107"/>
      <c r="O57" s="107"/>
      <c r="P57" s="107"/>
      <c r="Q57" s="107"/>
      <c r="R57" s="107"/>
      <c r="S57" s="107"/>
      <c r="T57" s="107"/>
      <c r="U57" s="107"/>
      <c r="V57" s="107"/>
      <c r="W57" s="107"/>
      <c r="X57" s="107"/>
      <c r="Y57" s="107"/>
      <c r="Z57" s="107"/>
      <c r="AA57" s="107"/>
      <c r="AB57" s="107"/>
      <c r="AC57" s="107"/>
      <c r="AD57" s="107"/>
      <c r="AE57" s="107"/>
      <c r="AF57" s="107"/>
      <c r="AG57" s="107"/>
      <c r="AH57" s="107"/>
      <c r="AI57" s="107"/>
      <c r="AJ57" s="107"/>
      <c r="AK57" s="107"/>
      <c r="AL57" s="107"/>
      <c r="AM57" s="107"/>
      <c r="AN57" s="107"/>
      <c r="AO57" s="107"/>
      <c r="AP57" s="107"/>
      <c r="AQ57" s="107"/>
      <c r="AR57" s="107"/>
      <c r="AS57" s="107"/>
      <c r="AT57" s="107"/>
      <c r="AU57" s="107"/>
      <c r="AV57" s="107"/>
      <c r="AW57" s="107"/>
      <c r="AX57" s="107"/>
      <c r="AY57" s="107"/>
    </row>
    <row r="58" spans="1:51" x14ac:dyDescent="0.15">
      <c r="A58" s="106"/>
      <c r="B58" s="117">
        <v>14</v>
      </c>
      <c r="C58" s="106" t="s">
        <v>292</v>
      </c>
      <c r="D58" s="107"/>
      <c r="E58" s="107"/>
      <c r="F58" s="107"/>
      <c r="G58" s="107"/>
      <c r="H58" s="107"/>
      <c r="I58" s="107"/>
      <c r="J58" s="107"/>
      <c r="K58" s="107"/>
      <c r="L58" s="107"/>
      <c r="M58" s="107"/>
      <c r="N58" s="107"/>
      <c r="O58" s="107"/>
      <c r="P58" s="107"/>
      <c r="Q58" s="107"/>
      <c r="R58" s="107"/>
      <c r="S58" s="107"/>
      <c r="T58" s="107"/>
      <c r="U58" s="107"/>
      <c r="V58" s="107"/>
      <c r="W58" s="107"/>
      <c r="X58" s="107"/>
      <c r="Y58" s="107"/>
      <c r="Z58" s="107"/>
      <c r="AA58" s="107"/>
      <c r="AB58" s="107"/>
      <c r="AC58" s="107"/>
      <c r="AD58" s="107"/>
      <c r="AE58" s="107"/>
      <c r="AF58" s="107"/>
      <c r="AG58" s="107"/>
      <c r="AH58" s="107"/>
      <c r="AI58" s="107"/>
      <c r="AJ58" s="107"/>
      <c r="AK58" s="107"/>
      <c r="AL58" s="107"/>
      <c r="AM58" s="107"/>
      <c r="AN58" s="107"/>
      <c r="AO58" s="107"/>
      <c r="AP58" s="107"/>
      <c r="AQ58" s="107"/>
      <c r="AR58" s="107"/>
      <c r="AS58" s="107"/>
      <c r="AT58" s="107"/>
      <c r="AU58" s="107"/>
      <c r="AV58" s="107"/>
      <c r="AW58" s="107"/>
      <c r="AX58" s="107"/>
      <c r="AY58" s="107"/>
    </row>
    <row r="59" spans="1:51" x14ac:dyDescent="0.15">
      <c r="A59" s="106"/>
      <c r="B59" s="117">
        <v>15</v>
      </c>
      <c r="C59" s="106" t="s">
        <v>292</v>
      </c>
      <c r="D59" s="107"/>
      <c r="E59" s="107"/>
      <c r="F59" s="107"/>
      <c r="G59" s="107"/>
      <c r="H59" s="107"/>
      <c r="I59" s="107"/>
      <c r="J59" s="107"/>
      <c r="K59" s="107"/>
      <c r="L59" s="107"/>
      <c r="M59" s="107"/>
      <c r="N59" s="107"/>
      <c r="O59" s="107"/>
      <c r="P59" s="107"/>
      <c r="Q59" s="107"/>
      <c r="R59" s="107"/>
      <c r="S59" s="107"/>
      <c r="T59" s="107"/>
      <c r="U59" s="107"/>
      <c r="V59" s="107"/>
      <c r="W59" s="107"/>
      <c r="X59" s="107"/>
      <c r="Y59" s="107"/>
      <c r="Z59" s="107"/>
      <c r="AA59" s="107"/>
      <c r="AB59" s="107"/>
      <c r="AC59" s="107"/>
      <c r="AD59" s="107"/>
      <c r="AE59" s="107"/>
      <c r="AF59" s="107"/>
      <c r="AG59" s="107"/>
      <c r="AH59" s="107"/>
      <c r="AI59" s="107"/>
      <c r="AJ59" s="107"/>
      <c r="AK59" s="107"/>
      <c r="AL59" s="107"/>
      <c r="AM59" s="107"/>
      <c r="AN59" s="107"/>
      <c r="AO59" s="107"/>
      <c r="AP59" s="107"/>
      <c r="AQ59" s="107"/>
      <c r="AR59" s="107"/>
      <c r="AS59" s="107"/>
      <c r="AT59" s="107"/>
      <c r="AU59" s="107"/>
      <c r="AV59" s="107"/>
      <c r="AW59" s="107"/>
      <c r="AX59" s="107"/>
      <c r="AY59" s="107"/>
    </row>
    <row r="60" spans="1:51" x14ac:dyDescent="0.15">
      <c r="A60" s="106"/>
      <c r="B60" s="117">
        <v>16</v>
      </c>
      <c r="C60" s="106" t="s">
        <v>292</v>
      </c>
      <c r="D60" s="107"/>
      <c r="E60" s="107"/>
      <c r="F60" s="107"/>
      <c r="G60" s="107"/>
      <c r="H60" s="107"/>
      <c r="I60" s="107"/>
      <c r="J60" s="107"/>
      <c r="K60" s="107"/>
      <c r="L60" s="107"/>
      <c r="M60" s="107"/>
      <c r="N60" s="107"/>
      <c r="O60" s="107"/>
      <c r="P60" s="107"/>
      <c r="Q60" s="107"/>
      <c r="R60" s="107"/>
      <c r="S60" s="107"/>
      <c r="T60" s="107"/>
      <c r="U60" s="107"/>
      <c r="V60" s="107"/>
      <c r="W60" s="107"/>
      <c r="X60" s="107"/>
      <c r="Y60" s="107"/>
      <c r="Z60" s="107"/>
      <c r="AA60" s="107"/>
      <c r="AB60" s="107"/>
      <c r="AC60" s="107"/>
      <c r="AD60" s="107"/>
      <c r="AE60" s="107"/>
      <c r="AF60" s="107"/>
      <c r="AG60" s="107"/>
      <c r="AH60" s="107"/>
      <c r="AI60" s="107"/>
      <c r="AJ60" s="107"/>
      <c r="AK60" s="107"/>
      <c r="AL60" s="107"/>
      <c r="AM60" s="107"/>
      <c r="AN60" s="107"/>
      <c r="AO60" s="107"/>
      <c r="AP60" s="107"/>
      <c r="AQ60" s="107"/>
      <c r="AR60" s="107"/>
      <c r="AS60" s="107"/>
      <c r="AT60" s="107"/>
      <c r="AU60" s="107"/>
      <c r="AV60" s="107"/>
      <c r="AW60" s="107"/>
      <c r="AX60" s="107"/>
      <c r="AY60" s="107"/>
    </row>
    <row r="61" spans="1:51" x14ac:dyDescent="0.15">
      <c r="A61" s="106"/>
      <c r="B61" s="117">
        <v>17</v>
      </c>
      <c r="C61" s="106" t="s">
        <v>292</v>
      </c>
      <c r="D61" s="107"/>
      <c r="E61" s="107"/>
      <c r="F61" s="107"/>
      <c r="G61" s="107"/>
      <c r="H61" s="107"/>
      <c r="I61" s="107"/>
      <c r="J61" s="107"/>
      <c r="K61" s="107"/>
      <c r="L61" s="107"/>
      <c r="M61" s="107"/>
      <c r="N61" s="107"/>
      <c r="O61" s="107"/>
      <c r="P61" s="107"/>
      <c r="Q61" s="107"/>
      <c r="R61" s="107"/>
      <c r="S61" s="107"/>
      <c r="T61" s="107"/>
      <c r="U61" s="107"/>
      <c r="V61" s="107"/>
      <c r="W61" s="107"/>
      <c r="X61" s="107"/>
      <c r="Y61" s="107"/>
      <c r="Z61" s="107"/>
      <c r="AA61" s="107"/>
      <c r="AB61" s="107"/>
      <c r="AC61" s="107"/>
      <c r="AD61" s="107"/>
      <c r="AE61" s="107"/>
      <c r="AF61" s="107"/>
      <c r="AG61" s="107"/>
      <c r="AH61" s="107"/>
      <c r="AI61" s="107"/>
      <c r="AJ61" s="107"/>
      <c r="AK61" s="107"/>
      <c r="AL61" s="107"/>
      <c r="AM61" s="107"/>
      <c r="AN61" s="107"/>
      <c r="AO61" s="107"/>
      <c r="AP61" s="107"/>
      <c r="AQ61" s="107"/>
      <c r="AR61" s="107"/>
      <c r="AS61" s="107"/>
      <c r="AT61" s="107"/>
      <c r="AU61" s="107"/>
      <c r="AV61" s="107"/>
      <c r="AW61" s="107"/>
      <c r="AX61" s="107"/>
      <c r="AY61" s="107"/>
    </row>
    <row r="62" spans="1:51" x14ac:dyDescent="0.15">
      <c r="A62" s="106"/>
      <c r="B62" s="117">
        <v>18</v>
      </c>
      <c r="C62" s="106" t="s">
        <v>292</v>
      </c>
      <c r="D62" s="107"/>
      <c r="E62" s="107"/>
      <c r="F62" s="107"/>
      <c r="G62" s="107"/>
      <c r="H62" s="107"/>
      <c r="I62" s="107"/>
      <c r="J62" s="107"/>
      <c r="K62" s="107"/>
      <c r="L62" s="107"/>
      <c r="M62" s="107"/>
      <c r="N62" s="107"/>
      <c r="O62" s="107"/>
      <c r="P62" s="107"/>
      <c r="Q62" s="107"/>
      <c r="R62" s="107"/>
      <c r="S62" s="107"/>
      <c r="T62" s="107"/>
      <c r="U62" s="107"/>
      <c r="V62" s="107"/>
      <c r="W62" s="107"/>
      <c r="X62" s="107"/>
      <c r="Y62" s="107"/>
      <c r="Z62" s="107"/>
      <c r="AA62" s="107"/>
      <c r="AB62" s="107"/>
      <c r="AC62" s="107"/>
      <c r="AD62" s="107"/>
      <c r="AE62" s="107"/>
      <c r="AF62" s="107"/>
      <c r="AG62" s="107"/>
      <c r="AH62" s="107"/>
      <c r="AI62" s="107"/>
      <c r="AJ62" s="107"/>
      <c r="AK62" s="107"/>
      <c r="AL62" s="107"/>
      <c r="AM62" s="107"/>
      <c r="AN62" s="107"/>
      <c r="AO62" s="107"/>
      <c r="AP62" s="107"/>
      <c r="AQ62" s="107"/>
      <c r="AR62" s="107"/>
      <c r="AS62" s="107"/>
      <c r="AT62" s="107"/>
      <c r="AU62" s="107"/>
      <c r="AV62" s="107"/>
      <c r="AW62" s="107"/>
      <c r="AX62" s="107"/>
      <c r="AY62" s="107"/>
    </row>
    <row r="63" spans="1:51" x14ac:dyDescent="0.15">
      <c r="A63" s="106"/>
      <c r="B63" s="117">
        <v>19</v>
      </c>
      <c r="C63" s="106" t="s">
        <v>292</v>
      </c>
      <c r="D63" s="107"/>
      <c r="E63" s="107"/>
      <c r="F63" s="107"/>
      <c r="G63" s="107"/>
      <c r="H63" s="107"/>
      <c r="I63" s="107"/>
      <c r="J63" s="107"/>
      <c r="K63" s="107"/>
      <c r="L63" s="107"/>
      <c r="M63" s="107"/>
      <c r="N63" s="107"/>
      <c r="O63" s="107"/>
      <c r="P63" s="107"/>
      <c r="Q63" s="107"/>
      <c r="R63" s="107"/>
      <c r="S63" s="107"/>
      <c r="T63" s="107"/>
      <c r="U63" s="107"/>
      <c r="V63" s="107"/>
      <c r="W63" s="107"/>
      <c r="X63" s="107"/>
      <c r="Y63" s="107"/>
      <c r="Z63" s="107"/>
      <c r="AA63" s="107"/>
      <c r="AB63" s="107"/>
      <c r="AC63" s="107"/>
      <c r="AD63" s="107"/>
      <c r="AE63" s="107"/>
      <c r="AF63" s="107"/>
      <c r="AG63" s="107"/>
      <c r="AH63" s="107"/>
      <c r="AI63" s="107"/>
      <c r="AJ63" s="107"/>
      <c r="AK63" s="107"/>
      <c r="AL63" s="107"/>
      <c r="AM63" s="107"/>
      <c r="AN63" s="107"/>
      <c r="AO63" s="107"/>
      <c r="AP63" s="107"/>
      <c r="AQ63" s="107"/>
      <c r="AR63" s="107"/>
      <c r="AS63" s="107"/>
      <c r="AT63" s="107"/>
      <c r="AU63" s="107"/>
      <c r="AV63" s="107"/>
      <c r="AW63" s="107"/>
      <c r="AX63" s="107"/>
      <c r="AY63" s="107"/>
    </row>
    <row r="64" spans="1:51" x14ac:dyDescent="0.15">
      <c r="A64" s="106"/>
      <c r="B64" s="117">
        <v>20</v>
      </c>
      <c r="C64" s="106" t="s">
        <v>292</v>
      </c>
      <c r="D64" s="107"/>
      <c r="E64" s="107"/>
      <c r="F64" s="107"/>
      <c r="G64" s="107"/>
      <c r="H64" s="107"/>
      <c r="I64" s="107"/>
      <c r="J64" s="107"/>
      <c r="K64" s="107"/>
      <c r="L64" s="107"/>
      <c r="M64" s="107"/>
      <c r="N64" s="107"/>
      <c r="O64" s="107"/>
      <c r="P64" s="107"/>
      <c r="Q64" s="107"/>
      <c r="R64" s="107"/>
      <c r="S64" s="107"/>
      <c r="T64" s="107"/>
      <c r="U64" s="107"/>
      <c r="V64" s="107"/>
      <c r="W64" s="107"/>
      <c r="X64" s="107"/>
      <c r="Y64" s="107"/>
      <c r="Z64" s="107"/>
      <c r="AA64" s="107"/>
      <c r="AB64" s="107"/>
      <c r="AC64" s="107"/>
      <c r="AD64" s="107"/>
      <c r="AE64" s="107"/>
      <c r="AF64" s="107"/>
      <c r="AG64" s="107"/>
      <c r="AH64" s="107"/>
      <c r="AI64" s="107"/>
      <c r="AJ64" s="107"/>
      <c r="AK64" s="107"/>
      <c r="AL64" s="107"/>
      <c r="AM64" s="107"/>
      <c r="AN64" s="107"/>
      <c r="AO64" s="107"/>
      <c r="AP64" s="107"/>
      <c r="AQ64" s="107"/>
      <c r="AR64" s="107"/>
      <c r="AS64" s="107"/>
      <c r="AT64" s="107"/>
      <c r="AU64" s="107"/>
      <c r="AV64" s="107"/>
      <c r="AW64" s="107"/>
      <c r="AX64" s="107"/>
      <c r="AY64" s="107"/>
    </row>
    <row r="65" spans="1:51" x14ac:dyDescent="0.15">
      <c r="A65" s="106"/>
      <c r="B65" s="117">
        <v>21</v>
      </c>
      <c r="C65" s="106" t="s">
        <v>292</v>
      </c>
      <c r="D65" s="107"/>
      <c r="E65" s="107"/>
      <c r="F65" s="107"/>
      <c r="G65" s="107"/>
      <c r="H65" s="107"/>
      <c r="I65" s="107"/>
      <c r="J65" s="107"/>
      <c r="K65" s="107"/>
      <c r="L65" s="107"/>
      <c r="M65" s="107"/>
      <c r="N65" s="107"/>
      <c r="O65" s="107"/>
      <c r="P65" s="107"/>
      <c r="Q65" s="107"/>
      <c r="R65" s="107"/>
      <c r="S65" s="107"/>
      <c r="T65" s="107"/>
      <c r="U65" s="107"/>
      <c r="V65" s="107"/>
      <c r="W65" s="107"/>
      <c r="X65" s="107"/>
      <c r="Y65" s="107"/>
      <c r="Z65" s="107"/>
      <c r="AA65" s="107"/>
      <c r="AB65" s="107"/>
      <c r="AC65" s="107"/>
      <c r="AD65" s="107"/>
      <c r="AE65" s="107"/>
      <c r="AF65" s="107"/>
      <c r="AG65" s="107"/>
      <c r="AH65" s="107"/>
      <c r="AI65" s="107"/>
      <c r="AJ65" s="107"/>
      <c r="AK65" s="107"/>
      <c r="AL65" s="107"/>
      <c r="AM65" s="107"/>
      <c r="AN65" s="107"/>
      <c r="AO65" s="107"/>
      <c r="AP65" s="107"/>
      <c r="AQ65" s="107"/>
      <c r="AR65" s="107"/>
      <c r="AS65" s="107"/>
      <c r="AT65" s="107"/>
      <c r="AU65" s="107"/>
      <c r="AV65" s="107"/>
      <c r="AW65" s="107"/>
      <c r="AX65" s="107"/>
      <c r="AY65" s="107"/>
    </row>
    <row r="66" spans="1:51" x14ac:dyDescent="0.15">
      <c r="A66" s="106"/>
      <c r="B66" s="117">
        <v>22</v>
      </c>
      <c r="C66" s="106" t="s">
        <v>292</v>
      </c>
      <c r="D66" s="107"/>
      <c r="E66" s="107"/>
      <c r="F66" s="107"/>
      <c r="G66" s="107"/>
      <c r="H66" s="107"/>
      <c r="I66" s="107"/>
      <c r="J66" s="107"/>
      <c r="K66" s="107"/>
      <c r="L66" s="107"/>
      <c r="M66" s="107"/>
      <c r="N66" s="107"/>
      <c r="O66" s="107"/>
      <c r="P66" s="107"/>
      <c r="Q66" s="107"/>
      <c r="R66" s="107"/>
      <c r="S66" s="107"/>
      <c r="T66" s="107"/>
      <c r="U66" s="107"/>
      <c r="V66" s="107"/>
      <c r="W66" s="107"/>
      <c r="X66" s="107"/>
      <c r="Y66" s="107"/>
      <c r="Z66" s="107"/>
      <c r="AA66" s="107"/>
      <c r="AB66" s="107"/>
      <c r="AC66" s="107"/>
      <c r="AD66" s="107"/>
      <c r="AE66" s="107"/>
      <c r="AF66" s="107"/>
      <c r="AG66" s="107"/>
      <c r="AH66" s="107"/>
      <c r="AI66" s="107"/>
      <c r="AJ66" s="107"/>
      <c r="AK66" s="107"/>
      <c r="AL66" s="107"/>
      <c r="AM66" s="107"/>
      <c r="AN66" s="107"/>
      <c r="AO66" s="107"/>
      <c r="AP66" s="107"/>
      <c r="AQ66" s="107"/>
      <c r="AR66" s="107"/>
      <c r="AS66" s="107"/>
      <c r="AT66" s="107"/>
      <c r="AU66" s="107"/>
      <c r="AV66" s="107"/>
      <c r="AW66" s="107"/>
      <c r="AX66" s="107"/>
      <c r="AY66" s="107"/>
    </row>
    <row r="67" spans="1:51" x14ac:dyDescent="0.15">
      <c r="A67" s="106"/>
      <c r="B67" s="117">
        <v>23</v>
      </c>
      <c r="C67" s="106" t="s">
        <v>292</v>
      </c>
      <c r="D67" s="107"/>
      <c r="E67" s="107"/>
      <c r="F67" s="107"/>
      <c r="G67" s="107"/>
      <c r="H67" s="107"/>
      <c r="I67" s="107"/>
      <c r="J67" s="107"/>
      <c r="K67" s="107"/>
      <c r="L67" s="107"/>
      <c r="M67" s="107"/>
      <c r="N67" s="107"/>
      <c r="O67" s="107"/>
      <c r="P67" s="107"/>
      <c r="Q67" s="107"/>
      <c r="R67" s="107"/>
      <c r="S67" s="107"/>
      <c r="T67" s="107"/>
      <c r="U67" s="107"/>
      <c r="V67" s="107"/>
      <c r="W67" s="107"/>
      <c r="X67" s="107"/>
      <c r="Y67" s="107"/>
      <c r="Z67" s="107"/>
      <c r="AA67" s="107"/>
      <c r="AB67" s="107"/>
      <c r="AC67" s="107"/>
      <c r="AD67" s="107"/>
      <c r="AE67" s="107"/>
      <c r="AF67" s="107"/>
      <c r="AG67" s="107"/>
      <c r="AH67" s="107"/>
      <c r="AI67" s="107"/>
      <c r="AJ67" s="107"/>
      <c r="AK67" s="107"/>
      <c r="AL67" s="107"/>
      <c r="AM67" s="107"/>
      <c r="AN67" s="107"/>
      <c r="AO67" s="107"/>
      <c r="AP67" s="107"/>
      <c r="AQ67" s="107"/>
      <c r="AR67" s="107"/>
      <c r="AS67" s="107"/>
      <c r="AT67" s="107"/>
      <c r="AU67" s="107"/>
      <c r="AV67" s="107"/>
      <c r="AW67" s="107"/>
      <c r="AX67" s="107"/>
      <c r="AY67" s="107"/>
    </row>
    <row r="68" spans="1:51" x14ac:dyDescent="0.15">
      <c r="A68" s="106"/>
      <c r="B68" s="117">
        <v>24</v>
      </c>
      <c r="C68" s="106" t="s">
        <v>292</v>
      </c>
      <c r="D68" s="107"/>
      <c r="E68" s="107"/>
      <c r="F68" s="107"/>
      <c r="G68" s="107"/>
      <c r="H68" s="107"/>
      <c r="I68" s="107"/>
      <c r="J68" s="107"/>
      <c r="K68" s="107"/>
      <c r="L68" s="107"/>
      <c r="M68" s="107"/>
      <c r="N68" s="107"/>
      <c r="O68" s="107"/>
      <c r="P68" s="107"/>
      <c r="Q68" s="107"/>
      <c r="R68" s="107"/>
      <c r="S68" s="107"/>
      <c r="T68" s="107"/>
      <c r="U68" s="107"/>
      <c r="V68" s="107"/>
      <c r="W68" s="107"/>
      <c r="X68" s="107"/>
      <c r="Y68" s="107"/>
      <c r="Z68" s="107"/>
      <c r="AA68" s="107"/>
      <c r="AB68" s="107"/>
      <c r="AC68" s="107"/>
      <c r="AD68" s="107"/>
      <c r="AE68" s="107"/>
      <c r="AF68" s="107"/>
      <c r="AG68" s="107"/>
      <c r="AH68" s="107"/>
      <c r="AI68" s="107"/>
      <c r="AJ68" s="107"/>
      <c r="AK68" s="107"/>
      <c r="AL68" s="107"/>
      <c r="AM68" s="107"/>
      <c r="AN68" s="107"/>
      <c r="AO68" s="107"/>
      <c r="AP68" s="107"/>
      <c r="AQ68" s="107"/>
      <c r="AR68" s="107"/>
      <c r="AS68" s="107"/>
      <c r="AT68" s="107"/>
      <c r="AU68" s="107"/>
      <c r="AV68" s="107"/>
      <c r="AW68" s="107"/>
      <c r="AX68" s="107"/>
      <c r="AY68" s="107"/>
    </row>
    <row r="69" spans="1:51" x14ac:dyDescent="0.15">
      <c r="A69" s="106"/>
      <c r="B69" s="124">
        <v>25</v>
      </c>
      <c r="C69" s="106" t="s">
        <v>292</v>
      </c>
      <c r="D69" s="107"/>
      <c r="E69" s="107"/>
      <c r="F69" s="107"/>
      <c r="G69" s="107"/>
      <c r="H69" s="107"/>
      <c r="I69" s="107"/>
      <c r="J69" s="107"/>
      <c r="K69" s="107"/>
      <c r="L69" s="107"/>
      <c r="M69" s="107"/>
      <c r="N69" s="107"/>
      <c r="O69" s="107"/>
      <c r="P69" s="107"/>
      <c r="Q69" s="107"/>
      <c r="R69" s="107"/>
      <c r="S69" s="107"/>
      <c r="T69" s="107"/>
      <c r="U69" s="107"/>
      <c r="V69" s="107"/>
      <c r="W69" s="107"/>
      <c r="X69" s="107"/>
      <c r="Y69" s="107"/>
      <c r="Z69" s="107"/>
      <c r="AA69" s="107"/>
      <c r="AB69" s="107"/>
      <c r="AC69" s="107"/>
      <c r="AD69" s="107"/>
      <c r="AE69" s="107"/>
      <c r="AF69" s="107"/>
      <c r="AG69" s="107"/>
      <c r="AH69" s="107"/>
      <c r="AI69" s="107"/>
      <c r="AJ69" s="107"/>
      <c r="AK69" s="107"/>
      <c r="AL69" s="107"/>
      <c r="AM69" s="107"/>
      <c r="AN69" s="107"/>
      <c r="AO69" s="107"/>
      <c r="AP69" s="107"/>
      <c r="AQ69" s="107"/>
      <c r="AR69" s="107"/>
      <c r="AS69" s="107"/>
      <c r="AT69" s="107"/>
      <c r="AU69" s="107"/>
      <c r="AV69" s="107"/>
      <c r="AW69" s="107"/>
      <c r="AX69" s="107"/>
      <c r="AY69" s="107"/>
    </row>
    <row r="70" spans="1:51" x14ac:dyDescent="0.15">
      <c r="A70" s="106"/>
      <c r="B70" s="124">
        <v>26</v>
      </c>
      <c r="C70" s="106" t="s">
        <v>292</v>
      </c>
      <c r="D70" s="107"/>
      <c r="E70" s="107"/>
      <c r="F70" s="107"/>
      <c r="G70" s="107"/>
      <c r="H70" s="107"/>
      <c r="I70" s="107"/>
      <c r="J70" s="107"/>
      <c r="K70" s="107"/>
      <c r="L70" s="107"/>
      <c r="M70" s="107"/>
      <c r="N70" s="107"/>
      <c r="O70" s="107"/>
      <c r="P70" s="107"/>
      <c r="Q70" s="107"/>
      <c r="R70" s="107"/>
      <c r="S70" s="107"/>
      <c r="T70" s="107"/>
      <c r="U70" s="107"/>
      <c r="V70" s="107"/>
      <c r="W70" s="107"/>
      <c r="X70" s="107"/>
      <c r="Y70" s="107"/>
      <c r="Z70" s="107"/>
      <c r="AA70" s="107"/>
      <c r="AB70" s="107"/>
      <c r="AC70" s="107"/>
      <c r="AD70" s="107"/>
      <c r="AE70" s="107"/>
      <c r="AF70" s="107"/>
      <c r="AG70" s="107"/>
      <c r="AH70" s="107"/>
      <c r="AI70" s="107"/>
      <c r="AJ70" s="107"/>
      <c r="AK70" s="107"/>
      <c r="AL70" s="107"/>
      <c r="AM70" s="107"/>
      <c r="AN70" s="107"/>
      <c r="AO70" s="107"/>
      <c r="AP70" s="107"/>
      <c r="AQ70" s="107"/>
      <c r="AR70" s="107"/>
      <c r="AS70" s="107"/>
      <c r="AT70" s="107"/>
      <c r="AU70" s="107"/>
      <c r="AV70" s="107"/>
      <c r="AW70" s="107"/>
      <c r="AX70" s="107"/>
      <c r="AY70" s="107"/>
    </row>
    <row r="71" spans="1:51" x14ac:dyDescent="0.15">
      <c r="A71" s="106"/>
      <c r="B71" s="124">
        <v>27</v>
      </c>
      <c r="C71" s="106" t="s">
        <v>292</v>
      </c>
      <c r="D71" s="107"/>
      <c r="E71" s="107"/>
      <c r="F71" s="107"/>
      <c r="G71" s="107"/>
      <c r="H71" s="107"/>
      <c r="I71" s="107"/>
      <c r="J71" s="107"/>
      <c r="K71" s="107"/>
      <c r="L71" s="107"/>
      <c r="M71" s="107"/>
      <c r="N71" s="107"/>
      <c r="O71" s="107"/>
      <c r="P71" s="107"/>
      <c r="Q71" s="107"/>
      <c r="R71" s="107"/>
      <c r="S71" s="107"/>
      <c r="T71" s="107"/>
      <c r="U71" s="107"/>
      <c r="V71" s="107"/>
      <c r="W71" s="107"/>
      <c r="X71" s="107"/>
      <c r="Y71" s="107"/>
      <c r="Z71" s="107"/>
      <c r="AA71" s="107"/>
      <c r="AB71" s="107"/>
      <c r="AC71" s="107"/>
      <c r="AD71" s="107"/>
      <c r="AE71" s="107"/>
      <c r="AF71" s="107"/>
      <c r="AG71" s="107"/>
      <c r="AH71" s="107"/>
      <c r="AI71" s="107"/>
      <c r="AJ71" s="107"/>
      <c r="AK71" s="107"/>
      <c r="AL71" s="107"/>
      <c r="AM71" s="107"/>
      <c r="AN71" s="107"/>
      <c r="AO71" s="107"/>
      <c r="AP71" s="107"/>
      <c r="AQ71" s="107"/>
      <c r="AR71" s="107"/>
      <c r="AS71" s="107"/>
      <c r="AT71" s="107"/>
      <c r="AU71" s="107"/>
      <c r="AV71" s="107"/>
      <c r="AW71" s="107"/>
      <c r="AX71" s="107"/>
      <c r="AY71" s="107"/>
    </row>
    <row r="72" spans="1:51" x14ac:dyDescent="0.15">
      <c r="A72" s="106"/>
      <c r="B72" s="124">
        <v>28</v>
      </c>
      <c r="C72" s="106" t="s">
        <v>292</v>
      </c>
      <c r="D72" s="107"/>
      <c r="E72" s="107"/>
      <c r="F72" s="107"/>
      <c r="G72" s="107"/>
      <c r="H72" s="107"/>
      <c r="I72" s="107"/>
      <c r="J72" s="107"/>
      <c r="K72" s="107"/>
      <c r="L72" s="107"/>
      <c r="M72" s="107"/>
      <c r="N72" s="107"/>
      <c r="O72" s="107"/>
      <c r="P72" s="107"/>
      <c r="Q72" s="107"/>
      <c r="R72" s="107"/>
      <c r="S72" s="107"/>
      <c r="T72" s="107"/>
      <c r="U72" s="107"/>
      <c r="V72" s="107"/>
      <c r="W72" s="107"/>
      <c r="X72" s="107"/>
      <c r="Y72" s="107"/>
      <c r="Z72" s="107"/>
      <c r="AA72" s="107"/>
      <c r="AB72" s="107"/>
      <c r="AC72" s="107"/>
      <c r="AD72" s="107"/>
      <c r="AE72" s="107"/>
      <c r="AF72" s="107"/>
      <c r="AG72" s="107"/>
      <c r="AH72" s="107"/>
      <c r="AI72" s="107"/>
      <c r="AJ72" s="107"/>
      <c r="AK72" s="107"/>
      <c r="AL72" s="107"/>
      <c r="AM72" s="107"/>
      <c r="AN72" s="107"/>
      <c r="AO72" s="107"/>
      <c r="AP72" s="107"/>
      <c r="AQ72" s="107"/>
      <c r="AR72" s="107"/>
      <c r="AS72" s="107"/>
      <c r="AT72" s="107"/>
      <c r="AU72" s="107"/>
      <c r="AV72" s="107"/>
      <c r="AW72" s="107"/>
      <c r="AX72" s="107"/>
      <c r="AY72" s="107"/>
    </row>
    <row r="73" spans="1:51" x14ac:dyDescent="0.15">
      <c r="A73" s="106"/>
      <c r="B73" s="124">
        <v>29</v>
      </c>
      <c r="C73" s="106" t="s">
        <v>292</v>
      </c>
      <c r="D73" s="107"/>
      <c r="E73" s="107"/>
      <c r="F73" s="107"/>
      <c r="G73" s="107"/>
      <c r="H73" s="107"/>
      <c r="I73" s="107"/>
      <c r="J73" s="107"/>
      <c r="K73" s="107"/>
      <c r="L73" s="107"/>
      <c r="M73" s="107"/>
      <c r="N73" s="107"/>
      <c r="O73" s="107"/>
      <c r="P73" s="107"/>
      <c r="Q73" s="107"/>
      <c r="R73" s="107"/>
      <c r="S73" s="107"/>
      <c r="T73" s="107"/>
      <c r="U73" s="107"/>
      <c r="V73" s="107"/>
      <c r="W73" s="107"/>
      <c r="X73" s="107"/>
      <c r="Y73" s="107"/>
      <c r="Z73" s="107"/>
      <c r="AA73" s="107"/>
      <c r="AB73" s="107"/>
      <c r="AC73" s="107"/>
      <c r="AD73" s="107"/>
      <c r="AE73" s="107"/>
      <c r="AF73" s="107"/>
      <c r="AG73" s="107"/>
      <c r="AH73" s="107"/>
      <c r="AI73" s="107"/>
      <c r="AJ73" s="107"/>
      <c r="AK73" s="107"/>
      <c r="AL73" s="107"/>
      <c r="AM73" s="107"/>
      <c r="AN73" s="107"/>
      <c r="AO73" s="107"/>
      <c r="AP73" s="107"/>
      <c r="AQ73" s="107"/>
      <c r="AR73" s="107"/>
      <c r="AS73" s="107"/>
      <c r="AT73" s="107"/>
      <c r="AU73" s="107"/>
      <c r="AV73" s="107"/>
      <c r="AW73" s="107"/>
      <c r="AX73" s="107"/>
      <c r="AY73" s="107"/>
    </row>
    <row r="74" spans="1:51" x14ac:dyDescent="0.15">
      <c r="A74" s="106"/>
      <c r="B74" s="124">
        <v>30</v>
      </c>
      <c r="C74" s="106" t="s">
        <v>292</v>
      </c>
      <c r="D74" s="107"/>
      <c r="E74" s="107"/>
      <c r="F74" s="107"/>
      <c r="G74" s="107"/>
      <c r="H74" s="107"/>
      <c r="I74" s="107"/>
      <c r="J74" s="107"/>
      <c r="K74" s="107"/>
      <c r="L74" s="107"/>
      <c r="M74" s="107"/>
      <c r="N74" s="107"/>
      <c r="O74" s="107"/>
      <c r="P74" s="107"/>
      <c r="Q74" s="107"/>
      <c r="R74" s="107"/>
      <c r="S74" s="107"/>
      <c r="T74" s="107"/>
      <c r="U74" s="107"/>
      <c r="V74" s="107"/>
      <c r="W74" s="107"/>
      <c r="X74" s="107"/>
      <c r="Y74" s="107"/>
      <c r="Z74" s="107"/>
      <c r="AA74" s="107"/>
      <c r="AB74" s="107"/>
      <c r="AC74" s="107"/>
      <c r="AD74" s="107"/>
      <c r="AE74" s="107"/>
      <c r="AF74" s="107"/>
      <c r="AG74" s="107"/>
      <c r="AH74" s="107"/>
      <c r="AI74" s="107"/>
      <c r="AJ74" s="107"/>
      <c r="AK74" s="107"/>
      <c r="AL74" s="107"/>
      <c r="AM74" s="107"/>
      <c r="AN74" s="107"/>
      <c r="AO74" s="107"/>
      <c r="AP74" s="107"/>
      <c r="AQ74" s="107"/>
      <c r="AR74" s="107"/>
      <c r="AS74" s="107"/>
      <c r="AT74" s="107"/>
      <c r="AU74" s="107"/>
      <c r="AV74" s="107"/>
      <c r="AW74" s="107"/>
      <c r="AX74" s="107"/>
      <c r="AY74" s="107"/>
    </row>
    <row r="75" spans="1:51" x14ac:dyDescent="0.15">
      <c r="A75" s="106"/>
      <c r="B75" s="124">
        <v>31</v>
      </c>
      <c r="C75" s="106" t="s">
        <v>292</v>
      </c>
      <c r="D75" s="107"/>
      <c r="E75" s="107"/>
      <c r="F75" s="107"/>
      <c r="G75" s="107"/>
      <c r="H75" s="107"/>
      <c r="I75" s="107"/>
      <c r="J75" s="107"/>
      <c r="K75" s="107"/>
      <c r="L75" s="107"/>
      <c r="M75" s="107"/>
      <c r="N75" s="107"/>
      <c r="O75" s="107"/>
      <c r="P75" s="107"/>
      <c r="Q75" s="107"/>
      <c r="R75" s="107"/>
      <c r="S75" s="107"/>
      <c r="T75" s="107"/>
      <c r="U75" s="107"/>
      <c r="V75" s="107"/>
      <c r="W75" s="107"/>
      <c r="X75" s="107"/>
      <c r="Y75" s="107"/>
      <c r="Z75" s="107"/>
      <c r="AA75" s="107"/>
      <c r="AB75" s="107"/>
      <c r="AC75" s="107"/>
      <c r="AD75" s="107"/>
      <c r="AE75" s="107"/>
      <c r="AF75" s="107"/>
      <c r="AG75" s="107"/>
      <c r="AH75" s="107"/>
      <c r="AI75" s="107"/>
      <c r="AJ75" s="107"/>
      <c r="AK75" s="107"/>
      <c r="AL75" s="107"/>
      <c r="AM75" s="107"/>
      <c r="AN75" s="107"/>
      <c r="AO75" s="107"/>
      <c r="AP75" s="107"/>
      <c r="AQ75" s="107"/>
      <c r="AR75" s="107"/>
      <c r="AS75" s="107"/>
      <c r="AT75" s="107"/>
      <c r="AU75" s="107"/>
      <c r="AV75" s="107"/>
      <c r="AW75" s="107"/>
      <c r="AX75" s="107"/>
      <c r="AY75" s="107"/>
    </row>
    <row r="76" spans="1:51" x14ac:dyDescent="0.15">
      <c r="A76" s="106"/>
      <c r="B76" s="124">
        <v>32</v>
      </c>
      <c r="C76" s="106" t="s">
        <v>292</v>
      </c>
      <c r="D76" s="107"/>
      <c r="E76" s="107"/>
      <c r="F76" s="107"/>
      <c r="G76" s="107"/>
      <c r="H76" s="107"/>
      <c r="I76" s="107"/>
      <c r="J76" s="107"/>
      <c r="K76" s="107"/>
      <c r="L76" s="107"/>
      <c r="M76" s="107"/>
      <c r="N76" s="107"/>
      <c r="O76" s="107"/>
      <c r="P76" s="107"/>
      <c r="Q76" s="107"/>
      <c r="R76" s="107"/>
      <c r="S76" s="107"/>
      <c r="T76" s="107"/>
      <c r="U76" s="107"/>
      <c r="V76" s="107"/>
      <c r="W76" s="107"/>
      <c r="X76" s="107"/>
      <c r="Y76" s="107"/>
      <c r="Z76" s="107"/>
      <c r="AA76" s="107"/>
      <c r="AB76" s="107"/>
      <c r="AC76" s="107"/>
      <c r="AD76" s="107"/>
      <c r="AE76" s="107"/>
      <c r="AF76" s="107"/>
      <c r="AG76" s="107"/>
      <c r="AH76" s="107"/>
      <c r="AI76" s="107"/>
      <c r="AJ76" s="107"/>
      <c r="AK76" s="107"/>
      <c r="AL76" s="107"/>
      <c r="AM76" s="107"/>
      <c r="AN76" s="107"/>
      <c r="AO76" s="107"/>
      <c r="AP76" s="107"/>
      <c r="AQ76" s="107"/>
      <c r="AR76" s="107"/>
      <c r="AS76" s="107"/>
      <c r="AT76" s="107"/>
      <c r="AU76" s="107"/>
      <c r="AV76" s="107"/>
      <c r="AW76" s="107"/>
      <c r="AX76" s="107"/>
      <c r="AY76" s="107"/>
    </row>
    <row r="77" spans="1:51" x14ac:dyDescent="0.15">
      <c r="A77" s="106"/>
      <c r="B77" s="124">
        <v>33</v>
      </c>
      <c r="C77" s="106" t="s">
        <v>292</v>
      </c>
      <c r="D77" s="107"/>
      <c r="E77" s="107"/>
      <c r="F77" s="107"/>
      <c r="G77" s="107"/>
      <c r="H77" s="107"/>
      <c r="I77" s="107"/>
      <c r="J77" s="107"/>
      <c r="K77" s="107"/>
      <c r="L77" s="107"/>
      <c r="M77" s="107"/>
      <c r="N77" s="107"/>
      <c r="O77" s="107"/>
      <c r="P77" s="107"/>
      <c r="Q77" s="107"/>
      <c r="R77" s="107"/>
      <c r="S77" s="107"/>
      <c r="T77" s="107"/>
      <c r="U77" s="107"/>
      <c r="V77" s="107"/>
      <c r="W77" s="107"/>
      <c r="X77" s="107"/>
      <c r="Y77" s="107"/>
      <c r="Z77" s="107"/>
      <c r="AA77" s="107"/>
      <c r="AB77" s="107"/>
      <c r="AC77" s="107"/>
      <c r="AD77" s="107"/>
      <c r="AE77" s="107"/>
      <c r="AF77" s="107"/>
      <c r="AG77" s="107"/>
      <c r="AH77" s="107"/>
      <c r="AI77" s="107"/>
      <c r="AJ77" s="107"/>
      <c r="AK77" s="107"/>
      <c r="AL77" s="107"/>
      <c r="AM77" s="107"/>
      <c r="AN77" s="107"/>
      <c r="AO77" s="107"/>
      <c r="AP77" s="107"/>
      <c r="AQ77" s="107"/>
      <c r="AR77" s="107"/>
      <c r="AS77" s="107"/>
      <c r="AT77" s="107"/>
      <c r="AU77" s="107"/>
      <c r="AV77" s="107"/>
      <c r="AW77" s="107"/>
      <c r="AX77" s="107"/>
      <c r="AY77" s="107"/>
    </row>
    <row r="78" spans="1:51" x14ac:dyDescent="0.15">
      <c r="A78" s="106"/>
      <c r="B78" s="124">
        <v>34</v>
      </c>
      <c r="C78" s="106" t="s">
        <v>292</v>
      </c>
      <c r="D78" s="107"/>
      <c r="E78" s="107"/>
      <c r="F78" s="107"/>
      <c r="G78" s="107"/>
      <c r="H78" s="107"/>
      <c r="I78" s="107"/>
      <c r="J78" s="107"/>
      <c r="K78" s="107"/>
      <c r="L78" s="107"/>
      <c r="M78" s="107"/>
      <c r="N78" s="107"/>
      <c r="O78" s="107"/>
      <c r="P78" s="107"/>
      <c r="Q78" s="107"/>
      <c r="R78" s="107"/>
      <c r="S78" s="107"/>
      <c r="T78" s="107"/>
      <c r="U78" s="107"/>
      <c r="V78" s="107"/>
      <c r="W78" s="107"/>
      <c r="X78" s="107"/>
      <c r="Y78" s="107"/>
      <c r="Z78" s="107"/>
      <c r="AA78" s="107"/>
      <c r="AB78" s="107"/>
      <c r="AC78" s="107"/>
      <c r="AD78" s="107"/>
      <c r="AE78" s="107"/>
      <c r="AF78" s="107"/>
      <c r="AG78" s="107"/>
      <c r="AH78" s="107"/>
      <c r="AI78" s="107"/>
      <c r="AJ78" s="107"/>
      <c r="AK78" s="107"/>
      <c r="AL78" s="107"/>
      <c r="AM78" s="107"/>
      <c r="AN78" s="107"/>
      <c r="AO78" s="107"/>
      <c r="AP78" s="107"/>
      <c r="AQ78" s="107"/>
      <c r="AR78" s="107"/>
      <c r="AS78" s="107"/>
      <c r="AT78" s="107"/>
      <c r="AU78" s="107"/>
      <c r="AV78" s="107"/>
      <c r="AW78" s="107"/>
      <c r="AX78" s="107"/>
      <c r="AY78" s="107"/>
    </row>
    <row r="79" spans="1:51" x14ac:dyDescent="0.15">
      <c r="A79" s="106"/>
      <c r="B79" s="124">
        <v>35</v>
      </c>
      <c r="C79" s="106" t="s">
        <v>292</v>
      </c>
      <c r="D79" s="107"/>
      <c r="E79" s="107"/>
      <c r="F79" s="107"/>
      <c r="G79" s="107"/>
      <c r="H79" s="107"/>
      <c r="I79" s="107"/>
      <c r="J79" s="107"/>
      <c r="K79" s="107"/>
      <c r="L79" s="107"/>
      <c r="M79" s="107"/>
      <c r="N79" s="107"/>
      <c r="O79" s="107"/>
      <c r="P79" s="107"/>
      <c r="Q79" s="107"/>
      <c r="R79" s="107"/>
      <c r="S79" s="107"/>
      <c r="T79" s="107"/>
      <c r="U79" s="107"/>
      <c r="V79" s="107"/>
      <c r="W79" s="107"/>
      <c r="X79" s="107"/>
      <c r="Y79" s="107"/>
      <c r="Z79" s="107"/>
      <c r="AA79" s="107"/>
      <c r="AB79" s="107"/>
      <c r="AC79" s="107"/>
      <c r="AD79" s="107"/>
      <c r="AE79" s="107"/>
      <c r="AF79" s="107"/>
      <c r="AG79" s="107"/>
      <c r="AH79" s="107"/>
      <c r="AI79" s="107"/>
      <c r="AJ79" s="107"/>
      <c r="AK79" s="107"/>
      <c r="AL79" s="107"/>
      <c r="AM79" s="107"/>
      <c r="AN79" s="107"/>
      <c r="AO79" s="107"/>
      <c r="AP79" s="107"/>
      <c r="AQ79" s="107"/>
      <c r="AR79" s="107"/>
      <c r="AS79" s="107"/>
      <c r="AT79" s="107"/>
      <c r="AU79" s="107"/>
      <c r="AV79" s="107"/>
      <c r="AW79" s="107"/>
      <c r="AX79" s="107"/>
      <c r="AY79" s="107"/>
    </row>
    <row r="80" spans="1:51" x14ac:dyDescent="0.15">
      <c r="A80" s="106"/>
      <c r="B80" s="124">
        <v>36</v>
      </c>
      <c r="C80" s="106" t="s">
        <v>292</v>
      </c>
      <c r="D80" s="107"/>
      <c r="E80" s="107"/>
      <c r="F80" s="107"/>
      <c r="G80" s="107"/>
      <c r="H80" s="107"/>
      <c r="I80" s="107"/>
      <c r="J80" s="107"/>
      <c r="K80" s="107"/>
      <c r="L80" s="107"/>
      <c r="M80" s="107"/>
      <c r="N80" s="107"/>
      <c r="O80" s="107"/>
      <c r="P80" s="107"/>
      <c r="Q80" s="107"/>
      <c r="R80" s="107"/>
      <c r="S80" s="107"/>
      <c r="T80" s="107"/>
      <c r="U80" s="107"/>
      <c r="V80" s="107"/>
      <c r="W80" s="107"/>
      <c r="X80" s="107"/>
      <c r="Y80" s="107"/>
      <c r="Z80" s="107"/>
      <c r="AA80" s="107"/>
      <c r="AB80" s="107"/>
      <c r="AC80" s="107"/>
      <c r="AD80" s="107"/>
      <c r="AE80" s="107"/>
      <c r="AF80" s="107"/>
      <c r="AG80" s="107"/>
      <c r="AH80" s="107"/>
      <c r="AI80" s="107"/>
      <c r="AJ80" s="107"/>
      <c r="AK80" s="107"/>
      <c r="AL80" s="107"/>
      <c r="AM80" s="107"/>
      <c r="AN80" s="107"/>
      <c r="AO80" s="107"/>
      <c r="AP80" s="107"/>
      <c r="AQ80" s="107"/>
      <c r="AR80" s="107"/>
      <c r="AS80" s="107"/>
      <c r="AT80" s="107"/>
      <c r="AU80" s="107"/>
      <c r="AV80" s="107"/>
      <c r="AW80" s="107"/>
      <c r="AX80" s="107"/>
      <c r="AY80" s="107"/>
    </row>
    <row r="81" spans="1:52" x14ac:dyDescent="0.15">
      <c r="A81" s="106"/>
      <c r="B81" s="127">
        <v>37</v>
      </c>
      <c r="C81" s="106" t="s">
        <v>292</v>
      </c>
      <c r="D81" s="107"/>
      <c r="E81" s="107"/>
      <c r="F81" s="107"/>
      <c r="G81" s="107"/>
      <c r="H81" s="107"/>
      <c r="I81" s="107"/>
      <c r="J81" s="107"/>
      <c r="K81" s="107"/>
      <c r="L81" s="107"/>
      <c r="M81" s="107"/>
      <c r="N81" s="107"/>
      <c r="O81" s="107"/>
      <c r="P81" s="107"/>
      <c r="Q81" s="107"/>
      <c r="R81" s="107"/>
      <c r="S81" s="107"/>
      <c r="T81" s="107"/>
      <c r="U81" s="107"/>
      <c r="V81" s="107"/>
      <c r="W81" s="107"/>
      <c r="X81" s="107"/>
      <c r="Y81" s="107"/>
      <c r="Z81" s="107"/>
      <c r="AA81" s="107"/>
      <c r="AB81" s="107"/>
      <c r="AC81" s="107"/>
      <c r="AD81" s="107"/>
      <c r="AE81" s="107"/>
      <c r="AF81" s="107"/>
      <c r="AG81" s="107"/>
      <c r="AH81" s="107"/>
      <c r="AI81" s="107"/>
      <c r="AJ81" s="107"/>
      <c r="AK81" s="107"/>
      <c r="AL81" s="107"/>
      <c r="AM81" s="107"/>
      <c r="AN81" s="107"/>
      <c r="AO81" s="107"/>
      <c r="AP81" s="107"/>
      <c r="AQ81" s="107"/>
      <c r="AR81" s="107"/>
      <c r="AS81" s="107"/>
      <c r="AT81" s="107"/>
      <c r="AU81" s="107"/>
      <c r="AV81" s="107"/>
      <c r="AW81" s="107"/>
      <c r="AX81" s="107"/>
      <c r="AY81" s="107"/>
    </row>
    <row r="82" spans="1:52" x14ac:dyDescent="0.15">
      <c r="A82" s="106"/>
      <c r="B82" s="127">
        <v>38</v>
      </c>
      <c r="C82" s="106" t="s">
        <v>292</v>
      </c>
      <c r="D82" s="107"/>
      <c r="E82" s="107"/>
      <c r="F82" s="107"/>
      <c r="G82" s="107"/>
      <c r="H82" s="107"/>
      <c r="I82" s="107"/>
      <c r="J82" s="107"/>
      <c r="K82" s="107"/>
      <c r="L82" s="107"/>
      <c r="M82" s="107"/>
      <c r="N82" s="107"/>
      <c r="O82" s="107"/>
      <c r="P82" s="107"/>
      <c r="Q82" s="107"/>
      <c r="R82" s="107"/>
      <c r="S82" s="107"/>
      <c r="T82" s="107"/>
      <c r="U82" s="107"/>
      <c r="V82" s="107"/>
      <c r="W82" s="107"/>
      <c r="X82" s="107"/>
      <c r="Y82" s="107"/>
      <c r="Z82" s="107"/>
      <c r="AA82" s="107"/>
      <c r="AB82" s="107"/>
      <c r="AC82" s="107"/>
      <c r="AD82" s="107"/>
      <c r="AE82" s="107"/>
      <c r="AF82" s="107"/>
      <c r="AG82" s="107"/>
      <c r="AH82" s="107"/>
      <c r="AI82" s="107"/>
      <c r="AJ82" s="107"/>
      <c r="AK82" s="107"/>
      <c r="AL82" s="107"/>
      <c r="AM82" s="107"/>
      <c r="AN82" s="107"/>
      <c r="AO82" s="107"/>
      <c r="AP82" s="107"/>
      <c r="AQ82" s="107"/>
      <c r="AR82" s="107"/>
      <c r="AS82" s="107"/>
      <c r="AT82" s="107"/>
      <c r="AU82" s="107"/>
      <c r="AV82" s="107"/>
      <c r="AW82" s="107"/>
      <c r="AX82" s="107"/>
      <c r="AY82" s="107"/>
    </row>
    <row r="83" spans="1:52" x14ac:dyDescent="0.15">
      <c r="A83" s="106"/>
      <c r="B83" s="127">
        <v>39</v>
      </c>
      <c r="C83" s="106" t="s">
        <v>292</v>
      </c>
      <c r="D83" s="107"/>
      <c r="E83" s="107"/>
      <c r="F83" s="107"/>
      <c r="G83" s="107"/>
      <c r="H83" s="107"/>
      <c r="I83" s="107"/>
      <c r="J83" s="107"/>
      <c r="K83" s="107"/>
      <c r="L83" s="107"/>
      <c r="M83" s="107"/>
      <c r="N83" s="107"/>
      <c r="O83" s="107"/>
      <c r="P83" s="107"/>
      <c r="Q83" s="107"/>
      <c r="R83" s="107"/>
      <c r="S83" s="107"/>
      <c r="T83" s="107"/>
      <c r="U83" s="107"/>
      <c r="V83" s="107"/>
      <c r="W83" s="107"/>
      <c r="X83" s="107"/>
      <c r="Y83" s="107"/>
      <c r="Z83" s="107"/>
      <c r="AA83" s="107"/>
      <c r="AB83" s="107"/>
      <c r="AC83" s="107"/>
      <c r="AD83" s="107"/>
      <c r="AE83" s="107"/>
      <c r="AF83" s="107"/>
      <c r="AG83" s="107"/>
      <c r="AH83" s="107"/>
      <c r="AI83" s="107"/>
      <c r="AJ83" s="107"/>
      <c r="AK83" s="107"/>
      <c r="AL83" s="107"/>
      <c r="AM83" s="107"/>
      <c r="AN83" s="107"/>
      <c r="AO83" s="107"/>
      <c r="AP83" s="107"/>
      <c r="AQ83" s="107"/>
      <c r="AR83" s="107"/>
      <c r="AS83" s="107"/>
      <c r="AT83" s="107"/>
      <c r="AU83" s="107"/>
      <c r="AV83" s="107"/>
      <c r="AW83" s="107"/>
      <c r="AX83" s="107"/>
      <c r="AY83" s="107"/>
    </row>
    <row r="84" spans="1:52" x14ac:dyDescent="0.15">
      <c r="A84" s="106"/>
      <c r="B84" s="127">
        <v>40</v>
      </c>
      <c r="C84" s="106" t="s">
        <v>292</v>
      </c>
      <c r="D84" s="107"/>
      <c r="E84" s="107"/>
      <c r="F84" s="107"/>
      <c r="G84" s="107"/>
      <c r="H84" s="107"/>
      <c r="I84" s="107"/>
      <c r="J84" s="107"/>
      <c r="K84" s="107"/>
      <c r="L84" s="107"/>
      <c r="M84" s="107"/>
      <c r="N84" s="107"/>
      <c r="O84" s="107"/>
      <c r="P84" s="107"/>
      <c r="Q84" s="107"/>
      <c r="R84" s="107"/>
      <c r="S84" s="107"/>
      <c r="T84" s="107"/>
      <c r="U84" s="107"/>
      <c r="V84" s="107"/>
      <c r="W84" s="107"/>
      <c r="X84" s="107"/>
      <c r="Y84" s="107"/>
      <c r="Z84" s="107"/>
      <c r="AA84" s="107"/>
      <c r="AB84" s="107"/>
      <c r="AC84" s="107"/>
      <c r="AD84" s="107"/>
      <c r="AE84" s="107"/>
      <c r="AF84" s="107"/>
      <c r="AG84" s="107"/>
      <c r="AH84" s="107"/>
      <c r="AI84" s="107"/>
      <c r="AJ84" s="107"/>
      <c r="AK84" s="107"/>
      <c r="AL84" s="107"/>
      <c r="AM84" s="107"/>
      <c r="AN84" s="107"/>
      <c r="AO84" s="107"/>
      <c r="AP84" s="107"/>
      <c r="AQ84" s="107"/>
      <c r="AR84" s="107"/>
      <c r="AS84" s="107"/>
      <c r="AT84" s="107"/>
      <c r="AU84" s="107"/>
      <c r="AV84" s="107"/>
      <c r="AW84" s="107"/>
      <c r="AX84" s="107"/>
      <c r="AY84" s="107"/>
    </row>
    <row r="85" spans="1:52" x14ac:dyDescent="0.15">
      <c r="A85" s="106"/>
      <c r="B85" s="127">
        <v>41</v>
      </c>
      <c r="C85" s="106" t="s">
        <v>292</v>
      </c>
      <c r="D85" s="107"/>
      <c r="E85" s="107"/>
      <c r="F85" s="107"/>
      <c r="G85" s="107"/>
      <c r="H85" s="107"/>
      <c r="I85" s="107"/>
      <c r="J85" s="107"/>
      <c r="K85" s="107"/>
      <c r="L85" s="107"/>
      <c r="M85" s="107"/>
      <c r="N85" s="107"/>
      <c r="O85" s="107"/>
      <c r="P85" s="107"/>
      <c r="Q85" s="107"/>
      <c r="R85" s="107"/>
      <c r="S85" s="107"/>
      <c r="T85" s="107"/>
      <c r="U85" s="107"/>
      <c r="V85" s="107"/>
      <c r="W85" s="107"/>
      <c r="X85" s="107"/>
      <c r="Y85" s="107"/>
      <c r="Z85" s="107"/>
      <c r="AA85" s="107"/>
      <c r="AB85" s="107"/>
      <c r="AC85" s="107"/>
      <c r="AD85" s="107"/>
      <c r="AE85" s="107"/>
      <c r="AF85" s="107"/>
      <c r="AG85" s="107"/>
      <c r="AH85" s="107"/>
      <c r="AI85" s="107"/>
      <c r="AJ85" s="107"/>
      <c r="AK85" s="107"/>
      <c r="AL85" s="107"/>
      <c r="AM85" s="107"/>
      <c r="AN85" s="107"/>
      <c r="AO85" s="107"/>
      <c r="AP85" s="107"/>
      <c r="AQ85" s="107"/>
      <c r="AR85" s="107"/>
      <c r="AS85" s="107"/>
      <c r="AT85" s="107"/>
      <c r="AU85" s="107"/>
      <c r="AV85" s="107"/>
      <c r="AW85" s="107"/>
      <c r="AX85" s="107"/>
      <c r="AY85" s="107"/>
    </row>
    <row r="86" spans="1:52" x14ac:dyDescent="0.15">
      <c r="A86" s="106"/>
      <c r="B86" s="127">
        <v>42</v>
      </c>
      <c r="C86" s="106" t="s">
        <v>292</v>
      </c>
      <c r="D86" s="107"/>
      <c r="E86" s="107"/>
      <c r="F86" s="107"/>
      <c r="G86" s="107"/>
      <c r="H86" s="107"/>
      <c r="I86" s="107"/>
      <c r="J86" s="107"/>
      <c r="K86" s="107"/>
      <c r="L86" s="107"/>
      <c r="M86" s="107"/>
      <c r="N86" s="107"/>
      <c r="O86" s="107"/>
      <c r="P86" s="107"/>
      <c r="Q86" s="107"/>
      <c r="R86" s="107"/>
      <c r="S86" s="107"/>
      <c r="T86" s="107"/>
      <c r="U86" s="107"/>
      <c r="V86" s="107"/>
      <c r="W86" s="107"/>
      <c r="X86" s="107"/>
      <c r="Y86" s="107"/>
      <c r="Z86" s="107"/>
      <c r="AA86" s="107"/>
      <c r="AB86" s="107"/>
      <c r="AC86" s="107"/>
      <c r="AD86" s="107"/>
      <c r="AE86" s="107"/>
      <c r="AF86" s="107"/>
      <c r="AG86" s="107"/>
      <c r="AH86" s="107"/>
      <c r="AI86" s="107"/>
      <c r="AJ86" s="107"/>
      <c r="AK86" s="107"/>
      <c r="AL86" s="107"/>
      <c r="AM86" s="107"/>
      <c r="AN86" s="107"/>
      <c r="AO86" s="107"/>
      <c r="AP86" s="107"/>
      <c r="AQ86" s="107"/>
      <c r="AR86" s="107"/>
      <c r="AS86" s="107"/>
      <c r="AT86" s="107"/>
      <c r="AU86" s="107"/>
      <c r="AV86" s="107"/>
      <c r="AW86" s="107"/>
      <c r="AX86" s="107"/>
      <c r="AY86" s="107"/>
    </row>
    <row r="87" spans="1:52" x14ac:dyDescent="0.15">
      <c r="A87" s="106"/>
      <c r="B87" s="127">
        <v>43</v>
      </c>
      <c r="C87" s="106" t="s">
        <v>292</v>
      </c>
      <c r="D87" s="107"/>
      <c r="E87" s="107"/>
      <c r="F87" s="107"/>
      <c r="G87" s="107"/>
      <c r="H87" s="107"/>
      <c r="I87" s="107"/>
      <c r="J87" s="107"/>
      <c r="K87" s="107"/>
      <c r="L87" s="107"/>
      <c r="M87" s="107"/>
      <c r="N87" s="107"/>
      <c r="O87" s="107"/>
      <c r="P87" s="107"/>
      <c r="Q87" s="107"/>
      <c r="R87" s="107"/>
      <c r="S87" s="107"/>
      <c r="T87" s="107"/>
      <c r="U87" s="107"/>
      <c r="V87" s="107"/>
      <c r="W87" s="107"/>
      <c r="X87" s="107"/>
      <c r="Y87" s="107"/>
      <c r="Z87" s="107"/>
      <c r="AA87" s="107"/>
      <c r="AB87" s="107"/>
      <c r="AC87" s="107"/>
      <c r="AD87" s="107"/>
      <c r="AE87" s="107"/>
      <c r="AF87" s="107"/>
      <c r="AG87" s="107"/>
      <c r="AH87" s="107"/>
      <c r="AI87" s="107"/>
      <c r="AJ87" s="107"/>
      <c r="AK87" s="107"/>
      <c r="AL87" s="107"/>
      <c r="AM87" s="107"/>
      <c r="AN87" s="107"/>
      <c r="AO87" s="107"/>
      <c r="AP87" s="107"/>
      <c r="AQ87" s="107"/>
      <c r="AR87" s="107"/>
      <c r="AS87" s="107"/>
      <c r="AT87" s="107"/>
      <c r="AU87" s="107"/>
      <c r="AV87" s="107"/>
      <c r="AW87" s="107"/>
      <c r="AX87" s="107"/>
      <c r="AY87" s="107"/>
    </row>
    <row r="88" spans="1:52" x14ac:dyDescent="0.15">
      <c r="A88" s="106"/>
      <c r="B88" s="127">
        <v>44</v>
      </c>
      <c r="C88" s="106" t="s">
        <v>292</v>
      </c>
      <c r="D88" s="107"/>
      <c r="E88" s="107"/>
      <c r="F88" s="107"/>
      <c r="G88" s="107"/>
      <c r="H88" s="107"/>
      <c r="I88" s="107"/>
      <c r="J88" s="107"/>
      <c r="K88" s="107"/>
      <c r="L88" s="107"/>
      <c r="M88" s="107"/>
      <c r="N88" s="107"/>
      <c r="O88" s="107"/>
      <c r="P88" s="107"/>
      <c r="Q88" s="107"/>
      <c r="R88" s="107"/>
      <c r="S88" s="107"/>
      <c r="T88" s="107"/>
      <c r="U88" s="107"/>
      <c r="V88" s="107"/>
      <c r="W88" s="107"/>
      <c r="X88" s="107"/>
      <c r="Y88" s="107"/>
      <c r="Z88" s="107"/>
      <c r="AA88" s="107"/>
      <c r="AB88" s="107"/>
      <c r="AC88" s="107"/>
      <c r="AD88" s="107"/>
      <c r="AE88" s="107"/>
      <c r="AF88" s="107"/>
      <c r="AG88" s="107"/>
      <c r="AH88" s="107"/>
      <c r="AI88" s="107"/>
      <c r="AJ88" s="107"/>
      <c r="AK88" s="107"/>
      <c r="AL88" s="107"/>
      <c r="AM88" s="107"/>
      <c r="AN88" s="107"/>
      <c r="AO88" s="107"/>
      <c r="AP88" s="107"/>
      <c r="AQ88" s="107"/>
      <c r="AR88" s="107"/>
      <c r="AS88" s="107"/>
      <c r="AT88" s="107"/>
      <c r="AU88" s="107"/>
      <c r="AV88" s="107"/>
      <c r="AW88" s="107"/>
      <c r="AX88" s="107"/>
      <c r="AY88" s="107"/>
    </row>
    <row r="89" spans="1:52" x14ac:dyDescent="0.15">
      <c r="A89" s="106"/>
      <c r="B89" s="127">
        <v>45</v>
      </c>
      <c r="C89" s="106" t="s">
        <v>292</v>
      </c>
      <c r="D89" s="107"/>
      <c r="E89" s="107"/>
      <c r="F89" s="107"/>
      <c r="G89" s="107"/>
      <c r="H89" s="107"/>
      <c r="I89" s="107"/>
      <c r="J89" s="107"/>
      <c r="K89" s="107"/>
      <c r="L89" s="107"/>
      <c r="M89" s="107"/>
      <c r="N89" s="107"/>
      <c r="O89" s="107"/>
      <c r="P89" s="107"/>
      <c r="Q89" s="107"/>
      <c r="R89" s="107"/>
      <c r="S89" s="107"/>
      <c r="T89" s="107"/>
      <c r="U89" s="107"/>
      <c r="V89" s="107"/>
      <c r="W89" s="107"/>
      <c r="X89" s="107"/>
      <c r="Y89" s="107"/>
      <c r="Z89" s="107"/>
      <c r="AA89" s="107"/>
      <c r="AB89" s="107"/>
      <c r="AC89" s="107"/>
      <c r="AD89" s="107"/>
      <c r="AE89" s="107"/>
      <c r="AF89" s="107"/>
      <c r="AG89" s="107"/>
      <c r="AH89" s="107"/>
      <c r="AI89" s="107"/>
      <c r="AJ89" s="107"/>
      <c r="AK89" s="107"/>
      <c r="AL89" s="107"/>
      <c r="AM89" s="107"/>
      <c r="AN89" s="107"/>
      <c r="AO89" s="107"/>
      <c r="AP89" s="107"/>
      <c r="AQ89" s="107"/>
      <c r="AR89" s="107"/>
      <c r="AS89" s="107"/>
      <c r="AT89" s="107"/>
      <c r="AU89" s="107"/>
      <c r="AV89" s="107"/>
      <c r="AW89" s="107"/>
      <c r="AX89" s="107"/>
      <c r="AY89" s="107"/>
    </row>
    <row r="90" spans="1:52" x14ac:dyDescent="0.15">
      <c r="A90" s="106"/>
      <c r="B90" s="127">
        <v>46</v>
      </c>
      <c r="C90" s="106" t="s">
        <v>292</v>
      </c>
      <c r="D90" s="107"/>
      <c r="E90" s="107"/>
      <c r="F90" s="107"/>
      <c r="G90" s="107"/>
      <c r="H90" s="107"/>
      <c r="I90" s="107"/>
      <c r="J90" s="107"/>
      <c r="K90" s="107"/>
      <c r="L90" s="107"/>
      <c r="M90" s="107"/>
      <c r="N90" s="107"/>
      <c r="O90" s="107"/>
      <c r="P90" s="107"/>
      <c r="Q90" s="107"/>
      <c r="R90" s="107"/>
      <c r="S90" s="107"/>
      <c r="T90" s="107"/>
      <c r="U90" s="107"/>
      <c r="V90" s="107"/>
      <c r="W90" s="107"/>
      <c r="X90" s="107"/>
      <c r="Y90" s="107"/>
      <c r="Z90" s="107"/>
      <c r="AA90" s="107"/>
      <c r="AB90" s="107"/>
      <c r="AC90" s="107"/>
      <c r="AD90" s="107"/>
      <c r="AE90" s="107"/>
      <c r="AF90" s="107"/>
      <c r="AG90" s="107"/>
      <c r="AH90" s="107"/>
      <c r="AI90" s="107"/>
      <c r="AJ90" s="107"/>
      <c r="AK90" s="107"/>
      <c r="AL90" s="107"/>
      <c r="AM90" s="107"/>
      <c r="AN90" s="107"/>
      <c r="AO90" s="107"/>
      <c r="AP90" s="107"/>
      <c r="AQ90" s="107"/>
      <c r="AR90" s="107"/>
      <c r="AS90" s="107"/>
      <c r="AT90" s="107"/>
      <c r="AU90" s="107"/>
      <c r="AV90" s="107"/>
      <c r="AW90" s="107"/>
      <c r="AX90" s="107"/>
      <c r="AY90" s="107"/>
    </row>
    <row r="91" spans="1:52" x14ac:dyDescent="0.15">
      <c r="A91" s="106"/>
      <c r="B91" s="127">
        <v>47</v>
      </c>
      <c r="C91" s="106" t="s">
        <v>292</v>
      </c>
      <c r="D91" s="107"/>
      <c r="E91" s="107"/>
      <c r="F91" s="107"/>
      <c r="G91" s="107"/>
      <c r="H91" s="107"/>
      <c r="I91" s="107"/>
      <c r="J91" s="107"/>
      <c r="K91" s="107"/>
      <c r="L91" s="107"/>
      <c r="M91" s="107"/>
      <c r="N91" s="107"/>
      <c r="O91" s="107"/>
      <c r="P91" s="107"/>
      <c r="Q91" s="107"/>
      <c r="R91" s="107"/>
      <c r="S91" s="107"/>
      <c r="T91" s="107"/>
      <c r="U91" s="107"/>
      <c r="V91" s="107"/>
      <c r="W91" s="107"/>
      <c r="X91" s="107"/>
      <c r="Y91" s="107"/>
      <c r="Z91" s="107"/>
      <c r="AA91" s="107"/>
      <c r="AB91" s="107"/>
      <c r="AC91" s="107"/>
      <c r="AD91" s="107"/>
      <c r="AE91" s="107"/>
      <c r="AF91" s="107"/>
      <c r="AG91" s="107">
        <v>0</v>
      </c>
      <c r="AH91" s="107">
        <v>0</v>
      </c>
      <c r="AI91" s="107">
        <v>0</v>
      </c>
      <c r="AJ91" s="107">
        <v>0</v>
      </c>
      <c r="AK91" s="107">
        <v>0</v>
      </c>
      <c r="AL91" s="107">
        <v>0</v>
      </c>
      <c r="AM91" s="107">
        <v>0</v>
      </c>
      <c r="AN91" s="107">
        <v>0</v>
      </c>
      <c r="AO91" s="107">
        <v>0</v>
      </c>
      <c r="AP91" s="107">
        <v>0</v>
      </c>
      <c r="AQ91" s="107">
        <v>0</v>
      </c>
      <c r="AR91" s="107"/>
      <c r="AS91" s="107"/>
      <c r="AT91" s="107"/>
      <c r="AU91" s="107">
        <v>0</v>
      </c>
      <c r="AV91" s="107"/>
      <c r="AW91" s="107"/>
      <c r="AX91" s="107">
        <v>0</v>
      </c>
      <c r="AY91" s="107"/>
    </row>
    <row r="92" spans="1:52" x14ac:dyDescent="0.15">
      <c r="A92" s="125"/>
      <c r="B92" s="126">
        <v>48</v>
      </c>
      <c r="C92" s="125" t="s">
        <v>292</v>
      </c>
      <c r="D92" s="122">
        <v>0</v>
      </c>
      <c r="E92" s="122">
        <v>0</v>
      </c>
      <c r="F92" s="122">
        <v>0</v>
      </c>
      <c r="G92" s="122">
        <v>0</v>
      </c>
      <c r="H92" s="122">
        <v>0</v>
      </c>
      <c r="I92" s="122">
        <v>0</v>
      </c>
      <c r="J92" s="122">
        <v>0</v>
      </c>
      <c r="K92" s="122">
        <v>0</v>
      </c>
      <c r="L92" s="122">
        <v>0</v>
      </c>
      <c r="M92" s="122">
        <v>0</v>
      </c>
      <c r="N92" s="122">
        <v>0</v>
      </c>
      <c r="O92" s="122">
        <v>0</v>
      </c>
      <c r="P92" s="122">
        <v>0</v>
      </c>
      <c r="Q92" s="122">
        <v>0</v>
      </c>
      <c r="R92" s="122">
        <v>0</v>
      </c>
      <c r="S92" s="122">
        <v>0</v>
      </c>
      <c r="T92" s="122">
        <v>0</v>
      </c>
      <c r="U92" s="122">
        <v>0</v>
      </c>
      <c r="V92" s="122">
        <v>0</v>
      </c>
      <c r="W92" s="122">
        <v>0</v>
      </c>
      <c r="X92" s="122">
        <v>0</v>
      </c>
      <c r="Y92" s="122">
        <v>0</v>
      </c>
      <c r="Z92" s="122">
        <v>0</v>
      </c>
      <c r="AA92" s="122">
        <v>0</v>
      </c>
      <c r="AB92" s="122">
        <v>0</v>
      </c>
      <c r="AC92" s="122">
        <v>0</v>
      </c>
      <c r="AD92" s="122">
        <v>0</v>
      </c>
      <c r="AE92" s="122">
        <v>0</v>
      </c>
      <c r="AF92" s="122">
        <v>0</v>
      </c>
      <c r="AG92" s="122">
        <v>0</v>
      </c>
      <c r="AH92" s="122">
        <v>0</v>
      </c>
      <c r="AI92" s="122">
        <v>0</v>
      </c>
      <c r="AJ92" s="122">
        <v>0</v>
      </c>
      <c r="AK92" s="122">
        <v>0</v>
      </c>
      <c r="AL92" s="122">
        <v>0</v>
      </c>
      <c r="AM92" s="122">
        <v>0</v>
      </c>
      <c r="AN92" s="122">
        <v>0</v>
      </c>
      <c r="AO92" s="122">
        <v>0</v>
      </c>
      <c r="AP92" s="122">
        <v>0</v>
      </c>
      <c r="AQ92" s="122">
        <v>0</v>
      </c>
      <c r="AR92" s="122">
        <v>0</v>
      </c>
      <c r="AS92" s="122">
        <v>0</v>
      </c>
      <c r="AT92" s="122">
        <v>0</v>
      </c>
      <c r="AU92" s="122">
        <v>0</v>
      </c>
      <c r="AV92" s="122">
        <v>0</v>
      </c>
      <c r="AW92" s="122">
        <v>0</v>
      </c>
      <c r="AX92" s="122">
        <v>0</v>
      </c>
      <c r="AY92" s="122">
        <v>0</v>
      </c>
      <c r="AZ92" s="104">
        <f>SUM(D21:AY92)</f>
        <v>245645.27628777549</v>
      </c>
    </row>
    <row r="94" spans="1:52" x14ac:dyDescent="0.15">
      <c r="A94" s="99" t="s">
        <v>294</v>
      </c>
      <c r="B94" s="103"/>
      <c r="C94" s="103"/>
      <c r="D94" s="111"/>
      <c r="E94" s="111"/>
      <c r="F94" s="111"/>
      <c r="G94" s="111"/>
      <c r="H94" s="111"/>
      <c r="I94" s="111"/>
      <c r="J94" s="111"/>
      <c r="K94" s="111"/>
      <c r="L94" s="111"/>
      <c r="M94" s="111"/>
      <c r="N94" s="111"/>
      <c r="O94" s="111"/>
      <c r="P94" s="111"/>
      <c r="Q94" s="111"/>
      <c r="R94" s="111"/>
      <c r="S94" s="111"/>
      <c r="T94" s="111"/>
      <c r="U94" s="111"/>
      <c r="V94" s="111"/>
      <c r="W94" s="111"/>
      <c r="X94" s="111"/>
      <c r="Y94" s="111"/>
      <c r="Z94" s="111"/>
      <c r="AA94" s="111"/>
      <c r="AB94" s="111"/>
      <c r="AC94" s="111"/>
      <c r="AD94" s="111"/>
      <c r="AE94" s="111"/>
      <c r="AF94" s="111"/>
      <c r="AG94" s="111"/>
      <c r="AH94" s="111"/>
      <c r="AI94" s="111"/>
      <c r="AJ94" s="111"/>
      <c r="AK94" s="111"/>
      <c r="AL94" s="111"/>
      <c r="AM94" s="111"/>
      <c r="AN94" s="111"/>
      <c r="AO94" s="111"/>
      <c r="AP94" s="111"/>
      <c r="AQ94" s="111"/>
      <c r="AR94" s="111"/>
      <c r="AS94" s="111"/>
      <c r="AT94" s="111"/>
      <c r="AU94" s="111"/>
      <c r="AV94" s="111"/>
      <c r="AW94" s="111"/>
      <c r="AX94" s="111"/>
      <c r="AY94" s="111"/>
    </row>
    <row r="95" spans="1:52" x14ac:dyDescent="0.15">
      <c r="A95" s="123" t="s">
        <v>125</v>
      </c>
      <c r="B95" s="120">
        <v>1</v>
      </c>
      <c r="C95" s="121"/>
      <c r="D95" s="107">
        <v>10031.693728146485</v>
      </c>
      <c r="E95" s="107">
        <v>10034.442615284395</v>
      </c>
      <c r="F95" s="107">
        <v>10037.191648669816</v>
      </c>
      <c r="G95" s="107">
        <v>10039.940387417231</v>
      </c>
      <c r="H95" s="107">
        <v>10042.688390493491</v>
      </c>
      <c r="I95" s="107">
        <v>10045.435216795158</v>
      </c>
      <c r="J95" s="107">
        <v>9666.9762670331529</v>
      </c>
      <c r="K95" s="107">
        <v>10050.923574774115</v>
      </c>
      <c r="L95" s="107">
        <v>9787.022626125723</v>
      </c>
      <c r="M95" s="107">
        <v>9792.954329985434</v>
      </c>
      <c r="N95" s="107">
        <v>9414.3877996398842</v>
      </c>
      <c r="O95" s="107">
        <v>10061.86677120732</v>
      </c>
      <c r="P95" s="107">
        <v>10064.593019552512</v>
      </c>
      <c r="Q95" s="107">
        <v>10067.314569061107</v>
      </c>
      <c r="R95" s="107">
        <v>10070.030981483189</v>
      </c>
      <c r="S95" s="107">
        <v>10072.741819273024</v>
      </c>
      <c r="T95" s="107">
        <v>8579.5360156328807</v>
      </c>
      <c r="U95" s="107">
        <v>8972.9676085941701</v>
      </c>
      <c r="V95" s="107">
        <v>8977.0048538217925</v>
      </c>
      <c r="W95" s="107">
        <v>10083.52070216384</v>
      </c>
      <c r="X95" s="107">
        <v>10086.197133653392</v>
      </c>
      <c r="Y95" s="107">
        <v>10088.865384341747</v>
      </c>
      <c r="Z95" s="107">
        <v>10091.525023768707</v>
      </c>
      <c r="AA95" s="107">
        <v>10094.175622792705</v>
      </c>
      <c r="AB95" s="107">
        <v>10096.816753666901</v>
      </c>
      <c r="AC95" s="107">
        <v>10099.447990115075</v>
      </c>
      <c r="AD95" s="107">
        <v>9229.6149341510554</v>
      </c>
      <c r="AE95" s="107">
        <v>9897.5548181238992</v>
      </c>
      <c r="AF95" s="107">
        <v>9016.6672121404699</v>
      </c>
      <c r="AG95" s="107">
        <v>10109.865521826034</v>
      </c>
      <c r="AH95" s="107">
        <v>10112.440948756393</v>
      </c>
      <c r="AI95" s="107">
        <v>10115.003958707281</v>
      </c>
      <c r="AJ95" s="107">
        <v>10117.554137801832</v>
      </c>
      <c r="AK95" s="107">
        <v>10120.091074231983</v>
      </c>
      <c r="AL95" s="107">
        <v>10122.614358331919</v>
      </c>
      <c r="AM95" s="107">
        <v>10125.123582651193</v>
      </c>
      <c r="AN95" s="107">
        <v>10127.618342027483</v>
      </c>
      <c r="AO95" s="107">
        <v>10130.098233658995</v>
      </c>
      <c r="AP95" s="107">
        <v>10132.562857176483</v>
      </c>
      <c r="AQ95" s="107">
        <v>10135.011814714877</v>
      </c>
      <c r="AR95" s="107">
        <v>10137.444710984513</v>
      </c>
      <c r="AS95" s="107">
        <v>9973.7826384214295</v>
      </c>
      <c r="AT95" s="107">
        <v>10142.260751860313</v>
      </c>
      <c r="AU95" s="107">
        <v>10144.643119399308</v>
      </c>
      <c r="AV95" s="107">
        <v>10147.007871674641</v>
      </c>
      <c r="AW95" s="107">
        <v>10149.354627327051</v>
      </c>
      <c r="AX95" s="107">
        <v>10151.683007990863</v>
      </c>
      <c r="AY95" s="107">
        <v>10153.992638362022</v>
      </c>
    </row>
    <row r="96" spans="1:52" x14ac:dyDescent="0.15">
      <c r="A96" s="106"/>
      <c r="B96" s="117">
        <v>2</v>
      </c>
      <c r="C96" s="107"/>
      <c r="D96" s="107">
        <v>0</v>
      </c>
      <c r="E96" s="107">
        <v>8204.6937281464852</v>
      </c>
      <c r="F96" s="107">
        <v>10034.442615284395</v>
      </c>
      <c r="G96" s="107">
        <v>10037.191648669816</v>
      </c>
      <c r="H96" s="107">
        <v>10039.940387417231</v>
      </c>
      <c r="I96" s="107">
        <v>10042.688390493491</v>
      </c>
      <c r="J96" s="107">
        <v>10045.435216795158</v>
      </c>
      <c r="K96" s="107">
        <v>9666.9762670331529</v>
      </c>
      <c r="L96" s="107">
        <v>10050.923574774115</v>
      </c>
      <c r="M96" s="107">
        <v>9787.022626125723</v>
      </c>
      <c r="N96" s="107">
        <v>9792.954329985434</v>
      </c>
      <c r="O96" s="107">
        <v>9414.3877996398842</v>
      </c>
      <c r="P96" s="107">
        <v>10061.86677120732</v>
      </c>
      <c r="Q96" s="107">
        <v>10064.593019552512</v>
      </c>
      <c r="R96" s="107">
        <v>10067.314569061107</v>
      </c>
      <c r="S96" s="107">
        <v>10070.030981483189</v>
      </c>
      <c r="T96" s="107">
        <v>10072.741819273024</v>
      </c>
      <c r="U96" s="107">
        <v>8579.5360156328807</v>
      </c>
      <c r="V96" s="107">
        <v>8972.9676085941701</v>
      </c>
      <c r="W96" s="107">
        <v>8977.0048538217925</v>
      </c>
      <c r="X96" s="107">
        <v>10083.52070216384</v>
      </c>
      <c r="Y96" s="107">
        <v>10086.197133653392</v>
      </c>
      <c r="Z96" s="107">
        <v>10088.865384341747</v>
      </c>
      <c r="AA96" s="107">
        <v>10091.525023768707</v>
      </c>
      <c r="AB96" s="107">
        <v>10094.175622792705</v>
      </c>
      <c r="AC96" s="107">
        <v>10096.816753666901</v>
      </c>
      <c r="AD96" s="107">
        <v>10099.447990115075</v>
      </c>
      <c r="AE96" s="107">
        <v>9229.6149341510554</v>
      </c>
      <c r="AF96" s="107">
        <v>9897.5548181238992</v>
      </c>
      <c r="AG96" s="107">
        <v>9016.6672121404699</v>
      </c>
      <c r="AH96" s="107">
        <v>10109.865521826034</v>
      </c>
      <c r="AI96" s="107">
        <v>10112.440948756393</v>
      </c>
      <c r="AJ96" s="107">
        <v>10115.003958707281</v>
      </c>
      <c r="AK96" s="107">
        <v>10117.554137801832</v>
      </c>
      <c r="AL96" s="107">
        <v>10120.091074231983</v>
      </c>
      <c r="AM96" s="107">
        <v>10122.614358331919</v>
      </c>
      <c r="AN96" s="107">
        <v>10125.123582651193</v>
      </c>
      <c r="AO96" s="107">
        <v>10127.618342027483</v>
      </c>
      <c r="AP96" s="107">
        <v>10130.098233658995</v>
      </c>
      <c r="AQ96" s="107">
        <v>10132.562857176483</v>
      </c>
      <c r="AR96" s="107">
        <v>10135.011814714877</v>
      </c>
      <c r="AS96" s="107">
        <v>10137.444710984513</v>
      </c>
      <c r="AT96" s="107">
        <v>9973.7826384214295</v>
      </c>
      <c r="AU96" s="107">
        <v>10142.260751860313</v>
      </c>
      <c r="AV96" s="107">
        <v>10144.643119399308</v>
      </c>
      <c r="AW96" s="107">
        <v>10147.007871674641</v>
      </c>
      <c r="AX96" s="107">
        <v>10149.354627327051</v>
      </c>
      <c r="AY96" s="107">
        <v>10151.683007990863</v>
      </c>
    </row>
    <row r="97" spans="1:52" x14ac:dyDescent="0.15">
      <c r="A97" s="106"/>
      <c r="B97" s="124">
        <v>3</v>
      </c>
      <c r="C97" s="107"/>
      <c r="D97" s="107">
        <v>0</v>
      </c>
      <c r="E97" s="107">
        <v>0</v>
      </c>
      <c r="F97" s="107">
        <v>6280.6937281464852</v>
      </c>
      <c r="G97" s="107">
        <v>10034.442615284395</v>
      </c>
      <c r="H97" s="107">
        <v>10037.191648669816</v>
      </c>
      <c r="I97" s="107">
        <v>10039.940387417231</v>
      </c>
      <c r="J97" s="107">
        <v>10042.688390493491</v>
      </c>
      <c r="K97" s="107">
        <v>10045.435216795158</v>
      </c>
      <c r="L97" s="107">
        <v>9666.9762670331529</v>
      </c>
      <c r="M97" s="107">
        <v>10050.923574774115</v>
      </c>
      <c r="N97" s="107">
        <v>9787.022626125723</v>
      </c>
      <c r="O97" s="107">
        <v>9792.954329985434</v>
      </c>
      <c r="P97" s="107">
        <v>9414.3877996398842</v>
      </c>
      <c r="Q97" s="107">
        <v>10061.86677120732</v>
      </c>
      <c r="R97" s="107">
        <v>10064.593019552512</v>
      </c>
      <c r="S97" s="107">
        <v>10067.314569061107</v>
      </c>
      <c r="T97" s="107">
        <v>10070.030981483189</v>
      </c>
      <c r="U97" s="107">
        <v>10072.741819273024</v>
      </c>
      <c r="V97" s="107">
        <v>8579.5360156328807</v>
      </c>
      <c r="W97" s="107">
        <v>8972.9676085941701</v>
      </c>
      <c r="X97" s="107">
        <v>8977.0048538217925</v>
      </c>
      <c r="Y97" s="107">
        <v>10083.52070216384</v>
      </c>
      <c r="Z97" s="107">
        <v>10086.197133653392</v>
      </c>
      <c r="AA97" s="107">
        <v>10088.865384341747</v>
      </c>
      <c r="AB97" s="107">
        <v>10091.525023768707</v>
      </c>
      <c r="AC97" s="107">
        <v>10094.175622792705</v>
      </c>
      <c r="AD97" s="107">
        <v>10096.816753666901</v>
      </c>
      <c r="AE97" s="107">
        <v>10099.447990115075</v>
      </c>
      <c r="AF97" s="107">
        <v>9229.6149341510554</v>
      </c>
      <c r="AG97" s="107">
        <v>9345.2202592314661</v>
      </c>
      <c r="AH97" s="107">
        <v>8627.748099885257</v>
      </c>
      <c r="AI97" s="107">
        <v>8339.7321734032448</v>
      </c>
      <c r="AJ97" s="107">
        <v>7282.719876928697</v>
      </c>
      <c r="AK97" s="107">
        <v>8179.3996603291989</v>
      </c>
      <c r="AL97" s="107">
        <v>6842.8525227502259</v>
      </c>
      <c r="AM97" s="107">
        <v>7655.3931392676313</v>
      </c>
      <c r="AN97" s="107">
        <v>7446.6219120024343</v>
      </c>
      <c r="AO97" s="107">
        <v>9203.4631400364742</v>
      </c>
      <c r="AP97" s="107">
        <v>8689.9898247151705</v>
      </c>
      <c r="AQ97" s="107">
        <v>9576.2359199654875</v>
      </c>
      <c r="AR97" s="107">
        <v>10132.562857176483</v>
      </c>
      <c r="AS97" s="107">
        <v>10135.011814714877</v>
      </c>
      <c r="AT97" s="107">
        <v>10137.444710984513</v>
      </c>
      <c r="AU97" s="107">
        <v>9323.9244768214103</v>
      </c>
      <c r="AV97" s="107">
        <v>10142.260751860313</v>
      </c>
      <c r="AW97" s="107">
        <v>10144.643119399308</v>
      </c>
      <c r="AX97" s="107">
        <v>10100.879642011796</v>
      </c>
      <c r="AY97" s="107">
        <v>10149.354627327051</v>
      </c>
    </row>
    <row r="98" spans="1:52" x14ac:dyDescent="0.15">
      <c r="A98" s="106"/>
      <c r="B98" s="127">
        <v>4</v>
      </c>
      <c r="C98" s="103"/>
      <c r="D98" s="107">
        <v>0</v>
      </c>
      <c r="E98" s="107">
        <v>0</v>
      </c>
      <c r="F98" s="107">
        <v>0</v>
      </c>
      <c r="G98" s="107">
        <v>4574.6937281464852</v>
      </c>
      <c r="H98" s="107">
        <v>10034.442615284395</v>
      </c>
      <c r="I98" s="107">
        <v>10037.191648669816</v>
      </c>
      <c r="J98" s="107">
        <v>10039.940387417231</v>
      </c>
      <c r="K98" s="107">
        <v>10042.688390493491</v>
      </c>
      <c r="L98" s="107">
        <v>10045.435216795158</v>
      </c>
      <c r="M98" s="107">
        <v>9666.9762670331529</v>
      </c>
      <c r="N98" s="107">
        <v>10050.923574774115</v>
      </c>
      <c r="O98" s="107">
        <v>9787.022626125723</v>
      </c>
      <c r="P98" s="107">
        <v>9792.954329985434</v>
      </c>
      <c r="Q98" s="107">
        <v>9414.3877996398842</v>
      </c>
      <c r="R98" s="107">
        <v>10061.86677120732</v>
      </c>
      <c r="S98" s="107">
        <v>10064.593019552512</v>
      </c>
      <c r="T98" s="107">
        <v>10067.314569061107</v>
      </c>
      <c r="U98" s="107">
        <v>10070.030981483189</v>
      </c>
      <c r="V98" s="107">
        <v>10072.741819273024</v>
      </c>
      <c r="W98" s="107">
        <v>8579.5360156328807</v>
      </c>
      <c r="X98" s="107">
        <v>8972.9676085941701</v>
      </c>
      <c r="Y98" s="107">
        <v>8977.0048538217925</v>
      </c>
      <c r="Z98" s="107">
        <v>8138.2831682434098</v>
      </c>
      <c r="AA98" s="107">
        <v>7511.9351632625858</v>
      </c>
      <c r="AB98" s="107">
        <v>4671.2977717929443</v>
      </c>
      <c r="AC98" s="107">
        <v>3462.6762621714151</v>
      </c>
      <c r="AD98" s="107">
        <v>3426.4555843040889</v>
      </c>
      <c r="AE98" s="107">
        <v>3164.4311288067056</v>
      </c>
      <c r="AF98" s="107">
        <v>3677.398329754802</v>
      </c>
      <c r="AG98" s="107">
        <v>0</v>
      </c>
      <c r="AH98" s="107">
        <v>0</v>
      </c>
      <c r="AI98" s="107">
        <v>0</v>
      </c>
      <c r="AJ98" s="107">
        <v>0</v>
      </c>
      <c r="AK98" s="107">
        <v>0</v>
      </c>
      <c r="AL98" s="107">
        <v>0</v>
      </c>
      <c r="AM98" s="107">
        <v>0</v>
      </c>
      <c r="AN98" s="107">
        <v>0</v>
      </c>
      <c r="AO98" s="107">
        <v>0</v>
      </c>
      <c r="AP98" s="107">
        <v>0</v>
      </c>
      <c r="AQ98" s="107">
        <v>0</v>
      </c>
      <c r="AR98" s="107">
        <v>437.999258460075</v>
      </c>
      <c r="AS98" s="107">
        <v>666.25952186712311</v>
      </c>
      <c r="AT98" s="107">
        <v>1029.6181955252741</v>
      </c>
      <c r="AU98" s="107">
        <v>0</v>
      </c>
      <c r="AV98" s="107">
        <v>797.41711145361114</v>
      </c>
      <c r="AW98" s="107">
        <v>376.60560635315778</v>
      </c>
      <c r="AX98" s="107">
        <v>0</v>
      </c>
      <c r="AY98" s="107">
        <v>1023.7818670934284</v>
      </c>
    </row>
    <row r="99" spans="1:52" x14ac:dyDescent="0.15">
      <c r="A99" s="125"/>
      <c r="B99" s="129" t="s">
        <v>295</v>
      </c>
      <c r="C99" s="122"/>
      <c r="D99" s="122">
        <v>0</v>
      </c>
      <c r="E99" s="122">
        <v>0</v>
      </c>
      <c r="F99" s="122">
        <v>0</v>
      </c>
      <c r="G99" s="122">
        <v>0</v>
      </c>
      <c r="H99" s="122">
        <v>2416.6937281464852</v>
      </c>
      <c r="I99" s="122">
        <v>8511.4426152843953</v>
      </c>
      <c r="J99" s="122">
        <v>8832.1916486698155</v>
      </c>
      <c r="K99" s="122">
        <v>8921.9403874172312</v>
      </c>
      <c r="L99" s="122">
        <v>8541.6883904934912</v>
      </c>
      <c r="M99" s="122">
        <v>9079.4352167951583</v>
      </c>
      <c r="N99" s="122">
        <v>8675.9762670331529</v>
      </c>
      <c r="O99" s="122">
        <v>9062.923574774115</v>
      </c>
      <c r="P99" s="122">
        <v>8941.022626125723</v>
      </c>
      <c r="Q99" s="122">
        <v>9151.954329985434</v>
      </c>
      <c r="R99" s="122">
        <v>8652.3877996398842</v>
      </c>
      <c r="S99" s="122">
        <v>9329.8667712073202</v>
      </c>
      <c r="T99" s="122">
        <v>9534.5930195525125</v>
      </c>
      <c r="U99" s="122">
        <v>9631.3145690611072</v>
      </c>
      <c r="V99" s="122">
        <v>9619.030981483189</v>
      </c>
      <c r="W99" s="122">
        <v>9702.7418192730238</v>
      </c>
      <c r="X99" s="122">
        <v>8169.5360156328807</v>
      </c>
      <c r="Y99" s="122">
        <v>8653.9676085941701</v>
      </c>
      <c r="Z99" s="122">
        <v>8688.0048538217925</v>
      </c>
      <c r="AA99" s="122">
        <v>7822.2831682434098</v>
      </c>
      <c r="AB99" s="122">
        <v>7107.9351632625858</v>
      </c>
      <c r="AC99" s="122">
        <v>4353.2977717929443</v>
      </c>
      <c r="AD99" s="122">
        <v>3195.6762621714151</v>
      </c>
      <c r="AE99" s="122">
        <v>3151.4555843040889</v>
      </c>
      <c r="AF99" s="122">
        <v>2878.4311288067056</v>
      </c>
      <c r="AG99" s="122">
        <v>3406.398329754802</v>
      </c>
      <c r="AH99" s="122">
        <v>0</v>
      </c>
      <c r="AI99" s="122">
        <v>0</v>
      </c>
      <c r="AJ99" s="122">
        <v>0</v>
      </c>
      <c r="AK99" s="122">
        <v>0</v>
      </c>
      <c r="AL99" s="122">
        <v>0</v>
      </c>
      <c r="AM99" s="122">
        <v>0</v>
      </c>
      <c r="AN99" s="122">
        <v>0</v>
      </c>
      <c r="AO99" s="122">
        <v>0</v>
      </c>
      <c r="AP99" s="122">
        <v>0</v>
      </c>
      <c r="AQ99" s="122">
        <v>0</v>
      </c>
      <c r="AR99" s="122">
        <v>0</v>
      </c>
      <c r="AS99" s="122">
        <v>318.999258460075</v>
      </c>
      <c r="AT99" s="122">
        <v>519.25952186712311</v>
      </c>
      <c r="AU99" s="122">
        <v>889.61819552527413</v>
      </c>
      <c r="AV99" s="122">
        <v>0</v>
      </c>
      <c r="AW99" s="122">
        <v>665.41711145361114</v>
      </c>
      <c r="AX99" s="122">
        <v>268.60560635315778</v>
      </c>
      <c r="AY99" s="122">
        <v>0</v>
      </c>
      <c r="AZ99" s="104">
        <f>SUM($D99:$AY99)</f>
        <v>198694.08932498604</v>
      </c>
    </row>
    <row r="100" spans="1:52" x14ac:dyDescent="0.15">
      <c r="A100" s="128" t="s">
        <v>133</v>
      </c>
      <c r="B100" s="116">
        <v>1</v>
      </c>
      <c r="C100" s="103"/>
      <c r="D100" s="103">
        <v>0</v>
      </c>
      <c r="E100" s="103">
        <v>0</v>
      </c>
      <c r="F100" s="103">
        <v>164.29022298471361</v>
      </c>
      <c r="G100" s="103">
        <v>164.33524183128984</v>
      </c>
      <c r="H100" s="103">
        <v>164.38026307297866</v>
      </c>
      <c r="I100" s="103">
        <v>0</v>
      </c>
      <c r="J100" s="103">
        <v>164.47028385754143</v>
      </c>
      <c r="K100" s="103">
        <v>164.51526895356116</v>
      </c>
      <c r="L100" s="103">
        <v>158.31720241246387</v>
      </c>
      <c r="M100" s="103">
        <v>0</v>
      </c>
      <c r="N100" s="103">
        <v>160.28321569379889</v>
      </c>
      <c r="O100" s="103">
        <v>0</v>
      </c>
      <c r="P100" s="103">
        <v>154.18053150165102</v>
      </c>
      <c r="Q100" s="103">
        <v>164.78437044444752</v>
      </c>
      <c r="R100" s="103">
        <v>164.82901853286421</v>
      </c>
      <c r="S100" s="103">
        <v>164.87358966788369</v>
      </c>
      <c r="T100" s="103">
        <v>164.91807667223569</v>
      </c>
      <c r="U100" s="103">
        <v>164.9624723801825</v>
      </c>
      <c r="V100" s="103">
        <v>140.50806606654064</v>
      </c>
      <c r="W100" s="103">
        <v>15</v>
      </c>
      <c r="X100" s="103">
        <v>147.01745977662918</v>
      </c>
      <c r="Y100" s="103">
        <v>165.13899940758668</v>
      </c>
      <c r="Z100" s="103">
        <v>150</v>
      </c>
      <c r="AA100" s="103">
        <v>165.22652989352318</v>
      </c>
      <c r="AB100" s="103">
        <v>165.27008711988549</v>
      </c>
      <c r="AC100" s="103">
        <v>15</v>
      </c>
      <c r="AD100" s="103">
        <v>150</v>
      </c>
      <c r="AE100" s="103">
        <v>165.39984246758843</v>
      </c>
      <c r="AF100" s="103">
        <v>150</v>
      </c>
      <c r="AG100" s="103">
        <v>162.09341434643707</v>
      </c>
      <c r="AH100" s="103">
        <v>147.66701486362237</v>
      </c>
      <c r="AI100" s="103">
        <v>15</v>
      </c>
      <c r="AJ100" s="103">
        <v>165.61262967284611</v>
      </c>
      <c r="AK100" s="103">
        <v>15</v>
      </c>
      <c r="AL100" s="103">
        <v>150</v>
      </c>
      <c r="AM100" s="103">
        <v>15</v>
      </c>
      <c r="AN100" s="103">
        <v>165.77924079285953</v>
      </c>
      <c r="AO100" s="103">
        <v>15</v>
      </c>
      <c r="AP100" s="103">
        <v>0</v>
      </c>
      <c r="AQ100" s="103">
        <v>165</v>
      </c>
      <c r="AR100" s="103">
        <v>165.942168523493</v>
      </c>
      <c r="AS100" s="103">
        <v>0</v>
      </c>
      <c r="AT100" s="103">
        <v>172.5</v>
      </c>
      <c r="AU100" s="103">
        <v>163.34180628639254</v>
      </c>
      <c r="AV100" s="103">
        <v>165</v>
      </c>
      <c r="AW100" s="103">
        <v>0</v>
      </c>
      <c r="AX100" s="103">
        <v>166.17873621756652</v>
      </c>
      <c r="AY100" s="103">
        <v>166.21716930971161</v>
      </c>
    </row>
    <row r="101" spans="1:52" x14ac:dyDescent="0.15">
      <c r="A101" s="106"/>
      <c r="B101" s="116">
        <v>2</v>
      </c>
      <c r="C101" s="103"/>
      <c r="D101" s="103">
        <v>0</v>
      </c>
      <c r="E101" s="103">
        <v>0</v>
      </c>
      <c r="F101" s="103">
        <v>0</v>
      </c>
      <c r="G101" s="103">
        <v>0</v>
      </c>
      <c r="H101" s="103">
        <v>0</v>
      </c>
      <c r="I101" s="103">
        <v>0</v>
      </c>
      <c r="J101" s="103">
        <v>164.42527948934639</v>
      </c>
      <c r="K101" s="103">
        <v>2.8421709430404007E-14</v>
      </c>
      <c r="L101" s="103">
        <v>0</v>
      </c>
      <c r="M101" s="103">
        <v>0</v>
      </c>
      <c r="N101" s="103">
        <v>164.60515243491716</v>
      </c>
      <c r="O101" s="103">
        <v>2.8421709430404007E-14</v>
      </c>
      <c r="P101" s="103">
        <v>160.38035990256367</v>
      </c>
      <c r="Q101" s="103">
        <v>2.8421709430404007E-14</v>
      </c>
      <c r="R101" s="103">
        <v>0</v>
      </c>
      <c r="S101" s="103">
        <v>0</v>
      </c>
      <c r="T101" s="103">
        <v>0</v>
      </c>
      <c r="U101" s="103">
        <v>0</v>
      </c>
      <c r="V101" s="103">
        <v>0</v>
      </c>
      <c r="W101" s="103">
        <v>0</v>
      </c>
      <c r="X101" s="103">
        <v>131.95134133873975</v>
      </c>
      <c r="Y101" s="103">
        <v>0</v>
      </c>
      <c r="Z101" s="103">
        <v>0</v>
      </c>
      <c r="AA101" s="103">
        <v>15.182831639524551</v>
      </c>
      <c r="AB101" s="103">
        <v>0</v>
      </c>
      <c r="AC101" s="103">
        <v>0</v>
      </c>
      <c r="AD101" s="103">
        <v>150.31349629050976</v>
      </c>
      <c r="AE101" s="103">
        <v>0</v>
      </c>
      <c r="AF101" s="103">
        <v>0</v>
      </c>
      <c r="AG101" s="103">
        <v>1.1544846450258603</v>
      </c>
      <c r="AH101" s="103">
        <v>0</v>
      </c>
      <c r="AI101" s="103">
        <v>0</v>
      </c>
      <c r="AJ101" s="103">
        <v>0</v>
      </c>
      <c r="AK101" s="103">
        <v>0</v>
      </c>
      <c r="AL101" s="103">
        <v>150.65460438696263</v>
      </c>
      <c r="AM101" s="103">
        <v>0</v>
      </c>
      <c r="AN101" s="103">
        <v>150.73791667365629</v>
      </c>
      <c r="AO101" s="103">
        <v>108.21352643515814</v>
      </c>
      <c r="AP101" s="103">
        <v>150.82033465338836</v>
      </c>
      <c r="AQ101" s="103">
        <v>0</v>
      </c>
      <c r="AR101" s="103">
        <v>0</v>
      </c>
      <c r="AS101" s="103">
        <v>0</v>
      </c>
      <c r="AT101" s="103">
        <v>0</v>
      </c>
      <c r="AU101" s="103">
        <v>0</v>
      </c>
      <c r="AV101" s="103">
        <v>0</v>
      </c>
      <c r="AW101" s="103">
        <v>1.1009920804381181</v>
      </c>
      <c r="AX101" s="103">
        <v>166.1400083926203</v>
      </c>
      <c r="AY101" s="103">
        <v>153.31874461018683</v>
      </c>
    </row>
    <row r="102" spans="1:52" x14ac:dyDescent="0.15">
      <c r="A102" s="106"/>
      <c r="B102" s="117">
        <v>3</v>
      </c>
      <c r="C102" s="103"/>
      <c r="D102" s="103">
        <v>0</v>
      </c>
      <c r="E102" s="103">
        <v>0</v>
      </c>
      <c r="F102" s="103">
        <v>0</v>
      </c>
      <c r="G102" s="103">
        <v>0</v>
      </c>
      <c r="H102" s="103">
        <v>0</v>
      </c>
      <c r="I102" s="103">
        <v>0</v>
      </c>
      <c r="J102" s="103">
        <v>0</v>
      </c>
      <c r="K102" s="103">
        <v>0</v>
      </c>
      <c r="L102" s="103">
        <v>0</v>
      </c>
      <c r="M102" s="103">
        <v>0</v>
      </c>
      <c r="N102" s="103">
        <v>0</v>
      </c>
      <c r="O102" s="103">
        <v>0</v>
      </c>
      <c r="P102" s="103">
        <v>0</v>
      </c>
      <c r="Q102" s="103">
        <v>0</v>
      </c>
      <c r="R102" s="103">
        <v>0</v>
      </c>
      <c r="S102" s="103">
        <v>0</v>
      </c>
      <c r="T102" s="103">
        <v>0</v>
      </c>
      <c r="U102" s="103">
        <v>0</v>
      </c>
      <c r="V102" s="103">
        <v>0</v>
      </c>
      <c r="W102" s="103">
        <v>0</v>
      </c>
      <c r="X102" s="103">
        <v>0</v>
      </c>
      <c r="Y102" s="103">
        <v>0</v>
      </c>
      <c r="Z102" s="103">
        <v>0</v>
      </c>
      <c r="AA102" s="103">
        <v>0</v>
      </c>
      <c r="AB102" s="103">
        <v>0</v>
      </c>
      <c r="AC102" s="103">
        <v>0</v>
      </c>
      <c r="AD102" s="103">
        <v>0</v>
      </c>
      <c r="AE102" s="103">
        <v>0</v>
      </c>
      <c r="AF102" s="103">
        <v>15.356750400135923</v>
      </c>
      <c r="AG102" s="103">
        <v>0</v>
      </c>
      <c r="AH102" s="103">
        <v>0</v>
      </c>
      <c r="AI102" s="103">
        <v>0</v>
      </c>
      <c r="AJ102" s="103">
        <v>0</v>
      </c>
      <c r="AK102" s="103">
        <v>150.57045160440265</v>
      </c>
      <c r="AL102" s="103">
        <v>0</v>
      </c>
      <c r="AM102" s="103">
        <v>0</v>
      </c>
      <c r="AN102" s="103">
        <v>15.696368968642332</v>
      </c>
      <c r="AO102" s="103">
        <v>0</v>
      </c>
      <c r="AP102" s="103">
        <v>0</v>
      </c>
      <c r="AQ102" s="103">
        <v>0</v>
      </c>
      <c r="AR102" s="103">
        <v>0</v>
      </c>
      <c r="AS102" s="103">
        <v>7.5</v>
      </c>
      <c r="AT102" s="103">
        <v>0</v>
      </c>
      <c r="AU102" s="103">
        <v>0</v>
      </c>
      <c r="AV102" s="103">
        <v>0</v>
      </c>
      <c r="AW102" s="103">
        <v>0</v>
      </c>
      <c r="AX102" s="103">
        <v>0</v>
      </c>
      <c r="AY102" s="103">
        <v>0</v>
      </c>
    </row>
    <row r="103" spans="1:52" x14ac:dyDescent="0.15">
      <c r="A103" s="106"/>
      <c r="B103" s="117">
        <v>4</v>
      </c>
      <c r="C103" s="103"/>
      <c r="D103" s="103">
        <v>0</v>
      </c>
      <c r="E103" s="103">
        <v>0</v>
      </c>
      <c r="F103" s="103">
        <v>0</v>
      </c>
      <c r="G103" s="103">
        <v>0</v>
      </c>
      <c r="H103" s="103">
        <v>0</v>
      </c>
      <c r="I103" s="103">
        <v>0</v>
      </c>
      <c r="J103" s="103">
        <v>0</v>
      </c>
      <c r="K103" s="103">
        <v>0</v>
      </c>
      <c r="L103" s="103">
        <v>0</v>
      </c>
      <c r="M103" s="103">
        <v>0</v>
      </c>
      <c r="N103" s="103">
        <v>0</v>
      </c>
      <c r="O103" s="103">
        <v>0</v>
      </c>
      <c r="P103" s="103">
        <v>0</v>
      </c>
      <c r="Q103" s="103">
        <v>0</v>
      </c>
      <c r="R103" s="103">
        <v>0</v>
      </c>
      <c r="S103" s="103">
        <v>0</v>
      </c>
      <c r="T103" s="103">
        <v>0</v>
      </c>
      <c r="U103" s="103">
        <v>0</v>
      </c>
      <c r="V103" s="103">
        <v>0</v>
      </c>
      <c r="W103" s="103">
        <v>0</v>
      </c>
      <c r="X103" s="103">
        <v>0</v>
      </c>
      <c r="Y103" s="103">
        <v>0</v>
      </c>
      <c r="Z103" s="103">
        <v>0</v>
      </c>
      <c r="AA103" s="103">
        <v>0</v>
      </c>
      <c r="AB103" s="103">
        <v>0</v>
      </c>
      <c r="AC103" s="103">
        <v>0</v>
      </c>
      <c r="AD103" s="103">
        <v>0</v>
      </c>
      <c r="AE103" s="103">
        <v>0</v>
      </c>
      <c r="AF103" s="103">
        <v>0</v>
      </c>
      <c r="AG103" s="103">
        <v>0</v>
      </c>
      <c r="AH103" s="103">
        <v>0</v>
      </c>
      <c r="AI103" s="103">
        <v>0</v>
      </c>
      <c r="AJ103" s="103">
        <v>0</v>
      </c>
      <c r="AK103" s="103">
        <v>0</v>
      </c>
      <c r="AL103" s="103">
        <v>0</v>
      </c>
      <c r="AM103" s="103">
        <v>0</v>
      </c>
      <c r="AN103" s="103">
        <v>0</v>
      </c>
      <c r="AO103" s="103">
        <v>0</v>
      </c>
      <c r="AP103" s="103">
        <v>0</v>
      </c>
      <c r="AQ103" s="103">
        <v>0</v>
      </c>
      <c r="AR103" s="103">
        <v>0</v>
      </c>
      <c r="AS103" s="103">
        <v>0</v>
      </c>
      <c r="AT103" s="103">
        <v>0</v>
      </c>
      <c r="AU103" s="103">
        <v>0</v>
      </c>
      <c r="AV103" s="103">
        <v>0</v>
      </c>
      <c r="AW103" s="103">
        <v>0</v>
      </c>
      <c r="AX103" s="103">
        <v>0</v>
      </c>
      <c r="AY103" s="103">
        <v>0</v>
      </c>
    </row>
    <row r="104" spans="1:52" x14ac:dyDescent="0.15">
      <c r="A104" s="106"/>
      <c r="B104" s="124">
        <v>5</v>
      </c>
      <c r="C104" s="103"/>
      <c r="D104" s="103">
        <v>0</v>
      </c>
      <c r="E104" s="103">
        <v>0</v>
      </c>
      <c r="F104" s="103">
        <v>0</v>
      </c>
      <c r="G104" s="103">
        <v>0</v>
      </c>
      <c r="H104" s="103">
        <v>0</v>
      </c>
      <c r="I104" s="103">
        <v>0</v>
      </c>
      <c r="J104" s="103">
        <v>0</v>
      </c>
      <c r="K104" s="103">
        <v>0</v>
      </c>
      <c r="L104" s="103">
        <v>0</v>
      </c>
      <c r="M104" s="103">
        <v>0</v>
      </c>
      <c r="N104" s="103">
        <v>0</v>
      </c>
      <c r="O104" s="103">
        <v>0</v>
      </c>
      <c r="P104" s="103">
        <v>0</v>
      </c>
      <c r="Q104" s="103">
        <v>0</v>
      </c>
      <c r="R104" s="103">
        <v>0</v>
      </c>
      <c r="S104" s="103">
        <v>0</v>
      </c>
      <c r="T104" s="103">
        <v>0</v>
      </c>
      <c r="U104" s="103">
        <v>0</v>
      </c>
      <c r="V104" s="103">
        <v>0</v>
      </c>
      <c r="W104" s="103">
        <v>0</v>
      </c>
      <c r="X104" s="103">
        <v>0</v>
      </c>
      <c r="Y104" s="103">
        <v>0</v>
      </c>
      <c r="Z104" s="103">
        <v>0</v>
      </c>
      <c r="AA104" s="103">
        <v>0</v>
      </c>
      <c r="AB104" s="103">
        <v>0</v>
      </c>
      <c r="AC104" s="103">
        <v>0</v>
      </c>
      <c r="AD104" s="103">
        <v>0</v>
      </c>
      <c r="AE104" s="103">
        <v>0</v>
      </c>
      <c r="AF104" s="103">
        <v>0</v>
      </c>
      <c r="AG104" s="103">
        <v>0</v>
      </c>
      <c r="AH104" s="103">
        <v>0</v>
      </c>
      <c r="AI104" s="103">
        <v>0</v>
      </c>
      <c r="AJ104" s="103">
        <v>0</v>
      </c>
      <c r="AK104" s="103">
        <v>0</v>
      </c>
      <c r="AL104" s="103">
        <v>0</v>
      </c>
      <c r="AM104" s="103">
        <v>0</v>
      </c>
      <c r="AN104" s="103">
        <v>0</v>
      </c>
      <c r="AO104" s="103">
        <v>0</v>
      </c>
      <c r="AP104" s="103">
        <v>0</v>
      </c>
      <c r="AQ104" s="103">
        <v>0</v>
      </c>
      <c r="AR104" s="103">
        <v>0</v>
      </c>
      <c r="AS104" s="103">
        <v>0</v>
      </c>
      <c r="AT104" s="103">
        <v>0</v>
      </c>
      <c r="AU104" s="103">
        <v>0</v>
      </c>
      <c r="AV104" s="103">
        <v>0</v>
      </c>
      <c r="AW104" s="103">
        <v>0</v>
      </c>
      <c r="AX104" s="103">
        <v>0</v>
      </c>
      <c r="AY104" s="103">
        <v>0</v>
      </c>
    </row>
    <row r="105" spans="1:52" x14ac:dyDescent="0.15">
      <c r="A105" s="106"/>
      <c r="B105" s="124">
        <v>6</v>
      </c>
      <c r="C105" s="103"/>
      <c r="D105" s="103">
        <v>0</v>
      </c>
      <c r="E105" s="103">
        <v>0</v>
      </c>
      <c r="F105" s="103">
        <v>0</v>
      </c>
      <c r="G105" s="103">
        <v>0</v>
      </c>
      <c r="H105" s="103">
        <v>0</v>
      </c>
      <c r="I105" s="103">
        <v>0</v>
      </c>
      <c r="J105" s="103">
        <v>0</v>
      </c>
      <c r="K105" s="103">
        <v>0</v>
      </c>
      <c r="L105" s="103">
        <v>0</v>
      </c>
      <c r="M105" s="103">
        <v>0</v>
      </c>
      <c r="N105" s="103">
        <v>0</v>
      </c>
      <c r="O105" s="103">
        <v>0</v>
      </c>
      <c r="P105" s="103">
        <v>0</v>
      </c>
      <c r="Q105" s="103">
        <v>0</v>
      </c>
      <c r="R105" s="103">
        <v>0</v>
      </c>
      <c r="S105" s="103">
        <v>0</v>
      </c>
      <c r="T105" s="103">
        <v>0</v>
      </c>
      <c r="U105" s="103">
        <v>0</v>
      </c>
      <c r="V105" s="103">
        <v>0</v>
      </c>
      <c r="W105" s="103">
        <v>0</v>
      </c>
      <c r="X105" s="103">
        <v>0</v>
      </c>
      <c r="Y105" s="103">
        <v>0</v>
      </c>
      <c r="Z105" s="103">
        <v>0</v>
      </c>
      <c r="AA105" s="103">
        <v>0</v>
      </c>
      <c r="AB105" s="103">
        <v>0</v>
      </c>
      <c r="AC105" s="103">
        <v>0</v>
      </c>
      <c r="AD105" s="103">
        <v>0</v>
      </c>
      <c r="AE105" s="103">
        <v>0</v>
      </c>
      <c r="AF105" s="103">
        <v>0</v>
      </c>
      <c r="AG105" s="103">
        <v>0</v>
      </c>
      <c r="AH105" s="103">
        <v>0</v>
      </c>
      <c r="AI105" s="103">
        <v>0</v>
      </c>
      <c r="AJ105" s="103">
        <v>0</v>
      </c>
      <c r="AK105" s="103">
        <v>0</v>
      </c>
      <c r="AL105" s="103">
        <v>0</v>
      </c>
      <c r="AM105" s="103">
        <v>0</v>
      </c>
      <c r="AN105" s="103">
        <v>0</v>
      </c>
      <c r="AO105" s="103">
        <v>0</v>
      </c>
      <c r="AP105" s="103">
        <v>0</v>
      </c>
      <c r="AQ105" s="103">
        <v>0</v>
      </c>
      <c r="AR105" s="103">
        <v>0</v>
      </c>
      <c r="AS105" s="103">
        <v>0</v>
      </c>
      <c r="AT105" s="103">
        <v>0</v>
      </c>
      <c r="AU105" s="103">
        <v>0</v>
      </c>
      <c r="AV105" s="103">
        <v>0</v>
      </c>
      <c r="AW105" s="103">
        <v>0</v>
      </c>
      <c r="AX105" s="103">
        <v>0</v>
      </c>
      <c r="AY105" s="103">
        <v>0</v>
      </c>
    </row>
    <row r="106" spans="1:52" x14ac:dyDescent="0.15">
      <c r="A106" s="106"/>
      <c r="B106" s="127">
        <v>7</v>
      </c>
      <c r="C106" s="103"/>
      <c r="D106" s="103">
        <v>0</v>
      </c>
      <c r="E106" s="103">
        <v>0</v>
      </c>
      <c r="F106" s="103">
        <v>0</v>
      </c>
      <c r="G106" s="103">
        <v>0</v>
      </c>
      <c r="H106" s="103">
        <v>0</v>
      </c>
      <c r="I106" s="103">
        <v>0</v>
      </c>
      <c r="J106" s="103">
        <v>0</v>
      </c>
      <c r="K106" s="103">
        <v>0</v>
      </c>
      <c r="L106" s="103">
        <v>0</v>
      </c>
      <c r="M106" s="103">
        <v>0</v>
      </c>
      <c r="N106" s="103">
        <v>0</v>
      </c>
      <c r="O106" s="103">
        <v>0</v>
      </c>
      <c r="P106" s="103">
        <v>0</v>
      </c>
      <c r="Q106" s="103">
        <v>0</v>
      </c>
      <c r="R106" s="103">
        <v>0</v>
      </c>
      <c r="S106" s="103">
        <v>0</v>
      </c>
      <c r="T106" s="103">
        <v>0</v>
      </c>
      <c r="U106" s="103">
        <v>0</v>
      </c>
      <c r="V106" s="103">
        <v>0</v>
      </c>
      <c r="W106" s="103">
        <v>0</v>
      </c>
      <c r="X106" s="103">
        <v>0</v>
      </c>
      <c r="Y106" s="103">
        <v>0</v>
      </c>
      <c r="Z106" s="103">
        <v>0</v>
      </c>
      <c r="AA106" s="103">
        <v>0</v>
      </c>
      <c r="AB106" s="103">
        <v>0</v>
      </c>
      <c r="AC106" s="103">
        <v>0</v>
      </c>
      <c r="AD106" s="103">
        <v>0</v>
      </c>
      <c r="AE106" s="103">
        <v>0</v>
      </c>
      <c r="AF106" s="103">
        <v>0</v>
      </c>
      <c r="AG106" s="103">
        <v>0</v>
      </c>
      <c r="AH106" s="103">
        <v>0</v>
      </c>
      <c r="AI106" s="103">
        <v>0</v>
      </c>
      <c r="AJ106" s="103">
        <v>0</v>
      </c>
      <c r="AK106" s="103">
        <v>0</v>
      </c>
      <c r="AL106" s="103">
        <v>0</v>
      </c>
      <c r="AM106" s="103">
        <v>0</v>
      </c>
      <c r="AN106" s="103">
        <v>0</v>
      </c>
      <c r="AO106" s="103">
        <v>0</v>
      </c>
      <c r="AP106" s="103">
        <v>0</v>
      </c>
      <c r="AQ106" s="103">
        <v>0</v>
      </c>
      <c r="AR106" s="103">
        <v>0</v>
      </c>
      <c r="AS106" s="103">
        <v>0</v>
      </c>
      <c r="AT106" s="103">
        <v>0</v>
      </c>
      <c r="AU106" s="103">
        <v>0</v>
      </c>
      <c r="AV106" s="103">
        <v>0</v>
      </c>
      <c r="AW106" s="103">
        <v>0</v>
      </c>
      <c r="AX106" s="103">
        <v>0</v>
      </c>
      <c r="AY106" s="103">
        <v>0</v>
      </c>
    </row>
    <row r="107" spans="1:52" x14ac:dyDescent="0.15">
      <c r="A107" s="106"/>
      <c r="B107" s="127">
        <v>8</v>
      </c>
      <c r="C107" s="103"/>
      <c r="D107" s="103">
        <v>0</v>
      </c>
      <c r="E107" s="103">
        <v>0</v>
      </c>
      <c r="F107" s="103">
        <v>0</v>
      </c>
      <c r="G107" s="103">
        <v>0</v>
      </c>
      <c r="H107" s="103">
        <v>0</v>
      </c>
      <c r="I107" s="103">
        <v>0</v>
      </c>
      <c r="J107" s="103">
        <v>0</v>
      </c>
      <c r="K107" s="103">
        <v>0</v>
      </c>
      <c r="L107" s="103">
        <v>0</v>
      </c>
      <c r="M107" s="103">
        <v>0</v>
      </c>
      <c r="N107" s="103">
        <v>0</v>
      </c>
      <c r="O107" s="103">
        <v>0</v>
      </c>
      <c r="P107" s="103">
        <v>0</v>
      </c>
      <c r="Q107" s="103">
        <v>0</v>
      </c>
      <c r="R107" s="103">
        <v>0</v>
      </c>
      <c r="S107" s="103">
        <v>0</v>
      </c>
      <c r="T107" s="103">
        <v>0</v>
      </c>
      <c r="U107" s="103">
        <v>0</v>
      </c>
      <c r="V107" s="103">
        <v>0</v>
      </c>
      <c r="W107" s="103">
        <v>0</v>
      </c>
      <c r="X107" s="103">
        <v>0</v>
      </c>
      <c r="Y107" s="103">
        <v>0</v>
      </c>
      <c r="Z107" s="103">
        <v>0</v>
      </c>
      <c r="AA107" s="103">
        <v>0</v>
      </c>
      <c r="AB107" s="103">
        <v>0</v>
      </c>
      <c r="AC107" s="103">
        <v>0</v>
      </c>
      <c r="AD107" s="103">
        <v>0</v>
      </c>
      <c r="AE107" s="103">
        <v>0</v>
      </c>
      <c r="AF107" s="103">
        <v>0</v>
      </c>
      <c r="AG107" s="103">
        <v>0</v>
      </c>
      <c r="AH107" s="103">
        <v>0</v>
      </c>
      <c r="AI107" s="103">
        <v>0</v>
      </c>
      <c r="AJ107" s="103">
        <v>0</v>
      </c>
      <c r="AK107" s="103">
        <v>0</v>
      </c>
      <c r="AL107" s="103">
        <v>0</v>
      </c>
      <c r="AM107" s="103">
        <v>0</v>
      </c>
      <c r="AN107" s="103">
        <v>0</v>
      </c>
      <c r="AO107" s="103">
        <v>0</v>
      </c>
      <c r="AP107" s="103">
        <v>0</v>
      </c>
      <c r="AQ107" s="103">
        <v>0</v>
      </c>
      <c r="AR107" s="103">
        <v>0</v>
      </c>
      <c r="AS107" s="103">
        <v>0</v>
      </c>
      <c r="AT107" s="103">
        <v>0</v>
      </c>
      <c r="AU107" s="103">
        <v>0</v>
      </c>
      <c r="AV107" s="103">
        <v>0</v>
      </c>
      <c r="AW107" s="103">
        <v>0</v>
      </c>
      <c r="AX107" s="103">
        <v>0</v>
      </c>
      <c r="AY107" s="103">
        <v>0</v>
      </c>
    </row>
    <row r="108" spans="1:52" x14ac:dyDescent="0.15">
      <c r="A108" s="125"/>
      <c r="B108" s="129" t="s">
        <v>295</v>
      </c>
      <c r="C108" s="111"/>
      <c r="D108" s="122">
        <v>0</v>
      </c>
      <c r="E108" s="122">
        <v>0</v>
      </c>
      <c r="F108" s="122">
        <v>0</v>
      </c>
      <c r="G108" s="122">
        <v>0</v>
      </c>
      <c r="H108" s="122">
        <v>0</v>
      </c>
      <c r="I108" s="122">
        <v>0</v>
      </c>
      <c r="J108" s="122">
        <v>0</v>
      </c>
      <c r="K108" s="122">
        <v>0</v>
      </c>
      <c r="L108" s="122">
        <v>0</v>
      </c>
      <c r="M108" s="122">
        <v>0</v>
      </c>
      <c r="N108" s="122">
        <v>0</v>
      </c>
      <c r="O108" s="122">
        <v>0</v>
      </c>
      <c r="P108" s="122">
        <v>0</v>
      </c>
      <c r="Q108" s="122">
        <v>0</v>
      </c>
      <c r="R108" s="122">
        <v>0</v>
      </c>
      <c r="S108" s="122">
        <v>0</v>
      </c>
      <c r="T108" s="122">
        <v>0</v>
      </c>
      <c r="U108" s="122">
        <v>0</v>
      </c>
      <c r="V108" s="122">
        <v>0</v>
      </c>
      <c r="W108" s="122">
        <v>0</v>
      </c>
      <c r="X108" s="122">
        <v>0</v>
      </c>
      <c r="Y108" s="122">
        <v>0</v>
      </c>
      <c r="Z108" s="122">
        <v>0</v>
      </c>
      <c r="AA108" s="122">
        <v>0</v>
      </c>
      <c r="AB108" s="122">
        <v>0</v>
      </c>
      <c r="AC108" s="122">
        <v>0</v>
      </c>
      <c r="AD108" s="122">
        <v>0</v>
      </c>
      <c r="AE108" s="122">
        <v>0</v>
      </c>
      <c r="AF108" s="122">
        <v>0</v>
      </c>
      <c r="AG108" s="122">
        <v>0</v>
      </c>
      <c r="AH108" s="122">
        <v>0</v>
      </c>
      <c r="AI108" s="122">
        <v>0</v>
      </c>
      <c r="AJ108" s="122">
        <v>0</v>
      </c>
      <c r="AK108" s="122">
        <v>0</v>
      </c>
      <c r="AL108" s="122">
        <v>0</v>
      </c>
      <c r="AM108" s="122">
        <v>0</v>
      </c>
      <c r="AN108" s="122">
        <v>0</v>
      </c>
      <c r="AO108" s="122">
        <v>0</v>
      </c>
      <c r="AP108" s="122">
        <v>0</v>
      </c>
      <c r="AQ108" s="122">
        <v>0</v>
      </c>
      <c r="AR108" s="122">
        <v>0</v>
      </c>
      <c r="AS108" s="122">
        <v>0</v>
      </c>
      <c r="AT108" s="122">
        <v>0</v>
      </c>
      <c r="AU108" s="122">
        <v>0</v>
      </c>
      <c r="AV108" s="122">
        <v>0</v>
      </c>
      <c r="AW108" s="122">
        <v>0</v>
      </c>
      <c r="AX108" s="122">
        <v>0</v>
      </c>
      <c r="AY108" s="122">
        <v>0</v>
      </c>
      <c r="AZ108" s="104">
        <f>SUM($D108:$AY108)</f>
        <v>0</v>
      </c>
    </row>
    <row r="109" spans="1:52" x14ac:dyDescent="0.15">
      <c r="A109" s="128" t="s">
        <v>134</v>
      </c>
      <c r="B109" s="116">
        <v>1</v>
      </c>
      <c r="C109" s="103"/>
      <c r="D109" s="103">
        <v>0</v>
      </c>
      <c r="E109" s="103">
        <v>0</v>
      </c>
      <c r="F109" s="103">
        <v>0</v>
      </c>
      <c r="G109" s="103">
        <v>1055.7422610035351</v>
      </c>
      <c r="H109" s="103">
        <v>127.16762091564492</v>
      </c>
      <c r="I109" s="103">
        <v>1985.1848007305375</v>
      </c>
      <c r="J109" s="103">
        <v>932.59677557620353</v>
      </c>
      <c r="K109" s="103">
        <v>694.44778167344396</v>
      </c>
      <c r="L109" s="103">
        <v>967.9745819976481</v>
      </c>
      <c r="M109" s="103">
        <v>1138.5778984502881</v>
      </c>
      <c r="N109" s="103">
        <v>975.46344690517367</v>
      </c>
      <c r="O109" s="103">
        <v>1530.7735361919911</v>
      </c>
      <c r="P109" s="103">
        <v>375.03983921094016</v>
      </c>
      <c r="Q109" s="103">
        <v>1508.2148056128763</v>
      </c>
      <c r="R109" s="103">
        <v>1326.6917012327121</v>
      </c>
      <c r="S109" s="103">
        <v>1705.545331556074</v>
      </c>
      <c r="T109" s="103">
        <v>786.5433601241001</v>
      </c>
      <c r="U109" s="103">
        <v>1464.545502922678</v>
      </c>
      <c r="V109" s="103">
        <v>1947.4380130032173</v>
      </c>
      <c r="W109" s="103">
        <v>1295.7300651669955</v>
      </c>
      <c r="X109" s="103">
        <v>855.54427308885795</v>
      </c>
      <c r="Y109" s="103">
        <v>1916.3789196532957</v>
      </c>
      <c r="Z109" s="103">
        <v>874.08425605326329</v>
      </c>
      <c r="AA109" s="103">
        <v>1660.3999463949997</v>
      </c>
      <c r="AB109" s="103">
        <v>1321.4332971049785</v>
      </c>
      <c r="AC109" s="103">
        <v>2310.5203061288044</v>
      </c>
      <c r="AD109" s="103">
        <v>2006.7132914745403</v>
      </c>
      <c r="AE109" s="103">
        <v>1526.0519873645148</v>
      </c>
      <c r="AF109" s="103">
        <v>1243.5621227620727</v>
      </c>
      <c r="AG109" s="103">
        <v>1056.8344162545593</v>
      </c>
      <c r="AH109" s="103">
        <v>2685.0273203137504</v>
      </c>
      <c r="AI109" s="103">
        <v>1791.3153866746109</v>
      </c>
      <c r="AJ109" s="103">
        <v>1680.5199421157809</v>
      </c>
      <c r="AK109" s="103">
        <v>2203.6191903721733</v>
      </c>
      <c r="AL109" s="103">
        <v>1124.5605667382879</v>
      </c>
      <c r="AM109" s="103">
        <v>2045.6658861790538</v>
      </c>
      <c r="AN109" s="103">
        <v>1485.0971261076988</v>
      </c>
      <c r="AO109" s="103">
        <v>1824.9728938389958</v>
      </c>
      <c r="AP109" s="103">
        <v>943.64598835067022</v>
      </c>
      <c r="AQ109" s="103">
        <v>1494.1165805872838</v>
      </c>
      <c r="AR109" s="103">
        <v>856.79822405179993</v>
      </c>
      <c r="AS109" s="103">
        <v>408.4542127733904</v>
      </c>
      <c r="AT109" s="103">
        <v>1525.4060439104949</v>
      </c>
      <c r="AU109" s="103">
        <v>1384.778451767736</v>
      </c>
      <c r="AV109" s="103">
        <v>2536.1475512649849</v>
      </c>
      <c r="AW109" s="103">
        <v>1403.7361413721706</v>
      </c>
      <c r="AX109" s="103">
        <v>1615.3555736950045</v>
      </c>
      <c r="AY109" s="103">
        <v>1897.003215952486</v>
      </c>
    </row>
    <row r="110" spans="1:52" x14ac:dyDescent="0.15">
      <c r="A110" s="106"/>
      <c r="B110" s="116">
        <v>2</v>
      </c>
      <c r="C110" s="103"/>
      <c r="D110" s="103">
        <v>0</v>
      </c>
      <c r="E110" s="103">
        <v>0</v>
      </c>
      <c r="F110" s="103">
        <v>0</v>
      </c>
      <c r="G110" s="103">
        <v>0</v>
      </c>
      <c r="H110" s="103">
        <v>0</v>
      </c>
      <c r="I110" s="103">
        <v>0</v>
      </c>
      <c r="J110" s="103">
        <v>404.18480073053752</v>
      </c>
      <c r="K110" s="103">
        <v>0</v>
      </c>
      <c r="L110" s="103">
        <v>0</v>
      </c>
      <c r="M110" s="103">
        <v>0</v>
      </c>
      <c r="N110" s="103">
        <v>0</v>
      </c>
      <c r="O110" s="103">
        <v>0</v>
      </c>
      <c r="P110" s="103">
        <v>386.77353619199107</v>
      </c>
      <c r="Q110" s="103">
        <v>0</v>
      </c>
      <c r="R110" s="103">
        <v>722.28177772986521</v>
      </c>
      <c r="S110" s="103">
        <v>1216.8766009460596</v>
      </c>
      <c r="T110" s="103">
        <v>1705.545331556074</v>
      </c>
      <c r="U110" s="103">
        <v>786.5433601241001</v>
      </c>
      <c r="V110" s="103">
        <v>1464.545502922678</v>
      </c>
      <c r="W110" s="103">
        <v>1947.4380130032173</v>
      </c>
      <c r="X110" s="103">
        <v>1295.7300651669955</v>
      </c>
      <c r="Y110" s="103">
        <v>855.54427308885795</v>
      </c>
      <c r="Z110" s="103">
        <v>1916.3789196532957</v>
      </c>
      <c r="AA110" s="103">
        <v>874.08425605326329</v>
      </c>
      <c r="AB110" s="103">
        <v>1660.3999463949997</v>
      </c>
      <c r="AC110" s="103">
        <v>1321.4332971049785</v>
      </c>
      <c r="AD110" s="103">
        <v>2310.5203061288044</v>
      </c>
      <c r="AE110" s="103">
        <v>2006.7132914745403</v>
      </c>
      <c r="AF110" s="103">
        <v>1526.0519873645148</v>
      </c>
      <c r="AG110" s="103">
        <v>1243.5621227620727</v>
      </c>
      <c r="AH110" s="103">
        <v>1056.8344162545593</v>
      </c>
      <c r="AI110" s="103">
        <v>2685.0273203137504</v>
      </c>
      <c r="AJ110" s="103">
        <v>1791.3153866746109</v>
      </c>
      <c r="AK110" s="103">
        <v>1680.5199421157809</v>
      </c>
      <c r="AL110" s="103">
        <v>2203.6191903721733</v>
      </c>
      <c r="AM110" s="103">
        <v>1124.5605667382879</v>
      </c>
      <c r="AN110" s="103">
        <v>2045.6658861790538</v>
      </c>
      <c r="AO110" s="103">
        <v>1485.0971261076988</v>
      </c>
      <c r="AP110" s="103">
        <v>1824.9728938389958</v>
      </c>
      <c r="AQ110" s="103">
        <v>943.64598835067022</v>
      </c>
      <c r="AR110" s="103">
        <v>1494.1165805872838</v>
      </c>
      <c r="AS110" s="103">
        <v>856.79822405179993</v>
      </c>
      <c r="AT110" s="103">
        <v>408.4542127733904</v>
      </c>
      <c r="AU110" s="103">
        <v>1525.4060439104949</v>
      </c>
      <c r="AV110" s="103">
        <v>1384.778451767736</v>
      </c>
      <c r="AW110" s="103">
        <v>2536.1475512649849</v>
      </c>
      <c r="AX110" s="103">
        <v>1403.7361413721706</v>
      </c>
      <c r="AY110" s="103">
        <v>1615.3555736950045</v>
      </c>
    </row>
    <row r="111" spans="1:52" x14ac:dyDescent="0.15">
      <c r="A111" s="106"/>
      <c r="B111" s="116">
        <v>3</v>
      </c>
      <c r="C111" s="103"/>
      <c r="D111" s="103">
        <v>0</v>
      </c>
      <c r="E111" s="103">
        <v>0</v>
      </c>
      <c r="F111" s="103">
        <v>0</v>
      </c>
      <c r="G111" s="103">
        <v>0</v>
      </c>
      <c r="H111" s="103">
        <v>0</v>
      </c>
      <c r="I111" s="103">
        <v>0</v>
      </c>
      <c r="J111" s="103">
        <v>0</v>
      </c>
      <c r="K111" s="103">
        <v>0</v>
      </c>
      <c r="L111" s="103">
        <v>0</v>
      </c>
      <c r="M111" s="103">
        <v>0</v>
      </c>
      <c r="N111" s="103">
        <v>0</v>
      </c>
      <c r="O111" s="103">
        <v>0</v>
      </c>
      <c r="P111" s="103">
        <v>0</v>
      </c>
      <c r="Q111" s="103">
        <v>0</v>
      </c>
      <c r="R111" s="103">
        <v>0</v>
      </c>
      <c r="S111" s="103">
        <v>0</v>
      </c>
      <c r="T111" s="103">
        <v>353.86686941795756</v>
      </c>
      <c r="U111" s="103">
        <v>1563.9940855041934</v>
      </c>
      <c r="V111" s="103">
        <v>786.5433601241001</v>
      </c>
      <c r="W111" s="103">
        <v>1464.545502922678</v>
      </c>
      <c r="X111" s="103">
        <v>1947.4380130032173</v>
      </c>
      <c r="Y111" s="103">
        <v>1295.7300651669955</v>
      </c>
      <c r="Z111" s="103">
        <v>855.54427308885795</v>
      </c>
      <c r="AA111" s="103">
        <v>1916.3789196532957</v>
      </c>
      <c r="AB111" s="103">
        <v>874.08425605326329</v>
      </c>
      <c r="AC111" s="103">
        <v>1660.3999463949997</v>
      </c>
      <c r="AD111" s="103">
        <v>1321.4332971049785</v>
      </c>
      <c r="AE111" s="103">
        <v>2310.5203061288044</v>
      </c>
      <c r="AF111" s="103">
        <v>2006.7132914745403</v>
      </c>
      <c r="AG111" s="103">
        <v>1526.0519873645148</v>
      </c>
      <c r="AH111" s="103">
        <v>1243.5621227620727</v>
      </c>
      <c r="AI111" s="103">
        <v>1056.8344162545593</v>
      </c>
      <c r="AJ111" s="103">
        <v>2685.0273203137504</v>
      </c>
      <c r="AK111" s="103">
        <v>1791.3153866746109</v>
      </c>
      <c r="AL111" s="103">
        <v>1680.5199421157809</v>
      </c>
      <c r="AM111" s="103">
        <v>2203.6191903721733</v>
      </c>
      <c r="AN111" s="103">
        <v>1124.5605667382879</v>
      </c>
      <c r="AO111" s="103">
        <v>2045.6658861790538</v>
      </c>
      <c r="AP111" s="103">
        <v>1485.0971261076988</v>
      </c>
      <c r="AQ111" s="103">
        <v>1824.9728938389958</v>
      </c>
      <c r="AR111" s="103">
        <v>943.64598835067022</v>
      </c>
      <c r="AS111" s="103">
        <v>1494.1165805872838</v>
      </c>
      <c r="AT111" s="103">
        <v>856.79822405179993</v>
      </c>
      <c r="AU111" s="103">
        <v>408.4542127733904</v>
      </c>
      <c r="AV111" s="103">
        <v>1525.4060439104949</v>
      </c>
      <c r="AW111" s="103">
        <v>1384.778451767736</v>
      </c>
      <c r="AX111" s="103">
        <v>2536.1475512649849</v>
      </c>
      <c r="AY111" s="103">
        <v>1403.7361413721706</v>
      </c>
    </row>
    <row r="112" spans="1:52" x14ac:dyDescent="0.15">
      <c r="A112" s="106"/>
      <c r="B112" s="117">
        <v>4</v>
      </c>
      <c r="C112" s="103"/>
      <c r="D112" s="103">
        <v>0</v>
      </c>
      <c r="E112" s="103">
        <v>0</v>
      </c>
      <c r="F112" s="103">
        <v>0</v>
      </c>
      <c r="G112" s="103">
        <v>0</v>
      </c>
      <c r="H112" s="103">
        <v>0</v>
      </c>
      <c r="I112" s="103">
        <v>0</v>
      </c>
      <c r="J112" s="103">
        <v>0</v>
      </c>
      <c r="K112" s="103">
        <v>0</v>
      </c>
      <c r="L112" s="103">
        <v>0</v>
      </c>
      <c r="M112" s="103">
        <v>0</v>
      </c>
      <c r="N112" s="103">
        <v>0</v>
      </c>
      <c r="O112" s="103">
        <v>0</v>
      </c>
      <c r="P112" s="103">
        <v>0</v>
      </c>
      <c r="Q112" s="103">
        <v>0</v>
      </c>
      <c r="R112" s="103">
        <v>0</v>
      </c>
      <c r="S112" s="103">
        <v>0</v>
      </c>
      <c r="T112" s="103">
        <v>0</v>
      </c>
      <c r="U112" s="103">
        <v>0</v>
      </c>
      <c r="V112" s="103">
        <v>977.87346408214239</v>
      </c>
      <c r="W112" s="103">
        <v>786.5433601241001</v>
      </c>
      <c r="X112" s="103">
        <v>1464.545502922678</v>
      </c>
      <c r="Y112" s="103">
        <v>1947.4380130032173</v>
      </c>
      <c r="Z112" s="103">
        <v>1295.7300651669955</v>
      </c>
      <c r="AA112" s="103">
        <v>855.54427308885795</v>
      </c>
      <c r="AB112" s="103">
        <v>1916.3789196532957</v>
      </c>
      <c r="AC112" s="103">
        <v>874.08425605326329</v>
      </c>
      <c r="AD112" s="103">
        <v>1660.3999463949997</v>
      </c>
      <c r="AE112" s="103">
        <v>1321.4332971049785</v>
      </c>
      <c r="AF112" s="103">
        <v>2310.5203061288044</v>
      </c>
      <c r="AG112" s="103">
        <v>2006.7132914745403</v>
      </c>
      <c r="AH112" s="103">
        <v>1526.0519873645148</v>
      </c>
      <c r="AI112" s="103">
        <v>1243.5621227620727</v>
      </c>
      <c r="AJ112" s="103">
        <v>1056.8344162545593</v>
      </c>
      <c r="AK112" s="103">
        <v>2685.0273203137504</v>
      </c>
      <c r="AL112" s="103">
        <v>1791.3153866746109</v>
      </c>
      <c r="AM112" s="103">
        <v>1680.5199421157809</v>
      </c>
      <c r="AN112" s="103">
        <v>2203.6191903721733</v>
      </c>
      <c r="AO112" s="103">
        <v>1124.5605667382879</v>
      </c>
      <c r="AP112" s="103">
        <v>2045.6658861790538</v>
      </c>
      <c r="AQ112" s="103">
        <v>1485.0971261076988</v>
      </c>
      <c r="AR112" s="103">
        <v>1824.9728938389958</v>
      </c>
      <c r="AS112" s="103">
        <v>943.64598835067022</v>
      </c>
      <c r="AT112" s="103">
        <v>1494.1165805872838</v>
      </c>
      <c r="AU112" s="103">
        <v>856.79822405179993</v>
      </c>
      <c r="AV112" s="103">
        <v>408.4542127733904</v>
      </c>
      <c r="AW112" s="103">
        <v>1525.4060439104949</v>
      </c>
      <c r="AX112" s="103">
        <v>1384.778451767736</v>
      </c>
      <c r="AY112" s="103">
        <v>2536.1475512649849</v>
      </c>
    </row>
    <row r="113" spans="1:52" x14ac:dyDescent="0.15">
      <c r="A113" s="106"/>
      <c r="B113" s="117">
        <v>5</v>
      </c>
      <c r="C113" s="103"/>
      <c r="D113" s="103">
        <v>0</v>
      </c>
      <c r="E113" s="103">
        <v>0</v>
      </c>
      <c r="F113" s="103">
        <v>0</v>
      </c>
      <c r="G113" s="103">
        <v>0</v>
      </c>
      <c r="H113" s="103">
        <v>0</v>
      </c>
      <c r="I113" s="103">
        <v>0</v>
      </c>
      <c r="J113" s="103">
        <v>0</v>
      </c>
      <c r="K113" s="103">
        <v>0</v>
      </c>
      <c r="L113" s="103">
        <v>0</v>
      </c>
      <c r="M113" s="103">
        <v>0</v>
      </c>
      <c r="N113" s="103">
        <v>0</v>
      </c>
      <c r="O113" s="103">
        <v>0</v>
      </c>
      <c r="P113" s="103">
        <v>0</v>
      </c>
      <c r="Q113" s="103">
        <v>0</v>
      </c>
      <c r="R113" s="103">
        <v>0</v>
      </c>
      <c r="S113" s="103">
        <v>0</v>
      </c>
      <c r="T113" s="103">
        <v>0</v>
      </c>
      <c r="U113" s="103">
        <v>0</v>
      </c>
      <c r="V113" s="103">
        <v>0</v>
      </c>
      <c r="W113" s="103">
        <v>377.5695462831136</v>
      </c>
      <c r="X113" s="103">
        <v>600.16463054514475</v>
      </c>
      <c r="Y113" s="103">
        <v>1464.545502922678</v>
      </c>
      <c r="Z113" s="103">
        <v>1947.4380130032173</v>
      </c>
      <c r="AA113" s="103">
        <v>1295.7300651669955</v>
      </c>
      <c r="AB113" s="103">
        <v>855.54427308885795</v>
      </c>
      <c r="AC113" s="103">
        <v>1916.3789196532957</v>
      </c>
      <c r="AD113" s="103">
        <v>874.08425605326329</v>
      </c>
      <c r="AE113" s="103">
        <v>1660.3999463949997</v>
      </c>
      <c r="AF113" s="103">
        <v>1321.4332971049785</v>
      </c>
      <c r="AG113" s="103">
        <v>2310.5203061288044</v>
      </c>
      <c r="AH113" s="103">
        <v>2006.7132914745403</v>
      </c>
      <c r="AI113" s="103">
        <v>1526.0519873645148</v>
      </c>
      <c r="AJ113" s="103">
        <v>1243.5621227620727</v>
      </c>
      <c r="AK113" s="103">
        <v>1056.8344162545593</v>
      </c>
      <c r="AL113" s="103">
        <v>2685.0273203137504</v>
      </c>
      <c r="AM113" s="103">
        <v>1791.3153866746109</v>
      </c>
      <c r="AN113" s="103">
        <v>1680.5199421157809</v>
      </c>
      <c r="AO113" s="103">
        <v>2203.6191903721733</v>
      </c>
      <c r="AP113" s="103">
        <v>1124.5605667382879</v>
      </c>
      <c r="AQ113" s="103">
        <v>2045.6658861790538</v>
      </c>
      <c r="AR113" s="103">
        <v>1485.0971261076988</v>
      </c>
      <c r="AS113" s="103">
        <v>1824.9728938389958</v>
      </c>
      <c r="AT113" s="103">
        <v>943.64598835067022</v>
      </c>
      <c r="AU113" s="103">
        <v>1494.1165805872838</v>
      </c>
      <c r="AV113" s="103">
        <v>856.79822405179993</v>
      </c>
      <c r="AW113" s="103">
        <v>408.4542127733904</v>
      </c>
      <c r="AX113" s="103">
        <v>1525.4060439104949</v>
      </c>
      <c r="AY113" s="103">
        <v>1384.778451767736</v>
      </c>
    </row>
    <row r="114" spans="1:52" x14ac:dyDescent="0.15">
      <c r="A114" s="106"/>
      <c r="B114" s="117">
        <v>6</v>
      </c>
      <c r="C114" s="103"/>
      <c r="D114" s="103">
        <v>0</v>
      </c>
      <c r="E114" s="103">
        <v>0</v>
      </c>
      <c r="F114" s="103">
        <v>0</v>
      </c>
      <c r="G114" s="103">
        <v>0</v>
      </c>
      <c r="H114" s="103">
        <v>0</v>
      </c>
      <c r="I114" s="103">
        <v>0</v>
      </c>
      <c r="J114" s="103">
        <v>0</v>
      </c>
      <c r="K114" s="103">
        <v>0</v>
      </c>
      <c r="L114" s="103">
        <v>0</v>
      </c>
      <c r="M114" s="103">
        <v>0</v>
      </c>
      <c r="N114" s="103">
        <v>0</v>
      </c>
      <c r="O114" s="103">
        <v>0</v>
      </c>
      <c r="P114" s="103">
        <v>0</v>
      </c>
      <c r="Q114" s="103">
        <v>0</v>
      </c>
      <c r="R114" s="103">
        <v>0</v>
      </c>
      <c r="S114" s="103">
        <v>0</v>
      </c>
      <c r="T114" s="103">
        <v>0</v>
      </c>
      <c r="U114" s="103">
        <v>0</v>
      </c>
      <c r="V114" s="103">
        <v>0</v>
      </c>
      <c r="W114" s="103">
        <v>0</v>
      </c>
      <c r="X114" s="103">
        <v>0</v>
      </c>
      <c r="Y114" s="103">
        <v>197.815223590789</v>
      </c>
      <c r="Z114" s="103">
        <v>1235.1538702371124</v>
      </c>
      <c r="AA114" s="103">
        <v>1947.4380130032173</v>
      </c>
      <c r="AB114" s="103">
        <v>1295.7300651669955</v>
      </c>
      <c r="AC114" s="103">
        <v>855.54427308885795</v>
      </c>
      <c r="AD114" s="103">
        <v>1916.3789196532957</v>
      </c>
      <c r="AE114" s="103">
        <v>874.08425605326329</v>
      </c>
      <c r="AF114" s="103">
        <v>1660.3999463949997</v>
      </c>
      <c r="AG114" s="103">
        <v>1321.4332971049785</v>
      </c>
      <c r="AH114" s="103">
        <v>2310.5203061288044</v>
      </c>
      <c r="AI114" s="103">
        <v>2006.7132914745403</v>
      </c>
      <c r="AJ114" s="103">
        <v>1526.0519873645148</v>
      </c>
      <c r="AK114" s="103">
        <v>1243.5621227620727</v>
      </c>
      <c r="AL114" s="103">
        <v>1056.8344162545593</v>
      </c>
      <c r="AM114" s="103">
        <v>2685.0273203137504</v>
      </c>
      <c r="AN114" s="103">
        <v>1791.3153866746109</v>
      </c>
      <c r="AO114" s="103">
        <v>1680.5199421157809</v>
      </c>
      <c r="AP114" s="103">
        <v>2203.6191903721733</v>
      </c>
      <c r="AQ114" s="103">
        <v>1124.5605667382879</v>
      </c>
      <c r="AR114" s="103">
        <v>2045.6658861790538</v>
      </c>
      <c r="AS114" s="103">
        <v>1485.0971261076988</v>
      </c>
      <c r="AT114" s="103">
        <v>1824.9728938389958</v>
      </c>
      <c r="AU114" s="103">
        <v>943.64598835067022</v>
      </c>
      <c r="AV114" s="103">
        <v>1494.1165805872838</v>
      </c>
      <c r="AW114" s="103">
        <v>856.79822405179993</v>
      </c>
      <c r="AX114" s="103">
        <v>408.4542127733904</v>
      </c>
      <c r="AY114" s="103">
        <v>1525.4060439104949</v>
      </c>
    </row>
    <row r="115" spans="1:52" x14ac:dyDescent="0.15">
      <c r="A115" s="106"/>
      <c r="B115" s="124">
        <v>7</v>
      </c>
      <c r="C115" s="103"/>
      <c r="D115" s="103">
        <v>0</v>
      </c>
      <c r="E115" s="103">
        <v>0</v>
      </c>
      <c r="F115" s="103">
        <v>0</v>
      </c>
      <c r="G115" s="103">
        <v>0</v>
      </c>
      <c r="H115" s="103">
        <v>0</v>
      </c>
      <c r="I115" s="103">
        <v>0</v>
      </c>
      <c r="J115" s="103">
        <v>0</v>
      </c>
      <c r="K115" s="103">
        <v>0</v>
      </c>
      <c r="L115" s="103">
        <v>0</v>
      </c>
      <c r="M115" s="103">
        <v>0</v>
      </c>
      <c r="N115" s="103">
        <v>0</v>
      </c>
      <c r="O115" s="103">
        <v>0</v>
      </c>
      <c r="P115" s="103">
        <v>0</v>
      </c>
      <c r="Q115" s="103">
        <v>0</v>
      </c>
      <c r="R115" s="103">
        <v>0</v>
      </c>
      <c r="S115" s="103">
        <v>0</v>
      </c>
      <c r="T115" s="103">
        <v>0</v>
      </c>
      <c r="U115" s="103">
        <v>0</v>
      </c>
      <c r="V115" s="103">
        <v>0</v>
      </c>
      <c r="W115" s="103">
        <v>0</v>
      </c>
      <c r="X115" s="103">
        <v>0</v>
      </c>
      <c r="Y115" s="103">
        <v>0</v>
      </c>
      <c r="Z115" s="103">
        <v>0</v>
      </c>
      <c r="AA115" s="103">
        <v>840.64737673061882</v>
      </c>
      <c r="AB115" s="103">
        <v>1947.4380130032173</v>
      </c>
      <c r="AC115" s="103">
        <v>1295.7300651669955</v>
      </c>
      <c r="AD115" s="103">
        <v>855.54427308885795</v>
      </c>
      <c r="AE115" s="103">
        <v>1916.3789196532957</v>
      </c>
      <c r="AF115" s="103">
        <v>874.08425605326329</v>
      </c>
      <c r="AG115" s="103">
        <v>1660.3999463949997</v>
      </c>
      <c r="AH115" s="103">
        <v>1321.4332971049785</v>
      </c>
      <c r="AI115" s="103">
        <v>2310.5203061288044</v>
      </c>
      <c r="AJ115" s="103">
        <v>2006.7132914745403</v>
      </c>
      <c r="AK115" s="103">
        <v>1526.0519873645148</v>
      </c>
      <c r="AL115" s="103">
        <v>1243.5621227620727</v>
      </c>
      <c r="AM115" s="103">
        <v>1056.8344162545593</v>
      </c>
      <c r="AN115" s="103">
        <v>2685.0273203137504</v>
      </c>
      <c r="AO115" s="103">
        <v>1791.3153866746109</v>
      </c>
      <c r="AP115" s="103">
        <v>1680.5199421157809</v>
      </c>
      <c r="AQ115" s="103">
        <v>2203.6191903721733</v>
      </c>
      <c r="AR115" s="103">
        <v>1124.5605667382879</v>
      </c>
      <c r="AS115" s="103">
        <v>2045.6658861790538</v>
      </c>
      <c r="AT115" s="103">
        <v>1485.0971261076988</v>
      </c>
      <c r="AU115" s="103">
        <v>1824.9728938389958</v>
      </c>
      <c r="AV115" s="103">
        <v>943.64598835067022</v>
      </c>
      <c r="AW115" s="103">
        <v>1494.1165805872838</v>
      </c>
      <c r="AX115" s="103">
        <v>856.79822405179993</v>
      </c>
      <c r="AY115" s="103">
        <v>408.4542127733904</v>
      </c>
    </row>
    <row r="116" spans="1:52" x14ac:dyDescent="0.15">
      <c r="A116" s="106"/>
      <c r="B116" s="124">
        <v>8</v>
      </c>
      <c r="C116" s="103"/>
      <c r="D116" s="103">
        <v>0</v>
      </c>
      <c r="E116" s="103">
        <v>0</v>
      </c>
      <c r="F116" s="103">
        <v>0</v>
      </c>
      <c r="G116" s="103">
        <v>0</v>
      </c>
      <c r="H116" s="103">
        <v>0</v>
      </c>
      <c r="I116" s="103">
        <v>0</v>
      </c>
      <c r="J116" s="103">
        <v>0</v>
      </c>
      <c r="K116" s="103">
        <v>0</v>
      </c>
      <c r="L116" s="103">
        <v>0</v>
      </c>
      <c r="M116" s="103">
        <v>0</v>
      </c>
      <c r="N116" s="103">
        <v>0</v>
      </c>
      <c r="O116" s="103">
        <v>0</v>
      </c>
      <c r="P116" s="103">
        <v>0</v>
      </c>
      <c r="Q116" s="103">
        <v>0</v>
      </c>
      <c r="R116" s="103">
        <v>0</v>
      </c>
      <c r="S116" s="103">
        <v>0</v>
      </c>
      <c r="T116" s="103">
        <v>0</v>
      </c>
      <c r="U116" s="103">
        <v>0</v>
      </c>
      <c r="V116" s="103">
        <v>0</v>
      </c>
      <c r="W116" s="103">
        <v>0</v>
      </c>
      <c r="X116" s="103">
        <v>0</v>
      </c>
      <c r="Y116" s="103">
        <v>0</v>
      </c>
      <c r="Z116" s="103">
        <v>0</v>
      </c>
      <c r="AA116" s="103">
        <v>0</v>
      </c>
      <c r="AB116" s="103">
        <v>388.86535813564279</v>
      </c>
      <c r="AC116" s="103">
        <v>1947.4380130032173</v>
      </c>
      <c r="AD116" s="103">
        <v>1295.7300651669955</v>
      </c>
      <c r="AE116" s="103">
        <v>855.54427308885795</v>
      </c>
      <c r="AF116" s="103">
        <v>1916.3789196532957</v>
      </c>
      <c r="AG116" s="103">
        <v>874.08425605326329</v>
      </c>
      <c r="AH116" s="103">
        <v>1660.3999463949997</v>
      </c>
      <c r="AI116" s="103">
        <v>1321.4332971049785</v>
      </c>
      <c r="AJ116" s="103">
        <v>2310.5203061288044</v>
      </c>
      <c r="AK116" s="103">
        <v>2006.7132914745403</v>
      </c>
      <c r="AL116" s="103">
        <v>1526.0519873645148</v>
      </c>
      <c r="AM116" s="103">
        <v>1243.5621227620727</v>
      </c>
      <c r="AN116" s="103">
        <v>1056.8344162545593</v>
      </c>
      <c r="AO116" s="103">
        <v>2685.0273203137504</v>
      </c>
      <c r="AP116" s="103">
        <v>1791.3153866746109</v>
      </c>
      <c r="AQ116" s="103">
        <v>1680.5199421157809</v>
      </c>
      <c r="AR116" s="103">
        <v>2203.6191903721733</v>
      </c>
      <c r="AS116" s="103">
        <v>1124.5605667382879</v>
      </c>
      <c r="AT116" s="103">
        <v>2045.6658861790538</v>
      </c>
      <c r="AU116" s="103">
        <v>1485.0971261076988</v>
      </c>
      <c r="AV116" s="103">
        <v>1824.9728938389958</v>
      </c>
      <c r="AW116" s="103">
        <v>943.64598835067022</v>
      </c>
      <c r="AX116" s="103">
        <v>1494.1165805872838</v>
      </c>
      <c r="AY116" s="103">
        <v>856.79822405179993</v>
      </c>
    </row>
    <row r="117" spans="1:52" x14ac:dyDescent="0.15">
      <c r="A117" s="106"/>
      <c r="B117" s="124">
        <v>9</v>
      </c>
      <c r="C117" s="103"/>
      <c r="D117" s="103">
        <v>0</v>
      </c>
      <c r="E117" s="103">
        <v>0</v>
      </c>
      <c r="F117" s="103">
        <v>0</v>
      </c>
      <c r="G117" s="103">
        <v>0</v>
      </c>
      <c r="H117" s="103">
        <v>0</v>
      </c>
      <c r="I117" s="103">
        <v>0</v>
      </c>
      <c r="J117" s="103">
        <v>0</v>
      </c>
      <c r="K117" s="103">
        <v>0</v>
      </c>
      <c r="L117" s="103">
        <v>0</v>
      </c>
      <c r="M117" s="103">
        <v>0</v>
      </c>
      <c r="N117" s="103">
        <v>0</v>
      </c>
      <c r="O117" s="103">
        <v>0</v>
      </c>
      <c r="P117" s="103">
        <v>0</v>
      </c>
      <c r="Q117" s="103">
        <v>0</v>
      </c>
      <c r="R117" s="103">
        <v>0</v>
      </c>
      <c r="S117" s="103">
        <v>0</v>
      </c>
      <c r="T117" s="103">
        <v>0</v>
      </c>
      <c r="U117" s="103">
        <v>0</v>
      </c>
      <c r="V117" s="103">
        <v>0</v>
      </c>
      <c r="W117" s="103">
        <v>0</v>
      </c>
      <c r="X117" s="103">
        <v>0</v>
      </c>
      <c r="Y117" s="103">
        <v>0</v>
      </c>
      <c r="Z117" s="103">
        <v>0</v>
      </c>
      <c r="AA117" s="103">
        <v>0</v>
      </c>
      <c r="AB117" s="103">
        <v>0</v>
      </c>
      <c r="AC117" s="103">
        <v>36.927711710411813</v>
      </c>
      <c r="AD117" s="103">
        <v>1554.4429116776087</v>
      </c>
      <c r="AE117" s="103">
        <v>1295.7300651669955</v>
      </c>
      <c r="AF117" s="103">
        <v>855.54427308885795</v>
      </c>
      <c r="AG117" s="103">
        <v>1916.3789196532957</v>
      </c>
      <c r="AH117" s="103">
        <v>874.08425605326329</v>
      </c>
      <c r="AI117" s="103">
        <v>1660.3999463949997</v>
      </c>
      <c r="AJ117" s="103">
        <v>1321.4332971049785</v>
      </c>
      <c r="AK117" s="103">
        <v>2310.5203061288044</v>
      </c>
      <c r="AL117" s="103">
        <v>2006.7132914745403</v>
      </c>
      <c r="AM117" s="103">
        <v>1526.0519873645148</v>
      </c>
      <c r="AN117" s="103">
        <v>1243.5621227620727</v>
      </c>
      <c r="AO117" s="103">
        <v>1056.8344162545593</v>
      </c>
      <c r="AP117" s="103">
        <v>2685.0273203137504</v>
      </c>
      <c r="AQ117" s="103">
        <v>1791.3153866746109</v>
      </c>
      <c r="AR117" s="103">
        <v>1680.5199421157809</v>
      </c>
      <c r="AS117" s="103">
        <v>2203.6191903721733</v>
      </c>
      <c r="AT117" s="103">
        <v>1124.5605667382879</v>
      </c>
      <c r="AU117" s="103">
        <v>2045.6658861790538</v>
      </c>
      <c r="AV117" s="103">
        <v>1485.0971261076988</v>
      </c>
      <c r="AW117" s="103">
        <v>1824.9728938389958</v>
      </c>
      <c r="AX117" s="103">
        <v>943.64598835067022</v>
      </c>
      <c r="AY117" s="103">
        <v>1494.1165805872838</v>
      </c>
    </row>
    <row r="118" spans="1:52" x14ac:dyDescent="0.15">
      <c r="A118" s="106"/>
      <c r="B118" s="127">
        <v>10</v>
      </c>
      <c r="C118" s="103"/>
      <c r="D118" s="103">
        <v>0</v>
      </c>
      <c r="E118" s="103">
        <v>0</v>
      </c>
      <c r="F118" s="103">
        <v>0</v>
      </c>
      <c r="G118" s="103">
        <v>0</v>
      </c>
      <c r="H118" s="103">
        <v>0</v>
      </c>
      <c r="I118" s="103">
        <v>0</v>
      </c>
      <c r="J118" s="103">
        <v>0</v>
      </c>
      <c r="K118" s="103">
        <v>0</v>
      </c>
      <c r="L118" s="103">
        <v>0</v>
      </c>
      <c r="M118" s="103">
        <v>0</v>
      </c>
      <c r="N118" s="103">
        <v>0</v>
      </c>
      <c r="O118" s="103">
        <v>0</v>
      </c>
      <c r="P118" s="103">
        <v>0</v>
      </c>
      <c r="Q118" s="103">
        <v>0</v>
      </c>
      <c r="R118" s="103">
        <v>0</v>
      </c>
      <c r="S118" s="103">
        <v>0</v>
      </c>
      <c r="T118" s="103">
        <v>0</v>
      </c>
      <c r="U118" s="103">
        <v>0</v>
      </c>
      <c r="V118" s="103">
        <v>0</v>
      </c>
      <c r="W118" s="103">
        <v>0</v>
      </c>
      <c r="X118" s="103">
        <v>0</v>
      </c>
      <c r="Y118" s="103">
        <v>0</v>
      </c>
      <c r="Z118" s="103">
        <v>0</v>
      </c>
      <c r="AA118" s="103">
        <v>0</v>
      </c>
      <c r="AB118" s="103">
        <v>0</v>
      </c>
      <c r="AC118" s="103">
        <v>0</v>
      </c>
      <c r="AD118" s="103">
        <v>0</v>
      </c>
      <c r="AE118" s="103">
        <v>1189.5706983812825</v>
      </c>
      <c r="AF118" s="103">
        <v>1295.7300651669955</v>
      </c>
      <c r="AG118" s="103">
        <v>855.54427308885795</v>
      </c>
      <c r="AH118" s="103">
        <v>1916.3789196532957</v>
      </c>
      <c r="AI118" s="103">
        <v>874.08425605326329</v>
      </c>
      <c r="AJ118" s="103">
        <v>1660.3999463949997</v>
      </c>
      <c r="AK118" s="103">
        <v>1321.4332971049785</v>
      </c>
      <c r="AL118" s="103">
        <v>2310.5203061288044</v>
      </c>
      <c r="AM118" s="103">
        <v>2006.7132914745403</v>
      </c>
      <c r="AN118" s="103">
        <v>1526.0519873645148</v>
      </c>
      <c r="AO118" s="103">
        <v>1243.5621227620727</v>
      </c>
      <c r="AP118" s="103">
        <v>1056.8344162545593</v>
      </c>
      <c r="AQ118" s="103">
        <v>2685.0273203137504</v>
      </c>
      <c r="AR118" s="103">
        <v>1791.3153866746109</v>
      </c>
      <c r="AS118" s="103">
        <v>1680.5199421157809</v>
      </c>
      <c r="AT118" s="103">
        <v>2203.6191903721733</v>
      </c>
      <c r="AU118" s="103">
        <v>1124.5605667382879</v>
      </c>
      <c r="AV118" s="103">
        <v>2045.6658861790538</v>
      </c>
      <c r="AW118" s="103">
        <v>1485.0971261076988</v>
      </c>
      <c r="AX118" s="103">
        <v>1824.9728938389958</v>
      </c>
      <c r="AY118" s="103">
        <v>943.64598835067022</v>
      </c>
    </row>
    <row r="119" spans="1:52" x14ac:dyDescent="0.15">
      <c r="A119" s="106"/>
      <c r="B119" s="127">
        <v>11</v>
      </c>
      <c r="C119" s="103"/>
      <c r="D119" s="103">
        <v>0</v>
      </c>
      <c r="E119" s="103">
        <v>0</v>
      </c>
      <c r="F119" s="103">
        <v>0</v>
      </c>
      <c r="G119" s="103">
        <v>0</v>
      </c>
      <c r="H119" s="103">
        <v>0</v>
      </c>
      <c r="I119" s="103">
        <v>0</v>
      </c>
      <c r="J119" s="103">
        <v>0</v>
      </c>
      <c r="K119" s="103">
        <v>0</v>
      </c>
      <c r="L119" s="103">
        <v>0</v>
      </c>
      <c r="M119" s="103">
        <v>0</v>
      </c>
      <c r="N119" s="103">
        <v>0</v>
      </c>
      <c r="O119" s="103">
        <v>0</v>
      </c>
      <c r="P119" s="103">
        <v>0</v>
      </c>
      <c r="Q119" s="103">
        <v>0</v>
      </c>
      <c r="R119" s="103">
        <v>0</v>
      </c>
      <c r="S119" s="103">
        <v>0</v>
      </c>
      <c r="T119" s="103">
        <v>0</v>
      </c>
      <c r="U119" s="103">
        <v>0</v>
      </c>
      <c r="V119" s="103">
        <v>0</v>
      </c>
      <c r="W119" s="103">
        <v>0</v>
      </c>
      <c r="X119" s="103">
        <v>0</v>
      </c>
      <c r="Y119" s="103">
        <v>0</v>
      </c>
      <c r="Z119" s="103">
        <v>0</v>
      </c>
      <c r="AA119" s="103">
        <v>0</v>
      </c>
      <c r="AB119" s="103">
        <v>0</v>
      </c>
      <c r="AC119" s="103">
        <v>0</v>
      </c>
      <c r="AD119" s="103">
        <v>0</v>
      </c>
      <c r="AE119" s="103">
        <v>0</v>
      </c>
      <c r="AF119" s="103">
        <v>889.3206577281926</v>
      </c>
      <c r="AG119" s="103">
        <v>1223.4216509031849</v>
      </c>
      <c r="AH119" s="103">
        <v>818.64177781469095</v>
      </c>
      <c r="AI119" s="103">
        <v>1580.8407043754301</v>
      </c>
      <c r="AJ119" s="103">
        <v>629.49299955639049</v>
      </c>
      <c r="AK119" s="103">
        <v>1342.6662819902217</v>
      </c>
      <c r="AL119" s="103">
        <v>893.73113774170747</v>
      </c>
      <c r="AM119" s="103">
        <v>1747.8045572845144</v>
      </c>
      <c r="AN119" s="103">
        <v>1476.2229043232364</v>
      </c>
      <c r="AO119" s="103">
        <v>1387.1399297835676</v>
      </c>
      <c r="AP119" s="103">
        <v>1067.0368716758151</v>
      </c>
      <c r="AQ119" s="103">
        <v>999.05207876124837</v>
      </c>
      <c r="AR119" s="103">
        <v>2685.0273203137504</v>
      </c>
      <c r="AS119" s="103">
        <v>1791.3153866746109</v>
      </c>
      <c r="AT119" s="103">
        <v>1680.5199421157809</v>
      </c>
      <c r="AU119" s="103">
        <v>2060.0387687971916</v>
      </c>
      <c r="AV119" s="103">
        <v>1124.5605667382879</v>
      </c>
      <c r="AW119" s="103">
        <v>2045.6658861790538</v>
      </c>
      <c r="AX119" s="103">
        <v>1478.345884542591</v>
      </c>
      <c r="AY119" s="103">
        <v>1824.9728938389958</v>
      </c>
    </row>
    <row r="120" spans="1:52" x14ac:dyDescent="0.15">
      <c r="A120" s="106"/>
      <c r="B120" s="127">
        <v>12</v>
      </c>
      <c r="C120" s="103"/>
      <c r="D120" s="103">
        <v>0</v>
      </c>
      <c r="E120" s="103">
        <v>0</v>
      </c>
      <c r="F120" s="103">
        <v>0</v>
      </c>
      <c r="G120" s="103">
        <v>0</v>
      </c>
      <c r="H120" s="103">
        <v>0</v>
      </c>
      <c r="I120" s="103">
        <v>0</v>
      </c>
      <c r="J120" s="103">
        <v>0</v>
      </c>
      <c r="K120" s="103">
        <v>0</v>
      </c>
      <c r="L120" s="103">
        <v>0</v>
      </c>
      <c r="M120" s="103">
        <v>0</v>
      </c>
      <c r="N120" s="103">
        <v>0</v>
      </c>
      <c r="O120" s="103">
        <v>0</v>
      </c>
      <c r="P120" s="103">
        <v>0</v>
      </c>
      <c r="Q120" s="103">
        <v>0</v>
      </c>
      <c r="R120" s="103">
        <v>0</v>
      </c>
      <c r="S120" s="103">
        <v>0</v>
      </c>
      <c r="T120" s="103">
        <v>0</v>
      </c>
      <c r="U120" s="103">
        <v>0</v>
      </c>
      <c r="V120" s="103">
        <v>0</v>
      </c>
      <c r="W120" s="103">
        <v>0</v>
      </c>
      <c r="X120" s="103">
        <v>0</v>
      </c>
      <c r="Y120" s="103">
        <v>0</v>
      </c>
      <c r="Z120" s="103">
        <v>0</v>
      </c>
      <c r="AA120" s="103">
        <v>0</v>
      </c>
      <c r="AB120" s="103">
        <v>0</v>
      </c>
      <c r="AC120" s="103">
        <v>0</v>
      </c>
      <c r="AD120" s="103">
        <v>0</v>
      </c>
      <c r="AE120" s="103">
        <v>0</v>
      </c>
      <c r="AF120" s="103">
        <v>0</v>
      </c>
      <c r="AG120" s="103">
        <v>0</v>
      </c>
      <c r="AH120" s="103">
        <v>0</v>
      </c>
      <c r="AI120" s="103">
        <v>0</v>
      </c>
      <c r="AJ120" s="103">
        <v>0</v>
      </c>
      <c r="AK120" s="103">
        <v>0</v>
      </c>
      <c r="AL120" s="103">
        <v>0</v>
      </c>
      <c r="AM120" s="103">
        <v>0</v>
      </c>
      <c r="AN120" s="103">
        <v>0</v>
      </c>
      <c r="AO120" s="103">
        <v>0</v>
      </c>
      <c r="AP120" s="103">
        <v>0</v>
      </c>
      <c r="AQ120" s="103">
        <v>0</v>
      </c>
      <c r="AR120" s="103">
        <v>38.791659263669658</v>
      </c>
      <c r="AS120" s="103">
        <v>170.42322840132692</v>
      </c>
      <c r="AT120" s="103">
        <v>181.98014464736525</v>
      </c>
      <c r="AU120" s="103">
        <v>0</v>
      </c>
      <c r="AV120" s="103">
        <v>166.55533729738522</v>
      </c>
      <c r="AW120" s="103">
        <v>41.757535571114204</v>
      </c>
      <c r="AX120" s="103">
        <v>0</v>
      </c>
      <c r="AY120" s="103">
        <v>138.12247750772099</v>
      </c>
    </row>
    <row r="121" spans="1:52" x14ac:dyDescent="0.15">
      <c r="A121" s="125"/>
      <c r="B121" s="129" t="s">
        <v>295</v>
      </c>
      <c r="C121" s="111"/>
      <c r="D121" s="122">
        <v>0</v>
      </c>
      <c r="E121" s="122">
        <v>0</v>
      </c>
      <c r="F121" s="122">
        <v>0</v>
      </c>
      <c r="G121" s="122">
        <v>0</v>
      </c>
      <c r="H121" s="122">
        <v>0</v>
      </c>
      <c r="I121" s="122">
        <v>0</v>
      </c>
      <c r="J121" s="122">
        <v>0</v>
      </c>
      <c r="K121" s="122">
        <v>0</v>
      </c>
      <c r="L121" s="122">
        <v>0</v>
      </c>
      <c r="M121" s="122">
        <v>0</v>
      </c>
      <c r="N121" s="122">
        <v>0</v>
      </c>
      <c r="O121" s="122">
        <v>0</v>
      </c>
      <c r="P121" s="122">
        <v>0</v>
      </c>
      <c r="Q121" s="122">
        <v>0</v>
      </c>
      <c r="R121" s="122">
        <v>0</v>
      </c>
      <c r="S121" s="122">
        <v>0</v>
      </c>
      <c r="T121" s="122">
        <v>0</v>
      </c>
      <c r="U121" s="122">
        <v>0</v>
      </c>
      <c r="V121" s="122">
        <v>0</v>
      </c>
      <c r="W121" s="122">
        <v>0</v>
      </c>
      <c r="X121" s="122">
        <v>0</v>
      </c>
      <c r="Y121" s="122">
        <v>0</v>
      </c>
      <c r="Z121" s="122">
        <v>0</v>
      </c>
      <c r="AA121" s="122">
        <v>0</v>
      </c>
      <c r="AB121" s="122">
        <v>0</v>
      </c>
      <c r="AC121" s="122">
        <v>0</v>
      </c>
      <c r="AD121" s="122">
        <v>0</v>
      </c>
      <c r="AE121" s="122">
        <v>0</v>
      </c>
      <c r="AF121" s="122">
        <v>0</v>
      </c>
      <c r="AG121" s="122">
        <v>0</v>
      </c>
      <c r="AH121" s="122">
        <v>0</v>
      </c>
      <c r="AI121" s="122">
        <v>0</v>
      </c>
      <c r="AJ121" s="122">
        <v>0</v>
      </c>
      <c r="AK121" s="122">
        <v>0</v>
      </c>
      <c r="AL121" s="122">
        <v>0</v>
      </c>
      <c r="AM121" s="122">
        <v>0</v>
      </c>
      <c r="AN121" s="122">
        <v>0</v>
      </c>
      <c r="AO121" s="122">
        <v>0</v>
      </c>
      <c r="AP121" s="122">
        <v>0</v>
      </c>
      <c r="AQ121" s="122">
        <v>0</v>
      </c>
      <c r="AR121" s="122">
        <v>0</v>
      </c>
      <c r="AS121" s="122">
        <v>0</v>
      </c>
      <c r="AT121" s="122">
        <v>29.962564065662576</v>
      </c>
      <c r="AU121" s="122">
        <v>0</v>
      </c>
      <c r="AV121" s="122">
        <v>0</v>
      </c>
      <c r="AW121" s="122">
        <v>42.093473998304205</v>
      </c>
      <c r="AX121" s="122">
        <v>0</v>
      </c>
      <c r="AY121" s="122">
        <v>0</v>
      </c>
      <c r="AZ121" s="104">
        <f>SUM($D121:$AY121)</f>
        <v>72.056038063966781</v>
      </c>
    </row>
    <row r="122" spans="1:52" x14ac:dyDescent="0.15">
      <c r="A122" s="128" t="s">
        <v>123</v>
      </c>
      <c r="B122" s="116">
        <v>1</v>
      </c>
      <c r="C122" s="103"/>
      <c r="D122" s="103">
        <v>0</v>
      </c>
      <c r="E122" s="103">
        <v>0</v>
      </c>
      <c r="F122" s="103">
        <v>2111.4845220070702</v>
      </c>
      <c r="G122" s="103">
        <v>254.33524183128984</v>
      </c>
      <c r="H122" s="103">
        <v>2112.6417317866781</v>
      </c>
      <c r="I122" s="103">
        <v>1710.4977447364568</v>
      </c>
      <c r="J122" s="103">
        <v>1224.4702838575415</v>
      </c>
      <c r="K122" s="103">
        <v>1935.9491639952962</v>
      </c>
      <c r="L122" s="103">
        <v>1197.7621915606514</v>
      </c>
      <c r="M122" s="103">
        <v>1950.9268938103473</v>
      </c>
      <c r="N122" s="103">
        <v>2059.9858161155871</v>
      </c>
      <c r="O122" s="103">
        <v>232.43506944719155</v>
      </c>
      <c r="P122" s="103">
        <v>1187.6303514718975</v>
      </c>
      <c r="Q122" s="103">
        <v>1969.0176981202389</v>
      </c>
      <c r="R122" s="103">
        <v>2118.4092095495062</v>
      </c>
      <c r="S122" s="103">
        <v>403.82057973415135</v>
      </c>
      <c r="T122" s="103">
        <v>1213.9295405927355</v>
      </c>
      <c r="U122" s="103">
        <v>2120.1243799832405</v>
      </c>
      <c r="V122" s="103">
        <v>1154.1427387528245</v>
      </c>
      <c r="W122" s="103">
        <v>227.97274335946878</v>
      </c>
      <c r="X122" s="103">
        <v>1889.4921751492971</v>
      </c>
      <c r="Y122" s="103">
        <v>285.13899940758665</v>
      </c>
      <c r="Z122" s="103">
        <v>1170</v>
      </c>
      <c r="AA122" s="103">
        <v>404.68502701655939</v>
      </c>
      <c r="AB122" s="103">
        <v>2094.5562709045294</v>
      </c>
      <c r="AC122" s="103">
        <v>1974.322299771211</v>
      </c>
      <c r="AD122" s="103">
        <v>1170</v>
      </c>
      <c r="AE122" s="103">
        <v>405.10951698050815</v>
      </c>
      <c r="AF122" s="103">
        <v>1170</v>
      </c>
      <c r="AG122" s="103">
        <v>2083.2507820238707</v>
      </c>
      <c r="AH122" s="103">
        <v>1171.6769651825884</v>
      </c>
      <c r="AI122" s="103">
        <v>1857.4108418357732</v>
      </c>
      <c r="AJ122" s="103">
        <v>2128.4803066804543</v>
      </c>
      <c r="AK122" s="103">
        <v>135</v>
      </c>
      <c r="AL122" s="103">
        <v>1200.1394226311263</v>
      </c>
      <c r="AM122" s="103">
        <v>255.19963663554768</v>
      </c>
      <c r="AN122" s="103">
        <v>2170.2792407928591</v>
      </c>
      <c r="AO122" s="103">
        <v>255.31908286234474</v>
      </c>
      <c r="AP122" s="103">
        <v>2034.8782957974145</v>
      </c>
      <c r="AQ122" s="103">
        <v>405.43715584762697</v>
      </c>
      <c r="AR122" s="103">
        <v>165.942168523493</v>
      </c>
      <c r="AS122" s="103">
        <v>1060</v>
      </c>
      <c r="AT122" s="103">
        <v>413.11152396064074</v>
      </c>
      <c r="AU122" s="103">
        <v>2099.2953171807776</v>
      </c>
      <c r="AV122" s="103">
        <v>405.72583234580281</v>
      </c>
      <c r="AW122" s="103">
        <v>1968.3358772364807</v>
      </c>
      <c r="AX122" s="103">
        <v>407.017241112075</v>
      </c>
      <c r="AY122" s="103">
        <v>407.11137428150653</v>
      </c>
    </row>
    <row r="123" spans="1:52" x14ac:dyDescent="0.15">
      <c r="A123" s="106"/>
      <c r="B123" s="116">
        <v>2</v>
      </c>
      <c r="C123" s="103"/>
      <c r="D123" s="103">
        <v>0</v>
      </c>
      <c r="E123" s="103">
        <v>0</v>
      </c>
      <c r="F123" s="103">
        <v>0</v>
      </c>
      <c r="G123" s="103">
        <v>0</v>
      </c>
      <c r="H123" s="103">
        <v>1857.727869674397</v>
      </c>
      <c r="I123" s="103">
        <v>154.6958064159503</v>
      </c>
      <c r="J123" s="103">
        <v>164.42527948934639</v>
      </c>
      <c r="K123" s="103">
        <v>0</v>
      </c>
      <c r="L123" s="103">
        <v>178.42768520768936</v>
      </c>
      <c r="M123" s="103">
        <v>0</v>
      </c>
      <c r="N123" s="103">
        <v>164.60515243491704</v>
      </c>
      <c r="O123" s="103">
        <v>517.64460897468871</v>
      </c>
      <c r="P123" s="103">
        <v>1828.7992597538553</v>
      </c>
      <c r="Q123" s="103">
        <v>593.81517573594874</v>
      </c>
      <c r="R123" s="103">
        <v>498.75867334970098</v>
      </c>
      <c r="S123" s="103">
        <v>1020.4484535395563</v>
      </c>
      <c r="T123" s="103">
        <v>1715.1614652526205</v>
      </c>
      <c r="U123" s="103">
        <v>1512.5890288667222</v>
      </c>
      <c r="V123" s="103">
        <v>1060.0621899916202</v>
      </c>
      <c r="W123" s="103">
        <v>1228.7610248266928</v>
      </c>
      <c r="X123" s="103">
        <v>1774.6560386102394</v>
      </c>
      <c r="Y123" s="103">
        <v>944.74608757464853</v>
      </c>
      <c r="Z123" s="103">
        <v>1860.4919927168837</v>
      </c>
      <c r="AA123" s="103">
        <v>1537.9564728304506</v>
      </c>
      <c r="AB123" s="103">
        <v>1921.1755763513565</v>
      </c>
      <c r="AC123" s="103">
        <v>1076.799758926561</v>
      </c>
      <c r="AD123" s="103">
        <v>1137.4746461761151</v>
      </c>
      <c r="AE123" s="103">
        <v>1524.8349544754487</v>
      </c>
      <c r="AF123" s="103">
        <v>202.55475849025407</v>
      </c>
      <c r="AG123" s="103">
        <v>1357.6618879787129</v>
      </c>
      <c r="AH123" s="103">
        <v>1041.6253910119353</v>
      </c>
      <c r="AI123" s="103">
        <v>585.83848259129422</v>
      </c>
      <c r="AJ123" s="103">
        <v>1048.6623547996458</v>
      </c>
      <c r="AK123" s="103">
        <v>1064.2401533402272</v>
      </c>
      <c r="AL123" s="103">
        <v>2061.5197724962682</v>
      </c>
      <c r="AM123" s="103">
        <v>1513.7904573718067</v>
      </c>
      <c r="AN123" s="103">
        <v>278.33773499143012</v>
      </c>
      <c r="AO123" s="103">
        <v>1085.1396203964296</v>
      </c>
      <c r="AP123" s="103">
        <v>278.47987608456071</v>
      </c>
      <c r="AQ123" s="103">
        <v>1017.4391478987072</v>
      </c>
      <c r="AR123" s="103">
        <v>202.71857792381348</v>
      </c>
      <c r="AS123" s="103">
        <v>82.971084261746498</v>
      </c>
      <c r="AT123" s="103">
        <v>1514.5000000000002</v>
      </c>
      <c r="AU123" s="103">
        <v>1933.6652513216463</v>
      </c>
      <c r="AV123" s="103">
        <v>1049.6476585903888</v>
      </c>
      <c r="AW123" s="103">
        <v>203.96390825333953</v>
      </c>
      <c r="AX123" s="103">
        <v>1151.0903246795267</v>
      </c>
      <c r="AY123" s="103">
        <v>203.5086205560375</v>
      </c>
    </row>
    <row r="124" spans="1:52" x14ac:dyDescent="0.15">
      <c r="A124" s="106"/>
      <c r="B124" s="116">
        <v>3</v>
      </c>
      <c r="C124" s="103"/>
      <c r="D124" s="103">
        <v>0</v>
      </c>
      <c r="E124" s="103">
        <v>0</v>
      </c>
      <c r="F124" s="103">
        <v>0</v>
      </c>
      <c r="G124" s="103">
        <v>0</v>
      </c>
      <c r="H124" s="103">
        <v>0</v>
      </c>
      <c r="I124" s="103">
        <v>0</v>
      </c>
      <c r="J124" s="103">
        <v>0</v>
      </c>
      <c r="K124" s="103">
        <v>0</v>
      </c>
      <c r="L124" s="103">
        <v>900.9659201322354</v>
      </c>
      <c r="M124" s="103">
        <v>0</v>
      </c>
      <c r="N124" s="103">
        <v>836.95610383347821</v>
      </c>
      <c r="O124" s="103">
        <v>0</v>
      </c>
      <c r="P124" s="103">
        <v>0</v>
      </c>
      <c r="Q124" s="103">
        <v>90.55052860923638</v>
      </c>
      <c r="R124" s="103">
        <v>793.92278021294101</v>
      </c>
      <c r="S124" s="103">
        <v>148.81768697449252</v>
      </c>
      <c r="T124" s="103">
        <v>0</v>
      </c>
      <c r="U124" s="103">
        <v>262.16261715647215</v>
      </c>
      <c r="V124" s="103">
        <v>377.25520158954612</v>
      </c>
      <c r="W124" s="103">
        <v>254.35477799155439</v>
      </c>
      <c r="X124" s="103">
        <v>168.60962554705463</v>
      </c>
      <c r="Y124" s="103">
        <v>518.28342512429128</v>
      </c>
      <c r="Z124" s="103">
        <v>290.30790007311538</v>
      </c>
      <c r="AA124" s="103">
        <v>700.22509436294672</v>
      </c>
      <c r="AB124" s="103">
        <v>605.30876500172258</v>
      </c>
      <c r="AC124" s="103">
        <v>960.58778817567827</v>
      </c>
      <c r="AD124" s="103">
        <v>538.39987946328051</v>
      </c>
      <c r="AE124" s="103">
        <v>557.17977406818841</v>
      </c>
      <c r="AF124" s="103">
        <v>741.11407401886459</v>
      </c>
      <c r="AG124" s="103">
        <v>1821.9133933618386</v>
      </c>
      <c r="AH124" s="103">
        <v>678.83094398935646</v>
      </c>
      <c r="AI124" s="103">
        <v>520.81269550596767</v>
      </c>
      <c r="AJ124" s="103">
        <v>1019.0826383148784</v>
      </c>
      <c r="AK124" s="103">
        <v>674.90162900422547</v>
      </c>
      <c r="AL124" s="103">
        <v>532.12007667011358</v>
      </c>
      <c r="AM124" s="103">
        <v>1030.7598862481341</v>
      </c>
      <c r="AN124" s="103">
        <v>772.59159765454569</v>
      </c>
      <c r="AO124" s="103">
        <v>139.16886749571506</v>
      </c>
      <c r="AP124" s="103">
        <v>572.82933680110432</v>
      </c>
      <c r="AQ124" s="103">
        <v>139.23993804228036</v>
      </c>
      <c r="AR124" s="103">
        <v>448.24767909947434</v>
      </c>
      <c r="AS124" s="103">
        <v>1834.7171640095064</v>
      </c>
      <c r="AT124" s="103">
        <v>41.485542130873249</v>
      </c>
      <c r="AU124" s="103">
        <v>757.25000000000011</v>
      </c>
      <c r="AV124" s="103">
        <v>966.83262566082317</v>
      </c>
      <c r="AW124" s="103">
        <v>524.8238292951944</v>
      </c>
      <c r="AX124" s="103">
        <v>1829.9119490426046</v>
      </c>
      <c r="AY124" s="103">
        <v>575.54516233976335</v>
      </c>
    </row>
    <row r="125" spans="1:52" x14ac:dyDescent="0.15">
      <c r="A125" s="106"/>
      <c r="B125" s="116">
        <v>4</v>
      </c>
      <c r="C125" s="103"/>
      <c r="D125" s="103">
        <v>0</v>
      </c>
      <c r="E125" s="103">
        <v>0</v>
      </c>
      <c r="F125" s="103">
        <v>0</v>
      </c>
      <c r="G125" s="103">
        <v>0</v>
      </c>
      <c r="H125" s="103">
        <v>0</v>
      </c>
      <c r="I125" s="103">
        <v>0</v>
      </c>
      <c r="J125" s="103">
        <v>0</v>
      </c>
      <c r="K125" s="103">
        <v>0</v>
      </c>
      <c r="L125" s="103">
        <v>0</v>
      </c>
      <c r="M125" s="103">
        <v>0</v>
      </c>
      <c r="N125" s="103">
        <v>0</v>
      </c>
      <c r="O125" s="103">
        <v>0</v>
      </c>
      <c r="P125" s="103">
        <v>0</v>
      </c>
      <c r="Q125" s="103">
        <v>0</v>
      </c>
      <c r="R125" s="103">
        <v>0</v>
      </c>
      <c r="S125" s="103">
        <v>0</v>
      </c>
      <c r="T125" s="103">
        <v>0</v>
      </c>
      <c r="U125" s="103">
        <v>0</v>
      </c>
      <c r="V125" s="103">
        <v>0</v>
      </c>
      <c r="W125" s="103">
        <v>0</v>
      </c>
      <c r="X125" s="103">
        <v>0</v>
      </c>
      <c r="Y125" s="103">
        <v>0</v>
      </c>
      <c r="Z125" s="103">
        <v>0</v>
      </c>
      <c r="AA125" s="103">
        <v>0</v>
      </c>
      <c r="AB125" s="103">
        <v>0</v>
      </c>
      <c r="AC125" s="103">
        <v>1.7167360756303083</v>
      </c>
      <c r="AD125" s="103">
        <v>206.2294490896337</v>
      </c>
      <c r="AE125" s="103">
        <v>0</v>
      </c>
      <c r="AF125" s="103">
        <v>0</v>
      </c>
      <c r="AG125" s="103">
        <v>107.22857726307825</v>
      </c>
      <c r="AH125" s="103">
        <v>690.49747316534149</v>
      </c>
      <c r="AI125" s="103">
        <v>339.41547199467823</v>
      </c>
      <c r="AJ125" s="103">
        <v>211.01308094936758</v>
      </c>
      <c r="AK125" s="103">
        <v>374.97935113212293</v>
      </c>
      <c r="AL125" s="103">
        <v>297.55250056059981</v>
      </c>
      <c r="AM125" s="103">
        <v>170.44427195990934</v>
      </c>
      <c r="AN125" s="103">
        <v>428.73721423915686</v>
      </c>
      <c r="AO125" s="103">
        <v>386.29579882727285</v>
      </c>
      <c r="AP125" s="103">
        <v>69.584433747857531</v>
      </c>
      <c r="AQ125" s="103">
        <v>151.48020631498545</v>
      </c>
      <c r="AR125" s="103">
        <v>0</v>
      </c>
      <c r="AS125" s="103">
        <v>73.12383954973717</v>
      </c>
      <c r="AT125" s="103">
        <v>800.45983744395744</v>
      </c>
      <c r="AU125" s="103">
        <v>20.742771065436624</v>
      </c>
      <c r="AV125" s="103">
        <v>378.62500000000006</v>
      </c>
      <c r="AW125" s="103">
        <v>483.41631283041158</v>
      </c>
      <c r="AX125" s="103">
        <v>262.4119146475972</v>
      </c>
      <c r="AY125" s="103">
        <v>914.95597452130232</v>
      </c>
    </row>
    <row r="126" spans="1:52" x14ac:dyDescent="0.15">
      <c r="A126" s="106"/>
      <c r="B126" s="116">
        <v>5</v>
      </c>
      <c r="C126" s="103"/>
      <c r="D126" s="103">
        <v>0</v>
      </c>
      <c r="E126" s="103">
        <v>0</v>
      </c>
      <c r="F126" s="103">
        <v>0</v>
      </c>
      <c r="G126" s="103">
        <v>0</v>
      </c>
      <c r="H126" s="103">
        <v>0</v>
      </c>
      <c r="I126" s="103">
        <v>0</v>
      </c>
      <c r="J126" s="103">
        <v>0</v>
      </c>
      <c r="K126" s="103">
        <v>0</v>
      </c>
      <c r="L126" s="103">
        <v>0</v>
      </c>
      <c r="M126" s="103">
        <v>0</v>
      </c>
      <c r="N126" s="103">
        <v>0</v>
      </c>
      <c r="O126" s="103">
        <v>0</v>
      </c>
      <c r="P126" s="103">
        <v>0</v>
      </c>
      <c r="Q126" s="103">
        <v>0</v>
      </c>
      <c r="R126" s="103">
        <v>0</v>
      </c>
      <c r="S126" s="103">
        <v>0</v>
      </c>
      <c r="T126" s="103">
        <v>0</v>
      </c>
      <c r="U126" s="103">
        <v>0</v>
      </c>
      <c r="V126" s="103">
        <v>0</v>
      </c>
      <c r="W126" s="103">
        <v>0</v>
      </c>
      <c r="X126" s="103">
        <v>0</v>
      </c>
      <c r="Y126" s="103">
        <v>0</v>
      </c>
      <c r="Z126" s="103">
        <v>0</v>
      </c>
      <c r="AA126" s="103">
        <v>0</v>
      </c>
      <c r="AB126" s="103">
        <v>0</v>
      </c>
      <c r="AC126" s="103">
        <v>0</v>
      </c>
      <c r="AD126" s="103">
        <v>0</v>
      </c>
      <c r="AE126" s="103">
        <v>0</v>
      </c>
      <c r="AF126" s="103">
        <v>0</v>
      </c>
      <c r="AG126" s="103">
        <v>0</v>
      </c>
      <c r="AH126" s="103">
        <v>0</v>
      </c>
      <c r="AI126" s="103">
        <v>57.562392303848412</v>
      </c>
      <c r="AJ126" s="103">
        <v>0</v>
      </c>
      <c r="AK126" s="103">
        <v>0</v>
      </c>
      <c r="AL126" s="103">
        <v>0</v>
      </c>
      <c r="AM126" s="103">
        <v>0</v>
      </c>
      <c r="AN126" s="103">
        <v>0</v>
      </c>
      <c r="AO126" s="103">
        <v>21.368607119578428</v>
      </c>
      <c r="AP126" s="103">
        <v>32.461218743630326</v>
      </c>
      <c r="AQ126" s="103">
        <v>0</v>
      </c>
      <c r="AR126" s="103">
        <v>0</v>
      </c>
      <c r="AS126" s="103">
        <v>0</v>
      </c>
      <c r="AT126" s="103">
        <v>0</v>
      </c>
      <c r="AU126" s="103">
        <v>261.34176296210853</v>
      </c>
      <c r="AV126" s="103">
        <v>6.6411661473268619</v>
      </c>
      <c r="AW126" s="103">
        <v>50.171219774582454</v>
      </c>
      <c r="AX126" s="103">
        <v>143.5750024231682</v>
      </c>
      <c r="AY126" s="103">
        <v>71.9934585353827</v>
      </c>
    </row>
    <row r="127" spans="1:52" x14ac:dyDescent="0.15">
      <c r="A127" s="106"/>
      <c r="B127" s="116">
        <v>6</v>
      </c>
      <c r="C127" s="103"/>
      <c r="D127" s="103">
        <v>0</v>
      </c>
      <c r="E127" s="103">
        <v>0</v>
      </c>
      <c r="F127" s="103">
        <v>0</v>
      </c>
      <c r="G127" s="103">
        <v>0</v>
      </c>
      <c r="H127" s="103">
        <v>0</v>
      </c>
      <c r="I127" s="103">
        <v>0</v>
      </c>
      <c r="J127" s="103">
        <v>0</v>
      </c>
      <c r="K127" s="103">
        <v>0</v>
      </c>
      <c r="L127" s="103">
        <v>0</v>
      </c>
      <c r="M127" s="103">
        <v>0</v>
      </c>
      <c r="N127" s="103">
        <v>0</v>
      </c>
      <c r="O127" s="103">
        <v>0</v>
      </c>
      <c r="P127" s="103">
        <v>0</v>
      </c>
      <c r="Q127" s="103">
        <v>0</v>
      </c>
      <c r="R127" s="103">
        <v>0</v>
      </c>
      <c r="S127" s="103">
        <v>0</v>
      </c>
      <c r="T127" s="103">
        <v>0</v>
      </c>
      <c r="U127" s="103">
        <v>0</v>
      </c>
      <c r="V127" s="103">
        <v>0</v>
      </c>
      <c r="W127" s="103">
        <v>0</v>
      </c>
      <c r="X127" s="103">
        <v>0</v>
      </c>
      <c r="Y127" s="103">
        <v>0</v>
      </c>
      <c r="Z127" s="103">
        <v>0</v>
      </c>
      <c r="AA127" s="103">
        <v>0</v>
      </c>
      <c r="AB127" s="103">
        <v>0</v>
      </c>
      <c r="AC127" s="103">
        <v>0</v>
      </c>
      <c r="AD127" s="103">
        <v>0</v>
      </c>
      <c r="AE127" s="103">
        <v>0</v>
      </c>
      <c r="AF127" s="103">
        <v>0</v>
      </c>
      <c r="AG127" s="103">
        <v>0</v>
      </c>
      <c r="AH127" s="103">
        <v>0</v>
      </c>
      <c r="AI127" s="103">
        <v>0</v>
      </c>
      <c r="AJ127" s="103">
        <v>0</v>
      </c>
      <c r="AK127" s="103">
        <v>0</v>
      </c>
      <c r="AL127" s="103">
        <v>0</v>
      </c>
      <c r="AM127" s="103">
        <v>0</v>
      </c>
      <c r="AN127" s="103">
        <v>0</v>
      </c>
      <c r="AO127" s="103">
        <v>0</v>
      </c>
      <c r="AP127" s="103">
        <v>0</v>
      </c>
      <c r="AQ127" s="103">
        <v>0</v>
      </c>
      <c r="AR127" s="103">
        <v>0</v>
      </c>
      <c r="AS127" s="103">
        <v>0</v>
      </c>
      <c r="AT127" s="103">
        <v>0</v>
      </c>
      <c r="AU127" s="103">
        <v>0</v>
      </c>
      <c r="AV127" s="103">
        <v>0</v>
      </c>
      <c r="AW127" s="103">
        <v>0</v>
      </c>
      <c r="AX127" s="103">
        <v>0</v>
      </c>
      <c r="AY127" s="103">
        <v>0</v>
      </c>
    </row>
    <row r="128" spans="1:52" x14ac:dyDescent="0.15">
      <c r="A128" s="106"/>
      <c r="B128" s="116">
        <v>7</v>
      </c>
      <c r="C128" s="103"/>
      <c r="D128" s="103">
        <v>0</v>
      </c>
      <c r="E128" s="103">
        <v>0</v>
      </c>
      <c r="F128" s="103">
        <v>0</v>
      </c>
      <c r="G128" s="103">
        <v>0</v>
      </c>
      <c r="H128" s="103">
        <v>0</v>
      </c>
      <c r="I128" s="103">
        <v>0</v>
      </c>
      <c r="J128" s="103">
        <v>0</v>
      </c>
      <c r="K128" s="103">
        <v>0</v>
      </c>
      <c r="L128" s="103">
        <v>0</v>
      </c>
      <c r="M128" s="103">
        <v>0</v>
      </c>
      <c r="N128" s="103">
        <v>0</v>
      </c>
      <c r="O128" s="103">
        <v>0</v>
      </c>
      <c r="P128" s="103">
        <v>0</v>
      </c>
      <c r="Q128" s="103">
        <v>0</v>
      </c>
      <c r="R128" s="103">
        <v>0</v>
      </c>
      <c r="S128" s="103">
        <v>0</v>
      </c>
      <c r="T128" s="103">
        <v>0</v>
      </c>
      <c r="U128" s="103">
        <v>0</v>
      </c>
      <c r="V128" s="103">
        <v>0</v>
      </c>
      <c r="W128" s="103">
        <v>0</v>
      </c>
      <c r="X128" s="103">
        <v>0</v>
      </c>
      <c r="Y128" s="103">
        <v>0</v>
      </c>
      <c r="Z128" s="103">
        <v>0</v>
      </c>
      <c r="AA128" s="103">
        <v>0</v>
      </c>
      <c r="AB128" s="103">
        <v>0</v>
      </c>
      <c r="AC128" s="103">
        <v>0</v>
      </c>
      <c r="AD128" s="103">
        <v>0</v>
      </c>
      <c r="AE128" s="103">
        <v>0</v>
      </c>
      <c r="AF128" s="103">
        <v>0</v>
      </c>
      <c r="AG128" s="103">
        <v>0</v>
      </c>
      <c r="AH128" s="103">
        <v>0</v>
      </c>
      <c r="AI128" s="103">
        <v>0</v>
      </c>
      <c r="AJ128" s="103">
        <v>0</v>
      </c>
      <c r="AK128" s="103">
        <v>0</v>
      </c>
      <c r="AL128" s="103">
        <v>0</v>
      </c>
      <c r="AM128" s="103">
        <v>0</v>
      </c>
      <c r="AN128" s="103">
        <v>0</v>
      </c>
      <c r="AO128" s="103">
        <v>0</v>
      </c>
      <c r="AP128" s="103">
        <v>0</v>
      </c>
      <c r="AQ128" s="103">
        <v>0</v>
      </c>
      <c r="AR128" s="103">
        <v>0</v>
      </c>
      <c r="AS128" s="103">
        <v>0</v>
      </c>
      <c r="AT128" s="103">
        <v>0</v>
      </c>
      <c r="AU128" s="103">
        <v>0</v>
      </c>
      <c r="AV128" s="103">
        <v>0</v>
      </c>
      <c r="AW128" s="103">
        <v>0</v>
      </c>
      <c r="AX128" s="103">
        <v>0</v>
      </c>
      <c r="AY128" s="103">
        <v>0</v>
      </c>
    </row>
    <row r="129" spans="1:51" x14ac:dyDescent="0.15">
      <c r="A129" s="106"/>
      <c r="B129" s="116">
        <v>8</v>
      </c>
      <c r="C129" s="103"/>
      <c r="D129" s="103">
        <v>0</v>
      </c>
      <c r="E129" s="103">
        <v>0</v>
      </c>
      <c r="F129" s="103">
        <v>0</v>
      </c>
      <c r="G129" s="103">
        <v>0</v>
      </c>
      <c r="H129" s="103">
        <v>0</v>
      </c>
      <c r="I129" s="103">
        <v>0</v>
      </c>
      <c r="J129" s="103">
        <v>0</v>
      </c>
      <c r="K129" s="103">
        <v>0</v>
      </c>
      <c r="L129" s="103">
        <v>0</v>
      </c>
      <c r="M129" s="103">
        <v>0</v>
      </c>
      <c r="N129" s="103">
        <v>0</v>
      </c>
      <c r="O129" s="103">
        <v>0</v>
      </c>
      <c r="P129" s="103">
        <v>0</v>
      </c>
      <c r="Q129" s="103">
        <v>0</v>
      </c>
      <c r="R129" s="103">
        <v>0</v>
      </c>
      <c r="S129" s="103">
        <v>0</v>
      </c>
      <c r="T129" s="103">
        <v>0</v>
      </c>
      <c r="U129" s="103">
        <v>0</v>
      </c>
      <c r="V129" s="103">
        <v>0</v>
      </c>
      <c r="W129" s="103">
        <v>0</v>
      </c>
      <c r="X129" s="103">
        <v>0</v>
      </c>
      <c r="Y129" s="103">
        <v>0</v>
      </c>
      <c r="Z129" s="103">
        <v>0</v>
      </c>
      <c r="AA129" s="103">
        <v>0</v>
      </c>
      <c r="AB129" s="103">
        <v>0</v>
      </c>
      <c r="AC129" s="103">
        <v>0</v>
      </c>
      <c r="AD129" s="103">
        <v>0</v>
      </c>
      <c r="AE129" s="103">
        <v>0</v>
      </c>
      <c r="AF129" s="103">
        <v>0</v>
      </c>
      <c r="AG129" s="103">
        <v>0</v>
      </c>
      <c r="AH129" s="103">
        <v>0</v>
      </c>
      <c r="AI129" s="103">
        <v>0</v>
      </c>
      <c r="AJ129" s="103">
        <v>0</v>
      </c>
      <c r="AK129" s="103">
        <v>0</v>
      </c>
      <c r="AL129" s="103">
        <v>0</v>
      </c>
      <c r="AM129" s="103">
        <v>0</v>
      </c>
      <c r="AN129" s="103">
        <v>0</v>
      </c>
      <c r="AO129" s="103">
        <v>0</v>
      </c>
      <c r="AP129" s="103">
        <v>0</v>
      </c>
      <c r="AQ129" s="103">
        <v>0</v>
      </c>
      <c r="AR129" s="103">
        <v>0</v>
      </c>
      <c r="AS129" s="103">
        <v>0</v>
      </c>
      <c r="AT129" s="103">
        <v>0</v>
      </c>
      <c r="AU129" s="103">
        <v>0</v>
      </c>
      <c r="AV129" s="103">
        <v>0</v>
      </c>
      <c r="AW129" s="103">
        <v>0</v>
      </c>
      <c r="AX129" s="103">
        <v>0</v>
      </c>
      <c r="AY129" s="103">
        <v>0</v>
      </c>
    </row>
    <row r="130" spans="1:51" x14ac:dyDescent="0.15">
      <c r="A130" s="106"/>
      <c r="B130" s="116">
        <v>9</v>
      </c>
      <c r="C130" s="103"/>
      <c r="D130" s="103">
        <v>0</v>
      </c>
      <c r="E130" s="103">
        <v>0</v>
      </c>
      <c r="F130" s="103">
        <v>0</v>
      </c>
      <c r="G130" s="103">
        <v>0</v>
      </c>
      <c r="H130" s="103">
        <v>0</v>
      </c>
      <c r="I130" s="103">
        <v>0</v>
      </c>
      <c r="J130" s="103">
        <v>0</v>
      </c>
      <c r="K130" s="103">
        <v>0</v>
      </c>
      <c r="L130" s="103">
        <v>0</v>
      </c>
      <c r="M130" s="103">
        <v>0</v>
      </c>
      <c r="N130" s="103">
        <v>0</v>
      </c>
      <c r="O130" s="103">
        <v>0</v>
      </c>
      <c r="P130" s="103">
        <v>0</v>
      </c>
      <c r="Q130" s="103">
        <v>0</v>
      </c>
      <c r="R130" s="103">
        <v>0</v>
      </c>
      <c r="S130" s="103">
        <v>0</v>
      </c>
      <c r="T130" s="103">
        <v>0</v>
      </c>
      <c r="U130" s="103">
        <v>0</v>
      </c>
      <c r="V130" s="103">
        <v>0</v>
      </c>
      <c r="W130" s="103">
        <v>0</v>
      </c>
      <c r="X130" s="103">
        <v>0</v>
      </c>
      <c r="Y130" s="103">
        <v>0</v>
      </c>
      <c r="Z130" s="103">
        <v>0</v>
      </c>
      <c r="AA130" s="103">
        <v>0</v>
      </c>
      <c r="AB130" s="103">
        <v>0</v>
      </c>
      <c r="AC130" s="103">
        <v>0</v>
      </c>
      <c r="AD130" s="103">
        <v>0</v>
      </c>
      <c r="AE130" s="103">
        <v>0</v>
      </c>
      <c r="AF130" s="103">
        <v>0</v>
      </c>
      <c r="AG130" s="103">
        <v>0</v>
      </c>
      <c r="AH130" s="103">
        <v>0</v>
      </c>
      <c r="AI130" s="103">
        <v>0</v>
      </c>
      <c r="AJ130" s="103">
        <v>0</v>
      </c>
      <c r="AK130" s="103">
        <v>0</v>
      </c>
      <c r="AL130" s="103">
        <v>0</v>
      </c>
      <c r="AM130" s="103">
        <v>0</v>
      </c>
      <c r="AN130" s="103">
        <v>0</v>
      </c>
      <c r="AO130" s="103">
        <v>0</v>
      </c>
      <c r="AP130" s="103">
        <v>0</v>
      </c>
      <c r="AQ130" s="103">
        <v>0</v>
      </c>
      <c r="AR130" s="103">
        <v>0</v>
      </c>
      <c r="AS130" s="103">
        <v>0</v>
      </c>
      <c r="AT130" s="103">
        <v>0</v>
      </c>
      <c r="AU130" s="103">
        <v>0</v>
      </c>
      <c r="AV130" s="103">
        <v>0</v>
      </c>
      <c r="AW130" s="103">
        <v>0</v>
      </c>
      <c r="AX130" s="103">
        <v>0</v>
      </c>
      <c r="AY130" s="103">
        <v>0</v>
      </c>
    </row>
    <row r="131" spans="1:51" x14ac:dyDescent="0.15">
      <c r="A131" s="106"/>
      <c r="B131" s="116">
        <v>10</v>
      </c>
      <c r="C131" s="103"/>
      <c r="D131" s="103">
        <v>0</v>
      </c>
      <c r="E131" s="103">
        <v>0</v>
      </c>
      <c r="F131" s="103">
        <v>0</v>
      </c>
      <c r="G131" s="103">
        <v>0</v>
      </c>
      <c r="H131" s="103">
        <v>0</v>
      </c>
      <c r="I131" s="103">
        <v>0</v>
      </c>
      <c r="J131" s="103">
        <v>0</v>
      </c>
      <c r="K131" s="103">
        <v>0</v>
      </c>
      <c r="L131" s="103">
        <v>0</v>
      </c>
      <c r="M131" s="103">
        <v>0</v>
      </c>
      <c r="N131" s="103">
        <v>0</v>
      </c>
      <c r="O131" s="103">
        <v>0</v>
      </c>
      <c r="P131" s="103">
        <v>0</v>
      </c>
      <c r="Q131" s="103">
        <v>0</v>
      </c>
      <c r="R131" s="103">
        <v>0</v>
      </c>
      <c r="S131" s="103">
        <v>0</v>
      </c>
      <c r="T131" s="103">
        <v>0</v>
      </c>
      <c r="U131" s="103">
        <v>0</v>
      </c>
      <c r="V131" s="103">
        <v>0</v>
      </c>
      <c r="W131" s="103">
        <v>0</v>
      </c>
      <c r="X131" s="103">
        <v>0</v>
      </c>
      <c r="Y131" s="103">
        <v>0</v>
      </c>
      <c r="Z131" s="103">
        <v>0</v>
      </c>
      <c r="AA131" s="103">
        <v>0</v>
      </c>
      <c r="AB131" s="103">
        <v>0</v>
      </c>
      <c r="AC131" s="103">
        <v>0</v>
      </c>
      <c r="AD131" s="103">
        <v>0</v>
      </c>
      <c r="AE131" s="103">
        <v>0</v>
      </c>
      <c r="AF131" s="103">
        <v>0</v>
      </c>
      <c r="AG131" s="103">
        <v>0</v>
      </c>
      <c r="AH131" s="103">
        <v>0</v>
      </c>
      <c r="AI131" s="103">
        <v>0</v>
      </c>
      <c r="AJ131" s="103">
        <v>0</v>
      </c>
      <c r="AK131" s="103">
        <v>0</v>
      </c>
      <c r="AL131" s="103">
        <v>0</v>
      </c>
      <c r="AM131" s="103">
        <v>0</v>
      </c>
      <c r="AN131" s="103">
        <v>0</v>
      </c>
      <c r="AO131" s="103">
        <v>0</v>
      </c>
      <c r="AP131" s="103">
        <v>0</v>
      </c>
      <c r="AQ131" s="103">
        <v>0</v>
      </c>
      <c r="AR131" s="103">
        <v>0</v>
      </c>
      <c r="AS131" s="103">
        <v>0</v>
      </c>
      <c r="AT131" s="103">
        <v>0</v>
      </c>
      <c r="AU131" s="103">
        <v>0</v>
      </c>
      <c r="AV131" s="103">
        <v>0</v>
      </c>
      <c r="AW131" s="103">
        <v>0</v>
      </c>
      <c r="AX131" s="103">
        <v>0</v>
      </c>
      <c r="AY131" s="103">
        <v>0</v>
      </c>
    </row>
    <row r="132" spans="1:51" x14ac:dyDescent="0.15">
      <c r="A132" s="106"/>
      <c r="B132" s="116">
        <v>11</v>
      </c>
      <c r="C132" s="103"/>
      <c r="D132" s="103">
        <v>0</v>
      </c>
      <c r="E132" s="103">
        <v>0</v>
      </c>
      <c r="F132" s="103">
        <v>0</v>
      </c>
      <c r="G132" s="103">
        <v>0</v>
      </c>
      <c r="H132" s="103">
        <v>0</v>
      </c>
      <c r="I132" s="103">
        <v>0</v>
      </c>
      <c r="J132" s="103">
        <v>0</v>
      </c>
      <c r="K132" s="103">
        <v>0</v>
      </c>
      <c r="L132" s="103">
        <v>0</v>
      </c>
      <c r="M132" s="103">
        <v>0</v>
      </c>
      <c r="N132" s="103">
        <v>0</v>
      </c>
      <c r="O132" s="103">
        <v>0</v>
      </c>
      <c r="P132" s="103">
        <v>0</v>
      </c>
      <c r="Q132" s="103">
        <v>0</v>
      </c>
      <c r="R132" s="103">
        <v>0</v>
      </c>
      <c r="S132" s="103">
        <v>0</v>
      </c>
      <c r="T132" s="103">
        <v>0</v>
      </c>
      <c r="U132" s="103">
        <v>0</v>
      </c>
      <c r="V132" s="103">
        <v>0</v>
      </c>
      <c r="W132" s="103">
        <v>0</v>
      </c>
      <c r="X132" s="103">
        <v>0</v>
      </c>
      <c r="Y132" s="103">
        <v>0</v>
      </c>
      <c r="Z132" s="103">
        <v>0</v>
      </c>
      <c r="AA132" s="103">
        <v>0</v>
      </c>
      <c r="AB132" s="103">
        <v>0</v>
      </c>
      <c r="AC132" s="103">
        <v>0</v>
      </c>
      <c r="AD132" s="103">
        <v>0</v>
      </c>
      <c r="AE132" s="103">
        <v>0</v>
      </c>
      <c r="AF132" s="103">
        <v>0</v>
      </c>
      <c r="AG132" s="103">
        <v>0</v>
      </c>
      <c r="AH132" s="103">
        <v>0</v>
      </c>
      <c r="AI132" s="103">
        <v>0</v>
      </c>
      <c r="AJ132" s="103">
        <v>0</v>
      </c>
      <c r="AK132" s="103">
        <v>0</v>
      </c>
      <c r="AL132" s="103">
        <v>0</v>
      </c>
      <c r="AM132" s="103">
        <v>0</v>
      </c>
      <c r="AN132" s="103">
        <v>0</v>
      </c>
      <c r="AO132" s="103">
        <v>0</v>
      </c>
      <c r="AP132" s="103">
        <v>0</v>
      </c>
      <c r="AQ132" s="103">
        <v>0</v>
      </c>
      <c r="AR132" s="103">
        <v>0</v>
      </c>
      <c r="AS132" s="103">
        <v>0</v>
      </c>
      <c r="AT132" s="103">
        <v>0</v>
      </c>
      <c r="AU132" s="103">
        <v>0</v>
      </c>
      <c r="AV132" s="103">
        <v>0</v>
      </c>
      <c r="AW132" s="103">
        <v>0</v>
      </c>
      <c r="AX132" s="103">
        <v>0</v>
      </c>
      <c r="AY132" s="103">
        <v>0</v>
      </c>
    </row>
    <row r="133" spans="1:51" x14ac:dyDescent="0.15">
      <c r="A133" s="106"/>
      <c r="B133" s="116">
        <v>12</v>
      </c>
      <c r="C133" s="103"/>
      <c r="D133" s="103">
        <v>0</v>
      </c>
      <c r="E133" s="103">
        <v>0</v>
      </c>
      <c r="F133" s="103">
        <v>0</v>
      </c>
      <c r="G133" s="103">
        <v>0</v>
      </c>
      <c r="H133" s="103">
        <v>0</v>
      </c>
      <c r="I133" s="103">
        <v>0</v>
      </c>
      <c r="J133" s="103">
        <v>0</v>
      </c>
      <c r="K133" s="103">
        <v>0</v>
      </c>
      <c r="L133" s="103">
        <v>0</v>
      </c>
      <c r="M133" s="103">
        <v>0</v>
      </c>
      <c r="N133" s="103">
        <v>0</v>
      </c>
      <c r="O133" s="103">
        <v>0</v>
      </c>
      <c r="P133" s="103">
        <v>0</v>
      </c>
      <c r="Q133" s="103">
        <v>0</v>
      </c>
      <c r="R133" s="103">
        <v>0</v>
      </c>
      <c r="S133" s="103">
        <v>0</v>
      </c>
      <c r="T133" s="103">
        <v>0</v>
      </c>
      <c r="U133" s="103">
        <v>0</v>
      </c>
      <c r="V133" s="103">
        <v>0</v>
      </c>
      <c r="W133" s="103">
        <v>0</v>
      </c>
      <c r="X133" s="103">
        <v>0</v>
      </c>
      <c r="Y133" s="103">
        <v>0</v>
      </c>
      <c r="Z133" s="103">
        <v>0</v>
      </c>
      <c r="AA133" s="103">
        <v>0</v>
      </c>
      <c r="AB133" s="103">
        <v>0</v>
      </c>
      <c r="AC133" s="103">
        <v>0</v>
      </c>
      <c r="AD133" s="103">
        <v>0</v>
      </c>
      <c r="AE133" s="103">
        <v>0</v>
      </c>
      <c r="AF133" s="103">
        <v>0</v>
      </c>
      <c r="AG133" s="103">
        <v>0</v>
      </c>
      <c r="AH133" s="103">
        <v>0</v>
      </c>
      <c r="AI133" s="103">
        <v>0</v>
      </c>
      <c r="AJ133" s="103">
        <v>0</v>
      </c>
      <c r="AK133" s="103">
        <v>0</v>
      </c>
      <c r="AL133" s="103">
        <v>0</v>
      </c>
      <c r="AM133" s="103">
        <v>0</v>
      </c>
      <c r="AN133" s="103">
        <v>0</v>
      </c>
      <c r="AO133" s="103">
        <v>0</v>
      </c>
      <c r="AP133" s="103">
        <v>0</v>
      </c>
      <c r="AQ133" s="103">
        <v>0</v>
      </c>
      <c r="AR133" s="103">
        <v>0</v>
      </c>
      <c r="AS133" s="103">
        <v>0</v>
      </c>
      <c r="AT133" s="103">
        <v>0</v>
      </c>
      <c r="AU133" s="103">
        <v>0</v>
      </c>
      <c r="AV133" s="103">
        <v>0</v>
      </c>
      <c r="AW133" s="103">
        <v>0</v>
      </c>
      <c r="AX133" s="103">
        <v>0</v>
      </c>
      <c r="AY133" s="103">
        <v>0</v>
      </c>
    </row>
    <row r="134" spans="1:51" x14ac:dyDescent="0.15">
      <c r="A134" s="106"/>
      <c r="B134" s="117">
        <v>13</v>
      </c>
      <c r="C134" s="103"/>
      <c r="D134" s="103">
        <v>0</v>
      </c>
      <c r="E134" s="103">
        <v>0</v>
      </c>
      <c r="F134" s="103">
        <v>0</v>
      </c>
      <c r="G134" s="103">
        <v>0</v>
      </c>
      <c r="H134" s="103">
        <v>0</v>
      </c>
      <c r="I134" s="103">
        <v>0</v>
      </c>
      <c r="J134" s="103">
        <v>0</v>
      </c>
      <c r="K134" s="103">
        <v>0</v>
      </c>
      <c r="L134" s="103">
        <v>0</v>
      </c>
      <c r="M134" s="103">
        <v>0</v>
      </c>
      <c r="N134" s="103">
        <v>0</v>
      </c>
      <c r="O134" s="103">
        <v>0</v>
      </c>
      <c r="P134" s="103">
        <v>0</v>
      </c>
      <c r="Q134" s="103">
        <v>0</v>
      </c>
      <c r="R134" s="103">
        <v>0</v>
      </c>
      <c r="S134" s="103">
        <v>0</v>
      </c>
      <c r="T134" s="103">
        <v>0</v>
      </c>
      <c r="U134" s="103">
        <v>0</v>
      </c>
      <c r="V134" s="103">
        <v>0</v>
      </c>
      <c r="W134" s="103">
        <v>0</v>
      </c>
      <c r="X134" s="103">
        <v>0</v>
      </c>
      <c r="Y134" s="103">
        <v>0</v>
      </c>
      <c r="Z134" s="103">
        <v>0</v>
      </c>
      <c r="AA134" s="103">
        <v>0</v>
      </c>
      <c r="AB134" s="103">
        <v>0</v>
      </c>
      <c r="AC134" s="103">
        <v>0</v>
      </c>
      <c r="AD134" s="103">
        <v>0</v>
      </c>
      <c r="AE134" s="103">
        <v>0</v>
      </c>
      <c r="AF134" s="103">
        <v>0</v>
      </c>
      <c r="AG134" s="103">
        <v>0</v>
      </c>
      <c r="AH134" s="103">
        <v>0</v>
      </c>
      <c r="AI134" s="103">
        <v>0</v>
      </c>
      <c r="AJ134" s="103">
        <v>0</v>
      </c>
      <c r="AK134" s="103">
        <v>0</v>
      </c>
      <c r="AL134" s="103">
        <v>0</v>
      </c>
      <c r="AM134" s="103">
        <v>0</v>
      </c>
      <c r="AN134" s="103">
        <v>0</v>
      </c>
      <c r="AO134" s="103">
        <v>0</v>
      </c>
      <c r="AP134" s="103">
        <v>0</v>
      </c>
      <c r="AQ134" s="103">
        <v>0</v>
      </c>
      <c r="AR134" s="103">
        <v>0</v>
      </c>
      <c r="AS134" s="103">
        <v>0</v>
      </c>
      <c r="AT134" s="103">
        <v>0</v>
      </c>
      <c r="AU134" s="103">
        <v>0</v>
      </c>
      <c r="AV134" s="103">
        <v>0</v>
      </c>
      <c r="AW134" s="103">
        <v>0</v>
      </c>
      <c r="AX134" s="103">
        <v>0</v>
      </c>
      <c r="AY134" s="103">
        <v>0</v>
      </c>
    </row>
    <row r="135" spans="1:51" x14ac:dyDescent="0.15">
      <c r="A135" s="106"/>
      <c r="B135" s="117">
        <v>14</v>
      </c>
      <c r="C135" s="103"/>
      <c r="D135" s="103">
        <v>0</v>
      </c>
      <c r="E135" s="103">
        <v>0</v>
      </c>
      <c r="F135" s="103">
        <v>0</v>
      </c>
      <c r="G135" s="103">
        <v>0</v>
      </c>
      <c r="H135" s="103">
        <v>0</v>
      </c>
      <c r="I135" s="103">
        <v>0</v>
      </c>
      <c r="J135" s="103">
        <v>0</v>
      </c>
      <c r="K135" s="103">
        <v>0</v>
      </c>
      <c r="L135" s="103">
        <v>0</v>
      </c>
      <c r="M135" s="103">
        <v>0</v>
      </c>
      <c r="N135" s="103">
        <v>0</v>
      </c>
      <c r="O135" s="103">
        <v>0</v>
      </c>
      <c r="P135" s="103">
        <v>0</v>
      </c>
      <c r="Q135" s="103">
        <v>0</v>
      </c>
      <c r="R135" s="103">
        <v>0</v>
      </c>
      <c r="S135" s="103">
        <v>0</v>
      </c>
      <c r="T135" s="103">
        <v>0</v>
      </c>
      <c r="U135" s="103">
        <v>0</v>
      </c>
      <c r="V135" s="103">
        <v>0</v>
      </c>
      <c r="W135" s="103">
        <v>0</v>
      </c>
      <c r="X135" s="103">
        <v>0</v>
      </c>
      <c r="Y135" s="103">
        <v>0</v>
      </c>
      <c r="Z135" s="103">
        <v>0</v>
      </c>
      <c r="AA135" s="103">
        <v>0</v>
      </c>
      <c r="AB135" s="103">
        <v>0</v>
      </c>
      <c r="AC135" s="103">
        <v>0</v>
      </c>
      <c r="AD135" s="103">
        <v>0</v>
      </c>
      <c r="AE135" s="103">
        <v>0</v>
      </c>
      <c r="AF135" s="103">
        <v>0</v>
      </c>
      <c r="AG135" s="103">
        <v>0</v>
      </c>
      <c r="AH135" s="103">
        <v>0</v>
      </c>
      <c r="AI135" s="103">
        <v>0</v>
      </c>
      <c r="AJ135" s="103">
        <v>0</v>
      </c>
      <c r="AK135" s="103">
        <v>0</v>
      </c>
      <c r="AL135" s="103">
        <v>0</v>
      </c>
      <c r="AM135" s="103">
        <v>0</v>
      </c>
      <c r="AN135" s="103">
        <v>0</v>
      </c>
      <c r="AO135" s="103">
        <v>0</v>
      </c>
      <c r="AP135" s="103">
        <v>0</v>
      </c>
      <c r="AQ135" s="103">
        <v>0</v>
      </c>
      <c r="AR135" s="103">
        <v>0</v>
      </c>
      <c r="AS135" s="103">
        <v>0</v>
      </c>
      <c r="AT135" s="103">
        <v>0</v>
      </c>
      <c r="AU135" s="103">
        <v>0</v>
      </c>
      <c r="AV135" s="103">
        <v>0</v>
      </c>
      <c r="AW135" s="103">
        <v>0</v>
      </c>
      <c r="AX135" s="103">
        <v>0</v>
      </c>
      <c r="AY135" s="103">
        <v>0</v>
      </c>
    </row>
    <row r="136" spans="1:51" x14ac:dyDescent="0.15">
      <c r="A136" s="106"/>
      <c r="B136" s="117">
        <v>15</v>
      </c>
      <c r="C136" s="103"/>
      <c r="D136" s="103">
        <v>0</v>
      </c>
      <c r="E136" s="103">
        <v>0</v>
      </c>
      <c r="F136" s="103">
        <v>0</v>
      </c>
      <c r="G136" s="103">
        <v>0</v>
      </c>
      <c r="H136" s="103">
        <v>0</v>
      </c>
      <c r="I136" s="103">
        <v>0</v>
      </c>
      <c r="J136" s="103">
        <v>0</v>
      </c>
      <c r="K136" s="103">
        <v>0</v>
      </c>
      <c r="L136" s="103">
        <v>0</v>
      </c>
      <c r="M136" s="103">
        <v>0</v>
      </c>
      <c r="N136" s="103">
        <v>0</v>
      </c>
      <c r="O136" s="103">
        <v>0</v>
      </c>
      <c r="P136" s="103">
        <v>0</v>
      </c>
      <c r="Q136" s="103">
        <v>0</v>
      </c>
      <c r="R136" s="103">
        <v>0</v>
      </c>
      <c r="S136" s="103">
        <v>0</v>
      </c>
      <c r="T136" s="103">
        <v>0</v>
      </c>
      <c r="U136" s="103">
        <v>0</v>
      </c>
      <c r="V136" s="103">
        <v>0</v>
      </c>
      <c r="W136" s="103">
        <v>0</v>
      </c>
      <c r="X136" s="103">
        <v>0</v>
      </c>
      <c r="Y136" s="103">
        <v>0</v>
      </c>
      <c r="Z136" s="103">
        <v>0</v>
      </c>
      <c r="AA136" s="103">
        <v>0</v>
      </c>
      <c r="AB136" s="103">
        <v>0</v>
      </c>
      <c r="AC136" s="103">
        <v>0</v>
      </c>
      <c r="AD136" s="103">
        <v>0</v>
      </c>
      <c r="AE136" s="103">
        <v>0</v>
      </c>
      <c r="AF136" s="103">
        <v>0</v>
      </c>
      <c r="AG136" s="103">
        <v>0</v>
      </c>
      <c r="AH136" s="103">
        <v>0</v>
      </c>
      <c r="AI136" s="103">
        <v>0</v>
      </c>
      <c r="AJ136" s="103">
        <v>0</v>
      </c>
      <c r="AK136" s="103">
        <v>0</v>
      </c>
      <c r="AL136" s="103">
        <v>0</v>
      </c>
      <c r="AM136" s="103">
        <v>0</v>
      </c>
      <c r="AN136" s="103">
        <v>0</v>
      </c>
      <c r="AO136" s="103">
        <v>0</v>
      </c>
      <c r="AP136" s="103">
        <v>0</v>
      </c>
      <c r="AQ136" s="103">
        <v>0</v>
      </c>
      <c r="AR136" s="103">
        <v>0</v>
      </c>
      <c r="AS136" s="103">
        <v>0</v>
      </c>
      <c r="AT136" s="103">
        <v>0</v>
      </c>
      <c r="AU136" s="103">
        <v>0</v>
      </c>
      <c r="AV136" s="103">
        <v>0</v>
      </c>
      <c r="AW136" s="103">
        <v>0</v>
      </c>
      <c r="AX136" s="103">
        <v>0</v>
      </c>
      <c r="AY136" s="103">
        <v>0</v>
      </c>
    </row>
    <row r="137" spans="1:51" x14ac:dyDescent="0.15">
      <c r="A137" s="106"/>
      <c r="B137" s="117">
        <v>16</v>
      </c>
      <c r="C137" s="103"/>
      <c r="D137" s="103">
        <v>0</v>
      </c>
      <c r="E137" s="103">
        <v>0</v>
      </c>
      <c r="F137" s="103">
        <v>0</v>
      </c>
      <c r="G137" s="103">
        <v>0</v>
      </c>
      <c r="H137" s="103">
        <v>0</v>
      </c>
      <c r="I137" s="103">
        <v>0</v>
      </c>
      <c r="J137" s="103">
        <v>0</v>
      </c>
      <c r="K137" s="103">
        <v>0</v>
      </c>
      <c r="L137" s="103">
        <v>0</v>
      </c>
      <c r="M137" s="103">
        <v>0</v>
      </c>
      <c r="N137" s="103">
        <v>0</v>
      </c>
      <c r="O137" s="103">
        <v>0</v>
      </c>
      <c r="P137" s="103">
        <v>0</v>
      </c>
      <c r="Q137" s="103">
        <v>0</v>
      </c>
      <c r="R137" s="103">
        <v>0</v>
      </c>
      <c r="S137" s="103">
        <v>0</v>
      </c>
      <c r="T137" s="103">
        <v>0</v>
      </c>
      <c r="U137" s="103">
        <v>0</v>
      </c>
      <c r="V137" s="103">
        <v>0</v>
      </c>
      <c r="W137" s="103">
        <v>0</v>
      </c>
      <c r="X137" s="103">
        <v>0</v>
      </c>
      <c r="Y137" s="103">
        <v>0</v>
      </c>
      <c r="Z137" s="103">
        <v>0</v>
      </c>
      <c r="AA137" s="103">
        <v>0</v>
      </c>
      <c r="AB137" s="103">
        <v>0</v>
      </c>
      <c r="AC137" s="103">
        <v>0</v>
      </c>
      <c r="AD137" s="103">
        <v>0</v>
      </c>
      <c r="AE137" s="103">
        <v>0</v>
      </c>
      <c r="AF137" s="103">
        <v>0</v>
      </c>
      <c r="AG137" s="103">
        <v>0</v>
      </c>
      <c r="AH137" s="103">
        <v>0</v>
      </c>
      <c r="AI137" s="103">
        <v>0</v>
      </c>
      <c r="AJ137" s="103">
        <v>0</v>
      </c>
      <c r="AK137" s="103">
        <v>0</v>
      </c>
      <c r="AL137" s="103">
        <v>0</v>
      </c>
      <c r="AM137" s="103">
        <v>0</v>
      </c>
      <c r="AN137" s="103">
        <v>0</v>
      </c>
      <c r="AO137" s="103">
        <v>0</v>
      </c>
      <c r="AP137" s="103">
        <v>0</v>
      </c>
      <c r="AQ137" s="103">
        <v>0</v>
      </c>
      <c r="AR137" s="103">
        <v>0</v>
      </c>
      <c r="AS137" s="103">
        <v>0</v>
      </c>
      <c r="AT137" s="103">
        <v>0</v>
      </c>
      <c r="AU137" s="103">
        <v>0</v>
      </c>
      <c r="AV137" s="103">
        <v>0</v>
      </c>
      <c r="AW137" s="103">
        <v>0</v>
      </c>
      <c r="AX137" s="103">
        <v>0</v>
      </c>
      <c r="AY137" s="103">
        <v>0</v>
      </c>
    </row>
    <row r="138" spans="1:51" x14ac:dyDescent="0.15">
      <c r="A138" s="106"/>
      <c r="B138" s="117">
        <v>17</v>
      </c>
      <c r="C138" s="103"/>
      <c r="D138" s="103">
        <v>0</v>
      </c>
      <c r="E138" s="103">
        <v>0</v>
      </c>
      <c r="F138" s="103">
        <v>0</v>
      </c>
      <c r="G138" s="103">
        <v>0</v>
      </c>
      <c r="H138" s="103">
        <v>0</v>
      </c>
      <c r="I138" s="103">
        <v>0</v>
      </c>
      <c r="J138" s="103">
        <v>0</v>
      </c>
      <c r="K138" s="103">
        <v>0</v>
      </c>
      <c r="L138" s="103">
        <v>0</v>
      </c>
      <c r="M138" s="103">
        <v>0</v>
      </c>
      <c r="N138" s="103">
        <v>0</v>
      </c>
      <c r="O138" s="103">
        <v>0</v>
      </c>
      <c r="P138" s="103">
        <v>0</v>
      </c>
      <c r="Q138" s="103">
        <v>0</v>
      </c>
      <c r="R138" s="103">
        <v>0</v>
      </c>
      <c r="S138" s="103">
        <v>0</v>
      </c>
      <c r="T138" s="103">
        <v>0</v>
      </c>
      <c r="U138" s="103">
        <v>0</v>
      </c>
      <c r="V138" s="103">
        <v>0</v>
      </c>
      <c r="W138" s="103">
        <v>0</v>
      </c>
      <c r="X138" s="103">
        <v>0</v>
      </c>
      <c r="Y138" s="103">
        <v>0</v>
      </c>
      <c r="Z138" s="103">
        <v>0</v>
      </c>
      <c r="AA138" s="103">
        <v>0</v>
      </c>
      <c r="AB138" s="103">
        <v>0</v>
      </c>
      <c r="AC138" s="103">
        <v>0</v>
      </c>
      <c r="AD138" s="103">
        <v>0</v>
      </c>
      <c r="AE138" s="103">
        <v>0</v>
      </c>
      <c r="AF138" s="103">
        <v>0</v>
      </c>
      <c r="AG138" s="103">
        <v>0</v>
      </c>
      <c r="AH138" s="103">
        <v>0</v>
      </c>
      <c r="AI138" s="103">
        <v>0</v>
      </c>
      <c r="AJ138" s="103">
        <v>0</v>
      </c>
      <c r="AK138" s="103">
        <v>0</v>
      </c>
      <c r="AL138" s="103">
        <v>0</v>
      </c>
      <c r="AM138" s="103">
        <v>0</v>
      </c>
      <c r="AN138" s="103">
        <v>0</v>
      </c>
      <c r="AO138" s="103">
        <v>0</v>
      </c>
      <c r="AP138" s="103">
        <v>0</v>
      </c>
      <c r="AQ138" s="103">
        <v>0</v>
      </c>
      <c r="AR138" s="103">
        <v>0</v>
      </c>
      <c r="AS138" s="103">
        <v>0</v>
      </c>
      <c r="AT138" s="103">
        <v>0</v>
      </c>
      <c r="AU138" s="103">
        <v>0</v>
      </c>
      <c r="AV138" s="103">
        <v>0</v>
      </c>
      <c r="AW138" s="103">
        <v>0</v>
      </c>
      <c r="AX138" s="103">
        <v>0</v>
      </c>
      <c r="AY138" s="103">
        <v>0</v>
      </c>
    </row>
    <row r="139" spans="1:51" x14ac:dyDescent="0.15">
      <c r="A139" s="106"/>
      <c r="B139" s="117">
        <v>18</v>
      </c>
      <c r="C139" s="103"/>
      <c r="D139" s="103">
        <v>0</v>
      </c>
      <c r="E139" s="103">
        <v>0</v>
      </c>
      <c r="F139" s="103">
        <v>0</v>
      </c>
      <c r="G139" s="103">
        <v>0</v>
      </c>
      <c r="H139" s="103">
        <v>0</v>
      </c>
      <c r="I139" s="103">
        <v>0</v>
      </c>
      <c r="J139" s="103">
        <v>0</v>
      </c>
      <c r="K139" s="103">
        <v>0</v>
      </c>
      <c r="L139" s="103">
        <v>0</v>
      </c>
      <c r="M139" s="103">
        <v>0</v>
      </c>
      <c r="N139" s="103">
        <v>0</v>
      </c>
      <c r="O139" s="103">
        <v>0</v>
      </c>
      <c r="P139" s="103">
        <v>0</v>
      </c>
      <c r="Q139" s="103">
        <v>0</v>
      </c>
      <c r="R139" s="103">
        <v>0</v>
      </c>
      <c r="S139" s="103">
        <v>0</v>
      </c>
      <c r="T139" s="103">
        <v>0</v>
      </c>
      <c r="U139" s="103">
        <v>0</v>
      </c>
      <c r="V139" s="103">
        <v>0</v>
      </c>
      <c r="W139" s="103">
        <v>0</v>
      </c>
      <c r="X139" s="103">
        <v>0</v>
      </c>
      <c r="Y139" s="103">
        <v>0</v>
      </c>
      <c r="Z139" s="103">
        <v>0</v>
      </c>
      <c r="AA139" s="103">
        <v>0</v>
      </c>
      <c r="AB139" s="103">
        <v>0</v>
      </c>
      <c r="AC139" s="103">
        <v>0</v>
      </c>
      <c r="AD139" s="103">
        <v>0</v>
      </c>
      <c r="AE139" s="103">
        <v>0</v>
      </c>
      <c r="AF139" s="103">
        <v>0</v>
      </c>
      <c r="AG139" s="103">
        <v>0</v>
      </c>
      <c r="AH139" s="103">
        <v>0</v>
      </c>
      <c r="AI139" s="103">
        <v>0</v>
      </c>
      <c r="AJ139" s="103">
        <v>0</v>
      </c>
      <c r="AK139" s="103">
        <v>0</v>
      </c>
      <c r="AL139" s="103">
        <v>0</v>
      </c>
      <c r="AM139" s="103">
        <v>0</v>
      </c>
      <c r="AN139" s="103">
        <v>0</v>
      </c>
      <c r="AO139" s="103">
        <v>0</v>
      </c>
      <c r="AP139" s="103">
        <v>0</v>
      </c>
      <c r="AQ139" s="103">
        <v>0</v>
      </c>
      <c r="AR139" s="103">
        <v>0</v>
      </c>
      <c r="AS139" s="103">
        <v>0</v>
      </c>
      <c r="AT139" s="103">
        <v>0</v>
      </c>
      <c r="AU139" s="103">
        <v>0</v>
      </c>
      <c r="AV139" s="103">
        <v>0</v>
      </c>
      <c r="AW139" s="103">
        <v>0</v>
      </c>
      <c r="AX139" s="103">
        <v>0</v>
      </c>
      <c r="AY139" s="103">
        <v>0</v>
      </c>
    </row>
    <row r="140" spans="1:51" x14ac:dyDescent="0.15">
      <c r="A140" s="106"/>
      <c r="B140" s="117">
        <v>19</v>
      </c>
      <c r="C140" s="103"/>
      <c r="D140" s="103">
        <v>0</v>
      </c>
      <c r="E140" s="103">
        <v>0</v>
      </c>
      <c r="F140" s="103">
        <v>0</v>
      </c>
      <c r="G140" s="103">
        <v>0</v>
      </c>
      <c r="H140" s="103">
        <v>0</v>
      </c>
      <c r="I140" s="103">
        <v>0</v>
      </c>
      <c r="J140" s="103">
        <v>0</v>
      </c>
      <c r="K140" s="103">
        <v>0</v>
      </c>
      <c r="L140" s="103">
        <v>0</v>
      </c>
      <c r="M140" s="103">
        <v>0</v>
      </c>
      <c r="N140" s="103">
        <v>0</v>
      </c>
      <c r="O140" s="103">
        <v>0</v>
      </c>
      <c r="P140" s="103">
        <v>0</v>
      </c>
      <c r="Q140" s="103">
        <v>0</v>
      </c>
      <c r="R140" s="103">
        <v>0</v>
      </c>
      <c r="S140" s="103">
        <v>0</v>
      </c>
      <c r="T140" s="103">
        <v>0</v>
      </c>
      <c r="U140" s="103">
        <v>0</v>
      </c>
      <c r="V140" s="103">
        <v>0</v>
      </c>
      <c r="W140" s="103">
        <v>0</v>
      </c>
      <c r="X140" s="103">
        <v>0</v>
      </c>
      <c r="Y140" s="103">
        <v>0</v>
      </c>
      <c r="Z140" s="103">
        <v>0</v>
      </c>
      <c r="AA140" s="103">
        <v>0</v>
      </c>
      <c r="AB140" s="103">
        <v>0</v>
      </c>
      <c r="AC140" s="103">
        <v>0</v>
      </c>
      <c r="AD140" s="103">
        <v>0</v>
      </c>
      <c r="AE140" s="103">
        <v>0</v>
      </c>
      <c r="AF140" s="103">
        <v>0</v>
      </c>
      <c r="AG140" s="103">
        <v>0</v>
      </c>
      <c r="AH140" s="103">
        <v>0</v>
      </c>
      <c r="AI140" s="103">
        <v>0</v>
      </c>
      <c r="AJ140" s="103">
        <v>0</v>
      </c>
      <c r="AK140" s="103">
        <v>0</v>
      </c>
      <c r="AL140" s="103">
        <v>0</v>
      </c>
      <c r="AM140" s="103">
        <v>0</v>
      </c>
      <c r="AN140" s="103">
        <v>0</v>
      </c>
      <c r="AO140" s="103">
        <v>0</v>
      </c>
      <c r="AP140" s="103">
        <v>0</v>
      </c>
      <c r="AQ140" s="103">
        <v>0</v>
      </c>
      <c r="AR140" s="103">
        <v>0</v>
      </c>
      <c r="AS140" s="103">
        <v>0</v>
      </c>
      <c r="AT140" s="103">
        <v>0</v>
      </c>
      <c r="AU140" s="103">
        <v>0</v>
      </c>
      <c r="AV140" s="103">
        <v>0</v>
      </c>
      <c r="AW140" s="103">
        <v>0</v>
      </c>
      <c r="AX140" s="103">
        <v>0</v>
      </c>
      <c r="AY140" s="103">
        <v>0</v>
      </c>
    </row>
    <row r="141" spans="1:51" x14ac:dyDescent="0.15">
      <c r="A141" s="106"/>
      <c r="B141" s="117">
        <v>20</v>
      </c>
      <c r="C141" s="103"/>
      <c r="D141" s="103">
        <v>0</v>
      </c>
      <c r="E141" s="103">
        <v>0</v>
      </c>
      <c r="F141" s="103">
        <v>0</v>
      </c>
      <c r="G141" s="103">
        <v>0</v>
      </c>
      <c r="H141" s="103">
        <v>0</v>
      </c>
      <c r="I141" s="103">
        <v>0</v>
      </c>
      <c r="J141" s="103">
        <v>0</v>
      </c>
      <c r="K141" s="103">
        <v>0</v>
      </c>
      <c r="L141" s="103">
        <v>0</v>
      </c>
      <c r="M141" s="103">
        <v>0</v>
      </c>
      <c r="N141" s="103">
        <v>0</v>
      </c>
      <c r="O141" s="103">
        <v>0</v>
      </c>
      <c r="P141" s="103">
        <v>0</v>
      </c>
      <c r="Q141" s="103">
        <v>0</v>
      </c>
      <c r="R141" s="103">
        <v>0</v>
      </c>
      <c r="S141" s="103">
        <v>0</v>
      </c>
      <c r="T141" s="103">
        <v>0</v>
      </c>
      <c r="U141" s="103">
        <v>0</v>
      </c>
      <c r="V141" s="103">
        <v>0</v>
      </c>
      <c r="W141" s="103">
        <v>0</v>
      </c>
      <c r="X141" s="103">
        <v>0</v>
      </c>
      <c r="Y141" s="103">
        <v>0</v>
      </c>
      <c r="Z141" s="103">
        <v>0</v>
      </c>
      <c r="AA141" s="103">
        <v>0</v>
      </c>
      <c r="AB141" s="103">
        <v>0</v>
      </c>
      <c r="AC141" s="103">
        <v>0</v>
      </c>
      <c r="AD141" s="103">
        <v>0</v>
      </c>
      <c r="AE141" s="103">
        <v>0</v>
      </c>
      <c r="AF141" s="103">
        <v>0</v>
      </c>
      <c r="AG141" s="103">
        <v>0</v>
      </c>
      <c r="AH141" s="103">
        <v>0</v>
      </c>
      <c r="AI141" s="103">
        <v>0</v>
      </c>
      <c r="AJ141" s="103">
        <v>0</v>
      </c>
      <c r="AK141" s="103">
        <v>0</v>
      </c>
      <c r="AL141" s="103">
        <v>0</v>
      </c>
      <c r="AM141" s="103">
        <v>0</v>
      </c>
      <c r="AN141" s="103">
        <v>0</v>
      </c>
      <c r="AO141" s="103">
        <v>0</v>
      </c>
      <c r="AP141" s="103">
        <v>0</v>
      </c>
      <c r="AQ141" s="103">
        <v>0</v>
      </c>
      <c r="AR141" s="103">
        <v>0</v>
      </c>
      <c r="AS141" s="103">
        <v>0</v>
      </c>
      <c r="AT141" s="103">
        <v>0</v>
      </c>
      <c r="AU141" s="103">
        <v>0</v>
      </c>
      <c r="AV141" s="103">
        <v>0</v>
      </c>
      <c r="AW141" s="103">
        <v>0</v>
      </c>
      <c r="AX141" s="103">
        <v>0</v>
      </c>
      <c r="AY141" s="103">
        <v>0</v>
      </c>
    </row>
    <row r="142" spans="1:51" x14ac:dyDescent="0.15">
      <c r="A142" s="106"/>
      <c r="B142" s="117">
        <v>21</v>
      </c>
      <c r="C142" s="103"/>
      <c r="D142" s="103">
        <v>0</v>
      </c>
      <c r="E142" s="103">
        <v>0</v>
      </c>
      <c r="F142" s="103">
        <v>0</v>
      </c>
      <c r="G142" s="103">
        <v>0</v>
      </c>
      <c r="H142" s="103">
        <v>0</v>
      </c>
      <c r="I142" s="103">
        <v>0</v>
      </c>
      <c r="J142" s="103">
        <v>0</v>
      </c>
      <c r="K142" s="103">
        <v>0</v>
      </c>
      <c r="L142" s="103">
        <v>0</v>
      </c>
      <c r="M142" s="103">
        <v>0</v>
      </c>
      <c r="N142" s="103">
        <v>0</v>
      </c>
      <c r="O142" s="103">
        <v>0</v>
      </c>
      <c r="P142" s="103">
        <v>0</v>
      </c>
      <c r="Q142" s="103">
        <v>0</v>
      </c>
      <c r="R142" s="103">
        <v>0</v>
      </c>
      <c r="S142" s="103">
        <v>0</v>
      </c>
      <c r="T142" s="103">
        <v>0</v>
      </c>
      <c r="U142" s="103">
        <v>0</v>
      </c>
      <c r="V142" s="103">
        <v>0</v>
      </c>
      <c r="W142" s="103">
        <v>0</v>
      </c>
      <c r="X142" s="103">
        <v>0</v>
      </c>
      <c r="Y142" s="103">
        <v>0</v>
      </c>
      <c r="Z142" s="103">
        <v>0</v>
      </c>
      <c r="AA142" s="103">
        <v>0</v>
      </c>
      <c r="AB142" s="103">
        <v>0</v>
      </c>
      <c r="AC142" s="103">
        <v>0</v>
      </c>
      <c r="AD142" s="103">
        <v>0</v>
      </c>
      <c r="AE142" s="103">
        <v>0</v>
      </c>
      <c r="AF142" s="103">
        <v>0</v>
      </c>
      <c r="AG142" s="103">
        <v>0</v>
      </c>
      <c r="AH142" s="103">
        <v>0</v>
      </c>
      <c r="AI142" s="103">
        <v>0</v>
      </c>
      <c r="AJ142" s="103">
        <v>0</v>
      </c>
      <c r="AK142" s="103">
        <v>0</v>
      </c>
      <c r="AL142" s="103">
        <v>0</v>
      </c>
      <c r="AM142" s="103">
        <v>0</v>
      </c>
      <c r="AN142" s="103">
        <v>0</v>
      </c>
      <c r="AO142" s="103">
        <v>0</v>
      </c>
      <c r="AP142" s="103">
        <v>0</v>
      </c>
      <c r="AQ142" s="103">
        <v>0</v>
      </c>
      <c r="AR142" s="103">
        <v>0</v>
      </c>
      <c r="AS142" s="103">
        <v>0</v>
      </c>
      <c r="AT142" s="103">
        <v>0</v>
      </c>
      <c r="AU142" s="103">
        <v>0</v>
      </c>
      <c r="AV142" s="103">
        <v>0</v>
      </c>
      <c r="AW142" s="103">
        <v>0</v>
      </c>
      <c r="AX142" s="103">
        <v>0</v>
      </c>
      <c r="AY142" s="103">
        <v>0</v>
      </c>
    </row>
    <row r="143" spans="1:51" x14ac:dyDescent="0.15">
      <c r="A143" s="106"/>
      <c r="B143" s="117">
        <v>22</v>
      </c>
      <c r="C143" s="103"/>
      <c r="D143" s="103">
        <v>0</v>
      </c>
      <c r="E143" s="103">
        <v>0</v>
      </c>
      <c r="F143" s="103">
        <v>0</v>
      </c>
      <c r="G143" s="103">
        <v>0</v>
      </c>
      <c r="H143" s="103">
        <v>0</v>
      </c>
      <c r="I143" s="103">
        <v>0</v>
      </c>
      <c r="J143" s="103">
        <v>0</v>
      </c>
      <c r="K143" s="103">
        <v>0</v>
      </c>
      <c r="L143" s="103">
        <v>0</v>
      </c>
      <c r="M143" s="103">
        <v>0</v>
      </c>
      <c r="N143" s="103">
        <v>0</v>
      </c>
      <c r="O143" s="103">
        <v>0</v>
      </c>
      <c r="P143" s="103">
        <v>0</v>
      </c>
      <c r="Q143" s="103">
        <v>0</v>
      </c>
      <c r="R143" s="103">
        <v>0</v>
      </c>
      <c r="S143" s="103">
        <v>0</v>
      </c>
      <c r="T143" s="103">
        <v>0</v>
      </c>
      <c r="U143" s="103">
        <v>0</v>
      </c>
      <c r="V143" s="103">
        <v>0</v>
      </c>
      <c r="W143" s="103">
        <v>0</v>
      </c>
      <c r="X143" s="103">
        <v>0</v>
      </c>
      <c r="Y143" s="103">
        <v>0</v>
      </c>
      <c r="Z143" s="103">
        <v>0</v>
      </c>
      <c r="AA143" s="103">
        <v>0</v>
      </c>
      <c r="AB143" s="103">
        <v>0</v>
      </c>
      <c r="AC143" s="103">
        <v>0</v>
      </c>
      <c r="AD143" s="103">
        <v>0</v>
      </c>
      <c r="AE143" s="103">
        <v>0</v>
      </c>
      <c r="AF143" s="103">
        <v>0</v>
      </c>
      <c r="AG143" s="103">
        <v>0</v>
      </c>
      <c r="AH143" s="103">
        <v>0</v>
      </c>
      <c r="AI143" s="103">
        <v>0</v>
      </c>
      <c r="AJ143" s="103">
        <v>0</v>
      </c>
      <c r="AK143" s="103">
        <v>0</v>
      </c>
      <c r="AL143" s="103">
        <v>0</v>
      </c>
      <c r="AM143" s="103">
        <v>0</v>
      </c>
      <c r="AN143" s="103">
        <v>0</v>
      </c>
      <c r="AO143" s="103">
        <v>0</v>
      </c>
      <c r="AP143" s="103">
        <v>0</v>
      </c>
      <c r="AQ143" s="103">
        <v>0</v>
      </c>
      <c r="AR143" s="103">
        <v>0</v>
      </c>
      <c r="AS143" s="103">
        <v>0</v>
      </c>
      <c r="AT143" s="103">
        <v>0</v>
      </c>
      <c r="AU143" s="103">
        <v>0</v>
      </c>
      <c r="AV143" s="103">
        <v>0</v>
      </c>
      <c r="AW143" s="103">
        <v>0</v>
      </c>
      <c r="AX143" s="103">
        <v>0</v>
      </c>
      <c r="AY143" s="103">
        <v>0</v>
      </c>
    </row>
    <row r="144" spans="1:51" x14ac:dyDescent="0.15">
      <c r="A144" s="106"/>
      <c r="B144" s="117">
        <v>23</v>
      </c>
      <c r="C144" s="103"/>
      <c r="D144" s="103">
        <v>0</v>
      </c>
      <c r="E144" s="103">
        <v>0</v>
      </c>
      <c r="F144" s="103">
        <v>0</v>
      </c>
      <c r="G144" s="103">
        <v>0</v>
      </c>
      <c r="H144" s="103">
        <v>0</v>
      </c>
      <c r="I144" s="103">
        <v>0</v>
      </c>
      <c r="J144" s="103">
        <v>0</v>
      </c>
      <c r="K144" s="103">
        <v>0</v>
      </c>
      <c r="L144" s="103">
        <v>0</v>
      </c>
      <c r="M144" s="103">
        <v>0</v>
      </c>
      <c r="N144" s="103">
        <v>0</v>
      </c>
      <c r="O144" s="103">
        <v>0</v>
      </c>
      <c r="P144" s="103">
        <v>0</v>
      </c>
      <c r="Q144" s="103">
        <v>0</v>
      </c>
      <c r="R144" s="103">
        <v>0</v>
      </c>
      <c r="S144" s="103">
        <v>0</v>
      </c>
      <c r="T144" s="103">
        <v>0</v>
      </c>
      <c r="U144" s="103">
        <v>0</v>
      </c>
      <c r="V144" s="103">
        <v>0</v>
      </c>
      <c r="W144" s="103">
        <v>0</v>
      </c>
      <c r="X144" s="103">
        <v>0</v>
      </c>
      <c r="Y144" s="103">
        <v>0</v>
      </c>
      <c r="Z144" s="103">
        <v>0</v>
      </c>
      <c r="AA144" s="103">
        <v>0</v>
      </c>
      <c r="AB144" s="103">
        <v>0</v>
      </c>
      <c r="AC144" s="103">
        <v>0</v>
      </c>
      <c r="AD144" s="103">
        <v>0</v>
      </c>
      <c r="AE144" s="103">
        <v>0</v>
      </c>
      <c r="AF144" s="103">
        <v>0</v>
      </c>
      <c r="AG144" s="103">
        <v>0</v>
      </c>
      <c r="AH144" s="103">
        <v>0</v>
      </c>
      <c r="AI144" s="103">
        <v>0</v>
      </c>
      <c r="AJ144" s="103">
        <v>0</v>
      </c>
      <c r="AK144" s="103">
        <v>0</v>
      </c>
      <c r="AL144" s="103">
        <v>0</v>
      </c>
      <c r="AM144" s="103">
        <v>0</v>
      </c>
      <c r="AN144" s="103">
        <v>0</v>
      </c>
      <c r="AO144" s="103">
        <v>0</v>
      </c>
      <c r="AP144" s="103">
        <v>0</v>
      </c>
      <c r="AQ144" s="103">
        <v>0</v>
      </c>
      <c r="AR144" s="103">
        <v>0</v>
      </c>
      <c r="AS144" s="103">
        <v>0</v>
      </c>
      <c r="AT144" s="103">
        <v>0</v>
      </c>
      <c r="AU144" s="103">
        <v>0</v>
      </c>
      <c r="AV144" s="103">
        <v>0</v>
      </c>
      <c r="AW144" s="103">
        <v>0</v>
      </c>
      <c r="AX144" s="103">
        <v>0</v>
      </c>
      <c r="AY144" s="103">
        <v>0</v>
      </c>
    </row>
    <row r="145" spans="1:51" x14ac:dyDescent="0.15">
      <c r="A145" s="106"/>
      <c r="B145" s="117">
        <v>24</v>
      </c>
      <c r="C145" s="103"/>
      <c r="D145" s="103">
        <v>0</v>
      </c>
      <c r="E145" s="103">
        <v>0</v>
      </c>
      <c r="F145" s="103">
        <v>0</v>
      </c>
      <c r="G145" s="103">
        <v>0</v>
      </c>
      <c r="H145" s="103">
        <v>0</v>
      </c>
      <c r="I145" s="103">
        <v>0</v>
      </c>
      <c r="J145" s="103">
        <v>0</v>
      </c>
      <c r="K145" s="103">
        <v>0</v>
      </c>
      <c r="L145" s="103">
        <v>0</v>
      </c>
      <c r="M145" s="103">
        <v>0</v>
      </c>
      <c r="N145" s="103">
        <v>0</v>
      </c>
      <c r="O145" s="103">
        <v>0</v>
      </c>
      <c r="P145" s="103">
        <v>0</v>
      </c>
      <c r="Q145" s="103">
        <v>0</v>
      </c>
      <c r="R145" s="103">
        <v>0</v>
      </c>
      <c r="S145" s="103">
        <v>0</v>
      </c>
      <c r="T145" s="103">
        <v>0</v>
      </c>
      <c r="U145" s="103">
        <v>0</v>
      </c>
      <c r="V145" s="103">
        <v>0</v>
      </c>
      <c r="W145" s="103">
        <v>0</v>
      </c>
      <c r="X145" s="103">
        <v>0</v>
      </c>
      <c r="Y145" s="103">
        <v>0</v>
      </c>
      <c r="Z145" s="103">
        <v>0</v>
      </c>
      <c r="AA145" s="103">
        <v>0</v>
      </c>
      <c r="AB145" s="103">
        <v>0</v>
      </c>
      <c r="AC145" s="103">
        <v>0</v>
      </c>
      <c r="AD145" s="103">
        <v>0</v>
      </c>
      <c r="AE145" s="103">
        <v>0</v>
      </c>
      <c r="AF145" s="103">
        <v>0</v>
      </c>
      <c r="AG145" s="103">
        <v>0</v>
      </c>
      <c r="AH145" s="103">
        <v>0</v>
      </c>
      <c r="AI145" s="103">
        <v>0</v>
      </c>
      <c r="AJ145" s="103">
        <v>0</v>
      </c>
      <c r="AK145" s="103">
        <v>0</v>
      </c>
      <c r="AL145" s="103">
        <v>0</v>
      </c>
      <c r="AM145" s="103">
        <v>0</v>
      </c>
      <c r="AN145" s="103">
        <v>0</v>
      </c>
      <c r="AO145" s="103">
        <v>0</v>
      </c>
      <c r="AP145" s="103">
        <v>0</v>
      </c>
      <c r="AQ145" s="103">
        <v>0</v>
      </c>
      <c r="AR145" s="103">
        <v>0</v>
      </c>
      <c r="AS145" s="103">
        <v>0</v>
      </c>
      <c r="AT145" s="103">
        <v>0</v>
      </c>
      <c r="AU145" s="103">
        <v>0</v>
      </c>
      <c r="AV145" s="103">
        <v>0</v>
      </c>
      <c r="AW145" s="103">
        <v>0</v>
      </c>
      <c r="AX145" s="103">
        <v>0</v>
      </c>
      <c r="AY145" s="103">
        <v>0</v>
      </c>
    </row>
    <row r="146" spans="1:51" x14ac:dyDescent="0.15">
      <c r="A146" s="106"/>
      <c r="B146" s="124">
        <v>25</v>
      </c>
      <c r="C146" s="103"/>
      <c r="D146" s="103">
        <v>0</v>
      </c>
      <c r="E146" s="103">
        <v>0</v>
      </c>
      <c r="F146" s="103">
        <v>0</v>
      </c>
      <c r="G146" s="103">
        <v>0</v>
      </c>
      <c r="H146" s="103">
        <v>0</v>
      </c>
      <c r="I146" s="103">
        <v>0</v>
      </c>
      <c r="J146" s="103">
        <v>0</v>
      </c>
      <c r="K146" s="103">
        <v>0</v>
      </c>
      <c r="L146" s="103">
        <v>0</v>
      </c>
      <c r="M146" s="103">
        <v>0</v>
      </c>
      <c r="N146" s="103">
        <v>0</v>
      </c>
      <c r="O146" s="103">
        <v>0</v>
      </c>
      <c r="P146" s="103">
        <v>0</v>
      </c>
      <c r="Q146" s="103">
        <v>0</v>
      </c>
      <c r="R146" s="103">
        <v>0</v>
      </c>
      <c r="S146" s="103">
        <v>0</v>
      </c>
      <c r="T146" s="103">
        <v>0</v>
      </c>
      <c r="U146" s="103">
        <v>0</v>
      </c>
      <c r="V146" s="103">
        <v>0</v>
      </c>
      <c r="W146" s="103">
        <v>0</v>
      </c>
      <c r="X146" s="103">
        <v>0</v>
      </c>
      <c r="Y146" s="103">
        <v>0</v>
      </c>
      <c r="Z146" s="103">
        <v>0</v>
      </c>
      <c r="AA146" s="103">
        <v>0</v>
      </c>
      <c r="AB146" s="103">
        <v>0</v>
      </c>
      <c r="AC146" s="103">
        <v>0</v>
      </c>
      <c r="AD146" s="103">
        <v>0</v>
      </c>
      <c r="AE146" s="103">
        <v>0</v>
      </c>
      <c r="AF146" s="103">
        <v>0</v>
      </c>
      <c r="AG146" s="103">
        <v>0</v>
      </c>
      <c r="AH146" s="103">
        <v>0</v>
      </c>
      <c r="AI146" s="103">
        <v>0</v>
      </c>
      <c r="AJ146" s="103">
        <v>0</v>
      </c>
      <c r="AK146" s="103">
        <v>0</v>
      </c>
      <c r="AL146" s="103">
        <v>0</v>
      </c>
      <c r="AM146" s="103">
        <v>0</v>
      </c>
      <c r="AN146" s="103">
        <v>0</v>
      </c>
      <c r="AO146" s="103">
        <v>0</v>
      </c>
      <c r="AP146" s="103">
        <v>0</v>
      </c>
      <c r="AQ146" s="103">
        <v>0</v>
      </c>
      <c r="AR146" s="103">
        <v>0</v>
      </c>
      <c r="AS146" s="103">
        <v>0</v>
      </c>
      <c r="AT146" s="103">
        <v>0</v>
      </c>
      <c r="AU146" s="103">
        <v>0</v>
      </c>
      <c r="AV146" s="103">
        <v>0</v>
      </c>
      <c r="AW146" s="103">
        <v>0</v>
      </c>
      <c r="AX146" s="103">
        <v>0</v>
      </c>
      <c r="AY146" s="103">
        <v>0</v>
      </c>
    </row>
    <row r="147" spans="1:51" x14ac:dyDescent="0.15">
      <c r="A147" s="106"/>
      <c r="B147" s="124">
        <v>26</v>
      </c>
      <c r="C147" s="103"/>
      <c r="D147" s="103">
        <v>0</v>
      </c>
      <c r="E147" s="103">
        <v>0</v>
      </c>
      <c r="F147" s="103">
        <v>0</v>
      </c>
      <c r="G147" s="103">
        <v>0</v>
      </c>
      <c r="H147" s="103">
        <v>0</v>
      </c>
      <c r="I147" s="103">
        <v>0</v>
      </c>
      <c r="J147" s="103">
        <v>0</v>
      </c>
      <c r="K147" s="103">
        <v>0</v>
      </c>
      <c r="L147" s="103">
        <v>0</v>
      </c>
      <c r="M147" s="103">
        <v>0</v>
      </c>
      <c r="N147" s="103">
        <v>0</v>
      </c>
      <c r="O147" s="103">
        <v>0</v>
      </c>
      <c r="P147" s="103">
        <v>0</v>
      </c>
      <c r="Q147" s="103">
        <v>0</v>
      </c>
      <c r="R147" s="103">
        <v>0</v>
      </c>
      <c r="S147" s="103">
        <v>0</v>
      </c>
      <c r="T147" s="103">
        <v>0</v>
      </c>
      <c r="U147" s="103">
        <v>0</v>
      </c>
      <c r="V147" s="103">
        <v>0</v>
      </c>
      <c r="W147" s="103">
        <v>0</v>
      </c>
      <c r="X147" s="103">
        <v>0</v>
      </c>
      <c r="Y147" s="103">
        <v>0</v>
      </c>
      <c r="Z147" s="103">
        <v>0</v>
      </c>
      <c r="AA147" s="103">
        <v>0</v>
      </c>
      <c r="AB147" s="103">
        <v>0</v>
      </c>
      <c r="AC147" s="103">
        <v>0</v>
      </c>
      <c r="AD147" s="103">
        <v>0</v>
      </c>
      <c r="AE147" s="103">
        <v>0</v>
      </c>
      <c r="AF147" s="103">
        <v>0</v>
      </c>
      <c r="AG147" s="103">
        <v>0</v>
      </c>
      <c r="AH147" s="103">
        <v>0</v>
      </c>
      <c r="AI147" s="103">
        <v>0</v>
      </c>
      <c r="AJ147" s="103">
        <v>0</v>
      </c>
      <c r="AK147" s="103">
        <v>0</v>
      </c>
      <c r="AL147" s="103">
        <v>0</v>
      </c>
      <c r="AM147" s="103">
        <v>0</v>
      </c>
      <c r="AN147" s="103">
        <v>0</v>
      </c>
      <c r="AO147" s="103">
        <v>0</v>
      </c>
      <c r="AP147" s="103">
        <v>0</v>
      </c>
      <c r="AQ147" s="103">
        <v>0</v>
      </c>
      <c r="AR147" s="103">
        <v>0</v>
      </c>
      <c r="AS147" s="103">
        <v>0</v>
      </c>
      <c r="AT147" s="103">
        <v>0</v>
      </c>
      <c r="AU147" s="103">
        <v>0</v>
      </c>
      <c r="AV147" s="103">
        <v>0</v>
      </c>
      <c r="AW147" s="103">
        <v>0</v>
      </c>
      <c r="AX147" s="103">
        <v>0</v>
      </c>
      <c r="AY147" s="103">
        <v>0</v>
      </c>
    </row>
    <row r="148" spans="1:51" x14ac:dyDescent="0.15">
      <c r="A148" s="106"/>
      <c r="B148" s="124">
        <v>27</v>
      </c>
      <c r="C148" s="103"/>
      <c r="D148" s="103">
        <v>0</v>
      </c>
      <c r="E148" s="103">
        <v>0</v>
      </c>
      <c r="F148" s="103">
        <v>0</v>
      </c>
      <c r="G148" s="103">
        <v>0</v>
      </c>
      <c r="H148" s="103">
        <v>0</v>
      </c>
      <c r="I148" s="103">
        <v>0</v>
      </c>
      <c r="J148" s="103">
        <v>0</v>
      </c>
      <c r="K148" s="103">
        <v>0</v>
      </c>
      <c r="L148" s="103">
        <v>0</v>
      </c>
      <c r="M148" s="103">
        <v>0</v>
      </c>
      <c r="N148" s="103">
        <v>0</v>
      </c>
      <c r="O148" s="103">
        <v>0</v>
      </c>
      <c r="P148" s="103">
        <v>0</v>
      </c>
      <c r="Q148" s="103">
        <v>0</v>
      </c>
      <c r="R148" s="103">
        <v>0</v>
      </c>
      <c r="S148" s="103">
        <v>0</v>
      </c>
      <c r="T148" s="103">
        <v>0</v>
      </c>
      <c r="U148" s="103">
        <v>0</v>
      </c>
      <c r="V148" s="103">
        <v>0</v>
      </c>
      <c r="W148" s="103">
        <v>0</v>
      </c>
      <c r="X148" s="103">
        <v>0</v>
      </c>
      <c r="Y148" s="103">
        <v>0</v>
      </c>
      <c r="Z148" s="103">
        <v>0</v>
      </c>
      <c r="AA148" s="103">
        <v>0</v>
      </c>
      <c r="AB148" s="103">
        <v>0</v>
      </c>
      <c r="AC148" s="103">
        <v>0</v>
      </c>
      <c r="AD148" s="103">
        <v>0</v>
      </c>
      <c r="AE148" s="103">
        <v>0</v>
      </c>
      <c r="AF148" s="103">
        <v>0</v>
      </c>
      <c r="AG148" s="103">
        <v>0</v>
      </c>
      <c r="AH148" s="103">
        <v>0</v>
      </c>
      <c r="AI148" s="103">
        <v>0</v>
      </c>
      <c r="AJ148" s="103">
        <v>0</v>
      </c>
      <c r="AK148" s="103">
        <v>0</v>
      </c>
      <c r="AL148" s="103">
        <v>0</v>
      </c>
      <c r="AM148" s="103">
        <v>0</v>
      </c>
      <c r="AN148" s="103">
        <v>0</v>
      </c>
      <c r="AO148" s="103">
        <v>0</v>
      </c>
      <c r="AP148" s="103">
        <v>0</v>
      </c>
      <c r="AQ148" s="103">
        <v>0</v>
      </c>
      <c r="AR148" s="103">
        <v>0</v>
      </c>
      <c r="AS148" s="103">
        <v>0</v>
      </c>
      <c r="AT148" s="103">
        <v>0</v>
      </c>
      <c r="AU148" s="103">
        <v>0</v>
      </c>
      <c r="AV148" s="103">
        <v>0</v>
      </c>
      <c r="AW148" s="103">
        <v>0</v>
      </c>
      <c r="AX148" s="103">
        <v>0</v>
      </c>
      <c r="AY148" s="103">
        <v>0</v>
      </c>
    </row>
    <row r="149" spans="1:51" x14ac:dyDescent="0.15">
      <c r="A149" s="106"/>
      <c r="B149" s="124">
        <v>28</v>
      </c>
      <c r="C149" s="103"/>
      <c r="D149" s="103">
        <v>0</v>
      </c>
      <c r="E149" s="103">
        <v>0</v>
      </c>
      <c r="F149" s="103">
        <v>0</v>
      </c>
      <c r="G149" s="103">
        <v>0</v>
      </c>
      <c r="H149" s="103">
        <v>0</v>
      </c>
      <c r="I149" s="103">
        <v>0</v>
      </c>
      <c r="J149" s="103">
        <v>0</v>
      </c>
      <c r="K149" s="103">
        <v>0</v>
      </c>
      <c r="L149" s="103">
        <v>0</v>
      </c>
      <c r="M149" s="103">
        <v>0</v>
      </c>
      <c r="N149" s="103">
        <v>0</v>
      </c>
      <c r="O149" s="103">
        <v>0</v>
      </c>
      <c r="P149" s="103">
        <v>0</v>
      </c>
      <c r="Q149" s="103">
        <v>0</v>
      </c>
      <c r="R149" s="103">
        <v>0</v>
      </c>
      <c r="S149" s="103">
        <v>0</v>
      </c>
      <c r="T149" s="103">
        <v>0</v>
      </c>
      <c r="U149" s="103">
        <v>0</v>
      </c>
      <c r="V149" s="103">
        <v>0</v>
      </c>
      <c r="W149" s="103">
        <v>0</v>
      </c>
      <c r="X149" s="103">
        <v>0</v>
      </c>
      <c r="Y149" s="103">
        <v>0</v>
      </c>
      <c r="Z149" s="103">
        <v>0</v>
      </c>
      <c r="AA149" s="103">
        <v>0</v>
      </c>
      <c r="AB149" s="103">
        <v>0</v>
      </c>
      <c r="AC149" s="103">
        <v>0</v>
      </c>
      <c r="AD149" s="103">
        <v>0</v>
      </c>
      <c r="AE149" s="103">
        <v>0</v>
      </c>
      <c r="AF149" s="103">
        <v>0</v>
      </c>
      <c r="AG149" s="103">
        <v>0</v>
      </c>
      <c r="AH149" s="103">
        <v>0</v>
      </c>
      <c r="AI149" s="103">
        <v>0</v>
      </c>
      <c r="AJ149" s="103">
        <v>0</v>
      </c>
      <c r="AK149" s="103">
        <v>0</v>
      </c>
      <c r="AL149" s="103">
        <v>0</v>
      </c>
      <c r="AM149" s="103">
        <v>0</v>
      </c>
      <c r="AN149" s="103">
        <v>0</v>
      </c>
      <c r="AO149" s="103">
        <v>0</v>
      </c>
      <c r="AP149" s="103">
        <v>0</v>
      </c>
      <c r="AQ149" s="103">
        <v>0</v>
      </c>
      <c r="AR149" s="103">
        <v>0</v>
      </c>
      <c r="AS149" s="103">
        <v>0</v>
      </c>
      <c r="AT149" s="103">
        <v>0</v>
      </c>
      <c r="AU149" s="103">
        <v>0</v>
      </c>
      <c r="AV149" s="103">
        <v>0</v>
      </c>
      <c r="AW149" s="103">
        <v>0</v>
      </c>
      <c r="AX149" s="103">
        <v>0</v>
      </c>
      <c r="AY149" s="103">
        <v>0</v>
      </c>
    </row>
    <row r="150" spans="1:51" x14ac:dyDescent="0.15">
      <c r="A150" s="106"/>
      <c r="B150" s="124">
        <v>29</v>
      </c>
      <c r="C150" s="103"/>
      <c r="D150" s="103">
        <v>0</v>
      </c>
      <c r="E150" s="103">
        <v>0</v>
      </c>
      <c r="F150" s="103">
        <v>0</v>
      </c>
      <c r="G150" s="103">
        <v>0</v>
      </c>
      <c r="H150" s="103">
        <v>0</v>
      </c>
      <c r="I150" s="103">
        <v>0</v>
      </c>
      <c r="J150" s="103">
        <v>0</v>
      </c>
      <c r="K150" s="103">
        <v>0</v>
      </c>
      <c r="L150" s="103">
        <v>0</v>
      </c>
      <c r="M150" s="103">
        <v>0</v>
      </c>
      <c r="N150" s="103">
        <v>0</v>
      </c>
      <c r="O150" s="103">
        <v>0</v>
      </c>
      <c r="P150" s="103">
        <v>0</v>
      </c>
      <c r="Q150" s="103">
        <v>0</v>
      </c>
      <c r="R150" s="103">
        <v>0</v>
      </c>
      <c r="S150" s="103">
        <v>0</v>
      </c>
      <c r="T150" s="103">
        <v>0</v>
      </c>
      <c r="U150" s="103">
        <v>0</v>
      </c>
      <c r="V150" s="103">
        <v>0</v>
      </c>
      <c r="W150" s="103">
        <v>0</v>
      </c>
      <c r="X150" s="103">
        <v>0</v>
      </c>
      <c r="Y150" s="103">
        <v>0</v>
      </c>
      <c r="Z150" s="103">
        <v>0</v>
      </c>
      <c r="AA150" s="103">
        <v>0</v>
      </c>
      <c r="AB150" s="103">
        <v>0</v>
      </c>
      <c r="AC150" s="103">
        <v>0</v>
      </c>
      <c r="AD150" s="103">
        <v>0</v>
      </c>
      <c r="AE150" s="103">
        <v>0</v>
      </c>
      <c r="AF150" s="103">
        <v>0</v>
      </c>
      <c r="AG150" s="103">
        <v>0</v>
      </c>
      <c r="AH150" s="103">
        <v>0</v>
      </c>
      <c r="AI150" s="103">
        <v>0</v>
      </c>
      <c r="AJ150" s="103">
        <v>0</v>
      </c>
      <c r="AK150" s="103">
        <v>0</v>
      </c>
      <c r="AL150" s="103">
        <v>0</v>
      </c>
      <c r="AM150" s="103">
        <v>0</v>
      </c>
      <c r="AN150" s="103">
        <v>0</v>
      </c>
      <c r="AO150" s="103">
        <v>0</v>
      </c>
      <c r="AP150" s="103">
        <v>0</v>
      </c>
      <c r="AQ150" s="103">
        <v>0</v>
      </c>
      <c r="AR150" s="103">
        <v>0</v>
      </c>
      <c r="AS150" s="103">
        <v>0</v>
      </c>
      <c r="AT150" s="103">
        <v>0</v>
      </c>
      <c r="AU150" s="103">
        <v>0</v>
      </c>
      <c r="AV150" s="103">
        <v>0</v>
      </c>
      <c r="AW150" s="103">
        <v>0</v>
      </c>
      <c r="AX150" s="103">
        <v>0</v>
      </c>
      <c r="AY150" s="103">
        <v>0</v>
      </c>
    </row>
    <row r="151" spans="1:51" x14ac:dyDescent="0.15">
      <c r="A151" s="106"/>
      <c r="B151" s="124">
        <v>30</v>
      </c>
      <c r="C151" s="103"/>
      <c r="D151" s="103">
        <v>0</v>
      </c>
      <c r="E151" s="103">
        <v>0</v>
      </c>
      <c r="F151" s="103">
        <v>0</v>
      </c>
      <c r="G151" s="103">
        <v>0</v>
      </c>
      <c r="H151" s="103">
        <v>0</v>
      </c>
      <c r="I151" s="103">
        <v>0</v>
      </c>
      <c r="J151" s="103">
        <v>0</v>
      </c>
      <c r="K151" s="103">
        <v>0</v>
      </c>
      <c r="L151" s="103">
        <v>0</v>
      </c>
      <c r="M151" s="103">
        <v>0</v>
      </c>
      <c r="N151" s="103">
        <v>0</v>
      </c>
      <c r="O151" s="103">
        <v>0</v>
      </c>
      <c r="P151" s="103">
        <v>0</v>
      </c>
      <c r="Q151" s="103">
        <v>0</v>
      </c>
      <c r="R151" s="103">
        <v>0</v>
      </c>
      <c r="S151" s="103">
        <v>0</v>
      </c>
      <c r="T151" s="103">
        <v>0</v>
      </c>
      <c r="U151" s="103">
        <v>0</v>
      </c>
      <c r="V151" s="103">
        <v>0</v>
      </c>
      <c r="W151" s="103">
        <v>0</v>
      </c>
      <c r="X151" s="103">
        <v>0</v>
      </c>
      <c r="Y151" s="103">
        <v>0</v>
      </c>
      <c r="Z151" s="103">
        <v>0</v>
      </c>
      <c r="AA151" s="103">
        <v>0</v>
      </c>
      <c r="AB151" s="103">
        <v>0</v>
      </c>
      <c r="AC151" s="103">
        <v>0</v>
      </c>
      <c r="AD151" s="103">
        <v>0</v>
      </c>
      <c r="AE151" s="103">
        <v>0</v>
      </c>
      <c r="AF151" s="103">
        <v>0</v>
      </c>
      <c r="AG151" s="103">
        <v>0</v>
      </c>
      <c r="AH151" s="103">
        <v>0</v>
      </c>
      <c r="AI151" s="103">
        <v>0</v>
      </c>
      <c r="AJ151" s="103">
        <v>0</v>
      </c>
      <c r="AK151" s="103">
        <v>0</v>
      </c>
      <c r="AL151" s="103">
        <v>0</v>
      </c>
      <c r="AM151" s="103">
        <v>0</v>
      </c>
      <c r="AN151" s="103">
        <v>0</v>
      </c>
      <c r="AO151" s="103">
        <v>0</v>
      </c>
      <c r="AP151" s="103">
        <v>0</v>
      </c>
      <c r="AQ151" s="103">
        <v>0</v>
      </c>
      <c r="AR151" s="103">
        <v>0</v>
      </c>
      <c r="AS151" s="103">
        <v>0</v>
      </c>
      <c r="AT151" s="103">
        <v>0</v>
      </c>
      <c r="AU151" s="103">
        <v>0</v>
      </c>
      <c r="AV151" s="103">
        <v>0</v>
      </c>
      <c r="AW151" s="103">
        <v>0</v>
      </c>
      <c r="AX151" s="103">
        <v>0</v>
      </c>
      <c r="AY151" s="103">
        <v>0</v>
      </c>
    </row>
    <row r="152" spans="1:51" x14ac:dyDescent="0.15">
      <c r="A152" s="106"/>
      <c r="B152" s="124">
        <v>31</v>
      </c>
      <c r="C152" s="103"/>
      <c r="D152" s="103">
        <v>0</v>
      </c>
      <c r="E152" s="103">
        <v>0</v>
      </c>
      <c r="F152" s="103">
        <v>0</v>
      </c>
      <c r="G152" s="103">
        <v>0</v>
      </c>
      <c r="H152" s="103">
        <v>0</v>
      </c>
      <c r="I152" s="103">
        <v>0</v>
      </c>
      <c r="J152" s="103">
        <v>0</v>
      </c>
      <c r="K152" s="103">
        <v>0</v>
      </c>
      <c r="L152" s="103">
        <v>0</v>
      </c>
      <c r="M152" s="103">
        <v>0</v>
      </c>
      <c r="N152" s="103">
        <v>0</v>
      </c>
      <c r="O152" s="103">
        <v>0</v>
      </c>
      <c r="P152" s="103">
        <v>0</v>
      </c>
      <c r="Q152" s="103">
        <v>0</v>
      </c>
      <c r="R152" s="103">
        <v>0</v>
      </c>
      <c r="S152" s="103">
        <v>0</v>
      </c>
      <c r="T152" s="103">
        <v>0</v>
      </c>
      <c r="U152" s="103">
        <v>0</v>
      </c>
      <c r="V152" s="103">
        <v>0</v>
      </c>
      <c r="W152" s="103">
        <v>0</v>
      </c>
      <c r="X152" s="103">
        <v>0</v>
      </c>
      <c r="Y152" s="103">
        <v>0</v>
      </c>
      <c r="Z152" s="103">
        <v>0</v>
      </c>
      <c r="AA152" s="103">
        <v>0</v>
      </c>
      <c r="AB152" s="103">
        <v>0</v>
      </c>
      <c r="AC152" s="103">
        <v>0</v>
      </c>
      <c r="AD152" s="103">
        <v>0</v>
      </c>
      <c r="AE152" s="103">
        <v>0</v>
      </c>
      <c r="AF152" s="103">
        <v>0</v>
      </c>
      <c r="AG152" s="103">
        <v>0</v>
      </c>
      <c r="AH152" s="103">
        <v>0</v>
      </c>
      <c r="AI152" s="103">
        <v>0</v>
      </c>
      <c r="AJ152" s="103">
        <v>0</v>
      </c>
      <c r="AK152" s="103">
        <v>0</v>
      </c>
      <c r="AL152" s="103">
        <v>0</v>
      </c>
      <c r="AM152" s="103">
        <v>0</v>
      </c>
      <c r="AN152" s="103">
        <v>0</v>
      </c>
      <c r="AO152" s="103">
        <v>0</v>
      </c>
      <c r="AP152" s="103">
        <v>0</v>
      </c>
      <c r="AQ152" s="103">
        <v>0</v>
      </c>
      <c r="AR152" s="103">
        <v>0</v>
      </c>
      <c r="AS152" s="103">
        <v>0</v>
      </c>
      <c r="AT152" s="103">
        <v>0</v>
      </c>
      <c r="AU152" s="103">
        <v>0</v>
      </c>
      <c r="AV152" s="103">
        <v>0</v>
      </c>
      <c r="AW152" s="103">
        <v>0</v>
      </c>
      <c r="AX152" s="103">
        <v>0</v>
      </c>
      <c r="AY152" s="103">
        <v>0</v>
      </c>
    </row>
    <row r="153" spans="1:51" x14ac:dyDescent="0.15">
      <c r="A153" s="106"/>
      <c r="B153" s="124">
        <v>32</v>
      </c>
      <c r="C153" s="103"/>
      <c r="D153" s="103">
        <v>0</v>
      </c>
      <c r="E153" s="103">
        <v>0</v>
      </c>
      <c r="F153" s="103">
        <v>0</v>
      </c>
      <c r="G153" s="103">
        <v>0</v>
      </c>
      <c r="H153" s="103">
        <v>0</v>
      </c>
      <c r="I153" s="103">
        <v>0</v>
      </c>
      <c r="J153" s="103">
        <v>0</v>
      </c>
      <c r="K153" s="103">
        <v>0</v>
      </c>
      <c r="L153" s="103">
        <v>0</v>
      </c>
      <c r="M153" s="103">
        <v>0</v>
      </c>
      <c r="N153" s="103">
        <v>0</v>
      </c>
      <c r="O153" s="103">
        <v>0</v>
      </c>
      <c r="P153" s="103">
        <v>0</v>
      </c>
      <c r="Q153" s="103">
        <v>0</v>
      </c>
      <c r="R153" s="103">
        <v>0</v>
      </c>
      <c r="S153" s="103">
        <v>0</v>
      </c>
      <c r="T153" s="103">
        <v>0</v>
      </c>
      <c r="U153" s="103">
        <v>0</v>
      </c>
      <c r="V153" s="103">
        <v>0</v>
      </c>
      <c r="W153" s="103">
        <v>0</v>
      </c>
      <c r="X153" s="103">
        <v>0</v>
      </c>
      <c r="Y153" s="103">
        <v>0</v>
      </c>
      <c r="Z153" s="103">
        <v>0</v>
      </c>
      <c r="AA153" s="103">
        <v>0</v>
      </c>
      <c r="AB153" s="103">
        <v>0</v>
      </c>
      <c r="AC153" s="103">
        <v>0</v>
      </c>
      <c r="AD153" s="103">
        <v>0</v>
      </c>
      <c r="AE153" s="103">
        <v>0</v>
      </c>
      <c r="AF153" s="103">
        <v>0</v>
      </c>
      <c r="AG153" s="103">
        <v>0</v>
      </c>
      <c r="AH153" s="103">
        <v>0</v>
      </c>
      <c r="AI153" s="103">
        <v>0</v>
      </c>
      <c r="AJ153" s="103">
        <v>0</v>
      </c>
      <c r="AK153" s="103">
        <v>0</v>
      </c>
      <c r="AL153" s="103">
        <v>0</v>
      </c>
      <c r="AM153" s="103">
        <v>0</v>
      </c>
      <c r="AN153" s="103">
        <v>0</v>
      </c>
      <c r="AO153" s="103">
        <v>0</v>
      </c>
      <c r="AP153" s="103">
        <v>0</v>
      </c>
      <c r="AQ153" s="103">
        <v>0</v>
      </c>
      <c r="AR153" s="103">
        <v>0</v>
      </c>
      <c r="AS153" s="103">
        <v>0</v>
      </c>
      <c r="AT153" s="103">
        <v>0</v>
      </c>
      <c r="AU153" s="103">
        <v>0</v>
      </c>
      <c r="AV153" s="103">
        <v>0</v>
      </c>
      <c r="AW153" s="103">
        <v>0</v>
      </c>
      <c r="AX153" s="103">
        <v>0</v>
      </c>
      <c r="AY153" s="103">
        <v>0</v>
      </c>
    </row>
    <row r="154" spans="1:51" x14ac:dyDescent="0.15">
      <c r="A154" s="106"/>
      <c r="B154" s="124">
        <v>33</v>
      </c>
      <c r="C154" s="103"/>
      <c r="D154" s="103">
        <v>0</v>
      </c>
      <c r="E154" s="103">
        <v>0</v>
      </c>
      <c r="F154" s="103">
        <v>0</v>
      </c>
      <c r="G154" s="103">
        <v>0</v>
      </c>
      <c r="H154" s="103">
        <v>0</v>
      </c>
      <c r="I154" s="103">
        <v>0</v>
      </c>
      <c r="J154" s="103">
        <v>0</v>
      </c>
      <c r="K154" s="103">
        <v>0</v>
      </c>
      <c r="L154" s="103">
        <v>0</v>
      </c>
      <c r="M154" s="103">
        <v>0</v>
      </c>
      <c r="N154" s="103">
        <v>0</v>
      </c>
      <c r="O154" s="103">
        <v>0</v>
      </c>
      <c r="P154" s="103">
        <v>0</v>
      </c>
      <c r="Q154" s="103">
        <v>0</v>
      </c>
      <c r="R154" s="103">
        <v>0</v>
      </c>
      <c r="S154" s="103">
        <v>0</v>
      </c>
      <c r="T154" s="103">
        <v>0</v>
      </c>
      <c r="U154" s="103">
        <v>0</v>
      </c>
      <c r="V154" s="103">
        <v>0</v>
      </c>
      <c r="W154" s="103">
        <v>0</v>
      </c>
      <c r="X154" s="103">
        <v>0</v>
      </c>
      <c r="Y154" s="103">
        <v>0</v>
      </c>
      <c r="Z154" s="103">
        <v>0</v>
      </c>
      <c r="AA154" s="103">
        <v>0</v>
      </c>
      <c r="AB154" s="103">
        <v>0</v>
      </c>
      <c r="AC154" s="103">
        <v>0</v>
      </c>
      <c r="AD154" s="103">
        <v>0</v>
      </c>
      <c r="AE154" s="103">
        <v>0</v>
      </c>
      <c r="AF154" s="103">
        <v>0</v>
      </c>
      <c r="AG154" s="103">
        <v>0</v>
      </c>
      <c r="AH154" s="103">
        <v>0</v>
      </c>
      <c r="AI154" s="103">
        <v>0</v>
      </c>
      <c r="AJ154" s="103">
        <v>0</v>
      </c>
      <c r="AK154" s="103">
        <v>0</v>
      </c>
      <c r="AL154" s="103">
        <v>0</v>
      </c>
      <c r="AM154" s="103">
        <v>0</v>
      </c>
      <c r="AN154" s="103">
        <v>0</v>
      </c>
      <c r="AO154" s="103">
        <v>0</v>
      </c>
      <c r="AP154" s="103">
        <v>0</v>
      </c>
      <c r="AQ154" s="103">
        <v>0</v>
      </c>
      <c r="AR154" s="103">
        <v>0</v>
      </c>
      <c r="AS154" s="103">
        <v>0</v>
      </c>
      <c r="AT154" s="103">
        <v>0</v>
      </c>
      <c r="AU154" s="103">
        <v>0</v>
      </c>
      <c r="AV154" s="103">
        <v>0</v>
      </c>
      <c r="AW154" s="103">
        <v>0</v>
      </c>
      <c r="AX154" s="103">
        <v>0</v>
      </c>
      <c r="AY154" s="103">
        <v>0</v>
      </c>
    </row>
    <row r="155" spans="1:51" x14ac:dyDescent="0.15">
      <c r="A155" s="106"/>
      <c r="B155" s="124">
        <v>34</v>
      </c>
      <c r="C155" s="103"/>
      <c r="D155" s="103">
        <v>0</v>
      </c>
      <c r="E155" s="103">
        <v>0</v>
      </c>
      <c r="F155" s="103">
        <v>0</v>
      </c>
      <c r="G155" s="103">
        <v>0</v>
      </c>
      <c r="H155" s="103">
        <v>0</v>
      </c>
      <c r="I155" s="103">
        <v>0</v>
      </c>
      <c r="J155" s="103">
        <v>0</v>
      </c>
      <c r="K155" s="103">
        <v>0</v>
      </c>
      <c r="L155" s="103">
        <v>0</v>
      </c>
      <c r="M155" s="103">
        <v>0</v>
      </c>
      <c r="N155" s="103">
        <v>0</v>
      </c>
      <c r="O155" s="103">
        <v>0</v>
      </c>
      <c r="P155" s="103">
        <v>0</v>
      </c>
      <c r="Q155" s="103">
        <v>0</v>
      </c>
      <c r="R155" s="103">
        <v>0</v>
      </c>
      <c r="S155" s="103">
        <v>0</v>
      </c>
      <c r="T155" s="103">
        <v>0</v>
      </c>
      <c r="U155" s="103">
        <v>0</v>
      </c>
      <c r="V155" s="103">
        <v>0</v>
      </c>
      <c r="W155" s="103">
        <v>0</v>
      </c>
      <c r="X155" s="103">
        <v>0</v>
      </c>
      <c r="Y155" s="103">
        <v>0</v>
      </c>
      <c r="Z155" s="103">
        <v>0</v>
      </c>
      <c r="AA155" s="103">
        <v>0</v>
      </c>
      <c r="AB155" s="103">
        <v>0</v>
      </c>
      <c r="AC155" s="103">
        <v>0</v>
      </c>
      <c r="AD155" s="103">
        <v>0</v>
      </c>
      <c r="AE155" s="103">
        <v>0</v>
      </c>
      <c r="AF155" s="103">
        <v>0</v>
      </c>
      <c r="AG155" s="103">
        <v>0</v>
      </c>
      <c r="AH155" s="103">
        <v>0</v>
      </c>
      <c r="AI155" s="103">
        <v>0</v>
      </c>
      <c r="AJ155" s="103">
        <v>0</v>
      </c>
      <c r="AK155" s="103">
        <v>0</v>
      </c>
      <c r="AL155" s="103">
        <v>0</v>
      </c>
      <c r="AM155" s="103">
        <v>0</v>
      </c>
      <c r="AN155" s="103">
        <v>0</v>
      </c>
      <c r="AO155" s="103">
        <v>0</v>
      </c>
      <c r="AP155" s="103">
        <v>0</v>
      </c>
      <c r="AQ155" s="103">
        <v>0</v>
      </c>
      <c r="AR155" s="103">
        <v>0</v>
      </c>
      <c r="AS155" s="103">
        <v>0</v>
      </c>
      <c r="AT155" s="103">
        <v>0</v>
      </c>
      <c r="AU155" s="103">
        <v>0</v>
      </c>
      <c r="AV155" s="103">
        <v>0</v>
      </c>
      <c r="AW155" s="103">
        <v>0</v>
      </c>
      <c r="AX155" s="103">
        <v>0</v>
      </c>
      <c r="AY155" s="103">
        <v>0</v>
      </c>
    </row>
    <row r="156" spans="1:51" x14ac:dyDescent="0.15">
      <c r="A156" s="106"/>
      <c r="B156" s="124">
        <v>35</v>
      </c>
      <c r="C156" s="103"/>
      <c r="D156" s="103">
        <v>0</v>
      </c>
      <c r="E156" s="103">
        <v>0</v>
      </c>
      <c r="F156" s="103">
        <v>0</v>
      </c>
      <c r="G156" s="103">
        <v>0</v>
      </c>
      <c r="H156" s="103">
        <v>0</v>
      </c>
      <c r="I156" s="103">
        <v>0</v>
      </c>
      <c r="J156" s="103">
        <v>0</v>
      </c>
      <c r="K156" s="103">
        <v>0</v>
      </c>
      <c r="L156" s="103">
        <v>0</v>
      </c>
      <c r="M156" s="103">
        <v>0</v>
      </c>
      <c r="N156" s="103">
        <v>0</v>
      </c>
      <c r="O156" s="103">
        <v>0</v>
      </c>
      <c r="P156" s="103">
        <v>0</v>
      </c>
      <c r="Q156" s="103">
        <v>0</v>
      </c>
      <c r="R156" s="103">
        <v>0</v>
      </c>
      <c r="S156" s="103">
        <v>0</v>
      </c>
      <c r="T156" s="103">
        <v>0</v>
      </c>
      <c r="U156" s="103">
        <v>0</v>
      </c>
      <c r="V156" s="103">
        <v>0</v>
      </c>
      <c r="W156" s="103">
        <v>0</v>
      </c>
      <c r="X156" s="103">
        <v>0</v>
      </c>
      <c r="Y156" s="103">
        <v>0</v>
      </c>
      <c r="Z156" s="103">
        <v>0</v>
      </c>
      <c r="AA156" s="103">
        <v>0</v>
      </c>
      <c r="AB156" s="103">
        <v>0</v>
      </c>
      <c r="AC156" s="103">
        <v>0</v>
      </c>
      <c r="AD156" s="103">
        <v>0</v>
      </c>
      <c r="AE156" s="103">
        <v>0</v>
      </c>
      <c r="AF156" s="103">
        <v>0</v>
      </c>
      <c r="AG156" s="103">
        <v>0</v>
      </c>
      <c r="AH156" s="103">
        <v>0</v>
      </c>
      <c r="AI156" s="103">
        <v>0</v>
      </c>
      <c r="AJ156" s="103">
        <v>0</v>
      </c>
      <c r="AK156" s="103">
        <v>0</v>
      </c>
      <c r="AL156" s="103">
        <v>0</v>
      </c>
      <c r="AM156" s="103">
        <v>0</v>
      </c>
      <c r="AN156" s="103">
        <v>0</v>
      </c>
      <c r="AO156" s="103">
        <v>0</v>
      </c>
      <c r="AP156" s="103">
        <v>0</v>
      </c>
      <c r="AQ156" s="103">
        <v>0</v>
      </c>
      <c r="AR156" s="103">
        <v>0</v>
      </c>
      <c r="AS156" s="103">
        <v>0</v>
      </c>
      <c r="AT156" s="103">
        <v>0</v>
      </c>
      <c r="AU156" s="103">
        <v>0</v>
      </c>
      <c r="AV156" s="103">
        <v>0</v>
      </c>
      <c r="AW156" s="103">
        <v>0</v>
      </c>
      <c r="AX156" s="103">
        <v>0</v>
      </c>
      <c r="AY156" s="103">
        <v>0</v>
      </c>
    </row>
    <row r="157" spans="1:51" x14ac:dyDescent="0.15">
      <c r="A157" s="106"/>
      <c r="B157" s="124">
        <v>36</v>
      </c>
      <c r="C157" s="103"/>
      <c r="D157" s="103">
        <v>0</v>
      </c>
      <c r="E157" s="103">
        <v>0</v>
      </c>
      <c r="F157" s="103">
        <v>0</v>
      </c>
      <c r="G157" s="103">
        <v>0</v>
      </c>
      <c r="H157" s="103">
        <v>0</v>
      </c>
      <c r="I157" s="103">
        <v>0</v>
      </c>
      <c r="J157" s="103">
        <v>0</v>
      </c>
      <c r="K157" s="103">
        <v>0</v>
      </c>
      <c r="L157" s="103">
        <v>0</v>
      </c>
      <c r="M157" s="103">
        <v>0</v>
      </c>
      <c r="N157" s="103">
        <v>0</v>
      </c>
      <c r="O157" s="103">
        <v>0</v>
      </c>
      <c r="P157" s="103">
        <v>0</v>
      </c>
      <c r="Q157" s="103">
        <v>0</v>
      </c>
      <c r="R157" s="103">
        <v>0</v>
      </c>
      <c r="S157" s="103">
        <v>0</v>
      </c>
      <c r="T157" s="103">
        <v>0</v>
      </c>
      <c r="U157" s="103">
        <v>0</v>
      </c>
      <c r="V157" s="103">
        <v>0</v>
      </c>
      <c r="W157" s="103">
        <v>0</v>
      </c>
      <c r="X157" s="103">
        <v>0</v>
      </c>
      <c r="Y157" s="103">
        <v>0</v>
      </c>
      <c r="Z157" s="103">
        <v>0</v>
      </c>
      <c r="AA157" s="103">
        <v>0</v>
      </c>
      <c r="AB157" s="103">
        <v>0</v>
      </c>
      <c r="AC157" s="103">
        <v>0</v>
      </c>
      <c r="AD157" s="103">
        <v>0</v>
      </c>
      <c r="AE157" s="103">
        <v>0</v>
      </c>
      <c r="AF157" s="103">
        <v>0</v>
      </c>
      <c r="AG157" s="103">
        <v>0</v>
      </c>
      <c r="AH157" s="103">
        <v>0</v>
      </c>
      <c r="AI157" s="103">
        <v>0</v>
      </c>
      <c r="AJ157" s="103">
        <v>0</v>
      </c>
      <c r="AK157" s="103">
        <v>0</v>
      </c>
      <c r="AL157" s="103">
        <v>0</v>
      </c>
      <c r="AM157" s="103">
        <v>0</v>
      </c>
      <c r="AN157" s="103">
        <v>0</v>
      </c>
      <c r="AO157" s="103">
        <v>0</v>
      </c>
      <c r="AP157" s="103">
        <v>0</v>
      </c>
      <c r="AQ157" s="103">
        <v>0</v>
      </c>
      <c r="AR157" s="103">
        <v>0</v>
      </c>
      <c r="AS157" s="103">
        <v>0</v>
      </c>
      <c r="AT157" s="103">
        <v>0</v>
      </c>
      <c r="AU157" s="103">
        <v>0</v>
      </c>
      <c r="AV157" s="103">
        <v>0</v>
      </c>
      <c r="AW157" s="103">
        <v>0</v>
      </c>
      <c r="AX157" s="103">
        <v>0</v>
      </c>
      <c r="AY157" s="103">
        <v>0</v>
      </c>
    </row>
    <row r="158" spans="1:51" x14ac:dyDescent="0.15">
      <c r="A158" s="106"/>
      <c r="B158" s="127">
        <v>37</v>
      </c>
      <c r="C158" s="103"/>
      <c r="D158" s="103">
        <v>0</v>
      </c>
      <c r="E158" s="103">
        <v>0</v>
      </c>
      <c r="F158" s="103">
        <v>0</v>
      </c>
      <c r="G158" s="103">
        <v>0</v>
      </c>
      <c r="H158" s="103">
        <v>0</v>
      </c>
      <c r="I158" s="103">
        <v>0</v>
      </c>
      <c r="J158" s="103">
        <v>0</v>
      </c>
      <c r="K158" s="103">
        <v>0</v>
      </c>
      <c r="L158" s="103">
        <v>0</v>
      </c>
      <c r="M158" s="103">
        <v>0</v>
      </c>
      <c r="N158" s="103">
        <v>0</v>
      </c>
      <c r="O158" s="103">
        <v>0</v>
      </c>
      <c r="P158" s="103">
        <v>0</v>
      </c>
      <c r="Q158" s="103">
        <v>0</v>
      </c>
      <c r="R158" s="103">
        <v>0</v>
      </c>
      <c r="S158" s="103">
        <v>0</v>
      </c>
      <c r="T158" s="103">
        <v>0</v>
      </c>
      <c r="U158" s="103">
        <v>0</v>
      </c>
      <c r="V158" s="103">
        <v>0</v>
      </c>
      <c r="W158" s="103">
        <v>0</v>
      </c>
      <c r="X158" s="103">
        <v>0</v>
      </c>
      <c r="Y158" s="103">
        <v>0</v>
      </c>
      <c r="Z158" s="103">
        <v>0</v>
      </c>
      <c r="AA158" s="103">
        <v>0</v>
      </c>
      <c r="AB158" s="103">
        <v>0</v>
      </c>
      <c r="AC158" s="103">
        <v>0</v>
      </c>
      <c r="AD158" s="103">
        <v>0</v>
      </c>
      <c r="AE158" s="103">
        <v>0</v>
      </c>
      <c r="AF158" s="103">
        <v>0</v>
      </c>
      <c r="AG158" s="103">
        <v>0</v>
      </c>
      <c r="AH158" s="103">
        <v>0</v>
      </c>
      <c r="AI158" s="103">
        <v>0</v>
      </c>
      <c r="AJ158" s="103">
        <v>0</v>
      </c>
      <c r="AK158" s="103">
        <v>0</v>
      </c>
      <c r="AL158" s="103">
        <v>0</v>
      </c>
      <c r="AM158" s="103">
        <v>0</v>
      </c>
      <c r="AN158" s="103">
        <v>0</v>
      </c>
      <c r="AO158" s="103">
        <v>0</v>
      </c>
      <c r="AP158" s="103">
        <v>0</v>
      </c>
      <c r="AQ158" s="103">
        <v>0</v>
      </c>
      <c r="AR158" s="103">
        <v>0</v>
      </c>
      <c r="AS158" s="103">
        <v>0</v>
      </c>
      <c r="AT158" s="103">
        <v>0</v>
      </c>
      <c r="AU158" s="103">
        <v>0</v>
      </c>
      <c r="AV158" s="103">
        <v>0</v>
      </c>
      <c r="AW158" s="103">
        <v>0</v>
      </c>
      <c r="AX158" s="103">
        <v>0</v>
      </c>
      <c r="AY158" s="103">
        <v>0</v>
      </c>
    </row>
    <row r="159" spans="1:51" x14ac:dyDescent="0.15">
      <c r="A159" s="106"/>
      <c r="B159" s="127">
        <v>38</v>
      </c>
      <c r="C159" s="103"/>
      <c r="D159" s="103">
        <v>0</v>
      </c>
      <c r="E159" s="103">
        <v>0</v>
      </c>
      <c r="F159" s="103">
        <v>0</v>
      </c>
      <c r="G159" s="103">
        <v>0</v>
      </c>
      <c r="H159" s="103">
        <v>0</v>
      </c>
      <c r="I159" s="103">
        <v>0</v>
      </c>
      <c r="J159" s="103">
        <v>0</v>
      </c>
      <c r="K159" s="103">
        <v>0</v>
      </c>
      <c r="L159" s="103">
        <v>0</v>
      </c>
      <c r="M159" s="103">
        <v>0</v>
      </c>
      <c r="N159" s="103">
        <v>0</v>
      </c>
      <c r="O159" s="103">
        <v>0</v>
      </c>
      <c r="P159" s="103">
        <v>0</v>
      </c>
      <c r="Q159" s="103">
        <v>0</v>
      </c>
      <c r="R159" s="103">
        <v>0</v>
      </c>
      <c r="S159" s="103">
        <v>0</v>
      </c>
      <c r="T159" s="103">
        <v>0</v>
      </c>
      <c r="U159" s="103">
        <v>0</v>
      </c>
      <c r="V159" s="103">
        <v>0</v>
      </c>
      <c r="W159" s="103">
        <v>0</v>
      </c>
      <c r="X159" s="103">
        <v>0</v>
      </c>
      <c r="Y159" s="103">
        <v>0</v>
      </c>
      <c r="Z159" s="103">
        <v>0</v>
      </c>
      <c r="AA159" s="103">
        <v>0</v>
      </c>
      <c r="AB159" s="103">
        <v>0</v>
      </c>
      <c r="AC159" s="103">
        <v>0</v>
      </c>
      <c r="AD159" s="103">
        <v>0</v>
      </c>
      <c r="AE159" s="103">
        <v>0</v>
      </c>
      <c r="AF159" s="103">
        <v>0</v>
      </c>
      <c r="AG159" s="103">
        <v>0</v>
      </c>
      <c r="AH159" s="103">
        <v>0</v>
      </c>
      <c r="AI159" s="103">
        <v>0</v>
      </c>
      <c r="AJ159" s="103">
        <v>0</v>
      </c>
      <c r="AK159" s="103">
        <v>0</v>
      </c>
      <c r="AL159" s="103">
        <v>0</v>
      </c>
      <c r="AM159" s="103">
        <v>0</v>
      </c>
      <c r="AN159" s="103">
        <v>0</v>
      </c>
      <c r="AO159" s="103">
        <v>0</v>
      </c>
      <c r="AP159" s="103">
        <v>0</v>
      </c>
      <c r="AQ159" s="103">
        <v>0</v>
      </c>
      <c r="AR159" s="103">
        <v>0</v>
      </c>
      <c r="AS159" s="103">
        <v>0</v>
      </c>
      <c r="AT159" s="103">
        <v>0</v>
      </c>
      <c r="AU159" s="103">
        <v>0</v>
      </c>
      <c r="AV159" s="103">
        <v>0</v>
      </c>
      <c r="AW159" s="103">
        <v>0</v>
      </c>
      <c r="AX159" s="103">
        <v>0</v>
      </c>
      <c r="AY159" s="103">
        <v>0</v>
      </c>
    </row>
    <row r="160" spans="1:51" x14ac:dyDescent="0.15">
      <c r="A160" s="106"/>
      <c r="B160" s="127">
        <v>39</v>
      </c>
      <c r="C160" s="103"/>
      <c r="D160" s="103">
        <v>0</v>
      </c>
      <c r="E160" s="103">
        <v>0</v>
      </c>
      <c r="F160" s="103">
        <v>0</v>
      </c>
      <c r="G160" s="103">
        <v>0</v>
      </c>
      <c r="H160" s="103">
        <v>0</v>
      </c>
      <c r="I160" s="103">
        <v>0</v>
      </c>
      <c r="J160" s="103">
        <v>0</v>
      </c>
      <c r="K160" s="103">
        <v>0</v>
      </c>
      <c r="L160" s="103">
        <v>0</v>
      </c>
      <c r="M160" s="103">
        <v>0</v>
      </c>
      <c r="N160" s="103">
        <v>0</v>
      </c>
      <c r="O160" s="103">
        <v>0</v>
      </c>
      <c r="P160" s="103">
        <v>0</v>
      </c>
      <c r="Q160" s="103">
        <v>0</v>
      </c>
      <c r="R160" s="103">
        <v>0</v>
      </c>
      <c r="S160" s="103">
        <v>0</v>
      </c>
      <c r="T160" s="103">
        <v>0</v>
      </c>
      <c r="U160" s="103">
        <v>0</v>
      </c>
      <c r="V160" s="103">
        <v>0</v>
      </c>
      <c r="W160" s="103">
        <v>0</v>
      </c>
      <c r="X160" s="103">
        <v>0</v>
      </c>
      <c r="Y160" s="103">
        <v>0</v>
      </c>
      <c r="Z160" s="103">
        <v>0</v>
      </c>
      <c r="AA160" s="103">
        <v>0</v>
      </c>
      <c r="AB160" s="103">
        <v>0</v>
      </c>
      <c r="AC160" s="103">
        <v>0</v>
      </c>
      <c r="AD160" s="103">
        <v>0</v>
      </c>
      <c r="AE160" s="103">
        <v>0</v>
      </c>
      <c r="AF160" s="103">
        <v>0</v>
      </c>
      <c r="AG160" s="103">
        <v>0</v>
      </c>
      <c r="AH160" s="103">
        <v>0</v>
      </c>
      <c r="AI160" s="103">
        <v>0</v>
      </c>
      <c r="AJ160" s="103">
        <v>0</v>
      </c>
      <c r="AK160" s="103">
        <v>0</v>
      </c>
      <c r="AL160" s="103">
        <v>0</v>
      </c>
      <c r="AM160" s="103">
        <v>0</v>
      </c>
      <c r="AN160" s="103">
        <v>0</v>
      </c>
      <c r="AO160" s="103">
        <v>0</v>
      </c>
      <c r="AP160" s="103">
        <v>0</v>
      </c>
      <c r="AQ160" s="103">
        <v>0</v>
      </c>
      <c r="AR160" s="103">
        <v>0</v>
      </c>
      <c r="AS160" s="103">
        <v>0</v>
      </c>
      <c r="AT160" s="103">
        <v>0</v>
      </c>
      <c r="AU160" s="103">
        <v>0</v>
      </c>
      <c r="AV160" s="103">
        <v>0</v>
      </c>
      <c r="AW160" s="103">
        <v>0</v>
      </c>
      <c r="AX160" s="103">
        <v>0</v>
      </c>
      <c r="AY160" s="103">
        <v>0</v>
      </c>
    </row>
    <row r="161" spans="1:52" x14ac:dyDescent="0.15">
      <c r="A161" s="106"/>
      <c r="B161" s="127">
        <v>40</v>
      </c>
      <c r="C161" s="103"/>
      <c r="D161" s="103">
        <v>0</v>
      </c>
      <c r="E161" s="103">
        <v>0</v>
      </c>
      <c r="F161" s="103">
        <v>0</v>
      </c>
      <c r="G161" s="103">
        <v>0</v>
      </c>
      <c r="H161" s="103">
        <v>0</v>
      </c>
      <c r="I161" s="103">
        <v>0</v>
      </c>
      <c r="J161" s="103">
        <v>0</v>
      </c>
      <c r="K161" s="103">
        <v>0</v>
      </c>
      <c r="L161" s="103">
        <v>0</v>
      </c>
      <c r="M161" s="103">
        <v>0</v>
      </c>
      <c r="N161" s="103">
        <v>0</v>
      </c>
      <c r="O161" s="103">
        <v>0</v>
      </c>
      <c r="P161" s="103">
        <v>0</v>
      </c>
      <c r="Q161" s="103">
        <v>0</v>
      </c>
      <c r="R161" s="103">
        <v>0</v>
      </c>
      <c r="S161" s="103">
        <v>0</v>
      </c>
      <c r="T161" s="103">
        <v>0</v>
      </c>
      <c r="U161" s="103">
        <v>0</v>
      </c>
      <c r="V161" s="103">
        <v>0</v>
      </c>
      <c r="W161" s="103">
        <v>0</v>
      </c>
      <c r="X161" s="103">
        <v>0</v>
      </c>
      <c r="Y161" s="103">
        <v>0</v>
      </c>
      <c r="Z161" s="103">
        <v>0</v>
      </c>
      <c r="AA161" s="103">
        <v>0</v>
      </c>
      <c r="AB161" s="103">
        <v>0</v>
      </c>
      <c r="AC161" s="103">
        <v>0</v>
      </c>
      <c r="AD161" s="103">
        <v>0</v>
      </c>
      <c r="AE161" s="103">
        <v>0</v>
      </c>
      <c r="AF161" s="103">
        <v>0</v>
      </c>
      <c r="AG161" s="103">
        <v>0</v>
      </c>
      <c r="AH161" s="103">
        <v>0</v>
      </c>
      <c r="AI161" s="103">
        <v>0</v>
      </c>
      <c r="AJ161" s="103">
        <v>0</v>
      </c>
      <c r="AK161" s="103">
        <v>0</v>
      </c>
      <c r="AL161" s="103">
        <v>0</v>
      </c>
      <c r="AM161" s="103">
        <v>0</v>
      </c>
      <c r="AN161" s="103">
        <v>0</v>
      </c>
      <c r="AO161" s="103">
        <v>0</v>
      </c>
      <c r="AP161" s="103">
        <v>0</v>
      </c>
      <c r="AQ161" s="103">
        <v>0</v>
      </c>
      <c r="AR161" s="103">
        <v>0</v>
      </c>
      <c r="AS161" s="103">
        <v>0</v>
      </c>
      <c r="AT161" s="103">
        <v>0</v>
      </c>
      <c r="AU161" s="103">
        <v>0</v>
      </c>
      <c r="AV161" s="103">
        <v>0</v>
      </c>
      <c r="AW161" s="103">
        <v>0</v>
      </c>
      <c r="AX161" s="103">
        <v>0</v>
      </c>
      <c r="AY161" s="103">
        <v>0</v>
      </c>
    </row>
    <row r="162" spans="1:52" x14ac:dyDescent="0.15">
      <c r="A162" s="106"/>
      <c r="B162" s="127">
        <v>41</v>
      </c>
      <c r="C162" s="103"/>
      <c r="D162" s="103">
        <v>0</v>
      </c>
      <c r="E162" s="103">
        <v>0</v>
      </c>
      <c r="F162" s="103">
        <v>0</v>
      </c>
      <c r="G162" s="103">
        <v>0</v>
      </c>
      <c r="H162" s="103">
        <v>0</v>
      </c>
      <c r="I162" s="103">
        <v>0</v>
      </c>
      <c r="J162" s="103">
        <v>0</v>
      </c>
      <c r="K162" s="103">
        <v>0</v>
      </c>
      <c r="L162" s="103">
        <v>0</v>
      </c>
      <c r="M162" s="103">
        <v>0</v>
      </c>
      <c r="N162" s="103">
        <v>0</v>
      </c>
      <c r="O162" s="103">
        <v>0</v>
      </c>
      <c r="P162" s="103">
        <v>0</v>
      </c>
      <c r="Q162" s="103">
        <v>0</v>
      </c>
      <c r="R162" s="103">
        <v>0</v>
      </c>
      <c r="S162" s="103">
        <v>0</v>
      </c>
      <c r="T162" s="103">
        <v>0</v>
      </c>
      <c r="U162" s="103">
        <v>0</v>
      </c>
      <c r="V162" s="103">
        <v>0</v>
      </c>
      <c r="W162" s="103">
        <v>0</v>
      </c>
      <c r="X162" s="103">
        <v>0</v>
      </c>
      <c r="Y162" s="103">
        <v>0</v>
      </c>
      <c r="Z162" s="103">
        <v>0</v>
      </c>
      <c r="AA162" s="103">
        <v>0</v>
      </c>
      <c r="AB162" s="103">
        <v>0</v>
      </c>
      <c r="AC162" s="103">
        <v>0</v>
      </c>
      <c r="AD162" s="103">
        <v>0</v>
      </c>
      <c r="AE162" s="103">
        <v>0</v>
      </c>
      <c r="AF162" s="103">
        <v>0</v>
      </c>
      <c r="AG162" s="103">
        <v>0</v>
      </c>
      <c r="AH162" s="103">
        <v>0</v>
      </c>
      <c r="AI162" s="103">
        <v>0</v>
      </c>
      <c r="AJ162" s="103">
        <v>0</v>
      </c>
      <c r="AK162" s="103">
        <v>0</v>
      </c>
      <c r="AL162" s="103">
        <v>0</v>
      </c>
      <c r="AM162" s="103">
        <v>0</v>
      </c>
      <c r="AN162" s="103">
        <v>0</v>
      </c>
      <c r="AO162" s="103">
        <v>0</v>
      </c>
      <c r="AP162" s="103">
        <v>0</v>
      </c>
      <c r="AQ162" s="103">
        <v>0</v>
      </c>
      <c r="AR162" s="103">
        <v>0</v>
      </c>
      <c r="AS162" s="103">
        <v>0</v>
      </c>
      <c r="AT162" s="103">
        <v>0</v>
      </c>
      <c r="AU162" s="103">
        <v>0</v>
      </c>
      <c r="AV162" s="103">
        <v>0</v>
      </c>
      <c r="AW162" s="103">
        <v>0</v>
      </c>
      <c r="AX162" s="103">
        <v>0</v>
      </c>
      <c r="AY162" s="103">
        <v>0</v>
      </c>
    </row>
    <row r="163" spans="1:52" x14ac:dyDescent="0.15">
      <c r="A163" s="106"/>
      <c r="B163" s="127">
        <v>42</v>
      </c>
      <c r="C163" s="103"/>
      <c r="D163" s="103">
        <v>0</v>
      </c>
      <c r="E163" s="103">
        <v>0</v>
      </c>
      <c r="F163" s="103">
        <v>0</v>
      </c>
      <c r="G163" s="103">
        <v>0</v>
      </c>
      <c r="H163" s="103">
        <v>0</v>
      </c>
      <c r="I163" s="103">
        <v>0</v>
      </c>
      <c r="J163" s="103">
        <v>0</v>
      </c>
      <c r="K163" s="103">
        <v>0</v>
      </c>
      <c r="L163" s="103">
        <v>0</v>
      </c>
      <c r="M163" s="103">
        <v>0</v>
      </c>
      <c r="N163" s="103">
        <v>0</v>
      </c>
      <c r="O163" s="103">
        <v>0</v>
      </c>
      <c r="P163" s="103">
        <v>0</v>
      </c>
      <c r="Q163" s="103">
        <v>0</v>
      </c>
      <c r="R163" s="103">
        <v>0</v>
      </c>
      <c r="S163" s="103">
        <v>0</v>
      </c>
      <c r="T163" s="103">
        <v>0</v>
      </c>
      <c r="U163" s="103">
        <v>0</v>
      </c>
      <c r="V163" s="103">
        <v>0</v>
      </c>
      <c r="W163" s="103">
        <v>0</v>
      </c>
      <c r="X163" s="103">
        <v>0</v>
      </c>
      <c r="Y163" s="103">
        <v>0</v>
      </c>
      <c r="Z163" s="103">
        <v>0</v>
      </c>
      <c r="AA163" s="103">
        <v>0</v>
      </c>
      <c r="AB163" s="103">
        <v>0</v>
      </c>
      <c r="AC163" s="103">
        <v>0</v>
      </c>
      <c r="AD163" s="103">
        <v>0</v>
      </c>
      <c r="AE163" s="103">
        <v>0</v>
      </c>
      <c r="AF163" s="103">
        <v>0</v>
      </c>
      <c r="AG163" s="103">
        <v>0</v>
      </c>
      <c r="AH163" s="103">
        <v>0</v>
      </c>
      <c r="AI163" s="103">
        <v>0</v>
      </c>
      <c r="AJ163" s="103">
        <v>0</v>
      </c>
      <c r="AK163" s="103">
        <v>0</v>
      </c>
      <c r="AL163" s="103">
        <v>0</v>
      </c>
      <c r="AM163" s="103">
        <v>0</v>
      </c>
      <c r="AN163" s="103">
        <v>0</v>
      </c>
      <c r="AO163" s="103">
        <v>0</v>
      </c>
      <c r="AP163" s="103">
        <v>0</v>
      </c>
      <c r="AQ163" s="103">
        <v>0</v>
      </c>
      <c r="AR163" s="103">
        <v>0</v>
      </c>
      <c r="AS163" s="103">
        <v>0</v>
      </c>
      <c r="AT163" s="103">
        <v>0</v>
      </c>
      <c r="AU163" s="103">
        <v>0</v>
      </c>
      <c r="AV163" s="103">
        <v>0</v>
      </c>
      <c r="AW163" s="103">
        <v>0</v>
      </c>
      <c r="AX163" s="103">
        <v>0</v>
      </c>
      <c r="AY163" s="103">
        <v>0</v>
      </c>
    </row>
    <row r="164" spans="1:52" x14ac:dyDescent="0.15">
      <c r="A164" s="106"/>
      <c r="B164" s="127">
        <v>43</v>
      </c>
      <c r="C164" s="103"/>
      <c r="D164" s="103">
        <v>0</v>
      </c>
      <c r="E164" s="103">
        <v>0</v>
      </c>
      <c r="F164" s="103">
        <v>0</v>
      </c>
      <c r="G164" s="103">
        <v>0</v>
      </c>
      <c r="H164" s="103">
        <v>0</v>
      </c>
      <c r="I164" s="103">
        <v>0</v>
      </c>
      <c r="J164" s="103">
        <v>0</v>
      </c>
      <c r="K164" s="103">
        <v>0</v>
      </c>
      <c r="L164" s="103">
        <v>0</v>
      </c>
      <c r="M164" s="103">
        <v>0</v>
      </c>
      <c r="N164" s="103">
        <v>0</v>
      </c>
      <c r="O164" s="103">
        <v>0</v>
      </c>
      <c r="P164" s="103">
        <v>0</v>
      </c>
      <c r="Q164" s="103">
        <v>0</v>
      </c>
      <c r="R164" s="103">
        <v>0</v>
      </c>
      <c r="S164" s="103">
        <v>0</v>
      </c>
      <c r="T164" s="103">
        <v>0</v>
      </c>
      <c r="U164" s="103">
        <v>0</v>
      </c>
      <c r="V164" s="103">
        <v>0</v>
      </c>
      <c r="W164" s="103">
        <v>0</v>
      </c>
      <c r="X164" s="103">
        <v>0</v>
      </c>
      <c r="Y164" s="103">
        <v>0</v>
      </c>
      <c r="Z164" s="103">
        <v>0</v>
      </c>
      <c r="AA164" s="103">
        <v>0</v>
      </c>
      <c r="AB164" s="103">
        <v>0</v>
      </c>
      <c r="AC164" s="103">
        <v>0</v>
      </c>
      <c r="AD164" s="103">
        <v>0</v>
      </c>
      <c r="AE164" s="103">
        <v>0</v>
      </c>
      <c r="AF164" s="103">
        <v>0</v>
      </c>
      <c r="AG164" s="103">
        <v>0</v>
      </c>
      <c r="AH164" s="103">
        <v>0</v>
      </c>
      <c r="AI164" s="103">
        <v>0</v>
      </c>
      <c r="AJ164" s="103">
        <v>0</v>
      </c>
      <c r="AK164" s="103">
        <v>0</v>
      </c>
      <c r="AL164" s="103">
        <v>0</v>
      </c>
      <c r="AM164" s="103">
        <v>0</v>
      </c>
      <c r="AN164" s="103">
        <v>0</v>
      </c>
      <c r="AO164" s="103">
        <v>0</v>
      </c>
      <c r="AP164" s="103">
        <v>0</v>
      </c>
      <c r="AQ164" s="103">
        <v>0</v>
      </c>
      <c r="AR164" s="103">
        <v>0</v>
      </c>
      <c r="AS164" s="103">
        <v>0</v>
      </c>
      <c r="AT164" s="103">
        <v>0</v>
      </c>
      <c r="AU164" s="103">
        <v>0</v>
      </c>
      <c r="AV164" s="103">
        <v>0</v>
      </c>
      <c r="AW164" s="103">
        <v>0</v>
      </c>
      <c r="AX164" s="103">
        <v>0</v>
      </c>
      <c r="AY164" s="103">
        <v>0</v>
      </c>
    </row>
    <row r="165" spans="1:52" x14ac:dyDescent="0.15">
      <c r="A165" s="106"/>
      <c r="B165" s="127">
        <v>44</v>
      </c>
      <c r="C165" s="103"/>
      <c r="D165" s="103">
        <v>0</v>
      </c>
      <c r="E165" s="103">
        <v>0</v>
      </c>
      <c r="F165" s="103">
        <v>0</v>
      </c>
      <c r="G165" s="103">
        <v>0</v>
      </c>
      <c r="H165" s="103">
        <v>0</v>
      </c>
      <c r="I165" s="103">
        <v>0</v>
      </c>
      <c r="J165" s="103">
        <v>0</v>
      </c>
      <c r="K165" s="103">
        <v>0</v>
      </c>
      <c r="L165" s="103">
        <v>0</v>
      </c>
      <c r="M165" s="103">
        <v>0</v>
      </c>
      <c r="N165" s="103">
        <v>0</v>
      </c>
      <c r="O165" s="103">
        <v>0</v>
      </c>
      <c r="P165" s="103">
        <v>0</v>
      </c>
      <c r="Q165" s="103">
        <v>0</v>
      </c>
      <c r="R165" s="103">
        <v>0</v>
      </c>
      <c r="S165" s="103">
        <v>0</v>
      </c>
      <c r="T165" s="103">
        <v>0</v>
      </c>
      <c r="U165" s="103">
        <v>0</v>
      </c>
      <c r="V165" s="103">
        <v>0</v>
      </c>
      <c r="W165" s="103">
        <v>0</v>
      </c>
      <c r="X165" s="103">
        <v>0</v>
      </c>
      <c r="Y165" s="103">
        <v>0</v>
      </c>
      <c r="Z165" s="103">
        <v>0</v>
      </c>
      <c r="AA165" s="103">
        <v>0</v>
      </c>
      <c r="AB165" s="103">
        <v>0</v>
      </c>
      <c r="AC165" s="103">
        <v>0</v>
      </c>
      <c r="AD165" s="103">
        <v>0</v>
      </c>
      <c r="AE165" s="103">
        <v>0</v>
      </c>
      <c r="AF165" s="103">
        <v>0</v>
      </c>
      <c r="AG165" s="103">
        <v>0</v>
      </c>
      <c r="AH165" s="103">
        <v>0</v>
      </c>
      <c r="AI165" s="103">
        <v>0</v>
      </c>
      <c r="AJ165" s="103">
        <v>0</v>
      </c>
      <c r="AK165" s="103">
        <v>0</v>
      </c>
      <c r="AL165" s="103">
        <v>0</v>
      </c>
      <c r="AM165" s="103">
        <v>0</v>
      </c>
      <c r="AN165" s="103">
        <v>0</v>
      </c>
      <c r="AO165" s="103">
        <v>0</v>
      </c>
      <c r="AP165" s="103">
        <v>0</v>
      </c>
      <c r="AQ165" s="103">
        <v>0</v>
      </c>
      <c r="AR165" s="103">
        <v>0</v>
      </c>
      <c r="AS165" s="103">
        <v>0</v>
      </c>
      <c r="AT165" s="103">
        <v>0</v>
      </c>
      <c r="AU165" s="103">
        <v>0</v>
      </c>
      <c r="AV165" s="103">
        <v>0</v>
      </c>
      <c r="AW165" s="103">
        <v>0</v>
      </c>
      <c r="AX165" s="103">
        <v>0</v>
      </c>
      <c r="AY165" s="103">
        <v>0</v>
      </c>
    </row>
    <row r="166" spans="1:52" x14ac:dyDescent="0.15">
      <c r="A166" s="106"/>
      <c r="B166" s="127">
        <v>45</v>
      </c>
      <c r="C166" s="103"/>
      <c r="D166" s="103">
        <v>0</v>
      </c>
      <c r="E166" s="103">
        <v>0</v>
      </c>
      <c r="F166" s="103">
        <v>0</v>
      </c>
      <c r="G166" s="103">
        <v>0</v>
      </c>
      <c r="H166" s="103">
        <v>0</v>
      </c>
      <c r="I166" s="103">
        <v>0</v>
      </c>
      <c r="J166" s="103">
        <v>0</v>
      </c>
      <c r="K166" s="103">
        <v>0</v>
      </c>
      <c r="L166" s="103">
        <v>0</v>
      </c>
      <c r="M166" s="103">
        <v>0</v>
      </c>
      <c r="N166" s="103">
        <v>0</v>
      </c>
      <c r="O166" s="103">
        <v>0</v>
      </c>
      <c r="P166" s="103">
        <v>0</v>
      </c>
      <c r="Q166" s="103">
        <v>0</v>
      </c>
      <c r="R166" s="103">
        <v>0</v>
      </c>
      <c r="S166" s="103">
        <v>0</v>
      </c>
      <c r="T166" s="103">
        <v>0</v>
      </c>
      <c r="U166" s="103">
        <v>0</v>
      </c>
      <c r="V166" s="103">
        <v>0</v>
      </c>
      <c r="W166" s="103">
        <v>0</v>
      </c>
      <c r="X166" s="103">
        <v>0</v>
      </c>
      <c r="Y166" s="103">
        <v>0</v>
      </c>
      <c r="Z166" s="103">
        <v>0</v>
      </c>
      <c r="AA166" s="103">
        <v>0</v>
      </c>
      <c r="AB166" s="103">
        <v>0</v>
      </c>
      <c r="AC166" s="103">
        <v>0</v>
      </c>
      <c r="AD166" s="103">
        <v>0</v>
      </c>
      <c r="AE166" s="103">
        <v>0</v>
      </c>
      <c r="AF166" s="103">
        <v>0</v>
      </c>
      <c r="AG166" s="103">
        <v>0</v>
      </c>
      <c r="AH166" s="103">
        <v>0</v>
      </c>
      <c r="AI166" s="103">
        <v>0</v>
      </c>
      <c r="AJ166" s="103">
        <v>0</v>
      </c>
      <c r="AK166" s="103">
        <v>0</v>
      </c>
      <c r="AL166" s="103">
        <v>0</v>
      </c>
      <c r="AM166" s="103">
        <v>0</v>
      </c>
      <c r="AN166" s="103">
        <v>0</v>
      </c>
      <c r="AO166" s="103">
        <v>0</v>
      </c>
      <c r="AP166" s="103">
        <v>0</v>
      </c>
      <c r="AQ166" s="103">
        <v>0</v>
      </c>
      <c r="AR166" s="103">
        <v>0</v>
      </c>
      <c r="AS166" s="103">
        <v>0</v>
      </c>
      <c r="AT166" s="103">
        <v>0</v>
      </c>
      <c r="AU166" s="103">
        <v>0</v>
      </c>
      <c r="AV166" s="103">
        <v>0</v>
      </c>
      <c r="AW166" s="103">
        <v>0</v>
      </c>
      <c r="AX166" s="103">
        <v>0</v>
      </c>
      <c r="AY166" s="103">
        <v>0</v>
      </c>
    </row>
    <row r="167" spans="1:52" x14ac:dyDescent="0.15">
      <c r="A167" s="106"/>
      <c r="B167" s="127">
        <v>46</v>
      </c>
      <c r="C167" s="103"/>
      <c r="D167" s="103">
        <v>0</v>
      </c>
      <c r="E167" s="103">
        <v>0</v>
      </c>
      <c r="F167" s="103">
        <v>0</v>
      </c>
      <c r="G167" s="103">
        <v>0</v>
      </c>
      <c r="H167" s="103">
        <v>0</v>
      </c>
      <c r="I167" s="103">
        <v>0</v>
      </c>
      <c r="J167" s="103">
        <v>0</v>
      </c>
      <c r="K167" s="103">
        <v>0</v>
      </c>
      <c r="L167" s="103">
        <v>0</v>
      </c>
      <c r="M167" s="103">
        <v>0</v>
      </c>
      <c r="N167" s="103">
        <v>0</v>
      </c>
      <c r="O167" s="103">
        <v>0</v>
      </c>
      <c r="P167" s="103">
        <v>0</v>
      </c>
      <c r="Q167" s="103">
        <v>0</v>
      </c>
      <c r="R167" s="103">
        <v>0</v>
      </c>
      <c r="S167" s="103">
        <v>0</v>
      </c>
      <c r="T167" s="103">
        <v>0</v>
      </c>
      <c r="U167" s="103">
        <v>0</v>
      </c>
      <c r="V167" s="103">
        <v>0</v>
      </c>
      <c r="W167" s="103">
        <v>0</v>
      </c>
      <c r="X167" s="103">
        <v>0</v>
      </c>
      <c r="Y167" s="103">
        <v>0</v>
      </c>
      <c r="Z167" s="103">
        <v>0</v>
      </c>
      <c r="AA167" s="103">
        <v>0</v>
      </c>
      <c r="AB167" s="103">
        <v>0</v>
      </c>
      <c r="AC167" s="103">
        <v>0</v>
      </c>
      <c r="AD167" s="103">
        <v>0</v>
      </c>
      <c r="AE167" s="103">
        <v>0</v>
      </c>
      <c r="AF167" s="103">
        <v>0</v>
      </c>
      <c r="AG167" s="103">
        <v>0</v>
      </c>
      <c r="AH167" s="103">
        <v>0</v>
      </c>
      <c r="AI167" s="103">
        <v>0</v>
      </c>
      <c r="AJ167" s="103">
        <v>0</v>
      </c>
      <c r="AK167" s="103">
        <v>0</v>
      </c>
      <c r="AL167" s="103">
        <v>0</v>
      </c>
      <c r="AM167" s="103">
        <v>0</v>
      </c>
      <c r="AN167" s="103">
        <v>0</v>
      </c>
      <c r="AO167" s="103">
        <v>0</v>
      </c>
      <c r="AP167" s="103">
        <v>0</v>
      </c>
      <c r="AQ167" s="103">
        <v>0</v>
      </c>
      <c r="AR167" s="103">
        <v>0</v>
      </c>
      <c r="AS167" s="103">
        <v>0</v>
      </c>
      <c r="AT167" s="103">
        <v>0</v>
      </c>
      <c r="AU167" s="103">
        <v>0</v>
      </c>
      <c r="AV167" s="103">
        <v>0</v>
      </c>
      <c r="AW167" s="103">
        <v>0</v>
      </c>
      <c r="AX167" s="103">
        <v>0</v>
      </c>
      <c r="AY167" s="103">
        <v>0</v>
      </c>
    </row>
    <row r="168" spans="1:52" x14ac:dyDescent="0.15">
      <c r="A168" s="106"/>
      <c r="B168" s="127">
        <v>47</v>
      </c>
      <c r="C168" s="103"/>
      <c r="D168" s="103">
        <v>0</v>
      </c>
      <c r="E168" s="103">
        <v>0</v>
      </c>
      <c r="F168" s="103">
        <v>0</v>
      </c>
      <c r="G168" s="103">
        <v>0</v>
      </c>
      <c r="H168" s="103">
        <v>0</v>
      </c>
      <c r="I168" s="103">
        <v>0</v>
      </c>
      <c r="J168" s="103">
        <v>0</v>
      </c>
      <c r="K168" s="103">
        <v>0</v>
      </c>
      <c r="L168" s="103">
        <v>0</v>
      </c>
      <c r="M168" s="103">
        <v>0</v>
      </c>
      <c r="N168" s="103">
        <v>0</v>
      </c>
      <c r="O168" s="103">
        <v>0</v>
      </c>
      <c r="P168" s="103">
        <v>0</v>
      </c>
      <c r="Q168" s="103">
        <v>0</v>
      </c>
      <c r="R168" s="103">
        <v>0</v>
      </c>
      <c r="S168" s="103">
        <v>0</v>
      </c>
      <c r="T168" s="103">
        <v>0</v>
      </c>
      <c r="U168" s="103">
        <v>0</v>
      </c>
      <c r="V168" s="103">
        <v>0</v>
      </c>
      <c r="W168" s="103">
        <v>0</v>
      </c>
      <c r="X168" s="103">
        <v>0</v>
      </c>
      <c r="Y168" s="103">
        <v>0</v>
      </c>
      <c r="Z168" s="103">
        <v>0</v>
      </c>
      <c r="AA168" s="103">
        <v>0</v>
      </c>
      <c r="AB168" s="103">
        <v>0</v>
      </c>
      <c r="AC168" s="103">
        <v>0</v>
      </c>
      <c r="AD168" s="103">
        <v>0</v>
      </c>
      <c r="AE168" s="103">
        <v>0</v>
      </c>
      <c r="AF168" s="103">
        <v>0</v>
      </c>
      <c r="AG168" s="103">
        <v>0</v>
      </c>
      <c r="AH168" s="103">
        <v>0</v>
      </c>
      <c r="AI168" s="103">
        <v>0</v>
      </c>
      <c r="AJ168" s="103">
        <v>0</v>
      </c>
      <c r="AK168" s="103">
        <v>0</v>
      </c>
      <c r="AL168" s="103">
        <v>0</v>
      </c>
      <c r="AM168" s="103">
        <v>0</v>
      </c>
      <c r="AN168" s="103">
        <v>0</v>
      </c>
      <c r="AO168" s="103">
        <v>0</v>
      </c>
      <c r="AP168" s="103">
        <v>0</v>
      </c>
      <c r="AQ168" s="103">
        <v>0</v>
      </c>
      <c r="AR168" s="103">
        <v>0</v>
      </c>
      <c r="AS168" s="103">
        <v>0</v>
      </c>
      <c r="AT168" s="103">
        <v>0</v>
      </c>
      <c r="AU168" s="103">
        <v>0</v>
      </c>
      <c r="AV168" s="103">
        <v>0</v>
      </c>
      <c r="AW168" s="103">
        <v>0</v>
      </c>
      <c r="AX168" s="103">
        <v>0</v>
      </c>
      <c r="AY168" s="103">
        <v>0</v>
      </c>
    </row>
    <row r="169" spans="1:52" x14ac:dyDescent="0.15">
      <c r="A169" s="106"/>
      <c r="B169" s="127">
        <v>48</v>
      </c>
      <c r="C169" s="103"/>
      <c r="D169" s="103">
        <v>0</v>
      </c>
      <c r="E169" s="103">
        <v>0</v>
      </c>
      <c r="F169" s="103">
        <v>0</v>
      </c>
      <c r="G169" s="103">
        <v>0</v>
      </c>
      <c r="H169" s="103">
        <v>0</v>
      </c>
      <c r="I169" s="103">
        <v>0</v>
      </c>
      <c r="J169" s="103">
        <v>0</v>
      </c>
      <c r="K169" s="103">
        <v>0</v>
      </c>
      <c r="L169" s="103">
        <v>0</v>
      </c>
      <c r="M169" s="103">
        <v>0</v>
      </c>
      <c r="N169" s="103">
        <v>0</v>
      </c>
      <c r="O169" s="103">
        <v>0</v>
      </c>
      <c r="P169" s="103">
        <v>0</v>
      </c>
      <c r="Q169" s="103">
        <v>0</v>
      </c>
      <c r="R169" s="103">
        <v>0</v>
      </c>
      <c r="S169" s="103">
        <v>0</v>
      </c>
      <c r="T169" s="103">
        <v>0</v>
      </c>
      <c r="U169" s="103">
        <v>0</v>
      </c>
      <c r="V169" s="103">
        <v>0</v>
      </c>
      <c r="W169" s="103">
        <v>0</v>
      </c>
      <c r="X169" s="103">
        <v>0</v>
      </c>
      <c r="Y169" s="103">
        <v>0</v>
      </c>
      <c r="Z169" s="103">
        <v>0</v>
      </c>
      <c r="AA169" s="103">
        <v>0</v>
      </c>
      <c r="AB169" s="103">
        <v>0</v>
      </c>
      <c r="AC169" s="103">
        <v>0</v>
      </c>
      <c r="AD169" s="103">
        <v>0</v>
      </c>
      <c r="AE169" s="103">
        <v>0</v>
      </c>
      <c r="AF169" s="103">
        <v>0</v>
      </c>
      <c r="AG169" s="103">
        <v>0</v>
      </c>
      <c r="AH169" s="103">
        <v>0</v>
      </c>
      <c r="AI169" s="103">
        <v>0</v>
      </c>
      <c r="AJ169" s="103">
        <v>0</v>
      </c>
      <c r="AK169" s="103">
        <v>0</v>
      </c>
      <c r="AL169" s="103">
        <v>0</v>
      </c>
      <c r="AM169" s="103">
        <v>0</v>
      </c>
      <c r="AN169" s="103">
        <v>0</v>
      </c>
      <c r="AO169" s="103">
        <v>0</v>
      </c>
      <c r="AP169" s="103">
        <v>0</v>
      </c>
      <c r="AQ169" s="103">
        <v>0</v>
      </c>
      <c r="AR169" s="103">
        <v>0</v>
      </c>
      <c r="AS169" s="103">
        <v>0</v>
      </c>
      <c r="AT169" s="103">
        <v>0</v>
      </c>
      <c r="AU169" s="103">
        <v>0</v>
      </c>
      <c r="AV169" s="103">
        <v>0</v>
      </c>
      <c r="AW169" s="103">
        <v>0</v>
      </c>
      <c r="AX169" s="103">
        <v>0</v>
      </c>
      <c r="AY169" s="103">
        <v>0</v>
      </c>
    </row>
    <row r="170" spans="1:52" x14ac:dyDescent="0.15">
      <c r="A170" s="125"/>
      <c r="B170" s="129" t="s">
        <v>295</v>
      </c>
      <c r="C170" s="111"/>
      <c r="D170" s="122">
        <v>0</v>
      </c>
      <c r="E170" s="122">
        <v>0</v>
      </c>
      <c r="F170" s="122">
        <v>0</v>
      </c>
      <c r="G170" s="122">
        <v>0</v>
      </c>
      <c r="H170" s="122">
        <v>0</v>
      </c>
      <c r="I170" s="122">
        <v>0</v>
      </c>
      <c r="J170" s="122">
        <v>0</v>
      </c>
      <c r="K170" s="122">
        <v>0</v>
      </c>
      <c r="L170" s="122">
        <v>0</v>
      </c>
      <c r="M170" s="122">
        <v>0</v>
      </c>
      <c r="N170" s="122">
        <v>0</v>
      </c>
      <c r="O170" s="122">
        <v>0</v>
      </c>
      <c r="P170" s="122">
        <v>0</v>
      </c>
      <c r="Q170" s="122">
        <v>0</v>
      </c>
      <c r="R170" s="122">
        <v>0</v>
      </c>
      <c r="S170" s="122">
        <v>0</v>
      </c>
      <c r="T170" s="122">
        <v>0</v>
      </c>
      <c r="U170" s="122">
        <v>0</v>
      </c>
      <c r="V170" s="122">
        <v>0</v>
      </c>
      <c r="W170" s="122">
        <v>0</v>
      </c>
      <c r="X170" s="122">
        <v>0</v>
      </c>
      <c r="Y170" s="122">
        <v>0</v>
      </c>
      <c r="Z170" s="122">
        <v>0</v>
      </c>
      <c r="AA170" s="122">
        <v>0</v>
      </c>
      <c r="AB170" s="122">
        <v>0</v>
      </c>
      <c r="AC170" s="122">
        <v>0</v>
      </c>
      <c r="AD170" s="122">
        <v>0</v>
      </c>
      <c r="AE170" s="122">
        <v>0</v>
      </c>
      <c r="AF170" s="122">
        <v>0</v>
      </c>
      <c r="AG170" s="122">
        <v>0</v>
      </c>
      <c r="AH170" s="122">
        <v>0</v>
      </c>
      <c r="AI170" s="122">
        <v>0</v>
      </c>
      <c r="AJ170" s="122">
        <v>0</v>
      </c>
      <c r="AK170" s="122">
        <v>0</v>
      </c>
      <c r="AL170" s="122">
        <v>0</v>
      </c>
      <c r="AM170" s="122">
        <v>0</v>
      </c>
      <c r="AN170" s="122">
        <v>0</v>
      </c>
      <c r="AO170" s="122">
        <v>0</v>
      </c>
      <c r="AP170" s="122">
        <v>0</v>
      </c>
      <c r="AQ170" s="122">
        <v>0</v>
      </c>
      <c r="AR170" s="122">
        <v>0</v>
      </c>
      <c r="AS170" s="122">
        <v>0</v>
      </c>
      <c r="AT170" s="122">
        <v>0</v>
      </c>
      <c r="AU170" s="122">
        <v>0</v>
      </c>
      <c r="AV170" s="122">
        <v>0</v>
      </c>
      <c r="AW170" s="122">
        <v>0</v>
      </c>
      <c r="AX170" s="122">
        <v>0</v>
      </c>
      <c r="AY170" s="122">
        <v>0</v>
      </c>
      <c r="AZ170" s="104">
        <f>SUM($D170:$AY170)</f>
        <v>0</v>
      </c>
    </row>
    <row r="172" spans="1:52" x14ac:dyDescent="0.15">
      <c r="A172" s="99" t="s">
        <v>124</v>
      </c>
      <c r="B172" s="130" t="s">
        <v>296</v>
      </c>
      <c r="C172" s="131"/>
      <c r="D172" s="131">
        <v>0.5</v>
      </c>
      <c r="E172" s="131">
        <v>0.5</v>
      </c>
      <c r="F172" s="131">
        <v>0.5</v>
      </c>
      <c r="G172" s="131">
        <v>0.5</v>
      </c>
      <c r="H172" s="131">
        <v>0.5</v>
      </c>
      <c r="I172" s="131">
        <v>0.5</v>
      </c>
      <c r="J172" s="131">
        <v>0.5</v>
      </c>
      <c r="K172" s="131">
        <v>0.5</v>
      </c>
      <c r="L172" s="131">
        <v>0.5</v>
      </c>
      <c r="M172" s="131">
        <v>0.5</v>
      </c>
      <c r="N172" s="131">
        <v>0.5</v>
      </c>
      <c r="O172" s="131">
        <v>0.5</v>
      </c>
      <c r="P172" s="131">
        <v>0.5</v>
      </c>
      <c r="Q172" s="131">
        <v>0.5</v>
      </c>
      <c r="R172" s="131">
        <v>0.5</v>
      </c>
      <c r="S172" s="131">
        <v>0.5</v>
      </c>
      <c r="T172" s="131">
        <v>0.5</v>
      </c>
      <c r="U172" s="131">
        <v>0.5</v>
      </c>
      <c r="V172" s="131">
        <v>0.5</v>
      </c>
      <c r="W172" s="131">
        <v>0.5</v>
      </c>
      <c r="X172" s="131">
        <v>0.5</v>
      </c>
      <c r="Y172" s="131">
        <v>0.5</v>
      </c>
      <c r="Z172" s="131">
        <v>0.5</v>
      </c>
      <c r="AA172" s="131">
        <v>0.5</v>
      </c>
      <c r="AB172" s="131">
        <v>0.5</v>
      </c>
      <c r="AC172" s="131">
        <v>0.5</v>
      </c>
      <c r="AD172" s="131">
        <v>0.5</v>
      </c>
      <c r="AE172" s="131">
        <v>0.5</v>
      </c>
      <c r="AF172" s="131">
        <v>0.5</v>
      </c>
      <c r="AG172" s="131">
        <v>0.5</v>
      </c>
      <c r="AH172" s="131">
        <v>0.5</v>
      </c>
      <c r="AI172" s="131">
        <v>0.5</v>
      </c>
      <c r="AJ172" s="131">
        <v>0.5</v>
      </c>
      <c r="AK172" s="131">
        <v>0.5</v>
      </c>
      <c r="AL172" s="131">
        <v>0.5</v>
      </c>
      <c r="AM172" s="131">
        <v>0.5</v>
      </c>
      <c r="AN172" s="131">
        <v>0.5</v>
      </c>
      <c r="AO172" s="131">
        <v>0.5</v>
      </c>
      <c r="AP172" s="131">
        <v>0.5</v>
      </c>
      <c r="AQ172" s="131">
        <v>0.5</v>
      </c>
      <c r="AR172" s="131">
        <v>0.5</v>
      </c>
      <c r="AS172" s="131">
        <v>0.5</v>
      </c>
      <c r="AT172" s="131">
        <v>0.5</v>
      </c>
      <c r="AU172" s="131">
        <v>0.5</v>
      </c>
      <c r="AV172" s="131">
        <v>0.5</v>
      </c>
      <c r="AW172" s="131">
        <v>0.5</v>
      </c>
      <c r="AX172" s="131">
        <v>0.5</v>
      </c>
      <c r="AY172" s="131">
        <v>0.5</v>
      </c>
    </row>
    <row r="174" spans="1:52" x14ac:dyDescent="0.15">
      <c r="A174" s="99" t="s">
        <v>271</v>
      </c>
    </row>
    <row r="175" spans="1:52" x14ac:dyDescent="0.15">
      <c r="A175" s="132" t="s">
        <v>125</v>
      </c>
      <c r="B175" s="132" t="s">
        <v>297</v>
      </c>
      <c r="C175" s="121" t="s">
        <v>292</v>
      </c>
      <c r="D175" s="121">
        <f t="shared" ref="D175:AY175" si="1">SUM(D95:D98)</f>
        <v>10031.693728146485</v>
      </c>
      <c r="E175" s="121">
        <f t="shared" si="1"/>
        <v>18239.136343430881</v>
      </c>
      <c r="F175" s="121">
        <f t="shared" si="1"/>
        <v>26352.327992100698</v>
      </c>
      <c r="G175" s="121">
        <f t="shared" si="1"/>
        <v>34686.268379517925</v>
      </c>
      <c r="H175" s="121">
        <f t="shared" si="1"/>
        <v>40154.263041864935</v>
      </c>
      <c r="I175" s="121">
        <f t="shared" si="1"/>
        <v>40165.255643375698</v>
      </c>
      <c r="J175" s="121">
        <f t="shared" si="1"/>
        <v>39795.040261739035</v>
      </c>
      <c r="K175" s="121">
        <f t="shared" si="1"/>
        <v>39806.023449095912</v>
      </c>
      <c r="L175" s="121">
        <f t="shared" si="1"/>
        <v>39550.357684728151</v>
      </c>
      <c r="M175" s="121">
        <f t="shared" si="1"/>
        <v>39297.876797918427</v>
      </c>
      <c r="N175" s="121">
        <f t="shared" si="1"/>
        <v>39045.28833052516</v>
      </c>
      <c r="O175" s="121">
        <f t="shared" si="1"/>
        <v>39056.231526958363</v>
      </c>
      <c r="P175" s="121">
        <f t="shared" si="1"/>
        <v>39333.801920385151</v>
      </c>
      <c r="Q175" s="121">
        <f t="shared" si="1"/>
        <v>39608.16215946083</v>
      </c>
      <c r="R175" s="121">
        <f t="shared" si="1"/>
        <v>40263.805341304134</v>
      </c>
      <c r="S175" s="121">
        <f t="shared" si="1"/>
        <v>40274.680389369831</v>
      </c>
      <c r="T175" s="121">
        <f t="shared" si="1"/>
        <v>38789.623385450199</v>
      </c>
      <c r="U175" s="121">
        <f t="shared" si="1"/>
        <v>37695.276424983269</v>
      </c>
      <c r="V175" s="121">
        <f t="shared" si="1"/>
        <v>36602.250297321872</v>
      </c>
      <c r="W175" s="121">
        <f t="shared" si="1"/>
        <v>36613.029180212681</v>
      </c>
      <c r="X175" s="121">
        <f t="shared" si="1"/>
        <v>38119.690298233196</v>
      </c>
      <c r="Y175" s="121">
        <f t="shared" si="1"/>
        <v>39235.588073980776</v>
      </c>
      <c r="Z175" s="121">
        <f t="shared" si="1"/>
        <v>38404.870710007257</v>
      </c>
      <c r="AA175" s="121">
        <f t="shared" si="1"/>
        <v>37786.501194165743</v>
      </c>
      <c r="AB175" s="121">
        <f t="shared" si="1"/>
        <v>34953.815172021255</v>
      </c>
      <c r="AC175" s="121">
        <f t="shared" si="1"/>
        <v>33753.116628746095</v>
      </c>
      <c r="AD175" s="121">
        <f t="shared" si="1"/>
        <v>32852.335262237117</v>
      </c>
      <c r="AE175" s="121">
        <f t="shared" si="1"/>
        <v>32391.048871196734</v>
      </c>
      <c r="AF175" s="121">
        <f t="shared" si="1"/>
        <v>31821.235294170227</v>
      </c>
      <c r="AG175" s="121">
        <f t="shared" si="1"/>
        <v>28471.752993197966</v>
      </c>
      <c r="AH175" s="121">
        <f t="shared" si="1"/>
        <v>28850.054570467684</v>
      </c>
      <c r="AI175" s="121">
        <f t="shared" si="1"/>
        <v>28567.177080866917</v>
      </c>
      <c r="AJ175" s="121">
        <f t="shared" si="1"/>
        <v>27515.277973437813</v>
      </c>
      <c r="AK175" s="121">
        <f t="shared" si="1"/>
        <v>28417.044872363014</v>
      </c>
      <c r="AL175" s="121">
        <f t="shared" si="1"/>
        <v>27085.557955314129</v>
      </c>
      <c r="AM175" s="121">
        <f t="shared" si="1"/>
        <v>27903.131080250743</v>
      </c>
      <c r="AN175" s="121">
        <f t="shared" si="1"/>
        <v>27699.363836681106</v>
      </c>
      <c r="AO175" s="121">
        <f t="shared" si="1"/>
        <v>29461.179715722952</v>
      </c>
      <c r="AP175" s="121">
        <f t="shared" si="1"/>
        <v>28952.65091555065</v>
      </c>
      <c r="AQ175" s="121">
        <f t="shared" si="1"/>
        <v>29843.810591856847</v>
      </c>
      <c r="AR175" s="121">
        <f t="shared" si="1"/>
        <v>30843.018641335948</v>
      </c>
      <c r="AS175" s="121">
        <f t="shared" si="1"/>
        <v>30912.498685987939</v>
      </c>
      <c r="AT175" s="121">
        <f t="shared" si="1"/>
        <v>31283.106296791528</v>
      </c>
      <c r="AU175" s="121">
        <f t="shared" si="1"/>
        <v>29610.828348081035</v>
      </c>
      <c r="AV175" s="121">
        <f t="shared" si="1"/>
        <v>31231.32885438787</v>
      </c>
      <c r="AW175" s="121">
        <f t="shared" si="1"/>
        <v>30817.611224754157</v>
      </c>
      <c r="AX175" s="121">
        <f t="shared" si="1"/>
        <v>30401.91727732971</v>
      </c>
      <c r="AY175" s="121">
        <f t="shared" si="1"/>
        <v>31478.812140773367</v>
      </c>
    </row>
    <row r="176" spans="1:52" x14ac:dyDescent="0.15">
      <c r="A176" s="122"/>
      <c r="B176" s="133" t="s">
        <v>298</v>
      </c>
      <c r="C176" s="122" t="s">
        <v>292</v>
      </c>
      <c r="D176" s="122">
        <v>1827</v>
      </c>
      <c r="E176" s="122">
        <v>1924</v>
      </c>
      <c r="F176" s="122">
        <v>1706</v>
      </c>
      <c r="G176" s="122">
        <v>2158</v>
      </c>
      <c r="H176" s="122">
        <v>1523</v>
      </c>
      <c r="I176" s="122">
        <v>1205</v>
      </c>
      <c r="J176" s="122">
        <v>1118</v>
      </c>
      <c r="K176" s="122">
        <v>1501</v>
      </c>
      <c r="L176" s="122">
        <v>966</v>
      </c>
      <c r="M176" s="122">
        <v>991</v>
      </c>
      <c r="N176" s="122">
        <v>988</v>
      </c>
      <c r="O176" s="122">
        <v>846</v>
      </c>
      <c r="P176" s="122">
        <v>641</v>
      </c>
      <c r="Q176" s="122">
        <v>762</v>
      </c>
      <c r="R176" s="122">
        <v>732</v>
      </c>
      <c r="S176" s="122">
        <v>530</v>
      </c>
      <c r="T176" s="122">
        <v>436</v>
      </c>
      <c r="U176" s="122">
        <v>451</v>
      </c>
      <c r="V176" s="122">
        <v>370</v>
      </c>
      <c r="W176" s="122">
        <v>410</v>
      </c>
      <c r="X176" s="122">
        <v>319</v>
      </c>
      <c r="Y176" s="122">
        <v>289</v>
      </c>
      <c r="Z176" s="122">
        <v>316</v>
      </c>
      <c r="AA176" s="122">
        <v>404</v>
      </c>
      <c r="AB176" s="122">
        <v>318</v>
      </c>
      <c r="AC176" s="122">
        <v>267</v>
      </c>
      <c r="AD176" s="122">
        <v>275</v>
      </c>
      <c r="AE176" s="122">
        <v>286</v>
      </c>
      <c r="AF176" s="122">
        <v>271</v>
      </c>
      <c r="AG176" s="122">
        <v>267</v>
      </c>
      <c r="AH176" s="122">
        <v>243</v>
      </c>
      <c r="AI176" s="122">
        <v>247</v>
      </c>
      <c r="AJ176" s="122">
        <v>210</v>
      </c>
      <c r="AK176" s="122">
        <v>184</v>
      </c>
      <c r="AL176" s="122">
        <v>232</v>
      </c>
      <c r="AM176" s="122">
        <v>250</v>
      </c>
      <c r="AN176" s="122">
        <v>190</v>
      </c>
      <c r="AO176" s="122">
        <v>193</v>
      </c>
      <c r="AP176" s="122">
        <v>146</v>
      </c>
      <c r="AQ176" s="122">
        <v>157</v>
      </c>
      <c r="AR176" s="122">
        <v>119</v>
      </c>
      <c r="AS176" s="122">
        <v>147</v>
      </c>
      <c r="AT176" s="122">
        <v>140</v>
      </c>
      <c r="AU176" s="122">
        <v>162</v>
      </c>
      <c r="AV176" s="122">
        <v>132</v>
      </c>
      <c r="AW176" s="122">
        <v>108</v>
      </c>
      <c r="AX176" s="122">
        <v>129</v>
      </c>
      <c r="AY176" s="122">
        <v>134</v>
      </c>
    </row>
    <row r="177" spans="1:51" x14ac:dyDescent="0.15">
      <c r="A177" s="132" t="s">
        <v>133</v>
      </c>
      <c r="B177" s="132" t="s">
        <v>297</v>
      </c>
      <c r="C177" s="121" t="s">
        <v>292</v>
      </c>
      <c r="D177" s="121">
        <f t="shared" ref="D177:AY177" si="2">SUM(D100:D107)</f>
        <v>0</v>
      </c>
      <c r="E177" s="121">
        <f t="shared" si="2"/>
        <v>0</v>
      </c>
      <c r="F177" s="121">
        <f t="shared" si="2"/>
        <v>164.29022298471361</v>
      </c>
      <c r="G177" s="121">
        <f t="shared" si="2"/>
        <v>164.33524183128984</v>
      </c>
      <c r="H177" s="121">
        <f t="shared" si="2"/>
        <v>164.38026307297866</v>
      </c>
      <c r="I177" s="121">
        <f t="shared" si="2"/>
        <v>0</v>
      </c>
      <c r="J177" s="121">
        <f t="shared" si="2"/>
        <v>328.8955633468878</v>
      </c>
      <c r="K177" s="121">
        <f t="shared" si="2"/>
        <v>164.51526895356119</v>
      </c>
      <c r="L177" s="121">
        <f t="shared" si="2"/>
        <v>158.31720241246387</v>
      </c>
      <c r="M177" s="121">
        <f t="shared" si="2"/>
        <v>0</v>
      </c>
      <c r="N177" s="121">
        <f t="shared" si="2"/>
        <v>324.88836812871602</v>
      </c>
      <c r="O177" s="121">
        <f t="shared" si="2"/>
        <v>2.8421709430404007E-14</v>
      </c>
      <c r="P177" s="121">
        <f t="shared" si="2"/>
        <v>314.56089140421466</v>
      </c>
      <c r="Q177" s="121">
        <f t="shared" si="2"/>
        <v>164.78437044444755</v>
      </c>
      <c r="R177" s="121">
        <f t="shared" si="2"/>
        <v>164.82901853286421</v>
      </c>
      <c r="S177" s="121">
        <f t="shared" si="2"/>
        <v>164.87358966788369</v>
      </c>
      <c r="T177" s="121">
        <f t="shared" si="2"/>
        <v>164.91807667223569</v>
      </c>
      <c r="U177" s="121">
        <f t="shared" si="2"/>
        <v>164.9624723801825</v>
      </c>
      <c r="V177" s="121">
        <f t="shared" si="2"/>
        <v>140.50806606654064</v>
      </c>
      <c r="W177" s="121">
        <f t="shared" si="2"/>
        <v>15</v>
      </c>
      <c r="X177" s="121">
        <f t="shared" si="2"/>
        <v>278.96880111536893</v>
      </c>
      <c r="Y177" s="121">
        <f t="shared" si="2"/>
        <v>165.13899940758668</v>
      </c>
      <c r="Z177" s="121">
        <f t="shared" si="2"/>
        <v>150</v>
      </c>
      <c r="AA177" s="121">
        <f t="shared" si="2"/>
        <v>180.40936153304773</v>
      </c>
      <c r="AB177" s="121">
        <f t="shared" si="2"/>
        <v>165.27008711988549</v>
      </c>
      <c r="AC177" s="121">
        <f t="shared" si="2"/>
        <v>15</v>
      </c>
      <c r="AD177" s="121">
        <f t="shared" si="2"/>
        <v>300.31349629050976</v>
      </c>
      <c r="AE177" s="121">
        <f t="shared" si="2"/>
        <v>165.39984246758843</v>
      </c>
      <c r="AF177" s="121">
        <f t="shared" si="2"/>
        <v>165.35675040013592</v>
      </c>
      <c r="AG177" s="121">
        <f t="shared" si="2"/>
        <v>163.24789899146293</v>
      </c>
      <c r="AH177" s="121">
        <f t="shared" si="2"/>
        <v>147.66701486362237</v>
      </c>
      <c r="AI177" s="121">
        <f t="shared" si="2"/>
        <v>15</v>
      </c>
      <c r="AJ177" s="121">
        <f t="shared" si="2"/>
        <v>165.61262967284611</v>
      </c>
      <c r="AK177" s="121">
        <f t="shared" si="2"/>
        <v>165.57045160440265</v>
      </c>
      <c r="AL177" s="121">
        <f t="shared" si="2"/>
        <v>300.65460438696266</v>
      </c>
      <c r="AM177" s="121">
        <f t="shared" si="2"/>
        <v>15</v>
      </c>
      <c r="AN177" s="121">
        <f t="shared" si="2"/>
        <v>332.21352643515814</v>
      </c>
      <c r="AO177" s="121">
        <f t="shared" si="2"/>
        <v>123.21352643515814</v>
      </c>
      <c r="AP177" s="121">
        <f t="shared" si="2"/>
        <v>150.82033465338836</v>
      </c>
      <c r="AQ177" s="121">
        <f t="shared" si="2"/>
        <v>165</v>
      </c>
      <c r="AR177" s="121">
        <f t="shared" si="2"/>
        <v>165.942168523493</v>
      </c>
      <c r="AS177" s="121">
        <f t="shared" si="2"/>
        <v>7.5</v>
      </c>
      <c r="AT177" s="121">
        <f t="shared" si="2"/>
        <v>172.5</v>
      </c>
      <c r="AU177" s="121">
        <f t="shared" si="2"/>
        <v>163.34180628639254</v>
      </c>
      <c r="AV177" s="121">
        <f t="shared" si="2"/>
        <v>165</v>
      </c>
      <c r="AW177" s="121">
        <f t="shared" si="2"/>
        <v>1.1009920804381181</v>
      </c>
      <c r="AX177" s="121">
        <f t="shared" si="2"/>
        <v>332.31874461018685</v>
      </c>
      <c r="AY177" s="121">
        <f t="shared" si="2"/>
        <v>319.53591391989846</v>
      </c>
    </row>
    <row r="178" spans="1:51" x14ac:dyDescent="0.15">
      <c r="A178" s="122"/>
      <c r="B178" s="133" t="s">
        <v>298</v>
      </c>
      <c r="C178" s="122" t="s">
        <v>292</v>
      </c>
      <c r="D178" s="122">
        <v>0</v>
      </c>
      <c r="E178" s="122">
        <v>0</v>
      </c>
      <c r="F178" s="122">
        <v>164.29022298471361</v>
      </c>
      <c r="G178" s="122">
        <v>164.33524183128984</v>
      </c>
      <c r="H178" s="122">
        <v>164.38026307297866</v>
      </c>
      <c r="I178" s="122">
        <v>0</v>
      </c>
      <c r="J178" s="122">
        <v>328.8955633468878</v>
      </c>
      <c r="K178" s="122">
        <v>164.51526895356119</v>
      </c>
      <c r="L178" s="122">
        <v>158.31720241246387</v>
      </c>
      <c r="M178" s="122">
        <v>0</v>
      </c>
      <c r="N178" s="122">
        <v>324.88836812871602</v>
      </c>
      <c r="O178" s="122">
        <v>2.8421709430404007E-14</v>
      </c>
      <c r="P178" s="122">
        <v>314.56089140421466</v>
      </c>
      <c r="Q178" s="122">
        <v>164.78437044444755</v>
      </c>
      <c r="R178" s="122">
        <v>164.82901853286421</v>
      </c>
      <c r="S178" s="122">
        <v>164.87358966788369</v>
      </c>
      <c r="T178" s="122">
        <v>164.91807667223569</v>
      </c>
      <c r="U178" s="122">
        <v>164.9624723801825</v>
      </c>
      <c r="V178" s="122">
        <v>140.50806606654064</v>
      </c>
      <c r="W178" s="122">
        <v>15</v>
      </c>
      <c r="X178" s="122">
        <v>278.96880111536893</v>
      </c>
      <c r="Y178" s="122">
        <v>165.13899940758668</v>
      </c>
      <c r="Z178" s="122">
        <v>150</v>
      </c>
      <c r="AA178" s="122">
        <v>180.40936153304773</v>
      </c>
      <c r="AB178" s="122">
        <v>165.27008711988549</v>
      </c>
      <c r="AC178" s="122">
        <v>15</v>
      </c>
      <c r="AD178" s="122">
        <v>300.31349629050976</v>
      </c>
      <c r="AE178" s="122">
        <v>165.39984246758843</v>
      </c>
      <c r="AF178" s="122">
        <v>165.35675040013592</v>
      </c>
      <c r="AG178" s="122">
        <v>163.24789899146293</v>
      </c>
      <c r="AH178" s="122">
        <v>147.66701486362237</v>
      </c>
      <c r="AI178" s="122">
        <v>15</v>
      </c>
      <c r="AJ178" s="122">
        <v>165.61262967284611</v>
      </c>
      <c r="AK178" s="122">
        <v>165.57045160440265</v>
      </c>
      <c r="AL178" s="122">
        <v>300.65460438696266</v>
      </c>
      <c r="AM178" s="122">
        <v>15</v>
      </c>
      <c r="AN178" s="122">
        <v>224</v>
      </c>
      <c r="AO178" s="122">
        <v>123.21352643515814</v>
      </c>
      <c r="AP178" s="122">
        <v>150.82033465338836</v>
      </c>
      <c r="AQ178" s="122">
        <v>165</v>
      </c>
      <c r="AR178" s="122">
        <v>165.942168523493</v>
      </c>
      <c r="AS178" s="122">
        <v>7.5</v>
      </c>
      <c r="AT178" s="122">
        <v>172.5</v>
      </c>
      <c r="AU178" s="122">
        <v>163.34180628639254</v>
      </c>
      <c r="AV178" s="122">
        <v>165</v>
      </c>
      <c r="AW178" s="122">
        <v>1.1009920804381181</v>
      </c>
      <c r="AX178" s="122">
        <v>179</v>
      </c>
      <c r="AY178" s="122">
        <v>203</v>
      </c>
    </row>
    <row r="179" spans="1:51" x14ac:dyDescent="0.15">
      <c r="A179" s="132" t="s">
        <v>134</v>
      </c>
      <c r="B179" s="132" t="s">
        <v>297</v>
      </c>
      <c r="C179" s="121" t="s">
        <v>292</v>
      </c>
      <c r="D179" s="121">
        <f t="shared" ref="D179:AY179" si="3">SUM(D109:D120)</f>
        <v>0</v>
      </c>
      <c r="E179" s="121">
        <f t="shared" si="3"/>
        <v>0</v>
      </c>
      <c r="F179" s="121">
        <f t="shared" si="3"/>
        <v>0</v>
      </c>
      <c r="G179" s="121">
        <f t="shared" si="3"/>
        <v>1055.7422610035351</v>
      </c>
      <c r="H179" s="121">
        <f t="shared" si="3"/>
        <v>127.16762091564492</v>
      </c>
      <c r="I179" s="121">
        <f t="shared" si="3"/>
        <v>1985.1848007305375</v>
      </c>
      <c r="J179" s="121">
        <f t="shared" si="3"/>
        <v>1336.781576306741</v>
      </c>
      <c r="K179" s="121">
        <f t="shared" si="3"/>
        <v>694.44778167344396</v>
      </c>
      <c r="L179" s="121">
        <f t="shared" si="3"/>
        <v>967.9745819976481</v>
      </c>
      <c r="M179" s="121">
        <f t="shared" si="3"/>
        <v>1138.5778984502881</v>
      </c>
      <c r="N179" s="121">
        <f t="shared" si="3"/>
        <v>975.46344690517367</v>
      </c>
      <c r="O179" s="121">
        <f t="shared" si="3"/>
        <v>1530.7735361919911</v>
      </c>
      <c r="P179" s="121">
        <f t="shared" si="3"/>
        <v>761.81337540293123</v>
      </c>
      <c r="Q179" s="121">
        <f t="shared" si="3"/>
        <v>1508.2148056128763</v>
      </c>
      <c r="R179" s="121">
        <f t="shared" si="3"/>
        <v>2048.9734789625772</v>
      </c>
      <c r="S179" s="121">
        <f t="shared" si="3"/>
        <v>2922.4219325021336</v>
      </c>
      <c r="T179" s="121">
        <f t="shared" si="3"/>
        <v>2845.9555610981315</v>
      </c>
      <c r="U179" s="121">
        <f t="shared" si="3"/>
        <v>3815.0829485509712</v>
      </c>
      <c r="V179" s="121">
        <f t="shared" si="3"/>
        <v>5176.4003401321379</v>
      </c>
      <c r="W179" s="121">
        <f t="shared" si="3"/>
        <v>5871.8264875001041</v>
      </c>
      <c r="X179" s="121">
        <f t="shared" si="3"/>
        <v>6163.4224847268933</v>
      </c>
      <c r="Y179" s="121">
        <f t="shared" si="3"/>
        <v>7677.4519974258328</v>
      </c>
      <c r="Z179" s="121">
        <f t="shared" si="3"/>
        <v>8124.3293972027423</v>
      </c>
      <c r="AA179" s="121">
        <f t="shared" si="3"/>
        <v>9390.2228500912497</v>
      </c>
      <c r="AB179" s="121">
        <f t="shared" si="3"/>
        <v>10259.874128601252</v>
      </c>
      <c r="AC179" s="121">
        <f t="shared" si="3"/>
        <v>12218.456788304824</v>
      </c>
      <c r="AD179" s="121">
        <f t="shared" si="3"/>
        <v>13795.247266743343</v>
      </c>
      <c r="AE179" s="121">
        <f t="shared" si="3"/>
        <v>14956.427040811534</v>
      </c>
      <c r="AF179" s="121">
        <f t="shared" si="3"/>
        <v>15899.739122920517</v>
      </c>
      <c r="AG179" s="121">
        <f t="shared" si="3"/>
        <v>15994.944467183073</v>
      </c>
      <c r="AH179" s="121">
        <f t="shared" si="3"/>
        <v>17419.647641319469</v>
      </c>
      <c r="AI179" s="121">
        <f t="shared" si="3"/>
        <v>18056.783034901524</v>
      </c>
      <c r="AJ179" s="121">
        <f t="shared" si="3"/>
        <v>17911.871016145004</v>
      </c>
      <c r="AK179" s="121">
        <f t="shared" si="3"/>
        <v>19168.263542556007</v>
      </c>
      <c r="AL179" s="121">
        <f t="shared" si="3"/>
        <v>18522.455667940802</v>
      </c>
      <c r="AM179" s="121">
        <f t="shared" si="3"/>
        <v>19111.674667533862</v>
      </c>
      <c r="AN179" s="121">
        <f t="shared" si="3"/>
        <v>18318.476849205741</v>
      </c>
      <c r="AO179" s="121">
        <f t="shared" si="3"/>
        <v>18528.314781140554</v>
      </c>
      <c r="AP179" s="121">
        <f t="shared" si="3"/>
        <v>17908.295588621397</v>
      </c>
      <c r="AQ179" s="121">
        <f t="shared" si="3"/>
        <v>18277.592960039554</v>
      </c>
      <c r="AR179" s="121">
        <f t="shared" si="3"/>
        <v>18174.130764593778</v>
      </c>
      <c r="AS179" s="121">
        <f t="shared" si="3"/>
        <v>16029.189226191073</v>
      </c>
      <c r="AT179" s="121">
        <f t="shared" si="3"/>
        <v>15774.836799672998</v>
      </c>
      <c r="AU179" s="121">
        <f t="shared" si="3"/>
        <v>15153.534743102606</v>
      </c>
      <c r="AV179" s="121">
        <f t="shared" si="3"/>
        <v>15796.198862867783</v>
      </c>
      <c r="AW179" s="121">
        <f t="shared" si="3"/>
        <v>15950.576635775395</v>
      </c>
      <c r="AX179" s="121">
        <f t="shared" si="3"/>
        <v>15471.757546155122</v>
      </c>
      <c r="AY179" s="121">
        <f t="shared" si="3"/>
        <v>16028.537355072738</v>
      </c>
    </row>
    <row r="180" spans="1:51" x14ac:dyDescent="0.15">
      <c r="A180" s="122"/>
      <c r="B180" s="133" t="s">
        <v>298</v>
      </c>
      <c r="C180" s="122" t="s">
        <v>292</v>
      </c>
      <c r="D180" s="122">
        <v>0</v>
      </c>
      <c r="E180" s="122">
        <v>0</v>
      </c>
      <c r="F180" s="122">
        <v>0</v>
      </c>
      <c r="G180" s="122">
        <v>1055.7422610035351</v>
      </c>
      <c r="H180" s="122">
        <v>127.16762091564492</v>
      </c>
      <c r="I180" s="122">
        <v>1581</v>
      </c>
      <c r="J180" s="122">
        <v>1336.781576306741</v>
      </c>
      <c r="K180" s="122">
        <v>694.44778167344396</v>
      </c>
      <c r="L180" s="122">
        <v>967.9745819976481</v>
      </c>
      <c r="M180" s="122">
        <v>1138.5778984502881</v>
      </c>
      <c r="N180" s="122">
        <v>975.46344690517367</v>
      </c>
      <c r="O180" s="122">
        <v>1144</v>
      </c>
      <c r="P180" s="122">
        <v>761.81337540293123</v>
      </c>
      <c r="Q180" s="122">
        <v>785.93302788301105</v>
      </c>
      <c r="R180" s="122">
        <v>832.09687801651773</v>
      </c>
      <c r="S180" s="122">
        <v>863.00973152810207</v>
      </c>
      <c r="T180" s="122">
        <v>495.41811546983814</v>
      </c>
      <c r="U180" s="122">
        <v>586.12062142205104</v>
      </c>
      <c r="V180" s="122">
        <v>600.3039177990288</v>
      </c>
      <c r="W180" s="122">
        <v>563.94827586206895</v>
      </c>
      <c r="X180" s="122">
        <v>402.34940695435574</v>
      </c>
      <c r="Y180" s="122">
        <v>427.20685627635453</v>
      </c>
      <c r="Z180" s="122">
        <v>394.50649350649354</v>
      </c>
      <c r="AA180" s="122">
        <v>451.78201859497602</v>
      </c>
      <c r="AB180" s="122">
        <v>351.93764642523098</v>
      </c>
      <c r="AC180" s="122">
        <v>429.92281303602056</v>
      </c>
      <c r="AD180" s="122">
        <v>364.87221329632632</v>
      </c>
      <c r="AE180" s="122">
        <v>300.25004065308991</v>
      </c>
      <c r="AF180" s="122">
        <v>235.32845974635407</v>
      </c>
      <c r="AG180" s="122">
        <v>328.07351214711701</v>
      </c>
      <c r="AH180" s="122">
        <v>276.68634427882233</v>
      </c>
      <c r="AI180" s="122">
        <v>263.88219895287961</v>
      </c>
      <c r="AJ180" s="122">
        <v>251.06850850000006</v>
      </c>
      <c r="AK180" s="122">
        <v>208.38798950757436</v>
      </c>
      <c r="AL180" s="122">
        <v>230.39201665544735</v>
      </c>
      <c r="AM180" s="122">
        <v>198.86486486486487</v>
      </c>
      <c r="AN180" s="122">
        <v>232</v>
      </c>
      <c r="AO180" s="122">
        <v>223.37098422979531</v>
      </c>
      <c r="AP180" s="122">
        <v>157.95728833131065</v>
      </c>
      <c r="AQ180" s="122">
        <v>164.83196702851222</v>
      </c>
      <c r="AR180" s="122">
        <v>132</v>
      </c>
      <c r="AS180" s="122">
        <v>140.46066433566435</v>
      </c>
      <c r="AT180" s="122">
        <v>190.88815575987019</v>
      </c>
      <c r="AU180" s="122">
        <v>146.40110086644572</v>
      </c>
      <c r="AV180" s="122">
        <v>124.46186329908102</v>
      </c>
      <c r="AW180" s="122">
        <v>162.21876387932883</v>
      </c>
      <c r="AX180" s="122">
        <v>133</v>
      </c>
      <c r="AY180" s="122">
        <v>142</v>
      </c>
    </row>
    <row r="181" spans="1:51" x14ac:dyDescent="0.15">
      <c r="A181" s="132" t="s">
        <v>123</v>
      </c>
      <c r="B181" s="132" t="s">
        <v>297</v>
      </c>
      <c r="C181" s="121" t="s">
        <v>292</v>
      </c>
      <c r="D181" s="121">
        <f t="shared" ref="D181:AY181" si="4">(1-D172)*SUM(D122:D169)</f>
        <v>0</v>
      </c>
      <c r="E181" s="121">
        <f t="shared" si="4"/>
        <v>0</v>
      </c>
      <c r="F181" s="121">
        <f t="shared" si="4"/>
        <v>1055.7422610035351</v>
      </c>
      <c r="G181" s="121">
        <f t="shared" si="4"/>
        <v>127.16762091564492</v>
      </c>
      <c r="H181" s="121">
        <f t="shared" si="4"/>
        <v>1985.1848007305375</v>
      </c>
      <c r="I181" s="121">
        <f t="shared" si="4"/>
        <v>932.59677557620353</v>
      </c>
      <c r="J181" s="121">
        <f t="shared" si="4"/>
        <v>694.44778167344396</v>
      </c>
      <c r="K181" s="121">
        <f t="shared" si="4"/>
        <v>967.9745819976481</v>
      </c>
      <c r="L181" s="121">
        <f t="shared" si="4"/>
        <v>1138.5778984502881</v>
      </c>
      <c r="M181" s="121">
        <f t="shared" si="4"/>
        <v>975.46344690517367</v>
      </c>
      <c r="N181" s="121">
        <f t="shared" si="4"/>
        <v>1530.7735361919911</v>
      </c>
      <c r="O181" s="121">
        <f t="shared" si="4"/>
        <v>375.03983921094016</v>
      </c>
      <c r="P181" s="121">
        <f t="shared" si="4"/>
        <v>1508.2148056128763</v>
      </c>
      <c r="Q181" s="121">
        <f t="shared" si="4"/>
        <v>1326.6917012327121</v>
      </c>
      <c r="R181" s="121">
        <f t="shared" si="4"/>
        <v>1705.545331556074</v>
      </c>
      <c r="S181" s="121">
        <f t="shared" si="4"/>
        <v>786.5433601241001</v>
      </c>
      <c r="T181" s="121">
        <f t="shared" si="4"/>
        <v>1464.545502922678</v>
      </c>
      <c r="U181" s="121">
        <f t="shared" si="4"/>
        <v>1947.4380130032173</v>
      </c>
      <c r="V181" s="121">
        <f t="shared" si="4"/>
        <v>1295.7300651669955</v>
      </c>
      <c r="W181" s="121">
        <f t="shared" si="4"/>
        <v>855.54427308885795</v>
      </c>
      <c r="X181" s="121">
        <f t="shared" si="4"/>
        <v>1916.3789196532957</v>
      </c>
      <c r="Y181" s="121">
        <f t="shared" si="4"/>
        <v>874.08425605326329</v>
      </c>
      <c r="Z181" s="121">
        <f t="shared" si="4"/>
        <v>1660.3999463949997</v>
      </c>
      <c r="AA181" s="121">
        <f t="shared" si="4"/>
        <v>1321.4332971049785</v>
      </c>
      <c r="AB181" s="121">
        <f t="shared" si="4"/>
        <v>2310.5203061288044</v>
      </c>
      <c r="AC181" s="121">
        <f t="shared" si="4"/>
        <v>2006.7132914745403</v>
      </c>
      <c r="AD181" s="121">
        <f t="shared" si="4"/>
        <v>1526.0519873645148</v>
      </c>
      <c r="AE181" s="121">
        <f t="shared" si="4"/>
        <v>1243.5621227620727</v>
      </c>
      <c r="AF181" s="121">
        <f t="shared" si="4"/>
        <v>1056.8344162545593</v>
      </c>
      <c r="AG181" s="121">
        <f t="shared" si="4"/>
        <v>2685.0273203137504</v>
      </c>
      <c r="AH181" s="121">
        <f t="shared" si="4"/>
        <v>1791.3153866746109</v>
      </c>
      <c r="AI181" s="121">
        <f t="shared" si="4"/>
        <v>1680.5199421157809</v>
      </c>
      <c r="AJ181" s="121">
        <f t="shared" si="4"/>
        <v>2203.6191903721733</v>
      </c>
      <c r="AK181" s="121">
        <f t="shared" si="4"/>
        <v>1124.5605667382879</v>
      </c>
      <c r="AL181" s="121">
        <f t="shared" si="4"/>
        <v>2045.6658861790538</v>
      </c>
      <c r="AM181" s="121">
        <f t="shared" si="4"/>
        <v>1485.0971261076988</v>
      </c>
      <c r="AN181" s="121">
        <f t="shared" si="4"/>
        <v>1824.9728938389958</v>
      </c>
      <c r="AO181" s="121">
        <f t="shared" si="4"/>
        <v>943.64598835067022</v>
      </c>
      <c r="AP181" s="121">
        <f t="shared" si="4"/>
        <v>1494.1165805872838</v>
      </c>
      <c r="AQ181" s="121">
        <f t="shared" si="4"/>
        <v>856.79822405179993</v>
      </c>
      <c r="AR181" s="121">
        <f t="shared" si="4"/>
        <v>408.4542127733904</v>
      </c>
      <c r="AS181" s="121">
        <f t="shared" si="4"/>
        <v>1525.4060439104949</v>
      </c>
      <c r="AT181" s="121">
        <f t="shared" si="4"/>
        <v>1384.778451767736</v>
      </c>
      <c r="AU181" s="121">
        <f t="shared" si="4"/>
        <v>2536.1475512649849</v>
      </c>
      <c r="AV181" s="121">
        <f t="shared" si="4"/>
        <v>1403.7361413721706</v>
      </c>
      <c r="AW181" s="121">
        <f t="shared" si="4"/>
        <v>1615.3555736950045</v>
      </c>
      <c r="AX181" s="121">
        <f t="shared" si="4"/>
        <v>1897.003215952486</v>
      </c>
      <c r="AY181" s="121">
        <f t="shared" si="4"/>
        <v>1086.5572951169961</v>
      </c>
    </row>
    <row r="182" spans="1:51" x14ac:dyDescent="0.15">
      <c r="A182" s="122"/>
      <c r="B182" s="133" t="s">
        <v>298</v>
      </c>
      <c r="C182" s="122" t="s">
        <v>292</v>
      </c>
      <c r="D182" s="122">
        <v>0</v>
      </c>
      <c r="E182" s="122">
        <v>0</v>
      </c>
      <c r="F182" s="122">
        <v>1055.7422610035351</v>
      </c>
      <c r="G182" s="122">
        <v>127.16762091564492</v>
      </c>
      <c r="H182" s="122">
        <v>1830.4889943145872</v>
      </c>
      <c r="I182" s="122">
        <v>932.59677557620353</v>
      </c>
      <c r="J182" s="122">
        <v>694.44778167344396</v>
      </c>
      <c r="K182" s="122">
        <v>967.9745819976481</v>
      </c>
      <c r="L182" s="122">
        <v>1138.5778984502881</v>
      </c>
      <c r="M182" s="122">
        <v>975.46344690517367</v>
      </c>
      <c r="N182" s="122">
        <v>1013.1289272173025</v>
      </c>
      <c r="O182" s="122">
        <v>375.03983921094016</v>
      </c>
      <c r="P182" s="122">
        <v>823.84910126769125</v>
      </c>
      <c r="Q182" s="122">
        <v>827.93302788301105</v>
      </c>
      <c r="R182" s="122">
        <v>685.09687801651773</v>
      </c>
      <c r="S182" s="122">
        <v>786.5433601241001</v>
      </c>
      <c r="T182" s="122">
        <v>595.41811546983809</v>
      </c>
      <c r="U182" s="122">
        <v>510.12062142205104</v>
      </c>
      <c r="V182" s="122">
        <v>464.3039177990288</v>
      </c>
      <c r="W182" s="122">
        <v>572.94827586206895</v>
      </c>
      <c r="X182" s="122">
        <v>453.34940695435574</v>
      </c>
      <c r="Y182" s="122">
        <v>441.20685627635453</v>
      </c>
      <c r="Z182" s="122">
        <v>494.50649350649354</v>
      </c>
      <c r="AA182" s="122">
        <v>513.78201859497608</v>
      </c>
      <c r="AB182" s="122">
        <v>300.93764642523098</v>
      </c>
      <c r="AC182" s="122">
        <v>274.92281303602056</v>
      </c>
      <c r="AD182" s="122">
        <v>383.87221329632632</v>
      </c>
      <c r="AE182" s="122">
        <v>315.25004065308991</v>
      </c>
      <c r="AF182" s="122">
        <v>263.32845974635404</v>
      </c>
      <c r="AG182" s="122">
        <v>274.07351214711701</v>
      </c>
      <c r="AH182" s="122">
        <v>287.68634427882233</v>
      </c>
      <c r="AI182" s="122">
        <v>247.88219895287958</v>
      </c>
      <c r="AJ182" s="122">
        <v>240.06850850000006</v>
      </c>
      <c r="AK182" s="122">
        <v>227.38798950757436</v>
      </c>
      <c r="AL182" s="122">
        <v>244.39201665544735</v>
      </c>
      <c r="AM182" s="122">
        <v>171.86486486486487</v>
      </c>
      <c r="AN182" s="122">
        <v>193</v>
      </c>
      <c r="AO182" s="122">
        <v>171.37098422979531</v>
      </c>
      <c r="AP182" s="122">
        <v>185.95728833131065</v>
      </c>
      <c r="AQ182" s="122">
        <v>205.83196702851222</v>
      </c>
      <c r="AR182" s="122">
        <v>151</v>
      </c>
      <c r="AS182" s="122">
        <v>153.46066433566435</v>
      </c>
      <c r="AT182" s="122">
        <v>138.88815575987019</v>
      </c>
      <c r="AU182" s="122">
        <v>134.40110086644572</v>
      </c>
      <c r="AV182" s="122">
        <v>142.46186329908102</v>
      </c>
      <c r="AW182" s="122">
        <v>123.21876387932882</v>
      </c>
      <c r="AX182" s="122">
        <v>131</v>
      </c>
      <c r="AY182" s="122">
        <v>128</v>
      </c>
    </row>
    <row r="184" spans="1:51" x14ac:dyDescent="0.15">
      <c r="A184" s="99" t="s">
        <v>299</v>
      </c>
    </row>
    <row r="185" spans="1:51" x14ac:dyDescent="0.15">
      <c r="A185" s="123" t="s">
        <v>125</v>
      </c>
      <c r="B185" s="120">
        <v>1</v>
      </c>
      <c r="C185" s="121"/>
      <c r="D185" s="121">
        <v>1827</v>
      </c>
      <c r="E185" s="121">
        <v>0</v>
      </c>
      <c r="F185" s="121">
        <v>0</v>
      </c>
      <c r="G185" s="121">
        <v>0</v>
      </c>
      <c r="H185" s="121">
        <v>0</v>
      </c>
      <c r="I185" s="121">
        <v>0</v>
      </c>
      <c r="J185" s="121">
        <v>0</v>
      </c>
      <c r="K185" s="121">
        <v>0</v>
      </c>
      <c r="L185" s="121">
        <v>0</v>
      </c>
      <c r="M185" s="121">
        <v>0</v>
      </c>
      <c r="N185" s="121">
        <v>0</v>
      </c>
      <c r="O185" s="121">
        <v>0</v>
      </c>
      <c r="P185" s="121">
        <v>0</v>
      </c>
      <c r="Q185" s="121">
        <v>0</v>
      </c>
      <c r="R185" s="121">
        <v>0</v>
      </c>
      <c r="S185" s="121">
        <v>0</v>
      </c>
      <c r="T185" s="121">
        <v>0</v>
      </c>
      <c r="U185" s="121">
        <v>0</v>
      </c>
      <c r="V185" s="121">
        <v>0</v>
      </c>
      <c r="W185" s="121">
        <v>0</v>
      </c>
      <c r="X185" s="121">
        <v>0</v>
      </c>
      <c r="Y185" s="121">
        <v>0</v>
      </c>
      <c r="Z185" s="121">
        <v>0</v>
      </c>
      <c r="AA185" s="121">
        <v>0</v>
      </c>
      <c r="AB185" s="121">
        <v>0</v>
      </c>
      <c r="AC185" s="121">
        <v>0</v>
      </c>
      <c r="AD185" s="121">
        <v>0</v>
      </c>
      <c r="AE185" s="121">
        <v>0</v>
      </c>
      <c r="AF185" s="121">
        <v>0</v>
      </c>
      <c r="AG185" s="121">
        <v>0</v>
      </c>
      <c r="AH185" s="121">
        <v>0</v>
      </c>
      <c r="AI185" s="121">
        <v>0</v>
      </c>
      <c r="AJ185" s="121">
        <v>0</v>
      </c>
      <c r="AK185" s="121">
        <v>0</v>
      </c>
      <c r="AL185" s="121">
        <v>0</v>
      </c>
      <c r="AM185" s="121">
        <v>0</v>
      </c>
      <c r="AN185" s="121">
        <v>0</v>
      </c>
      <c r="AO185" s="121">
        <v>0</v>
      </c>
      <c r="AP185" s="121">
        <v>0</v>
      </c>
      <c r="AQ185" s="121">
        <v>0</v>
      </c>
      <c r="AR185" s="121">
        <v>0</v>
      </c>
      <c r="AS185" s="121">
        <v>0</v>
      </c>
      <c r="AT185" s="121">
        <v>0</v>
      </c>
      <c r="AU185" s="121">
        <v>0</v>
      </c>
      <c r="AV185" s="121">
        <v>0</v>
      </c>
      <c r="AW185" s="121">
        <v>0</v>
      </c>
      <c r="AX185" s="121">
        <v>0</v>
      </c>
      <c r="AY185" s="121">
        <v>0</v>
      </c>
    </row>
    <row r="186" spans="1:51" x14ac:dyDescent="0.15">
      <c r="A186" s="106"/>
      <c r="B186" s="117">
        <v>2</v>
      </c>
      <c r="C186" s="103"/>
      <c r="D186" s="103">
        <v>0</v>
      </c>
      <c r="E186" s="103">
        <v>1924</v>
      </c>
      <c r="F186" s="103">
        <v>0</v>
      </c>
      <c r="G186" s="103">
        <v>0</v>
      </c>
      <c r="H186" s="103">
        <v>0</v>
      </c>
      <c r="I186" s="103">
        <v>0</v>
      </c>
      <c r="J186" s="103">
        <v>0</v>
      </c>
      <c r="K186" s="103">
        <v>0</v>
      </c>
      <c r="L186" s="103">
        <v>0</v>
      </c>
      <c r="M186" s="103">
        <v>0</v>
      </c>
      <c r="N186" s="103">
        <v>0</v>
      </c>
      <c r="O186" s="103">
        <v>0</v>
      </c>
      <c r="P186" s="103">
        <v>0</v>
      </c>
      <c r="Q186" s="103">
        <v>0</v>
      </c>
      <c r="R186" s="103">
        <v>0</v>
      </c>
      <c r="S186" s="103">
        <v>0</v>
      </c>
      <c r="T186" s="103">
        <v>0</v>
      </c>
      <c r="U186" s="103">
        <v>0</v>
      </c>
      <c r="V186" s="103">
        <v>0</v>
      </c>
      <c r="W186" s="103">
        <v>0</v>
      </c>
      <c r="X186" s="103">
        <v>0</v>
      </c>
      <c r="Y186" s="103">
        <v>0</v>
      </c>
      <c r="Z186" s="103">
        <v>0</v>
      </c>
      <c r="AA186" s="103">
        <v>0</v>
      </c>
      <c r="AB186" s="103">
        <v>0</v>
      </c>
      <c r="AC186" s="103">
        <v>0</v>
      </c>
      <c r="AD186" s="103">
        <v>0</v>
      </c>
      <c r="AE186" s="103">
        <v>0</v>
      </c>
      <c r="AF186" s="103">
        <v>0</v>
      </c>
      <c r="AG186" s="103">
        <v>0</v>
      </c>
      <c r="AH186" s="103">
        <v>0</v>
      </c>
      <c r="AI186" s="103">
        <v>0</v>
      </c>
      <c r="AJ186" s="103">
        <v>0</v>
      </c>
      <c r="AK186" s="103">
        <v>0</v>
      </c>
      <c r="AL186" s="103">
        <v>0</v>
      </c>
      <c r="AM186" s="103">
        <v>0</v>
      </c>
      <c r="AN186" s="103">
        <v>0</v>
      </c>
      <c r="AO186" s="103">
        <v>0</v>
      </c>
      <c r="AP186" s="103">
        <v>0</v>
      </c>
      <c r="AQ186" s="103">
        <v>0</v>
      </c>
      <c r="AR186" s="103">
        <v>0</v>
      </c>
      <c r="AS186" s="103">
        <v>0</v>
      </c>
      <c r="AT186" s="103">
        <v>0</v>
      </c>
      <c r="AU186" s="103">
        <v>0</v>
      </c>
      <c r="AV186" s="103">
        <v>0</v>
      </c>
      <c r="AW186" s="103">
        <v>0</v>
      </c>
      <c r="AX186" s="103">
        <v>0</v>
      </c>
      <c r="AY186" s="103">
        <v>0</v>
      </c>
    </row>
    <row r="187" spans="1:51" x14ac:dyDescent="0.15">
      <c r="A187" s="106"/>
      <c r="B187" s="124">
        <v>3</v>
      </c>
      <c r="C187" s="103"/>
      <c r="D187" s="103">
        <v>0</v>
      </c>
      <c r="E187" s="103">
        <v>0</v>
      </c>
      <c r="F187" s="103">
        <v>1706</v>
      </c>
      <c r="G187" s="103">
        <v>0</v>
      </c>
      <c r="H187" s="103">
        <v>0</v>
      </c>
      <c r="I187" s="103">
        <v>0</v>
      </c>
      <c r="J187" s="103">
        <v>0</v>
      </c>
      <c r="K187" s="103">
        <v>0</v>
      </c>
      <c r="L187" s="103">
        <v>0</v>
      </c>
      <c r="M187" s="103">
        <v>0</v>
      </c>
      <c r="N187" s="103">
        <v>0</v>
      </c>
      <c r="O187" s="103">
        <v>0</v>
      </c>
      <c r="P187" s="103">
        <v>0</v>
      </c>
      <c r="Q187" s="103">
        <v>0</v>
      </c>
      <c r="R187" s="103">
        <v>0</v>
      </c>
      <c r="S187" s="103">
        <v>0</v>
      </c>
      <c r="T187" s="103">
        <v>0</v>
      </c>
      <c r="U187" s="103">
        <v>0</v>
      </c>
      <c r="V187" s="103">
        <v>0</v>
      </c>
      <c r="W187" s="103">
        <v>0</v>
      </c>
      <c r="X187" s="103">
        <v>0</v>
      </c>
      <c r="Y187" s="103">
        <v>0</v>
      </c>
      <c r="Z187" s="103">
        <v>0</v>
      </c>
      <c r="AA187" s="103">
        <v>0</v>
      </c>
      <c r="AB187" s="103">
        <v>0</v>
      </c>
      <c r="AC187" s="103">
        <v>0</v>
      </c>
      <c r="AD187" s="103">
        <v>0</v>
      </c>
      <c r="AE187" s="103">
        <v>0</v>
      </c>
      <c r="AF187" s="103">
        <v>0</v>
      </c>
      <c r="AG187" s="103">
        <v>267</v>
      </c>
      <c r="AH187" s="103">
        <v>243</v>
      </c>
      <c r="AI187" s="103">
        <v>247</v>
      </c>
      <c r="AJ187" s="103">
        <v>210</v>
      </c>
      <c r="AK187" s="103">
        <v>184</v>
      </c>
      <c r="AL187" s="103">
        <v>232</v>
      </c>
      <c r="AM187" s="103">
        <v>250</v>
      </c>
      <c r="AN187" s="103">
        <v>190</v>
      </c>
      <c r="AO187" s="103">
        <v>193</v>
      </c>
      <c r="AP187" s="103">
        <v>146</v>
      </c>
      <c r="AQ187" s="103">
        <v>157</v>
      </c>
      <c r="AR187" s="103">
        <v>0</v>
      </c>
      <c r="AS187" s="103">
        <v>0</v>
      </c>
      <c r="AT187" s="103">
        <v>0</v>
      </c>
      <c r="AU187" s="103">
        <v>162</v>
      </c>
      <c r="AV187" s="103">
        <v>0</v>
      </c>
      <c r="AW187" s="103">
        <v>0</v>
      </c>
      <c r="AX187" s="103">
        <v>129</v>
      </c>
      <c r="AY187" s="103">
        <v>0</v>
      </c>
    </row>
    <row r="188" spans="1:51" x14ac:dyDescent="0.15">
      <c r="A188" s="125"/>
      <c r="B188" s="126">
        <v>4</v>
      </c>
      <c r="C188" s="103"/>
      <c r="D188" s="103">
        <v>0</v>
      </c>
      <c r="E188" s="103">
        <v>0</v>
      </c>
      <c r="F188" s="103">
        <v>0</v>
      </c>
      <c r="G188" s="103">
        <v>2158</v>
      </c>
      <c r="H188" s="103">
        <v>1523</v>
      </c>
      <c r="I188" s="103">
        <v>1205</v>
      </c>
      <c r="J188" s="103">
        <v>1118</v>
      </c>
      <c r="K188" s="103">
        <v>1501</v>
      </c>
      <c r="L188" s="103">
        <v>966</v>
      </c>
      <c r="M188" s="103">
        <v>991</v>
      </c>
      <c r="N188" s="103">
        <v>988</v>
      </c>
      <c r="O188" s="103">
        <v>846</v>
      </c>
      <c r="P188" s="103">
        <v>641</v>
      </c>
      <c r="Q188" s="103">
        <v>762</v>
      </c>
      <c r="R188" s="103">
        <v>732</v>
      </c>
      <c r="S188" s="103">
        <v>530</v>
      </c>
      <c r="T188" s="103">
        <v>436</v>
      </c>
      <c r="U188" s="103">
        <v>451</v>
      </c>
      <c r="V188" s="103">
        <v>370</v>
      </c>
      <c r="W188" s="103">
        <v>410</v>
      </c>
      <c r="X188" s="103">
        <v>319</v>
      </c>
      <c r="Y188" s="103">
        <v>289</v>
      </c>
      <c r="Z188" s="103">
        <v>316</v>
      </c>
      <c r="AA188" s="103">
        <v>404</v>
      </c>
      <c r="AB188" s="103">
        <v>318</v>
      </c>
      <c r="AC188" s="103">
        <v>267</v>
      </c>
      <c r="AD188" s="103">
        <v>275</v>
      </c>
      <c r="AE188" s="103">
        <v>286</v>
      </c>
      <c r="AF188" s="103">
        <v>271</v>
      </c>
      <c r="AG188" s="103">
        <v>0</v>
      </c>
      <c r="AH188" s="103">
        <v>0</v>
      </c>
      <c r="AI188" s="103">
        <v>0</v>
      </c>
      <c r="AJ188" s="103">
        <v>0</v>
      </c>
      <c r="AK188" s="103">
        <v>0</v>
      </c>
      <c r="AL188" s="103">
        <v>0</v>
      </c>
      <c r="AM188" s="103">
        <v>0</v>
      </c>
      <c r="AN188" s="103">
        <v>0</v>
      </c>
      <c r="AO188" s="103">
        <v>0</v>
      </c>
      <c r="AP188" s="103">
        <v>0</v>
      </c>
      <c r="AQ188" s="103">
        <v>0</v>
      </c>
      <c r="AR188" s="103">
        <v>119</v>
      </c>
      <c r="AS188" s="103">
        <v>147</v>
      </c>
      <c r="AT188" s="103">
        <v>140</v>
      </c>
      <c r="AU188" s="103">
        <v>0</v>
      </c>
      <c r="AV188" s="103">
        <v>132</v>
      </c>
      <c r="AW188" s="103">
        <v>108</v>
      </c>
      <c r="AX188" s="103">
        <v>0</v>
      </c>
      <c r="AY188" s="103">
        <v>134</v>
      </c>
    </row>
    <row r="189" spans="1:51" x14ac:dyDescent="0.15">
      <c r="A189" s="123" t="s">
        <v>133</v>
      </c>
      <c r="B189" s="120">
        <v>1</v>
      </c>
      <c r="C189" s="121"/>
      <c r="D189" s="121">
        <v>0</v>
      </c>
      <c r="E189" s="121">
        <v>0</v>
      </c>
      <c r="F189" s="121">
        <v>164.29022298471361</v>
      </c>
      <c r="G189" s="121">
        <v>164.33524183128984</v>
      </c>
      <c r="H189" s="121">
        <v>164.38026307297866</v>
      </c>
      <c r="I189" s="121">
        <v>0</v>
      </c>
      <c r="J189" s="121">
        <v>164.4702838575414</v>
      </c>
      <c r="K189" s="121">
        <v>164.51526895356116</v>
      </c>
      <c r="L189" s="121">
        <v>158.31720241246387</v>
      </c>
      <c r="M189" s="121">
        <v>0</v>
      </c>
      <c r="N189" s="121">
        <v>160.28321569379887</v>
      </c>
      <c r="O189" s="121">
        <v>0</v>
      </c>
      <c r="P189" s="121">
        <v>154.18053150165099</v>
      </c>
      <c r="Q189" s="121">
        <v>164.78437044444752</v>
      </c>
      <c r="R189" s="121">
        <v>164.82901853286421</v>
      </c>
      <c r="S189" s="121">
        <v>164.87358966788369</v>
      </c>
      <c r="T189" s="121">
        <v>164.91807667223569</v>
      </c>
      <c r="U189" s="121">
        <v>164.9624723801825</v>
      </c>
      <c r="V189" s="121">
        <v>140.50806606654064</v>
      </c>
      <c r="W189" s="121">
        <v>15</v>
      </c>
      <c r="X189" s="121">
        <v>147.01745977662918</v>
      </c>
      <c r="Y189" s="121">
        <v>165.13899940758668</v>
      </c>
      <c r="Z189" s="121">
        <v>150</v>
      </c>
      <c r="AA189" s="121">
        <v>165.22652989352318</v>
      </c>
      <c r="AB189" s="121">
        <v>165.27008711988549</v>
      </c>
      <c r="AC189" s="121">
        <v>15</v>
      </c>
      <c r="AD189" s="121">
        <v>150</v>
      </c>
      <c r="AE189" s="121">
        <v>165.39984246758843</v>
      </c>
      <c r="AF189" s="121">
        <v>150</v>
      </c>
      <c r="AG189" s="121">
        <v>162.09341434643707</v>
      </c>
      <c r="AH189" s="121">
        <v>147.66701486362237</v>
      </c>
      <c r="AI189" s="121">
        <v>15</v>
      </c>
      <c r="AJ189" s="121">
        <v>165.61262967284611</v>
      </c>
      <c r="AK189" s="121">
        <v>15</v>
      </c>
      <c r="AL189" s="121">
        <v>150</v>
      </c>
      <c r="AM189" s="121">
        <v>15</v>
      </c>
      <c r="AN189" s="121">
        <v>57.565714357701381</v>
      </c>
      <c r="AO189" s="121">
        <v>15</v>
      </c>
      <c r="AP189" s="121">
        <v>0</v>
      </c>
      <c r="AQ189" s="121">
        <v>165</v>
      </c>
      <c r="AR189" s="121">
        <v>165.942168523493</v>
      </c>
      <c r="AS189" s="121">
        <v>0</v>
      </c>
      <c r="AT189" s="121">
        <v>172.5</v>
      </c>
      <c r="AU189" s="121">
        <v>163.34180628639254</v>
      </c>
      <c r="AV189" s="121">
        <v>165</v>
      </c>
      <c r="AW189" s="121">
        <v>0</v>
      </c>
      <c r="AX189" s="121">
        <v>12.859991607379698</v>
      </c>
      <c r="AY189" s="121">
        <v>49.681255389813174</v>
      </c>
    </row>
    <row r="190" spans="1:51" x14ac:dyDescent="0.15">
      <c r="A190" s="106"/>
      <c r="B190" s="116">
        <v>2</v>
      </c>
      <c r="C190" s="103"/>
      <c r="D190" s="103">
        <v>0</v>
      </c>
      <c r="E190" s="103">
        <v>0</v>
      </c>
      <c r="F190" s="103">
        <v>0</v>
      </c>
      <c r="G190" s="103">
        <v>0</v>
      </c>
      <c r="H190" s="103">
        <v>0</v>
      </c>
      <c r="I190" s="103">
        <v>0</v>
      </c>
      <c r="J190" s="103">
        <v>164.42527948934639</v>
      </c>
      <c r="K190" s="103">
        <v>2.8421709430404007E-14</v>
      </c>
      <c r="L190" s="103">
        <v>0</v>
      </c>
      <c r="M190" s="103">
        <v>0</v>
      </c>
      <c r="N190" s="103">
        <v>164.60515243491716</v>
      </c>
      <c r="O190" s="103">
        <v>2.8421709430404007E-14</v>
      </c>
      <c r="P190" s="103">
        <v>160.38035990256367</v>
      </c>
      <c r="Q190" s="103">
        <v>2.8421709430404007E-14</v>
      </c>
      <c r="R190" s="103">
        <v>0</v>
      </c>
      <c r="S190" s="103">
        <v>0</v>
      </c>
      <c r="T190" s="103">
        <v>0</v>
      </c>
      <c r="U190" s="103">
        <v>0</v>
      </c>
      <c r="V190" s="103">
        <v>0</v>
      </c>
      <c r="W190" s="103">
        <v>0</v>
      </c>
      <c r="X190" s="103">
        <v>131.95134133873975</v>
      </c>
      <c r="Y190" s="103">
        <v>0</v>
      </c>
      <c r="Z190" s="103">
        <v>0</v>
      </c>
      <c r="AA190" s="103">
        <v>15.182831639524551</v>
      </c>
      <c r="AB190" s="103">
        <v>0</v>
      </c>
      <c r="AC190" s="103">
        <v>0</v>
      </c>
      <c r="AD190" s="103">
        <v>150.31349629050976</v>
      </c>
      <c r="AE190" s="103">
        <v>0</v>
      </c>
      <c r="AF190" s="103">
        <v>0</v>
      </c>
      <c r="AG190" s="103">
        <v>1.1544846450258603</v>
      </c>
      <c r="AH190" s="103">
        <v>0</v>
      </c>
      <c r="AI190" s="103">
        <v>0</v>
      </c>
      <c r="AJ190" s="103">
        <v>0</v>
      </c>
      <c r="AK190" s="103">
        <v>0</v>
      </c>
      <c r="AL190" s="103">
        <v>150.65460438696263</v>
      </c>
      <c r="AM190" s="103">
        <v>0</v>
      </c>
      <c r="AN190" s="103">
        <v>150.73791667365629</v>
      </c>
      <c r="AO190" s="103">
        <v>108.21352643515814</v>
      </c>
      <c r="AP190" s="103">
        <v>150.82033465338836</v>
      </c>
      <c r="AQ190" s="103">
        <v>0</v>
      </c>
      <c r="AR190" s="103">
        <v>0</v>
      </c>
      <c r="AS190" s="103">
        <v>0</v>
      </c>
      <c r="AT190" s="103">
        <v>0</v>
      </c>
      <c r="AU190" s="103">
        <v>0</v>
      </c>
      <c r="AV190" s="103">
        <v>0</v>
      </c>
      <c r="AW190" s="103">
        <v>1.1009920804381181</v>
      </c>
      <c r="AX190" s="103">
        <v>166.1400083926203</v>
      </c>
      <c r="AY190" s="103">
        <v>153.31874461018683</v>
      </c>
    </row>
    <row r="191" spans="1:51" x14ac:dyDescent="0.15">
      <c r="A191" s="106"/>
      <c r="B191" s="117">
        <v>3</v>
      </c>
      <c r="C191" s="103"/>
      <c r="D191" s="103">
        <v>0</v>
      </c>
      <c r="E191" s="103">
        <v>0</v>
      </c>
      <c r="F191" s="103">
        <v>0</v>
      </c>
      <c r="G191" s="103">
        <v>0</v>
      </c>
      <c r="H191" s="103">
        <v>0</v>
      </c>
      <c r="I191" s="103">
        <v>0</v>
      </c>
      <c r="J191" s="103">
        <v>0</v>
      </c>
      <c r="K191" s="103">
        <v>0</v>
      </c>
      <c r="L191" s="103">
        <v>0</v>
      </c>
      <c r="M191" s="103">
        <v>0</v>
      </c>
      <c r="N191" s="103">
        <v>0</v>
      </c>
      <c r="O191" s="103">
        <v>0</v>
      </c>
      <c r="P191" s="103">
        <v>0</v>
      </c>
      <c r="Q191" s="103">
        <v>0</v>
      </c>
      <c r="R191" s="103">
        <v>0</v>
      </c>
      <c r="S191" s="103">
        <v>0</v>
      </c>
      <c r="T191" s="103">
        <v>0</v>
      </c>
      <c r="U191" s="103">
        <v>0</v>
      </c>
      <c r="V191" s="103">
        <v>0</v>
      </c>
      <c r="W191" s="103">
        <v>0</v>
      </c>
      <c r="X191" s="103">
        <v>0</v>
      </c>
      <c r="Y191" s="103">
        <v>0</v>
      </c>
      <c r="Z191" s="103">
        <v>0</v>
      </c>
      <c r="AA191" s="103">
        <v>0</v>
      </c>
      <c r="AB191" s="103">
        <v>0</v>
      </c>
      <c r="AC191" s="103">
        <v>0</v>
      </c>
      <c r="AD191" s="103">
        <v>0</v>
      </c>
      <c r="AE191" s="103">
        <v>0</v>
      </c>
      <c r="AF191" s="103">
        <v>15.356750400135923</v>
      </c>
      <c r="AG191" s="103">
        <v>0</v>
      </c>
      <c r="AH191" s="103">
        <v>0</v>
      </c>
      <c r="AI191" s="103">
        <v>0</v>
      </c>
      <c r="AJ191" s="103">
        <v>0</v>
      </c>
      <c r="AK191" s="103">
        <v>150.57045160440265</v>
      </c>
      <c r="AL191" s="103">
        <v>0</v>
      </c>
      <c r="AM191" s="103">
        <v>0</v>
      </c>
      <c r="AN191" s="103">
        <v>15.696368968642332</v>
      </c>
      <c r="AO191" s="103">
        <v>0</v>
      </c>
      <c r="AP191" s="103">
        <v>0</v>
      </c>
      <c r="AQ191" s="103">
        <v>0</v>
      </c>
      <c r="AR191" s="103">
        <v>0</v>
      </c>
      <c r="AS191" s="103">
        <v>7.5</v>
      </c>
      <c r="AT191" s="103">
        <v>0</v>
      </c>
      <c r="AU191" s="103">
        <v>0</v>
      </c>
      <c r="AV191" s="103">
        <v>0</v>
      </c>
      <c r="AW191" s="103">
        <v>0</v>
      </c>
      <c r="AX191" s="103">
        <v>0</v>
      </c>
      <c r="AY191" s="103">
        <v>0</v>
      </c>
    </row>
    <row r="192" spans="1:51" x14ac:dyDescent="0.15">
      <c r="A192" s="106"/>
      <c r="B192" s="117">
        <v>4</v>
      </c>
      <c r="C192" s="103"/>
      <c r="D192" s="103">
        <v>0</v>
      </c>
      <c r="E192" s="103">
        <v>0</v>
      </c>
      <c r="F192" s="103">
        <v>0</v>
      </c>
      <c r="G192" s="103">
        <v>0</v>
      </c>
      <c r="H192" s="103">
        <v>0</v>
      </c>
      <c r="I192" s="103">
        <v>0</v>
      </c>
      <c r="J192" s="103">
        <v>0</v>
      </c>
      <c r="K192" s="103">
        <v>0</v>
      </c>
      <c r="L192" s="103">
        <v>0</v>
      </c>
      <c r="M192" s="103">
        <v>0</v>
      </c>
      <c r="N192" s="103">
        <v>0</v>
      </c>
      <c r="O192" s="103">
        <v>0</v>
      </c>
      <c r="P192" s="103">
        <v>0</v>
      </c>
      <c r="Q192" s="103">
        <v>0</v>
      </c>
      <c r="R192" s="103">
        <v>0</v>
      </c>
      <c r="S192" s="103">
        <v>0</v>
      </c>
      <c r="T192" s="103">
        <v>0</v>
      </c>
      <c r="U192" s="103">
        <v>0</v>
      </c>
      <c r="V192" s="103">
        <v>0</v>
      </c>
      <c r="W192" s="103">
        <v>0</v>
      </c>
      <c r="X192" s="103">
        <v>0</v>
      </c>
      <c r="Y192" s="103">
        <v>0</v>
      </c>
      <c r="Z192" s="103">
        <v>0</v>
      </c>
      <c r="AA192" s="103">
        <v>0</v>
      </c>
      <c r="AB192" s="103">
        <v>0</v>
      </c>
      <c r="AC192" s="103">
        <v>0</v>
      </c>
      <c r="AD192" s="103">
        <v>0</v>
      </c>
      <c r="AE192" s="103">
        <v>0</v>
      </c>
      <c r="AF192" s="103">
        <v>0</v>
      </c>
      <c r="AG192" s="103">
        <v>0</v>
      </c>
      <c r="AH192" s="103">
        <v>0</v>
      </c>
      <c r="AI192" s="103">
        <v>0</v>
      </c>
      <c r="AJ192" s="103">
        <v>0</v>
      </c>
      <c r="AK192" s="103">
        <v>0</v>
      </c>
      <c r="AL192" s="103">
        <v>0</v>
      </c>
      <c r="AM192" s="103">
        <v>0</v>
      </c>
      <c r="AN192" s="103">
        <v>0</v>
      </c>
      <c r="AO192" s="103">
        <v>0</v>
      </c>
      <c r="AP192" s="103">
        <v>0</v>
      </c>
      <c r="AQ192" s="103">
        <v>0</v>
      </c>
      <c r="AR192" s="103">
        <v>0</v>
      </c>
      <c r="AS192" s="103">
        <v>0</v>
      </c>
      <c r="AT192" s="103">
        <v>0</v>
      </c>
      <c r="AU192" s="103">
        <v>0</v>
      </c>
      <c r="AV192" s="103">
        <v>0</v>
      </c>
      <c r="AW192" s="103">
        <v>0</v>
      </c>
      <c r="AX192" s="103">
        <v>0</v>
      </c>
      <c r="AY192" s="103">
        <v>0</v>
      </c>
    </row>
    <row r="193" spans="1:51" x14ac:dyDescent="0.15">
      <c r="A193" s="106"/>
      <c r="B193" s="124">
        <v>5</v>
      </c>
      <c r="C193" s="103"/>
      <c r="D193" s="103">
        <v>0</v>
      </c>
      <c r="E193" s="103">
        <v>0</v>
      </c>
      <c r="F193" s="103">
        <v>0</v>
      </c>
      <c r="G193" s="103">
        <v>0</v>
      </c>
      <c r="H193" s="103">
        <v>0</v>
      </c>
      <c r="I193" s="103">
        <v>0</v>
      </c>
      <c r="J193" s="103">
        <v>0</v>
      </c>
      <c r="K193" s="103">
        <v>0</v>
      </c>
      <c r="L193" s="103">
        <v>0</v>
      </c>
      <c r="M193" s="103">
        <v>0</v>
      </c>
      <c r="N193" s="103">
        <v>0</v>
      </c>
      <c r="O193" s="103">
        <v>0</v>
      </c>
      <c r="P193" s="103">
        <v>0</v>
      </c>
      <c r="Q193" s="103">
        <v>0</v>
      </c>
      <c r="R193" s="103">
        <v>0</v>
      </c>
      <c r="S193" s="103">
        <v>0</v>
      </c>
      <c r="T193" s="103">
        <v>0</v>
      </c>
      <c r="U193" s="103">
        <v>0</v>
      </c>
      <c r="V193" s="103">
        <v>0</v>
      </c>
      <c r="W193" s="103">
        <v>0</v>
      </c>
      <c r="X193" s="103">
        <v>0</v>
      </c>
      <c r="Y193" s="103">
        <v>0</v>
      </c>
      <c r="Z193" s="103">
        <v>0</v>
      </c>
      <c r="AA193" s="103">
        <v>0</v>
      </c>
      <c r="AB193" s="103">
        <v>0</v>
      </c>
      <c r="AC193" s="103">
        <v>0</v>
      </c>
      <c r="AD193" s="103">
        <v>0</v>
      </c>
      <c r="AE193" s="103">
        <v>0</v>
      </c>
      <c r="AF193" s="103">
        <v>0</v>
      </c>
      <c r="AG193" s="103">
        <v>0</v>
      </c>
      <c r="AH193" s="103">
        <v>0</v>
      </c>
      <c r="AI193" s="103">
        <v>0</v>
      </c>
      <c r="AJ193" s="103">
        <v>0</v>
      </c>
      <c r="AK193" s="103">
        <v>0</v>
      </c>
      <c r="AL193" s="103">
        <v>0</v>
      </c>
      <c r="AM193" s="103">
        <v>0</v>
      </c>
      <c r="AN193" s="103">
        <v>0</v>
      </c>
      <c r="AO193" s="103">
        <v>0</v>
      </c>
      <c r="AP193" s="103">
        <v>0</v>
      </c>
      <c r="AQ193" s="103">
        <v>0</v>
      </c>
      <c r="AR193" s="103">
        <v>0</v>
      </c>
      <c r="AS193" s="103">
        <v>0</v>
      </c>
      <c r="AT193" s="103">
        <v>0</v>
      </c>
      <c r="AU193" s="103">
        <v>0</v>
      </c>
      <c r="AV193" s="103">
        <v>0</v>
      </c>
      <c r="AW193" s="103">
        <v>0</v>
      </c>
      <c r="AX193" s="103">
        <v>0</v>
      </c>
      <c r="AY193" s="103">
        <v>0</v>
      </c>
    </row>
    <row r="194" spans="1:51" x14ac:dyDescent="0.15">
      <c r="A194" s="106"/>
      <c r="B194" s="124">
        <v>6</v>
      </c>
      <c r="C194" s="103"/>
      <c r="D194" s="103">
        <v>0</v>
      </c>
      <c r="E194" s="103">
        <v>0</v>
      </c>
      <c r="F194" s="103">
        <v>0</v>
      </c>
      <c r="G194" s="103">
        <v>0</v>
      </c>
      <c r="H194" s="103">
        <v>0</v>
      </c>
      <c r="I194" s="103">
        <v>0</v>
      </c>
      <c r="J194" s="103">
        <v>0</v>
      </c>
      <c r="K194" s="103">
        <v>0</v>
      </c>
      <c r="L194" s="103">
        <v>0</v>
      </c>
      <c r="M194" s="103">
        <v>0</v>
      </c>
      <c r="N194" s="103">
        <v>0</v>
      </c>
      <c r="O194" s="103">
        <v>0</v>
      </c>
      <c r="P194" s="103">
        <v>0</v>
      </c>
      <c r="Q194" s="103">
        <v>0</v>
      </c>
      <c r="R194" s="103">
        <v>0</v>
      </c>
      <c r="S194" s="103">
        <v>0</v>
      </c>
      <c r="T194" s="103">
        <v>0</v>
      </c>
      <c r="U194" s="103">
        <v>0</v>
      </c>
      <c r="V194" s="103">
        <v>0</v>
      </c>
      <c r="W194" s="103">
        <v>0</v>
      </c>
      <c r="X194" s="103">
        <v>0</v>
      </c>
      <c r="Y194" s="103">
        <v>0</v>
      </c>
      <c r="Z194" s="103">
        <v>0</v>
      </c>
      <c r="AA194" s="103">
        <v>0</v>
      </c>
      <c r="AB194" s="103">
        <v>0</v>
      </c>
      <c r="AC194" s="103">
        <v>0</v>
      </c>
      <c r="AD194" s="103">
        <v>0</v>
      </c>
      <c r="AE194" s="103">
        <v>0</v>
      </c>
      <c r="AF194" s="103">
        <v>0</v>
      </c>
      <c r="AG194" s="103">
        <v>0</v>
      </c>
      <c r="AH194" s="103">
        <v>0</v>
      </c>
      <c r="AI194" s="103">
        <v>0</v>
      </c>
      <c r="AJ194" s="103">
        <v>0</v>
      </c>
      <c r="AK194" s="103">
        <v>0</v>
      </c>
      <c r="AL194" s="103">
        <v>0</v>
      </c>
      <c r="AM194" s="103">
        <v>0</v>
      </c>
      <c r="AN194" s="103">
        <v>0</v>
      </c>
      <c r="AO194" s="103">
        <v>0</v>
      </c>
      <c r="AP194" s="103">
        <v>0</v>
      </c>
      <c r="AQ194" s="103">
        <v>0</v>
      </c>
      <c r="AR194" s="103">
        <v>0</v>
      </c>
      <c r="AS194" s="103">
        <v>0</v>
      </c>
      <c r="AT194" s="103">
        <v>0</v>
      </c>
      <c r="AU194" s="103">
        <v>0</v>
      </c>
      <c r="AV194" s="103">
        <v>0</v>
      </c>
      <c r="AW194" s="103">
        <v>0</v>
      </c>
      <c r="AX194" s="103">
        <v>0</v>
      </c>
      <c r="AY194" s="103">
        <v>0</v>
      </c>
    </row>
    <row r="195" spans="1:51" x14ac:dyDescent="0.15">
      <c r="A195" s="106"/>
      <c r="B195" s="127">
        <v>7</v>
      </c>
      <c r="C195" s="103"/>
      <c r="D195" s="103">
        <v>0</v>
      </c>
      <c r="E195" s="103">
        <v>0</v>
      </c>
      <c r="F195" s="103">
        <v>0</v>
      </c>
      <c r="G195" s="103">
        <v>0</v>
      </c>
      <c r="H195" s="103">
        <v>0</v>
      </c>
      <c r="I195" s="103">
        <v>0</v>
      </c>
      <c r="J195" s="103">
        <v>0</v>
      </c>
      <c r="K195" s="103">
        <v>0</v>
      </c>
      <c r="L195" s="103">
        <v>0</v>
      </c>
      <c r="M195" s="103">
        <v>0</v>
      </c>
      <c r="N195" s="103">
        <v>0</v>
      </c>
      <c r="O195" s="103">
        <v>0</v>
      </c>
      <c r="P195" s="103">
        <v>0</v>
      </c>
      <c r="Q195" s="103">
        <v>0</v>
      </c>
      <c r="R195" s="103">
        <v>0</v>
      </c>
      <c r="S195" s="103">
        <v>0</v>
      </c>
      <c r="T195" s="103">
        <v>0</v>
      </c>
      <c r="U195" s="103">
        <v>0</v>
      </c>
      <c r="V195" s="103">
        <v>0</v>
      </c>
      <c r="W195" s="103">
        <v>0</v>
      </c>
      <c r="X195" s="103">
        <v>0</v>
      </c>
      <c r="Y195" s="103">
        <v>0</v>
      </c>
      <c r="Z195" s="103">
        <v>0</v>
      </c>
      <c r="AA195" s="103">
        <v>0</v>
      </c>
      <c r="AB195" s="103">
        <v>0</v>
      </c>
      <c r="AC195" s="103">
        <v>0</v>
      </c>
      <c r="AD195" s="103">
        <v>0</v>
      </c>
      <c r="AE195" s="103">
        <v>0</v>
      </c>
      <c r="AF195" s="103">
        <v>0</v>
      </c>
      <c r="AG195" s="103">
        <v>0</v>
      </c>
      <c r="AH195" s="103">
        <v>0</v>
      </c>
      <c r="AI195" s="103">
        <v>0</v>
      </c>
      <c r="AJ195" s="103">
        <v>0</v>
      </c>
      <c r="AK195" s="103">
        <v>0</v>
      </c>
      <c r="AL195" s="103">
        <v>0</v>
      </c>
      <c r="AM195" s="103">
        <v>0</v>
      </c>
      <c r="AN195" s="103">
        <v>0</v>
      </c>
      <c r="AO195" s="103">
        <v>0</v>
      </c>
      <c r="AP195" s="103">
        <v>0</v>
      </c>
      <c r="AQ195" s="103">
        <v>0</v>
      </c>
      <c r="AR195" s="103">
        <v>0</v>
      </c>
      <c r="AS195" s="103">
        <v>0</v>
      </c>
      <c r="AT195" s="103">
        <v>0</v>
      </c>
      <c r="AU195" s="103">
        <v>0</v>
      </c>
      <c r="AV195" s="103">
        <v>0</v>
      </c>
      <c r="AW195" s="103">
        <v>0</v>
      </c>
      <c r="AX195" s="103">
        <v>0</v>
      </c>
      <c r="AY195" s="103">
        <v>0</v>
      </c>
    </row>
    <row r="196" spans="1:51" x14ac:dyDescent="0.15">
      <c r="A196" s="125"/>
      <c r="B196" s="126">
        <v>8</v>
      </c>
      <c r="C196" s="111"/>
      <c r="D196" s="111">
        <v>0</v>
      </c>
      <c r="E196" s="111">
        <v>0</v>
      </c>
      <c r="F196" s="111">
        <v>0</v>
      </c>
      <c r="G196" s="111">
        <v>0</v>
      </c>
      <c r="H196" s="111">
        <v>0</v>
      </c>
      <c r="I196" s="111">
        <v>0</v>
      </c>
      <c r="J196" s="111">
        <v>0</v>
      </c>
      <c r="K196" s="111">
        <v>0</v>
      </c>
      <c r="L196" s="111">
        <v>0</v>
      </c>
      <c r="M196" s="111">
        <v>0</v>
      </c>
      <c r="N196" s="111">
        <v>0</v>
      </c>
      <c r="O196" s="111">
        <v>0</v>
      </c>
      <c r="P196" s="111">
        <v>0</v>
      </c>
      <c r="Q196" s="111">
        <v>0</v>
      </c>
      <c r="R196" s="111">
        <v>0</v>
      </c>
      <c r="S196" s="111">
        <v>0</v>
      </c>
      <c r="T196" s="111">
        <v>0</v>
      </c>
      <c r="U196" s="111">
        <v>0</v>
      </c>
      <c r="V196" s="111">
        <v>0</v>
      </c>
      <c r="W196" s="111">
        <v>0</v>
      </c>
      <c r="X196" s="111">
        <v>0</v>
      </c>
      <c r="Y196" s="111">
        <v>0</v>
      </c>
      <c r="Z196" s="111">
        <v>0</v>
      </c>
      <c r="AA196" s="111">
        <v>0</v>
      </c>
      <c r="AB196" s="111">
        <v>0</v>
      </c>
      <c r="AC196" s="111">
        <v>0</v>
      </c>
      <c r="AD196" s="111">
        <v>0</v>
      </c>
      <c r="AE196" s="111">
        <v>0</v>
      </c>
      <c r="AF196" s="111">
        <v>0</v>
      </c>
      <c r="AG196" s="111">
        <v>0</v>
      </c>
      <c r="AH196" s="111">
        <v>0</v>
      </c>
      <c r="AI196" s="111">
        <v>0</v>
      </c>
      <c r="AJ196" s="111">
        <v>0</v>
      </c>
      <c r="AK196" s="111">
        <v>0</v>
      </c>
      <c r="AL196" s="111">
        <v>0</v>
      </c>
      <c r="AM196" s="111">
        <v>0</v>
      </c>
      <c r="AN196" s="111">
        <v>0</v>
      </c>
      <c r="AO196" s="111">
        <v>0</v>
      </c>
      <c r="AP196" s="111">
        <v>0</v>
      </c>
      <c r="AQ196" s="111">
        <v>0</v>
      </c>
      <c r="AR196" s="111">
        <v>0</v>
      </c>
      <c r="AS196" s="111">
        <v>0</v>
      </c>
      <c r="AT196" s="111">
        <v>0</v>
      </c>
      <c r="AU196" s="111">
        <v>0</v>
      </c>
      <c r="AV196" s="111">
        <v>0</v>
      </c>
      <c r="AW196" s="111">
        <v>0</v>
      </c>
      <c r="AX196" s="111">
        <v>0</v>
      </c>
      <c r="AY196" s="111">
        <v>0</v>
      </c>
    </row>
    <row r="197" spans="1:51" x14ac:dyDescent="0.15">
      <c r="A197" s="128" t="s">
        <v>134</v>
      </c>
      <c r="B197" s="116">
        <v>1</v>
      </c>
      <c r="C197" s="103"/>
      <c r="D197" s="103">
        <v>0</v>
      </c>
      <c r="E197" s="103">
        <v>0</v>
      </c>
      <c r="F197" s="103">
        <v>0</v>
      </c>
      <c r="G197" s="103">
        <v>1055.7422610035351</v>
      </c>
      <c r="H197" s="103">
        <v>127.16762091564492</v>
      </c>
      <c r="I197" s="103">
        <v>1581</v>
      </c>
      <c r="J197" s="103">
        <v>932.59677557620353</v>
      </c>
      <c r="K197" s="103">
        <v>694.44778167344396</v>
      </c>
      <c r="L197" s="103">
        <v>967.9745819976481</v>
      </c>
      <c r="M197" s="103">
        <v>1138.5778984502881</v>
      </c>
      <c r="N197" s="103">
        <v>975.46344690517367</v>
      </c>
      <c r="O197" s="103">
        <v>1144</v>
      </c>
      <c r="P197" s="103">
        <v>375.03983921094016</v>
      </c>
      <c r="Q197" s="103">
        <v>785.93302788301105</v>
      </c>
      <c r="R197" s="103">
        <v>109.81510028665252</v>
      </c>
      <c r="S197" s="103">
        <v>0</v>
      </c>
      <c r="T197" s="103">
        <v>0</v>
      </c>
      <c r="U197" s="103">
        <v>0</v>
      </c>
      <c r="V197" s="103">
        <v>0</v>
      </c>
      <c r="W197" s="103">
        <v>0</v>
      </c>
      <c r="X197" s="103">
        <v>0</v>
      </c>
      <c r="Y197" s="103">
        <v>0</v>
      </c>
      <c r="Z197" s="103">
        <v>0</v>
      </c>
      <c r="AA197" s="103">
        <v>0</v>
      </c>
      <c r="AB197" s="103">
        <v>0</v>
      </c>
      <c r="AC197" s="103">
        <v>0</v>
      </c>
      <c r="AD197" s="103">
        <v>0</v>
      </c>
      <c r="AE197" s="103">
        <v>0</v>
      </c>
      <c r="AF197" s="103">
        <v>0</v>
      </c>
      <c r="AG197" s="103">
        <v>0</v>
      </c>
      <c r="AH197" s="103">
        <v>0</v>
      </c>
      <c r="AI197" s="103">
        <v>0</v>
      </c>
      <c r="AJ197" s="103">
        <v>0</v>
      </c>
      <c r="AK197" s="103">
        <v>0</v>
      </c>
      <c r="AL197" s="103">
        <v>0</v>
      </c>
      <c r="AM197" s="103">
        <v>0</v>
      </c>
      <c r="AN197" s="103">
        <v>0</v>
      </c>
      <c r="AO197" s="103">
        <v>0</v>
      </c>
      <c r="AP197" s="103">
        <v>0</v>
      </c>
      <c r="AQ197" s="103">
        <v>0</v>
      </c>
      <c r="AR197" s="103">
        <v>0</v>
      </c>
      <c r="AS197" s="103">
        <v>0</v>
      </c>
      <c r="AT197" s="103">
        <v>0</v>
      </c>
      <c r="AU197" s="103">
        <v>0</v>
      </c>
      <c r="AV197" s="103">
        <v>0</v>
      </c>
      <c r="AW197" s="103">
        <v>0</v>
      </c>
      <c r="AX197" s="103">
        <v>0</v>
      </c>
      <c r="AY197" s="103">
        <v>0</v>
      </c>
    </row>
    <row r="198" spans="1:51" x14ac:dyDescent="0.15">
      <c r="A198" s="106"/>
      <c r="B198" s="116">
        <v>2</v>
      </c>
      <c r="C198" s="103"/>
      <c r="D198" s="103">
        <v>0</v>
      </c>
      <c r="E198" s="103">
        <v>0</v>
      </c>
      <c r="F198" s="103">
        <v>0</v>
      </c>
      <c r="G198" s="103">
        <v>0</v>
      </c>
      <c r="H198" s="103">
        <v>0</v>
      </c>
      <c r="I198" s="103">
        <v>0</v>
      </c>
      <c r="J198" s="103">
        <v>404.18480073053752</v>
      </c>
      <c r="K198" s="103">
        <v>0</v>
      </c>
      <c r="L198" s="103">
        <v>0</v>
      </c>
      <c r="M198" s="103">
        <v>0</v>
      </c>
      <c r="N198" s="103">
        <v>0</v>
      </c>
      <c r="O198" s="103">
        <v>0</v>
      </c>
      <c r="P198" s="103">
        <v>386.77353619199107</v>
      </c>
      <c r="Q198" s="103">
        <v>0</v>
      </c>
      <c r="R198" s="103">
        <v>722.28177772986521</v>
      </c>
      <c r="S198" s="103">
        <v>863.00973152810207</v>
      </c>
      <c r="T198" s="103">
        <v>141.55124605188058</v>
      </c>
      <c r="U198" s="103">
        <v>0</v>
      </c>
      <c r="V198" s="103">
        <v>0</v>
      </c>
      <c r="W198" s="103">
        <v>0</v>
      </c>
      <c r="X198" s="103">
        <v>0</v>
      </c>
      <c r="Y198" s="103">
        <v>0</v>
      </c>
      <c r="Z198" s="103">
        <v>0</v>
      </c>
      <c r="AA198" s="103">
        <v>0</v>
      </c>
      <c r="AB198" s="103">
        <v>0</v>
      </c>
      <c r="AC198" s="103">
        <v>0</v>
      </c>
      <c r="AD198" s="103">
        <v>0</v>
      </c>
      <c r="AE198" s="103">
        <v>0</v>
      </c>
      <c r="AF198" s="103">
        <v>0</v>
      </c>
      <c r="AG198" s="103">
        <v>0</v>
      </c>
      <c r="AH198" s="103">
        <v>0</v>
      </c>
      <c r="AI198" s="103">
        <v>0</v>
      </c>
      <c r="AJ198" s="103">
        <v>0</v>
      </c>
      <c r="AK198" s="103">
        <v>0</v>
      </c>
      <c r="AL198" s="103">
        <v>0</v>
      </c>
      <c r="AM198" s="103">
        <v>0</v>
      </c>
      <c r="AN198" s="103">
        <v>0</v>
      </c>
      <c r="AO198" s="103">
        <v>0</v>
      </c>
      <c r="AP198" s="103">
        <v>0</v>
      </c>
      <c r="AQ198" s="103">
        <v>0</v>
      </c>
      <c r="AR198" s="103">
        <v>0</v>
      </c>
      <c r="AS198" s="103">
        <v>0</v>
      </c>
      <c r="AT198" s="103">
        <v>0</v>
      </c>
      <c r="AU198" s="103">
        <v>0</v>
      </c>
      <c r="AV198" s="103">
        <v>0</v>
      </c>
      <c r="AW198" s="103">
        <v>0</v>
      </c>
      <c r="AX198" s="103">
        <v>0</v>
      </c>
      <c r="AY198" s="103">
        <v>0</v>
      </c>
    </row>
    <row r="199" spans="1:51" x14ac:dyDescent="0.15">
      <c r="A199" s="106"/>
      <c r="B199" s="116">
        <v>3</v>
      </c>
      <c r="C199" s="103"/>
      <c r="D199" s="103">
        <v>0</v>
      </c>
      <c r="E199" s="103">
        <v>0</v>
      </c>
      <c r="F199" s="103">
        <v>0</v>
      </c>
      <c r="G199" s="103">
        <v>0</v>
      </c>
      <c r="H199" s="103">
        <v>0</v>
      </c>
      <c r="I199" s="103">
        <v>0</v>
      </c>
      <c r="J199" s="103">
        <v>0</v>
      </c>
      <c r="K199" s="103">
        <v>0</v>
      </c>
      <c r="L199" s="103">
        <v>0</v>
      </c>
      <c r="M199" s="103">
        <v>0</v>
      </c>
      <c r="N199" s="103">
        <v>0</v>
      </c>
      <c r="O199" s="103">
        <v>0</v>
      </c>
      <c r="P199" s="103">
        <v>0</v>
      </c>
      <c r="Q199" s="103">
        <v>0</v>
      </c>
      <c r="R199" s="103">
        <v>0</v>
      </c>
      <c r="S199" s="103">
        <v>0</v>
      </c>
      <c r="T199" s="103">
        <v>353.86686941795756</v>
      </c>
      <c r="U199" s="103">
        <v>586.12062142205104</v>
      </c>
      <c r="V199" s="103">
        <v>0</v>
      </c>
      <c r="W199" s="103">
        <v>0</v>
      </c>
      <c r="X199" s="103">
        <v>0</v>
      </c>
      <c r="Y199" s="103">
        <v>0</v>
      </c>
      <c r="Z199" s="103">
        <v>0</v>
      </c>
      <c r="AA199" s="103">
        <v>0</v>
      </c>
      <c r="AB199" s="103">
        <v>0</v>
      </c>
      <c r="AC199" s="103">
        <v>0</v>
      </c>
      <c r="AD199" s="103">
        <v>0</v>
      </c>
      <c r="AE199" s="103">
        <v>0</v>
      </c>
      <c r="AF199" s="103">
        <v>0</v>
      </c>
      <c r="AG199" s="103">
        <v>0</v>
      </c>
      <c r="AH199" s="103">
        <v>0</v>
      </c>
      <c r="AI199" s="103">
        <v>0</v>
      </c>
      <c r="AJ199" s="103">
        <v>0</v>
      </c>
      <c r="AK199" s="103">
        <v>0</v>
      </c>
      <c r="AL199" s="103">
        <v>0</v>
      </c>
      <c r="AM199" s="103">
        <v>0</v>
      </c>
      <c r="AN199" s="103">
        <v>0</v>
      </c>
      <c r="AO199" s="103">
        <v>0</v>
      </c>
      <c r="AP199" s="103">
        <v>0</v>
      </c>
      <c r="AQ199" s="103">
        <v>0</v>
      </c>
      <c r="AR199" s="103">
        <v>0</v>
      </c>
      <c r="AS199" s="103">
        <v>0</v>
      </c>
      <c r="AT199" s="103">
        <v>0</v>
      </c>
      <c r="AU199" s="103">
        <v>0</v>
      </c>
      <c r="AV199" s="103">
        <v>0</v>
      </c>
      <c r="AW199" s="103">
        <v>0</v>
      </c>
      <c r="AX199" s="103">
        <v>0</v>
      </c>
      <c r="AY199" s="103">
        <v>0</v>
      </c>
    </row>
    <row r="200" spans="1:51" x14ac:dyDescent="0.15">
      <c r="A200" s="106"/>
      <c r="B200" s="117">
        <v>4</v>
      </c>
      <c r="C200" s="103"/>
      <c r="D200" s="103">
        <v>0</v>
      </c>
      <c r="E200" s="103">
        <v>0</v>
      </c>
      <c r="F200" s="103">
        <v>0</v>
      </c>
      <c r="G200" s="103">
        <v>0</v>
      </c>
      <c r="H200" s="103">
        <v>0</v>
      </c>
      <c r="I200" s="103">
        <v>0</v>
      </c>
      <c r="J200" s="103">
        <v>0</v>
      </c>
      <c r="K200" s="103">
        <v>0</v>
      </c>
      <c r="L200" s="103">
        <v>0</v>
      </c>
      <c r="M200" s="103">
        <v>0</v>
      </c>
      <c r="N200" s="103">
        <v>0</v>
      </c>
      <c r="O200" s="103">
        <v>0</v>
      </c>
      <c r="P200" s="103">
        <v>0</v>
      </c>
      <c r="Q200" s="103">
        <v>0</v>
      </c>
      <c r="R200" s="103">
        <v>0</v>
      </c>
      <c r="S200" s="103">
        <v>0</v>
      </c>
      <c r="T200" s="103">
        <v>0</v>
      </c>
      <c r="U200" s="103">
        <v>0</v>
      </c>
      <c r="V200" s="103">
        <v>600.3039177990288</v>
      </c>
      <c r="W200" s="103">
        <v>186.37872957895536</v>
      </c>
      <c r="X200" s="103">
        <v>0</v>
      </c>
      <c r="Y200" s="103">
        <v>0</v>
      </c>
      <c r="Z200" s="103">
        <v>0</v>
      </c>
      <c r="AA200" s="103">
        <v>0</v>
      </c>
      <c r="AB200" s="103">
        <v>0</v>
      </c>
      <c r="AC200" s="103">
        <v>0</v>
      </c>
      <c r="AD200" s="103">
        <v>0</v>
      </c>
      <c r="AE200" s="103">
        <v>0</v>
      </c>
      <c r="AF200" s="103">
        <v>0</v>
      </c>
      <c r="AG200" s="103">
        <v>0</v>
      </c>
      <c r="AH200" s="103">
        <v>0</v>
      </c>
      <c r="AI200" s="103">
        <v>0</v>
      </c>
      <c r="AJ200" s="103">
        <v>0</v>
      </c>
      <c r="AK200" s="103">
        <v>0</v>
      </c>
      <c r="AL200" s="103">
        <v>0</v>
      </c>
      <c r="AM200" s="103">
        <v>0</v>
      </c>
      <c r="AN200" s="103">
        <v>0</v>
      </c>
      <c r="AO200" s="103">
        <v>0</v>
      </c>
      <c r="AP200" s="103">
        <v>0</v>
      </c>
      <c r="AQ200" s="103">
        <v>0</v>
      </c>
      <c r="AR200" s="103">
        <v>0</v>
      </c>
      <c r="AS200" s="103">
        <v>0</v>
      </c>
      <c r="AT200" s="103">
        <v>0</v>
      </c>
      <c r="AU200" s="103">
        <v>0</v>
      </c>
      <c r="AV200" s="103">
        <v>0</v>
      </c>
      <c r="AW200" s="103">
        <v>0</v>
      </c>
      <c r="AX200" s="103">
        <v>0</v>
      </c>
      <c r="AY200" s="103">
        <v>0</v>
      </c>
    </row>
    <row r="201" spans="1:51" x14ac:dyDescent="0.15">
      <c r="A201" s="106"/>
      <c r="B201" s="117">
        <v>5</v>
      </c>
      <c r="C201" s="103"/>
      <c r="D201" s="103">
        <v>0</v>
      </c>
      <c r="E201" s="103">
        <v>0</v>
      </c>
      <c r="F201" s="103">
        <v>0</v>
      </c>
      <c r="G201" s="103">
        <v>0</v>
      </c>
      <c r="H201" s="103">
        <v>0</v>
      </c>
      <c r="I201" s="103">
        <v>0</v>
      </c>
      <c r="J201" s="103">
        <v>0</v>
      </c>
      <c r="K201" s="103">
        <v>0</v>
      </c>
      <c r="L201" s="103">
        <v>0</v>
      </c>
      <c r="M201" s="103">
        <v>0</v>
      </c>
      <c r="N201" s="103">
        <v>0</v>
      </c>
      <c r="O201" s="103">
        <v>0</v>
      </c>
      <c r="P201" s="103">
        <v>0</v>
      </c>
      <c r="Q201" s="103">
        <v>0</v>
      </c>
      <c r="R201" s="103">
        <v>0</v>
      </c>
      <c r="S201" s="103">
        <v>0</v>
      </c>
      <c r="T201" s="103">
        <v>0</v>
      </c>
      <c r="U201" s="103">
        <v>0</v>
      </c>
      <c r="V201" s="103">
        <v>0</v>
      </c>
      <c r="W201" s="103">
        <v>377.5695462831136</v>
      </c>
      <c r="X201" s="103">
        <v>402.34940695435574</v>
      </c>
      <c r="Y201" s="103">
        <v>229.39163268556553</v>
      </c>
      <c r="Z201" s="103">
        <v>0</v>
      </c>
      <c r="AA201" s="103">
        <v>0</v>
      </c>
      <c r="AB201" s="103">
        <v>0</v>
      </c>
      <c r="AC201" s="103">
        <v>0</v>
      </c>
      <c r="AD201" s="103">
        <v>0</v>
      </c>
      <c r="AE201" s="103">
        <v>0</v>
      </c>
      <c r="AF201" s="103">
        <v>0</v>
      </c>
      <c r="AG201" s="103">
        <v>0</v>
      </c>
      <c r="AH201" s="103">
        <v>0</v>
      </c>
      <c r="AI201" s="103">
        <v>0</v>
      </c>
      <c r="AJ201" s="103">
        <v>0</v>
      </c>
      <c r="AK201" s="103">
        <v>0</v>
      </c>
      <c r="AL201" s="103">
        <v>0</v>
      </c>
      <c r="AM201" s="103">
        <v>0</v>
      </c>
      <c r="AN201" s="103">
        <v>0</v>
      </c>
      <c r="AO201" s="103">
        <v>0</v>
      </c>
      <c r="AP201" s="103">
        <v>0</v>
      </c>
      <c r="AQ201" s="103">
        <v>0</v>
      </c>
      <c r="AR201" s="103">
        <v>0</v>
      </c>
      <c r="AS201" s="103">
        <v>0</v>
      </c>
      <c r="AT201" s="103">
        <v>0</v>
      </c>
      <c r="AU201" s="103">
        <v>0</v>
      </c>
      <c r="AV201" s="103">
        <v>0</v>
      </c>
      <c r="AW201" s="103">
        <v>0</v>
      </c>
      <c r="AX201" s="103">
        <v>0</v>
      </c>
      <c r="AY201" s="103">
        <v>0</v>
      </c>
    </row>
    <row r="202" spans="1:51" x14ac:dyDescent="0.15">
      <c r="A202" s="106"/>
      <c r="B202" s="117">
        <v>6</v>
      </c>
      <c r="C202" s="103"/>
      <c r="D202" s="103">
        <v>0</v>
      </c>
      <c r="E202" s="103">
        <v>0</v>
      </c>
      <c r="F202" s="103">
        <v>0</v>
      </c>
      <c r="G202" s="103">
        <v>0</v>
      </c>
      <c r="H202" s="103">
        <v>0</v>
      </c>
      <c r="I202" s="103">
        <v>0</v>
      </c>
      <c r="J202" s="103">
        <v>0</v>
      </c>
      <c r="K202" s="103">
        <v>0</v>
      </c>
      <c r="L202" s="103">
        <v>0</v>
      </c>
      <c r="M202" s="103">
        <v>0</v>
      </c>
      <c r="N202" s="103">
        <v>0</v>
      </c>
      <c r="O202" s="103">
        <v>0</v>
      </c>
      <c r="P202" s="103">
        <v>0</v>
      </c>
      <c r="Q202" s="103">
        <v>0</v>
      </c>
      <c r="R202" s="103">
        <v>0</v>
      </c>
      <c r="S202" s="103">
        <v>0</v>
      </c>
      <c r="T202" s="103">
        <v>0</v>
      </c>
      <c r="U202" s="103">
        <v>0</v>
      </c>
      <c r="V202" s="103">
        <v>0</v>
      </c>
      <c r="W202" s="103">
        <v>0</v>
      </c>
      <c r="X202" s="103">
        <v>0</v>
      </c>
      <c r="Y202" s="103">
        <v>197.815223590789</v>
      </c>
      <c r="Z202" s="103">
        <v>394.50649350649354</v>
      </c>
      <c r="AA202" s="103">
        <v>0</v>
      </c>
      <c r="AB202" s="103">
        <v>0</v>
      </c>
      <c r="AC202" s="103">
        <v>0</v>
      </c>
      <c r="AD202" s="103">
        <v>0</v>
      </c>
      <c r="AE202" s="103">
        <v>0</v>
      </c>
      <c r="AF202" s="103">
        <v>0</v>
      </c>
      <c r="AG202" s="103">
        <v>0</v>
      </c>
      <c r="AH202" s="103">
        <v>0</v>
      </c>
      <c r="AI202" s="103">
        <v>0</v>
      </c>
      <c r="AJ202" s="103">
        <v>0</v>
      </c>
      <c r="AK202" s="103">
        <v>0</v>
      </c>
      <c r="AL202" s="103">
        <v>0</v>
      </c>
      <c r="AM202" s="103">
        <v>0</v>
      </c>
      <c r="AN202" s="103">
        <v>0</v>
      </c>
      <c r="AO202" s="103">
        <v>0</v>
      </c>
      <c r="AP202" s="103">
        <v>0</v>
      </c>
      <c r="AQ202" s="103">
        <v>0</v>
      </c>
      <c r="AR202" s="103">
        <v>0</v>
      </c>
      <c r="AS202" s="103">
        <v>0</v>
      </c>
      <c r="AT202" s="103">
        <v>0</v>
      </c>
      <c r="AU202" s="103">
        <v>0</v>
      </c>
      <c r="AV202" s="103">
        <v>0</v>
      </c>
      <c r="AW202" s="103">
        <v>0</v>
      </c>
      <c r="AX202" s="103">
        <v>0</v>
      </c>
      <c r="AY202" s="103">
        <v>0</v>
      </c>
    </row>
    <row r="203" spans="1:51" x14ac:dyDescent="0.15">
      <c r="A203" s="106"/>
      <c r="B203" s="124">
        <v>7</v>
      </c>
      <c r="C203" s="103"/>
      <c r="D203" s="103">
        <v>0</v>
      </c>
      <c r="E203" s="103">
        <v>0</v>
      </c>
      <c r="F203" s="103">
        <v>0</v>
      </c>
      <c r="G203" s="103">
        <v>0</v>
      </c>
      <c r="H203" s="103">
        <v>0</v>
      </c>
      <c r="I203" s="103">
        <v>0</v>
      </c>
      <c r="J203" s="103">
        <v>0</v>
      </c>
      <c r="K203" s="103">
        <v>0</v>
      </c>
      <c r="L203" s="103">
        <v>0</v>
      </c>
      <c r="M203" s="103">
        <v>0</v>
      </c>
      <c r="N203" s="103">
        <v>0</v>
      </c>
      <c r="O203" s="103">
        <v>0</v>
      </c>
      <c r="P203" s="103">
        <v>0</v>
      </c>
      <c r="Q203" s="103">
        <v>0</v>
      </c>
      <c r="R203" s="103">
        <v>0</v>
      </c>
      <c r="S203" s="103">
        <v>0</v>
      </c>
      <c r="T203" s="103">
        <v>0</v>
      </c>
      <c r="U203" s="103">
        <v>0</v>
      </c>
      <c r="V203" s="103">
        <v>0</v>
      </c>
      <c r="W203" s="103">
        <v>0</v>
      </c>
      <c r="X203" s="103">
        <v>0</v>
      </c>
      <c r="Y203" s="103">
        <v>0</v>
      </c>
      <c r="Z203" s="103">
        <v>0</v>
      </c>
      <c r="AA203" s="103">
        <v>451.78201859497602</v>
      </c>
      <c r="AB203" s="103">
        <v>0</v>
      </c>
      <c r="AC203" s="103">
        <v>0</v>
      </c>
      <c r="AD203" s="103">
        <v>0</v>
      </c>
      <c r="AE203" s="103">
        <v>0</v>
      </c>
      <c r="AF203" s="103">
        <v>0</v>
      </c>
      <c r="AG203" s="103">
        <v>0</v>
      </c>
      <c r="AH203" s="103">
        <v>0</v>
      </c>
      <c r="AI203" s="103">
        <v>0</v>
      </c>
      <c r="AJ203" s="103">
        <v>0</v>
      </c>
      <c r="AK203" s="103">
        <v>0</v>
      </c>
      <c r="AL203" s="103">
        <v>0</v>
      </c>
      <c r="AM203" s="103">
        <v>0</v>
      </c>
      <c r="AN203" s="103">
        <v>0</v>
      </c>
      <c r="AO203" s="103">
        <v>0</v>
      </c>
      <c r="AP203" s="103">
        <v>0</v>
      </c>
      <c r="AQ203" s="103">
        <v>0</v>
      </c>
      <c r="AR203" s="103">
        <v>0</v>
      </c>
      <c r="AS203" s="103">
        <v>0</v>
      </c>
      <c r="AT203" s="103">
        <v>0</v>
      </c>
      <c r="AU203" s="103">
        <v>0</v>
      </c>
      <c r="AV203" s="103">
        <v>0</v>
      </c>
      <c r="AW203" s="103">
        <v>0</v>
      </c>
      <c r="AX203" s="103">
        <v>0</v>
      </c>
      <c r="AY203" s="103">
        <v>0</v>
      </c>
    </row>
    <row r="204" spans="1:51" x14ac:dyDescent="0.15">
      <c r="A204" s="106"/>
      <c r="B204" s="124">
        <v>8</v>
      </c>
      <c r="C204" s="103"/>
      <c r="D204" s="103">
        <v>0</v>
      </c>
      <c r="E204" s="103">
        <v>0</v>
      </c>
      <c r="F204" s="103">
        <v>0</v>
      </c>
      <c r="G204" s="103">
        <v>0</v>
      </c>
      <c r="H204" s="103">
        <v>0</v>
      </c>
      <c r="I204" s="103">
        <v>0</v>
      </c>
      <c r="J204" s="103">
        <v>0</v>
      </c>
      <c r="K204" s="103">
        <v>0</v>
      </c>
      <c r="L204" s="103">
        <v>0</v>
      </c>
      <c r="M204" s="103">
        <v>0</v>
      </c>
      <c r="N204" s="103">
        <v>0</v>
      </c>
      <c r="O204" s="103">
        <v>0</v>
      </c>
      <c r="P204" s="103">
        <v>0</v>
      </c>
      <c r="Q204" s="103">
        <v>0</v>
      </c>
      <c r="R204" s="103">
        <v>0</v>
      </c>
      <c r="S204" s="103">
        <v>0</v>
      </c>
      <c r="T204" s="103">
        <v>0</v>
      </c>
      <c r="U204" s="103">
        <v>0</v>
      </c>
      <c r="V204" s="103">
        <v>0</v>
      </c>
      <c r="W204" s="103">
        <v>0</v>
      </c>
      <c r="X204" s="103">
        <v>0</v>
      </c>
      <c r="Y204" s="103">
        <v>0</v>
      </c>
      <c r="Z204" s="103">
        <v>0</v>
      </c>
      <c r="AA204" s="103">
        <v>0</v>
      </c>
      <c r="AB204" s="103">
        <v>351.93764642523098</v>
      </c>
      <c r="AC204" s="103">
        <v>392.99510132560874</v>
      </c>
      <c r="AD204" s="103">
        <v>0</v>
      </c>
      <c r="AE204" s="103">
        <v>0</v>
      </c>
      <c r="AF204" s="103">
        <v>0</v>
      </c>
      <c r="AG204" s="103">
        <v>0</v>
      </c>
      <c r="AH204" s="103">
        <v>0</v>
      </c>
      <c r="AI204" s="103">
        <v>0</v>
      </c>
      <c r="AJ204" s="103">
        <v>0</v>
      </c>
      <c r="AK204" s="103">
        <v>0</v>
      </c>
      <c r="AL204" s="103">
        <v>0</v>
      </c>
      <c r="AM204" s="103">
        <v>0</v>
      </c>
      <c r="AN204" s="103">
        <v>0</v>
      </c>
      <c r="AO204" s="103">
        <v>0</v>
      </c>
      <c r="AP204" s="103">
        <v>0</v>
      </c>
      <c r="AQ204" s="103">
        <v>0</v>
      </c>
      <c r="AR204" s="103">
        <v>0</v>
      </c>
      <c r="AS204" s="103">
        <v>0</v>
      </c>
      <c r="AT204" s="103">
        <v>0</v>
      </c>
      <c r="AU204" s="103">
        <v>0</v>
      </c>
      <c r="AV204" s="103">
        <v>0</v>
      </c>
      <c r="AW204" s="103">
        <v>0</v>
      </c>
      <c r="AX204" s="103">
        <v>0</v>
      </c>
      <c r="AY204" s="103">
        <v>0</v>
      </c>
    </row>
    <row r="205" spans="1:51" x14ac:dyDescent="0.15">
      <c r="A205" s="106"/>
      <c r="B205" s="124">
        <v>9</v>
      </c>
      <c r="C205" s="103"/>
      <c r="D205" s="103">
        <v>0</v>
      </c>
      <c r="E205" s="103">
        <v>0</v>
      </c>
      <c r="F205" s="103">
        <v>0</v>
      </c>
      <c r="G205" s="103">
        <v>0</v>
      </c>
      <c r="H205" s="103">
        <v>0</v>
      </c>
      <c r="I205" s="103">
        <v>0</v>
      </c>
      <c r="J205" s="103">
        <v>0</v>
      </c>
      <c r="K205" s="103">
        <v>0</v>
      </c>
      <c r="L205" s="103">
        <v>0</v>
      </c>
      <c r="M205" s="103">
        <v>0</v>
      </c>
      <c r="N205" s="103">
        <v>0</v>
      </c>
      <c r="O205" s="103">
        <v>0</v>
      </c>
      <c r="P205" s="103">
        <v>0</v>
      </c>
      <c r="Q205" s="103">
        <v>0</v>
      </c>
      <c r="R205" s="103">
        <v>0</v>
      </c>
      <c r="S205" s="103">
        <v>0</v>
      </c>
      <c r="T205" s="103">
        <v>0</v>
      </c>
      <c r="U205" s="103">
        <v>0</v>
      </c>
      <c r="V205" s="103">
        <v>0</v>
      </c>
      <c r="W205" s="103">
        <v>0</v>
      </c>
      <c r="X205" s="103">
        <v>0</v>
      </c>
      <c r="Y205" s="103">
        <v>0</v>
      </c>
      <c r="Z205" s="103">
        <v>0</v>
      </c>
      <c r="AA205" s="103">
        <v>0</v>
      </c>
      <c r="AB205" s="103">
        <v>0</v>
      </c>
      <c r="AC205" s="103">
        <v>36.927711710411813</v>
      </c>
      <c r="AD205" s="103">
        <v>364.87221329632632</v>
      </c>
      <c r="AE205" s="103">
        <v>0</v>
      </c>
      <c r="AF205" s="103">
        <v>0</v>
      </c>
      <c r="AG205" s="103">
        <v>0</v>
      </c>
      <c r="AH205" s="103">
        <v>0</v>
      </c>
      <c r="AI205" s="103">
        <v>0</v>
      </c>
      <c r="AJ205" s="103">
        <v>0</v>
      </c>
      <c r="AK205" s="103">
        <v>0</v>
      </c>
      <c r="AL205" s="103">
        <v>0</v>
      </c>
      <c r="AM205" s="103">
        <v>0</v>
      </c>
      <c r="AN205" s="103">
        <v>0</v>
      </c>
      <c r="AO205" s="103">
        <v>0</v>
      </c>
      <c r="AP205" s="103">
        <v>0</v>
      </c>
      <c r="AQ205" s="103">
        <v>0</v>
      </c>
      <c r="AR205" s="103">
        <v>0</v>
      </c>
      <c r="AS205" s="103">
        <v>0</v>
      </c>
      <c r="AT205" s="103">
        <v>0</v>
      </c>
      <c r="AU205" s="103">
        <v>0</v>
      </c>
      <c r="AV205" s="103">
        <v>0</v>
      </c>
      <c r="AW205" s="103">
        <v>0</v>
      </c>
      <c r="AX205" s="103">
        <v>0</v>
      </c>
      <c r="AY205" s="103">
        <v>0</v>
      </c>
    </row>
    <row r="206" spans="1:51" x14ac:dyDescent="0.15">
      <c r="A206" s="106"/>
      <c r="B206" s="127">
        <v>10</v>
      </c>
      <c r="C206" s="103"/>
      <c r="D206" s="103">
        <v>0</v>
      </c>
      <c r="E206" s="103">
        <v>0</v>
      </c>
      <c r="F206" s="103">
        <v>0</v>
      </c>
      <c r="G206" s="103">
        <v>0</v>
      </c>
      <c r="H206" s="103">
        <v>0</v>
      </c>
      <c r="I206" s="103">
        <v>0</v>
      </c>
      <c r="J206" s="103">
        <v>0</v>
      </c>
      <c r="K206" s="103">
        <v>0</v>
      </c>
      <c r="L206" s="103">
        <v>0</v>
      </c>
      <c r="M206" s="103">
        <v>0</v>
      </c>
      <c r="N206" s="103">
        <v>0</v>
      </c>
      <c r="O206" s="103">
        <v>0</v>
      </c>
      <c r="P206" s="103">
        <v>0</v>
      </c>
      <c r="Q206" s="103">
        <v>0</v>
      </c>
      <c r="R206" s="103">
        <v>0</v>
      </c>
      <c r="S206" s="103">
        <v>0</v>
      </c>
      <c r="T206" s="103">
        <v>0</v>
      </c>
      <c r="U206" s="103">
        <v>0</v>
      </c>
      <c r="V206" s="103">
        <v>0</v>
      </c>
      <c r="W206" s="103">
        <v>0</v>
      </c>
      <c r="X206" s="103">
        <v>0</v>
      </c>
      <c r="Y206" s="103">
        <v>0</v>
      </c>
      <c r="Z206" s="103">
        <v>0</v>
      </c>
      <c r="AA206" s="103">
        <v>0</v>
      </c>
      <c r="AB206" s="103">
        <v>0</v>
      </c>
      <c r="AC206" s="103">
        <v>0</v>
      </c>
      <c r="AD206" s="103">
        <v>0</v>
      </c>
      <c r="AE206" s="103">
        <v>300.25004065308991</v>
      </c>
      <c r="AF206" s="103">
        <v>0</v>
      </c>
      <c r="AG206" s="103">
        <v>0</v>
      </c>
      <c r="AH206" s="103">
        <v>0</v>
      </c>
      <c r="AI206" s="103">
        <v>0</v>
      </c>
      <c r="AJ206" s="103">
        <v>0</v>
      </c>
      <c r="AK206" s="103">
        <v>0</v>
      </c>
      <c r="AL206" s="103">
        <v>0</v>
      </c>
      <c r="AM206" s="103">
        <v>0</v>
      </c>
      <c r="AN206" s="103">
        <v>0</v>
      </c>
      <c r="AO206" s="103">
        <v>0</v>
      </c>
      <c r="AP206" s="103">
        <v>0</v>
      </c>
      <c r="AQ206" s="103">
        <v>0</v>
      </c>
      <c r="AR206" s="103">
        <v>0</v>
      </c>
      <c r="AS206" s="103">
        <v>0</v>
      </c>
      <c r="AT206" s="103">
        <v>0</v>
      </c>
      <c r="AU206" s="103">
        <v>0</v>
      </c>
      <c r="AV206" s="103">
        <v>0</v>
      </c>
      <c r="AW206" s="103">
        <v>0</v>
      </c>
      <c r="AX206" s="103">
        <v>0</v>
      </c>
      <c r="AY206" s="103">
        <v>0</v>
      </c>
    </row>
    <row r="207" spans="1:51" x14ac:dyDescent="0.15">
      <c r="A207" s="106"/>
      <c r="B207" s="127">
        <v>11</v>
      </c>
      <c r="C207" s="103"/>
      <c r="D207" s="103">
        <v>0</v>
      </c>
      <c r="E207" s="103">
        <v>0</v>
      </c>
      <c r="F207" s="103">
        <v>0</v>
      </c>
      <c r="G207" s="103">
        <v>0</v>
      </c>
      <c r="H207" s="103">
        <v>0</v>
      </c>
      <c r="I207" s="103">
        <v>0</v>
      </c>
      <c r="J207" s="103">
        <v>0</v>
      </c>
      <c r="K207" s="103">
        <v>0</v>
      </c>
      <c r="L207" s="103">
        <v>0</v>
      </c>
      <c r="M207" s="103">
        <v>0</v>
      </c>
      <c r="N207" s="103">
        <v>0</v>
      </c>
      <c r="O207" s="103">
        <v>0</v>
      </c>
      <c r="P207" s="103">
        <v>0</v>
      </c>
      <c r="Q207" s="103">
        <v>0</v>
      </c>
      <c r="R207" s="103">
        <v>0</v>
      </c>
      <c r="S207" s="103">
        <v>0</v>
      </c>
      <c r="T207" s="103">
        <v>0</v>
      </c>
      <c r="U207" s="103">
        <v>0</v>
      </c>
      <c r="V207" s="103">
        <v>0</v>
      </c>
      <c r="W207" s="103">
        <v>0</v>
      </c>
      <c r="X207" s="103">
        <v>0</v>
      </c>
      <c r="Y207" s="103">
        <v>0</v>
      </c>
      <c r="Z207" s="103">
        <v>0</v>
      </c>
      <c r="AA207" s="103">
        <v>0</v>
      </c>
      <c r="AB207" s="103">
        <v>0</v>
      </c>
      <c r="AC207" s="103">
        <v>0</v>
      </c>
      <c r="AD207" s="103">
        <v>0</v>
      </c>
      <c r="AE207" s="103">
        <v>0</v>
      </c>
      <c r="AF207" s="103">
        <v>235.32845974635407</v>
      </c>
      <c r="AG207" s="103">
        <v>328.07351214711701</v>
      </c>
      <c r="AH207" s="103">
        <v>276.68634427882233</v>
      </c>
      <c r="AI207" s="103">
        <v>263.88219895287961</v>
      </c>
      <c r="AJ207" s="103">
        <v>251.06850850000006</v>
      </c>
      <c r="AK207" s="103">
        <v>208.38798950757436</v>
      </c>
      <c r="AL207" s="103">
        <v>230.39201665544735</v>
      </c>
      <c r="AM207" s="103">
        <v>198.86486486486487</v>
      </c>
      <c r="AN207" s="103">
        <v>232</v>
      </c>
      <c r="AO207" s="103">
        <v>223.37098422979531</v>
      </c>
      <c r="AP207" s="103">
        <v>157.95728833131065</v>
      </c>
      <c r="AQ207" s="103">
        <v>164.83196702851222</v>
      </c>
      <c r="AR207" s="103">
        <v>93.208340736330342</v>
      </c>
      <c r="AS207" s="103">
        <v>0</v>
      </c>
      <c r="AT207" s="103">
        <v>8.908011112504937</v>
      </c>
      <c r="AU207" s="103">
        <v>146.40110086644572</v>
      </c>
      <c r="AV207" s="103">
        <v>0</v>
      </c>
      <c r="AW207" s="103">
        <v>120.46122830821463</v>
      </c>
      <c r="AX207" s="103">
        <v>133</v>
      </c>
      <c r="AY207" s="103">
        <v>3.877522492279013</v>
      </c>
    </row>
    <row r="208" spans="1:51" x14ac:dyDescent="0.15">
      <c r="A208" s="106"/>
      <c r="B208" s="127">
        <v>12</v>
      </c>
      <c r="C208" s="103"/>
      <c r="D208" s="103">
        <v>0</v>
      </c>
      <c r="E208" s="103">
        <v>0</v>
      </c>
      <c r="F208" s="103">
        <v>0</v>
      </c>
      <c r="G208" s="103">
        <v>0</v>
      </c>
      <c r="H208" s="103">
        <v>0</v>
      </c>
      <c r="I208" s="103">
        <v>0</v>
      </c>
      <c r="J208" s="103">
        <v>0</v>
      </c>
      <c r="K208" s="103">
        <v>0</v>
      </c>
      <c r="L208" s="103">
        <v>0</v>
      </c>
      <c r="M208" s="103">
        <v>0</v>
      </c>
      <c r="N208" s="103">
        <v>0</v>
      </c>
      <c r="O208" s="103">
        <v>0</v>
      </c>
      <c r="P208" s="103">
        <v>0</v>
      </c>
      <c r="Q208" s="103">
        <v>0</v>
      </c>
      <c r="R208" s="103">
        <v>0</v>
      </c>
      <c r="S208" s="103">
        <v>0</v>
      </c>
      <c r="T208" s="103">
        <v>0</v>
      </c>
      <c r="U208" s="103">
        <v>0</v>
      </c>
      <c r="V208" s="103">
        <v>0</v>
      </c>
      <c r="W208" s="103">
        <v>0</v>
      </c>
      <c r="X208" s="103">
        <v>0</v>
      </c>
      <c r="Y208" s="103">
        <v>0</v>
      </c>
      <c r="Z208" s="103">
        <v>0</v>
      </c>
      <c r="AA208" s="103">
        <v>0</v>
      </c>
      <c r="AB208" s="103">
        <v>0</v>
      </c>
      <c r="AC208" s="103">
        <v>0</v>
      </c>
      <c r="AD208" s="103">
        <v>0</v>
      </c>
      <c r="AE208" s="103">
        <v>0</v>
      </c>
      <c r="AF208" s="103">
        <v>0</v>
      </c>
      <c r="AG208" s="103">
        <v>0</v>
      </c>
      <c r="AH208" s="103">
        <v>0</v>
      </c>
      <c r="AI208" s="103">
        <v>0</v>
      </c>
      <c r="AJ208" s="103">
        <v>0</v>
      </c>
      <c r="AK208" s="103">
        <v>0</v>
      </c>
      <c r="AL208" s="103">
        <v>0</v>
      </c>
      <c r="AM208" s="103">
        <v>0</v>
      </c>
      <c r="AN208" s="103">
        <v>0</v>
      </c>
      <c r="AO208" s="103">
        <v>0</v>
      </c>
      <c r="AP208" s="103">
        <v>0</v>
      </c>
      <c r="AQ208" s="103">
        <v>0</v>
      </c>
      <c r="AR208" s="103">
        <v>38.791659263669658</v>
      </c>
      <c r="AS208" s="103">
        <v>140.46066433566435</v>
      </c>
      <c r="AT208" s="103">
        <v>181.98014464736525</v>
      </c>
      <c r="AU208" s="103">
        <v>0</v>
      </c>
      <c r="AV208" s="103">
        <v>124.46186329908102</v>
      </c>
      <c r="AW208" s="103">
        <v>41.757535571114204</v>
      </c>
      <c r="AX208" s="103">
        <v>0</v>
      </c>
      <c r="AY208" s="103">
        <v>138.12247750772099</v>
      </c>
    </row>
    <row r="209" spans="1:51" x14ac:dyDescent="0.15">
      <c r="A209" s="123" t="s">
        <v>123</v>
      </c>
      <c r="B209" s="120">
        <v>1</v>
      </c>
      <c r="C209" s="121"/>
      <c r="D209" s="121">
        <v>0</v>
      </c>
      <c r="E209" s="121">
        <v>0</v>
      </c>
      <c r="F209" s="121">
        <v>1055.7422610035351</v>
      </c>
      <c r="G209" s="121">
        <v>127.16762091564492</v>
      </c>
      <c r="H209" s="121">
        <v>901.62505947738873</v>
      </c>
      <c r="I209" s="121">
        <v>855.24887236822838</v>
      </c>
      <c r="J209" s="121">
        <v>612.23514192877076</v>
      </c>
      <c r="K209" s="121">
        <v>967.9745819976481</v>
      </c>
      <c r="L209" s="121">
        <v>598.88109578032572</v>
      </c>
      <c r="M209" s="121">
        <v>975.46344690517367</v>
      </c>
      <c r="N209" s="121">
        <v>512.34829908310485</v>
      </c>
      <c r="O209" s="121">
        <v>116.21753472359578</v>
      </c>
      <c r="P209" s="121">
        <v>0</v>
      </c>
      <c r="Q209" s="121">
        <v>485.75017571041849</v>
      </c>
      <c r="R209" s="121">
        <v>38.756151235196739</v>
      </c>
      <c r="S209" s="121">
        <v>201.91028986707568</v>
      </c>
      <c r="T209" s="121">
        <v>0</v>
      </c>
      <c r="U209" s="121">
        <v>0</v>
      </c>
      <c r="V209" s="121">
        <v>0</v>
      </c>
      <c r="W209" s="121">
        <v>0</v>
      </c>
      <c r="X209" s="121">
        <v>0</v>
      </c>
      <c r="Y209" s="121">
        <v>0</v>
      </c>
      <c r="Z209" s="121">
        <v>0</v>
      </c>
      <c r="AA209" s="121">
        <v>0</v>
      </c>
      <c r="AB209" s="121">
        <v>0</v>
      </c>
      <c r="AC209" s="121">
        <v>0</v>
      </c>
      <c r="AD209" s="121">
        <v>0</v>
      </c>
      <c r="AE209" s="121">
        <v>0</v>
      </c>
      <c r="AF209" s="121">
        <v>0</v>
      </c>
      <c r="AG209" s="121">
        <v>0</v>
      </c>
      <c r="AH209" s="121">
        <v>0</v>
      </c>
      <c r="AI209" s="121">
        <v>0</v>
      </c>
      <c r="AJ209" s="121">
        <v>0</v>
      </c>
      <c r="AK209" s="121">
        <v>0</v>
      </c>
      <c r="AL209" s="121">
        <v>0</v>
      </c>
      <c r="AM209" s="121">
        <v>0</v>
      </c>
      <c r="AN209" s="121">
        <v>0</v>
      </c>
      <c r="AO209" s="121">
        <v>0</v>
      </c>
      <c r="AP209" s="121">
        <v>0</v>
      </c>
      <c r="AQ209" s="121">
        <v>0</v>
      </c>
      <c r="AR209" s="121">
        <v>0</v>
      </c>
      <c r="AS209" s="121">
        <v>0</v>
      </c>
      <c r="AT209" s="121">
        <v>0</v>
      </c>
      <c r="AU209" s="121">
        <v>0</v>
      </c>
      <c r="AV209" s="121">
        <v>0</v>
      </c>
      <c r="AW209" s="121">
        <v>0</v>
      </c>
      <c r="AX209" s="121">
        <v>0</v>
      </c>
      <c r="AY209" s="121">
        <v>0</v>
      </c>
    </row>
    <row r="210" spans="1:51" x14ac:dyDescent="0.15">
      <c r="A210" s="106"/>
      <c r="B210" s="116">
        <v>2</v>
      </c>
      <c r="C210" s="103"/>
      <c r="D210" s="107">
        <v>0</v>
      </c>
      <c r="E210" s="107">
        <v>0</v>
      </c>
      <c r="F210" s="107">
        <v>0</v>
      </c>
      <c r="G210" s="107">
        <v>0</v>
      </c>
      <c r="H210" s="107">
        <v>928.86393483719849</v>
      </c>
      <c r="I210" s="107">
        <v>77.347903207975151</v>
      </c>
      <c r="J210" s="107">
        <v>82.212639744673197</v>
      </c>
      <c r="K210" s="107">
        <v>0</v>
      </c>
      <c r="L210" s="107">
        <v>89.213842603844682</v>
      </c>
      <c r="M210" s="107">
        <v>0</v>
      </c>
      <c r="N210" s="107">
        <v>82.302576217458522</v>
      </c>
      <c r="O210" s="107">
        <v>258.82230448734435</v>
      </c>
      <c r="P210" s="107">
        <v>823.84910126769125</v>
      </c>
      <c r="Q210" s="107">
        <v>296.90758786797437</v>
      </c>
      <c r="R210" s="107">
        <v>249.37933667485049</v>
      </c>
      <c r="S210" s="107">
        <v>510.22422676977817</v>
      </c>
      <c r="T210" s="107">
        <v>595.41811546983809</v>
      </c>
      <c r="U210" s="107">
        <v>379.03931284381497</v>
      </c>
      <c r="V210" s="107">
        <v>275.67631700425574</v>
      </c>
      <c r="W210" s="107">
        <v>445.77088686629179</v>
      </c>
      <c r="X210" s="107">
        <v>369.04459418082843</v>
      </c>
      <c r="Y210" s="107">
        <v>182.06514371420889</v>
      </c>
      <c r="Z210" s="107">
        <v>349.35254346993588</v>
      </c>
      <c r="AA210" s="107">
        <v>163.66947141350272</v>
      </c>
      <c r="AB210" s="107">
        <v>0</v>
      </c>
      <c r="AC210" s="107">
        <v>0</v>
      </c>
      <c r="AD210" s="107">
        <v>11.557549019869214</v>
      </c>
      <c r="AE210" s="107">
        <v>36.660153618995707</v>
      </c>
      <c r="AF210" s="107">
        <v>0</v>
      </c>
      <c r="AG210" s="107">
        <v>0</v>
      </c>
      <c r="AH210" s="107">
        <v>0</v>
      </c>
      <c r="AI210" s="107">
        <v>0</v>
      </c>
      <c r="AJ210" s="107">
        <v>0</v>
      </c>
      <c r="AK210" s="107">
        <v>0</v>
      </c>
      <c r="AL210" s="107">
        <v>0</v>
      </c>
      <c r="AM210" s="107">
        <v>0</v>
      </c>
      <c r="AN210" s="107">
        <v>0</v>
      </c>
      <c r="AO210" s="107">
        <v>0</v>
      </c>
      <c r="AP210" s="107">
        <v>0</v>
      </c>
      <c r="AQ210" s="107">
        <v>60.471894849879305</v>
      </c>
      <c r="AR210" s="107">
        <v>0</v>
      </c>
      <c r="AS210" s="107">
        <v>0</v>
      </c>
      <c r="AT210" s="107">
        <v>0</v>
      </c>
      <c r="AU210" s="107">
        <v>0</v>
      </c>
      <c r="AV210" s="107">
        <v>0</v>
      </c>
      <c r="AW210" s="107">
        <v>0</v>
      </c>
      <c r="AX210" s="107">
        <v>0</v>
      </c>
      <c r="AY210" s="107">
        <v>0</v>
      </c>
    </row>
    <row r="211" spans="1:51" x14ac:dyDescent="0.15">
      <c r="A211" s="106"/>
      <c r="B211" s="116">
        <v>3</v>
      </c>
      <c r="C211" s="103"/>
      <c r="D211" s="107">
        <v>0</v>
      </c>
      <c r="E211" s="107">
        <v>0</v>
      </c>
      <c r="F211" s="107">
        <v>0</v>
      </c>
      <c r="G211" s="107">
        <v>0</v>
      </c>
      <c r="H211" s="107">
        <v>0</v>
      </c>
      <c r="I211" s="107">
        <v>0</v>
      </c>
      <c r="J211" s="107">
        <v>0</v>
      </c>
      <c r="K211" s="107">
        <v>0</v>
      </c>
      <c r="L211" s="107">
        <v>450.4829600661177</v>
      </c>
      <c r="M211" s="107">
        <v>0</v>
      </c>
      <c r="N211" s="107">
        <v>418.4780519167391</v>
      </c>
      <c r="O211" s="107">
        <v>0</v>
      </c>
      <c r="P211" s="107">
        <v>0</v>
      </c>
      <c r="Q211" s="107">
        <v>45.27526430461819</v>
      </c>
      <c r="R211" s="107">
        <v>396.9613901064705</v>
      </c>
      <c r="S211" s="107">
        <v>74.408843487246259</v>
      </c>
      <c r="T211" s="107">
        <v>0</v>
      </c>
      <c r="U211" s="107">
        <v>131.08130857823608</v>
      </c>
      <c r="V211" s="107">
        <v>188.62760079477306</v>
      </c>
      <c r="W211" s="107">
        <v>127.17738899577719</v>
      </c>
      <c r="X211" s="107">
        <v>84.304812773527317</v>
      </c>
      <c r="Y211" s="107">
        <v>259.14171256214564</v>
      </c>
      <c r="Z211" s="107">
        <v>145.15395003655769</v>
      </c>
      <c r="AA211" s="107">
        <v>350.11254718147336</v>
      </c>
      <c r="AB211" s="107">
        <v>300.93764642523098</v>
      </c>
      <c r="AC211" s="107">
        <v>274.06444499820543</v>
      </c>
      <c r="AD211" s="107">
        <v>269.19993973164026</v>
      </c>
      <c r="AE211" s="107">
        <v>278.5898870340942</v>
      </c>
      <c r="AF211" s="107">
        <v>263.32845974635404</v>
      </c>
      <c r="AG211" s="107">
        <v>220.45922351557789</v>
      </c>
      <c r="AH211" s="107">
        <v>0</v>
      </c>
      <c r="AI211" s="107">
        <v>49.393266803616257</v>
      </c>
      <c r="AJ211" s="107">
        <v>134.56196802531628</v>
      </c>
      <c r="AK211" s="107">
        <v>39.898313941512896</v>
      </c>
      <c r="AL211" s="107">
        <v>95.615766375147444</v>
      </c>
      <c r="AM211" s="107">
        <v>86.642728884910198</v>
      </c>
      <c r="AN211" s="107">
        <v>0</v>
      </c>
      <c r="AO211" s="107">
        <v>0</v>
      </c>
      <c r="AP211" s="107">
        <v>134.93446208556671</v>
      </c>
      <c r="AQ211" s="107">
        <v>69.619969021140179</v>
      </c>
      <c r="AR211" s="107">
        <v>151</v>
      </c>
      <c r="AS211" s="107">
        <v>116.89874456079576</v>
      </c>
      <c r="AT211" s="107">
        <v>0</v>
      </c>
      <c r="AU211" s="107">
        <v>0</v>
      </c>
      <c r="AV211" s="107">
        <v>0</v>
      </c>
      <c r="AW211" s="107">
        <v>0</v>
      </c>
      <c r="AX211" s="107">
        <v>0</v>
      </c>
      <c r="AY211" s="107">
        <v>0</v>
      </c>
    </row>
    <row r="212" spans="1:51" x14ac:dyDescent="0.15">
      <c r="A212" s="106"/>
      <c r="B212" s="116">
        <v>4</v>
      </c>
      <c r="C212" s="103"/>
      <c r="D212" s="107">
        <v>0</v>
      </c>
      <c r="E212" s="107">
        <v>0</v>
      </c>
      <c r="F212" s="107">
        <v>0</v>
      </c>
      <c r="G212" s="107">
        <v>0</v>
      </c>
      <c r="H212" s="107">
        <v>0</v>
      </c>
      <c r="I212" s="107">
        <v>0</v>
      </c>
      <c r="J212" s="107">
        <v>0</v>
      </c>
      <c r="K212" s="107">
        <v>0</v>
      </c>
      <c r="L212" s="107">
        <v>0</v>
      </c>
      <c r="M212" s="107">
        <v>0</v>
      </c>
      <c r="N212" s="107">
        <v>0</v>
      </c>
      <c r="O212" s="107">
        <v>0</v>
      </c>
      <c r="P212" s="107">
        <v>0</v>
      </c>
      <c r="Q212" s="107">
        <v>0</v>
      </c>
      <c r="R212" s="107">
        <v>0</v>
      </c>
      <c r="S212" s="107">
        <v>0</v>
      </c>
      <c r="T212" s="107">
        <v>0</v>
      </c>
      <c r="U212" s="107">
        <v>0</v>
      </c>
      <c r="V212" s="107">
        <v>0</v>
      </c>
      <c r="W212" s="107">
        <v>0</v>
      </c>
      <c r="X212" s="107">
        <v>0</v>
      </c>
      <c r="Y212" s="107">
        <v>0</v>
      </c>
      <c r="Z212" s="107">
        <v>0</v>
      </c>
      <c r="AA212" s="107">
        <v>0</v>
      </c>
      <c r="AB212" s="107">
        <v>0</v>
      </c>
      <c r="AC212" s="107">
        <v>0.85836803781515414</v>
      </c>
      <c r="AD212" s="107">
        <v>103.11472454481685</v>
      </c>
      <c r="AE212" s="107">
        <v>0</v>
      </c>
      <c r="AF212" s="107">
        <v>0</v>
      </c>
      <c r="AG212" s="107">
        <v>53.614288631539125</v>
      </c>
      <c r="AH212" s="107">
        <v>287.68634427882233</v>
      </c>
      <c r="AI212" s="107">
        <v>169.70773599733911</v>
      </c>
      <c r="AJ212" s="107">
        <v>105.50654047468379</v>
      </c>
      <c r="AK212" s="107">
        <v>187.48967556606146</v>
      </c>
      <c r="AL212" s="107">
        <v>148.77625028029991</v>
      </c>
      <c r="AM212" s="107">
        <v>85.222135979954672</v>
      </c>
      <c r="AN212" s="107">
        <v>193</v>
      </c>
      <c r="AO212" s="107">
        <v>160.6866806700061</v>
      </c>
      <c r="AP212" s="107">
        <v>34.792216873928766</v>
      </c>
      <c r="AQ212" s="107">
        <v>75.740103157492726</v>
      </c>
      <c r="AR212" s="107">
        <v>0</v>
      </c>
      <c r="AS212" s="107">
        <v>36.561919774868585</v>
      </c>
      <c r="AT212" s="107">
        <v>138.88815575987019</v>
      </c>
      <c r="AU212" s="107">
        <v>3.7302193853914503</v>
      </c>
      <c r="AV212" s="107">
        <v>139.14128022541757</v>
      </c>
      <c r="AW212" s="107">
        <v>98.133153992037592</v>
      </c>
      <c r="AX212" s="107">
        <v>59.2124987884159</v>
      </c>
      <c r="AY212" s="107">
        <v>92.00327073230865</v>
      </c>
    </row>
    <row r="213" spans="1:51" x14ac:dyDescent="0.15">
      <c r="A213" s="106"/>
      <c r="B213" s="116">
        <v>5</v>
      </c>
      <c r="C213" s="103"/>
      <c r="D213" s="107">
        <v>0</v>
      </c>
      <c r="E213" s="107">
        <v>0</v>
      </c>
      <c r="F213" s="107">
        <v>0</v>
      </c>
      <c r="G213" s="107">
        <v>0</v>
      </c>
      <c r="H213" s="107">
        <v>0</v>
      </c>
      <c r="I213" s="107">
        <v>0</v>
      </c>
      <c r="J213" s="107">
        <v>0</v>
      </c>
      <c r="K213" s="107">
        <v>0</v>
      </c>
      <c r="L213" s="107">
        <v>0</v>
      </c>
      <c r="M213" s="107">
        <v>0</v>
      </c>
      <c r="N213" s="107">
        <v>0</v>
      </c>
      <c r="O213" s="107">
        <v>0</v>
      </c>
      <c r="P213" s="107">
        <v>0</v>
      </c>
      <c r="Q213" s="107">
        <v>0</v>
      </c>
      <c r="R213" s="107">
        <v>0</v>
      </c>
      <c r="S213" s="107">
        <v>0</v>
      </c>
      <c r="T213" s="107">
        <v>0</v>
      </c>
      <c r="U213" s="107">
        <v>0</v>
      </c>
      <c r="V213" s="107">
        <v>0</v>
      </c>
      <c r="W213" s="107">
        <v>0</v>
      </c>
      <c r="X213" s="107">
        <v>0</v>
      </c>
      <c r="Y213" s="107">
        <v>0</v>
      </c>
      <c r="Z213" s="107">
        <v>0</v>
      </c>
      <c r="AA213" s="107">
        <v>0</v>
      </c>
      <c r="AB213" s="107">
        <v>0</v>
      </c>
      <c r="AC213" s="107">
        <v>0</v>
      </c>
      <c r="AD213" s="107">
        <v>0</v>
      </c>
      <c r="AE213" s="107">
        <v>0</v>
      </c>
      <c r="AF213" s="107">
        <v>0</v>
      </c>
      <c r="AG213" s="107">
        <v>0</v>
      </c>
      <c r="AH213" s="107">
        <v>0</v>
      </c>
      <c r="AI213" s="107">
        <v>28.781196151924206</v>
      </c>
      <c r="AJ213" s="107">
        <v>0</v>
      </c>
      <c r="AK213" s="107">
        <v>0</v>
      </c>
      <c r="AL213" s="107">
        <v>0</v>
      </c>
      <c r="AM213" s="107">
        <v>0</v>
      </c>
      <c r="AN213" s="107">
        <v>0</v>
      </c>
      <c r="AO213" s="107">
        <v>10.684303559789214</v>
      </c>
      <c r="AP213" s="107">
        <v>16.230609371815163</v>
      </c>
      <c r="AQ213" s="107">
        <v>0</v>
      </c>
      <c r="AR213" s="107">
        <v>0</v>
      </c>
      <c r="AS213" s="107">
        <v>0</v>
      </c>
      <c r="AT213" s="107">
        <v>0</v>
      </c>
      <c r="AU213" s="107">
        <v>130.67088148105427</v>
      </c>
      <c r="AV213" s="107">
        <v>3.320583073663431</v>
      </c>
      <c r="AW213" s="107">
        <v>25.085609887291227</v>
      </c>
      <c r="AX213" s="107">
        <v>71.7875012115841</v>
      </c>
      <c r="AY213" s="107">
        <v>35.99672926769135</v>
      </c>
    </row>
    <row r="214" spans="1:51" x14ac:dyDescent="0.15">
      <c r="A214" s="106"/>
      <c r="B214" s="116">
        <v>6</v>
      </c>
      <c r="C214" s="103"/>
      <c r="D214" s="107">
        <v>0</v>
      </c>
      <c r="E214" s="107">
        <v>0</v>
      </c>
      <c r="F214" s="107">
        <v>0</v>
      </c>
      <c r="G214" s="107">
        <v>0</v>
      </c>
      <c r="H214" s="107">
        <v>0</v>
      </c>
      <c r="I214" s="107">
        <v>0</v>
      </c>
      <c r="J214" s="107">
        <v>0</v>
      </c>
      <c r="K214" s="107">
        <v>0</v>
      </c>
      <c r="L214" s="107">
        <v>0</v>
      </c>
      <c r="M214" s="107">
        <v>0</v>
      </c>
      <c r="N214" s="107">
        <v>0</v>
      </c>
      <c r="O214" s="107">
        <v>0</v>
      </c>
      <c r="P214" s="107">
        <v>0</v>
      </c>
      <c r="Q214" s="107">
        <v>0</v>
      </c>
      <c r="R214" s="107">
        <v>0</v>
      </c>
      <c r="S214" s="107">
        <v>0</v>
      </c>
      <c r="T214" s="107">
        <v>0</v>
      </c>
      <c r="U214" s="107">
        <v>0</v>
      </c>
      <c r="V214" s="107">
        <v>0</v>
      </c>
      <c r="W214" s="107">
        <v>0</v>
      </c>
      <c r="X214" s="107">
        <v>0</v>
      </c>
      <c r="Y214" s="107">
        <v>0</v>
      </c>
      <c r="Z214" s="107">
        <v>0</v>
      </c>
      <c r="AA214" s="107">
        <v>0</v>
      </c>
      <c r="AB214" s="107">
        <v>0</v>
      </c>
      <c r="AC214" s="107">
        <v>0</v>
      </c>
      <c r="AD214" s="107">
        <v>0</v>
      </c>
      <c r="AE214" s="107">
        <v>0</v>
      </c>
      <c r="AF214" s="107">
        <v>0</v>
      </c>
      <c r="AG214" s="107">
        <v>0</v>
      </c>
      <c r="AH214" s="107">
        <v>0</v>
      </c>
      <c r="AI214" s="107">
        <v>0</v>
      </c>
      <c r="AJ214" s="107">
        <v>0</v>
      </c>
      <c r="AK214" s="107">
        <v>0</v>
      </c>
      <c r="AL214" s="107">
        <v>0</v>
      </c>
      <c r="AM214" s="107">
        <v>0</v>
      </c>
      <c r="AN214" s="107">
        <v>0</v>
      </c>
      <c r="AO214" s="107">
        <v>0</v>
      </c>
      <c r="AP214" s="107">
        <v>0</v>
      </c>
      <c r="AQ214" s="107">
        <v>0</v>
      </c>
      <c r="AR214" s="107">
        <v>0</v>
      </c>
      <c r="AS214" s="107">
        <v>0</v>
      </c>
      <c r="AT214" s="107">
        <v>0</v>
      </c>
      <c r="AU214" s="107">
        <v>0</v>
      </c>
      <c r="AV214" s="107">
        <v>0</v>
      </c>
      <c r="AW214" s="107">
        <v>0</v>
      </c>
      <c r="AX214" s="107">
        <v>0</v>
      </c>
      <c r="AY214" s="107">
        <v>0</v>
      </c>
    </row>
    <row r="215" spans="1:51" x14ac:dyDescent="0.15">
      <c r="A215" s="106"/>
      <c r="B215" s="116">
        <v>7</v>
      </c>
      <c r="C215" s="103"/>
      <c r="D215" s="107">
        <v>0</v>
      </c>
      <c r="E215" s="107">
        <v>0</v>
      </c>
      <c r="F215" s="107">
        <v>0</v>
      </c>
      <c r="G215" s="107">
        <v>0</v>
      </c>
      <c r="H215" s="107">
        <v>0</v>
      </c>
      <c r="I215" s="107">
        <v>0</v>
      </c>
      <c r="J215" s="107">
        <v>0</v>
      </c>
      <c r="K215" s="107">
        <v>0</v>
      </c>
      <c r="L215" s="107">
        <v>0</v>
      </c>
      <c r="M215" s="107">
        <v>0</v>
      </c>
      <c r="N215" s="107">
        <v>0</v>
      </c>
      <c r="O215" s="107">
        <v>0</v>
      </c>
      <c r="P215" s="107">
        <v>0</v>
      </c>
      <c r="Q215" s="107">
        <v>0</v>
      </c>
      <c r="R215" s="107">
        <v>0</v>
      </c>
      <c r="S215" s="107">
        <v>0</v>
      </c>
      <c r="T215" s="107">
        <v>0</v>
      </c>
      <c r="U215" s="107">
        <v>0</v>
      </c>
      <c r="V215" s="107">
        <v>0</v>
      </c>
      <c r="W215" s="107">
        <v>0</v>
      </c>
      <c r="X215" s="107">
        <v>0</v>
      </c>
      <c r="Y215" s="107">
        <v>0</v>
      </c>
      <c r="Z215" s="107">
        <v>0</v>
      </c>
      <c r="AA215" s="107">
        <v>0</v>
      </c>
      <c r="AB215" s="107">
        <v>0</v>
      </c>
      <c r="AC215" s="107">
        <v>0</v>
      </c>
      <c r="AD215" s="107">
        <v>0</v>
      </c>
      <c r="AE215" s="107">
        <v>0</v>
      </c>
      <c r="AF215" s="107">
        <v>0</v>
      </c>
      <c r="AG215" s="107">
        <v>0</v>
      </c>
      <c r="AH215" s="107">
        <v>0</v>
      </c>
      <c r="AI215" s="107">
        <v>0</v>
      </c>
      <c r="AJ215" s="107">
        <v>0</v>
      </c>
      <c r="AK215" s="107">
        <v>0</v>
      </c>
      <c r="AL215" s="107">
        <v>0</v>
      </c>
      <c r="AM215" s="107">
        <v>0</v>
      </c>
      <c r="AN215" s="107">
        <v>0</v>
      </c>
      <c r="AO215" s="107">
        <v>0</v>
      </c>
      <c r="AP215" s="107">
        <v>0</v>
      </c>
      <c r="AQ215" s="107">
        <v>0</v>
      </c>
      <c r="AR215" s="107">
        <v>0</v>
      </c>
      <c r="AS215" s="107">
        <v>0</v>
      </c>
      <c r="AT215" s="107">
        <v>0</v>
      </c>
      <c r="AU215" s="107">
        <v>0</v>
      </c>
      <c r="AV215" s="107">
        <v>0</v>
      </c>
      <c r="AW215" s="107">
        <v>0</v>
      </c>
      <c r="AX215" s="107">
        <v>0</v>
      </c>
      <c r="AY215" s="107">
        <v>0</v>
      </c>
    </row>
    <row r="216" spans="1:51" x14ac:dyDescent="0.15">
      <c r="A216" s="106"/>
      <c r="B216" s="116">
        <v>8</v>
      </c>
      <c r="C216" s="103"/>
      <c r="D216" s="107">
        <v>0</v>
      </c>
      <c r="E216" s="107">
        <v>0</v>
      </c>
      <c r="F216" s="107">
        <v>0</v>
      </c>
      <c r="G216" s="107">
        <v>0</v>
      </c>
      <c r="H216" s="107">
        <v>0</v>
      </c>
      <c r="I216" s="107">
        <v>0</v>
      </c>
      <c r="J216" s="107">
        <v>0</v>
      </c>
      <c r="K216" s="107">
        <v>0</v>
      </c>
      <c r="L216" s="107">
        <v>0</v>
      </c>
      <c r="M216" s="107">
        <v>0</v>
      </c>
      <c r="N216" s="107">
        <v>0</v>
      </c>
      <c r="O216" s="107">
        <v>0</v>
      </c>
      <c r="P216" s="107">
        <v>0</v>
      </c>
      <c r="Q216" s="107">
        <v>0</v>
      </c>
      <c r="R216" s="107">
        <v>0</v>
      </c>
      <c r="S216" s="107">
        <v>0</v>
      </c>
      <c r="T216" s="107">
        <v>0</v>
      </c>
      <c r="U216" s="107">
        <v>0</v>
      </c>
      <c r="V216" s="107">
        <v>0</v>
      </c>
      <c r="W216" s="107">
        <v>0</v>
      </c>
      <c r="X216" s="107">
        <v>0</v>
      </c>
      <c r="Y216" s="107">
        <v>0</v>
      </c>
      <c r="Z216" s="107">
        <v>0</v>
      </c>
      <c r="AA216" s="107">
        <v>0</v>
      </c>
      <c r="AB216" s="107">
        <v>0</v>
      </c>
      <c r="AC216" s="107">
        <v>0</v>
      </c>
      <c r="AD216" s="107">
        <v>0</v>
      </c>
      <c r="AE216" s="107">
        <v>0</v>
      </c>
      <c r="AF216" s="107">
        <v>0</v>
      </c>
      <c r="AG216" s="107">
        <v>0</v>
      </c>
      <c r="AH216" s="107">
        <v>0</v>
      </c>
      <c r="AI216" s="107">
        <v>0</v>
      </c>
      <c r="AJ216" s="107">
        <v>0</v>
      </c>
      <c r="AK216" s="107">
        <v>0</v>
      </c>
      <c r="AL216" s="107">
        <v>0</v>
      </c>
      <c r="AM216" s="107">
        <v>0</v>
      </c>
      <c r="AN216" s="107">
        <v>0</v>
      </c>
      <c r="AO216" s="107">
        <v>0</v>
      </c>
      <c r="AP216" s="107">
        <v>0</v>
      </c>
      <c r="AQ216" s="107">
        <v>0</v>
      </c>
      <c r="AR216" s="107">
        <v>0</v>
      </c>
      <c r="AS216" s="107">
        <v>0</v>
      </c>
      <c r="AT216" s="107">
        <v>0</v>
      </c>
      <c r="AU216" s="107">
        <v>0</v>
      </c>
      <c r="AV216" s="107">
        <v>0</v>
      </c>
      <c r="AW216" s="107">
        <v>0</v>
      </c>
      <c r="AX216" s="107">
        <v>0</v>
      </c>
      <c r="AY216" s="107">
        <v>0</v>
      </c>
    </row>
    <row r="217" spans="1:51" x14ac:dyDescent="0.15">
      <c r="A217" s="106"/>
      <c r="B217" s="116">
        <v>9</v>
      </c>
      <c r="C217" s="103"/>
      <c r="D217" s="107">
        <v>0</v>
      </c>
      <c r="E217" s="107">
        <v>0</v>
      </c>
      <c r="F217" s="107">
        <v>0</v>
      </c>
      <c r="G217" s="107">
        <v>0</v>
      </c>
      <c r="H217" s="107">
        <v>0</v>
      </c>
      <c r="I217" s="107">
        <v>0</v>
      </c>
      <c r="J217" s="107">
        <v>0</v>
      </c>
      <c r="K217" s="107">
        <v>0</v>
      </c>
      <c r="L217" s="107">
        <v>0</v>
      </c>
      <c r="M217" s="107">
        <v>0</v>
      </c>
      <c r="N217" s="107">
        <v>0</v>
      </c>
      <c r="O217" s="107">
        <v>0</v>
      </c>
      <c r="P217" s="107">
        <v>0</v>
      </c>
      <c r="Q217" s="107">
        <v>0</v>
      </c>
      <c r="R217" s="107">
        <v>0</v>
      </c>
      <c r="S217" s="107">
        <v>0</v>
      </c>
      <c r="T217" s="107">
        <v>0</v>
      </c>
      <c r="U217" s="107">
        <v>0</v>
      </c>
      <c r="V217" s="107">
        <v>0</v>
      </c>
      <c r="W217" s="107">
        <v>0</v>
      </c>
      <c r="X217" s="107">
        <v>0</v>
      </c>
      <c r="Y217" s="107">
        <v>0</v>
      </c>
      <c r="Z217" s="107">
        <v>0</v>
      </c>
      <c r="AA217" s="107">
        <v>0</v>
      </c>
      <c r="AB217" s="107">
        <v>0</v>
      </c>
      <c r="AC217" s="107">
        <v>0</v>
      </c>
      <c r="AD217" s="107">
        <v>0</v>
      </c>
      <c r="AE217" s="107">
        <v>0</v>
      </c>
      <c r="AF217" s="107">
        <v>0</v>
      </c>
      <c r="AG217" s="107">
        <v>0</v>
      </c>
      <c r="AH217" s="107">
        <v>0</v>
      </c>
      <c r="AI217" s="107">
        <v>0</v>
      </c>
      <c r="AJ217" s="107">
        <v>0</v>
      </c>
      <c r="AK217" s="107">
        <v>0</v>
      </c>
      <c r="AL217" s="107">
        <v>0</v>
      </c>
      <c r="AM217" s="107">
        <v>0</v>
      </c>
      <c r="AN217" s="107">
        <v>0</v>
      </c>
      <c r="AO217" s="107">
        <v>0</v>
      </c>
      <c r="AP217" s="107">
        <v>0</v>
      </c>
      <c r="AQ217" s="107">
        <v>0</v>
      </c>
      <c r="AR217" s="107">
        <v>0</v>
      </c>
      <c r="AS217" s="107">
        <v>0</v>
      </c>
      <c r="AT217" s="107">
        <v>0</v>
      </c>
      <c r="AU217" s="107">
        <v>0</v>
      </c>
      <c r="AV217" s="107">
        <v>0</v>
      </c>
      <c r="AW217" s="107">
        <v>0</v>
      </c>
      <c r="AX217" s="107">
        <v>0</v>
      </c>
      <c r="AY217" s="107">
        <v>0</v>
      </c>
    </row>
    <row r="218" spans="1:51" x14ac:dyDescent="0.15">
      <c r="A218" s="106"/>
      <c r="B218" s="116">
        <v>10</v>
      </c>
      <c r="C218" s="103"/>
      <c r="D218" s="107">
        <v>0</v>
      </c>
      <c r="E218" s="107">
        <v>0</v>
      </c>
      <c r="F218" s="107">
        <v>0</v>
      </c>
      <c r="G218" s="107">
        <v>0</v>
      </c>
      <c r="H218" s="107">
        <v>0</v>
      </c>
      <c r="I218" s="107">
        <v>0</v>
      </c>
      <c r="J218" s="107">
        <v>0</v>
      </c>
      <c r="K218" s="107">
        <v>0</v>
      </c>
      <c r="L218" s="107">
        <v>0</v>
      </c>
      <c r="M218" s="107">
        <v>0</v>
      </c>
      <c r="N218" s="107">
        <v>0</v>
      </c>
      <c r="O218" s="107">
        <v>0</v>
      </c>
      <c r="P218" s="107">
        <v>0</v>
      </c>
      <c r="Q218" s="107">
        <v>0</v>
      </c>
      <c r="R218" s="107">
        <v>0</v>
      </c>
      <c r="S218" s="107">
        <v>0</v>
      </c>
      <c r="T218" s="107">
        <v>0</v>
      </c>
      <c r="U218" s="107">
        <v>0</v>
      </c>
      <c r="V218" s="107">
        <v>0</v>
      </c>
      <c r="W218" s="107">
        <v>0</v>
      </c>
      <c r="X218" s="107">
        <v>0</v>
      </c>
      <c r="Y218" s="107">
        <v>0</v>
      </c>
      <c r="Z218" s="107">
        <v>0</v>
      </c>
      <c r="AA218" s="107">
        <v>0</v>
      </c>
      <c r="AB218" s="107">
        <v>0</v>
      </c>
      <c r="AC218" s="107">
        <v>0</v>
      </c>
      <c r="AD218" s="107">
        <v>0</v>
      </c>
      <c r="AE218" s="107">
        <v>0</v>
      </c>
      <c r="AF218" s="107">
        <v>0</v>
      </c>
      <c r="AG218" s="107">
        <v>0</v>
      </c>
      <c r="AH218" s="107">
        <v>0</v>
      </c>
      <c r="AI218" s="107">
        <v>0</v>
      </c>
      <c r="AJ218" s="107">
        <v>0</v>
      </c>
      <c r="AK218" s="107">
        <v>0</v>
      </c>
      <c r="AL218" s="107">
        <v>0</v>
      </c>
      <c r="AM218" s="107">
        <v>0</v>
      </c>
      <c r="AN218" s="107">
        <v>0</v>
      </c>
      <c r="AO218" s="107">
        <v>0</v>
      </c>
      <c r="AP218" s="107">
        <v>0</v>
      </c>
      <c r="AQ218" s="107">
        <v>0</v>
      </c>
      <c r="AR218" s="107">
        <v>0</v>
      </c>
      <c r="AS218" s="107">
        <v>0</v>
      </c>
      <c r="AT218" s="107">
        <v>0</v>
      </c>
      <c r="AU218" s="107">
        <v>0</v>
      </c>
      <c r="AV218" s="107">
        <v>0</v>
      </c>
      <c r="AW218" s="107">
        <v>0</v>
      </c>
      <c r="AX218" s="107">
        <v>0</v>
      </c>
      <c r="AY218" s="107">
        <v>0</v>
      </c>
    </row>
    <row r="219" spans="1:51" x14ac:dyDescent="0.15">
      <c r="A219" s="106"/>
      <c r="B219" s="116">
        <v>11</v>
      </c>
      <c r="C219" s="103"/>
      <c r="D219" s="107">
        <v>0</v>
      </c>
      <c r="E219" s="107">
        <v>0</v>
      </c>
      <c r="F219" s="107">
        <v>0</v>
      </c>
      <c r="G219" s="107">
        <v>0</v>
      </c>
      <c r="H219" s="107">
        <v>0</v>
      </c>
      <c r="I219" s="107">
        <v>0</v>
      </c>
      <c r="J219" s="107">
        <v>0</v>
      </c>
      <c r="K219" s="107">
        <v>0</v>
      </c>
      <c r="L219" s="107">
        <v>0</v>
      </c>
      <c r="M219" s="107">
        <v>0</v>
      </c>
      <c r="N219" s="107">
        <v>0</v>
      </c>
      <c r="O219" s="107">
        <v>0</v>
      </c>
      <c r="P219" s="107">
        <v>0</v>
      </c>
      <c r="Q219" s="107">
        <v>0</v>
      </c>
      <c r="R219" s="107">
        <v>0</v>
      </c>
      <c r="S219" s="107">
        <v>0</v>
      </c>
      <c r="T219" s="107">
        <v>0</v>
      </c>
      <c r="U219" s="107">
        <v>0</v>
      </c>
      <c r="V219" s="107">
        <v>0</v>
      </c>
      <c r="W219" s="107">
        <v>0</v>
      </c>
      <c r="X219" s="107">
        <v>0</v>
      </c>
      <c r="Y219" s="107">
        <v>0</v>
      </c>
      <c r="Z219" s="107">
        <v>0</v>
      </c>
      <c r="AA219" s="107">
        <v>0</v>
      </c>
      <c r="AB219" s="107">
        <v>0</v>
      </c>
      <c r="AC219" s="107">
        <v>0</v>
      </c>
      <c r="AD219" s="107">
        <v>0</v>
      </c>
      <c r="AE219" s="107">
        <v>0</v>
      </c>
      <c r="AF219" s="107">
        <v>0</v>
      </c>
      <c r="AG219" s="107">
        <v>0</v>
      </c>
      <c r="AH219" s="107">
        <v>0</v>
      </c>
      <c r="AI219" s="107">
        <v>0</v>
      </c>
      <c r="AJ219" s="107">
        <v>0</v>
      </c>
      <c r="AK219" s="107">
        <v>0</v>
      </c>
      <c r="AL219" s="107">
        <v>0</v>
      </c>
      <c r="AM219" s="107">
        <v>0</v>
      </c>
      <c r="AN219" s="107">
        <v>0</v>
      </c>
      <c r="AO219" s="107">
        <v>0</v>
      </c>
      <c r="AP219" s="107">
        <v>0</v>
      </c>
      <c r="AQ219" s="107">
        <v>0</v>
      </c>
      <c r="AR219" s="107">
        <v>0</v>
      </c>
      <c r="AS219" s="107">
        <v>0</v>
      </c>
      <c r="AT219" s="107">
        <v>0</v>
      </c>
      <c r="AU219" s="107">
        <v>0</v>
      </c>
      <c r="AV219" s="107">
        <v>0</v>
      </c>
      <c r="AW219" s="107">
        <v>0</v>
      </c>
      <c r="AX219" s="107">
        <v>0</v>
      </c>
      <c r="AY219" s="107">
        <v>0</v>
      </c>
    </row>
    <row r="220" spans="1:51" x14ac:dyDescent="0.15">
      <c r="A220" s="106"/>
      <c r="B220" s="116">
        <v>12</v>
      </c>
      <c r="C220" s="103"/>
      <c r="D220" s="107">
        <v>0</v>
      </c>
      <c r="E220" s="107">
        <v>0</v>
      </c>
      <c r="F220" s="107">
        <v>0</v>
      </c>
      <c r="G220" s="107">
        <v>0</v>
      </c>
      <c r="H220" s="107">
        <v>0</v>
      </c>
      <c r="I220" s="107">
        <v>0</v>
      </c>
      <c r="J220" s="107">
        <v>0</v>
      </c>
      <c r="K220" s="107">
        <v>0</v>
      </c>
      <c r="L220" s="107">
        <v>0</v>
      </c>
      <c r="M220" s="107">
        <v>0</v>
      </c>
      <c r="N220" s="107">
        <v>0</v>
      </c>
      <c r="O220" s="107">
        <v>0</v>
      </c>
      <c r="P220" s="107">
        <v>0</v>
      </c>
      <c r="Q220" s="107">
        <v>0</v>
      </c>
      <c r="R220" s="107">
        <v>0</v>
      </c>
      <c r="S220" s="107">
        <v>0</v>
      </c>
      <c r="T220" s="107">
        <v>0</v>
      </c>
      <c r="U220" s="107">
        <v>0</v>
      </c>
      <c r="V220" s="107">
        <v>0</v>
      </c>
      <c r="W220" s="107">
        <v>0</v>
      </c>
      <c r="X220" s="107">
        <v>0</v>
      </c>
      <c r="Y220" s="107">
        <v>0</v>
      </c>
      <c r="Z220" s="107">
        <v>0</v>
      </c>
      <c r="AA220" s="107">
        <v>0</v>
      </c>
      <c r="AB220" s="107">
        <v>0</v>
      </c>
      <c r="AC220" s="107">
        <v>0</v>
      </c>
      <c r="AD220" s="107">
        <v>0</v>
      </c>
      <c r="AE220" s="107">
        <v>0</v>
      </c>
      <c r="AF220" s="107">
        <v>0</v>
      </c>
      <c r="AG220" s="107">
        <v>0</v>
      </c>
      <c r="AH220" s="107">
        <v>0</v>
      </c>
      <c r="AI220" s="107">
        <v>0</v>
      </c>
      <c r="AJ220" s="107">
        <v>0</v>
      </c>
      <c r="AK220" s="107">
        <v>0</v>
      </c>
      <c r="AL220" s="107">
        <v>0</v>
      </c>
      <c r="AM220" s="107">
        <v>0</v>
      </c>
      <c r="AN220" s="107">
        <v>0</v>
      </c>
      <c r="AO220" s="107">
        <v>0</v>
      </c>
      <c r="AP220" s="107">
        <v>0</v>
      </c>
      <c r="AQ220" s="107">
        <v>0</v>
      </c>
      <c r="AR220" s="107">
        <v>0</v>
      </c>
      <c r="AS220" s="107">
        <v>0</v>
      </c>
      <c r="AT220" s="107">
        <v>0</v>
      </c>
      <c r="AU220" s="107">
        <v>0</v>
      </c>
      <c r="AV220" s="107">
        <v>0</v>
      </c>
      <c r="AW220" s="107">
        <v>0</v>
      </c>
      <c r="AX220" s="107">
        <v>0</v>
      </c>
      <c r="AY220" s="107">
        <v>0</v>
      </c>
    </row>
    <row r="221" spans="1:51" x14ac:dyDescent="0.15">
      <c r="A221" s="106"/>
      <c r="B221" s="117">
        <v>13</v>
      </c>
      <c r="C221" s="103"/>
      <c r="D221" s="107">
        <v>0</v>
      </c>
      <c r="E221" s="107">
        <v>0</v>
      </c>
      <c r="F221" s="107">
        <v>0</v>
      </c>
      <c r="G221" s="107">
        <v>0</v>
      </c>
      <c r="H221" s="107">
        <v>0</v>
      </c>
      <c r="I221" s="107">
        <v>0</v>
      </c>
      <c r="J221" s="107">
        <v>0</v>
      </c>
      <c r="K221" s="107">
        <v>0</v>
      </c>
      <c r="L221" s="107">
        <v>0</v>
      </c>
      <c r="M221" s="107">
        <v>0</v>
      </c>
      <c r="N221" s="107">
        <v>0</v>
      </c>
      <c r="O221" s="107">
        <v>0</v>
      </c>
      <c r="P221" s="107">
        <v>0</v>
      </c>
      <c r="Q221" s="107">
        <v>0</v>
      </c>
      <c r="R221" s="107">
        <v>0</v>
      </c>
      <c r="S221" s="107">
        <v>0</v>
      </c>
      <c r="T221" s="107">
        <v>0</v>
      </c>
      <c r="U221" s="107">
        <v>0</v>
      </c>
      <c r="V221" s="107">
        <v>0</v>
      </c>
      <c r="W221" s="107">
        <v>0</v>
      </c>
      <c r="X221" s="107">
        <v>0</v>
      </c>
      <c r="Y221" s="107">
        <v>0</v>
      </c>
      <c r="Z221" s="107">
        <v>0</v>
      </c>
      <c r="AA221" s="107">
        <v>0</v>
      </c>
      <c r="AB221" s="107">
        <v>0</v>
      </c>
      <c r="AC221" s="107">
        <v>0</v>
      </c>
      <c r="AD221" s="107">
        <v>0</v>
      </c>
      <c r="AE221" s="107">
        <v>0</v>
      </c>
      <c r="AF221" s="107">
        <v>0</v>
      </c>
      <c r="AG221" s="107">
        <v>0</v>
      </c>
      <c r="AH221" s="107">
        <v>0</v>
      </c>
      <c r="AI221" s="107">
        <v>0</v>
      </c>
      <c r="AJ221" s="107">
        <v>0</v>
      </c>
      <c r="AK221" s="107">
        <v>0</v>
      </c>
      <c r="AL221" s="107">
        <v>0</v>
      </c>
      <c r="AM221" s="107">
        <v>0</v>
      </c>
      <c r="AN221" s="107">
        <v>0</v>
      </c>
      <c r="AO221" s="107">
        <v>0</v>
      </c>
      <c r="AP221" s="107">
        <v>0</v>
      </c>
      <c r="AQ221" s="107">
        <v>0</v>
      </c>
      <c r="AR221" s="107">
        <v>0</v>
      </c>
      <c r="AS221" s="107">
        <v>0</v>
      </c>
      <c r="AT221" s="107">
        <v>0</v>
      </c>
      <c r="AU221" s="107">
        <v>0</v>
      </c>
      <c r="AV221" s="107">
        <v>0</v>
      </c>
      <c r="AW221" s="107">
        <v>0</v>
      </c>
      <c r="AX221" s="107">
        <v>0</v>
      </c>
      <c r="AY221" s="107">
        <v>0</v>
      </c>
    </row>
    <row r="222" spans="1:51" x14ac:dyDescent="0.15">
      <c r="A222" s="106"/>
      <c r="B222" s="117">
        <v>14</v>
      </c>
      <c r="C222" s="103"/>
      <c r="D222" s="107">
        <v>0</v>
      </c>
      <c r="E222" s="107">
        <v>0</v>
      </c>
      <c r="F222" s="107">
        <v>0</v>
      </c>
      <c r="G222" s="107">
        <v>0</v>
      </c>
      <c r="H222" s="107">
        <v>0</v>
      </c>
      <c r="I222" s="107">
        <v>0</v>
      </c>
      <c r="J222" s="107">
        <v>0</v>
      </c>
      <c r="K222" s="107">
        <v>0</v>
      </c>
      <c r="L222" s="107">
        <v>0</v>
      </c>
      <c r="M222" s="107">
        <v>0</v>
      </c>
      <c r="N222" s="107">
        <v>0</v>
      </c>
      <c r="O222" s="107">
        <v>0</v>
      </c>
      <c r="P222" s="107">
        <v>0</v>
      </c>
      <c r="Q222" s="107">
        <v>0</v>
      </c>
      <c r="R222" s="107">
        <v>0</v>
      </c>
      <c r="S222" s="107">
        <v>0</v>
      </c>
      <c r="T222" s="107">
        <v>0</v>
      </c>
      <c r="U222" s="107">
        <v>0</v>
      </c>
      <c r="V222" s="107">
        <v>0</v>
      </c>
      <c r="W222" s="107">
        <v>0</v>
      </c>
      <c r="X222" s="107">
        <v>0</v>
      </c>
      <c r="Y222" s="107">
        <v>0</v>
      </c>
      <c r="Z222" s="107">
        <v>0</v>
      </c>
      <c r="AA222" s="107">
        <v>0</v>
      </c>
      <c r="AB222" s="107">
        <v>0</v>
      </c>
      <c r="AC222" s="107">
        <v>0</v>
      </c>
      <c r="AD222" s="107">
        <v>0</v>
      </c>
      <c r="AE222" s="107">
        <v>0</v>
      </c>
      <c r="AF222" s="107">
        <v>0</v>
      </c>
      <c r="AG222" s="107">
        <v>0</v>
      </c>
      <c r="AH222" s="107">
        <v>0</v>
      </c>
      <c r="AI222" s="107">
        <v>0</v>
      </c>
      <c r="AJ222" s="107">
        <v>0</v>
      </c>
      <c r="AK222" s="107">
        <v>0</v>
      </c>
      <c r="AL222" s="107">
        <v>0</v>
      </c>
      <c r="AM222" s="107">
        <v>0</v>
      </c>
      <c r="AN222" s="107">
        <v>0</v>
      </c>
      <c r="AO222" s="107">
        <v>0</v>
      </c>
      <c r="AP222" s="107">
        <v>0</v>
      </c>
      <c r="AQ222" s="107">
        <v>0</v>
      </c>
      <c r="AR222" s="107">
        <v>0</v>
      </c>
      <c r="AS222" s="107">
        <v>0</v>
      </c>
      <c r="AT222" s="107">
        <v>0</v>
      </c>
      <c r="AU222" s="107">
        <v>0</v>
      </c>
      <c r="AV222" s="107">
        <v>0</v>
      </c>
      <c r="AW222" s="107">
        <v>0</v>
      </c>
      <c r="AX222" s="107">
        <v>0</v>
      </c>
      <c r="AY222" s="107">
        <v>0</v>
      </c>
    </row>
    <row r="223" spans="1:51" x14ac:dyDescent="0.15">
      <c r="A223" s="106"/>
      <c r="B223" s="117">
        <v>15</v>
      </c>
      <c r="C223" s="103"/>
      <c r="D223" s="107">
        <v>0</v>
      </c>
      <c r="E223" s="107">
        <v>0</v>
      </c>
      <c r="F223" s="107">
        <v>0</v>
      </c>
      <c r="G223" s="107">
        <v>0</v>
      </c>
      <c r="H223" s="107">
        <v>0</v>
      </c>
      <c r="I223" s="107">
        <v>0</v>
      </c>
      <c r="J223" s="107">
        <v>0</v>
      </c>
      <c r="K223" s="107">
        <v>0</v>
      </c>
      <c r="L223" s="107">
        <v>0</v>
      </c>
      <c r="M223" s="107">
        <v>0</v>
      </c>
      <c r="N223" s="107">
        <v>0</v>
      </c>
      <c r="O223" s="107">
        <v>0</v>
      </c>
      <c r="P223" s="107">
        <v>0</v>
      </c>
      <c r="Q223" s="107">
        <v>0</v>
      </c>
      <c r="R223" s="107">
        <v>0</v>
      </c>
      <c r="S223" s="107">
        <v>0</v>
      </c>
      <c r="T223" s="107">
        <v>0</v>
      </c>
      <c r="U223" s="107">
        <v>0</v>
      </c>
      <c r="V223" s="107">
        <v>0</v>
      </c>
      <c r="W223" s="107">
        <v>0</v>
      </c>
      <c r="X223" s="107">
        <v>0</v>
      </c>
      <c r="Y223" s="107">
        <v>0</v>
      </c>
      <c r="Z223" s="107">
        <v>0</v>
      </c>
      <c r="AA223" s="107">
        <v>0</v>
      </c>
      <c r="AB223" s="107">
        <v>0</v>
      </c>
      <c r="AC223" s="107">
        <v>0</v>
      </c>
      <c r="AD223" s="107">
        <v>0</v>
      </c>
      <c r="AE223" s="107">
        <v>0</v>
      </c>
      <c r="AF223" s="107">
        <v>0</v>
      </c>
      <c r="AG223" s="107">
        <v>0</v>
      </c>
      <c r="AH223" s="107">
        <v>0</v>
      </c>
      <c r="AI223" s="107">
        <v>0</v>
      </c>
      <c r="AJ223" s="107">
        <v>0</v>
      </c>
      <c r="AK223" s="107">
        <v>0</v>
      </c>
      <c r="AL223" s="107">
        <v>0</v>
      </c>
      <c r="AM223" s="107">
        <v>0</v>
      </c>
      <c r="AN223" s="107">
        <v>0</v>
      </c>
      <c r="AO223" s="107">
        <v>0</v>
      </c>
      <c r="AP223" s="107">
        <v>0</v>
      </c>
      <c r="AQ223" s="107">
        <v>0</v>
      </c>
      <c r="AR223" s="107">
        <v>0</v>
      </c>
      <c r="AS223" s="107">
        <v>0</v>
      </c>
      <c r="AT223" s="107">
        <v>0</v>
      </c>
      <c r="AU223" s="107">
        <v>0</v>
      </c>
      <c r="AV223" s="107">
        <v>0</v>
      </c>
      <c r="AW223" s="107">
        <v>0</v>
      </c>
      <c r="AX223" s="107">
        <v>0</v>
      </c>
      <c r="AY223" s="107">
        <v>0</v>
      </c>
    </row>
    <row r="224" spans="1:51" x14ac:dyDescent="0.15">
      <c r="A224" s="106"/>
      <c r="B224" s="117">
        <v>16</v>
      </c>
      <c r="C224" s="103"/>
      <c r="D224" s="107">
        <v>0</v>
      </c>
      <c r="E224" s="107">
        <v>0</v>
      </c>
      <c r="F224" s="107">
        <v>0</v>
      </c>
      <c r="G224" s="107">
        <v>0</v>
      </c>
      <c r="H224" s="107">
        <v>0</v>
      </c>
      <c r="I224" s="107">
        <v>0</v>
      </c>
      <c r="J224" s="107">
        <v>0</v>
      </c>
      <c r="K224" s="107">
        <v>0</v>
      </c>
      <c r="L224" s="107">
        <v>0</v>
      </c>
      <c r="M224" s="107">
        <v>0</v>
      </c>
      <c r="N224" s="107">
        <v>0</v>
      </c>
      <c r="O224" s="107">
        <v>0</v>
      </c>
      <c r="P224" s="107">
        <v>0</v>
      </c>
      <c r="Q224" s="107">
        <v>0</v>
      </c>
      <c r="R224" s="107">
        <v>0</v>
      </c>
      <c r="S224" s="107">
        <v>0</v>
      </c>
      <c r="T224" s="107">
        <v>0</v>
      </c>
      <c r="U224" s="107">
        <v>0</v>
      </c>
      <c r="V224" s="107">
        <v>0</v>
      </c>
      <c r="W224" s="107">
        <v>0</v>
      </c>
      <c r="X224" s="107">
        <v>0</v>
      </c>
      <c r="Y224" s="107">
        <v>0</v>
      </c>
      <c r="Z224" s="107">
        <v>0</v>
      </c>
      <c r="AA224" s="107">
        <v>0</v>
      </c>
      <c r="AB224" s="107">
        <v>0</v>
      </c>
      <c r="AC224" s="107">
        <v>0</v>
      </c>
      <c r="AD224" s="107">
        <v>0</v>
      </c>
      <c r="AE224" s="107">
        <v>0</v>
      </c>
      <c r="AF224" s="107">
        <v>0</v>
      </c>
      <c r="AG224" s="107">
        <v>0</v>
      </c>
      <c r="AH224" s="107">
        <v>0</v>
      </c>
      <c r="AI224" s="107">
        <v>0</v>
      </c>
      <c r="AJ224" s="107">
        <v>0</v>
      </c>
      <c r="AK224" s="107">
        <v>0</v>
      </c>
      <c r="AL224" s="107">
        <v>0</v>
      </c>
      <c r="AM224" s="107">
        <v>0</v>
      </c>
      <c r="AN224" s="107">
        <v>0</v>
      </c>
      <c r="AO224" s="107">
        <v>0</v>
      </c>
      <c r="AP224" s="107">
        <v>0</v>
      </c>
      <c r="AQ224" s="107">
        <v>0</v>
      </c>
      <c r="AR224" s="107">
        <v>0</v>
      </c>
      <c r="AS224" s="107">
        <v>0</v>
      </c>
      <c r="AT224" s="107">
        <v>0</v>
      </c>
      <c r="AU224" s="107">
        <v>0</v>
      </c>
      <c r="AV224" s="107">
        <v>0</v>
      </c>
      <c r="AW224" s="107">
        <v>0</v>
      </c>
      <c r="AX224" s="107">
        <v>0</v>
      </c>
      <c r="AY224" s="107">
        <v>0</v>
      </c>
    </row>
    <row r="225" spans="1:51" x14ac:dyDescent="0.15">
      <c r="A225" s="106"/>
      <c r="B225" s="117">
        <v>17</v>
      </c>
      <c r="C225" s="103"/>
      <c r="D225" s="107">
        <v>0</v>
      </c>
      <c r="E225" s="107">
        <v>0</v>
      </c>
      <c r="F225" s="107">
        <v>0</v>
      </c>
      <c r="G225" s="107">
        <v>0</v>
      </c>
      <c r="H225" s="107">
        <v>0</v>
      </c>
      <c r="I225" s="107">
        <v>0</v>
      </c>
      <c r="J225" s="107">
        <v>0</v>
      </c>
      <c r="K225" s="107">
        <v>0</v>
      </c>
      <c r="L225" s="107">
        <v>0</v>
      </c>
      <c r="M225" s="107">
        <v>0</v>
      </c>
      <c r="N225" s="107">
        <v>0</v>
      </c>
      <c r="O225" s="107">
        <v>0</v>
      </c>
      <c r="P225" s="107">
        <v>0</v>
      </c>
      <c r="Q225" s="107">
        <v>0</v>
      </c>
      <c r="R225" s="107">
        <v>0</v>
      </c>
      <c r="S225" s="107">
        <v>0</v>
      </c>
      <c r="T225" s="107">
        <v>0</v>
      </c>
      <c r="U225" s="107">
        <v>0</v>
      </c>
      <c r="V225" s="107">
        <v>0</v>
      </c>
      <c r="W225" s="107">
        <v>0</v>
      </c>
      <c r="X225" s="107">
        <v>0</v>
      </c>
      <c r="Y225" s="107">
        <v>0</v>
      </c>
      <c r="Z225" s="107">
        <v>0</v>
      </c>
      <c r="AA225" s="107">
        <v>0</v>
      </c>
      <c r="AB225" s="107">
        <v>0</v>
      </c>
      <c r="AC225" s="107">
        <v>0</v>
      </c>
      <c r="AD225" s="107">
        <v>0</v>
      </c>
      <c r="AE225" s="107">
        <v>0</v>
      </c>
      <c r="AF225" s="107">
        <v>0</v>
      </c>
      <c r="AG225" s="107">
        <v>0</v>
      </c>
      <c r="AH225" s="107">
        <v>0</v>
      </c>
      <c r="AI225" s="107">
        <v>0</v>
      </c>
      <c r="AJ225" s="107">
        <v>0</v>
      </c>
      <c r="AK225" s="107">
        <v>0</v>
      </c>
      <c r="AL225" s="107">
        <v>0</v>
      </c>
      <c r="AM225" s="107">
        <v>0</v>
      </c>
      <c r="AN225" s="107">
        <v>0</v>
      </c>
      <c r="AO225" s="107">
        <v>0</v>
      </c>
      <c r="AP225" s="107">
        <v>0</v>
      </c>
      <c r="AQ225" s="107">
        <v>0</v>
      </c>
      <c r="AR225" s="107">
        <v>0</v>
      </c>
      <c r="AS225" s="107">
        <v>0</v>
      </c>
      <c r="AT225" s="107">
        <v>0</v>
      </c>
      <c r="AU225" s="107">
        <v>0</v>
      </c>
      <c r="AV225" s="107">
        <v>0</v>
      </c>
      <c r="AW225" s="107">
        <v>0</v>
      </c>
      <c r="AX225" s="107">
        <v>0</v>
      </c>
      <c r="AY225" s="107">
        <v>0</v>
      </c>
    </row>
    <row r="226" spans="1:51" x14ac:dyDescent="0.15">
      <c r="A226" s="106"/>
      <c r="B226" s="117">
        <v>18</v>
      </c>
      <c r="C226" s="103"/>
      <c r="D226" s="107">
        <v>0</v>
      </c>
      <c r="E226" s="107">
        <v>0</v>
      </c>
      <c r="F226" s="107">
        <v>0</v>
      </c>
      <c r="G226" s="107">
        <v>0</v>
      </c>
      <c r="H226" s="107">
        <v>0</v>
      </c>
      <c r="I226" s="107">
        <v>0</v>
      </c>
      <c r="J226" s="107">
        <v>0</v>
      </c>
      <c r="K226" s="107">
        <v>0</v>
      </c>
      <c r="L226" s="107">
        <v>0</v>
      </c>
      <c r="M226" s="107">
        <v>0</v>
      </c>
      <c r="N226" s="107">
        <v>0</v>
      </c>
      <c r="O226" s="107">
        <v>0</v>
      </c>
      <c r="P226" s="107">
        <v>0</v>
      </c>
      <c r="Q226" s="107">
        <v>0</v>
      </c>
      <c r="R226" s="107">
        <v>0</v>
      </c>
      <c r="S226" s="107">
        <v>0</v>
      </c>
      <c r="T226" s="107">
        <v>0</v>
      </c>
      <c r="U226" s="107">
        <v>0</v>
      </c>
      <c r="V226" s="107">
        <v>0</v>
      </c>
      <c r="W226" s="107">
        <v>0</v>
      </c>
      <c r="X226" s="107">
        <v>0</v>
      </c>
      <c r="Y226" s="107">
        <v>0</v>
      </c>
      <c r="Z226" s="107">
        <v>0</v>
      </c>
      <c r="AA226" s="107">
        <v>0</v>
      </c>
      <c r="AB226" s="107">
        <v>0</v>
      </c>
      <c r="AC226" s="107">
        <v>0</v>
      </c>
      <c r="AD226" s="107">
        <v>0</v>
      </c>
      <c r="AE226" s="107">
        <v>0</v>
      </c>
      <c r="AF226" s="107">
        <v>0</v>
      </c>
      <c r="AG226" s="107">
        <v>0</v>
      </c>
      <c r="AH226" s="107">
        <v>0</v>
      </c>
      <c r="AI226" s="107">
        <v>0</v>
      </c>
      <c r="AJ226" s="107">
        <v>0</v>
      </c>
      <c r="AK226" s="107">
        <v>0</v>
      </c>
      <c r="AL226" s="107">
        <v>0</v>
      </c>
      <c r="AM226" s="107">
        <v>0</v>
      </c>
      <c r="AN226" s="107">
        <v>0</v>
      </c>
      <c r="AO226" s="107">
        <v>0</v>
      </c>
      <c r="AP226" s="107">
        <v>0</v>
      </c>
      <c r="AQ226" s="107">
        <v>0</v>
      </c>
      <c r="AR226" s="107">
        <v>0</v>
      </c>
      <c r="AS226" s="107">
        <v>0</v>
      </c>
      <c r="AT226" s="107">
        <v>0</v>
      </c>
      <c r="AU226" s="107">
        <v>0</v>
      </c>
      <c r="AV226" s="107">
        <v>0</v>
      </c>
      <c r="AW226" s="107">
        <v>0</v>
      </c>
      <c r="AX226" s="107">
        <v>0</v>
      </c>
      <c r="AY226" s="107">
        <v>0</v>
      </c>
    </row>
    <row r="227" spans="1:51" x14ac:dyDescent="0.15">
      <c r="A227" s="106"/>
      <c r="B227" s="117">
        <v>19</v>
      </c>
      <c r="C227" s="103"/>
      <c r="D227" s="107">
        <v>0</v>
      </c>
      <c r="E227" s="107">
        <v>0</v>
      </c>
      <c r="F227" s="107">
        <v>0</v>
      </c>
      <c r="G227" s="107">
        <v>0</v>
      </c>
      <c r="H227" s="107">
        <v>0</v>
      </c>
      <c r="I227" s="107">
        <v>0</v>
      </c>
      <c r="J227" s="107">
        <v>0</v>
      </c>
      <c r="K227" s="107">
        <v>0</v>
      </c>
      <c r="L227" s="107">
        <v>0</v>
      </c>
      <c r="M227" s="107">
        <v>0</v>
      </c>
      <c r="N227" s="107">
        <v>0</v>
      </c>
      <c r="O227" s="107">
        <v>0</v>
      </c>
      <c r="P227" s="107">
        <v>0</v>
      </c>
      <c r="Q227" s="107">
        <v>0</v>
      </c>
      <c r="R227" s="107">
        <v>0</v>
      </c>
      <c r="S227" s="107">
        <v>0</v>
      </c>
      <c r="T227" s="107">
        <v>0</v>
      </c>
      <c r="U227" s="107">
        <v>0</v>
      </c>
      <c r="V227" s="107">
        <v>0</v>
      </c>
      <c r="W227" s="107">
        <v>0</v>
      </c>
      <c r="X227" s="107">
        <v>0</v>
      </c>
      <c r="Y227" s="107">
        <v>0</v>
      </c>
      <c r="Z227" s="107">
        <v>0</v>
      </c>
      <c r="AA227" s="107">
        <v>0</v>
      </c>
      <c r="AB227" s="107">
        <v>0</v>
      </c>
      <c r="AC227" s="107">
        <v>0</v>
      </c>
      <c r="AD227" s="107">
        <v>0</v>
      </c>
      <c r="AE227" s="107">
        <v>0</v>
      </c>
      <c r="AF227" s="107">
        <v>0</v>
      </c>
      <c r="AG227" s="107">
        <v>0</v>
      </c>
      <c r="AH227" s="107">
        <v>0</v>
      </c>
      <c r="AI227" s="107">
        <v>0</v>
      </c>
      <c r="AJ227" s="107">
        <v>0</v>
      </c>
      <c r="AK227" s="107">
        <v>0</v>
      </c>
      <c r="AL227" s="107">
        <v>0</v>
      </c>
      <c r="AM227" s="107">
        <v>0</v>
      </c>
      <c r="AN227" s="107">
        <v>0</v>
      </c>
      <c r="AO227" s="107">
        <v>0</v>
      </c>
      <c r="AP227" s="107">
        <v>0</v>
      </c>
      <c r="AQ227" s="107">
        <v>0</v>
      </c>
      <c r="AR227" s="107">
        <v>0</v>
      </c>
      <c r="AS227" s="107">
        <v>0</v>
      </c>
      <c r="AT227" s="107">
        <v>0</v>
      </c>
      <c r="AU227" s="107">
        <v>0</v>
      </c>
      <c r="AV227" s="107">
        <v>0</v>
      </c>
      <c r="AW227" s="107">
        <v>0</v>
      </c>
      <c r="AX227" s="107">
        <v>0</v>
      </c>
      <c r="AY227" s="107">
        <v>0</v>
      </c>
    </row>
    <row r="228" spans="1:51" x14ac:dyDescent="0.15">
      <c r="A228" s="106"/>
      <c r="B228" s="117">
        <v>20</v>
      </c>
      <c r="C228" s="103"/>
      <c r="D228" s="107">
        <v>0</v>
      </c>
      <c r="E228" s="107">
        <v>0</v>
      </c>
      <c r="F228" s="107">
        <v>0</v>
      </c>
      <c r="G228" s="107">
        <v>0</v>
      </c>
      <c r="H228" s="107">
        <v>0</v>
      </c>
      <c r="I228" s="107">
        <v>0</v>
      </c>
      <c r="J228" s="107">
        <v>0</v>
      </c>
      <c r="K228" s="107">
        <v>0</v>
      </c>
      <c r="L228" s="107">
        <v>0</v>
      </c>
      <c r="M228" s="107">
        <v>0</v>
      </c>
      <c r="N228" s="107">
        <v>0</v>
      </c>
      <c r="O228" s="107">
        <v>0</v>
      </c>
      <c r="P228" s="107">
        <v>0</v>
      </c>
      <c r="Q228" s="107">
        <v>0</v>
      </c>
      <c r="R228" s="107">
        <v>0</v>
      </c>
      <c r="S228" s="107">
        <v>0</v>
      </c>
      <c r="T228" s="107">
        <v>0</v>
      </c>
      <c r="U228" s="107">
        <v>0</v>
      </c>
      <c r="V228" s="107">
        <v>0</v>
      </c>
      <c r="W228" s="107">
        <v>0</v>
      </c>
      <c r="X228" s="107">
        <v>0</v>
      </c>
      <c r="Y228" s="107">
        <v>0</v>
      </c>
      <c r="Z228" s="107">
        <v>0</v>
      </c>
      <c r="AA228" s="107">
        <v>0</v>
      </c>
      <c r="AB228" s="107">
        <v>0</v>
      </c>
      <c r="AC228" s="107">
        <v>0</v>
      </c>
      <c r="AD228" s="107">
        <v>0</v>
      </c>
      <c r="AE228" s="107">
        <v>0</v>
      </c>
      <c r="AF228" s="107">
        <v>0</v>
      </c>
      <c r="AG228" s="107">
        <v>0</v>
      </c>
      <c r="AH228" s="107">
        <v>0</v>
      </c>
      <c r="AI228" s="107">
        <v>0</v>
      </c>
      <c r="AJ228" s="107">
        <v>0</v>
      </c>
      <c r="AK228" s="107">
        <v>0</v>
      </c>
      <c r="AL228" s="107">
        <v>0</v>
      </c>
      <c r="AM228" s="107">
        <v>0</v>
      </c>
      <c r="AN228" s="107">
        <v>0</v>
      </c>
      <c r="AO228" s="107">
        <v>0</v>
      </c>
      <c r="AP228" s="107">
        <v>0</v>
      </c>
      <c r="AQ228" s="107">
        <v>0</v>
      </c>
      <c r="AR228" s="107">
        <v>0</v>
      </c>
      <c r="AS228" s="107">
        <v>0</v>
      </c>
      <c r="AT228" s="107">
        <v>0</v>
      </c>
      <c r="AU228" s="107">
        <v>0</v>
      </c>
      <c r="AV228" s="107">
        <v>0</v>
      </c>
      <c r="AW228" s="107">
        <v>0</v>
      </c>
      <c r="AX228" s="107">
        <v>0</v>
      </c>
      <c r="AY228" s="107">
        <v>0</v>
      </c>
    </row>
    <row r="229" spans="1:51" x14ac:dyDescent="0.15">
      <c r="A229" s="106"/>
      <c r="B229" s="117">
        <v>21</v>
      </c>
      <c r="C229" s="103"/>
      <c r="D229" s="107">
        <v>0</v>
      </c>
      <c r="E229" s="107">
        <v>0</v>
      </c>
      <c r="F229" s="107">
        <v>0</v>
      </c>
      <c r="G229" s="107">
        <v>0</v>
      </c>
      <c r="H229" s="107">
        <v>0</v>
      </c>
      <c r="I229" s="107">
        <v>0</v>
      </c>
      <c r="J229" s="107">
        <v>0</v>
      </c>
      <c r="K229" s="107">
        <v>0</v>
      </c>
      <c r="L229" s="107">
        <v>0</v>
      </c>
      <c r="M229" s="107">
        <v>0</v>
      </c>
      <c r="N229" s="107">
        <v>0</v>
      </c>
      <c r="O229" s="107">
        <v>0</v>
      </c>
      <c r="P229" s="107">
        <v>0</v>
      </c>
      <c r="Q229" s="107">
        <v>0</v>
      </c>
      <c r="R229" s="107">
        <v>0</v>
      </c>
      <c r="S229" s="107">
        <v>0</v>
      </c>
      <c r="T229" s="107">
        <v>0</v>
      </c>
      <c r="U229" s="107">
        <v>0</v>
      </c>
      <c r="V229" s="107">
        <v>0</v>
      </c>
      <c r="W229" s="107">
        <v>0</v>
      </c>
      <c r="X229" s="107">
        <v>0</v>
      </c>
      <c r="Y229" s="107">
        <v>0</v>
      </c>
      <c r="Z229" s="107">
        <v>0</v>
      </c>
      <c r="AA229" s="107">
        <v>0</v>
      </c>
      <c r="AB229" s="107">
        <v>0</v>
      </c>
      <c r="AC229" s="107">
        <v>0</v>
      </c>
      <c r="AD229" s="107">
        <v>0</v>
      </c>
      <c r="AE229" s="107">
        <v>0</v>
      </c>
      <c r="AF229" s="107">
        <v>0</v>
      </c>
      <c r="AG229" s="107">
        <v>0</v>
      </c>
      <c r="AH229" s="107">
        <v>0</v>
      </c>
      <c r="AI229" s="107">
        <v>0</v>
      </c>
      <c r="AJ229" s="107">
        <v>0</v>
      </c>
      <c r="AK229" s="107">
        <v>0</v>
      </c>
      <c r="AL229" s="107">
        <v>0</v>
      </c>
      <c r="AM229" s="107">
        <v>0</v>
      </c>
      <c r="AN229" s="107">
        <v>0</v>
      </c>
      <c r="AO229" s="107">
        <v>0</v>
      </c>
      <c r="AP229" s="107">
        <v>0</v>
      </c>
      <c r="AQ229" s="107">
        <v>0</v>
      </c>
      <c r="AR229" s="107">
        <v>0</v>
      </c>
      <c r="AS229" s="107">
        <v>0</v>
      </c>
      <c r="AT229" s="107">
        <v>0</v>
      </c>
      <c r="AU229" s="107">
        <v>0</v>
      </c>
      <c r="AV229" s="107">
        <v>0</v>
      </c>
      <c r="AW229" s="107">
        <v>0</v>
      </c>
      <c r="AX229" s="107">
        <v>0</v>
      </c>
      <c r="AY229" s="107">
        <v>0</v>
      </c>
    </row>
    <row r="230" spans="1:51" x14ac:dyDescent="0.15">
      <c r="A230" s="106"/>
      <c r="B230" s="117">
        <v>22</v>
      </c>
      <c r="C230" s="103"/>
      <c r="D230" s="107">
        <v>0</v>
      </c>
      <c r="E230" s="107">
        <v>0</v>
      </c>
      <c r="F230" s="107">
        <v>0</v>
      </c>
      <c r="G230" s="107">
        <v>0</v>
      </c>
      <c r="H230" s="107">
        <v>0</v>
      </c>
      <c r="I230" s="107">
        <v>0</v>
      </c>
      <c r="J230" s="107">
        <v>0</v>
      </c>
      <c r="K230" s="107">
        <v>0</v>
      </c>
      <c r="L230" s="107">
        <v>0</v>
      </c>
      <c r="M230" s="107">
        <v>0</v>
      </c>
      <c r="N230" s="107">
        <v>0</v>
      </c>
      <c r="O230" s="107">
        <v>0</v>
      </c>
      <c r="P230" s="107">
        <v>0</v>
      </c>
      <c r="Q230" s="107">
        <v>0</v>
      </c>
      <c r="R230" s="107">
        <v>0</v>
      </c>
      <c r="S230" s="107">
        <v>0</v>
      </c>
      <c r="T230" s="107">
        <v>0</v>
      </c>
      <c r="U230" s="107">
        <v>0</v>
      </c>
      <c r="V230" s="107">
        <v>0</v>
      </c>
      <c r="W230" s="107">
        <v>0</v>
      </c>
      <c r="X230" s="107">
        <v>0</v>
      </c>
      <c r="Y230" s="107">
        <v>0</v>
      </c>
      <c r="Z230" s="107">
        <v>0</v>
      </c>
      <c r="AA230" s="107">
        <v>0</v>
      </c>
      <c r="AB230" s="107">
        <v>0</v>
      </c>
      <c r="AC230" s="107">
        <v>0</v>
      </c>
      <c r="AD230" s="107">
        <v>0</v>
      </c>
      <c r="AE230" s="107">
        <v>0</v>
      </c>
      <c r="AF230" s="107">
        <v>0</v>
      </c>
      <c r="AG230" s="107">
        <v>0</v>
      </c>
      <c r="AH230" s="107">
        <v>0</v>
      </c>
      <c r="AI230" s="107">
        <v>0</v>
      </c>
      <c r="AJ230" s="107">
        <v>0</v>
      </c>
      <c r="AK230" s="107">
        <v>0</v>
      </c>
      <c r="AL230" s="107">
        <v>0</v>
      </c>
      <c r="AM230" s="107">
        <v>0</v>
      </c>
      <c r="AN230" s="107">
        <v>0</v>
      </c>
      <c r="AO230" s="107">
        <v>0</v>
      </c>
      <c r="AP230" s="107">
        <v>0</v>
      </c>
      <c r="AQ230" s="107">
        <v>0</v>
      </c>
      <c r="AR230" s="107">
        <v>0</v>
      </c>
      <c r="AS230" s="107">
        <v>0</v>
      </c>
      <c r="AT230" s="107">
        <v>0</v>
      </c>
      <c r="AU230" s="107">
        <v>0</v>
      </c>
      <c r="AV230" s="107">
        <v>0</v>
      </c>
      <c r="AW230" s="107">
        <v>0</v>
      </c>
      <c r="AX230" s="107">
        <v>0</v>
      </c>
      <c r="AY230" s="107">
        <v>0</v>
      </c>
    </row>
    <row r="231" spans="1:51" x14ac:dyDescent="0.15">
      <c r="A231" s="106"/>
      <c r="B231" s="117">
        <v>23</v>
      </c>
      <c r="C231" s="103"/>
      <c r="D231" s="107">
        <v>0</v>
      </c>
      <c r="E231" s="107">
        <v>0</v>
      </c>
      <c r="F231" s="107">
        <v>0</v>
      </c>
      <c r="G231" s="107">
        <v>0</v>
      </c>
      <c r="H231" s="107">
        <v>0</v>
      </c>
      <c r="I231" s="107">
        <v>0</v>
      </c>
      <c r="J231" s="107">
        <v>0</v>
      </c>
      <c r="K231" s="107">
        <v>0</v>
      </c>
      <c r="L231" s="107">
        <v>0</v>
      </c>
      <c r="M231" s="107">
        <v>0</v>
      </c>
      <c r="N231" s="107">
        <v>0</v>
      </c>
      <c r="O231" s="107">
        <v>0</v>
      </c>
      <c r="P231" s="107">
        <v>0</v>
      </c>
      <c r="Q231" s="107">
        <v>0</v>
      </c>
      <c r="R231" s="107">
        <v>0</v>
      </c>
      <c r="S231" s="107">
        <v>0</v>
      </c>
      <c r="T231" s="107">
        <v>0</v>
      </c>
      <c r="U231" s="107">
        <v>0</v>
      </c>
      <c r="V231" s="107">
        <v>0</v>
      </c>
      <c r="W231" s="107">
        <v>0</v>
      </c>
      <c r="X231" s="107">
        <v>0</v>
      </c>
      <c r="Y231" s="107">
        <v>0</v>
      </c>
      <c r="Z231" s="107">
        <v>0</v>
      </c>
      <c r="AA231" s="107">
        <v>0</v>
      </c>
      <c r="AB231" s="107">
        <v>0</v>
      </c>
      <c r="AC231" s="107">
        <v>0</v>
      </c>
      <c r="AD231" s="107">
        <v>0</v>
      </c>
      <c r="AE231" s="107">
        <v>0</v>
      </c>
      <c r="AF231" s="107">
        <v>0</v>
      </c>
      <c r="AG231" s="107">
        <v>0</v>
      </c>
      <c r="AH231" s="107">
        <v>0</v>
      </c>
      <c r="AI231" s="107">
        <v>0</v>
      </c>
      <c r="AJ231" s="107">
        <v>0</v>
      </c>
      <c r="AK231" s="107">
        <v>0</v>
      </c>
      <c r="AL231" s="107">
        <v>0</v>
      </c>
      <c r="AM231" s="107">
        <v>0</v>
      </c>
      <c r="AN231" s="107">
        <v>0</v>
      </c>
      <c r="AO231" s="107">
        <v>0</v>
      </c>
      <c r="AP231" s="107">
        <v>0</v>
      </c>
      <c r="AQ231" s="107">
        <v>0</v>
      </c>
      <c r="AR231" s="107">
        <v>0</v>
      </c>
      <c r="AS231" s="107">
        <v>0</v>
      </c>
      <c r="AT231" s="107">
        <v>0</v>
      </c>
      <c r="AU231" s="107">
        <v>0</v>
      </c>
      <c r="AV231" s="107">
        <v>0</v>
      </c>
      <c r="AW231" s="107">
        <v>0</v>
      </c>
      <c r="AX231" s="107">
        <v>0</v>
      </c>
      <c r="AY231" s="107">
        <v>0</v>
      </c>
    </row>
    <row r="232" spans="1:51" x14ac:dyDescent="0.15">
      <c r="A232" s="106"/>
      <c r="B232" s="117">
        <v>24</v>
      </c>
      <c r="C232" s="103"/>
      <c r="D232" s="107">
        <v>0</v>
      </c>
      <c r="E232" s="107">
        <v>0</v>
      </c>
      <c r="F232" s="107">
        <v>0</v>
      </c>
      <c r="G232" s="107">
        <v>0</v>
      </c>
      <c r="H232" s="107">
        <v>0</v>
      </c>
      <c r="I232" s="107">
        <v>0</v>
      </c>
      <c r="J232" s="107">
        <v>0</v>
      </c>
      <c r="K232" s="107">
        <v>0</v>
      </c>
      <c r="L232" s="107">
        <v>0</v>
      </c>
      <c r="M232" s="107">
        <v>0</v>
      </c>
      <c r="N232" s="107">
        <v>0</v>
      </c>
      <c r="O232" s="107">
        <v>0</v>
      </c>
      <c r="P232" s="107">
        <v>0</v>
      </c>
      <c r="Q232" s="107">
        <v>0</v>
      </c>
      <c r="R232" s="107">
        <v>0</v>
      </c>
      <c r="S232" s="107">
        <v>0</v>
      </c>
      <c r="T232" s="107">
        <v>0</v>
      </c>
      <c r="U232" s="107">
        <v>0</v>
      </c>
      <c r="V232" s="107">
        <v>0</v>
      </c>
      <c r="W232" s="107">
        <v>0</v>
      </c>
      <c r="X232" s="107">
        <v>0</v>
      </c>
      <c r="Y232" s="107">
        <v>0</v>
      </c>
      <c r="Z232" s="107">
        <v>0</v>
      </c>
      <c r="AA232" s="107">
        <v>0</v>
      </c>
      <c r="AB232" s="107">
        <v>0</v>
      </c>
      <c r="AC232" s="107">
        <v>0</v>
      </c>
      <c r="AD232" s="107">
        <v>0</v>
      </c>
      <c r="AE232" s="107">
        <v>0</v>
      </c>
      <c r="AF232" s="107">
        <v>0</v>
      </c>
      <c r="AG232" s="107">
        <v>0</v>
      </c>
      <c r="AH232" s="107">
        <v>0</v>
      </c>
      <c r="AI232" s="107">
        <v>0</v>
      </c>
      <c r="AJ232" s="107">
        <v>0</v>
      </c>
      <c r="AK232" s="107">
        <v>0</v>
      </c>
      <c r="AL232" s="107">
        <v>0</v>
      </c>
      <c r="AM232" s="107">
        <v>0</v>
      </c>
      <c r="AN232" s="107">
        <v>0</v>
      </c>
      <c r="AO232" s="107">
        <v>0</v>
      </c>
      <c r="AP232" s="107">
        <v>0</v>
      </c>
      <c r="AQ232" s="107">
        <v>0</v>
      </c>
      <c r="AR232" s="107">
        <v>0</v>
      </c>
      <c r="AS232" s="107">
        <v>0</v>
      </c>
      <c r="AT232" s="107">
        <v>0</v>
      </c>
      <c r="AU232" s="107">
        <v>0</v>
      </c>
      <c r="AV232" s="107">
        <v>0</v>
      </c>
      <c r="AW232" s="107">
        <v>0</v>
      </c>
      <c r="AX232" s="107">
        <v>0</v>
      </c>
      <c r="AY232" s="107">
        <v>0</v>
      </c>
    </row>
    <row r="233" spans="1:51" x14ac:dyDescent="0.15">
      <c r="A233" s="106"/>
      <c r="B233" s="124">
        <v>25</v>
      </c>
      <c r="C233" s="103"/>
      <c r="D233" s="107">
        <v>0</v>
      </c>
      <c r="E233" s="107">
        <v>0</v>
      </c>
      <c r="F233" s="107">
        <v>0</v>
      </c>
      <c r="G233" s="107">
        <v>0</v>
      </c>
      <c r="H233" s="107">
        <v>0</v>
      </c>
      <c r="I233" s="107">
        <v>0</v>
      </c>
      <c r="J233" s="107">
        <v>0</v>
      </c>
      <c r="K233" s="107">
        <v>0</v>
      </c>
      <c r="L233" s="107">
        <v>0</v>
      </c>
      <c r="M233" s="107">
        <v>0</v>
      </c>
      <c r="N233" s="107">
        <v>0</v>
      </c>
      <c r="O233" s="107">
        <v>0</v>
      </c>
      <c r="P233" s="107">
        <v>0</v>
      </c>
      <c r="Q233" s="107">
        <v>0</v>
      </c>
      <c r="R233" s="107">
        <v>0</v>
      </c>
      <c r="S233" s="107">
        <v>0</v>
      </c>
      <c r="T233" s="107">
        <v>0</v>
      </c>
      <c r="U233" s="107">
        <v>0</v>
      </c>
      <c r="V233" s="107">
        <v>0</v>
      </c>
      <c r="W233" s="107">
        <v>0</v>
      </c>
      <c r="X233" s="107">
        <v>0</v>
      </c>
      <c r="Y233" s="107">
        <v>0</v>
      </c>
      <c r="Z233" s="107">
        <v>0</v>
      </c>
      <c r="AA233" s="107">
        <v>0</v>
      </c>
      <c r="AB233" s="107">
        <v>0</v>
      </c>
      <c r="AC233" s="107">
        <v>0</v>
      </c>
      <c r="AD233" s="107">
        <v>0</v>
      </c>
      <c r="AE233" s="107">
        <v>0</v>
      </c>
      <c r="AF233" s="107">
        <v>0</v>
      </c>
      <c r="AG233" s="107">
        <v>0</v>
      </c>
      <c r="AH233" s="107">
        <v>0</v>
      </c>
      <c r="AI233" s="107">
        <v>0</v>
      </c>
      <c r="AJ233" s="107">
        <v>0</v>
      </c>
      <c r="AK233" s="107">
        <v>0</v>
      </c>
      <c r="AL233" s="107">
        <v>0</v>
      </c>
      <c r="AM233" s="107">
        <v>0</v>
      </c>
      <c r="AN233" s="107">
        <v>0</v>
      </c>
      <c r="AO233" s="107">
        <v>0</v>
      </c>
      <c r="AP233" s="107">
        <v>0</v>
      </c>
      <c r="AQ233" s="107">
        <v>0</v>
      </c>
      <c r="AR233" s="107">
        <v>0</v>
      </c>
      <c r="AS233" s="107">
        <v>0</v>
      </c>
      <c r="AT233" s="107">
        <v>0</v>
      </c>
      <c r="AU233" s="107">
        <v>0</v>
      </c>
      <c r="AV233" s="107">
        <v>0</v>
      </c>
      <c r="AW233" s="107">
        <v>0</v>
      </c>
      <c r="AX233" s="107">
        <v>0</v>
      </c>
      <c r="AY233" s="107">
        <v>0</v>
      </c>
    </row>
    <row r="234" spans="1:51" x14ac:dyDescent="0.15">
      <c r="A234" s="106"/>
      <c r="B234" s="124">
        <v>26</v>
      </c>
      <c r="C234" s="103"/>
      <c r="D234" s="107">
        <v>0</v>
      </c>
      <c r="E234" s="107">
        <v>0</v>
      </c>
      <c r="F234" s="107">
        <v>0</v>
      </c>
      <c r="G234" s="107">
        <v>0</v>
      </c>
      <c r="H234" s="107">
        <v>0</v>
      </c>
      <c r="I234" s="107">
        <v>0</v>
      </c>
      <c r="J234" s="107">
        <v>0</v>
      </c>
      <c r="K234" s="107">
        <v>0</v>
      </c>
      <c r="L234" s="107">
        <v>0</v>
      </c>
      <c r="M234" s="107">
        <v>0</v>
      </c>
      <c r="N234" s="107">
        <v>0</v>
      </c>
      <c r="O234" s="107">
        <v>0</v>
      </c>
      <c r="P234" s="107">
        <v>0</v>
      </c>
      <c r="Q234" s="107">
        <v>0</v>
      </c>
      <c r="R234" s="107">
        <v>0</v>
      </c>
      <c r="S234" s="107">
        <v>0</v>
      </c>
      <c r="T234" s="107">
        <v>0</v>
      </c>
      <c r="U234" s="107">
        <v>0</v>
      </c>
      <c r="V234" s="107">
        <v>0</v>
      </c>
      <c r="W234" s="107">
        <v>0</v>
      </c>
      <c r="X234" s="107">
        <v>0</v>
      </c>
      <c r="Y234" s="107">
        <v>0</v>
      </c>
      <c r="Z234" s="107">
        <v>0</v>
      </c>
      <c r="AA234" s="107">
        <v>0</v>
      </c>
      <c r="AB234" s="107">
        <v>0</v>
      </c>
      <c r="AC234" s="107">
        <v>0</v>
      </c>
      <c r="AD234" s="107">
        <v>0</v>
      </c>
      <c r="AE234" s="107">
        <v>0</v>
      </c>
      <c r="AF234" s="107">
        <v>0</v>
      </c>
      <c r="AG234" s="107">
        <v>0</v>
      </c>
      <c r="AH234" s="107">
        <v>0</v>
      </c>
      <c r="AI234" s="107">
        <v>0</v>
      </c>
      <c r="AJ234" s="107">
        <v>0</v>
      </c>
      <c r="AK234" s="107">
        <v>0</v>
      </c>
      <c r="AL234" s="107">
        <v>0</v>
      </c>
      <c r="AM234" s="107">
        <v>0</v>
      </c>
      <c r="AN234" s="107">
        <v>0</v>
      </c>
      <c r="AO234" s="107">
        <v>0</v>
      </c>
      <c r="AP234" s="107">
        <v>0</v>
      </c>
      <c r="AQ234" s="107">
        <v>0</v>
      </c>
      <c r="AR234" s="107">
        <v>0</v>
      </c>
      <c r="AS234" s="107">
        <v>0</v>
      </c>
      <c r="AT234" s="107">
        <v>0</v>
      </c>
      <c r="AU234" s="107">
        <v>0</v>
      </c>
      <c r="AV234" s="107">
        <v>0</v>
      </c>
      <c r="AW234" s="107">
        <v>0</v>
      </c>
      <c r="AX234" s="107">
        <v>0</v>
      </c>
      <c r="AY234" s="107">
        <v>0</v>
      </c>
    </row>
    <row r="235" spans="1:51" x14ac:dyDescent="0.15">
      <c r="A235" s="106"/>
      <c r="B235" s="124">
        <v>27</v>
      </c>
      <c r="C235" s="103"/>
      <c r="D235" s="107">
        <v>0</v>
      </c>
      <c r="E235" s="107">
        <v>0</v>
      </c>
      <c r="F235" s="107">
        <v>0</v>
      </c>
      <c r="G235" s="107">
        <v>0</v>
      </c>
      <c r="H235" s="107">
        <v>0</v>
      </c>
      <c r="I235" s="107">
        <v>0</v>
      </c>
      <c r="J235" s="107">
        <v>0</v>
      </c>
      <c r="K235" s="107">
        <v>0</v>
      </c>
      <c r="L235" s="107">
        <v>0</v>
      </c>
      <c r="M235" s="107">
        <v>0</v>
      </c>
      <c r="N235" s="107">
        <v>0</v>
      </c>
      <c r="O235" s="107">
        <v>0</v>
      </c>
      <c r="P235" s="107">
        <v>0</v>
      </c>
      <c r="Q235" s="107">
        <v>0</v>
      </c>
      <c r="R235" s="107">
        <v>0</v>
      </c>
      <c r="S235" s="107">
        <v>0</v>
      </c>
      <c r="T235" s="107">
        <v>0</v>
      </c>
      <c r="U235" s="107">
        <v>0</v>
      </c>
      <c r="V235" s="107">
        <v>0</v>
      </c>
      <c r="W235" s="107">
        <v>0</v>
      </c>
      <c r="X235" s="107">
        <v>0</v>
      </c>
      <c r="Y235" s="107">
        <v>0</v>
      </c>
      <c r="Z235" s="107">
        <v>0</v>
      </c>
      <c r="AA235" s="107">
        <v>0</v>
      </c>
      <c r="AB235" s="107">
        <v>0</v>
      </c>
      <c r="AC235" s="107">
        <v>0</v>
      </c>
      <c r="AD235" s="107">
        <v>0</v>
      </c>
      <c r="AE235" s="107">
        <v>0</v>
      </c>
      <c r="AF235" s="107">
        <v>0</v>
      </c>
      <c r="AG235" s="107">
        <v>0</v>
      </c>
      <c r="AH235" s="107">
        <v>0</v>
      </c>
      <c r="AI235" s="107">
        <v>0</v>
      </c>
      <c r="AJ235" s="107">
        <v>0</v>
      </c>
      <c r="AK235" s="107">
        <v>0</v>
      </c>
      <c r="AL235" s="107">
        <v>0</v>
      </c>
      <c r="AM235" s="107">
        <v>0</v>
      </c>
      <c r="AN235" s="107">
        <v>0</v>
      </c>
      <c r="AO235" s="107">
        <v>0</v>
      </c>
      <c r="AP235" s="107">
        <v>0</v>
      </c>
      <c r="AQ235" s="107">
        <v>0</v>
      </c>
      <c r="AR235" s="107">
        <v>0</v>
      </c>
      <c r="AS235" s="107">
        <v>0</v>
      </c>
      <c r="AT235" s="107">
        <v>0</v>
      </c>
      <c r="AU235" s="107">
        <v>0</v>
      </c>
      <c r="AV235" s="107">
        <v>0</v>
      </c>
      <c r="AW235" s="107">
        <v>0</v>
      </c>
      <c r="AX235" s="107">
        <v>0</v>
      </c>
      <c r="AY235" s="107">
        <v>0</v>
      </c>
    </row>
    <row r="236" spans="1:51" x14ac:dyDescent="0.15">
      <c r="A236" s="106"/>
      <c r="B236" s="124">
        <v>28</v>
      </c>
      <c r="C236" s="103"/>
      <c r="D236" s="107">
        <v>0</v>
      </c>
      <c r="E236" s="107">
        <v>0</v>
      </c>
      <c r="F236" s="107">
        <v>0</v>
      </c>
      <c r="G236" s="107">
        <v>0</v>
      </c>
      <c r="H236" s="107">
        <v>0</v>
      </c>
      <c r="I236" s="107">
        <v>0</v>
      </c>
      <c r="J236" s="107">
        <v>0</v>
      </c>
      <c r="K236" s="107">
        <v>0</v>
      </c>
      <c r="L236" s="107">
        <v>0</v>
      </c>
      <c r="M236" s="107">
        <v>0</v>
      </c>
      <c r="N236" s="107">
        <v>0</v>
      </c>
      <c r="O236" s="107">
        <v>0</v>
      </c>
      <c r="P236" s="107">
        <v>0</v>
      </c>
      <c r="Q236" s="107">
        <v>0</v>
      </c>
      <c r="R236" s="107">
        <v>0</v>
      </c>
      <c r="S236" s="107">
        <v>0</v>
      </c>
      <c r="T236" s="107">
        <v>0</v>
      </c>
      <c r="U236" s="107">
        <v>0</v>
      </c>
      <c r="V236" s="107">
        <v>0</v>
      </c>
      <c r="W236" s="107">
        <v>0</v>
      </c>
      <c r="X236" s="107">
        <v>0</v>
      </c>
      <c r="Y236" s="107">
        <v>0</v>
      </c>
      <c r="Z236" s="107">
        <v>0</v>
      </c>
      <c r="AA236" s="107">
        <v>0</v>
      </c>
      <c r="AB236" s="107">
        <v>0</v>
      </c>
      <c r="AC236" s="107">
        <v>0</v>
      </c>
      <c r="AD236" s="107">
        <v>0</v>
      </c>
      <c r="AE236" s="107">
        <v>0</v>
      </c>
      <c r="AF236" s="107">
        <v>0</v>
      </c>
      <c r="AG236" s="107">
        <v>0</v>
      </c>
      <c r="AH236" s="107">
        <v>0</v>
      </c>
      <c r="AI236" s="107">
        <v>0</v>
      </c>
      <c r="AJ236" s="107">
        <v>0</v>
      </c>
      <c r="AK236" s="107">
        <v>0</v>
      </c>
      <c r="AL236" s="107">
        <v>0</v>
      </c>
      <c r="AM236" s="107">
        <v>0</v>
      </c>
      <c r="AN236" s="107">
        <v>0</v>
      </c>
      <c r="AO236" s="107">
        <v>0</v>
      </c>
      <c r="AP236" s="107">
        <v>0</v>
      </c>
      <c r="AQ236" s="107">
        <v>0</v>
      </c>
      <c r="AR236" s="107">
        <v>0</v>
      </c>
      <c r="AS236" s="107">
        <v>0</v>
      </c>
      <c r="AT236" s="107">
        <v>0</v>
      </c>
      <c r="AU236" s="107">
        <v>0</v>
      </c>
      <c r="AV236" s="107">
        <v>0</v>
      </c>
      <c r="AW236" s="107">
        <v>0</v>
      </c>
      <c r="AX236" s="107">
        <v>0</v>
      </c>
      <c r="AY236" s="107">
        <v>0</v>
      </c>
    </row>
    <row r="237" spans="1:51" x14ac:dyDescent="0.15">
      <c r="A237" s="106"/>
      <c r="B237" s="124">
        <v>29</v>
      </c>
      <c r="C237" s="103"/>
      <c r="D237" s="107">
        <v>0</v>
      </c>
      <c r="E237" s="107">
        <v>0</v>
      </c>
      <c r="F237" s="107">
        <v>0</v>
      </c>
      <c r="G237" s="107">
        <v>0</v>
      </c>
      <c r="H237" s="107">
        <v>0</v>
      </c>
      <c r="I237" s="107">
        <v>0</v>
      </c>
      <c r="J237" s="107">
        <v>0</v>
      </c>
      <c r="K237" s="107">
        <v>0</v>
      </c>
      <c r="L237" s="107">
        <v>0</v>
      </c>
      <c r="M237" s="107">
        <v>0</v>
      </c>
      <c r="N237" s="107">
        <v>0</v>
      </c>
      <c r="O237" s="107">
        <v>0</v>
      </c>
      <c r="P237" s="107">
        <v>0</v>
      </c>
      <c r="Q237" s="107">
        <v>0</v>
      </c>
      <c r="R237" s="107">
        <v>0</v>
      </c>
      <c r="S237" s="107">
        <v>0</v>
      </c>
      <c r="T237" s="107">
        <v>0</v>
      </c>
      <c r="U237" s="107">
        <v>0</v>
      </c>
      <c r="V237" s="107">
        <v>0</v>
      </c>
      <c r="W237" s="107">
        <v>0</v>
      </c>
      <c r="X237" s="107">
        <v>0</v>
      </c>
      <c r="Y237" s="107">
        <v>0</v>
      </c>
      <c r="Z237" s="107">
        <v>0</v>
      </c>
      <c r="AA237" s="107">
        <v>0</v>
      </c>
      <c r="AB237" s="107">
        <v>0</v>
      </c>
      <c r="AC237" s="107">
        <v>0</v>
      </c>
      <c r="AD237" s="107">
        <v>0</v>
      </c>
      <c r="AE237" s="107">
        <v>0</v>
      </c>
      <c r="AF237" s="107">
        <v>0</v>
      </c>
      <c r="AG237" s="107">
        <v>0</v>
      </c>
      <c r="AH237" s="107">
        <v>0</v>
      </c>
      <c r="AI237" s="107">
        <v>0</v>
      </c>
      <c r="AJ237" s="107">
        <v>0</v>
      </c>
      <c r="AK237" s="107">
        <v>0</v>
      </c>
      <c r="AL237" s="107">
        <v>0</v>
      </c>
      <c r="AM237" s="107">
        <v>0</v>
      </c>
      <c r="AN237" s="107">
        <v>0</v>
      </c>
      <c r="AO237" s="107">
        <v>0</v>
      </c>
      <c r="AP237" s="107">
        <v>0</v>
      </c>
      <c r="AQ237" s="107">
        <v>0</v>
      </c>
      <c r="AR237" s="107">
        <v>0</v>
      </c>
      <c r="AS237" s="107">
        <v>0</v>
      </c>
      <c r="AT237" s="107">
        <v>0</v>
      </c>
      <c r="AU237" s="107">
        <v>0</v>
      </c>
      <c r="AV237" s="107">
        <v>0</v>
      </c>
      <c r="AW237" s="107">
        <v>0</v>
      </c>
      <c r="AX237" s="107">
        <v>0</v>
      </c>
      <c r="AY237" s="107">
        <v>0</v>
      </c>
    </row>
    <row r="238" spans="1:51" x14ac:dyDescent="0.15">
      <c r="A238" s="106"/>
      <c r="B238" s="124">
        <v>30</v>
      </c>
      <c r="C238" s="103"/>
      <c r="D238" s="107">
        <v>0</v>
      </c>
      <c r="E238" s="107">
        <v>0</v>
      </c>
      <c r="F238" s="107">
        <v>0</v>
      </c>
      <c r="G238" s="107">
        <v>0</v>
      </c>
      <c r="H238" s="107">
        <v>0</v>
      </c>
      <c r="I238" s="107">
        <v>0</v>
      </c>
      <c r="J238" s="107">
        <v>0</v>
      </c>
      <c r="K238" s="107">
        <v>0</v>
      </c>
      <c r="L238" s="107">
        <v>0</v>
      </c>
      <c r="M238" s="107">
        <v>0</v>
      </c>
      <c r="N238" s="107">
        <v>0</v>
      </c>
      <c r="O238" s="107">
        <v>0</v>
      </c>
      <c r="P238" s="107">
        <v>0</v>
      </c>
      <c r="Q238" s="107">
        <v>0</v>
      </c>
      <c r="R238" s="107">
        <v>0</v>
      </c>
      <c r="S238" s="107">
        <v>0</v>
      </c>
      <c r="T238" s="107">
        <v>0</v>
      </c>
      <c r="U238" s="107">
        <v>0</v>
      </c>
      <c r="V238" s="107">
        <v>0</v>
      </c>
      <c r="W238" s="107">
        <v>0</v>
      </c>
      <c r="X238" s="107">
        <v>0</v>
      </c>
      <c r="Y238" s="107">
        <v>0</v>
      </c>
      <c r="Z238" s="107">
        <v>0</v>
      </c>
      <c r="AA238" s="107">
        <v>0</v>
      </c>
      <c r="AB238" s="107">
        <v>0</v>
      </c>
      <c r="AC238" s="107">
        <v>0</v>
      </c>
      <c r="AD238" s="107">
        <v>0</v>
      </c>
      <c r="AE238" s="107">
        <v>0</v>
      </c>
      <c r="AF238" s="107">
        <v>0</v>
      </c>
      <c r="AG238" s="107">
        <v>0</v>
      </c>
      <c r="AH238" s="107">
        <v>0</v>
      </c>
      <c r="AI238" s="107">
        <v>0</v>
      </c>
      <c r="AJ238" s="107">
        <v>0</v>
      </c>
      <c r="AK238" s="107">
        <v>0</v>
      </c>
      <c r="AL238" s="107">
        <v>0</v>
      </c>
      <c r="AM238" s="107">
        <v>0</v>
      </c>
      <c r="AN238" s="107">
        <v>0</v>
      </c>
      <c r="AO238" s="107">
        <v>0</v>
      </c>
      <c r="AP238" s="107">
        <v>0</v>
      </c>
      <c r="AQ238" s="107">
        <v>0</v>
      </c>
      <c r="AR238" s="107">
        <v>0</v>
      </c>
      <c r="AS238" s="107">
        <v>0</v>
      </c>
      <c r="AT238" s="107">
        <v>0</v>
      </c>
      <c r="AU238" s="107">
        <v>0</v>
      </c>
      <c r="AV238" s="107">
        <v>0</v>
      </c>
      <c r="AW238" s="107">
        <v>0</v>
      </c>
      <c r="AX238" s="107">
        <v>0</v>
      </c>
      <c r="AY238" s="107">
        <v>0</v>
      </c>
    </row>
    <row r="239" spans="1:51" x14ac:dyDescent="0.15">
      <c r="A239" s="106"/>
      <c r="B239" s="124">
        <v>31</v>
      </c>
      <c r="C239" s="103"/>
      <c r="D239" s="107">
        <v>0</v>
      </c>
      <c r="E239" s="107">
        <v>0</v>
      </c>
      <c r="F239" s="107">
        <v>0</v>
      </c>
      <c r="G239" s="107">
        <v>0</v>
      </c>
      <c r="H239" s="107">
        <v>0</v>
      </c>
      <c r="I239" s="107">
        <v>0</v>
      </c>
      <c r="J239" s="107">
        <v>0</v>
      </c>
      <c r="K239" s="107">
        <v>0</v>
      </c>
      <c r="L239" s="107">
        <v>0</v>
      </c>
      <c r="M239" s="107">
        <v>0</v>
      </c>
      <c r="N239" s="107">
        <v>0</v>
      </c>
      <c r="O239" s="107">
        <v>0</v>
      </c>
      <c r="P239" s="107">
        <v>0</v>
      </c>
      <c r="Q239" s="107">
        <v>0</v>
      </c>
      <c r="R239" s="107">
        <v>0</v>
      </c>
      <c r="S239" s="107">
        <v>0</v>
      </c>
      <c r="T239" s="107">
        <v>0</v>
      </c>
      <c r="U239" s="107">
        <v>0</v>
      </c>
      <c r="V239" s="107">
        <v>0</v>
      </c>
      <c r="W239" s="107">
        <v>0</v>
      </c>
      <c r="X239" s="107">
        <v>0</v>
      </c>
      <c r="Y239" s="107">
        <v>0</v>
      </c>
      <c r="Z239" s="107">
        <v>0</v>
      </c>
      <c r="AA239" s="107">
        <v>0</v>
      </c>
      <c r="AB239" s="107">
        <v>0</v>
      </c>
      <c r="AC239" s="107">
        <v>0</v>
      </c>
      <c r="AD239" s="107">
        <v>0</v>
      </c>
      <c r="AE239" s="107">
        <v>0</v>
      </c>
      <c r="AF239" s="107">
        <v>0</v>
      </c>
      <c r="AG239" s="107">
        <v>0</v>
      </c>
      <c r="AH239" s="107">
        <v>0</v>
      </c>
      <c r="AI239" s="107">
        <v>0</v>
      </c>
      <c r="AJ239" s="107">
        <v>0</v>
      </c>
      <c r="AK239" s="107">
        <v>0</v>
      </c>
      <c r="AL239" s="107">
        <v>0</v>
      </c>
      <c r="AM239" s="107">
        <v>0</v>
      </c>
      <c r="AN239" s="107">
        <v>0</v>
      </c>
      <c r="AO239" s="107">
        <v>0</v>
      </c>
      <c r="AP239" s="107">
        <v>0</v>
      </c>
      <c r="AQ239" s="107">
        <v>0</v>
      </c>
      <c r="AR239" s="107">
        <v>0</v>
      </c>
      <c r="AS239" s="107">
        <v>0</v>
      </c>
      <c r="AT239" s="107">
        <v>0</v>
      </c>
      <c r="AU239" s="107">
        <v>0</v>
      </c>
      <c r="AV239" s="107">
        <v>0</v>
      </c>
      <c r="AW239" s="107">
        <v>0</v>
      </c>
      <c r="AX239" s="107">
        <v>0</v>
      </c>
      <c r="AY239" s="107">
        <v>0</v>
      </c>
    </row>
    <row r="240" spans="1:51" x14ac:dyDescent="0.15">
      <c r="A240" s="106"/>
      <c r="B240" s="124">
        <v>32</v>
      </c>
      <c r="C240" s="103"/>
      <c r="D240" s="107">
        <v>0</v>
      </c>
      <c r="E240" s="107">
        <v>0</v>
      </c>
      <c r="F240" s="107">
        <v>0</v>
      </c>
      <c r="G240" s="107">
        <v>0</v>
      </c>
      <c r="H240" s="107">
        <v>0</v>
      </c>
      <c r="I240" s="107">
        <v>0</v>
      </c>
      <c r="J240" s="107">
        <v>0</v>
      </c>
      <c r="K240" s="107">
        <v>0</v>
      </c>
      <c r="L240" s="107">
        <v>0</v>
      </c>
      <c r="M240" s="107">
        <v>0</v>
      </c>
      <c r="N240" s="107">
        <v>0</v>
      </c>
      <c r="O240" s="107">
        <v>0</v>
      </c>
      <c r="P240" s="107">
        <v>0</v>
      </c>
      <c r="Q240" s="107">
        <v>0</v>
      </c>
      <c r="R240" s="107">
        <v>0</v>
      </c>
      <c r="S240" s="107">
        <v>0</v>
      </c>
      <c r="T240" s="107">
        <v>0</v>
      </c>
      <c r="U240" s="107">
        <v>0</v>
      </c>
      <c r="V240" s="107">
        <v>0</v>
      </c>
      <c r="W240" s="107">
        <v>0</v>
      </c>
      <c r="X240" s="107">
        <v>0</v>
      </c>
      <c r="Y240" s="107">
        <v>0</v>
      </c>
      <c r="Z240" s="107">
        <v>0</v>
      </c>
      <c r="AA240" s="107">
        <v>0</v>
      </c>
      <c r="AB240" s="107">
        <v>0</v>
      </c>
      <c r="AC240" s="107">
        <v>0</v>
      </c>
      <c r="AD240" s="107">
        <v>0</v>
      </c>
      <c r="AE240" s="107">
        <v>0</v>
      </c>
      <c r="AF240" s="107">
        <v>0</v>
      </c>
      <c r="AG240" s="107">
        <v>0</v>
      </c>
      <c r="AH240" s="107">
        <v>0</v>
      </c>
      <c r="AI240" s="107">
        <v>0</v>
      </c>
      <c r="AJ240" s="107">
        <v>0</v>
      </c>
      <c r="AK240" s="107">
        <v>0</v>
      </c>
      <c r="AL240" s="107">
        <v>0</v>
      </c>
      <c r="AM240" s="107">
        <v>0</v>
      </c>
      <c r="AN240" s="107">
        <v>0</v>
      </c>
      <c r="AO240" s="107">
        <v>0</v>
      </c>
      <c r="AP240" s="107">
        <v>0</v>
      </c>
      <c r="AQ240" s="107">
        <v>0</v>
      </c>
      <c r="AR240" s="107">
        <v>0</v>
      </c>
      <c r="AS240" s="107">
        <v>0</v>
      </c>
      <c r="AT240" s="107">
        <v>0</v>
      </c>
      <c r="AU240" s="107">
        <v>0</v>
      </c>
      <c r="AV240" s="107">
        <v>0</v>
      </c>
      <c r="AW240" s="107">
        <v>0</v>
      </c>
      <c r="AX240" s="107">
        <v>0</v>
      </c>
      <c r="AY240" s="107">
        <v>0</v>
      </c>
    </row>
    <row r="241" spans="1:51" x14ac:dyDescent="0.15">
      <c r="A241" s="106"/>
      <c r="B241" s="124">
        <v>33</v>
      </c>
      <c r="C241" s="103"/>
      <c r="D241" s="107">
        <v>0</v>
      </c>
      <c r="E241" s="107">
        <v>0</v>
      </c>
      <c r="F241" s="107">
        <v>0</v>
      </c>
      <c r="G241" s="107">
        <v>0</v>
      </c>
      <c r="H241" s="107">
        <v>0</v>
      </c>
      <c r="I241" s="107">
        <v>0</v>
      </c>
      <c r="J241" s="107">
        <v>0</v>
      </c>
      <c r="K241" s="107">
        <v>0</v>
      </c>
      <c r="L241" s="107">
        <v>0</v>
      </c>
      <c r="M241" s="107">
        <v>0</v>
      </c>
      <c r="N241" s="107">
        <v>0</v>
      </c>
      <c r="O241" s="107">
        <v>0</v>
      </c>
      <c r="P241" s="107">
        <v>0</v>
      </c>
      <c r="Q241" s="107">
        <v>0</v>
      </c>
      <c r="R241" s="107">
        <v>0</v>
      </c>
      <c r="S241" s="107">
        <v>0</v>
      </c>
      <c r="T241" s="107">
        <v>0</v>
      </c>
      <c r="U241" s="107">
        <v>0</v>
      </c>
      <c r="V241" s="107">
        <v>0</v>
      </c>
      <c r="W241" s="107">
        <v>0</v>
      </c>
      <c r="X241" s="107">
        <v>0</v>
      </c>
      <c r="Y241" s="107">
        <v>0</v>
      </c>
      <c r="Z241" s="107">
        <v>0</v>
      </c>
      <c r="AA241" s="107">
        <v>0</v>
      </c>
      <c r="AB241" s="107">
        <v>0</v>
      </c>
      <c r="AC241" s="107">
        <v>0</v>
      </c>
      <c r="AD241" s="107">
        <v>0</v>
      </c>
      <c r="AE241" s="107">
        <v>0</v>
      </c>
      <c r="AF241" s="107">
        <v>0</v>
      </c>
      <c r="AG241" s="107">
        <v>0</v>
      </c>
      <c r="AH241" s="107">
        <v>0</v>
      </c>
      <c r="AI241" s="107">
        <v>0</v>
      </c>
      <c r="AJ241" s="107">
        <v>0</v>
      </c>
      <c r="AK241" s="107">
        <v>0</v>
      </c>
      <c r="AL241" s="107">
        <v>0</v>
      </c>
      <c r="AM241" s="107">
        <v>0</v>
      </c>
      <c r="AN241" s="107">
        <v>0</v>
      </c>
      <c r="AO241" s="107">
        <v>0</v>
      </c>
      <c r="AP241" s="107">
        <v>0</v>
      </c>
      <c r="AQ241" s="107">
        <v>0</v>
      </c>
      <c r="AR241" s="107">
        <v>0</v>
      </c>
      <c r="AS241" s="107">
        <v>0</v>
      </c>
      <c r="AT241" s="107">
        <v>0</v>
      </c>
      <c r="AU241" s="107">
        <v>0</v>
      </c>
      <c r="AV241" s="107">
        <v>0</v>
      </c>
      <c r="AW241" s="107">
        <v>0</v>
      </c>
      <c r="AX241" s="107">
        <v>0</v>
      </c>
      <c r="AY241" s="107">
        <v>0</v>
      </c>
    </row>
    <row r="242" spans="1:51" x14ac:dyDescent="0.15">
      <c r="A242" s="106"/>
      <c r="B242" s="124">
        <v>34</v>
      </c>
      <c r="C242" s="103"/>
      <c r="D242" s="107">
        <v>0</v>
      </c>
      <c r="E242" s="107">
        <v>0</v>
      </c>
      <c r="F242" s="107">
        <v>0</v>
      </c>
      <c r="G242" s="107">
        <v>0</v>
      </c>
      <c r="H242" s="107">
        <v>0</v>
      </c>
      <c r="I242" s="107">
        <v>0</v>
      </c>
      <c r="J242" s="107">
        <v>0</v>
      </c>
      <c r="K242" s="107">
        <v>0</v>
      </c>
      <c r="L242" s="107">
        <v>0</v>
      </c>
      <c r="M242" s="107">
        <v>0</v>
      </c>
      <c r="N242" s="107">
        <v>0</v>
      </c>
      <c r="O242" s="107">
        <v>0</v>
      </c>
      <c r="P242" s="107">
        <v>0</v>
      </c>
      <c r="Q242" s="107">
        <v>0</v>
      </c>
      <c r="R242" s="107">
        <v>0</v>
      </c>
      <c r="S242" s="107">
        <v>0</v>
      </c>
      <c r="T242" s="107">
        <v>0</v>
      </c>
      <c r="U242" s="107">
        <v>0</v>
      </c>
      <c r="V242" s="107">
        <v>0</v>
      </c>
      <c r="W242" s="107">
        <v>0</v>
      </c>
      <c r="X242" s="107">
        <v>0</v>
      </c>
      <c r="Y242" s="107">
        <v>0</v>
      </c>
      <c r="Z242" s="107">
        <v>0</v>
      </c>
      <c r="AA242" s="107">
        <v>0</v>
      </c>
      <c r="AB242" s="107">
        <v>0</v>
      </c>
      <c r="AC242" s="107">
        <v>0</v>
      </c>
      <c r="AD242" s="107">
        <v>0</v>
      </c>
      <c r="AE242" s="107">
        <v>0</v>
      </c>
      <c r="AF242" s="107">
        <v>0</v>
      </c>
      <c r="AG242" s="107">
        <v>0</v>
      </c>
      <c r="AH242" s="107">
        <v>0</v>
      </c>
      <c r="AI242" s="107">
        <v>0</v>
      </c>
      <c r="AJ242" s="107">
        <v>0</v>
      </c>
      <c r="AK242" s="107">
        <v>0</v>
      </c>
      <c r="AL242" s="107">
        <v>0</v>
      </c>
      <c r="AM242" s="107">
        <v>0</v>
      </c>
      <c r="AN242" s="107">
        <v>0</v>
      </c>
      <c r="AO242" s="107">
        <v>0</v>
      </c>
      <c r="AP242" s="107">
        <v>0</v>
      </c>
      <c r="AQ242" s="107">
        <v>0</v>
      </c>
      <c r="AR242" s="107">
        <v>0</v>
      </c>
      <c r="AS242" s="107">
        <v>0</v>
      </c>
      <c r="AT242" s="107">
        <v>0</v>
      </c>
      <c r="AU242" s="107">
        <v>0</v>
      </c>
      <c r="AV242" s="107">
        <v>0</v>
      </c>
      <c r="AW242" s="107">
        <v>0</v>
      </c>
      <c r="AX242" s="107">
        <v>0</v>
      </c>
      <c r="AY242" s="107">
        <v>0</v>
      </c>
    </row>
    <row r="243" spans="1:51" x14ac:dyDescent="0.15">
      <c r="A243" s="106"/>
      <c r="B243" s="124">
        <v>35</v>
      </c>
      <c r="C243" s="103"/>
      <c r="D243" s="107">
        <v>0</v>
      </c>
      <c r="E243" s="107">
        <v>0</v>
      </c>
      <c r="F243" s="107">
        <v>0</v>
      </c>
      <c r="G243" s="107">
        <v>0</v>
      </c>
      <c r="H243" s="107">
        <v>0</v>
      </c>
      <c r="I243" s="107">
        <v>0</v>
      </c>
      <c r="J243" s="107">
        <v>0</v>
      </c>
      <c r="K243" s="107">
        <v>0</v>
      </c>
      <c r="L243" s="107">
        <v>0</v>
      </c>
      <c r="M243" s="107">
        <v>0</v>
      </c>
      <c r="N243" s="107">
        <v>0</v>
      </c>
      <c r="O243" s="107">
        <v>0</v>
      </c>
      <c r="P243" s="107">
        <v>0</v>
      </c>
      <c r="Q243" s="107">
        <v>0</v>
      </c>
      <c r="R243" s="107">
        <v>0</v>
      </c>
      <c r="S243" s="107">
        <v>0</v>
      </c>
      <c r="T243" s="107">
        <v>0</v>
      </c>
      <c r="U243" s="107">
        <v>0</v>
      </c>
      <c r="V243" s="107">
        <v>0</v>
      </c>
      <c r="W243" s="107">
        <v>0</v>
      </c>
      <c r="X243" s="107">
        <v>0</v>
      </c>
      <c r="Y243" s="107">
        <v>0</v>
      </c>
      <c r="Z243" s="107">
        <v>0</v>
      </c>
      <c r="AA243" s="107">
        <v>0</v>
      </c>
      <c r="AB243" s="107">
        <v>0</v>
      </c>
      <c r="AC243" s="107">
        <v>0</v>
      </c>
      <c r="AD243" s="107">
        <v>0</v>
      </c>
      <c r="AE243" s="107">
        <v>0</v>
      </c>
      <c r="AF243" s="107">
        <v>0</v>
      </c>
      <c r="AG243" s="107">
        <v>0</v>
      </c>
      <c r="AH243" s="107">
        <v>0</v>
      </c>
      <c r="AI243" s="107">
        <v>0</v>
      </c>
      <c r="AJ243" s="107">
        <v>0</v>
      </c>
      <c r="AK243" s="107">
        <v>0</v>
      </c>
      <c r="AL243" s="107">
        <v>0</v>
      </c>
      <c r="AM243" s="107">
        <v>0</v>
      </c>
      <c r="AN243" s="107">
        <v>0</v>
      </c>
      <c r="AO243" s="107">
        <v>0</v>
      </c>
      <c r="AP243" s="107">
        <v>0</v>
      </c>
      <c r="AQ243" s="107">
        <v>0</v>
      </c>
      <c r="AR243" s="107">
        <v>0</v>
      </c>
      <c r="AS243" s="107">
        <v>0</v>
      </c>
      <c r="AT243" s="107">
        <v>0</v>
      </c>
      <c r="AU243" s="107">
        <v>0</v>
      </c>
      <c r="AV243" s="107">
        <v>0</v>
      </c>
      <c r="AW243" s="107">
        <v>0</v>
      </c>
      <c r="AX243" s="107">
        <v>0</v>
      </c>
      <c r="AY243" s="107">
        <v>0</v>
      </c>
    </row>
    <row r="244" spans="1:51" x14ac:dyDescent="0.15">
      <c r="A244" s="106"/>
      <c r="B244" s="124">
        <v>36</v>
      </c>
      <c r="C244" s="103"/>
      <c r="D244" s="107">
        <v>0</v>
      </c>
      <c r="E244" s="107">
        <v>0</v>
      </c>
      <c r="F244" s="107">
        <v>0</v>
      </c>
      <c r="G244" s="107">
        <v>0</v>
      </c>
      <c r="H244" s="107">
        <v>0</v>
      </c>
      <c r="I244" s="107">
        <v>0</v>
      </c>
      <c r="J244" s="107">
        <v>0</v>
      </c>
      <c r="K244" s="107">
        <v>0</v>
      </c>
      <c r="L244" s="107">
        <v>0</v>
      </c>
      <c r="M244" s="107">
        <v>0</v>
      </c>
      <c r="N244" s="107">
        <v>0</v>
      </c>
      <c r="O244" s="107">
        <v>0</v>
      </c>
      <c r="P244" s="107">
        <v>0</v>
      </c>
      <c r="Q244" s="107">
        <v>0</v>
      </c>
      <c r="R244" s="107">
        <v>0</v>
      </c>
      <c r="S244" s="107">
        <v>0</v>
      </c>
      <c r="T244" s="107">
        <v>0</v>
      </c>
      <c r="U244" s="107">
        <v>0</v>
      </c>
      <c r="V244" s="107">
        <v>0</v>
      </c>
      <c r="W244" s="107">
        <v>0</v>
      </c>
      <c r="X244" s="107">
        <v>0</v>
      </c>
      <c r="Y244" s="107">
        <v>0</v>
      </c>
      <c r="Z244" s="107">
        <v>0</v>
      </c>
      <c r="AA244" s="107">
        <v>0</v>
      </c>
      <c r="AB244" s="107">
        <v>0</v>
      </c>
      <c r="AC244" s="107">
        <v>0</v>
      </c>
      <c r="AD244" s="107">
        <v>0</v>
      </c>
      <c r="AE244" s="107">
        <v>0</v>
      </c>
      <c r="AF244" s="107">
        <v>0</v>
      </c>
      <c r="AG244" s="107">
        <v>0</v>
      </c>
      <c r="AH244" s="107">
        <v>0</v>
      </c>
      <c r="AI244" s="107">
        <v>0</v>
      </c>
      <c r="AJ244" s="107">
        <v>0</v>
      </c>
      <c r="AK244" s="107">
        <v>0</v>
      </c>
      <c r="AL244" s="107">
        <v>0</v>
      </c>
      <c r="AM244" s="107">
        <v>0</v>
      </c>
      <c r="AN244" s="107">
        <v>0</v>
      </c>
      <c r="AO244" s="107">
        <v>0</v>
      </c>
      <c r="AP244" s="107">
        <v>0</v>
      </c>
      <c r="AQ244" s="107">
        <v>0</v>
      </c>
      <c r="AR244" s="107">
        <v>0</v>
      </c>
      <c r="AS244" s="107">
        <v>0</v>
      </c>
      <c r="AT244" s="107">
        <v>0</v>
      </c>
      <c r="AU244" s="107">
        <v>0</v>
      </c>
      <c r="AV244" s="107">
        <v>0</v>
      </c>
      <c r="AW244" s="107">
        <v>0</v>
      </c>
      <c r="AX244" s="107">
        <v>0</v>
      </c>
      <c r="AY244" s="107">
        <v>0</v>
      </c>
    </row>
    <row r="245" spans="1:51" x14ac:dyDescent="0.15">
      <c r="A245" s="106"/>
      <c r="B245" s="127">
        <v>37</v>
      </c>
      <c r="C245" s="103"/>
      <c r="D245" s="107">
        <v>0</v>
      </c>
      <c r="E245" s="107">
        <v>0</v>
      </c>
      <c r="F245" s="107">
        <v>0</v>
      </c>
      <c r="G245" s="107">
        <v>0</v>
      </c>
      <c r="H245" s="107">
        <v>0</v>
      </c>
      <c r="I245" s="107">
        <v>0</v>
      </c>
      <c r="J245" s="107">
        <v>0</v>
      </c>
      <c r="K245" s="107">
        <v>0</v>
      </c>
      <c r="L245" s="107">
        <v>0</v>
      </c>
      <c r="M245" s="107">
        <v>0</v>
      </c>
      <c r="N245" s="107">
        <v>0</v>
      </c>
      <c r="O245" s="107">
        <v>0</v>
      </c>
      <c r="P245" s="107">
        <v>0</v>
      </c>
      <c r="Q245" s="107">
        <v>0</v>
      </c>
      <c r="R245" s="107">
        <v>0</v>
      </c>
      <c r="S245" s="107">
        <v>0</v>
      </c>
      <c r="T245" s="107">
        <v>0</v>
      </c>
      <c r="U245" s="107">
        <v>0</v>
      </c>
      <c r="V245" s="107">
        <v>0</v>
      </c>
      <c r="W245" s="107">
        <v>0</v>
      </c>
      <c r="X245" s="107">
        <v>0</v>
      </c>
      <c r="Y245" s="107">
        <v>0</v>
      </c>
      <c r="Z245" s="107">
        <v>0</v>
      </c>
      <c r="AA245" s="107">
        <v>0</v>
      </c>
      <c r="AB245" s="107">
        <v>0</v>
      </c>
      <c r="AC245" s="107">
        <v>0</v>
      </c>
      <c r="AD245" s="107">
        <v>0</v>
      </c>
      <c r="AE245" s="107">
        <v>0</v>
      </c>
      <c r="AF245" s="107">
        <v>0</v>
      </c>
      <c r="AG245" s="107">
        <v>0</v>
      </c>
      <c r="AH245" s="107">
        <v>0</v>
      </c>
      <c r="AI245" s="107">
        <v>0</v>
      </c>
      <c r="AJ245" s="107">
        <v>0</v>
      </c>
      <c r="AK245" s="107">
        <v>0</v>
      </c>
      <c r="AL245" s="107">
        <v>0</v>
      </c>
      <c r="AM245" s="107">
        <v>0</v>
      </c>
      <c r="AN245" s="107">
        <v>0</v>
      </c>
      <c r="AO245" s="107">
        <v>0</v>
      </c>
      <c r="AP245" s="107">
        <v>0</v>
      </c>
      <c r="AQ245" s="107">
        <v>0</v>
      </c>
      <c r="AR245" s="107">
        <v>0</v>
      </c>
      <c r="AS245" s="107">
        <v>0</v>
      </c>
      <c r="AT245" s="107">
        <v>0</v>
      </c>
      <c r="AU245" s="107">
        <v>0</v>
      </c>
      <c r="AV245" s="107">
        <v>0</v>
      </c>
      <c r="AW245" s="107">
        <v>0</v>
      </c>
      <c r="AX245" s="107">
        <v>0</v>
      </c>
      <c r="AY245" s="107">
        <v>0</v>
      </c>
    </row>
    <row r="246" spans="1:51" x14ac:dyDescent="0.15">
      <c r="A246" s="106"/>
      <c r="B246" s="127">
        <v>38</v>
      </c>
      <c r="C246" s="103"/>
      <c r="D246" s="107">
        <v>0</v>
      </c>
      <c r="E246" s="107">
        <v>0</v>
      </c>
      <c r="F246" s="107">
        <v>0</v>
      </c>
      <c r="G246" s="107">
        <v>0</v>
      </c>
      <c r="H246" s="107">
        <v>0</v>
      </c>
      <c r="I246" s="107">
        <v>0</v>
      </c>
      <c r="J246" s="107">
        <v>0</v>
      </c>
      <c r="K246" s="107">
        <v>0</v>
      </c>
      <c r="L246" s="107">
        <v>0</v>
      </c>
      <c r="M246" s="107">
        <v>0</v>
      </c>
      <c r="N246" s="107">
        <v>0</v>
      </c>
      <c r="O246" s="107">
        <v>0</v>
      </c>
      <c r="P246" s="107">
        <v>0</v>
      </c>
      <c r="Q246" s="107">
        <v>0</v>
      </c>
      <c r="R246" s="107">
        <v>0</v>
      </c>
      <c r="S246" s="107">
        <v>0</v>
      </c>
      <c r="T246" s="107">
        <v>0</v>
      </c>
      <c r="U246" s="107">
        <v>0</v>
      </c>
      <c r="V246" s="107">
        <v>0</v>
      </c>
      <c r="W246" s="107">
        <v>0</v>
      </c>
      <c r="X246" s="107">
        <v>0</v>
      </c>
      <c r="Y246" s="107">
        <v>0</v>
      </c>
      <c r="Z246" s="107">
        <v>0</v>
      </c>
      <c r="AA246" s="107">
        <v>0</v>
      </c>
      <c r="AB246" s="107">
        <v>0</v>
      </c>
      <c r="AC246" s="107">
        <v>0</v>
      </c>
      <c r="AD246" s="107">
        <v>0</v>
      </c>
      <c r="AE246" s="107">
        <v>0</v>
      </c>
      <c r="AF246" s="107">
        <v>0</v>
      </c>
      <c r="AG246" s="107">
        <v>0</v>
      </c>
      <c r="AH246" s="107">
        <v>0</v>
      </c>
      <c r="AI246" s="107">
        <v>0</v>
      </c>
      <c r="AJ246" s="107">
        <v>0</v>
      </c>
      <c r="AK246" s="107">
        <v>0</v>
      </c>
      <c r="AL246" s="107">
        <v>0</v>
      </c>
      <c r="AM246" s="107">
        <v>0</v>
      </c>
      <c r="AN246" s="107">
        <v>0</v>
      </c>
      <c r="AO246" s="107">
        <v>0</v>
      </c>
      <c r="AP246" s="107">
        <v>0</v>
      </c>
      <c r="AQ246" s="107">
        <v>0</v>
      </c>
      <c r="AR246" s="107">
        <v>0</v>
      </c>
      <c r="AS246" s="107">
        <v>0</v>
      </c>
      <c r="AT246" s="107">
        <v>0</v>
      </c>
      <c r="AU246" s="107">
        <v>0</v>
      </c>
      <c r="AV246" s="107">
        <v>0</v>
      </c>
      <c r="AW246" s="107">
        <v>0</v>
      </c>
      <c r="AX246" s="107">
        <v>0</v>
      </c>
      <c r="AY246" s="107">
        <v>0</v>
      </c>
    </row>
    <row r="247" spans="1:51" x14ac:dyDescent="0.15">
      <c r="A247" s="106"/>
      <c r="B247" s="127">
        <v>39</v>
      </c>
      <c r="C247" s="103"/>
      <c r="D247" s="107">
        <v>0</v>
      </c>
      <c r="E247" s="107">
        <v>0</v>
      </c>
      <c r="F247" s="107">
        <v>0</v>
      </c>
      <c r="G247" s="107">
        <v>0</v>
      </c>
      <c r="H247" s="107">
        <v>0</v>
      </c>
      <c r="I247" s="107">
        <v>0</v>
      </c>
      <c r="J247" s="107">
        <v>0</v>
      </c>
      <c r="K247" s="107">
        <v>0</v>
      </c>
      <c r="L247" s="107">
        <v>0</v>
      </c>
      <c r="M247" s="107">
        <v>0</v>
      </c>
      <c r="N247" s="107">
        <v>0</v>
      </c>
      <c r="O247" s="107">
        <v>0</v>
      </c>
      <c r="P247" s="107">
        <v>0</v>
      </c>
      <c r="Q247" s="107">
        <v>0</v>
      </c>
      <c r="R247" s="107">
        <v>0</v>
      </c>
      <c r="S247" s="107">
        <v>0</v>
      </c>
      <c r="T247" s="107">
        <v>0</v>
      </c>
      <c r="U247" s="107">
        <v>0</v>
      </c>
      <c r="V247" s="107">
        <v>0</v>
      </c>
      <c r="W247" s="107">
        <v>0</v>
      </c>
      <c r="X247" s="107">
        <v>0</v>
      </c>
      <c r="Y247" s="107">
        <v>0</v>
      </c>
      <c r="Z247" s="107">
        <v>0</v>
      </c>
      <c r="AA247" s="107">
        <v>0</v>
      </c>
      <c r="AB247" s="107">
        <v>0</v>
      </c>
      <c r="AC247" s="107">
        <v>0</v>
      </c>
      <c r="AD247" s="107">
        <v>0</v>
      </c>
      <c r="AE247" s="107">
        <v>0</v>
      </c>
      <c r="AF247" s="107">
        <v>0</v>
      </c>
      <c r="AG247" s="107">
        <v>0</v>
      </c>
      <c r="AH247" s="107">
        <v>0</v>
      </c>
      <c r="AI247" s="107">
        <v>0</v>
      </c>
      <c r="AJ247" s="107">
        <v>0</v>
      </c>
      <c r="AK247" s="107">
        <v>0</v>
      </c>
      <c r="AL247" s="107">
        <v>0</v>
      </c>
      <c r="AM247" s="107">
        <v>0</v>
      </c>
      <c r="AN247" s="107">
        <v>0</v>
      </c>
      <c r="AO247" s="107">
        <v>0</v>
      </c>
      <c r="AP247" s="107">
        <v>0</v>
      </c>
      <c r="AQ247" s="107">
        <v>0</v>
      </c>
      <c r="AR247" s="107">
        <v>0</v>
      </c>
      <c r="AS247" s="107">
        <v>0</v>
      </c>
      <c r="AT247" s="107">
        <v>0</v>
      </c>
      <c r="AU247" s="107">
        <v>0</v>
      </c>
      <c r="AV247" s="107">
        <v>0</v>
      </c>
      <c r="AW247" s="107">
        <v>0</v>
      </c>
      <c r="AX247" s="107">
        <v>0</v>
      </c>
      <c r="AY247" s="107">
        <v>0</v>
      </c>
    </row>
    <row r="248" spans="1:51" x14ac:dyDescent="0.15">
      <c r="A248" s="106"/>
      <c r="B248" s="127">
        <v>40</v>
      </c>
      <c r="C248" s="103"/>
      <c r="D248" s="107">
        <v>0</v>
      </c>
      <c r="E248" s="107">
        <v>0</v>
      </c>
      <c r="F248" s="107">
        <v>0</v>
      </c>
      <c r="G248" s="107">
        <v>0</v>
      </c>
      <c r="H248" s="107">
        <v>0</v>
      </c>
      <c r="I248" s="107">
        <v>0</v>
      </c>
      <c r="J248" s="107">
        <v>0</v>
      </c>
      <c r="K248" s="107">
        <v>0</v>
      </c>
      <c r="L248" s="107">
        <v>0</v>
      </c>
      <c r="M248" s="107">
        <v>0</v>
      </c>
      <c r="N248" s="107">
        <v>0</v>
      </c>
      <c r="O248" s="107">
        <v>0</v>
      </c>
      <c r="P248" s="107">
        <v>0</v>
      </c>
      <c r="Q248" s="107">
        <v>0</v>
      </c>
      <c r="R248" s="107">
        <v>0</v>
      </c>
      <c r="S248" s="107">
        <v>0</v>
      </c>
      <c r="T248" s="107">
        <v>0</v>
      </c>
      <c r="U248" s="107">
        <v>0</v>
      </c>
      <c r="V248" s="107">
        <v>0</v>
      </c>
      <c r="W248" s="107">
        <v>0</v>
      </c>
      <c r="X248" s="107">
        <v>0</v>
      </c>
      <c r="Y248" s="107">
        <v>0</v>
      </c>
      <c r="Z248" s="107">
        <v>0</v>
      </c>
      <c r="AA248" s="107">
        <v>0</v>
      </c>
      <c r="AB248" s="107">
        <v>0</v>
      </c>
      <c r="AC248" s="107">
        <v>0</v>
      </c>
      <c r="AD248" s="107">
        <v>0</v>
      </c>
      <c r="AE248" s="107">
        <v>0</v>
      </c>
      <c r="AF248" s="107">
        <v>0</v>
      </c>
      <c r="AG248" s="107">
        <v>0</v>
      </c>
      <c r="AH248" s="107">
        <v>0</v>
      </c>
      <c r="AI248" s="107">
        <v>0</v>
      </c>
      <c r="AJ248" s="107">
        <v>0</v>
      </c>
      <c r="AK248" s="107">
        <v>0</v>
      </c>
      <c r="AL248" s="107">
        <v>0</v>
      </c>
      <c r="AM248" s="107">
        <v>0</v>
      </c>
      <c r="AN248" s="107">
        <v>0</v>
      </c>
      <c r="AO248" s="107">
        <v>0</v>
      </c>
      <c r="AP248" s="107">
        <v>0</v>
      </c>
      <c r="AQ248" s="107">
        <v>0</v>
      </c>
      <c r="AR248" s="107">
        <v>0</v>
      </c>
      <c r="AS248" s="107">
        <v>0</v>
      </c>
      <c r="AT248" s="107">
        <v>0</v>
      </c>
      <c r="AU248" s="107">
        <v>0</v>
      </c>
      <c r="AV248" s="107">
        <v>0</v>
      </c>
      <c r="AW248" s="107">
        <v>0</v>
      </c>
      <c r="AX248" s="107">
        <v>0</v>
      </c>
      <c r="AY248" s="107">
        <v>0</v>
      </c>
    </row>
    <row r="249" spans="1:51" x14ac:dyDescent="0.15">
      <c r="A249" s="106"/>
      <c r="B249" s="127">
        <v>41</v>
      </c>
      <c r="C249" s="103"/>
      <c r="D249" s="107">
        <v>0</v>
      </c>
      <c r="E249" s="107">
        <v>0</v>
      </c>
      <c r="F249" s="107">
        <v>0</v>
      </c>
      <c r="G249" s="107">
        <v>0</v>
      </c>
      <c r="H249" s="107">
        <v>0</v>
      </c>
      <c r="I249" s="107">
        <v>0</v>
      </c>
      <c r="J249" s="107">
        <v>0</v>
      </c>
      <c r="K249" s="107">
        <v>0</v>
      </c>
      <c r="L249" s="107">
        <v>0</v>
      </c>
      <c r="M249" s="107">
        <v>0</v>
      </c>
      <c r="N249" s="107">
        <v>0</v>
      </c>
      <c r="O249" s="107">
        <v>0</v>
      </c>
      <c r="P249" s="107">
        <v>0</v>
      </c>
      <c r="Q249" s="107">
        <v>0</v>
      </c>
      <c r="R249" s="107">
        <v>0</v>
      </c>
      <c r="S249" s="107">
        <v>0</v>
      </c>
      <c r="T249" s="107">
        <v>0</v>
      </c>
      <c r="U249" s="107">
        <v>0</v>
      </c>
      <c r="V249" s="107">
        <v>0</v>
      </c>
      <c r="W249" s="107">
        <v>0</v>
      </c>
      <c r="X249" s="107">
        <v>0</v>
      </c>
      <c r="Y249" s="107">
        <v>0</v>
      </c>
      <c r="Z249" s="107">
        <v>0</v>
      </c>
      <c r="AA249" s="107">
        <v>0</v>
      </c>
      <c r="AB249" s="107">
        <v>0</v>
      </c>
      <c r="AC249" s="107">
        <v>0</v>
      </c>
      <c r="AD249" s="107">
        <v>0</v>
      </c>
      <c r="AE249" s="107">
        <v>0</v>
      </c>
      <c r="AF249" s="107">
        <v>0</v>
      </c>
      <c r="AG249" s="107">
        <v>0</v>
      </c>
      <c r="AH249" s="107">
        <v>0</v>
      </c>
      <c r="AI249" s="107">
        <v>0</v>
      </c>
      <c r="AJ249" s="107">
        <v>0</v>
      </c>
      <c r="AK249" s="107">
        <v>0</v>
      </c>
      <c r="AL249" s="107">
        <v>0</v>
      </c>
      <c r="AM249" s="107">
        <v>0</v>
      </c>
      <c r="AN249" s="107">
        <v>0</v>
      </c>
      <c r="AO249" s="107">
        <v>0</v>
      </c>
      <c r="AP249" s="107">
        <v>0</v>
      </c>
      <c r="AQ249" s="107">
        <v>0</v>
      </c>
      <c r="AR249" s="107">
        <v>0</v>
      </c>
      <c r="AS249" s="107">
        <v>0</v>
      </c>
      <c r="AT249" s="107">
        <v>0</v>
      </c>
      <c r="AU249" s="107">
        <v>0</v>
      </c>
      <c r="AV249" s="107">
        <v>0</v>
      </c>
      <c r="AW249" s="107">
        <v>0</v>
      </c>
      <c r="AX249" s="107">
        <v>0</v>
      </c>
      <c r="AY249" s="107">
        <v>0</v>
      </c>
    </row>
    <row r="250" spans="1:51" x14ac:dyDescent="0.15">
      <c r="A250" s="106"/>
      <c r="B250" s="127">
        <v>42</v>
      </c>
      <c r="C250" s="103"/>
      <c r="D250" s="107">
        <v>0</v>
      </c>
      <c r="E250" s="107">
        <v>0</v>
      </c>
      <c r="F250" s="107">
        <v>0</v>
      </c>
      <c r="G250" s="107">
        <v>0</v>
      </c>
      <c r="H250" s="107">
        <v>0</v>
      </c>
      <c r="I250" s="107">
        <v>0</v>
      </c>
      <c r="J250" s="107">
        <v>0</v>
      </c>
      <c r="K250" s="107">
        <v>0</v>
      </c>
      <c r="L250" s="107">
        <v>0</v>
      </c>
      <c r="M250" s="107">
        <v>0</v>
      </c>
      <c r="N250" s="107">
        <v>0</v>
      </c>
      <c r="O250" s="107">
        <v>0</v>
      </c>
      <c r="P250" s="107">
        <v>0</v>
      </c>
      <c r="Q250" s="107">
        <v>0</v>
      </c>
      <c r="R250" s="107">
        <v>0</v>
      </c>
      <c r="S250" s="107">
        <v>0</v>
      </c>
      <c r="T250" s="107">
        <v>0</v>
      </c>
      <c r="U250" s="107">
        <v>0</v>
      </c>
      <c r="V250" s="107">
        <v>0</v>
      </c>
      <c r="W250" s="107">
        <v>0</v>
      </c>
      <c r="X250" s="107">
        <v>0</v>
      </c>
      <c r="Y250" s="107">
        <v>0</v>
      </c>
      <c r="Z250" s="107">
        <v>0</v>
      </c>
      <c r="AA250" s="107">
        <v>0</v>
      </c>
      <c r="AB250" s="107">
        <v>0</v>
      </c>
      <c r="AC250" s="107">
        <v>0</v>
      </c>
      <c r="AD250" s="107">
        <v>0</v>
      </c>
      <c r="AE250" s="107">
        <v>0</v>
      </c>
      <c r="AF250" s="107">
        <v>0</v>
      </c>
      <c r="AG250" s="107">
        <v>0</v>
      </c>
      <c r="AH250" s="107">
        <v>0</v>
      </c>
      <c r="AI250" s="107">
        <v>0</v>
      </c>
      <c r="AJ250" s="107">
        <v>0</v>
      </c>
      <c r="AK250" s="107">
        <v>0</v>
      </c>
      <c r="AL250" s="107">
        <v>0</v>
      </c>
      <c r="AM250" s="107">
        <v>0</v>
      </c>
      <c r="AN250" s="107">
        <v>0</v>
      </c>
      <c r="AO250" s="107">
        <v>0</v>
      </c>
      <c r="AP250" s="107">
        <v>0</v>
      </c>
      <c r="AQ250" s="107">
        <v>0</v>
      </c>
      <c r="AR250" s="107">
        <v>0</v>
      </c>
      <c r="AS250" s="107">
        <v>0</v>
      </c>
      <c r="AT250" s="107">
        <v>0</v>
      </c>
      <c r="AU250" s="107">
        <v>0</v>
      </c>
      <c r="AV250" s="107">
        <v>0</v>
      </c>
      <c r="AW250" s="107">
        <v>0</v>
      </c>
      <c r="AX250" s="107">
        <v>0</v>
      </c>
      <c r="AY250" s="107">
        <v>0</v>
      </c>
    </row>
    <row r="251" spans="1:51" x14ac:dyDescent="0.15">
      <c r="A251" s="106"/>
      <c r="B251" s="127">
        <v>43</v>
      </c>
      <c r="C251" s="103"/>
      <c r="D251" s="107">
        <v>0</v>
      </c>
      <c r="E251" s="107">
        <v>0</v>
      </c>
      <c r="F251" s="107">
        <v>0</v>
      </c>
      <c r="G251" s="107">
        <v>0</v>
      </c>
      <c r="H251" s="107">
        <v>0</v>
      </c>
      <c r="I251" s="107">
        <v>0</v>
      </c>
      <c r="J251" s="107">
        <v>0</v>
      </c>
      <c r="K251" s="107">
        <v>0</v>
      </c>
      <c r="L251" s="107">
        <v>0</v>
      </c>
      <c r="M251" s="107">
        <v>0</v>
      </c>
      <c r="N251" s="107">
        <v>0</v>
      </c>
      <c r="O251" s="107">
        <v>0</v>
      </c>
      <c r="P251" s="107">
        <v>0</v>
      </c>
      <c r="Q251" s="107">
        <v>0</v>
      </c>
      <c r="R251" s="107">
        <v>0</v>
      </c>
      <c r="S251" s="107">
        <v>0</v>
      </c>
      <c r="T251" s="107">
        <v>0</v>
      </c>
      <c r="U251" s="107">
        <v>0</v>
      </c>
      <c r="V251" s="107">
        <v>0</v>
      </c>
      <c r="W251" s="107">
        <v>0</v>
      </c>
      <c r="X251" s="107">
        <v>0</v>
      </c>
      <c r="Y251" s="107">
        <v>0</v>
      </c>
      <c r="Z251" s="107">
        <v>0</v>
      </c>
      <c r="AA251" s="107">
        <v>0</v>
      </c>
      <c r="AB251" s="107">
        <v>0</v>
      </c>
      <c r="AC251" s="107">
        <v>0</v>
      </c>
      <c r="AD251" s="107">
        <v>0</v>
      </c>
      <c r="AE251" s="107">
        <v>0</v>
      </c>
      <c r="AF251" s="107">
        <v>0</v>
      </c>
      <c r="AG251" s="107">
        <v>0</v>
      </c>
      <c r="AH251" s="107">
        <v>0</v>
      </c>
      <c r="AI251" s="107">
        <v>0</v>
      </c>
      <c r="AJ251" s="107">
        <v>0</v>
      </c>
      <c r="AK251" s="107">
        <v>0</v>
      </c>
      <c r="AL251" s="107">
        <v>0</v>
      </c>
      <c r="AM251" s="107">
        <v>0</v>
      </c>
      <c r="AN251" s="107">
        <v>0</v>
      </c>
      <c r="AO251" s="107">
        <v>0</v>
      </c>
      <c r="AP251" s="107">
        <v>0</v>
      </c>
      <c r="AQ251" s="107">
        <v>0</v>
      </c>
      <c r="AR251" s="107">
        <v>0</v>
      </c>
      <c r="AS251" s="107">
        <v>0</v>
      </c>
      <c r="AT251" s="107">
        <v>0</v>
      </c>
      <c r="AU251" s="107">
        <v>0</v>
      </c>
      <c r="AV251" s="107">
        <v>0</v>
      </c>
      <c r="AW251" s="107">
        <v>0</v>
      </c>
      <c r="AX251" s="107">
        <v>0</v>
      </c>
      <c r="AY251" s="107">
        <v>0</v>
      </c>
    </row>
    <row r="252" spans="1:51" x14ac:dyDescent="0.15">
      <c r="A252" s="106"/>
      <c r="B252" s="127">
        <v>44</v>
      </c>
      <c r="C252" s="103"/>
      <c r="D252" s="107">
        <v>0</v>
      </c>
      <c r="E252" s="107">
        <v>0</v>
      </c>
      <c r="F252" s="107">
        <v>0</v>
      </c>
      <c r="G252" s="107">
        <v>0</v>
      </c>
      <c r="H252" s="107">
        <v>0</v>
      </c>
      <c r="I252" s="107">
        <v>0</v>
      </c>
      <c r="J252" s="107">
        <v>0</v>
      </c>
      <c r="K252" s="107">
        <v>0</v>
      </c>
      <c r="L252" s="107">
        <v>0</v>
      </c>
      <c r="M252" s="107">
        <v>0</v>
      </c>
      <c r="N252" s="107">
        <v>0</v>
      </c>
      <c r="O252" s="107">
        <v>0</v>
      </c>
      <c r="P252" s="107">
        <v>0</v>
      </c>
      <c r="Q252" s="107">
        <v>0</v>
      </c>
      <c r="R252" s="107">
        <v>0</v>
      </c>
      <c r="S252" s="107">
        <v>0</v>
      </c>
      <c r="T252" s="107">
        <v>0</v>
      </c>
      <c r="U252" s="107">
        <v>0</v>
      </c>
      <c r="V252" s="107">
        <v>0</v>
      </c>
      <c r="W252" s="107">
        <v>0</v>
      </c>
      <c r="X252" s="107">
        <v>0</v>
      </c>
      <c r="Y252" s="107">
        <v>0</v>
      </c>
      <c r="Z252" s="107">
        <v>0</v>
      </c>
      <c r="AA252" s="107">
        <v>0</v>
      </c>
      <c r="AB252" s="107">
        <v>0</v>
      </c>
      <c r="AC252" s="107">
        <v>0</v>
      </c>
      <c r="AD252" s="107">
        <v>0</v>
      </c>
      <c r="AE252" s="107">
        <v>0</v>
      </c>
      <c r="AF252" s="107">
        <v>0</v>
      </c>
      <c r="AG252" s="107">
        <v>0</v>
      </c>
      <c r="AH252" s="107">
        <v>0</v>
      </c>
      <c r="AI252" s="107">
        <v>0</v>
      </c>
      <c r="AJ252" s="107">
        <v>0</v>
      </c>
      <c r="AK252" s="107">
        <v>0</v>
      </c>
      <c r="AL252" s="107">
        <v>0</v>
      </c>
      <c r="AM252" s="107">
        <v>0</v>
      </c>
      <c r="AN252" s="107">
        <v>0</v>
      </c>
      <c r="AO252" s="107">
        <v>0</v>
      </c>
      <c r="AP252" s="107">
        <v>0</v>
      </c>
      <c r="AQ252" s="107">
        <v>0</v>
      </c>
      <c r="AR252" s="107">
        <v>0</v>
      </c>
      <c r="AS252" s="107">
        <v>0</v>
      </c>
      <c r="AT252" s="107">
        <v>0</v>
      </c>
      <c r="AU252" s="107">
        <v>0</v>
      </c>
      <c r="AV252" s="107">
        <v>0</v>
      </c>
      <c r="AW252" s="107">
        <v>0</v>
      </c>
      <c r="AX252" s="107">
        <v>0</v>
      </c>
      <c r="AY252" s="107">
        <v>0</v>
      </c>
    </row>
    <row r="253" spans="1:51" x14ac:dyDescent="0.15">
      <c r="A253" s="106"/>
      <c r="B253" s="127">
        <v>45</v>
      </c>
      <c r="C253" s="103"/>
      <c r="D253" s="107">
        <v>0</v>
      </c>
      <c r="E253" s="107">
        <v>0</v>
      </c>
      <c r="F253" s="107">
        <v>0</v>
      </c>
      <c r="G253" s="107">
        <v>0</v>
      </c>
      <c r="H253" s="107">
        <v>0</v>
      </c>
      <c r="I253" s="107">
        <v>0</v>
      </c>
      <c r="J253" s="107">
        <v>0</v>
      </c>
      <c r="K253" s="107">
        <v>0</v>
      </c>
      <c r="L253" s="107">
        <v>0</v>
      </c>
      <c r="M253" s="107">
        <v>0</v>
      </c>
      <c r="N253" s="107">
        <v>0</v>
      </c>
      <c r="O253" s="107">
        <v>0</v>
      </c>
      <c r="P253" s="107">
        <v>0</v>
      </c>
      <c r="Q253" s="107">
        <v>0</v>
      </c>
      <c r="R253" s="107">
        <v>0</v>
      </c>
      <c r="S253" s="107">
        <v>0</v>
      </c>
      <c r="T253" s="107">
        <v>0</v>
      </c>
      <c r="U253" s="107">
        <v>0</v>
      </c>
      <c r="V253" s="107">
        <v>0</v>
      </c>
      <c r="W253" s="107">
        <v>0</v>
      </c>
      <c r="X253" s="107">
        <v>0</v>
      </c>
      <c r="Y253" s="107">
        <v>0</v>
      </c>
      <c r="Z253" s="107">
        <v>0</v>
      </c>
      <c r="AA253" s="107">
        <v>0</v>
      </c>
      <c r="AB253" s="107">
        <v>0</v>
      </c>
      <c r="AC253" s="107">
        <v>0</v>
      </c>
      <c r="AD253" s="107">
        <v>0</v>
      </c>
      <c r="AE253" s="107">
        <v>0</v>
      </c>
      <c r="AF253" s="107">
        <v>0</v>
      </c>
      <c r="AG253" s="107">
        <v>0</v>
      </c>
      <c r="AH253" s="107">
        <v>0</v>
      </c>
      <c r="AI253" s="107">
        <v>0</v>
      </c>
      <c r="AJ253" s="107">
        <v>0</v>
      </c>
      <c r="AK253" s="107">
        <v>0</v>
      </c>
      <c r="AL253" s="107">
        <v>0</v>
      </c>
      <c r="AM253" s="107">
        <v>0</v>
      </c>
      <c r="AN253" s="107">
        <v>0</v>
      </c>
      <c r="AO253" s="107">
        <v>0</v>
      </c>
      <c r="AP253" s="107">
        <v>0</v>
      </c>
      <c r="AQ253" s="107">
        <v>0</v>
      </c>
      <c r="AR253" s="107">
        <v>0</v>
      </c>
      <c r="AS253" s="107">
        <v>0</v>
      </c>
      <c r="AT253" s="107">
        <v>0</v>
      </c>
      <c r="AU253" s="107">
        <v>0</v>
      </c>
      <c r="AV253" s="107">
        <v>0</v>
      </c>
      <c r="AW253" s="107">
        <v>0</v>
      </c>
      <c r="AX253" s="107">
        <v>0</v>
      </c>
      <c r="AY253" s="107">
        <v>0</v>
      </c>
    </row>
    <row r="254" spans="1:51" x14ac:dyDescent="0.15">
      <c r="A254" s="106"/>
      <c r="B254" s="127">
        <v>46</v>
      </c>
      <c r="C254" s="103"/>
      <c r="D254" s="107">
        <v>0</v>
      </c>
      <c r="E254" s="107">
        <v>0</v>
      </c>
      <c r="F254" s="107">
        <v>0</v>
      </c>
      <c r="G254" s="107">
        <v>0</v>
      </c>
      <c r="H254" s="107">
        <v>0</v>
      </c>
      <c r="I254" s="107">
        <v>0</v>
      </c>
      <c r="J254" s="107">
        <v>0</v>
      </c>
      <c r="K254" s="107">
        <v>0</v>
      </c>
      <c r="L254" s="107">
        <v>0</v>
      </c>
      <c r="M254" s="107">
        <v>0</v>
      </c>
      <c r="N254" s="107">
        <v>0</v>
      </c>
      <c r="O254" s="107">
        <v>0</v>
      </c>
      <c r="P254" s="107">
        <v>0</v>
      </c>
      <c r="Q254" s="107">
        <v>0</v>
      </c>
      <c r="R254" s="107">
        <v>0</v>
      </c>
      <c r="S254" s="107">
        <v>0</v>
      </c>
      <c r="T254" s="107">
        <v>0</v>
      </c>
      <c r="U254" s="107">
        <v>0</v>
      </c>
      <c r="V254" s="107">
        <v>0</v>
      </c>
      <c r="W254" s="107">
        <v>0</v>
      </c>
      <c r="X254" s="107">
        <v>0</v>
      </c>
      <c r="Y254" s="107">
        <v>0</v>
      </c>
      <c r="Z254" s="107">
        <v>0</v>
      </c>
      <c r="AA254" s="107">
        <v>0</v>
      </c>
      <c r="AB254" s="107">
        <v>0</v>
      </c>
      <c r="AC254" s="107">
        <v>0</v>
      </c>
      <c r="AD254" s="107">
        <v>0</v>
      </c>
      <c r="AE254" s="107">
        <v>0</v>
      </c>
      <c r="AF254" s="107">
        <v>0</v>
      </c>
      <c r="AG254" s="107">
        <v>0</v>
      </c>
      <c r="AH254" s="107">
        <v>0</v>
      </c>
      <c r="AI254" s="107">
        <v>0</v>
      </c>
      <c r="AJ254" s="107">
        <v>0</v>
      </c>
      <c r="AK254" s="107">
        <v>0</v>
      </c>
      <c r="AL254" s="107">
        <v>0</v>
      </c>
      <c r="AM254" s="107">
        <v>0</v>
      </c>
      <c r="AN254" s="107">
        <v>0</v>
      </c>
      <c r="AO254" s="107">
        <v>0</v>
      </c>
      <c r="AP254" s="107">
        <v>0</v>
      </c>
      <c r="AQ254" s="107">
        <v>0</v>
      </c>
      <c r="AR254" s="107">
        <v>0</v>
      </c>
      <c r="AS254" s="107">
        <v>0</v>
      </c>
      <c r="AT254" s="107">
        <v>0</v>
      </c>
      <c r="AU254" s="107">
        <v>0</v>
      </c>
      <c r="AV254" s="107">
        <v>0</v>
      </c>
      <c r="AW254" s="107">
        <v>0</v>
      </c>
      <c r="AX254" s="107">
        <v>0</v>
      </c>
      <c r="AY254" s="107">
        <v>0</v>
      </c>
    </row>
    <row r="255" spans="1:51" x14ac:dyDescent="0.15">
      <c r="A255" s="106"/>
      <c r="B255" s="127">
        <v>47</v>
      </c>
      <c r="C255" s="103"/>
      <c r="D255" s="107">
        <v>0</v>
      </c>
      <c r="E255" s="107">
        <v>0</v>
      </c>
      <c r="F255" s="107">
        <v>0</v>
      </c>
      <c r="G255" s="107">
        <v>0</v>
      </c>
      <c r="H255" s="107">
        <v>0</v>
      </c>
      <c r="I255" s="107">
        <v>0</v>
      </c>
      <c r="J255" s="107">
        <v>0</v>
      </c>
      <c r="K255" s="107">
        <v>0</v>
      </c>
      <c r="L255" s="107">
        <v>0</v>
      </c>
      <c r="M255" s="107">
        <v>0</v>
      </c>
      <c r="N255" s="107">
        <v>0</v>
      </c>
      <c r="O255" s="107">
        <v>0</v>
      </c>
      <c r="P255" s="107">
        <v>0</v>
      </c>
      <c r="Q255" s="107">
        <v>0</v>
      </c>
      <c r="R255" s="107">
        <v>0</v>
      </c>
      <c r="S255" s="107">
        <v>0</v>
      </c>
      <c r="T255" s="107">
        <v>0</v>
      </c>
      <c r="U255" s="107">
        <v>0</v>
      </c>
      <c r="V255" s="107">
        <v>0</v>
      </c>
      <c r="W255" s="107">
        <v>0</v>
      </c>
      <c r="X255" s="107">
        <v>0</v>
      </c>
      <c r="Y255" s="107">
        <v>0</v>
      </c>
      <c r="Z255" s="107">
        <v>0</v>
      </c>
      <c r="AA255" s="107">
        <v>0</v>
      </c>
      <c r="AB255" s="107">
        <v>0</v>
      </c>
      <c r="AC255" s="107">
        <v>0</v>
      </c>
      <c r="AD255" s="107">
        <v>0</v>
      </c>
      <c r="AE255" s="107">
        <v>0</v>
      </c>
      <c r="AF255" s="107">
        <v>0</v>
      </c>
      <c r="AG255" s="107">
        <v>0</v>
      </c>
      <c r="AH255" s="107">
        <v>0</v>
      </c>
      <c r="AI255" s="107">
        <v>0</v>
      </c>
      <c r="AJ255" s="107">
        <v>0</v>
      </c>
      <c r="AK255" s="107">
        <v>0</v>
      </c>
      <c r="AL255" s="107">
        <v>0</v>
      </c>
      <c r="AM255" s="107">
        <v>0</v>
      </c>
      <c r="AN255" s="107">
        <v>0</v>
      </c>
      <c r="AO255" s="107">
        <v>0</v>
      </c>
      <c r="AP255" s="107">
        <v>0</v>
      </c>
      <c r="AQ255" s="107">
        <v>0</v>
      </c>
      <c r="AR255" s="107">
        <v>0</v>
      </c>
      <c r="AS255" s="107">
        <v>0</v>
      </c>
      <c r="AT255" s="107">
        <v>0</v>
      </c>
      <c r="AU255" s="107">
        <v>0</v>
      </c>
      <c r="AV255" s="107">
        <v>0</v>
      </c>
      <c r="AW255" s="107">
        <v>0</v>
      </c>
      <c r="AX255" s="107">
        <v>0</v>
      </c>
      <c r="AY255" s="107">
        <v>0</v>
      </c>
    </row>
    <row r="256" spans="1:51" x14ac:dyDescent="0.15">
      <c r="A256" s="125"/>
      <c r="B256" s="126">
        <v>48</v>
      </c>
      <c r="C256" s="111"/>
      <c r="D256" s="122">
        <v>0</v>
      </c>
      <c r="E256" s="122">
        <v>0</v>
      </c>
      <c r="F256" s="122">
        <v>0</v>
      </c>
      <c r="G256" s="122">
        <v>0</v>
      </c>
      <c r="H256" s="122">
        <v>0</v>
      </c>
      <c r="I256" s="122">
        <v>0</v>
      </c>
      <c r="J256" s="122">
        <v>0</v>
      </c>
      <c r="K256" s="122">
        <v>0</v>
      </c>
      <c r="L256" s="122">
        <v>0</v>
      </c>
      <c r="M256" s="122">
        <v>0</v>
      </c>
      <c r="N256" s="122">
        <v>0</v>
      </c>
      <c r="O256" s="122">
        <v>0</v>
      </c>
      <c r="P256" s="122">
        <v>0</v>
      </c>
      <c r="Q256" s="122">
        <v>0</v>
      </c>
      <c r="R256" s="122">
        <v>0</v>
      </c>
      <c r="S256" s="122">
        <v>0</v>
      </c>
      <c r="T256" s="122">
        <v>0</v>
      </c>
      <c r="U256" s="122">
        <v>0</v>
      </c>
      <c r="V256" s="122">
        <v>0</v>
      </c>
      <c r="W256" s="122">
        <v>0</v>
      </c>
      <c r="X256" s="122">
        <v>0</v>
      </c>
      <c r="Y256" s="122">
        <v>0</v>
      </c>
      <c r="Z256" s="122">
        <v>0</v>
      </c>
      <c r="AA256" s="122">
        <v>0</v>
      </c>
      <c r="AB256" s="122">
        <v>0</v>
      </c>
      <c r="AC256" s="122">
        <v>0</v>
      </c>
      <c r="AD256" s="122">
        <v>0</v>
      </c>
      <c r="AE256" s="122">
        <v>0</v>
      </c>
      <c r="AF256" s="122">
        <v>0</v>
      </c>
      <c r="AG256" s="122">
        <v>0</v>
      </c>
      <c r="AH256" s="122">
        <v>0</v>
      </c>
      <c r="AI256" s="122">
        <v>0</v>
      </c>
      <c r="AJ256" s="122">
        <v>0</v>
      </c>
      <c r="AK256" s="122">
        <v>0</v>
      </c>
      <c r="AL256" s="122">
        <v>0</v>
      </c>
      <c r="AM256" s="122">
        <v>0</v>
      </c>
      <c r="AN256" s="122">
        <v>0</v>
      </c>
      <c r="AO256" s="122">
        <v>0</v>
      </c>
      <c r="AP256" s="122">
        <v>0</v>
      </c>
      <c r="AQ256" s="122">
        <v>0</v>
      </c>
      <c r="AR256" s="122">
        <v>0</v>
      </c>
      <c r="AS256" s="122">
        <v>0</v>
      </c>
      <c r="AT256" s="122">
        <v>0</v>
      </c>
      <c r="AU256" s="122">
        <v>0</v>
      </c>
      <c r="AV256" s="122">
        <v>0</v>
      </c>
      <c r="AW256" s="122">
        <v>0</v>
      </c>
      <c r="AX256" s="122">
        <v>0</v>
      </c>
      <c r="AY256" s="122">
        <v>0</v>
      </c>
    </row>
    <row r="258" spans="1:52" x14ac:dyDescent="0.15">
      <c r="A258" s="99" t="s">
        <v>300</v>
      </c>
    </row>
    <row r="259" spans="1:52" x14ac:dyDescent="0.15">
      <c r="A259" s="134" t="s">
        <v>124</v>
      </c>
      <c r="B259" s="135">
        <v>650</v>
      </c>
      <c r="C259" s="121" t="s">
        <v>292</v>
      </c>
      <c r="D259" s="121">
        <f>E$14*$B$259</f>
        <v>0</v>
      </c>
      <c r="E259" s="121">
        <f t="shared" ref="E259:AX259" si="5">F$14*$B$259</f>
        <v>0</v>
      </c>
      <c r="F259" s="121">
        <f t="shared" si="5"/>
        <v>686232.46965229779</v>
      </c>
      <c r="G259" s="121">
        <f t="shared" si="5"/>
        <v>82658.953595169194</v>
      </c>
      <c r="H259" s="121">
        <f t="shared" si="5"/>
        <v>1290370.1204748494</v>
      </c>
      <c r="I259" s="121">
        <f t="shared" si="5"/>
        <v>606187.90412453224</v>
      </c>
      <c r="J259" s="121">
        <f t="shared" si="5"/>
        <v>451391.05808773858</v>
      </c>
      <c r="K259" s="121">
        <f t="shared" si="5"/>
        <v>629183.47829847131</v>
      </c>
      <c r="L259" s="121">
        <f t="shared" si="5"/>
        <v>740075.63399268722</v>
      </c>
      <c r="M259" s="121">
        <f t="shared" si="5"/>
        <v>634051.24048836285</v>
      </c>
      <c r="N259" s="121">
        <f t="shared" si="5"/>
        <v>995002.79852479417</v>
      </c>
      <c r="O259" s="121">
        <f t="shared" si="5"/>
        <v>243775.89548711109</v>
      </c>
      <c r="P259" s="121">
        <f t="shared" si="5"/>
        <v>980339.62364836957</v>
      </c>
      <c r="Q259" s="121">
        <f t="shared" si="5"/>
        <v>862349.60580126289</v>
      </c>
      <c r="R259" s="121">
        <f t="shared" si="5"/>
        <v>1108604.465511448</v>
      </c>
      <c r="S259" s="121">
        <f t="shared" si="5"/>
        <v>511253.18408066506</v>
      </c>
      <c r="T259" s="121">
        <f t="shared" si="5"/>
        <v>951954.57689974073</v>
      </c>
      <c r="U259" s="121">
        <f t="shared" si="5"/>
        <v>1265834.7084520913</v>
      </c>
      <c r="V259" s="121">
        <f t="shared" si="5"/>
        <v>842224.5423585471</v>
      </c>
      <c r="W259" s="121">
        <f t="shared" si="5"/>
        <v>556103.77750775765</v>
      </c>
      <c r="X259" s="121">
        <f t="shared" si="5"/>
        <v>1245646.2977746422</v>
      </c>
      <c r="Y259" s="121">
        <f t="shared" si="5"/>
        <v>568154.76643462118</v>
      </c>
      <c r="Z259" s="121">
        <f t="shared" si="5"/>
        <v>1079259.9651567498</v>
      </c>
      <c r="AA259" s="121">
        <f t="shared" si="5"/>
        <v>858931.64311823598</v>
      </c>
      <c r="AB259" s="121">
        <f t="shared" si="5"/>
        <v>1501838.1989837228</v>
      </c>
      <c r="AC259" s="121">
        <f t="shared" si="5"/>
        <v>1304363.6394584512</v>
      </c>
      <c r="AD259" s="121">
        <f t="shared" si="5"/>
        <v>991933.7917869346</v>
      </c>
      <c r="AE259" s="121">
        <f t="shared" si="5"/>
        <v>808315.37979534722</v>
      </c>
      <c r="AF259" s="121">
        <f t="shared" si="5"/>
        <v>686942.37056546356</v>
      </c>
      <c r="AG259" s="121">
        <f t="shared" si="5"/>
        <v>1745267.7582039377</v>
      </c>
      <c r="AH259" s="121">
        <f t="shared" si="5"/>
        <v>1164355.001338497</v>
      </c>
      <c r="AI259" s="121">
        <f t="shared" si="5"/>
        <v>1092337.9623752576</v>
      </c>
      <c r="AJ259" s="121">
        <f t="shared" si="5"/>
        <v>1432352.4737419127</v>
      </c>
      <c r="AK259" s="121">
        <f t="shared" si="5"/>
        <v>730964.36837988708</v>
      </c>
      <c r="AL259" s="121">
        <f t="shared" si="5"/>
        <v>1329682.8260163849</v>
      </c>
      <c r="AM259" s="121">
        <f t="shared" si="5"/>
        <v>965313.13197000429</v>
      </c>
      <c r="AN259" s="121">
        <f t="shared" si="5"/>
        <v>1186232.3809953472</v>
      </c>
      <c r="AO259" s="121">
        <f t="shared" si="5"/>
        <v>613369.89242793561</v>
      </c>
      <c r="AP259" s="121">
        <f t="shared" si="5"/>
        <v>971175.77738173446</v>
      </c>
      <c r="AQ259" s="121">
        <f t="shared" si="5"/>
        <v>556918.84563366999</v>
      </c>
      <c r="AR259" s="121">
        <f t="shared" si="5"/>
        <v>265495.23830270377</v>
      </c>
      <c r="AS259" s="121">
        <f t="shared" si="5"/>
        <v>991513.92854182166</v>
      </c>
      <c r="AT259" s="121">
        <f t="shared" si="5"/>
        <v>900105.99364902836</v>
      </c>
      <c r="AU259" s="121">
        <f t="shared" si="5"/>
        <v>1648495.9083222402</v>
      </c>
      <c r="AV259" s="121">
        <f t="shared" si="5"/>
        <v>912428.4918919109</v>
      </c>
      <c r="AW259" s="121">
        <f t="shared" si="5"/>
        <v>1049981.1229017528</v>
      </c>
      <c r="AX259" s="121">
        <f t="shared" si="5"/>
        <v>1233052.0903691158</v>
      </c>
      <c r="AY259" s="121">
        <f>AZ$14*$B$259</f>
        <v>706262.24182604742</v>
      </c>
      <c r="AZ259" s="136">
        <f>SUM($D259:$AY259)</f>
        <v>41978285.524329253</v>
      </c>
    </row>
    <row r="260" spans="1:52" x14ac:dyDescent="0.15">
      <c r="A260" s="137" t="s">
        <v>301</v>
      </c>
      <c r="B260" s="111">
        <v>60</v>
      </c>
      <c r="C260" s="122" t="s">
        <v>292</v>
      </c>
      <c r="D260" s="122">
        <f>(D$175-D$176+D$177-D$178+D$179-D$180+D$181-D$182)*$B$260</f>
        <v>492281.62368878908</v>
      </c>
      <c r="E260" s="122">
        <f t="shared" ref="E260:AY260" si="6">(E$175-E$176+E$177-E$178+E$179-E$180+E$181-E$182)*$B$260</f>
        <v>978908.18060585286</v>
      </c>
      <c r="F260" s="122">
        <f t="shared" si="6"/>
        <v>1478779.679526042</v>
      </c>
      <c r="G260" s="122">
        <f t="shared" si="6"/>
        <v>1951696.1027710754</v>
      </c>
      <c r="H260" s="122">
        <f t="shared" si="6"/>
        <v>2327157.5308968532</v>
      </c>
      <c r="I260" s="122">
        <f t="shared" si="6"/>
        <v>2361866.4266463742</v>
      </c>
      <c r="J260" s="122">
        <f t="shared" si="6"/>
        <v>2320622.4157043421</v>
      </c>
      <c r="K260" s="122">
        <f t="shared" si="6"/>
        <v>2298301.4069457548</v>
      </c>
      <c r="L260" s="122">
        <f t="shared" si="6"/>
        <v>2315061.4610836892</v>
      </c>
      <c r="M260" s="122">
        <f t="shared" si="6"/>
        <v>2298412.6078751055</v>
      </c>
      <c r="N260" s="122">
        <f t="shared" si="6"/>
        <v>2314495.976369991</v>
      </c>
      <c r="O260" s="122">
        <f t="shared" si="6"/>
        <v>2315820.3037890214</v>
      </c>
      <c r="P260" s="122">
        <f t="shared" si="6"/>
        <v>2362630.0574838202</v>
      </c>
      <c r="Q260" s="122">
        <f t="shared" si="6"/>
        <v>2404032.1566324239</v>
      </c>
      <c r="R260" s="122">
        <f t="shared" si="6"/>
        <v>2506147.8237473848</v>
      </c>
      <c r="S260" s="122">
        <f t="shared" si="6"/>
        <v>2508245.5554206315</v>
      </c>
      <c r="T260" s="122">
        <f t="shared" si="6"/>
        <v>2494397.2931118803</v>
      </c>
      <c r="U260" s="122">
        <f t="shared" si="6"/>
        <v>2514633.3686216013</v>
      </c>
      <c r="V260" s="122">
        <f t="shared" si="6"/>
        <v>2498386.3720213771</v>
      </c>
      <c r="W260" s="122">
        <f t="shared" si="6"/>
        <v>2507610.2033446501</v>
      </c>
      <c r="X260" s="122">
        <f t="shared" si="6"/>
        <v>2701487.5733222808</v>
      </c>
      <c r="Y260" s="122">
        <f t="shared" si="6"/>
        <v>2797782.6368944296</v>
      </c>
      <c r="Z260" s="122">
        <f t="shared" si="6"/>
        <v>2819075.2239955207</v>
      </c>
      <c r="AA260" s="122">
        <f t="shared" si="6"/>
        <v>2827715.5982503211</v>
      </c>
      <c r="AB260" s="122">
        <f t="shared" si="6"/>
        <v>2793200.0588340508</v>
      </c>
      <c r="AC260" s="122">
        <f t="shared" si="6"/>
        <v>2820386.464947205</v>
      </c>
      <c r="AD260" s="122">
        <f t="shared" si="6"/>
        <v>2828993.4053851399</v>
      </c>
      <c r="AE260" s="122">
        <f t="shared" si="6"/>
        <v>2861372.2772078495</v>
      </c>
      <c r="AF260" s="122">
        <f t="shared" si="6"/>
        <v>2880489.1148311556</v>
      </c>
      <c r="AG260" s="122">
        <f t="shared" si="6"/>
        <v>2776954.6653840332</v>
      </c>
      <c r="AH260" s="122">
        <f t="shared" si="6"/>
        <v>2835218.6945942473</v>
      </c>
      <c r="AI260" s="122">
        <f t="shared" si="6"/>
        <v>2852742.9395987075</v>
      </c>
      <c r="AJ260" s="122">
        <f t="shared" si="6"/>
        <v>2815777.869777299</v>
      </c>
      <c r="AK260" s="122">
        <f t="shared" si="6"/>
        <v>2885405.5801585298</v>
      </c>
      <c r="AL260" s="122">
        <f t="shared" si="6"/>
        <v>2816813.7285673856</v>
      </c>
      <c r="AM260" s="122">
        <f t="shared" si="6"/>
        <v>2872750.3886497542</v>
      </c>
      <c r="AN260" s="122">
        <f t="shared" si="6"/>
        <v>2840161.6263696603</v>
      </c>
      <c r="AO260" s="122">
        <f t="shared" si="6"/>
        <v>2900723.9110052749</v>
      </c>
      <c r="AP260" s="122">
        <f t="shared" si="6"/>
        <v>2871908.9104858027</v>
      </c>
      <c r="AQ260" s="122">
        <f t="shared" si="6"/>
        <v>2907032.2705134708</v>
      </c>
      <c r="AR260" s="122">
        <f t="shared" si="6"/>
        <v>2941416.2171221869</v>
      </c>
      <c r="AS260" s="122">
        <f t="shared" si="6"/>
        <v>2881570.3576450902</v>
      </c>
      <c r="AT260" s="122">
        <f t="shared" si="6"/>
        <v>2878376.7142027514</v>
      </c>
      <c r="AU260" s="122">
        <f t="shared" si="6"/>
        <v>2811462.5064429441</v>
      </c>
      <c r="AV260" s="122">
        <f t="shared" si="6"/>
        <v>2881940.4079217799</v>
      </c>
      <c r="AW260" s="122">
        <f t="shared" si="6"/>
        <v>2879406.3543879543</v>
      </c>
      <c r="AX260" s="122">
        <f t="shared" si="6"/>
        <v>2851859.8070428506</v>
      </c>
      <c r="AY260" s="122">
        <f t="shared" si="6"/>
        <v>2898386.56229298</v>
      </c>
      <c r="AZ260" s="138">
        <f>SUM($D260:$AY260)</f>
        <v>122979898.41211733</v>
      </c>
    </row>
  </sheetData>
  <pageMargins left="0.75" right="0.75" top="1" bottom="1" header="0.5" footer="0.5"/>
  <pageSetup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B260"/>
  <sheetViews>
    <sheetView workbookViewId="0">
      <pane xSplit="2" ySplit="7" topLeftCell="C8" activePane="bottomRight" state="frozen"/>
      <selection pane="topRight"/>
      <selection pane="bottomLeft"/>
      <selection pane="bottomRight"/>
    </sheetView>
  </sheetViews>
  <sheetFormatPr baseColWidth="10" defaultColWidth="8.83203125" defaultRowHeight="13" x14ac:dyDescent="0.15"/>
  <cols>
    <col min="1" max="1" width="14.6640625" style="97" customWidth="1"/>
    <col min="2" max="2" width="12.6640625" style="97" customWidth="1"/>
    <col min="3" max="16384" width="8.83203125" style="97"/>
  </cols>
  <sheetData>
    <row r="1" spans="1:54" x14ac:dyDescent="0.15">
      <c r="A1" s="99" t="s">
        <v>283</v>
      </c>
    </row>
    <row r="2" spans="1:54" x14ac:dyDescent="0.15">
      <c r="A2" s="97" t="s">
        <v>284</v>
      </c>
      <c r="B2" s="104" t="s">
        <v>59</v>
      </c>
    </row>
    <row r="3" spans="1:54" x14ac:dyDescent="0.15">
      <c r="A3" s="97" t="s">
        <v>285</v>
      </c>
      <c r="B3" s="105">
        <v>51000</v>
      </c>
      <c r="C3" s="106"/>
    </row>
    <row r="4" spans="1:54" x14ac:dyDescent="0.15">
      <c r="B4" s="107"/>
      <c r="C4" s="107"/>
    </row>
    <row r="5" spans="1:54" x14ac:dyDescent="0.15">
      <c r="C5" s="108" t="s">
        <v>286</v>
      </c>
    </row>
    <row r="6" spans="1:54" x14ac:dyDescent="0.15">
      <c r="C6" s="109">
        <v>0</v>
      </c>
      <c r="D6" s="109">
        <v>1</v>
      </c>
      <c r="E6" s="109">
        <v>2</v>
      </c>
      <c r="F6" s="109">
        <v>3</v>
      </c>
      <c r="G6" s="109">
        <v>4</v>
      </c>
      <c r="H6" s="109">
        <v>5</v>
      </c>
      <c r="I6" s="109">
        <v>6</v>
      </c>
      <c r="J6" s="109">
        <v>7</v>
      </c>
      <c r="K6" s="109">
        <v>8</v>
      </c>
      <c r="L6" s="109">
        <v>9</v>
      </c>
      <c r="M6" s="109">
        <v>10</v>
      </c>
      <c r="N6" s="109">
        <v>11</v>
      </c>
      <c r="O6" s="109">
        <v>12</v>
      </c>
      <c r="P6" s="109">
        <v>13</v>
      </c>
      <c r="Q6" s="109">
        <v>14</v>
      </c>
      <c r="R6" s="109">
        <v>15</v>
      </c>
      <c r="S6" s="109">
        <v>16</v>
      </c>
      <c r="T6" s="109">
        <v>17</v>
      </c>
      <c r="U6" s="109">
        <v>18</v>
      </c>
      <c r="V6" s="109">
        <v>19</v>
      </c>
      <c r="W6" s="109">
        <v>20</v>
      </c>
      <c r="X6" s="109">
        <v>21</v>
      </c>
      <c r="Y6" s="109">
        <v>22</v>
      </c>
      <c r="Z6" s="109">
        <v>23</v>
      </c>
      <c r="AA6" s="109">
        <v>24</v>
      </c>
      <c r="AB6" s="109">
        <v>25</v>
      </c>
      <c r="AC6" s="109">
        <v>26</v>
      </c>
      <c r="AD6" s="109">
        <v>27</v>
      </c>
      <c r="AE6" s="109">
        <v>28</v>
      </c>
      <c r="AF6" s="109">
        <v>29</v>
      </c>
      <c r="AG6" s="109">
        <v>30</v>
      </c>
      <c r="AH6" s="109">
        <v>31</v>
      </c>
      <c r="AI6" s="109">
        <v>32</v>
      </c>
      <c r="AJ6" s="109">
        <v>33</v>
      </c>
      <c r="AK6" s="109">
        <v>34</v>
      </c>
      <c r="AL6" s="109">
        <v>35</v>
      </c>
      <c r="AM6" s="109">
        <v>36</v>
      </c>
      <c r="AN6" s="109">
        <v>37</v>
      </c>
      <c r="AO6" s="109">
        <v>38</v>
      </c>
      <c r="AP6" s="109">
        <v>39</v>
      </c>
      <c r="AQ6" s="109">
        <v>40</v>
      </c>
      <c r="AR6" s="109">
        <v>41</v>
      </c>
      <c r="AS6" s="109">
        <v>42</v>
      </c>
      <c r="AT6" s="109">
        <v>43</v>
      </c>
      <c r="AU6" s="109">
        <v>44</v>
      </c>
      <c r="AV6" s="109">
        <v>45</v>
      </c>
      <c r="AW6" s="109">
        <v>46</v>
      </c>
      <c r="AX6" s="109">
        <v>47</v>
      </c>
      <c r="AY6" s="109">
        <v>48</v>
      </c>
    </row>
    <row r="7" spans="1:54" x14ac:dyDescent="0.15">
      <c r="B7" s="107"/>
      <c r="C7" s="110" t="s">
        <v>287</v>
      </c>
      <c r="D7" s="109" t="s">
        <v>288</v>
      </c>
      <c r="E7" s="109" t="s">
        <v>288</v>
      </c>
      <c r="F7" s="109" t="s">
        <v>288</v>
      </c>
      <c r="G7" s="109" t="s">
        <v>288</v>
      </c>
      <c r="H7" s="109" t="s">
        <v>288</v>
      </c>
      <c r="I7" s="109" t="s">
        <v>288</v>
      </c>
      <c r="J7" s="109" t="s">
        <v>288</v>
      </c>
      <c r="K7" s="109" t="s">
        <v>288</v>
      </c>
      <c r="L7" s="109" t="s">
        <v>288</v>
      </c>
      <c r="M7" s="109" t="s">
        <v>288</v>
      </c>
      <c r="N7" s="109" t="s">
        <v>288</v>
      </c>
      <c r="O7" s="109" t="s">
        <v>288</v>
      </c>
      <c r="P7" s="109" t="s">
        <v>288</v>
      </c>
      <c r="Q7" s="109" t="s">
        <v>288</v>
      </c>
      <c r="R7" s="109" t="s">
        <v>288</v>
      </c>
      <c r="S7" s="109" t="s">
        <v>288</v>
      </c>
      <c r="T7" s="109" t="s">
        <v>288</v>
      </c>
      <c r="U7" s="109" t="s">
        <v>288</v>
      </c>
      <c r="V7" s="109" t="s">
        <v>288</v>
      </c>
      <c r="W7" s="109" t="s">
        <v>288</v>
      </c>
      <c r="X7" s="109" t="s">
        <v>288</v>
      </c>
      <c r="Y7" s="109" t="s">
        <v>288</v>
      </c>
      <c r="Z7" s="109" t="s">
        <v>288</v>
      </c>
      <c r="AA7" s="109" t="s">
        <v>288</v>
      </c>
      <c r="AB7" s="109" t="s">
        <v>288</v>
      </c>
      <c r="AC7" s="109" t="s">
        <v>288</v>
      </c>
      <c r="AD7" s="109" t="s">
        <v>288</v>
      </c>
      <c r="AE7" s="109" t="s">
        <v>288</v>
      </c>
      <c r="AF7" s="109" t="s">
        <v>288</v>
      </c>
      <c r="AG7" s="109" t="s">
        <v>288</v>
      </c>
      <c r="AH7" s="109" t="s">
        <v>288</v>
      </c>
      <c r="AI7" s="109" t="s">
        <v>288</v>
      </c>
      <c r="AJ7" s="109" t="s">
        <v>288</v>
      </c>
      <c r="AK7" s="109" t="s">
        <v>288</v>
      </c>
      <c r="AL7" s="109" t="s">
        <v>288</v>
      </c>
      <c r="AM7" s="109" t="s">
        <v>288</v>
      </c>
      <c r="AN7" s="109" t="s">
        <v>288</v>
      </c>
      <c r="AO7" s="109" t="s">
        <v>288</v>
      </c>
      <c r="AP7" s="109" t="s">
        <v>288</v>
      </c>
      <c r="AQ7" s="109" t="s">
        <v>288</v>
      </c>
      <c r="AR7" s="109" t="s">
        <v>288</v>
      </c>
      <c r="AS7" s="109" t="s">
        <v>288</v>
      </c>
      <c r="AT7" s="109" t="s">
        <v>288</v>
      </c>
      <c r="AU7" s="109" t="s">
        <v>288</v>
      </c>
      <c r="AV7" s="109" t="s">
        <v>288</v>
      </c>
      <c r="AW7" s="109" t="s">
        <v>288</v>
      </c>
      <c r="AX7" s="109" t="s">
        <v>288</v>
      </c>
      <c r="AY7" s="108" t="s">
        <v>289</v>
      </c>
      <c r="AZ7" s="108" t="s">
        <v>290</v>
      </c>
    </row>
    <row r="8" spans="1:54" x14ac:dyDescent="0.15">
      <c r="A8" s="99" t="s">
        <v>291</v>
      </c>
      <c r="B8" s="111"/>
      <c r="AY8" s="107"/>
    </row>
    <row r="9" spans="1:54" x14ac:dyDescent="0.15">
      <c r="A9" s="112" t="s">
        <v>125</v>
      </c>
      <c r="B9" s="113">
        <v>1</v>
      </c>
      <c r="C9" s="114" t="s">
        <v>292</v>
      </c>
      <c r="D9" s="114">
        <v>9793.5921961874192</v>
      </c>
      <c r="E9" s="114">
        <v>9796.2758386860442</v>
      </c>
      <c r="F9" s="114">
        <v>9798.9596239610037</v>
      </c>
      <c r="G9" s="114">
        <v>9801.6431215911725</v>
      </c>
      <c r="H9" s="114">
        <v>9804.325901011287</v>
      </c>
      <c r="I9" s="114">
        <v>9807.0075315874692</v>
      </c>
      <c r="J9" s="114">
        <v>9437.5312778849657</v>
      </c>
      <c r="K9" s="114">
        <v>9812.3656237829837</v>
      </c>
      <c r="L9" s="114">
        <v>9554.7283452446882</v>
      </c>
      <c r="M9" s="114">
        <v>9560.5192605382417</v>
      </c>
      <c r="N9" s="114">
        <v>9190.9379796696376</v>
      </c>
      <c r="O9" s="114">
        <v>9823.0490842328272</v>
      </c>
      <c r="P9" s="114">
        <v>9825.7106252688573</v>
      </c>
      <c r="Q9" s="114">
        <v>9828.3675789948393</v>
      </c>
      <c r="R9" s="114">
        <v>9831.0195175626886</v>
      </c>
      <c r="S9" s="114">
        <v>9833.6660138117877</v>
      </c>
      <c r="T9" s="114">
        <v>8375.9013429465977</v>
      </c>
      <c r="U9" s="114">
        <v>8759.9948652347011</v>
      </c>
      <c r="V9" s="114">
        <v>8763.9362867360778</v>
      </c>
      <c r="W9" s="114">
        <v>9844.1890606893976</v>
      </c>
      <c r="X9" s="114">
        <v>9846.8019672692863</v>
      </c>
      <c r="Y9" s="114">
        <v>9849.4068872187108</v>
      </c>
      <c r="Z9" s="114">
        <v>9852.0034002944103</v>
      </c>
      <c r="AA9" s="114">
        <v>9854.5910875404643</v>
      </c>
      <c r="AB9" s="114">
        <v>9857.1695313625733</v>
      </c>
      <c r="AC9" s="114">
        <v>9859.7383156021533</v>
      </c>
      <c r="AD9" s="114">
        <v>9010.5506849059111</v>
      </c>
      <c r="AE9" s="114">
        <v>9662.6370635844032</v>
      </c>
      <c r="AF9" s="114">
        <v>8802.657261821505</v>
      </c>
      <c r="AG9" s="114">
        <v>9869.9085879442737</v>
      </c>
      <c r="AH9" s="114">
        <v>9872.4228873009451</v>
      </c>
      <c r="AI9" s="114">
        <v>9874.9250643942651</v>
      </c>
      <c r="AJ9" s="114">
        <v>9877.4147151707057</v>
      </c>
      <c r="AK9" s="114">
        <v>9879.8914375964341</v>
      </c>
      <c r="AL9" s="114">
        <v>9882.3548317290297</v>
      </c>
      <c r="AM9" s="114">
        <v>9884.8044997888483</v>
      </c>
      <c r="AN9" s="114">
        <v>9887.2400462300684</v>
      </c>
      <c r="AO9" s="114">
        <v>9889.6610778113682</v>
      </c>
      <c r="AP9" s="114">
        <v>9892.0672036662363</v>
      </c>
      <c r="AQ9" s="114">
        <v>9894.4580353729016</v>
      </c>
      <c r="AR9" s="114">
        <v>9896.8331870238708</v>
      </c>
      <c r="AS9" s="114">
        <v>9737.0556220281906</v>
      </c>
      <c r="AT9" s="114">
        <v>9901.5349195145081</v>
      </c>
      <c r="AU9" s="114">
        <v>9903.8607417306412</v>
      </c>
      <c r="AV9" s="114">
        <v>9906.1693667801319</v>
      </c>
      <c r="AW9" s="114">
        <v>9908.4604223552542</v>
      </c>
      <c r="AX9" s="114">
        <v>9910.7335390708195</v>
      </c>
      <c r="AY9" s="114">
        <v>9912.9883505305825</v>
      </c>
    </row>
    <row r="10" spans="1:54" x14ac:dyDescent="0.15">
      <c r="A10" s="115" t="s">
        <v>133</v>
      </c>
      <c r="B10" s="116">
        <v>1</v>
      </c>
      <c r="C10" s="103" t="s">
        <v>292</v>
      </c>
      <c r="E10" s="97">
        <v>0</v>
      </c>
      <c r="F10" s="97">
        <v>1947.194299022357</v>
      </c>
      <c r="G10" s="97">
        <v>90</v>
      </c>
      <c r="H10" s="97">
        <v>1948.2614687136993</v>
      </c>
      <c r="I10" s="97">
        <v>0</v>
      </c>
      <c r="J10" s="97">
        <v>1030</v>
      </c>
      <c r="K10" s="97">
        <v>1771.433895041735</v>
      </c>
      <c r="L10" s="97">
        <v>1876.4010929816657</v>
      </c>
      <c r="M10" s="97">
        <v>1802.3689428192176</v>
      </c>
      <c r="N10" s="97">
        <v>1899.7026004217885</v>
      </c>
      <c r="O10" s="97">
        <v>1758.4188998512916</v>
      </c>
      <c r="P10" s="97">
        <v>1827.3726001831874</v>
      </c>
      <c r="Q10" s="97">
        <v>1804.2333276757915</v>
      </c>
      <c r="R10" s="97">
        <v>1018.882394283655</v>
      </c>
      <c r="S10" s="97">
        <v>1805.1614652526205</v>
      </c>
      <c r="T10" s="97">
        <v>1954.6357224908543</v>
      </c>
      <c r="U10" s="97">
        <v>1806.0861021418229</v>
      </c>
      <c r="V10" s="97">
        <v>1665.3243281365644</v>
      </c>
      <c r="W10" s="97">
        <v>1648.7183255917653</v>
      </c>
      <c r="X10" s="97">
        <v>990</v>
      </c>
      <c r="Y10" s="97">
        <v>120</v>
      </c>
      <c r="Z10" s="97">
        <v>1928.3784748068224</v>
      </c>
      <c r="AA10" s="97">
        <v>120</v>
      </c>
      <c r="AB10" s="97">
        <v>1929.286183784644</v>
      </c>
      <c r="AC10" s="97">
        <v>1839.7377645189711</v>
      </c>
      <c r="AD10" s="97">
        <v>1930.1877321711224</v>
      </c>
      <c r="AE10" s="97">
        <v>1840.6360141167115</v>
      </c>
      <c r="AF10" s="97">
        <v>1782.4431540885435</v>
      </c>
      <c r="AG10" s="97">
        <v>1806.2396131379373</v>
      </c>
      <c r="AH10" s="97">
        <v>990</v>
      </c>
      <c r="AI10" s="97">
        <v>1842.4108418357732</v>
      </c>
      <c r="AJ10" s="97">
        <v>1932.8496155521623</v>
      </c>
      <c r="AK10" s="97">
        <v>120</v>
      </c>
      <c r="AL10" s="97">
        <v>990</v>
      </c>
      <c r="AM10" s="97">
        <v>120</v>
      </c>
      <c r="AN10" s="97">
        <v>990</v>
      </c>
      <c r="AO10" s="97">
        <v>120</v>
      </c>
      <c r="AP10" s="97">
        <v>2004.5</v>
      </c>
      <c r="AQ10" s="97">
        <v>1845.8578750475997</v>
      </c>
      <c r="AR10" s="97">
        <v>0</v>
      </c>
      <c r="AS10" s="97">
        <v>1030</v>
      </c>
      <c r="AT10" s="97">
        <v>60</v>
      </c>
      <c r="AU10" s="97">
        <v>1935.9535108943849</v>
      </c>
      <c r="AV10" s="97">
        <v>1817.9299949159349</v>
      </c>
      <c r="AW10" s="97">
        <v>1020</v>
      </c>
      <c r="AX10" s="97">
        <v>90</v>
      </c>
      <c r="AY10" s="97">
        <v>240</v>
      </c>
      <c r="AZ10" s="97">
        <v>870</v>
      </c>
    </row>
    <row r="11" spans="1:54" x14ac:dyDescent="0.15">
      <c r="B11" s="116">
        <v>2</v>
      </c>
      <c r="C11" s="103" t="s">
        <v>292</v>
      </c>
      <c r="F11" s="97">
        <v>0</v>
      </c>
      <c r="G11" s="97">
        <v>0</v>
      </c>
      <c r="H11" s="97">
        <v>1709.5610930760467</v>
      </c>
      <c r="I11" s="97">
        <v>0</v>
      </c>
      <c r="K11" s="97">
        <v>930.9659201322354</v>
      </c>
      <c r="M11" s="97">
        <v>0</v>
      </c>
      <c r="N11" s="97">
        <v>148.55795099112964</v>
      </c>
      <c r="O11" s="97">
        <v>0</v>
      </c>
      <c r="P11" s="97">
        <v>0</v>
      </c>
      <c r="R11" s="97">
        <v>148.81768697449255</v>
      </c>
      <c r="S11" s="97">
        <v>934.69779673298694</v>
      </c>
      <c r="V11" s="97">
        <v>149.07580546123492</v>
      </c>
      <c r="W11" s="97">
        <v>0</v>
      </c>
      <c r="Y11" s="97">
        <v>752.47471537266779</v>
      </c>
      <c r="Z11" s="97">
        <v>1717.9224930130904</v>
      </c>
      <c r="AA11" s="97">
        <v>29.39516638410359</v>
      </c>
      <c r="AB11" s="97">
        <v>1718.8330628430767</v>
      </c>
      <c r="AC11" s="97">
        <v>29.52162347429632</v>
      </c>
      <c r="AD11" s="97">
        <v>119.5845352522399</v>
      </c>
      <c r="AF11" s="97">
        <v>119.70967451291975</v>
      </c>
      <c r="AG11" s="97">
        <v>9.0642492451435714</v>
      </c>
      <c r="AH11" s="97">
        <v>114.91775453949612</v>
      </c>
      <c r="AI11" s="97">
        <v>756.1633970192313</v>
      </c>
      <c r="AJ11" s="97">
        <v>119.95693388175914</v>
      </c>
      <c r="AK11" s="97">
        <v>30.018061455445576</v>
      </c>
      <c r="AM11" s="97">
        <v>973.86016868736976</v>
      </c>
      <c r="AN11" s="97">
        <v>120.19963663554768</v>
      </c>
      <c r="AO11" s="97">
        <v>0</v>
      </c>
      <c r="AP11" s="97">
        <v>120.31908286234474</v>
      </c>
      <c r="AS11" s="97">
        <v>0</v>
      </c>
      <c r="AT11" s="97">
        <v>1014.5000000000002</v>
      </c>
      <c r="AU11" s="97">
        <v>1907.7210133019667</v>
      </c>
      <c r="AV11" s="97">
        <v>0</v>
      </c>
      <c r="AZ11" s="97">
        <v>0.89420497179492031</v>
      </c>
      <c r="BA11" s="97">
        <v>1014.5000000000002</v>
      </c>
    </row>
    <row r="12" spans="1:54" x14ac:dyDescent="0.15">
      <c r="B12" s="117">
        <v>3</v>
      </c>
      <c r="C12" s="103" t="s">
        <v>292</v>
      </c>
      <c r="I12" s="97">
        <v>148.16677659835014</v>
      </c>
      <c r="K12" s="97">
        <v>1710.4977447364568</v>
      </c>
      <c r="M12" s="97">
        <v>178.42768520768948</v>
      </c>
      <c r="Q12" s="97">
        <v>142.43506944719155</v>
      </c>
      <c r="R12" s="97">
        <v>0</v>
      </c>
      <c r="U12" s="97">
        <v>148.94699006626763</v>
      </c>
      <c r="V12" s="97">
        <v>0</v>
      </c>
      <c r="X12" s="97">
        <v>0</v>
      </c>
      <c r="Y12" s="97">
        <v>92.97274335946878</v>
      </c>
      <c r="Z12" s="97">
        <v>0</v>
      </c>
      <c r="AA12" s="97">
        <v>119.33164147444074</v>
      </c>
      <c r="AC12" s="97">
        <v>119.45849712303615</v>
      </c>
      <c r="AJ12" s="97">
        <v>4.0099503189659913</v>
      </c>
      <c r="AM12" s="97">
        <v>1843.3651681093052</v>
      </c>
      <c r="AP12" s="97">
        <v>1044.7595266028893</v>
      </c>
      <c r="AR12" s="97">
        <v>30.378295797414438</v>
      </c>
      <c r="AS12" s="97">
        <v>120.43715584762697</v>
      </c>
      <c r="AT12" s="97">
        <v>0</v>
      </c>
      <c r="AY12" s="97">
        <v>949.11825490514684</v>
      </c>
      <c r="BB12" s="97">
        <v>150.9494689200435</v>
      </c>
    </row>
    <row r="13" spans="1:54" x14ac:dyDescent="0.15">
      <c r="B13" s="117">
        <v>4</v>
      </c>
      <c r="C13" s="103" t="s">
        <v>292</v>
      </c>
      <c r="H13" s="97">
        <v>0</v>
      </c>
      <c r="Q13" s="97">
        <v>0</v>
      </c>
      <c r="AG13" s="97">
        <v>29.647222304326192</v>
      </c>
      <c r="AY13" s="97">
        <v>150.72583234580279</v>
      </c>
      <c r="BA13" s="97">
        <v>150.83850489450842</v>
      </c>
    </row>
    <row r="14" spans="1:54" x14ac:dyDescent="0.15">
      <c r="A14" s="112" t="s">
        <v>134</v>
      </c>
      <c r="B14" s="118">
        <v>1</v>
      </c>
      <c r="C14" s="114" t="s">
        <v>292</v>
      </c>
      <c r="D14" s="114"/>
      <c r="E14" s="114">
        <f t="shared" ref="E14:AZ14" si="0">D$172*SUM(D$122:D$169)</f>
        <v>0</v>
      </c>
      <c r="F14" s="114">
        <f t="shared" si="0"/>
        <v>0</v>
      </c>
      <c r="G14" s="114">
        <f t="shared" si="0"/>
        <v>0</v>
      </c>
      <c r="H14" s="114">
        <f t="shared" si="0"/>
        <v>0</v>
      </c>
      <c r="I14" s="114">
        <f t="shared" si="0"/>
        <v>0</v>
      </c>
      <c r="J14" s="114">
        <f t="shared" si="0"/>
        <v>0</v>
      </c>
      <c r="K14" s="114">
        <f t="shared" si="0"/>
        <v>0</v>
      </c>
      <c r="L14" s="114">
        <f t="shared" si="0"/>
        <v>0</v>
      </c>
      <c r="M14" s="114">
        <f t="shared" si="0"/>
        <v>0</v>
      </c>
      <c r="N14" s="114">
        <f t="shared" si="0"/>
        <v>0</v>
      </c>
      <c r="O14" s="114">
        <f t="shared" si="0"/>
        <v>0</v>
      </c>
      <c r="P14" s="114">
        <f t="shared" si="0"/>
        <v>0</v>
      </c>
      <c r="Q14" s="114">
        <f t="shared" si="0"/>
        <v>0</v>
      </c>
      <c r="R14" s="114">
        <f t="shared" si="0"/>
        <v>0</v>
      </c>
      <c r="S14" s="114">
        <f t="shared" si="0"/>
        <v>0</v>
      </c>
      <c r="T14" s="114">
        <f t="shared" si="0"/>
        <v>0</v>
      </c>
      <c r="U14" s="114">
        <f t="shared" si="0"/>
        <v>0</v>
      </c>
      <c r="V14" s="114">
        <f t="shared" si="0"/>
        <v>0</v>
      </c>
      <c r="W14" s="114">
        <f t="shared" si="0"/>
        <v>0</v>
      </c>
      <c r="X14" s="114">
        <f t="shared" si="0"/>
        <v>0</v>
      </c>
      <c r="Y14" s="114">
        <f t="shared" si="0"/>
        <v>0</v>
      </c>
      <c r="Z14" s="114">
        <f t="shared" si="0"/>
        <v>0</v>
      </c>
      <c r="AA14" s="114">
        <f t="shared" si="0"/>
        <v>0</v>
      </c>
      <c r="AB14" s="114">
        <f t="shared" si="0"/>
        <v>0</v>
      </c>
      <c r="AC14" s="114">
        <f t="shared" si="0"/>
        <v>0</v>
      </c>
      <c r="AD14" s="114">
        <f t="shared" si="0"/>
        <v>0</v>
      </c>
      <c r="AE14" s="114">
        <f t="shared" si="0"/>
        <v>0</v>
      </c>
      <c r="AF14" s="114">
        <f t="shared" si="0"/>
        <v>0</v>
      </c>
      <c r="AG14" s="114">
        <f t="shared" si="0"/>
        <v>0</v>
      </c>
      <c r="AH14" s="114">
        <f t="shared" si="0"/>
        <v>0</v>
      </c>
      <c r="AI14" s="114">
        <f t="shared" si="0"/>
        <v>0</v>
      </c>
      <c r="AJ14" s="114">
        <f t="shared" si="0"/>
        <v>0</v>
      </c>
      <c r="AK14" s="114">
        <f t="shared" si="0"/>
        <v>0</v>
      </c>
      <c r="AL14" s="114">
        <f t="shared" si="0"/>
        <v>0</v>
      </c>
      <c r="AM14" s="114">
        <f t="shared" si="0"/>
        <v>0</v>
      </c>
      <c r="AN14" s="114">
        <f t="shared" si="0"/>
        <v>0</v>
      </c>
      <c r="AO14" s="114">
        <f t="shared" si="0"/>
        <v>0</v>
      </c>
      <c r="AP14" s="114">
        <f t="shared" si="0"/>
        <v>0</v>
      </c>
      <c r="AQ14" s="114">
        <f t="shared" si="0"/>
        <v>0</v>
      </c>
      <c r="AR14" s="114">
        <f t="shared" si="0"/>
        <v>0</v>
      </c>
      <c r="AS14" s="114">
        <f t="shared" si="0"/>
        <v>0</v>
      </c>
      <c r="AT14" s="114">
        <f t="shared" si="0"/>
        <v>0</v>
      </c>
      <c r="AU14" s="114">
        <f t="shared" si="0"/>
        <v>0</v>
      </c>
      <c r="AV14" s="114">
        <f t="shared" si="0"/>
        <v>0</v>
      </c>
      <c r="AW14" s="114">
        <f t="shared" si="0"/>
        <v>0</v>
      </c>
      <c r="AX14" s="114">
        <f t="shared" si="0"/>
        <v>0</v>
      </c>
      <c r="AY14" s="114">
        <f t="shared" si="0"/>
        <v>0</v>
      </c>
      <c r="AZ14" s="107">
        <f t="shared" si="0"/>
        <v>0</v>
      </c>
      <c r="BA14" s="104">
        <f>SUM($E14:$AZ14)</f>
        <v>0</v>
      </c>
    </row>
    <row r="15" spans="1:54" x14ac:dyDescent="0.15">
      <c r="A15" s="119" t="s">
        <v>123</v>
      </c>
      <c r="B15" s="120">
        <v>1</v>
      </c>
      <c r="C15" s="121" t="s">
        <v>292</v>
      </c>
      <c r="D15" s="121">
        <v>0</v>
      </c>
      <c r="E15" s="121">
        <v>0</v>
      </c>
      <c r="F15" s="121">
        <v>0</v>
      </c>
      <c r="G15" s="121">
        <v>0</v>
      </c>
      <c r="H15" s="121">
        <v>0</v>
      </c>
      <c r="I15" s="121">
        <v>0</v>
      </c>
      <c r="J15" s="121">
        <v>0</v>
      </c>
      <c r="K15" s="121">
        <v>0</v>
      </c>
      <c r="L15" s="121">
        <v>0</v>
      </c>
      <c r="M15" s="121">
        <v>0</v>
      </c>
      <c r="N15" s="121">
        <v>0</v>
      </c>
      <c r="O15" s="121">
        <v>0</v>
      </c>
      <c r="P15" s="121">
        <v>0</v>
      </c>
      <c r="Q15" s="121">
        <v>0</v>
      </c>
      <c r="R15" s="121">
        <v>0</v>
      </c>
      <c r="S15" s="121">
        <v>0</v>
      </c>
      <c r="T15" s="121">
        <v>0</v>
      </c>
      <c r="U15" s="121">
        <v>0</v>
      </c>
      <c r="V15" s="121">
        <v>0</v>
      </c>
      <c r="W15" s="121">
        <v>0</v>
      </c>
      <c r="X15" s="121">
        <v>0</v>
      </c>
      <c r="Y15" s="121">
        <v>0</v>
      </c>
      <c r="Z15" s="121">
        <v>0</v>
      </c>
      <c r="AA15" s="121">
        <v>0</v>
      </c>
      <c r="AB15" s="121">
        <v>0</v>
      </c>
      <c r="AC15" s="121">
        <v>0</v>
      </c>
      <c r="AD15" s="121">
        <v>0</v>
      </c>
      <c r="AE15" s="121">
        <v>0</v>
      </c>
      <c r="AF15" s="121">
        <v>0</v>
      </c>
      <c r="AG15" s="121">
        <v>0</v>
      </c>
      <c r="AH15" s="121">
        <v>0</v>
      </c>
      <c r="AI15" s="121">
        <v>0</v>
      </c>
      <c r="AJ15" s="121">
        <v>0</v>
      </c>
      <c r="AK15" s="121">
        <v>0</v>
      </c>
      <c r="AL15" s="121">
        <v>0</v>
      </c>
      <c r="AM15" s="121">
        <v>0</v>
      </c>
      <c r="AN15" s="121">
        <v>0</v>
      </c>
      <c r="AO15" s="121">
        <v>0</v>
      </c>
      <c r="AP15" s="121">
        <v>0</v>
      </c>
      <c r="AQ15" s="121">
        <v>0</v>
      </c>
      <c r="AR15" s="121">
        <v>0</v>
      </c>
      <c r="AS15" s="121">
        <v>0</v>
      </c>
      <c r="AT15" s="121">
        <v>0</v>
      </c>
      <c r="AU15" s="121">
        <v>0</v>
      </c>
      <c r="AV15" s="121">
        <v>0</v>
      </c>
      <c r="AW15" s="121">
        <v>0</v>
      </c>
      <c r="AX15" s="121">
        <v>0</v>
      </c>
      <c r="AY15" s="121">
        <v>0</v>
      </c>
      <c r="AZ15" s="97">
        <v>0</v>
      </c>
    </row>
    <row r="16" spans="1:54" x14ac:dyDescent="0.15">
      <c r="A16" s="107"/>
      <c r="B16" s="116">
        <v>2</v>
      </c>
      <c r="C16" s="106" t="s">
        <v>292</v>
      </c>
      <c r="D16" s="103"/>
      <c r="E16" s="107"/>
      <c r="F16" s="107">
        <v>0</v>
      </c>
      <c r="G16" s="107">
        <v>0</v>
      </c>
      <c r="H16" s="107">
        <v>0</v>
      </c>
      <c r="I16" s="107">
        <v>0</v>
      </c>
      <c r="J16" s="107"/>
      <c r="K16" s="107">
        <v>0</v>
      </c>
      <c r="L16" s="107"/>
      <c r="M16" s="107">
        <v>0</v>
      </c>
      <c r="N16" s="107">
        <v>0</v>
      </c>
      <c r="O16" s="107">
        <v>0</v>
      </c>
      <c r="P16" s="107">
        <v>0</v>
      </c>
      <c r="Q16" s="107"/>
      <c r="R16" s="107">
        <v>0</v>
      </c>
      <c r="S16" s="107">
        <v>0</v>
      </c>
      <c r="T16" s="107"/>
      <c r="U16" s="107"/>
      <c r="V16" s="107">
        <v>0</v>
      </c>
      <c r="W16" s="107">
        <v>0</v>
      </c>
      <c r="X16" s="107"/>
      <c r="Y16" s="107">
        <v>0</v>
      </c>
      <c r="Z16" s="107">
        <v>0</v>
      </c>
      <c r="AA16" s="107">
        <v>0</v>
      </c>
      <c r="AB16" s="107">
        <v>0</v>
      </c>
      <c r="AC16" s="107">
        <v>0</v>
      </c>
      <c r="AD16" s="107">
        <v>0</v>
      </c>
      <c r="AE16" s="107"/>
      <c r="AF16" s="107">
        <v>0</v>
      </c>
      <c r="AG16" s="107">
        <v>0</v>
      </c>
      <c r="AH16" s="107">
        <v>0</v>
      </c>
      <c r="AI16" s="107">
        <v>0</v>
      </c>
      <c r="AJ16" s="107">
        <v>0</v>
      </c>
      <c r="AK16" s="107">
        <v>0</v>
      </c>
      <c r="AL16" s="107"/>
      <c r="AM16" s="107">
        <v>0</v>
      </c>
      <c r="AN16" s="107">
        <v>0</v>
      </c>
      <c r="AO16" s="107">
        <v>0</v>
      </c>
      <c r="AP16" s="107">
        <v>0</v>
      </c>
      <c r="AQ16" s="107"/>
      <c r="AR16" s="107"/>
      <c r="AS16" s="107">
        <v>0</v>
      </c>
      <c r="AT16" s="107">
        <v>0</v>
      </c>
      <c r="AU16" s="107">
        <v>0</v>
      </c>
      <c r="AV16" s="107">
        <v>0</v>
      </c>
      <c r="AW16" s="107"/>
      <c r="AX16" s="107"/>
      <c r="AY16" s="107"/>
      <c r="AZ16" s="97">
        <v>0</v>
      </c>
      <c r="BA16" s="97">
        <v>0</v>
      </c>
    </row>
    <row r="17" spans="1:54" x14ac:dyDescent="0.15">
      <c r="A17" s="107"/>
      <c r="B17" s="116">
        <v>3</v>
      </c>
      <c r="C17" s="106" t="s">
        <v>292</v>
      </c>
      <c r="D17" s="103"/>
      <c r="E17" s="107"/>
      <c r="F17" s="107"/>
      <c r="G17" s="107"/>
      <c r="H17" s="107"/>
      <c r="I17" s="107">
        <v>0</v>
      </c>
      <c r="J17" s="107"/>
      <c r="K17" s="107">
        <v>0</v>
      </c>
      <c r="L17" s="107"/>
      <c r="M17" s="107">
        <v>0</v>
      </c>
      <c r="N17" s="107"/>
      <c r="O17" s="107"/>
      <c r="P17" s="107"/>
      <c r="Q17" s="107">
        <v>0</v>
      </c>
      <c r="R17" s="107">
        <v>0</v>
      </c>
      <c r="S17" s="107"/>
      <c r="T17" s="107"/>
      <c r="U17" s="107">
        <v>0</v>
      </c>
      <c r="V17" s="107">
        <v>0</v>
      </c>
      <c r="W17" s="107"/>
      <c r="X17" s="107">
        <v>0</v>
      </c>
      <c r="Y17" s="107">
        <v>0</v>
      </c>
      <c r="Z17" s="107">
        <v>0</v>
      </c>
      <c r="AA17" s="107">
        <v>0</v>
      </c>
      <c r="AB17" s="107"/>
      <c r="AC17" s="107">
        <v>0</v>
      </c>
      <c r="AD17" s="107"/>
      <c r="AE17" s="107"/>
      <c r="AF17" s="107"/>
      <c r="AG17" s="107"/>
      <c r="AH17" s="107"/>
      <c r="AI17" s="107"/>
      <c r="AJ17" s="107">
        <v>0</v>
      </c>
      <c r="AK17" s="107"/>
      <c r="AL17" s="107"/>
      <c r="AM17" s="107">
        <v>0</v>
      </c>
      <c r="AN17" s="107"/>
      <c r="AO17" s="107"/>
      <c r="AP17" s="107">
        <v>0</v>
      </c>
      <c r="AQ17" s="107"/>
      <c r="AR17" s="107">
        <v>0</v>
      </c>
      <c r="AS17" s="107">
        <v>0</v>
      </c>
      <c r="AT17" s="107">
        <v>0</v>
      </c>
      <c r="AU17" s="107"/>
      <c r="AV17" s="107"/>
      <c r="AW17" s="107"/>
      <c r="AX17" s="107"/>
      <c r="AY17" s="107">
        <v>0</v>
      </c>
      <c r="BB17" s="97">
        <v>0</v>
      </c>
    </row>
    <row r="18" spans="1:54" x14ac:dyDescent="0.15">
      <c r="A18" s="122"/>
      <c r="B18" s="113">
        <v>4</v>
      </c>
      <c r="C18" s="122" t="s">
        <v>292</v>
      </c>
      <c r="D18" s="122"/>
      <c r="E18" s="122"/>
      <c r="F18" s="122"/>
      <c r="G18" s="122"/>
      <c r="H18" s="122">
        <v>0</v>
      </c>
      <c r="I18" s="122"/>
      <c r="J18" s="122"/>
      <c r="K18" s="122"/>
      <c r="L18" s="122"/>
      <c r="M18" s="122"/>
      <c r="N18" s="122"/>
      <c r="O18" s="122"/>
      <c r="P18" s="122"/>
      <c r="Q18" s="122">
        <v>0</v>
      </c>
      <c r="R18" s="122"/>
      <c r="S18" s="122"/>
      <c r="T18" s="122"/>
      <c r="U18" s="122"/>
      <c r="V18" s="122"/>
      <c r="W18" s="122"/>
      <c r="X18" s="122"/>
      <c r="Y18" s="122"/>
      <c r="Z18" s="122"/>
      <c r="AA18" s="122"/>
      <c r="AB18" s="122"/>
      <c r="AC18" s="122"/>
      <c r="AD18" s="122"/>
      <c r="AE18" s="122"/>
      <c r="AF18" s="122"/>
      <c r="AG18" s="122">
        <v>0</v>
      </c>
      <c r="AH18" s="122"/>
      <c r="AI18" s="122"/>
      <c r="AJ18" s="122"/>
      <c r="AK18" s="122"/>
      <c r="AL18" s="122"/>
      <c r="AM18" s="122"/>
      <c r="AN18" s="122"/>
      <c r="AO18" s="122"/>
      <c r="AP18" s="122"/>
      <c r="AQ18" s="122"/>
      <c r="AR18" s="122"/>
      <c r="AS18" s="122"/>
      <c r="AT18" s="122"/>
      <c r="AU18" s="122"/>
      <c r="AV18" s="122"/>
      <c r="AW18" s="122"/>
      <c r="AX18" s="122"/>
      <c r="AY18" s="122">
        <v>0</v>
      </c>
      <c r="BA18" s="97">
        <v>0</v>
      </c>
    </row>
    <row r="20" spans="1:54" x14ac:dyDescent="0.15">
      <c r="A20" s="99" t="s">
        <v>293</v>
      </c>
    </row>
    <row r="21" spans="1:54" x14ac:dyDescent="0.15">
      <c r="A21" s="123" t="s">
        <v>125</v>
      </c>
      <c r="B21" s="120">
        <v>1</v>
      </c>
      <c r="C21" s="121" t="s">
        <v>292</v>
      </c>
      <c r="D21" s="121"/>
      <c r="E21" s="121"/>
      <c r="F21" s="121"/>
      <c r="G21" s="121"/>
      <c r="H21" s="121"/>
      <c r="I21" s="121"/>
      <c r="J21" s="121"/>
      <c r="K21" s="121"/>
      <c r="L21" s="121"/>
      <c r="M21" s="121"/>
      <c r="N21" s="121"/>
      <c r="O21" s="121"/>
      <c r="P21" s="121"/>
      <c r="Q21" s="121"/>
      <c r="R21" s="121"/>
      <c r="S21" s="121"/>
      <c r="T21" s="121"/>
      <c r="U21" s="121"/>
      <c r="V21" s="121"/>
      <c r="W21" s="121"/>
      <c r="X21" s="121"/>
      <c r="Y21" s="121"/>
      <c r="Z21" s="121"/>
      <c r="AA21" s="121"/>
      <c r="AB21" s="121"/>
      <c r="AC21" s="121"/>
      <c r="AD21" s="121"/>
      <c r="AE21" s="121"/>
      <c r="AF21" s="121"/>
      <c r="AG21" s="121"/>
      <c r="AH21" s="121"/>
      <c r="AI21" s="121"/>
      <c r="AJ21" s="121"/>
      <c r="AK21" s="121"/>
      <c r="AL21" s="121"/>
      <c r="AM21" s="121"/>
      <c r="AN21" s="121"/>
      <c r="AO21" s="121"/>
      <c r="AP21" s="121"/>
      <c r="AQ21" s="121"/>
      <c r="AR21" s="121"/>
      <c r="AS21" s="121"/>
      <c r="AT21" s="121"/>
      <c r="AU21" s="121"/>
      <c r="AV21" s="121"/>
      <c r="AW21" s="121"/>
      <c r="AX21" s="121"/>
      <c r="AY21" s="121"/>
    </row>
    <row r="22" spans="1:54" x14ac:dyDescent="0.15">
      <c r="A22" s="106"/>
      <c r="B22" s="117">
        <v>2</v>
      </c>
      <c r="C22" s="107" t="s">
        <v>292</v>
      </c>
      <c r="D22" s="107"/>
      <c r="E22" s="107"/>
      <c r="F22" s="107"/>
      <c r="G22" s="107"/>
      <c r="H22" s="107"/>
      <c r="I22" s="107"/>
      <c r="J22" s="107"/>
      <c r="K22" s="107"/>
      <c r="L22" s="107"/>
      <c r="M22" s="107"/>
      <c r="N22" s="107"/>
      <c r="O22" s="107"/>
      <c r="P22" s="107"/>
      <c r="Q22" s="107"/>
      <c r="R22" s="107"/>
      <c r="S22" s="107"/>
      <c r="T22" s="107"/>
      <c r="U22" s="107"/>
      <c r="V22" s="107"/>
      <c r="W22" s="107"/>
      <c r="X22" s="107"/>
      <c r="Y22" s="107"/>
      <c r="Z22" s="107"/>
      <c r="AA22" s="107"/>
      <c r="AB22" s="107"/>
      <c r="AC22" s="107"/>
      <c r="AD22" s="107"/>
      <c r="AE22" s="107"/>
      <c r="AF22" s="107"/>
      <c r="AG22" s="107"/>
      <c r="AH22" s="107"/>
      <c r="AI22" s="107"/>
      <c r="AJ22" s="107"/>
      <c r="AK22" s="107"/>
      <c r="AL22" s="107"/>
      <c r="AM22" s="107"/>
      <c r="AN22" s="107"/>
      <c r="AO22" s="107"/>
      <c r="AP22" s="107"/>
      <c r="AQ22" s="107"/>
      <c r="AR22" s="107"/>
      <c r="AS22" s="107"/>
      <c r="AT22" s="107"/>
      <c r="AU22" s="107"/>
      <c r="AV22" s="107"/>
      <c r="AW22" s="107"/>
      <c r="AX22" s="107"/>
      <c r="AY22" s="107"/>
    </row>
    <row r="23" spans="1:54" x14ac:dyDescent="0.15">
      <c r="A23" s="106"/>
      <c r="B23" s="124">
        <v>3</v>
      </c>
      <c r="C23" s="107" t="s">
        <v>292</v>
      </c>
      <c r="D23" s="107"/>
      <c r="E23" s="107"/>
      <c r="F23" s="107"/>
      <c r="G23" s="107"/>
      <c r="H23" s="107"/>
      <c r="I23" s="107"/>
      <c r="J23" s="107"/>
      <c r="K23" s="107"/>
      <c r="L23" s="107"/>
      <c r="M23" s="107"/>
      <c r="N23" s="107"/>
      <c r="O23" s="107"/>
      <c r="P23" s="107"/>
      <c r="Q23" s="107"/>
      <c r="R23" s="107"/>
      <c r="S23" s="107"/>
      <c r="T23" s="107"/>
      <c r="U23" s="107"/>
      <c r="V23" s="107"/>
      <c r="W23" s="107"/>
      <c r="X23" s="107"/>
      <c r="Y23" s="107"/>
      <c r="Z23" s="107"/>
      <c r="AA23" s="107"/>
      <c r="AB23" s="107"/>
      <c r="AC23" s="107"/>
      <c r="AD23" s="107"/>
      <c r="AE23" s="107"/>
      <c r="AF23" s="107"/>
      <c r="AG23" s="107"/>
      <c r="AH23" s="107"/>
      <c r="AI23" s="107"/>
      <c r="AJ23" s="107"/>
      <c r="AK23" s="107"/>
      <c r="AL23" s="107"/>
      <c r="AM23" s="107"/>
      <c r="AN23" s="107"/>
      <c r="AO23" s="107"/>
      <c r="AP23" s="107"/>
      <c r="AQ23" s="107"/>
      <c r="AR23" s="107"/>
      <c r="AS23" s="107"/>
      <c r="AT23" s="107"/>
      <c r="AU23" s="107"/>
      <c r="AV23" s="107"/>
      <c r="AW23" s="107"/>
      <c r="AX23" s="107"/>
      <c r="AY23" s="107"/>
    </row>
    <row r="24" spans="1:54" x14ac:dyDescent="0.15">
      <c r="A24" s="125"/>
      <c r="B24" s="126">
        <v>4</v>
      </c>
      <c r="C24" s="125" t="s">
        <v>292</v>
      </c>
      <c r="D24" s="122">
        <v>0</v>
      </c>
      <c r="E24" s="122">
        <v>0</v>
      </c>
      <c r="F24" s="122">
        <v>0</v>
      </c>
      <c r="G24" s="122">
        <v>0</v>
      </c>
      <c r="H24" s="122">
        <v>0</v>
      </c>
      <c r="I24" s="122">
        <v>0</v>
      </c>
      <c r="J24" s="122">
        <v>0</v>
      </c>
      <c r="K24" s="122">
        <v>0</v>
      </c>
      <c r="L24" s="122">
        <v>0</v>
      </c>
      <c r="M24" s="122">
        <v>0</v>
      </c>
      <c r="N24" s="122">
        <v>0</v>
      </c>
      <c r="O24" s="122">
        <v>0</v>
      </c>
      <c r="P24" s="122">
        <v>0</v>
      </c>
      <c r="Q24" s="122">
        <v>0</v>
      </c>
      <c r="R24" s="122">
        <v>0</v>
      </c>
      <c r="S24" s="122">
        <v>0</v>
      </c>
      <c r="T24" s="122">
        <v>0</v>
      </c>
      <c r="U24" s="122">
        <v>0</v>
      </c>
      <c r="V24" s="122">
        <v>0</v>
      </c>
      <c r="W24" s="122">
        <v>0</v>
      </c>
      <c r="X24" s="122">
        <v>0</v>
      </c>
      <c r="Y24" s="122">
        <v>0</v>
      </c>
      <c r="Z24" s="122">
        <v>0</v>
      </c>
      <c r="AA24" s="122">
        <v>0</v>
      </c>
      <c r="AB24" s="122">
        <v>0</v>
      </c>
      <c r="AC24" s="122">
        <v>0</v>
      </c>
      <c r="AD24" s="122">
        <v>0</v>
      </c>
      <c r="AE24" s="122">
        <v>0</v>
      </c>
      <c r="AF24" s="122">
        <v>0</v>
      </c>
      <c r="AG24" s="122">
        <v>0</v>
      </c>
      <c r="AH24" s="122">
        <v>0</v>
      </c>
      <c r="AI24" s="122">
        <v>399.87689171316742</v>
      </c>
      <c r="AJ24" s="122">
        <v>2522.2311190622845</v>
      </c>
      <c r="AK24" s="122">
        <v>1612.7512245921162</v>
      </c>
      <c r="AL24" s="122">
        <v>811.84070141985001</v>
      </c>
      <c r="AM24" s="122">
        <v>1658.8854950581963</v>
      </c>
      <c r="AN24" s="122">
        <v>1078.5554810787487</v>
      </c>
      <c r="AO24" s="122">
        <v>0</v>
      </c>
      <c r="AP24" s="122">
        <v>772.62708927953304</v>
      </c>
      <c r="AQ24" s="122">
        <v>683.46948680994547</v>
      </c>
      <c r="AR24" s="122">
        <v>0</v>
      </c>
      <c r="AS24" s="122">
        <v>0</v>
      </c>
      <c r="AT24" s="122">
        <v>0</v>
      </c>
      <c r="AU24" s="122">
        <v>332.65373791875419</v>
      </c>
      <c r="AV24" s="122">
        <v>445.22893758551373</v>
      </c>
      <c r="AW24" s="122">
        <v>1049.7248808973852</v>
      </c>
      <c r="AX24" s="122">
        <v>0</v>
      </c>
      <c r="AY24" s="122">
        <v>0</v>
      </c>
    </row>
    <row r="25" spans="1:54" x14ac:dyDescent="0.15">
      <c r="A25" s="123" t="s">
        <v>133</v>
      </c>
      <c r="B25" s="120">
        <v>1</v>
      </c>
      <c r="C25" s="106" t="s">
        <v>292</v>
      </c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7"/>
      <c r="S25" s="107"/>
      <c r="T25" s="107"/>
      <c r="U25" s="107"/>
      <c r="V25" s="107"/>
      <c r="W25" s="107"/>
      <c r="X25" s="107"/>
      <c r="Y25" s="107"/>
      <c r="Z25" s="107"/>
      <c r="AA25" s="107"/>
      <c r="AB25" s="107"/>
      <c r="AC25" s="107"/>
      <c r="AD25" s="107"/>
      <c r="AE25" s="107"/>
      <c r="AF25" s="107"/>
      <c r="AG25" s="107"/>
      <c r="AH25" s="107"/>
      <c r="AI25" s="107"/>
      <c r="AJ25" s="107"/>
      <c r="AK25" s="107"/>
      <c r="AL25" s="107"/>
      <c r="AM25" s="107"/>
      <c r="AN25" s="107"/>
      <c r="AO25" s="107"/>
      <c r="AP25" s="107"/>
      <c r="AQ25" s="107"/>
      <c r="AR25" s="107"/>
      <c r="AS25" s="107"/>
      <c r="AT25" s="107"/>
      <c r="AU25" s="107"/>
      <c r="AV25" s="107"/>
      <c r="AW25" s="107"/>
      <c r="AX25" s="107"/>
      <c r="AY25" s="107"/>
    </row>
    <row r="26" spans="1:54" x14ac:dyDescent="0.15">
      <c r="A26" s="106"/>
      <c r="B26" s="116">
        <v>2</v>
      </c>
      <c r="C26" s="106" t="s">
        <v>292</v>
      </c>
      <c r="D26" s="107"/>
      <c r="E26" s="107"/>
      <c r="F26" s="107"/>
      <c r="G26" s="107"/>
      <c r="H26" s="107"/>
      <c r="I26" s="107"/>
      <c r="J26" s="107"/>
      <c r="K26" s="107"/>
      <c r="L26" s="107"/>
      <c r="M26" s="107"/>
      <c r="N26" s="107"/>
      <c r="O26" s="107"/>
      <c r="P26" s="107"/>
      <c r="Q26" s="107"/>
      <c r="R26" s="107"/>
      <c r="S26" s="107"/>
      <c r="T26" s="107"/>
      <c r="U26" s="107"/>
      <c r="V26" s="107"/>
      <c r="W26" s="107"/>
      <c r="X26" s="107"/>
      <c r="Y26" s="107"/>
      <c r="Z26" s="107"/>
      <c r="AA26" s="107"/>
      <c r="AB26" s="107"/>
      <c r="AC26" s="107"/>
      <c r="AD26" s="107"/>
      <c r="AE26" s="107"/>
      <c r="AF26" s="107"/>
      <c r="AG26" s="107"/>
      <c r="AH26" s="107"/>
      <c r="AI26" s="107"/>
      <c r="AJ26" s="107"/>
      <c r="AK26" s="107"/>
      <c r="AL26" s="107"/>
      <c r="AM26" s="107"/>
      <c r="AN26" s="107"/>
      <c r="AO26" s="107"/>
      <c r="AP26" s="107"/>
      <c r="AQ26" s="107"/>
      <c r="AR26" s="107"/>
      <c r="AS26" s="107"/>
      <c r="AT26" s="107"/>
      <c r="AU26" s="107"/>
      <c r="AV26" s="107"/>
      <c r="AW26" s="107"/>
      <c r="AX26" s="107"/>
      <c r="AY26" s="107"/>
    </row>
    <row r="27" spans="1:54" x14ac:dyDescent="0.15">
      <c r="A27" s="106"/>
      <c r="B27" s="117">
        <v>3</v>
      </c>
      <c r="C27" s="106" t="s">
        <v>292</v>
      </c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107"/>
      <c r="AC27" s="107"/>
      <c r="AD27" s="107"/>
      <c r="AE27" s="107"/>
      <c r="AF27" s="107"/>
      <c r="AG27" s="107"/>
      <c r="AH27" s="107"/>
      <c r="AI27" s="107"/>
      <c r="AJ27" s="107"/>
      <c r="AK27" s="107"/>
      <c r="AL27" s="107"/>
      <c r="AM27" s="107"/>
      <c r="AN27" s="107"/>
      <c r="AO27" s="107"/>
      <c r="AP27" s="107"/>
      <c r="AQ27" s="107"/>
      <c r="AR27" s="107"/>
      <c r="AS27" s="107"/>
      <c r="AT27" s="107"/>
      <c r="AU27" s="107"/>
      <c r="AV27" s="107"/>
      <c r="AW27" s="107"/>
      <c r="AX27" s="107"/>
      <c r="AY27" s="107"/>
    </row>
    <row r="28" spans="1:54" x14ac:dyDescent="0.15">
      <c r="A28" s="106"/>
      <c r="B28" s="117">
        <v>4</v>
      </c>
      <c r="C28" s="106" t="s">
        <v>292</v>
      </c>
      <c r="D28" s="107"/>
      <c r="E28" s="107"/>
      <c r="F28" s="107"/>
      <c r="G28" s="107"/>
      <c r="H28" s="107"/>
      <c r="I28" s="107"/>
      <c r="J28" s="107"/>
      <c r="K28" s="107"/>
      <c r="L28" s="107"/>
      <c r="M28" s="107"/>
      <c r="N28" s="107"/>
      <c r="O28" s="107"/>
      <c r="P28" s="107"/>
      <c r="Q28" s="107"/>
      <c r="R28" s="107"/>
      <c r="S28" s="107"/>
      <c r="T28" s="107"/>
      <c r="U28" s="107"/>
      <c r="V28" s="107"/>
      <c r="W28" s="107"/>
      <c r="X28" s="107"/>
      <c r="Y28" s="107"/>
      <c r="Z28" s="107"/>
      <c r="AA28" s="107"/>
      <c r="AB28" s="107"/>
      <c r="AC28" s="107"/>
      <c r="AD28" s="107"/>
      <c r="AE28" s="107"/>
      <c r="AF28" s="107"/>
      <c r="AG28" s="107"/>
      <c r="AH28" s="107"/>
      <c r="AI28" s="107"/>
      <c r="AJ28" s="107"/>
      <c r="AK28" s="107"/>
      <c r="AL28" s="107"/>
      <c r="AM28" s="107"/>
      <c r="AN28" s="107"/>
      <c r="AO28" s="107"/>
      <c r="AP28" s="107"/>
      <c r="AQ28" s="107"/>
      <c r="AR28" s="107"/>
      <c r="AS28" s="107"/>
      <c r="AT28" s="107"/>
      <c r="AU28" s="107"/>
      <c r="AV28" s="107"/>
      <c r="AW28" s="107"/>
      <c r="AX28" s="107"/>
      <c r="AY28" s="107"/>
    </row>
    <row r="29" spans="1:54" x14ac:dyDescent="0.15">
      <c r="A29" s="106"/>
      <c r="B29" s="124">
        <v>5</v>
      </c>
      <c r="C29" s="106" t="s">
        <v>292</v>
      </c>
      <c r="D29" s="107"/>
      <c r="E29" s="107"/>
      <c r="F29" s="107"/>
      <c r="G29" s="107"/>
      <c r="H29" s="107"/>
      <c r="I29" s="107"/>
      <c r="J29" s="107"/>
      <c r="K29" s="107"/>
      <c r="L29" s="107"/>
      <c r="M29" s="107"/>
      <c r="N29" s="107"/>
      <c r="O29" s="107"/>
      <c r="P29" s="107"/>
      <c r="Q29" s="107"/>
      <c r="R29" s="107"/>
      <c r="S29" s="107"/>
      <c r="T29" s="107"/>
      <c r="U29" s="107"/>
      <c r="V29" s="107"/>
      <c r="W29" s="107"/>
      <c r="X29" s="107"/>
      <c r="Y29" s="107"/>
      <c r="Z29" s="107"/>
      <c r="AA29" s="107"/>
      <c r="AB29" s="107"/>
      <c r="AC29" s="107"/>
      <c r="AD29" s="107"/>
      <c r="AE29" s="107"/>
      <c r="AF29" s="107"/>
      <c r="AG29" s="107"/>
      <c r="AH29" s="107"/>
      <c r="AI29" s="107"/>
      <c r="AJ29" s="107"/>
      <c r="AK29" s="107"/>
      <c r="AL29" s="107"/>
      <c r="AM29" s="107"/>
      <c r="AN29" s="107"/>
      <c r="AO29" s="107"/>
      <c r="AP29" s="107"/>
      <c r="AQ29" s="107"/>
      <c r="AR29" s="107"/>
      <c r="AS29" s="107"/>
      <c r="AT29" s="107"/>
      <c r="AU29" s="107"/>
      <c r="AV29" s="107"/>
      <c r="AW29" s="107"/>
      <c r="AX29" s="107"/>
      <c r="AY29" s="107"/>
    </row>
    <row r="30" spans="1:54" x14ac:dyDescent="0.15">
      <c r="A30" s="106"/>
      <c r="B30" s="124">
        <v>6</v>
      </c>
      <c r="C30" s="106" t="s">
        <v>292</v>
      </c>
      <c r="D30" s="107"/>
      <c r="E30" s="107"/>
      <c r="F30" s="107"/>
      <c r="G30" s="107"/>
      <c r="H30" s="107"/>
      <c r="I30" s="107"/>
      <c r="J30" s="107"/>
      <c r="K30" s="107"/>
      <c r="L30" s="107"/>
      <c r="M30" s="107"/>
      <c r="N30" s="107"/>
      <c r="O30" s="107"/>
      <c r="P30" s="107"/>
      <c r="Q30" s="107"/>
      <c r="R30" s="107"/>
      <c r="S30" s="107"/>
      <c r="T30" s="107"/>
      <c r="U30" s="107"/>
      <c r="V30" s="107"/>
      <c r="W30" s="107"/>
      <c r="X30" s="107"/>
      <c r="Y30" s="107"/>
      <c r="Z30" s="107"/>
      <c r="AA30" s="107"/>
      <c r="AB30" s="107"/>
      <c r="AC30" s="107"/>
      <c r="AD30" s="107"/>
      <c r="AE30" s="107"/>
      <c r="AF30" s="107"/>
      <c r="AG30" s="107"/>
      <c r="AH30" s="107"/>
      <c r="AI30" s="107"/>
      <c r="AJ30" s="107"/>
      <c r="AK30" s="107"/>
      <c r="AL30" s="107"/>
      <c r="AM30" s="107"/>
      <c r="AN30" s="107"/>
      <c r="AO30" s="107"/>
      <c r="AP30" s="107"/>
      <c r="AQ30" s="107"/>
      <c r="AR30" s="107"/>
      <c r="AS30" s="107"/>
      <c r="AT30" s="107"/>
      <c r="AU30" s="107"/>
      <c r="AV30" s="107"/>
      <c r="AW30" s="107"/>
      <c r="AX30" s="107"/>
      <c r="AY30" s="107"/>
    </row>
    <row r="31" spans="1:54" x14ac:dyDescent="0.15">
      <c r="A31" s="106"/>
      <c r="B31" s="127">
        <v>7</v>
      </c>
      <c r="C31" s="106" t="s">
        <v>292</v>
      </c>
      <c r="D31" s="107"/>
      <c r="E31" s="107"/>
      <c r="F31" s="107"/>
      <c r="G31" s="107"/>
      <c r="H31" s="107"/>
      <c r="I31" s="107"/>
      <c r="J31" s="107"/>
      <c r="K31" s="107"/>
      <c r="L31" s="107"/>
      <c r="M31" s="107"/>
      <c r="N31" s="107"/>
      <c r="O31" s="107"/>
      <c r="P31" s="107"/>
      <c r="Q31" s="107"/>
      <c r="R31" s="107"/>
      <c r="S31" s="107"/>
      <c r="T31" s="107"/>
      <c r="U31" s="107"/>
      <c r="V31" s="107"/>
      <c r="W31" s="107"/>
      <c r="X31" s="107"/>
      <c r="Y31" s="107"/>
      <c r="Z31" s="107"/>
      <c r="AA31" s="107"/>
      <c r="AB31" s="107"/>
      <c r="AC31" s="107"/>
      <c r="AD31" s="107"/>
      <c r="AE31" s="107"/>
      <c r="AF31" s="107"/>
      <c r="AG31" s="107"/>
      <c r="AH31" s="107"/>
      <c r="AI31" s="107"/>
      <c r="AJ31" s="107"/>
      <c r="AK31" s="107"/>
      <c r="AL31" s="107"/>
      <c r="AM31" s="107"/>
      <c r="AN31" s="107"/>
      <c r="AO31" s="107"/>
      <c r="AP31" s="107"/>
      <c r="AQ31" s="107"/>
      <c r="AR31" s="107"/>
      <c r="AS31" s="107"/>
      <c r="AT31" s="107"/>
      <c r="AU31" s="107"/>
      <c r="AV31" s="107"/>
      <c r="AW31" s="107"/>
      <c r="AX31" s="107"/>
      <c r="AY31" s="107"/>
    </row>
    <row r="32" spans="1:54" x14ac:dyDescent="0.15">
      <c r="A32" s="125"/>
      <c r="B32" s="126">
        <v>8</v>
      </c>
      <c r="C32" s="125" t="s">
        <v>292</v>
      </c>
      <c r="D32" s="122">
        <v>0</v>
      </c>
      <c r="E32" s="122">
        <v>0</v>
      </c>
      <c r="F32" s="122">
        <v>0</v>
      </c>
      <c r="G32" s="122">
        <v>0</v>
      </c>
      <c r="H32" s="122">
        <v>0</v>
      </c>
      <c r="I32" s="122">
        <v>0</v>
      </c>
      <c r="J32" s="122">
        <v>0</v>
      </c>
      <c r="K32" s="122">
        <v>0</v>
      </c>
      <c r="L32" s="122">
        <v>0</v>
      </c>
      <c r="M32" s="122">
        <v>0</v>
      </c>
      <c r="N32" s="122">
        <v>0</v>
      </c>
      <c r="O32" s="122">
        <v>0</v>
      </c>
      <c r="P32" s="122">
        <v>0</v>
      </c>
      <c r="Q32" s="122">
        <v>0</v>
      </c>
      <c r="R32" s="122">
        <v>0</v>
      </c>
      <c r="S32" s="122">
        <v>0</v>
      </c>
      <c r="T32" s="122">
        <v>0</v>
      </c>
      <c r="U32" s="122">
        <v>0</v>
      </c>
      <c r="V32" s="122">
        <v>0</v>
      </c>
      <c r="W32" s="122">
        <v>0</v>
      </c>
      <c r="X32" s="122">
        <v>0</v>
      </c>
      <c r="Y32" s="122">
        <v>0</v>
      </c>
      <c r="Z32" s="122">
        <v>0</v>
      </c>
      <c r="AA32" s="122">
        <v>0</v>
      </c>
      <c r="AB32" s="122">
        <v>0</v>
      </c>
      <c r="AC32" s="122">
        <v>0</v>
      </c>
      <c r="AD32" s="122">
        <v>0</v>
      </c>
      <c r="AE32" s="122">
        <v>0</v>
      </c>
      <c r="AF32" s="122">
        <v>0</v>
      </c>
      <c r="AG32" s="122">
        <v>0</v>
      </c>
      <c r="AH32" s="122">
        <v>0</v>
      </c>
      <c r="AI32" s="122">
        <v>0</v>
      </c>
      <c r="AJ32" s="122">
        <v>257.21972575297826</v>
      </c>
      <c r="AK32" s="122">
        <v>320.15709404977036</v>
      </c>
      <c r="AL32" s="122">
        <v>161.1646071746755</v>
      </c>
      <c r="AM32" s="122">
        <v>300.87889709795036</v>
      </c>
      <c r="AN32" s="122">
        <v>209.72647543862163</v>
      </c>
      <c r="AO32" s="122">
        <v>0</v>
      </c>
      <c r="AP32" s="122">
        <v>153.38477383958136</v>
      </c>
      <c r="AQ32" s="122">
        <v>135.68601122329849</v>
      </c>
      <c r="AR32" s="122">
        <v>0</v>
      </c>
      <c r="AS32" s="122">
        <v>0</v>
      </c>
      <c r="AT32" s="122">
        <v>0</v>
      </c>
      <c r="AU32" s="122">
        <v>59.256829368237653</v>
      </c>
      <c r="AV32" s="122">
        <v>10.988641135238758</v>
      </c>
      <c r="AW32" s="122">
        <v>198.9088570151838</v>
      </c>
      <c r="AX32" s="122">
        <v>0</v>
      </c>
      <c r="AY32" s="122">
        <v>0</v>
      </c>
    </row>
    <row r="33" spans="1:51" x14ac:dyDescent="0.15">
      <c r="A33" s="128" t="s">
        <v>134</v>
      </c>
      <c r="B33" s="116">
        <v>1</v>
      </c>
      <c r="C33" s="106" t="s">
        <v>292</v>
      </c>
      <c r="D33" s="103"/>
      <c r="E33" s="103"/>
      <c r="F33" s="103"/>
      <c r="G33" s="103"/>
      <c r="H33" s="103"/>
      <c r="I33" s="103"/>
      <c r="J33" s="103"/>
      <c r="K33" s="103"/>
      <c r="L33" s="103"/>
      <c r="M33" s="103"/>
      <c r="N33" s="103"/>
      <c r="O33" s="103"/>
      <c r="P33" s="103"/>
      <c r="Q33" s="103"/>
      <c r="R33" s="103"/>
      <c r="S33" s="103"/>
      <c r="T33" s="103"/>
      <c r="U33" s="103"/>
      <c r="V33" s="103"/>
      <c r="W33" s="103"/>
      <c r="X33" s="103"/>
      <c r="Y33" s="103"/>
      <c r="Z33" s="103"/>
      <c r="AA33" s="103"/>
      <c r="AB33" s="103"/>
      <c r="AC33" s="103"/>
      <c r="AD33" s="103"/>
      <c r="AE33" s="103"/>
      <c r="AF33" s="103"/>
      <c r="AG33" s="103"/>
      <c r="AH33" s="103"/>
      <c r="AI33" s="103"/>
      <c r="AJ33" s="103"/>
      <c r="AK33" s="103"/>
      <c r="AL33" s="103"/>
      <c r="AM33" s="103"/>
      <c r="AN33" s="103"/>
      <c r="AO33" s="103"/>
      <c r="AP33" s="103"/>
      <c r="AQ33" s="103"/>
      <c r="AR33" s="103"/>
      <c r="AS33" s="103"/>
      <c r="AT33" s="103"/>
      <c r="AU33" s="103"/>
      <c r="AV33" s="103"/>
      <c r="AW33" s="103"/>
      <c r="AX33" s="103"/>
      <c r="AY33" s="103"/>
    </row>
    <row r="34" spans="1:51" x14ac:dyDescent="0.15">
      <c r="A34" s="106"/>
      <c r="B34" s="116">
        <v>2</v>
      </c>
      <c r="C34" s="106" t="s">
        <v>292</v>
      </c>
      <c r="D34" s="103"/>
      <c r="E34" s="103"/>
      <c r="F34" s="103"/>
      <c r="G34" s="103"/>
      <c r="H34" s="103"/>
      <c r="I34" s="103"/>
      <c r="J34" s="103"/>
      <c r="K34" s="103"/>
      <c r="L34" s="103"/>
      <c r="M34" s="103"/>
      <c r="N34" s="103"/>
      <c r="O34" s="103"/>
      <c r="P34" s="103"/>
      <c r="Q34" s="103"/>
      <c r="R34" s="103"/>
      <c r="S34" s="103"/>
      <c r="T34" s="103"/>
      <c r="U34" s="103"/>
      <c r="V34" s="103"/>
      <c r="W34" s="103"/>
      <c r="X34" s="103"/>
      <c r="Y34" s="103"/>
      <c r="Z34" s="103"/>
      <c r="AA34" s="103"/>
      <c r="AB34" s="103"/>
      <c r="AC34" s="103"/>
      <c r="AD34" s="103"/>
      <c r="AE34" s="103"/>
      <c r="AF34" s="103"/>
      <c r="AG34" s="103"/>
      <c r="AH34" s="103"/>
      <c r="AI34" s="103"/>
      <c r="AJ34" s="103"/>
      <c r="AK34" s="103"/>
      <c r="AL34" s="103"/>
      <c r="AM34" s="103"/>
      <c r="AN34" s="103"/>
      <c r="AO34" s="103"/>
      <c r="AP34" s="103"/>
      <c r="AQ34" s="103"/>
      <c r="AR34" s="103"/>
      <c r="AS34" s="103"/>
      <c r="AT34" s="103"/>
      <c r="AU34" s="103"/>
      <c r="AV34" s="103"/>
      <c r="AW34" s="103"/>
      <c r="AX34" s="103"/>
      <c r="AY34" s="103"/>
    </row>
    <row r="35" spans="1:51" x14ac:dyDescent="0.15">
      <c r="A35" s="106"/>
      <c r="B35" s="116">
        <v>3</v>
      </c>
      <c r="C35" s="106" t="s">
        <v>292</v>
      </c>
      <c r="D35" s="103"/>
      <c r="E35" s="103"/>
      <c r="F35" s="103"/>
      <c r="G35" s="103"/>
      <c r="H35" s="103"/>
      <c r="I35" s="103"/>
      <c r="J35" s="103"/>
      <c r="K35" s="103"/>
      <c r="L35" s="103"/>
      <c r="M35" s="103"/>
      <c r="N35" s="103"/>
      <c r="O35" s="103"/>
      <c r="P35" s="103"/>
      <c r="Q35" s="103"/>
      <c r="R35" s="103"/>
      <c r="S35" s="103"/>
      <c r="T35" s="103"/>
      <c r="U35" s="103"/>
      <c r="V35" s="103"/>
      <c r="W35" s="103"/>
      <c r="X35" s="103"/>
      <c r="Y35" s="103"/>
      <c r="Z35" s="103"/>
      <c r="AA35" s="103"/>
      <c r="AB35" s="103"/>
      <c r="AC35" s="103"/>
      <c r="AD35" s="103"/>
      <c r="AE35" s="103"/>
      <c r="AF35" s="103"/>
      <c r="AG35" s="103"/>
      <c r="AH35" s="103"/>
      <c r="AI35" s="103"/>
      <c r="AJ35" s="103"/>
      <c r="AK35" s="103"/>
      <c r="AL35" s="103"/>
      <c r="AM35" s="103"/>
      <c r="AN35" s="103"/>
      <c r="AO35" s="103"/>
      <c r="AP35" s="103"/>
      <c r="AQ35" s="103"/>
      <c r="AR35" s="103"/>
      <c r="AS35" s="103"/>
      <c r="AT35" s="103"/>
      <c r="AU35" s="103"/>
      <c r="AV35" s="103"/>
      <c r="AW35" s="103"/>
      <c r="AX35" s="103"/>
      <c r="AY35" s="103"/>
    </row>
    <row r="36" spans="1:51" x14ac:dyDescent="0.15">
      <c r="A36" s="106"/>
      <c r="B36" s="117">
        <v>4</v>
      </c>
      <c r="C36" s="106" t="s">
        <v>292</v>
      </c>
      <c r="D36" s="103"/>
      <c r="E36" s="103"/>
      <c r="F36" s="103"/>
      <c r="G36" s="103"/>
      <c r="H36" s="103"/>
      <c r="I36" s="103"/>
      <c r="J36" s="103"/>
      <c r="K36" s="103"/>
      <c r="L36" s="103"/>
      <c r="M36" s="103"/>
      <c r="N36" s="103"/>
      <c r="O36" s="103"/>
      <c r="P36" s="103"/>
      <c r="Q36" s="103"/>
      <c r="R36" s="103"/>
      <c r="S36" s="103"/>
      <c r="T36" s="103"/>
      <c r="U36" s="103"/>
      <c r="V36" s="103"/>
      <c r="W36" s="103"/>
      <c r="X36" s="103"/>
      <c r="Y36" s="103"/>
      <c r="Z36" s="103"/>
      <c r="AA36" s="103"/>
      <c r="AB36" s="103"/>
      <c r="AC36" s="103"/>
      <c r="AD36" s="103"/>
      <c r="AE36" s="103"/>
      <c r="AF36" s="103"/>
      <c r="AG36" s="103"/>
      <c r="AH36" s="103"/>
      <c r="AI36" s="103"/>
      <c r="AJ36" s="103"/>
      <c r="AK36" s="103"/>
      <c r="AL36" s="103"/>
      <c r="AM36" s="103"/>
      <c r="AN36" s="103"/>
      <c r="AO36" s="103"/>
      <c r="AP36" s="103"/>
      <c r="AQ36" s="103"/>
      <c r="AR36" s="103"/>
      <c r="AS36" s="103"/>
      <c r="AT36" s="103"/>
      <c r="AU36" s="103"/>
      <c r="AV36" s="103"/>
      <c r="AW36" s="103"/>
      <c r="AX36" s="103"/>
      <c r="AY36" s="103"/>
    </row>
    <row r="37" spans="1:51" x14ac:dyDescent="0.15">
      <c r="A37" s="106"/>
      <c r="B37" s="117">
        <v>5</v>
      </c>
      <c r="C37" s="106" t="s">
        <v>292</v>
      </c>
      <c r="D37" s="103"/>
      <c r="E37" s="103"/>
      <c r="F37" s="103"/>
      <c r="G37" s="103"/>
      <c r="H37" s="103"/>
      <c r="I37" s="103"/>
      <c r="J37" s="103"/>
      <c r="K37" s="103"/>
      <c r="L37" s="103"/>
      <c r="M37" s="103"/>
      <c r="N37" s="103"/>
      <c r="O37" s="103"/>
      <c r="P37" s="103"/>
      <c r="Q37" s="103"/>
      <c r="R37" s="103"/>
      <c r="S37" s="103"/>
      <c r="T37" s="103"/>
      <c r="U37" s="103"/>
      <c r="V37" s="103"/>
      <c r="W37" s="103"/>
      <c r="X37" s="103"/>
      <c r="Y37" s="103"/>
      <c r="Z37" s="103"/>
      <c r="AA37" s="103"/>
      <c r="AB37" s="103"/>
      <c r="AC37" s="103"/>
      <c r="AD37" s="103"/>
      <c r="AE37" s="103"/>
      <c r="AF37" s="103"/>
      <c r="AG37" s="103"/>
      <c r="AH37" s="103"/>
      <c r="AI37" s="103"/>
      <c r="AJ37" s="103"/>
      <c r="AK37" s="103"/>
      <c r="AL37" s="103"/>
      <c r="AM37" s="103"/>
      <c r="AN37" s="103"/>
      <c r="AO37" s="103"/>
      <c r="AP37" s="103"/>
      <c r="AQ37" s="103"/>
      <c r="AR37" s="103"/>
      <c r="AS37" s="103"/>
      <c r="AT37" s="103"/>
      <c r="AU37" s="103"/>
      <c r="AV37" s="103"/>
      <c r="AW37" s="103"/>
      <c r="AX37" s="103"/>
      <c r="AY37" s="103"/>
    </row>
    <row r="38" spans="1:51" x14ac:dyDescent="0.15">
      <c r="A38" s="106"/>
      <c r="B38" s="117">
        <v>6</v>
      </c>
      <c r="C38" s="106" t="s">
        <v>292</v>
      </c>
      <c r="D38" s="103"/>
      <c r="E38" s="103"/>
      <c r="F38" s="103"/>
      <c r="G38" s="103"/>
      <c r="H38" s="103"/>
      <c r="I38" s="103"/>
      <c r="J38" s="103"/>
      <c r="K38" s="103"/>
      <c r="L38" s="103"/>
      <c r="M38" s="103"/>
      <c r="N38" s="103"/>
      <c r="O38" s="103"/>
      <c r="P38" s="103"/>
      <c r="Q38" s="103"/>
      <c r="R38" s="103"/>
      <c r="S38" s="103"/>
      <c r="T38" s="103"/>
      <c r="U38" s="103"/>
      <c r="V38" s="103"/>
      <c r="W38" s="103"/>
      <c r="X38" s="103"/>
      <c r="Y38" s="103"/>
      <c r="Z38" s="103"/>
      <c r="AA38" s="103"/>
      <c r="AB38" s="103"/>
      <c r="AC38" s="103"/>
      <c r="AD38" s="103"/>
      <c r="AE38" s="103"/>
      <c r="AF38" s="103"/>
      <c r="AG38" s="103"/>
      <c r="AH38" s="103"/>
      <c r="AI38" s="103"/>
      <c r="AJ38" s="103"/>
      <c r="AK38" s="103"/>
      <c r="AL38" s="103"/>
      <c r="AM38" s="103"/>
      <c r="AN38" s="103"/>
      <c r="AO38" s="103"/>
      <c r="AP38" s="103"/>
      <c r="AQ38" s="103"/>
      <c r="AR38" s="103"/>
      <c r="AS38" s="103"/>
      <c r="AT38" s="103"/>
      <c r="AU38" s="103"/>
      <c r="AV38" s="103"/>
      <c r="AW38" s="103"/>
      <c r="AX38" s="103"/>
      <c r="AY38" s="103"/>
    </row>
    <row r="39" spans="1:51" x14ac:dyDescent="0.15">
      <c r="A39" s="106"/>
      <c r="B39" s="124">
        <v>7</v>
      </c>
      <c r="C39" s="106" t="s">
        <v>292</v>
      </c>
      <c r="D39" s="103"/>
      <c r="E39" s="103"/>
      <c r="F39" s="103"/>
      <c r="G39" s="103"/>
      <c r="H39" s="103"/>
      <c r="I39" s="103"/>
      <c r="J39" s="103"/>
      <c r="K39" s="103"/>
      <c r="L39" s="103"/>
      <c r="M39" s="103"/>
      <c r="N39" s="103"/>
      <c r="O39" s="103"/>
      <c r="P39" s="103"/>
      <c r="Q39" s="103"/>
      <c r="R39" s="103"/>
      <c r="S39" s="103"/>
      <c r="T39" s="103"/>
      <c r="U39" s="103"/>
      <c r="V39" s="103"/>
      <c r="W39" s="103"/>
      <c r="X39" s="103"/>
      <c r="Y39" s="103"/>
      <c r="Z39" s="103"/>
      <c r="AA39" s="103"/>
      <c r="AB39" s="103"/>
      <c r="AC39" s="103"/>
      <c r="AD39" s="103"/>
      <c r="AE39" s="103"/>
      <c r="AF39" s="103"/>
      <c r="AG39" s="103"/>
      <c r="AH39" s="103"/>
      <c r="AI39" s="103"/>
      <c r="AJ39" s="103"/>
      <c r="AK39" s="103"/>
      <c r="AL39" s="103"/>
      <c r="AM39" s="103"/>
      <c r="AN39" s="103"/>
      <c r="AO39" s="103"/>
      <c r="AP39" s="103"/>
      <c r="AQ39" s="103"/>
      <c r="AR39" s="103"/>
      <c r="AS39" s="103"/>
      <c r="AT39" s="103"/>
      <c r="AU39" s="103"/>
      <c r="AV39" s="103"/>
      <c r="AW39" s="103"/>
      <c r="AX39" s="103"/>
      <c r="AY39" s="103"/>
    </row>
    <row r="40" spans="1:51" x14ac:dyDescent="0.15">
      <c r="A40" s="106"/>
      <c r="B40" s="124">
        <v>8</v>
      </c>
      <c r="C40" s="106" t="s">
        <v>292</v>
      </c>
      <c r="D40" s="103"/>
      <c r="E40" s="103"/>
      <c r="F40" s="103"/>
      <c r="G40" s="103"/>
      <c r="H40" s="103"/>
      <c r="I40" s="103"/>
      <c r="J40" s="103"/>
      <c r="K40" s="103"/>
      <c r="L40" s="103"/>
      <c r="M40" s="103"/>
      <c r="N40" s="103"/>
      <c r="O40" s="103"/>
      <c r="P40" s="103"/>
      <c r="Q40" s="103"/>
      <c r="R40" s="103"/>
      <c r="S40" s="103"/>
      <c r="T40" s="103"/>
      <c r="U40" s="103"/>
      <c r="V40" s="103"/>
      <c r="W40" s="103"/>
      <c r="X40" s="103"/>
      <c r="Y40" s="103"/>
      <c r="Z40" s="103"/>
      <c r="AA40" s="103"/>
      <c r="AB40" s="103"/>
      <c r="AC40" s="103"/>
      <c r="AD40" s="103"/>
      <c r="AE40" s="103"/>
      <c r="AF40" s="103"/>
      <c r="AG40" s="103"/>
      <c r="AH40" s="103"/>
      <c r="AI40" s="103"/>
      <c r="AJ40" s="103"/>
      <c r="AK40" s="103"/>
      <c r="AL40" s="103"/>
      <c r="AM40" s="103"/>
      <c r="AN40" s="103"/>
      <c r="AO40" s="103"/>
      <c r="AP40" s="103"/>
      <c r="AQ40" s="103"/>
      <c r="AR40" s="103"/>
      <c r="AS40" s="103"/>
      <c r="AT40" s="103"/>
      <c r="AU40" s="103"/>
      <c r="AV40" s="103"/>
      <c r="AW40" s="103"/>
      <c r="AX40" s="103"/>
      <c r="AY40" s="103"/>
    </row>
    <row r="41" spans="1:51" x14ac:dyDescent="0.15">
      <c r="A41" s="106"/>
      <c r="B41" s="124">
        <v>9</v>
      </c>
      <c r="C41" s="106" t="s">
        <v>292</v>
      </c>
      <c r="D41" s="103"/>
      <c r="E41" s="103"/>
      <c r="F41" s="103"/>
      <c r="G41" s="103"/>
      <c r="H41" s="103"/>
      <c r="I41" s="103"/>
      <c r="J41" s="103"/>
      <c r="K41" s="103"/>
      <c r="L41" s="103"/>
      <c r="M41" s="103"/>
      <c r="N41" s="103"/>
      <c r="O41" s="103"/>
      <c r="P41" s="103"/>
      <c r="Q41" s="103"/>
      <c r="R41" s="103"/>
      <c r="S41" s="103"/>
      <c r="T41" s="103"/>
      <c r="U41" s="103"/>
      <c r="V41" s="103"/>
      <c r="W41" s="103"/>
      <c r="X41" s="103"/>
      <c r="Y41" s="103"/>
      <c r="Z41" s="103"/>
      <c r="AA41" s="103"/>
      <c r="AB41" s="103"/>
      <c r="AC41" s="103"/>
      <c r="AD41" s="103"/>
      <c r="AE41" s="103"/>
      <c r="AF41" s="103"/>
      <c r="AG41" s="103"/>
      <c r="AH41" s="103"/>
      <c r="AI41" s="103"/>
      <c r="AJ41" s="103"/>
      <c r="AK41" s="103"/>
      <c r="AL41" s="103"/>
      <c r="AM41" s="103"/>
      <c r="AN41" s="103"/>
      <c r="AO41" s="103"/>
      <c r="AP41" s="103"/>
      <c r="AQ41" s="103"/>
      <c r="AR41" s="103"/>
      <c r="AS41" s="103"/>
      <c r="AT41" s="103"/>
      <c r="AU41" s="103"/>
      <c r="AV41" s="103"/>
      <c r="AW41" s="103"/>
      <c r="AX41" s="103"/>
      <c r="AY41" s="103"/>
    </row>
    <row r="42" spans="1:51" x14ac:dyDescent="0.15">
      <c r="A42" s="106"/>
      <c r="B42" s="127">
        <v>10</v>
      </c>
      <c r="C42" s="106" t="s">
        <v>292</v>
      </c>
      <c r="D42" s="103"/>
      <c r="E42" s="103"/>
      <c r="F42" s="103"/>
      <c r="G42" s="103"/>
      <c r="H42" s="103"/>
      <c r="I42" s="103"/>
      <c r="J42" s="103"/>
      <c r="K42" s="103"/>
      <c r="L42" s="103"/>
      <c r="M42" s="103"/>
      <c r="N42" s="103"/>
      <c r="O42" s="103"/>
      <c r="P42" s="103"/>
      <c r="Q42" s="103"/>
      <c r="R42" s="103"/>
      <c r="S42" s="103"/>
      <c r="T42" s="103"/>
      <c r="U42" s="103"/>
      <c r="V42" s="103"/>
      <c r="W42" s="103"/>
      <c r="X42" s="103"/>
      <c r="Y42" s="103"/>
      <c r="Z42" s="103"/>
      <c r="AA42" s="103"/>
      <c r="AB42" s="103"/>
      <c r="AC42" s="103"/>
      <c r="AD42" s="103"/>
      <c r="AE42" s="103"/>
      <c r="AF42" s="103"/>
      <c r="AG42" s="103"/>
      <c r="AH42" s="103"/>
      <c r="AI42" s="103"/>
      <c r="AJ42" s="103"/>
      <c r="AK42" s="103"/>
      <c r="AL42" s="103"/>
      <c r="AM42" s="103"/>
      <c r="AN42" s="103"/>
      <c r="AO42" s="103"/>
      <c r="AP42" s="103"/>
      <c r="AQ42" s="103"/>
      <c r="AR42" s="103"/>
      <c r="AS42" s="103"/>
      <c r="AT42" s="103"/>
      <c r="AU42" s="103"/>
      <c r="AV42" s="103"/>
      <c r="AW42" s="103"/>
      <c r="AX42" s="103"/>
      <c r="AY42" s="103"/>
    </row>
    <row r="43" spans="1:51" x14ac:dyDescent="0.15">
      <c r="A43" s="106"/>
      <c r="B43" s="127">
        <v>11</v>
      </c>
      <c r="C43" s="106" t="s">
        <v>292</v>
      </c>
      <c r="D43" s="103"/>
      <c r="E43" s="103"/>
      <c r="F43" s="103"/>
      <c r="G43" s="103"/>
      <c r="H43" s="103"/>
      <c r="I43" s="103"/>
      <c r="J43" s="103"/>
      <c r="K43" s="103"/>
      <c r="L43" s="103"/>
      <c r="M43" s="103"/>
      <c r="N43" s="103"/>
      <c r="O43" s="103"/>
      <c r="P43" s="103"/>
      <c r="Q43" s="103"/>
      <c r="R43" s="103"/>
      <c r="S43" s="103"/>
      <c r="T43" s="103"/>
      <c r="U43" s="103"/>
      <c r="V43" s="103"/>
      <c r="W43" s="103"/>
      <c r="X43" s="103"/>
      <c r="Y43" s="103"/>
      <c r="Z43" s="103"/>
      <c r="AA43" s="103"/>
      <c r="AB43" s="103"/>
      <c r="AC43" s="103"/>
      <c r="AD43" s="103"/>
      <c r="AE43" s="103"/>
      <c r="AF43" s="103"/>
      <c r="AG43" s="103"/>
      <c r="AH43" s="103"/>
      <c r="AI43" s="103"/>
      <c r="AJ43" s="103"/>
      <c r="AK43" s="103"/>
      <c r="AL43" s="103"/>
      <c r="AM43" s="103"/>
      <c r="AN43" s="103"/>
      <c r="AO43" s="103"/>
      <c r="AP43" s="103"/>
      <c r="AQ43" s="103"/>
      <c r="AR43" s="103"/>
      <c r="AS43" s="103"/>
      <c r="AT43" s="103"/>
      <c r="AU43" s="103"/>
      <c r="AV43" s="103"/>
      <c r="AW43" s="103"/>
      <c r="AX43" s="103"/>
      <c r="AY43" s="103"/>
    </row>
    <row r="44" spans="1:51" x14ac:dyDescent="0.15">
      <c r="A44" s="106"/>
      <c r="B44" s="127">
        <v>12</v>
      </c>
      <c r="C44" s="125" t="s">
        <v>292</v>
      </c>
      <c r="D44" s="103">
        <v>0</v>
      </c>
      <c r="E44" s="103">
        <v>0</v>
      </c>
      <c r="F44" s="103">
        <v>0</v>
      </c>
      <c r="G44" s="103">
        <v>0</v>
      </c>
      <c r="H44" s="103">
        <v>0</v>
      </c>
      <c r="I44" s="103">
        <v>0</v>
      </c>
      <c r="J44" s="103">
        <v>0</v>
      </c>
      <c r="K44" s="103">
        <v>0</v>
      </c>
      <c r="L44" s="103">
        <v>0</v>
      </c>
      <c r="M44" s="103">
        <v>0</v>
      </c>
      <c r="N44" s="103">
        <v>0</v>
      </c>
      <c r="O44" s="103">
        <v>0</v>
      </c>
      <c r="P44" s="103">
        <v>0</v>
      </c>
      <c r="Q44" s="103">
        <v>0</v>
      </c>
      <c r="R44" s="103">
        <v>0</v>
      </c>
      <c r="S44" s="103">
        <v>0</v>
      </c>
      <c r="T44" s="103">
        <v>0</v>
      </c>
      <c r="U44" s="103">
        <v>0</v>
      </c>
      <c r="V44" s="103">
        <v>0</v>
      </c>
      <c r="W44" s="103">
        <v>0</v>
      </c>
      <c r="X44" s="103">
        <v>0</v>
      </c>
      <c r="Y44" s="103">
        <v>0</v>
      </c>
      <c r="Z44" s="103">
        <v>0</v>
      </c>
      <c r="AA44" s="103">
        <v>0</v>
      </c>
      <c r="AB44" s="103">
        <v>0</v>
      </c>
      <c r="AC44" s="103">
        <v>0</v>
      </c>
      <c r="AD44" s="103">
        <v>0</v>
      </c>
      <c r="AE44" s="103">
        <v>0</v>
      </c>
      <c r="AF44" s="103">
        <v>0</v>
      </c>
      <c r="AG44" s="103">
        <v>0</v>
      </c>
      <c r="AH44" s="103">
        <v>0</v>
      </c>
      <c r="AI44" s="103">
        <v>0</v>
      </c>
      <c r="AJ44" s="103">
        <v>0</v>
      </c>
      <c r="AK44" s="103">
        <v>0</v>
      </c>
      <c r="AL44" s="103">
        <v>0</v>
      </c>
      <c r="AM44" s="103">
        <v>0</v>
      </c>
      <c r="AN44" s="103">
        <v>0</v>
      </c>
      <c r="AO44" s="103">
        <v>0</v>
      </c>
      <c r="AP44" s="103">
        <v>0</v>
      </c>
      <c r="AQ44" s="103">
        <v>0</v>
      </c>
      <c r="AR44" s="103">
        <v>0</v>
      </c>
      <c r="AS44" s="103">
        <v>0</v>
      </c>
      <c r="AT44" s="103">
        <v>0</v>
      </c>
      <c r="AU44" s="103">
        <v>0</v>
      </c>
      <c r="AV44" s="103">
        <v>0</v>
      </c>
      <c r="AW44" s="103">
        <v>0</v>
      </c>
      <c r="AX44" s="103">
        <v>0</v>
      </c>
      <c r="AY44" s="103">
        <v>0</v>
      </c>
    </row>
    <row r="45" spans="1:51" x14ac:dyDescent="0.15">
      <c r="A45" s="123" t="s">
        <v>123</v>
      </c>
      <c r="B45" s="120">
        <v>1</v>
      </c>
      <c r="C45" s="106" t="s">
        <v>292</v>
      </c>
      <c r="D45" s="121"/>
      <c r="E45" s="121"/>
      <c r="F45" s="121"/>
      <c r="G45" s="121"/>
      <c r="H45" s="121"/>
      <c r="I45" s="121"/>
      <c r="J45" s="121"/>
      <c r="K45" s="121"/>
      <c r="L45" s="121"/>
      <c r="M45" s="121"/>
      <c r="N45" s="121"/>
      <c r="O45" s="121"/>
      <c r="P45" s="121"/>
      <c r="Q45" s="121"/>
      <c r="R45" s="121"/>
      <c r="S45" s="121"/>
      <c r="T45" s="121"/>
      <c r="U45" s="121"/>
      <c r="V45" s="121"/>
      <c r="W45" s="121"/>
      <c r="X45" s="121"/>
      <c r="Y45" s="121"/>
      <c r="Z45" s="121"/>
      <c r="AA45" s="121"/>
      <c r="AB45" s="121"/>
      <c r="AC45" s="121"/>
      <c r="AD45" s="121"/>
      <c r="AE45" s="121"/>
      <c r="AF45" s="121"/>
      <c r="AG45" s="121"/>
      <c r="AH45" s="121"/>
      <c r="AI45" s="121"/>
      <c r="AJ45" s="121"/>
      <c r="AK45" s="121"/>
      <c r="AL45" s="121"/>
      <c r="AM45" s="121"/>
      <c r="AN45" s="121"/>
      <c r="AO45" s="121"/>
      <c r="AP45" s="121"/>
      <c r="AQ45" s="121"/>
      <c r="AR45" s="121"/>
      <c r="AS45" s="121"/>
      <c r="AT45" s="121"/>
      <c r="AU45" s="121"/>
      <c r="AV45" s="121"/>
      <c r="AW45" s="121"/>
      <c r="AX45" s="121"/>
      <c r="AY45" s="121"/>
    </row>
    <row r="46" spans="1:51" x14ac:dyDescent="0.15">
      <c r="A46" s="106"/>
      <c r="B46" s="116">
        <v>2</v>
      </c>
      <c r="C46" s="106" t="s">
        <v>292</v>
      </c>
      <c r="D46" s="107"/>
      <c r="E46" s="107"/>
      <c r="F46" s="107"/>
      <c r="G46" s="107"/>
      <c r="H46" s="107"/>
      <c r="I46" s="107"/>
      <c r="J46" s="107"/>
      <c r="K46" s="107"/>
      <c r="L46" s="107"/>
      <c r="M46" s="107"/>
      <c r="N46" s="107"/>
      <c r="O46" s="107"/>
      <c r="P46" s="107"/>
      <c r="Q46" s="107"/>
      <c r="R46" s="107"/>
      <c r="S46" s="107"/>
      <c r="T46" s="107"/>
      <c r="U46" s="107"/>
      <c r="V46" s="107"/>
      <c r="W46" s="107"/>
      <c r="X46" s="107"/>
      <c r="Y46" s="107"/>
      <c r="Z46" s="107"/>
      <c r="AA46" s="107"/>
      <c r="AB46" s="107"/>
      <c r="AC46" s="107"/>
      <c r="AD46" s="107"/>
      <c r="AE46" s="107"/>
      <c r="AF46" s="107"/>
      <c r="AG46" s="107"/>
      <c r="AH46" s="107"/>
      <c r="AI46" s="107"/>
      <c r="AJ46" s="107"/>
      <c r="AK46" s="107"/>
      <c r="AL46" s="107"/>
      <c r="AM46" s="107"/>
      <c r="AN46" s="107"/>
      <c r="AO46" s="107"/>
      <c r="AP46" s="107"/>
      <c r="AQ46" s="107"/>
      <c r="AR46" s="107"/>
      <c r="AS46" s="107"/>
      <c r="AT46" s="107"/>
      <c r="AU46" s="107"/>
      <c r="AV46" s="107"/>
      <c r="AW46" s="107"/>
      <c r="AX46" s="107"/>
      <c r="AY46" s="107"/>
    </row>
    <row r="47" spans="1:51" x14ac:dyDescent="0.15">
      <c r="A47" s="106"/>
      <c r="B47" s="116">
        <v>3</v>
      </c>
      <c r="C47" s="106" t="s">
        <v>292</v>
      </c>
      <c r="D47" s="107"/>
      <c r="E47" s="107"/>
      <c r="F47" s="107"/>
      <c r="G47" s="107"/>
      <c r="H47" s="107"/>
      <c r="I47" s="107"/>
      <c r="J47" s="107"/>
      <c r="K47" s="107"/>
      <c r="L47" s="107"/>
      <c r="M47" s="107"/>
      <c r="N47" s="107"/>
      <c r="O47" s="107"/>
      <c r="P47" s="107"/>
      <c r="Q47" s="107"/>
      <c r="R47" s="107"/>
      <c r="S47" s="107"/>
      <c r="T47" s="107"/>
      <c r="U47" s="107"/>
      <c r="V47" s="107"/>
      <c r="W47" s="107"/>
      <c r="X47" s="107"/>
      <c r="Y47" s="107"/>
      <c r="Z47" s="107"/>
      <c r="AA47" s="107"/>
      <c r="AB47" s="107"/>
      <c r="AC47" s="107"/>
      <c r="AD47" s="107"/>
      <c r="AE47" s="107"/>
      <c r="AF47" s="107"/>
      <c r="AG47" s="107"/>
      <c r="AH47" s="107"/>
      <c r="AI47" s="107"/>
      <c r="AJ47" s="107"/>
      <c r="AK47" s="107"/>
      <c r="AL47" s="107"/>
      <c r="AM47" s="107"/>
      <c r="AN47" s="107"/>
      <c r="AO47" s="107"/>
      <c r="AP47" s="107"/>
      <c r="AQ47" s="107"/>
      <c r="AR47" s="107"/>
      <c r="AS47" s="107"/>
      <c r="AT47" s="107"/>
      <c r="AU47" s="107"/>
      <c r="AV47" s="107"/>
      <c r="AW47" s="107"/>
      <c r="AX47" s="107"/>
      <c r="AY47" s="107"/>
    </row>
    <row r="48" spans="1:51" x14ac:dyDescent="0.15">
      <c r="A48" s="106"/>
      <c r="B48" s="116">
        <v>4</v>
      </c>
      <c r="C48" s="106" t="s">
        <v>292</v>
      </c>
      <c r="D48" s="107"/>
      <c r="E48" s="107"/>
      <c r="F48" s="107"/>
      <c r="G48" s="107"/>
      <c r="H48" s="107"/>
      <c r="I48" s="107"/>
      <c r="J48" s="107"/>
      <c r="K48" s="107"/>
      <c r="L48" s="107"/>
      <c r="M48" s="107"/>
      <c r="N48" s="107"/>
      <c r="O48" s="107"/>
      <c r="P48" s="107"/>
      <c r="Q48" s="107"/>
      <c r="R48" s="107"/>
      <c r="S48" s="107"/>
      <c r="T48" s="107"/>
      <c r="U48" s="107"/>
      <c r="V48" s="107"/>
      <c r="W48" s="107"/>
      <c r="X48" s="107"/>
      <c r="Y48" s="107"/>
      <c r="Z48" s="107"/>
      <c r="AA48" s="107"/>
      <c r="AB48" s="107"/>
      <c r="AC48" s="107"/>
      <c r="AD48" s="107"/>
      <c r="AE48" s="107"/>
      <c r="AF48" s="107"/>
      <c r="AG48" s="107"/>
      <c r="AH48" s="107"/>
      <c r="AI48" s="107"/>
      <c r="AJ48" s="107"/>
      <c r="AK48" s="107"/>
      <c r="AL48" s="107"/>
      <c r="AM48" s="107"/>
      <c r="AN48" s="107"/>
      <c r="AO48" s="107"/>
      <c r="AP48" s="107"/>
      <c r="AQ48" s="107"/>
      <c r="AR48" s="107"/>
      <c r="AS48" s="107"/>
      <c r="AT48" s="107"/>
      <c r="AU48" s="107"/>
      <c r="AV48" s="107"/>
      <c r="AW48" s="107"/>
      <c r="AX48" s="107"/>
      <c r="AY48" s="107"/>
    </row>
    <row r="49" spans="1:51" x14ac:dyDescent="0.15">
      <c r="A49" s="106"/>
      <c r="B49" s="116">
        <v>5</v>
      </c>
      <c r="C49" s="106" t="s">
        <v>292</v>
      </c>
      <c r="D49" s="107"/>
      <c r="E49" s="107"/>
      <c r="F49" s="107"/>
      <c r="G49" s="107"/>
      <c r="H49" s="107"/>
      <c r="I49" s="107"/>
      <c r="J49" s="107"/>
      <c r="K49" s="107"/>
      <c r="L49" s="107"/>
      <c r="M49" s="107"/>
      <c r="N49" s="107"/>
      <c r="O49" s="107"/>
      <c r="P49" s="107"/>
      <c r="Q49" s="107"/>
      <c r="R49" s="107"/>
      <c r="S49" s="107"/>
      <c r="T49" s="107"/>
      <c r="U49" s="107"/>
      <c r="V49" s="107"/>
      <c r="W49" s="107"/>
      <c r="X49" s="107"/>
      <c r="Y49" s="107"/>
      <c r="Z49" s="107"/>
      <c r="AA49" s="107"/>
      <c r="AB49" s="107"/>
      <c r="AC49" s="107"/>
      <c r="AD49" s="107"/>
      <c r="AE49" s="107"/>
      <c r="AF49" s="107"/>
      <c r="AG49" s="107"/>
      <c r="AH49" s="107"/>
      <c r="AI49" s="107"/>
      <c r="AJ49" s="107"/>
      <c r="AK49" s="107"/>
      <c r="AL49" s="107"/>
      <c r="AM49" s="107"/>
      <c r="AN49" s="107"/>
      <c r="AO49" s="107"/>
      <c r="AP49" s="107"/>
      <c r="AQ49" s="107"/>
      <c r="AR49" s="107"/>
      <c r="AS49" s="107"/>
      <c r="AT49" s="107"/>
      <c r="AU49" s="107"/>
      <c r="AV49" s="107"/>
      <c r="AW49" s="107"/>
      <c r="AX49" s="107"/>
      <c r="AY49" s="107"/>
    </row>
    <row r="50" spans="1:51" x14ac:dyDescent="0.15">
      <c r="A50" s="106"/>
      <c r="B50" s="116">
        <v>6</v>
      </c>
      <c r="C50" s="106" t="s">
        <v>292</v>
      </c>
      <c r="D50" s="107"/>
      <c r="E50" s="107"/>
      <c r="F50" s="107"/>
      <c r="G50" s="107"/>
      <c r="H50" s="107"/>
      <c r="I50" s="107"/>
      <c r="J50" s="107"/>
      <c r="K50" s="107"/>
      <c r="L50" s="107"/>
      <c r="M50" s="107"/>
      <c r="N50" s="107"/>
      <c r="O50" s="107"/>
      <c r="P50" s="107"/>
      <c r="Q50" s="107"/>
      <c r="R50" s="107"/>
      <c r="S50" s="107"/>
      <c r="T50" s="107"/>
      <c r="U50" s="107"/>
      <c r="V50" s="107"/>
      <c r="W50" s="107"/>
      <c r="X50" s="107"/>
      <c r="Y50" s="107"/>
      <c r="Z50" s="107"/>
      <c r="AA50" s="107"/>
      <c r="AB50" s="107"/>
      <c r="AC50" s="107"/>
      <c r="AD50" s="107"/>
      <c r="AE50" s="107"/>
      <c r="AF50" s="107"/>
      <c r="AG50" s="107"/>
      <c r="AH50" s="107"/>
      <c r="AI50" s="107"/>
      <c r="AJ50" s="107"/>
      <c r="AK50" s="107"/>
      <c r="AL50" s="107"/>
      <c r="AM50" s="107"/>
      <c r="AN50" s="107"/>
      <c r="AO50" s="107"/>
      <c r="AP50" s="107"/>
      <c r="AQ50" s="107"/>
      <c r="AR50" s="107"/>
      <c r="AS50" s="107"/>
      <c r="AT50" s="107"/>
      <c r="AU50" s="107"/>
      <c r="AV50" s="107"/>
      <c r="AW50" s="107"/>
      <c r="AX50" s="107"/>
      <c r="AY50" s="107"/>
    </row>
    <row r="51" spans="1:51" x14ac:dyDescent="0.15">
      <c r="A51" s="106"/>
      <c r="B51" s="116">
        <v>7</v>
      </c>
      <c r="C51" s="106" t="s">
        <v>292</v>
      </c>
      <c r="D51" s="107"/>
      <c r="E51" s="107"/>
      <c r="F51" s="107"/>
      <c r="G51" s="107"/>
      <c r="H51" s="107"/>
      <c r="I51" s="107"/>
      <c r="J51" s="107"/>
      <c r="K51" s="107"/>
      <c r="L51" s="107"/>
      <c r="M51" s="107"/>
      <c r="N51" s="107"/>
      <c r="O51" s="107"/>
      <c r="P51" s="107"/>
      <c r="Q51" s="107"/>
      <c r="R51" s="107"/>
      <c r="S51" s="107"/>
      <c r="T51" s="107"/>
      <c r="U51" s="107"/>
      <c r="V51" s="107"/>
      <c r="W51" s="107"/>
      <c r="X51" s="107"/>
      <c r="Y51" s="107"/>
      <c r="Z51" s="107"/>
      <c r="AA51" s="107"/>
      <c r="AB51" s="107"/>
      <c r="AC51" s="107"/>
      <c r="AD51" s="107"/>
      <c r="AE51" s="107"/>
      <c r="AF51" s="107"/>
      <c r="AG51" s="107"/>
      <c r="AH51" s="107"/>
      <c r="AI51" s="107"/>
      <c r="AJ51" s="107"/>
      <c r="AK51" s="107"/>
      <c r="AL51" s="107"/>
      <c r="AM51" s="107"/>
      <c r="AN51" s="107"/>
      <c r="AO51" s="107"/>
      <c r="AP51" s="107"/>
      <c r="AQ51" s="107"/>
      <c r="AR51" s="107"/>
      <c r="AS51" s="107"/>
      <c r="AT51" s="107"/>
      <c r="AU51" s="107"/>
      <c r="AV51" s="107"/>
      <c r="AW51" s="107"/>
      <c r="AX51" s="107"/>
      <c r="AY51" s="107"/>
    </row>
    <row r="52" spans="1:51" x14ac:dyDescent="0.15">
      <c r="A52" s="106"/>
      <c r="B52" s="116">
        <v>8</v>
      </c>
      <c r="C52" s="106" t="s">
        <v>292</v>
      </c>
      <c r="D52" s="107"/>
      <c r="E52" s="107"/>
      <c r="F52" s="107"/>
      <c r="G52" s="107"/>
      <c r="H52" s="107"/>
      <c r="I52" s="107"/>
      <c r="J52" s="107"/>
      <c r="K52" s="107"/>
      <c r="L52" s="107"/>
      <c r="M52" s="107"/>
      <c r="N52" s="107"/>
      <c r="O52" s="107"/>
      <c r="P52" s="107"/>
      <c r="Q52" s="107"/>
      <c r="R52" s="107"/>
      <c r="S52" s="107"/>
      <c r="T52" s="107"/>
      <c r="U52" s="107"/>
      <c r="V52" s="107"/>
      <c r="W52" s="107"/>
      <c r="X52" s="107"/>
      <c r="Y52" s="107"/>
      <c r="Z52" s="107"/>
      <c r="AA52" s="107"/>
      <c r="AB52" s="107"/>
      <c r="AC52" s="107"/>
      <c r="AD52" s="107"/>
      <c r="AE52" s="107"/>
      <c r="AF52" s="107"/>
      <c r="AG52" s="107"/>
      <c r="AH52" s="107"/>
      <c r="AI52" s="107"/>
      <c r="AJ52" s="107"/>
      <c r="AK52" s="107"/>
      <c r="AL52" s="107"/>
      <c r="AM52" s="107"/>
      <c r="AN52" s="107"/>
      <c r="AO52" s="107"/>
      <c r="AP52" s="107"/>
      <c r="AQ52" s="107"/>
      <c r="AR52" s="107"/>
      <c r="AS52" s="107"/>
      <c r="AT52" s="107"/>
      <c r="AU52" s="107"/>
      <c r="AV52" s="107"/>
      <c r="AW52" s="107"/>
      <c r="AX52" s="107"/>
      <c r="AY52" s="107"/>
    </row>
    <row r="53" spans="1:51" x14ac:dyDescent="0.15">
      <c r="A53" s="106"/>
      <c r="B53" s="116">
        <v>9</v>
      </c>
      <c r="C53" s="106" t="s">
        <v>292</v>
      </c>
      <c r="D53" s="107"/>
      <c r="E53" s="107"/>
      <c r="F53" s="107"/>
      <c r="G53" s="107"/>
      <c r="H53" s="107"/>
      <c r="I53" s="107"/>
      <c r="J53" s="107"/>
      <c r="K53" s="107"/>
      <c r="L53" s="107"/>
      <c r="M53" s="107"/>
      <c r="N53" s="107"/>
      <c r="O53" s="107"/>
      <c r="P53" s="107"/>
      <c r="Q53" s="107"/>
      <c r="R53" s="107"/>
      <c r="S53" s="107"/>
      <c r="T53" s="107"/>
      <c r="U53" s="107"/>
      <c r="V53" s="107"/>
      <c r="W53" s="107"/>
      <c r="X53" s="107"/>
      <c r="Y53" s="107"/>
      <c r="Z53" s="107"/>
      <c r="AA53" s="107"/>
      <c r="AB53" s="107"/>
      <c r="AC53" s="107"/>
      <c r="AD53" s="107"/>
      <c r="AE53" s="107"/>
      <c r="AF53" s="107"/>
      <c r="AG53" s="107"/>
      <c r="AH53" s="107"/>
      <c r="AI53" s="107"/>
      <c r="AJ53" s="107"/>
      <c r="AK53" s="107"/>
      <c r="AL53" s="107"/>
      <c r="AM53" s="107"/>
      <c r="AN53" s="107"/>
      <c r="AO53" s="107"/>
      <c r="AP53" s="107"/>
      <c r="AQ53" s="107"/>
      <c r="AR53" s="107"/>
      <c r="AS53" s="107"/>
      <c r="AT53" s="107"/>
      <c r="AU53" s="107"/>
      <c r="AV53" s="107"/>
      <c r="AW53" s="107"/>
      <c r="AX53" s="107"/>
      <c r="AY53" s="107"/>
    </row>
    <row r="54" spans="1:51" x14ac:dyDescent="0.15">
      <c r="A54" s="106"/>
      <c r="B54" s="116">
        <v>10</v>
      </c>
      <c r="C54" s="106" t="s">
        <v>292</v>
      </c>
      <c r="D54" s="107"/>
      <c r="E54" s="107"/>
      <c r="F54" s="107"/>
      <c r="G54" s="107"/>
      <c r="H54" s="107"/>
      <c r="I54" s="107"/>
      <c r="J54" s="107"/>
      <c r="K54" s="107"/>
      <c r="L54" s="107"/>
      <c r="M54" s="107"/>
      <c r="N54" s="107"/>
      <c r="O54" s="107"/>
      <c r="P54" s="107"/>
      <c r="Q54" s="107"/>
      <c r="R54" s="107"/>
      <c r="S54" s="107"/>
      <c r="T54" s="107"/>
      <c r="U54" s="107"/>
      <c r="V54" s="107"/>
      <c r="W54" s="107"/>
      <c r="X54" s="107"/>
      <c r="Y54" s="107"/>
      <c r="Z54" s="107"/>
      <c r="AA54" s="107"/>
      <c r="AB54" s="107"/>
      <c r="AC54" s="107"/>
      <c r="AD54" s="107"/>
      <c r="AE54" s="107"/>
      <c r="AF54" s="107"/>
      <c r="AG54" s="107"/>
      <c r="AH54" s="107"/>
      <c r="AI54" s="107"/>
      <c r="AJ54" s="107"/>
      <c r="AK54" s="107"/>
      <c r="AL54" s="107"/>
      <c r="AM54" s="107"/>
      <c r="AN54" s="107"/>
      <c r="AO54" s="107"/>
      <c r="AP54" s="107"/>
      <c r="AQ54" s="107"/>
      <c r="AR54" s="107"/>
      <c r="AS54" s="107"/>
      <c r="AT54" s="107"/>
      <c r="AU54" s="107"/>
      <c r="AV54" s="107"/>
      <c r="AW54" s="107"/>
      <c r="AX54" s="107"/>
      <c r="AY54" s="107"/>
    </row>
    <row r="55" spans="1:51" x14ac:dyDescent="0.15">
      <c r="A55" s="106"/>
      <c r="B55" s="116">
        <v>11</v>
      </c>
      <c r="C55" s="106" t="s">
        <v>292</v>
      </c>
      <c r="D55" s="107"/>
      <c r="E55" s="107"/>
      <c r="F55" s="107"/>
      <c r="G55" s="107"/>
      <c r="H55" s="107"/>
      <c r="I55" s="107"/>
      <c r="J55" s="107"/>
      <c r="K55" s="107"/>
      <c r="L55" s="107"/>
      <c r="M55" s="107"/>
      <c r="N55" s="107"/>
      <c r="O55" s="107"/>
      <c r="P55" s="107"/>
      <c r="Q55" s="107"/>
      <c r="R55" s="107"/>
      <c r="S55" s="107"/>
      <c r="T55" s="107"/>
      <c r="U55" s="107"/>
      <c r="V55" s="107"/>
      <c r="W55" s="107"/>
      <c r="X55" s="107"/>
      <c r="Y55" s="107"/>
      <c r="Z55" s="107"/>
      <c r="AA55" s="107"/>
      <c r="AB55" s="107"/>
      <c r="AC55" s="107"/>
      <c r="AD55" s="107"/>
      <c r="AE55" s="107"/>
      <c r="AF55" s="107"/>
      <c r="AG55" s="107"/>
      <c r="AH55" s="107"/>
      <c r="AI55" s="107"/>
      <c r="AJ55" s="107"/>
      <c r="AK55" s="107"/>
      <c r="AL55" s="107"/>
      <c r="AM55" s="107"/>
      <c r="AN55" s="107"/>
      <c r="AO55" s="107"/>
      <c r="AP55" s="107"/>
      <c r="AQ55" s="107"/>
      <c r="AR55" s="107"/>
      <c r="AS55" s="107"/>
      <c r="AT55" s="107"/>
      <c r="AU55" s="107"/>
      <c r="AV55" s="107"/>
      <c r="AW55" s="107"/>
      <c r="AX55" s="107"/>
      <c r="AY55" s="107"/>
    </row>
    <row r="56" spans="1:51" x14ac:dyDescent="0.15">
      <c r="A56" s="106"/>
      <c r="B56" s="116">
        <v>12</v>
      </c>
      <c r="C56" s="106" t="s">
        <v>292</v>
      </c>
      <c r="D56" s="107"/>
      <c r="E56" s="107"/>
      <c r="F56" s="107"/>
      <c r="G56" s="107"/>
      <c r="H56" s="107"/>
      <c r="I56" s="107"/>
      <c r="J56" s="107"/>
      <c r="K56" s="107"/>
      <c r="L56" s="107"/>
      <c r="M56" s="107"/>
      <c r="N56" s="107"/>
      <c r="O56" s="107"/>
      <c r="P56" s="107"/>
      <c r="Q56" s="107"/>
      <c r="R56" s="107"/>
      <c r="S56" s="107"/>
      <c r="T56" s="107"/>
      <c r="U56" s="107"/>
      <c r="V56" s="107"/>
      <c r="W56" s="107"/>
      <c r="X56" s="107"/>
      <c r="Y56" s="107"/>
      <c r="Z56" s="107"/>
      <c r="AA56" s="107"/>
      <c r="AB56" s="107"/>
      <c r="AC56" s="107"/>
      <c r="AD56" s="107"/>
      <c r="AE56" s="107"/>
      <c r="AF56" s="107"/>
      <c r="AG56" s="107"/>
      <c r="AH56" s="107"/>
      <c r="AI56" s="107"/>
      <c r="AJ56" s="107"/>
      <c r="AK56" s="107"/>
      <c r="AL56" s="107"/>
      <c r="AM56" s="107"/>
      <c r="AN56" s="107"/>
      <c r="AO56" s="107"/>
      <c r="AP56" s="107"/>
      <c r="AQ56" s="107"/>
      <c r="AR56" s="107"/>
      <c r="AS56" s="107"/>
      <c r="AT56" s="107"/>
      <c r="AU56" s="107"/>
      <c r="AV56" s="107"/>
      <c r="AW56" s="107"/>
      <c r="AX56" s="107"/>
      <c r="AY56" s="107"/>
    </row>
    <row r="57" spans="1:51" x14ac:dyDescent="0.15">
      <c r="A57" s="106"/>
      <c r="B57" s="117">
        <v>13</v>
      </c>
      <c r="C57" s="106" t="s">
        <v>292</v>
      </c>
      <c r="D57" s="107"/>
      <c r="E57" s="107"/>
      <c r="F57" s="107"/>
      <c r="G57" s="107"/>
      <c r="H57" s="107"/>
      <c r="I57" s="107"/>
      <c r="J57" s="107"/>
      <c r="K57" s="107"/>
      <c r="L57" s="107"/>
      <c r="M57" s="107"/>
      <c r="N57" s="107"/>
      <c r="O57" s="107"/>
      <c r="P57" s="107"/>
      <c r="Q57" s="107"/>
      <c r="R57" s="107"/>
      <c r="S57" s="107"/>
      <c r="T57" s="107"/>
      <c r="U57" s="107"/>
      <c r="V57" s="107"/>
      <c r="W57" s="107"/>
      <c r="X57" s="107"/>
      <c r="Y57" s="107"/>
      <c r="Z57" s="107"/>
      <c r="AA57" s="107"/>
      <c r="AB57" s="107"/>
      <c r="AC57" s="107"/>
      <c r="AD57" s="107"/>
      <c r="AE57" s="107"/>
      <c r="AF57" s="107"/>
      <c r="AG57" s="107"/>
      <c r="AH57" s="107"/>
      <c r="AI57" s="107"/>
      <c r="AJ57" s="107"/>
      <c r="AK57" s="107"/>
      <c r="AL57" s="107"/>
      <c r="AM57" s="107"/>
      <c r="AN57" s="107"/>
      <c r="AO57" s="107"/>
      <c r="AP57" s="107"/>
      <c r="AQ57" s="107"/>
      <c r="AR57" s="107"/>
      <c r="AS57" s="107"/>
      <c r="AT57" s="107"/>
      <c r="AU57" s="107"/>
      <c r="AV57" s="107"/>
      <c r="AW57" s="107"/>
      <c r="AX57" s="107"/>
      <c r="AY57" s="107"/>
    </row>
    <row r="58" spans="1:51" x14ac:dyDescent="0.15">
      <c r="A58" s="106"/>
      <c r="B58" s="117">
        <v>14</v>
      </c>
      <c r="C58" s="106" t="s">
        <v>292</v>
      </c>
      <c r="D58" s="107"/>
      <c r="E58" s="107"/>
      <c r="F58" s="107"/>
      <c r="G58" s="107"/>
      <c r="H58" s="107"/>
      <c r="I58" s="107"/>
      <c r="J58" s="107"/>
      <c r="K58" s="107"/>
      <c r="L58" s="107"/>
      <c r="M58" s="107"/>
      <c r="N58" s="107"/>
      <c r="O58" s="107"/>
      <c r="P58" s="107"/>
      <c r="Q58" s="107"/>
      <c r="R58" s="107"/>
      <c r="S58" s="107"/>
      <c r="T58" s="107"/>
      <c r="U58" s="107"/>
      <c r="V58" s="107"/>
      <c r="W58" s="107"/>
      <c r="X58" s="107"/>
      <c r="Y58" s="107"/>
      <c r="Z58" s="107"/>
      <c r="AA58" s="107"/>
      <c r="AB58" s="107"/>
      <c r="AC58" s="107"/>
      <c r="AD58" s="107"/>
      <c r="AE58" s="107"/>
      <c r="AF58" s="107"/>
      <c r="AG58" s="107"/>
      <c r="AH58" s="107"/>
      <c r="AI58" s="107"/>
      <c r="AJ58" s="107"/>
      <c r="AK58" s="107"/>
      <c r="AL58" s="107"/>
      <c r="AM58" s="107"/>
      <c r="AN58" s="107"/>
      <c r="AO58" s="107"/>
      <c r="AP58" s="107"/>
      <c r="AQ58" s="107"/>
      <c r="AR58" s="107"/>
      <c r="AS58" s="107"/>
      <c r="AT58" s="107"/>
      <c r="AU58" s="107"/>
      <c r="AV58" s="107"/>
      <c r="AW58" s="107"/>
      <c r="AX58" s="107"/>
      <c r="AY58" s="107"/>
    </row>
    <row r="59" spans="1:51" x14ac:dyDescent="0.15">
      <c r="A59" s="106"/>
      <c r="B59" s="117">
        <v>15</v>
      </c>
      <c r="C59" s="106" t="s">
        <v>292</v>
      </c>
      <c r="D59" s="107"/>
      <c r="E59" s="107"/>
      <c r="F59" s="107"/>
      <c r="G59" s="107"/>
      <c r="H59" s="107"/>
      <c r="I59" s="107"/>
      <c r="J59" s="107"/>
      <c r="K59" s="107"/>
      <c r="L59" s="107"/>
      <c r="M59" s="107"/>
      <c r="N59" s="107"/>
      <c r="O59" s="107"/>
      <c r="P59" s="107"/>
      <c r="Q59" s="107"/>
      <c r="R59" s="107"/>
      <c r="S59" s="107"/>
      <c r="T59" s="107"/>
      <c r="U59" s="107"/>
      <c r="V59" s="107"/>
      <c r="W59" s="107"/>
      <c r="X59" s="107"/>
      <c r="Y59" s="107"/>
      <c r="Z59" s="107"/>
      <c r="AA59" s="107"/>
      <c r="AB59" s="107"/>
      <c r="AC59" s="107"/>
      <c r="AD59" s="107"/>
      <c r="AE59" s="107"/>
      <c r="AF59" s="107"/>
      <c r="AG59" s="107"/>
      <c r="AH59" s="107"/>
      <c r="AI59" s="107"/>
      <c r="AJ59" s="107"/>
      <c r="AK59" s="107"/>
      <c r="AL59" s="107"/>
      <c r="AM59" s="107"/>
      <c r="AN59" s="107"/>
      <c r="AO59" s="107"/>
      <c r="AP59" s="107"/>
      <c r="AQ59" s="107"/>
      <c r="AR59" s="107"/>
      <c r="AS59" s="107"/>
      <c r="AT59" s="107"/>
      <c r="AU59" s="107"/>
      <c r="AV59" s="107"/>
      <c r="AW59" s="107"/>
      <c r="AX59" s="107"/>
      <c r="AY59" s="107"/>
    </row>
    <row r="60" spans="1:51" x14ac:dyDescent="0.15">
      <c r="A60" s="106"/>
      <c r="B60" s="117">
        <v>16</v>
      </c>
      <c r="C60" s="106" t="s">
        <v>292</v>
      </c>
      <c r="D60" s="107"/>
      <c r="E60" s="107"/>
      <c r="F60" s="107"/>
      <c r="G60" s="107"/>
      <c r="H60" s="107"/>
      <c r="I60" s="107"/>
      <c r="J60" s="107"/>
      <c r="K60" s="107"/>
      <c r="L60" s="107"/>
      <c r="M60" s="107"/>
      <c r="N60" s="107"/>
      <c r="O60" s="107"/>
      <c r="P60" s="107"/>
      <c r="Q60" s="107"/>
      <c r="R60" s="107"/>
      <c r="S60" s="107"/>
      <c r="T60" s="107"/>
      <c r="U60" s="107"/>
      <c r="V60" s="107"/>
      <c r="W60" s="107"/>
      <c r="X60" s="107"/>
      <c r="Y60" s="107"/>
      <c r="Z60" s="107"/>
      <c r="AA60" s="107"/>
      <c r="AB60" s="107"/>
      <c r="AC60" s="107"/>
      <c r="AD60" s="107"/>
      <c r="AE60" s="107"/>
      <c r="AF60" s="107"/>
      <c r="AG60" s="107"/>
      <c r="AH60" s="107"/>
      <c r="AI60" s="107"/>
      <c r="AJ60" s="107"/>
      <c r="AK60" s="107"/>
      <c r="AL60" s="107"/>
      <c r="AM60" s="107"/>
      <c r="AN60" s="107"/>
      <c r="AO60" s="107"/>
      <c r="AP60" s="107"/>
      <c r="AQ60" s="107"/>
      <c r="AR60" s="107"/>
      <c r="AS60" s="107"/>
      <c r="AT60" s="107"/>
      <c r="AU60" s="107"/>
      <c r="AV60" s="107"/>
      <c r="AW60" s="107"/>
      <c r="AX60" s="107"/>
      <c r="AY60" s="107"/>
    </row>
    <row r="61" spans="1:51" x14ac:dyDescent="0.15">
      <c r="A61" s="106"/>
      <c r="B61" s="117">
        <v>17</v>
      </c>
      <c r="C61" s="106" t="s">
        <v>292</v>
      </c>
      <c r="D61" s="107"/>
      <c r="E61" s="107"/>
      <c r="F61" s="107"/>
      <c r="G61" s="107"/>
      <c r="H61" s="107"/>
      <c r="I61" s="107"/>
      <c r="J61" s="107"/>
      <c r="K61" s="107"/>
      <c r="L61" s="107"/>
      <c r="M61" s="107"/>
      <c r="N61" s="107"/>
      <c r="O61" s="107"/>
      <c r="P61" s="107"/>
      <c r="Q61" s="107"/>
      <c r="R61" s="107"/>
      <c r="S61" s="107"/>
      <c r="T61" s="107"/>
      <c r="U61" s="107"/>
      <c r="V61" s="107"/>
      <c r="W61" s="107"/>
      <c r="X61" s="107"/>
      <c r="Y61" s="107"/>
      <c r="Z61" s="107"/>
      <c r="AA61" s="107"/>
      <c r="AB61" s="107"/>
      <c r="AC61" s="107"/>
      <c r="AD61" s="107"/>
      <c r="AE61" s="107"/>
      <c r="AF61" s="107"/>
      <c r="AG61" s="107"/>
      <c r="AH61" s="107"/>
      <c r="AI61" s="107"/>
      <c r="AJ61" s="107"/>
      <c r="AK61" s="107"/>
      <c r="AL61" s="107"/>
      <c r="AM61" s="107"/>
      <c r="AN61" s="107"/>
      <c r="AO61" s="107"/>
      <c r="AP61" s="107"/>
      <c r="AQ61" s="107"/>
      <c r="AR61" s="107"/>
      <c r="AS61" s="107"/>
      <c r="AT61" s="107"/>
      <c r="AU61" s="107"/>
      <c r="AV61" s="107"/>
      <c r="AW61" s="107"/>
      <c r="AX61" s="107"/>
      <c r="AY61" s="107"/>
    </row>
    <row r="62" spans="1:51" x14ac:dyDescent="0.15">
      <c r="A62" s="106"/>
      <c r="B62" s="117">
        <v>18</v>
      </c>
      <c r="C62" s="106" t="s">
        <v>292</v>
      </c>
      <c r="D62" s="107"/>
      <c r="E62" s="107"/>
      <c r="F62" s="107"/>
      <c r="G62" s="107"/>
      <c r="H62" s="107"/>
      <c r="I62" s="107"/>
      <c r="J62" s="107"/>
      <c r="K62" s="107"/>
      <c r="L62" s="107"/>
      <c r="M62" s="107"/>
      <c r="N62" s="107"/>
      <c r="O62" s="107"/>
      <c r="P62" s="107"/>
      <c r="Q62" s="107"/>
      <c r="R62" s="107"/>
      <c r="S62" s="107"/>
      <c r="T62" s="107"/>
      <c r="U62" s="107"/>
      <c r="V62" s="107"/>
      <c r="W62" s="107"/>
      <c r="X62" s="107"/>
      <c r="Y62" s="107"/>
      <c r="Z62" s="107"/>
      <c r="AA62" s="107"/>
      <c r="AB62" s="107"/>
      <c r="AC62" s="107"/>
      <c r="AD62" s="107"/>
      <c r="AE62" s="107"/>
      <c r="AF62" s="107"/>
      <c r="AG62" s="107"/>
      <c r="AH62" s="107"/>
      <c r="AI62" s="107"/>
      <c r="AJ62" s="107"/>
      <c r="AK62" s="107"/>
      <c r="AL62" s="107"/>
      <c r="AM62" s="107"/>
      <c r="AN62" s="107"/>
      <c r="AO62" s="107"/>
      <c r="AP62" s="107"/>
      <c r="AQ62" s="107"/>
      <c r="AR62" s="107"/>
      <c r="AS62" s="107"/>
      <c r="AT62" s="107"/>
      <c r="AU62" s="107"/>
      <c r="AV62" s="107"/>
      <c r="AW62" s="107"/>
      <c r="AX62" s="107"/>
      <c r="AY62" s="107"/>
    </row>
    <row r="63" spans="1:51" x14ac:dyDescent="0.15">
      <c r="A63" s="106"/>
      <c r="B63" s="117">
        <v>19</v>
      </c>
      <c r="C63" s="106" t="s">
        <v>292</v>
      </c>
      <c r="D63" s="107"/>
      <c r="E63" s="107"/>
      <c r="F63" s="107"/>
      <c r="G63" s="107"/>
      <c r="H63" s="107"/>
      <c r="I63" s="107"/>
      <c r="J63" s="107"/>
      <c r="K63" s="107"/>
      <c r="L63" s="107"/>
      <c r="M63" s="107"/>
      <c r="N63" s="107"/>
      <c r="O63" s="107"/>
      <c r="P63" s="107"/>
      <c r="Q63" s="107"/>
      <c r="R63" s="107"/>
      <c r="S63" s="107"/>
      <c r="T63" s="107"/>
      <c r="U63" s="107"/>
      <c r="V63" s="107"/>
      <c r="W63" s="107"/>
      <c r="X63" s="107"/>
      <c r="Y63" s="107"/>
      <c r="Z63" s="107"/>
      <c r="AA63" s="107"/>
      <c r="AB63" s="107"/>
      <c r="AC63" s="107"/>
      <c r="AD63" s="107"/>
      <c r="AE63" s="107"/>
      <c r="AF63" s="107"/>
      <c r="AG63" s="107"/>
      <c r="AH63" s="107"/>
      <c r="AI63" s="107"/>
      <c r="AJ63" s="107"/>
      <c r="AK63" s="107"/>
      <c r="AL63" s="107"/>
      <c r="AM63" s="107"/>
      <c r="AN63" s="107"/>
      <c r="AO63" s="107"/>
      <c r="AP63" s="107"/>
      <c r="AQ63" s="107"/>
      <c r="AR63" s="107"/>
      <c r="AS63" s="107"/>
      <c r="AT63" s="107"/>
      <c r="AU63" s="107"/>
      <c r="AV63" s="107"/>
      <c r="AW63" s="107"/>
      <c r="AX63" s="107"/>
      <c r="AY63" s="107"/>
    </row>
    <row r="64" spans="1:51" x14ac:dyDescent="0.15">
      <c r="A64" s="106"/>
      <c r="B64" s="117">
        <v>20</v>
      </c>
      <c r="C64" s="106" t="s">
        <v>292</v>
      </c>
      <c r="D64" s="107"/>
      <c r="E64" s="107"/>
      <c r="F64" s="107"/>
      <c r="G64" s="107"/>
      <c r="H64" s="107"/>
      <c r="I64" s="107"/>
      <c r="J64" s="107"/>
      <c r="K64" s="107"/>
      <c r="L64" s="107"/>
      <c r="M64" s="107"/>
      <c r="N64" s="107"/>
      <c r="O64" s="107"/>
      <c r="P64" s="107"/>
      <c r="Q64" s="107"/>
      <c r="R64" s="107"/>
      <c r="S64" s="107"/>
      <c r="T64" s="107"/>
      <c r="U64" s="107"/>
      <c r="V64" s="107"/>
      <c r="W64" s="107"/>
      <c r="X64" s="107"/>
      <c r="Y64" s="107"/>
      <c r="Z64" s="107"/>
      <c r="AA64" s="107"/>
      <c r="AB64" s="107"/>
      <c r="AC64" s="107"/>
      <c r="AD64" s="107"/>
      <c r="AE64" s="107"/>
      <c r="AF64" s="107"/>
      <c r="AG64" s="107"/>
      <c r="AH64" s="107"/>
      <c r="AI64" s="107"/>
      <c r="AJ64" s="107"/>
      <c r="AK64" s="107"/>
      <c r="AL64" s="107"/>
      <c r="AM64" s="107"/>
      <c r="AN64" s="107"/>
      <c r="AO64" s="107"/>
      <c r="AP64" s="107"/>
      <c r="AQ64" s="107"/>
      <c r="AR64" s="107"/>
      <c r="AS64" s="107"/>
      <c r="AT64" s="107"/>
      <c r="AU64" s="107"/>
      <c r="AV64" s="107"/>
      <c r="AW64" s="107"/>
      <c r="AX64" s="107"/>
      <c r="AY64" s="107"/>
    </row>
    <row r="65" spans="1:51" x14ac:dyDescent="0.15">
      <c r="A65" s="106"/>
      <c r="B65" s="117">
        <v>21</v>
      </c>
      <c r="C65" s="106" t="s">
        <v>292</v>
      </c>
      <c r="D65" s="107"/>
      <c r="E65" s="107"/>
      <c r="F65" s="107"/>
      <c r="G65" s="107"/>
      <c r="H65" s="107"/>
      <c r="I65" s="107"/>
      <c r="J65" s="107"/>
      <c r="K65" s="107"/>
      <c r="L65" s="107"/>
      <c r="M65" s="107"/>
      <c r="N65" s="107"/>
      <c r="O65" s="107"/>
      <c r="P65" s="107"/>
      <c r="Q65" s="107"/>
      <c r="R65" s="107"/>
      <c r="S65" s="107"/>
      <c r="T65" s="107"/>
      <c r="U65" s="107"/>
      <c r="V65" s="107"/>
      <c r="W65" s="107"/>
      <c r="X65" s="107"/>
      <c r="Y65" s="107"/>
      <c r="Z65" s="107"/>
      <c r="AA65" s="107"/>
      <c r="AB65" s="107"/>
      <c r="AC65" s="107"/>
      <c r="AD65" s="107"/>
      <c r="AE65" s="107"/>
      <c r="AF65" s="107"/>
      <c r="AG65" s="107"/>
      <c r="AH65" s="107"/>
      <c r="AI65" s="107"/>
      <c r="AJ65" s="107"/>
      <c r="AK65" s="107"/>
      <c r="AL65" s="107"/>
      <c r="AM65" s="107"/>
      <c r="AN65" s="107"/>
      <c r="AO65" s="107"/>
      <c r="AP65" s="107"/>
      <c r="AQ65" s="107"/>
      <c r="AR65" s="107"/>
      <c r="AS65" s="107"/>
      <c r="AT65" s="107"/>
      <c r="AU65" s="107"/>
      <c r="AV65" s="107"/>
      <c r="AW65" s="107"/>
      <c r="AX65" s="107"/>
      <c r="AY65" s="107"/>
    </row>
    <row r="66" spans="1:51" x14ac:dyDescent="0.15">
      <c r="A66" s="106"/>
      <c r="B66" s="117">
        <v>22</v>
      </c>
      <c r="C66" s="106" t="s">
        <v>292</v>
      </c>
      <c r="D66" s="107"/>
      <c r="E66" s="107"/>
      <c r="F66" s="107"/>
      <c r="G66" s="107"/>
      <c r="H66" s="107"/>
      <c r="I66" s="107"/>
      <c r="J66" s="107"/>
      <c r="K66" s="107"/>
      <c r="L66" s="107"/>
      <c r="M66" s="107"/>
      <c r="N66" s="107"/>
      <c r="O66" s="107"/>
      <c r="P66" s="107"/>
      <c r="Q66" s="107"/>
      <c r="R66" s="107"/>
      <c r="S66" s="107"/>
      <c r="T66" s="107"/>
      <c r="U66" s="107"/>
      <c r="V66" s="107"/>
      <c r="W66" s="107"/>
      <c r="X66" s="107"/>
      <c r="Y66" s="107"/>
      <c r="Z66" s="107"/>
      <c r="AA66" s="107"/>
      <c r="AB66" s="107"/>
      <c r="AC66" s="107"/>
      <c r="AD66" s="107"/>
      <c r="AE66" s="107"/>
      <c r="AF66" s="107"/>
      <c r="AG66" s="107"/>
      <c r="AH66" s="107"/>
      <c r="AI66" s="107"/>
      <c r="AJ66" s="107"/>
      <c r="AK66" s="107"/>
      <c r="AL66" s="107"/>
      <c r="AM66" s="107"/>
      <c r="AN66" s="107"/>
      <c r="AO66" s="107"/>
      <c r="AP66" s="107"/>
      <c r="AQ66" s="107"/>
      <c r="AR66" s="107"/>
      <c r="AS66" s="107"/>
      <c r="AT66" s="107"/>
      <c r="AU66" s="107"/>
      <c r="AV66" s="107"/>
      <c r="AW66" s="107"/>
      <c r="AX66" s="107"/>
      <c r="AY66" s="107"/>
    </row>
    <row r="67" spans="1:51" x14ac:dyDescent="0.15">
      <c r="A67" s="106"/>
      <c r="B67" s="117">
        <v>23</v>
      </c>
      <c r="C67" s="106" t="s">
        <v>292</v>
      </c>
      <c r="D67" s="107"/>
      <c r="E67" s="107"/>
      <c r="F67" s="107"/>
      <c r="G67" s="107"/>
      <c r="H67" s="107"/>
      <c r="I67" s="107"/>
      <c r="J67" s="107"/>
      <c r="K67" s="107"/>
      <c r="L67" s="107"/>
      <c r="M67" s="107"/>
      <c r="N67" s="107"/>
      <c r="O67" s="107"/>
      <c r="P67" s="107"/>
      <c r="Q67" s="107"/>
      <c r="R67" s="107"/>
      <c r="S67" s="107"/>
      <c r="T67" s="107"/>
      <c r="U67" s="107"/>
      <c r="V67" s="107"/>
      <c r="W67" s="107"/>
      <c r="X67" s="107"/>
      <c r="Y67" s="107"/>
      <c r="Z67" s="107"/>
      <c r="AA67" s="107"/>
      <c r="AB67" s="107"/>
      <c r="AC67" s="107"/>
      <c r="AD67" s="107"/>
      <c r="AE67" s="107"/>
      <c r="AF67" s="107"/>
      <c r="AG67" s="107"/>
      <c r="AH67" s="107"/>
      <c r="AI67" s="107"/>
      <c r="AJ67" s="107"/>
      <c r="AK67" s="107"/>
      <c r="AL67" s="107"/>
      <c r="AM67" s="107"/>
      <c r="AN67" s="107"/>
      <c r="AO67" s="107"/>
      <c r="AP67" s="107"/>
      <c r="AQ67" s="107"/>
      <c r="AR67" s="107"/>
      <c r="AS67" s="107"/>
      <c r="AT67" s="107"/>
      <c r="AU67" s="107"/>
      <c r="AV67" s="107"/>
      <c r="AW67" s="107"/>
      <c r="AX67" s="107"/>
      <c r="AY67" s="107"/>
    </row>
    <row r="68" spans="1:51" x14ac:dyDescent="0.15">
      <c r="A68" s="106"/>
      <c r="B68" s="117">
        <v>24</v>
      </c>
      <c r="C68" s="106" t="s">
        <v>292</v>
      </c>
      <c r="D68" s="107"/>
      <c r="E68" s="107"/>
      <c r="F68" s="107"/>
      <c r="G68" s="107"/>
      <c r="H68" s="107"/>
      <c r="I68" s="107"/>
      <c r="J68" s="107"/>
      <c r="K68" s="107"/>
      <c r="L68" s="107"/>
      <c r="M68" s="107"/>
      <c r="N68" s="107"/>
      <c r="O68" s="107"/>
      <c r="P68" s="107"/>
      <c r="Q68" s="107"/>
      <c r="R68" s="107"/>
      <c r="S68" s="107"/>
      <c r="T68" s="107"/>
      <c r="U68" s="107"/>
      <c r="V68" s="107"/>
      <c r="W68" s="107"/>
      <c r="X68" s="107"/>
      <c r="Y68" s="107"/>
      <c r="Z68" s="107"/>
      <c r="AA68" s="107"/>
      <c r="AB68" s="107"/>
      <c r="AC68" s="107"/>
      <c r="AD68" s="107"/>
      <c r="AE68" s="107"/>
      <c r="AF68" s="107"/>
      <c r="AG68" s="107"/>
      <c r="AH68" s="107"/>
      <c r="AI68" s="107"/>
      <c r="AJ68" s="107"/>
      <c r="AK68" s="107"/>
      <c r="AL68" s="107"/>
      <c r="AM68" s="107"/>
      <c r="AN68" s="107"/>
      <c r="AO68" s="107"/>
      <c r="AP68" s="107"/>
      <c r="AQ68" s="107"/>
      <c r="AR68" s="107"/>
      <c r="AS68" s="107"/>
      <c r="AT68" s="107"/>
      <c r="AU68" s="107"/>
      <c r="AV68" s="107"/>
      <c r="AW68" s="107"/>
      <c r="AX68" s="107"/>
      <c r="AY68" s="107"/>
    </row>
    <row r="69" spans="1:51" x14ac:dyDescent="0.15">
      <c r="A69" s="106"/>
      <c r="B69" s="124">
        <v>25</v>
      </c>
      <c r="C69" s="106" t="s">
        <v>292</v>
      </c>
      <c r="D69" s="107"/>
      <c r="E69" s="107"/>
      <c r="F69" s="107"/>
      <c r="G69" s="107"/>
      <c r="H69" s="107"/>
      <c r="I69" s="107"/>
      <c r="J69" s="107"/>
      <c r="K69" s="107"/>
      <c r="L69" s="107"/>
      <c r="M69" s="107"/>
      <c r="N69" s="107"/>
      <c r="O69" s="107"/>
      <c r="P69" s="107"/>
      <c r="Q69" s="107"/>
      <c r="R69" s="107"/>
      <c r="S69" s="107"/>
      <c r="T69" s="107"/>
      <c r="U69" s="107"/>
      <c r="V69" s="107"/>
      <c r="W69" s="107"/>
      <c r="X69" s="107"/>
      <c r="Y69" s="107"/>
      <c r="Z69" s="107"/>
      <c r="AA69" s="107"/>
      <c r="AB69" s="107"/>
      <c r="AC69" s="107"/>
      <c r="AD69" s="107"/>
      <c r="AE69" s="107"/>
      <c r="AF69" s="107"/>
      <c r="AG69" s="107"/>
      <c r="AH69" s="107"/>
      <c r="AI69" s="107"/>
      <c r="AJ69" s="107"/>
      <c r="AK69" s="107"/>
      <c r="AL69" s="107"/>
      <c r="AM69" s="107"/>
      <c r="AN69" s="107"/>
      <c r="AO69" s="107"/>
      <c r="AP69" s="107"/>
      <c r="AQ69" s="107"/>
      <c r="AR69" s="107"/>
      <c r="AS69" s="107"/>
      <c r="AT69" s="107"/>
      <c r="AU69" s="107"/>
      <c r="AV69" s="107"/>
      <c r="AW69" s="107"/>
      <c r="AX69" s="107"/>
      <c r="AY69" s="107"/>
    </row>
    <row r="70" spans="1:51" x14ac:dyDescent="0.15">
      <c r="A70" s="106"/>
      <c r="B70" s="124">
        <v>26</v>
      </c>
      <c r="C70" s="106" t="s">
        <v>292</v>
      </c>
      <c r="D70" s="107"/>
      <c r="E70" s="107"/>
      <c r="F70" s="107"/>
      <c r="G70" s="107"/>
      <c r="H70" s="107"/>
      <c r="I70" s="107"/>
      <c r="J70" s="107"/>
      <c r="K70" s="107"/>
      <c r="L70" s="107"/>
      <c r="M70" s="107"/>
      <c r="N70" s="107"/>
      <c r="O70" s="107"/>
      <c r="P70" s="107"/>
      <c r="Q70" s="107"/>
      <c r="R70" s="107"/>
      <c r="S70" s="107"/>
      <c r="T70" s="107"/>
      <c r="U70" s="107"/>
      <c r="V70" s="107"/>
      <c r="W70" s="107"/>
      <c r="X70" s="107"/>
      <c r="Y70" s="107"/>
      <c r="Z70" s="107"/>
      <c r="AA70" s="107"/>
      <c r="AB70" s="107"/>
      <c r="AC70" s="107"/>
      <c r="AD70" s="107"/>
      <c r="AE70" s="107"/>
      <c r="AF70" s="107"/>
      <c r="AG70" s="107"/>
      <c r="AH70" s="107"/>
      <c r="AI70" s="107"/>
      <c r="AJ70" s="107"/>
      <c r="AK70" s="107"/>
      <c r="AL70" s="107"/>
      <c r="AM70" s="107"/>
      <c r="AN70" s="107"/>
      <c r="AO70" s="107"/>
      <c r="AP70" s="107"/>
      <c r="AQ70" s="107"/>
      <c r="AR70" s="107"/>
      <c r="AS70" s="107"/>
      <c r="AT70" s="107"/>
      <c r="AU70" s="107"/>
      <c r="AV70" s="107"/>
      <c r="AW70" s="107"/>
      <c r="AX70" s="107"/>
      <c r="AY70" s="107"/>
    </row>
    <row r="71" spans="1:51" x14ac:dyDescent="0.15">
      <c r="A71" s="106"/>
      <c r="B71" s="124">
        <v>27</v>
      </c>
      <c r="C71" s="106" t="s">
        <v>292</v>
      </c>
      <c r="D71" s="107"/>
      <c r="E71" s="107"/>
      <c r="F71" s="107"/>
      <c r="G71" s="107"/>
      <c r="H71" s="107"/>
      <c r="I71" s="107"/>
      <c r="J71" s="107"/>
      <c r="K71" s="107"/>
      <c r="L71" s="107"/>
      <c r="M71" s="107"/>
      <c r="N71" s="107"/>
      <c r="O71" s="107"/>
      <c r="P71" s="107"/>
      <c r="Q71" s="107"/>
      <c r="R71" s="107"/>
      <c r="S71" s="107"/>
      <c r="T71" s="107"/>
      <c r="U71" s="107"/>
      <c r="V71" s="107"/>
      <c r="W71" s="107"/>
      <c r="X71" s="107"/>
      <c r="Y71" s="107"/>
      <c r="Z71" s="107"/>
      <c r="AA71" s="107"/>
      <c r="AB71" s="107"/>
      <c r="AC71" s="107"/>
      <c r="AD71" s="107"/>
      <c r="AE71" s="107"/>
      <c r="AF71" s="107"/>
      <c r="AG71" s="107"/>
      <c r="AH71" s="107"/>
      <c r="AI71" s="107"/>
      <c r="AJ71" s="107"/>
      <c r="AK71" s="107"/>
      <c r="AL71" s="107"/>
      <c r="AM71" s="107"/>
      <c r="AN71" s="107"/>
      <c r="AO71" s="107"/>
      <c r="AP71" s="107"/>
      <c r="AQ71" s="107"/>
      <c r="AR71" s="107"/>
      <c r="AS71" s="107"/>
      <c r="AT71" s="107"/>
      <c r="AU71" s="107"/>
      <c r="AV71" s="107"/>
      <c r="AW71" s="107"/>
      <c r="AX71" s="107"/>
      <c r="AY71" s="107"/>
    </row>
    <row r="72" spans="1:51" x14ac:dyDescent="0.15">
      <c r="A72" s="106"/>
      <c r="B72" s="124">
        <v>28</v>
      </c>
      <c r="C72" s="106" t="s">
        <v>292</v>
      </c>
      <c r="D72" s="107"/>
      <c r="E72" s="107"/>
      <c r="F72" s="107"/>
      <c r="G72" s="107"/>
      <c r="H72" s="107"/>
      <c r="I72" s="107"/>
      <c r="J72" s="107"/>
      <c r="K72" s="107"/>
      <c r="L72" s="107"/>
      <c r="M72" s="107"/>
      <c r="N72" s="107"/>
      <c r="O72" s="107"/>
      <c r="P72" s="107"/>
      <c r="Q72" s="107"/>
      <c r="R72" s="107"/>
      <c r="S72" s="107"/>
      <c r="T72" s="107"/>
      <c r="U72" s="107"/>
      <c r="V72" s="107"/>
      <c r="W72" s="107"/>
      <c r="X72" s="107"/>
      <c r="Y72" s="107"/>
      <c r="Z72" s="107"/>
      <c r="AA72" s="107"/>
      <c r="AB72" s="107"/>
      <c r="AC72" s="107"/>
      <c r="AD72" s="107"/>
      <c r="AE72" s="107"/>
      <c r="AF72" s="107"/>
      <c r="AG72" s="107"/>
      <c r="AH72" s="107"/>
      <c r="AI72" s="107"/>
      <c r="AJ72" s="107"/>
      <c r="AK72" s="107"/>
      <c r="AL72" s="107"/>
      <c r="AM72" s="107"/>
      <c r="AN72" s="107"/>
      <c r="AO72" s="107"/>
      <c r="AP72" s="107"/>
      <c r="AQ72" s="107"/>
      <c r="AR72" s="107"/>
      <c r="AS72" s="107"/>
      <c r="AT72" s="107"/>
      <c r="AU72" s="107"/>
      <c r="AV72" s="107"/>
      <c r="AW72" s="107"/>
      <c r="AX72" s="107"/>
      <c r="AY72" s="107"/>
    </row>
    <row r="73" spans="1:51" x14ac:dyDescent="0.15">
      <c r="A73" s="106"/>
      <c r="B73" s="124">
        <v>29</v>
      </c>
      <c r="C73" s="106" t="s">
        <v>292</v>
      </c>
      <c r="D73" s="107"/>
      <c r="E73" s="107"/>
      <c r="F73" s="107"/>
      <c r="G73" s="107"/>
      <c r="H73" s="107"/>
      <c r="I73" s="107"/>
      <c r="J73" s="107"/>
      <c r="K73" s="107"/>
      <c r="L73" s="107"/>
      <c r="M73" s="107"/>
      <c r="N73" s="107"/>
      <c r="O73" s="107"/>
      <c r="P73" s="107"/>
      <c r="Q73" s="107"/>
      <c r="R73" s="107"/>
      <c r="S73" s="107"/>
      <c r="T73" s="107"/>
      <c r="U73" s="107"/>
      <c r="V73" s="107"/>
      <c r="W73" s="107"/>
      <c r="X73" s="107"/>
      <c r="Y73" s="107"/>
      <c r="Z73" s="107"/>
      <c r="AA73" s="107"/>
      <c r="AB73" s="107"/>
      <c r="AC73" s="107"/>
      <c r="AD73" s="107"/>
      <c r="AE73" s="107"/>
      <c r="AF73" s="107"/>
      <c r="AG73" s="107"/>
      <c r="AH73" s="107"/>
      <c r="AI73" s="107"/>
      <c r="AJ73" s="107"/>
      <c r="AK73" s="107"/>
      <c r="AL73" s="107"/>
      <c r="AM73" s="107"/>
      <c r="AN73" s="107"/>
      <c r="AO73" s="107"/>
      <c r="AP73" s="107"/>
      <c r="AQ73" s="107"/>
      <c r="AR73" s="107"/>
      <c r="AS73" s="107"/>
      <c r="AT73" s="107"/>
      <c r="AU73" s="107"/>
      <c r="AV73" s="107"/>
      <c r="AW73" s="107"/>
      <c r="AX73" s="107"/>
      <c r="AY73" s="107"/>
    </row>
    <row r="74" spans="1:51" x14ac:dyDescent="0.15">
      <c r="A74" s="106"/>
      <c r="B74" s="124">
        <v>30</v>
      </c>
      <c r="C74" s="106" t="s">
        <v>292</v>
      </c>
      <c r="D74" s="107"/>
      <c r="E74" s="107"/>
      <c r="F74" s="107"/>
      <c r="G74" s="107"/>
      <c r="H74" s="107"/>
      <c r="I74" s="107"/>
      <c r="J74" s="107"/>
      <c r="K74" s="107"/>
      <c r="L74" s="107"/>
      <c r="M74" s="107"/>
      <c r="N74" s="107"/>
      <c r="O74" s="107"/>
      <c r="P74" s="107"/>
      <c r="Q74" s="107"/>
      <c r="R74" s="107"/>
      <c r="S74" s="107"/>
      <c r="T74" s="107"/>
      <c r="U74" s="107"/>
      <c r="V74" s="107"/>
      <c r="W74" s="107"/>
      <c r="X74" s="107"/>
      <c r="Y74" s="107"/>
      <c r="Z74" s="107"/>
      <c r="AA74" s="107"/>
      <c r="AB74" s="107"/>
      <c r="AC74" s="107"/>
      <c r="AD74" s="107"/>
      <c r="AE74" s="107"/>
      <c r="AF74" s="107"/>
      <c r="AG74" s="107"/>
      <c r="AH74" s="107"/>
      <c r="AI74" s="107"/>
      <c r="AJ74" s="107"/>
      <c r="AK74" s="107"/>
      <c r="AL74" s="107"/>
      <c r="AM74" s="107"/>
      <c r="AN74" s="107"/>
      <c r="AO74" s="107"/>
      <c r="AP74" s="107"/>
      <c r="AQ74" s="107"/>
      <c r="AR74" s="107"/>
      <c r="AS74" s="107"/>
      <c r="AT74" s="107"/>
      <c r="AU74" s="107"/>
      <c r="AV74" s="107"/>
      <c r="AW74" s="107"/>
      <c r="AX74" s="107"/>
      <c r="AY74" s="107"/>
    </row>
    <row r="75" spans="1:51" x14ac:dyDescent="0.15">
      <c r="A75" s="106"/>
      <c r="B75" s="124">
        <v>31</v>
      </c>
      <c r="C75" s="106" t="s">
        <v>292</v>
      </c>
      <c r="D75" s="107"/>
      <c r="E75" s="107"/>
      <c r="F75" s="107"/>
      <c r="G75" s="107"/>
      <c r="H75" s="107"/>
      <c r="I75" s="107"/>
      <c r="J75" s="107"/>
      <c r="K75" s="107"/>
      <c r="L75" s="107"/>
      <c r="M75" s="107"/>
      <c r="N75" s="107"/>
      <c r="O75" s="107"/>
      <c r="P75" s="107"/>
      <c r="Q75" s="107"/>
      <c r="R75" s="107"/>
      <c r="S75" s="107"/>
      <c r="T75" s="107"/>
      <c r="U75" s="107"/>
      <c r="V75" s="107"/>
      <c r="W75" s="107"/>
      <c r="X75" s="107"/>
      <c r="Y75" s="107"/>
      <c r="Z75" s="107"/>
      <c r="AA75" s="107"/>
      <c r="AB75" s="107"/>
      <c r="AC75" s="107"/>
      <c r="AD75" s="107"/>
      <c r="AE75" s="107"/>
      <c r="AF75" s="107"/>
      <c r="AG75" s="107"/>
      <c r="AH75" s="107"/>
      <c r="AI75" s="107"/>
      <c r="AJ75" s="107"/>
      <c r="AK75" s="107"/>
      <c r="AL75" s="107"/>
      <c r="AM75" s="107"/>
      <c r="AN75" s="107"/>
      <c r="AO75" s="107"/>
      <c r="AP75" s="107"/>
      <c r="AQ75" s="107"/>
      <c r="AR75" s="107"/>
      <c r="AS75" s="107"/>
      <c r="AT75" s="107"/>
      <c r="AU75" s="107"/>
      <c r="AV75" s="107"/>
      <c r="AW75" s="107"/>
      <c r="AX75" s="107"/>
      <c r="AY75" s="107"/>
    </row>
    <row r="76" spans="1:51" x14ac:dyDescent="0.15">
      <c r="A76" s="106"/>
      <c r="B76" s="124">
        <v>32</v>
      </c>
      <c r="C76" s="106" t="s">
        <v>292</v>
      </c>
      <c r="D76" s="107"/>
      <c r="E76" s="107"/>
      <c r="F76" s="107"/>
      <c r="G76" s="107"/>
      <c r="H76" s="107"/>
      <c r="I76" s="107"/>
      <c r="J76" s="107"/>
      <c r="K76" s="107"/>
      <c r="L76" s="107"/>
      <c r="M76" s="107"/>
      <c r="N76" s="107"/>
      <c r="O76" s="107"/>
      <c r="P76" s="107"/>
      <c r="Q76" s="107"/>
      <c r="R76" s="107"/>
      <c r="S76" s="107"/>
      <c r="T76" s="107"/>
      <c r="U76" s="107"/>
      <c r="V76" s="107"/>
      <c r="W76" s="107"/>
      <c r="X76" s="107"/>
      <c r="Y76" s="107"/>
      <c r="Z76" s="107"/>
      <c r="AA76" s="107"/>
      <c r="AB76" s="107"/>
      <c r="AC76" s="107"/>
      <c r="AD76" s="107"/>
      <c r="AE76" s="107"/>
      <c r="AF76" s="107"/>
      <c r="AG76" s="107"/>
      <c r="AH76" s="107"/>
      <c r="AI76" s="107"/>
      <c r="AJ76" s="107"/>
      <c r="AK76" s="107"/>
      <c r="AL76" s="107"/>
      <c r="AM76" s="107"/>
      <c r="AN76" s="107"/>
      <c r="AO76" s="107"/>
      <c r="AP76" s="107"/>
      <c r="AQ76" s="107"/>
      <c r="AR76" s="107"/>
      <c r="AS76" s="107"/>
      <c r="AT76" s="107"/>
      <c r="AU76" s="107"/>
      <c r="AV76" s="107"/>
      <c r="AW76" s="107"/>
      <c r="AX76" s="107"/>
      <c r="AY76" s="107"/>
    </row>
    <row r="77" spans="1:51" x14ac:dyDescent="0.15">
      <c r="A77" s="106"/>
      <c r="B77" s="124">
        <v>33</v>
      </c>
      <c r="C77" s="106" t="s">
        <v>292</v>
      </c>
      <c r="D77" s="107"/>
      <c r="E77" s="107"/>
      <c r="F77" s="107"/>
      <c r="G77" s="107"/>
      <c r="H77" s="107"/>
      <c r="I77" s="107"/>
      <c r="J77" s="107"/>
      <c r="K77" s="107"/>
      <c r="L77" s="107"/>
      <c r="M77" s="107"/>
      <c r="N77" s="107"/>
      <c r="O77" s="107"/>
      <c r="P77" s="107"/>
      <c r="Q77" s="107"/>
      <c r="R77" s="107"/>
      <c r="S77" s="107"/>
      <c r="T77" s="107"/>
      <c r="U77" s="107"/>
      <c r="V77" s="107"/>
      <c r="W77" s="107"/>
      <c r="X77" s="107"/>
      <c r="Y77" s="107"/>
      <c r="Z77" s="107"/>
      <c r="AA77" s="107"/>
      <c r="AB77" s="107"/>
      <c r="AC77" s="107"/>
      <c r="AD77" s="107"/>
      <c r="AE77" s="107"/>
      <c r="AF77" s="107"/>
      <c r="AG77" s="107"/>
      <c r="AH77" s="107"/>
      <c r="AI77" s="107"/>
      <c r="AJ77" s="107"/>
      <c r="AK77" s="107"/>
      <c r="AL77" s="107"/>
      <c r="AM77" s="107"/>
      <c r="AN77" s="107"/>
      <c r="AO77" s="107"/>
      <c r="AP77" s="107"/>
      <c r="AQ77" s="107"/>
      <c r="AR77" s="107"/>
      <c r="AS77" s="107"/>
      <c r="AT77" s="107"/>
      <c r="AU77" s="107"/>
      <c r="AV77" s="107"/>
      <c r="AW77" s="107"/>
      <c r="AX77" s="107"/>
      <c r="AY77" s="107"/>
    </row>
    <row r="78" spans="1:51" x14ac:dyDescent="0.15">
      <c r="A78" s="106"/>
      <c r="B78" s="124">
        <v>34</v>
      </c>
      <c r="C78" s="106" t="s">
        <v>292</v>
      </c>
      <c r="D78" s="107"/>
      <c r="E78" s="107"/>
      <c r="F78" s="107"/>
      <c r="G78" s="107"/>
      <c r="H78" s="107"/>
      <c r="I78" s="107"/>
      <c r="J78" s="107"/>
      <c r="K78" s="107"/>
      <c r="L78" s="107"/>
      <c r="M78" s="107"/>
      <c r="N78" s="107"/>
      <c r="O78" s="107"/>
      <c r="P78" s="107"/>
      <c r="Q78" s="107"/>
      <c r="R78" s="107"/>
      <c r="S78" s="107"/>
      <c r="T78" s="107"/>
      <c r="U78" s="107"/>
      <c r="V78" s="107"/>
      <c r="W78" s="107"/>
      <c r="X78" s="107"/>
      <c r="Y78" s="107"/>
      <c r="Z78" s="107"/>
      <c r="AA78" s="107"/>
      <c r="AB78" s="107"/>
      <c r="AC78" s="107"/>
      <c r="AD78" s="107"/>
      <c r="AE78" s="107"/>
      <c r="AF78" s="107"/>
      <c r="AG78" s="107"/>
      <c r="AH78" s="107"/>
      <c r="AI78" s="107"/>
      <c r="AJ78" s="107"/>
      <c r="AK78" s="107"/>
      <c r="AL78" s="107"/>
      <c r="AM78" s="107"/>
      <c r="AN78" s="107"/>
      <c r="AO78" s="107"/>
      <c r="AP78" s="107"/>
      <c r="AQ78" s="107"/>
      <c r="AR78" s="107"/>
      <c r="AS78" s="107"/>
      <c r="AT78" s="107"/>
      <c r="AU78" s="107"/>
      <c r="AV78" s="107"/>
      <c r="AW78" s="107"/>
      <c r="AX78" s="107"/>
      <c r="AY78" s="107"/>
    </row>
    <row r="79" spans="1:51" x14ac:dyDescent="0.15">
      <c r="A79" s="106"/>
      <c r="B79" s="124">
        <v>35</v>
      </c>
      <c r="C79" s="106" t="s">
        <v>292</v>
      </c>
      <c r="D79" s="107"/>
      <c r="E79" s="107"/>
      <c r="F79" s="107"/>
      <c r="G79" s="107"/>
      <c r="H79" s="107"/>
      <c r="I79" s="107"/>
      <c r="J79" s="107"/>
      <c r="K79" s="107"/>
      <c r="L79" s="107"/>
      <c r="M79" s="107"/>
      <c r="N79" s="107"/>
      <c r="O79" s="107"/>
      <c r="P79" s="107"/>
      <c r="Q79" s="107"/>
      <c r="R79" s="107"/>
      <c r="S79" s="107"/>
      <c r="T79" s="107"/>
      <c r="U79" s="107"/>
      <c r="V79" s="107"/>
      <c r="W79" s="107"/>
      <c r="X79" s="107"/>
      <c r="Y79" s="107"/>
      <c r="Z79" s="107"/>
      <c r="AA79" s="107"/>
      <c r="AB79" s="107"/>
      <c r="AC79" s="107"/>
      <c r="AD79" s="107"/>
      <c r="AE79" s="107"/>
      <c r="AF79" s="107"/>
      <c r="AG79" s="107"/>
      <c r="AH79" s="107"/>
      <c r="AI79" s="107"/>
      <c r="AJ79" s="107"/>
      <c r="AK79" s="107"/>
      <c r="AL79" s="107"/>
      <c r="AM79" s="107"/>
      <c r="AN79" s="107"/>
      <c r="AO79" s="107"/>
      <c r="AP79" s="107"/>
      <c r="AQ79" s="107"/>
      <c r="AR79" s="107"/>
      <c r="AS79" s="107"/>
      <c r="AT79" s="107"/>
      <c r="AU79" s="107"/>
      <c r="AV79" s="107"/>
      <c r="AW79" s="107"/>
      <c r="AX79" s="107"/>
      <c r="AY79" s="107"/>
    </row>
    <row r="80" spans="1:51" x14ac:dyDescent="0.15">
      <c r="A80" s="106"/>
      <c r="B80" s="124">
        <v>36</v>
      </c>
      <c r="C80" s="106" t="s">
        <v>292</v>
      </c>
      <c r="D80" s="107"/>
      <c r="E80" s="107"/>
      <c r="F80" s="107"/>
      <c r="G80" s="107"/>
      <c r="H80" s="107"/>
      <c r="I80" s="107"/>
      <c r="J80" s="107"/>
      <c r="K80" s="107"/>
      <c r="L80" s="107"/>
      <c r="M80" s="107"/>
      <c r="N80" s="107"/>
      <c r="O80" s="107"/>
      <c r="P80" s="107"/>
      <c r="Q80" s="107"/>
      <c r="R80" s="107"/>
      <c r="S80" s="107"/>
      <c r="T80" s="107"/>
      <c r="U80" s="107"/>
      <c r="V80" s="107"/>
      <c r="W80" s="107"/>
      <c r="X80" s="107"/>
      <c r="Y80" s="107"/>
      <c r="Z80" s="107"/>
      <c r="AA80" s="107"/>
      <c r="AB80" s="107"/>
      <c r="AC80" s="107"/>
      <c r="AD80" s="107"/>
      <c r="AE80" s="107"/>
      <c r="AF80" s="107"/>
      <c r="AG80" s="107"/>
      <c r="AH80" s="107"/>
      <c r="AI80" s="107"/>
      <c r="AJ80" s="107"/>
      <c r="AK80" s="107"/>
      <c r="AL80" s="107"/>
      <c r="AM80" s="107"/>
      <c r="AN80" s="107"/>
      <c r="AO80" s="107"/>
      <c r="AP80" s="107"/>
      <c r="AQ80" s="107"/>
      <c r="AR80" s="107"/>
      <c r="AS80" s="107"/>
      <c r="AT80" s="107"/>
      <c r="AU80" s="107"/>
      <c r="AV80" s="107"/>
      <c r="AW80" s="107"/>
      <c r="AX80" s="107"/>
      <c r="AY80" s="107"/>
    </row>
    <row r="81" spans="1:52" x14ac:dyDescent="0.15">
      <c r="A81" s="106"/>
      <c r="B81" s="127">
        <v>37</v>
      </c>
      <c r="C81" s="106" t="s">
        <v>292</v>
      </c>
      <c r="D81" s="107"/>
      <c r="E81" s="107"/>
      <c r="F81" s="107"/>
      <c r="G81" s="107"/>
      <c r="H81" s="107"/>
      <c r="I81" s="107"/>
      <c r="J81" s="107"/>
      <c r="K81" s="107"/>
      <c r="L81" s="107"/>
      <c r="M81" s="107"/>
      <c r="N81" s="107"/>
      <c r="O81" s="107"/>
      <c r="P81" s="107"/>
      <c r="Q81" s="107"/>
      <c r="R81" s="107"/>
      <c r="S81" s="107"/>
      <c r="T81" s="107"/>
      <c r="U81" s="107"/>
      <c r="V81" s="107"/>
      <c r="W81" s="107"/>
      <c r="X81" s="107"/>
      <c r="Y81" s="107"/>
      <c r="Z81" s="107"/>
      <c r="AA81" s="107"/>
      <c r="AB81" s="107"/>
      <c r="AC81" s="107"/>
      <c r="AD81" s="107"/>
      <c r="AE81" s="107"/>
      <c r="AF81" s="107"/>
      <c r="AG81" s="107"/>
      <c r="AH81" s="107"/>
      <c r="AI81" s="107"/>
      <c r="AJ81" s="107"/>
      <c r="AK81" s="107"/>
      <c r="AL81" s="107"/>
      <c r="AM81" s="107"/>
      <c r="AN81" s="107"/>
      <c r="AO81" s="107"/>
      <c r="AP81" s="107"/>
      <c r="AQ81" s="107"/>
      <c r="AR81" s="107"/>
      <c r="AS81" s="107"/>
      <c r="AT81" s="107"/>
      <c r="AU81" s="107"/>
      <c r="AV81" s="107"/>
      <c r="AW81" s="107"/>
      <c r="AX81" s="107"/>
      <c r="AY81" s="107"/>
    </row>
    <row r="82" spans="1:52" x14ac:dyDescent="0.15">
      <c r="A82" s="106"/>
      <c r="B82" s="127">
        <v>38</v>
      </c>
      <c r="C82" s="106" t="s">
        <v>292</v>
      </c>
      <c r="D82" s="107"/>
      <c r="E82" s="107"/>
      <c r="F82" s="107"/>
      <c r="G82" s="107"/>
      <c r="H82" s="107"/>
      <c r="I82" s="107"/>
      <c r="J82" s="107"/>
      <c r="K82" s="107"/>
      <c r="L82" s="107"/>
      <c r="M82" s="107"/>
      <c r="N82" s="107"/>
      <c r="O82" s="107"/>
      <c r="P82" s="107"/>
      <c r="Q82" s="107"/>
      <c r="R82" s="107"/>
      <c r="S82" s="107"/>
      <c r="T82" s="107"/>
      <c r="U82" s="107"/>
      <c r="V82" s="107"/>
      <c r="W82" s="107"/>
      <c r="X82" s="107"/>
      <c r="Y82" s="107"/>
      <c r="Z82" s="107"/>
      <c r="AA82" s="107"/>
      <c r="AB82" s="107"/>
      <c r="AC82" s="107"/>
      <c r="AD82" s="107"/>
      <c r="AE82" s="107"/>
      <c r="AF82" s="107"/>
      <c r="AG82" s="107"/>
      <c r="AH82" s="107"/>
      <c r="AI82" s="107"/>
      <c r="AJ82" s="107"/>
      <c r="AK82" s="107"/>
      <c r="AL82" s="107"/>
      <c r="AM82" s="107"/>
      <c r="AN82" s="107"/>
      <c r="AO82" s="107"/>
      <c r="AP82" s="107"/>
      <c r="AQ82" s="107"/>
      <c r="AR82" s="107"/>
      <c r="AS82" s="107"/>
      <c r="AT82" s="107"/>
      <c r="AU82" s="107"/>
      <c r="AV82" s="107"/>
      <c r="AW82" s="107"/>
      <c r="AX82" s="107"/>
      <c r="AY82" s="107"/>
    </row>
    <row r="83" spans="1:52" x14ac:dyDescent="0.15">
      <c r="A83" s="106"/>
      <c r="B83" s="127">
        <v>39</v>
      </c>
      <c r="C83" s="106" t="s">
        <v>292</v>
      </c>
      <c r="D83" s="107"/>
      <c r="E83" s="107"/>
      <c r="F83" s="107"/>
      <c r="G83" s="107"/>
      <c r="H83" s="107"/>
      <c r="I83" s="107"/>
      <c r="J83" s="107"/>
      <c r="K83" s="107"/>
      <c r="L83" s="107"/>
      <c r="M83" s="107"/>
      <c r="N83" s="107"/>
      <c r="O83" s="107"/>
      <c r="P83" s="107"/>
      <c r="Q83" s="107"/>
      <c r="R83" s="107"/>
      <c r="S83" s="107"/>
      <c r="T83" s="107"/>
      <c r="U83" s="107"/>
      <c r="V83" s="107"/>
      <c r="W83" s="107"/>
      <c r="X83" s="107"/>
      <c r="Y83" s="107"/>
      <c r="Z83" s="107"/>
      <c r="AA83" s="107"/>
      <c r="AB83" s="107"/>
      <c r="AC83" s="107"/>
      <c r="AD83" s="107"/>
      <c r="AE83" s="107"/>
      <c r="AF83" s="107"/>
      <c r="AG83" s="107"/>
      <c r="AH83" s="107"/>
      <c r="AI83" s="107"/>
      <c r="AJ83" s="107"/>
      <c r="AK83" s="107"/>
      <c r="AL83" s="107"/>
      <c r="AM83" s="107"/>
      <c r="AN83" s="107"/>
      <c r="AO83" s="107"/>
      <c r="AP83" s="107"/>
      <c r="AQ83" s="107"/>
      <c r="AR83" s="107"/>
      <c r="AS83" s="107"/>
      <c r="AT83" s="107"/>
      <c r="AU83" s="107"/>
      <c r="AV83" s="107"/>
      <c r="AW83" s="107"/>
      <c r="AX83" s="107"/>
      <c r="AY83" s="107"/>
    </row>
    <row r="84" spans="1:52" x14ac:dyDescent="0.15">
      <c r="A84" s="106"/>
      <c r="B84" s="127">
        <v>40</v>
      </c>
      <c r="C84" s="106" t="s">
        <v>292</v>
      </c>
      <c r="D84" s="107"/>
      <c r="E84" s="107"/>
      <c r="F84" s="107"/>
      <c r="G84" s="107"/>
      <c r="H84" s="107"/>
      <c r="I84" s="107"/>
      <c r="J84" s="107"/>
      <c r="K84" s="107"/>
      <c r="L84" s="107"/>
      <c r="M84" s="107"/>
      <c r="N84" s="107"/>
      <c r="O84" s="107"/>
      <c r="P84" s="107"/>
      <c r="Q84" s="107"/>
      <c r="R84" s="107"/>
      <c r="S84" s="107"/>
      <c r="T84" s="107"/>
      <c r="U84" s="107"/>
      <c r="V84" s="107"/>
      <c r="W84" s="107"/>
      <c r="X84" s="107"/>
      <c r="Y84" s="107"/>
      <c r="Z84" s="107"/>
      <c r="AA84" s="107"/>
      <c r="AB84" s="107"/>
      <c r="AC84" s="107"/>
      <c r="AD84" s="107"/>
      <c r="AE84" s="107"/>
      <c r="AF84" s="107"/>
      <c r="AG84" s="107"/>
      <c r="AH84" s="107"/>
      <c r="AI84" s="107"/>
      <c r="AJ84" s="107"/>
      <c r="AK84" s="107"/>
      <c r="AL84" s="107"/>
      <c r="AM84" s="107"/>
      <c r="AN84" s="107"/>
      <c r="AO84" s="107"/>
      <c r="AP84" s="107"/>
      <c r="AQ84" s="107"/>
      <c r="AR84" s="107"/>
      <c r="AS84" s="107"/>
      <c r="AT84" s="107"/>
      <c r="AU84" s="107"/>
      <c r="AV84" s="107"/>
      <c r="AW84" s="107"/>
      <c r="AX84" s="107"/>
      <c r="AY84" s="107"/>
    </row>
    <row r="85" spans="1:52" x14ac:dyDescent="0.15">
      <c r="A85" s="106"/>
      <c r="B85" s="127">
        <v>41</v>
      </c>
      <c r="C85" s="106" t="s">
        <v>292</v>
      </c>
      <c r="D85" s="107"/>
      <c r="E85" s="107"/>
      <c r="F85" s="107"/>
      <c r="G85" s="107"/>
      <c r="H85" s="107"/>
      <c r="I85" s="107"/>
      <c r="J85" s="107"/>
      <c r="K85" s="107"/>
      <c r="L85" s="107"/>
      <c r="M85" s="107"/>
      <c r="N85" s="107"/>
      <c r="O85" s="107"/>
      <c r="P85" s="107"/>
      <c r="Q85" s="107"/>
      <c r="R85" s="107"/>
      <c r="S85" s="107"/>
      <c r="T85" s="107"/>
      <c r="U85" s="107"/>
      <c r="V85" s="107"/>
      <c r="W85" s="107"/>
      <c r="X85" s="107"/>
      <c r="Y85" s="107"/>
      <c r="Z85" s="107"/>
      <c r="AA85" s="107"/>
      <c r="AB85" s="107"/>
      <c r="AC85" s="107"/>
      <c r="AD85" s="107"/>
      <c r="AE85" s="107"/>
      <c r="AF85" s="107"/>
      <c r="AG85" s="107"/>
      <c r="AH85" s="107"/>
      <c r="AI85" s="107"/>
      <c r="AJ85" s="107"/>
      <c r="AK85" s="107"/>
      <c r="AL85" s="107"/>
      <c r="AM85" s="107"/>
      <c r="AN85" s="107"/>
      <c r="AO85" s="107"/>
      <c r="AP85" s="107"/>
      <c r="AQ85" s="107"/>
      <c r="AR85" s="107"/>
      <c r="AS85" s="107"/>
      <c r="AT85" s="107"/>
      <c r="AU85" s="107"/>
      <c r="AV85" s="107"/>
      <c r="AW85" s="107"/>
      <c r="AX85" s="107"/>
      <c r="AY85" s="107"/>
    </row>
    <row r="86" spans="1:52" x14ac:dyDescent="0.15">
      <c r="A86" s="106"/>
      <c r="B86" s="127">
        <v>42</v>
      </c>
      <c r="C86" s="106" t="s">
        <v>292</v>
      </c>
      <c r="D86" s="107"/>
      <c r="E86" s="107"/>
      <c r="F86" s="107"/>
      <c r="G86" s="107"/>
      <c r="H86" s="107"/>
      <c r="I86" s="107"/>
      <c r="J86" s="107"/>
      <c r="K86" s="107"/>
      <c r="L86" s="107"/>
      <c r="M86" s="107"/>
      <c r="N86" s="107"/>
      <c r="O86" s="107"/>
      <c r="P86" s="107"/>
      <c r="Q86" s="107"/>
      <c r="R86" s="107"/>
      <c r="S86" s="107"/>
      <c r="T86" s="107"/>
      <c r="U86" s="107"/>
      <c r="V86" s="107"/>
      <c r="W86" s="107"/>
      <c r="X86" s="107"/>
      <c r="Y86" s="107"/>
      <c r="Z86" s="107"/>
      <c r="AA86" s="107"/>
      <c r="AB86" s="107"/>
      <c r="AC86" s="107"/>
      <c r="AD86" s="107"/>
      <c r="AE86" s="107"/>
      <c r="AF86" s="107"/>
      <c r="AG86" s="107"/>
      <c r="AH86" s="107"/>
      <c r="AI86" s="107"/>
      <c r="AJ86" s="107"/>
      <c r="AK86" s="107"/>
      <c r="AL86" s="107"/>
      <c r="AM86" s="107"/>
      <c r="AN86" s="107"/>
      <c r="AO86" s="107"/>
      <c r="AP86" s="107"/>
      <c r="AQ86" s="107"/>
      <c r="AR86" s="107"/>
      <c r="AS86" s="107"/>
      <c r="AT86" s="107"/>
      <c r="AU86" s="107"/>
      <c r="AV86" s="107"/>
      <c r="AW86" s="107"/>
      <c r="AX86" s="107"/>
      <c r="AY86" s="107"/>
    </row>
    <row r="87" spans="1:52" x14ac:dyDescent="0.15">
      <c r="A87" s="106"/>
      <c r="B87" s="127">
        <v>43</v>
      </c>
      <c r="C87" s="106" t="s">
        <v>292</v>
      </c>
      <c r="D87" s="107"/>
      <c r="E87" s="107"/>
      <c r="F87" s="107"/>
      <c r="G87" s="107"/>
      <c r="H87" s="107"/>
      <c r="I87" s="107"/>
      <c r="J87" s="107"/>
      <c r="K87" s="107"/>
      <c r="L87" s="107"/>
      <c r="M87" s="107"/>
      <c r="N87" s="107"/>
      <c r="O87" s="107"/>
      <c r="P87" s="107"/>
      <c r="Q87" s="107"/>
      <c r="R87" s="107"/>
      <c r="S87" s="107"/>
      <c r="T87" s="107"/>
      <c r="U87" s="107"/>
      <c r="V87" s="107"/>
      <c r="W87" s="107"/>
      <c r="X87" s="107"/>
      <c r="Y87" s="107"/>
      <c r="Z87" s="107"/>
      <c r="AA87" s="107"/>
      <c r="AB87" s="107"/>
      <c r="AC87" s="107"/>
      <c r="AD87" s="107"/>
      <c r="AE87" s="107"/>
      <c r="AF87" s="107"/>
      <c r="AG87" s="107"/>
      <c r="AH87" s="107"/>
      <c r="AI87" s="107"/>
      <c r="AJ87" s="107"/>
      <c r="AK87" s="107"/>
      <c r="AL87" s="107"/>
      <c r="AM87" s="107"/>
      <c r="AN87" s="107"/>
      <c r="AO87" s="107"/>
      <c r="AP87" s="107"/>
      <c r="AQ87" s="107"/>
      <c r="AR87" s="107"/>
      <c r="AS87" s="107"/>
      <c r="AT87" s="107"/>
      <c r="AU87" s="107"/>
      <c r="AV87" s="107"/>
      <c r="AW87" s="107"/>
      <c r="AX87" s="107"/>
      <c r="AY87" s="107"/>
    </row>
    <row r="88" spans="1:52" x14ac:dyDescent="0.15">
      <c r="A88" s="106"/>
      <c r="B88" s="127">
        <v>44</v>
      </c>
      <c r="C88" s="106" t="s">
        <v>292</v>
      </c>
      <c r="D88" s="107"/>
      <c r="E88" s="107"/>
      <c r="F88" s="107"/>
      <c r="G88" s="107"/>
      <c r="H88" s="107"/>
      <c r="I88" s="107"/>
      <c r="J88" s="107"/>
      <c r="K88" s="107"/>
      <c r="L88" s="107"/>
      <c r="M88" s="107"/>
      <c r="N88" s="107"/>
      <c r="O88" s="107"/>
      <c r="P88" s="107"/>
      <c r="Q88" s="107"/>
      <c r="R88" s="107"/>
      <c r="S88" s="107"/>
      <c r="T88" s="107"/>
      <c r="U88" s="107"/>
      <c r="V88" s="107"/>
      <c r="W88" s="107"/>
      <c r="X88" s="107"/>
      <c r="Y88" s="107"/>
      <c r="Z88" s="107"/>
      <c r="AA88" s="107"/>
      <c r="AB88" s="107"/>
      <c r="AC88" s="107"/>
      <c r="AD88" s="107"/>
      <c r="AE88" s="107"/>
      <c r="AF88" s="107"/>
      <c r="AG88" s="107"/>
      <c r="AH88" s="107"/>
      <c r="AI88" s="107"/>
      <c r="AJ88" s="107"/>
      <c r="AK88" s="107"/>
      <c r="AL88" s="107"/>
      <c r="AM88" s="107"/>
      <c r="AN88" s="107"/>
      <c r="AO88" s="107"/>
      <c r="AP88" s="107"/>
      <c r="AQ88" s="107"/>
      <c r="AR88" s="107"/>
      <c r="AS88" s="107"/>
      <c r="AT88" s="107"/>
      <c r="AU88" s="107"/>
      <c r="AV88" s="107"/>
      <c r="AW88" s="107"/>
      <c r="AX88" s="107"/>
      <c r="AY88" s="107"/>
    </row>
    <row r="89" spans="1:52" x14ac:dyDescent="0.15">
      <c r="A89" s="106"/>
      <c r="B89" s="127">
        <v>45</v>
      </c>
      <c r="C89" s="106" t="s">
        <v>292</v>
      </c>
      <c r="D89" s="107"/>
      <c r="E89" s="107"/>
      <c r="F89" s="107"/>
      <c r="G89" s="107"/>
      <c r="H89" s="107"/>
      <c r="I89" s="107"/>
      <c r="J89" s="107"/>
      <c r="K89" s="107"/>
      <c r="L89" s="107"/>
      <c r="M89" s="107"/>
      <c r="N89" s="107"/>
      <c r="O89" s="107"/>
      <c r="P89" s="107"/>
      <c r="Q89" s="107"/>
      <c r="R89" s="107"/>
      <c r="S89" s="107"/>
      <c r="T89" s="107"/>
      <c r="U89" s="107"/>
      <c r="V89" s="107"/>
      <c r="W89" s="107"/>
      <c r="X89" s="107"/>
      <c r="Y89" s="107"/>
      <c r="Z89" s="107"/>
      <c r="AA89" s="107"/>
      <c r="AB89" s="107"/>
      <c r="AC89" s="107"/>
      <c r="AD89" s="107"/>
      <c r="AE89" s="107"/>
      <c r="AF89" s="107"/>
      <c r="AG89" s="107"/>
      <c r="AH89" s="107"/>
      <c r="AI89" s="107"/>
      <c r="AJ89" s="107"/>
      <c r="AK89" s="107"/>
      <c r="AL89" s="107"/>
      <c r="AM89" s="107"/>
      <c r="AN89" s="107"/>
      <c r="AO89" s="107"/>
      <c r="AP89" s="107"/>
      <c r="AQ89" s="107"/>
      <c r="AR89" s="107"/>
      <c r="AS89" s="107"/>
      <c r="AT89" s="107"/>
      <c r="AU89" s="107"/>
      <c r="AV89" s="107"/>
      <c r="AW89" s="107"/>
      <c r="AX89" s="107"/>
      <c r="AY89" s="107"/>
    </row>
    <row r="90" spans="1:52" x14ac:dyDescent="0.15">
      <c r="A90" s="106"/>
      <c r="B90" s="127">
        <v>46</v>
      </c>
      <c r="C90" s="106" t="s">
        <v>292</v>
      </c>
      <c r="D90" s="107"/>
      <c r="E90" s="107"/>
      <c r="F90" s="107"/>
      <c r="G90" s="107"/>
      <c r="H90" s="107"/>
      <c r="I90" s="107"/>
      <c r="J90" s="107"/>
      <c r="K90" s="107"/>
      <c r="L90" s="107"/>
      <c r="M90" s="107"/>
      <c r="N90" s="107"/>
      <c r="O90" s="107"/>
      <c r="P90" s="107"/>
      <c r="Q90" s="107"/>
      <c r="R90" s="107"/>
      <c r="S90" s="107"/>
      <c r="T90" s="107"/>
      <c r="U90" s="107"/>
      <c r="V90" s="107"/>
      <c r="W90" s="107"/>
      <c r="X90" s="107"/>
      <c r="Y90" s="107"/>
      <c r="Z90" s="107"/>
      <c r="AA90" s="107"/>
      <c r="AB90" s="107"/>
      <c r="AC90" s="107"/>
      <c r="AD90" s="107"/>
      <c r="AE90" s="107"/>
      <c r="AF90" s="107"/>
      <c r="AG90" s="107"/>
      <c r="AH90" s="107"/>
      <c r="AI90" s="107"/>
      <c r="AJ90" s="107"/>
      <c r="AK90" s="107"/>
      <c r="AL90" s="107"/>
      <c r="AM90" s="107"/>
      <c r="AN90" s="107"/>
      <c r="AO90" s="107"/>
      <c r="AP90" s="107"/>
      <c r="AQ90" s="107"/>
      <c r="AR90" s="107"/>
      <c r="AS90" s="107"/>
      <c r="AT90" s="107"/>
      <c r="AU90" s="107"/>
      <c r="AV90" s="107"/>
      <c r="AW90" s="107"/>
      <c r="AX90" s="107"/>
      <c r="AY90" s="107"/>
    </row>
    <row r="91" spans="1:52" x14ac:dyDescent="0.15">
      <c r="A91" s="106"/>
      <c r="B91" s="127">
        <v>47</v>
      </c>
      <c r="C91" s="106" t="s">
        <v>292</v>
      </c>
      <c r="D91" s="107"/>
      <c r="E91" s="107"/>
      <c r="F91" s="107"/>
      <c r="G91" s="107"/>
      <c r="H91" s="107"/>
      <c r="I91" s="107"/>
      <c r="J91" s="107"/>
      <c r="K91" s="107"/>
      <c r="L91" s="107"/>
      <c r="M91" s="107"/>
      <c r="N91" s="107"/>
      <c r="O91" s="107"/>
      <c r="P91" s="107"/>
      <c r="Q91" s="107"/>
      <c r="R91" s="107"/>
      <c r="S91" s="107"/>
      <c r="T91" s="107"/>
      <c r="U91" s="107"/>
      <c r="V91" s="107"/>
      <c r="W91" s="107"/>
      <c r="X91" s="107"/>
      <c r="Y91" s="107"/>
      <c r="Z91" s="107"/>
      <c r="AA91" s="107"/>
      <c r="AB91" s="107"/>
      <c r="AC91" s="107"/>
      <c r="AD91" s="107"/>
      <c r="AE91" s="107"/>
      <c r="AF91" s="107"/>
      <c r="AG91" s="107"/>
      <c r="AH91" s="107"/>
      <c r="AI91" s="107"/>
      <c r="AJ91" s="107"/>
      <c r="AK91" s="107"/>
      <c r="AL91" s="107"/>
      <c r="AM91" s="107"/>
      <c r="AN91" s="107"/>
      <c r="AO91" s="107"/>
      <c r="AP91" s="107"/>
      <c r="AQ91" s="107"/>
      <c r="AR91" s="107"/>
      <c r="AS91" s="107"/>
      <c r="AT91" s="107"/>
      <c r="AU91" s="107"/>
      <c r="AV91" s="107"/>
      <c r="AW91" s="107"/>
      <c r="AX91" s="107"/>
      <c r="AY91" s="107"/>
    </row>
    <row r="92" spans="1:52" x14ac:dyDescent="0.15">
      <c r="A92" s="125"/>
      <c r="B92" s="126">
        <v>48</v>
      </c>
      <c r="C92" s="125" t="s">
        <v>292</v>
      </c>
      <c r="D92" s="122">
        <v>0</v>
      </c>
      <c r="E92" s="122">
        <v>0</v>
      </c>
      <c r="F92" s="122">
        <v>0</v>
      </c>
      <c r="G92" s="122">
        <v>0</v>
      </c>
      <c r="H92" s="122">
        <v>0</v>
      </c>
      <c r="I92" s="122">
        <v>0</v>
      </c>
      <c r="J92" s="122">
        <v>0</v>
      </c>
      <c r="K92" s="122">
        <v>0</v>
      </c>
      <c r="L92" s="122">
        <v>0</v>
      </c>
      <c r="M92" s="122">
        <v>0</v>
      </c>
      <c r="N92" s="122">
        <v>0</v>
      </c>
      <c r="O92" s="122">
        <v>0</v>
      </c>
      <c r="P92" s="122">
        <v>0</v>
      </c>
      <c r="Q92" s="122">
        <v>0</v>
      </c>
      <c r="R92" s="122">
        <v>0</v>
      </c>
      <c r="S92" s="122">
        <v>0</v>
      </c>
      <c r="T92" s="122">
        <v>0</v>
      </c>
      <c r="U92" s="122">
        <v>0</v>
      </c>
      <c r="V92" s="122">
        <v>0</v>
      </c>
      <c r="W92" s="122">
        <v>0</v>
      </c>
      <c r="X92" s="122">
        <v>0</v>
      </c>
      <c r="Y92" s="122">
        <v>0</v>
      </c>
      <c r="Z92" s="122">
        <v>0</v>
      </c>
      <c r="AA92" s="122">
        <v>0</v>
      </c>
      <c r="AB92" s="122">
        <v>0</v>
      </c>
      <c r="AC92" s="122">
        <v>0</v>
      </c>
      <c r="AD92" s="122">
        <v>0</v>
      </c>
      <c r="AE92" s="122">
        <v>0</v>
      </c>
      <c r="AF92" s="122">
        <v>0</v>
      </c>
      <c r="AG92" s="122">
        <v>0</v>
      </c>
      <c r="AH92" s="122">
        <v>0</v>
      </c>
      <c r="AI92" s="122">
        <v>0</v>
      </c>
      <c r="AJ92" s="122">
        <v>0</v>
      </c>
      <c r="AK92" s="122">
        <v>0</v>
      </c>
      <c r="AL92" s="122">
        <v>0</v>
      </c>
      <c r="AM92" s="122">
        <v>0</v>
      </c>
      <c r="AN92" s="122">
        <v>0</v>
      </c>
      <c r="AO92" s="122">
        <v>0</v>
      </c>
      <c r="AP92" s="122">
        <v>0</v>
      </c>
      <c r="AQ92" s="122">
        <v>0</v>
      </c>
      <c r="AR92" s="122">
        <v>0</v>
      </c>
      <c r="AS92" s="122">
        <v>0</v>
      </c>
      <c r="AT92" s="122">
        <v>0</v>
      </c>
      <c r="AU92" s="122">
        <v>0</v>
      </c>
      <c r="AV92" s="122">
        <v>0</v>
      </c>
      <c r="AW92" s="122">
        <v>0</v>
      </c>
      <c r="AX92" s="122">
        <v>0</v>
      </c>
      <c r="AY92" s="122">
        <v>0</v>
      </c>
      <c r="AZ92" s="104">
        <f>SUM(D21:AY92)</f>
        <v>13175.216957511031</v>
      </c>
    </row>
    <row r="94" spans="1:52" x14ac:dyDescent="0.15">
      <c r="A94" s="99" t="s">
        <v>294</v>
      </c>
      <c r="B94" s="103"/>
      <c r="C94" s="103"/>
      <c r="D94" s="111"/>
      <c r="E94" s="111"/>
      <c r="F94" s="111"/>
      <c r="G94" s="111"/>
      <c r="H94" s="111"/>
      <c r="I94" s="111"/>
      <c r="J94" s="111"/>
      <c r="K94" s="111"/>
      <c r="L94" s="111"/>
      <c r="M94" s="111"/>
      <c r="N94" s="111"/>
      <c r="O94" s="111"/>
      <c r="P94" s="111"/>
      <c r="Q94" s="111"/>
      <c r="R94" s="111"/>
      <c r="S94" s="111"/>
      <c r="T94" s="111"/>
      <c r="U94" s="111"/>
      <c r="V94" s="111"/>
      <c r="W94" s="111"/>
      <c r="X94" s="111"/>
      <c r="Y94" s="111"/>
      <c r="Z94" s="111"/>
      <c r="AA94" s="111"/>
      <c r="AB94" s="111"/>
      <c r="AC94" s="111"/>
      <c r="AD94" s="111"/>
      <c r="AE94" s="111"/>
      <c r="AF94" s="111"/>
      <c r="AG94" s="111"/>
      <c r="AH94" s="111"/>
      <c r="AI94" s="111"/>
      <c r="AJ94" s="111"/>
      <c r="AK94" s="111"/>
      <c r="AL94" s="111"/>
      <c r="AM94" s="111"/>
      <c r="AN94" s="111"/>
      <c r="AO94" s="111"/>
      <c r="AP94" s="111"/>
      <c r="AQ94" s="111"/>
      <c r="AR94" s="111"/>
      <c r="AS94" s="111"/>
      <c r="AT94" s="111"/>
      <c r="AU94" s="111"/>
      <c r="AV94" s="111"/>
      <c r="AW94" s="111"/>
      <c r="AX94" s="111"/>
      <c r="AY94" s="111"/>
    </row>
    <row r="95" spans="1:52" x14ac:dyDescent="0.15">
      <c r="A95" s="123" t="s">
        <v>125</v>
      </c>
      <c r="B95" s="120">
        <v>1</v>
      </c>
      <c r="C95" s="121"/>
      <c r="D95" s="107">
        <v>9793.5921961874192</v>
      </c>
      <c r="E95" s="107">
        <v>9796.2758386860442</v>
      </c>
      <c r="F95" s="107">
        <v>9798.9596239610037</v>
      </c>
      <c r="G95" s="107">
        <v>9801.6431215911725</v>
      </c>
      <c r="H95" s="107">
        <v>9804.325901011287</v>
      </c>
      <c r="I95" s="107">
        <v>9807.0075315874692</v>
      </c>
      <c r="J95" s="107">
        <v>9437.5312778849657</v>
      </c>
      <c r="K95" s="107">
        <v>9812.3656237829837</v>
      </c>
      <c r="L95" s="107">
        <v>9554.7283452446882</v>
      </c>
      <c r="M95" s="107">
        <v>9560.5192605382417</v>
      </c>
      <c r="N95" s="107">
        <v>9190.9379796696376</v>
      </c>
      <c r="O95" s="107">
        <v>9823.0490842328272</v>
      </c>
      <c r="P95" s="107">
        <v>9825.7106252688573</v>
      </c>
      <c r="Q95" s="107">
        <v>9828.3675789948393</v>
      </c>
      <c r="R95" s="107">
        <v>9831.0195175626886</v>
      </c>
      <c r="S95" s="107">
        <v>9833.6660138117877</v>
      </c>
      <c r="T95" s="107">
        <v>8375.9013429465977</v>
      </c>
      <c r="U95" s="107">
        <v>8759.9948652347011</v>
      </c>
      <c r="V95" s="107">
        <v>8763.9362867360778</v>
      </c>
      <c r="W95" s="107">
        <v>9844.1890606893976</v>
      </c>
      <c r="X95" s="107">
        <v>9846.8019672692863</v>
      </c>
      <c r="Y95" s="107">
        <v>9849.4068872187108</v>
      </c>
      <c r="Z95" s="107">
        <v>9852.0034002944103</v>
      </c>
      <c r="AA95" s="107">
        <v>9854.5910875404643</v>
      </c>
      <c r="AB95" s="107">
        <v>9857.1695313625733</v>
      </c>
      <c r="AC95" s="107">
        <v>9859.7383156021533</v>
      </c>
      <c r="AD95" s="107">
        <v>9010.5506849059111</v>
      </c>
      <c r="AE95" s="107">
        <v>9662.6370635844032</v>
      </c>
      <c r="AF95" s="107">
        <v>8802.657261821505</v>
      </c>
      <c r="AG95" s="107">
        <v>9869.9085879442737</v>
      </c>
      <c r="AH95" s="107">
        <v>9872.4228873009451</v>
      </c>
      <c r="AI95" s="107">
        <v>9874.9250643942651</v>
      </c>
      <c r="AJ95" s="107">
        <v>9877.4147151707057</v>
      </c>
      <c r="AK95" s="107">
        <v>9879.8914375964341</v>
      </c>
      <c r="AL95" s="107">
        <v>9882.3548317290297</v>
      </c>
      <c r="AM95" s="107">
        <v>9884.8044997888483</v>
      </c>
      <c r="AN95" s="107">
        <v>9887.2400462300684</v>
      </c>
      <c r="AO95" s="107">
        <v>9889.6610778113682</v>
      </c>
      <c r="AP95" s="107">
        <v>9892.0672036662363</v>
      </c>
      <c r="AQ95" s="107">
        <v>9894.4580353729016</v>
      </c>
      <c r="AR95" s="107">
        <v>9896.8331870238708</v>
      </c>
      <c r="AS95" s="107">
        <v>9737.0556220281906</v>
      </c>
      <c r="AT95" s="107">
        <v>9901.5349195145081</v>
      </c>
      <c r="AU95" s="107">
        <v>9903.8607417306412</v>
      </c>
      <c r="AV95" s="107">
        <v>9906.1693667801319</v>
      </c>
      <c r="AW95" s="107">
        <v>9908.4604223552542</v>
      </c>
      <c r="AX95" s="107">
        <v>9910.7335390708195</v>
      </c>
      <c r="AY95" s="107">
        <v>9912.9883505305825</v>
      </c>
    </row>
    <row r="96" spans="1:52" x14ac:dyDescent="0.15">
      <c r="A96" s="106"/>
      <c r="B96" s="117">
        <v>2</v>
      </c>
      <c r="C96" s="107"/>
      <c r="D96" s="107">
        <v>0</v>
      </c>
      <c r="E96" s="107">
        <v>4330.5921961874192</v>
      </c>
      <c r="F96" s="107">
        <v>9002.8680348734633</v>
      </c>
      <c r="G96" s="107">
        <v>9798.9596239610037</v>
      </c>
      <c r="H96" s="107">
        <v>9801.6431215911725</v>
      </c>
      <c r="I96" s="107">
        <v>9804.325901011287</v>
      </c>
      <c r="J96" s="107">
        <v>9807.0075315874692</v>
      </c>
      <c r="K96" s="107">
        <v>9437.5312778849657</v>
      </c>
      <c r="L96" s="107">
        <v>9812.3656237829837</v>
      </c>
      <c r="M96" s="107">
        <v>9554.7283452446882</v>
      </c>
      <c r="N96" s="107">
        <v>9560.5192605382417</v>
      </c>
      <c r="O96" s="107">
        <v>9190.9379796696376</v>
      </c>
      <c r="P96" s="107">
        <v>9823.0490842328272</v>
      </c>
      <c r="Q96" s="107">
        <v>9825.7106252688573</v>
      </c>
      <c r="R96" s="107">
        <v>9828.3675789948393</v>
      </c>
      <c r="S96" s="107">
        <v>9831.0195175626886</v>
      </c>
      <c r="T96" s="107">
        <v>9833.6660138117877</v>
      </c>
      <c r="U96" s="107">
        <v>8375.9013429465977</v>
      </c>
      <c r="V96" s="107">
        <v>8759.9948652347011</v>
      </c>
      <c r="W96" s="107">
        <v>8763.9362867360778</v>
      </c>
      <c r="X96" s="107">
        <v>9844.1890606893976</v>
      </c>
      <c r="Y96" s="107">
        <v>9846.8019672692863</v>
      </c>
      <c r="Z96" s="107">
        <v>9849.4068872187108</v>
      </c>
      <c r="AA96" s="107">
        <v>9852.0034002944103</v>
      </c>
      <c r="AB96" s="107">
        <v>9854.5910875404643</v>
      </c>
      <c r="AC96" s="107">
        <v>9857.1695313625733</v>
      </c>
      <c r="AD96" s="107">
        <v>9859.7383156021533</v>
      </c>
      <c r="AE96" s="107">
        <v>9010.5506849059111</v>
      </c>
      <c r="AF96" s="107">
        <v>9662.6370635844032</v>
      </c>
      <c r="AG96" s="107">
        <v>8802.657261821505</v>
      </c>
      <c r="AH96" s="107">
        <v>9869.9085879442737</v>
      </c>
      <c r="AI96" s="107">
        <v>9872.4228873009451</v>
      </c>
      <c r="AJ96" s="107">
        <v>9874.9250643942651</v>
      </c>
      <c r="AK96" s="107">
        <v>9877.4147151707057</v>
      </c>
      <c r="AL96" s="107">
        <v>9879.8914375964341</v>
      </c>
      <c r="AM96" s="107">
        <v>9882.3548317290297</v>
      </c>
      <c r="AN96" s="107">
        <v>9884.8044997888483</v>
      </c>
      <c r="AO96" s="107">
        <v>9887.2400462300684</v>
      </c>
      <c r="AP96" s="107">
        <v>9889.6610778113682</v>
      </c>
      <c r="AQ96" s="107">
        <v>9892.0672036662363</v>
      </c>
      <c r="AR96" s="107">
        <v>9894.4580353729016</v>
      </c>
      <c r="AS96" s="107">
        <v>9896.8331870238708</v>
      </c>
      <c r="AT96" s="107">
        <v>9737.0556220281906</v>
      </c>
      <c r="AU96" s="107">
        <v>9901.5349195145081</v>
      </c>
      <c r="AV96" s="107">
        <v>9903.8607417306412</v>
      </c>
      <c r="AW96" s="107">
        <v>9906.1693667801319</v>
      </c>
      <c r="AX96" s="107">
        <v>9908.4604223552542</v>
      </c>
      <c r="AY96" s="107">
        <v>9910.7335390708195</v>
      </c>
    </row>
    <row r="97" spans="1:52" x14ac:dyDescent="0.15">
      <c r="A97" s="106"/>
      <c r="B97" s="124">
        <v>3</v>
      </c>
      <c r="C97" s="107"/>
      <c r="D97" s="107">
        <v>0</v>
      </c>
      <c r="E97" s="107">
        <v>0</v>
      </c>
      <c r="F97" s="107">
        <v>0</v>
      </c>
      <c r="G97" s="107">
        <v>5610.8680348734633</v>
      </c>
      <c r="H97" s="107">
        <v>9798.9596239610037</v>
      </c>
      <c r="I97" s="107">
        <v>9801.6431215911725</v>
      </c>
      <c r="J97" s="107">
        <v>9804.325901011287</v>
      </c>
      <c r="K97" s="107">
        <v>9807.0075315874692</v>
      </c>
      <c r="L97" s="107">
        <v>9437.5312778849657</v>
      </c>
      <c r="M97" s="107">
        <v>9812.3656237829837</v>
      </c>
      <c r="N97" s="107">
        <v>9554.7283452446882</v>
      </c>
      <c r="O97" s="107">
        <v>9560.5192605382417</v>
      </c>
      <c r="P97" s="107">
        <v>9190.9379796696376</v>
      </c>
      <c r="Q97" s="107">
        <v>9823.0490842328272</v>
      </c>
      <c r="R97" s="107">
        <v>9825.7106252688573</v>
      </c>
      <c r="S97" s="107">
        <v>9828.3675789948393</v>
      </c>
      <c r="T97" s="107">
        <v>9831.0195175626886</v>
      </c>
      <c r="U97" s="107">
        <v>9833.6660138117877</v>
      </c>
      <c r="V97" s="107">
        <v>8375.9013429465977</v>
      </c>
      <c r="W97" s="107">
        <v>8759.9948652347011</v>
      </c>
      <c r="X97" s="107">
        <v>8763.9362867360778</v>
      </c>
      <c r="Y97" s="107">
        <v>9844.1890606893976</v>
      </c>
      <c r="Z97" s="107">
        <v>9846.8019672692863</v>
      </c>
      <c r="AA97" s="107">
        <v>9849.4068872187108</v>
      </c>
      <c r="AB97" s="107">
        <v>9852.0034002944103</v>
      </c>
      <c r="AC97" s="107">
        <v>9854.5910875404643</v>
      </c>
      <c r="AD97" s="107">
        <v>9857.1695313625733</v>
      </c>
      <c r="AE97" s="107">
        <v>9859.7383156021533</v>
      </c>
      <c r="AF97" s="107">
        <v>9010.5506849059111</v>
      </c>
      <c r="AG97" s="107">
        <v>9662.6370635844032</v>
      </c>
      <c r="AH97" s="107">
        <v>8802.657261821505</v>
      </c>
      <c r="AI97" s="107">
        <v>9869.9085879442737</v>
      </c>
      <c r="AJ97" s="107">
        <v>9872.4228873009451</v>
      </c>
      <c r="AK97" s="107">
        <v>9874.9250643942651</v>
      </c>
      <c r="AL97" s="107">
        <v>9877.4147151707057</v>
      </c>
      <c r="AM97" s="107">
        <v>9879.8914375964341</v>
      </c>
      <c r="AN97" s="107">
        <v>9882.3548317290297</v>
      </c>
      <c r="AO97" s="107">
        <v>9884.8044997888483</v>
      </c>
      <c r="AP97" s="107">
        <v>9887.2400462300684</v>
      </c>
      <c r="AQ97" s="107">
        <v>9889.6610778113682</v>
      </c>
      <c r="AR97" s="107">
        <v>9892.0672036662363</v>
      </c>
      <c r="AS97" s="107">
        <v>9894.4580353729016</v>
      </c>
      <c r="AT97" s="107">
        <v>9896.8331870238708</v>
      </c>
      <c r="AU97" s="107">
        <v>9737.0556220281906</v>
      </c>
      <c r="AV97" s="107">
        <v>9901.5349195145081</v>
      </c>
      <c r="AW97" s="107">
        <v>9903.8607417306412</v>
      </c>
      <c r="AX97" s="107">
        <v>9906.1693667801319</v>
      </c>
      <c r="AY97" s="107">
        <v>9908.4604223552542</v>
      </c>
    </row>
    <row r="98" spans="1:52" x14ac:dyDescent="0.15">
      <c r="A98" s="106"/>
      <c r="B98" s="127">
        <v>4</v>
      </c>
      <c r="C98" s="103"/>
      <c r="D98" s="107">
        <v>0</v>
      </c>
      <c r="E98" s="107">
        <v>0</v>
      </c>
      <c r="F98" s="107">
        <v>0</v>
      </c>
      <c r="G98" s="107">
        <v>0</v>
      </c>
      <c r="H98" s="107">
        <v>1370.8680348734633</v>
      </c>
      <c r="I98" s="107">
        <v>8766.827658834467</v>
      </c>
      <c r="J98" s="107">
        <v>9801.6431215911725</v>
      </c>
      <c r="K98" s="107">
        <v>9804.325901011287</v>
      </c>
      <c r="L98" s="107">
        <v>9807.0075315874692</v>
      </c>
      <c r="M98" s="107">
        <v>9437.5312778849657</v>
      </c>
      <c r="N98" s="107">
        <v>9812.3656237829837</v>
      </c>
      <c r="O98" s="107">
        <v>9554.7283452446882</v>
      </c>
      <c r="P98" s="107">
        <v>9560.5192605382417</v>
      </c>
      <c r="Q98" s="107">
        <v>9190.9379796696376</v>
      </c>
      <c r="R98" s="107">
        <v>9823.0490842328272</v>
      </c>
      <c r="S98" s="107">
        <v>9825.7106252688573</v>
      </c>
      <c r="T98" s="107">
        <v>9828.3675789948393</v>
      </c>
      <c r="U98" s="107">
        <v>9831.0195175626886</v>
      </c>
      <c r="V98" s="107">
        <v>9833.6660138117877</v>
      </c>
      <c r="W98" s="107">
        <v>8375.9013429465977</v>
      </c>
      <c r="X98" s="107">
        <v>8759.9948652347011</v>
      </c>
      <c r="Y98" s="107">
        <v>8763.9362867360778</v>
      </c>
      <c r="Z98" s="107">
        <v>9844.1890606893976</v>
      </c>
      <c r="AA98" s="107">
        <v>9846.8019672692863</v>
      </c>
      <c r="AB98" s="107">
        <v>9849.4068872187108</v>
      </c>
      <c r="AC98" s="107">
        <v>9852.0034002944103</v>
      </c>
      <c r="AD98" s="107">
        <v>9854.5910875404643</v>
      </c>
      <c r="AE98" s="107">
        <v>9857.1695313625733</v>
      </c>
      <c r="AF98" s="107">
        <v>9859.7383156021533</v>
      </c>
      <c r="AG98" s="107">
        <v>9010.5506849059111</v>
      </c>
      <c r="AH98" s="107">
        <v>9662.6370635844032</v>
      </c>
      <c r="AI98" s="107">
        <v>8402.7803701083376</v>
      </c>
      <c r="AJ98" s="107">
        <v>7347.6774688819896</v>
      </c>
      <c r="AK98" s="107">
        <v>8259.6716627088281</v>
      </c>
      <c r="AL98" s="107">
        <v>9063.0843629744159</v>
      </c>
      <c r="AM98" s="107">
        <v>8218.5292201125085</v>
      </c>
      <c r="AN98" s="107">
        <v>8801.3359565176852</v>
      </c>
      <c r="AO98" s="107">
        <v>9882.3548317290297</v>
      </c>
      <c r="AP98" s="107">
        <v>9112.1774105093155</v>
      </c>
      <c r="AQ98" s="107">
        <v>9203.7705594201234</v>
      </c>
      <c r="AR98" s="107">
        <v>9889.6610778113682</v>
      </c>
      <c r="AS98" s="107">
        <v>9892.0672036662363</v>
      </c>
      <c r="AT98" s="107">
        <v>9894.4580353729016</v>
      </c>
      <c r="AU98" s="107">
        <v>9564.1794491051169</v>
      </c>
      <c r="AV98" s="107">
        <v>9291.8266844426762</v>
      </c>
      <c r="AW98" s="107">
        <v>8851.8100386171227</v>
      </c>
      <c r="AX98" s="107">
        <v>9903.8607417306412</v>
      </c>
      <c r="AY98" s="107">
        <v>9906.1693667801319</v>
      </c>
    </row>
    <row r="99" spans="1:52" x14ac:dyDescent="0.15">
      <c r="A99" s="125"/>
      <c r="B99" s="129" t="s">
        <v>295</v>
      </c>
      <c r="C99" s="122"/>
      <c r="D99" s="122">
        <v>0</v>
      </c>
      <c r="E99" s="122">
        <v>0</v>
      </c>
      <c r="F99" s="122">
        <v>0</v>
      </c>
      <c r="G99" s="122">
        <v>0</v>
      </c>
      <c r="H99" s="122">
        <v>0</v>
      </c>
      <c r="I99" s="122">
        <v>0</v>
      </c>
      <c r="J99" s="122">
        <v>5779.827658834467</v>
      </c>
      <c r="K99" s="122">
        <v>6612.6431215911725</v>
      </c>
      <c r="L99" s="122">
        <v>6739.325901011287</v>
      </c>
      <c r="M99" s="122">
        <v>7917.0075315874692</v>
      </c>
      <c r="N99" s="122">
        <v>7345.5312778849657</v>
      </c>
      <c r="O99" s="122">
        <v>7798.3656237829837</v>
      </c>
      <c r="P99" s="122">
        <v>7697.7283452446882</v>
      </c>
      <c r="Q99" s="122">
        <v>8011.5192605382417</v>
      </c>
      <c r="R99" s="122">
        <v>7996.9379796696376</v>
      </c>
      <c r="S99" s="122">
        <v>8378.0490842328272</v>
      </c>
      <c r="T99" s="122">
        <v>8199.7106252688573</v>
      </c>
      <c r="U99" s="122">
        <v>8858.3675789948393</v>
      </c>
      <c r="V99" s="122">
        <v>8949.0195175626886</v>
      </c>
      <c r="W99" s="122">
        <v>8917.6660138117877</v>
      </c>
      <c r="X99" s="122">
        <v>7381.9013429465977</v>
      </c>
      <c r="Y99" s="122">
        <v>7909.9948652347011</v>
      </c>
      <c r="Z99" s="122">
        <v>8022.9362867360778</v>
      </c>
      <c r="AA99" s="122">
        <v>9106.1890606893976</v>
      </c>
      <c r="AB99" s="122">
        <v>9005.8019672692863</v>
      </c>
      <c r="AC99" s="122">
        <v>9304.4068872187108</v>
      </c>
      <c r="AD99" s="122">
        <v>9255.0034002944103</v>
      </c>
      <c r="AE99" s="122">
        <v>9354.5910875404643</v>
      </c>
      <c r="AF99" s="122">
        <v>9246.1695313625733</v>
      </c>
      <c r="AG99" s="122">
        <v>9313.7383156021533</v>
      </c>
      <c r="AH99" s="122">
        <v>8449.5506849059111</v>
      </c>
      <c r="AI99" s="122">
        <v>9187.6370635844032</v>
      </c>
      <c r="AJ99" s="122">
        <v>7942.7803701083376</v>
      </c>
      <c r="AK99" s="122">
        <v>6863.6774688819896</v>
      </c>
      <c r="AL99" s="122">
        <v>7919.6716627088281</v>
      </c>
      <c r="AM99" s="122">
        <v>8641.0843629744159</v>
      </c>
      <c r="AN99" s="122">
        <v>7724.5292201125085</v>
      </c>
      <c r="AO99" s="122">
        <v>8428.3359565176852</v>
      </c>
      <c r="AP99" s="122">
        <v>9501.3548317290297</v>
      </c>
      <c r="AQ99" s="122">
        <v>8787.1774105093155</v>
      </c>
      <c r="AR99" s="122">
        <v>8838.7705594201234</v>
      </c>
      <c r="AS99" s="122">
        <v>9572.6610778113682</v>
      </c>
      <c r="AT99" s="122">
        <v>9569.0672036662363</v>
      </c>
      <c r="AU99" s="122">
        <v>9600.4580353729016</v>
      </c>
      <c r="AV99" s="122">
        <v>9282.1794491051169</v>
      </c>
      <c r="AW99" s="122">
        <v>9084.8266844426762</v>
      </c>
      <c r="AX99" s="122">
        <v>8602.8100386171227</v>
      </c>
      <c r="AY99" s="122">
        <v>9665.8607417306412</v>
      </c>
      <c r="AZ99" s="104">
        <f>SUM($D99:$AY99)</f>
        <v>354764.86508710892</v>
      </c>
    </row>
    <row r="100" spans="1:52" x14ac:dyDescent="0.15">
      <c r="A100" s="128" t="s">
        <v>133</v>
      </c>
      <c r="B100" s="116">
        <v>1</v>
      </c>
      <c r="C100" s="103"/>
      <c r="D100" s="103">
        <v>0</v>
      </c>
      <c r="E100" s="103">
        <v>0</v>
      </c>
      <c r="F100" s="103">
        <v>1947.194299022357</v>
      </c>
      <c r="G100" s="103">
        <v>90</v>
      </c>
      <c r="H100" s="103">
        <v>1948.2614687136993</v>
      </c>
      <c r="I100" s="103">
        <v>0</v>
      </c>
      <c r="J100" s="103">
        <v>1030</v>
      </c>
      <c r="K100" s="103">
        <v>1771.433895041735</v>
      </c>
      <c r="L100" s="103">
        <v>1876.4010929816657</v>
      </c>
      <c r="M100" s="103">
        <v>1802.3689428192176</v>
      </c>
      <c r="N100" s="103">
        <v>1899.7026004217885</v>
      </c>
      <c r="O100" s="103">
        <v>1758.4188998512916</v>
      </c>
      <c r="P100" s="103">
        <v>1827.3726001831874</v>
      </c>
      <c r="Q100" s="103">
        <v>1804.2333276757915</v>
      </c>
      <c r="R100" s="103">
        <v>1018.882394283655</v>
      </c>
      <c r="S100" s="103">
        <v>1805.1614652526205</v>
      </c>
      <c r="T100" s="103">
        <v>1954.6357224908543</v>
      </c>
      <c r="U100" s="103">
        <v>1806.0861021418229</v>
      </c>
      <c r="V100" s="103">
        <v>1665.3243281365644</v>
      </c>
      <c r="W100" s="103">
        <v>1648.7183255917653</v>
      </c>
      <c r="X100" s="103">
        <v>990</v>
      </c>
      <c r="Y100" s="103">
        <v>120</v>
      </c>
      <c r="Z100" s="103">
        <v>1928.3784748068224</v>
      </c>
      <c r="AA100" s="103">
        <v>120</v>
      </c>
      <c r="AB100" s="103">
        <v>1929.286183784644</v>
      </c>
      <c r="AC100" s="103">
        <v>1839.7377645189711</v>
      </c>
      <c r="AD100" s="103">
        <v>1930.1877321711224</v>
      </c>
      <c r="AE100" s="103">
        <v>1840.6360141167115</v>
      </c>
      <c r="AF100" s="103">
        <v>1782.4431540885435</v>
      </c>
      <c r="AG100" s="103">
        <v>1806.2396131379373</v>
      </c>
      <c r="AH100" s="103">
        <v>990</v>
      </c>
      <c r="AI100" s="103">
        <v>1842.4108418357732</v>
      </c>
      <c r="AJ100" s="103">
        <v>1932.8496155521623</v>
      </c>
      <c r="AK100" s="103">
        <v>120</v>
      </c>
      <c r="AL100" s="103">
        <v>990</v>
      </c>
      <c r="AM100" s="103">
        <v>120</v>
      </c>
      <c r="AN100" s="103">
        <v>990</v>
      </c>
      <c r="AO100" s="103">
        <v>120</v>
      </c>
      <c r="AP100" s="103">
        <v>2004.5</v>
      </c>
      <c r="AQ100" s="103">
        <v>1845.8578750475997</v>
      </c>
      <c r="AR100" s="103">
        <v>0</v>
      </c>
      <c r="AS100" s="103">
        <v>1030</v>
      </c>
      <c r="AT100" s="103">
        <v>60</v>
      </c>
      <c r="AU100" s="103">
        <v>1935.9535108943849</v>
      </c>
      <c r="AV100" s="103">
        <v>1817.9299949159349</v>
      </c>
      <c r="AW100" s="103">
        <v>1020</v>
      </c>
      <c r="AX100" s="103">
        <v>90</v>
      </c>
      <c r="AY100" s="103">
        <v>240</v>
      </c>
    </row>
    <row r="101" spans="1:52" x14ac:dyDescent="0.15">
      <c r="A101" s="106"/>
      <c r="B101" s="116">
        <v>2</v>
      </c>
      <c r="C101" s="103"/>
      <c r="D101" s="103">
        <v>0</v>
      </c>
      <c r="E101" s="103">
        <v>0</v>
      </c>
      <c r="F101" s="103">
        <v>0</v>
      </c>
      <c r="G101" s="103">
        <v>0</v>
      </c>
      <c r="H101" s="103">
        <v>1709.5610930760467</v>
      </c>
      <c r="I101" s="103">
        <v>0</v>
      </c>
      <c r="J101" s="103">
        <v>0</v>
      </c>
      <c r="K101" s="103">
        <v>930.9659201322354</v>
      </c>
      <c r="L101" s="103">
        <v>2.2737367544323206E-13</v>
      </c>
      <c r="M101" s="103">
        <v>0</v>
      </c>
      <c r="N101" s="103">
        <v>148.55795099112993</v>
      </c>
      <c r="O101" s="103">
        <v>2.2737367544323206E-13</v>
      </c>
      <c r="P101" s="103">
        <v>0</v>
      </c>
      <c r="Q101" s="103">
        <v>0</v>
      </c>
      <c r="R101" s="103">
        <v>148.81768697449252</v>
      </c>
      <c r="S101" s="103">
        <v>934.69779673298694</v>
      </c>
      <c r="T101" s="103">
        <v>366.85926198560742</v>
      </c>
      <c r="U101" s="103">
        <v>772.4949844764617</v>
      </c>
      <c r="V101" s="103">
        <v>1262.6038821457871</v>
      </c>
      <c r="W101" s="103">
        <v>1365.9282102823515</v>
      </c>
      <c r="X101" s="103">
        <v>1209.6465358741168</v>
      </c>
      <c r="Y101" s="103">
        <v>1671.1212512467846</v>
      </c>
      <c r="Z101" s="103">
        <v>1837.9224930130904</v>
      </c>
      <c r="AA101" s="103">
        <v>1957.7736411909259</v>
      </c>
      <c r="AB101" s="103">
        <v>1838.8330628430767</v>
      </c>
      <c r="AC101" s="103">
        <v>1958.8078072589403</v>
      </c>
      <c r="AD101" s="103">
        <v>1959.322299771211</v>
      </c>
      <c r="AE101" s="103">
        <v>1930.1877321711224</v>
      </c>
      <c r="AF101" s="103">
        <v>1960.3456886296312</v>
      </c>
      <c r="AG101" s="103">
        <v>1791.5074033336871</v>
      </c>
      <c r="AH101" s="103">
        <v>1921.1573676774335</v>
      </c>
      <c r="AI101" s="103">
        <v>1746.1633970192313</v>
      </c>
      <c r="AJ101" s="103">
        <v>1962.3677757175324</v>
      </c>
      <c r="AK101" s="103">
        <v>1962.8676770076079</v>
      </c>
      <c r="AL101" s="103">
        <v>120</v>
      </c>
      <c r="AM101" s="103">
        <v>1963.8601686873699</v>
      </c>
      <c r="AN101" s="103">
        <v>240.19963663554768</v>
      </c>
      <c r="AO101" s="103">
        <v>990</v>
      </c>
      <c r="AP101" s="103">
        <v>240.31908286234474</v>
      </c>
      <c r="AQ101" s="103">
        <v>2004.5</v>
      </c>
      <c r="AR101" s="103">
        <v>1845.8578750475997</v>
      </c>
      <c r="AS101" s="103">
        <v>0</v>
      </c>
      <c r="AT101" s="103">
        <v>2044.5000000000002</v>
      </c>
      <c r="AU101" s="103">
        <v>1967.7210133019667</v>
      </c>
      <c r="AV101" s="103">
        <v>1935.9535108943849</v>
      </c>
      <c r="AW101" s="103">
        <v>1817.9299949159349</v>
      </c>
      <c r="AX101" s="103">
        <v>1020</v>
      </c>
      <c r="AY101" s="103">
        <v>90</v>
      </c>
    </row>
    <row r="102" spans="1:52" x14ac:dyDescent="0.15">
      <c r="A102" s="106"/>
      <c r="B102" s="117">
        <v>3</v>
      </c>
      <c r="C102" s="103"/>
      <c r="D102" s="103">
        <v>0</v>
      </c>
      <c r="E102" s="103">
        <v>0</v>
      </c>
      <c r="F102" s="103">
        <v>0</v>
      </c>
      <c r="G102" s="103">
        <v>0</v>
      </c>
      <c r="H102" s="103">
        <v>0</v>
      </c>
      <c r="I102" s="103">
        <v>148.16677659835022</v>
      </c>
      <c r="J102" s="103">
        <v>0</v>
      </c>
      <c r="K102" s="103">
        <v>1710.4977447364568</v>
      </c>
      <c r="L102" s="103">
        <v>0</v>
      </c>
      <c r="M102" s="103">
        <v>178.42768520768948</v>
      </c>
      <c r="N102" s="103">
        <v>0</v>
      </c>
      <c r="O102" s="103">
        <v>0</v>
      </c>
      <c r="P102" s="103">
        <v>0</v>
      </c>
      <c r="Q102" s="103">
        <v>142.43506944719155</v>
      </c>
      <c r="R102" s="103">
        <v>0</v>
      </c>
      <c r="S102" s="103">
        <v>0</v>
      </c>
      <c r="T102" s="103">
        <v>0</v>
      </c>
      <c r="U102" s="103">
        <v>148.94699006626763</v>
      </c>
      <c r="V102" s="103">
        <v>0</v>
      </c>
      <c r="W102" s="103">
        <v>0</v>
      </c>
      <c r="X102" s="103">
        <v>0</v>
      </c>
      <c r="Y102" s="103">
        <v>92.972743359468723</v>
      </c>
      <c r="Z102" s="103">
        <v>659.09399460625332</v>
      </c>
      <c r="AA102" s="103">
        <v>1547.3481290937846</v>
      </c>
      <c r="AB102" s="103">
        <v>1957.7736411909259</v>
      </c>
      <c r="AC102" s="103">
        <v>1958.2915599661128</v>
      </c>
      <c r="AD102" s="103">
        <v>1958.8078072589403</v>
      </c>
      <c r="AE102" s="103">
        <v>1959.322299771211</v>
      </c>
      <c r="AF102" s="103">
        <v>1930.1877321711224</v>
      </c>
      <c r="AG102" s="103">
        <v>1960.3456886296312</v>
      </c>
      <c r="AH102" s="103">
        <v>1791.5074033336871</v>
      </c>
      <c r="AI102" s="103">
        <v>1921.1573676774335</v>
      </c>
      <c r="AJ102" s="103">
        <v>1750.1733473381973</v>
      </c>
      <c r="AK102" s="103">
        <v>1962.3677757175324</v>
      </c>
      <c r="AL102" s="103">
        <v>1962.8676770076079</v>
      </c>
      <c r="AM102" s="103">
        <v>1963.3651681093052</v>
      </c>
      <c r="AN102" s="103">
        <v>1963.8601686873699</v>
      </c>
      <c r="AO102" s="103">
        <v>240.19963663554768</v>
      </c>
      <c r="AP102" s="103">
        <v>2034.7595266028893</v>
      </c>
      <c r="AQ102" s="103">
        <v>240.31908286234474</v>
      </c>
      <c r="AR102" s="103">
        <v>2034.8782957974145</v>
      </c>
      <c r="AS102" s="103">
        <v>1966.2950308952268</v>
      </c>
      <c r="AT102" s="103">
        <v>0</v>
      </c>
      <c r="AU102" s="103">
        <v>2044.5000000000002</v>
      </c>
      <c r="AV102" s="103">
        <v>1967.7210133019667</v>
      </c>
      <c r="AW102" s="103">
        <v>1935.9535108943849</v>
      </c>
      <c r="AX102" s="103">
        <v>1817.9299949159349</v>
      </c>
      <c r="AY102" s="103">
        <v>1969.1182549051468</v>
      </c>
    </row>
    <row r="103" spans="1:52" x14ac:dyDescent="0.15">
      <c r="A103" s="106"/>
      <c r="B103" s="117">
        <v>4</v>
      </c>
      <c r="C103" s="103"/>
      <c r="D103" s="103">
        <v>0</v>
      </c>
      <c r="E103" s="103">
        <v>0</v>
      </c>
      <c r="F103" s="103">
        <v>0</v>
      </c>
      <c r="G103" s="103">
        <v>0</v>
      </c>
      <c r="H103" s="103">
        <v>0</v>
      </c>
      <c r="I103" s="103">
        <v>0</v>
      </c>
      <c r="J103" s="103">
        <v>0</v>
      </c>
      <c r="K103" s="103">
        <v>0</v>
      </c>
      <c r="L103" s="103">
        <v>0</v>
      </c>
      <c r="M103" s="103">
        <v>0</v>
      </c>
      <c r="N103" s="103">
        <v>0</v>
      </c>
      <c r="O103" s="103">
        <v>0</v>
      </c>
      <c r="P103" s="103">
        <v>0</v>
      </c>
      <c r="Q103" s="103">
        <v>0</v>
      </c>
      <c r="R103" s="103">
        <v>0</v>
      </c>
      <c r="S103" s="103">
        <v>0</v>
      </c>
      <c r="T103" s="103">
        <v>0</v>
      </c>
      <c r="U103" s="103">
        <v>0</v>
      </c>
      <c r="V103" s="103">
        <v>0</v>
      </c>
      <c r="W103" s="103">
        <v>0</v>
      </c>
      <c r="X103" s="103">
        <v>0</v>
      </c>
      <c r="Y103" s="103">
        <v>0</v>
      </c>
      <c r="Z103" s="103">
        <v>0</v>
      </c>
      <c r="AA103" s="103">
        <v>0</v>
      </c>
      <c r="AB103" s="103">
        <v>309.34812909378456</v>
      </c>
      <c r="AC103" s="103">
        <v>1312.1217702847105</v>
      </c>
      <c r="AD103" s="103">
        <v>1958.2915599661128</v>
      </c>
      <c r="AE103" s="103">
        <v>1958.8078072589403</v>
      </c>
      <c r="AF103" s="103">
        <v>1959.322299771211</v>
      </c>
      <c r="AG103" s="103">
        <v>1959.8349544754487</v>
      </c>
      <c r="AH103" s="103">
        <v>1960.3456886296312</v>
      </c>
      <c r="AI103" s="103">
        <v>1791.5074033336871</v>
      </c>
      <c r="AJ103" s="103">
        <v>1921.1573676774335</v>
      </c>
      <c r="AK103" s="103">
        <v>1750.1733473381973</v>
      </c>
      <c r="AL103" s="103">
        <v>1962.3677757175324</v>
      </c>
      <c r="AM103" s="103">
        <v>1962.8676770076079</v>
      </c>
      <c r="AN103" s="103">
        <v>1963.3651681093052</v>
      </c>
      <c r="AO103" s="103">
        <v>1963.8601686873699</v>
      </c>
      <c r="AP103" s="103">
        <v>240.19963663554768</v>
      </c>
      <c r="AQ103" s="103">
        <v>2034.7595266028893</v>
      </c>
      <c r="AR103" s="103">
        <v>240.31908286234474</v>
      </c>
      <c r="AS103" s="103">
        <v>2034.8782957974145</v>
      </c>
      <c r="AT103" s="103">
        <v>1966.2950308952268</v>
      </c>
      <c r="AU103" s="103">
        <v>0</v>
      </c>
      <c r="AV103" s="103">
        <v>2044.5000000000002</v>
      </c>
      <c r="AW103" s="103">
        <v>1967.7210133019667</v>
      </c>
      <c r="AX103" s="103">
        <v>1935.9535108943849</v>
      </c>
      <c r="AY103" s="103">
        <v>1968.6558272617376</v>
      </c>
    </row>
    <row r="104" spans="1:52" x14ac:dyDescent="0.15">
      <c r="A104" s="106"/>
      <c r="B104" s="124">
        <v>5</v>
      </c>
      <c r="C104" s="103"/>
      <c r="D104" s="103">
        <v>0</v>
      </c>
      <c r="E104" s="103">
        <v>0</v>
      </c>
      <c r="F104" s="103">
        <v>0</v>
      </c>
      <c r="G104" s="103">
        <v>0</v>
      </c>
      <c r="H104" s="103">
        <v>0</v>
      </c>
      <c r="I104" s="103">
        <v>0</v>
      </c>
      <c r="J104" s="103">
        <v>0</v>
      </c>
      <c r="K104" s="103">
        <v>0</v>
      </c>
      <c r="L104" s="103">
        <v>0</v>
      </c>
      <c r="M104" s="103">
        <v>0</v>
      </c>
      <c r="N104" s="103">
        <v>0</v>
      </c>
      <c r="O104" s="103">
        <v>0</v>
      </c>
      <c r="P104" s="103">
        <v>0</v>
      </c>
      <c r="Q104" s="103">
        <v>0</v>
      </c>
      <c r="R104" s="103">
        <v>0</v>
      </c>
      <c r="S104" s="103">
        <v>0</v>
      </c>
      <c r="T104" s="103">
        <v>0</v>
      </c>
      <c r="U104" s="103">
        <v>0</v>
      </c>
      <c r="V104" s="103">
        <v>0</v>
      </c>
      <c r="W104" s="103">
        <v>0</v>
      </c>
      <c r="X104" s="103">
        <v>0</v>
      </c>
      <c r="Y104" s="103">
        <v>0</v>
      </c>
      <c r="Z104" s="103">
        <v>0</v>
      </c>
      <c r="AA104" s="103">
        <v>0</v>
      </c>
      <c r="AB104" s="103">
        <v>0</v>
      </c>
      <c r="AC104" s="103">
        <v>0</v>
      </c>
      <c r="AD104" s="103">
        <v>421.12177028471046</v>
      </c>
      <c r="AE104" s="103">
        <v>1333.4133302508233</v>
      </c>
      <c r="AF104" s="103">
        <v>1958.8078072589403</v>
      </c>
      <c r="AG104" s="103">
        <v>1959.322299771211</v>
      </c>
      <c r="AH104" s="103">
        <v>1959.8349544754487</v>
      </c>
      <c r="AI104" s="103">
        <v>1960.3456886296312</v>
      </c>
      <c r="AJ104" s="103">
        <v>1791.5074033336871</v>
      </c>
      <c r="AK104" s="103">
        <v>1921.1573676774335</v>
      </c>
      <c r="AL104" s="103">
        <v>1750.1733473381973</v>
      </c>
      <c r="AM104" s="103">
        <v>1962.3677757175324</v>
      </c>
      <c r="AN104" s="103">
        <v>1962.8676770076079</v>
      </c>
      <c r="AO104" s="103">
        <v>1963.3651681093052</v>
      </c>
      <c r="AP104" s="103">
        <v>1963.8601686873699</v>
      </c>
      <c r="AQ104" s="103">
        <v>240.19963663554768</v>
      </c>
      <c r="AR104" s="103">
        <v>2034.7595266028893</v>
      </c>
      <c r="AS104" s="103">
        <v>240.31908286234474</v>
      </c>
      <c r="AT104" s="103">
        <v>2034.8782957974145</v>
      </c>
      <c r="AU104" s="103">
        <v>1966.2950308952268</v>
      </c>
      <c r="AV104" s="103">
        <v>0</v>
      </c>
      <c r="AW104" s="103">
        <v>2044.5000000000002</v>
      </c>
      <c r="AX104" s="103">
        <v>1967.7210133019667</v>
      </c>
      <c r="AY104" s="103">
        <v>1935.9535108943849</v>
      </c>
    </row>
    <row r="105" spans="1:52" x14ac:dyDescent="0.15">
      <c r="A105" s="106"/>
      <c r="B105" s="124">
        <v>6</v>
      </c>
      <c r="C105" s="103"/>
      <c r="D105" s="103">
        <v>0</v>
      </c>
      <c r="E105" s="103">
        <v>0</v>
      </c>
      <c r="F105" s="103">
        <v>0</v>
      </c>
      <c r="G105" s="103">
        <v>0</v>
      </c>
      <c r="H105" s="103">
        <v>0</v>
      </c>
      <c r="I105" s="103">
        <v>0</v>
      </c>
      <c r="J105" s="103">
        <v>0</v>
      </c>
      <c r="K105" s="103">
        <v>0</v>
      </c>
      <c r="L105" s="103">
        <v>0</v>
      </c>
      <c r="M105" s="103">
        <v>0</v>
      </c>
      <c r="N105" s="103">
        <v>0</v>
      </c>
      <c r="O105" s="103">
        <v>0</v>
      </c>
      <c r="P105" s="103">
        <v>0</v>
      </c>
      <c r="Q105" s="103">
        <v>0</v>
      </c>
      <c r="R105" s="103">
        <v>0</v>
      </c>
      <c r="S105" s="103">
        <v>0</v>
      </c>
      <c r="T105" s="103">
        <v>0</v>
      </c>
      <c r="U105" s="103">
        <v>0</v>
      </c>
      <c r="V105" s="103">
        <v>0</v>
      </c>
      <c r="W105" s="103">
        <v>0</v>
      </c>
      <c r="X105" s="103">
        <v>0</v>
      </c>
      <c r="Y105" s="103">
        <v>0</v>
      </c>
      <c r="Z105" s="103">
        <v>0</v>
      </c>
      <c r="AA105" s="103">
        <v>0</v>
      </c>
      <c r="AB105" s="103">
        <v>0</v>
      </c>
      <c r="AC105" s="103">
        <v>0</v>
      </c>
      <c r="AD105" s="103">
        <v>0</v>
      </c>
      <c r="AE105" s="103">
        <v>0</v>
      </c>
      <c r="AF105" s="103">
        <v>478.41333025082326</v>
      </c>
      <c r="AG105" s="103">
        <v>1645.2211375097636</v>
      </c>
      <c r="AH105" s="103">
        <v>1959.322299771211</v>
      </c>
      <c r="AI105" s="103">
        <v>1959.8349544754487</v>
      </c>
      <c r="AJ105" s="103">
        <v>1960.3456886296312</v>
      </c>
      <c r="AK105" s="103">
        <v>1791.5074033336871</v>
      </c>
      <c r="AL105" s="103">
        <v>1921.1573676774335</v>
      </c>
      <c r="AM105" s="103">
        <v>1750.1733473381973</v>
      </c>
      <c r="AN105" s="103">
        <v>1962.3677757175324</v>
      </c>
      <c r="AO105" s="103">
        <v>1962.8676770076079</v>
      </c>
      <c r="AP105" s="103">
        <v>1963.3651681093052</v>
      </c>
      <c r="AQ105" s="103">
        <v>1963.8601686873699</v>
      </c>
      <c r="AR105" s="103">
        <v>240.19963663554768</v>
      </c>
      <c r="AS105" s="103">
        <v>2034.7595266028893</v>
      </c>
      <c r="AT105" s="103">
        <v>240.31908286234474</v>
      </c>
      <c r="AU105" s="103">
        <v>2034.8782957974145</v>
      </c>
      <c r="AV105" s="103">
        <v>1966.2950308952268</v>
      </c>
      <c r="AW105" s="103">
        <v>0</v>
      </c>
      <c r="AX105" s="103">
        <v>2044.5000000000002</v>
      </c>
      <c r="AY105" s="103">
        <v>1967.7210133019667</v>
      </c>
    </row>
    <row r="106" spans="1:52" x14ac:dyDescent="0.15">
      <c r="A106" s="106"/>
      <c r="B106" s="127">
        <v>7</v>
      </c>
      <c r="C106" s="103"/>
      <c r="D106" s="103">
        <v>0</v>
      </c>
      <c r="E106" s="103">
        <v>0</v>
      </c>
      <c r="F106" s="103">
        <v>0</v>
      </c>
      <c r="G106" s="103">
        <v>0</v>
      </c>
      <c r="H106" s="103">
        <v>0</v>
      </c>
      <c r="I106" s="103">
        <v>0</v>
      </c>
      <c r="J106" s="103">
        <v>0</v>
      </c>
      <c r="K106" s="103">
        <v>0</v>
      </c>
      <c r="L106" s="103">
        <v>0</v>
      </c>
      <c r="M106" s="103">
        <v>0</v>
      </c>
      <c r="N106" s="103">
        <v>0</v>
      </c>
      <c r="O106" s="103">
        <v>0</v>
      </c>
      <c r="P106" s="103">
        <v>0</v>
      </c>
      <c r="Q106" s="103">
        <v>0</v>
      </c>
      <c r="R106" s="103">
        <v>0</v>
      </c>
      <c r="S106" s="103">
        <v>0</v>
      </c>
      <c r="T106" s="103">
        <v>0</v>
      </c>
      <c r="U106" s="103">
        <v>0</v>
      </c>
      <c r="V106" s="103">
        <v>0</v>
      </c>
      <c r="W106" s="103">
        <v>0</v>
      </c>
      <c r="X106" s="103">
        <v>0</v>
      </c>
      <c r="Y106" s="103">
        <v>0</v>
      </c>
      <c r="Z106" s="103">
        <v>0</v>
      </c>
      <c r="AA106" s="103">
        <v>0</v>
      </c>
      <c r="AB106" s="103">
        <v>0</v>
      </c>
      <c r="AC106" s="103">
        <v>0</v>
      </c>
      <c r="AD106" s="103">
        <v>0</v>
      </c>
      <c r="AE106" s="103">
        <v>0</v>
      </c>
      <c r="AF106" s="103">
        <v>0</v>
      </c>
      <c r="AG106" s="103">
        <v>0</v>
      </c>
      <c r="AH106" s="103">
        <v>736.22113750976359</v>
      </c>
      <c r="AI106" s="103">
        <v>1758.5434372809746</v>
      </c>
      <c r="AJ106" s="103">
        <v>1959.8349544754487</v>
      </c>
      <c r="AK106" s="103">
        <v>1960.3456886296312</v>
      </c>
      <c r="AL106" s="103">
        <v>1791.5074033336871</v>
      </c>
      <c r="AM106" s="103">
        <v>1921.1573676774335</v>
      </c>
      <c r="AN106" s="103">
        <v>1750.1733473381973</v>
      </c>
      <c r="AO106" s="103">
        <v>1962.3677757175324</v>
      </c>
      <c r="AP106" s="103">
        <v>1962.8676770076079</v>
      </c>
      <c r="AQ106" s="103">
        <v>1963.3651681093052</v>
      </c>
      <c r="AR106" s="103">
        <v>1963.8601686873699</v>
      </c>
      <c r="AS106" s="103">
        <v>240.19963663554768</v>
      </c>
      <c r="AT106" s="103">
        <v>2034.7595266028893</v>
      </c>
      <c r="AU106" s="103">
        <v>240.31908286234474</v>
      </c>
      <c r="AV106" s="103">
        <v>2034.8782957974145</v>
      </c>
      <c r="AW106" s="103">
        <v>1966.2950308952268</v>
      </c>
      <c r="AX106" s="103">
        <v>0</v>
      </c>
      <c r="AY106" s="103">
        <v>2044.5000000000002</v>
      </c>
    </row>
    <row r="107" spans="1:52" x14ac:dyDescent="0.15">
      <c r="A107" s="106"/>
      <c r="B107" s="127">
        <v>8</v>
      </c>
      <c r="C107" s="103"/>
      <c r="D107" s="103">
        <v>0</v>
      </c>
      <c r="E107" s="103">
        <v>0</v>
      </c>
      <c r="F107" s="103">
        <v>0</v>
      </c>
      <c r="G107" s="103">
        <v>0</v>
      </c>
      <c r="H107" s="103">
        <v>0</v>
      </c>
      <c r="I107" s="103">
        <v>0</v>
      </c>
      <c r="J107" s="103">
        <v>0</v>
      </c>
      <c r="K107" s="103">
        <v>0</v>
      </c>
      <c r="L107" s="103">
        <v>0</v>
      </c>
      <c r="M107" s="103">
        <v>0</v>
      </c>
      <c r="N107" s="103">
        <v>0</v>
      </c>
      <c r="O107" s="103">
        <v>0</v>
      </c>
      <c r="P107" s="103">
        <v>0</v>
      </c>
      <c r="Q107" s="103">
        <v>0</v>
      </c>
      <c r="R107" s="103">
        <v>0</v>
      </c>
      <c r="S107" s="103">
        <v>0</v>
      </c>
      <c r="T107" s="103">
        <v>0</v>
      </c>
      <c r="U107" s="103">
        <v>0</v>
      </c>
      <c r="V107" s="103">
        <v>0</v>
      </c>
      <c r="W107" s="103">
        <v>0</v>
      </c>
      <c r="X107" s="103">
        <v>0</v>
      </c>
      <c r="Y107" s="103">
        <v>0</v>
      </c>
      <c r="Z107" s="103">
        <v>0</v>
      </c>
      <c r="AA107" s="103">
        <v>0</v>
      </c>
      <c r="AB107" s="103">
        <v>0</v>
      </c>
      <c r="AC107" s="103">
        <v>0</v>
      </c>
      <c r="AD107" s="103">
        <v>0</v>
      </c>
      <c r="AE107" s="103">
        <v>0</v>
      </c>
      <c r="AF107" s="103">
        <v>0</v>
      </c>
      <c r="AG107" s="103">
        <v>0</v>
      </c>
      <c r="AH107" s="103">
        <v>0</v>
      </c>
      <c r="AI107" s="103">
        <v>0</v>
      </c>
      <c r="AJ107" s="103">
        <v>749.32371152799624</v>
      </c>
      <c r="AK107" s="103">
        <v>1639.6778604256783</v>
      </c>
      <c r="AL107" s="103">
        <v>1799.1810814549558</v>
      </c>
      <c r="AM107" s="103">
        <v>1490.6285062357367</v>
      </c>
      <c r="AN107" s="103">
        <v>1711.4308922388118</v>
      </c>
      <c r="AO107" s="103">
        <v>1750.1733473381973</v>
      </c>
      <c r="AP107" s="103">
        <v>1808.983001877951</v>
      </c>
      <c r="AQ107" s="103">
        <v>1827.1816657843094</v>
      </c>
      <c r="AR107" s="103">
        <v>1963.3651681093052</v>
      </c>
      <c r="AS107" s="103">
        <v>1963.8601686873699</v>
      </c>
      <c r="AT107" s="103">
        <v>240.19963663554768</v>
      </c>
      <c r="AU107" s="103">
        <v>1703.7023338701993</v>
      </c>
      <c r="AV107" s="103">
        <v>229.33044172710598</v>
      </c>
      <c r="AW107" s="103">
        <v>1677.2998805093366</v>
      </c>
      <c r="AX107" s="103">
        <v>1966.2950308952268</v>
      </c>
      <c r="AY107" s="103">
        <v>0</v>
      </c>
    </row>
    <row r="108" spans="1:52" x14ac:dyDescent="0.15">
      <c r="A108" s="125"/>
      <c r="B108" s="129" t="s">
        <v>295</v>
      </c>
      <c r="C108" s="111"/>
      <c r="D108" s="122">
        <v>0</v>
      </c>
      <c r="E108" s="122">
        <v>0</v>
      </c>
      <c r="F108" s="122">
        <v>0</v>
      </c>
      <c r="G108" s="122">
        <v>0</v>
      </c>
      <c r="H108" s="122">
        <v>0</v>
      </c>
      <c r="I108" s="122">
        <v>0</v>
      </c>
      <c r="J108" s="122">
        <v>0</v>
      </c>
      <c r="K108" s="122">
        <v>0</v>
      </c>
      <c r="L108" s="122">
        <v>0</v>
      </c>
      <c r="M108" s="122">
        <v>0</v>
      </c>
      <c r="N108" s="122">
        <v>0</v>
      </c>
      <c r="O108" s="122">
        <v>0</v>
      </c>
      <c r="P108" s="122">
        <v>0</v>
      </c>
      <c r="Q108" s="122">
        <v>0</v>
      </c>
      <c r="R108" s="122">
        <v>0</v>
      </c>
      <c r="S108" s="122">
        <v>0</v>
      </c>
      <c r="T108" s="122">
        <v>0</v>
      </c>
      <c r="U108" s="122">
        <v>0</v>
      </c>
      <c r="V108" s="122">
        <v>0</v>
      </c>
      <c r="W108" s="122">
        <v>0</v>
      </c>
      <c r="X108" s="122">
        <v>0</v>
      </c>
      <c r="Y108" s="122">
        <v>0</v>
      </c>
      <c r="Z108" s="122">
        <v>0</v>
      </c>
      <c r="AA108" s="122">
        <v>0</v>
      </c>
      <c r="AB108" s="122">
        <v>0</v>
      </c>
      <c r="AC108" s="122">
        <v>0</v>
      </c>
      <c r="AD108" s="122">
        <v>0</v>
      </c>
      <c r="AE108" s="122">
        <v>0</v>
      </c>
      <c r="AF108" s="122">
        <v>0</v>
      </c>
      <c r="AG108" s="122">
        <v>0</v>
      </c>
      <c r="AH108" s="122">
        <v>0</v>
      </c>
      <c r="AI108" s="122">
        <v>0</v>
      </c>
      <c r="AJ108" s="122">
        <v>0</v>
      </c>
      <c r="AK108" s="122">
        <v>108.32371152799624</v>
      </c>
      <c r="AL108" s="122">
        <v>939.67786042567832</v>
      </c>
      <c r="AM108" s="122">
        <v>1137.1810814549558</v>
      </c>
      <c r="AN108" s="122">
        <v>905.62850623573672</v>
      </c>
      <c r="AO108" s="122">
        <v>1073.4308922388118</v>
      </c>
      <c r="AP108" s="122">
        <v>1254.1733473381973</v>
      </c>
      <c r="AQ108" s="122">
        <v>1246.983001877951</v>
      </c>
      <c r="AR108" s="122">
        <v>1245.1816657843094</v>
      </c>
      <c r="AS108" s="122">
        <v>1471.3651681093052</v>
      </c>
      <c r="AT108" s="122">
        <v>1463.8601686873699</v>
      </c>
      <c r="AU108" s="122">
        <v>0</v>
      </c>
      <c r="AV108" s="122">
        <v>1304.7023338701993</v>
      </c>
      <c r="AW108" s="122">
        <v>0</v>
      </c>
      <c r="AX108" s="122">
        <v>1251.2998805093366</v>
      </c>
      <c r="AY108" s="122">
        <v>1512.2950308952268</v>
      </c>
      <c r="AZ108" s="104">
        <f>SUM($D108:$AY108)</f>
        <v>14914.102648955075</v>
      </c>
    </row>
    <row r="109" spans="1:52" x14ac:dyDescent="0.15">
      <c r="A109" s="128" t="s">
        <v>134</v>
      </c>
      <c r="B109" s="116">
        <v>1</v>
      </c>
      <c r="C109" s="103"/>
      <c r="D109" s="103">
        <v>0</v>
      </c>
      <c r="E109" s="103">
        <v>0</v>
      </c>
      <c r="F109" s="103">
        <v>0</v>
      </c>
      <c r="G109" s="103">
        <v>0</v>
      </c>
      <c r="H109" s="103">
        <v>0</v>
      </c>
      <c r="I109" s="103">
        <v>0</v>
      </c>
      <c r="J109" s="103">
        <v>0</v>
      </c>
      <c r="K109" s="103">
        <v>0</v>
      </c>
      <c r="L109" s="103">
        <v>0</v>
      </c>
      <c r="M109" s="103">
        <v>0</v>
      </c>
      <c r="N109" s="103">
        <v>0</v>
      </c>
      <c r="O109" s="103">
        <v>0</v>
      </c>
      <c r="P109" s="103">
        <v>0</v>
      </c>
      <c r="Q109" s="103">
        <v>0</v>
      </c>
      <c r="R109" s="103">
        <v>0</v>
      </c>
      <c r="S109" s="103">
        <v>0</v>
      </c>
      <c r="T109" s="103">
        <v>0</v>
      </c>
      <c r="U109" s="103">
        <v>0</v>
      </c>
      <c r="V109" s="103">
        <v>0</v>
      </c>
      <c r="W109" s="103">
        <v>0</v>
      </c>
      <c r="X109" s="103">
        <v>0</v>
      </c>
      <c r="Y109" s="103">
        <v>0</v>
      </c>
      <c r="Z109" s="103">
        <v>0</v>
      </c>
      <c r="AA109" s="103">
        <v>0</v>
      </c>
      <c r="AB109" s="103">
        <v>0</v>
      </c>
      <c r="AC109" s="103">
        <v>0</v>
      </c>
      <c r="AD109" s="103">
        <v>0</v>
      </c>
      <c r="AE109" s="103">
        <v>0</v>
      </c>
      <c r="AF109" s="103">
        <v>0</v>
      </c>
      <c r="AG109" s="103">
        <v>0</v>
      </c>
      <c r="AH109" s="103">
        <v>0</v>
      </c>
      <c r="AI109" s="103">
        <v>0</v>
      </c>
      <c r="AJ109" s="103">
        <v>0</v>
      </c>
      <c r="AK109" s="103">
        <v>0</v>
      </c>
      <c r="AL109" s="103">
        <v>0</v>
      </c>
      <c r="AM109" s="103">
        <v>0</v>
      </c>
      <c r="AN109" s="103">
        <v>0</v>
      </c>
      <c r="AO109" s="103">
        <v>0</v>
      </c>
      <c r="AP109" s="103">
        <v>0</v>
      </c>
      <c r="AQ109" s="103">
        <v>0</v>
      </c>
      <c r="AR109" s="103">
        <v>0</v>
      </c>
      <c r="AS109" s="103">
        <v>0</v>
      </c>
      <c r="AT109" s="103">
        <v>0</v>
      </c>
      <c r="AU109" s="103">
        <v>0</v>
      </c>
      <c r="AV109" s="103">
        <v>0</v>
      </c>
      <c r="AW109" s="103">
        <v>0</v>
      </c>
      <c r="AX109" s="103">
        <v>0</v>
      </c>
      <c r="AY109" s="103">
        <v>0</v>
      </c>
    </row>
    <row r="110" spans="1:52" x14ac:dyDescent="0.15">
      <c r="A110" s="106"/>
      <c r="B110" s="116">
        <v>2</v>
      </c>
      <c r="C110" s="103"/>
      <c r="D110" s="103">
        <v>0</v>
      </c>
      <c r="E110" s="103">
        <v>0</v>
      </c>
      <c r="F110" s="103">
        <v>0</v>
      </c>
      <c r="G110" s="103">
        <v>0</v>
      </c>
      <c r="H110" s="103">
        <v>0</v>
      </c>
      <c r="I110" s="103">
        <v>0</v>
      </c>
      <c r="J110" s="103">
        <v>0</v>
      </c>
      <c r="K110" s="103">
        <v>0</v>
      </c>
      <c r="L110" s="103">
        <v>0</v>
      </c>
      <c r="M110" s="103">
        <v>0</v>
      </c>
      <c r="N110" s="103">
        <v>0</v>
      </c>
      <c r="O110" s="103">
        <v>0</v>
      </c>
      <c r="P110" s="103">
        <v>0</v>
      </c>
      <c r="Q110" s="103">
        <v>0</v>
      </c>
      <c r="R110" s="103">
        <v>0</v>
      </c>
      <c r="S110" s="103">
        <v>0</v>
      </c>
      <c r="T110" s="103">
        <v>0</v>
      </c>
      <c r="U110" s="103">
        <v>0</v>
      </c>
      <c r="V110" s="103">
        <v>0</v>
      </c>
      <c r="W110" s="103">
        <v>0</v>
      </c>
      <c r="X110" s="103">
        <v>0</v>
      </c>
      <c r="Y110" s="103">
        <v>0</v>
      </c>
      <c r="Z110" s="103">
        <v>0</v>
      </c>
      <c r="AA110" s="103">
        <v>0</v>
      </c>
      <c r="AB110" s="103">
        <v>0</v>
      </c>
      <c r="AC110" s="103">
        <v>0</v>
      </c>
      <c r="AD110" s="103">
        <v>0</v>
      </c>
      <c r="AE110" s="103">
        <v>0</v>
      </c>
      <c r="AF110" s="103">
        <v>0</v>
      </c>
      <c r="AG110" s="103">
        <v>0</v>
      </c>
      <c r="AH110" s="103">
        <v>0</v>
      </c>
      <c r="AI110" s="103">
        <v>0</v>
      </c>
      <c r="AJ110" s="103">
        <v>0</v>
      </c>
      <c r="AK110" s="103">
        <v>0</v>
      </c>
      <c r="AL110" s="103">
        <v>0</v>
      </c>
      <c r="AM110" s="103">
        <v>0</v>
      </c>
      <c r="AN110" s="103">
        <v>0</v>
      </c>
      <c r="AO110" s="103">
        <v>0</v>
      </c>
      <c r="AP110" s="103">
        <v>0</v>
      </c>
      <c r="AQ110" s="103">
        <v>0</v>
      </c>
      <c r="AR110" s="103">
        <v>0</v>
      </c>
      <c r="AS110" s="103">
        <v>0</v>
      </c>
      <c r="AT110" s="103">
        <v>0</v>
      </c>
      <c r="AU110" s="103">
        <v>0</v>
      </c>
      <c r="AV110" s="103">
        <v>0</v>
      </c>
      <c r="AW110" s="103">
        <v>0</v>
      </c>
      <c r="AX110" s="103">
        <v>0</v>
      </c>
      <c r="AY110" s="103">
        <v>0</v>
      </c>
    </row>
    <row r="111" spans="1:52" x14ac:dyDescent="0.15">
      <c r="A111" s="106"/>
      <c r="B111" s="116">
        <v>3</v>
      </c>
      <c r="C111" s="103"/>
      <c r="D111" s="103">
        <v>0</v>
      </c>
      <c r="E111" s="103">
        <v>0</v>
      </c>
      <c r="F111" s="103">
        <v>0</v>
      </c>
      <c r="G111" s="103">
        <v>0</v>
      </c>
      <c r="H111" s="103">
        <v>0</v>
      </c>
      <c r="I111" s="103">
        <v>0</v>
      </c>
      <c r="J111" s="103">
        <v>0</v>
      </c>
      <c r="K111" s="103">
        <v>0</v>
      </c>
      <c r="L111" s="103">
        <v>0</v>
      </c>
      <c r="M111" s="103">
        <v>0</v>
      </c>
      <c r="N111" s="103">
        <v>0</v>
      </c>
      <c r="O111" s="103">
        <v>0</v>
      </c>
      <c r="P111" s="103">
        <v>0</v>
      </c>
      <c r="Q111" s="103">
        <v>0</v>
      </c>
      <c r="R111" s="103">
        <v>0</v>
      </c>
      <c r="S111" s="103">
        <v>0</v>
      </c>
      <c r="T111" s="103">
        <v>0</v>
      </c>
      <c r="U111" s="103">
        <v>0</v>
      </c>
      <c r="V111" s="103">
        <v>0</v>
      </c>
      <c r="W111" s="103">
        <v>0</v>
      </c>
      <c r="X111" s="103">
        <v>0</v>
      </c>
      <c r="Y111" s="103">
        <v>0</v>
      </c>
      <c r="Z111" s="103">
        <v>0</v>
      </c>
      <c r="AA111" s="103">
        <v>0</v>
      </c>
      <c r="AB111" s="103">
        <v>0</v>
      </c>
      <c r="AC111" s="103">
        <v>0</v>
      </c>
      <c r="AD111" s="103">
        <v>0</v>
      </c>
      <c r="AE111" s="103">
        <v>0</v>
      </c>
      <c r="AF111" s="103">
        <v>0</v>
      </c>
      <c r="AG111" s="103">
        <v>0</v>
      </c>
      <c r="AH111" s="103">
        <v>0</v>
      </c>
      <c r="AI111" s="103">
        <v>0</v>
      </c>
      <c r="AJ111" s="103">
        <v>0</v>
      </c>
      <c r="AK111" s="103">
        <v>0</v>
      </c>
      <c r="AL111" s="103">
        <v>0</v>
      </c>
      <c r="AM111" s="103">
        <v>0</v>
      </c>
      <c r="AN111" s="103">
        <v>0</v>
      </c>
      <c r="AO111" s="103">
        <v>0</v>
      </c>
      <c r="AP111" s="103">
        <v>0</v>
      </c>
      <c r="AQ111" s="103">
        <v>0</v>
      </c>
      <c r="AR111" s="103">
        <v>0</v>
      </c>
      <c r="AS111" s="103">
        <v>0</v>
      </c>
      <c r="AT111" s="103">
        <v>0</v>
      </c>
      <c r="AU111" s="103">
        <v>0</v>
      </c>
      <c r="AV111" s="103">
        <v>0</v>
      </c>
      <c r="AW111" s="103">
        <v>0</v>
      </c>
      <c r="AX111" s="103">
        <v>0</v>
      </c>
      <c r="AY111" s="103">
        <v>0</v>
      </c>
    </row>
    <row r="112" spans="1:52" x14ac:dyDescent="0.15">
      <c r="A112" s="106"/>
      <c r="B112" s="117">
        <v>4</v>
      </c>
      <c r="C112" s="103"/>
      <c r="D112" s="103">
        <v>0</v>
      </c>
      <c r="E112" s="103">
        <v>0</v>
      </c>
      <c r="F112" s="103">
        <v>0</v>
      </c>
      <c r="G112" s="103">
        <v>0</v>
      </c>
      <c r="H112" s="103">
        <v>0</v>
      </c>
      <c r="I112" s="103">
        <v>0</v>
      </c>
      <c r="J112" s="103">
        <v>0</v>
      </c>
      <c r="K112" s="103">
        <v>0</v>
      </c>
      <c r="L112" s="103">
        <v>0</v>
      </c>
      <c r="M112" s="103">
        <v>0</v>
      </c>
      <c r="N112" s="103">
        <v>0</v>
      </c>
      <c r="O112" s="103">
        <v>0</v>
      </c>
      <c r="P112" s="103">
        <v>0</v>
      </c>
      <c r="Q112" s="103">
        <v>0</v>
      </c>
      <c r="R112" s="103">
        <v>0</v>
      </c>
      <c r="S112" s="103">
        <v>0</v>
      </c>
      <c r="T112" s="103">
        <v>0</v>
      </c>
      <c r="U112" s="103">
        <v>0</v>
      </c>
      <c r="V112" s="103">
        <v>0</v>
      </c>
      <c r="W112" s="103">
        <v>0</v>
      </c>
      <c r="X112" s="103">
        <v>0</v>
      </c>
      <c r="Y112" s="103">
        <v>0</v>
      </c>
      <c r="Z112" s="103">
        <v>0</v>
      </c>
      <c r="AA112" s="103">
        <v>0</v>
      </c>
      <c r="AB112" s="103">
        <v>0</v>
      </c>
      <c r="AC112" s="103">
        <v>0</v>
      </c>
      <c r="AD112" s="103">
        <v>0</v>
      </c>
      <c r="AE112" s="103">
        <v>0</v>
      </c>
      <c r="AF112" s="103">
        <v>0</v>
      </c>
      <c r="AG112" s="103">
        <v>0</v>
      </c>
      <c r="AH112" s="103">
        <v>0</v>
      </c>
      <c r="AI112" s="103">
        <v>0</v>
      </c>
      <c r="AJ112" s="103">
        <v>0</v>
      </c>
      <c r="AK112" s="103">
        <v>0</v>
      </c>
      <c r="AL112" s="103">
        <v>0</v>
      </c>
      <c r="AM112" s="103">
        <v>0</v>
      </c>
      <c r="AN112" s="103">
        <v>0</v>
      </c>
      <c r="AO112" s="103">
        <v>0</v>
      </c>
      <c r="AP112" s="103">
        <v>0</v>
      </c>
      <c r="AQ112" s="103">
        <v>0</v>
      </c>
      <c r="AR112" s="103">
        <v>0</v>
      </c>
      <c r="AS112" s="103">
        <v>0</v>
      </c>
      <c r="AT112" s="103">
        <v>0</v>
      </c>
      <c r="AU112" s="103">
        <v>0</v>
      </c>
      <c r="AV112" s="103">
        <v>0</v>
      </c>
      <c r="AW112" s="103">
        <v>0</v>
      </c>
      <c r="AX112" s="103">
        <v>0</v>
      </c>
      <c r="AY112" s="103">
        <v>0</v>
      </c>
    </row>
    <row r="113" spans="1:52" x14ac:dyDescent="0.15">
      <c r="A113" s="106"/>
      <c r="B113" s="117">
        <v>5</v>
      </c>
      <c r="C113" s="103"/>
      <c r="D113" s="103">
        <v>0</v>
      </c>
      <c r="E113" s="103">
        <v>0</v>
      </c>
      <c r="F113" s="103">
        <v>0</v>
      </c>
      <c r="G113" s="103">
        <v>0</v>
      </c>
      <c r="H113" s="103">
        <v>0</v>
      </c>
      <c r="I113" s="103">
        <v>0</v>
      </c>
      <c r="J113" s="103">
        <v>0</v>
      </c>
      <c r="K113" s="103">
        <v>0</v>
      </c>
      <c r="L113" s="103">
        <v>0</v>
      </c>
      <c r="M113" s="103">
        <v>0</v>
      </c>
      <c r="N113" s="103">
        <v>0</v>
      </c>
      <c r="O113" s="103">
        <v>0</v>
      </c>
      <c r="P113" s="103">
        <v>0</v>
      </c>
      <c r="Q113" s="103">
        <v>0</v>
      </c>
      <c r="R113" s="103">
        <v>0</v>
      </c>
      <c r="S113" s="103">
        <v>0</v>
      </c>
      <c r="T113" s="103">
        <v>0</v>
      </c>
      <c r="U113" s="103">
        <v>0</v>
      </c>
      <c r="V113" s="103">
        <v>0</v>
      </c>
      <c r="W113" s="103">
        <v>0</v>
      </c>
      <c r="X113" s="103">
        <v>0</v>
      </c>
      <c r="Y113" s="103">
        <v>0</v>
      </c>
      <c r="Z113" s="103">
        <v>0</v>
      </c>
      <c r="AA113" s="103">
        <v>0</v>
      </c>
      <c r="AB113" s="103">
        <v>0</v>
      </c>
      <c r="AC113" s="103">
        <v>0</v>
      </c>
      <c r="AD113" s="103">
        <v>0</v>
      </c>
      <c r="AE113" s="103">
        <v>0</v>
      </c>
      <c r="AF113" s="103">
        <v>0</v>
      </c>
      <c r="AG113" s="103">
        <v>0</v>
      </c>
      <c r="AH113" s="103">
        <v>0</v>
      </c>
      <c r="AI113" s="103">
        <v>0</v>
      </c>
      <c r="AJ113" s="103">
        <v>0</v>
      </c>
      <c r="AK113" s="103">
        <v>0</v>
      </c>
      <c r="AL113" s="103">
        <v>0</v>
      </c>
      <c r="AM113" s="103">
        <v>0</v>
      </c>
      <c r="AN113" s="103">
        <v>0</v>
      </c>
      <c r="AO113" s="103">
        <v>0</v>
      </c>
      <c r="AP113" s="103">
        <v>0</v>
      </c>
      <c r="AQ113" s="103">
        <v>0</v>
      </c>
      <c r="AR113" s="103">
        <v>0</v>
      </c>
      <c r="AS113" s="103">
        <v>0</v>
      </c>
      <c r="AT113" s="103">
        <v>0</v>
      </c>
      <c r="AU113" s="103">
        <v>0</v>
      </c>
      <c r="AV113" s="103">
        <v>0</v>
      </c>
      <c r="AW113" s="103">
        <v>0</v>
      </c>
      <c r="AX113" s="103">
        <v>0</v>
      </c>
      <c r="AY113" s="103">
        <v>0</v>
      </c>
    </row>
    <row r="114" spans="1:52" x14ac:dyDescent="0.15">
      <c r="A114" s="106"/>
      <c r="B114" s="117">
        <v>6</v>
      </c>
      <c r="C114" s="103"/>
      <c r="D114" s="103">
        <v>0</v>
      </c>
      <c r="E114" s="103">
        <v>0</v>
      </c>
      <c r="F114" s="103">
        <v>0</v>
      </c>
      <c r="G114" s="103">
        <v>0</v>
      </c>
      <c r="H114" s="103">
        <v>0</v>
      </c>
      <c r="I114" s="103">
        <v>0</v>
      </c>
      <c r="J114" s="103">
        <v>0</v>
      </c>
      <c r="K114" s="103">
        <v>0</v>
      </c>
      <c r="L114" s="103">
        <v>0</v>
      </c>
      <c r="M114" s="103">
        <v>0</v>
      </c>
      <c r="N114" s="103">
        <v>0</v>
      </c>
      <c r="O114" s="103">
        <v>0</v>
      </c>
      <c r="P114" s="103">
        <v>0</v>
      </c>
      <c r="Q114" s="103">
        <v>0</v>
      </c>
      <c r="R114" s="103">
        <v>0</v>
      </c>
      <c r="S114" s="103">
        <v>0</v>
      </c>
      <c r="T114" s="103">
        <v>0</v>
      </c>
      <c r="U114" s="103">
        <v>0</v>
      </c>
      <c r="V114" s="103">
        <v>0</v>
      </c>
      <c r="W114" s="103">
        <v>0</v>
      </c>
      <c r="X114" s="103">
        <v>0</v>
      </c>
      <c r="Y114" s="103">
        <v>0</v>
      </c>
      <c r="Z114" s="103">
        <v>0</v>
      </c>
      <c r="AA114" s="103">
        <v>0</v>
      </c>
      <c r="AB114" s="103">
        <v>0</v>
      </c>
      <c r="AC114" s="103">
        <v>0</v>
      </c>
      <c r="AD114" s="103">
        <v>0</v>
      </c>
      <c r="AE114" s="103">
        <v>0</v>
      </c>
      <c r="AF114" s="103">
        <v>0</v>
      </c>
      <c r="AG114" s="103">
        <v>0</v>
      </c>
      <c r="AH114" s="103">
        <v>0</v>
      </c>
      <c r="AI114" s="103">
        <v>0</v>
      </c>
      <c r="AJ114" s="103">
        <v>0</v>
      </c>
      <c r="AK114" s="103">
        <v>0</v>
      </c>
      <c r="AL114" s="103">
        <v>0</v>
      </c>
      <c r="AM114" s="103">
        <v>0</v>
      </c>
      <c r="AN114" s="103">
        <v>0</v>
      </c>
      <c r="AO114" s="103">
        <v>0</v>
      </c>
      <c r="AP114" s="103">
        <v>0</v>
      </c>
      <c r="AQ114" s="103">
        <v>0</v>
      </c>
      <c r="AR114" s="103">
        <v>0</v>
      </c>
      <c r="AS114" s="103">
        <v>0</v>
      </c>
      <c r="AT114" s="103">
        <v>0</v>
      </c>
      <c r="AU114" s="103">
        <v>0</v>
      </c>
      <c r="AV114" s="103">
        <v>0</v>
      </c>
      <c r="AW114" s="103">
        <v>0</v>
      </c>
      <c r="AX114" s="103">
        <v>0</v>
      </c>
      <c r="AY114" s="103">
        <v>0</v>
      </c>
    </row>
    <row r="115" spans="1:52" x14ac:dyDescent="0.15">
      <c r="A115" s="106"/>
      <c r="B115" s="124">
        <v>7</v>
      </c>
      <c r="C115" s="103"/>
      <c r="D115" s="103">
        <v>0</v>
      </c>
      <c r="E115" s="103">
        <v>0</v>
      </c>
      <c r="F115" s="103">
        <v>0</v>
      </c>
      <c r="G115" s="103">
        <v>0</v>
      </c>
      <c r="H115" s="103">
        <v>0</v>
      </c>
      <c r="I115" s="103">
        <v>0</v>
      </c>
      <c r="J115" s="103">
        <v>0</v>
      </c>
      <c r="K115" s="103">
        <v>0</v>
      </c>
      <c r="L115" s="103">
        <v>0</v>
      </c>
      <c r="M115" s="103">
        <v>0</v>
      </c>
      <c r="N115" s="103">
        <v>0</v>
      </c>
      <c r="O115" s="103">
        <v>0</v>
      </c>
      <c r="P115" s="103">
        <v>0</v>
      </c>
      <c r="Q115" s="103">
        <v>0</v>
      </c>
      <c r="R115" s="103">
        <v>0</v>
      </c>
      <c r="S115" s="103">
        <v>0</v>
      </c>
      <c r="T115" s="103">
        <v>0</v>
      </c>
      <c r="U115" s="103">
        <v>0</v>
      </c>
      <c r="V115" s="103">
        <v>0</v>
      </c>
      <c r="W115" s="103">
        <v>0</v>
      </c>
      <c r="X115" s="103">
        <v>0</v>
      </c>
      <c r="Y115" s="103">
        <v>0</v>
      </c>
      <c r="Z115" s="103">
        <v>0</v>
      </c>
      <c r="AA115" s="103">
        <v>0</v>
      </c>
      <c r="AB115" s="103">
        <v>0</v>
      </c>
      <c r="AC115" s="103">
        <v>0</v>
      </c>
      <c r="AD115" s="103">
        <v>0</v>
      </c>
      <c r="AE115" s="103">
        <v>0</v>
      </c>
      <c r="AF115" s="103">
        <v>0</v>
      </c>
      <c r="AG115" s="103">
        <v>0</v>
      </c>
      <c r="AH115" s="103">
        <v>0</v>
      </c>
      <c r="AI115" s="103">
        <v>0</v>
      </c>
      <c r="AJ115" s="103">
        <v>0</v>
      </c>
      <c r="AK115" s="103">
        <v>0</v>
      </c>
      <c r="AL115" s="103">
        <v>0</v>
      </c>
      <c r="AM115" s="103">
        <v>0</v>
      </c>
      <c r="AN115" s="103">
        <v>0</v>
      </c>
      <c r="AO115" s="103">
        <v>0</v>
      </c>
      <c r="AP115" s="103">
        <v>0</v>
      </c>
      <c r="AQ115" s="103">
        <v>0</v>
      </c>
      <c r="AR115" s="103">
        <v>0</v>
      </c>
      <c r="AS115" s="103">
        <v>0</v>
      </c>
      <c r="AT115" s="103">
        <v>0</v>
      </c>
      <c r="AU115" s="103">
        <v>0</v>
      </c>
      <c r="AV115" s="103">
        <v>0</v>
      </c>
      <c r="AW115" s="103">
        <v>0</v>
      </c>
      <c r="AX115" s="103">
        <v>0</v>
      </c>
      <c r="AY115" s="103">
        <v>0</v>
      </c>
    </row>
    <row r="116" spans="1:52" x14ac:dyDescent="0.15">
      <c r="A116" s="106"/>
      <c r="B116" s="124">
        <v>8</v>
      </c>
      <c r="C116" s="103"/>
      <c r="D116" s="103">
        <v>0</v>
      </c>
      <c r="E116" s="103">
        <v>0</v>
      </c>
      <c r="F116" s="103">
        <v>0</v>
      </c>
      <c r="G116" s="103">
        <v>0</v>
      </c>
      <c r="H116" s="103">
        <v>0</v>
      </c>
      <c r="I116" s="103">
        <v>0</v>
      </c>
      <c r="J116" s="103">
        <v>0</v>
      </c>
      <c r="K116" s="103">
        <v>0</v>
      </c>
      <c r="L116" s="103">
        <v>0</v>
      </c>
      <c r="M116" s="103">
        <v>0</v>
      </c>
      <c r="N116" s="103">
        <v>0</v>
      </c>
      <c r="O116" s="103">
        <v>0</v>
      </c>
      <c r="P116" s="103">
        <v>0</v>
      </c>
      <c r="Q116" s="103">
        <v>0</v>
      </c>
      <c r="R116" s="103">
        <v>0</v>
      </c>
      <c r="S116" s="103">
        <v>0</v>
      </c>
      <c r="T116" s="103">
        <v>0</v>
      </c>
      <c r="U116" s="103">
        <v>0</v>
      </c>
      <c r="V116" s="103">
        <v>0</v>
      </c>
      <c r="W116" s="103">
        <v>0</v>
      </c>
      <c r="X116" s="103">
        <v>0</v>
      </c>
      <c r="Y116" s="103">
        <v>0</v>
      </c>
      <c r="Z116" s="103">
        <v>0</v>
      </c>
      <c r="AA116" s="103">
        <v>0</v>
      </c>
      <c r="AB116" s="103">
        <v>0</v>
      </c>
      <c r="AC116" s="103">
        <v>0</v>
      </c>
      <c r="AD116" s="103">
        <v>0</v>
      </c>
      <c r="AE116" s="103">
        <v>0</v>
      </c>
      <c r="AF116" s="103">
        <v>0</v>
      </c>
      <c r="AG116" s="103">
        <v>0</v>
      </c>
      <c r="AH116" s="103">
        <v>0</v>
      </c>
      <c r="AI116" s="103">
        <v>0</v>
      </c>
      <c r="AJ116" s="103">
        <v>0</v>
      </c>
      <c r="AK116" s="103">
        <v>0</v>
      </c>
      <c r="AL116" s="103">
        <v>0</v>
      </c>
      <c r="AM116" s="103">
        <v>0</v>
      </c>
      <c r="AN116" s="103">
        <v>0</v>
      </c>
      <c r="AO116" s="103">
        <v>0</v>
      </c>
      <c r="AP116" s="103">
        <v>0</v>
      </c>
      <c r="AQ116" s="103">
        <v>0</v>
      </c>
      <c r="AR116" s="103">
        <v>0</v>
      </c>
      <c r="AS116" s="103">
        <v>0</v>
      </c>
      <c r="AT116" s="103">
        <v>0</v>
      </c>
      <c r="AU116" s="103">
        <v>0</v>
      </c>
      <c r="AV116" s="103">
        <v>0</v>
      </c>
      <c r="AW116" s="103">
        <v>0</v>
      </c>
      <c r="AX116" s="103">
        <v>0</v>
      </c>
      <c r="AY116" s="103">
        <v>0</v>
      </c>
    </row>
    <row r="117" spans="1:52" x14ac:dyDescent="0.15">
      <c r="A117" s="106"/>
      <c r="B117" s="124">
        <v>9</v>
      </c>
      <c r="C117" s="103"/>
      <c r="D117" s="103">
        <v>0</v>
      </c>
      <c r="E117" s="103">
        <v>0</v>
      </c>
      <c r="F117" s="103">
        <v>0</v>
      </c>
      <c r="G117" s="103">
        <v>0</v>
      </c>
      <c r="H117" s="103">
        <v>0</v>
      </c>
      <c r="I117" s="103">
        <v>0</v>
      </c>
      <c r="J117" s="103">
        <v>0</v>
      </c>
      <c r="K117" s="103">
        <v>0</v>
      </c>
      <c r="L117" s="103">
        <v>0</v>
      </c>
      <c r="M117" s="103">
        <v>0</v>
      </c>
      <c r="N117" s="103">
        <v>0</v>
      </c>
      <c r="O117" s="103">
        <v>0</v>
      </c>
      <c r="P117" s="103">
        <v>0</v>
      </c>
      <c r="Q117" s="103">
        <v>0</v>
      </c>
      <c r="R117" s="103">
        <v>0</v>
      </c>
      <c r="S117" s="103">
        <v>0</v>
      </c>
      <c r="T117" s="103">
        <v>0</v>
      </c>
      <c r="U117" s="103">
        <v>0</v>
      </c>
      <c r="V117" s="103">
        <v>0</v>
      </c>
      <c r="W117" s="103">
        <v>0</v>
      </c>
      <c r="X117" s="103">
        <v>0</v>
      </c>
      <c r="Y117" s="103">
        <v>0</v>
      </c>
      <c r="Z117" s="103">
        <v>0</v>
      </c>
      <c r="AA117" s="103">
        <v>0</v>
      </c>
      <c r="AB117" s="103">
        <v>0</v>
      </c>
      <c r="AC117" s="103">
        <v>0</v>
      </c>
      <c r="AD117" s="103">
        <v>0</v>
      </c>
      <c r="AE117" s="103">
        <v>0</v>
      </c>
      <c r="AF117" s="103">
        <v>0</v>
      </c>
      <c r="AG117" s="103">
        <v>0</v>
      </c>
      <c r="AH117" s="103">
        <v>0</v>
      </c>
      <c r="AI117" s="103">
        <v>0</v>
      </c>
      <c r="AJ117" s="103">
        <v>0</v>
      </c>
      <c r="AK117" s="103">
        <v>0</v>
      </c>
      <c r="AL117" s="103">
        <v>0</v>
      </c>
      <c r="AM117" s="103">
        <v>0</v>
      </c>
      <c r="AN117" s="103">
        <v>0</v>
      </c>
      <c r="AO117" s="103">
        <v>0</v>
      </c>
      <c r="AP117" s="103">
        <v>0</v>
      </c>
      <c r="AQ117" s="103">
        <v>0</v>
      </c>
      <c r="AR117" s="103">
        <v>0</v>
      </c>
      <c r="AS117" s="103">
        <v>0</v>
      </c>
      <c r="AT117" s="103">
        <v>0</v>
      </c>
      <c r="AU117" s="103">
        <v>0</v>
      </c>
      <c r="AV117" s="103">
        <v>0</v>
      </c>
      <c r="AW117" s="103">
        <v>0</v>
      </c>
      <c r="AX117" s="103">
        <v>0</v>
      </c>
      <c r="AY117" s="103">
        <v>0</v>
      </c>
    </row>
    <row r="118" spans="1:52" x14ac:dyDescent="0.15">
      <c r="A118" s="106"/>
      <c r="B118" s="127">
        <v>10</v>
      </c>
      <c r="C118" s="103"/>
      <c r="D118" s="103">
        <v>0</v>
      </c>
      <c r="E118" s="103">
        <v>0</v>
      </c>
      <c r="F118" s="103">
        <v>0</v>
      </c>
      <c r="G118" s="103">
        <v>0</v>
      </c>
      <c r="H118" s="103">
        <v>0</v>
      </c>
      <c r="I118" s="103">
        <v>0</v>
      </c>
      <c r="J118" s="103">
        <v>0</v>
      </c>
      <c r="K118" s="103">
        <v>0</v>
      </c>
      <c r="L118" s="103">
        <v>0</v>
      </c>
      <c r="M118" s="103">
        <v>0</v>
      </c>
      <c r="N118" s="103">
        <v>0</v>
      </c>
      <c r="O118" s="103">
        <v>0</v>
      </c>
      <c r="P118" s="103">
        <v>0</v>
      </c>
      <c r="Q118" s="103">
        <v>0</v>
      </c>
      <c r="R118" s="103">
        <v>0</v>
      </c>
      <c r="S118" s="103">
        <v>0</v>
      </c>
      <c r="T118" s="103">
        <v>0</v>
      </c>
      <c r="U118" s="103">
        <v>0</v>
      </c>
      <c r="V118" s="103">
        <v>0</v>
      </c>
      <c r="W118" s="103">
        <v>0</v>
      </c>
      <c r="X118" s="103">
        <v>0</v>
      </c>
      <c r="Y118" s="103">
        <v>0</v>
      </c>
      <c r="Z118" s="103">
        <v>0</v>
      </c>
      <c r="AA118" s="103">
        <v>0</v>
      </c>
      <c r="AB118" s="103">
        <v>0</v>
      </c>
      <c r="AC118" s="103">
        <v>0</v>
      </c>
      <c r="AD118" s="103">
        <v>0</v>
      </c>
      <c r="AE118" s="103">
        <v>0</v>
      </c>
      <c r="AF118" s="103">
        <v>0</v>
      </c>
      <c r="AG118" s="103">
        <v>0</v>
      </c>
      <c r="AH118" s="103">
        <v>0</v>
      </c>
      <c r="AI118" s="103">
        <v>0</v>
      </c>
      <c r="AJ118" s="103">
        <v>0</v>
      </c>
      <c r="AK118" s="103">
        <v>0</v>
      </c>
      <c r="AL118" s="103">
        <v>0</v>
      </c>
      <c r="AM118" s="103">
        <v>0</v>
      </c>
      <c r="AN118" s="103">
        <v>0</v>
      </c>
      <c r="AO118" s="103">
        <v>0</v>
      </c>
      <c r="AP118" s="103">
        <v>0</v>
      </c>
      <c r="AQ118" s="103">
        <v>0</v>
      </c>
      <c r="AR118" s="103">
        <v>0</v>
      </c>
      <c r="AS118" s="103">
        <v>0</v>
      </c>
      <c r="AT118" s="103">
        <v>0</v>
      </c>
      <c r="AU118" s="103">
        <v>0</v>
      </c>
      <c r="AV118" s="103">
        <v>0</v>
      </c>
      <c r="AW118" s="103">
        <v>0</v>
      </c>
      <c r="AX118" s="103">
        <v>0</v>
      </c>
      <c r="AY118" s="103">
        <v>0</v>
      </c>
    </row>
    <row r="119" spans="1:52" x14ac:dyDescent="0.15">
      <c r="A119" s="106"/>
      <c r="B119" s="127">
        <v>11</v>
      </c>
      <c r="C119" s="103"/>
      <c r="D119" s="103">
        <v>0</v>
      </c>
      <c r="E119" s="103">
        <v>0</v>
      </c>
      <c r="F119" s="103">
        <v>0</v>
      </c>
      <c r="G119" s="103">
        <v>0</v>
      </c>
      <c r="H119" s="103">
        <v>0</v>
      </c>
      <c r="I119" s="103">
        <v>0</v>
      </c>
      <c r="J119" s="103">
        <v>0</v>
      </c>
      <c r="K119" s="103">
        <v>0</v>
      </c>
      <c r="L119" s="103">
        <v>0</v>
      </c>
      <c r="M119" s="103">
        <v>0</v>
      </c>
      <c r="N119" s="103">
        <v>0</v>
      </c>
      <c r="O119" s="103">
        <v>0</v>
      </c>
      <c r="P119" s="103">
        <v>0</v>
      </c>
      <c r="Q119" s="103">
        <v>0</v>
      </c>
      <c r="R119" s="103">
        <v>0</v>
      </c>
      <c r="S119" s="103">
        <v>0</v>
      </c>
      <c r="T119" s="103">
        <v>0</v>
      </c>
      <c r="U119" s="103">
        <v>0</v>
      </c>
      <c r="V119" s="103">
        <v>0</v>
      </c>
      <c r="W119" s="103">
        <v>0</v>
      </c>
      <c r="X119" s="103">
        <v>0</v>
      </c>
      <c r="Y119" s="103">
        <v>0</v>
      </c>
      <c r="Z119" s="103">
        <v>0</v>
      </c>
      <c r="AA119" s="103">
        <v>0</v>
      </c>
      <c r="AB119" s="103">
        <v>0</v>
      </c>
      <c r="AC119" s="103">
        <v>0</v>
      </c>
      <c r="AD119" s="103">
        <v>0</v>
      </c>
      <c r="AE119" s="103">
        <v>0</v>
      </c>
      <c r="AF119" s="103">
        <v>0</v>
      </c>
      <c r="AG119" s="103">
        <v>0</v>
      </c>
      <c r="AH119" s="103">
        <v>0</v>
      </c>
      <c r="AI119" s="103">
        <v>0</v>
      </c>
      <c r="AJ119" s="103">
        <v>0</v>
      </c>
      <c r="AK119" s="103">
        <v>0</v>
      </c>
      <c r="AL119" s="103">
        <v>0</v>
      </c>
      <c r="AM119" s="103">
        <v>0</v>
      </c>
      <c r="AN119" s="103">
        <v>0</v>
      </c>
      <c r="AO119" s="103">
        <v>0</v>
      </c>
      <c r="AP119" s="103">
        <v>0</v>
      </c>
      <c r="AQ119" s="103">
        <v>0</v>
      </c>
      <c r="AR119" s="103">
        <v>0</v>
      </c>
      <c r="AS119" s="103">
        <v>0</v>
      </c>
      <c r="AT119" s="103">
        <v>0</v>
      </c>
      <c r="AU119" s="103">
        <v>0</v>
      </c>
      <c r="AV119" s="103">
        <v>0</v>
      </c>
      <c r="AW119" s="103">
        <v>0</v>
      </c>
      <c r="AX119" s="103">
        <v>0</v>
      </c>
      <c r="AY119" s="103">
        <v>0</v>
      </c>
    </row>
    <row r="120" spans="1:52" x14ac:dyDescent="0.15">
      <c r="A120" s="106"/>
      <c r="B120" s="127">
        <v>12</v>
      </c>
      <c r="C120" s="103"/>
      <c r="D120" s="103">
        <v>0</v>
      </c>
      <c r="E120" s="103">
        <v>0</v>
      </c>
      <c r="F120" s="103">
        <v>0</v>
      </c>
      <c r="G120" s="103">
        <v>0</v>
      </c>
      <c r="H120" s="103">
        <v>0</v>
      </c>
      <c r="I120" s="103">
        <v>0</v>
      </c>
      <c r="J120" s="103">
        <v>0</v>
      </c>
      <c r="K120" s="103">
        <v>0</v>
      </c>
      <c r="L120" s="103">
        <v>0</v>
      </c>
      <c r="M120" s="103">
        <v>0</v>
      </c>
      <c r="N120" s="103">
        <v>0</v>
      </c>
      <c r="O120" s="103">
        <v>0</v>
      </c>
      <c r="P120" s="103">
        <v>0</v>
      </c>
      <c r="Q120" s="103">
        <v>0</v>
      </c>
      <c r="R120" s="103">
        <v>0</v>
      </c>
      <c r="S120" s="103">
        <v>0</v>
      </c>
      <c r="T120" s="103">
        <v>0</v>
      </c>
      <c r="U120" s="103">
        <v>0</v>
      </c>
      <c r="V120" s="103">
        <v>0</v>
      </c>
      <c r="W120" s="103">
        <v>0</v>
      </c>
      <c r="X120" s="103">
        <v>0</v>
      </c>
      <c r="Y120" s="103">
        <v>0</v>
      </c>
      <c r="Z120" s="103">
        <v>0</v>
      </c>
      <c r="AA120" s="103">
        <v>0</v>
      </c>
      <c r="AB120" s="103">
        <v>0</v>
      </c>
      <c r="AC120" s="103">
        <v>0</v>
      </c>
      <c r="AD120" s="103">
        <v>0</v>
      </c>
      <c r="AE120" s="103">
        <v>0</v>
      </c>
      <c r="AF120" s="103">
        <v>0</v>
      </c>
      <c r="AG120" s="103">
        <v>0</v>
      </c>
      <c r="AH120" s="103">
        <v>0</v>
      </c>
      <c r="AI120" s="103">
        <v>0</v>
      </c>
      <c r="AJ120" s="103">
        <v>0</v>
      </c>
      <c r="AK120" s="103">
        <v>0</v>
      </c>
      <c r="AL120" s="103">
        <v>0</v>
      </c>
      <c r="AM120" s="103">
        <v>0</v>
      </c>
      <c r="AN120" s="103">
        <v>0</v>
      </c>
      <c r="AO120" s="103">
        <v>0</v>
      </c>
      <c r="AP120" s="103">
        <v>0</v>
      </c>
      <c r="AQ120" s="103">
        <v>0</v>
      </c>
      <c r="AR120" s="103">
        <v>0</v>
      </c>
      <c r="AS120" s="103">
        <v>0</v>
      </c>
      <c r="AT120" s="103">
        <v>0</v>
      </c>
      <c r="AU120" s="103">
        <v>0</v>
      </c>
      <c r="AV120" s="103">
        <v>0</v>
      </c>
      <c r="AW120" s="103">
        <v>0</v>
      </c>
      <c r="AX120" s="103">
        <v>0</v>
      </c>
      <c r="AY120" s="103">
        <v>0</v>
      </c>
    </row>
    <row r="121" spans="1:52" x14ac:dyDescent="0.15">
      <c r="A121" s="125"/>
      <c r="B121" s="129" t="s">
        <v>295</v>
      </c>
      <c r="C121" s="111"/>
      <c r="D121" s="122">
        <v>0</v>
      </c>
      <c r="E121" s="122">
        <v>0</v>
      </c>
      <c r="F121" s="122">
        <v>0</v>
      </c>
      <c r="G121" s="122">
        <v>0</v>
      </c>
      <c r="H121" s="122">
        <v>0</v>
      </c>
      <c r="I121" s="122">
        <v>0</v>
      </c>
      <c r="J121" s="122">
        <v>0</v>
      </c>
      <c r="K121" s="122">
        <v>0</v>
      </c>
      <c r="L121" s="122">
        <v>0</v>
      </c>
      <c r="M121" s="122">
        <v>0</v>
      </c>
      <c r="N121" s="122">
        <v>0</v>
      </c>
      <c r="O121" s="122">
        <v>0</v>
      </c>
      <c r="P121" s="122">
        <v>0</v>
      </c>
      <c r="Q121" s="122">
        <v>0</v>
      </c>
      <c r="R121" s="122">
        <v>0</v>
      </c>
      <c r="S121" s="122">
        <v>0</v>
      </c>
      <c r="T121" s="122">
        <v>0</v>
      </c>
      <c r="U121" s="122">
        <v>0</v>
      </c>
      <c r="V121" s="122">
        <v>0</v>
      </c>
      <c r="W121" s="122">
        <v>0</v>
      </c>
      <c r="X121" s="122">
        <v>0</v>
      </c>
      <c r="Y121" s="122">
        <v>0</v>
      </c>
      <c r="Z121" s="122">
        <v>0</v>
      </c>
      <c r="AA121" s="122">
        <v>0</v>
      </c>
      <c r="AB121" s="122">
        <v>0</v>
      </c>
      <c r="AC121" s="122">
        <v>0</v>
      </c>
      <c r="AD121" s="122">
        <v>0</v>
      </c>
      <c r="AE121" s="122">
        <v>0</v>
      </c>
      <c r="AF121" s="122">
        <v>0</v>
      </c>
      <c r="AG121" s="122">
        <v>0</v>
      </c>
      <c r="AH121" s="122">
        <v>0</v>
      </c>
      <c r="AI121" s="122">
        <v>0</v>
      </c>
      <c r="AJ121" s="122">
        <v>0</v>
      </c>
      <c r="AK121" s="122">
        <v>0</v>
      </c>
      <c r="AL121" s="122">
        <v>0</v>
      </c>
      <c r="AM121" s="122">
        <v>0</v>
      </c>
      <c r="AN121" s="122">
        <v>0</v>
      </c>
      <c r="AO121" s="122">
        <v>0</v>
      </c>
      <c r="AP121" s="122">
        <v>0</v>
      </c>
      <c r="AQ121" s="122">
        <v>0</v>
      </c>
      <c r="AR121" s="122">
        <v>0</v>
      </c>
      <c r="AS121" s="122">
        <v>0</v>
      </c>
      <c r="AT121" s="122">
        <v>0</v>
      </c>
      <c r="AU121" s="122">
        <v>0</v>
      </c>
      <c r="AV121" s="122">
        <v>0</v>
      </c>
      <c r="AW121" s="122">
        <v>0</v>
      </c>
      <c r="AX121" s="122">
        <v>0</v>
      </c>
      <c r="AY121" s="122">
        <v>0</v>
      </c>
      <c r="AZ121" s="104">
        <f>SUM($D121:$AY121)</f>
        <v>0</v>
      </c>
    </row>
    <row r="122" spans="1:52" x14ac:dyDescent="0.15">
      <c r="A122" s="128" t="s">
        <v>123</v>
      </c>
      <c r="B122" s="116">
        <v>1</v>
      </c>
      <c r="C122" s="103"/>
      <c r="D122" s="103">
        <v>0</v>
      </c>
      <c r="E122" s="103">
        <v>0</v>
      </c>
      <c r="F122" s="103">
        <v>0</v>
      </c>
      <c r="G122" s="103">
        <v>0</v>
      </c>
      <c r="H122" s="103">
        <v>0</v>
      </c>
      <c r="I122" s="103">
        <v>0</v>
      </c>
      <c r="J122" s="103">
        <v>0</v>
      </c>
      <c r="K122" s="103">
        <v>0</v>
      </c>
      <c r="L122" s="103">
        <v>0</v>
      </c>
      <c r="M122" s="103">
        <v>0</v>
      </c>
      <c r="N122" s="103">
        <v>0</v>
      </c>
      <c r="O122" s="103">
        <v>0</v>
      </c>
      <c r="P122" s="103">
        <v>0</v>
      </c>
      <c r="Q122" s="103">
        <v>0</v>
      </c>
      <c r="R122" s="103">
        <v>0</v>
      </c>
      <c r="S122" s="103">
        <v>0</v>
      </c>
      <c r="T122" s="103">
        <v>0</v>
      </c>
      <c r="U122" s="103">
        <v>0</v>
      </c>
      <c r="V122" s="103">
        <v>0</v>
      </c>
      <c r="W122" s="103">
        <v>0</v>
      </c>
      <c r="X122" s="103">
        <v>0</v>
      </c>
      <c r="Y122" s="103">
        <v>0</v>
      </c>
      <c r="Z122" s="103">
        <v>0</v>
      </c>
      <c r="AA122" s="103">
        <v>0</v>
      </c>
      <c r="AB122" s="103">
        <v>0</v>
      </c>
      <c r="AC122" s="103">
        <v>0</v>
      </c>
      <c r="AD122" s="103">
        <v>0</v>
      </c>
      <c r="AE122" s="103">
        <v>0</v>
      </c>
      <c r="AF122" s="103">
        <v>0</v>
      </c>
      <c r="AG122" s="103">
        <v>0</v>
      </c>
      <c r="AH122" s="103">
        <v>0</v>
      </c>
      <c r="AI122" s="103">
        <v>0</v>
      </c>
      <c r="AJ122" s="103">
        <v>0</v>
      </c>
      <c r="AK122" s="103">
        <v>0</v>
      </c>
      <c r="AL122" s="103">
        <v>0</v>
      </c>
      <c r="AM122" s="103">
        <v>0</v>
      </c>
      <c r="AN122" s="103">
        <v>0</v>
      </c>
      <c r="AO122" s="103">
        <v>0</v>
      </c>
      <c r="AP122" s="103">
        <v>0</v>
      </c>
      <c r="AQ122" s="103">
        <v>0</v>
      </c>
      <c r="AR122" s="103">
        <v>0</v>
      </c>
      <c r="AS122" s="103">
        <v>0</v>
      </c>
      <c r="AT122" s="103">
        <v>0</v>
      </c>
      <c r="AU122" s="103">
        <v>0</v>
      </c>
      <c r="AV122" s="103">
        <v>0</v>
      </c>
      <c r="AW122" s="103">
        <v>0</v>
      </c>
      <c r="AX122" s="103">
        <v>0</v>
      </c>
      <c r="AY122" s="103">
        <v>0</v>
      </c>
    </row>
    <row r="123" spans="1:52" x14ac:dyDescent="0.15">
      <c r="A123" s="106"/>
      <c r="B123" s="116">
        <v>2</v>
      </c>
      <c r="C123" s="103"/>
      <c r="D123" s="103">
        <v>0</v>
      </c>
      <c r="E123" s="103">
        <v>0</v>
      </c>
      <c r="F123" s="103">
        <v>0</v>
      </c>
      <c r="G123" s="103">
        <v>0</v>
      </c>
      <c r="H123" s="103">
        <v>0</v>
      </c>
      <c r="I123" s="103">
        <v>0</v>
      </c>
      <c r="J123" s="103">
        <v>0</v>
      </c>
      <c r="K123" s="103">
        <v>0</v>
      </c>
      <c r="L123" s="103">
        <v>0</v>
      </c>
      <c r="M123" s="103">
        <v>0</v>
      </c>
      <c r="N123" s="103">
        <v>0</v>
      </c>
      <c r="O123" s="103">
        <v>0</v>
      </c>
      <c r="P123" s="103">
        <v>0</v>
      </c>
      <c r="Q123" s="103">
        <v>0</v>
      </c>
      <c r="R123" s="103">
        <v>0</v>
      </c>
      <c r="S123" s="103">
        <v>0</v>
      </c>
      <c r="T123" s="103">
        <v>0</v>
      </c>
      <c r="U123" s="103">
        <v>0</v>
      </c>
      <c r="V123" s="103">
        <v>0</v>
      </c>
      <c r="W123" s="103">
        <v>0</v>
      </c>
      <c r="X123" s="103">
        <v>0</v>
      </c>
      <c r="Y123" s="103">
        <v>0</v>
      </c>
      <c r="Z123" s="103">
        <v>0</v>
      </c>
      <c r="AA123" s="103">
        <v>0</v>
      </c>
      <c r="AB123" s="103">
        <v>0</v>
      </c>
      <c r="AC123" s="103">
        <v>0</v>
      </c>
      <c r="AD123" s="103">
        <v>0</v>
      </c>
      <c r="AE123" s="103">
        <v>0</v>
      </c>
      <c r="AF123" s="103">
        <v>0</v>
      </c>
      <c r="AG123" s="103">
        <v>0</v>
      </c>
      <c r="AH123" s="103">
        <v>0</v>
      </c>
      <c r="AI123" s="103">
        <v>0</v>
      </c>
      <c r="AJ123" s="103">
        <v>0</v>
      </c>
      <c r="AK123" s="103">
        <v>0</v>
      </c>
      <c r="AL123" s="103">
        <v>0</v>
      </c>
      <c r="AM123" s="103">
        <v>0</v>
      </c>
      <c r="AN123" s="103">
        <v>0</v>
      </c>
      <c r="AO123" s="103">
        <v>0</v>
      </c>
      <c r="AP123" s="103">
        <v>0</v>
      </c>
      <c r="AQ123" s="103">
        <v>0</v>
      </c>
      <c r="AR123" s="103">
        <v>0</v>
      </c>
      <c r="AS123" s="103">
        <v>0</v>
      </c>
      <c r="AT123" s="103">
        <v>0</v>
      </c>
      <c r="AU123" s="103">
        <v>0</v>
      </c>
      <c r="AV123" s="103">
        <v>0</v>
      </c>
      <c r="AW123" s="103">
        <v>0</v>
      </c>
      <c r="AX123" s="103">
        <v>0</v>
      </c>
      <c r="AY123" s="103">
        <v>0</v>
      </c>
    </row>
    <row r="124" spans="1:52" x14ac:dyDescent="0.15">
      <c r="A124" s="106"/>
      <c r="B124" s="116">
        <v>3</v>
      </c>
      <c r="C124" s="103"/>
      <c r="D124" s="103">
        <v>0</v>
      </c>
      <c r="E124" s="103">
        <v>0</v>
      </c>
      <c r="F124" s="103">
        <v>0</v>
      </c>
      <c r="G124" s="103">
        <v>0</v>
      </c>
      <c r="H124" s="103">
        <v>0</v>
      </c>
      <c r="I124" s="103">
        <v>0</v>
      </c>
      <c r="J124" s="103">
        <v>0</v>
      </c>
      <c r="K124" s="103">
        <v>0</v>
      </c>
      <c r="L124" s="103">
        <v>0</v>
      </c>
      <c r="M124" s="103">
        <v>0</v>
      </c>
      <c r="N124" s="103">
        <v>0</v>
      </c>
      <c r="O124" s="103">
        <v>0</v>
      </c>
      <c r="P124" s="103">
        <v>0</v>
      </c>
      <c r="Q124" s="103">
        <v>0</v>
      </c>
      <c r="R124" s="103">
        <v>0</v>
      </c>
      <c r="S124" s="103">
        <v>0</v>
      </c>
      <c r="T124" s="103">
        <v>0</v>
      </c>
      <c r="U124" s="103">
        <v>0</v>
      </c>
      <c r="V124" s="103">
        <v>0</v>
      </c>
      <c r="W124" s="103">
        <v>0</v>
      </c>
      <c r="X124" s="103">
        <v>0</v>
      </c>
      <c r="Y124" s="103">
        <v>0</v>
      </c>
      <c r="Z124" s="103">
        <v>0</v>
      </c>
      <c r="AA124" s="103">
        <v>0</v>
      </c>
      <c r="AB124" s="103">
        <v>0</v>
      </c>
      <c r="AC124" s="103">
        <v>0</v>
      </c>
      <c r="AD124" s="103">
        <v>0</v>
      </c>
      <c r="AE124" s="103">
        <v>0</v>
      </c>
      <c r="AF124" s="103">
        <v>0</v>
      </c>
      <c r="AG124" s="103">
        <v>0</v>
      </c>
      <c r="AH124" s="103">
        <v>0</v>
      </c>
      <c r="AI124" s="103">
        <v>0</v>
      </c>
      <c r="AJ124" s="103">
        <v>0</v>
      </c>
      <c r="AK124" s="103">
        <v>0</v>
      </c>
      <c r="AL124" s="103">
        <v>0</v>
      </c>
      <c r="AM124" s="103">
        <v>0</v>
      </c>
      <c r="AN124" s="103">
        <v>0</v>
      </c>
      <c r="AO124" s="103">
        <v>0</v>
      </c>
      <c r="AP124" s="103">
        <v>0</v>
      </c>
      <c r="AQ124" s="103">
        <v>0</v>
      </c>
      <c r="AR124" s="103">
        <v>0</v>
      </c>
      <c r="AS124" s="103">
        <v>0</v>
      </c>
      <c r="AT124" s="103">
        <v>0</v>
      </c>
      <c r="AU124" s="103">
        <v>0</v>
      </c>
      <c r="AV124" s="103">
        <v>0</v>
      </c>
      <c r="AW124" s="103">
        <v>0</v>
      </c>
      <c r="AX124" s="103">
        <v>0</v>
      </c>
      <c r="AY124" s="103">
        <v>0</v>
      </c>
    </row>
    <row r="125" spans="1:52" x14ac:dyDescent="0.15">
      <c r="A125" s="106"/>
      <c r="B125" s="116">
        <v>4</v>
      </c>
      <c r="C125" s="103"/>
      <c r="D125" s="103">
        <v>0</v>
      </c>
      <c r="E125" s="103">
        <v>0</v>
      </c>
      <c r="F125" s="103">
        <v>0</v>
      </c>
      <c r="G125" s="103">
        <v>0</v>
      </c>
      <c r="H125" s="103">
        <v>0</v>
      </c>
      <c r="I125" s="103">
        <v>0</v>
      </c>
      <c r="J125" s="103">
        <v>0</v>
      </c>
      <c r="K125" s="103">
        <v>0</v>
      </c>
      <c r="L125" s="103">
        <v>0</v>
      </c>
      <c r="M125" s="103">
        <v>0</v>
      </c>
      <c r="N125" s="103">
        <v>0</v>
      </c>
      <c r="O125" s="103">
        <v>0</v>
      </c>
      <c r="P125" s="103">
        <v>0</v>
      </c>
      <c r="Q125" s="103">
        <v>0</v>
      </c>
      <c r="R125" s="103">
        <v>0</v>
      </c>
      <c r="S125" s="103">
        <v>0</v>
      </c>
      <c r="T125" s="103">
        <v>0</v>
      </c>
      <c r="U125" s="103">
        <v>0</v>
      </c>
      <c r="V125" s="103">
        <v>0</v>
      </c>
      <c r="W125" s="103">
        <v>0</v>
      </c>
      <c r="X125" s="103">
        <v>0</v>
      </c>
      <c r="Y125" s="103">
        <v>0</v>
      </c>
      <c r="Z125" s="103">
        <v>0</v>
      </c>
      <c r="AA125" s="103">
        <v>0</v>
      </c>
      <c r="AB125" s="103">
        <v>0</v>
      </c>
      <c r="AC125" s="103">
        <v>0</v>
      </c>
      <c r="AD125" s="103">
        <v>0</v>
      </c>
      <c r="AE125" s="103">
        <v>0</v>
      </c>
      <c r="AF125" s="103">
        <v>0</v>
      </c>
      <c r="AG125" s="103">
        <v>0</v>
      </c>
      <c r="AH125" s="103">
        <v>0</v>
      </c>
      <c r="AI125" s="103">
        <v>0</v>
      </c>
      <c r="AJ125" s="103">
        <v>0</v>
      </c>
      <c r="AK125" s="103">
        <v>0</v>
      </c>
      <c r="AL125" s="103">
        <v>0</v>
      </c>
      <c r="AM125" s="103">
        <v>0</v>
      </c>
      <c r="AN125" s="103">
        <v>0</v>
      </c>
      <c r="AO125" s="103">
        <v>0</v>
      </c>
      <c r="AP125" s="103">
        <v>0</v>
      </c>
      <c r="AQ125" s="103">
        <v>0</v>
      </c>
      <c r="AR125" s="103">
        <v>0</v>
      </c>
      <c r="AS125" s="103">
        <v>0</v>
      </c>
      <c r="AT125" s="103">
        <v>0</v>
      </c>
      <c r="AU125" s="103">
        <v>0</v>
      </c>
      <c r="AV125" s="103">
        <v>0</v>
      </c>
      <c r="AW125" s="103">
        <v>0</v>
      </c>
      <c r="AX125" s="103">
        <v>0</v>
      </c>
      <c r="AY125" s="103">
        <v>0</v>
      </c>
    </row>
    <row r="126" spans="1:52" x14ac:dyDescent="0.15">
      <c r="A126" s="106"/>
      <c r="B126" s="116">
        <v>5</v>
      </c>
      <c r="C126" s="103"/>
      <c r="D126" s="103">
        <v>0</v>
      </c>
      <c r="E126" s="103">
        <v>0</v>
      </c>
      <c r="F126" s="103">
        <v>0</v>
      </c>
      <c r="G126" s="103">
        <v>0</v>
      </c>
      <c r="H126" s="103">
        <v>0</v>
      </c>
      <c r="I126" s="103">
        <v>0</v>
      </c>
      <c r="J126" s="103">
        <v>0</v>
      </c>
      <c r="K126" s="103">
        <v>0</v>
      </c>
      <c r="L126" s="103">
        <v>0</v>
      </c>
      <c r="M126" s="103">
        <v>0</v>
      </c>
      <c r="N126" s="103">
        <v>0</v>
      </c>
      <c r="O126" s="103">
        <v>0</v>
      </c>
      <c r="P126" s="103">
        <v>0</v>
      </c>
      <c r="Q126" s="103">
        <v>0</v>
      </c>
      <c r="R126" s="103">
        <v>0</v>
      </c>
      <c r="S126" s="103">
        <v>0</v>
      </c>
      <c r="T126" s="103">
        <v>0</v>
      </c>
      <c r="U126" s="103">
        <v>0</v>
      </c>
      <c r="V126" s="103">
        <v>0</v>
      </c>
      <c r="W126" s="103">
        <v>0</v>
      </c>
      <c r="X126" s="103">
        <v>0</v>
      </c>
      <c r="Y126" s="103">
        <v>0</v>
      </c>
      <c r="Z126" s="103">
        <v>0</v>
      </c>
      <c r="AA126" s="103">
        <v>0</v>
      </c>
      <c r="AB126" s="103">
        <v>0</v>
      </c>
      <c r="AC126" s="103">
        <v>0</v>
      </c>
      <c r="AD126" s="103">
        <v>0</v>
      </c>
      <c r="AE126" s="103">
        <v>0</v>
      </c>
      <c r="AF126" s="103">
        <v>0</v>
      </c>
      <c r="AG126" s="103">
        <v>0</v>
      </c>
      <c r="AH126" s="103">
        <v>0</v>
      </c>
      <c r="AI126" s="103">
        <v>0</v>
      </c>
      <c r="AJ126" s="103">
        <v>0</v>
      </c>
      <c r="AK126" s="103">
        <v>0</v>
      </c>
      <c r="AL126" s="103">
        <v>0</v>
      </c>
      <c r="AM126" s="103">
        <v>0</v>
      </c>
      <c r="AN126" s="103">
        <v>0</v>
      </c>
      <c r="AO126" s="103">
        <v>0</v>
      </c>
      <c r="AP126" s="103">
        <v>0</v>
      </c>
      <c r="AQ126" s="103">
        <v>0</v>
      </c>
      <c r="AR126" s="103">
        <v>0</v>
      </c>
      <c r="AS126" s="103">
        <v>0</v>
      </c>
      <c r="AT126" s="103">
        <v>0</v>
      </c>
      <c r="AU126" s="103">
        <v>0</v>
      </c>
      <c r="AV126" s="103">
        <v>0</v>
      </c>
      <c r="AW126" s="103">
        <v>0</v>
      </c>
      <c r="AX126" s="103">
        <v>0</v>
      </c>
      <c r="AY126" s="103">
        <v>0</v>
      </c>
    </row>
    <row r="127" spans="1:52" x14ac:dyDescent="0.15">
      <c r="A127" s="106"/>
      <c r="B127" s="116">
        <v>6</v>
      </c>
      <c r="C127" s="103"/>
      <c r="D127" s="103">
        <v>0</v>
      </c>
      <c r="E127" s="103">
        <v>0</v>
      </c>
      <c r="F127" s="103">
        <v>0</v>
      </c>
      <c r="G127" s="103">
        <v>0</v>
      </c>
      <c r="H127" s="103">
        <v>0</v>
      </c>
      <c r="I127" s="103">
        <v>0</v>
      </c>
      <c r="J127" s="103">
        <v>0</v>
      </c>
      <c r="K127" s="103">
        <v>0</v>
      </c>
      <c r="L127" s="103">
        <v>0</v>
      </c>
      <c r="M127" s="103">
        <v>0</v>
      </c>
      <c r="N127" s="103">
        <v>0</v>
      </c>
      <c r="O127" s="103">
        <v>0</v>
      </c>
      <c r="P127" s="103">
        <v>0</v>
      </c>
      <c r="Q127" s="103">
        <v>0</v>
      </c>
      <c r="R127" s="103">
        <v>0</v>
      </c>
      <c r="S127" s="103">
        <v>0</v>
      </c>
      <c r="T127" s="103">
        <v>0</v>
      </c>
      <c r="U127" s="103">
        <v>0</v>
      </c>
      <c r="V127" s="103">
        <v>0</v>
      </c>
      <c r="W127" s="103">
        <v>0</v>
      </c>
      <c r="X127" s="103">
        <v>0</v>
      </c>
      <c r="Y127" s="103">
        <v>0</v>
      </c>
      <c r="Z127" s="103">
        <v>0</v>
      </c>
      <c r="AA127" s="103">
        <v>0</v>
      </c>
      <c r="AB127" s="103">
        <v>0</v>
      </c>
      <c r="AC127" s="103">
        <v>0</v>
      </c>
      <c r="AD127" s="103">
        <v>0</v>
      </c>
      <c r="AE127" s="103">
        <v>0</v>
      </c>
      <c r="AF127" s="103">
        <v>0</v>
      </c>
      <c r="AG127" s="103">
        <v>0</v>
      </c>
      <c r="AH127" s="103">
        <v>0</v>
      </c>
      <c r="AI127" s="103">
        <v>0</v>
      </c>
      <c r="AJ127" s="103">
        <v>0</v>
      </c>
      <c r="AK127" s="103">
        <v>0</v>
      </c>
      <c r="AL127" s="103">
        <v>0</v>
      </c>
      <c r="AM127" s="103">
        <v>0</v>
      </c>
      <c r="AN127" s="103">
        <v>0</v>
      </c>
      <c r="AO127" s="103">
        <v>0</v>
      </c>
      <c r="AP127" s="103">
        <v>0</v>
      </c>
      <c r="AQ127" s="103">
        <v>0</v>
      </c>
      <c r="AR127" s="103">
        <v>0</v>
      </c>
      <c r="AS127" s="103">
        <v>0</v>
      </c>
      <c r="AT127" s="103">
        <v>0</v>
      </c>
      <c r="AU127" s="103">
        <v>0</v>
      </c>
      <c r="AV127" s="103">
        <v>0</v>
      </c>
      <c r="AW127" s="103">
        <v>0</v>
      </c>
      <c r="AX127" s="103">
        <v>0</v>
      </c>
      <c r="AY127" s="103">
        <v>0</v>
      </c>
    </row>
    <row r="128" spans="1:52" x14ac:dyDescent="0.15">
      <c r="A128" s="106"/>
      <c r="B128" s="116">
        <v>7</v>
      </c>
      <c r="C128" s="103"/>
      <c r="D128" s="103">
        <v>0</v>
      </c>
      <c r="E128" s="103">
        <v>0</v>
      </c>
      <c r="F128" s="103">
        <v>0</v>
      </c>
      <c r="G128" s="103">
        <v>0</v>
      </c>
      <c r="H128" s="103">
        <v>0</v>
      </c>
      <c r="I128" s="103">
        <v>0</v>
      </c>
      <c r="J128" s="103">
        <v>0</v>
      </c>
      <c r="K128" s="103">
        <v>0</v>
      </c>
      <c r="L128" s="103">
        <v>0</v>
      </c>
      <c r="M128" s="103">
        <v>0</v>
      </c>
      <c r="N128" s="103">
        <v>0</v>
      </c>
      <c r="O128" s="103">
        <v>0</v>
      </c>
      <c r="P128" s="103">
        <v>0</v>
      </c>
      <c r="Q128" s="103">
        <v>0</v>
      </c>
      <c r="R128" s="103">
        <v>0</v>
      </c>
      <c r="S128" s="103">
        <v>0</v>
      </c>
      <c r="T128" s="103">
        <v>0</v>
      </c>
      <c r="U128" s="103">
        <v>0</v>
      </c>
      <c r="V128" s="103">
        <v>0</v>
      </c>
      <c r="W128" s="103">
        <v>0</v>
      </c>
      <c r="X128" s="103">
        <v>0</v>
      </c>
      <c r="Y128" s="103">
        <v>0</v>
      </c>
      <c r="Z128" s="103">
        <v>0</v>
      </c>
      <c r="AA128" s="103">
        <v>0</v>
      </c>
      <c r="AB128" s="103">
        <v>0</v>
      </c>
      <c r="AC128" s="103">
        <v>0</v>
      </c>
      <c r="AD128" s="103">
        <v>0</v>
      </c>
      <c r="AE128" s="103">
        <v>0</v>
      </c>
      <c r="AF128" s="103">
        <v>0</v>
      </c>
      <c r="AG128" s="103">
        <v>0</v>
      </c>
      <c r="AH128" s="103">
        <v>0</v>
      </c>
      <c r="AI128" s="103">
        <v>0</v>
      </c>
      <c r="AJ128" s="103">
        <v>0</v>
      </c>
      <c r="AK128" s="103">
        <v>0</v>
      </c>
      <c r="AL128" s="103">
        <v>0</v>
      </c>
      <c r="AM128" s="103">
        <v>0</v>
      </c>
      <c r="AN128" s="103">
        <v>0</v>
      </c>
      <c r="AO128" s="103">
        <v>0</v>
      </c>
      <c r="AP128" s="103">
        <v>0</v>
      </c>
      <c r="AQ128" s="103">
        <v>0</v>
      </c>
      <c r="AR128" s="103">
        <v>0</v>
      </c>
      <c r="AS128" s="103">
        <v>0</v>
      </c>
      <c r="AT128" s="103">
        <v>0</v>
      </c>
      <c r="AU128" s="103">
        <v>0</v>
      </c>
      <c r="AV128" s="103">
        <v>0</v>
      </c>
      <c r="AW128" s="103">
        <v>0</v>
      </c>
      <c r="AX128" s="103">
        <v>0</v>
      </c>
      <c r="AY128" s="103">
        <v>0</v>
      </c>
    </row>
    <row r="129" spans="1:51" x14ac:dyDescent="0.15">
      <c r="A129" s="106"/>
      <c r="B129" s="116">
        <v>8</v>
      </c>
      <c r="C129" s="103"/>
      <c r="D129" s="103">
        <v>0</v>
      </c>
      <c r="E129" s="103">
        <v>0</v>
      </c>
      <c r="F129" s="103">
        <v>0</v>
      </c>
      <c r="G129" s="103">
        <v>0</v>
      </c>
      <c r="H129" s="103">
        <v>0</v>
      </c>
      <c r="I129" s="103">
        <v>0</v>
      </c>
      <c r="J129" s="103">
        <v>0</v>
      </c>
      <c r="K129" s="103">
        <v>0</v>
      </c>
      <c r="L129" s="103">
        <v>0</v>
      </c>
      <c r="M129" s="103">
        <v>0</v>
      </c>
      <c r="N129" s="103">
        <v>0</v>
      </c>
      <c r="O129" s="103">
        <v>0</v>
      </c>
      <c r="P129" s="103">
        <v>0</v>
      </c>
      <c r="Q129" s="103">
        <v>0</v>
      </c>
      <c r="R129" s="103">
        <v>0</v>
      </c>
      <c r="S129" s="103">
        <v>0</v>
      </c>
      <c r="T129" s="103">
        <v>0</v>
      </c>
      <c r="U129" s="103">
        <v>0</v>
      </c>
      <c r="V129" s="103">
        <v>0</v>
      </c>
      <c r="W129" s="103">
        <v>0</v>
      </c>
      <c r="X129" s="103">
        <v>0</v>
      </c>
      <c r="Y129" s="103">
        <v>0</v>
      </c>
      <c r="Z129" s="103">
        <v>0</v>
      </c>
      <c r="AA129" s="103">
        <v>0</v>
      </c>
      <c r="AB129" s="103">
        <v>0</v>
      </c>
      <c r="AC129" s="103">
        <v>0</v>
      </c>
      <c r="AD129" s="103">
        <v>0</v>
      </c>
      <c r="AE129" s="103">
        <v>0</v>
      </c>
      <c r="AF129" s="103">
        <v>0</v>
      </c>
      <c r="AG129" s="103">
        <v>0</v>
      </c>
      <c r="AH129" s="103">
        <v>0</v>
      </c>
      <c r="AI129" s="103">
        <v>0</v>
      </c>
      <c r="AJ129" s="103">
        <v>0</v>
      </c>
      <c r="AK129" s="103">
        <v>0</v>
      </c>
      <c r="AL129" s="103">
        <v>0</v>
      </c>
      <c r="AM129" s="103">
        <v>0</v>
      </c>
      <c r="AN129" s="103">
        <v>0</v>
      </c>
      <c r="AO129" s="103">
        <v>0</v>
      </c>
      <c r="AP129" s="103">
        <v>0</v>
      </c>
      <c r="AQ129" s="103">
        <v>0</v>
      </c>
      <c r="AR129" s="103">
        <v>0</v>
      </c>
      <c r="AS129" s="103">
        <v>0</v>
      </c>
      <c r="AT129" s="103">
        <v>0</v>
      </c>
      <c r="AU129" s="103">
        <v>0</v>
      </c>
      <c r="AV129" s="103">
        <v>0</v>
      </c>
      <c r="AW129" s="103">
        <v>0</v>
      </c>
      <c r="AX129" s="103">
        <v>0</v>
      </c>
      <c r="AY129" s="103">
        <v>0</v>
      </c>
    </row>
    <row r="130" spans="1:51" x14ac:dyDescent="0.15">
      <c r="A130" s="106"/>
      <c r="B130" s="116">
        <v>9</v>
      </c>
      <c r="C130" s="103"/>
      <c r="D130" s="103">
        <v>0</v>
      </c>
      <c r="E130" s="103">
        <v>0</v>
      </c>
      <c r="F130" s="103">
        <v>0</v>
      </c>
      <c r="G130" s="103">
        <v>0</v>
      </c>
      <c r="H130" s="103">
        <v>0</v>
      </c>
      <c r="I130" s="103">
        <v>0</v>
      </c>
      <c r="J130" s="103">
        <v>0</v>
      </c>
      <c r="K130" s="103">
        <v>0</v>
      </c>
      <c r="L130" s="103">
        <v>0</v>
      </c>
      <c r="M130" s="103">
        <v>0</v>
      </c>
      <c r="N130" s="103">
        <v>0</v>
      </c>
      <c r="O130" s="103">
        <v>0</v>
      </c>
      <c r="P130" s="103">
        <v>0</v>
      </c>
      <c r="Q130" s="103">
        <v>0</v>
      </c>
      <c r="R130" s="103">
        <v>0</v>
      </c>
      <c r="S130" s="103">
        <v>0</v>
      </c>
      <c r="T130" s="103">
        <v>0</v>
      </c>
      <c r="U130" s="103">
        <v>0</v>
      </c>
      <c r="V130" s="103">
        <v>0</v>
      </c>
      <c r="W130" s="103">
        <v>0</v>
      </c>
      <c r="X130" s="103">
        <v>0</v>
      </c>
      <c r="Y130" s="103">
        <v>0</v>
      </c>
      <c r="Z130" s="103">
        <v>0</v>
      </c>
      <c r="AA130" s="103">
        <v>0</v>
      </c>
      <c r="AB130" s="103">
        <v>0</v>
      </c>
      <c r="AC130" s="103">
        <v>0</v>
      </c>
      <c r="AD130" s="103">
        <v>0</v>
      </c>
      <c r="AE130" s="103">
        <v>0</v>
      </c>
      <c r="AF130" s="103">
        <v>0</v>
      </c>
      <c r="AG130" s="103">
        <v>0</v>
      </c>
      <c r="AH130" s="103">
        <v>0</v>
      </c>
      <c r="AI130" s="103">
        <v>0</v>
      </c>
      <c r="AJ130" s="103">
        <v>0</v>
      </c>
      <c r="AK130" s="103">
        <v>0</v>
      </c>
      <c r="AL130" s="103">
        <v>0</v>
      </c>
      <c r="AM130" s="103">
        <v>0</v>
      </c>
      <c r="AN130" s="103">
        <v>0</v>
      </c>
      <c r="AO130" s="103">
        <v>0</v>
      </c>
      <c r="AP130" s="103">
        <v>0</v>
      </c>
      <c r="AQ130" s="103">
        <v>0</v>
      </c>
      <c r="AR130" s="103">
        <v>0</v>
      </c>
      <c r="AS130" s="103">
        <v>0</v>
      </c>
      <c r="AT130" s="103">
        <v>0</v>
      </c>
      <c r="AU130" s="103">
        <v>0</v>
      </c>
      <c r="AV130" s="103">
        <v>0</v>
      </c>
      <c r="AW130" s="103">
        <v>0</v>
      </c>
      <c r="AX130" s="103">
        <v>0</v>
      </c>
      <c r="AY130" s="103">
        <v>0</v>
      </c>
    </row>
    <row r="131" spans="1:51" x14ac:dyDescent="0.15">
      <c r="A131" s="106"/>
      <c r="B131" s="116">
        <v>10</v>
      </c>
      <c r="C131" s="103"/>
      <c r="D131" s="103">
        <v>0</v>
      </c>
      <c r="E131" s="103">
        <v>0</v>
      </c>
      <c r="F131" s="103">
        <v>0</v>
      </c>
      <c r="G131" s="103">
        <v>0</v>
      </c>
      <c r="H131" s="103">
        <v>0</v>
      </c>
      <c r="I131" s="103">
        <v>0</v>
      </c>
      <c r="J131" s="103">
        <v>0</v>
      </c>
      <c r="K131" s="103">
        <v>0</v>
      </c>
      <c r="L131" s="103">
        <v>0</v>
      </c>
      <c r="M131" s="103">
        <v>0</v>
      </c>
      <c r="N131" s="103">
        <v>0</v>
      </c>
      <c r="O131" s="103">
        <v>0</v>
      </c>
      <c r="P131" s="103">
        <v>0</v>
      </c>
      <c r="Q131" s="103">
        <v>0</v>
      </c>
      <c r="R131" s="103">
        <v>0</v>
      </c>
      <c r="S131" s="103">
        <v>0</v>
      </c>
      <c r="T131" s="103">
        <v>0</v>
      </c>
      <c r="U131" s="103">
        <v>0</v>
      </c>
      <c r="V131" s="103">
        <v>0</v>
      </c>
      <c r="W131" s="103">
        <v>0</v>
      </c>
      <c r="X131" s="103">
        <v>0</v>
      </c>
      <c r="Y131" s="103">
        <v>0</v>
      </c>
      <c r="Z131" s="103">
        <v>0</v>
      </c>
      <c r="AA131" s="103">
        <v>0</v>
      </c>
      <c r="AB131" s="103">
        <v>0</v>
      </c>
      <c r="AC131" s="103">
        <v>0</v>
      </c>
      <c r="AD131" s="103">
        <v>0</v>
      </c>
      <c r="AE131" s="103">
        <v>0</v>
      </c>
      <c r="AF131" s="103">
        <v>0</v>
      </c>
      <c r="AG131" s="103">
        <v>0</v>
      </c>
      <c r="AH131" s="103">
        <v>0</v>
      </c>
      <c r="AI131" s="103">
        <v>0</v>
      </c>
      <c r="AJ131" s="103">
        <v>0</v>
      </c>
      <c r="AK131" s="103">
        <v>0</v>
      </c>
      <c r="AL131" s="103">
        <v>0</v>
      </c>
      <c r="AM131" s="103">
        <v>0</v>
      </c>
      <c r="AN131" s="103">
        <v>0</v>
      </c>
      <c r="AO131" s="103">
        <v>0</v>
      </c>
      <c r="AP131" s="103">
        <v>0</v>
      </c>
      <c r="AQ131" s="103">
        <v>0</v>
      </c>
      <c r="AR131" s="103">
        <v>0</v>
      </c>
      <c r="AS131" s="103">
        <v>0</v>
      </c>
      <c r="AT131" s="103">
        <v>0</v>
      </c>
      <c r="AU131" s="103">
        <v>0</v>
      </c>
      <c r="AV131" s="103">
        <v>0</v>
      </c>
      <c r="AW131" s="103">
        <v>0</v>
      </c>
      <c r="AX131" s="103">
        <v>0</v>
      </c>
      <c r="AY131" s="103">
        <v>0</v>
      </c>
    </row>
    <row r="132" spans="1:51" x14ac:dyDescent="0.15">
      <c r="A132" s="106"/>
      <c r="B132" s="116">
        <v>11</v>
      </c>
      <c r="C132" s="103"/>
      <c r="D132" s="103">
        <v>0</v>
      </c>
      <c r="E132" s="103">
        <v>0</v>
      </c>
      <c r="F132" s="103">
        <v>0</v>
      </c>
      <c r="G132" s="103">
        <v>0</v>
      </c>
      <c r="H132" s="103">
        <v>0</v>
      </c>
      <c r="I132" s="103">
        <v>0</v>
      </c>
      <c r="J132" s="103">
        <v>0</v>
      </c>
      <c r="K132" s="103">
        <v>0</v>
      </c>
      <c r="L132" s="103">
        <v>0</v>
      </c>
      <c r="M132" s="103">
        <v>0</v>
      </c>
      <c r="N132" s="103">
        <v>0</v>
      </c>
      <c r="O132" s="103">
        <v>0</v>
      </c>
      <c r="P132" s="103">
        <v>0</v>
      </c>
      <c r="Q132" s="103">
        <v>0</v>
      </c>
      <c r="R132" s="103">
        <v>0</v>
      </c>
      <c r="S132" s="103">
        <v>0</v>
      </c>
      <c r="T132" s="103">
        <v>0</v>
      </c>
      <c r="U132" s="103">
        <v>0</v>
      </c>
      <c r="V132" s="103">
        <v>0</v>
      </c>
      <c r="W132" s="103">
        <v>0</v>
      </c>
      <c r="X132" s="103">
        <v>0</v>
      </c>
      <c r="Y132" s="103">
        <v>0</v>
      </c>
      <c r="Z132" s="103">
        <v>0</v>
      </c>
      <c r="AA132" s="103">
        <v>0</v>
      </c>
      <c r="AB132" s="103">
        <v>0</v>
      </c>
      <c r="AC132" s="103">
        <v>0</v>
      </c>
      <c r="AD132" s="103">
        <v>0</v>
      </c>
      <c r="AE132" s="103">
        <v>0</v>
      </c>
      <c r="AF132" s="103">
        <v>0</v>
      </c>
      <c r="AG132" s="103">
        <v>0</v>
      </c>
      <c r="AH132" s="103">
        <v>0</v>
      </c>
      <c r="AI132" s="103">
        <v>0</v>
      </c>
      <c r="AJ132" s="103">
        <v>0</v>
      </c>
      <c r="AK132" s="103">
        <v>0</v>
      </c>
      <c r="AL132" s="103">
        <v>0</v>
      </c>
      <c r="AM132" s="103">
        <v>0</v>
      </c>
      <c r="AN132" s="103">
        <v>0</v>
      </c>
      <c r="AO132" s="103">
        <v>0</v>
      </c>
      <c r="AP132" s="103">
        <v>0</v>
      </c>
      <c r="AQ132" s="103">
        <v>0</v>
      </c>
      <c r="AR132" s="103">
        <v>0</v>
      </c>
      <c r="AS132" s="103">
        <v>0</v>
      </c>
      <c r="AT132" s="103">
        <v>0</v>
      </c>
      <c r="AU132" s="103">
        <v>0</v>
      </c>
      <c r="AV132" s="103">
        <v>0</v>
      </c>
      <c r="AW132" s="103">
        <v>0</v>
      </c>
      <c r="AX132" s="103">
        <v>0</v>
      </c>
      <c r="AY132" s="103">
        <v>0</v>
      </c>
    </row>
    <row r="133" spans="1:51" x14ac:dyDescent="0.15">
      <c r="A133" s="106"/>
      <c r="B133" s="116">
        <v>12</v>
      </c>
      <c r="C133" s="103"/>
      <c r="D133" s="103">
        <v>0</v>
      </c>
      <c r="E133" s="103">
        <v>0</v>
      </c>
      <c r="F133" s="103">
        <v>0</v>
      </c>
      <c r="G133" s="103">
        <v>0</v>
      </c>
      <c r="H133" s="103">
        <v>0</v>
      </c>
      <c r="I133" s="103">
        <v>0</v>
      </c>
      <c r="J133" s="103">
        <v>0</v>
      </c>
      <c r="K133" s="103">
        <v>0</v>
      </c>
      <c r="L133" s="103">
        <v>0</v>
      </c>
      <c r="M133" s="103">
        <v>0</v>
      </c>
      <c r="N133" s="103">
        <v>0</v>
      </c>
      <c r="O133" s="103">
        <v>0</v>
      </c>
      <c r="P133" s="103">
        <v>0</v>
      </c>
      <c r="Q133" s="103">
        <v>0</v>
      </c>
      <c r="R133" s="103">
        <v>0</v>
      </c>
      <c r="S133" s="103">
        <v>0</v>
      </c>
      <c r="T133" s="103">
        <v>0</v>
      </c>
      <c r="U133" s="103">
        <v>0</v>
      </c>
      <c r="V133" s="103">
        <v>0</v>
      </c>
      <c r="W133" s="103">
        <v>0</v>
      </c>
      <c r="X133" s="103">
        <v>0</v>
      </c>
      <c r="Y133" s="103">
        <v>0</v>
      </c>
      <c r="Z133" s="103">
        <v>0</v>
      </c>
      <c r="AA133" s="103">
        <v>0</v>
      </c>
      <c r="AB133" s="103">
        <v>0</v>
      </c>
      <c r="AC133" s="103">
        <v>0</v>
      </c>
      <c r="AD133" s="103">
        <v>0</v>
      </c>
      <c r="AE133" s="103">
        <v>0</v>
      </c>
      <c r="AF133" s="103">
        <v>0</v>
      </c>
      <c r="AG133" s="103">
        <v>0</v>
      </c>
      <c r="AH133" s="103">
        <v>0</v>
      </c>
      <c r="AI133" s="103">
        <v>0</v>
      </c>
      <c r="AJ133" s="103">
        <v>0</v>
      </c>
      <c r="AK133" s="103">
        <v>0</v>
      </c>
      <c r="AL133" s="103">
        <v>0</v>
      </c>
      <c r="AM133" s="103">
        <v>0</v>
      </c>
      <c r="AN133" s="103">
        <v>0</v>
      </c>
      <c r="AO133" s="103">
        <v>0</v>
      </c>
      <c r="AP133" s="103">
        <v>0</v>
      </c>
      <c r="AQ133" s="103">
        <v>0</v>
      </c>
      <c r="AR133" s="103">
        <v>0</v>
      </c>
      <c r="AS133" s="103">
        <v>0</v>
      </c>
      <c r="AT133" s="103">
        <v>0</v>
      </c>
      <c r="AU133" s="103">
        <v>0</v>
      </c>
      <c r="AV133" s="103">
        <v>0</v>
      </c>
      <c r="AW133" s="103">
        <v>0</v>
      </c>
      <c r="AX133" s="103">
        <v>0</v>
      </c>
      <c r="AY133" s="103">
        <v>0</v>
      </c>
    </row>
    <row r="134" spans="1:51" x14ac:dyDescent="0.15">
      <c r="A134" s="106"/>
      <c r="B134" s="117">
        <v>13</v>
      </c>
      <c r="C134" s="103"/>
      <c r="D134" s="103">
        <v>0</v>
      </c>
      <c r="E134" s="103">
        <v>0</v>
      </c>
      <c r="F134" s="103">
        <v>0</v>
      </c>
      <c r="G134" s="103">
        <v>0</v>
      </c>
      <c r="H134" s="103">
        <v>0</v>
      </c>
      <c r="I134" s="103">
        <v>0</v>
      </c>
      <c r="J134" s="103">
        <v>0</v>
      </c>
      <c r="K134" s="103">
        <v>0</v>
      </c>
      <c r="L134" s="103">
        <v>0</v>
      </c>
      <c r="M134" s="103">
        <v>0</v>
      </c>
      <c r="N134" s="103">
        <v>0</v>
      </c>
      <c r="O134" s="103">
        <v>0</v>
      </c>
      <c r="P134" s="103">
        <v>0</v>
      </c>
      <c r="Q134" s="103">
        <v>0</v>
      </c>
      <c r="R134" s="103">
        <v>0</v>
      </c>
      <c r="S134" s="103">
        <v>0</v>
      </c>
      <c r="T134" s="103">
        <v>0</v>
      </c>
      <c r="U134" s="103">
        <v>0</v>
      </c>
      <c r="V134" s="103">
        <v>0</v>
      </c>
      <c r="W134" s="103">
        <v>0</v>
      </c>
      <c r="X134" s="103">
        <v>0</v>
      </c>
      <c r="Y134" s="103">
        <v>0</v>
      </c>
      <c r="Z134" s="103">
        <v>0</v>
      </c>
      <c r="AA134" s="103">
        <v>0</v>
      </c>
      <c r="AB134" s="103">
        <v>0</v>
      </c>
      <c r="AC134" s="103">
        <v>0</v>
      </c>
      <c r="AD134" s="103">
        <v>0</v>
      </c>
      <c r="AE134" s="103">
        <v>0</v>
      </c>
      <c r="AF134" s="103">
        <v>0</v>
      </c>
      <c r="AG134" s="103">
        <v>0</v>
      </c>
      <c r="AH134" s="103">
        <v>0</v>
      </c>
      <c r="AI134" s="103">
        <v>0</v>
      </c>
      <c r="AJ134" s="103">
        <v>0</v>
      </c>
      <c r="AK134" s="103">
        <v>0</v>
      </c>
      <c r="AL134" s="103">
        <v>0</v>
      </c>
      <c r="AM134" s="103">
        <v>0</v>
      </c>
      <c r="AN134" s="103">
        <v>0</v>
      </c>
      <c r="AO134" s="103">
        <v>0</v>
      </c>
      <c r="AP134" s="103">
        <v>0</v>
      </c>
      <c r="AQ134" s="103">
        <v>0</v>
      </c>
      <c r="AR134" s="103">
        <v>0</v>
      </c>
      <c r="AS134" s="103">
        <v>0</v>
      </c>
      <c r="AT134" s="103">
        <v>0</v>
      </c>
      <c r="AU134" s="103">
        <v>0</v>
      </c>
      <c r="AV134" s="103">
        <v>0</v>
      </c>
      <c r="AW134" s="103">
        <v>0</v>
      </c>
      <c r="AX134" s="103">
        <v>0</v>
      </c>
      <c r="AY134" s="103">
        <v>0</v>
      </c>
    </row>
    <row r="135" spans="1:51" x14ac:dyDescent="0.15">
      <c r="A135" s="106"/>
      <c r="B135" s="117">
        <v>14</v>
      </c>
      <c r="C135" s="103"/>
      <c r="D135" s="103">
        <v>0</v>
      </c>
      <c r="E135" s="103">
        <v>0</v>
      </c>
      <c r="F135" s="103">
        <v>0</v>
      </c>
      <c r="G135" s="103">
        <v>0</v>
      </c>
      <c r="H135" s="103">
        <v>0</v>
      </c>
      <c r="I135" s="103">
        <v>0</v>
      </c>
      <c r="J135" s="103">
        <v>0</v>
      </c>
      <c r="K135" s="103">
        <v>0</v>
      </c>
      <c r="L135" s="103">
        <v>0</v>
      </c>
      <c r="M135" s="103">
        <v>0</v>
      </c>
      <c r="N135" s="103">
        <v>0</v>
      </c>
      <c r="O135" s="103">
        <v>0</v>
      </c>
      <c r="P135" s="103">
        <v>0</v>
      </c>
      <c r="Q135" s="103">
        <v>0</v>
      </c>
      <c r="R135" s="103">
        <v>0</v>
      </c>
      <c r="S135" s="103">
        <v>0</v>
      </c>
      <c r="T135" s="103">
        <v>0</v>
      </c>
      <c r="U135" s="103">
        <v>0</v>
      </c>
      <c r="V135" s="103">
        <v>0</v>
      </c>
      <c r="W135" s="103">
        <v>0</v>
      </c>
      <c r="X135" s="103">
        <v>0</v>
      </c>
      <c r="Y135" s="103">
        <v>0</v>
      </c>
      <c r="Z135" s="103">
        <v>0</v>
      </c>
      <c r="AA135" s="103">
        <v>0</v>
      </c>
      <c r="AB135" s="103">
        <v>0</v>
      </c>
      <c r="AC135" s="103">
        <v>0</v>
      </c>
      <c r="AD135" s="103">
        <v>0</v>
      </c>
      <c r="AE135" s="103">
        <v>0</v>
      </c>
      <c r="AF135" s="103">
        <v>0</v>
      </c>
      <c r="AG135" s="103">
        <v>0</v>
      </c>
      <c r="AH135" s="103">
        <v>0</v>
      </c>
      <c r="AI135" s="103">
        <v>0</v>
      </c>
      <c r="AJ135" s="103">
        <v>0</v>
      </c>
      <c r="AK135" s="103">
        <v>0</v>
      </c>
      <c r="AL135" s="103">
        <v>0</v>
      </c>
      <c r="AM135" s="103">
        <v>0</v>
      </c>
      <c r="AN135" s="103">
        <v>0</v>
      </c>
      <c r="AO135" s="103">
        <v>0</v>
      </c>
      <c r="AP135" s="103">
        <v>0</v>
      </c>
      <c r="AQ135" s="103">
        <v>0</v>
      </c>
      <c r="AR135" s="103">
        <v>0</v>
      </c>
      <c r="AS135" s="103">
        <v>0</v>
      </c>
      <c r="AT135" s="103">
        <v>0</v>
      </c>
      <c r="AU135" s="103">
        <v>0</v>
      </c>
      <c r="AV135" s="103">
        <v>0</v>
      </c>
      <c r="AW135" s="103">
        <v>0</v>
      </c>
      <c r="AX135" s="103">
        <v>0</v>
      </c>
      <c r="AY135" s="103">
        <v>0</v>
      </c>
    </row>
    <row r="136" spans="1:51" x14ac:dyDescent="0.15">
      <c r="A136" s="106"/>
      <c r="B136" s="117">
        <v>15</v>
      </c>
      <c r="C136" s="103"/>
      <c r="D136" s="103">
        <v>0</v>
      </c>
      <c r="E136" s="103">
        <v>0</v>
      </c>
      <c r="F136" s="103">
        <v>0</v>
      </c>
      <c r="G136" s="103">
        <v>0</v>
      </c>
      <c r="H136" s="103">
        <v>0</v>
      </c>
      <c r="I136" s="103">
        <v>0</v>
      </c>
      <c r="J136" s="103">
        <v>0</v>
      </c>
      <c r="K136" s="103">
        <v>0</v>
      </c>
      <c r="L136" s="103">
        <v>0</v>
      </c>
      <c r="M136" s="103">
        <v>0</v>
      </c>
      <c r="N136" s="103">
        <v>0</v>
      </c>
      <c r="O136" s="103">
        <v>0</v>
      </c>
      <c r="P136" s="103">
        <v>0</v>
      </c>
      <c r="Q136" s="103">
        <v>0</v>
      </c>
      <c r="R136" s="103">
        <v>0</v>
      </c>
      <c r="S136" s="103">
        <v>0</v>
      </c>
      <c r="T136" s="103">
        <v>0</v>
      </c>
      <c r="U136" s="103">
        <v>0</v>
      </c>
      <c r="V136" s="103">
        <v>0</v>
      </c>
      <c r="W136" s="103">
        <v>0</v>
      </c>
      <c r="X136" s="103">
        <v>0</v>
      </c>
      <c r="Y136" s="103">
        <v>0</v>
      </c>
      <c r="Z136" s="103">
        <v>0</v>
      </c>
      <c r="AA136" s="103">
        <v>0</v>
      </c>
      <c r="AB136" s="103">
        <v>0</v>
      </c>
      <c r="AC136" s="103">
        <v>0</v>
      </c>
      <c r="AD136" s="103">
        <v>0</v>
      </c>
      <c r="AE136" s="103">
        <v>0</v>
      </c>
      <c r="AF136" s="103">
        <v>0</v>
      </c>
      <c r="AG136" s="103">
        <v>0</v>
      </c>
      <c r="AH136" s="103">
        <v>0</v>
      </c>
      <c r="AI136" s="103">
        <v>0</v>
      </c>
      <c r="AJ136" s="103">
        <v>0</v>
      </c>
      <c r="AK136" s="103">
        <v>0</v>
      </c>
      <c r="AL136" s="103">
        <v>0</v>
      </c>
      <c r="AM136" s="103">
        <v>0</v>
      </c>
      <c r="AN136" s="103">
        <v>0</v>
      </c>
      <c r="AO136" s="103">
        <v>0</v>
      </c>
      <c r="AP136" s="103">
        <v>0</v>
      </c>
      <c r="AQ136" s="103">
        <v>0</v>
      </c>
      <c r="AR136" s="103">
        <v>0</v>
      </c>
      <c r="AS136" s="103">
        <v>0</v>
      </c>
      <c r="AT136" s="103">
        <v>0</v>
      </c>
      <c r="AU136" s="103">
        <v>0</v>
      </c>
      <c r="AV136" s="103">
        <v>0</v>
      </c>
      <c r="AW136" s="103">
        <v>0</v>
      </c>
      <c r="AX136" s="103">
        <v>0</v>
      </c>
      <c r="AY136" s="103">
        <v>0</v>
      </c>
    </row>
    <row r="137" spans="1:51" x14ac:dyDescent="0.15">
      <c r="A137" s="106"/>
      <c r="B137" s="117">
        <v>16</v>
      </c>
      <c r="C137" s="103"/>
      <c r="D137" s="103">
        <v>0</v>
      </c>
      <c r="E137" s="103">
        <v>0</v>
      </c>
      <c r="F137" s="103">
        <v>0</v>
      </c>
      <c r="G137" s="103">
        <v>0</v>
      </c>
      <c r="H137" s="103">
        <v>0</v>
      </c>
      <c r="I137" s="103">
        <v>0</v>
      </c>
      <c r="J137" s="103">
        <v>0</v>
      </c>
      <c r="K137" s="103">
        <v>0</v>
      </c>
      <c r="L137" s="103">
        <v>0</v>
      </c>
      <c r="M137" s="103">
        <v>0</v>
      </c>
      <c r="N137" s="103">
        <v>0</v>
      </c>
      <c r="O137" s="103">
        <v>0</v>
      </c>
      <c r="P137" s="103">
        <v>0</v>
      </c>
      <c r="Q137" s="103">
        <v>0</v>
      </c>
      <c r="R137" s="103">
        <v>0</v>
      </c>
      <c r="S137" s="103">
        <v>0</v>
      </c>
      <c r="T137" s="103">
        <v>0</v>
      </c>
      <c r="U137" s="103">
        <v>0</v>
      </c>
      <c r="V137" s="103">
        <v>0</v>
      </c>
      <c r="W137" s="103">
        <v>0</v>
      </c>
      <c r="X137" s="103">
        <v>0</v>
      </c>
      <c r="Y137" s="103">
        <v>0</v>
      </c>
      <c r="Z137" s="103">
        <v>0</v>
      </c>
      <c r="AA137" s="103">
        <v>0</v>
      </c>
      <c r="AB137" s="103">
        <v>0</v>
      </c>
      <c r="AC137" s="103">
        <v>0</v>
      </c>
      <c r="AD137" s="103">
        <v>0</v>
      </c>
      <c r="AE137" s="103">
        <v>0</v>
      </c>
      <c r="AF137" s="103">
        <v>0</v>
      </c>
      <c r="AG137" s="103">
        <v>0</v>
      </c>
      <c r="AH137" s="103">
        <v>0</v>
      </c>
      <c r="AI137" s="103">
        <v>0</v>
      </c>
      <c r="AJ137" s="103">
        <v>0</v>
      </c>
      <c r="AK137" s="103">
        <v>0</v>
      </c>
      <c r="AL137" s="103">
        <v>0</v>
      </c>
      <c r="AM137" s="103">
        <v>0</v>
      </c>
      <c r="AN137" s="103">
        <v>0</v>
      </c>
      <c r="AO137" s="103">
        <v>0</v>
      </c>
      <c r="AP137" s="103">
        <v>0</v>
      </c>
      <c r="AQ137" s="103">
        <v>0</v>
      </c>
      <c r="AR137" s="103">
        <v>0</v>
      </c>
      <c r="AS137" s="103">
        <v>0</v>
      </c>
      <c r="AT137" s="103">
        <v>0</v>
      </c>
      <c r="AU137" s="103">
        <v>0</v>
      </c>
      <c r="AV137" s="103">
        <v>0</v>
      </c>
      <c r="AW137" s="103">
        <v>0</v>
      </c>
      <c r="AX137" s="103">
        <v>0</v>
      </c>
      <c r="AY137" s="103">
        <v>0</v>
      </c>
    </row>
    <row r="138" spans="1:51" x14ac:dyDescent="0.15">
      <c r="A138" s="106"/>
      <c r="B138" s="117">
        <v>17</v>
      </c>
      <c r="C138" s="103"/>
      <c r="D138" s="103">
        <v>0</v>
      </c>
      <c r="E138" s="103">
        <v>0</v>
      </c>
      <c r="F138" s="103">
        <v>0</v>
      </c>
      <c r="G138" s="103">
        <v>0</v>
      </c>
      <c r="H138" s="103">
        <v>0</v>
      </c>
      <c r="I138" s="103">
        <v>0</v>
      </c>
      <c r="J138" s="103">
        <v>0</v>
      </c>
      <c r="K138" s="103">
        <v>0</v>
      </c>
      <c r="L138" s="103">
        <v>0</v>
      </c>
      <c r="M138" s="103">
        <v>0</v>
      </c>
      <c r="N138" s="103">
        <v>0</v>
      </c>
      <c r="O138" s="103">
        <v>0</v>
      </c>
      <c r="P138" s="103">
        <v>0</v>
      </c>
      <c r="Q138" s="103">
        <v>0</v>
      </c>
      <c r="R138" s="103">
        <v>0</v>
      </c>
      <c r="S138" s="103">
        <v>0</v>
      </c>
      <c r="T138" s="103">
        <v>0</v>
      </c>
      <c r="U138" s="103">
        <v>0</v>
      </c>
      <c r="V138" s="103">
        <v>0</v>
      </c>
      <c r="W138" s="103">
        <v>0</v>
      </c>
      <c r="X138" s="103">
        <v>0</v>
      </c>
      <c r="Y138" s="103">
        <v>0</v>
      </c>
      <c r="Z138" s="103">
        <v>0</v>
      </c>
      <c r="AA138" s="103">
        <v>0</v>
      </c>
      <c r="AB138" s="103">
        <v>0</v>
      </c>
      <c r="AC138" s="103">
        <v>0</v>
      </c>
      <c r="AD138" s="103">
        <v>0</v>
      </c>
      <c r="AE138" s="103">
        <v>0</v>
      </c>
      <c r="AF138" s="103">
        <v>0</v>
      </c>
      <c r="AG138" s="103">
        <v>0</v>
      </c>
      <c r="AH138" s="103">
        <v>0</v>
      </c>
      <c r="AI138" s="103">
        <v>0</v>
      </c>
      <c r="AJ138" s="103">
        <v>0</v>
      </c>
      <c r="AK138" s="103">
        <v>0</v>
      </c>
      <c r="AL138" s="103">
        <v>0</v>
      </c>
      <c r="AM138" s="103">
        <v>0</v>
      </c>
      <c r="AN138" s="103">
        <v>0</v>
      </c>
      <c r="AO138" s="103">
        <v>0</v>
      </c>
      <c r="AP138" s="103">
        <v>0</v>
      </c>
      <c r="AQ138" s="103">
        <v>0</v>
      </c>
      <c r="AR138" s="103">
        <v>0</v>
      </c>
      <c r="AS138" s="103">
        <v>0</v>
      </c>
      <c r="AT138" s="103">
        <v>0</v>
      </c>
      <c r="AU138" s="103">
        <v>0</v>
      </c>
      <c r="AV138" s="103">
        <v>0</v>
      </c>
      <c r="AW138" s="103">
        <v>0</v>
      </c>
      <c r="AX138" s="103">
        <v>0</v>
      </c>
      <c r="AY138" s="103">
        <v>0</v>
      </c>
    </row>
    <row r="139" spans="1:51" x14ac:dyDescent="0.15">
      <c r="A139" s="106"/>
      <c r="B139" s="117">
        <v>18</v>
      </c>
      <c r="C139" s="103"/>
      <c r="D139" s="103">
        <v>0</v>
      </c>
      <c r="E139" s="103">
        <v>0</v>
      </c>
      <c r="F139" s="103">
        <v>0</v>
      </c>
      <c r="G139" s="103">
        <v>0</v>
      </c>
      <c r="H139" s="103">
        <v>0</v>
      </c>
      <c r="I139" s="103">
        <v>0</v>
      </c>
      <c r="J139" s="103">
        <v>0</v>
      </c>
      <c r="K139" s="103">
        <v>0</v>
      </c>
      <c r="L139" s="103">
        <v>0</v>
      </c>
      <c r="M139" s="103">
        <v>0</v>
      </c>
      <c r="N139" s="103">
        <v>0</v>
      </c>
      <c r="O139" s="103">
        <v>0</v>
      </c>
      <c r="P139" s="103">
        <v>0</v>
      </c>
      <c r="Q139" s="103">
        <v>0</v>
      </c>
      <c r="R139" s="103">
        <v>0</v>
      </c>
      <c r="S139" s="103">
        <v>0</v>
      </c>
      <c r="T139" s="103">
        <v>0</v>
      </c>
      <c r="U139" s="103">
        <v>0</v>
      </c>
      <c r="V139" s="103">
        <v>0</v>
      </c>
      <c r="W139" s="103">
        <v>0</v>
      </c>
      <c r="X139" s="103">
        <v>0</v>
      </c>
      <c r="Y139" s="103">
        <v>0</v>
      </c>
      <c r="Z139" s="103">
        <v>0</v>
      </c>
      <c r="AA139" s="103">
        <v>0</v>
      </c>
      <c r="AB139" s="103">
        <v>0</v>
      </c>
      <c r="AC139" s="103">
        <v>0</v>
      </c>
      <c r="AD139" s="103">
        <v>0</v>
      </c>
      <c r="AE139" s="103">
        <v>0</v>
      </c>
      <c r="AF139" s="103">
        <v>0</v>
      </c>
      <c r="AG139" s="103">
        <v>0</v>
      </c>
      <c r="AH139" s="103">
        <v>0</v>
      </c>
      <c r="AI139" s="103">
        <v>0</v>
      </c>
      <c r="AJ139" s="103">
        <v>0</v>
      </c>
      <c r="AK139" s="103">
        <v>0</v>
      </c>
      <c r="AL139" s="103">
        <v>0</v>
      </c>
      <c r="AM139" s="103">
        <v>0</v>
      </c>
      <c r="AN139" s="103">
        <v>0</v>
      </c>
      <c r="AO139" s="103">
        <v>0</v>
      </c>
      <c r="AP139" s="103">
        <v>0</v>
      </c>
      <c r="AQ139" s="103">
        <v>0</v>
      </c>
      <c r="AR139" s="103">
        <v>0</v>
      </c>
      <c r="AS139" s="103">
        <v>0</v>
      </c>
      <c r="AT139" s="103">
        <v>0</v>
      </c>
      <c r="AU139" s="103">
        <v>0</v>
      </c>
      <c r="AV139" s="103">
        <v>0</v>
      </c>
      <c r="AW139" s="103">
        <v>0</v>
      </c>
      <c r="AX139" s="103">
        <v>0</v>
      </c>
      <c r="AY139" s="103">
        <v>0</v>
      </c>
    </row>
    <row r="140" spans="1:51" x14ac:dyDescent="0.15">
      <c r="A140" s="106"/>
      <c r="B140" s="117">
        <v>19</v>
      </c>
      <c r="C140" s="103"/>
      <c r="D140" s="103">
        <v>0</v>
      </c>
      <c r="E140" s="103">
        <v>0</v>
      </c>
      <c r="F140" s="103">
        <v>0</v>
      </c>
      <c r="G140" s="103">
        <v>0</v>
      </c>
      <c r="H140" s="103">
        <v>0</v>
      </c>
      <c r="I140" s="103">
        <v>0</v>
      </c>
      <c r="J140" s="103">
        <v>0</v>
      </c>
      <c r="K140" s="103">
        <v>0</v>
      </c>
      <c r="L140" s="103">
        <v>0</v>
      </c>
      <c r="M140" s="103">
        <v>0</v>
      </c>
      <c r="N140" s="103">
        <v>0</v>
      </c>
      <c r="O140" s="103">
        <v>0</v>
      </c>
      <c r="P140" s="103">
        <v>0</v>
      </c>
      <c r="Q140" s="103">
        <v>0</v>
      </c>
      <c r="R140" s="103">
        <v>0</v>
      </c>
      <c r="S140" s="103">
        <v>0</v>
      </c>
      <c r="T140" s="103">
        <v>0</v>
      </c>
      <c r="U140" s="103">
        <v>0</v>
      </c>
      <c r="V140" s="103">
        <v>0</v>
      </c>
      <c r="W140" s="103">
        <v>0</v>
      </c>
      <c r="X140" s="103">
        <v>0</v>
      </c>
      <c r="Y140" s="103">
        <v>0</v>
      </c>
      <c r="Z140" s="103">
        <v>0</v>
      </c>
      <c r="AA140" s="103">
        <v>0</v>
      </c>
      <c r="AB140" s="103">
        <v>0</v>
      </c>
      <c r="AC140" s="103">
        <v>0</v>
      </c>
      <c r="AD140" s="103">
        <v>0</v>
      </c>
      <c r="AE140" s="103">
        <v>0</v>
      </c>
      <c r="AF140" s="103">
        <v>0</v>
      </c>
      <c r="AG140" s="103">
        <v>0</v>
      </c>
      <c r="AH140" s="103">
        <v>0</v>
      </c>
      <c r="AI140" s="103">
        <v>0</v>
      </c>
      <c r="AJ140" s="103">
        <v>0</v>
      </c>
      <c r="AK140" s="103">
        <v>0</v>
      </c>
      <c r="AL140" s="103">
        <v>0</v>
      </c>
      <c r="AM140" s="103">
        <v>0</v>
      </c>
      <c r="AN140" s="103">
        <v>0</v>
      </c>
      <c r="AO140" s="103">
        <v>0</v>
      </c>
      <c r="AP140" s="103">
        <v>0</v>
      </c>
      <c r="AQ140" s="103">
        <v>0</v>
      </c>
      <c r="AR140" s="103">
        <v>0</v>
      </c>
      <c r="AS140" s="103">
        <v>0</v>
      </c>
      <c r="AT140" s="103">
        <v>0</v>
      </c>
      <c r="AU140" s="103">
        <v>0</v>
      </c>
      <c r="AV140" s="103">
        <v>0</v>
      </c>
      <c r="AW140" s="103">
        <v>0</v>
      </c>
      <c r="AX140" s="103">
        <v>0</v>
      </c>
      <c r="AY140" s="103">
        <v>0</v>
      </c>
    </row>
    <row r="141" spans="1:51" x14ac:dyDescent="0.15">
      <c r="A141" s="106"/>
      <c r="B141" s="117">
        <v>20</v>
      </c>
      <c r="C141" s="103"/>
      <c r="D141" s="103">
        <v>0</v>
      </c>
      <c r="E141" s="103">
        <v>0</v>
      </c>
      <c r="F141" s="103">
        <v>0</v>
      </c>
      <c r="G141" s="103">
        <v>0</v>
      </c>
      <c r="H141" s="103">
        <v>0</v>
      </c>
      <c r="I141" s="103">
        <v>0</v>
      </c>
      <c r="J141" s="103">
        <v>0</v>
      </c>
      <c r="K141" s="103">
        <v>0</v>
      </c>
      <c r="L141" s="103">
        <v>0</v>
      </c>
      <c r="M141" s="103">
        <v>0</v>
      </c>
      <c r="N141" s="103">
        <v>0</v>
      </c>
      <c r="O141" s="103">
        <v>0</v>
      </c>
      <c r="P141" s="103">
        <v>0</v>
      </c>
      <c r="Q141" s="103">
        <v>0</v>
      </c>
      <c r="R141" s="103">
        <v>0</v>
      </c>
      <c r="S141" s="103">
        <v>0</v>
      </c>
      <c r="T141" s="103">
        <v>0</v>
      </c>
      <c r="U141" s="103">
        <v>0</v>
      </c>
      <c r="V141" s="103">
        <v>0</v>
      </c>
      <c r="W141" s="103">
        <v>0</v>
      </c>
      <c r="X141" s="103">
        <v>0</v>
      </c>
      <c r="Y141" s="103">
        <v>0</v>
      </c>
      <c r="Z141" s="103">
        <v>0</v>
      </c>
      <c r="AA141" s="103">
        <v>0</v>
      </c>
      <c r="AB141" s="103">
        <v>0</v>
      </c>
      <c r="AC141" s="103">
        <v>0</v>
      </c>
      <c r="AD141" s="103">
        <v>0</v>
      </c>
      <c r="AE141" s="103">
        <v>0</v>
      </c>
      <c r="AF141" s="103">
        <v>0</v>
      </c>
      <c r="AG141" s="103">
        <v>0</v>
      </c>
      <c r="AH141" s="103">
        <v>0</v>
      </c>
      <c r="AI141" s="103">
        <v>0</v>
      </c>
      <c r="AJ141" s="103">
        <v>0</v>
      </c>
      <c r="AK141" s="103">
        <v>0</v>
      </c>
      <c r="AL141" s="103">
        <v>0</v>
      </c>
      <c r="AM141" s="103">
        <v>0</v>
      </c>
      <c r="AN141" s="103">
        <v>0</v>
      </c>
      <c r="AO141" s="103">
        <v>0</v>
      </c>
      <c r="AP141" s="103">
        <v>0</v>
      </c>
      <c r="AQ141" s="103">
        <v>0</v>
      </c>
      <c r="AR141" s="103">
        <v>0</v>
      </c>
      <c r="AS141" s="103">
        <v>0</v>
      </c>
      <c r="AT141" s="103">
        <v>0</v>
      </c>
      <c r="AU141" s="103">
        <v>0</v>
      </c>
      <c r="AV141" s="103">
        <v>0</v>
      </c>
      <c r="AW141" s="103">
        <v>0</v>
      </c>
      <c r="AX141" s="103">
        <v>0</v>
      </c>
      <c r="AY141" s="103">
        <v>0</v>
      </c>
    </row>
    <row r="142" spans="1:51" x14ac:dyDescent="0.15">
      <c r="A142" s="106"/>
      <c r="B142" s="117">
        <v>21</v>
      </c>
      <c r="C142" s="103"/>
      <c r="D142" s="103">
        <v>0</v>
      </c>
      <c r="E142" s="103">
        <v>0</v>
      </c>
      <c r="F142" s="103">
        <v>0</v>
      </c>
      <c r="G142" s="103">
        <v>0</v>
      </c>
      <c r="H142" s="103">
        <v>0</v>
      </c>
      <c r="I142" s="103">
        <v>0</v>
      </c>
      <c r="J142" s="103">
        <v>0</v>
      </c>
      <c r="K142" s="103">
        <v>0</v>
      </c>
      <c r="L142" s="103">
        <v>0</v>
      </c>
      <c r="M142" s="103">
        <v>0</v>
      </c>
      <c r="N142" s="103">
        <v>0</v>
      </c>
      <c r="O142" s="103">
        <v>0</v>
      </c>
      <c r="P142" s="103">
        <v>0</v>
      </c>
      <c r="Q142" s="103">
        <v>0</v>
      </c>
      <c r="R142" s="103">
        <v>0</v>
      </c>
      <c r="S142" s="103">
        <v>0</v>
      </c>
      <c r="T142" s="103">
        <v>0</v>
      </c>
      <c r="U142" s="103">
        <v>0</v>
      </c>
      <c r="V142" s="103">
        <v>0</v>
      </c>
      <c r="W142" s="103">
        <v>0</v>
      </c>
      <c r="X142" s="103">
        <v>0</v>
      </c>
      <c r="Y142" s="103">
        <v>0</v>
      </c>
      <c r="Z142" s="103">
        <v>0</v>
      </c>
      <c r="AA142" s="103">
        <v>0</v>
      </c>
      <c r="AB142" s="103">
        <v>0</v>
      </c>
      <c r="AC142" s="103">
        <v>0</v>
      </c>
      <c r="AD142" s="103">
        <v>0</v>
      </c>
      <c r="AE142" s="103">
        <v>0</v>
      </c>
      <c r="AF142" s="103">
        <v>0</v>
      </c>
      <c r="AG142" s="103">
        <v>0</v>
      </c>
      <c r="AH142" s="103">
        <v>0</v>
      </c>
      <c r="AI142" s="103">
        <v>0</v>
      </c>
      <c r="AJ142" s="103">
        <v>0</v>
      </c>
      <c r="AK142" s="103">
        <v>0</v>
      </c>
      <c r="AL142" s="103">
        <v>0</v>
      </c>
      <c r="AM142" s="103">
        <v>0</v>
      </c>
      <c r="AN142" s="103">
        <v>0</v>
      </c>
      <c r="AO142" s="103">
        <v>0</v>
      </c>
      <c r="AP142" s="103">
        <v>0</v>
      </c>
      <c r="AQ142" s="103">
        <v>0</v>
      </c>
      <c r="AR142" s="103">
        <v>0</v>
      </c>
      <c r="AS142" s="103">
        <v>0</v>
      </c>
      <c r="AT142" s="103">
        <v>0</v>
      </c>
      <c r="AU142" s="103">
        <v>0</v>
      </c>
      <c r="AV142" s="103">
        <v>0</v>
      </c>
      <c r="AW142" s="103">
        <v>0</v>
      </c>
      <c r="AX142" s="103">
        <v>0</v>
      </c>
      <c r="AY142" s="103">
        <v>0</v>
      </c>
    </row>
    <row r="143" spans="1:51" x14ac:dyDescent="0.15">
      <c r="A143" s="106"/>
      <c r="B143" s="117">
        <v>22</v>
      </c>
      <c r="C143" s="103"/>
      <c r="D143" s="103">
        <v>0</v>
      </c>
      <c r="E143" s="103">
        <v>0</v>
      </c>
      <c r="F143" s="103">
        <v>0</v>
      </c>
      <c r="G143" s="103">
        <v>0</v>
      </c>
      <c r="H143" s="103">
        <v>0</v>
      </c>
      <c r="I143" s="103">
        <v>0</v>
      </c>
      <c r="J143" s="103">
        <v>0</v>
      </c>
      <c r="K143" s="103">
        <v>0</v>
      </c>
      <c r="L143" s="103">
        <v>0</v>
      </c>
      <c r="M143" s="103">
        <v>0</v>
      </c>
      <c r="N143" s="103">
        <v>0</v>
      </c>
      <c r="O143" s="103">
        <v>0</v>
      </c>
      <c r="P143" s="103">
        <v>0</v>
      </c>
      <c r="Q143" s="103">
        <v>0</v>
      </c>
      <c r="R143" s="103">
        <v>0</v>
      </c>
      <c r="S143" s="103">
        <v>0</v>
      </c>
      <c r="T143" s="103">
        <v>0</v>
      </c>
      <c r="U143" s="103">
        <v>0</v>
      </c>
      <c r="V143" s="103">
        <v>0</v>
      </c>
      <c r="W143" s="103">
        <v>0</v>
      </c>
      <c r="X143" s="103">
        <v>0</v>
      </c>
      <c r="Y143" s="103">
        <v>0</v>
      </c>
      <c r="Z143" s="103">
        <v>0</v>
      </c>
      <c r="AA143" s="103">
        <v>0</v>
      </c>
      <c r="AB143" s="103">
        <v>0</v>
      </c>
      <c r="AC143" s="103">
        <v>0</v>
      </c>
      <c r="AD143" s="103">
        <v>0</v>
      </c>
      <c r="AE143" s="103">
        <v>0</v>
      </c>
      <c r="AF143" s="103">
        <v>0</v>
      </c>
      <c r="AG143" s="103">
        <v>0</v>
      </c>
      <c r="AH143" s="103">
        <v>0</v>
      </c>
      <c r="AI143" s="103">
        <v>0</v>
      </c>
      <c r="AJ143" s="103">
        <v>0</v>
      </c>
      <c r="AK143" s="103">
        <v>0</v>
      </c>
      <c r="AL143" s="103">
        <v>0</v>
      </c>
      <c r="AM143" s="103">
        <v>0</v>
      </c>
      <c r="AN143" s="103">
        <v>0</v>
      </c>
      <c r="AO143" s="103">
        <v>0</v>
      </c>
      <c r="AP143" s="103">
        <v>0</v>
      </c>
      <c r="AQ143" s="103">
        <v>0</v>
      </c>
      <c r="AR143" s="103">
        <v>0</v>
      </c>
      <c r="AS143" s="103">
        <v>0</v>
      </c>
      <c r="AT143" s="103">
        <v>0</v>
      </c>
      <c r="AU143" s="103">
        <v>0</v>
      </c>
      <c r="AV143" s="103">
        <v>0</v>
      </c>
      <c r="AW143" s="103">
        <v>0</v>
      </c>
      <c r="AX143" s="103">
        <v>0</v>
      </c>
      <c r="AY143" s="103">
        <v>0</v>
      </c>
    </row>
    <row r="144" spans="1:51" x14ac:dyDescent="0.15">
      <c r="A144" s="106"/>
      <c r="B144" s="117">
        <v>23</v>
      </c>
      <c r="C144" s="103"/>
      <c r="D144" s="103">
        <v>0</v>
      </c>
      <c r="E144" s="103">
        <v>0</v>
      </c>
      <c r="F144" s="103">
        <v>0</v>
      </c>
      <c r="G144" s="103">
        <v>0</v>
      </c>
      <c r="H144" s="103">
        <v>0</v>
      </c>
      <c r="I144" s="103">
        <v>0</v>
      </c>
      <c r="J144" s="103">
        <v>0</v>
      </c>
      <c r="K144" s="103">
        <v>0</v>
      </c>
      <c r="L144" s="103">
        <v>0</v>
      </c>
      <c r="M144" s="103">
        <v>0</v>
      </c>
      <c r="N144" s="103">
        <v>0</v>
      </c>
      <c r="O144" s="103">
        <v>0</v>
      </c>
      <c r="P144" s="103">
        <v>0</v>
      </c>
      <c r="Q144" s="103">
        <v>0</v>
      </c>
      <c r="R144" s="103">
        <v>0</v>
      </c>
      <c r="S144" s="103">
        <v>0</v>
      </c>
      <c r="T144" s="103">
        <v>0</v>
      </c>
      <c r="U144" s="103">
        <v>0</v>
      </c>
      <c r="V144" s="103">
        <v>0</v>
      </c>
      <c r="W144" s="103">
        <v>0</v>
      </c>
      <c r="X144" s="103">
        <v>0</v>
      </c>
      <c r="Y144" s="103">
        <v>0</v>
      </c>
      <c r="Z144" s="103">
        <v>0</v>
      </c>
      <c r="AA144" s="103">
        <v>0</v>
      </c>
      <c r="AB144" s="103">
        <v>0</v>
      </c>
      <c r="AC144" s="103">
        <v>0</v>
      </c>
      <c r="AD144" s="103">
        <v>0</v>
      </c>
      <c r="AE144" s="103">
        <v>0</v>
      </c>
      <c r="AF144" s="103">
        <v>0</v>
      </c>
      <c r="AG144" s="103">
        <v>0</v>
      </c>
      <c r="AH144" s="103">
        <v>0</v>
      </c>
      <c r="AI144" s="103">
        <v>0</v>
      </c>
      <c r="AJ144" s="103">
        <v>0</v>
      </c>
      <c r="AK144" s="103">
        <v>0</v>
      </c>
      <c r="AL144" s="103">
        <v>0</v>
      </c>
      <c r="AM144" s="103">
        <v>0</v>
      </c>
      <c r="AN144" s="103">
        <v>0</v>
      </c>
      <c r="AO144" s="103">
        <v>0</v>
      </c>
      <c r="AP144" s="103">
        <v>0</v>
      </c>
      <c r="AQ144" s="103">
        <v>0</v>
      </c>
      <c r="AR144" s="103">
        <v>0</v>
      </c>
      <c r="AS144" s="103">
        <v>0</v>
      </c>
      <c r="AT144" s="103">
        <v>0</v>
      </c>
      <c r="AU144" s="103">
        <v>0</v>
      </c>
      <c r="AV144" s="103">
        <v>0</v>
      </c>
      <c r="AW144" s="103">
        <v>0</v>
      </c>
      <c r="AX144" s="103">
        <v>0</v>
      </c>
      <c r="AY144" s="103">
        <v>0</v>
      </c>
    </row>
    <row r="145" spans="1:51" x14ac:dyDescent="0.15">
      <c r="A145" s="106"/>
      <c r="B145" s="117">
        <v>24</v>
      </c>
      <c r="C145" s="103"/>
      <c r="D145" s="103">
        <v>0</v>
      </c>
      <c r="E145" s="103">
        <v>0</v>
      </c>
      <c r="F145" s="103">
        <v>0</v>
      </c>
      <c r="G145" s="103">
        <v>0</v>
      </c>
      <c r="H145" s="103">
        <v>0</v>
      </c>
      <c r="I145" s="103">
        <v>0</v>
      </c>
      <c r="J145" s="103">
        <v>0</v>
      </c>
      <c r="K145" s="103">
        <v>0</v>
      </c>
      <c r="L145" s="103">
        <v>0</v>
      </c>
      <c r="M145" s="103">
        <v>0</v>
      </c>
      <c r="N145" s="103">
        <v>0</v>
      </c>
      <c r="O145" s="103">
        <v>0</v>
      </c>
      <c r="P145" s="103">
        <v>0</v>
      </c>
      <c r="Q145" s="103">
        <v>0</v>
      </c>
      <c r="R145" s="103">
        <v>0</v>
      </c>
      <c r="S145" s="103">
        <v>0</v>
      </c>
      <c r="T145" s="103">
        <v>0</v>
      </c>
      <c r="U145" s="103">
        <v>0</v>
      </c>
      <c r="V145" s="103">
        <v>0</v>
      </c>
      <c r="W145" s="103">
        <v>0</v>
      </c>
      <c r="X145" s="103">
        <v>0</v>
      </c>
      <c r="Y145" s="103">
        <v>0</v>
      </c>
      <c r="Z145" s="103">
        <v>0</v>
      </c>
      <c r="AA145" s="103">
        <v>0</v>
      </c>
      <c r="AB145" s="103">
        <v>0</v>
      </c>
      <c r="AC145" s="103">
        <v>0</v>
      </c>
      <c r="AD145" s="103">
        <v>0</v>
      </c>
      <c r="AE145" s="103">
        <v>0</v>
      </c>
      <c r="AF145" s="103">
        <v>0</v>
      </c>
      <c r="AG145" s="103">
        <v>0</v>
      </c>
      <c r="AH145" s="103">
        <v>0</v>
      </c>
      <c r="AI145" s="103">
        <v>0</v>
      </c>
      <c r="AJ145" s="103">
        <v>0</v>
      </c>
      <c r="AK145" s="103">
        <v>0</v>
      </c>
      <c r="AL145" s="103">
        <v>0</v>
      </c>
      <c r="AM145" s="103">
        <v>0</v>
      </c>
      <c r="AN145" s="103">
        <v>0</v>
      </c>
      <c r="AO145" s="103">
        <v>0</v>
      </c>
      <c r="AP145" s="103">
        <v>0</v>
      </c>
      <c r="AQ145" s="103">
        <v>0</v>
      </c>
      <c r="AR145" s="103">
        <v>0</v>
      </c>
      <c r="AS145" s="103">
        <v>0</v>
      </c>
      <c r="AT145" s="103">
        <v>0</v>
      </c>
      <c r="AU145" s="103">
        <v>0</v>
      </c>
      <c r="AV145" s="103">
        <v>0</v>
      </c>
      <c r="AW145" s="103">
        <v>0</v>
      </c>
      <c r="AX145" s="103">
        <v>0</v>
      </c>
      <c r="AY145" s="103">
        <v>0</v>
      </c>
    </row>
    <row r="146" spans="1:51" x14ac:dyDescent="0.15">
      <c r="A146" s="106"/>
      <c r="B146" s="124">
        <v>25</v>
      </c>
      <c r="C146" s="103"/>
      <c r="D146" s="103">
        <v>0</v>
      </c>
      <c r="E146" s="103">
        <v>0</v>
      </c>
      <c r="F146" s="103">
        <v>0</v>
      </c>
      <c r="G146" s="103">
        <v>0</v>
      </c>
      <c r="H146" s="103">
        <v>0</v>
      </c>
      <c r="I146" s="103">
        <v>0</v>
      </c>
      <c r="J146" s="103">
        <v>0</v>
      </c>
      <c r="K146" s="103">
        <v>0</v>
      </c>
      <c r="L146" s="103">
        <v>0</v>
      </c>
      <c r="M146" s="103">
        <v>0</v>
      </c>
      <c r="N146" s="103">
        <v>0</v>
      </c>
      <c r="O146" s="103">
        <v>0</v>
      </c>
      <c r="P146" s="103">
        <v>0</v>
      </c>
      <c r="Q146" s="103">
        <v>0</v>
      </c>
      <c r="R146" s="103">
        <v>0</v>
      </c>
      <c r="S146" s="103">
        <v>0</v>
      </c>
      <c r="T146" s="103">
        <v>0</v>
      </c>
      <c r="U146" s="103">
        <v>0</v>
      </c>
      <c r="V146" s="103">
        <v>0</v>
      </c>
      <c r="W146" s="103">
        <v>0</v>
      </c>
      <c r="X146" s="103">
        <v>0</v>
      </c>
      <c r="Y146" s="103">
        <v>0</v>
      </c>
      <c r="Z146" s="103">
        <v>0</v>
      </c>
      <c r="AA146" s="103">
        <v>0</v>
      </c>
      <c r="AB146" s="103">
        <v>0</v>
      </c>
      <c r="AC146" s="103">
        <v>0</v>
      </c>
      <c r="AD146" s="103">
        <v>0</v>
      </c>
      <c r="AE146" s="103">
        <v>0</v>
      </c>
      <c r="AF146" s="103">
        <v>0</v>
      </c>
      <c r="AG146" s="103">
        <v>0</v>
      </c>
      <c r="AH146" s="103">
        <v>0</v>
      </c>
      <c r="AI146" s="103">
        <v>0</v>
      </c>
      <c r="AJ146" s="103">
        <v>0</v>
      </c>
      <c r="AK146" s="103">
        <v>0</v>
      </c>
      <c r="AL146" s="103">
        <v>0</v>
      </c>
      <c r="AM146" s="103">
        <v>0</v>
      </c>
      <c r="AN146" s="103">
        <v>0</v>
      </c>
      <c r="AO146" s="103">
        <v>0</v>
      </c>
      <c r="AP146" s="103">
        <v>0</v>
      </c>
      <c r="AQ146" s="103">
        <v>0</v>
      </c>
      <c r="AR146" s="103">
        <v>0</v>
      </c>
      <c r="AS146" s="103">
        <v>0</v>
      </c>
      <c r="AT146" s="103">
        <v>0</v>
      </c>
      <c r="AU146" s="103">
        <v>0</v>
      </c>
      <c r="AV146" s="103">
        <v>0</v>
      </c>
      <c r="AW146" s="103">
        <v>0</v>
      </c>
      <c r="AX146" s="103">
        <v>0</v>
      </c>
      <c r="AY146" s="103">
        <v>0</v>
      </c>
    </row>
    <row r="147" spans="1:51" x14ac:dyDescent="0.15">
      <c r="A147" s="106"/>
      <c r="B147" s="124">
        <v>26</v>
      </c>
      <c r="C147" s="103"/>
      <c r="D147" s="103">
        <v>0</v>
      </c>
      <c r="E147" s="103">
        <v>0</v>
      </c>
      <c r="F147" s="103">
        <v>0</v>
      </c>
      <c r="G147" s="103">
        <v>0</v>
      </c>
      <c r="H147" s="103">
        <v>0</v>
      </c>
      <c r="I147" s="103">
        <v>0</v>
      </c>
      <c r="J147" s="103">
        <v>0</v>
      </c>
      <c r="K147" s="103">
        <v>0</v>
      </c>
      <c r="L147" s="103">
        <v>0</v>
      </c>
      <c r="M147" s="103">
        <v>0</v>
      </c>
      <c r="N147" s="103">
        <v>0</v>
      </c>
      <c r="O147" s="103">
        <v>0</v>
      </c>
      <c r="P147" s="103">
        <v>0</v>
      </c>
      <c r="Q147" s="103">
        <v>0</v>
      </c>
      <c r="R147" s="103">
        <v>0</v>
      </c>
      <c r="S147" s="103">
        <v>0</v>
      </c>
      <c r="T147" s="103">
        <v>0</v>
      </c>
      <c r="U147" s="103">
        <v>0</v>
      </c>
      <c r="V147" s="103">
        <v>0</v>
      </c>
      <c r="W147" s="103">
        <v>0</v>
      </c>
      <c r="X147" s="103">
        <v>0</v>
      </c>
      <c r="Y147" s="103">
        <v>0</v>
      </c>
      <c r="Z147" s="103">
        <v>0</v>
      </c>
      <c r="AA147" s="103">
        <v>0</v>
      </c>
      <c r="AB147" s="103">
        <v>0</v>
      </c>
      <c r="AC147" s="103">
        <v>0</v>
      </c>
      <c r="AD147" s="103">
        <v>0</v>
      </c>
      <c r="AE147" s="103">
        <v>0</v>
      </c>
      <c r="AF147" s="103">
        <v>0</v>
      </c>
      <c r="AG147" s="103">
        <v>0</v>
      </c>
      <c r="AH147" s="103">
        <v>0</v>
      </c>
      <c r="AI147" s="103">
        <v>0</v>
      </c>
      <c r="AJ147" s="103">
        <v>0</v>
      </c>
      <c r="AK147" s="103">
        <v>0</v>
      </c>
      <c r="AL147" s="103">
        <v>0</v>
      </c>
      <c r="AM147" s="103">
        <v>0</v>
      </c>
      <c r="AN147" s="103">
        <v>0</v>
      </c>
      <c r="AO147" s="103">
        <v>0</v>
      </c>
      <c r="AP147" s="103">
        <v>0</v>
      </c>
      <c r="AQ147" s="103">
        <v>0</v>
      </c>
      <c r="AR147" s="103">
        <v>0</v>
      </c>
      <c r="AS147" s="103">
        <v>0</v>
      </c>
      <c r="AT147" s="103">
        <v>0</v>
      </c>
      <c r="AU147" s="103">
        <v>0</v>
      </c>
      <c r="AV147" s="103">
        <v>0</v>
      </c>
      <c r="AW147" s="103">
        <v>0</v>
      </c>
      <c r="AX147" s="103">
        <v>0</v>
      </c>
      <c r="AY147" s="103">
        <v>0</v>
      </c>
    </row>
    <row r="148" spans="1:51" x14ac:dyDescent="0.15">
      <c r="A148" s="106"/>
      <c r="B148" s="124">
        <v>27</v>
      </c>
      <c r="C148" s="103"/>
      <c r="D148" s="103">
        <v>0</v>
      </c>
      <c r="E148" s="103">
        <v>0</v>
      </c>
      <c r="F148" s="103">
        <v>0</v>
      </c>
      <c r="G148" s="103">
        <v>0</v>
      </c>
      <c r="H148" s="103">
        <v>0</v>
      </c>
      <c r="I148" s="103">
        <v>0</v>
      </c>
      <c r="J148" s="103">
        <v>0</v>
      </c>
      <c r="K148" s="103">
        <v>0</v>
      </c>
      <c r="L148" s="103">
        <v>0</v>
      </c>
      <c r="M148" s="103">
        <v>0</v>
      </c>
      <c r="N148" s="103">
        <v>0</v>
      </c>
      <c r="O148" s="103">
        <v>0</v>
      </c>
      <c r="P148" s="103">
        <v>0</v>
      </c>
      <c r="Q148" s="103">
        <v>0</v>
      </c>
      <c r="R148" s="103">
        <v>0</v>
      </c>
      <c r="S148" s="103">
        <v>0</v>
      </c>
      <c r="T148" s="103">
        <v>0</v>
      </c>
      <c r="U148" s="103">
        <v>0</v>
      </c>
      <c r="V148" s="103">
        <v>0</v>
      </c>
      <c r="W148" s="103">
        <v>0</v>
      </c>
      <c r="X148" s="103">
        <v>0</v>
      </c>
      <c r="Y148" s="103">
        <v>0</v>
      </c>
      <c r="Z148" s="103">
        <v>0</v>
      </c>
      <c r="AA148" s="103">
        <v>0</v>
      </c>
      <c r="AB148" s="103">
        <v>0</v>
      </c>
      <c r="AC148" s="103">
        <v>0</v>
      </c>
      <c r="AD148" s="103">
        <v>0</v>
      </c>
      <c r="AE148" s="103">
        <v>0</v>
      </c>
      <c r="AF148" s="103">
        <v>0</v>
      </c>
      <c r="AG148" s="103">
        <v>0</v>
      </c>
      <c r="AH148" s="103">
        <v>0</v>
      </c>
      <c r="AI148" s="103">
        <v>0</v>
      </c>
      <c r="AJ148" s="103">
        <v>0</v>
      </c>
      <c r="AK148" s="103">
        <v>0</v>
      </c>
      <c r="AL148" s="103">
        <v>0</v>
      </c>
      <c r="AM148" s="103">
        <v>0</v>
      </c>
      <c r="AN148" s="103">
        <v>0</v>
      </c>
      <c r="AO148" s="103">
        <v>0</v>
      </c>
      <c r="AP148" s="103">
        <v>0</v>
      </c>
      <c r="AQ148" s="103">
        <v>0</v>
      </c>
      <c r="AR148" s="103">
        <v>0</v>
      </c>
      <c r="AS148" s="103">
        <v>0</v>
      </c>
      <c r="AT148" s="103">
        <v>0</v>
      </c>
      <c r="AU148" s="103">
        <v>0</v>
      </c>
      <c r="AV148" s="103">
        <v>0</v>
      </c>
      <c r="AW148" s="103">
        <v>0</v>
      </c>
      <c r="AX148" s="103">
        <v>0</v>
      </c>
      <c r="AY148" s="103">
        <v>0</v>
      </c>
    </row>
    <row r="149" spans="1:51" x14ac:dyDescent="0.15">
      <c r="A149" s="106"/>
      <c r="B149" s="124">
        <v>28</v>
      </c>
      <c r="C149" s="103"/>
      <c r="D149" s="103">
        <v>0</v>
      </c>
      <c r="E149" s="103">
        <v>0</v>
      </c>
      <c r="F149" s="103">
        <v>0</v>
      </c>
      <c r="G149" s="103">
        <v>0</v>
      </c>
      <c r="H149" s="103">
        <v>0</v>
      </c>
      <c r="I149" s="103">
        <v>0</v>
      </c>
      <c r="J149" s="103">
        <v>0</v>
      </c>
      <c r="K149" s="103">
        <v>0</v>
      </c>
      <c r="L149" s="103">
        <v>0</v>
      </c>
      <c r="M149" s="103">
        <v>0</v>
      </c>
      <c r="N149" s="103">
        <v>0</v>
      </c>
      <c r="O149" s="103">
        <v>0</v>
      </c>
      <c r="P149" s="103">
        <v>0</v>
      </c>
      <c r="Q149" s="103">
        <v>0</v>
      </c>
      <c r="R149" s="103">
        <v>0</v>
      </c>
      <c r="S149" s="103">
        <v>0</v>
      </c>
      <c r="T149" s="103">
        <v>0</v>
      </c>
      <c r="U149" s="103">
        <v>0</v>
      </c>
      <c r="V149" s="103">
        <v>0</v>
      </c>
      <c r="W149" s="103">
        <v>0</v>
      </c>
      <c r="X149" s="103">
        <v>0</v>
      </c>
      <c r="Y149" s="103">
        <v>0</v>
      </c>
      <c r="Z149" s="103">
        <v>0</v>
      </c>
      <c r="AA149" s="103">
        <v>0</v>
      </c>
      <c r="AB149" s="103">
        <v>0</v>
      </c>
      <c r="AC149" s="103">
        <v>0</v>
      </c>
      <c r="AD149" s="103">
        <v>0</v>
      </c>
      <c r="AE149" s="103">
        <v>0</v>
      </c>
      <c r="AF149" s="103">
        <v>0</v>
      </c>
      <c r="AG149" s="103">
        <v>0</v>
      </c>
      <c r="AH149" s="103">
        <v>0</v>
      </c>
      <c r="AI149" s="103">
        <v>0</v>
      </c>
      <c r="AJ149" s="103">
        <v>0</v>
      </c>
      <c r="AK149" s="103">
        <v>0</v>
      </c>
      <c r="AL149" s="103">
        <v>0</v>
      </c>
      <c r="AM149" s="103">
        <v>0</v>
      </c>
      <c r="AN149" s="103">
        <v>0</v>
      </c>
      <c r="AO149" s="103">
        <v>0</v>
      </c>
      <c r="AP149" s="103">
        <v>0</v>
      </c>
      <c r="AQ149" s="103">
        <v>0</v>
      </c>
      <c r="AR149" s="103">
        <v>0</v>
      </c>
      <c r="AS149" s="103">
        <v>0</v>
      </c>
      <c r="AT149" s="103">
        <v>0</v>
      </c>
      <c r="AU149" s="103">
        <v>0</v>
      </c>
      <c r="AV149" s="103">
        <v>0</v>
      </c>
      <c r="AW149" s="103">
        <v>0</v>
      </c>
      <c r="AX149" s="103">
        <v>0</v>
      </c>
      <c r="AY149" s="103">
        <v>0</v>
      </c>
    </row>
    <row r="150" spans="1:51" x14ac:dyDescent="0.15">
      <c r="A150" s="106"/>
      <c r="B150" s="124">
        <v>29</v>
      </c>
      <c r="C150" s="103"/>
      <c r="D150" s="103">
        <v>0</v>
      </c>
      <c r="E150" s="103">
        <v>0</v>
      </c>
      <c r="F150" s="103">
        <v>0</v>
      </c>
      <c r="G150" s="103">
        <v>0</v>
      </c>
      <c r="H150" s="103">
        <v>0</v>
      </c>
      <c r="I150" s="103">
        <v>0</v>
      </c>
      <c r="J150" s="103">
        <v>0</v>
      </c>
      <c r="K150" s="103">
        <v>0</v>
      </c>
      <c r="L150" s="103">
        <v>0</v>
      </c>
      <c r="M150" s="103">
        <v>0</v>
      </c>
      <c r="N150" s="103">
        <v>0</v>
      </c>
      <c r="O150" s="103">
        <v>0</v>
      </c>
      <c r="P150" s="103">
        <v>0</v>
      </c>
      <c r="Q150" s="103">
        <v>0</v>
      </c>
      <c r="R150" s="103">
        <v>0</v>
      </c>
      <c r="S150" s="103">
        <v>0</v>
      </c>
      <c r="T150" s="103">
        <v>0</v>
      </c>
      <c r="U150" s="103">
        <v>0</v>
      </c>
      <c r="V150" s="103">
        <v>0</v>
      </c>
      <c r="W150" s="103">
        <v>0</v>
      </c>
      <c r="X150" s="103">
        <v>0</v>
      </c>
      <c r="Y150" s="103">
        <v>0</v>
      </c>
      <c r="Z150" s="103">
        <v>0</v>
      </c>
      <c r="AA150" s="103">
        <v>0</v>
      </c>
      <c r="AB150" s="103">
        <v>0</v>
      </c>
      <c r="AC150" s="103">
        <v>0</v>
      </c>
      <c r="AD150" s="103">
        <v>0</v>
      </c>
      <c r="AE150" s="103">
        <v>0</v>
      </c>
      <c r="AF150" s="103">
        <v>0</v>
      </c>
      <c r="AG150" s="103">
        <v>0</v>
      </c>
      <c r="AH150" s="103">
        <v>0</v>
      </c>
      <c r="AI150" s="103">
        <v>0</v>
      </c>
      <c r="AJ150" s="103">
        <v>0</v>
      </c>
      <c r="AK150" s="103">
        <v>0</v>
      </c>
      <c r="AL150" s="103">
        <v>0</v>
      </c>
      <c r="AM150" s="103">
        <v>0</v>
      </c>
      <c r="AN150" s="103">
        <v>0</v>
      </c>
      <c r="AO150" s="103">
        <v>0</v>
      </c>
      <c r="AP150" s="103">
        <v>0</v>
      </c>
      <c r="AQ150" s="103">
        <v>0</v>
      </c>
      <c r="AR150" s="103">
        <v>0</v>
      </c>
      <c r="AS150" s="103">
        <v>0</v>
      </c>
      <c r="AT150" s="103">
        <v>0</v>
      </c>
      <c r="AU150" s="103">
        <v>0</v>
      </c>
      <c r="AV150" s="103">
        <v>0</v>
      </c>
      <c r="AW150" s="103">
        <v>0</v>
      </c>
      <c r="AX150" s="103">
        <v>0</v>
      </c>
      <c r="AY150" s="103">
        <v>0</v>
      </c>
    </row>
    <row r="151" spans="1:51" x14ac:dyDescent="0.15">
      <c r="A151" s="106"/>
      <c r="B151" s="124">
        <v>30</v>
      </c>
      <c r="C151" s="103"/>
      <c r="D151" s="103">
        <v>0</v>
      </c>
      <c r="E151" s="103">
        <v>0</v>
      </c>
      <c r="F151" s="103">
        <v>0</v>
      </c>
      <c r="G151" s="103">
        <v>0</v>
      </c>
      <c r="H151" s="103">
        <v>0</v>
      </c>
      <c r="I151" s="103">
        <v>0</v>
      </c>
      <c r="J151" s="103">
        <v>0</v>
      </c>
      <c r="K151" s="103">
        <v>0</v>
      </c>
      <c r="L151" s="103">
        <v>0</v>
      </c>
      <c r="M151" s="103">
        <v>0</v>
      </c>
      <c r="N151" s="103">
        <v>0</v>
      </c>
      <c r="O151" s="103">
        <v>0</v>
      </c>
      <c r="P151" s="103">
        <v>0</v>
      </c>
      <c r="Q151" s="103">
        <v>0</v>
      </c>
      <c r="R151" s="103">
        <v>0</v>
      </c>
      <c r="S151" s="103">
        <v>0</v>
      </c>
      <c r="T151" s="103">
        <v>0</v>
      </c>
      <c r="U151" s="103">
        <v>0</v>
      </c>
      <c r="V151" s="103">
        <v>0</v>
      </c>
      <c r="W151" s="103">
        <v>0</v>
      </c>
      <c r="X151" s="103">
        <v>0</v>
      </c>
      <c r="Y151" s="103">
        <v>0</v>
      </c>
      <c r="Z151" s="103">
        <v>0</v>
      </c>
      <c r="AA151" s="103">
        <v>0</v>
      </c>
      <c r="AB151" s="103">
        <v>0</v>
      </c>
      <c r="AC151" s="103">
        <v>0</v>
      </c>
      <c r="AD151" s="103">
        <v>0</v>
      </c>
      <c r="AE151" s="103">
        <v>0</v>
      </c>
      <c r="AF151" s="103">
        <v>0</v>
      </c>
      <c r="AG151" s="103">
        <v>0</v>
      </c>
      <c r="AH151" s="103">
        <v>0</v>
      </c>
      <c r="AI151" s="103">
        <v>0</v>
      </c>
      <c r="AJ151" s="103">
        <v>0</v>
      </c>
      <c r="AK151" s="103">
        <v>0</v>
      </c>
      <c r="AL151" s="103">
        <v>0</v>
      </c>
      <c r="AM151" s="103">
        <v>0</v>
      </c>
      <c r="AN151" s="103">
        <v>0</v>
      </c>
      <c r="AO151" s="103">
        <v>0</v>
      </c>
      <c r="AP151" s="103">
        <v>0</v>
      </c>
      <c r="AQ151" s="103">
        <v>0</v>
      </c>
      <c r="AR151" s="103">
        <v>0</v>
      </c>
      <c r="AS151" s="103">
        <v>0</v>
      </c>
      <c r="AT151" s="103">
        <v>0</v>
      </c>
      <c r="AU151" s="103">
        <v>0</v>
      </c>
      <c r="AV151" s="103">
        <v>0</v>
      </c>
      <c r="AW151" s="103">
        <v>0</v>
      </c>
      <c r="AX151" s="103">
        <v>0</v>
      </c>
      <c r="AY151" s="103">
        <v>0</v>
      </c>
    </row>
    <row r="152" spans="1:51" x14ac:dyDescent="0.15">
      <c r="A152" s="106"/>
      <c r="B152" s="124">
        <v>31</v>
      </c>
      <c r="C152" s="103"/>
      <c r="D152" s="103">
        <v>0</v>
      </c>
      <c r="E152" s="103">
        <v>0</v>
      </c>
      <c r="F152" s="103">
        <v>0</v>
      </c>
      <c r="G152" s="103">
        <v>0</v>
      </c>
      <c r="H152" s="103">
        <v>0</v>
      </c>
      <c r="I152" s="103">
        <v>0</v>
      </c>
      <c r="J152" s="103">
        <v>0</v>
      </c>
      <c r="K152" s="103">
        <v>0</v>
      </c>
      <c r="L152" s="103">
        <v>0</v>
      </c>
      <c r="M152" s="103">
        <v>0</v>
      </c>
      <c r="N152" s="103">
        <v>0</v>
      </c>
      <c r="O152" s="103">
        <v>0</v>
      </c>
      <c r="P152" s="103">
        <v>0</v>
      </c>
      <c r="Q152" s="103">
        <v>0</v>
      </c>
      <c r="R152" s="103">
        <v>0</v>
      </c>
      <c r="S152" s="103">
        <v>0</v>
      </c>
      <c r="T152" s="103">
        <v>0</v>
      </c>
      <c r="U152" s="103">
        <v>0</v>
      </c>
      <c r="V152" s="103">
        <v>0</v>
      </c>
      <c r="W152" s="103">
        <v>0</v>
      </c>
      <c r="X152" s="103">
        <v>0</v>
      </c>
      <c r="Y152" s="103">
        <v>0</v>
      </c>
      <c r="Z152" s="103">
        <v>0</v>
      </c>
      <c r="AA152" s="103">
        <v>0</v>
      </c>
      <c r="AB152" s="103">
        <v>0</v>
      </c>
      <c r="AC152" s="103">
        <v>0</v>
      </c>
      <c r="AD152" s="103">
        <v>0</v>
      </c>
      <c r="AE152" s="103">
        <v>0</v>
      </c>
      <c r="AF152" s="103">
        <v>0</v>
      </c>
      <c r="AG152" s="103">
        <v>0</v>
      </c>
      <c r="AH152" s="103">
        <v>0</v>
      </c>
      <c r="AI152" s="103">
        <v>0</v>
      </c>
      <c r="AJ152" s="103">
        <v>0</v>
      </c>
      <c r="AK152" s="103">
        <v>0</v>
      </c>
      <c r="AL152" s="103">
        <v>0</v>
      </c>
      <c r="AM152" s="103">
        <v>0</v>
      </c>
      <c r="AN152" s="103">
        <v>0</v>
      </c>
      <c r="AO152" s="103">
        <v>0</v>
      </c>
      <c r="AP152" s="103">
        <v>0</v>
      </c>
      <c r="AQ152" s="103">
        <v>0</v>
      </c>
      <c r="AR152" s="103">
        <v>0</v>
      </c>
      <c r="AS152" s="103">
        <v>0</v>
      </c>
      <c r="AT152" s="103">
        <v>0</v>
      </c>
      <c r="AU152" s="103">
        <v>0</v>
      </c>
      <c r="AV152" s="103">
        <v>0</v>
      </c>
      <c r="AW152" s="103">
        <v>0</v>
      </c>
      <c r="AX152" s="103">
        <v>0</v>
      </c>
      <c r="AY152" s="103">
        <v>0</v>
      </c>
    </row>
    <row r="153" spans="1:51" x14ac:dyDescent="0.15">
      <c r="A153" s="106"/>
      <c r="B153" s="124">
        <v>32</v>
      </c>
      <c r="C153" s="103"/>
      <c r="D153" s="103">
        <v>0</v>
      </c>
      <c r="E153" s="103">
        <v>0</v>
      </c>
      <c r="F153" s="103">
        <v>0</v>
      </c>
      <c r="G153" s="103">
        <v>0</v>
      </c>
      <c r="H153" s="103">
        <v>0</v>
      </c>
      <c r="I153" s="103">
        <v>0</v>
      </c>
      <c r="J153" s="103">
        <v>0</v>
      </c>
      <c r="K153" s="103">
        <v>0</v>
      </c>
      <c r="L153" s="103">
        <v>0</v>
      </c>
      <c r="M153" s="103">
        <v>0</v>
      </c>
      <c r="N153" s="103">
        <v>0</v>
      </c>
      <c r="O153" s="103">
        <v>0</v>
      </c>
      <c r="P153" s="103">
        <v>0</v>
      </c>
      <c r="Q153" s="103">
        <v>0</v>
      </c>
      <c r="R153" s="103">
        <v>0</v>
      </c>
      <c r="S153" s="103">
        <v>0</v>
      </c>
      <c r="T153" s="103">
        <v>0</v>
      </c>
      <c r="U153" s="103">
        <v>0</v>
      </c>
      <c r="V153" s="103">
        <v>0</v>
      </c>
      <c r="W153" s="103">
        <v>0</v>
      </c>
      <c r="X153" s="103">
        <v>0</v>
      </c>
      <c r="Y153" s="103">
        <v>0</v>
      </c>
      <c r="Z153" s="103">
        <v>0</v>
      </c>
      <c r="AA153" s="103">
        <v>0</v>
      </c>
      <c r="AB153" s="103">
        <v>0</v>
      </c>
      <c r="AC153" s="103">
        <v>0</v>
      </c>
      <c r="AD153" s="103">
        <v>0</v>
      </c>
      <c r="AE153" s="103">
        <v>0</v>
      </c>
      <c r="AF153" s="103">
        <v>0</v>
      </c>
      <c r="AG153" s="103">
        <v>0</v>
      </c>
      <c r="AH153" s="103">
        <v>0</v>
      </c>
      <c r="AI153" s="103">
        <v>0</v>
      </c>
      <c r="AJ153" s="103">
        <v>0</v>
      </c>
      <c r="AK153" s="103">
        <v>0</v>
      </c>
      <c r="AL153" s="103">
        <v>0</v>
      </c>
      <c r="AM153" s="103">
        <v>0</v>
      </c>
      <c r="AN153" s="103">
        <v>0</v>
      </c>
      <c r="AO153" s="103">
        <v>0</v>
      </c>
      <c r="AP153" s="103">
        <v>0</v>
      </c>
      <c r="AQ153" s="103">
        <v>0</v>
      </c>
      <c r="AR153" s="103">
        <v>0</v>
      </c>
      <c r="AS153" s="103">
        <v>0</v>
      </c>
      <c r="AT153" s="103">
        <v>0</v>
      </c>
      <c r="AU153" s="103">
        <v>0</v>
      </c>
      <c r="AV153" s="103">
        <v>0</v>
      </c>
      <c r="AW153" s="103">
        <v>0</v>
      </c>
      <c r="AX153" s="103">
        <v>0</v>
      </c>
      <c r="AY153" s="103">
        <v>0</v>
      </c>
    </row>
    <row r="154" spans="1:51" x14ac:dyDescent="0.15">
      <c r="A154" s="106"/>
      <c r="B154" s="124">
        <v>33</v>
      </c>
      <c r="C154" s="103"/>
      <c r="D154" s="103">
        <v>0</v>
      </c>
      <c r="E154" s="103">
        <v>0</v>
      </c>
      <c r="F154" s="103">
        <v>0</v>
      </c>
      <c r="G154" s="103">
        <v>0</v>
      </c>
      <c r="H154" s="103">
        <v>0</v>
      </c>
      <c r="I154" s="103">
        <v>0</v>
      </c>
      <c r="J154" s="103">
        <v>0</v>
      </c>
      <c r="K154" s="103">
        <v>0</v>
      </c>
      <c r="L154" s="103">
        <v>0</v>
      </c>
      <c r="M154" s="103">
        <v>0</v>
      </c>
      <c r="N154" s="103">
        <v>0</v>
      </c>
      <c r="O154" s="103">
        <v>0</v>
      </c>
      <c r="P154" s="103">
        <v>0</v>
      </c>
      <c r="Q154" s="103">
        <v>0</v>
      </c>
      <c r="R154" s="103">
        <v>0</v>
      </c>
      <c r="S154" s="103">
        <v>0</v>
      </c>
      <c r="T154" s="103">
        <v>0</v>
      </c>
      <c r="U154" s="103">
        <v>0</v>
      </c>
      <c r="V154" s="103">
        <v>0</v>
      </c>
      <c r="W154" s="103">
        <v>0</v>
      </c>
      <c r="X154" s="103">
        <v>0</v>
      </c>
      <c r="Y154" s="103">
        <v>0</v>
      </c>
      <c r="Z154" s="103">
        <v>0</v>
      </c>
      <c r="AA154" s="103">
        <v>0</v>
      </c>
      <c r="AB154" s="103">
        <v>0</v>
      </c>
      <c r="AC154" s="103">
        <v>0</v>
      </c>
      <c r="AD154" s="103">
        <v>0</v>
      </c>
      <c r="AE154" s="103">
        <v>0</v>
      </c>
      <c r="AF154" s="103">
        <v>0</v>
      </c>
      <c r="AG154" s="103">
        <v>0</v>
      </c>
      <c r="AH154" s="103">
        <v>0</v>
      </c>
      <c r="AI154" s="103">
        <v>0</v>
      </c>
      <c r="AJ154" s="103">
        <v>0</v>
      </c>
      <c r="AK154" s="103">
        <v>0</v>
      </c>
      <c r="AL154" s="103">
        <v>0</v>
      </c>
      <c r="AM154" s="103">
        <v>0</v>
      </c>
      <c r="AN154" s="103">
        <v>0</v>
      </c>
      <c r="AO154" s="103">
        <v>0</v>
      </c>
      <c r="AP154" s="103">
        <v>0</v>
      </c>
      <c r="AQ154" s="103">
        <v>0</v>
      </c>
      <c r="AR154" s="103">
        <v>0</v>
      </c>
      <c r="AS154" s="103">
        <v>0</v>
      </c>
      <c r="AT154" s="103">
        <v>0</v>
      </c>
      <c r="AU154" s="103">
        <v>0</v>
      </c>
      <c r="AV154" s="103">
        <v>0</v>
      </c>
      <c r="AW154" s="103">
        <v>0</v>
      </c>
      <c r="AX154" s="103">
        <v>0</v>
      </c>
      <c r="AY154" s="103">
        <v>0</v>
      </c>
    </row>
    <row r="155" spans="1:51" x14ac:dyDescent="0.15">
      <c r="A155" s="106"/>
      <c r="B155" s="124">
        <v>34</v>
      </c>
      <c r="C155" s="103"/>
      <c r="D155" s="103">
        <v>0</v>
      </c>
      <c r="E155" s="103">
        <v>0</v>
      </c>
      <c r="F155" s="103">
        <v>0</v>
      </c>
      <c r="G155" s="103">
        <v>0</v>
      </c>
      <c r="H155" s="103">
        <v>0</v>
      </c>
      <c r="I155" s="103">
        <v>0</v>
      </c>
      <c r="J155" s="103">
        <v>0</v>
      </c>
      <c r="K155" s="103">
        <v>0</v>
      </c>
      <c r="L155" s="103">
        <v>0</v>
      </c>
      <c r="M155" s="103">
        <v>0</v>
      </c>
      <c r="N155" s="103">
        <v>0</v>
      </c>
      <c r="O155" s="103">
        <v>0</v>
      </c>
      <c r="P155" s="103">
        <v>0</v>
      </c>
      <c r="Q155" s="103">
        <v>0</v>
      </c>
      <c r="R155" s="103">
        <v>0</v>
      </c>
      <c r="S155" s="103">
        <v>0</v>
      </c>
      <c r="T155" s="103">
        <v>0</v>
      </c>
      <c r="U155" s="103">
        <v>0</v>
      </c>
      <c r="V155" s="103">
        <v>0</v>
      </c>
      <c r="W155" s="103">
        <v>0</v>
      </c>
      <c r="X155" s="103">
        <v>0</v>
      </c>
      <c r="Y155" s="103">
        <v>0</v>
      </c>
      <c r="Z155" s="103">
        <v>0</v>
      </c>
      <c r="AA155" s="103">
        <v>0</v>
      </c>
      <c r="AB155" s="103">
        <v>0</v>
      </c>
      <c r="AC155" s="103">
        <v>0</v>
      </c>
      <c r="AD155" s="103">
        <v>0</v>
      </c>
      <c r="AE155" s="103">
        <v>0</v>
      </c>
      <c r="AF155" s="103">
        <v>0</v>
      </c>
      <c r="AG155" s="103">
        <v>0</v>
      </c>
      <c r="AH155" s="103">
        <v>0</v>
      </c>
      <c r="AI155" s="103">
        <v>0</v>
      </c>
      <c r="AJ155" s="103">
        <v>0</v>
      </c>
      <c r="AK155" s="103">
        <v>0</v>
      </c>
      <c r="AL155" s="103">
        <v>0</v>
      </c>
      <c r="AM155" s="103">
        <v>0</v>
      </c>
      <c r="AN155" s="103">
        <v>0</v>
      </c>
      <c r="AO155" s="103">
        <v>0</v>
      </c>
      <c r="AP155" s="103">
        <v>0</v>
      </c>
      <c r="AQ155" s="103">
        <v>0</v>
      </c>
      <c r="AR155" s="103">
        <v>0</v>
      </c>
      <c r="AS155" s="103">
        <v>0</v>
      </c>
      <c r="AT155" s="103">
        <v>0</v>
      </c>
      <c r="AU155" s="103">
        <v>0</v>
      </c>
      <c r="AV155" s="103">
        <v>0</v>
      </c>
      <c r="AW155" s="103">
        <v>0</v>
      </c>
      <c r="AX155" s="103">
        <v>0</v>
      </c>
      <c r="AY155" s="103">
        <v>0</v>
      </c>
    </row>
    <row r="156" spans="1:51" x14ac:dyDescent="0.15">
      <c r="A156" s="106"/>
      <c r="B156" s="124">
        <v>35</v>
      </c>
      <c r="C156" s="103"/>
      <c r="D156" s="103">
        <v>0</v>
      </c>
      <c r="E156" s="103">
        <v>0</v>
      </c>
      <c r="F156" s="103">
        <v>0</v>
      </c>
      <c r="G156" s="103">
        <v>0</v>
      </c>
      <c r="H156" s="103">
        <v>0</v>
      </c>
      <c r="I156" s="103">
        <v>0</v>
      </c>
      <c r="J156" s="103">
        <v>0</v>
      </c>
      <c r="K156" s="103">
        <v>0</v>
      </c>
      <c r="L156" s="103">
        <v>0</v>
      </c>
      <c r="M156" s="103">
        <v>0</v>
      </c>
      <c r="N156" s="103">
        <v>0</v>
      </c>
      <c r="O156" s="103">
        <v>0</v>
      </c>
      <c r="P156" s="103">
        <v>0</v>
      </c>
      <c r="Q156" s="103">
        <v>0</v>
      </c>
      <c r="R156" s="103">
        <v>0</v>
      </c>
      <c r="S156" s="103">
        <v>0</v>
      </c>
      <c r="T156" s="103">
        <v>0</v>
      </c>
      <c r="U156" s="103">
        <v>0</v>
      </c>
      <c r="V156" s="103">
        <v>0</v>
      </c>
      <c r="W156" s="103">
        <v>0</v>
      </c>
      <c r="X156" s="103">
        <v>0</v>
      </c>
      <c r="Y156" s="103">
        <v>0</v>
      </c>
      <c r="Z156" s="103">
        <v>0</v>
      </c>
      <c r="AA156" s="103">
        <v>0</v>
      </c>
      <c r="AB156" s="103">
        <v>0</v>
      </c>
      <c r="AC156" s="103">
        <v>0</v>
      </c>
      <c r="AD156" s="103">
        <v>0</v>
      </c>
      <c r="AE156" s="103">
        <v>0</v>
      </c>
      <c r="AF156" s="103">
        <v>0</v>
      </c>
      <c r="AG156" s="103">
        <v>0</v>
      </c>
      <c r="AH156" s="103">
        <v>0</v>
      </c>
      <c r="AI156" s="103">
        <v>0</v>
      </c>
      <c r="AJ156" s="103">
        <v>0</v>
      </c>
      <c r="AK156" s="103">
        <v>0</v>
      </c>
      <c r="AL156" s="103">
        <v>0</v>
      </c>
      <c r="AM156" s="103">
        <v>0</v>
      </c>
      <c r="AN156" s="103">
        <v>0</v>
      </c>
      <c r="AO156" s="103">
        <v>0</v>
      </c>
      <c r="AP156" s="103">
        <v>0</v>
      </c>
      <c r="AQ156" s="103">
        <v>0</v>
      </c>
      <c r="AR156" s="103">
        <v>0</v>
      </c>
      <c r="AS156" s="103">
        <v>0</v>
      </c>
      <c r="AT156" s="103">
        <v>0</v>
      </c>
      <c r="AU156" s="103">
        <v>0</v>
      </c>
      <c r="AV156" s="103">
        <v>0</v>
      </c>
      <c r="AW156" s="103">
        <v>0</v>
      </c>
      <c r="AX156" s="103">
        <v>0</v>
      </c>
      <c r="AY156" s="103">
        <v>0</v>
      </c>
    </row>
    <row r="157" spans="1:51" x14ac:dyDescent="0.15">
      <c r="A157" s="106"/>
      <c r="B157" s="124">
        <v>36</v>
      </c>
      <c r="C157" s="103"/>
      <c r="D157" s="103">
        <v>0</v>
      </c>
      <c r="E157" s="103">
        <v>0</v>
      </c>
      <c r="F157" s="103">
        <v>0</v>
      </c>
      <c r="G157" s="103">
        <v>0</v>
      </c>
      <c r="H157" s="103">
        <v>0</v>
      </c>
      <c r="I157" s="103">
        <v>0</v>
      </c>
      <c r="J157" s="103">
        <v>0</v>
      </c>
      <c r="K157" s="103">
        <v>0</v>
      </c>
      <c r="L157" s="103">
        <v>0</v>
      </c>
      <c r="M157" s="103">
        <v>0</v>
      </c>
      <c r="N157" s="103">
        <v>0</v>
      </c>
      <c r="O157" s="103">
        <v>0</v>
      </c>
      <c r="P157" s="103">
        <v>0</v>
      </c>
      <c r="Q157" s="103">
        <v>0</v>
      </c>
      <c r="R157" s="103">
        <v>0</v>
      </c>
      <c r="S157" s="103">
        <v>0</v>
      </c>
      <c r="T157" s="103">
        <v>0</v>
      </c>
      <c r="U157" s="103">
        <v>0</v>
      </c>
      <c r="V157" s="103">
        <v>0</v>
      </c>
      <c r="W157" s="103">
        <v>0</v>
      </c>
      <c r="X157" s="103">
        <v>0</v>
      </c>
      <c r="Y157" s="103">
        <v>0</v>
      </c>
      <c r="Z157" s="103">
        <v>0</v>
      </c>
      <c r="AA157" s="103">
        <v>0</v>
      </c>
      <c r="AB157" s="103">
        <v>0</v>
      </c>
      <c r="AC157" s="103">
        <v>0</v>
      </c>
      <c r="AD157" s="103">
        <v>0</v>
      </c>
      <c r="AE157" s="103">
        <v>0</v>
      </c>
      <c r="AF157" s="103">
        <v>0</v>
      </c>
      <c r="AG157" s="103">
        <v>0</v>
      </c>
      <c r="AH157" s="103">
        <v>0</v>
      </c>
      <c r="AI157" s="103">
        <v>0</v>
      </c>
      <c r="AJ157" s="103">
        <v>0</v>
      </c>
      <c r="AK157" s="103">
        <v>0</v>
      </c>
      <c r="AL157" s="103">
        <v>0</v>
      </c>
      <c r="AM157" s="103">
        <v>0</v>
      </c>
      <c r="AN157" s="103">
        <v>0</v>
      </c>
      <c r="AO157" s="103">
        <v>0</v>
      </c>
      <c r="AP157" s="103">
        <v>0</v>
      </c>
      <c r="AQ157" s="103">
        <v>0</v>
      </c>
      <c r="AR157" s="103">
        <v>0</v>
      </c>
      <c r="AS157" s="103">
        <v>0</v>
      </c>
      <c r="AT157" s="103">
        <v>0</v>
      </c>
      <c r="AU157" s="103">
        <v>0</v>
      </c>
      <c r="AV157" s="103">
        <v>0</v>
      </c>
      <c r="AW157" s="103">
        <v>0</v>
      </c>
      <c r="AX157" s="103">
        <v>0</v>
      </c>
      <c r="AY157" s="103">
        <v>0</v>
      </c>
    </row>
    <row r="158" spans="1:51" x14ac:dyDescent="0.15">
      <c r="A158" s="106"/>
      <c r="B158" s="127">
        <v>37</v>
      </c>
      <c r="C158" s="103"/>
      <c r="D158" s="103">
        <v>0</v>
      </c>
      <c r="E158" s="103">
        <v>0</v>
      </c>
      <c r="F158" s="103">
        <v>0</v>
      </c>
      <c r="G158" s="103">
        <v>0</v>
      </c>
      <c r="H158" s="103">
        <v>0</v>
      </c>
      <c r="I158" s="103">
        <v>0</v>
      </c>
      <c r="J158" s="103">
        <v>0</v>
      </c>
      <c r="K158" s="103">
        <v>0</v>
      </c>
      <c r="L158" s="103">
        <v>0</v>
      </c>
      <c r="M158" s="103">
        <v>0</v>
      </c>
      <c r="N158" s="103">
        <v>0</v>
      </c>
      <c r="O158" s="103">
        <v>0</v>
      </c>
      <c r="P158" s="103">
        <v>0</v>
      </c>
      <c r="Q158" s="103">
        <v>0</v>
      </c>
      <c r="R158" s="103">
        <v>0</v>
      </c>
      <c r="S158" s="103">
        <v>0</v>
      </c>
      <c r="T158" s="103">
        <v>0</v>
      </c>
      <c r="U158" s="103">
        <v>0</v>
      </c>
      <c r="V158" s="103">
        <v>0</v>
      </c>
      <c r="W158" s="103">
        <v>0</v>
      </c>
      <c r="X158" s="103">
        <v>0</v>
      </c>
      <c r="Y158" s="103">
        <v>0</v>
      </c>
      <c r="Z158" s="103">
        <v>0</v>
      </c>
      <c r="AA158" s="103">
        <v>0</v>
      </c>
      <c r="AB158" s="103">
        <v>0</v>
      </c>
      <c r="AC158" s="103">
        <v>0</v>
      </c>
      <c r="AD158" s="103">
        <v>0</v>
      </c>
      <c r="AE158" s="103">
        <v>0</v>
      </c>
      <c r="AF158" s="103">
        <v>0</v>
      </c>
      <c r="AG158" s="103">
        <v>0</v>
      </c>
      <c r="AH158" s="103">
        <v>0</v>
      </c>
      <c r="AI158" s="103">
        <v>0</v>
      </c>
      <c r="AJ158" s="103">
        <v>0</v>
      </c>
      <c r="AK158" s="103">
        <v>0</v>
      </c>
      <c r="AL158" s="103">
        <v>0</v>
      </c>
      <c r="AM158" s="103">
        <v>0</v>
      </c>
      <c r="AN158" s="103">
        <v>0</v>
      </c>
      <c r="AO158" s="103">
        <v>0</v>
      </c>
      <c r="AP158" s="103">
        <v>0</v>
      </c>
      <c r="AQ158" s="103">
        <v>0</v>
      </c>
      <c r="AR158" s="103">
        <v>0</v>
      </c>
      <c r="AS158" s="103">
        <v>0</v>
      </c>
      <c r="AT158" s="103">
        <v>0</v>
      </c>
      <c r="AU158" s="103">
        <v>0</v>
      </c>
      <c r="AV158" s="103">
        <v>0</v>
      </c>
      <c r="AW158" s="103">
        <v>0</v>
      </c>
      <c r="AX158" s="103">
        <v>0</v>
      </c>
      <c r="AY158" s="103">
        <v>0</v>
      </c>
    </row>
    <row r="159" spans="1:51" x14ac:dyDescent="0.15">
      <c r="A159" s="106"/>
      <c r="B159" s="127">
        <v>38</v>
      </c>
      <c r="C159" s="103"/>
      <c r="D159" s="103">
        <v>0</v>
      </c>
      <c r="E159" s="103">
        <v>0</v>
      </c>
      <c r="F159" s="103">
        <v>0</v>
      </c>
      <c r="G159" s="103">
        <v>0</v>
      </c>
      <c r="H159" s="103">
        <v>0</v>
      </c>
      <c r="I159" s="103">
        <v>0</v>
      </c>
      <c r="J159" s="103">
        <v>0</v>
      </c>
      <c r="K159" s="103">
        <v>0</v>
      </c>
      <c r="L159" s="103">
        <v>0</v>
      </c>
      <c r="M159" s="103">
        <v>0</v>
      </c>
      <c r="N159" s="103">
        <v>0</v>
      </c>
      <c r="O159" s="103">
        <v>0</v>
      </c>
      <c r="P159" s="103">
        <v>0</v>
      </c>
      <c r="Q159" s="103">
        <v>0</v>
      </c>
      <c r="R159" s="103">
        <v>0</v>
      </c>
      <c r="S159" s="103">
        <v>0</v>
      </c>
      <c r="T159" s="103">
        <v>0</v>
      </c>
      <c r="U159" s="103">
        <v>0</v>
      </c>
      <c r="V159" s="103">
        <v>0</v>
      </c>
      <c r="W159" s="103">
        <v>0</v>
      </c>
      <c r="X159" s="103">
        <v>0</v>
      </c>
      <c r="Y159" s="103">
        <v>0</v>
      </c>
      <c r="Z159" s="103">
        <v>0</v>
      </c>
      <c r="AA159" s="103">
        <v>0</v>
      </c>
      <c r="AB159" s="103">
        <v>0</v>
      </c>
      <c r="AC159" s="103">
        <v>0</v>
      </c>
      <c r="AD159" s="103">
        <v>0</v>
      </c>
      <c r="AE159" s="103">
        <v>0</v>
      </c>
      <c r="AF159" s="103">
        <v>0</v>
      </c>
      <c r="AG159" s="103">
        <v>0</v>
      </c>
      <c r="AH159" s="103">
        <v>0</v>
      </c>
      <c r="AI159" s="103">
        <v>0</v>
      </c>
      <c r="AJ159" s="103">
        <v>0</v>
      </c>
      <c r="AK159" s="103">
        <v>0</v>
      </c>
      <c r="AL159" s="103">
        <v>0</v>
      </c>
      <c r="AM159" s="103">
        <v>0</v>
      </c>
      <c r="AN159" s="103">
        <v>0</v>
      </c>
      <c r="AO159" s="103">
        <v>0</v>
      </c>
      <c r="AP159" s="103">
        <v>0</v>
      </c>
      <c r="AQ159" s="103">
        <v>0</v>
      </c>
      <c r="AR159" s="103">
        <v>0</v>
      </c>
      <c r="AS159" s="103">
        <v>0</v>
      </c>
      <c r="AT159" s="103">
        <v>0</v>
      </c>
      <c r="AU159" s="103">
        <v>0</v>
      </c>
      <c r="AV159" s="103">
        <v>0</v>
      </c>
      <c r="AW159" s="103">
        <v>0</v>
      </c>
      <c r="AX159" s="103">
        <v>0</v>
      </c>
      <c r="AY159" s="103">
        <v>0</v>
      </c>
    </row>
    <row r="160" spans="1:51" x14ac:dyDescent="0.15">
      <c r="A160" s="106"/>
      <c r="B160" s="127">
        <v>39</v>
      </c>
      <c r="C160" s="103"/>
      <c r="D160" s="103">
        <v>0</v>
      </c>
      <c r="E160" s="103">
        <v>0</v>
      </c>
      <c r="F160" s="103">
        <v>0</v>
      </c>
      <c r="G160" s="103">
        <v>0</v>
      </c>
      <c r="H160" s="103">
        <v>0</v>
      </c>
      <c r="I160" s="103">
        <v>0</v>
      </c>
      <c r="J160" s="103">
        <v>0</v>
      </c>
      <c r="K160" s="103">
        <v>0</v>
      </c>
      <c r="L160" s="103">
        <v>0</v>
      </c>
      <c r="M160" s="103">
        <v>0</v>
      </c>
      <c r="N160" s="103">
        <v>0</v>
      </c>
      <c r="O160" s="103">
        <v>0</v>
      </c>
      <c r="P160" s="103">
        <v>0</v>
      </c>
      <c r="Q160" s="103">
        <v>0</v>
      </c>
      <c r="R160" s="103">
        <v>0</v>
      </c>
      <c r="S160" s="103">
        <v>0</v>
      </c>
      <c r="T160" s="103">
        <v>0</v>
      </c>
      <c r="U160" s="103">
        <v>0</v>
      </c>
      <c r="V160" s="103">
        <v>0</v>
      </c>
      <c r="W160" s="103">
        <v>0</v>
      </c>
      <c r="X160" s="103">
        <v>0</v>
      </c>
      <c r="Y160" s="103">
        <v>0</v>
      </c>
      <c r="Z160" s="103">
        <v>0</v>
      </c>
      <c r="AA160" s="103">
        <v>0</v>
      </c>
      <c r="AB160" s="103">
        <v>0</v>
      </c>
      <c r="AC160" s="103">
        <v>0</v>
      </c>
      <c r="AD160" s="103">
        <v>0</v>
      </c>
      <c r="AE160" s="103">
        <v>0</v>
      </c>
      <c r="AF160" s="103">
        <v>0</v>
      </c>
      <c r="AG160" s="103">
        <v>0</v>
      </c>
      <c r="AH160" s="103">
        <v>0</v>
      </c>
      <c r="AI160" s="103">
        <v>0</v>
      </c>
      <c r="AJ160" s="103">
        <v>0</v>
      </c>
      <c r="AK160" s="103">
        <v>0</v>
      </c>
      <c r="AL160" s="103">
        <v>0</v>
      </c>
      <c r="AM160" s="103">
        <v>0</v>
      </c>
      <c r="AN160" s="103">
        <v>0</v>
      </c>
      <c r="AO160" s="103">
        <v>0</v>
      </c>
      <c r="AP160" s="103">
        <v>0</v>
      </c>
      <c r="AQ160" s="103">
        <v>0</v>
      </c>
      <c r="AR160" s="103">
        <v>0</v>
      </c>
      <c r="AS160" s="103">
        <v>0</v>
      </c>
      <c r="AT160" s="103">
        <v>0</v>
      </c>
      <c r="AU160" s="103">
        <v>0</v>
      </c>
      <c r="AV160" s="103">
        <v>0</v>
      </c>
      <c r="AW160" s="103">
        <v>0</v>
      </c>
      <c r="AX160" s="103">
        <v>0</v>
      </c>
      <c r="AY160" s="103">
        <v>0</v>
      </c>
    </row>
    <row r="161" spans="1:52" x14ac:dyDescent="0.15">
      <c r="A161" s="106"/>
      <c r="B161" s="127">
        <v>40</v>
      </c>
      <c r="C161" s="103"/>
      <c r="D161" s="103">
        <v>0</v>
      </c>
      <c r="E161" s="103">
        <v>0</v>
      </c>
      <c r="F161" s="103">
        <v>0</v>
      </c>
      <c r="G161" s="103">
        <v>0</v>
      </c>
      <c r="H161" s="103">
        <v>0</v>
      </c>
      <c r="I161" s="103">
        <v>0</v>
      </c>
      <c r="J161" s="103">
        <v>0</v>
      </c>
      <c r="K161" s="103">
        <v>0</v>
      </c>
      <c r="L161" s="103">
        <v>0</v>
      </c>
      <c r="M161" s="103">
        <v>0</v>
      </c>
      <c r="N161" s="103">
        <v>0</v>
      </c>
      <c r="O161" s="103">
        <v>0</v>
      </c>
      <c r="P161" s="103">
        <v>0</v>
      </c>
      <c r="Q161" s="103">
        <v>0</v>
      </c>
      <c r="R161" s="103">
        <v>0</v>
      </c>
      <c r="S161" s="103">
        <v>0</v>
      </c>
      <c r="T161" s="103">
        <v>0</v>
      </c>
      <c r="U161" s="103">
        <v>0</v>
      </c>
      <c r="V161" s="103">
        <v>0</v>
      </c>
      <c r="W161" s="103">
        <v>0</v>
      </c>
      <c r="X161" s="103">
        <v>0</v>
      </c>
      <c r="Y161" s="103">
        <v>0</v>
      </c>
      <c r="Z161" s="103">
        <v>0</v>
      </c>
      <c r="AA161" s="103">
        <v>0</v>
      </c>
      <c r="AB161" s="103">
        <v>0</v>
      </c>
      <c r="AC161" s="103">
        <v>0</v>
      </c>
      <c r="AD161" s="103">
        <v>0</v>
      </c>
      <c r="AE161" s="103">
        <v>0</v>
      </c>
      <c r="AF161" s="103">
        <v>0</v>
      </c>
      <c r="AG161" s="103">
        <v>0</v>
      </c>
      <c r="AH161" s="103">
        <v>0</v>
      </c>
      <c r="AI161" s="103">
        <v>0</v>
      </c>
      <c r="AJ161" s="103">
        <v>0</v>
      </c>
      <c r="AK161" s="103">
        <v>0</v>
      </c>
      <c r="AL161" s="103">
        <v>0</v>
      </c>
      <c r="AM161" s="103">
        <v>0</v>
      </c>
      <c r="AN161" s="103">
        <v>0</v>
      </c>
      <c r="AO161" s="103">
        <v>0</v>
      </c>
      <c r="AP161" s="103">
        <v>0</v>
      </c>
      <c r="AQ161" s="103">
        <v>0</v>
      </c>
      <c r="AR161" s="103">
        <v>0</v>
      </c>
      <c r="AS161" s="103">
        <v>0</v>
      </c>
      <c r="AT161" s="103">
        <v>0</v>
      </c>
      <c r="AU161" s="103">
        <v>0</v>
      </c>
      <c r="AV161" s="103">
        <v>0</v>
      </c>
      <c r="AW161" s="103">
        <v>0</v>
      </c>
      <c r="AX161" s="103">
        <v>0</v>
      </c>
      <c r="AY161" s="103">
        <v>0</v>
      </c>
    </row>
    <row r="162" spans="1:52" x14ac:dyDescent="0.15">
      <c r="A162" s="106"/>
      <c r="B162" s="127">
        <v>41</v>
      </c>
      <c r="C162" s="103"/>
      <c r="D162" s="103">
        <v>0</v>
      </c>
      <c r="E162" s="103">
        <v>0</v>
      </c>
      <c r="F162" s="103">
        <v>0</v>
      </c>
      <c r="G162" s="103">
        <v>0</v>
      </c>
      <c r="H162" s="103">
        <v>0</v>
      </c>
      <c r="I162" s="103">
        <v>0</v>
      </c>
      <c r="J162" s="103">
        <v>0</v>
      </c>
      <c r="K162" s="103">
        <v>0</v>
      </c>
      <c r="L162" s="103">
        <v>0</v>
      </c>
      <c r="M162" s="103">
        <v>0</v>
      </c>
      <c r="N162" s="103">
        <v>0</v>
      </c>
      <c r="O162" s="103">
        <v>0</v>
      </c>
      <c r="P162" s="103">
        <v>0</v>
      </c>
      <c r="Q162" s="103">
        <v>0</v>
      </c>
      <c r="R162" s="103">
        <v>0</v>
      </c>
      <c r="S162" s="103">
        <v>0</v>
      </c>
      <c r="T162" s="103">
        <v>0</v>
      </c>
      <c r="U162" s="103">
        <v>0</v>
      </c>
      <c r="V162" s="103">
        <v>0</v>
      </c>
      <c r="W162" s="103">
        <v>0</v>
      </c>
      <c r="X162" s="103">
        <v>0</v>
      </c>
      <c r="Y162" s="103">
        <v>0</v>
      </c>
      <c r="Z162" s="103">
        <v>0</v>
      </c>
      <c r="AA162" s="103">
        <v>0</v>
      </c>
      <c r="AB162" s="103">
        <v>0</v>
      </c>
      <c r="AC162" s="103">
        <v>0</v>
      </c>
      <c r="AD162" s="103">
        <v>0</v>
      </c>
      <c r="AE162" s="103">
        <v>0</v>
      </c>
      <c r="AF162" s="103">
        <v>0</v>
      </c>
      <c r="AG162" s="103">
        <v>0</v>
      </c>
      <c r="AH162" s="103">
        <v>0</v>
      </c>
      <c r="AI162" s="103">
        <v>0</v>
      </c>
      <c r="AJ162" s="103">
        <v>0</v>
      </c>
      <c r="AK162" s="103">
        <v>0</v>
      </c>
      <c r="AL162" s="103">
        <v>0</v>
      </c>
      <c r="AM162" s="103">
        <v>0</v>
      </c>
      <c r="AN162" s="103">
        <v>0</v>
      </c>
      <c r="AO162" s="103">
        <v>0</v>
      </c>
      <c r="AP162" s="103">
        <v>0</v>
      </c>
      <c r="AQ162" s="103">
        <v>0</v>
      </c>
      <c r="AR162" s="103">
        <v>0</v>
      </c>
      <c r="AS162" s="103">
        <v>0</v>
      </c>
      <c r="AT162" s="103">
        <v>0</v>
      </c>
      <c r="AU162" s="103">
        <v>0</v>
      </c>
      <c r="AV162" s="103">
        <v>0</v>
      </c>
      <c r="AW162" s="103">
        <v>0</v>
      </c>
      <c r="AX162" s="103">
        <v>0</v>
      </c>
      <c r="AY162" s="103">
        <v>0</v>
      </c>
    </row>
    <row r="163" spans="1:52" x14ac:dyDescent="0.15">
      <c r="A163" s="106"/>
      <c r="B163" s="127">
        <v>42</v>
      </c>
      <c r="C163" s="103"/>
      <c r="D163" s="103">
        <v>0</v>
      </c>
      <c r="E163" s="103">
        <v>0</v>
      </c>
      <c r="F163" s="103">
        <v>0</v>
      </c>
      <c r="G163" s="103">
        <v>0</v>
      </c>
      <c r="H163" s="103">
        <v>0</v>
      </c>
      <c r="I163" s="103">
        <v>0</v>
      </c>
      <c r="J163" s="103">
        <v>0</v>
      </c>
      <c r="K163" s="103">
        <v>0</v>
      </c>
      <c r="L163" s="103">
        <v>0</v>
      </c>
      <c r="M163" s="103">
        <v>0</v>
      </c>
      <c r="N163" s="103">
        <v>0</v>
      </c>
      <c r="O163" s="103">
        <v>0</v>
      </c>
      <c r="P163" s="103">
        <v>0</v>
      </c>
      <c r="Q163" s="103">
        <v>0</v>
      </c>
      <c r="R163" s="103">
        <v>0</v>
      </c>
      <c r="S163" s="103">
        <v>0</v>
      </c>
      <c r="T163" s="103">
        <v>0</v>
      </c>
      <c r="U163" s="103">
        <v>0</v>
      </c>
      <c r="V163" s="103">
        <v>0</v>
      </c>
      <c r="W163" s="103">
        <v>0</v>
      </c>
      <c r="X163" s="103">
        <v>0</v>
      </c>
      <c r="Y163" s="103">
        <v>0</v>
      </c>
      <c r="Z163" s="103">
        <v>0</v>
      </c>
      <c r="AA163" s="103">
        <v>0</v>
      </c>
      <c r="AB163" s="103">
        <v>0</v>
      </c>
      <c r="AC163" s="103">
        <v>0</v>
      </c>
      <c r="AD163" s="103">
        <v>0</v>
      </c>
      <c r="AE163" s="103">
        <v>0</v>
      </c>
      <c r="AF163" s="103">
        <v>0</v>
      </c>
      <c r="AG163" s="103">
        <v>0</v>
      </c>
      <c r="AH163" s="103">
        <v>0</v>
      </c>
      <c r="AI163" s="103">
        <v>0</v>
      </c>
      <c r="AJ163" s="103">
        <v>0</v>
      </c>
      <c r="AK163" s="103">
        <v>0</v>
      </c>
      <c r="AL163" s="103">
        <v>0</v>
      </c>
      <c r="AM163" s="103">
        <v>0</v>
      </c>
      <c r="AN163" s="103">
        <v>0</v>
      </c>
      <c r="AO163" s="103">
        <v>0</v>
      </c>
      <c r="AP163" s="103">
        <v>0</v>
      </c>
      <c r="AQ163" s="103">
        <v>0</v>
      </c>
      <c r="AR163" s="103">
        <v>0</v>
      </c>
      <c r="AS163" s="103">
        <v>0</v>
      </c>
      <c r="AT163" s="103">
        <v>0</v>
      </c>
      <c r="AU163" s="103">
        <v>0</v>
      </c>
      <c r="AV163" s="103">
        <v>0</v>
      </c>
      <c r="AW163" s="103">
        <v>0</v>
      </c>
      <c r="AX163" s="103">
        <v>0</v>
      </c>
      <c r="AY163" s="103">
        <v>0</v>
      </c>
    </row>
    <row r="164" spans="1:52" x14ac:dyDescent="0.15">
      <c r="A164" s="106"/>
      <c r="B164" s="127">
        <v>43</v>
      </c>
      <c r="C164" s="103"/>
      <c r="D164" s="103">
        <v>0</v>
      </c>
      <c r="E164" s="103">
        <v>0</v>
      </c>
      <c r="F164" s="103">
        <v>0</v>
      </c>
      <c r="G164" s="103">
        <v>0</v>
      </c>
      <c r="H164" s="103">
        <v>0</v>
      </c>
      <c r="I164" s="103">
        <v>0</v>
      </c>
      <c r="J164" s="103">
        <v>0</v>
      </c>
      <c r="K164" s="103">
        <v>0</v>
      </c>
      <c r="L164" s="103">
        <v>0</v>
      </c>
      <c r="M164" s="103">
        <v>0</v>
      </c>
      <c r="N164" s="103">
        <v>0</v>
      </c>
      <c r="O164" s="103">
        <v>0</v>
      </c>
      <c r="P164" s="103">
        <v>0</v>
      </c>
      <c r="Q164" s="103">
        <v>0</v>
      </c>
      <c r="R164" s="103">
        <v>0</v>
      </c>
      <c r="S164" s="103">
        <v>0</v>
      </c>
      <c r="T164" s="103">
        <v>0</v>
      </c>
      <c r="U164" s="103">
        <v>0</v>
      </c>
      <c r="V164" s="103">
        <v>0</v>
      </c>
      <c r="W164" s="103">
        <v>0</v>
      </c>
      <c r="X164" s="103">
        <v>0</v>
      </c>
      <c r="Y164" s="103">
        <v>0</v>
      </c>
      <c r="Z164" s="103">
        <v>0</v>
      </c>
      <c r="AA164" s="103">
        <v>0</v>
      </c>
      <c r="AB164" s="103">
        <v>0</v>
      </c>
      <c r="AC164" s="103">
        <v>0</v>
      </c>
      <c r="AD164" s="103">
        <v>0</v>
      </c>
      <c r="AE164" s="103">
        <v>0</v>
      </c>
      <c r="AF164" s="103">
        <v>0</v>
      </c>
      <c r="AG164" s="103">
        <v>0</v>
      </c>
      <c r="AH164" s="103">
        <v>0</v>
      </c>
      <c r="AI164" s="103">
        <v>0</v>
      </c>
      <c r="AJ164" s="103">
        <v>0</v>
      </c>
      <c r="AK164" s="103">
        <v>0</v>
      </c>
      <c r="AL164" s="103">
        <v>0</v>
      </c>
      <c r="AM164" s="103">
        <v>0</v>
      </c>
      <c r="AN164" s="103">
        <v>0</v>
      </c>
      <c r="AO164" s="103">
        <v>0</v>
      </c>
      <c r="AP164" s="103">
        <v>0</v>
      </c>
      <c r="AQ164" s="103">
        <v>0</v>
      </c>
      <c r="AR164" s="103">
        <v>0</v>
      </c>
      <c r="AS164" s="103">
        <v>0</v>
      </c>
      <c r="AT164" s="103">
        <v>0</v>
      </c>
      <c r="AU164" s="103">
        <v>0</v>
      </c>
      <c r="AV164" s="103">
        <v>0</v>
      </c>
      <c r="AW164" s="103">
        <v>0</v>
      </c>
      <c r="AX164" s="103">
        <v>0</v>
      </c>
      <c r="AY164" s="103">
        <v>0</v>
      </c>
    </row>
    <row r="165" spans="1:52" x14ac:dyDescent="0.15">
      <c r="A165" s="106"/>
      <c r="B165" s="127">
        <v>44</v>
      </c>
      <c r="C165" s="103"/>
      <c r="D165" s="103">
        <v>0</v>
      </c>
      <c r="E165" s="103">
        <v>0</v>
      </c>
      <c r="F165" s="103">
        <v>0</v>
      </c>
      <c r="G165" s="103">
        <v>0</v>
      </c>
      <c r="H165" s="103">
        <v>0</v>
      </c>
      <c r="I165" s="103">
        <v>0</v>
      </c>
      <c r="J165" s="103">
        <v>0</v>
      </c>
      <c r="K165" s="103">
        <v>0</v>
      </c>
      <c r="L165" s="103">
        <v>0</v>
      </c>
      <c r="M165" s="103">
        <v>0</v>
      </c>
      <c r="N165" s="103">
        <v>0</v>
      </c>
      <c r="O165" s="103">
        <v>0</v>
      </c>
      <c r="P165" s="103">
        <v>0</v>
      </c>
      <c r="Q165" s="103">
        <v>0</v>
      </c>
      <c r="R165" s="103">
        <v>0</v>
      </c>
      <c r="S165" s="103">
        <v>0</v>
      </c>
      <c r="T165" s="103">
        <v>0</v>
      </c>
      <c r="U165" s="103">
        <v>0</v>
      </c>
      <c r="V165" s="103">
        <v>0</v>
      </c>
      <c r="W165" s="103">
        <v>0</v>
      </c>
      <c r="X165" s="103">
        <v>0</v>
      </c>
      <c r="Y165" s="103">
        <v>0</v>
      </c>
      <c r="Z165" s="103">
        <v>0</v>
      </c>
      <c r="AA165" s="103">
        <v>0</v>
      </c>
      <c r="AB165" s="103">
        <v>0</v>
      </c>
      <c r="AC165" s="103">
        <v>0</v>
      </c>
      <c r="AD165" s="103">
        <v>0</v>
      </c>
      <c r="AE165" s="103">
        <v>0</v>
      </c>
      <c r="AF165" s="103">
        <v>0</v>
      </c>
      <c r="AG165" s="103">
        <v>0</v>
      </c>
      <c r="AH165" s="103">
        <v>0</v>
      </c>
      <c r="AI165" s="103">
        <v>0</v>
      </c>
      <c r="AJ165" s="103">
        <v>0</v>
      </c>
      <c r="AK165" s="103">
        <v>0</v>
      </c>
      <c r="AL165" s="103">
        <v>0</v>
      </c>
      <c r="AM165" s="103">
        <v>0</v>
      </c>
      <c r="AN165" s="103">
        <v>0</v>
      </c>
      <c r="AO165" s="103">
        <v>0</v>
      </c>
      <c r="AP165" s="103">
        <v>0</v>
      </c>
      <c r="AQ165" s="103">
        <v>0</v>
      </c>
      <c r="AR165" s="103">
        <v>0</v>
      </c>
      <c r="AS165" s="103">
        <v>0</v>
      </c>
      <c r="AT165" s="103">
        <v>0</v>
      </c>
      <c r="AU165" s="103">
        <v>0</v>
      </c>
      <c r="AV165" s="103">
        <v>0</v>
      </c>
      <c r="AW165" s="103">
        <v>0</v>
      </c>
      <c r="AX165" s="103">
        <v>0</v>
      </c>
      <c r="AY165" s="103">
        <v>0</v>
      </c>
    </row>
    <row r="166" spans="1:52" x14ac:dyDescent="0.15">
      <c r="A166" s="106"/>
      <c r="B166" s="127">
        <v>45</v>
      </c>
      <c r="C166" s="103"/>
      <c r="D166" s="103">
        <v>0</v>
      </c>
      <c r="E166" s="103">
        <v>0</v>
      </c>
      <c r="F166" s="103">
        <v>0</v>
      </c>
      <c r="G166" s="103">
        <v>0</v>
      </c>
      <c r="H166" s="103">
        <v>0</v>
      </c>
      <c r="I166" s="103">
        <v>0</v>
      </c>
      <c r="J166" s="103">
        <v>0</v>
      </c>
      <c r="K166" s="103">
        <v>0</v>
      </c>
      <c r="L166" s="103">
        <v>0</v>
      </c>
      <c r="M166" s="103">
        <v>0</v>
      </c>
      <c r="N166" s="103">
        <v>0</v>
      </c>
      <c r="O166" s="103">
        <v>0</v>
      </c>
      <c r="P166" s="103">
        <v>0</v>
      </c>
      <c r="Q166" s="103">
        <v>0</v>
      </c>
      <c r="R166" s="103">
        <v>0</v>
      </c>
      <c r="S166" s="103">
        <v>0</v>
      </c>
      <c r="T166" s="103">
        <v>0</v>
      </c>
      <c r="U166" s="103">
        <v>0</v>
      </c>
      <c r="V166" s="103">
        <v>0</v>
      </c>
      <c r="W166" s="103">
        <v>0</v>
      </c>
      <c r="X166" s="103">
        <v>0</v>
      </c>
      <c r="Y166" s="103">
        <v>0</v>
      </c>
      <c r="Z166" s="103">
        <v>0</v>
      </c>
      <c r="AA166" s="103">
        <v>0</v>
      </c>
      <c r="AB166" s="103">
        <v>0</v>
      </c>
      <c r="AC166" s="103">
        <v>0</v>
      </c>
      <c r="AD166" s="103">
        <v>0</v>
      </c>
      <c r="AE166" s="103">
        <v>0</v>
      </c>
      <c r="AF166" s="103">
        <v>0</v>
      </c>
      <c r="AG166" s="103">
        <v>0</v>
      </c>
      <c r="AH166" s="103">
        <v>0</v>
      </c>
      <c r="AI166" s="103">
        <v>0</v>
      </c>
      <c r="AJ166" s="103">
        <v>0</v>
      </c>
      <c r="AK166" s="103">
        <v>0</v>
      </c>
      <c r="AL166" s="103">
        <v>0</v>
      </c>
      <c r="AM166" s="103">
        <v>0</v>
      </c>
      <c r="AN166" s="103">
        <v>0</v>
      </c>
      <c r="AO166" s="103">
        <v>0</v>
      </c>
      <c r="AP166" s="103">
        <v>0</v>
      </c>
      <c r="AQ166" s="103">
        <v>0</v>
      </c>
      <c r="AR166" s="103">
        <v>0</v>
      </c>
      <c r="AS166" s="103">
        <v>0</v>
      </c>
      <c r="AT166" s="103">
        <v>0</v>
      </c>
      <c r="AU166" s="103">
        <v>0</v>
      </c>
      <c r="AV166" s="103">
        <v>0</v>
      </c>
      <c r="AW166" s="103">
        <v>0</v>
      </c>
      <c r="AX166" s="103">
        <v>0</v>
      </c>
      <c r="AY166" s="103">
        <v>0</v>
      </c>
    </row>
    <row r="167" spans="1:52" x14ac:dyDescent="0.15">
      <c r="A167" s="106"/>
      <c r="B167" s="127">
        <v>46</v>
      </c>
      <c r="C167" s="103"/>
      <c r="D167" s="103">
        <v>0</v>
      </c>
      <c r="E167" s="103">
        <v>0</v>
      </c>
      <c r="F167" s="103">
        <v>0</v>
      </c>
      <c r="G167" s="103">
        <v>0</v>
      </c>
      <c r="H167" s="103">
        <v>0</v>
      </c>
      <c r="I167" s="103">
        <v>0</v>
      </c>
      <c r="J167" s="103">
        <v>0</v>
      </c>
      <c r="K167" s="103">
        <v>0</v>
      </c>
      <c r="L167" s="103">
        <v>0</v>
      </c>
      <c r="M167" s="103">
        <v>0</v>
      </c>
      <c r="N167" s="103">
        <v>0</v>
      </c>
      <c r="O167" s="103">
        <v>0</v>
      </c>
      <c r="P167" s="103">
        <v>0</v>
      </c>
      <c r="Q167" s="103">
        <v>0</v>
      </c>
      <c r="R167" s="103">
        <v>0</v>
      </c>
      <c r="S167" s="103">
        <v>0</v>
      </c>
      <c r="T167" s="103">
        <v>0</v>
      </c>
      <c r="U167" s="103">
        <v>0</v>
      </c>
      <c r="V167" s="103">
        <v>0</v>
      </c>
      <c r="W167" s="103">
        <v>0</v>
      </c>
      <c r="X167" s="103">
        <v>0</v>
      </c>
      <c r="Y167" s="103">
        <v>0</v>
      </c>
      <c r="Z167" s="103">
        <v>0</v>
      </c>
      <c r="AA167" s="103">
        <v>0</v>
      </c>
      <c r="AB167" s="103">
        <v>0</v>
      </c>
      <c r="AC167" s="103">
        <v>0</v>
      </c>
      <c r="AD167" s="103">
        <v>0</v>
      </c>
      <c r="AE167" s="103">
        <v>0</v>
      </c>
      <c r="AF167" s="103">
        <v>0</v>
      </c>
      <c r="AG167" s="103">
        <v>0</v>
      </c>
      <c r="AH167" s="103">
        <v>0</v>
      </c>
      <c r="AI167" s="103">
        <v>0</v>
      </c>
      <c r="AJ167" s="103">
        <v>0</v>
      </c>
      <c r="AK167" s="103">
        <v>0</v>
      </c>
      <c r="AL167" s="103">
        <v>0</v>
      </c>
      <c r="AM167" s="103">
        <v>0</v>
      </c>
      <c r="AN167" s="103">
        <v>0</v>
      </c>
      <c r="AO167" s="103">
        <v>0</v>
      </c>
      <c r="AP167" s="103">
        <v>0</v>
      </c>
      <c r="AQ167" s="103">
        <v>0</v>
      </c>
      <c r="AR167" s="103">
        <v>0</v>
      </c>
      <c r="AS167" s="103">
        <v>0</v>
      </c>
      <c r="AT167" s="103">
        <v>0</v>
      </c>
      <c r="AU167" s="103">
        <v>0</v>
      </c>
      <c r="AV167" s="103">
        <v>0</v>
      </c>
      <c r="AW167" s="103">
        <v>0</v>
      </c>
      <c r="AX167" s="103">
        <v>0</v>
      </c>
      <c r="AY167" s="103">
        <v>0</v>
      </c>
    </row>
    <row r="168" spans="1:52" x14ac:dyDescent="0.15">
      <c r="A168" s="106"/>
      <c r="B168" s="127">
        <v>47</v>
      </c>
      <c r="C168" s="103"/>
      <c r="D168" s="103">
        <v>0</v>
      </c>
      <c r="E168" s="103">
        <v>0</v>
      </c>
      <c r="F168" s="103">
        <v>0</v>
      </c>
      <c r="G168" s="103">
        <v>0</v>
      </c>
      <c r="H168" s="103">
        <v>0</v>
      </c>
      <c r="I168" s="103">
        <v>0</v>
      </c>
      <c r="J168" s="103">
        <v>0</v>
      </c>
      <c r="K168" s="103">
        <v>0</v>
      </c>
      <c r="L168" s="103">
        <v>0</v>
      </c>
      <c r="M168" s="103">
        <v>0</v>
      </c>
      <c r="N168" s="103">
        <v>0</v>
      </c>
      <c r="O168" s="103">
        <v>0</v>
      </c>
      <c r="P168" s="103">
        <v>0</v>
      </c>
      <c r="Q168" s="103">
        <v>0</v>
      </c>
      <c r="R168" s="103">
        <v>0</v>
      </c>
      <c r="S168" s="103">
        <v>0</v>
      </c>
      <c r="T168" s="103">
        <v>0</v>
      </c>
      <c r="U168" s="103">
        <v>0</v>
      </c>
      <c r="V168" s="103">
        <v>0</v>
      </c>
      <c r="W168" s="103">
        <v>0</v>
      </c>
      <c r="X168" s="103">
        <v>0</v>
      </c>
      <c r="Y168" s="103">
        <v>0</v>
      </c>
      <c r="Z168" s="103">
        <v>0</v>
      </c>
      <c r="AA168" s="103">
        <v>0</v>
      </c>
      <c r="AB168" s="103">
        <v>0</v>
      </c>
      <c r="AC168" s="103">
        <v>0</v>
      </c>
      <c r="AD168" s="103">
        <v>0</v>
      </c>
      <c r="AE168" s="103">
        <v>0</v>
      </c>
      <c r="AF168" s="103">
        <v>0</v>
      </c>
      <c r="AG168" s="103">
        <v>0</v>
      </c>
      <c r="AH168" s="103">
        <v>0</v>
      </c>
      <c r="AI168" s="103">
        <v>0</v>
      </c>
      <c r="AJ168" s="103">
        <v>0</v>
      </c>
      <c r="AK168" s="103">
        <v>0</v>
      </c>
      <c r="AL168" s="103">
        <v>0</v>
      </c>
      <c r="AM168" s="103">
        <v>0</v>
      </c>
      <c r="AN168" s="103">
        <v>0</v>
      </c>
      <c r="AO168" s="103">
        <v>0</v>
      </c>
      <c r="AP168" s="103">
        <v>0</v>
      </c>
      <c r="AQ168" s="103">
        <v>0</v>
      </c>
      <c r="AR168" s="103">
        <v>0</v>
      </c>
      <c r="AS168" s="103">
        <v>0</v>
      </c>
      <c r="AT168" s="103">
        <v>0</v>
      </c>
      <c r="AU168" s="103">
        <v>0</v>
      </c>
      <c r="AV168" s="103">
        <v>0</v>
      </c>
      <c r="AW168" s="103">
        <v>0</v>
      </c>
      <c r="AX168" s="103">
        <v>0</v>
      </c>
      <c r="AY168" s="103">
        <v>0</v>
      </c>
    </row>
    <row r="169" spans="1:52" x14ac:dyDescent="0.15">
      <c r="A169" s="106"/>
      <c r="B169" s="127">
        <v>48</v>
      </c>
      <c r="C169" s="103"/>
      <c r="D169" s="103">
        <v>0</v>
      </c>
      <c r="E169" s="103">
        <v>0</v>
      </c>
      <c r="F169" s="103">
        <v>0</v>
      </c>
      <c r="G169" s="103">
        <v>0</v>
      </c>
      <c r="H169" s="103">
        <v>0</v>
      </c>
      <c r="I169" s="103">
        <v>0</v>
      </c>
      <c r="J169" s="103">
        <v>0</v>
      </c>
      <c r="K169" s="103">
        <v>0</v>
      </c>
      <c r="L169" s="103">
        <v>0</v>
      </c>
      <c r="M169" s="103">
        <v>0</v>
      </c>
      <c r="N169" s="103">
        <v>0</v>
      </c>
      <c r="O169" s="103">
        <v>0</v>
      </c>
      <c r="P169" s="103">
        <v>0</v>
      </c>
      <c r="Q169" s="103">
        <v>0</v>
      </c>
      <c r="R169" s="103">
        <v>0</v>
      </c>
      <c r="S169" s="103">
        <v>0</v>
      </c>
      <c r="T169" s="103">
        <v>0</v>
      </c>
      <c r="U169" s="103">
        <v>0</v>
      </c>
      <c r="V169" s="103">
        <v>0</v>
      </c>
      <c r="W169" s="103">
        <v>0</v>
      </c>
      <c r="X169" s="103">
        <v>0</v>
      </c>
      <c r="Y169" s="103">
        <v>0</v>
      </c>
      <c r="Z169" s="103">
        <v>0</v>
      </c>
      <c r="AA169" s="103">
        <v>0</v>
      </c>
      <c r="AB169" s="103">
        <v>0</v>
      </c>
      <c r="AC169" s="103">
        <v>0</v>
      </c>
      <c r="AD169" s="103">
        <v>0</v>
      </c>
      <c r="AE169" s="103">
        <v>0</v>
      </c>
      <c r="AF169" s="103">
        <v>0</v>
      </c>
      <c r="AG169" s="103">
        <v>0</v>
      </c>
      <c r="AH169" s="103">
        <v>0</v>
      </c>
      <c r="AI169" s="103">
        <v>0</v>
      </c>
      <c r="AJ169" s="103">
        <v>0</v>
      </c>
      <c r="AK169" s="103">
        <v>0</v>
      </c>
      <c r="AL169" s="103">
        <v>0</v>
      </c>
      <c r="AM169" s="103">
        <v>0</v>
      </c>
      <c r="AN169" s="103">
        <v>0</v>
      </c>
      <c r="AO169" s="103">
        <v>0</v>
      </c>
      <c r="AP169" s="103">
        <v>0</v>
      </c>
      <c r="AQ169" s="103">
        <v>0</v>
      </c>
      <c r="AR169" s="103">
        <v>0</v>
      </c>
      <c r="AS169" s="103">
        <v>0</v>
      </c>
      <c r="AT169" s="103">
        <v>0</v>
      </c>
      <c r="AU169" s="103">
        <v>0</v>
      </c>
      <c r="AV169" s="103">
        <v>0</v>
      </c>
      <c r="AW169" s="103">
        <v>0</v>
      </c>
      <c r="AX169" s="103">
        <v>0</v>
      </c>
      <c r="AY169" s="103">
        <v>0</v>
      </c>
    </row>
    <row r="170" spans="1:52" x14ac:dyDescent="0.15">
      <c r="A170" s="125"/>
      <c r="B170" s="129" t="s">
        <v>295</v>
      </c>
      <c r="C170" s="111"/>
      <c r="D170" s="122">
        <v>0</v>
      </c>
      <c r="E170" s="122">
        <v>0</v>
      </c>
      <c r="F170" s="122">
        <v>0</v>
      </c>
      <c r="G170" s="122">
        <v>0</v>
      </c>
      <c r="H170" s="122">
        <v>0</v>
      </c>
      <c r="I170" s="122">
        <v>0</v>
      </c>
      <c r="J170" s="122">
        <v>0</v>
      </c>
      <c r="K170" s="122">
        <v>0</v>
      </c>
      <c r="L170" s="122">
        <v>0</v>
      </c>
      <c r="M170" s="122">
        <v>0</v>
      </c>
      <c r="N170" s="122">
        <v>0</v>
      </c>
      <c r="O170" s="122">
        <v>0</v>
      </c>
      <c r="P170" s="122">
        <v>0</v>
      </c>
      <c r="Q170" s="122">
        <v>0</v>
      </c>
      <c r="R170" s="122">
        <v>0</v>
      </c>
      <c r="S170" s="122">
        <v>0</v>
      </c>
      <c r="T170" s="122">
        <v>0</v>
      </c>
      <c r="U170" s="122">
        <v>0</v>
      </c>
      <c r="V170" s="122">
        <v>0</v>
      </c>
      <c r="W170" s="122">
        <v>0</v>
      </c>
      <c r="X170" s="122">
        <v>0</v>
      </c>
      <c r="Y170" s="122">
        <v>0</v>
      </c>
      <c r="Z170" s="122">
        <v>0</v>
      </c>
      <c r="AA170" s="122">
        <v>0</v>
      </c>
      <c r="AB170" s="122">
        <v>0</v>
      </c>
      <c r="AC170" s="122">
        <v>0</v>
      </c>
      <c r="AD170" s="122">
        <v>0</v>
      </c>
      <c r="AE170" s="122">
        <v>0</v>
      </c>
      <c r="AF170" s="122">
        <v>0</v>
      </c>
      <c r="AG170" s="122">
        <v>0</v>
      </c>
      <c r="AH170" s="122">
        <v>0</v>
      </c>
      <c r="AI170" s="122">
        <v>0</v>
      </c>
      <c r="AJ170" s="122">
        <v>0</v>
      </c>
      <c r="AK170" s="122">
        <v>0</v>
      </c>
      <c r="AL170" s="122">
        <v>0</v>
      </c>
      <c r="AM170" s="122">
        <v>0</v>
      </c>
      <c r="AN170" s="122">
        <v>0</v>
      </c>
      <c r="AO170" s="122">
        <v>0</v>
      </c>
      <c r="AP170" s="122">
        <v>0</v>
      </c>
      <c r="AQ170" s="122">
        <v>0</v>
      </c>
      <c r="AR170" s="122">
        <v>0</v>
      </c>
      <c r="AS170" s="122">
        <v>0</v>
      </c>
      <c r="AT170" s="122">
        <v>0</v>
      </c>
      <c r="AU170" s="122">
        <v>0</v>
      </c>
      <c r="AV170" s="122">
        <v>0</v>
      </c>
      <c r="AW170" s="122">
        <v>0</v>
      </c>
      <c r="AX170" s="122">
        <v>0</v>
      </c>
      <c r="AY170" s="122">
        <v>0</v>
      </c>
      <c r="AZ170" s="104">
        <f>SUM($D170:$AY170)</f>
        <v>0</v>
      </c>
    </row>
    <row r="172" spans="1:52" x14ac:dyDescent="0.15">
      <c r="A172" s="99" t="s">
        <v>124</v>
      </c>
      <c r="B172" s="130" t="s">
        <v>296</v>
      </c>
      <c r="C172" s="131"/>
      <c r="D172" s="131">
        <v>0.5</v>
      </c>
      <c r="E172" s="131">
        <v>0.5</v>
      </c>
      <c r="F172" s="131">
        <v>0.5</v>
      </c>
      <c r="G172" s="131">
        <v>0.5</v>
      </c>
      <c r="H172" s="131">
        <v>0.5</v>
      </c>
      <c r="I172" s="131">
        <v>0.5</v>
      </c>
      <c r="J172" s="131">
        <v>0.5</v>
      </c>
      <c r="K172" s="131">
        <v>0.5</v>
      </c>
      <c r="L172" s="131">
        <v>0.5</v>
      </c>
      <c r="M172" s="131">
        <v>0.5</v>
      </c>
      <c r="N172" s="131">
        <v>0.5</v>
      </c>
      <c r="O172" s="131">
        <v>0.5</v>
      </c>
      <c r="P172" s="131">
        <v>0.5</v>
      </c>
      <c r="Q172" s="131">
        <v>0.5</v>
      </c>
      <c r="R172" s="131">
        <v>0.5</v>
      </c>
      <c r="S172" s="131">
        <v>0.5</v>
      </c>
      <c r="T172" s="131">
        <v>0.5</v>
      </c>
      <c r="U172" s="131">
        <v>0.5</v>
      </c>
      <c r="V172" s="131">
        <v>0.5</v>
      </c>
      <c r="W172" s="131">
        <v>0.5</v>
      </c>
      <c r="X172" s="131">
        <v>0.5</v>
      </c>
      <c r="Y172" s="131">
        <v>0.5</v>
      </c>
      <c r="Z172" s="131">
        <v>0.5</v>
      </c>
      <c r="AA172" s="131">
        <v>0.5</v>
      </c>
      <c r="AB172" s="131">
        <v>0.5</v>
      </c>
      <c r="AC172" s="131">
        <v>0.5</v>
      </c>
      <c r="AD172" s="131">
        <v>0.5</v>
      </c>
      <c r="AE172" s="131">
        <v>0.5</v>
      </c>
      <c r="AF172" s="131">
        <v>0.5</v>
      </c>
      <c r="AG172" s="131">
        <v>0.5</v>
      </c>
      <c r="AH172" s="131">
        <v>0.5</v>
      </c>
      <c r="AI172" s="131">
        <v>0.5</v>
      </c>
      <c r="AJ172" s="131">
        <v>0.5</v>
      </c>
      <c r="AK172" s="131">
        <v>0.5</v>
      </c>
      <c r="AL172" s="131">
        <v>0.5</v>
      </c>
      <c r="AM172" s="131">
        <v>0.5</v>
      </c>
      <c r="AN172" s="131">
        <v>0.5</v>
      </c>
      <c r="AO172" s="131">
        <v>0.5</v>
      </c>
      <c r="AP172" s="131">
        <v>0.5</v>
      </c>
      <c r="AQ172" s="131">
        <v>0.5</v>
      </c>
      <c r="AR172" s="131">
        <v>0.5</v>
      </c>
      <c r="AS172" s="131">
        <v>0.5</v>
      </c>
      <c r="AT172" s="131">
        <v>0.5</v>
      </c>
      <c r="AU172" s="131">
        <v>0.5</v>
      </c>
      <c r="AV172" s="131">
        <v>0.5</v>
      </c>
      <c r="AW172" s="131">
        <v>0.5</v>
      </c>
      <c r="AX172" s="131">
        <v>0.5</v>
      </c>
      <c r="AY172" s="131">
        <v>0.5</v>
      </c>
    </row>
    <row r="174" spans="1:52" x14ac:dyDescent="0.15">
      <c r="A174" s="99" t="s">
        <v>271</v>
      </c>
    </row>
    <row r="175" spans="1:52" x14ac:dyDescent="0.15">
      <c r="A175" s="132" t="s">
        <v>125</v>
      </c>
      <c r="B175" s="132" t="s">
        <v>297</v>
      </c>
      <c r="C175" s="121" t="s">
        <v>292</v>
      </c>
      <c r="D175" s="121">
        <f t="shared" ref="D175:AY175" si="1">SUM(D95:D98)</f>
        <v>9793.5921961874192</v>
      </c>
      <c r="E175" s="121">
        <f t="shared" si="1"/>
        <v>14126.868034873463</v>
      </c>
      <c r="F175" s="121">
        <f t="shared" si="1"/>
        <v>18801.827658834467</v>
      </c>
      <c r="G175" s="121">
        <f t="shared" si="1"/>
        <v>25211.47078042564</v>
      </c>
      <c r="H175" s="121">
        <f t="shared" si="1"/>
        <v>30775.796681436928</v>
      </c>
      <c r="I175" s="121">
        <f t="shared" si="1"/>
        <v>38179.804213024399</v>
      </c>
      <c r="J175" s="121">
        <f t="shared" si="1"/>
        <v>38850.507832074894</v>
      </c>
      <c r="K175" s="121">
        <f t="shared" si="1"/>
        <v>38861.230334266707</v>
      </c>
      <c r="L175" s="121">
        <f t="shared" si="1"/>
        <v>38611.632778500105</v>
      </c>
      <c r="M175" s="121">
        <f t="shared" si="1"/>
        <v>38365.144507450881</v>
      </c>
      <c r="N175" s="121">
        <f t="shared" si="1"/>
        <v>38118.551209235549</v>
      </c>
      <c r="O175" s="121">
        <f t="shared" si="1"/>
        <v>38129.234669685393</v>
      </c>
      <c r="P175" s="121">
        <f t="shared" si="1"/>
        <v>38400.21694970956</v>
      </c>
      <c r="Q175" s="121">
        <f t="shared" si="1"/>
        <v>38668.06526816616</v>
      </c>
      <c r="R175" s="121">
        <f t="shared" si="1"/>
        <v>39308.146806059209</v>
      </c>
      <c r="S175" s="121">
        <f t="shared" si="1"/>
        <v>39318.763735638175</v>
      </c>
      <c r="T175" s="121">
        <f t="shared" si="1"/>
        <v>37868.954453315913</v>
      </c>
      <c r="U175" s="121">
        <f t="shared" si="1"/>
        <v>36800.581739555775</v>
      </c>
      <c r="V175" s="121">
        <f t="shared" si="1"/>
        <v>35733.498508729164</v>
      </c>
      <c r="W175" s="121">
        <f t="shared" si="1"/>
        <v>35744.021555606778</v>
      </c>
      <c r="X175" s="121">
        <f t="shared" si="1"/>
        <v>37214.922179929461</v>
      </c>
      <c r="Y175" s="121">
        <f t="shared" si="1"/>
        <v>38304.334201913472</v>
      </c>
      <c r="Z175" s="121">
        <f t="shared" si="1"/>
        <v>39392.401315471805</v>
      </c>
      <c r="AA175" s="121">
        <f t="shared" si="1"/>
        <v>39402.803342322877</v>
      </c>
      <c r="AB175" s="121">
        <f t="shared" si="1"/>
        <v>39413.170906416162</v>
      </c>
      <c r="AC175" s="121">
        <f t="shared" si="1"/>
        <v>39423.502334799603</v>
      </c>
      <c r="AD175" s="121">
        <f t="shared" si="1"/>
        <v>38582.049619411104</v>
      </c>
      <c r="AE175" s="121">
        <f t="shared" si="1"/>
        <v>38390.095595455045</v>
      </c>
      <c r="AF175" s="121">
        <f t="shared" si="1"/>
        <v>37335.583325913969</v>
      </c>
      <c r="AG175" s="121">
        <f t="shared" si="1"/>
        <v>37345.753598256095</v>
      </c>
      <c r="AH175" s="121">
        <f t="shared" si="1"/>
        <v>38207.625800651134</v>
      </c>
      <c r="AI175" s="121">
        <f t="shared" si="1"/>
        <v>38020.036909747825</v>
      </c>
      <c r="AJ175" s="121">
        <f t="shared" si="1"/>
        <v>36972.440135747907</v>
      </c>
      <c r="AK175" s="121">
        <f t="shared" si="1"/>
        <v>37891.902879870235</v>
      </c>
      <c r="AL175" s="121">
        <f t="shared" si="1"/>
        <v>38702.745347470584</v>
      </c>
      <c r="AM175" s="121">
        <f t="shared" si="1"/>
        <v>37865.579989226819</v>
      </c>
      <c r="AN175" s="121">
        <f t="shared" si="1"/>
        <v>38455.735334265628</v>
      </c>
      <c r="AO175" s="121">
        <f t="shared" si="1"/>
        <v>39544.060455559316</v>
      </c>
      <c r="AP175" s="121">
        <f t="shared" si="1"/>
        <v>38781.14573821699</v>
      </c>
      <c r="AQ175" s="121">
        <f t="shared" si="1"/>
        <v>38879.956876270633</v>
      </c>
      <c r="AR175" s="121">
        <f t="shared" si="1"/>
        <v>39573.019503874377</v>
      </c>
      <c r="AS175" s="121">
        <f t="shared" si="1"/>
        <v>39420.414048091203</v>
      </c>
      <c r="AT175" s="121">
        <f t="shared" si="1"/>
        <v>39429.881763939469</v>
      </c>
      <c r="AU175" s="121">
        <f t="shared" si="1"/>
        <v>39106.630732378457</v>
      </c>
      <c r="AV175" s="121">
        <f t="shared" si="1"/>
        <v>39003.391712467957</v>
      </c>
      <c r="AW175" s="121">
        <f t="shared" si="1"/>
        <v>38570.300569483152</v>
      </c>
      <c r="AX175" s="121">
        <f t="shared" si="1"/>
        <v>39629.224069936849</v>
      </c>
      <c r="AY175" s="121">
        <f t="shared" si="1"/>
        <v>39638.351678736784</v>
      </c>
    </row>
    <row r="176" spans="1:52" x14ac:dyDescent="0.15">
      <c r="A176" s="122"/>
      <c r="B176" s="133" t="s">
        <v>298</v>
      </c>
      <c r="C176" s="122" t="s">
        <v>292</v>
      </c>
      <c r="D176" s="122">
        <v>5463</v>
      </c>
      <c r="E176" s="122">
        <v>5124</v>
      </c>
      <c r="F176" s="122">
        <v>3392</v>
      </c>
      <c r="G176" s="122">
        <v>4240</v>
      </c>
      <c r="H176" s="122">
        <v>2403</v>
      </c>
      <c r="I176" s="122">
        <v>2987</v>
      </c>
      <c r="J176" s="122">
        <v>3189</v>
      </c>
      <c r="K176" s="122">
        <v>3065</v>
      </c>
      <c r="L176" s="122">
        <v>1890</v>
      </c>
      <c r="M176" s="122">
        <v>2092</v>
      </c>
      <c r="N176" s="122">
        <v>2014</v>
      </c>
      <c r="O176" s="122">
        <v>1857</v>
      </c>
      <c r="P176" s="122">
        <v>1549</v>
      </c>
      <c r="Q176" s="122">
        <v>1194</v>
      </c>
      <c r="R176" s="122">
        <v>1445</v>
      </c>
      <c r="S176" s="122">
        <v>1626</v>
      </c>
      <c r="T176" s="122">
        <v>970</v>
      </c>
      <c r="U176" s="122">
        <v>882</v>
      </c>
      <c r="V176" s="122">
        <v>916</v>
      </c>
      <c r="W176" s="122">
        <v>994</v>
      </c>
      <c r="X176" s="122">
        <v>850</v>
      </c>
      <c r="Y176" s="122">
        <v>741</v>
      </c>
      <c r="Z176" s="122">
        <v>738</v>
      </c>
      <c r="AA176" s="122">
        <v>841</v>
      </c>
      <c r="AB176" s="122">
        <v>545</v>
      </c>
      <c r="AC176" s="122">
        <v>597</v>
      </c>
      <c r="AD176" s="122">
        <v>500</v>
      </c>
      <c r="AE176" s="122">
        <v>611</v>
      </c>
      <c r="AF176" s="122">
        <v>546</v>
      </c>
      <c r="AG176" s="122">
        <v>561</v>
      </c>
      <c r="AH176" s="122">
        <v>475</v>
      </c>
      <c r="AI176" s="122">
        <v>460</v>
      </c>
      <c r="AJ176" s="122">
        <v>484</v>
      </c>
      <c r="AK176" s="122">
        <v>340</v>
      </c>
      <c r="AL176" s="122">
        <v>422</v>
      </c>
      <c r="AM176" s="122">
        <v>494</v>
      </c>
      <c r="AN176" s="122">
        <v>373</v>
      </c>
      <c r="AO176" s="122">
        <v>381</v>
      </c>
      <c r="AP176" s="122">
        <v>325</v>
      </c>
      <c r="AQ176" s="122">
        <v>365</v>
      </c>
      <c r="AR176" s="122">
        <v>317</v>
      </c>
      <c r="AS176" s="122">
        <v>323</v>
      </c>
      <c r="AT176" s="122">
        <v>294</v>
      </c>
      <c r="AU176" s="122">
        <v>282</v>
      </c>
      <c r="AV176" s="122">
        <v>207</v>
      </c>
      <c r="AW176" s="122">
        <v>249</v>
      </c>
      <c r="AX176" s="122">
        <v>238</v>
      </c>
      <c r="AY176" s="122">
        <v>250</v>
      </c>
    </row>
    <row r="177" spans="1:51" x14ac:dyDescent="0.15">
      <c r="A177" s="132" t="s">
        <v>133</v>
      </c>
      <c r="B177" s="132" t="s">
        <v>297</v>
      </c>
      <c r="C177" s="121" t="s">
        <v>292</v>
      </c>
      <c r="D177" s="121">
        <f t="shared" ref="D177:AY177" si="2">SUM(D100:D107)</f>
        <v>0</v>
      </c>
      <c r="E177" s="121">
        <f t="shared" si="2"/>
        <v>0</v>
      </c>
      <c r="F177" s="121">
        <f t="shared" si="2"/>
        <v>1947.194299022357</v>
      </c>
      <c r="G177" s="121">
        <f t="shared" si="2"/>
        <v>90</v>
      </c>
      <c r="H177" s="121">
        <f t="shared" si="2"/>
        <v>3657.822561789746</v>
      </c>
      <c r="I177" s="121">
        <f t="shared" si="2"/>
        <v>148.16677659835022</v>
      </c>
      <c r="J177" s="121">
        <f t="shared" si="2"/>
        <v>1030</v>
      </c>
      <c r="K177" s="121">
        <f t="shared" si="2"/>
        <v>4412.8975599104269</v>
      </c>
      <c r="L177" s="121">
        <f t="shared" si="2"/>
        <v>1876.4010929816659</v>
      </c>
      <c r="M177" s="121">
        <f t="shared" si="2"/>
        <v>1980.796628026907</v>
      </c>
      <c r="N177" s="121">
        <f t="shared" si="2"/>
        <v>2048.2605514129182</v>
      </c>
      <c r="O177" s="121">
        <f t="shared" si="2"/>
        <v>1758.4188998512918</v>
      </c>
      <c r="P177" s="121">
        <f t="shared" si="2"/>
        <v>1827.3726001831874</v>
      </c>
      <c r="Q177" s="121">
        <f t="shared" si="2"/>
        <v>1946.6683971229832</v>
      </c>
      <c r="R177" s="121">
        <f t="shared" si="2"/>
        <v>1167.7000812581475</v>
      </c>
      <c r="S177" s="121">
        <f t="shared" si="2"/>
        <v>2739.8592619856072</v>
      </c>
      <c r="T177" s="121">
        <f t="shared" si="2"/>
        <v>2321.4949844764615</v>
      </c>
      <c r="U177" s="121">
        <f t="shared" si="2"/>
        <v>2727.5280766845522</v>
      </c>
      <c r="V177" s="121">
        <f t="shared" si="2"/>
        <v>2927.9282102823518</v>
      </c>
      <c r="W177" s="121">
        <f t="shared" si="2"/>
        <v>3014.646535874117</v>
      </c>
      <c r="X177" s="121">
        <f t="shared" si="2"/>
        <v>2199.646535874117</v>
      </c>
      <c r="Y177" s="121">
        <f t="shared" si="2"/>
        <v>1884.0939946062533</v>
      </c>
      <c r="Z177" s="121">
        <f t="shared" si="2"/>
        <v>4425.3949624261659</v>
      </c>
      <c r="AA177" s="121">
        <f t="shared" si="2"/>
        <v>3625.1217702847107</v>
      </c>
      <c r="AB177" s="121">
        <f t="shared" si="2"/>
        <v>6035.2410169124314</v>
      </c>
      <c r="AC177" s="121">
        <f t="shared" si="2"/>
        <v>7068.9589020287349</v>
      </c>
      <c r="AD177" s="121">
        <f t="shared" si="2"/>
        <v>8227.7311694520977</v>
      </c>
      <c r="AE177" s="121">
        <f t="shared" si="2"/>
        <v>9022.3671835688092</v>
      </c>
      <c r="AF177" s="121">
        <f t="shared" si="2"/>
        <v>10069.520012170271</v>
      </c>
      <c r="AG177" s="121">
        <f t="shared" si="2"/>
        <v>11122.471096857678</v>
      </c>
      <c r="AH177" s="121">
        <f t="shared" si="2"/>
        <v>11318.388851397174</v>
      </c>
      <c r="AI177" s="121">
        <f t="shared" si="2"/>
        <v>12979.963090252179</v>
      </c>
      <c r="AJ177" s="121">
        <f t="shared" si="2"/>
        <v>14027.559864252089</v>
      </c>
      <c r="AK177" s="121">
        <f t="shared" si="2"/>
        <v>13108.097120129769</v>
      </c>
      <c r="AL177" s="121">
        <f t="shared" si="2"/>
        <v>12297.254652529415</v>
      </c>
      <c r="AM177" s="121">
        <f t="shared" si="2"/>
        <v>13134.420010773183</v>
      </c>
      <c r="AN177" s="121">
        <f t="shared" si="2"/>
        <v>12544.264665734372</v>
      </c>
      <c r="AO177" s="121">
        <f t="shared" si="2"/>
        <v>10952.83377349556</v>
      </c>
      <c r="AP177" s="121">
        <f t="shared" si="2"/>
        <v>12218.854261783015</v>
      </c>
      <c r="AQ177" s="121">
        <f t="shared" si="2"/>
        <v>12120.043123729367</v>
      </c>
      <c r="AR177" s="121">
        <f t="shared" si="2"/>
        <v>10323.239753742471</v>
      </c>
      <c r="AS177" s="121">
        <f t="shared" si="2"/>
        <v>9510.311741480793</v>
      </c>
      <c r="AT177" s="121">
        <f t="shared" si="2"/>
        <v>8620.9515727934213</v>
      </c>
      <c r="AU177" s="121">
        <f t="shared" si="2"/>
        <v>11893.369267621536</v>
      </c>
      <c r="AV177" s="121">
        <f t="shared" si="2"/>
        <v>11996.608287532035</v>
      </c>
      <c r="AW177" s="121">
        <f t="shared" si="2"/>
        <v>12429.699430516852</v>
      </c>
      <c r="AX177" s="121">
        <f t="shared" si="2"/>
        <v>10842.399550007514</v>
      </c>
      <c r="AY177" s="121">
        <f t="shared" si="2"/>
        <v>10215.948606363236</v>
      </c>
    </row>
    <row r="178" spans="1:51" x14ac:dyDescent="0.15">
      <c r="A178" s="122"/>
      <c r="B178" s="133" t="s">
        <v>298</v>
      </c>
      <c r="C178" s="122" t="s">
        <v>292</v>
      </c>
      <c r="D178" s="122">
        <v>0</v>
      </c>
      <c r="E178" s="122">
        <v>0</v>
      </c>
      <c r="F178" s="122">
        <v>1947.194299022357</v>
      </c>
      <c r="G178" s="122">
        <v>90</v>
      </c>
      <c r="H178" s="122">
        <v>3657.822561789746</v>
      </c>
      <c r="I178" s="122">
        <v>148.16677659835022</v>
      </c>
      <c r="J178" s="122">
        <v>1030</v>
      </c>
      <c r="K178" s="122">
        <v>4412.8975599104269</v>
      </c>
      <c r="L178" s="122">
        <v>1876.4010929816659</v>
      </c>
      <c r="M178" s="122">
        <v>1980.796628026907</v>
      </c>
      <c r="N178" s="122">
        <v>2048.2605514129182</v>
      </c>
      <c r="O178" s="122">
        <v>1758.4188998512918</v>
      </c>
      <c r="P178" s="122">
        <v>1827.3726001831874</v>
      </c>
      <c r="Q178" s="122">
        <v>1946.6683971229832</v>
      </c>
      <c r="R178" s="122">
        <v>1167.7000812581475</v>
      </c>
      <c r="S178" s="122">
        <v>2373</v>
      </c>
      <c r="T178" s="122">
        <v>1549</v>
      </c>
      <c r="U178" s="122">
        <v>1614</v>
      </c>
      <c r="V178" s="122">
        <v>1562</v>
      </c>
      <c r="W178" s="122">
        <v>1805</v>
      </c>
      <c r="X178" s="122">
        <v>1281</v>
      </c>
      <c r="Y178" s="122">
        <v>1105</v>
      </c>
      <c r="Z178" s="122">
        <v>1069</v>
      </c>
      <c r="AA178" s="122">
        <v>1238</v>
      </c>
      <c r="AB178" s="122">
        <v>955</v>
      </c>
      <c r="AC178" s="122">
        <v>891</v>
      </c>
      <c r="AD178" s="122">
        <v>1046</v>
      </c>
      <c r="AE178" s="122">
        <v>855</v>
      </c>
      <c r="AF178" s="122">
        <v>792</v>
      </c>
      <c r="AG178" s="122">
        <v>909</v>
      </c>
      <c r="AH178" s="122">
        <v>937</v>
      </c>
      <c r="AI178" s="122">
        <v>752</v>
      </c>
      <c r="AJ178" s="122">
        <v>641</v>
      </c>
      <c r="AK178" s="122">
        <v>700</v>
      </c>
      <c r="AL178" s="122">
        <v>662</v>
      </c>
      <c r="AM178" s="122">
        <v>585</v>
      </c>
      <c r="AN178" s="122">
        <v>638</v>
      </c>
      <c r="AO178" s="122">
        <v>496</v>
      </c>
      <c r="AP178" s="122">
        <v>562</v>
      </c>
      <c r="AQ178" s="122">
        <v>582</v>
      </c>
      <c r="AR178" s="122">
        <v>492</v>
      </c>
      <c r="AS178" s="122">
        <v>500</v>
      </c>
      <c r="AT178" s="122">
        <v>512</v>
      </c>
      <c r="AU178" s="122">
        <v>399</v>
      </c>
      <c r="AV178" s="122">
        <v>388</v>
      </c>
      <c r="AW178" s="122">
        <v>426</v>
      </c>
      <c r="AX178" s="122">
        <v>454</v>
      </c>
      <c r="AY178" s="122">
        <v>461</v>
      </c>
    </row>
    <row r="179" spans="1:51" x14ac:dyDescent="0.15">
      <c r="A179" s="132" t="s">
        <v>134</v>
      </c>
      <c r="B179" s="132" t="s">
        <v>297</v>
      </c>
      <c r="C179" s="121" t="s">
        <v>292</v>
      </c>
      <c r="D179" s="121">
        <f t="shared" ref="D179:AY179" si="3">SUM(D109:D120)</f>
        <v>0</v>
      </c>
      <c r="E179" s="121">
        <f t="shared" si="3"/>
        <v>0</v>
      </c>
      <c r="F179" s="121">
        <f t="shared" si="3"/>
        <v>0</v>
      </c>
      <c r="G179" s="121">
        <f t="shared" si="3"/>
        <v>0</v>
      </c>
      <c r="H179" s="121">
        <f t="shared" si="3"/>
        <v>0</v>
      </c>
      <c r="I179" s="121">
        <f t="shared" si="3"/>
        <v>0</v>
      </c>
      <c r="J179" s="121">
        <f t="shared" si="3"/>
        <v>0</v>
      </c>
      <c r="K179" s="121">
        <f t="shared" si="3"/>
        <v>0</v>
      </c>
      <c r="L179" s="121">
        <f t="shared" si="3"/>
        <v>0</v>
      </c>
      <c r="M179" s="121">
        <f t="shared" si="3"/>
        <v>0</v>
      </c>
      <c r="N179" s="121">
        <f t="shared" si="3"/>
        <v>0</v>
      </c>
      <c r="O179" s="121">
        <f t="shared" si="3"/>
        <v>0</v>
      </c>
      <c r="P179" s="121">
        <f t="shared" si="3"/>
        <v>0</v>
      </c>
      <c r="Q179" s="121">
        <f t="shared" si="3"/>
        <v>0</v>
      </c>
      <c r="R179" s="121">
        <f t="shared" si="3"/>
        <v>0</v>
      </c>
      <c r="S179" s="121">
        <f t="shared" si="3"/>
        <v>0</v>
      </c>
      <c r="T179" s="121">
        <f t="shared" si="3"/>
        <v>0</v>
      </c>
      <c r="U179" s="121">
        <f t="shared" si="3"/>
        <v>0</v>
      </c>
      <c r="V179" s="121">
        <f t="shared" si="3"/>
        <v>0</v>
      </c>
      <c r="W179" s="121">
        <f t="shared" si="3"/>
        <v>0</v>
      </c>
      <c r="X179" s="121">
        <f t="shared" si="3"/>
        <v>0</v>
      </c>
      <c r="Y179" s="121">
        <f t="shared" si="3"/>
        <v>0</v>
      </c>
      <c r="Z179" s="121">
        <f t="shared" si="3"/>
        <v>0</v>
      </c>
      <c r="AA179" s="121">
        <f t="shared" si="3"/>
        <v>0</v>
      </c>
      <c r="AB179" s="121">
        <f t="shared" si="3"/>
        <v>0</v>
      </c>
      <c r="AC179" s="121">
        <f t="shared" si="3"/>
        <v>0</v>
      </c>
      <c r="AD179" s="121">
        <f t="shared" si="3"/>
        <v>0</v>
      </c>
      <c r="AE179" s="121">
        <f t="shared" si="3"/>
        <v>0</v>
      </c>
      <c r="AF179" s="121">
        <f t="shared" si="3"/>
        <v>0</v>
      </c>
      <c r="AG179" s="121">
        <f t="shared" si="3"/>
        <v>0</v>
      </c>
      <c r="AH179" s="121">
        <f t="shared" si="3"/>
        <v>0</v>
      </c>
      <c r="AI179" s="121">
        <f t="shared" si="3"/>
        <v>0</v>
      </c>
      <c r="AJ179" s="121">
        <f t="shared" si="3"/>
        <v>0</v>
      </c>
      <c r="AK179" s="121">
        <f t="shared" si="3"/>
        <v>0</v>
      </c>
      <c r="AL179" s="121">
        <f t="shared" si="3"/>
        <v>0</v>
      </c>
      <c r="AM179" s="121">
        <f t="shared" si="3"/>
        <v>0</v>
      </c>
      <c r="AN179" s="121">
        <f t="shared" si="3"/>
        <v>0</v>
      </c>
      <c r="AO179" s="121">
        <f t="shared" si="3"/>
        <v>0</v>
      </c>
      <c r="AP179" s="121">
        <f t="shared" si="3"/>
        <v>0</v>
      </c>
      <c r="AQ179" s="121">
        <f t="shared" si="3"/>
        <v>0</v>
      </c>
      <c r="AR179" s="121">
        <f t="shared" si="3"/>
        <v>0</v>
      </c>
      <c r="AS179" s="121">
        <f t="shared" si="3"/>
        <v>0</v>
      </c>
      <c r="AT179" s="121">
        <f t="shared" si="3"/>
        <v>0</v>
      </c>
      <c r="AU179" s="121">
        <f t="shared" si="3"/>
        <v>0</v>
      </c>
      <c r="AV179" s="121">
        <f t="shared" si="3"/>
        <v>0</v>
      </c>
      <c r="AW179" s="121">
        <f t="shared" si="3"/>
        <v>0</v>
      </c>
      <c r="AX179" s="121">
        <f t="shared" si="3"/>
        <v>0</v>
      </c>
      <c r="AY179" s="121">
        <f t="shared" si="3"/>
        <v>0</v>
      </c>
    </row>
    <row r="180" spans="1:51" x14ac:dyDescent="0.15">
      <c r="A180" s="122"/>
      <c r="B180" s="133" t="s">
        <v>298</v>
      </c>
      <c r="C180" s="122" t="s">
        <v>292</v>
      </c>
      <c r="D180" s="122">
        <v>0</v>
      </c>
      <c r="E180" s="122">
        <v>0</v>
      </c>
      <c r="F180" s="122">
        <v>0</v>
      </c>
      <c r="G180" s="122">
        <v>0</v>
      </c>
      <c r="H180" s="122">
        <v>0</v>
      </c>
      <c r="I180" s="122">
        <v>0</v>
      </c>
      <c r="J180" s="122">
        <v>0</v>
      </c>
      <c r="K180" s="122">
        <v>0</v>
      </c>
      <c r="L180" s="122">
        <v>0</v>
      </c>
      <c r="M180" s="122">
        <v>0</v>
      </c>
      <c r="N180" s="122">
        <v>0</v>
      </c>
      <c r="O180" s="122">
        <v>0</v>
      </c>
      <c r="P180" s="122">
        <v>0</v>
      </c>
      <c r="Q180" s="122">
        <v>0</v>
      </c>
      <c r="R180" s="122">
        <v>0</v>
      </c>
      <c r="S180" s="122">
        <v>0</v>
      </c>
      <c r="T180" s="122">
        <v>0</v>
      </c>
      <c r="U180" s="122">
        <v>0</v>
      </c>
      <c r="V180" s="122">
        <v>0</v>
      </c>
      <c r="W180" s="122">
        <v>0</v>
      </c>
      <c r="X180" s="122">
        <v>0</v>
      </c>
      <c r="Y180" s="122">
        <v>0</v>
      </c>
      <c r="Z180" s="122">
        <v>0</v>
      </c>
      <c r="AA180" s="122">
        <v>0</v>
      </c>
      <c r="AB180" s="122">
        <v>0</v>
      </c>
      <c r="AC180" s="122">
        <v>0</v>
      </c>
      <c r="AD180" s="122">
        <v>0</v>
      </c>
      <c r="AE180" s="122">
        <v>0</v>
      </c>
      <c r="AF180" s="122">
        <v>0</v>
      </c>
      <c r="AG180" s="122">
        <v>0</v>
      </c>
      <c r="AH180" s="122">
        <v>0</v>
      </c>
      <c r="AI180" s="122">
        <v>0</v>
      </c>
      <c r="AJ180" s="122">
        <v>0</v>
      </c>
      <c r="AK180" s="122">
        <v>0</v>
      </c>
      <c r="AL180" s="122">
        <v>0</v>
      </c>
      <c r="AM180" s="122">
        <v>0</v>
      </c>
      <c r="AN180" s="122">
        <v>0</v>
      </c>
      <c r="AO180" s="122">
        <v>0</v>
      </c>
      <c r="AP180" s="122">
        <v>0</v>
      </c>
      <c r="AQ180" s="122">
        <v>0</v>
      </c>
      <c r="AR180" s="122">
        <v>0</v>
      </c>
      <c r="AS180" s="122">
        <v>0</v>
      </c>
      <c r="AT180" s="122">
        <v>0</v>
      </c>
      <c r="AU180" s="122">
        <v>0</v>
      </c>
      <c r="AV180" s="122">
        <v>0</v>
      </c>
      <c r="AW180" s="122">
        <v>0</v>
      </c>
      <c r="AX180" s="122">
        <v>0</v>
      </c>
      <c r="AY180" s="122">
        <v>0</v>
      </c>
    </row>
    <row r="181" spans="1:51" x14ac:dyDescent="0.15">
      <c r="A181" s="132" t="s">
        <v>123</v>
      </c>
      <c r="B181" s="132" t="s">
        <v>297</v>
      </c>
      <c r="C181" s="121" t="s">
        <v>292</v>
      </c>
      <c r="D181" s="121">
        <f t="shared" ref="D181:AY181" si="4">(1-D172)*SUM(D122:D169)</f>
        <v>0</v>
      </c>
      <c r="E181" s="121">
        <f t="shared" si="4"/>
        <v>0</v>
      </c>
      <c r="F181" s="121">
        <f t="shared" si="4"/>
        <v>0</v>
      </c>
      <c r="G181" s="121">
        <f t="shared" si="4"/>
        <v>0</v>
      </c>
      <c r="H181" s="121">
        <f t="shared" si="4"/>
        <v>0</v>
      </c>
      <c r="I181" s="121">
        <f t="shared" si="4"/>
        <v>0</v>
      </c>
      <c r="J181" s="121">
        <f t="shared" si="4"/>
        <v>0</v>
      </c>
      <c r="K181" s="121">
        <f t="shared" si="4"/>
        <v>0</v>
      </c>
      <c r="L181" s="121">
        <f t="shared" si="4"/>
        <v>0</v>
      </c>
      <c r="M181" s="121">
        <f t="shared" si="4"/>
        <v>0</v>
      </c>
      <c r="N181" s="121">
        <f t="shared" si="4"/>
        <v>0</v>
      </c>
      <c r="O181" s="121">
        <f t="shared" si="4"/>
        <v>0</v>
      </c>
      <c r="P181" s="121">
        <f t="shared" si="4"/>
        <v>0</v>
      </c>
      <c r="Q181" s="121">
        <f t="shared" si="4"/>
        <v>0</v>
      </c>
      <c r="R181" s="121">
        <f t="shared" si="4"/>
        <v>0</v>
      </c>
      <c r="S181" s="121">
        <f t="shared" si="4"/>
        <v>0</v>
      </c>
      <c r="T181" s="121">
        <f t="shared" si="4"/>
        <v>0</v>
      </c>
      <c r="U181" s="121">
        <f t="shared" si="4"/>
        <v>0</v>
      </c>
      <c r="V181" s="121">
        <f t="shared" si="4"/>
        <v>0</v>
      </c>
      <c r="W181" s="121">
        <f t="shared" si="4"/>
        <v>0</v>
      </c>
      <c r="X181" s="121">
        <f t="shared" si="4"/>
        <v>0</v>
      </c>
      <c r="Y181" s="121">
        <f t="shared" si="4"/>
        <v>0</v>
      </c>
      <c r="Z181" s="121">
        <f t="shared" si="4"/>
        <v>0</v>
      </c>
      <c r="AA181" s="121">
        <f t="shared" si="4"/>
        <v>0</v>
      </c>
      <c r="AB181" s="121">
        <f t="shared" si="4"/>
        <v>0</v>
      </c>
      <c r="AC181" s="121">
        <f t="shared" si="4"/>
        <v>0</v>
      </c>
      <c r="AD181" s="121">
        <f t="shared" si="4"/>
        <v>0</v>
      </c>
      <c r="AE181" s="121">
        <f t="shared" si="4"/>
        <v>0</v>
      </c>
      <c r="AF181" s="121">
        <f t="shared" si="4"/>
        <v>0</v>
      </c>
      <c r="AG181" s="121">
        <f t="shared" si="4"/>
        <v>0</v>
      </c>
      <c r="AH181" s="121">
        <f t="shared" si="4"/>
        <v>0</v>
      </c>
      <c r="AI181" s="121">
        <f t="shared" si="4"/>
        <v>0</v>
      </c>
      <c r="AJ181" s="121">
        <f t="shared" si="4"/>
        <v>0</v>
      </c>
      <c r="AK181" s="121">
        <f t="shared" si="4"/>
        <v>0</v>
      </c>
      <c r="AL181" s="121">
        <f t="shared" si="4"/>
        <v>0</v>
      </c>
      <c r="AM181" s="121">
        <f t="shared" si="4"/>
        <v>0</v>
      </c>
      <c r="AN181" s="121">
        <f t="shared" si="4"/>
        <v>0</v>
      </c>
      <c r="AO181" s="121">
        <f t="shared" si="4"/>
        <v>0</v>
      </c>
      <c r="AP181" s="121">
        <f t="shared" si="4"/>
        <v>0</v>
      </c>
      <c r="AQ181" s="121">
        <f t="shared" si="4"/>
        <v>0</v>
      </c>
      <c r="AR181" s="121">
        <f t="shared" si="4"/>
        <v>0</v>
      </c>
      <c r="AS181" s="121">
        <f t="shared" si="4"/>
        <v>0</v>
      </c>
      <c r="AT181" s="121">
        <f t="shared" si="4"/>
        <v>0</v>
      </c>
      <c r="AU181" s="121">
        <f t="shared" si="4"/>
        <v>0</v>
      </c>
      <c r="AV181" s="121">
        <f t="shared" si="4"/>
        <v>0</v>
      </c>
      <c r="AW181" s="121">
        <f t="shared" si="4"/>
        <v>0</v>
      </c>
      <c r="AX181" s="121">
        <f t="shared" si="4"/>
        <v>0</v>
      </c>
      <c r="AY181" s="121">
        <f t="shared" si="4"/>
        <v>0</v>
      </c>
    </row>
    <row r="182" spans="1:51" x14ac:dyDescent="0.15">
      <c r="A182" s="122"/>
      <c r="B182" s="133" t="s">
        <v>298</v>
      </c>
      <c r="C182" s="122" t="s">
        <v>292</v>
      </c>
      <c r="D182" s="122">
        <v>0</v>
      </c>
      <c r="E182" s="122">
        <v>0</v>
      </c>
      <c r="F182" s="122">
        <v>0</v>
      </c>
      <c r="G182" s="122">
        <v>0</v>
      </c>
      <c r="H182" s="122">
        <v>0</v>
      </c>
      <c r="I182" s="122">
        <v>0</v>
      </c>
      <c r="J182" s="122">
        <v>0</v>
      </c>
      <c r="K182" s="122">
        <v>0</v>
      </c>
      <c r="L182" s="122">
        <v>0</v>
      </c>
      <c r="M182" s="122">
        <v>0</v>
      </c>
      <c r="N182" s="122">
        <v>0</v>
      </c>
      <c r="O182" s="122">
        <v>0</v>
      </c>
      <c r="P182" s="122">
        <v>0</v>
      </c>
      <c r="Q182" s="122">
        <v>0</v>
      </c>
      <c r="R182" s="122">
        <v>0</v>
      </c>
      <c r="S182" s="122">
        <v>0</v>
      </c>
      <c r="T182" s="122">
        <v>0</v>
      </c>
      <c r="U182" s="122">
        <v>0</v>
      </c>
      <c r="V182" s="122">
        <v>0</v>
      </c>
      <c r="W182" s="122">
        <v>0</v>
      </c>
      <c r="X182" s="122">
        <v>0</v>
      </c>
      <c r="Y182" s="122">
        <v>0</v>
      </c>
      <c r="Z182" s="122">
        <v>0</v>
      </c>
      <c r="AA182" s="122">
        <v>0</v>
      </c>
      <c r="AB182" s="122">
        <v>0</v>
      </c>
      <c r="AC182" s="122">
        <v>0</v>
      </c>
      <c r="AD182" s="122">
        <v>0</v>
      </c>
      <c r="AE182" s="122">
        <v>0</v>
      </c>
      <c r="AF182" s="122">
        <v>0</v>
      </c>
      <c r="AG182" s="122">
        <v>0</v>
      </c>
      <c r="AH182" s="122">
        <v>0</v>
      </c>
      <c r="AI182" s="122">
        <v>0</v>
      </c>
      <c r="AJ182" s="122">
        <v>0</v>
      </c>
      <c r="AK182" s="122">
        <v>0</v>
      </c>
      <c r="AL182" s="122">
        <v>0</v>
      </c>
      <c r="AM182" s="122">
        <v>0</v>
      </c>
      <c r="AN182" s="122">
        <v>0</v>
      </c>
      <c r="AO182" s="122">
        <v>0</v>
      </c>
      <c r="AP182" s="122">
        <v>0</v>
      </c>
      <c r="AQ182" s="122">
        <v>0</v>
      </c>
      <c r="AR182" s="122">
        <v>0</v>
      </c>
      <c r="AS182" s="122">
        <v>0</v>
      </c>
      <c r="AT182" s="122">
        <v>0</v>
      </c>
      <c r="AU182" s="122">
        <v>0</v>
      </c>
      <c r="AV182" s="122">
        <v>0</v>
      </c>
      <c r="AW182" s="122">
        <v>0</v>
      </c>
      <c r="AX182" s="122">
        <v>0</v>
      </c>
      <c r="AY182" s="122">
        <v>0</v>
      </c>
    </row>
    <row r="184" spans="1:51" x14ac:dyDescent="0.15">
      <c r="A184" s="99" t="s">
        <v>299</v>
      </c>
    </row>
    <row r="185" spans="1:51" x14ac:dyDescent="0.15">
      <c r="A185" s="123" t="s">
        <v>125</v>
      </c>
      <c r="B185" s="120">
        <v>1</v>
      </c>
      <c r="C185" s="121"/>
      <c r="D185" s="121">
        <v>5463</v>
      </c>
      <c r="E185" s="121">
        <v>793.40780381258082</v>
      </c>
      <c r="F185" s="121">
        <v>0</v>
      </c>
      <c r="G185" s="121">
        <v>0</v>
      </c>
      <c r="H185" s="121">
        <v>0</v>
      </c>
      <c r="I185" s="121">
        <v>0</v>
      </c>
      <c r="J185" s="121">
        <v>0</v>
      </c>
      <c r="K185" s="121">
        <v>0</v>
      </c>
      <c r="L185" s="121">
        <v>0</v>
      </c>
      <c r="M185" s="121">
        <v>0</v>
      </c>
      <c r="N185" s="121">
        <v>0</v>
      </c>
      <c r="O185" s="121">
        <v>0</v>
      </c>
      <c r="P185" s="121">
        <v>0</v>
      </c>
      <c r="Q185" s="121">
        <v>0</v>
      </c>
      <c r="R185" s="121">
        <v>0</v>
      </c>
      <c r="S185" s="121">
        <v>0</v>
      </c>
      <c r="T185" s="121">
        <v>0</v>
      </c>
      <c r="U185" s="121">
        <v>0</v>
      </c>
      <c r="V185" s="121">
        <v>0</v>
      </c>
      <c r="W185" s="121">
        <v>0</v>
      </c>
      <c r="X185" s="121">
        <v>0</v>
      </c>
      <c r="Y185" s="121">
        <v>0</v>
      </c>
      <c r="Z185" s="121">
        <v>0</v>
      </c>
      <c r="AA185" s="121">
        <v>0</v>
      </c>
      <c r="AB185" s="121">
        <v>0</v>
      </c>
      <c r="AC185" s="121">
        <v>0</v>
      </c>
      <c r="AD185" s="121">
        <v>0</v>
      </c>
      <c r="AE185" s="121">
        <v>0</v>
      </c>
      <c r="AF185" s="121">
        <v>0</v>
      </c>
      <c r="AG185" s="121">
        <v>0</v>
      </c>
      <c r="AH185" s="121">
        <v>0</v>
      </c>
      <c r="AI185" s="121">
        <v>0</v>
      </c>
      <c r="AJ185" s="121">
        <v>0</v>
      </c>
      <c r="AK185" s="121">
        <v>0</v>
      </c>
      <c r="AL185" s="121">
        <v>0</v>
      </c>
      <c r="AM185" s="121">
        <v>0</v>
      </c>
      <c r="AN185" s="121">
        <v>0</v>
      </c>
      <c r="AO185" s="121">
        <v>0</v>
      </c>
      <c r="AP185" s="121">
        <v>0</v>
      </c>
      <c r="AQ185" s="121">
        <v>0</v>
      </c>
      <c r="AR185" s="121">
        <v>0</v>
      </c>
      <c r="AS185" s="121">
        <v>0</v>
      </c>
      <c r="AT185" s="121">
        <v>0</v>
      </c>
      <c r="AU185" s="121">
        <v>0</v>
      </c>
      <c r="AV185" s="121">
        <v>0</v>
      </c>
      <c r="AW185" s="121">
        <v>0</v>
      </c>
      <c r="AX185" s="121">
        <v>0</v>
      </c>
      <c r="AY185" s="121">
        <v>0</v>
      </c>
    </row>
    <row r="186" spans="1:51" x14ac:dyDescent="0.15">
      <c r="A186" s="106"/>
      <c r="B186" s="117">
        <v>2</v>
      </c>
      <c r="C186" s="103"/>
      <c r="D186" s="103">
        <v>0</v>
      </c>
      <c r="E186" s="103">
        <v>4330.5921961874192</v>
      </c>
      <c r="F186" s="103">
        <v>3392</v>
      </c>
      <c r="G186" s="103">
        <v>0</v>
      </c>
      <c r="H186" s="103">
        <v>0</v>
      </c>
      <c r="I186" s="103">
        <v>0</v>
      </c>
      <c r="J186" s="103">
        <v>0</v>
      </c>
      <c r="K186" s="103">
        <v>0</v>
      </c>
      <c r="L186" s="103">
        <v>0</v>
      </c>
      <c r="M186" s="103">
        <v>0</v>
      </c>
      <c r="N186" s="103">
        <v>0</v>
      </c>
      <c r="O186" s="103">
        <v>0</v>
      </c>
      <c r="P186" s="103">
        <v>0</v>
      </c>
      <c r="Q186" s="103">
        <v>0</v>
      </c>
      <c r="R186" s="103">
        <v>0</v>
      </c>
      <c r="S186" s="103">
        <v>0</v>
      </c>
      <c r="T186" s="103">
        <v>0</v>
      </c>
      <c r="U186" s="103">
        <v>0</v>
      </c>
      <c r="V186" s="103">
        <v>0</v>
      </c>
      <c r="W186" s="103">
        <v>0</v>
      </c>
      <c r="X186" s="103">
        <v>0</v>
      </c>
      <c r="Y186" s="103">
        <v>0</v>
      </c>
      <c r="Z186" s="103">
        <v>0</v>
      </c>
      <c r="AA186" s="103">
        <v>0</v>
      </c>
      <c r="AB186" s="103">
        <v>0</v>
      </c>
      <c r="AC186" s="103">
        <v>0</v>
      </c>
      <c r="AD186" s="103">
        <v>0</v>
      </c>
      <c r="AE186" s="103">
        <v>0</v>
      </c>
      <c r="AF186" s="103">
        <v>0</v>
      </c>
      <c r="AG186" s="103">
        <v>0</v>
      </c>
      <c r="AH186" s="103">
        <v>0</v>
      </c>
      <c r="AI186" s="103">
        <v>0</v>
      </c>
      <c r="AJ186" s="103">
        <v>0</v>
      </c>
      <c r="AK186" s="103">
        <v>0</v>
      </c>
      <c r="AL186" s="103">
        <v>0</v>
      </c>
      <c r="AM186" s="103">
        <v>0</v>
      </c>
      <c r="AN186" s="103">
        <v>0</v>
      </c>
      <c r="AO186" s="103">
        <v>0</v>
      </c>
      <c r="AP186" s="103">
        <v>0</v>
      </c>
      <c r="AQ186" s="103">
        <v>0</v>
      </c>
      <c r="AR186" s="103">
        <v>0</v>
      </c>
      <c r="AS186" s="103">
        <v>0</v>
      </c>
      <c r="AT186" s="103">
        <v>0</v>
      </c>
      <c r="AU186" s="103">
        <v>0</v>
      </c>
      <c r="AV186" s="103">
        <v>0</v>
      </c>
      <c r="AW186" s="103">
        <v>0</v>
      </c>
      <c r="AX186" s="103">
        <v>0</v>
      </c>
      <c r="AY186" s="103">
        <v>0</v>
      </c>
    </row>
    <row r="187" spans="1:51" x14ac:dyDescent="0.15">
      <c r="A187" s="106"/>
      <c r="B187" s="124">
        <v>3</v>
      </c>
      <c r="C187" s="103"/>
      <c r="D187" s="103">
        <v>0</v>
      </c>
      <c r="E187" s="103">
        <v>0</v>
      </c>
      <c r="F187" s="103">
        <v>0</v>
      </c>
      <c r="G187" s="103">
        <v>4240</v>
      </c>
      <c r="H187" s="103">
        <v>1032.1319651265367</v>
      </c>
      <c r="I187" s="103">
        <v>0</v>
      </c>
      <c r="J187" s="103">
        <v>0</v>
      </c>
      <c r="K187" s="103">
        <v>0</v>
      </c>
      <c r="L187" s="103">
        <v>0</v>
      </c>
      <c r="M187" s="103">
        <v>0</v>
      </c>
      <c r="N187" s="103">
        <v>0</v>
      </c>
      <c r="O187" s="103">
        <v>0</v>
      </c>
      <c r="P187" s="103">
        <v>0</v>
      </c>
      <c r="Q187" s="103">
        <v>0</v>
      </c>
      <c r="R187" s="103">
        <v>0</v>
      </c>
      <c r="S187" s="103">
        <v>0</v>
      </c>
      <c r="T187" s="103">
        <v>0</v>
      </c>
      <c r="U187" s="103">
        <v>0</v>
      </c>
      <c r="V187" s="103">
        <v>0</v>
      </c>
      <c r="W187" s="103">
        <v>0</v>
      </c>
      <c r="X187" s="103">
        <v>0</v>
      </c>
      <c r="Y187" s="103">
        <v>0</v>
      </c>
      <c r="Z187" s="103">
        <v>0</v>
      </c>
      <c r="AA187" s="103">
        <v>0</v>
      </c>
      <c r="AB187" s="103">
        <v>0</v>
      </c>
      <c r="AC187" s="103">
        <v>0</v>
      </c>
      <c r="AD187" s="103">
        <v>0</v>
      </c>
      <c r="AE187" s="103">
        <v>0</v>
      </c>
      <c r="AF187" s="103">
        <v>0</v>
      </c>
      <c r="AG187" s="103">
        <v>0</v>
      </c>
      <c r="AH187" s="103">
        <v>0</v>
      </c>
      <c r="AI187" s="103">
        <v>0</v>
      </c>
      <c r="AJ187" s="103">
        <v>0</v>
      </c>
      <c r="AK187" s="103">
        <v>0</v>
      </c>
      <c r="AL187" s="103">
        <v>0</v>
      </c>
      <c r="AM187" s="103">
        <v>0</v>
      </c>
      <c r="AN187" s="103">
        <v>0</v>
      </c>
      <c r="AO187" s="103">
        <v>0</v>
      </c>
      <c r="AP187" s="103">
        <v>0</v>
      </c>
      <c r="AQ187" s="103">
        <v>0</v>
      </c>
      <c r="AR187" s="103">
        <v>0</v>
      </c>
      <c r="AS187" s="103">
        <v>0</v>
      </c>
      <c r="AT187" s="103">
        <v>0</v>
      </c>
      <c r="AU187" s="103">
        <v>0</v>
      </c>
      <c r="AV187" s="103">
        <v>0</v>
      </c>
      <c r="AW187" s="103">
        <v>0</v>
      </c>
      <c r="AX187" s="103">
        <v>0</v>
      </c>
      <c r="AY187" s="103">
        <v>0</v>
      </c>
    </row>
    <row r="188" spans="1:51" x14ac:dyDescent="0.15">
      <c r="A188" s="125"/>
      <c r="B188" s="126">
        <v>4</v>
      </c>
      <c r="C188" s="103"/>
      <c r="D188" s="103">
        <v>0</v>
      </c>
      <c r="E188" s="103">
        <v>0</v>
      </c>
      <c r="F188" s="103">
        <v>0</v>
      </c>
      <c r="G188" s="103">
        <v>0</v>
      </c>
      <c r="H188" s="103">
        <v>1370.8680348734633</v>
      </c>
      <c r="I188" s="103">
        <v>2987</v>
      </c>
      <c r="J188" s="103">
        <v>3189</v>
      </c>
      <c r="K188" s="103">
        <v>3065</v>
      </c>
      <c r="L188" s="103">
        <v>1890</v>
      </c>
      <c r="M188" s="103">
        <v>2092</v>
      </c>
      <c r="N188" s="103">
        <v>2014</v>
      </c>
      <c r="O188" s="103">
        <v>1857</v>
      </c>
      <c r="P188" s="103">
        <v>1549</v>
      </c>
      <c r="Q188" s="103">
        <v>1194</v>
      </c>
      <c r="R188" s="103">
        <v>1445</v>
      </c>
      <c r="S188" s="103">
        <v>1626</v>
      </c>
      <c r="T188" s="103">
        <v>970</v>
      </c>
      <c r="U188" s="103">
        <v>882</v>
      </c>
      <c r="V188" s="103">
        <v>916</v>
      </c>
      <c r="W188" s="103">
        <v>994</v>
      </c>
      <c r="X188" s="103">
        <v>850</v>
      </c>
      <c r="Y188" s="103">
        <v>741</v>
      </c>
      <c r="Z188" s="103">
        <v>738</v>
      </c>
      <c r="AA188" s="103">
        <v>841</v>
      </c>
      <c r="AB188" s="103">
        <v>545</v>
      </c>
      <c r="AC188" s="103">
        <v>597</v>
      </c>
      <c r="AD188" s="103">
        <v>500</v>
      </c>
      <c r="AE188" s="103">
        <v>611</v>
      </c>
      <c r="AF188" s="103">
        <v>546</v>
      </c>
      <c r="AG188" s="103">
        <v>561</v>
      </c>
      <c r="AH188" s="103">
        <v>475</v>
      </c>
      <c r="AI188" s="103">
        <v>460</v>
      </c>
      <c r="AJ188" s="103">
        <v>484</v>
      </c>
      <c r="AK188" s="103">
        <v>340</v>
      </c>
      <c r="AL188" s="103">
        <v>422</v>
      </c>
      <c r="AM188" s="103">
        <v>494</v>
      </c>
      <c r="AN188" s="103">
        <v>373</v>
      </c>
      <c r="AO188" s="103">
        <v>381</v>
      </c>
      <c r="AP188" s="103">
        <v>325</v>
      </c>
      <c r="AQ188" s="103">
        <v>365</v>
      </c>
      <c r="AR188" s="103">
        <v>317</v>
      </c>
      <c r="AS188" s="103">
        <v>323</v>
      </c>
      <c r="AT188" s="103">
        <v>294</v>
      </c>
      <c r="AU188" s="103">
        <v>282</v>
      </c>
      <c r="AV188" s="103">
        <v>207</v>
      </c>
      <c r="AW188" s="103">
        <v>249</v>
      </c>
      <c r="AX188" s="103">
        <v>238</v>
      </c>
      <c r="AY188" s="103">
        <v>250</v>
      </c>
    </row>
    <row r="189" spans="1:51" x14ac:dyDescent="0.15">
      <c r="A189" s="123" t="s">
        <v>133</v>
      </c>
      <c r="B189" s="120">
        <v>1</v>
      </c>
      <c r="C189" s="121"/>
      <c r="D189" s="121">
        <v>0</v>
      </c>
      <c r="E189" s="121">
        <v>0</v>
      </c>
      <c r="F189" s="121">
        <v>1947.194299022357</v>
      </c>
      <c r="G189" s="121">
        <v>90</v>
      </c>
      <c r="H189" s="121">
        <v>1948.2614687136993</v>
      </c>
      <c r="I189" s="121">
        <v>0</v>
      </c>
      <c r="J189" s="121">
        <v>1030</v>
      </c>
      <c r="K189" s="121">
        <v>1771.4338950417348</v>
      </c>
      <c r="L189" s="121">
        <v>1876.4010929816657</v>
      </c>
      <c r="M189" s="121">
        <v>1802.3689428192174</v>
      </c>
      <c r="N189" s="121">
        <v>1899.7026004217882</v>
      </c>
      <c r="O189" s="121">
        <v>1758.4188998512916</v>
      </c>
      <c r="P189" s="121">
        <v>1827.3726001831874</v>
      </c>
      <c r="Q189" s="121">
        <v>1804.2333276757915</v>
      </c>
      <c r="R189" s="121">
        <v>1018.882394283655</v>
      </c>
      <c r="S189" s="121">
        <v>1438.3022032670131</v>
      </c>
      <c r="T189" s="121">
        <v>1182.1407380143926</v>
      </c>
      <c r="U189" s="121">
        <v>692.55802545727079</v>
      </c>
      <c r="V189" s="121">
        <v>299.39611785421289</v>
      </c>
      <c r="W189" s="121">
        <v>439.07178971764847</v>
      </c>
      <c r="X189" s="121">
        <v>71.353464125883193</v>
      </c>
      <c r="Y189" s="121">
        <v>0</v>
      </c>
      <c r="Z189" s="121">
        <v>0</v>
      </c>
      <c r="AA189" s="121">
        <v>0</v>
      </c>
      <c r="AB189" s="121">
        <v>0</v>
      </c>
      <c r="AC189" s="121">
        <v>0</v>
      </c>
      <c r="AD189" s="121">
        <v>0</v>
      </c>
      <c r="AE189" s="121">
        <v>0</v>
      </c>
      <c r="AF189" s="121">
        <v>0</v>
      </c>
      <c r="AG189" s="121">
        <v>0</v>
      </c>
      <c r="AH189" s="121">
        <v>0</v>
      </c>
      <c r="AI189" s="121">
        <v>0</v>
      </c>
      <c r="AJ189" s="121">
        <v>0</v>
      </c>
      <c r="AK189" s="121">
        <v>0</v>
      </c>
      <c r="AL189" s="121">
        <v>0</v>
      </c>
      <c r="AM189" s="121">
        <v>0</v>
      </c>
      <c r="AN189" s="121">
        <v>0</v>
      </c>
      <c r="AO189" s="121">
        <v>0</v>
      </c>
      <c r="AP189" s="121">
        <v>0</v>
      </c>
      <c r="AQ189" s="121">
        <v>0</v>
      </c>
      <c r="AR189" s="121">
        <v>0</v>
      </c>
      <c r="AS189" s="121">
        <v>0</v>
      </c>
      <c r="AT189" s="121">
        <v>0</v>
      </c>
      <c r="AU189" s="121">
        <v>0</v>
      </c>
      <c r="AV189" s="121">
        <v>0</v>
      </c>
      <c r="AW189" s="121">
        <v>0</v>
      </c>
      <c r="AX189" s="121">
        <v>0</v>
      </c>
      <c r="AY189" s="121">
        <v>0</v>
      </c>
    </row>
    <row r="190" spans="1:51" x14ac:dyDescent="0.15">
      <c r="A190" s="106"/>
      <c r="B190" s="116">
        <v>2</v>
      </c>
      <c r="C190" s="103"/>
      <c r="D190" s="103">
        <v>0</v>
      </c>
      <c r="E190" s="103">
        <v>0</v>
      </c>
      <c r="F190" s="103">
        <v>0</v>
      </c>
      <c r="G190" s="103">
        <v>0</v>
      </c>
      <c r="H190" s="103">
        <v>1709.5610930760467</v>
      </c>
      <c r="I190" s="103">
        <v>0</v>
      </c>
      <c r="J190" s="103">
        <v>0</v>
      </c>
      <c r="K190" s="103">
        <v>930.9659201322354</v>
      </c>
      <c r="L190" s="103">
        <v>2.2737367544323206E-13</v>
      </c>
      <c r="M190" s="103">
        <v>0</v>
      </c>
      <c r="N190" s="103">
        <v>148.55795099112993</v>
      </c>
      <c r="O190" s="103">
        <v>2.2737367544323206E-13</v>
      </c>
      <c r="P190" s="103">
        <v>0</v>
      </c>
      <c r="Q190" s="103">
        <v>0</v>
      </c>
      <c r="R190" s="103">
        <v>148.81768697449252</v>
      </c>
      <c r="S190" s="103">
        <v>934.69779673298694</v>
      </c>
      <c r="T190" s="103">
        <v>366.85926198560742</v>
      </c>
      <c r="U190" s="103">
        <v>772.4949844764617</v>
      </c>
      <c r="V190" s="103">
        <v>1262.6038821457871</v>
      </c>
      <c r="W190" s="103">
        <v>1365.9282102823515</v>
      </c>
      <c r="X190" s="103">
        <v>1209.6465358741168</v>
      </c>
      <c r="Y190" s="103">
        <v>1012.0272566405313</v>
      </c>
      <c r="Z190" s="103">
        <v>409.90600539374668</v>
      </c>
      <c r="AA190" s="103">
        <v>0</v>
      </c>
      <c r="AB190" s="103">
        <v>0</v>
      </c>
      <c r="AC190" s="103">
        <v>0</v>
      </c>
      <c r="AD190" s="103">
        <v>0</v>
      </c>
      <c r="AE190" s="103">
        <v>0</v>
      </c>
      <c r="AF190" s="103">
        <v>0</v>
      </c>
      <c r="AG190" s="103">
        <v>0</v>
      </c>
      <c r="AH190" s="103">
        <v>0</v>
      </c>
      <c r="AI190" s="103">
        <v>0</v>
      </c>
      <c r="AJ190" s="103">
        <v>0</v>
      </c>
      <c r="AK190" s="103">
        <v>0</v>
      </c>
      <c r="AL190" s="103">
        <v>0</v>
      </c>
      <c r="AM190" s="103">
        <v>0</v>
      </c>
      <c r="AN190" s="103">
        <v>0</v>
      </c>
      <c r="AO190" s="103">
        <v>0</v>
      </c>
      <c r="AP190" s="103">
        <v>0</v>
      </c>
      <c r="AQ190" s="103">
        <v>0</v>
      </c>
      <c r="AR190" s="103">
        <v>0</v>
      </c>
      <c r="AS190" s="103">
        <v>0</v>
      </c>
      <c r="AT190" s="103">
        <v>0</v>
      </c>
      <c r="AU190" s="103">
        <v>0</v>
      </c>
      <c r="AV190" s="103">
        <v>0</v>
      </c>
      <c r="AW190" s="103">
        <v>0</v>
      </c>
      <c r="AX190" s="103">
        <v>0</v>
      </c>
      <c r="AY190" s="103">
        <v>0</v>
      </c>
    </row>
    <row r="191" spans="1:51" x14ac:dyDescent="0.15">
      <c r="A191" s="106"/>
      <c r="B191" s="117">
        <v>3</v>
      </c>
      <c r="C191" s="103"/>
      <c r="D191" s="103">
        <v>0</v>
      </c>
      <c r="E191" s="103">
        <v>0</v>
      </c>
      <c r="F191" s="103">
        <v>0</v>
      </c>
      <c r="G191" s="103">
        <v>0</v>
      </c>
      <c r="H191" s="103">
        <v>0</v>
      </c>
      <c r="I191" s="103">
        <v>148.16677659835022</v>
      </c>
      <c r="J191" s="103">
        <v>0</v>
      </c>
      <c r="K191" s="103">
        <v>1710.4977447364568</v>
      </c>
      <c r="L191" s="103">
        <v>0</v>
      </c>
      <c r="M191" s="103">
        <v>178.42768520768948</v>
      </c>
      <c r="N191" s="103">
        <v>0</v>
      </c>
      <c r="O191" s="103">
        <v>0</v>
      </c>
      <c r="P191" s="103">
        <v>0</v>
      </c>
      <c r="Q191" s="103">
        <v>142.43506944719155</v>
      </c>
      <c r="R191" s="103">
        <v>0</v>
      </c>
      <c r="S191" s="103">
        <v>0</v>
      </c>
      <c r="T191" s="103">
        <v>0</v>
      </c>
      <c r="U191" s="103">
        <v>148.94699006626763</v>
      </c>
      <c r="V191" s="103">
        <v>0</v>
      </c>
      <c r="W191" s="103">
        <v>0</v>
      </c>
      <c r="X191" s="103">
        <v>0</v>
      </c>
      <c r="Y191" s="103">
        <v>92.972743359468723</v>
      </c>
      <c r="Z191" s="103">
        <v>659.09399460625332</v>
      </c>
      <c r="AA191" s="103">
        <v>1238</v>
      </c>
      <c r="AB191" s="103">
        <v>645.65187090621544</v>
      </c>
      <c r="AC191" s="103">
        <v>0</v>
      </c>
      <c r="AD191" s="103">
        <v>0</v>
      </c>
      <c r="AE191" s="103">
        <v>0</v>
      </c>
      <c r="AF191" s="103">
        <v>0</v>
      </c>
      <c r="AG191" s="103">
        <v>0</v>
      </c>
      <c r="AH191" s="103">
        <v>0</v>
      </c>
      <c r="AI191" s="103">
        <v>0</v>
      </c>
      <c r="AJ191" s="103">
        <v>0</v>
      </c>
      <c r="AK191" s="103">
        <v>0</v>
      </c>
      <c r="AL191" s="103">
        <v>0</v>
      </c>
      <c r="AM191" s="103">
        <v>0</v>
      </c>
      <c r="AN191" s="103">
        <v>0</v>
      </c>
      <c r="AO191" s="103">
        <v>0</v>
      </c>
      <c r="AP191" s="103">
        <v>0</v>
      </c>
      <c r="AQ191" s="103">
        <v>0</v>
      </c>
      <c r="AR191" s="103">
        <v>0</v>
      </c>
      <c r="AS191" s="103">
        <v>0</v>
      </c>
      <c r="AT191" s="103">
        <v>0</v>
      </c>
      <c r="AU191" s="103">
        <v>0</v>
      </c>
      <c r="AV191" s="103">
        <v>0</v>
      </c>
      <c r="AW191" s="103">
        <v>0</v>
      </c>
      <c r="AX191" s="103">
        <v>0</v>
      </c>
      <c r="AY191" s="103">
        <v>0</v>
      </c>
    </row>
    <row r="192" spans="1:51" x14ac:dyDescent="0.15">
      <c r="A192" s="106"/>
      <c r="B192" s="117">
        <v>4</v>
      </c>
      <c r="C192" s="103"/>
      <c r="D192" s="103">
        <v>0</v>
      </c>
      <c r="E192" s="103">
        <v>0</v>
      </c>
      <c r="F192" s="103">
        <v>0</v>
      </c>
      <c r="G192" s="103">
        <v>0</v>
      </c>
      <c r="H192" s="103">
        <v>0</v>
      </c>
      <c r="I192" s="103">
        <v>0</v>
      </c>
      <c r="J192" s="103">
        <v>0</v>
      </c>
      <c r="K192" s="103">
        <v>0</v>
      </c>
      <c r="L192" s="103">
        <v>0</v>
      </c>
      <c r="M192" s="103">
        <v>0</v>
      </c>
      <c r="N192" s="103">
        <v>0</v>
      </c>
      <c r="O192" s="103">
        <v>0</v>
      </c>
      <c r="P192" s="103">
        <v>0</v>
      </c>
      <c r="Q192" s="103">
        <v>0</v>
      </c>
      <c r="R192" s="103">
        <v>0</v>
      </c>
      <c r="S192" s="103">
        <v>0</v>
      </c>
      <c r="T192" s="103">
        <v>0</v>
      </c>
      <c r="U192" s="103">
        <v>0</v>
      </c>
      <c r="V192" s="103">
        <v>0</v>
      </c>
      <c r="W192" s="103">
        <v>0</v>
      </c>
      <c r="X192" s="103">
        <v>0</v>
      </c>
      <c r="Y192" s="103">
        <v>0</v>
      </c>
      <c r="Z192" s="103">
        <v>0</v>
      </c>
      <c r="AA192" s="103">
        <v>0</v>
      </c>
      <c r="AB192" s="103">
        <v>309.34812909378456</v>
      </c>
      <c r="AC192" s="103">
        <v>891</v>
      </c>
      <c r="AD192" s="103">
        <v>624.87822971528954</v>
      </c>
      <c r="AE192" s="103">
        <v>0</v>
      </c>
      <c r="AF192" s="103">
        <v>0</v>
      </c>
      <c r="AG192" s="103">
        <v>0</v>
      </c>
      <c r="AH192" s="103">
        <v>0</v>
      </c>
      <c r="AI192" s="103">
        <v>0</v>
      </c>
      <c r="AJ192" s="103">
        <v>0</v>
      </c>
      <c r="AK192" s="103">
        <v>0</v>
      </c>
      <c r="AL192" s="103">
        <v>0</v>
      </c>
      <c r="AM192" s="103">
        <v>0</v>
      </c>
      <c r="AN192" s="103">
        <v>0</v>
      </c>
      <c r="AO192" s="103">
        <v>0</v>
      </c>
      <c r="AP192" s="103">
        <v>0</v>
      </c>
      <c r="AQ192" s="103">
        <v>0</v>
      </c>
      <c r="AR192" s="103">
        <v>0</v>
      </c>
      <c r="AS192" s="103">
        <v>0</v>
      </c>
      <c r="AT192" s="103">
        <v>0</v>
      </c>
      <c r="AU192" s="103">
        <v>0</v>
      </c>
      <c r="AV192" s="103">
        <v>0</v>
      </c>
      <c r="AW192" s="103">
        <v>0</v>
      </c>
      <c r="AX192" s="103">
        <v>0</v>
      </c>
      <c r="AY192" s="103">
        <v>0</v>
      </c>
    </row>
    <row r="193" spans="1:51" x14ac:dyDescent="0.15">
      <c r="A193" s="106"/>
      <c r="B193" s="124">
        <v>5</v>
      </c>
      <c r="C193" s="103"/>
      <c r="D193" s="103">
        <v>0</v>
      </c>
      <c r="E193" s="103">
        <v>0</v>
      </c>
      <c r="F193" s="103">
        <v>0</v>
      </c>
      <c r="G193" s="103">
        <v>0</v>
      </c>
      <c r="H193" s="103">
        <v>0</v>
      </c>
      <c r="I193" s="103">
        <v>0</v>
      </c>
      <c r="J193" s="103">
        <v>0</v>
      </c>
      <c r="K193" s="103">
        <v>0</v>
      </c>
      <c r="L193" s="103">
        <v>0</v>
      </c>
      <c r="M193" s="103">
        <v>0</v>
      </c>
      <c r="N193" s="103">
        <v>0</v>
      </c>
      <c r="O193" s="103">
        <v>0</v>
      </c>
      <c r="P193" s="103">
        <v>0</v>
      </c>
      <c r="Q193" s="103">
        <v>0</v>
      </c>
      <c r="R193" s="103">
        <v>0</v>
      </c>
      <c r="S193" s="103">
        <v>0</v>
      </c>
      <c r="T193" s="103">
        <v>0</v>
      </c>
      <c r="U193" s="103">
        <v>0</v>
      </c>
      <c r="V193" s="103">
        <v>0</v>
      </c>
      <c r="W193" s="103">
        <v>0</v>
      </c>
      <c r="X193" s="103">
        <v>0</v>
      </c>
      <c r="Y193" s="103">
        <v>0</v>
      </c>
      <c r="Z193" s="103">
        <v>0</v>
      </c>
      <c r="AA193" s="103">
        <v>0</v>
      </c>
      <c r="AB193" s="103">
        <v>0</v>
      </c>
      <c r="AC193" s="103">
        <v>0</v>
      </c>
      <c r="AD193" s="103">
        <v>421.12177028471046</v>
      </c>
      <c r="AE193" s="103">
        <v>855</v>
      </c>
      <c r="AF193" s="103">
        <v>313.58666974917674</v>
      </c>
      <c r="AG193" s="103">
        <v>0</v>
      </c>
      <c r="AH193" s="103">
        <v>0</v>
      </c>
      <c r="AI193" s="103">
        <v>0</v>
      </c>
      <c r="AJ193" s="103">
        <v>0</v>
      </c>
      <c r="AK193" s="103">
        <v>0</v>
      </c>
      <c r="AL193" s="103">
        <v>0</v>
      </c>
      <c r="AM193" s="103">
        <v>0</v>
      </c>
      <c r="AN193" s="103">
        <v>0</v>
      </c>
      <c r="AO193" s="103">
        <v>0</v>
      </c>
      <c r="AP193" s="103">
        <v>0</v>
      </c>
      <c r="AQ193" s="103">
        <v>0</v>
      </c>
      <c r="AR193" s="103">
        <v>0</v>
      </c>
      <c r="AS193" s="103">
        <v>0</v>
      </c>
      <c r="AT193" s="103">
        <v>0</v>
      </c>
      <c r="AU193" s="103">
        <v>0</v>
      </c>
      <c r="AV193" s="103">
        <v>0</v>
      </c>
      <c r="AW193" s="103">
        <v>0</v>
      </c>
      <c r="AX193" s="103">
        <v>0</v>
      </c>
      <c r="AY193" s="103">
        <v>0</v>
      </c>
    </row>
    <row r="194" spans="1:51" x14ac:dyDescent="0.15">
      <c r="A194" s="106"/>
      <c r="B194" s="124">
        <v>6</v>
      </c>
      <c r="C194" s="103"/>
      <c r="D194" s="103">
        <v>0</v>
      </c>
      <c r="E194" s="103">
        <v>0</v>
      </c>
      <c r="F194" s="103">
        <v>0</v>
      </c>
      <c r="G194" s="103">
        <v>0</v>
      </c>
      <c r="H194" s="103">
        <v>0</v>
      </c>
      <c r="I194" s="103">
        <v>0</v>
      </c>
      <c r="J194" s="103">
        <v>0</v>
      </c>
      <c r="K194" s="103">
        <v>0</v>
      </c>
      <c r="L194" s="103">
        <v>0</v>
      </c>
      <c r="M194" s="103">
        <v>0</v>
      </c>
      <c r="N194" s="103">
        <v>0</v>
      </c>
      <c r="O194" s="103">
        <v>0</v>
      </c>
      <c r="P194" s="103">
        <v>0</v>
      </c>
      <c r="Q194" s="103">
        <v>0</v>
      </c>
      <c r="R194" s="103">
        <v>0</v>
      </c>
      <c r="S194" s="103">
        <v>0</v>
      </c>
      <c r="T194" s="103">
        <v>0</v>
      </c>
      <c r="U194" s="103">
        <v>0</v>
      </c>
      <c r="V194" s="103">
        <v>0</v>
      </c>
      <c r="W194" s="103">
        <v>0</v>
      </c>
      <c r="X194" s="103">
        <v>0</v>
      </c>
      <c r="Y194" s="103">
        <v>0</v>
      </c>
      <c r="Z194" s="103">
        <v>0</v>
      </c>
      <c r="AA194" s="103">
        <v>0</v>
      </c>
      <c r="AB194" s="103">
        <v>0</v>
      </c>
      <c r="AC194" s="103">
        <v>0</v>
      </c>
      <c r="AD194" s="103">
        <v>0</v>
      </c>
      <c r="AE194" s="103">
        <v>0</v>
      </c>
      <c r="AF194" s="103">
        <v>478.41333025082326</v>
      </c>
      <c r="AG194" s="103">
        <v>909</v>
      </c>
      <c r="AH194" s="103">
        <v>200.77886249023641</v>
      </c>
      <c r="AI194" s="103">
        <v>0</v>
      </c>
      <c r="AJ194" s="103">
        <v>0</v>
      </c>
      <c r="AK194" s="103">
        <v>0</v>
      </c>
      <c r="AL194" s="103">
        <v>0</v>
      </c>
      <c r="AM194" s="103">
        <v>0</v>
      </c>
      <c r="AN194" s="103">
        <v>0</v>
      </c>
      <c r="AO194" s="103">
        <v>0</v>
      </c>
      <c r="AP194" s="103">
        <v>0</v>
      </c>
      <c r="AQ194" s="103">
        <v>0</v>
      </c>
      <c r="AR194" s="103">
        <v>0</v>
      </c>
      <c r="AS194" s="103">
        <v>0</v>
      </c>
      <c r="AT194" s="103">
        <v>0</v>
      </c>
      <c r="AU194" s="103">
        <v>0</v>
      </c>
      <c r="AV194" s="103">
        <v>0</v>
      </c>
      <c r="AW194" s="103">
        <v>0</v>
      </c>
      <c r="AX194" s="103">
        <v>0</v>
      </c>
      <c r="AY194" s="103">
        <v>0</v>
      </c>
    </row>
    <row r="195" spans="1:51" x14ac:dyDescent="0.15">
      <c r="A195" s="106"/>
      <c r="B195" s="127">
        <v>7</v>
      </c>
      <c r="C195" s="103"/>
      <c r="D195" s="103">
        <v>0</v>
      </c>
      <c r="E195" s="103">
        <v>0</v>
      </c>
      <c r="F195" s="103">
        <v>0</v>
      </c>
      <c r="G195" s="103">
        <v>0</v>
      </c>
      <c r="H195" s="103">
        <v>0</v>
      </c>
      <c r="I195" s="103">
        <v>0</v>
      </c>
      <c r="J195" s="103">
        <v>0</v>
      </c>
      <c r="K195" s="103">
        <v>0</v>
      </c>
      <c r="L195" s="103">
        <v>0</v>
      </c>
      <c r="M195" s="103">
        <v>0</v>
      </c>
      <c r="N195" s="103">
        <v>0</v>
      </c>
      <c r="O195" s="103">
        <v>0</v>
      </c>
      <c r="P195" s="103">
        <v>0</v>
      </c>
      <c r="Q195" s="103">
        <v>0</v>
      </c>
      <c r="R195" s="103">
        <v>0</v>
      </c>
      <c r="S195" s="103">
        <v>0</v>
      </c>
      <c r="T195" s="103">
        <v>0</v>
      </c>
      <c r="U195" s="103">
        <v>0</v>
      </c>
      <c r="V195" s="103">
        <v>0</v>
      </c>
      <c r="W195" s="103">
        <v>0</v>
      </c>
      <c r="X195" s="103">
        <v>0</v>
      </c>
      <c r="Y195" s="103">
        <v>0</v>
      </c>
      <c r="Z195" s="103">
        <v>0</v>
      </c>
      <c r="AA195" s="103">
        <v>0</v>
      </c>
      <c r="AB195" s="103">
        <v>0</v>
      </c>
      <c r="AC195" s="103">
        <v>0</v>
      </c>
      <c r="AD195" s="103">
        <v>0</v>
      </c>
      <c r="AE195" s="103">
        <v>0</v>
      </c>
      <c r="AF195" s="103">
        <v>0</v>
      </c>
      <c r="AG195" s="103">
        <v>0</v>
      </c>
      <c r="AH195" s="103">
        <v>736.22113750976359</v>
      </c>
      <c r="AI195" s="103">
        <v>752</v>
      </c>
      <c r="AJ195" s="103">
        <v>0</v>
      </c>
      <c r="AK195" s="103">
        <v>0</v>
      </c>
      <c r="AL195" s="103">
        <v>0</v>
      </c>
      <c r="AM195" s="103">
        <v>0</v>
      </c>
      <c r="AN195" s="103">
        <v>0</v>
      </c>
      <c r="AO195" s="103">
        <v>0</v>
      </c>
      <c r="AP195" s="103">
        <v>0</v>
      </c>
      <c r="AQ195" s="103">
        <v>0</v>
      </c>
      <c r="AR195" s="103">
        <v>0</v>
      </c>
      <c r="AS195" s="103">
        <v>0</v>
      </c>
      <c r="AT195" s="103">
        <v>271.80036336445232</v>
      </c>
      <c r="AU195" s="103">
        <v>0</v>
      </c>
      <c r="AV195" s="103">
        <v>158.66955827289402</v>
      </c>
      <c r="AW195" s="103">
        <v>0</v>
      </c>
      <c r="AX195" s="103">
        <v>0</v>
      </c>
      <c r="AY195" s="103">
        <v>461</v>
      </c>
    </row>
    <row r="196" spans="1:51" x14ac:dyDescent="0.15">
      <c r="A196" s="125"/>
      <c r="B196" s="126">
        <v>8</v>
      </c>
      <c r="C196" s="111"/>
      <c r="D196" s="111">
        <v>0</v>
      </c>
      <c r="E196" s="111">
        <v>0</v>
      </c>
      <c r="F196" s="111">
        <v>0</v>
      </c>
      <c r="G196" s="111">
        <v>0</v>
      </c>
      <c r="H196" s="111">
        <v>0</v>
      </c>
      <c r="I196" s="111">
        <v>0</v>
      </c>
      <c r="J196" s="111">
        <v>0</v>
      </c>
      <c r="K196" s="111">
        <v>0</v>
      </c>
      <c r="L196" s="111">
        <v>0</v>
      </c>
      <c r="M196" s="111">
        <v>0</v>
      </c>
      <c r="N196" s="111">
        <v>0</v>
      </c>
      <c r="O196" s="111">
        <v>0</v>
      </c>
      <c r="P196" s="111">
        <v>0</v>
      </c>
      <c r="Q196" s="111">
        <v>0</v>
      </c>
      <c r="R196" s="111">
        <v>0</v>
      </c>
      <c r="S196" s="111">
        <v>0</v>
      </c>
      <c r="T196" s="111">
        <v>0</v>
      </c>
      <c r="U196" s="111">
        <v>0</v>
      </c>
      <c r="V196" s="111">
        <v>0</v>
      </c>
      <c r="W196" s="111">
        <v>0</v>
      </c>
      <c r="X196" s="111">
        <v>0</v>
      </c>
      <c r="Y196" s="111">
        <v>0</v>
      </c>
      <c r="Z196" s="111">
        <v>0</v>
      </c>
      <c r="AA196" s="111">
        <v>0</v>
      </c>
      <c r="AB196" s="111">
        <v>0</v>
      </c>
      <c r="AC196" s="111">
        <v>0</v>
      </c>
      <c r="AD196" s="111">
        <v>0</v>
      </c>
      <c r="AE196" s="111">
        <v>0</v>
      </c>
      <c r="AF196" s="111">
        <v>0</v>
      </c>
      <c r="AG196" s="111">
        <v>0</v>
      </c>
      <c r="AH196" s="111">
        <v>0</v>
      </c>
      <c r="AI196" s="111">
        <v>0</v>
      </c>
      <c r="AJ196" s="111">
        <v>641</v>
      </c>
      <c r="AK196" s="111">
        <v>700</v>
      </c>
      <c r="AL196" s="111">
        <v>662</v>
      </c>
      <c r="AM196" s="111">
        <v>585</v>
      </c>
      <c r="AN196" s="111">
        <v>638</v>
      </c>
      <c r="AO196" s="111">
        <v>496</v>
      </c>
      <c r="AP196" s="111">
        <v>562</v>
      </c>
      <c r="AQ196" s="111">
        <v>582</v>
      </c>
      <c r="AR196" s="111">
        <v>492</v>
      </c>
      <c r="AS196" s="111">
        <v>500</v>
      </c>
      <c r="AT196" s="111">
        <v>240.19963663554768</v>
      </c>
      <c r="AU196" s="111">
        <v>399</v>
      </c>
      <c r="AV196" s="111">
        <v>229.33044172710598</v>
      </c>
      <c r="AW196" s="111">
        <v>426</v>
      </c>
      <c r="AX196" s="111">
        <v>454</v>
      </c>
      <c r="AY196" s="111">
        <v>0</v>
      </c>
    </row>
    <row r="197" spans="1:51" x14ac:dyDescent="0.15">
      <c r="A197" s="128" t="s">
        <v>134</v>
      </c>
      <c r="B197" s="116">
        <v>1</v>
      </c>
      <c r="C197" s="103"/>
      <c r="D197" s="103">
        <v>0</v>
      </c>
      <c r="E197" s="103">
        <v>0</v>
      </c>
      <c r="F197" s="103">
        <v>0</v>
      </c>
      <c r="G197" s="103">
        <v>0</v>
      </c>
      <c r="H197" s="103">
        <v>0</v>
      </c>
      <c r="I197" s="103">
        <v>0</v>
      </c>
      <c r="J197" s="103">
        <v>0</v>
      </c>
      <c r="K197" s="103">
        <v>0</v>
      </c>
      <c r="L197" s="103">
        <v>0</v>
      </c>
      <c r="M197" s="103">
        <v>0</v>
      </c>
      <c r="N197" s="103">
        <v>0</v>
      </c>
      <c r="O197" s="103">
        <v>0</v>
      </c>
      <c r="P197" s="103">
        <v>0</v>
      </c>
      <c r="Q197" s="103">
        <v>0</v>
      </c>
      <c r="R197" s="103">
        <v>0</v>
      </c>
      <c r="S197" s="103">
        <v>0</v>
      </c>
      <c r="T197" s="103">
        <v>0</v>
      </c>
      <c r="U197" s="103">
        <v>0</v>
      </c>
      <c r="V197" s="103">
        <v>0</v>
      </c>
      <c r="W197" s="103">
        <v>0</v>
      </c>
      <c r="X197" s="103">
        <v>0</v>
      </c>
      <c r="Y197" s="103">
        <v>0</v>
      </c>
      <c r="Z197" s="103">
        <v>0</v>
      </c>
      <c r="AA197" s="103">
        <v>0</v>
      </c>
      <c r="AB197" s="103">
        <v>0</v>
      </c>
      <c r="AC197" s="103">
        <v>0</v>
      </c>
      <c r="AD197" s="103">
        <v>0</v>
      </c>
      <c r="AE197" s="103">
        <v>0</v>
      </c>
      <c r="AF197" s="103">
        <v>0</v>
      </c>
      <c r="AG197" s="103">
        <v>0</v>
      </c>
      <c r="AH197" s="103">
        <v>0</v>
      </c>
      <c r="AI197" s="103">
        <v>0</v>
      </c>
      <c r="AJ197" s="103">
        <v>0</v>
      </c>
      <c r="AK197" s="103">
        <v>0</v>
      </c>
      <c r="AL197" s="103">
        <v>0</v>
      </c>
      <c r="AM197" s="103">
        <v>0</v>
      </c>
      <c r="AN197" s="103">
        <v>0</v>
      </c>
      <c r="AO197" s="103">
        <v>0</v>
      </c>
      <c r="AP197" s="103">
        <v>0</v>
      </c>
      <c r="AQ197" s="103">
        <v>0</v>
      </c>
      <c r="AR197" s="103">
        <v>0</v>
      </c>
      <c r="AS197" s="103">
        <v>0</v>
      </c>
      <c r="AT197" s="103">
        <v>0</v>
      </c>
      <c r="AU197" s="103">
        <v>0</v>
      </c>
      <c r="AV197" s="103">
        <v>0</v>
      </c>
      <c r="AW197" s="103">
        <v>0</v>
      </c>
      <c r="AX197" s="103">
        <v>0</v>
      </c>
      <c r="AY197" s="103">
        <v>0</v>
      </c>
    </row>
    <row r="198" spans="1:51" x14ac:dyDescent="0.15">
      <c r="A198" s="106"/>
      <c r="B198" s="116">
        <v>2</v>
      </c>
      <c r="C198" s="103"/>
      <c r="D198" s="103">
        <v>0</v>
      </c>
      <c r="E198" s="103">
        <v>0</v>
      </c>
      <c r="F198" s="103">
        <v>0</v>
      </c>
      <c r="G198" s="103">
        <v>0</v>
      </c>
      <c r="H198" s="103">
        <v>0</v>
      </c>
      <c r="I198" s="103">
        <v>0</v>
      </c>
      <c r="J198" s="103">
        <v>0</v>
      </c>
      <c r="K198" s="103">
        <v>0</v>
      </c>
      <c r="L198" s="103">
        <v>0</v>
      </c>
      <c r="M198" s="103">
        <v>0</v>
      </c>
      <c r="N198" s="103">
        <v>0</v>
      </c>
      <c r="O198" s="103">
        <v>0</v>
      </c>
      <c r="P198" s="103">
        <v>0</v>
      </c>
      <c r="Q198" s="103">
        <v>0</v>
      </c>
      <c r="R198" s="103">
        <v>0</v>
      </c>
      <c r="S198" s="103">
        <v>0</v>
      </c>
      <c r="T198" s="103">
        <v>0</v>
      </c>
      <c r="U198" s="103">
        <v>0</v>
      </c>
      <c r="V198" s="103">
        <v>0</v>
      </c>
      <c r="W198" s="103">
        <v>0</v>
      </c>
      <c r="X198" s="103">
        <v>0</v>
      </c>
      <c r="Y198" s="103">
        <v>0</v>
      </c>
      <c r="Z198" s="103">
        <v>0</v>
      </c>
      <c r="AA198" s="103">
        <v>0</v>
      </c>
      <c r="AB198" s="103">
        <v>0</v>
      </c>
      <c r="AC198" s="103">
        <v>0</v>
      </c>
      <c r="AD198" s="103">
        <v>0</v>
      </c>
      <c r="AE198" s="103">
        <v>0</v>
      </c>
      <c r="AF198" s="103">
        <v>0</v>
      </c>
      <c r="AG198" s="103">
        <v>0</v>
      </c>
      <c r="AH198" s="103">
        <v>0</v>
      </c>
      <c r="AI198" s="103">
        <v>0</v>
      </c>
      <c r="AJ198" s="103">
        <v>0</v>
      </c>
      <c r="AK198" s="103">
        <v>0</v>
      </c>
      <c r="AL198" s="103">
        <v>0</v>
      </c>
      <c r="AM198" s="103">
        <v>0</v>
      </c>
      <c r="AN198" s="103">
        <v>0</v>
      </c>
      <c r="AO198" s="103">
        <v>0</v>
      </c>
      <c r="AP198" s="103">
        <v>0</v>
      </c>
      <c r="AQ198" s="103">
        <v>0</v>
      </c>
      <c r="AR198" s="103">
        <v>0</v>
      </c>
      <c r="AS198" s="103">
        <v>0</v>
      </c>
      <c r="AT198" s="103">
        <v>0</v>
      </c>
      <c r="AU198" s="103">
        <v>0</v>
      </c>
      <c r="AV198" s="103">
        <v>0</v>
      </c>
      <c r="AW198" s="103">
        <v>0</v>
      </c>
      <c r="AX198" s="103">
        <v>0</v>
      </c>
      <c r="AY198" s="103">
        <v>0</v>
      </c>
    </row>
    <row r="199" spans="1:51" x14ac:dyDescent="0.15">
      <c r="A199" s="106"/>
      <c r="B199" s="116">
        <v>3</v>
      </c>
      <c r="C199" s="103"/>
      <c r="D199" s="103">
        <v>0</v>
      </c>
      <c r="E199" s="103">
        <v>0</v>
      </c>
      <c r="F199" s="103">
        <v>0</v>
      </c>
      <c r="G199" s="103">
        <v>0</v>
      </c>
      <c r="H199" s="103">
        <v>0</v>
      </c>
      <c r="I199" s="103">
        <v>0</v>
      </c>
      <c r="J199" s="103">
        <v>0</v>
      </c>
      <c r="K199" s="103">
        <v>0</v>
      </c>
      <c r="L199" s="103">
        <v>0</v>
      </c>
      <c r="M199" s="103">
        <v>0</v>
      </c>
      <c r="N199" s="103">
        <v>0</v>
      </c>
      <c r="O199" s="103">
        <v>0</v>
      </c>
      <c r="P199" s="103">
        <v>0</v>
      </c>
      <c r="Q199" s="103">
        <v>0</v>
      </c>
      <c r="R199" s="103">
        <v>0</v>
      </c>
      <c r="S199" s="103">
        <v>0</v>
      </c>
      <c r="T199" s="103">
        <v>0</v>
      </c>
      <c r="U199" s="103">
        <v>0</v>
      </c>
      <c r="V199" s="103">
        <v>0</v>
      </c>
      <c r="W199" s="103">
        <v>0</v>
      </c>
      <c r="X199" s="103">
        <v>0</v>
      </c>
      <c r="Y199" s="103">
        <v>0</v>
      </c>
      <c r="Z199" s="103">
        <v>0</v>
      </c>
      <c r="AA199" s="103">
        <v>0</v>
      </c>
      <c r="AB199" s="103">
        <v>0</v>
      </c>
      <c r="AC199" s="103">
        <v>0</v>
      </c>
      <c r="AD199" s="103">
        <v>0</v>
      </c>
      <c r="AE199" s="103">
        <v>0</v>
      </c>
      <c r="AF199" s="103">
        <v>0</v>
      </c>
      <c r="AG199" s="103">
        <v>0</v>
      </c>
      <c r="AH199" s="103">
        <v>0</v>
      </c>
      <c r="AI199" s="103">
        <v>0</v>
      </c>
      <c r="AJ199" s="103">
        <v>0</v>
      </c>
      <c r="AK199" s="103">
        <v>0</v>
      </c>
      <c r="AL199" s="103">
        <v>0</v>
      </c>
      <c r="AM199" s="103">
        <v>0</v>
      </c>
      <c r="AN199" s="103">
        <v>0</v>
      </c>
      <c r="AO199" s="103">
        <v>0</v>
      </c>
      <c r="AP199" s="103">
        <v>0</v>
      </c>
      <c r="AQ199" s="103">
        <v>0</v>
      </c>
      <c r="AR199" s="103">
        <v>0</v>
      </c>
      <c r="AS199" s="103">
        <v>0</v>
      </c>
      <c r="AT199" s="103">
        <v>0</v>
      </c>
      <c r="AU199" s="103">
        <v>0</v>
      </c>
      <c r="AV199" s="103">
        <v>0</v>
      </c>
      <c r="AW199" s="103">
        <v>0</v>
      </c>
      <c r="AX199" s="103">
        <v>0</v>
      </c>
      <c r="AY199" s="103">
        <v>0</v>
      </c>
    </row>
    <row r="200" spans="1:51" x14ac:dyDescent="0.15">
      <c r="A200" s="106"/>
      <c r="B200" s="117">
        <v>4</v>
      </c>
      <c r="C200" s="103"/>
      <c r="D200" s="103">
        <v>0</v>
      </c>
      <c r="E200" s="103">
        <v>0</v>
      </c>
      <c r="F200" s="103">
        <v>0</v>
      </c>
      <c r="G200" s="103">
        <v>0</v>
      </c>
      <c r="H200" s="103">
        <v>0</v>
      </c>
      <c r="I200" s="103">
        <v>0</v>
      </c>
      <c r="J200" s="103">
        <v>0</v>
      </c>
      <c r="K200" s="103">
        <v>0</v>
      </c>
      <c r="L200" s="103">
        <v>0</v>
      </c>
      <c r="M200" s="103">
        <v>0</v>
      </c>
      <c r="N200" s="103">
        <v>0</v>
      </c>
      <c r="O200" s="103">
        <v>0</v>
      </c>
      <c r="P200" s="103">
        <v>0</v>
      </c>
      <c r="Q200" s="103">
        <v>0</v>
      </c>
      <c r="R200" s="103">
        <v>0</v>
      </c>
      <c r="S200" s="103">
        <v>0</v>
      </c>
      <c r="T200" s="103">
        <v>0</v>
      </c>
      <c r="U200" s="103">
        <v>0</v>
      </c>
      <c r="V200" s="103">
        <v>0</v>
      </c>
      <c r="W200" s="103">
        <v>0</v>
      </c>
      <c r="X200" s="103">
        <v>0</v>
      </c>
      <c r="Y200" s="103">
        <v>0</v>
      </c>
      <c r="Z200" s="103">
        <v>0</v>
      </c>
      <c r="AA200" s="103">
        <v>0</v>
      </c>
      <c r="AB200" s="103">
        <v>0</v>
      </c>
      <c r="AC200" s="103">
        <v>0</v>
      </c>
      <c r="AD200" s="103">
        <v>0</v>
      </c>
      <c r="AE200" s="103">
        <v>0</v>
      </c>
      <c r="AF200" s="103">
        <v>0</v>
      </c>
      <c r="AG200" s="103">
        <v>0</v>
      </c>
      <c r="AH200" s="103">
        <v>0</v>
      </c>
      <c r="AI200" s="103">
        <v>0</v>
      </c>
      <c r="AJ200" s="103">
        <v>0</v>
      </c>
      <c r="AK200" s="103">
        <v>0</v>
      </c>
      <c r="AL200" s="103">
        <v>0</v>
      </c>
      <c r="AM200" s="103">
        <v>0</v>
      </c>
      <c r="AN200" s="103">
        <v>0</v>
      </c>
      <c r="AO200" s="103">
        <v>0</v>
      </c>
      <c r="AP200" s="103">
        <v>0</v>
      </c>
      <c r="AQ200" s="103">
        <v>0</v>
      </c>
      <c r="AR200" s="103">
        <v>0</v>
      </c>
      <c r="AS200" s="103">
        <v>0</v>
      </c>
      <c r="AT200" s="103">
        <v>0</v>
      </c>
      <c r="AU200" s="103">
        <v>0</v>
      </c>
      <c r="AV200" s="103">
        <v>0</v>
      </c>
      <c r="AW200" s="103">
        <v>0</v>
      </c>
      <c r="AX200" s="103">
        <v>0</v>
      </c>
      <c r="AY200" s="103">
        <v>0</v>
      </c>
    </row>
    <row r="201" spans="1:51" x14ac:dyDescent="0.15">
      <c r="A201" s="106"/>
      <c r="B201" s="117">
        <v>5</v>
      </c>
      <c r="C201" s="103"/>
      <c r="D201" s="103">
        <v>0</v>
      </c>
      <c r="E201" s="103">
        <v>0</v>
      </c>
      <c r="F201" s="103">
        <v>0</v>
      </c>
      <c r="G201" s="103">
        <v>0</v>
      </c>
      <c r="H201" s="103">
        <v>0</v>
      </c>
      <c r="I201" s="103">
        <v>0</v>
      </c>
      <c r="J201" s="103">
        <v>0</v>
      </c>
      <c r="K201" s="103">
        <v>0</v>
      </c>
      <c r="L201" s="103">
        <v>0</v>
      </c>
      <c r="M201" s="103">
        <v>0</v>
      </c>
      <c r="N201" s="103">
        <v>0</v>
      </c>
      <c r="O201" s="103">
        <v>0</v>
      </c>
      <c r="P201" s="103">
        <v>0</v>
      </c>
      <c r="Q201" s="103">
        <v>0</v>
      </c>
      <c r="R201" s="103">
        <v>0</v>
      </c>
      <c r="S201" s="103">
        <v>0</v>
      </c>
      <c r="T201" s="103">
        <v>0</v>
      </c>
      <c r="U201" s="103">
        <v>0</v>
      </c>
      <c r="V201" s="103">
        <v>0</v>
      </c>
      <c r="W201" s="103">
        <v>0</v>
      </c>
      <c r="X201" s="103">
        <v>0</v>
      </c>
      <c r="Y201" s="103">
        <v>0</v>
      </c>
      <c r="Z201" s="103">
        <v>0</v>
      </c>
      <c r="AA201" s="103">
        <v>0</v>
      </c>
      <c r="AB201" s="103">
        <v>0</v>
      </c>
      <c r="AC201" s="103">
        <v>0</v>
      </c>
      <c r="AD201" s="103">
        <v>0</v>
      </c>
      <c r="AE201" s="103">
        <v>0</v>
      </c>
      <c r="AF201" s="103">
        <v>0</v>
      </c>
      <c r="AG201" s="103">
        <v>0</v>
      </c>
      <c r="AH201" s="103">
        <v>0</v>
      </c>
      <c r="AI201" s="103">
        <v>0</v>
      </c>
      <c r="AJ201" s="103">
        <v>0</v>
      </c>
      <c r="AK201" s="103">
        <v>0</v>
      </c>
      <c r="AL201" s="103">
        <v>0</v>
      </c>
      <c r="AM201" s="103">
        <v>0</v>
      </c>
      <c r="AN201" s="103">
        <v>0</v>
      </c>
      <c r="AO201" s="103">
        <v>0</v>
      </c>
      <c r="AP201" s="103">
        <v>0</v>
      </c>
      <c r="AQ201" s="103">
        <v>0</v>
      </c>
      <c r="AR201" s="103">
        <v>0</v>
      </c>
      <c r="AS201" s="103">
        <v>0</v>
      </c>
      <c r="AT201" s="103">
        <v>0</v>
      </c>
      <c r="AU201" s="103">
        <v>0</v>
      </c>
      <c r="AV201" s="103">
        <v>0</v>
      </c>
      <c r="AW201" s="103">
        <v>0</v>
      </c>
      <c r="AX201" s="103">
        <v>0</v>
      </c>
      <c r="AY201" s="103">
        <v>0</v>
      </c>
    </row>
    <row r="202" spans="1:51" x14ac:dyDescent="0.15">
      <c r="A202" s="106"/>
      <c r="B202" s="117">
        <v>6</v>
      </c>
      <c r="C202" s="103"/>
      <c r="D202" s="103">
        <v>0</v>
      </c>
      <c r="E202" s="103">
        <v>0</v>
      </c>
      <c r="F202" s="103">
        <v>0</v>
      </c>
      <c r="G202" s="103">
        <v>0</v>
      </c>
      <c r="H202" s="103">
        <v>0</v>
      </c>
      <c r="I202" s="103">
        <v>0</v>
      </c>
      <c r="J202" s="103">
        <v>0</v>
      </c>
      <c r="K202" s="103">
        <v>0</v>
      </c>
      <c r="L202" s="103">
        <v>0</v>
      </c>
      <c r="M202" s="103">
        <v>0</v>
      </c>
      <c r="N202" s="103">
        <v>0</v>
      </c>
      <c r="O202" s="103">
        <v>0</v>
      </c>
      <c r="P202" s="103">
        <v>0</v>
      </c>
      <c r="Q202" s="103">
        <v>0</v>
      </c>
      <c r="R202" s="103">
        <v>0</v>
      </c>
      <c r="S202" s="103">
        <v>0</v>
      </c>
      <c r="T202" s="103">
        <v>0</v>
      </c>
      <c r="U202" s="103">
        <v>0</v>
      </c>
      <c r="V202" s="103">
        <v>0</v>
      </c>
      <c r="W202" s="103">
        <v>0</v>
      </c>
      <c r="X202" s="103">
        <v>0</v>
      </c>
      <c r="Y202" s="103">
        <v>0</v>
      </c>
      <c r="Z202" s="103">
        <v>0</v>
      </c>
      <c r="AA202" s="103">
        <v>0</v>
      </c>
      <c r="AB202" s="103">
        <v>0</v>
      </c>
      <c r="AC202" s="103">
        <v>0</v>
      </c>
      <c r="AD202" s="103">
        <v>0</v>
      </c>
      <c r="AE202" s="103">
        <v>0</v>
      </c>
      <c r="AF202" s="103">
        <v>0</v>
      </c>
      <c r="AG202" s="103">
        <v>0</v>
      </c>
      <c r="AH202" s="103">
        <v>0</v>
      </c>
      <c r="AI202" s="103">
        <v>0</v>
      </c>
      <c r="AJ202" s="103">
        <v>0</v>
      </c>
      <c r="AK202" s="103">
        <v>0</v>
      </c>
      <c r="AL202" s="103">
        <v>0</v>
      </c>
      <c r="AM202" s="103">
        <v>0</v>
      </c>
      <c r="AN202" s="103">
        <v>0</v>
      </c>
      <c r="AO202" s="103">
        <v>0</v>
      </c>
      <c r="AP202" s="103">
        <v>0</v>
      </c>
      <c r="AQ202" s="103">
        <v>0</v>
      </c>
      <c r="AR202" s="103">
        <v>0</v>
      </c>
      <c r="AS202" s="103">
        <v>0</v>
      </c>
      <c r="AT202" s="103">
        <v>0</v>
      </c>
      <c r="AU202" s="103">
        <v>0</v>
      </c>
      <c r="AV202" s="103">
        <v>0</v>
      </c>
      <c r="AW202" s="103">
        <v>0</v>
      </c>
      <c r="AX202" s="103">
        <v>0</v>
      </c>
      <c r="AY202" s="103">
        <v>0</v>
      </c>
    </row>
    <row r="203" spans="1:51" x14ac:dyDescent="0.15">
      <c r="A203" s="106"/>
      <c r="B203" s="124">
        <v>7</v>
      </c>
      <c r="C203" s="103"/>
      <c r="D203" s="103">
        <v>0</v>
      </c>
      <c r="E203" s="103">
        <v>0</v>
      </c>
      <c r="F203" s="103">
        <v>0</v>
      </c>
      <c r="G203" s="103">
        <v>0</v>
      </c>
      <c r="H203" s="103">
        <v>0</v>
      </c>
      <c r="I203" s="103">
        <v>0</v>
      </c>
      <c r="J203" s="103">
        <v>0</v>
      </c>
      <c r="K203" s="103">
        <v>0</v>
      </c>
      <c r="L203" s="103">
        <v>0</v>
      </c>
      <c r="M203" s="103">
        <v>0</v>
      </c>
      <c r="N203" s="103">
        <v>0</v>
      </c>
      <c r="O203" s="103">
        <v>0</v>
      </c>
      <c r="P203" s="103">
        <v>0</v>
      </c>
      <c r="Q203" s="103">
        <v>0</v>
      </c>
      <c r="R203" s="103">
        <v>0</v>
      </c>
      <c r="S203" s="103">
        <v>0</v>
      </c>
      <c r="T203" s="103">
        <v>0</v>
      </c>
      <c r="U203" s="103">
        <v>0</v>
      </c>
      <c r="V203" s="103">
        <v>0</v>
      </c>
      <c r="W203" s="103">
        <v>0</v>
      </c>
      <c r="X203" s="103">
        <v>0</v>
      </c>
      <c r="Y203" s="103">
        <v>0</v>
      </c>
      <c r="Z203" s="103">
        <v>0</v>
      </c>
      <c r="AA203" s="103">
        <v>0</v>
      </c>
      <c r="AB203" s="103">
        <v>0</v>
      </c>
      <c r="AC203" s="103">
        <v>0</v>
      </c>
      <c r="AD203" s="103">
        <v>0</v>
      </c>
      <c r="AE203" s="103">
        <v>0</v>
      </c>
      <c r="AF203" s="103">
        <v>0</v>
      </c>
      <c r="AG203" s="103">
        <v>0</v>
      </c>
      <c r="AH203" s="103">
        <v>0</v>
      </c>
      <c r="AI203" s="103">
        <v>0</v>
      </c>
      <c r="AJ203" s="103">
        <v>0</v>
      </c>
      <c r="AK203" s="103">
        <v>0</v>
      </c>
      <c r="AL203" s="103">
        <v>0</v>
      </c>
      <c r="AM203" s="103">
        <v>0</v>
      </c>
      <c r="AN203" s="103">
        <v>0</v>
      </c>
      <c r="AO203" s="103">
        <v>0</v>
      </c>
      <c r="AP203" s="103">
        <v>0</v>
      </c>
      <c r="AQ203" s="103">
        <v>0</v>
      </c>
      <c r="AR203" s="103">
        <v>0</v>
      </c>
      <c r="AS203" s="103">
        <v>0</v>
      </c>
      <c r="AT203" s="103">
        <v>0</v>
      </c>
      <c r="AU203" s="103">
        <v>0</v>
      </c>
      <c r="AV203" s="103">
        <v>0</v>
      </c>
      <c r="AW203" s="103">
        <v>0</v>
      </c>
      <c r="AX203" s="103">
        <v>0</v>
      </c>
      <c r="AY203" s="103">
        <v>0</v>
      </c>
    </row>
    <row r="204" spans="1:51" x14ac:dyDescent="0.15">
      <c r="A204" s="106"/>
      <c r="B204" s="124">
        <v>8</v>
      </c>
      <c r="C204" s="103"/>
      <c r="D204" s="103">
        <v>0</v>
      </c>
      <c r="E204" s="103">
        <v>0</v>
      </c>
      <c r="F204" s="103">
        <v>0</v>
      </c>
      <c r="G204" s="103">
        <v>0</v>
      </c>
      <c r="H204" s="103">
        <v>0</v>
      </c>
      <c r="I204" s="103">
        <v>0</v>
      </c>
      <c r="J204" s="103">
        <v>0</v>
      </c>
      <c r="K204" s="103">
        <v>0</v>
      </c>
      <c r="L204" s="103">
        <v>0</v>
      </c>
      <c r="M204" s="103">
        <v>0</v>
      </c>
      <c r="N204" s="103">
        <v>0</v>
      </c>
      <c r="O204" s="103">
        <v>0</v>
      </c>
      <c r="P204" s="103">
        <v>0</v>
      </c>
      <c r="Q204" s="103">
        <v>0</v>
      </c>
      <c r="R204" s="103">
        <v>0</v>
      </c>
      <c r="S204" s="103">
        <v>0</v>
      </c>
      <c r="T204" s="103">
        <v>0</v>
      </c>
      <c r="U204" s="103">
        <v>0</v>
      </c>
      <c r="V204" s="103">
        <v>0</v>
      </c>
      <c r="W204" s="103">
        <v>0</v>
      </c>
      <c r="X204" s="103">
        <v>0</v>
      </c>
      <c r="Y204" s="103">
        <v>0</v>
      </c>
      <c r="Z204" s="103">
        <v>0</v>
      </c>
      <c r="AA204" s="103">
        <v>0</v>
      </c>
      <c r="AB204" s="103">
        <v>0</v>
      </c>
      <c r="AC204" s="103">
        <v>0</v>
      </c>
      <c r="AD204" s="103">
        <v>0</v>
      </c>
      <c r="AE204" s="103">
        <v>0</v>
      </c>
      <c r="AF204" s="103">
        <v>0</v>
      </c>
      <c r="AG204" s="103">
        <v>0</v>
      </c>
      <c r="AH204" s="103">
        <v>0</v>
      </c>
      <c r="AI204" s="103">
        <v>0</v>
      </c>
      <c r="AJ204" s="103">
        <v>0</v>
      </c>
      <c r="AK204" s="103">
        <v>0</v>
      </c>
      <c r="AL204" s="103">
        <v>0</v>
      </c>
      <c r="AM204" s="103">
        <v>0</v>
      </c>
      <c r="AN204" s="103">
        <v>0</v>
      </c>
      <c r="AO204" s="103">
        <v>0</v>
      </c>
      <c r="AP204" s="103">
        <v>0</v>
      </c>
      <c r="AQ204" s="103">
        <v>0</v>
      </c>
      <c r="AR204" s="103">
        <v>0</v>
      </c>
      <c r="AS204" s="103">
        <v>0</v>
      </c>
      <c r="AT204" s="103">
        <v>0</v>
      </c>
      <c r="AU204" s="103">
        <v>0</v>
      </c>
      <c r="AV204" s="103">
        <v>0</v>
      </c>
      <c r="AW204" s="103">
        <v>0</v>
      </c>
      <c r="AX204" s="103">
        <v>0</v>
      </c>
      <c r="AY204" s="103">
        <v>0</v>
      </c>
    </row>
    <row r="205" spans="1:51" x14ac:dyDescent="0.15">
      <c r="A205" s="106"/>
      <c r="B205" s="124">
        <v>9</v>
      </c>
      <c r="C205" s="103"/>
      <c r="D205" s="103">
        <v>0</v>
      </c>
      <c r="E205" s="103">
        <v>0</v>
      </c>
      <c r="F205" s="103">
        <v>0</v>
      </c>
      <c r="G205" s="103">
        <v>0</v>
      </c>
      <c r="H205" s="103">
        <v>0</v>
      </c>
      <c r="I205" s="103">
        <v>0</v>
      </c>
      <c r="J205" s="103">
        <v>0</v>
      </c>
      <c r="K205" s="103">
        <v>0</v>
      </c>
      <c r="L205" s="103">
        <v>0</v>
      </c>
      <c r="M205" s="103">
        <v>0</v>
      </c>
      <c r="N205" s="103">
        <v>0</v>
      </c>
      <c r="O205" s="103">
        <v>0</v>
      </c>
      <c r="P205" s="103">
        <v>0</v>
      </c>
      <c r="Q205" s="103">
        <v>0</v>
      </c>
      <c r="R205" s="103">
        <v>0</v>
      </c>
      <c r="S205" s="103">
        <v>0</v>
      </c>
      <c r="T205" s="103">
        <v>0</v>
      </c>
      <c r="U205" s="103">
        <v>0</v>
      </c>
      <c r="V205" s="103">
        <v>0</v>
      </c>
      <c r="W205" s="103">
        <v>0</v>
      </c>
      <c r="X205" s="103">
        <v>0</v>
      </c>
      <c r="Y205" s="103">
        <v>0</v>
      </c>
      <c r="Z205" s="103">
        <v>0</v>
      </c>
      <c r="AA205" s="103">
        <v>0</v>
      </c>
      <c r="AB205" s="103">
        <v>0</v>
      </c>
      <c r="AC205" s="103">
        <v>0</v>
      </c>
      <c r="AD205" s="103">
        <v>0</v>
      </c>
      <c r="AE205" s="103">
        <v>0</v>
      </c>
      <c r="AF205" s="103">
        <v>0</v>
      </c>
      <c r="AG205" s="103">
        <v>0</v>
      </c>
      <c r="AH205" s="103">
        <v>0</v>
      </c>
      <c r="AI205" s="103">
        <v>0</v>
      </c>
      <c r="AJ205" s="103">
        <v>0</v>
      </c>
      <c r="AK205" s="103">
        <v>0</v>
      </c>
      <c r="AL205" s="103">
        <v>0</v>
      </c>
      <c r="AM205" s="103">
        <v>0</v>
      </c>
      <c r="AN205" s="103">
        <v>0</v>
      </c>
      <c r="AO205" s="103">
        <v>0</v>
      </c>
      <c r="AP205" s="103">
        <v>0</v>
      </c>
      <c r="AQ205" s="103">
        <v>0</v>
      </c>
      <c r="AR205" s="103">
        <v>0</v>
      </c>
      <c r="AS205" s="103">
        <v>0</v>
      </c>
      <c r="AT205" s="103">
        <v>0</v>
      </c>
      <c r="AU205" s="103">
        <v>0</v>
      </c>
      <c r="AV205" s="103">
        <v>0</v>
      </c>
      <c r="AW205" s="103">
        <v>0</v>
      </c>
      <c r="AX205" s="103">
        <v>0</v>
      </c>
      <c r="AY205" s="103">
        <v>0</v>
      </c>
    </row>
    <row r="206" spans="1:51" x14ac:dyDescent="0.15">
      <c r="A206" s="106"/>
      <c r="B206" s="127">
        <v>10</v>
      </c>
      <c r="C206" s="103"/>
      <c r="D206" s="103">
        <v>0</v>
      </c>
      <c r="E206" s="103">
        <v>0</v>
      </c>
      <c r="F206" s="103">
        <v>0</v>
      </c>
      <c r="G206" s="103">
        <v>0</v>
      </c>
      <c r="H206" s="103">
        <v>0</v>
      </c>
      <c r="I206" s="103">
        <v>0</v>
      </c>
      <c r="J206" s="103">
        <v>0</v>
      </c>
      <c r="K206" s="103">
        <v>0</v>
      </c>
      <c r="L206" s="103">
        <v>0</v>
      </c>
      <c r="M206" s="103">
        <v>0</v>
      </c>
      <c r="N206" s="103">
        <v>0</v>
      </c>
      <c r="O206" s="103">
        <v>0</v>
      </c>
      <c r="P206" s="103">
        <v>0</v>
      </c>
      <c r="Q206" s="103">
        <v>0</v>
      </c>
      <c r="R206" s="103">
        <v>0</v>
      </c>
      <c r="S206" s="103">
        <v>0</v>
      </c>
      <c r="T206" s="103">
        <v>0</v>
      </c>
      <c r="U206" s="103">
        <v>0</v>
      </c>
      <c r="V206" s="103">
        <v>0</v>
      </c>
      <c r="W206" s="103">
        <v>0</v>
      </c>
      <c r="X206" s="103">
        <v>0</v>
      </c>
      <c r="Y206" s="103">
        <v>0</v>
      </c>
      <c r="Z206" s="103">
        <v>0</v>
      </c>
      <c r="AA206" s="103">
        <v>0</v>
      </c>
      <c r="AB206" s="103">
        <v>0</v>
      </c>
      <c r="AC206" s="103">
        <v>0</v>
      </c>
      <c r="AD206" s="103">
        <v>0</v>
      </c>
      <c r="AE206" s="103">
        <v>0</v>
      </c>
      <c r="AF206" s="103">
        <v>0</v>
      </c>
      <c r="AG206" s="103">
        <v>0</v>
      </c>
      <c r="AH206" s="103">
        <v>0</v>
      </c>
      <c r="AI206" s="103">
        <v>0</v>
      </c>
      <c r="AJ206" s="103">
        <v>0</v>
      </c>
      <c r="AK206" s="103">
        <v>0</v>
      </c>
      <c r="AL206" s="103">
        <v>0</v>
      </c>
      <c r="AM206" s="103">
        <v>0</v>
      </c>
      <c r="AN206" s="103">
        <v>0</v>
      </c>
      <c r="AO206" s="103">
        <v>0</v>
      </c>
      <c r="AP206" s="103">
        <v>0</v>
      </c>
      <c r="AQ206" s="103">
        <v>0</v>
      </c>
      <c r="AR206" s="103">
        <v>0</v>
      </c>
      <c r="AS206" s="103">
        <v>0</v>
      </c>
      <c r="AT206" s="103">
        <v>0</v>
      </c>
      <c r="AU206" s="103">
        <v>0</v>
      </c>
      <c r="AV206" s="103">
        <v>0</v>
      </c>
      <c r="AW206" s="103">
        <v>0</v>
      </c>
      <c r="AX206" s="103">
        <v>0</v>
      </c>
      <c r="AY206" s="103">
        <v>0</v>
      </c>
    </row>
    <row r="207" spans="1:51" x14ac:dyDescent="0.15">
      <c r="A207" s="106"/>
      <c r="B207" s="127">
        <v>11</v>
      </c>
      <c r="C207" s="103"/>
      <c r="D207" s="103">
        <v>0</v>
      </c>
      <c r="E207" s="103">
        <v>0</v>
      </c>
      <c r="F207" s="103">
        <v>0</v>
      </c>
      <c r="G207" s="103">
        <v>0</v>
      </c>
      <c r="H207" s="103">
        <v>0</v>
      </c>
      <c r="I207" s="103">
        <v>0</v>
      </c>
      <c r="J207" s="103">
        <v>0</v>
      </c>
      <c r="K207" s="103">
        <v>0</v>
      </c>
      <c r="L207" s="103">
        <v>0</v>
      </c>
      <c r="M207" s="103">
        <v>0</v>
      </c>
      <c r="N207" s="103">
        <v>0</v>
      </c>
      <c r="O207" s="103">
        <v>0</v>
      </c>
      <c r="P207" s="103">
        <v>0</v>
      </c>
      <c r="Q207" s="103">
        <v>0</v>
      </c>
      <c r="R207" s="103">
        <v>0</v>
      </c>
      <c r="S207" s="103">
        <v>0</v>
      </c>
      <c r="T207" s="103">
        <v>0</v>
      </c>
      <c r="U207" s="103">
        <v>0</v>
      </c>
      <c r="V207" s="103">
        <v>0</v>
      </c>
      <c r="W207" s="103">
        <v>0</v>
      </c>
      <c r="X207" s="103">
        <v>0</v>
      </c>
      <c r="Y207" s="103">
        <v>0</v>
      </c>
      <c r="Z207" s="103">
        <v>0</v>
      </c>
      <c r="AA207" s="103">
        <v>0</v>
      </c>
      <c r="AB207" s="103">
        <v>0</v>
      </c>
      <c r="AC207" s="103">
        <v>0</v>
      </c>
      <c r="AD207" s="103">
        <v>0</v>
      </c>
      <c r="AE207" s="103">
        <v>0</v>
      </c>
      <c r="AF207" s="103">
        <v>0</v>
      </c>
      <c r="AG207" s="103">
        <v>0</v>
      </c>
      <c r="AH207" s="103">
        <v>0</v>
      </c>
      <c r="AI207" s="103">
        <v>0</v>
      </c>
      <c r="AJ207" s="103">
        <v>0</v>
      </c>
      <c r="AK207" s="103">
        <v>0</v>
      </c>
      <c r="AL207" s="103">
        <v>0</v>
      </c>
      <c r="AM207" s="103">
        <v>0</v>
      </c>
      <c r="AN207" s="103">
        <v>0</v>
      </c>
      <c r="AO207" s="103">
        <v>0</v>
      </c>
      <c r="AP207" s="103">
        <v>0</v>
      </c>
      <c r="AQ207" s="103">
        <v>0</v>
      </c>
      <c r="AR207" s="103">
        <v>0</v>
      </c>
      <c r="AS207" s="103">
        <v>0</v>
      </c>
      <c r="AT207" s="103">
        <v>0</v>
      </c>
      <c r="AU207" s="103">
        <v>0</v>
      </c>
      <c r="AV207" s="103">
        <v>0</v>
      </c>
      <c r="AW207" s="103">
        <v>0</v>
      </c>
      <c r="AX207" s="103">
        <v>0</v>
      </c>
      <c r="AY207" s="103">
        <v>0</v>
      </c>
    </row>
    <row r="208" spans="1:51" x14ac:dyDescent="0.15">
      <c r="A208" s="106"/>
      <c r="B208" s="127">
        <v>12</v>
      </c>
      <c r="C208" s="103"/>
      <c r="D208" s="103">
        <v>0</v>
      </c>
      <c r="E208" s="103">
        <v>0</v>
      </c>
      <c r="F208" s="103">
        <v>0</v>
      </c>
      <c r="G208" s="103">
        <v>0</v>
      </c>
      <c r="H208" s="103">
        <v>0</v>
      </c>
      <c r="I208" s="103">
        <v>0</v>
      </c>
      <c r="J208" s="103">
        <v>0</v>
      </c>
      <c r="K208" s="103">
        <v>0</v>
      </c>
      <c r="L208" s="103">
        <v>0</v>
      </c>
      <c r="M208" s="103">
        <v>0</v>
      </c>
      <c r="N208" s="103">
        <v>0</v>
      </c>
      <c r="O208" s="103">
        <v>0</v>
      </c>
      <c r="P208" s="103">
        <v>0</v>
      </c>
      <c r="Q208" s="103">
        <v>0</v>
      </c>
      <c r="R208" s="103">
        <v>0</v>
      </c>
      <c r="S208" s="103">
        <v>0</v>
      </c>
      <c r="T208" s="103">
        <v>0</v>
      </c>
      <c r="U208" s="103">
        <v>0</v>
      </c>
      <c r="V208" s="103">
        <v>0</v>
      </c>
      <c r="W208" s="103">
        <v>0</v>
      </c>
      <c r="X208" s="103">
        <v>0</v>
      </c>
      <c r="Y208" s="103">
        <v>0</v>
      </c>
      <c r="Z208" s="103">
        <v>0</v>
      </c>
      <c r="AA208" s="103">
        <v>0</v>
      </c>
      <c r="AB208" s="103">
        <v>0</v>
      </c>
      <c r="AC208" s="103">
        <v>0</v>
      </c>
      <c r="AD208" s="103">
        <v>0</v>
      </c>
      <c r="AE208" s="103">
        <v>0</v>
      </c>
      <c r="AF208" s="103">
        <v>0</v>
      </c>
      <c r="AG208" s="103">
        <v>0</v>
      </c>
      <c r="AH208" s="103">
        <v>0</v>
      </c>
      <c r="AI208" s="103">
        <v>0</v>
      </c>
      <c r="AJ208" s="103">
        <v>0</v>
      </c>
      <c r="AK208" s="103">
        <v>0</v>
      </c>
      <c r="AL208" s="103">
        <v>0</v>
      </c>
      <c r="AM208" s="103">
        <v>0</v>
      </c>
      <c r="AN208" s="103">
        <v>0</v>
      </c>
      <c r="AO208" s="103">
        <v>0</v>
      </c>
      <c r="AP208" s="103">
        <v>0</v>
      </c>
      <c r="AQ208" s="103">
        <v>0</v>
      </c>
      <c r="AR208" s="103">
        <v>0</v>
      </c>
      <c r="AS208" s="103">
        <v>0</v>
      </c>
      <c r="AT208" s="103">
        <v>0</v>
      </c>
      <c r="AU208" s="103">
        <v>0</v>
      </c>
      <c r="AV208" s="103">
        <v>0</v>
      </c>
      <c r="AW208" s="103">
        <v>0</v>
      </c>
      <c r="AX208" s="103">
        <v>0</v>
      </c>
      <c r="AY208" s="103">
        <v>0</v>
      </c>
    </row>
    <row r="209" spans="1:51" x14ac:dyDescent="0.15">
      <c r="A209" s="123" t="s">
        <v>123</v>
      </c>
      <c r="B209" s="120">
        <v>1</v>
      </c>
      <c r="C209" s="121"/>
      <c r="D209" s="121">
        <v>0</v>
      </c>
      <c r="E209" s="121">
        <v>0</v>
      </c>
      <c r="F209" s="121">
        <v>0</v>
      </c>
      <c r="G209" s="121">
        <v>0</v>
      </c>
      <c r="H209" s="121">
        <v>0</v>
      </c>
      <c r="I209" s="121">
        <v>0</v>
      </c>
      <c r="J209" s="121">
        <v>0</v>
      </c>
      <c r="K209" s="121">
        <v>0</v>
      </c>
      <c r="L209" s="121">
        <v>0</v>
      </c>
      <c r="M209" s="121">
        <v>0</v>
      </c>
      <c r="N209" s="121">
        <v>0</v>
      </c>
      <c r="O209" s="121">
        <v>0</v>
      </c>
      <c r="P209" s="121">
        <v>0</v>
      </c>
      <c r="Q209" s="121">
        <v>0</v>
      </c>
      <c r="R209" s="121">
        <v>0</v>
      </c>
      <c r="S209" s="121">
        <v>0</v>
      </c>
      <c r="T209" s="121">
        <v>0</v>
      </c>
      <c r="U209" s="121">
        <v>0</v>
      </c>
      <c r="V209" s="121">
        <v>0</v>
      </c>
      <c r="W209" s="121">
        <v>0</v>
      </c>
      <c r="X209" s="121">
        <v>0</v>
      </c>
      <c r="Y209" s="121">
        <v>0</v>
      </c>
      <c r="Z209" s="121">
        <v>0</v>
      </c>
      <c r="AA209" s="121">
        <v>0</v>
      </c>
      <c r="AB209" s="121">
        <v>0</v>
      </c>
      <c r="AC209" s="121">
        <v>0</v>
      </c>
      <c r="AD209" s="121">
        <v>0</v>
      </c>
      <c r="AE209" s="121">
        <v>0</v>
      </c>
      <c r="AF209" s="121">
        <v>0</v>
      </c>
      <c r="AG209" s="121">
        <v>0</v>
      </c>
      <c r="AH209" s="121">
        <v>0</v>
      </c>
      <c r="AI209" s="121">
        <v>0</v>
      </c>
      <c r="AJ209" s="121">
        <v>0</v>
      </c>
      <c r="AK209" s="121">
        <v>0</v>
      </c>
      <c r="AL209" s="121">
        <v>0</v>
      </c>
      <c r="AM209" s="121">
        <v>0</v>
      </c>
      <c r="AN209" s="121">
        <v>0</v>
      </c>
      <c r="AO209" s="121">
        <v>0</v>
      </c>
      <c r="AP209" s="121">
        <v>0</v>
      </c>
      <c r="AQ209" s="121">
        <v>0</v>
      </c>
      <c r="AR209" s="121">
        <v>0</v>
      </c>
      <c r="AS209" s="121">
        <v>0</v>
      </c>
      <c r="AT209" s="121">
        <v>0</v>
      </c>
      <c r="AU209" s="121">
        <v>0</v>
      </c>
      <c r="AV209" s="121">
        <v>0</v>
      </c>
      <c r="AW209" s="121">
        <v>0</v>
      </c>
      <c r="AX209" s="121">
        <v>0</v>
      </c>
      <c r="AY209" s="121">
        <v>0</v>
      </c>
    </row>
    <row r="210" spans="1:51" x14ac:dyDescent="0.15">
      <c r="A210" s="106"/>
      <c r="B210" s="116">
        <v>2</v>
      </c>
      <c r="C210" s="103"/>
      <c r="D210" s="107">
        <v>0</v>
      </c>
      <c r="E210" s="107">
        <v>0</v>
      </c>
      <c r="F210" s="107">
        <v>0</v>
      </c>
      <c r="G210" s="107">
        <v>0</v>
      </c>
      <c r="H210" s="107">
        <v>0</v>
      </c>
      <c r="I210" s="107">
        <v>0</v>
      </c>
      <c r="J210" s="107">
        <v>0</v>
      </c>
      <c r="K210" s="107">
        <v>0</v>
      </c>
      <c r="L210" s="107">
        <v>0</v>
      </c>
      <c r="M210" s="107">
        <v>0</v>
      </c>
      <c r="N210" s="107">
        <v>0</v>
      </c>
      <c r="O210" s="107">
        <v>0</v>
      </c>
      <c r="P210" s="107">
        <v>0</v>
      </c>
      <c r="Q210" s="107">
        <v>0</v>
      </c>
      <c r="R210" s="107">
        <v>0</v>
      </c>
      <c r="S210" s="107">
        <v>0</v>
      </c>
      <c r="T210" s="107">
        <v>0</v>
      </c>
      <c r="U210" s="107">
        <v>0</v>
      </c>
      <c r="V210" s="107">
        <v>0</v>
      </c>
      <c r="W210" s="107">
        <v>0</v>
      </c>
      <c r="X210" s="107">
        <v>0</v>
      </c>
      <c r="Y210" s="107">
        <v>0</v>
      </c>
      <c r="Z210" s="107">
        <v>0</v>
      </c>
      <c r="AA210" s="107">
        <v>0</v>
      </c>
      <c r="AB210" s="107">
        <v>0</v>
      </c>
      <c r="AC210" s="107">
        <v>0</v>
      </c>
      <c r="AD210" s="107">
        <v>0</v>
      </c>
      <c r="AE210" s="107">
        <v>0</v>
      </c>
      <c r="AF210" s="107">
        <v>0</v>
      </c>
      <c r="AG210" s="107">
        <v>0</v>
      </c>
      <c r="AH210" s="107">
        <v>0</v>
      </c>
      <c r="AI210" s="107">
        <v>0</v>
      </c>
      <c r="AJ210" s="107">
        <v>0</v>
      </c>
      <c r="AK210" s="107">
        <v>0</v>
      </c>
      <c r="AL210" s="107">
        <v>0</v>
      </c>
      <c r="AM210" s="107">
        <v>0</v>
      </c>
      <c r="AN210" s="107">
        <v>0</v>
      </c>
      <c r="AO210" s="107">
        <v>0</v>
      </c>
      <c r="AP210" s="107">
        <v>0</v>
      </c>
      <c r="AQ210" s="107">
        <v>0</v>
      </c>
      <c r="AR210" s="107">
        <v>0</v>
      </c>
      <c r="AS210" s="107">
        <v>0</v>
      </c>
      <c r="AT210" s="107">
        <v>0</v>
      </c>
      <c r="AU210" s="107">
        <v>0</v>
      </c>
      <c r="AV210" s="107">
        <v>0</v>
      </c>
      <c r="AW210" s="107">
        <v>0</v>
      </c>
      <c r="AX210" s="107">
        <v>0</v>
      </c>
      <c r="AY210" s="107">
        <v>0</v>
      </c>
    </row>
    <row r="211" spans="1:51" x14ac:dyDescent="0.15">
      <c r="A211" s="106"/>
      <c r="B211" s="116">
        <v>3</v>
      </c>
      <c r="C211" s="103"/>
      <c r="D211" s="107">
        <v>0</v>
      </c>
      <c r="E211" s="107">
        <v>0</v>
      </c>
      <c r="F211" s="107">
        <v>0</v>
      </c>
      <c r="G211" s="107">
        <v>0</v>
      </c>
      <c r="H211" s="107">
        <v>0</v>
      </c>
      <c r="I211" s="107">
        <v>0</v>
      </c>
      <c r="J211" s="107">
        <v>0</v>
      </c>
      <c r="K211" s="107">
        <v>0</v>
      </c>
      <c r="L211" s="107">
        <v>0</v>
      </c>
      <c r="M211" s="107">
        <v>0</v>
      </c>
      <c r="N211" s="107">
        <v>0</v>
      </c>
      <c r="O211" s="107">
        <v>0</v>
      </c>
      <c r="P211" s="107">
        <v>0</v>
      </c>
      <c r="Q211" s="107">
        <v>0</v>
      </c>
      <c r="R211" s="107">
        <v>0</v>
      </c>
      <c r="S211" s="107">
        <v>0</v>
      </c>
      <c r="T211" s="107">
        <v>0</v>
      </c>
      <c r="U211" s="107">
        <v>0</v>
      </c>
      <c r="V211" s="107">
        <v>0</v>
      </c>
      <c r="W211" s="107">
        <v>0</v>
      </c>
      <c r="X211" s="107">
        <v>0</v>
      </c>
      <c r="Y211" s="107">
        <v>0</v>
      </c>
      <c r="Z211" s="107">
        <v>0</v>
      </c>
      <c r="AA211" s="107">
        <v>0</v>
      </c>
      <c r="AB211" s="107">
        <v>0</v>
      </c>
      <c r="AC211" s="107">
        <v>0</v>
      </c>
      <c r="AD211" s="107">
        <v>0</v>
      </c>
      <c r="AE211" s="107">
        <v>0</v>
      </c>
      <c r="AF211" s="107">
        <v>0</v>
      </c>
      <c r="AG211" s="107">
        <v>0</v>
      </c>
      <c r="AH211" s="107">
        <v>0</v>
      </c>
      <c r="AI211" s="107">
        <v>0</v>
      </c>
      <c r="AJ211" s="107">
        <v>0</v>
      </c>
      <c r="AK211" s="107">
        <v>0</v>
      </c>
      <c r="AL211" s="107">
        <v>0</v>
      </c>
      <c r="AM211" s="107">
        <v>0</v>
      </c>
      <c r="AN211" s="107">
        <v>0</v>
      </c>
      <c r="AO211" s="107">
        <v>0</v>
      </c>
      <c r="AP211" s="107">
        <v>0</v>
      </c>
      <c r="AQ211" s="107">
        <v>0</v>
      </c>
      <c r="AR211" s="107">
        <v>0</v>
      </c>
      <c r="AS211" s="107">
        <v>0</v>
      </c>
      <c r="AT211" s="107">
        <v>0</v>
      </c>
      <c r="AU211" s="107">
        <v>0</v>
      </c>
      <c r="AV211" s="107">
        <v>0</v>
      </c>
      <c r="AW211" s="107">
        <v>0</v>
      </c>
      <c r="AX211" s="107">
        <v>0</v>
      </c>
      <c r="AY211" s="107">
        <v>0</v>
      </c>
    </row>
    <row r="212" spans="1:51" x14ac:dyDescent="0.15">
      <c r="A212" s="106"/>
      <c r="B212" s="116">
        <v>4</v>
      </c>
      <c r="C212" s="103"/>
      <c r="D212" s="107">
        <v>0</v>
      </c>
      <c r="E212" s="107">
        <v>0</v>
      </c>
      <c r="F212" s="107">
        <v>0</v>
      </c>
      <c r="G212" s="107">
        <v>0</v>
      </c>
      <c r="H212" s="107">
        <v>0</v>
      </c>
      <c r="I212" s="107">
        <v>0</v>
      </c>
      <c r="J212" s="107">
        <v>0</v>
      </c>
      <c r="K212" s="107">
        <v>0</v>
      </c>
      <c r="L212" s="107">
        <v>0</v>
      </c>
      <c r="M212" s="107">
        <v>0</v>
      </c>
      <c r="N212" s="107">
        <v>0</v>
      </c>
      <c r="O212" s="107">
        <v>0</v>
      </c>
      <c r="P212" s="107">
        <v>0</v>
      </c>
      <c r="Q212" s="107">
        <v>0</v>
      </c>
      <c r="R212" s="107">
        <v>0</v>
      </c>
      <c r="S212" s="107">
        <v>0</v>
      </c>
      <c r="T212" s="107">
        <v>0</v>
      </c>
      <c r="U212" s="107">
        <v>0</v>
      </c>
      <c r="V212" s="107">
        <v>0</v>
      </c>
      <c r="W212" s="107">
        <v>0</v>
      </c>
      <c r="X212" s="107">
        <v>0</v>
      </c>
      <c r="Y212" s="107">
        <v>0</v>
      </c>
      <c r="Z212" s="107">
        <v>0</v>
      </c>
      <c r="AA212" s="107">
        <v>0</v>
      </c>
      <c r="AB212" s="107">
        <v>0</v>
      </c>
      <c r="AC212" s="107">
        <v>0</v>
      </c>
      <c r="AD212" s="107">
        <v>0</v>
      </c>
      <c r="AE212" s="107">
        <v>0</v>
      </c>
      <c r="AF212" s="107">
        <v>0</v>
      </c>
      <c r="AG212" s="107">
        <v>0</v>
      </c>
      <c r="AH212" s="107">
        <v>0</v>
      </c>
      <c r="AI212" s="107">
        <v>0</v>
      </c>
      <c r="AJ212" s="107">
        <v>0</v>
      </c>
      <c r="AK212" s="107">
        <v>0</v>
      </c>
      <c r="AL212" s="107">
        <v>0</v>
      </c>
      <c r="AM212" s="107">
        <v>0</v>
      </c>
      <c r="AN212" s="107">
        <v>0</v>
      </c>
      <c r="AO212" s="107">
        <v>0</v>
      </c>
      <c r="AP212" s="107">
        <v>0</v>
      </c>
      <c r="AQ212" s="107">
        <v>0</v>
      </c>
      <c r="AR212" s="107">
        <v>0</v>
      </c>
      <c r="AS212" s="107">
        <v>0</v>
      </c>
      <c r="AT212" s="107">
        <v>0</v>
      </c>
      <c r="AU212" s="107">
        <v>0</v>
      </c>
      <c r="AV212" s="107">
        <v>0</v>
      </c>
      <c r="AW212" s="107">
        <v>0</v>
      </c>
      <c r="AX212" s="107">
        <v>0</v>
      </c>
      <c r="AY212" s="107">
        <v>0</v>
      </c>
    </row>
    <row r="213" spans="1:51" x14ac:dyDescent="0.15">
      <c r="A213" s="106"/>
      <c r="B213" s="116">
        <v>5</v>
      </c>
      <c r="C213" s="103"/>
      <c r="D213" s="107">
        <v>0</v>
      </c>
      <c r="E213" s="107">
        <v>0</v>
      </c>
      <c r="F213" s="107">
        <v>0</v>
      </c>
      <c r="G213" s="107">
        <v>0</v>
      </c>
      <c r="H213" s="107">
        <v>0</v>
      </c>
      <c r="I213" s="107">
        <v>0</v>
      </c>
      <c r="J213" s="107">
        <v>0</v>
      </c>
      <c r="K213" s="107">
        <v>0</v>
      </c>
      <c r="L213" s="107">
        <v>0</v>
      </c>
      <c r="M213" s="107">
        <v>0</v>
      </c>
      <c r="N213" s="107">
        <v>0</v>
      </c>
      <c r="O213" s="107">
        <v>0</v>
      </c>
      <c r="P213" s="107">
        <v>0</v>
      </c>
      <c r="Q213" s="107">
        <v>0</v>
      </c>
      <c r="R213" s="107">
        <v>0</v>
      </c>
      <c r="S213" s="107">
        <v>0</v>
      </c>
      <c r="T213" s="107">
        <v>0</v>
      </c>
      <c r="U213" s="107">
        <v>0</v>
      </c>
      <c r="V213" s="107">
        <v>0</v>
      </c>
      <c r="W213" s="107">
        <v>0</v>
      </c>
      <c r="X213" s="107">
        <v>0</v>
      </c>
      <c r="Y213" s="107">
        <v>0</v>
      </c>
      <c r="Z213" s="107">
        <v>0</v>
      </c>
      <c r="AA213" s="107">
        <v>0</v>
      </c>
      <c r="AB213" s="107">
        <v>0</v>
      </c>
      <c r="AC213" s="107">
        <v>0</v>
      </c>
      <c r="AD213" s="107">
        <v>0</v>
      </c>
      <c r="AE213" s="107">
        <v>0</v>
      </c>
      <c r="AF213" s="107">
        <v>0</v>
      </c>
      <c r="AG213" s="107">
        <v>0</v>
      </c>
      <c r="AH213" s="107">
        <v>0</v>
      </c>
      <c r="AI213" s="107">
        <v>0</v>
      </c>
      <c r="AJ213" s="107">
        <v>0</v>
      </c>
      <c r="AK213" s="107">
        <v>0</v>
      </c>
      <c r="AL213" s="107">
        <v>0</v>
      </c>
      <c r="AM213" s="107">
        <v>0</v>
      </c>
      <c r="AN213" s="107">
        <v>0</v>
      </c>
      <c r="AO213" s="107">
        <v>0</v>
      </c>
      <c r="AP213" s="107">
        <v>0</v>
      </c>
      <c r="AQ213" s="107">
        <v>0</v>
      </c>
      <c r="AR213" s="107">
        <v>0</v>
      </c>
      <c r="AS213" s="107">
        <v>0</v>
      </c>
      <c r="AT213" s="107">
        <v>0</v>
      </c>
      <c r="AU213" s="107">
        <v>0</v>
      </c>
      <c r="AV213" s="107">
        <v>0</v>
      </c>
      <c r="AW213" s="107">
        <v>0</v>
      </c>
      <c r="AX213" s="107">
        <v>0</v>
      </c>
      <c r="AY213" s="107">
        <v>0</v>
      </c>
    </row>
    <row r="214" spans="1:51" x14ac:dyDescent="0.15">
      <c r="A214" s="106"/>
      <c r="B214" s="116">
        <v>6</v>
      </c>
      <c r="C214" s="103"/>
      <c r="D214" s="107">
        <v>0</v>
      </c>
      <c r="E214" s="107">
        <v>0</v>
      </c>
      <c r="F214" s="107">
        <v>0</v>
      </c>
      <c r="G214" s="107">
        <v>0</v>
      </c>
      <c r="H214" s="107">
        <v>0</v>
      </c>
      <c r="I214" s="107">
        <v>0</v>
      </c>
      <c r="J214" s="107">
        <v>0</v>
      </c>
      <c r="K214" s="107">
        <v>0</v>
      </c>
      <c r="L214" s="107">
        <v>0</v>
      </c>
      <c r="M214" s="107">
        <v>0</v>
      </c>
      <c r="N214" s="107">
        <v>0</v>
      </c>
      <c r="O214" s="107">
        <v>0</v>
      </c>
      <c r="P214" s="107">
        <v>0</v>
      </c>
      <c r="Q214" s="107">
        <v>0</v>
      </c>
      <c r="R214" s="107">
        <v>0</v>
      </c>
      <c r="S214" s="107">
        <v>0</v>
      </c>
      <c r="T214" s="107">
        <v>0</v>
      </c>
      <c r="U214" s="107">
        <v>0</v>
      </c>
      <c r="V214" s="107">
        <v>0</v>
      </c>
      <c r="W214" s="107">
        <v>0</v>
      </c>
      <c r="X214" s="107">
        <v>0</v>
      </c>
      <c r="Y214" s="107">
        <v>0</v>
      </c>
      <c r="Z214" s="107">
        <v>0</v>
      </c>
      <c r="AA214" s="107">
        <v>0</v>
      </c>
      <c r="AB214" s="107">
        <v>0</v>
      </c>
      <c r="AC214" s="107">
        <v>0</v>
      </c>
      <c r="AD214" s="107">
        <v>0</v>
      </c>
      <c r="AE214" s="107">
        <v>0</v>
      </c>
      <c r="AF214" s="107">
        <v>0</v>
      </c>
      <c r="AG214" s="107">
        <v>0</v>
      </c>
      <c r="AH214" s="107">
        <v>0</v>
      </c>
      <c r="AI214" s="107">
        <v>0</v>
      </c>
      <c r="AJ214" s="107">
        <v>0</v>
      </c>
      <c r="AK214" s="107">
        <v>0</v>
      </c>
      <c r="AL214" s="107">
        <v>0</v>
      </c>
      <c r="AM214" s="107">
        <v>0</v>
      </c>
      <c r="AN214" s="107">
        <v>0</v>
      </c>
      <c r="AO214" s="107">
        <v>0</v>
      </c>
      <c r="AP214" s="107">
        <v>0</v>
      </c>
      <c r="AQ214" s="107">
        <v>0</v>
      </c>
      <c r="AR214" s="107">
        <v>0</v>
      </c>
      <c r="AS214" s="107">
        <v>0</v>
      </c>
      <c r="AT214" s="107">
        <v>0</v>
      </c>
      <c r="AU214" s="107">
        <v>0</v>
      </c>
      <c r="AV214" s="107">
        <v>0</v>
      </c>
      <c r="AW214" s="107">
        <v>0</v>
      </c>
      <c r="AX214" s="107">
        <v>0</v>
      </c>
      <c r="AY214" s="107">
        <v>0</v>
      </c>
    </row>
    <row r="215" spans="1:51" x14ac:dyDescent="0.15">
      <c r="A215" s="106"/>
      <c r="B215" s="116">
        <v>7</v>
      </c>
      <c r="C215" s="103"/>
      <c r="D215" s="107">
        <v>0</v>
      </c>
      <c r="E215" s="107">
        <v>0</v>
      </c>
      <c r="F215" s="107">
        <v>0</v>
      </c>
      <c r="G215" s="107">
        <v>0</v>
      </c>
      <c r="H215" s="107">
        <v>0</v>
      </c>
      <c r="I215" s="107">
        <v>0</v>
      </c>
      <c r="J215" s="107">
        <v>0</v>
      </c>
      <c r="K215" s="107">
        <v>0</v>
      </c>
      <c r="L215" s="107">
        <v>0</v>
      </c>
      <c r="M215" s="107">
        <v>0</v>
      </c>
      <c r="N215" s="107">
        <v>0</v>
      </c>
      <c r="O215" s="107">
        <v>0</v>
      </c>
      <c r="P215" s="107">
        <v>0</v>
      </c>
      <c r="Q215" s="107">
        <v>0</v>
      </c>
      <c r="R215" s="107">
        <v>0</v>
      </c>
      <c r="S215" s="107">
        <v>0</v>
      </c>
      <c r="T215" s="107">
        <v>0</v>
      </c>
      <c r="U215" s="107">
        <v>0</v>
      </c>
      <c r="V215" s="107">
        <v>0</v>
      </c>
      <c r="W215" s="107">
        <v>0</v>
      </c>
      <c r="X215" s="107">
        <v>0</v>
      </c>
      <c r="Y215" s="107">
        <v>0</v>
      </c>
      <c r="Z215" s="107">
        <v>0</v>
      </c>
      <c r="AA215" s="107">
        <v>0</v>
      </c>
      <c r="AB215" s="107">
        <v>0</v>
      </c>
      <c r="AC215" s="107">
        <v>0</v>
      </c>
      <c r="AD215" s="107">
        <v>0</v>
      </c>
      <c r="AE215" s="107">
        <v>0</v>
      </c>
      <c r="AF215" s="107">
        <v>0</v>
      </c>
      <c r="AG215" s="107">
        <v>0</v>
      </c>
      <c r="AH215" s="107">
        <v>0</v>
      </c>
      <c r="AI215" s="107">
        <v>0</v>
      </c>
      <c r="AJ215" s="107">
        <v>0</v>
      </c>
      <c r="AK215" s="107">
        <v>0</v>
      </c>
      <c r="AL215" s="107">
        <v>0</v>
      </c>
      <c r="AM215" s="107">
        <v>0</v>
      </c>
      <c r="AN215" s="107">
        <v>0</v>
      </c>
      <c r="AO215" s="107">
        <v>0</v>
      </c>
      <c r="AP215" s="107">
        <v>0</v>
      </c>
      <c r="AQ215" s="107">
        <v>0</v>
      </c>
      <c r="AR215" s="107">
        <v>0</v>
      </c>
      <c r="AS215" s="107">
        <v>0</v>
      </c>
      <c r="AT215" s="107">
        <v>0</v>
      </c>
      <c r="AU215" s="107">
        <v>0</v>
      </c>
      <c r="AV215" s="107">
        <v>0</v>
      </c>
      <c r="AW215" s="107">
        <v>0</v>
      </c>
      <c r="AX215" s="107">
        <v>0</v>
      </c>
      <c r="AY215" s="107">
        <v>0</v>
      </c>
    </row>
    <row r="216" spans="1:51" x14ac:dyDescent="0.15">
      <c r="A216" s="106"/>
      <c r="B216" s="116">
        <v>8</v>
      </c>
      <c r="C216" s="103"/>
      <c r="D216" s="107">
        <v>0</v>
      </c>
      <c r="E216" s="107">
        <v>0</v>
      </c>
      <c r="F216" s="107">
        <v>0</v>
      </c>
      <c r="G216" s="107">
        <v>0</v>
      </c>
      <c r="H216" s="107">
        <v>0</v>
      </c>
      <c r="I216" s="107">
        <v>0</v>
      </c>
      <c r="J216" s="107">
        <v>0</v>
      </c>
      <c r="K216" s="107">
        <v>0</v>
      </c>
      <c r="L216" s="107">
        <v>0</v>
      </c>
      <c r="M216" s="107">
        <v>0</v>
      </c>
      <c r="N216" s="107">
        <v>0</v>
      </c>
      <c r="O216" s="107">
        <v>0</v>
      </c>
      <c r="P216" s="107">
        <v>0</v>
      </c>
      <c r="Q216" s="107">
        <v>0</v>
      </c>
      <c r="R216" s="107">
        <v>0</v>
      </c>
      <c r="S216" s="107">
        <v>0</v>
      </c>
      <c r="T216" s="107">
        <v>0</v>
      </c>
      <c r="U216" s="107">
        <v>0</v>
      </c>
      <c r="V216" s="107">
        <v>0</v>
      </c>
      <c r="W216" s="107">
        <v>0</v>
      </c>
      <c r="X216" s="107">
        <v>0</v>
      </c>
      <c r="Y216" s="107">
        <v>0</v>
      </c>
      <c r="Z216" s="107">
        <v>0</v>
      </c>
      <c r="AA216" s="107">
        <v>0</v>
      </c>
      <c r="AB216" s="107">
        <v>0</v>
      </c>
      <c r="AC216" s="107">
        <v>0</v>
      </c>
      <c r="AD216" s="107">
        <v>0</v>
      </c>
      <c r="AE216" s="107">
        <v>0</v>
      </c>
      <c r="AF216" s="107">
        <v>0</v>
      </c>
      <c r="AG216" s="107">
        <v>0</v>
      </c>
      <c r="AH216" s="107">
        <v>0</v>
      </c>
      <c r="AI216" s="107">
        <v>0</v>
      </c>
      <c r="AJ216" s="107">
        <v>0</v>
      </c>
      <c r="AK216" s="107">
        <v>0</v>
      </c>
      <c r="AL216" s="107">
        <v>0</v>
      </c>
      <c r="AM216" s="107">
        <v>0</v>
      </c>
      <c r="AN216" s="107">
        <v>0</v>
      </c>
      <c r="AO216" s="107">
        <v>0</v>
      </c>
      <c r="AP216" s="107">
        <v>0</v>
      </c>
      <c r="AQ216" s="107">
        <v>0</v>
      </c>
      <c r="AR216" s="107">
        <v>0</v>
      </c>
      <c r="AS216" s="107">
        <v>0</v>
      </c>
      <c r="AT216" s="107">
        <v>0</v>
      </c>
      <c r="AU216" s="107">
        <v>0</v>
      </c>
      <c r="AV216" s="107">
        <v>0</v>
      </c>
      <c r="AW216" s="107">
        <v>0</v>
      </c>
      <c r="AX216" s="107">
        <v>0</v>
      </c>
      <c r="AY216" s="107">
        <v>0</v>
      </c>
    </row>
    <row r="217" spans="1:51" x14ac:dyDescent="0.15">
      <c r="A217" s="106"/>
      <c r="B217" s="116">
        <v>9</v>
      </c>
      <c r="C217" s="103"/>
      <c r="D217" s="107">
        <v>0</v>
      </c>
      <c r="E217" s="107">
        <v>0</v>
      </c>
      <c r="F217" s="107">
        <v>0</v>
      </c>
      <c r="G217" s="107">
        <v>0</v>
      </c>
      <c r="H217" s="107">
        <v>0</v>
      </c>
      <c r="I217" s="107">
        <v>0</v>
      </c>
      <c r="J217" s="107">
        <v>0</v>
      </c>
      <c r="K217" s="107">
        <v>0</v>
      </c>
      <c r="L217" s="107">
        <v>0</v>
      </c>
      <c r="M217" s="107">
        <v>0</v>
      </c>
      <c r="N217" s="107">
        <v>0</v>
      </c>
      <c r="O217" s="107">
        <v>0</v>
      </c>
      <c r="P217" s="107">
        <v>0</v>
      </c>
      <c r="Q217" s="107">
        <v>0</v>
      </c>
      <c r="R217" s="107">
        <v>0</v>
      </c>
      <c r="S217" s="107">
        <v>0</v>
      </c>
      <c r="T217" s="107">
        <v>0</v>
      </c>
      <c r="U217" s="107">
        <v>0</v>
      </c>
      <c r="V217" s="107">
        <v>0</v>
      </c>
      <c r="W217" s="107">
        <v>0</v>
      </c>
      <c r="X217" s="107">
        <v>0</v>
      </c>
      <c r="Y217" s="107">
        <v>0</v>
      </c>
      <c r="Z217" s="107">
        <v>0</v>
      </c>
      <c r="AA217" s="107">
        <v>0</v>
      </c>
      <c r="AB217" s="107">
        <v>0</v>
      </c>
      <c r="AC217" s="107">
        <v>0</v>
      </c>
      <c r="AD217" s="107">
        <v>0</v>
      </c>
      <c r="AE217" s="107">
        <v>0</v>
      </c>
      <c r="AF217" s="107">
        <v>0</v>
      </c>
      <c r="AG217" s="107">
        <v>0</v>
      </c>
      <c r="AH217" s="107">
        <v>0</v>
      </c>
      <c r="AI217" s="107">
        <v>0</v>
      </c>
      <c r="AJ217" s="107">
        <v>0</v>
      </c>
      <c r="AK217" s="107">
        <v>0</v>
      </c>
      <c r="AL217" s="107">
        <v>0</v>
      </c>
      <c r="AM217" s="107">
        <v>0</v>
      </c>
      <c r="AN217" s="107">
        <v>0</v>
      </c>
      <c r="AO217" s="107">
        <v>0</v>
      </c>
      <c r="AP217" s="107">
        <v>0</v>
      </c>
      <c r="AQ217" s="107">
        <v>0</v>
      </c>
      <c r="AR217" s="107">
        <v>0</v>
      </c>
      <c r="AS217" s="107">
        <v>0</v>
      </c>
      <c r="AT217" s="107">
        <v>0</v>
      </c>
      <c r="AU217" s="107">
        <v>0</v>
      </c>
      <c r="AV217" s="107">
        <v>0</v>
      </c>
      <c r="AW217" s="107">
        <v>0</v>
      </c>
      <c r="AX217" s="107">
        <v>0</v>
      </c>
      <c r="AY217" s="107">
        <v>0</v>
      </c>
    </row>
    <row r="218" spans="1:51" x14ac:dyDescent="0.15">
      <c r="A218" s="106"/>
      <c r="B218" s="116">
        <v>10</v>
      </c>
      <c r="C218" s="103"/>
      <c r="D218" s="107">
        <v>0</v>
      </c>
      <c r="E218" s="107">
        <v>0</v>
      </c>
      <c r="F218" s="107">
        <v>0</v>
      </c>
      <c r="G218" s="107">
        <v>0</v>
      </c>
      <c r="H218" s="107">
        <v>0</v>
      </c>
      <c r="I218" s="107">
        <v>0</v>
      </c>
      <c r="J218" s="107">
        <v>0</v>
      </c>
      <c r="K218" s="107">
        <v>0</v>
      </c>
      <c r="L218" s="107">
        <v>0</v>
      </c>
      <c r="M218" s="107">
        <v>0</v>
      </c>
      <c r="N218" s="107">
        <v>0</v>
      </c>
      <c r="O218" s="107">
        <v>0</v>
      </c>
      <c r="P218" s="107">
        <v>0</v>
      </c>
      <c r="Q218" s="107">
        <v>0</v>
      </c>
      <c r="R218" s="107">
        <v>0</v>
      </c>
      <c r="S218" s="107">
        <v>0</v>
      </c>
      <c r="T218" s="107">
        <v>0</v>
      </c>
      <c r="U218" s="107">
        <v>0</v>
      </c>
      <c r="V218" s="107">
        <v>0</v>
      </c>
      <c r="W218" s="107">
        <v>0</v>
      </c>
      <c r="X218" s="107">
        <v>0</v>
      </c>
      <c r="Y218" s="107">
        <v>0</v>
      </c>
      <c r="Z218" s="107">
        <v>0</v>
      </c>
      <c r="AA218" s="107">
        <v>0</v>
      </c>
      <c r="AB218" s="107">
        <v>0</v>
      </c>
      <c r="AC218" s="107">
        <v>0</v>
      </c>
      <c r="AD218" s="107">
        <v>0</v>
      </c>
      <c r="AE218" s="107">
        <v>0</v>
      </c>
      <c r="AF218" s="107">
        <v>0</v>
      </c>
      <c r="AG218" s="107">
        <v>0</v>
      </c>
      <c r="AH218" s="107">
        <v>0</v>
      </c>
      <c r="AI218" s="107">
        <v>0</v>
      </c>
      <c r="AJ218" s="107">
        <v>0</v>
      </c>
      <c r="AK218" s="107">
        <v>0</v>
      </c>
      <c r="AL218" s="107">
        <v>0</v>
      </c>
      <c r="AM218" s="107">
        <v>0</v>
      </c>
      <c r="AN218" s="107">
        <v>0</v>
      </c>
      <c r="AO218" s="107">
        <v>0</v>
      </c>
      <c r="AP218" s="107">
        <v>0</v>
      </c>
      <c r="AQ218" s="107">
        <v>0</v>
      </c>
      <c r="AR218" s="107">
        <v>0</v>
      </c>
      <c r="AS218" s="107">
        <v>0</v>
      </c>
      <c r="AT218" s="107">
        <v>0</v>
      </c>
      <c r="AU218" s="107">
        <v>0</v>
      </c>
      <c r="AV218" s="107">
        <v>0</v>
      </c>
      <c r="AW218" s="107">
        <v>0</v>
      </c>
      <c r="AX218" s="107">
        <v>0</v>
      </c>
      <c r="AY218" s="107">
        <v>0</v>
      </c>
    </row>
    <row r="219" spans="1:51" x14ac:dyDescent="0.15">
      <c r="A219" s="106"/>
      <c r="B219" s="116">
        <v>11</v>
      </c>
      <c r="C219" s="103"/>
      <c r="D219" s="107">
        <v>0</v>
      </c>
      <c r="E219" s="107">
        <v>0</v>
      </c>
      <c r="F219" s="107">
        <v>0</v>
      </c>
      <c r="G219" s="107">
        <v>0</v>
      </c>
      <c r="H219" s="107">
        <v>0</v>
      </c>
      <c r="I219" s="107">
        <v>0</v>
      </c>
      <c r="J219" s="107">
        <v>0</v>
      </c>
      <c r="K219" s="107">
        <v>0</v>
      </c>
      <c r="L219" s="107">
        <v>0</v>
      </c>
      <c r="M219" s="107">
        <v>0</v>
      </c>
      <c r="N219" s="107">
        <v>0</v>
      </c>
      <c r="O219" s="107">
        <v>0</v>
      </c>
      <c r="P219" s="107">
        <v>0</v>
      </c>
      <c r="Q219" s="107">
        <v>0</v>
      </c>
      <c r="R219" s="107">
        <v>0</v>
      </c>
      <c r="S219" s="107">
        <v>0</v>
      </c>
      <c r="T219" s="107">
        <v>0</v>
      </c>
      <c r="U219" s="107">
        <v>0</v>
      </c>
      <c r="V219" s="107">
        <v>0</v>
      </c>
      <c r="W219" s="107">
        <v>0</v>
      </c>
      <c r="X219" s="107">
        <v>0</v>
      </c>
      <c r="Y219" s="107">
        <v>0</v>
      </c>
      <c r="Z219" s="107">
        <v>0</v>
      </c>
      <c r="AA219" s="107">
        <v>0</v>
      </c>
      <c r="AB219" s="107">
        <v>0</v>
      </c>
      <c r="AC219" s="107">
        <v>0</v>
      </c>
      <c r="AD219" s="107">
        <v>0</v>
      </c>
      <c r="AE219" s="107">
        <v>0</v>
      </c>
      <c r="AF219" s="107">
        <v>0</v>
      </c>
      <c r="AG219" s="107">
        <v>0</v>
      </c>
      <c r="AH219" s="107">
        <v>0</v>
      </c>
      <c r="AI219" s="107">
        <v>0</v>
      </c>
      <c r="AJ219" s="107">
        <v>0</v>
      </c>
      <c r="AK219" s="107">
        <v>0</v>
      </c>
      <c r="AL219" s="107">
        <v>0</v>
      </c>
      <c r="AM219" s="107">
        <v>0</v>
      </c>
      <c r="AN219" s="107">
        <v>0</v>
      </c>
      <c r="AO219" s="107">
        <v>0</v>
      </c>
      <c r="AP219" s="107">
        <v>0</v>
      </c>
      <c r="AQ219" s="107">
        <v>0</v>
      </c>
      <c r="AR219" s="107">
        <v>0</v>
      </c>
      <c r="AS219" s="107">
        <v>0</v>
      </c>
      <c r="AT219" s="107">
        <v>0</v>
      </c>
      <c r="AU219" s="107">
        <v>0</v>
      </c>
      <c r="AV219" s="107">
        <v>0</v>
      </c>
      <c r="AW219" s="107">
        <v>0</v>
      </c>
      <c r="AX219" s="107">
        <v>0</v>
      </c>
      <c r="AY219" s="107">
        <v>0</v>
      </c>
    </row>
    <row r="220" spans="1:51" x14ac:dyDescent="0.15">
      <c r="A220" s="106"/>
      <c r="B220" s="116">
        <v>12</v>
      </c>
      <c r="C220" s="103"/>
      <c r="D220" s="107">
        <v>0</v>
      </c>
      <c r="E220" s="107">
        <v>0</v>
      </c>
      <c r="F220" s="107">
        <v>0</v>
      </c>
      <c r="G220" s="107">
        <v>0</v>
      </c>
      <c r="H220" s="107">
        <v>0</v>
      </c>
      <c r="I220" s="107">
        <v>0</v>
      </c>
      <c r="J220" s="107">
        <v>0</v>
      </c>
      <c r="K220" s="107">
        <v>0</v>
      </c>
      <c r="L220" s="107">
        <v>0</v>
      </c>
      <c r="M220" s="107">
        <v>0</v>
      </c>
      <c r="N220" s="107">
        <v>0</v>
      </c>
      <c r="O220" s="107">
        <v>0</v>
      </c>
      <c r="P220" s="107">
        <v>0</v>
      </c>
      <c r="Q220" s="107">
        <v>0</v>
      </c>
      <c r="R220" s="107">
        <v>0</v>
      </c>
      <c r="S220" s="107">
        <v>0</v>
      </c>
      <c r="T220" s="107">
        <v>0</v>
      </c>
      <c r="U220" s="107">
        <v>0</v>
      </c>
      <c r="V220" s="107">
        <v>0</v>
      </c>
      <c r="W220" s="107">
        <v>0</v>
      </c>
      <c r="X220" s="107">
        <v>0</v>
      </c>
      <c r="Y220" s="107">
        <v>0</v>
      </c>
      <c r="Z220" s="107">
        <v>0</v>
      </c>
      <c r="AA220" s="107">
        <v>0</v>
      </c>
      <c r="AB220" s="107">
        <v>0</v>
      </c>
      <c r="AC220" s="107">
        <v>0</v>
      </c>
      <c r="AD220" s="107">
        <v>0</v>
      </c>
      <c r="AE220" s="107">
        <v>0</v>
      </c>
      <c r="AF220" s="107">
        <v>0</v>
      </c>
      <c r="AG220" s="107">
        <v>0</v>
      </c>
      <c r="AH220" s="107">
        <v>0</v>
      </c>
      <c r="AI220" s="107">
        <v>0</v>
      </c>
      <c r="AJ220" s="107">
        <v>0</v>
      </c>
      <c r="AK220" s="107">
        <v>0</v>
      </c>
      <c r="AL220" s="107">
        <v>0</v>
      </c>
      <c r="AM220" s="107">
        <v>0</v>
      </c>
      <c r="AN220" s="107">
        <v>0</v>
      </c>
      <c r="AO220" s="107">
        <v>0</v>
      </c>
      <c r="AP220" s="107">
        <v>0</v>
      </c>
      <c r="AQ220" s="107">
        <v>0</v>
      </c>
      <c r="AR220" s="107">
        <v>0</v>
      </c>
      <c r="AS220" s="107">
        <v>0</v>
      </c>
      <c r="AT220" s="107">
        <v>0</v>
      </c>
      <c r="AU220" s="107">
        <v>0</v>
      </c>
      <c r="AV220" s="107">
        <v>0</v>
      </c>
      <c r="AW220" s="107">
        <v>0</v>
      </c>
      <c r="AX220" s="107">
        <v>0</v>
      </c>
      <c r="AY220" s="107">
        <v>0</v>
      </c>
    </row>
    <row r="221" spans="1:51" x14ac:dyDescent="0.15">
      <c r="A221" s="106"/>
      <c r="B221" s="117">
        <v>13</v>
      </c>
      <c r="C221" s="103"/>
      <c r="D221" s="107">
        <v>0</v>
      </c>
      <c r="E221" s="107">
        <v>0</v>
      </c>
      <c r="F221" s="107">
        <v>0</v>
      </c>
      <c r="G221" s="107">
        <v>0</v>
      </c>
      <c r="H221" s="107">
        <v>0</v>
      </c>
      <c r="I221" s="107">
        <v>0</v>
      </c>
      <c r="J221" s="107">
        <v>0</v>
      </c>
      <c r="K221" s="107">
        <v>0</v>
      </c>
      <c r="L221" s="107">
        <v>0</v>
      </c>
      <c r="M221" s="107">
        <v>0</v>
      </c>
      <c r="N221" s="107">
        <v>0</v>
      </c>
      <c r="O221" s="107">
        <v>0</v>
      </c>
      <c r="P221" s="107">
        <v>0</v>
      </c>
      <c r="Q221" s="107">
        <v>0</v>
      </c>
      <c r="R221" s="107">
        <v>0</v>
      </c>
      <c r="S221" s="107">
        <v>0</v>
      </c>
      <c r="T221" s="107">
        <v>0</v>
      </c>
      <c r="U221" s="107">
        <v>0</v>
      </c>
      <c r="V221" s="107">
        <v>0</v>
      </c>
      <c r="W221" s="107">
        <v>0</v>
      </c>
      <c r="X221" s="107">
        <v>0</v>
      </c>
      <c r="Y221" s="107">
        <v>0</v>
      </c>
      <c r="Z221" s="107">
        <v>0</v>
      </c>
      <c r="AA221" s="107">
        <v>0</v>
      </c>
      <c r="AB221" s="107">
        <v>0</v>
      </c>
      <c r="AC221" s="107">
        <v>0</v>
      </c>
      <c r="AD221" s="107">
        <v>0</v>
      </c>
      <c r="AE221" s="107">
        <v>0</v>
      </c>
      <c r="AF221" s="107">
        <v>0</v>
      </c>
      <c r="AG221" s="107">
        <v>0</v>
      </c>
      <c r="AH221" s="107">
        <v>0</v>
      </c>
      <c r="AI221" s="107">
        <v>0</v>
      </c>
      <c r="AJ221" s="107">
        <v>0</v>
      </c>
      <c r="AK221" s="107">
        <v>0</v>
      </c>
      <c r="AL221" s="107">
        <v>0</v>
      </c>
      <c r="AM221" s="107">
        <v>0</v>
      </c>
      <c r="AN221" s="107">
        <v>0</v>
      </c>
      <c r="AO221" s="107">
        <v>0</v>
      </c>
      <c r="AP221" s="107">
        <v>0</v>
      </c>
      <c r="AQ221" s="107">
        <v>0</v>
      </c>
      <c r="AR221" s="107">
        <v>0</v>
      </c>
      <c r="AS221" s="107">
        <v>0</v>
      </c>
      <c r="AT221" s="107">
        <v>0</v>
      </c>
      <c r="AU221" s="107">
        <v>0</v>
      </c>
      <c r="AV221" s="107">
        <v>0</v>
      </c>
      <c r="AW221" s="107">
        <v>0</v>
      </c>
      <c r="AX221" s="107">
        <v>0</v>
      </c>
      <c r="AY221" s="107">
        <v>0</v>
      </c>
    </row>
    <row r="222" spans="1:51" x14ac:dyDescent="0.15">
      <c r="A222" s="106"/>
      <c r="B222" s="117">
        <v>14</v>
      </c>
      <c r="C222" s="103"/>
      <c r="D222" s="107">
        <v>0</v>
      </c>
      <c r="E222" s="107">
        <v>0</v>
      </c>
      <c r="F222" s="107">
        <v>0</v>
      </c>
      <c r="G222" s="107">
        <v>0</v>
      </c>
      <c r="H222" s="107">
        <v>0</v>
      </c>
      <c r="I222" s="107">
        <v>0</v>
      </c>
      <c r="J222" s="107">
        <v>0</v>
      </c>
      <c r="K222" s="107">
        <v>0</v>
      </c>
      <c r="L222" s="107">
        <v>0</v>
      </c>
      <c r="M222" s="107">
        <v>0</v>
      </c>
      <c r="N222" s="107">
        <v>0</v>
      </c>
      <c r="O222" s="107">
        <v>0</v>
      </c>
      <c r="P222" s="107">
        <v>0</v>
      </c>
      <c r="Q222" s="107">
        <v>0</v>
      </c>
      <c r="R222" s="107">
        <v>0</v>
      </c>
      <c r="S222" s="107">
        <v>0</v>
      </c>
      <c r="T222" s="107">
        <v>0</v>
      </c>
      <c r="U222" s="107">
        <v>0</v>
      </c>
      <c r="V222" s="107">
        <v>0</v>
      </c>
      <c r="W222" s="107">
        <v>0</v>
      </c>
      <c r="X222" s="107">
        <v>0</v>
      </c>
      <c r="Y222" s="107">
        <v>0</v>
      </c>
      <c r="Z222" s="107">
        <v>0</v>
      </c>
      <c r="AA222" s="107">
        <v>0</v>
      </c>
      <c r="AB222" s="107">
        <v>0</v>
      </c>
      <c r="AC222" s="107">
        <v>0</v>
      </c>
      <c r="AD222" s="107">
        <v>0</v>
      </c>
      <c r="AE222" s="107">
        <v>0</v>
      </c>
      <c r="AF222" s="107">
        <v>0</v>
      </c>
      <c r="AG222" s="107">
        <v>0</v>
      </c>
      <c r="AH222" s="107">
        <v>0</v>
      </c>
      <c r="AI222" s="107">
        <v>0</v>
      </c>
      <c r="AJ222" s="107">
        <v>0</v>
      </c>
      <c r="AK222" s="107">
        <v>0</v>
      </c>
      <c r="AL222" s="107">
        <v>0</v>
      </c>
      <c r="AM222" s="107">
        <v>0</v>
      </c>
      <c r="AN222" s="107">
        <v>0</v>
      </c>
      <c r="AO222" s="107">
        <v>0</v>
      </c>
      <c r="AP222" s="107">
        <v>0</v>
      </c>
      <c r="AQ222" s="107">
        <v>0</v>
      </c>
      <c r="AR222" s="107">
        <v>0</v>
      </c>
      <c r="AS222" s="107">
        <v>0</v>
      </c>
      <c r="AT222" s="107">
        <v>0</v>
      </c>
      <c r="AU222" s="107">
        <v>0</v>
      </c>
      <c r="AV222" s="107">
        <v>0</v>
      </c>
      <c r="AW222" s="107">
        <v>0</v>
      </c>
      <c r="AX222" s="107">
        <v>0</v>
      </c>
      <c r="AY222" s="107">
        <v>0</v>
      </c>
    </row>
    <row r="223" spans="1:51" x14ac:dyDescent="0.15">
      <c r="A223" s="106"/>
      <c r="B223" s="117">
        <v>15</v>
      </c>
      <c r="C223" s="103"/>
      <c r="D223" s="107">
        <v>0</v>
      </c>
      <c r="E223" s="107">
        <v>0</v>
      </c>
      <c r="F223" s="107">
        <v>0</v>
      </c>
      <c r="G223" s="107">
        <v>0</v>
      </c>
      <c r="H223" s="107">
        <v>0</v>
      </c>
      <c r="I223" s="107">
        <v>0</v>
      </c>
      <c r="J223" s="107">
        <v>0</v>
      </c>
      <c r="K223" s="107">
        <v>0</v>
      </c>
      <c r="L223" s="107">
        <v>0</v>
      </c>
      <c r="M223" s="107">
        <v>0</v>
      </c>
      <c r="N223" s="107">
        <v>0</v>
      </c>
      <c r="O223" s="107">
        <v>0</v>
      </c>
      <c r="P223" s="107">
        <v>0</v>
      </c>
      <c r="Q223" s="107">
        <v>0</v>
      </c>
      <c r="R223" s="107">
        <v>0</v>
      </c>
      <c r="S223" s="107">
        <v>0</v>
      </c>
      <c r="T223" s="107">
        <v>0</v>
      </c>
      <c r="U223" s="107">
        <v>0</v>
      </c>
      <c r="V223" s="107">
        <v>0</v>
      </c>
      <c r="W223" s="107">
        <v>0</v>
      </c>
      <c r="X223" s="107">
        <v>0</v>
      </c>
      <c r="Y223" s="107">
        <v>0</v>
      </c>
      <c r="Z223" s="107">
        <v>0</v>
      </c>
      <c r="AA223" s="107">
        <v>0</v>
      </c>
      <c r="AB223" s="107">
        <v>0</v>
      </c>
      <c r="AC223" s="107">
        <v>0</v>
      </c>
      <c r="AD223" s="107">
        <v>0</v>
      </c>
      <c r="AE223" s="107">
        <v>0</v>
      </c>
      <c r="AF223" s="107">
        <v>0</v>
      </c>
      <c r="AG223" s="107">
        <v>0</v>
      </c>
      <c r="AH223" s="107">
        <v>0</v>
      </c>
      <c r="AI223" s="107">
        <v>0</v>
      </c>
      <c r="AJ223" s="107">
        <v>0</v>
      </c>
      <c r="AK223" s="107">
        <v>0</v>
      </c>
      <c r="AL223" s="107">
        <v>0</v>
      </c>
      <c r="AM223" s="107">
        <v>0</v>
      </c>
      <c r="AN223" s="107">
        <v>0</v>
      </c>
      <c r="AO223" s="107">
        <v>0</v>
      </c>
      <c r="AP223" s="107">
        <v>0</v>
      </c>
      <c r="AQ223" s="107">
        <v>0</v>
      </c>
      <c r="AR223" s="107">
        <v>0</v>
      </c>
      <c r="AS223" s="107">
        <v>0</v>
      </c>
      <c r="AT223" s="107">
        <v>0</v>
      </c>
      <c r="AU223" s="107">
        <v>0</v>
      </c>
      <c r="AV223" s="107">
        <v>0</v>
      </c>
      <c r="AW223" s="107">
        <v>0</v>
      </c>
      <c r="AX223" s="107">
        <v>0</v>
      </c>
      <c r="AY223" s="107">
        <v>0</v>
      </c>
    </row>
    <row r="224" spans="1:51" x14ac:dyDescent="0.15">
      <c r="A224" s="106"/>
      <c r="B224" s="117">
        <v>16</v>
      </c>
      <c r="C224" s="103"/>
      <c r="D224" s="107">
        <v>0</v>
      </c>
      <c r="E224" s="107">
        <v>0</v>
      </c>
      <c r="F224" s="107">
        <v>0</v>
      </c>
      <c r="G224" s="107">
        <v>0</v>
      </c>
      <c r="H224" s="107">
        <v>0</v>
      </c>
      <c r="I224" s="107">
        <v>0</v>
      </c>
      <c r="J224" s="107">
        <v>0</v>
      </c>
      <c r="K224" s="107">
        <v>0</v>
      </c>
      <c r="L224" s="107">
        <v>0</v>
      </c>
      <c r="M224" s="107">
        <v>0</v>
      </c>
      <c r="N224" s="107">
        <v>0</v>
      </c>
      <c r="O224" s="107">
        <v>0</v>
      </c>
      <c r="P224" s="107">
        <v>0</v>
      </c>
      <c r="Q224" s="107">
        <v>0</v>
      </c>
      <c r="R224" s="107">
        <v>0</v>
      </c>
      <c r="S224" s="107">
        <v>0</v>
      </c>
      <c r="T224" s="107">
        <v>0</v>
      </c>
      <c r="U224" s="107">
        <v>0</v>
      </c>
      <c r="V224" s="107">
        <v>0</v>
      </c>
      <c r="W224" s="107">
        <v>0</v>
      </c>
      <c r="X224" s="107">
        <v>0</v>
      </c>
      <c r="Y224" s="107">
        <v>0</v>
      </c>
      <c r="Z224" s="107">
        <v>0</v>
      </c>
      <c r="AA224" s="107">
        <v>0</v>
      </c>
      <c r="AB224" s="107">
        <v>0</v>
      </c>
      <c r="AC224" s="107">
        <v>0</v>
      </c>
      <c r="AD224" s="107">
        <v>0</v>
      </c>
      <c r="AE224" s="107">
        <v>0</v>
      </c>
      <c r="AF224" s="107">
        <v>0</v>
      </c>
      <c r="AG224" s="107">
        <v>0</v>
      </c>
      <c r="AH224" s="107">
        <v>0</v>
      </c>
      <c r="AI224" s="107">
        <v>0</v>
      </c>
      <c r="AJ224" s="107">
        <v>0</v>
      </c>
      <c r="AK224" s="107">
        <v>0</v>
      </c>
      <c r="AL224" s="107">
        <v>0</v>
      </c>
      <c r="AM224" s="107">
        <v>0</v>
      </c>
      <c r="AN224" s="107">
        <v>0</v>
      </c>
      <c r="AO224" s="107">
        <v>0</v>
      </c>
      <c r="AP224" s="107">
        <v>0</v>
      </c>
      <c r="AQ224" s="107">
        <v>0</v>
      </c>
      <c r="AR224" s="107">
        <v>0</v>
      </c>
      <c r="AS224" s="107">
        <v>0</v>
      </c>
      <c r="AT224" s="107">
        <v>0</v>
      </c>
      <c r="AU224" s="107">
        <v>0</v>
      </c>
      <c r="AV224" s="107">
        <v>0</v>
      </c>
      <c r="AW224" s="107">
        <v>0</v>
      </c>
      <c r="AX224" s="107">
        <v>0</v>
      </c>
      <c r="AY224" s="107">
        <v>0</v>
      </c>
    </row>
    <row r="225" spans="1:51" x14ac:dyDescent="0.15">
      <c r="A225" s="106"/>
      <c r="B225" s="117">
        <v>17</v>
      </c>
      <c r="C225" s="103"/>
      <c r="D225" s="107">
        <v>0</v>
      </c>
      <c r="E225" s="107">
        <v>0</v>
      </c>
      <c r="F225" s="107">
        <v>0</v>
      </c>
      <c r="G225" s="107">
        <v>0</v>
      </c>
      <c r="H225" s="107">
        <v>0</v>
      </c>
      <c r="I225" s="107">
        <v>0</v>
      </c>
      <c r="J225" s="107">
        <v>0</v>
      </c>
      <c r="K225" s="107">
        <v>0</v>
      </c>
      <c r="L225" s="107">
        <v>0</v>
      </c>
      <c r="M225" s="107">
        <v>0</v>
      </c>
      <c r="N225" s="107">
        <v>0</v>
      </c>
      <c r="O225" s="107">
        <v>0</v>
      </c>
      <c r="P225" s="107">
        <v>0</v>
      </c>
      <c r="Q225" s="107">
        <v>0</v>
      </c>
      <c r="R225" s="107">
        <v>0</v>
      </c>
      <c r="S225" s="107">
        <v>0</v>
      </c>
      <c r="T225" s="107">
        <v>0</v>
      </c>
      <c r="U225" s="107">
        <v>0</v>
      </c>
      <c r="V225" s="107">
        <v>0</v>
      </c>
      <c r="W225" s="107">
        <v>0</v>
      </c>
      <c r="X225" s="107">
        <v>0</v>
      </c>
      <c r="Y225" s="107">
        <v>0</v>
      </c>
      <c r="Z225" s="107">
        <v>0</v>
      </c>
      <c r="AA225" s="107">
        <v>0</v>
      </c>
      <c r="AB225" s="107">
        <v>0</v>
      </c>
      <c r="AC225" s="107">
        <v>0</v>
      </c>
      <c r="AD225" s="107">
        <v>0</v>
      </c>
      <c r="AE225" s="107">
        <v>0</v>
      </c>
      <c r="AF225" s="107">
        <v>0</v>
      </c>
      <c r="AG225" s="107">
        <v>0</v>
      </c>
      <c r="AH225" s="107">
        <v>0</v>
      </c>
      <c r="AI225" s="107">
        <v>0</v>
      </c>
      <c r="AJ225" s="107">
        <v>0</v>
      </c>
      <c r="AK225" s="107">
        <v>0</v>
      </c>
      <c r="AL225" s="107">
        <v>0</v>
      </c>
      <c r="AM225" s="107">
        <v>0</v>
      </c>
      <c r="AN225" s="107">
        <v>0</v>
      </c>
      <c r="AO225" s="107">
        <v>0</v>
      </c>
      <c r="AP225" s="107">
        <v>0</v>
      </c>
      <c r="AQ225" s="107">
        <v>0</v>
      </c>
      <c r="AR225" s="107">
        <v>0</v>
      </c>
      <c r="AS225" s="107">
        <v>0</v>
      </c>
      <c r="AT225" s="107">
        <v>0</v>
      </c>
      <c r="AU225" s="107">
        <v>0</v>
      </c>
      <c r="AV225" s="107">
        <v>0</v>
      </c>
      <c r="AW225" s="107">
        <v>0</v>
      </c>
      <c r="AX225" s="107">
        <v>0</v>
      </c>
      <c r="AY225" s="107">
        <v>0</v>
      </c>
    </row>
    <row r="226" spans="1:51" x14ac:dyDescent="0.15">
      <c r="A226" s="106"/>
      <c r="B226" s="117">
        <v>18</v>
      </c>
      <c r="C226" s="103"/>
      <c r="D226" s="107">
        <v>0</v>
      </c>
      <c r="E226" s="107">
        <v>0</v>
      </c>
      <c r="F226" s="107">
        <v>0</v>
      </c>
      <c r="G226" s="107">
        <v>0</v>
      </c>
      <c r="H226" s="107">
        <v>0</v>
      </c>
      <c r="I226" s="107">
        <v>0</v>
      </c>
      <c r="J226" s="107">
        <v>0</v>
      </c>
      <c r="K226" s="107">
        <v>0</v>
      </c>
      <c r="L226" s="107">
        <v>0</v>
      </c>
      <c r="M226" s="107">
        <v>0</v>
      </c>
      <c r="N226" s="107">
        <v>0</v>
      </c>
      <c r="O226" s="107">
        <v>0</v>
      </c>
      <c r="P226" s="107">
        <v>0</v>
      </c>
      <c r="Q226" s="107">
        <v>0</v>
      </c>
      <c r="R226" s="107">
        <v>0</v>
      </c>
      <c r="S226" s="107">
        <v>0</v>
      </c>
      <c r="T226" s="107">
        <v>0</v>
      </c>
      <c r="U226" s="107">
        <v>0</v>
      </c>
      <c r="V226" s="107">
        <v>0</v>
      </c>
      <c r="W226" s="107">
        <v>0</v>
      </c>
      <c r="X226" s="107">
        <v>0</v>
      </c>
      <c r="Y226" s="107">
        <v>0</v>
      </c>
      <c r="Z226" s="107">
        <v>0</v>
      </c>
      <c r="AA226" s="107">
        <v>0</v>
      </c>
      <c r="AB226" s="107">
        <v>0</v>
      </c>
      <c r="AC226" s="107">
        <v>0</v>
      </c>
      <c r="AD226" s="107">
        <v>0</v>
      </c>
      <c r="AE226" s="107">
        <v>0</v>
      </c>
      <c r="AF226" s="107">
        <v>0</v>
      </c>
      <c r="AG226" s="107">
        <v>0</v>
      </c>
      <c r="AH226" s="107">
        <v>0</v>
      </c>
      <c r="AI226" s="107">
        <v>0</v>
      </c>
      <c r="AJ226" s="107">
        <v>0</v>
      </c>
      <c r="AK226" s="107">
        <v>0</v>
      </c>
      <c r="AL226" s="107">
        <v>0</v>
      </c>
      <c r="AM226" s="107">
        <v>0</v>
      </c>
      <c r="AN226" s="107">
        <v>0</v>
      </c>
      <c r="AO226" s="107">
        <v>0</v>
      </c>
      <c r="AP226" s="107">
        <v>0</v>
      </c>
      <c r="AQ226" s="107">
        <v>0</v>
      </c>
      <c r="AR226" s="107">
        <v>0</v>
      </c>
      <c r="AS226" s="107">
        <v>0</v>
      </c>
      <c r="AT226" s="107">
        <v>0</v>
      </c>
      <c r="AU226" s="107">
        <v>0</v>
      </c>
      <c r="AV226" s="107">
        <v>0</v>
      </c>
      <c r="AW226" s="107">
        <v>0</v>
      </c>
      <c r="AX226" s="107">
        <v>0</v>
      </c>
      <c r="AY226" s="107">
        <v>0</v>
      </c>
    </row>
    <row r="227" spans="1:51" x14ac:dyDescent="0.15">
      <c r="A227" s="106"/>
      <c r="B227" s="117">
        <v>19</v>
      </c>
      <c r="C227" s="103"/>
      <c r="D227" s="107">
        <v>0</v>
      </c>
      <c r="E227" s="107">
        <v>0</v>
      </c>
      <c r="F227" s="107">
        <v>0</v>
      </c>
      <c r="G227" s="107">
        <v>0</v>
      </c>
      <c r="H227" s="107">
        <v>0</v>
      </c>
      <c r="I227" s="107">
        <v>0</v>
      </c>
      <c r="J227" s="107">
        <v>0</v>
      </c>
      <c r="K227" s="107">
        <v>0</v>
      </c>
      <c r="L227" s="107">
        <v>0</v>
      </c>
      <c r="M227" s="107">
        <v>0</v>
      </c>
      <c r="N227" s="107">
        <v>0</v>
      </c>
      <c r="O227" s="107">
        <v>0</v>
      </c>
      <c r="P227" s="107">
        <v>0</v>
      </c>
      <c r="Q227" s="107">
        <v>0</v>
      </c>
      <c r="R227" s="107">
        <v>0</v>
      </c>
      <c r="S227" s="107">
        <v>0</v>
      </c>
      <c r="T227" s="107">
        <v>0</v>
      </c>
      <c r="U227" s="107">
        <v>0</v>
      </c>
      <c r="V227" s="107">
        <v>0</v>
      </c>
      <c r="W227" s="107">
        <v>0</v>
      </c>
      <c r="X227" s="107">
        <v>0</v>
      </c>
      <c r="Y227" s="107">
        <v>0</v>
      </c>
      <c r="Z227" s="107">
        <v>0</v>
      </c>
      <c r="AA227" s="107">
        <v>0</v>
      </c>
      <c r="AB227" s="107">
        <v>0</v>
      </c>
      <c r="AC227" s="107">
        <v>0</v>
      </c>
      <c r="AD227" s="107">
        <v>0</v>
      </c>
      <c r="AE227" s="107">
        <v>0</v>
      </c>
      <c r="AF227" s="107">
        <v>0</v>
      </c>
      <c r="AG227" s="107">
        <v>0</v>
      </c>
      <c r="AH227" s="107">
        <v>0</v>
      </c>
      <c r="AI227" s="107">
        <v>0</v>
      </c>
      <c r="AJ227" s="107">
        <v>0</v>
      </c>
      <c r="AK227" s="107">
        <v>0</v>
      </c>
      <c r="AL227" s="107">
        <v>0</v>
      </c>
      <c r="AM227" s="107">
        <v>0</v>
      </c>
      <c r="AN227" s="107">
        <v>0</v>
      </c>
      <c r="AO227" s="107">
        <v>0</v>
      </c>
      <c r="AP227" s="107">
        <v>0</v>
      </c>
      <c r="AQ227" s="107">
        <v>0</v>
      </c>
      <c r="AR227" s="107">
        <v>0</v>
      </c>
      <c r="AS227" s="107">
        <v>0</v>
      </c>
      <c r="AT227" s="107">
        <v>0</v>
      </c>
      <c r="AU227" s="107">
        <v>0</v>
      </c>
      <c r="AV227" s="107">
        <v>0</v>
      </c>
      <c r="AW227" s="107">
        <v>0</v>
      </c>
      <c r="AX227" s="107">
        <v>0</v>
      </c>
      <c r="AY227" s="107">
        <v>0</v>
      </c>
    </row>
    <row r="228" spans="1:51" x14ac:dyDescent="0.15">
      <c r="A228" s="106"/>
      <c r="B228" s="117">
        <v>20</v>
      </c>
      <c r="C228" s="103"/>
      <c r="D228" s="107">
        <v>0</v>
      </c>
      <c r="E228" s="107">
        <v>0</v>
      </c>
      <c r="F228" s="107">
        <v>0</v>
      </c>
      <c r="G228" s="107">
        <v>0</v>
      </c>
      <c r="H228" s="107">
        <v>0</v>
      </c>
      <c r="I228" s="107">
        <v>0</v>
      </c>
      <c r="J228" s="107">
        <v>0</v>
      </c>
      <c r="K228" s="107">
        <v>0</v>
      </c>
      <c r="L228" s="107">
        <v>0</v>
      </c>
      <c r="M228" s="107">
        <v>0</v>
      </c>
      <c r="N228" s="107">
        <v>0</v>
      </c>
      <c r="O228" s="107">
        <v>0</v>
      </c>
      <c r="P228" s="107">
        <v>0</v>
      </c>
      <c r="Q228" s="107">
        <v>0</v>
      </c>
      <c r="R228" s="107">
        <v>0</v>
      </c>
      <c r="S228" s="107">
        <v>0</v>
      </c>
      <c r="T228" s="107">
        <v>0</v>
      </c>
      <c r="U228" s="107">
        <v>0</v>
      </c>
      <c r="V228" s="107">
        <v>0</v>
      </c>
      <c r="W228" s="107">
        <v>0</v>
      </c>
      <c r="X228" s="107">
        <v>0</v>
      </c>
      <c r="Y228" s="107">
        <v>0</v>
      </c>
      <c r="Z228" s="107">
        <v>0</v>
      </c>
      <c r="AA228" s="107">
        <v>0</v>
      </c>
      <c r="AB228" s="107">
        <v>0</v>
      </c>
      <c r="AC228" s="107">
        <v>0</v>
      </c>
      <c r="AD228" s="107">
        <v>0</v>
      </c>
      <c r="AE228" s="107">
        <v>0</v>
      </c>
      <c r="AF228" s="107">
        <v>0</v>
      </c>
      <c r="AG228" s="107">
        <v>0</v>
      </c>
      <c r="AH228" s="107">
        <v>0</v>
      </c>
      <c r="AI228" s="107">
        <v>0</v>
      </c>
      <c r="AJ228" s="107">
        <v>0</v>
      </c>
      <c r="AK228" s="107">
        <v>0</v>
      </c>
      <c r="AL228" s="107">
        <v>0</v>
      </c>
      <c r="AM228" s="107">
        <v>0</v>
      </c>
      <c r="AN228" s="107">
        <v>0</v>
      </c>
      <c r="AO228" s="107">
        <v>0</v>
      </c>
      <c r="AP228" s="107">
        <v>0</v>
      </c>
      <c r="AQ228" s="107">
        <v>0</v>
      </c>
      <c r="AR228" s="107">
        <v>0</v>
      </c>
      <c r="AS228" s="107">
        <v>0</v>
      </c>
      <c r="AT228" s="107">
        <v>0</v>
      </c>
      <c r="AU228" s="107">
        <v>0</v>
      </c>
      <c r="AV228" s="107">
        <v>0</v>
      </c>
      <c r="AW228" s="107">
        <v>0</v>
      </c>
      <c r="AX228" s="107">
        <v>0</v>
      </c>
      <c r="AY228" s="107">
        <v>0</v>
      </c>
    </row>
    <row r="229" spans="1:51" x14ac:dyDescent="0.15">
      <c r="A229" s="106"/>
      <c r="B229" s="117">
        <v>21</v>
      </c>
      <c r="C229" s="103"/>
      <c r="D229" s="107">
        <v>0</v>
      </c>
      <c r="E229" s="107">
        <v>0</v>
      </c>
      <c r="F229" s="107">
        <v>0</v>
      </c>
      <c r="G229" s="107">
        <v>0</v>
      </c>
      <c r="H229" s="107">
        <v>0</v>
      </c>
      <c r="I229" s="107">
        <v>0</v>
      </c>
      <c r="J229" s="107">
        <v>0</v>
      </c>
      <c r="K229" s="107">
        <v>0</v>
      </c>
      <c r="L229" s="107">
        <v>0</v>
      </c>
      <c r="M229" s="107">
        <v>0</v>
      </c>
      <c r="N229" s="107">
        <v>0</v>
      </c>
      <c r="O229" s="107">
        <v>0</v>
      </c>
      <c r="P229" s="107">
        <v>0</v>
      </c>
      <c r="Q229" s="107">
        <v>0</v>
      </c>
      <c r="R229" s="107">
        <v>0</v>
      </c>
      <c r="S229" s="107">
        <v>0</v>
      </c>
      <c r="T229" s="107">
        <v>0</v>
      </c>
      <c r="U229" s="107">
        <v>0</v>
      </c>
      <c r="V229" s="107">
        <v>0</v>
      </c>
      <c r="W229" s="107">
        <v>0</v>
      </c>
      <c r="X229" s="107">
        <v>0</v>
      </c>
      <c r="Y229" s="107">
        <v>0</v>
      </c>
      <c r="Z229" s="107">
        <v>0</v>
      </c>
      <c r="AA229" s="107">
        <v>0</v>
      </c>
      <c r="AB229" s="107">
        <v>0</v>
      </c>
      <c r="AC229" s="107">
        <v>0</v>
      </c>
      <c r="AD229" s="107">
        <v>0</v>
      </c>
      <c r="AE229" s="107">
        <v>0</v>
      </c>
      <c r="AF229" s="107">
        <v>0</v>
      </c>
      <c r="AG229" s="107">
        <v>0</v>
      </c>
      <c r="AH229" s="107">
        <v>0</v>
      </c>
      <c r="AI229" s="107">
        <v>0</v>
      </c>
      <c r="AJ229" s="107">
        <v>0</v>
      </c>
      <c r="AK229" s="107">
        <v>0</v>
      </c>
      <c r="AL229" s="107">
        <v>0</v>
      </c>
      <c r="AM229" s="107">
        <v>0</v>
      </c>
      <c r="AN229" s="107">
        <v>0</v>
      </c>
      <c r="AO229" s="107">
        <v>0</v>
      </c>
      <c r="AP229" s="107">
        <v>0</v>
      </c>
      <c r="AQ229" s="107">
        <v>0</v>
      </c>
      <c r="AR229" s="107">
        <v>0</v>
      </c>
      <c r="AS229" s="107">
        <v>0</v>
      </c>
      <c r="AT229" s="107">
        <v>0</v>
      </c>
      <c r="AU229" s="107">
        <v>0</v>
      </c>
      <c r="AV229" s="107">
        <v>0</v>
      </c>
      <c r="AW229" s="107">
        <v>0</v>
      </c>
      <c r="AX229" s="107">
        <v>0</v>
      </c>
      <c r="AY229" s="107">
        <v>0</v>
      </c>
    </row>
    <row r="230" spans="1:51" x14ac:dyDescent="0.15">
      <c r="A230" s="106"/>
      <c r="B230" s="117">
        <v>22</v>
      </c>
      <c r="C230" s="103"/>
      <c r="D230" s="107">
        <v>0</v>
      </c>
      <c r="E230" s="107">
        <v>0</v>
      </c>
      <c r="F230" s="107">
        <v>0</v>
      </c>
      <c r="G230" s="107">
        <v>0</v>
      </c>
      <c r="H230" s="107">
        <v>0</v>
      </c>
      <c r="I230" s="107">
        <v>0</v>
      </c>
      <c r="J230" s="107">
        <v>0</v>
      </c>
      <c r="K230" s="107">
        <v>0</v>
      </c>
      <c r="L230" s="107">
        <v>0</v>
      </c>
      <c r="M230" s="107">
        <v>0</v>
      </c>
      <c r="N230" s="107">
        <v>0</v>
      </c>
      <c r="O230" s="107">
        <v>0</v>
      </c>
      <c r="P230" s="107">
        <v>0</v>
      </c>
      <c r="Q230" s="107">
        <v>0</v>
      </c>
      <c r="R230" s="107">
        <v>0</v>
      </c>
      <c r="S230" s="107">
        <v>0</v>
      </c>
      <c r="T230" s="107">
        <v>0</v>
      </c>
      <c r="U230" s="107">
        <v>0</v>
      </c>
      <c r="V230" s="107">
        <v>0</v>
      </c>
      <c r="W230" s="107">
        <v>0</v>
      </c>
      <c r="X230" s="107">
        <v>0</v>
      </c>
      <c r="Y230" s="107">
        <v>0</v>
      </c>
      <c r="Z230" s="107">
        <v>0</v>
      </c>
      <c r="AA230" s="107">
        <v>0</v>
      </c>
      <c r="AB230" s="107">
        <v>0</v>
      </c>
      <c r="AC230" s="107">
        <v>0</v>
      </c>
      <c r="AD230" s="107">
        <v>0</v>
      </c>
      <c r="AE230" s="107">
        <v>0</v>
      </c>
      <c r="AF230" s="107">
        <v>0</v>
      </c>
      <c r="AG230" s="107">
        <v>0</v>
      </c>
      <c r="AH230" s="107">
        <v>0</v>
      </c>
      <c r="AI230" s="107">
        <v>0</v>
      </c>
      <c r="AJ230" s="107">
        <v>0</v>
      </c>
      <c r="AK230" s="107">
        <v>0</v>
      </c>
      <c r="AL230" s="107">
        <v>0</v>
      </c>
      <c r="AM230" s="107">
        <v>0</v>
      </c>
      <c r="AN230" s="107">
        <v>0</v>
      </c>
      <c r="AO230" s="107">
        <v>0</v>
      </c>
      <c r="AP230" s="107">
        <v>0</v>
      </c>
      <c r="AQ230" s="107">
        <v>0</v>
      </c>
      <c r="AR230" s="107">
        <v>0</v>
      </c>
      <c r="AS230" s="107">
        <v>0</v>
      </c>
      <c r="AT230" s="107">
        <v>0</v>
      </c>
      <c r="AU230" s="107">
        <v>0</v>
      </c>
      <c r="AV230" s="107">
        <v>0</v>
      </c>
      <c r="AW230" s="107">
        <v>0</v>
      </c>
      <c r="AX230" s="107">
        <v>0</v>
      </c>
      <c r="AY230" s="107">
        <v>0</v>
      </c>
    </row>
    <row r="231" spans="1:51" x14ac:dyDescent="0.15">
      <c r="A231" s="106"/>
      <c r="B231" s="117">
        <v>23</v>
      </c>
      <c r="C231" s="103"/>
      <c r="D231" s="107">
        <v>0</v>
      </c>
      <c r="E231" s="107">
        <v>0</v>
      </c>
      <c r="F231" s="107">
        <v>0</v>
      </c>
      <c r="G231" s="107">
        <v>0</v>
      </c>
      <c r="H231" s="107">
        <v>0</v>
      </c>
      <c r="I231" s="107">
        <v>0</v>
      </c>
      <c r="J231" s="107">
        <v>0</v>
      </c>
      <c r="K231" s="107">
        <v>0</v>
      </c>
      <c r="L231" s="107">
        <v>0</v>
      </c>
      <c r="M231" s="107">
        <v>0</v>
      </c>
      <c r="N231" s="107">
        <v>0</v>
      </c>
      <c r="O231" s="107">
        <v>0</v>
      </c>
      <c r="P231" s="107">
        <v>0</v>
      </c>
      <c r="Q231" s="107">
        <v>0</v>
      </c>
      <c r="R231" s="107">
        <v>0</v>
      </c>
      <c r="S231" s="107">
        <v>0</v>
      </c>
      <c r="T231" s="107">
        <v>0</v>
      </c>
      <c r="U231" s="107">
        <v>0</v>
      </c>
      <c r="V231" s="107">
        <v>0</v>
      </c>
      <c r="W231" s="107">
        <v>0</v>
      </c>
      <c r="X231" s="107">
        <v>0</v>
      </c>
      <c r="Y231" s="107">
        <v>0</v>
      </c>
      <c r="Z231" s="107">
        <v>0</v>
      </c>
      <c r="AA231" s="107">
        <v>0</v>
      </c>
      <c r="AB231" s="107">
        <v>0</v>
      </c>
      <c r="AC231" s="107">
        <v>0</v>
      </c>
      <c r="AD231" s="107">
        <v>0</v>
      </c>
      <c r="AE231" s="107">
        <v>0</v>
      </c>
      <c r="AF231" s="107">
        <v>0</v>
      </c>
      <c r="AG231" s="107">
        <v>0</v>
      </c>
      <c r="AH231" s="107">
        <v>0</v>
      </c>
      <c r="AI231" s="107">
        <v>0</v>
      </c>
      <c r="AJ231" s="107">
        <v>0</v>
      </c>
      <c r="AK231" s="107">
        <v>0</v>
      </c>
      <c r="AL231" s="107">
        <v>0</v>
      </c>
      <c r="AM231" s="107">
        <v>0</v>
      </c>
      <c r="AN231" s="107">
        <v>0</v>
      </c>
      <c r="AO231" s="107">
        <v>0</v>
      </c>
      <c r="AP231" s="107">
        <v>0</v>
      </c>
      <c r="AQ231" s="107">
        <v>0</v>
      </c>
      <c r="AR231" s="107">
        <v>0</v>
      </c>
      <c r="AS231" s="107">
        <v>0</v>
      </c>
      <c r="AT231" s="107">
        <v>0</v>
      </c>
      <c r="AU231" s="107">
        <v>0</v>
      </c>
      <c r="AV231" s="107">
        <v>0</v>
      </c>
      <c r="AW231" s="107">
        <v>0</v>
      </c>
      <c r="AX231" s="107">
        <v>0</v>
      </c>
      <c r="AY231" s="107">
        <v>0</v>
      </c>
    </row>
    <row r="232" spans="1:51" x14ac:dyDescent="0.15">
      <c r="A232" s="106"/>
      <c r="B232" s="117">
        <v>24</v>
      </c>
      <c r="C232" s="103"/>
      <c r="D232" s="107">
        <v>0</v>
      </c>
      <c r="E232" s="107">
        <v>0</v>
      </c>
      <c r="F232" s="107">
        <v>0</v>
      </c>
      <c r="G232" s="107">
        <v>0</v>
      </c>
      <c r="H232" s="107">
        <v>0</v>
      </c>
      <c r="I232" s="107">
        <v>0</v>
      </c>
      <c r="J232" s="107">
        <v>0</v>
      </c>
      <c r="K232" s="107">
        <v>0</v>
      </c>
      <c r="L232" s="107">
        <v>0</v>
      </c>
      <c r="M232" s="107">
        <v>0</v>
      </c>
      <c r="N232" s="107">
        <v>0</v>
      </c>
      <c r="O232" s="107">
        <v>0</v>
      </c>
      <c r="P232" s="107">
        <v>0</v>
      </c>
      <c r="Q232" s="107">
        <v>0</v>
      </c>
      <c r="R232" s="107">
        <v>0</v>
      </c>
      <c r="S232" s="107">
        <v>0</v>
      </c>
      <c r="T232" s="107">
        <v>0</v>
      </c>
      <c r="U232" s="107">
        <v>0</v>
      </c>
      <c r="V232" s="107">
        <v>0</v>
      </c>
      <c r="W232" s="107">
        <v>0</v>
      </c>
      <c r="X232" s="107">
        <v>0</v>
      </c>
      <c r="Y232" s="107">
        <v>0</v>
      </c>
      <c r="Z232" s="107">
        <v>0</v>
      </c>
      <c r="AA232" s="107">
        <v>0</v>
      </c>
      <c r="AB232" s="107">
        <v>0</v>
      </c>
      <c r="AC232" s="107">
        <v>0</v>
      </c>
      <c r="AD232" s="107">
        <v>0</v>
      </c>
      <c r="AE232" s="107">
        <v>0</v>
      </c>
      <c r="AF232" s="107">
        <v>0</v>
      </c>
      <c r="AG232" s="107">
        <v>0</v>
      </c>
      <c r="AH232" s="107">
        <v>0</v>
      </c>
      <c r="AI232" s="107">
        <v>0</v>
      </c>
      <c r="AJ232" s="107">
        <v>0</v>
      </c>
      <c r="AK232" s="107">
        <v>0</v>
      </c>
      <c r="AL232" s="107">
        <v>0</v>
      </c>
      <c r="AM232" s="107">
        <v>0</v>
      </c>
      <c r="AN232" s="107">
        <v>0</v>
      </c>
      <c r="AO232" s="107">
        <v>0</v>
      </c>
      <c r="AP232" s="107">
        <v>0</v>
      </c>
      <c r="AQ232" s="107">
        <v>0</v>
      </c>
      <c r="AR232" s="107">
        <v>0</v>
      </c>
      <c r="AS232" s="107">
        <v>0</v>
      </c>
      <c r="AT232" s="107">
        <v>0</v>
      </c>
      <c r="AU232" s="107">
        <v>0</v>
      </c>
      <c r="AV232" s="107">
        <v>0</v>
      </c>
      <c r="AW232" s="107">
        <v>0</v>
      </c>
      <c r="AX232" s="107">
        <v>0</v>
      </c>
      <c r="AY232" s="107">
        <v>0</v>
      </c>
    </row>
    <row r="233" spans="1:51" x14ac:dyDescent="0.15">
      <c r="A233" s="106"/>
      <c r="B233" s="124">
        <v>25</v>
      </c>
      <c r="C233" s="103"/>
      <c r="D233" s="107">
        <v>0</v>
      </c>
      <c r="E233" s="107">
        <v>0</v>
      </c>
      <c r="F233" s="107">
        <v>0</v>
      </c>
      <c r="G233" s="107">
        <v>0</v>
      </c>
      <c r="H233" s="107">
        <v>0</v>
      </c>
      <c r="I233" s="107">
        <v>0</v>
      </c>
      <c r="J233" s="107">
        <v>0</v>
      </c>
      <c r="K233" s="107">
        <v>0</v>
      </c>
      <c r="L233" s="107">
        <v>0</v>
      </c>
      <c r="M233" s="107">
        <v>0</v>
      </c>
      <c r="N233" s="107">
        <v>0</v>
      </c>
      <c r="O233" s="107">
        <v>0</v>
      </c>
      <c r="P233" s="107">
        <v>0</v>
      </c>
      <c r="Q233" s="107">
        <v>0</v>
      </c>
      <c r="R233" s="107">
        <v>0</v>
      </c>
      <c r="S233" s="107">
        <v>0</v>
      </c>
      <c r="T233" s="107">
        <v>0</v>
      </c>
      <c r="U233" s="107">
        <v>0</v>
      </c>
      <c r="V233" s="107">
        <v>0</v>
      </c>
      <c r="W233" s="107">
        <v>0</v>
      </c>
      <c r="X233" s="107">
        <v>0</v>
      </c>
      <c r="Y233" s="107">
        <v>0</v>
      </c>
      <c r="Z233" s="107">
        <v>0</v>
      </c>
      <c r="AA233" s="107">
        <v>0</v>
      </c>
      <c r="AB233" s="107">
        <v>0</v>
      </c>
      <c r="AC233" s="107">
        <v>0</v>
      </c>
      <c r="AD233" s="107">
        <v>0</v>
      </c>
      <c r="AE233" s="107">
        <v>0</v>
      </c>
      <c r="AF233" s="107">
        <v>0</v>
      </c>
      <c r="AG233" s="107">
        <v>0</v>
      </c>
      <c r="AH233" s="107">
        <v>0</v>
      </c>
      <c r="AI233" s="107">
        <v>0</v>
      </c>
      <c r="AJ233" s="107">
        <v>0</v>
      </c>
      <c r="AK233" s="107">
        <v>0</v>
      </c>
      <c r="AL233" s="107">
        <v>0</v>
      </c>
      <c r="AM233" s="107">
        <v>0</v>
      </c>
      <c r="AN233" s="107">
        <v>0</v>
      </c>
      <c r="AO233" s="107">
        <v>0</v>
      </c>
      <c r="AP233" s="107">
        <v>0</v>
      </c>
      <c r="AQ233" s="107">
        <v>0</v>
      </c>
      <c r="AR233" s="107">
        <v>0</v>
      </c>
      <c r="AS233" s="107">
        <v>0</v>
      </c>
      <c r="AT233" s="107">
        <v>0</v>
      </c>
      <c r="AU233" s="107">
        <v>0</v>
      </c>
      <c r="AV233" s="107">
        <v>0</v>
      </c>
      <c r="AW233" s="107">
        <v>0</v>
      </c>
      <c r="AX233" s="107">
        <v>0</v>
      </c>
      <c r="AY233" s="107">
        <v>0</v>
      </c>
    </row>
    <row r="234" spans="1:51" x14ac:dyDescent="0.15">
      <c r="A234" s="106"/>
      <c r="B234" s="124">
        <v>26</v>
      </c>
      <c r="C234" s="103"/>
      <c r="D234" s="107">
        <v>0</v>
      </c>
      <c r="E234" s="107">
        <v>0</v>
      </c>
      <c r="F234" s="107">
        <v>0</v>
      </c>
      <c r="G234" s="107">
        <v>0</v>
      </c>
      <c r="H234" s="107">
        <v>0</v>
      </c>
      <c r="I234" s="107">
        <v>0</v>
      </c>
      <c r="J234" s="107">
        <v>0</v>
      </c>
      <c r="K234" s="107">
        <v>0</v>
      </c>
      <c r="L234" s="107">
        <v>0</v>
      </c>
      <c r="M234" s="107">
        <v>0</v>
      </c>
      <c r="N234" s="107">
        <v>0</v>
      </c>
      <c r="O234" s="107">
        <v>0</v>
      </c>
      <c r="P234" s="107">
        <v>0</v>
      </c>
      <c r="Q234" s="107">
        <v>0</v>
      </c>
      <c r="R234" s="107">
        <v>0</v>
      </c>
      <c r="S234" s="107">
        <v>0</v>
      </c>
      <c r="T234" s="107">
        <v>0</v>
      </c>
      <c r="U234" s="107">
        <v>0</v>
      </c>
      <c r="V234" s="107">
        <v>0</v>
      </c>
      <c r="W234" s="107">
        <v>0</v>
      </c>
      <c r="X234" s="107">
        <v>0</v>
      </c>
      <c r="Y234" s="107">
        <v>0</v>
      </c>
      <c r="Z234" s="107">
        <v>0</v>
      </c>
      <c r="AA234" s="107">
        <v>0</v>
      </c>
      <c r="AB234" s="107">
        <v>0</v>
      </c>
      <c r="AC234" s="107">
        <v>0</v>
      </c>
      <c r="AD234" s="107">
        <v>0</v>
      </c>
      <c r="AE234" s="107">
        <v>0</v>
      </c>
      <c r="AF234" s="107">
        <v>0</v>
      </c>
      <c r="AG234" s="107">
        <v>0</v>
      </c>
      <c r="AH234" s="107">
        <v>0</v>
      </c>
      <c r="AI234" s="107">
        <v>0</v>
      </c>
      <c r="AJ234" s="107">
        <v>0</v>
      </c>
      <c r="AK234" s="107">
        <v>0</v>
      </c>
      <c r="AL234" s="107">
        <v>0</v>
      </c>
      <c r="AM234" s="107">
        <v>0</v>
      </c>
      <c r="AN234" s="107">
        <v>0</v>
      </c>
      <c r="AO234" s="107">
        <v>0</v>
      </c>
      <c r="AP234" s="107">
        <v>0</v>
      </c>
      <c r="AQ234" s="107">
        <v>0</v>
      </c>
      <c r="AR234" s="107">
        <v>0</v>
      </c>
      <c r="AS234" s="107">
        <v>0</v>
      </c>
      <c r="AT234" s="107">
        <v>0</v>
      </c>
      <c r="AU234" s="107">
        <v>0</v>
      </c>
      <c r="AV234" s="107">
        <v>0</v>
      </c>
      <c r="AW234" s="107">
        <v>0</v>
      </c>
      <c r="AX234" s="107">
        <v>0</v>
      </c>
      <c r="AY234" s="107">
        <v>0</v>
      </c>
    </row>
    <row r="235" spans="1:51" x14ac:dyDescent="0.15">
      <c r="A235" s="106"/>
      <c r="B235" s="124">
        <v>27</v>
      </c>
      <c r="C235" s="103"/>
      <c r="D235" s="107">
        <v>0</v>
      </c>
      <c r="E235" s="107">
        <v>0</v>
      </c>
      <c r="F235" s="107">
        <v>0</v>
      </c>
      <c r="G235" s="107">
        <v>0</v>
      </c>
      <c r="H235" s="107">
        <v>0</v>
      </c>
      <c r="I235" s="107">
        <v>0</v>
      </c>
      <c r="J235" s="107">
        <v>0</v>
      </c>
      <c r="K235" s="107">
        <v>0</v>
      </c>
      <c r="L235" s="107">
        <v>0</v>
      </c>
      <c r="M235" s="107">
        <v>0</v>
      </c>
      <c r="N235" s="107">
        <v>0</v>
      </c>
      <c r="O235" s="107">
        <v>0</v>
      </c>
      <c r="P235" s="107">
        <v>0</v>
      </c>
      <c r="Q235" s="107">
        <v>0</v>
      </c>
      <c r="R235" s="107">
        <v>0</v>
      </c>
      <c r="S235" s="107">
        <v>0</v>
      </c>
      <c r="T235" s="107">
        <v>0</v>
      </c>
      <c r="U235" s="107">
        <v>0</v>
      </c>
      <c r="V235" s="107">
        <v>0</v>
      </c>
      <c r="W235" s="107">
        <v>0</v>
      </c>
      <c r="X235" s="107">
        <v>0</v>
      </c>
      <c r="Y235" s="107">
        <v>0</v>
      </c>
      <c r="Z235" s="107">
        <v>0</v>
      </c>
      <c r="AA235" s="107">
        <v>0</v>
      </c>
      <c r="AB235" s="107">
        <v>0</v>
      </c>
      <c r="AC235" s="107">
        <v>0</v>
      </c>
      <c r="AD235" s="107">
        <v>0</v>
      </c>
      <c r="AE235" s="107">
        <v>0</v>
      </c>
      <c r="AF235" s="107">
        <v>0</v>
      </c>
      <c r="AG235" s="107">
        <v>0</v>
      </c>
      <c r="AH235" s="107">
        <v>0</v>
      </c>
      <c r="AI235" s="107">
        <v>0</v>
      </c>
      <c r="AJ235" s="107">
        <v>0</v>
      </c>
      <c r="AK235" s="107">
        <v>0</v>
      </c>
      <c r="AL235" s="107">
        <v>0</v>
      </c>
      <c r="AM235" s="107">
        <v>0</v>
      </c>
      <c r="AN235" s="107">
        <v>0</v>
      </c>
      <c r="AO235" s="107">
        <v>0</v>
      </c>
      <c r="AP235" s="107">
        <v>0</v>
      </c>
      <c r="AQ235" s="107">
        <v>0</v>
      </c>
      <c r="AR235" s="107">
        <v>0</v>
      </c>
      <c r="AS235" s="107">
        <v>0</v>
      </c>
      <c r="AT235" s="107">
        <v>0</v>
      </c>
      <c r="AU235" s="107">
        <v>0</v>
      </c>
      <c r="AV235" s="107">
        <v>0</v>
      </c>
      <c r="AW235" s="107">
        <v>0</v>
      </c>
      <c r="AX235" s="107">
        <v>0</v>
      </c>
      <c r="AY235" s="107">
        <v>0</v>
      </c>
    </row>
    <row r="236" spans="1:51" x14ac:dyDescent="0.15">
      <c r="A236" s="106"/>
      <c r="B236" s="124">
        <v>28</v>
      </c>
      <c r="C236" s="103"/>
      <c r="D236" s="107">
        <v>0</v>
      </c>
      <c r="E236" s="107">
        <v>0</v>
      </c>
      <c r="F236" s="107">
        <v>0</v>
      </c>
      <c r="G236" s="107">
        <v>0</v>
      </c>
      <c r="H236" s="107">
        <v>0</v>
      </c>
      <c r="I236" s="107">
        <v>0</v>
      </c>
      <c r="J236" s="107">
        <v>0</v>
      </c>
      <c r="K236" s="107">
        <v>0</v>
      </c>
      <c r="L236" s="107">
        <v>0</v>
      </c>
      <c r="M236" s="107">
        <v>0</v>
      </c>
      <c r="N236" s="107">
        <v>0</v>
      </c>
      <c r="O236" s="107">
        <v>0</v>
      </c>
      <c r="P236" s="107">
        <v>0</v>
      </c>
      <c r="Q236" s="107">
        <v>0</v>
      </c>
      <c r="R236" s="107">
        <v>0</v>
      </c>
      <c r="S236" s="107">
        <v>0</v>
      </c>
      <c r="T236" s="107">
        <v>0</v>
      </c>
      <c r="U236" s="107">
        <v>0</v>
      </c>
      <c r="V236" s="107">
        <v>0</v>
      </c>
      <c r="W236" s="107">
        <v>0</v>
      </c>
      <c r="X236" s="107">
        <v>0</v>
      </c>
      <c r="Y236" s="107">
        <v>0</v>
      </c>
      <c r="Z236" s="107">
        <v>0</v>
      </c>
      <c r="AA236" s="107">
        <v>0</v>
      </c>
      <c r="AB236" s="107">
        <v>0</v>
      </c>
      <c r="AC236" s="107">
        <v>0</v>
      </c>
      <c r="AD236" s="107">
        <v>0</v>
      </c>
      <c r="AE236" s="107">
        <v>0</v>
      </c>
      <c r="AF236" s="107">
        <v>0</v>
      </c>
      <c r="AG236" s="107">
        <v>0</v>
      </c>
      <c r="AH236" s="107">
        <v>0</v>
      </c>
      <c r="AI236" s="107">
        <v>0</v>
      </c>
      <c r="AJ236" s="107">
        <v>0</v>
      </c>
      <c r="AK236" s="107">
        <v>0</v>
      </c>
      <c r="AL236" s="107">
        <v>0</v>
      </c>
      <c r="AM236" s="107">
        <v>0</v>
      </c>
      <c r="AN236" s="107">
        <v>0</v>
      </c>
      <c r="AO236" s="107">
        <v>0</v>
      </c>
      <c r="AP236" s="107">
        <v>0</v>
      </c>
      <c r="AQ236" s="107">
        <v>0</v>
      </c>
      <c r="AR236" s="107">
        <v>0</v>
      </c>
      <c r="AS236" s="107">
        <v>0</v>
      </c>
      <c r="AT236" s="107">
        <v>0</v>
      </c>
      <c r="AU236" s="107">
        <v>0</v>
      </c>
      <c r="AV236" s="107">
        <v>0</v>
      </c>
      <c r="AW236" s="107">
        <v>0</v>
      </c>
      <c r="AX236" s="107">
        <v>0</v>
      </c>
      <c r="AY236" s="107">
        <v>0</v>
      </c>
    </row>
    <row r="237" spans="1:51" x14ac:dyDescent="0.15">
      <c r="A237" s="106"/>
      <c r="B237" s="124">
        <v>29</v>
      </c>
      <c r="C237" s="103"/>
      <c r="D237" s="107">
        <v>0</v>
      </c>
      <c r="E237" s="107">
        <v>0</v>
      </c>
      <c r="F237" s="107">
        <v>0</v>
      </c>
      <c r="G237" s="107">
        <v>0</v>
      </c>
      <c r="H237" s="107">
        <v>0</v>
      </c>
      <c r="I237" s="107">
        <v>0</v>
      </c>
      <c r="J237" s="107">
        <v>0</v>
      </c>
      <c r="K237" s="107">
        <v>0</v>
      </c>
      <c r="L237" s="107">
        <v>0</v>
      </c>
      <c r="M237" s="107">
        <v>0</v>
      </c>
      <c r="N237" s="107">
        <v>0</v>
      </c>
      <c r="O237" s="107">
        <v>0</v>
      </c>
      <c r="P237" s="107">
        <v>0</v>
      </c>
      <c r="Q237" s="107">
        <v>0</v>
      </c>
      <c r="R237" s="107">
        <v>0</v>
      </c>
      <c r="S237" s="107">
        <v>0</v>
      </c>
      <c r="T237" s="107">
        <v>0</v>
      </c>
      <c r="U237" s="107">
        <v>0</v>
      </c>
      <c r="V237" s="107">
        <v>0</v>
      </c>
      <c r="W237" s="107">
        <v>0</v>
      </c>
      <c r="X237" s="107">
        <v>0</v>
      </c>
      <c r="Y237" s="107">
        <v>0</v>
      </c>
      <c r="Z237" s="107">
        <v>0</v>
      </c>
      <c r="AA237" s="107">
        <v>0</v>
      </c>
      <c r="AB237" s="107">
        <v>0</v>
      </c>
      <c r="AC237" s="107">
        <v>0</v>
      </c>
      <c r="AD237" s="107">
        <v>0</v>
      </c>
      <c r="AE237" s="107">
        <v>0</v>
      </c>
      <c r="AF237" s="107">
        <v>0</v>
      </c>
      <c r="AG237" s="107">
        <v>0</v>
      </c>
      <c r="AH237" s="107">
        <v>0</v>
      </c>
      <c r="AI237" s="107">
        <v>0</v>
      </c>
      <c r="AJ237" s="107">
        <v>0</v>
      </c>
      <c r="AK237" s="107">
        <v>0</v>
      </c>
      <c r="AL237" s="107">
        <v>0</v>
      </c>
      <c r="AM237" s="107">
        <v>0</v>
      </c>
      <c r="AN237" s="107">
        <v>0</v>
      </c>
      <c r="AO237" s="107">
        <v>0</v>
      </c>
      <c r="AP237" s="107">
        <v>0</v>
      </c>
      <c r="AQ237" s="107">
        <v>0</v>
      </c>
      <c r="AR237" s="107">
        <v>0</v>
      </c>
      <c r="AS237" s="107">
        <v>0</v>
      </c>
      <c r="AT237" s="107">
        <v>0</v>
      </c>
      <c r="AU237" s="107">
        <v>0</v>
      </c>
      <c r="AV237" s="107">
        <v>0</v>
      </c>
      <c r="AW237" s="107">
        <v>0</v>
      </c>
      <c r="AX237" s="107">
        <v>0</v>
      </c>
      <c r="AY237" s="107">
        <v>0</v>
      </c>
    </row>
    <row r="238" spans="1:51" x14ac:dyDescent="0.15">
      <c r="A238" s="106"/>
      <c r="B238" s="124">
        <v>30</v>
      </c>
      <c r="C238" s="103"/>
      <c r="D238" s="107">
        <v>0</v>
      </c>
      <c r="E238" s="107">
        <v>0</v>
      </c>
      <c r="F238" s="107">
        <v>0</v>
      </c>
      <c r="G238" s="107">
        <v>0</v>
      </c>
      <c r="H238" s="107">
        <v>0</v>
      </c>
      <c r="I238" s="107">
        <v>0</v>
      </c>
      <c r="J238" s="107">
        <v>0</v>
      </c>
      <c r="K238" s="107">
        <v>0</v>
      </c>
      <c r="L238" s="107">
        <v>0</v>
      </c>
      <c r="M238" s="107">
        <v>0</v>
      </c>
      <c r="N238" s="107">
        <v>0</v>
      </c>
      <c r="O238" s="107">
        <v>0</v>
      </c>
      <c r="P238" s="107">
        <v>0</v>
      </c>
      <c r="Q238" s="107">
        <v>0</v>
      </c>
      <c r="R238" s="107">
        <v>0</v>
      </c>
      <c r="S238" s="107">
        <v>0</v>
      </c>
      <c r="T238" s="107">
        <v>0</v>
      </c>
      <c r="U238" s="107">
        <v>0</v>
      </c>
      <c r="V238" s="107">
        <v>0</v>
      </c>
      <c r="W238" s="107">
        <v>0</v>
      </c>
      <c r="X238" s="107">
        <v>0</v>
      </c>
      <c r="Y238" s="107">
        <v>0</v>
      </c>
      <c r="Z238" s="107">
        <v>0</v>
      </c>
      <c r="AA238" s="107">
        <v>0</v>
      </c>
      <c r="AB238" s="107">
        <v>0</v>
      </c>
      <c r="AC238" s="107">
        <v>0</v>
      </c>
      <c r="AD238" s="107">
        <v>0</v>
      </c>
      <c r="AE238" s="107">
        <v>0</v>
      </c>
      <c r="AF238" s="107">
        <v>0</v>
      </c>
      <c r="AG238" s="107">
        <v>0</v>
      </c>
      <c r="AH238" s="107">
        <v>0</v>
      </c>
      <c r="AI238" s="107">
        <v>0</v>
      </c>
      <c r="AJ238" s="107">
        <v>0</v>
      </c>
      <c r="AK238" s="107">
        <v>0</v>
      </c>
      <c r="AL238" s="107">
        <v>0</v>
      </c>
      <c r="AM238" s="107">
        <v>0</v>
      </c>
      <c r="AN238" s="107">
        <v>0</v>
      </c>
      <c r="AO238" s="107">
        <v>0</v>
      </c>
      <c r="AP238" s="107">
        <v>0</v>
      </c>
      <c r="AQ238" s="107">
        <v>0</v>
      </c>
      <c r="AR238" s="107">
        <v>0</v>
      </c>
      <c r="AS238" s="107">
        <v>0</v>
      </c>
      <c r="AT238" s="107">
        <v>0</v>
      </c>
      <c r="AU238" s="107">
        <v>0</v>
      </c>
      <c r="AV238" s="107">
        <v>0</v>
      </c>
      <c r="AW238" s="107">
        <v>0</v>
      </c>
      <c r="AX238" s="107">
        <v>0</v>
      </c>
      <c r="AY238" s="107">
        <v>0</v>
      </c>
    </row>
    <row r="239" spans="1:51" x14ac:dyDescent="0.15">
      <c r="A239" s="106"/>
      <c r="B239" s="124">
        <v>31</v>
      </c>
      <c r="C239" s="103"/>
      <c r="D239" s="107">
        <v>0</v>
      </c>
      <c r="E239" s="107">
        <v>0</v>
      </c>
      <c r="F239" s="107">
        <v>0</v>
      </c>
      <c r="G239" s="107">
        <v>0</v>
      </c>
      <c r="H239" s="107">
        <v>0</v>
      </c>
      <c r="I239" s="107">
        <v>0</v>
      </c>
      <c r="J239" s="107">
        <v>0</v>
      </c>
      <c r="K239" s="107">
        <v>0</v>
      </c>
      <c r="L239" s="107">
        <v>0</v>
      </c>
      <c r="M239" s="107">
        <v>0</v>
      </c>
      <c r="N239" s="107">
        <v>0</v>
      </c>
      <c r="O239" s="107">
        <v>0</v>
      </c>
      <c r="P239" s="107">
        <v>0</v>
      </c>
      <c r="Q239" s="107">
        <v>0</v>
      </c>
      <c r="R239" s="107">
        <v>0</v>
      </c>
      <c r="S239" s="107">
        <v>0</v>
      </c>
      <c r="T239" s="107">
        <v>0</v>
      </c>
      <c r="U239" s="107">
        <v>0</v>
      </c>
      <c r="V239" s="107">
        <v>0</v>
      </c>
      <c r="W239" s="107">
        <v>0</v>
      </c>
      <c r="X239" s="107">
        <v>0</v>
      </c>
      <c r="Y239" s="107">
        <v>0</v>
      </c>
      <c r="Z239" s="107">
        <v>0</v>
      </c>
      <c r="AA239" s="107">
        <v>0</v>
      </c>
      <c r="AB239" s="107">
        <v>0</v>
      </c>
      <c r="AC239" s="107">
        <v>0</v>
      </c>
      <c r="AD239" s="107">
        <v>0</v>
      </c>
      <c r="AE239" s="107">
        <v>0</v>
      </c>
      <c r="AF239" s="107">
        <v>0</v>
      </c>
      <c r="AG239" s="107">
        <v>0</v>
      </c>
      <c r="AH239" s="107">
        <v>0</v>
      </c>
      <c r="AI239" s="107">
        <v>0</v>
      </c>
      <c r="AJ239" s="107">
        <v>0</v>
      </c>
      <c r="AK239" s="107">
        <v>0</v>
      </c>
      <c r="AL239" s="107">
        <v>0</v>
      </c>
      <c r="AM239" s="107">
        <v>0</v>
      </c>
      <c r="AN239" s="107">
        <v>0</v>
      </c>
      <c r="AO239" s="107">
        <v>0</v>
      </c>
      <c r="AP239" s="107">
        <v>0</v>
      </c>
      <c r="AQ239" s="107">
        <v>0</v>
      </c>
      <c r="AR239" s="107">
        <v>0</v>
      </c>
      <c r="AS239" s="107">
        <v>0</v>
      </c>
      <c r="AT239" s="107">
        <v>0</v>
      </c>
      <c r="AU239" s="107">
        <v>0</v>
      </c>
      <c r="AV239" s="107">
        <v>0</v>
      </c>
      <c r="AW239" s="107">
        <v>0</v>
      </c>
      <c r="AX239" s="107">
        <v>0</v>
      </c>
      <c r="AY239" s="107">
        <v>0</v>
      </c>
    </row>
    <row r="240" spans="1:51" x14ac:dyDescent="0.15">
      <c r="A240" s="106"/>
      <c r="B240" s="124">
        <v>32</v>
      </c>
      <c r="C240" s="103"/>
      <c r="D240" s="107">
        <v>0</v>
      </c>
      <c r="E240" s="107">
        <v>0</v>
      </c>
      <c r="F240" s="107">
        <v>0</v>
      </c>
      <c r="G240" s="107">
        <v>0</v>
      </c>
      <c r="H240" s="107">
        <v>0</v>
      </c>
      <c r="I240" s="107">
        <v>0</v>
      </c>
      <c r="J240" s="107">
        <v>0</v>
      </c>
      <c r="K240" s="107">
        <v>0</v>
      </c>
      <c r="L240" s="107">
        <v>0</v>
      </c>
      <c r="M240" s="107">
        <v>0</v>
      </c>
      <c r="N240" s="107">
        <v>0</v>
      </c>
      <c r="O240" s="107">
        <v>0</v>
      </c>
      <c r="P240" s="107">
        <v>0</v>
      </c>
      <c r="Q240" s="107">
        <v>0</v>
      </c>
      <c r="R240" s="107">
        <v>0</v>
      </c>
      <c r="S240" s="107">
        <v>0</v>
      </c>
      <c r="T240" s="107">
        <v>0</v>
      </c>
      <c r="U240" s="107">
        <v>0</v>
      </c>
      <c r="V240" s="107">
        <v>0</v>
      </c>
      <c r="W240" s="107">
        <v>0</v>
      </c>
      <c r="X240" s="107">
        <v>0</v>
      </c>
      <c r="Y240" s="107">
        <v>0</v>
      </c>
      <c r="Z240" s="107">
        <v>0</v>
      </c>
      <c r="AA240" s="107">
        <v>0</v>
      </c>
      <c r="AB240" s="107">
        <v>0</v>
      </c>
      <c r="AC240" s="107">
        <v>0</v>
      </c>
      <c r="AD240" s="107">
        <v>0</v>
      </c>
      <c r="AE240" s="107">
        <v>0</v>
      </c>
      <c r="AF240" s="107">
        <v>0</v>
      </c>
      <c r="AG240" s="107">
        <v>0</v>
      </c>
      <c r="AH240" s="107">
        <v>0</v>
      </c>
      <c r="AI240" s="107">
        <v>0</v>
      </c>
      <c r="AJ240" s="107">
        <v>0</v>
      </c>
      <c r="AK240" s="107">
        <v>0</v>
      </c>
      <c r="AL240" s="107">
        <v>0</v>
      </c>
      <c r="AM240" s="107">
        <v>0</v>
      </c>
      <c r="AN240" s="107">
        <v>0</v>
      </c>
      <c r="AO240" s="107">
        <v>0</v>
      </c>
      <c r="AP240" s="107">
        <v>0</v>
      </c>
      <c r="AQ240" s="107">
        <v>0</v>
      </c>
      <c r="AR240" s="107">
        <v>0</v>
      </c>
      <c r="AS240" s="107">
        <v>0</v>
      </c>
      <c r="AT240" s="107">
        <v>0</v>
      </c>
      <c r="AU240" s="107">
        <v>0</v>
      </c>
      <c r="AV240" s="107">
        <v>0</v>
      </c>
      <c r="AW240" s="107">
        <v>0</v>
      </c>
      <c r="AX240" s="107">
        <v>0</v>
      </c>
      <c r="AY240" s="107">
        <v>0</v>
      </c>
    </row>
    <row r="241" spans="1:51" x14ac:dyDescent="0.15">
      <c r="A241" s="106"/>
      <c r="B241" s="124">
        <v>33</v>
      </c>
      <c r="C241" s="103"/>
      <c r="D241" s="107">
        <v>0</v>
      </c>
      <c r="E241" s="107">
        <v>0</v>
      </c>
      <c r="F241" s="107">
        <v>0</v>
      </c>
      <c r="G241" s="107">
        <v>0</v>
      </c>
      <c r="H241" s="107">
        <v>0</v>
      </c>
      <c r="I241" s="107">
        <v>0</v>
      </c>
      <c r="J241" s="107">
        <v>0</v>
      </c>
      <c r="K241" s="107">
        <v>0</v>
      </c>
      <c r="L241" s="107">
        <v>0</v>
      </c>
      <c r="M241" s="107">
        <v>0</v>
      </c>
      <c r="N241" s="107">
        <v>0</v>
      </c>
      <c r="O241" s="107">
        <v>0</v>
      </c>
      <c r="P241" s="107">
        <v>0</v>
      </c>
      <c r="Q241" s="107">
        <v>0</v>
      </c>
      <c r="R241" s="107">
        <v>0</v>
      </c>
      <c r="S241" s="107">
        <v>0</v>
      </c>
      <c r="T241" s="107">
        <v>0</v>
      </c>
      <c r="U241" s="107">
        <v>0</v>
      </c>
      <c r="V241" s="107">
        <v>0</v>
      </c>
      <c r="W241" s="107">
        <v>0</v>
      </c>
      <c r="X241" s="107">
        <v>0</v>
      </c>
      <c r="Y241" s="107">
        <v>0</v>
      </c>
      <c r="Z241" s="107">
        <v>0</v>
      </c>
      <c r="AA241" s="107">
        <v>0</v>
      </c>
      <c r="AB241" s="107">
        <v>0</v>
      </c>
      <c r="AC241" s="107">
        <v>0</v>
      </c>
      <c r="AD241" s="107">
        <v>0</v>
      </c>
      <c r="AE241" s="107">
        <v>0</v>
      </c>
      <c r="AF241" s="107">
        <v>0</v>
      </c>
      <c r="AG241" s="107">
        <v>0</v>
      </c>
      <c r="AH241" s="107">
        <v>0</v>
      </c>
      <c r="AI241" s="107">
        <v>0</v>
      </c>
      <c r="AJ241" s="107">
        <v>0</v>
      </c>
      <c r="AK241" s="107">
        <v>0</v>
      </c>
      <c r="AL241" s="107">
        <v>0</v>
      </c>
      <c r="AM241" s="107">
        <v>0</v>
      </c>
      <c r="AN241" s="107">
        <v>0</v>
      </c>
      <c r="AO241" s="107">
        <v>0</v>
      </c>
      <c r="AP241" s="107">
        <v>0</v>
      </c>
      <c r="AQ241" s="107">
        <v>0</v>
      </c>
      <c r="AR241" s="107">
        <v>0</v>
      </c>
      <c r="AS241" s="107">
        <v>0</v>
      </c>
      <c r="AT241" s="107">
        <v>0</v>
      </c>
      <c r="AU241" s="107">
        <v>0</v>
      </c>
      <c r="AV241" s="107">
        <v>0</v>
      </c>
      <c r="AW241" s="107">
        <v>0</v>
      </c>
      <c r="AX241" s="107">
        <v>0</v>
      </c>
      <c r="AY241" s="107">
        <v>0</v>
      </c>
    </row>
    <row r="242" spans="1:51" x14ac:dyDescent="0.15">
      <c r="A242" s="106"/>
      <c r="B242" s="124">
        <v>34</v>
      </c>
      <c r="C242" s="103"/>
      <c r="D242" s="107">
        <v>0</v>
      </c>
      <c r="E242" s="107">
        <v>0</v>
      </c>
      <c r="F242" s="107">
        <v>0</v>
      </c>
      <c r="G242" s="107">
        <v>0</v>
      </c>
      <c r="H242" s="107">
        <v>0</v>
      </c>
      <c r="I242" s="107">
        <v>0</v>
      </c>
      <c r="J242" s="107">
        <v>0</v>
      </c>
      <c r="K242" s="107">
        <v>0</v>
      </c>
      <c r="L242" s="107">
        <v>0</v>
      </c>
      <c r="M242" s="107">
        <v>0</v>
      </c>
      <c r="N242" s="107">
        <v>0</v>
      </c>
      <c r="O242" s="107">
        <v>0</v>
      </c>
      <c r="P242" s="107">
        <v>0</v>
      </c>
      <c r="Q242" s="107">
        <v>0</v>
      </c>
      <c r="R242" s="107">
        <v>0</v>
      </c>
      <c r="S242" s="107">
        <v>0</v>
      </c>
      <c r="T242" s="107">
        <v>0</v>
      </c>
      <c r="U242" s="107">
        <v>0</v>
      </c>
      <c r="V242" s="107">
        <v>0</v>
      </c>
      <c r="W242" s="107">
        <v>0</v>
      </c>
      <c r="X242" s="107">
        <v>0</v>
      </c>
      <c r="Y242" s="107">
        <v>0</v>
      </c>
      <c r="Z242" s="107">
        <v>0</v>
      </c>
      <c r="AA242" s="107">
        <v>0</v>
      </c>
      <c r="AB242" s="107">
        <v>0</v>
      </c>
      <c r="AC242" s="107">
        <v>0</v>
      </c>
      <c r="AD242" s="107">
        <v>0</v>
      </c>
      <c r="AE242" s="107">
        <v>0</v>
      </c>
      <c r="AF242" s="107">
        <v>0</v>
      </c>
      <c r="AG242" s="107">
        <v>0</v>
      </c>
      <c r="AH242" s="107">
        <v>0</v>
      </c>
      <c r="AI242" s="107">
        <v>0</v>
      </c>
      <c r="AJ242" s="107">
        <v>0</v>
      </c>
      <c r="AK242" s="107">
        <v>0</v>
      </c>
      <c r="AL242" s="107">
        <v>0</v>
      </c>
      <c r="AM242" s="107">
        <v>0</v>
      </c>
      <c r="AN242" s="107">
        <v>0</v>
      </c>
      <c r="AO242" s="107">
        <v>0</v>
      </c>
      <c r="AP242" s="107">
        <v>0</v>
      </c>
      <c r="AQ242" s="107">
        <v>0</v>
      </c>
      <c r="AR242" s="107">
        <v>0</v>
      </c>
      <c r="AS242" s="107">
        <v>0</v>
      </c>
      <c r="AT242" s="107">
        <v>0</v>
      </c>
      <c r="AU242" s="107">
        <v>0</v>
      </c>
      <c r="AV242" s="107">
        <v>0</v>
      </c>
      <c r="AW242" s="107">
        <v>0</v>
      </c>
      <c r="AX242" s="107">
        <v>0</v>
      </c>
      <c r="AY242" s="107">
        <v>0</v>
      </c>
    </row>
    <row r="243" spans="1:51" x14ac:dyDescent="0.15">
      <c r="A243" s="106"/>
      <c r="B243" s="124">
        <v>35</v>
      </c>
      <c r="C243" s="103"/>
      <c r="D243" s="107">
        <v>0</v>
      </c>
      <c r="E243" s="107">
        <v>0</v>
      </c>
      <c r="F243" s="107">
        <v>0</v>
      </c>
      <c r="G243" s="107">
        <v>0</v>
      </c>
      <c r="H243" s="107">
        <v>0</v>
      </c>
      <c r="I243" s="107">
        <v>0</v>
      </c>
      <c r="J243" s="107">
        <v>0</v>
      </c>
      <c r="K243" s="107">
        <v>0</v>
      </c>
      <c r="L243" s="107">
        <v>0</v>
      </c>
      <c r="M243" s="107">
        <v>0</v>
      </c>
      <c r="N243" s="107">
        <v>0</v>
      </c>
      <c r="O243" s="107">
        <v>0</v>
      </c>
      <c r="P243" s="107">
        <v>0</v>
      </c>
      <c r="Q243" s="107">
        <v>0</v>
      </c>
      <c r="R243" s="107">
        <v>0</v>
      </c>
      <c r="S243" s="107">
        <v>0</v>
      </c>
      <c r="T243" s="107">
        <v>0</v>
      </c>
      <c r="U243" s="107">
        <v>0</v>
      </c>
      <c r="V243" s="107">
        <v>0</v>
      </c>
      <c r="W243" s="107">
        <v>0</v>
      </c>
      <c r="X243" s="107">
        <v>0</v>
      </c>
      <c r="Y243" s="107">
        <v>0</v>
      </c>
      <c r="Z243" s="107">
        <v>0</v>
      </c>
      <c r="AA243" s="107">
        <v>0</v>
      </c>
      <c r="AB243" s="107">
        <v>0</v>
      </c>
      <c r="AC243" s="107">
        <v>0</v>
      </c>
      <c r="AD243" s="107">
        <v>0</v>
      </c>
      <c r="AE243" s="107">
        <v>0</v>
      </c>
      <c r="AF243" s="107">
        <v>0</v>
      </c>
      <c r="AG243" s="107">
        <v>0</v>
      </c>
      <c r="AH243" s="107">
        <v>0</v>
      </c>
      <c r="AI243" s="107">
        <v>0</v>
      </c>
      <c r="AJ243" s="107">
        <v>0</v>
      </c>
      <c r="AK243" s="107">
        <v>0</v>
      </c>
      <c r="AL243" s="107">
        <v>0</v>
      </c>
      <c r="AM243" s="107">
        <v>0</v>
      </c>
      <c r="AN243" s="107">
        <v>0</v>
      </c>
      <c r="AO243" s="107">
        <v>0</v>
      </c>
      <c r="AP243" s="107">
        <v>0</v>
      </c>
      <c r="AQ243" s="107">
        <v>0</v>
      </c>
      <c r="AR243" s="107">
        <v>0</v>
      </c>
      <c r="AS243" s="107">
        <v>0</v>
      </c>
      <c r="AT243" s="107">
        <v>0</v>
      </c>
      <c r="AU243" s="107">
        <v>0</v>
      </c>
      <c r="AV243" s="107">
        <v>0</v>
      </c>
      <c r="AW243" s="107">
        <v>0</v>
      </c>
      <c r="AX243" s="107">
        <v>0</v>
      </c>
      <c r="AY243" s="107">
        <v>0</v>
      </c>
    </row>
    <row r="244" spans="1:51" x14ac:dyDescent="0.15">
      <c r="A244" s="106"/>
      <c r="B244" s="124">
        <v>36</v>
      </c>
      <c r="C244" s="103"/>
      <c r="D244" s="107">
        <v>0</v>
      </c>
      <c r="E244" s="107">
        <v>0</v>
      </c>
      <c r="F244" s="107">
        <v>0</v>
      </c>
      <c r="G244" s="107">
        <v>0</v>
      </c>
      <c r="H244" s="107">
        <v>0</v>
      </c>
      <c r="I244" s="107">
        <v>0</v>
      </c>
      <c r="J244" s="107">
        <v>0</v>
      </c>
      <c r="K244" s="107">
        <v>0</v>
      </c>
      <c r="L244" s="107">
        <v>0</v>
      </c>
      <c r="M244" s="107">
        <v>0</v>
      </c>
      <c r="N244" s="107">
        <v>0</v>
      </c>
      <c r="O244" s="107">
        <v>0</v>
      </c>
      <c r="P244" s="107">
        <v>0</v>
      </c>
      <c r="Q244" s="107">
        <v>0</v>
      </c>
      <c r="R244" s="107">
        <v>0</v>
      </c>
      <c r="S244" s="107">
        <v>0</v>
      </c>
      <c r="T244" s="107">
        <v>0</v>
      </c>
      <c r="U244" s="107">
        <v>0</v>
      </c>
      <c r="V244" s="107">
        <v>0</v>
      </c>
      <c r="W244" s="107">
        <v>0</v>
      </c>
      <c r="X244" s="107">
        <v>0</v>
      </c>
      <c r="Y244" s="107">
        <v>0</v>
      </c>
      <c r="Z244" s="107">
        <v>0</v>
      </c>
      <c r="AA244" s="107">
        <v>0</v>
      </c>
      <c r="AB244" s="107">
        <v>0</v>
      </c>
      <c r="AC244" s="107">
        <v>0</v>
      </c>
      <c r="AD244" s="107">
        <v>0</v>
      </c>
      <c r="AE244" s="107">
        <v>0</v>
      </c>
      <c r="AF244" s="107">
        <v>0</v>
      </c>
      <c r="AG244" s="107">
        <v>0</v>
      </c>
      <c r="AH244" s="107">
        <v>0</v>
      </c>
      <c r="AI244" s="107">
        <v>0</v>
      </c>
      <c r="AJ244" s="107">
        <v>0</v>
      </c>
      <c r="AK244" s="107">
        <v>0</v>
      </c>
      <c r="AL244" s="107">
        <v>0</v>
      </c>
      <c r="AM244" s="107">
        <v>0</v>
      </c>
      <c r="AN244" s="107">
        <v>0</v>
      </c>
      <c r="AO244" s="107">
        <v>0</v>
      </c>
      <c r="AP244" s="107">
        <v>0</v>
      </c>
      <c r="AQ244" s="107">
        <v>0</v>
      </c>
      <c r="AR244" s="107">
        <v>0</v>
      </c>
      <c r="AS244" s="107">
        <v>0</v>
      </c>
      <c r="AT244" s="107">
        <v>0</v>
      </c>
      <c r="AU244" s="107">
        <v>0</v>
      </c>
      <c r="AV244" s="107">
        <v>0</v>
      </c>
      <c r="AW244" s="107">
        <v>0</v>
      </c>
      <c r="AX244" s="107">
        <v>0</v>
      </c>
      <c r="AY244" s="107">
        <v>0</v>
      </c>
    </row>
    <row r="245" spans="1:51" x14ac:dyDescent="0.15">
      <c r="A245" s="106"/>
      <c r="B245" s="127">
        <v>37</v>
      </c>
      <c r="C245" s="103"/>
      <c r="D245" s="107">
        <v>0</v>
      </c>
      <c r="E245" s="107">
        <v>0</v>
      </c>
      <c r="F245" s="107">
        <v>0</v>
      </c>
      <c r="G245" s="107">
        <v>0</v>
      </c>
      <c r="H245" s="107">
        <v>0</v>
      </c>
      <c r="I245" s="107">
        <v>0</v>
      </c>
      <c r="J245" s="107">
        <v>0</v>
      </c>
      <c r="K245" s="107">
        <v>0</v>
      </c>
      <c r="L245" s="107">
        <v>0</v>
      </c>
      <c r="M245" s="107">
        <v>0</v>
      </c>
      <c r="N245" s="107">
        <v>0</v>
      </c>
      <c r="O245" s="107">
        <v>0</v>
      </c>
      <c r="P245" s="107">
        <v>0</v>
      </c>
      <c r="Q245" s="107">
        <v>0</v>
      </c>
      <c r="R245" s="107">
        <v>0</v>
      </c>
      <c r="S245" s="107">
        <v>0</v>
      </c>
      <c r="T245" s="107">
        <v>0</v>
      </c>
      <c r="U245" s="107">
        <v>0</v>
      </c>
      <c r="V245" s="107">
        <v>0</v>
      </c>
      <c r="W245" s="107">
        <v>0</v>
      </c>
      <c r="X245" s="107">
        <v>0</v>
      </c>
      <c r="Y245" s="107">
        <v>0</v>
      </c>
      <c r="Z245" s="107">
        <v>0</v>
      </c>
      <c r="AA245" s="107">
        <v>0</v>
      </c>
      <c r="AB245" s="107">
        <v>0</v>
      </c>
      <c r="AC245" s="107">
        <v>0</v>
      </c>
      <c r="AD245" s="107">
        <v>0</v>
      </c>
      <c r="AE245" s="107">
        <v>0</v>
      </c>
      <c r="AF245" s="107">
        <v>0</v>
      </c>
      <c r="AG245" s="107">
        <v>0</v>
      </c>
      <c r="AH245" s="107">
        <v>0</v>
      </c>
      <c r="AI245" s="107">
        <v>0</v>
      </c>
      <c r="AJ245" s="107">
        <v>0</v>
      </c>
      <c r="AK245" s="107">
        <v>0</v>
      </c>
      <c r="AL245" s="107">
        <v>0</v>
      </c>
      <c r="AM245" s="107">
        <v>0</v>
      </c>
      <c r="AN245" s="107">
        <v>0</v>
      </c>
      <c r="AO245" s="107">
        <v>0</v>
      </c>
      <c r="AP245" s="107">
        <v>0</v>
      </c>
      <c r="AQ245" s="107">
        <v>0</v>
      </c>
      <c r="AR245" s="107">
        <v>0</v>
      </c>
      <c r="AS245" s="107">
        <v>0</v>
      </c>
      <c r="AT245" s="107">
        <v>0</v>
      </c>
      <c r="AU245" s="107">
        <v>0</v>
      </c>
      <c r="AV245" s="107">
        <v>0</v>
      </c>
      <c r="AW245" s="107">
        <v>0</v>
      </c>
      <c r="AX245" s="107">
        <v>0</v>
      </c>
      <c r="AY245" s="107">
        <v>0</v>
      </c>
    </row>
    <row r="246" spans="1:51" x14ac:dyDescent="0.15">
      <c r="A246" s="106"/>
      <c r="B246" s="127">
        <v>38</v>
      </c>
      <c r="C246" s="103"/>
      <c r="D246" s="107">
        <v>0</v>
      </c>
      <c r="E246" s="107">
        <v>0</v>
      </c>
      <c r="F246" s="107">
        <v>0</v>
      </c>
      <c r="G246" s="107">
        <v>0</v>
      </c>
      <c r="H246" s="107">
        <v>0</v>
      </c>
      <c r="I246" s="107">
        <v>0</v>
      </c>
      <c r="J246" s="107">
        <v>0</v>
      </c>
      <c r="K246" s="107">
        <v>0</v>
      </c>
      <c r="L246" s="107">
        <v>0</v>
      </c>
      <c r="M246" s="107">
        <v>0</v>
      </c>
      <c r="N246" s="107">
        <v>0</v>
      </c>
      <c r="O246" s="107">
        <v>0</v>
      </c>
      <c r="P246" s="107">
        <v>0</v>
      </c>
      <c r="Q246" s="107">
        <v>0</v>
      </c>
      <c r="R246" s="107">
        <v>0</v>
      </c>
      <c r="S246" s="107">
        <v>0</v>
      </c>
      <c r="T246" s="107">
        <v>0</v>
      </c>
      <c r="U246" s="107">
        <v>0</v>
      </c>
      <c r="V246" s="107">
        <v>0</v>
      </c>
      <c r="W246" s="107">
        <v>0</v>
      </c>
      <c r="X246" s="107">
        <v>0</v>
      </c>
      <c r="Y246" s="107">
        <v>0</v>
      </c>
      <c r="Z246" s="107">
        <v>0</v>
      </c>
      <c r="AA246" s="107">
        <v>0</v>
      </c>
      <c r="AB246" s="107">
        <v>0</v>
      </c>
      <c r="AC246" s="107">
        <v>0</v>
      </c>
      <c r="AD246" s="107">
        <v>0</v>
      </c>
      <c r="AE246" s="107">
        <v>0</v>
      </c>
      <c r="AF246" s="107">
        <v>0</v>
      </c>
      <c r="AG246" s="107">
        <v>0</v>
      </c>
      <c r="AH246" s="107">
        <v>0</v>
      </c>
      <c r="AI246" s="107">
        <v>0</v>
      </c>
      <c r="AJ246" s="107">
        <v>0</v>
      </c>
      <c r="AK246" s="107">
        <v>0</v>
      </c>
      <c r="AL246" s="107">
        <v>0</v>
      </c>
      <c r="AM246" s="107">
        <v>0</v>
      </c>
      <c r="AN246" s="107">
        <v>0</v>
      </c>
      <c r="AO246" s="107">
        <v>0</v>
      </c>
      <c r="AP246" s="107">
        <v>0</v>
      </c>
      <c r="AQ246" s="107">
        <v>0</v>
      </c>
      <c r="AR246" s="107">
        <v>0</v>
      </c>
      <c r="AS246" s="107">
        <v>0</v>
      </c>
      <c r="AT246" s="107">
        <v>0</v>
      </c>
      <c r="AU246" s="107">
        <v>0</v>
      </c>
      <c r="AV246" s="107">
        <v>0</v>
      </c>
      <c r="AW246" s="107">
        <v>0</v>
      </c>
      <c r="AX246" s="107">
        <v>0</v>
      </c>
      <c r="AY246" s="107">
        <v>0</v>
      </c>
    </row>
    <row r="247" spans="1:51" x14ac:dyDescent="0.15">
      <c r="A247" s="106"/>
      <c r="B247" s="127">
        <v>39</v>
      </c>
      <c r="C247" s="103"/>
      <c r="D247" s="107">
        <v>0</v>
      </c>
      <c r="E247" s="107">
        <v>0</v>
      </c>
      <c r="F247" s="107">
        <v>0</v>
      </c>
      <c r="G247" s="107">
        <v>0</v>
      </c>
      <c r="H247" s="107">
        <v>0</v>
      </c>
      <c r="I247" s="107">
        <v>0</v>
      </c>
      <c r="J247" s="107">
        <v>0</v>
      </c>
      <c r="K247" s="107">
        <v>0</v>
      </c>
      <c r="L247" s="107">
        <v>0</v>
      </c>
      <c r="M247" s="107">
        <v>0</v>
      </c>
      <c r="N247" s="107">
        <v>0</v>
      </c>
      <c r="O247" s="107">
        <v>0</v>
      </c>
      <c r="P247" s="107">
        <v>0</v>
      </c>
      <c r="Q247" s="107">
        <v>0</v>
      </c>
      <c r="R247" s="107">
        <v>0</v>
      </c>
      <c r="S247" s="107">
        <v>0</v>
      </c>
      <c r="T247" s="107">
        <v>0</v>
      </c>
      <c r="U247" s="107">
        <v>0</v>
      </c>
      <c r="V247" s="107">
        <v>0</v>
      </c>
      <c r="W247" s="107">
        <v>0</v>
      </c>
      <c r="X247" s="107">
        <v>0</v>
      </c>
      <c r="Y247" s="107">
        <v>0</v>
      </c>
      <c r="Z247" s="107">
        <v>0</v>
      </c>
      <c r="AA247" s="107">
        <v>0</v>
      </c>
      <c r="AB247" s="107">
        <v>0</v>
      </c>
      <c r="AC247" s="107">
        <v>0</v>
      </c>
      <c r="AD247" s="107">
        <v>0</v>
      </c>
      <c r="AE247" s="107">
        <v>0</v>
      </c>
      <c r="AF247" s="107">
        <v>0</v>
      </c>
      <c r="AG247" s="107">
        <v>0</v>
      </c>
      <c r="AH247" s="107">
        <v>0</v>
      </c>
      <c r="AI247" s="107">
        <v>0</v>
      </c>
      <c r="AJ247" s="107">
        <v>0</v>
      </c>
      <c r="AK247" s="107">
        <v>0</v>
      </c>
      <c r="AL247" s="107">
        <v>0</v>
      </c>
      <c r="AM247" s="107">
        <v>0</v>
      </c>
      <c r="AN247" s="107">
        <v>0</v>
      </c>
      <c r="AO247" s="107">
        <v>0</v>
      </c>
      <c r="AP247" s="107">
        <v>0</v>
      </c>
      <c r="AQ247" s="107">
        <v>0</v>
      </c>
      <c r="AR247" s="107">
        <v>0</v>
      </c>
      <c r="AS247" s="107">
        <v>0</v>
      </c>
      <c r="AT247" s="107">
        <v>0</v>
      </c>
      <c r="AU247" s="107">
        <v>0</v>
      </c>
      <c r="AV247" s="107">
        <v>0</v>
      </c>
      <c r="AW247" s="107">
        <v>0</v>
      </c>
      <c r="AX247" s="107">
        <v>0</v>
      </c>
      <c r="AY247" s="107">
        <v>0</v>
      </c>
    </row>
    <row r="248" spans="1:51" x14ac:dyDescent="0.15">
      <c r="A248" s="106"/>
      <c r="B248" s="127">
        <v>40</v>
      </c>
      <c r="C248" s="103"/>
      <c r="D248" s="107">
        <v>0</v>
      </c>
      <c r="E248" s="107">
        <v>0</v>
      </c>
      <c r="F248" s="107">
        <v>0</v>
      </c>
      <c r="G248" s="107">
        <v>0</v>
      </c>
      <c r="H248" s="107">
        <v>0</v>
      </c>
      <c r="I248" s="107">
        <v>0</v>
      </c>
      <c r="J248" s="107">
        <v>0</v>
      </c>
      <c r="K248" s="107">
        <v>0</v>
      </c>
      <c r="L248" s="107">
        <v>0</v>
      </c>
      <c r="M248" s="107">
        <v>0</v>
      </c>
      <c r="N248" s="107">
        <v>0</v>
      </c>
      <c r="O248" s="107">
        <v>0</v>
      </c>
      <c r="P248" s="107">
        <v>0</v>
      </c>
      <c r="Q248" s="107">
        <v>0</v>
      </c>
      <c r="R248" s="107">
        <v>0</v>
      </c>
      <c r="S248" s="107">
        <v>0</v>
      </c>
      <c r="T248" s="107">
        <v>0</v>
      </c>
      <c r="U248" s="107">
        <v>0</v>
      </c>
      <c r="V248" s="107">
        <v>0</v>
      </c>
      <c r="W248" s="107">
        <v>0</v>
      </c>
      <c r="X248" s="107">
        <v>0</v>
      </c>
      <c r="Y248" s="107">
        <v>0</v>
      </c>
      <c r="Z248" s="107">
        <v>0</v>
      </c>
      <c r="AA248" s="107">
        <v>0</v>
      </c>
      <c r="AB248" s="107">
        <v>0</v>
      </c>
      <c r="AC248" s="107">
        <v>0</v>
      </c>
      <c r="AD248" s="107">
        <v>0</v>
      </c>
      <c r="AE248" s="107">
        <v>0</v>
      </c>
      <c r="AF248" s="107">
        <v>0</v>
      </c>
      <c r="AG248" s="107">
        <v>0</v>
      </c>
      <c r="AH248" s="107">
        <v>0</v>
      </c>
      <c r="AI248" s="107">
        <v>0</v>
      </c>
      <c r="AJ248" s="107">
        <v>0</v>
      </c>
      <c r="AK248" s="107">
        <v>0</v>
      </c>
      <c r="AL248" s="107">
        <v>0</v>
      </c>
      <c r="AM248" s="107">
        <v>0</v>
      </c>
      <c r="AN248" s="107">
        <v>0</v>
      </c>
      <c r="AO248" s="107">
        <v>0</v>
      </c>
      <c r="AP248" s="107">
        <v>0</v>
      </c>
      <c r="AQ248" s="107">
        <v>0</v>
      </c>
      <c r="AR248" s="107">
        <v>0</v>
      </c>
      <c r="AS248" s="107">
        <v>0</v>
      </c>
      <c r="AT248" s="107">
        <v>0</v>
      </c>
      <c r="AU248" s="107">
        <v>0</v>
      </c>
      <c r="AV248" s="107">
        <v>0</v>
      </c>
      <c r="AW248" s="107">
        <v>0</v>
      </c>
      <c r="AX248" s="107">
        <v>0</v>
      </c>
      <c r="AY248" s="107">
        <v>0</v>
      </c>
    </row>
    <row r="249" spans="1:51" x14ac:dyDescent="0.15">
      <c r="A249" s="106"/>
      <c r="B249" s="127">
        <v>41</v>
      </c>
      <c r="C249" s="103"/>
      <c r="D249" s="107">
        <v>0</v>
      </c>
      <c r="E249" s="107">
        <v>0</v>
      </c>
      <c r="F249" s="107">
        <v>0</v>
      </c>
      <c r="G249" s="107">
        <v>0</v>
      </c>
      <c r="H249" s="107">
        <v>0</v>
      </c>
      <c r="I249" s="107">
        <v>0</v>
      </c>
      <c r="J249" s="107">
        <v>0</v>
      </c>
      <c r="K249" s="107">
        <v>0</v>
      </c>
      <c r="L249" s="107">
        <v>0</v>
      </c>
      <c r="M249" s="107">
        <v>0</v>
      </c>
      <c r="N249" s="107">
        <v>0</v>
      </c>
      <c r="O249" s="107">
        <v>0</v>
      </c>
      <c r="P249" s="107">
        <v>0</v>
      </c>
      <c r="Q249" s="107">
        <v>0</v>
      </c>
      <c r="R249" s="107">
        <v>0</v>
      </c>
      <c r="S249" s="107">
        <v>0</v>
      </c>
      <c r="T249" s="107">
        <v>0</v>
      </c>
      <c r="U249" s="107">
        <v>0</v>
      </c>
      <c r="V249" s="107">
        <v>0</v>
      </c>
      <c r="W249" s="107">
        <v>0</v>
      </c>
      <c r="X249" s="107">
        <v>0</v>
      </c>
      <c r="Y249" s="107">
        <v>0</v>
      </c>
      <c r="Z249" s="107">
        <v>0</v>
      </c>
      <c r="AA249" s="107">
        <v>0</v>
      </c>
      <c r="AB249" s="107">
        <v>0</v>
      </c>
      <c r="AC249" s="107">
        <v>0</v>
      </c>
      <c r="AD249" s="107">
        <v>0</v>
      </c>
      <c r="AE249" s="107">
        <v>0</v>
      </c>
      <c r="AF249" s="107">
        <v>0</v>
      </c>
      <c r="AG249" s="107">
        <v>0</v>
      </c>
      <c r="AH249" s="107">
        <v>0</v>
      </c>
      <c r="AI249" s="107">
        <v>0</v>
      </c>
      <c r="AJ249" s="107">
        <v>0</v>
      </c>
      <c r="AK249" s="107">
        <v>0</v>
      </c>
      <c r="AL249" s="107">
        <v>0</v>
      </c>
      <c r="AM249" s="107">
        <v>0</v>
      </c>
      <c r="AN249" s="107">
        <v>0</v>
      </c>
      <c r="AO249" s="107">
        <v>0</v>
      </c>
      <c r="AP249" s="107">
        <v>0</v>
      </c>
      <c r="AQ249" s="107">
        <v>0</v>
      </c>
      <c r="AR249" s="107">
        <v>0</v>
      </c>
      <c r="AS249" s="107">
        <v>0</v>
      </c>
      <c r="AT249" s="107">
        <v>0</v>
      </c>
      <c r="AU249" s="107">
        <v>0</v>
      </c>
      <c r="AV249" s="107">
        <v>0</v>
      </c>
      <c r="AW249" s="107">
        <v>0</v>
      </c>
      <c r="AX249" s="107">
        <v>0</v>
      </c>
      <c r="AY249" s="107">
        <v>0</v>
      </c>
    </row>
    <row r="250" spans="1:51" x14ac:dyDescent="0.15">
      <c r="A250" s="106"/>
      <c r="B250" s="127">
        <v>42</v>
      </c>
      <c r="C250" s="103"/>
      <c r="D250" s="107">
        <v>0</v>
      </c>
      <c r="E250" s="107">
        <v>0</v>
      </c>
      <c r="F250" s="107">
        <v>0</v>
      </c>
      <c r="G250" s="107">
        <v>0</v>
      </c>
      <c r="H250" s="107">
        <v>0</v>
      </c>
      <c r="I250" s="107">
        <v>0</v>
      </c>
      <c r="J250" s="107">
        <v>0</v>
      </c>
      <c r="K250" s="107">
        <v>0</v>
      </c>
      <c r="L250" s="107">
        <v>0</v>
      </c>
      <c r="M250" s="107">
        <v>0</v>
      </c>
      <c r="N250" s="107">
        <v>0</v>
      </c>
      <c r="O250" s="107">
        <v>0</v>
      </c>
      <c r="P250" s="107">
        <v>0</v>
      </c>
      <c r="Q250" s="107">
        <v>0</v>
      </c>
      <c r="R250" s="107">
        <v>0</v>
      </c>
      <c r="S250" s="107">
        <v>0</v>
      </c>
      <c r="T250" s="107">
        <v>0</v>
      </c>
      <c r="U250" s="107">
        <v>0</v>
      </c>
      <c r="V250" s="107">
        <v>0</v>
      </c>
      <c r="W250" s="107">
        <v>0</v>
      </c>
      <c r="X250" s="107">
        <v>0</v>
      </c>
      <c r="Y250" s="107">
        <v>0</v>
      </c>
      <c r="Z250" s="107">
        <v>0</v>
      </c>
      <c r="AA250" s="107">
        <v>0</v>
      </c>
      <c r="AB250" s="107">
        <v>0</v>
      </c>
      <c r="AC250" s="107">
        <v>0</v>
      </c>
      <c r="AD250" s="107">
        <v>0</v>
      </c>
      <c r="AE250" s="107">
        <v>0</v>
      </c>
      <c r="AF250" s="107">
        <v>0</v>
      </c>
      <c r="AG250" s="107">
        <v>0</v>
      </c>
      <c r="AH250" s="107">
        <v>0</v>
      </c>
      <c r="AI250" s="107">
        <v>0</v>
      </c>
      <c r="AJ250" s="107">
        <v>0</v>
      </c>
      <c r="AK250" s="107">
        <v>0</v>
      </c>
      <c r="AL250" s="107">
        <v>0</v>
      </c>
      <c r="AM250" s="107">
        <v>0</v>
      </c>
      <c r="AN250" s="107">
        <v>0</v>
      </c>
      <c r="AO250" s="107">
        <v>0</v>
      </c>
      <c r="AP250" s="107">
        <v>0</v>
      </c>
      <c r="AQ250" s="107">
        <v>0</v>
      </c>
      <c r="AR250" s="107">
        <v>0</v>
      </c>
      <c r="AS250" s="107">
        <v>0</v>
      </c>
      <c r="AT250" s="107">
        <v>0</v>
      </c>
      <c r="AU250" s="107">
        <v>0</v>
      </c>
      <c r="AV250" s="107">
        <v>0</v>
      </c>
      <c r="AW250" s="107">
        <v>0</v>
      </c>
      <c r="AX250" s="107">
        <v>0</v>
      </c>
      <c r="AY250" s="107">
        <v>0</v>
      </c>
    </row>
    <row r="251" spans="1:51" x14ac:dyDescent="0.15">
      <c r="A251" s="106"/>
      <c r="B251" s="127">
        <v>43</v>
      </c>
      <c r="C251" s="103"/>
      <c r="D251" s="107">
        <v>0</v>
      </c>
      <c r="E251" s="107">
        <v>0</v>
      </c>
      <c r="F251" s="107">
        <v>0</v>
      </c>
      <c r="G251" s="107">
        <v>0</v>
      </c>
      <c r="H251" s="107">
        <v>0</v>
      </c>
      <c r="I251" s="107">
        <v>0</v>
      </c>
      <c r="J251" s="107">
        <v>0</v>
      </c>
      <c r="K251" s="107">
        <v>0</v>
      </c>
      <c r="L251" s="107">
        <v>0</v>
      </c>
      <c r="M251" s="107">
        <v>0</v>
      </c>
      <c r="N251" s="107">
        <v>0</v>
      </c>
      <c r="O251" s="107">
        <v>0</v>
      </c>
      <c r="P251" s="107">
        <v>0</v>
      </c>
      <c r="Q251" s="107">
        <v>0</v>
      </c>
      <c r="R251" s="107">
        <v>0</v>
      </c>
      <c r="S251" s="107">
        <v>0</v>
      </c>
      <c r="T251" s="107">
        <v>0</v>
      </c>
      <c r="U251" s="107">
        <v>0</v>
      </c>
      <c r="V251" s="107">
        <v>0</v>
      </c>
      <c r="W251" s="107">
        <v>0</v>
      </c>
      <c r="X251" s="107">
        <v>0</v>
      </c>
      <c r="Y251" s="107">
        <v>0</v>
      </c>
      <c r="Z251" s="107">
        <v>0</v>
      </c>
      <c r="AA251" s="107">
        <v>0</v>
      </c>
      <c r="AB251" s="107">
        <v>0</v>
      </c>
      <c r="AC251" s="107">
        <v>0</v>
      </c>
      <c r="AD251" s="107">
        <v>0</v>
      </c>
      <c r="AE251" s="107">
        <v>0</v>
      </c>
      <c r="AF251" s="107">
        <v>0</v>
      </c>
      <c r="AG251" s="107">
        <v>0</v>
      </c>
      <c r="AH251" s="107">
        <v>0</v>
      </c>
      <c r="AI251" s="107">
        <v>0</v>
      </c>
      <c r="AJ251" s="107">
        <v>0</v>
      </c>
      <c r="AK251" s="107">
        <v>0</v>
      </c>
      <c r="AL251" s="107">
        <v>0</v>
      </c>
      <c r="AM251" s="107">
        <v>0</v>
      </c>
      <c r="AN251" s="107">
        <v>0</v>
      </c>
      <c r="AO251" s="107">
        <v>0</v>
      </c>
      <c r="AP251" s="107">
        <v>0</v>
      </c>
      <c r="AQ251" s="107">
        <v>0</v>
      </c>
      <c r="AR251" s="107">
        <v>0</v>
      </c>
      <c r="AS251" s="107">
        <v>0</v>
      </c>
      <c r="AT251" s="107">
        <v>0</v>
      </c>
      <c r="AU251" s="107">
        <v>0</v>
      </c>
      <c r="AV251" s="107">
        <v>0</v>
      </c>
      <c r="AW251" s="107">
        <v>0</v>
      </c>
      <c r="AX251" s="107">
        <v>0</v>
      </c>
      <c r="AY251" s="107">
        <v>0</v>
      </c>
    </row>
    <row r="252" spans="1:51" x14ac:dyDescent="0.15">
      <c r="A252" s="106"/>
      <c r="B252" s="127">
        <v>44</v>
      </c>
      <c r="C252" s="103"/>
      <c r="D252" s="107">
        <v>0</v>
      </c>
      <c r="E252" s="107">
        <v>0</v>
      </c>
      <c r="F252" s="107">
        <v>0</v>
      </c>
      <c r="G252" s="107">
        <v>0</v>
      </c>
      <c r="H252" s="107">
        <v>0</v>
      </c>
      <c r="I252" s="107">
        <v>0</v>
      </c>
      <c r="J252" s="107">
        <v>0</v>
      </c>
      <c r="K252" s="107">
        <v>0</v>
      </c>
      <c r="L252" s="107">
        <v>0</v>
      </c>
      <c r="M252" s="107">
        <v>0</v>
      </c>
      <c r="N252" s="107">
        <v>0</v>
      </c>
      <c r="O252" s="107">
        <v>0</v>
      </c>
      <c r="P252" s="107">
        <v>0</v>
      </c>
      <c r="Q252" s="107">
        <v>0</v>
      </c>
      <c r="R252" s="107">
        <v>0</v>
      </c>
      <c r="S252" s="107">
        <v>0</v>
      </c>
      <c r="T252" s="107">
        <v>0</v>
      </c>
      <c r="U252" s="107">
        <v>0</v>
      </c>
      <c r="V252" s="107">
        <v>0</v>
      </c>
      <c r="W252" s="107">
        <v>0</v>
      </c>
      <c r="X252" s="107">
        <v>0</v>
      </c>
      <c r="Y252" s="107">
        <v>0</v>
      </c>
      <c r="Z252" s="107">
        <v>0</v>
      </c>
      <c r="AA252" s="107">
        <v>0</v>
      </c>
      <c r="AB252" s="107">
        <v>0</v>
      </c>
      <c r="AC252" s="107">
        <v>0</v>
      </c>
      <c r="AD252" s="107">
        <v>0</v>
      </c>
      <c r="AE252" s="107">
        <v>0</v>
      </c>
      <c r="AF252" s="107">
        <v>0</v>
      </c>
      <c r="AG252" s="107">
        <v>0</v>
      </c>
      <c r="AH252" s="107">
        <v>0</v>
      </c>
      <c r="AI252" s="107">
        <v>0</v>
      </c>
      <c r="AJ252" s="107">
        <v>0</v>
      </c>
      <c r="AK252" s="107">
        <v>0</v>
      </c>
      <c r="AL252" s="107">
        <v>0</v>
      </c>
      <c r="AM252" s="107">
        <v>0</v>
      </c>
      <c r="AN252" s="107">
        <v>0</v>
      </c>
      <c r="AO252" s="107">
        <v>0</v>
      </c>
      <c r="AP252" s="107">
        <v>0</v>
      </c>
      <c r="AQ252" s="107">
        <v>0</v>
      </c>
      <c r="AR252" s="107">
        <v>0</v>
      </c>
      <c r="AS252" s="107">
        <v>0</v>
      </c>
      <c r="AT252" s="107">
        <v>0</v>
      </c>
      <c r="AU252" s="107">
        <v>0</v>
      </c>
      <c r="AV252" s="107">
        <v>0</v>
      </c>
      <c r="AW252" s="107">
        <v>0</v>
      </c>
      <c r="AX252" s="107">
        <v>0</v>
      </c>
      <c r="AY252" s="107">
        <v>0</v>
      </c>
    </row>
    <row r="253" spans="1:51" x14ac:dyDescent="0.15">
      <c r="A253" s="106"/>
      <c r="B253" s="127">
        <v>45</v>
      </c>
      <c r="C253" s="103"/>
      <c r="D253" s="107">
        <v>0</v>
      </c>
      <c r="E253" s="107">
        <v>0</v>
      </c>
      <c r="F253" s="107">
        <v>0</v>
      </c>
      <c r="G253" s="107">
        <v>0</v>
      </c>
      <c r="H253" s="107">
        <v>0</v>
      </c>
      <c r="I253" s="107">
        <v>0</v>
      </c>
      <c r="J253" s="107">
        <v>0</v>
      </c>
      <c r="K253" s="107">
        <v>0</v>
      </c>
      <c r="L253" s="107">
        <v>0</v>
      </c>
      <c r="M253" s="107">
        <v>0</v>
      </c>
      <c r="N253" s="107">
        <v>0</v>
      </c>
      <c r="O253" s="107">
        <v>0</v>
      </c>
      <c r="P253" s="107">
        <v>0</v>
      </c>
      <c r="Q253" s="107">
        <v>0</v>
      </c>
      <c r="R253" s="107">
        <v>0</v>
      </c>
      <c r="S253" s="107">
        <v>0</v>
      </c>
      <c r="T253" s="107">
        <v>0</v>
      </c>
      <c r="U253" s="107">
        <v>0</v>
      </c>
      <c r="V253" s="107">
        <v>0</v>
      </c>
      <c r="W253" s="107">
        <v>0</v>
      </c>
      <c r="X253" s="107">
        <v>0</v>
      </c>
      <c r="Y253" s="107">
        <v>0</v>
      </c>
      <c r="Z253" s="107">
        <v>0</v>
      </c>
      <c r="AA253" s="107">
        <v>0</v>
      </c>
      <c r="AB253" s="107">
        <v>0</v>
      </c>
      <c r="AC253" s="107">
        <v>0</v>
      </c>
      <c r="AD253" s="107">
        <v>0</v>
      </c>
      <c r="AE253" s="107">
        <v>0</v>
      </c>
      <c r="AF253" s="107">
        <v>0</v>
      </c>
      <c r="AG253" s="107">
        <v>0</v>
      </c>
      <c r="AH253" s="107">
        <v>0</v>
      </c>
      <c r="AI253" s="107">
        <v>0</v>
      </c>
      <c r="AJ253" s="107">
        <v>0</v>
      </c>
      <c r="AK253" s="107">
        <v>0</v>
      </c>
      <c r="AL253" s="107">
        <v>0</v>
      </c>
      <c r="AM253" s="107">
        <v>0</v>
      </c>
      <c r="AN253" s="107">
        <v>0</v>
      </c>
      <c r="AO253" s="107">
        <v>0</v>
      </c>
      <c r="AP253" s="107">
        <v>0</v>
      </c>
      <c r="AQ253" s="107">
        <v>0</v>
      </c>
      <c r="AR253" s="107">
        <v>0</v>
      </c>
      <c r="AS253" s="107">
        <v>0</v>
      </c>
      <c r="AT253" s="107">
        <v>0</v>
      </c>
      <c r="AU253" s="107">
        <v>0</v>
      </c>
      <c r="AV253" s="107">
        <v>0</v>
      </c>
      <c r="AW253" s="107">
        <v>0</v>
      </c>
      <c r="AX253" s="107">
        <v>0</v>
      </c>
      <c r="AY253" s="107">
        <v>0</v>
      </c>
    </row>
    <row r="254" spans="1:51" x14ac:dyDescent="0.15">
      <c r="A254" s="106"/>
      <c r="B254" s="127">
        <v>46</v>
      </c>
      <c r="C254" s="103"/>
      <c r="D254" s="107">
        <v>0</v>
      </c>
      <c r="E254" s="107">
        <v>0</v>
      </c>
      <c r="F254" s="107">
        <v>0</v>
      </c>
      <c r="G254" s="107">
        <v>0</v>
      </c>
      <c r="H254" s="107">
        <v>0</v>
      </c>
      <c r="I254" s="107">
        <v>0</v>
      </c>
      <c r="J254" s="107">
        <v>0</v>
      </c>
      <c r="K254" s="107">
        <v>0</v>
      </c>
      <c r="L254" s="107">
        <v>0</v>
      </c>
      <c r="M254" s="107">
        <v>0</v>
      </c>
      <c r="N254" s="107">
        <v>0</v>
      </c>
      <c r="O254" s="107">
        <v>0</v>
      </c>
      <c r="P254" s="107">
        <v>0</v>
      </c>
      <c r="Q254" s="107">
        <v>0</v>
      </c>
      <c r="R254" s="107">
        <v>0</v>
      </c>
      <c r="S254" s="107">
        <v>0</v>
      </c>
      <c r="T254" s="107">
        <v>0</v>
      </c>
      <c r="U254" s="107">
        <v>0</v>
      </c>
      <c r="V254" s="107">
        <v>0</v>
      </c>
      <c r="W254" s="107">
        <v>0</v>
      </c>
      <c r="X254" s="107">
        <v>0</v>
      </c>
      <c r="Y254" s="107">
        <v>0</v>
      </c>
      <c r="Z254" s="107">
        <v>0</v>
      </c>
      <c r="AA254" s="107">
        <v>0</v>
      </c>
      <c r="AB254" s="107">
        <v>0</v>
      </c>
      <c r="AC254" s="107">
        <v>0</v>
      </c>
      <c r="AD254" s="107">
        <v>0</v>
      </c>
      <c r="AE254" s="107">
        <v>0</v>
      </c>
      <c r="AF254" s="107">
        <v>0</v>
      </c>
      <c r="AG254" s="107">
        <v>0</v>
      </c>
      <c r="AH254" s="107">
        <v>0</v>
      </c>
      <c r="AI254" s="107">
        <v>0</v>
      </c>
      <c r="AJ254" s="107">
        <v>0</v>
      </c>
      <c r="AK254" s="107">
        <v>0</v>
      </c>
      <c r="AL254" s="107">
        <v>0</v>
      </c>
      <c r="AM254" s="107">
        <v>0</v>
      </c>
      <c r="AN254" s="107">
        <v>0</v>
      </c>
      <c r="AO254" s="107">
        <v>0</v>
      </c>
      <c r="AP254" s="107">
        <v>0</v>
      </c>
      <c r="AQ254" s="107">
        <v>0</v>
      </c>
      <c r="AR254" s="107">
        <v>0</v>
      </c>
      <c r="AS254" s="107">
        <v>0</v>
      </c>
      <c r="AT254" s="107">
        <v>0</v>
      </c>
      <c r="AU254" s="107">
        <v>0</v>
      </c>
      <c r="AV254" s="107">
        <v>0</v>
      </c>
      <c r="AW254" s="107">
        <v>0</v>
      </c>
      <c r="AX254" s="107">
        <v>0</v>
      </c>
      <c r="AY254" s="107">
        <v>0</v>
      </c>
    </row>
    <row r="255" spans="1:51" x14ac:dyDescent="0.15">
      <c r="A255" s="106"/>
      <c r="B255" s="127">
        <v>47</v>
      </c>
      <c r="C255" s="103"/>
      <c r="D255" s="107">
        <v>0</v>
      </c>
      <c r="E255" s="107">
        <v>0</v>
      </c>
      <c r="F255" s="107">
        <v>0</v>
      </c>
      <c r="G255" s="107">
        <v>0</v>
      </c>
      <c r="H255" s="107">
        <v>0</v>
      </c>
      <c r="I255" s="107">
        <v>0</v>
      </c>
      <c r="J255" s="107">
        <v>0</v>
      </c>
      <c r="K255" s="107">
        <v>0</v>
      </c>
      <c r="L255" s="107">
        <v>0</v>
      </c>
      <c r="M255" s="107">
        <v>0</v>
      </c>
      <c r="N255" s="107">
        <v>0</v>
      </c>
      <c r="O255" s="107">
        <v>0</v>
      </c>
      <c r="P255" s="107">
        <v>0</v>
      </c>
      <c r="Q255" s="107">
        <v>0</v>
      </c>
      <c r="R255" s="107">
        <v>0</v>
      </c>
      <c r="S255" s="107">
        <v>0</v>
      </c>
      <c r="T255" s="107">
        <v>0</v>
      </c>
      <c r="U255" s="107">
        <v>0</v>
      </c>
      <c r="V255" s="107">
        <v>0</v>
      </c>
      <c r="W255" s="107">
        <v>0</v>
      </c>
      <c r="X255" s="107">
        <v>0</v>
      </c>
      <c r="Y255" s="107">
        <v>0</v>
      </c>
      <c r="Z255" s="107">
        <v>0</v>
      </c>
      <c r="AA255" s="107">
        <v>0</v>
      </c>
      <c r="AB255" s="107">
        <v>0</v>
      </c>
      <c r="AC255" s="107">
        <v>0</v>
      </c>
      <c r="AD255" s="107">
        <v>0</v>
      </c>
      <c r="AE255" s="107">
        <v>0</v>
      </c>
      <c r="AF255" s="107">
        <v>0</v>
      </c>
      <c r="AG255" s="107">
        <v>0</v>
      </c>
      <c r="AH255" s="107">
        <v>0</v>
      </c>
      <c r="AI255" s="107">
        <v>0</v>
      </c>
      <c r="AJ255" s="107">
        <v>0</v>
      </c>
      <c r="AK255" s="107">
        <v>0</v>
      </c>
      <c r="AL255" s="107">
        <v>0</v>
      </c>
      <c r="AM255" s="107">
        <v>0</v>
      </c>
      <c r="AN255" s="107">
        <v>0</v>
      </c>
      <c r="AO255" s="107">
        <v>0</v>
      </c>
      <c r="AP255" s="107">
        <v>0</v>
      </c>
      <c r="AQ255" s="107">
        <v>0</v>
      </c>
      <c r="AR255" s="107">
        <v>0</v>
      </c>
      <c r="AS255" s="107">
        <v>0</v>
      </c>
      <c r="AT255" s="107">
        <v>0</v>
      </c>
      <c r="AU255" s="107">
        <v>0</v>
      </c>
      <c r="AV255" s="107">
        <v>0</v>
      </c>
      <c r="AW255" s="107">
        <v>0</v>
      </c>
      <c r="AX255" s="107">
        <v>0</v>
      </c>
      <c r="AY255" s="107">
        <v>0</v>
      </c>
    </row>
    <row r="256" spans="1:51" x14ac:dyDescent="0.15">
      <c r="A256" s="125"/>
      <c r="B256" s="126">
        <v>48</v>
      </c>
      <c r="C256" s="111"/>
      <c r="D256" s="122">
        <v>0</v>
      </c>
      <c r="E256" s="122">
        <v>0</v>
      </c>
      <c r="F256" s="122">
        <v>0</v>
      </c>
      <c r="G256" s="122">
        <v>0</v>
      </c>
      <c r="H256" s="122">
        <v>0</v>
      </c>
      <c r="I256" s="122">
        <v>0</v>
      </c>
      <c r="J256" s="122">
        <v>0</v>
      </c>
      <c r="K256" s="122">
        <v>0</v>
      </c>
      <c r="L256" s="122">
        <v>0</v>
      </c>
      <c r="M256" s="122">
        <v>0</v>
      </c>
      <c r="N256" s="122">
        <v>0</v>
      </c>
      <c r="O256" s="122">
        <v>0</v>
      </c>
      <c r="P256" s="122">
        <v>0</v>
      </c>
      <c r="Q256" s="122">
        <v>0</v>
      </c>
      <c r="R256" s="122">
        <v>0</v>
      </c>
      <c r="S256" s="122">
        <v>0</v>
      </c>
      <c r="T256" s="122">
        <v>0</v>
      </c>
      <c r="U256" s="122">
        <v>0</v>
      </c>
      <c r="V256" s="122">
        <v>0</v>
      </c>
      <c r="W256" s="122">
        <v>0</v>
      </c>
      <c r="X256" s="122">
        <v>0</v>
      </c>
      <c r="Y256" s="122">
        <v>0</v>
      </c>
      <c r="Z256" s="122">
        <v>0</v>
      </c>
      <c r="AA256" s="122">
        <v>0</v>
      </c>
      <c r="AB256" s="122">
        <v>0</v>
      </c>
      <c r="AC256" s="122">
        <v>0</v>
      </c>
      <c r="AD256" s="122">
        <v>0</v>
      </c>
      <c r="AE256" s="122">
        <v>0</v>
      </c>
      <c r="AF256" s="122">
        <v>0</v>
      </c>
      <c r="AG256" s="122">
        <v>0</v>
      </c>
      <c r="AH256" s="122">
        <v>0</v>
      </c>
      <c r="AI256" s="122">
        <v>0</v>
      </c>
      <c r="AJ256" s="122">
        <v>0</v>
      </c>
      <c r="AK256" s="122">
        <v>0</v>
      </c>
      <c r="AL256" s="122">
        <v>0</v>
      </c>
      <c r="AM256" s="122">
        <v>0</v>
      </c>
      <c r="AN256" s="122">
        <v>0</v>
      </c>
      <c r="AO256" s="122">
        <v>0</v>
      </c>
      <c r="AP256" s="122">
        <v>0</v>
      </c>
      <c r="AQ256" s="122">
        <v>0</v>
      </c>
      <c r="AR256" s="122">
        <v>0</v>
      </c>
      <c r="AS256" s="122">
        <v>0</v>
      </c>
      <c r="AT256" s="122">
        <v>0</v>
      </c>
      <c r="AU256" s="122">
        <v>0</v>
      </c>
      <c r="AV256" s="122">
        <v>0</v>
      </c>
      <c r="AW256" s="122">
        <v>0</v>
      </c>
      <c r="AX256" s="122">
        <v>0</v>
      </c>
      <c r="AY256" s="122">
        <v>0</v>
      </c>
    </row>
    <row r="258" spans="1:52" x14ac:dyDescent="0.15">
      <c r="A258" s="99" t="s">
        <v>300</v>
      </c>
    </row>
    <row r="259" spans="1:52" x14ac:dyDescent="0.15">
      <c r="A259" s="134" t="s">
        <v>124</v>
      </c>
      <c r="B259" s="135">
        <v>650</v>
      </c>
      <c r="C259" s="121" t="s">
        <v>292</v>
      </c>
      <c r="D259" s="121">
        <f>E$14*$B$259</f>
        <v>0</v>
      </c>
      <c r="E259" s="121">
        <f t="shared" ref="E259:AX259" si="5">F$14*$B$259</f>
        <v>0</v>
      </c>
      <c r="F259" s="121">
        <f t="shared" si="5"/>
        <v>0</v>
      </c>
      <c r="G259" s="121">
        <f t="shared" si="5"/>
        <v>0</v>
      </c>
      <c r="H259" s="121">
        <f t="shared" si="5"/>
        <v>0</v>
      </c>
      <c r="I259" s="121">
        <f t="shared" si="5"/>
        <v>0</v>
      </c>
      <c r="J259" s="121">
        <f t="shared" si="5"/>
        <v>0</v>
      </c>
      <c r="K259" s="121">
        <f t="shared" si="5"/>
        <v>0</v>
      </c>
      <c r="L259" s="121">
        <f t="shared" si="5"/>
        <v>0</v>
      </c>
      <c r="M259" s="121">
        <f t="shared" si="5"/>
        <v>0</v>
      </c>
      <c r="N259" s="121">
        <f t="shared" si="5"/>
        <v>0</v>
      </c>
      <c r="O259" s="121">
        <f t="shared" si="5"/>
        <v>0</v>
      </c>
      <c r="P259" s="121">
        <f t="shared" si="5"/>
        <v>0</v>
      </c>
      <c r="Q259" s="121">
        <f t="shared" si="5"/>
        <v>0</v>
      </c>
      <c r="R259" s="121">
        <f t="shared" si="5"/>
        <v>0</v>
      </c>
      <c r="S259" s="121">
        <f t="shared" si="5"/>
        <v>0</v>
      </c>
      <c r="T259" s="121">
        <f t="shared" si="5"/>
        <v>0</v>
      </c>
      <c r="U259" s="121">
        <f t="shared" si="5"/>
        <v>0</v>
      </c>
      <c r="V259" s="121">
        <f t="shared" si="5"/>
        <v>0</v>
      </c>
      <c r="W259" s="121">
        <f t="shared" si="5"/>
        <v>0</v>
      </c>
      <c r="X259" s="121">
        <f t="shared" si="5"/>
        <v>0</v>
      </c>
      <c r="Y259" s="121">
        <f t="shared" si="5"/>
        <v>0</v>
      </c>
      <c r="Z259" s="121">
        <f t="shared" si="5"/>
        <v>0</v>
      </c>
      <c r="AA259" s="121">
        <f t="shared" si="5"/>
        <v>0</v>
      </c>
      <c r="AB259" s="121">
        <f t="shared" si="5"/>
        <v>0</v>
      </c>
      <c r="AC259" s="121">
        <f t="shared" si="5"/>
        <v>0</v>
      </c>
      <c r="AD259" s="121">
        <f t="shared" si="5"/>
        <v>0</v>
      </c>
      <c r="AE259" s="121">
        <f t="shared" si="5"/>
        <v>0</v>
      </c>
      <c r="AF259" s="121">
        <f t="shared" si="5"/>
        <v>0</v>
      </c>
      <c r="AG259" s="121">
        <f t="shared" si="5"/>
        <v>0</v>
      </c>
      <c r="AH259" s="121">
        <f t="shared" si="5"/>
        <v>0</v>
      </c>
      <c r="AI259" s="121">
        <f t="shared" si="5"/>
        <v>0</v>
      </c>
      <c r="AJ259" s="121">
        <f t="shared" si="5"/>
        <v>0</v>
      </c>
      <c r="AK259" s="121">
        <f t="shared" si="5"/>
        <v>0</v>
      </c>
      <c r="AL259" s="121">
        <f t="shared" si="5"/>
        <v>0</v>
      </c>
      <c r="AM259" s="121">
        <f t="shared" si="5"/>
        <v>0</v>
      </c>
      <c r="AN259" s="121">
        <f t="shared" si="5"/>
        <v>0</v>
      </c>
      <c r="AO259" s="121">
        <f t="shared" si="5"/>
        <v>0</v>
      </c>
      <c r="AP259" s="121">
        <f t="shared" si="5"/>
        <v>0</v>
      </c>
      <c r="AQ259" s="121">
        <f t="shared" si="5"/>
        <v>0</v>
      </c>
      <c r="AR259" s="121">
        <f t="shared" si="5"/>
        <v>0</v>
      </c>
      <c r="AS259" s="121">
        <f t="shared" si="5"/>
        <v>0</v>
      </c>
      <c r="AT259" s="121">
        <f t="shared" si="5"/>
        <v>0</v>
      </c>
      <c r="AU259" s="121">
        <f t="shared" si="5"/>
        <v>0</v>
      </c>
      <c r="AV259" s="121">
        <f t="shared" si="5"/>
        <v>0</v>
      </c>
      <c r="AW259" s="121">
        <f t="shared" si="5"/>
        <v>0</v>
      </c>
      <c r="AX259" s="121">
        <f t="shared" si="5"/>
        <v>0</v>
      </c>
      <c r="AY259" s="121">
        <f>AZ$14*$B$259</f>
        <v>0</v>
      </c>
      <c r="AZ259" s="136">
        <f>SUM($D259:$AY259)</f>
        <v>0</v>
      </c>
    </row>
    <row r="260" spans="1:52" x14ac:dyDescent="0.15">
      <c r="A260" s="137" t="s">
        <v>301</v>
      </c>
      <c r="B260" s="111">
        <v>60</v>
      </c>
      <c r="C260" s="122" t="s">
        <v>292</v>
      </c>
      <c r="D260" s="122">
        <f>(D$175-D$176+D$177-D$178+D$179-D$180+D$181-D$182)*$B$260</f>
        <v>259835.53177124515</v>
      </c>
      <c r="E260" s="122">
        <f t="shared" ref="E260:AY260" si="6">(E$175-E$176+E$177-E$178+E$179-E$180+E$181-E$182)*$B$260</f>
        <v>540172.08209240786</v>
      </c>
      <c r="F260" s="122">
        <f t="shared" si="6"/>
        <v>924589.65953006805</v>
      </c>
      <c r="G260" s="122">
        <f t="shared" si="6"/>
        <v>1258288.2468255383</v>
      </c>
      <c r="H260" s="122">
        <f t="shared" si="6"/>
        <v>1702367.8008862156</v>
      </c>
      <c r="I260" s="122">
        <f t="shared" si="6"/>
        <v>2111568.2527814638</v>
      </c>
      <c r="J260" s="122">
        <f t="shared" si="6"/>
        <v>2139690.4699244937</v>
      </c>
      <c r="K260" s="122">
        <f t="shared" si="6"/>
        <v>2147773.8200560021</v>
      </c>
      <c r="L260" s="122">
        <f t="shared" si="6"/>
        <v>2203297.9667100064</v>
      </c>
      <c r="M260" s="122">
        <f t="shared" si="6"/>
        <v>2176388.6704470529</v>
      </c>
      <c r="N260" s="122">
        <f t="shared" si="6"/>
        <v>2166273.0725541329</v>
      </c>
      <c r="O260" s="122">
        <f t="shared" si="6"/>
        <v>2176334.0801811237</v>
      </c>
      <c r="P260" s="122">
        <f t="shared" si="6"/>
        <v>2211073.0169825736</v>
      </c>
      <c r="Q260" s="122">
        <f t="shared" si="6"/>
        <v>2248443.9160899697</v>
      </c>
      <c r="R260" s="122">
        <f t="shared" si="6"/>
        <v>2271788.8083635527</v>
      </c>
      <c r="S260" s="122">
        <f t="shared" si="6"/>
        <v>2283577.379857427</v>
      </c>
      <c r="T260" s="122">
        <f t="shared" si="6"/>
        <v>2260286.9662675424</v>
      </c>
      <c r="U260" s="122">
        <f t="shared" si="6"/>
        <v>2221926.5889744195</v>
      </c>
      <c r="V260" s="122">
        <f t="shared" si="6"/>
        <v>2171005.6031406908</v>
      </c>
      <c r="W260" s="122">
        <f t="shared" si="6"/>
        <v>2157580.085488854</v>
      </c>
      <c r="X260" s="122">
        <f t="shared" si="6"/>
        <v>2237014.1229482149</v>
      </c>
      <c r="Y260" s="122">
        <f t="shared" si="6"/>
        <v>2300545.6917911833</v>
      </c>
      <c r="Z260" s="122">
        <f t="shared" si="6"/>
        <v>2520647.7766738781</v>
      </c>
      <c r="AA260" s="122">
        <f t="shared" si="6"/>
        <v>2456935.5067564556</v>
      </c>
      <c r="AB260" s="122">
        <f t="shared" si="6"/>
        <v>2636904.7153997156</v>
      </c>
      <c r="AC260" s="122">
        <f t="shared" si="6"/>
        <v>2700267.6742097004</v>
      </c>
      <c r="AD260" s="122">
        <f t="shared" si="6"/>
        <v>2715826.8473317921</v>
      </c>
      <c r="AE260" s="122">
        <f t="shared" si="6"/>
        <v>2756787.7667414313</v>
      </c>
      <c r="AF260" s="122">
        <f t="shared" si="6"/>
        <v>2764026.2002850547</v>
      </c>
      <c r="AG260" s="122">
        <f t="shared" si="6"/>
        <v>2819893.4817068265</v>
      </c>
      <c r="AH260" s="122">
        <f t="shared" si="6"/>
        <v>2886840.8791228984</v>
      </c>
      <c r="AI260" s="122">
        <f t="shared" si="6"/>
        <v>2987280</v>
      </c>
      <c r="AJ260" s="122">
        <f t="shared" si="6"/>
        <v>2992500</v>
      </c>
      <c r="AK260" s="122">
        <f t="shared" si="6"/>
        <v>2997600</v>
      </c>
      <c r="AL260" s="122">
        <f t="shared" si="6"/>
        <v>2994960</v>
      </c>
      <c r="AM260" s="122">
        <f t="shared" si="6"/>
        <v>2995260</v>
      </c>
      <c r="AN260" s="122">
        <f t="shared" si="6"/>
        <v>2999340</v>
      </c>
      <c r="AO260" s="122">
        <f t="shared" si="6"/>
        <v>2977193.6537432922</v>
      </c>
      <c r="AP260" s="122">
        <f t="shared" si="6"/>
        <v>3006780.0000000005</v>
      </c>
      <c r="AQ260" s="122">
        <f t="shared" si="6"/>
        <v>3003180</v>
      </c>
      <c r="AR260" s="122">
        <f t="shared" si="6"/>
        <v>2945235.5554570109</v>
      </c>
      <c r="AS260" s="122">
        <f t="shared" si="6"/>
        <v>2886463.5473743198</v>
      </c>
      <c r="AT260" s="122">
        <f t="shared" si="6"/>
        <v>2834690.0002039731</v>
      </c>
      <c r="AU260" s="122">
        <f t="shared" si="6"/>
        <v>3019139.9999999995</v>
      </c>
      <c r="AV260" s="122">
        <f t="shared" si="6"/>
        <v>3024299.9999999995</v>
      </c>
      <c r="AW260" s="122">
        <f t="shared" si="6"/>
        <v>3019500</v>
      </c>
      <c r="AX260" s="122">
        <f t="shared" si="6"/>
        <v>2986777.4171966622</v>
      </c>
      <c r="AY260" s="122">
        <f t="shared" si="6"/>
        <v>2948598.0171060013</v>
      </c>
      <c r="AZ260" s="138">
        <f>SUM($D260:$AY260)</f>
        <v>117046750.87297319</v>
      </c>
    </row>
  </sheetData>
  <pageMargins left="0.75" right="0.75" top="1" bottom="1" header="0.5" footer="0.5"/>
  <pageSetup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baseColWidth="10" defaultColWidth="8.83203125" defaultRowHeight="13" x14ac:dyDescent="0.15"/>
  <cols>
    <col min="1" max="16384" width="8.83203125" style="97"/>
  </cols>
  <sheetData>
    <row r="2" spans="1:99" x14ac:dyDescent="0.15">
      <c r="B2" s="99" t="s">
        <v>271</v>
      </c>
    </row>
    <row r="3" spans="1:99" x14ac:dyDescent="0.15">
      <c r="B3" s="100" t="s">
        <v>282</v>
      </c>
    </row>
    <row r="4" spans="1:99" x14ac:dyDescent="0.15">
      <c r="A4" s="98"/>
      <c r="B4" s="98"/>
      <c r="C4" s="96" t="s">
        <v>273</v>
      </c>
      <c r="D4" s="96" t="s">
        <v>92</v>
      </c>
      <c r="E4" s="98"/>
      <c r="F4" s="98"/>
      <c r="G4" s="98"/>
      <c r="H4" s="98"/>
      <c r="I4" s="98"/>
      <c r="J4" s="98"/>
      <c r="K4" s="98"/>
      <c r="L4" s="96" t="s">
        <v>93</v>
      </c>
      <c r="M4" s="98"/>
      <c r="N4" s="98"/>
      <c r="O4" s="98"/>
      <c r="P4" s="98"/>
      <c r="Q4" s="98"/>
      <c r="R4" s="98"/>
      <c r="S4" s="98"/>
      <c r="T4" s="96" t="s">
        <v>94</v>
      </c>
      <c r="U4" s="98"/>
      <c r="V4" s="98"/>
      <c r="W4" s="98"/>
      <c r="X4" s="98"/>
      <c r="Y4" s="98"/>
      <c r="Z4" s="98"/>
      <c r="AA4" s="98"/>
      <c r="AB4" s="96" t="s">
        <v>95</v>
      </c>
      <c r="AC4" s="98"/>
      <c r="AD4" s="98"/>
      <c r="AE4" s="98"/>
      <c r="AF4" s="98"/>
      <c r="AG4" s="98"/>
      <c r="AH4" s="98"/>
      <c r="AI4" s="98"/>
      <c r="AJ4" s="96" t="s">
        <v>96</v>
      </c>
      <c r="AK4" s="98"/>
      <c r="AL4" s="98"/>
      <c r="AM4" s="98"/>
      <c r="AN4" s="98"/>
      <c r="AO4" s="98"/>
      <c r="AP4" s="98"/>
      <c r="AQ4" s="98"/>
      <c r="AR4" s="96" t="s">
        <v>97</v>
      </c>
      <c r="AS4" s="98"/>
      <c r="AT4" s="98"/>
      <c r="AU4" s="98"/>
      <c r="AV4" s="98"/>
      <c r="AW4" s="98"/>
      <c r="AX4" s="98"/>
      <c r="AY4" s="98"/>
      <c r="AZ4" s="96" t="s">
        <v>98</v>
      </c>
      <c r="BA4" s="98"/>
      <c r="BB4" s="98"/>
      <c r="BC4" s="98"/>
      <c r="BD4" s="98"/>
      <c r="BE4" s="98"/>
      <c r="BF4" s="98"/>
      <c r="BG4" s="98"/>
      <c r="BH4" s="96" t="s">
        <v>99</v>
      </c>
      <c r="BI4" s="98"/>
      <c r="BJ4" s="98"/>
      <c r="BK4" s="98"/>
      <c r="BL4" s="98"/>
      <c r="BM4" s="98"/>
      <c r="BN4" s="98"/>
      <c r="BO4" s="98"/>
      <c r="BP4" s="96" t="s">
        <v>100</v>
      </c>
      <c r="BQ4" s="98"/>
      <c r="BR4" s="98"/>
      <c r="BS4" s="98"/>
      <c r="BT4" s="98"/>
      <c r="BU4" s="98"/>
      <c r="BV4" s="98"/>
      <c r="BW4" s="98"/>
      <c r="BX4" s="96" t="s">
        <v>101</v>
      </c>
      <c r="BY4" s="98"/>
      <c r="BZ4" s="98"/>
      <c r="CA4" s="98"/>
      <c r="CB4" s="98"/>
      <c r="CC4" s="98"/>
      <c r="CD4" s="98"/>
      <c r="CE4" s="98"/>
      <c r="CF4" s="96" t="s">
        <v>102</v>
      </c>
      <c r="CG4" s="98"/>
      <c r="CH4" s="98"/>
      <c r="CI4" s="98"/>
      <c r="CJ4" s="98"/>
      <c r="CK4" s="98"/>
      <c r="CL4" s="98"/>
      <c r="CM4" s="98"/>
      <c r="CN4" s="96" t="s">
        <v>103</v>
      </c>
      <c r="CO4" s="98"/>
      <c r="CP4" s="98"/>
      <c r="CQ4" s="98"/>
      <c r="CR4" s="98"/>
      <c r="CS4" s="98"/>
      <c r="CT4" s="98"/>
      <c r="CU4" s="98"/>
    </row>
    <row r="5" spans="1:99" x14ac:dyDescent="0.15">
      <c r="B5" s="96" t="s">
        <v>166</v>
      </c>
      <c r="C5" s="96" t="s">
        <v>274</v>
      </c>
      <c r="D5" s="96">
        <v>1</v>
      </c>
      <c r="E5" s="96"/>
      <c r="F5" s="96">
        <v>2</v>
      </c>
      <c r="G5" s="96"/>
      <c r="H5" s="96">
        <v>3</v>
      </c>
      <c r="I5" s="96"/>
      <c r="J5" s="96">
        <v>4</v>
      </c>
      <c r="K5" s="96"/>
      <c r="L5" s="96">
        <v>1</v>
      </c>
      <c r="M5" s="96"/>
      <c r="N5" s="96">
        <v>2</v>
      </c>
      <c r="O5" s="96"/>
      <c r="P5" s="96">
        <v>3</v>
      </c>
      <c r="Q5" s="96"/>
      <c r="R5" s="96">
        <v>4</v>
      </c>
      <c r="S5" s="96"/>
      <c r="T5" s="96">
        <v>1</v>
      </c>
      <c r="U5" s="96"/>
      <c r="V5" s="96">
        <v>2</v>
      </c>
      <c r="W5" s="96"/>
      <c r="X5" s="96">
        <v>3</v>
      </c>
      <c r="Y5" s="96"/>
      <c r="Z5" s="96">
        <v>4</v>
      </c>
      <c r="AA5" s="96"/>
      <c r="AB5" s="96">
        <v>1</v>
      </c>
      <c r="AC5" s="96"/>
      <c r="AD5" s="96">
        <v>2</v>
      </c>
      <c r="AE5" s="96"/>
      <c r="AF5" s="96">
        <v>3</v>
      </c>
      <c r="AG5" s="96"/>
      <c r="AH5" s="96">
        <v>4</v>
      </c>
      <c r="AI5" s="96"/>
      <c r="AJ5" s="96">
        <v>1</v>
      </c>
      <c r="AK5" s="96"/>
      <c r="AL5" s="96">
        <v>2</v>
      </c>
      <c r="AM5" s="96"/>
      <c r="AN5" s="96">
        <v>3</v>
      </c>
      <c r="AO5" s="96"/>
      <c r="AP5" s="96">
        <v>4</v>
      </c>
      <c r="AQ5" s="96"/>
      <c r="AR5" s="96">
        <v>1</v>
      </c>
      <c r="AS5" s="96"/>
      <c r="AT5" s="96">
        <v>2</v>
      </c>
      <c r="AU5" s="96"/>
      <c r="AV5" s="96">
        <v>3</v>
      </c>
      <c r="AW5" s="96"/>
      <c r="AX5" s="96">
        <v>4</v>
      </c>
      <c r="AY5" s="96"/>
      <c r="AZ5" s="96">
        <v>1</v>
      </c>
      <c r="BA5" s="96"/>
      <c r="BB5" s="96">
        <v>2</v>
      </c>
      <c r="BC5" s="96"/>
      <c r="BD5" s="96">
        <v>3</v>
      </c>
      <c r="BE5" s="96"/>
      <c r="BF5" s="96">
        <v>4</v>
      </c>
      <c r="BG5" s="96"/>
      <c r="BH5" s="96">
        <v>1</v>
      </c>
      <c r="BI5" s="96"/>
      <c r="BJ5" s="96">
        <v>2</v>
      </c>
      <c r="BK5" s="96"/>
      <c r="BL5" s="96">
        <v>3</v>
      </c>
      <c r="BM5" s="96"/>
      <c r="BN5" s="96">
        <v>4</v>
      </c>
      <c r="BO5" s="96"/>
      <c r="BP5" s="96">
        <v>1</v>
      </c>
      <c r="BQ5" s="96"/>
      <c r="BR5" s="96">
        <v>2</v>
      </c>
      <c r="BS5" s="96"/>
      <c r="BT5" s="96">
        <v>3</v>
      </c>
      <c r="BU5" s="96"/>
      <c r="BV5" s="96">
        <v>4</v>
      </c>
      <c r="BW5" s="96"/>
      <c r="BX5" s="96">
        <v>1</v>
      </c>
      <c r="BY5" s="96"/>
      <c r="BZ5" s="96">
        <v>2</v>
      </c>
      <c r="CA5" s="96"/>
      <c r="CB5" s="96">
        <v>3</v>
      </c>
      <c r="CC5" s="96"/>
      <c r="CD5" s="96">
        <v>4</v>
      </c>
      <c r="CE5" s="96"/>
      <c r="CF5" s="96">
        <v>1</v>
      </c>
      <c r="CG5" s="96"/>
      <c r="CH5" s="96">
        <v>2</v>
      </c>
      <c r="CI5" s="96"/>
      <c r="CJ5" s="96">
        <v>3</v>
      </c>
      <c r="CK5" s="96"/>
      <c r="CL5" s="96">
        <v>4</v>
      </c>
      <c r="CM5" s="96"/>
      <c r="CN5" s="96">
        <v>1</v>
      </c>
      <c r="CO5" s="96"/>
      <c r="CP5" s="96">
        <v>2</v>
      </c>
      <c r="CQ5" s="96"/>
      <c r="CR5" s="96">
        <v>3</v>
      </c>
      <c r="CS5" s="96"/>
      <c r="CT5" s="96">
        <v>4</v>
      </c>
      <c r="CU5" s="96"/>
    </row>
    <row r="6" spans="1:99" x14ac:dyDescent="0.15">
      <c r="B6" s="96" t="s">
        <v>126</v>
      </c>
      <c r="C6" s="96" t="s">
        <v>171</v>
      </c>
      <c r="D6" s="97">
        <v>60</v>
      </c>
      <c r="E6" s="97">
        <v>34704</v>
      </c>
      <c r="F6" s="97">
        <v>77</v>
      </c>
      <c r="G6" s="97">
        <v>44536.799999999996</v>
      </c>
      <c r="H6" s="97">
        <v>47</v>
      </c>
      <c r="I6" s="97">
        <v>27184.799999999999</v>
      </c>
      <c r="J6" s="97">
        <v>75</v>
      </c>
      <c r="K6" s="97">
        <v>43380</v>
      </c>
      <c r="L6" s="97">
        <v>22</v>
      </c>
      <c r="M6" s="97">
        <v>12724.8</v>
      </c>
      <c r="N6" s="97">
        <v>36</v>
      </c>
      <c r="O6" s="97">
        <v>20822.399999999998</v>
      </c>
      <c r="P6" s="97">
        <v>44</v>
      </c>
      <c r="Q6" s="97">
        <v>25449.599999999999</v>
      </c>
      <c r="R6" s="97">
        <v>26</v>
      </c>
      <c r="S6" s="97">
        <v>15038.4</v>
      </c>
      <c r="T6" s="97">
        <v>21</v>
      </c>
      <c r="U6" s="97">
        <v>12146.4</v>
      </c>
      <c r="V6" s="97">
        <v>22</v>
      </c>
      <c r="W6" s="97">
        <v>12724.8</v>
      </c>
      <c r="X6" s="97">
        <v>24</v>
      </c>
      <c r="Y6" s="97">
        <v>13881.599999999999</v>
      </c>
      <c r="Z6" s="97">
        <v>17</v>
      </c>
      <c r="AA6" s="97">
        <v>9832.7999999999993</v>
      </c>
      <c r="AB6" s="97">
        <v>21</v>
      </c>
      <c r="AC6" s="97">
        <v>12146.4</v>
      </c>
      <c r="AD6" s="97">
        <v>13</v>
      </c>
      <c r="AE6" s="97">
        <v>7519.2</v>
      </c>
      <c r="AF6" s="97">
        <v>12</v>
      </c>
      <c r="AG6" s="97">
        <v>6940.7999999999993</v>
      </c>
      <c r="AH6" s="97">
        <v>21</v>
      </c>
      <c r="AI6" s="97">
        <v>12146.4</v>
      </c>
      <c r="AJ6" s="97">
        <v>12</v>
      </c>
      <c r="AK6" s="97">
        <v>6940.7999999999993</v>
      </c>
      <c r="AL6" s="97">
        <v>12</v>
      </c>
      <c r="AM6" s="97">
        <v>6940.7999999999993</v>
      </c>
      <c r="AN6" s="97">
        <v>13</v>
      </c>
      <c r="AO6" s="97">
        <v>7519.2</v>
      </c>
      <c r="AP6" s="97">
        <v>14</v>
      </c>
      <c r="AQ6" s="97">
        <v>8097.5999999999995</v>
      </c>
      <c r="AR6" s="97">
        <v>11</v>
      </c>
      <c r="AS6" s="97">
        <v>6362.4</v>
      </c>
      <c r="AT6" s="97">
        <v>13</v>
      </c>
      <c r="AU6" s="97">
        <v>7519.2</v>
      </c>
      <c r="AV6" s="97">
        <v>13</v>
      </c>
      <c r="AW6" s="97">
        <v>7519.2</v>
      </c>
      <c r="AX6" s="97">
        <v>12</v>
      </c>
      <c r="AY6" s="97">
        <v>6940.7999999999993</v>
      </c>
      <c r="AZ6" s="97">
        <v>7</v>
      </c>
      <c r="BA6" s="97">
        <v>4048.7999999999997</v>
      </c>
      <c r="BB6" s="97">
        <v>7</v>
      </c>
      <c r="BC6" s="97">
        <v>4048.7999999999997</v>
      </c>
      <c r="BD6" s="97">
        <v>7</v>
      </c>
      <c r="BE6" s="97">
        <v>4048.7999999999997</v>
      </c>
      <c r="BF6" s="97">
        <v>10</v>
      </c>
      <c r="BG6" s="97">
        <v>5784</v>
      </c>
      <c r="BH6" s="97">
        <v>7</v>
      </c>
      <c r="BI6" s="97">
        <v>4048.7999999999997</v>
      </c>
      <c r="BJ6" s="97">
        <v>5</v>
      </c>
      <c r="BK6" s="97">
        <v>2892</v>
      </c>
      <c r="BL6" s="97">
        <v>7</v>
      </c>
      <c r="BM6" s="97">
        <v>4048.7999999999997</v>
      </c>
      <c r="BN6" s="97">
        <v>5</v>
      </c>
      <c r="BO6" s="97">
        <v>2892</v>
      </c>
      <c r="BP6" s="97">
        <v>7</v>
      </c>
      <c r="BQ6" s="97">
        <v>4048.7999999999997</v>
      </c>
      <c r="BR6" s="97">
        <v>4</v>
      </c>
      <c r="BS6" s="97">
        <v>2313.6</v>
      </c>
      <c r="BT6" s="97">
        <v>4</v>
      </c>
      <c r="BU6" s="97">
        <v>2313.6</v>
      </c>
      <c r="BV6" s="97">
        <v>7</v>
      </c>
      <c r="BW6" s="97">
        <v>4048.7999999999997</v>
      </c>
      <c r="BX6" s="97">
        <v>4</v>
      </c>
      <c r="BY6" s="97">
        <v>2313.6</v>
      </c>
      <c r="BZ6" s="97">
        <v>4</v>
      </c>
      <c r="CA6" s="97">
        <v>2313.6</v>
      </c>
      <c r="CB6" s="97">
        <v>3</v>
      </c>
      <c r="CC6" s="97">
        <v>1735.1999999999998</v>
      </c>
      <c r="CD6" s="97">
        <v>5</v>
      </c>
      <c r="CE6" s="97">
        <v>2892</v>
      </c>
      <c r="CF6" s="97">
        <v>5</v>
      </c>
      <c r="CG6" s="97">
        <v>2892</v>
      </c>
      <c r="CH6" s="97">
        <v>4</v>
      </c>
      <c r="CI6" s="97">
        <v>2313.6</v>
      </c>
      <c r="CJ6" s="97">
        <v>5</v>
      </c>
      <c r="CK6" s="97">
        <v>2892</v>
      </c>
      <c r="CL6" s="97">
        <v>3</v>
      </c>
      <c r="CM6" s="97">
        <v>1735.1999999999998</v>
      </c>
      <c r="CN6" s="97">
        <v>3</v>
      </c>
      <c r="CO6" s="97">
        <v>1735.1999999999998</v>
      </c>
      <c r="CP6" s="97">
        <v>4</v>
      </c>
      <c r="CQ6" s="97">
        <v>2313.6</v>
      </c>
      <c r="CR6" s="97">
        <v>3</v>
      </c>
      <c r="CS6" s="97">
        <v>1735.1999999999998</v>
      </c>
      <c r="CT6" s="97">
        <v>3</v>
      </c>
      <c r="CU6" s="97">
        <v>1735.1999999999998</v>
      </c>
    </row>
    <row r="7" spans="1:99" x14ac:dyDescent="0.15">
      <c r="C7" s="96" t="s">
        <v>172</v>
      </c>
      <c r="D7" s="97">
        <v>57</v>
      </c>
      <c r="E7" s="97">
        <v>44938.799999999996</v>
      </c>
      <c r="F7" s="97">
        <v>70</v>
      </c>
      <c r="G7" s="97">
        <v>55188</v>
      </c>
      <c r="H7" s="97">
        <v>42</v>
      </c>
      <c r="I7" s="97">
        <v>33112.799999999996</v>
      </c>
      <c r="J7" s="97">
        <v>79</v>
      </c>
      <c r="K7" s="97">
        <v>62283.6</v>
      </c>
      <c r="L7" s="97">
        <v>25</v>
      </c>
      <c r="M7" s="97">
        <v>19710</v>
      </c>
      <c r="N7" s="97">
        <v>38</v>
      </c>
      <c r="O7" s="97">
        <v>29959.200000000001</v>
      </c>
      <c r="P7" s="97">
        <v>42</v>
      </c>
      <c r="Q7" s="97">
        <v>33112.799999999996</v>
      </c>
      <c r="R7" s="97">
        <v>28</v>
      </c>
      <c r="S7" s="97">
        <v>22075.200000000001</v>
      </c>
      <c r="T7" s="97">
        <v>17</v>
      </c>
      <c r="U7" s="97">
        <v>13402.8</v>
      </c>
      <c r="V7" s="97">
        <v>21</v>
      </c>
      <c r="W7" s="97">
        <v>16556.399999999998</v>
      </c>
      <c r="X7" s="97">
        <v>22</v>
      </c>
      <c r="Y7" s="97">
        <v>17344.8</v>
      </c>
      <c r="Z7" s="97">
        <v>17</v>
      </c>
      <c r="AA7" s="97">
        <v>13402.8</v>
      </c>
      <c r="AB7" s="97">
        <v>22</v>
      </c>
      <c r="AC7" s="97">
        <v>17344.8</v>
      </c>
      <c r="AD7" s="97">
        <v>12</v>
      </c>
      <c r="AE7" s="97">
        <v>9460.7999999999993</v>
      </c>
      <c r="AF7" s="97">
        <v>12</v>
      </c>
      <c r="AG7" s="97">
        <v>9460.7999999999993</v>
      </c>
      <c r="AH7" s="97">
        <v>19</v>
      </c>
      <c r="AI7" s="97">
        <v>14979.6</v>
      </c>
      <c r="AJ7" s="97">
        <v>12</v>
      </c>
      <c r="AK7" s="97">
        <v>9460.7999999999993</v>
      </c>
      <c r="AL7" s="97">
        <v>11</v>
      </c>
      <c r="AM7" s="97">
        <v>8672.4</v>
      </c>
      <c r="AN7" s="97">
        <v>14</v>
      </c>
      <c r="AO7" s="97">
        <v>11037.6</v>
      </c>
      <c r="AP7" s="97">
        <v>12</v>
      </c>
      <c r="AQ7" s="97">
        <v>9460.7999999999993</v>
      </c>
      <c r="AR7" s="97">
        <v>11</v>
      </c>
      <c r="AS7" s="97">
        <v>8672.4</v>
      </c>
      <c r="AT7" s="97">
        <v>12</v>
      </c>
      <c r="AU7" s="97">
        <v>9460.7999999999993</v>
      </c>
      <c r="AV7" s="97">
        <v>13</v>
      </c>
      <c r="AW7" s="97">
        <v>10249.199999999999</v>
      </c>
      <c r="AX7" s="97">
        <v>13</v>
      </c>
      <c r="AY7" s="97">
        <v>10249.199999999999</v>
      </c>
      <c r="AZ7" s="97">
        <v>8</v>
      </c>
      <c r="BA7" s="97">
        <v>6307.2</v>
      </c>
      <c r="BB7" s="97">
        <v>6</v>
      </c>
      <c r="BC7" s="97">
        <v>4730.3999999999996</v>
      </c>
      <c r="BD7" s="97">
        <v>7</v>
      </c>
      <c r="BE7" s="97">
        <v>5518.8</v>
      </c>
      <c r="BF7" s="97">
        <v>9</v>
      </c>
      <c r="BG7" s="97">
        <v>7095.5999999999995</v>
      </c>
      <c r="BH7" s="97">
        <v>7</v>
      </c>
      <c r="BI7" s="97">
        <v>5518.8</v>
      </c>
      <c r="BJ7" s="97">
        <v>5</v>
      </c>
      <c r="BK7" s="97">
        <v>3942</v>
      </c>
      <c r="BL7" s="97">
        <v>7</v>
      </c>
      <c r="BM7" s="97">
        <v>5518.8</v>
      </c>
      <c r="BN7" s="97">
        <v>5</v>
      </c>
      <c r="BO7" s="97">
        <v>3942</v>
      </c>
      <c r="BP7" s="97">
        <v>6</v>
      </c>
      <c r="BQ7" s="97">
        <v>4730.3999999999996</v>
      </c>
      <c r="BR7" s="97">
        <v>4</v>
      </c>
      <c r="BS7" s="97">
        <v>3153.6</v>
      </c>
      <c r="BT7" s="97">
        <v>4</v>
      </c>
      <c r="BU7" s="97">
        <v>3153.6</v>
      </c>
      <c r="BV7" s="97">
        <v>7</v>
      </c>
      <c r="BW7" s="97">
        <v>5518.8</v>
      </c>
      <c r="BX7" s="97">
        <v>4</v>
      </c>
      <c r="BY7" s="97">
        <v>3153.6</v>
      </c>
      <c r="BZ7" s="97">
        <v>4</v>
      </c>
      <c r="CA7" s="97">
        <v>3153.6</v>
      </c>
      <c r="CB7" s="97">
        <v>4</v>
      </c>
      <c r="CC7" s="97">
        <v>3153.6</v>
      </c>
      <c r="CD7" s="97">
        <v>5</v>
      </c>
      <c r="CE7" s="97">
        <v>3942</v>
      </c>
      <c r="CF7" s="97">
        <v>5</v>
      </c>
      <c r="CG7" s="97">
        <v>3942</v>
      </c>
      <c r="CH7" s="97">
        <v>3</v>
      </c>
      <c r="CI7" s="97">
        <v>2365.1999999999998</v>
      </c>
      <c r="CJ7" s="97">
        <v>5</v>
      </c>
      <c r="CK7" s="97">
        <v>3942</v>
      </c>
      <c r="CL7" s="97">
        <v>3</v>
      </c>
      <c r="CM7" s="97">
        <v>2365.1999999999998</v>
      </c>
      <c r="CN7" s="97">
        <v>3</v>
      </c>
      <c r="CO7" s="97">
        <v>2365.1999999999998</v>
      </c>
      <c r="CP7" s="97">
        <v>5</v>
      </c>
      <c r="CQ7" s="97">
        <v>3942</v>
      </c>
      <c r="CR7" s="97">
        <v>3</v>
      </c>
      <c r="CS7" s="97">
        <v>2365.1999999999998</v>
      </c>
      <c r="CT7" s="97">
        <v>2</v>
      </c>
      <c r="CU7" s="97">
        <v>1576.8</v>
      </c>
    </row>
    <row r="8" spans="1:99" x14ac:dyDescent="0.15">
      <c r="C8" s="96" t="s">
        <v>173</v>
      </c>
      <c r="D8" s="97">
        <v>57</v>
      </c>
      <c r="E8" s="97">
        <v>17647.199999999997</v>
      </c>
      <c r="F8" s="97">
        <v>70</v>
      </c>
      <c r="G8" s="97">
        <v>21671.999999999996</v>
      </c>
      <c r="H8" s="97">
        <v>48</v>
      </c>
      <c r="I8" s="97">
        <v>14860.8</v>
      </c>
      <c r="J8" s="97">
        <v>85</v>
      </c>
      <c r="K8" s="97">
        <v>26315.999999999996</v>
      </c>
      <c r="L8" s="97">
        <v>26</v>
      </c>
      <c r="M8" s="97">
        <v>8049.5999999999995</v>
      </c>
      <c r="N8" s="97">
        <v>38</v>
      </c>
      <c r="O8" s="97">
        <v>11764.8</v>
      </c>
      <c r="P8" s="97">
        <v>47</v>
      </c>
      <c r="Q8" s="97">
        <v>14551.199999999999</v>
      </c>
      <c r="R8" s="97">
        <v>26</v>
      </c>
      <c r="S8" s="97">
        <v>8049.5999999999995</v>
      </c>
      <c r="T8" s="97">
        <v>20</v>
      </c>
      <c r="U8" s="97">
        <v>6191.9999999999991</v>
      </c>
      <c r="V8" s="97">
        <v>21</v>
      </c>
      <c r="W8" s="97">
        <v>6501.5999999999995</v>
      </c>
      <c r="X8" s="97">
        <v>24</v>
      </c>
      <c r="Y8" s="97">
        <v>7430.4</v>
      </c>
      <c r="Z8" s="97">
        <v>21</v>
      </c>
      <c r="AA8" s="97">
        <v>6501.5999999999995</v>
      </c>
      <c r="AB8" s="97">
        <v>21</v>
      </c>
      <c r="AC8" s="97">
        <v>6501.5999999999995</v>
      </c>
      <c r="AD8" s="97">
        <v>14</v>
      </c>
      <c r="AE8" s="97">
        <v>4334.3999999999996</v>
      </c>
      <c r="AF8" s="97">
        <v>13</v>
      </c>
      <c r="AG8" s="97">
        <v>4024.7999999999997</v>
      </c>
      <c r="AH8" s="97">
        <v>19</v>
      </c>
      <c r="AI8" s="97">
        <v>5882.4</v>
      </c>
      <c r="AJ8" s="97">
        <v>11</v>
      </c>
      <c r="AK8" s="97">
        <v>3405.5999999999995</v>
      </c>
      <c r="AL8" s="97">
        <v>12</v>
      </c>
      <c r="AM8" s="97">
        <v>3715.2</v>
      </c>
      <c r="AN8" s="97">
        <v>13</v>
      </c>
      <c r="AO8" s="97">
        <v>4024.7999999999997</v>
      </c>
      <c r="AP8" s="97">
        <v>13</v>
      </c>
      <c r="AQ8" s="97">
        <v>4024.7999999999997</v>
      </c>
      <c r="AR8" s="97">
        <v>11</v>
      </c>
      <c r="AS8" s="97">
        <v>3405.5999999999995</v>
      </c>
      <c r="AT8" s="97">
        <v>12</v>
      </c>
      <c r="AU8" s="97">
        <v>3715.2</v>
      </c>
      <c r="AV8" s="97">
        <v>12</v>
      </c>
      <c r="AW8" s="97">
        <v>3715.2</v>
      </c>
      <c r="AX8" s="97">
        <v>13</v>
      </c>
      <c r="AY8" s="97">
        <v>4024.7999999999997</v>
      </c>
      <c r="AZ8" s="97">
        <v>7</v>
      </c>
      <c r="BA8" s="97">
        <v>2167.1999999999998</v>
      </c>
      <c r="BB8" s="97">
        <v>6</v>
      </c>
      <c r="BC8" s="97">
        <v>1857.6</v>
      </c>
      <c r="BD8" s="97">
        <v>7</v>
      </c>
      <c r="BE8" s="97">
        <v>2167.1999999999998</v>
      </c>
      <c r="BF8" s="97">
        <v>10</v>
      </c>
      <c r="BG8" s="97">
        <v>3095.9999999999995</v>
      </c>
      <c r="BH8" s="97">
        <v>7</v>
      </c>
      <c r="BI8" s="97">
        <v>2167.1999999999998</v>
      </c>
      <c r="BJ8" s="97">
        <v>5</v>
      </c>
      <c r="BK8" s="97">
        <v>1547.9999999999998</v>
      </c>
      <c r="BL8" s="97">
        <v>7</v>
      </c>
      <c r="BM8" s="97">
        <v>2167.1999999999998</v>
      </c>
      <c r="BN8" s="97">
        <v>5</v>
      </c>
      <c r="BO8" s="97">
        <v>1547.9999999999998</v>
      </c>
      <c r="BP8" s="97">
        <v>6</v>
      </c>
      <c r="BQ8" s="97">
        <v>1857.6</v>
      </c>
      <c r="BR8" s="97">
        <v>4</v>
      </c>
      <c r="BS8" s="97">
        <v>1238.3999999999999</v>
      </c>
      <c r="BT8" s="97">
        <v>4</v>
      </c>
      <c r="BU8" s="97">
        <v>1238.3999999999999</v>
      </c>
      <c r="BV8" s="97">
        <v>7</v>
      </c>
      <c r="BW8" s="97">
        <v>2167.1999999999998</v>
      </c>
      <c r="BX8" s="97">
        <v>4</v>
      </c>
      <c r="BY8" s="97">
        <v>1238.3999999999999</v>
      </c>
      <c r="BZ8" s="97">
        <v>4</v>
      </c>
      <c r="CA8" s="97">
        <v>1238.3999999999999</v>
      </c>
      <c r="CB8" s="97">
        <v>4</v>
      </c>
      <c r="CC8" s="97">
        <v>1238.3999999999999</v>
      </c>
      <c r="CD8" s="97">
        <v>5</v>
      </c>
      <c r="CE8" s="97">
        <v>1547.9999999999998</v>
      </c>
      <c r="CF8" s="97">
        <v>5</v>
      </c>
      <c r="CG8" s="97">
        <v>1547.9999999999998</v>
      </c>
      <c r="CH8" s="97">
        <v>4</v>
      </c>
      <c r="CI8" s="97">
        <v>1238.3999999999999</v>
      </c>
      <c r="CJ8" s="97">
        <v>6</v>
      </c>
      <c r="CK8" s="97">
        <v>1857.6</v>
      </c>
      <c r="CL8" s="97">
        <v>4</v>
      </c>
      <c r="CM8" s="97">
        <v>1238.3999999999999</v>
      </c>
      <c r="CN8" s="97">
        <v>3</v>
      </c>
      <c r="CO8" s="97">
        <v>928.8</v>
      </c>
      <c r="CP8" s="97">
        <v>5</v>
      </c>
      <c r="CQ8" s="97">
        <v>1547.9999999999998</v>
      </c>
      <c r="CR8" s="97">
        <v>3</v>
      </c>
      <c r="CS8" s="97">
        <v>928.8</v>
      </c>
      <c r="CT8" s="97">
        <v>3</v>
      </c>
      <c r="CU8" s="97">
        <v>928.8</v>
      </c>
    </row>
    <row r="9" spans="1:99" x14ac:dyDescent="0.15">
      <c r="C9" s="96" t="s">
        <v>174</v>
      </c>
      <c r="D9" s="97">
        <v>53</v>
      </c>
      <c r="E9" s="97">
        <v>37206</v>
      </c>
      <c r="F9" s="97">
        <v>64</v>
      </c>
      <c r="G9" s="97">
        <v>44928</v>
      </c>
      <c r="H9" s="97">
        <v>44</v>
      </c>
      <c r="I9" s="97">
        <v>30888</v>
      </c>
      <c r="J9" s="97">
        <v>72</v>
      </c>
      <c r="K9" s="97">
        <v>50544</v>
      </c>
      <c r="L9" s="97">
        <v>23</v>
      </c>
      <c r="M9" s="97">
        <v>16146</v>
      </c>
      <c r="N9" s="97">
        <v>38</v>
      </c>
      <c r="O9" s="97">
        <v>26676</v>
      </c>
      <c r="P9" s="97">
        <v>43</v>
      </c>
      <c r="Q9" s="97">
        <v>30186</v>
      </c>
      <c r="R9" s="97">
        <v>25</v>
      </c>
      <c r="S9" s="97">
        <v>17550</v>
      </c>
      <c r="T9" s="97">
        <v>20</v>
      </c>
      <c r="U9" s="97">
        <v>14040</v>
      </c>
      <c r="V9" s="97">
        <v>22</v>
      </c>
      <c r="W9" s="97">
        <v>15444</v>
      </c>
      <c r="X9" s="97">
        <v>22</v>
      </c>
      <c r="Y9" s="97">
        <v>15444</v>
      </c>
      <c r="Z9" s="97">
        <v>18</v>
      </c>
      <c r="AA9" s="97">
        <v>12636</v>
      </c>
      <c r="AB9" s="97">
        <v>24</v>
      </c>
      <c r="AC9" s="97">
        <v>16848</v>
      </c>
      <c r="AD9" s="97">
        <v>12</v>
      </c>
      <c r="AE9" s="97">
        <v>8424</v>
      </c>
      <c r="AF9" s="97">
        <v>12</v>
      </c>
      <c r="AG9" s="97">
        <v>8424</v>
      </c>
      <c r="AH9" s="97">
        <v>18</v>
      </c>
      <c r="AI9" s="97">
        <v>12636</v>
      </c>
      <c r="AJ9" s="97">
        <v>12</v>
      </c>
      <c r="AK9" s="97">
        <v>8424</v>
      </c>
      <c r="AL9" s="97">
        <v>12</v>
      </c>
      <c r="AM9" s="97">
        <v>8424</v>
      </c>
      <c r="AN9" s="97">
        <v>13</v>
      </c>
      <c r="AO9" s="97">
        <v>9126</v>
      </c>
      <c r="AP9" s="97">
        <v>15</v>
      </c>
      <c r="AQ9" s="97">
        <v>10530</v>
      </c>
      <c r="AR9" s="97">
        <v>12</v>
      </c>
      <c r="AS9" s="97">
        <v>8424</v>
      </c>
      <c r="AT9" s="97">
        <v>13</v>
      </c>
      <c r="AU9" s="97">
        <v>9126</v>
      </c>
      <c r="AV9" s="97">
        <v>12</v>
      </c>
      <c r="AW9" s="97">
        <v>8424</v>
      </c>
      <c r="AX9" s="97">
        <v>12</v>
      </c>
      <c r="AY9" s="97">
        <v>8424</v>
      </c>
      <c r="AZ9" s="97">
        <v>7</v>
      </c>
      <c r="BA9" s="97">
        <v>4914</v>
      </c>
      <c r="BB9" s="97">
        <v>7</v>
      </c>
      <c r="BC9" s="97">
        <v>4914</v>
      </c>
      <c r="BD9" s="97">
        <v>7</v>
      </c>
      <c r="BE9" s="97">
        <v>4914</v>
      </c>
      <c r="BF9" s="97">
        <v>10</v>
      </c>
      <c r="BG9" s="97">
        <v>7020</v>
      </c>
      <c r="BH9" s="97">
        <v>6</v>
      </c>
      <c r="BI9" s="97">
        <v>4212</v>
      </c>
      <c r="BJ9" s="97">
        <v>5</v>
      </c>
      <c r="BK9" s="97">
        <v>3510</v>
      </c>
      <c r="BL9" s="97">
        <v>7</v>
      </c>
      <c r="BM9" s="97">
        <v>4914</v>
      </c>
      <c r="BN9" s="97">
        <v>5</v>
      </c>
      <c r="BO9" s="97">
        <v>3510</v>
      </c>
      <c r="BP9" s="97">
        <v>7</v>
      </c>
      <c r="BQ9" s="97">
        <v>4914</v>
      </c>
      <c r="BR9" s="97">
        <v>4</v>
      </c>
      <c r="BS9" s="97">
        <v>2808</v>
      </c>
      <c r="BT9" s="97">
        <v>4</v>
      </c>
      <c r="BU9" s="97">
        <v>2808</v>
      </c>
      <c r="BV9" s="97">
        <v>8</v>
      </c>
      <c r="BW9" s="97">
        <v>5616</v>
      </c>
      <c r="BX9" s="97">
        <v>4</v>
      </c>
      <c r="BY9" s="97">
        <v>2808</v>
      </c>
      <c r="BZ9" s="97">
        <v>3</v>
      </c>
      <c r="CA9" s="97">
        <v>2106</v>
      </c>
      <c r="CB9" s="97">
        <v>4</v>
      </c>
      <c r="CC9" s="97">
        <v>2808</v>
      </c>
      <c r="CD9" s="97">
        <v>5</v>
      </c>
      <c r="CE9" s="97">
        <v>3510</v>
      </c>
      <c r="CF9" s="97">
        <v>4</v>
      </c>
      <c r="CG9" s="97">
        <v>2808</v>
      </c>
      <c r="CH9" s="97">
        <v>4</v>
      </c>
      <c r="CI9" s="97">
        <v>2808</v>
      </c>
      <c r="CJ9" s="97">
        <v>5</v>
      </c>
      <c r="CK9" s="97">
        <v>3510</v>
      </c>
      <c r="CL9" s="97">
        <v>4</v>
      </c>
      <c r="CM9" s="97">
        <v>2808</v>
      </c>
      <c r="CN9" s="97">
        <v>3</v>
      </c>
      <c r="CO9" s="97">
        <v>2106</v>
      </c>
      <c r="CP9" s="97">
        <v>4</v>
      </c>
      <c r="CQ9" s="97">
        <v>2808</v>
      </c>
      <c r="CR9" s="97">
        <v>3</v>
      </c>
      <c r="CS9" s="97">
        <v>2106</v>
      </c>
      <c r="CT9" s="97">
        <v>3</v>
      </c>
      <c r="CU9" s="97">
        <v>2106</v>
      </c>
    </row>
    <row r="10" spans="1:99" x14ac:dyDescent="0.15">
      <c r="C10" s="96" t="s">
        <v>175</v>
      </c>
      <c r="D10" s="97">
        <v>56</v>
      </c>
      <c r="E10" s="97">
        <v>30508.799999999996</v>
      </c>
      <c r="F10" s="97">
        <v>77</v>
      </c>
      <c r="G10" s="97">
        <v>41949.599999999999</v>
      </c>
      <c r="H10" s="97">
        <v>47</v>
      </c>
      <c r="I10" s="97">
        <v>25605.599999999999</v>
      </c>
      <c r="J10" s="97">
        <v>73</v>
      </c>
      <c r="K10" s="97">
        <v>39770.399999999994</v>
      </c>
      <c r="L10" s="97">
        <v>22</v>
      </c>
      <c r="M10" s="97">
        <v>11985.599999999999</v>
      </c>
      <c r="N10" s="97">
        <v>33</v>
      </c>
      <c r="O10" s="97">
        <v>17978.399999999998</v>
      </c>
      <c r="P10" s="97">
        <v>44</v>
      </c>
      <c r="Q10" s="97">
        <v>23971.199999999997</v>
      </c>
      <c r="R10" s="97">
        <v>29</v>
      </c>
      <c r="S10" s="97">
        <v>15799.199999999999</v>
      </c>
      <c r="T10" s="97">
        <v>18</v>
      </c>
      <c r="U10" s="97">
        <v>9806.4</v>
      </c>
      <c r="V10" s="97">
        <v>22</v>
      </c>
      <c r="W10" s="97">
        <v>11985.599999999999</v>
      </c>
      <c r="X10" s="97">
        <v>24</v>
      </c>
      <c r="Y10" s="97">
        <v>13075.199999999999</v>
      </c>
      <c r="Z10" s="97">
        <v>17</v>
      </c>
      <c r="AA10" s="97">
        <v>9261.5999999999985</v>
      </c>
      <c r="AB10" s="97">
        <v>24</v>
      </c>
      <c r="AC10" s="97">
        <v>13075.199999999999</v>
      </c>
      <c r="AD10" s="97">
        <v>12</v>
      </c>
      <c r="AE10" s="97">
        <v>6537.5999999999995</v>
      </c>
      <c r="AF10" s="97">
        <v>12</v>
      </c>
      <c r="AG10" s="97">
        <v>6537.5999999999995</v>
      </c>
      <c r="AH10" s="97">
        <v>18</v>
      </c>
      <c r="AI10" s="97">
        <v>9806.4</v>
      </c>
      <c r="AJ10" s="97">
        <v>13</v>
      </c>
      <c r="AK10" s="97">
        <v>7082.4</v>
      </c>
      <c r="AL10" s="97">
        <v>12</v>
      </c>
      <c r="AM10" s="97">
        <v>6537.5999999999995</v>
      </c>
      <c r="AN10" s="97">
        <v>14</v>
      </c>
      <c r="AO10" s="97">
        <v>7627.1999999999989</v>
      </c>
      <c r="AP10" s="97">
        <v>13</v>
      </c>
      <c r="AQ10" s="97">
        <v>7082.4</v>
      </c>
      <c r="AR10" s="97">
        <v>12</v>
      </c>
      <c r="AS10" s="97">
        <v>6537.5999999999995</v>
      </c>
      <c r="AT10" s="97">
        <v>12</v>
      </c>
      <c r="AU10" s="97">
        <v>6537.5999999999995</v>
      </c>
      <c r="AV10" s="97">
        <v>14</v>
      </c>
      <c r="AW10" s="97">
        <v>7627.1999999999989</v>
      </c>
      <c r="AX10" s="97">
        <v>11</v>
      </c>
      <c r="AY10" s="97">
        <v>5992.7999999999993</v>
      </c>
      <c r="AZ10" s="97">
        <v>8</v>
      </c>
      <c r="BA10" s="97">
        <v>4358.3999999999996</v>
      </c>
      <c r="BB10" s="97">
        <v>6</v>
      </c>
      <c r="BC10" s="97">
        <v>3268.7999999999997</v>
      </c>
      <c r="BD10" s="97">
        <v>7</v>
      </c>
      <c r="BE10" s="97">
        <v>3813.5999999999995</v>
      </c>
      <c r="BF10" s="97">
        <v>9</v>
      </c>
      <c r="BG10" s="97">
        <v>4903.2</v>
      </c>
      <c r="BH10" s="97">
        <v>7</v>
      </c>
      <c r="BI10" s="97">
        <v>3813.5999999999995</v>
      </c>
      <c r="BJ10" s="97">
        <v>5</v>
      </c>
      <c r="BK10" s="97">
        <v>2724</v>
      </c>
      <c r="BL10" s="97">
        <v>7</v>
      </c>
      <c r="BM10" s="97">
        <v>3813.5999999999995</v>
      </c>
      <c r="BN10" s="97">
        <v>5</v>
      </c>
      <c r="BO10" s="97">
        <v>2724</v>
      </c>
      <c r="BP10" s="97">
        <v>6</v>
      </c>
      <c r="BQ10" s="97">
        <v>3268.7999999999997</v>
      </c>
      <c r="BR10" s="97">
        <v>4</v>
      </c>
      <c r="BS10" s="97">
        <v>2179.1999999999998</v>
      </c>
      <c r="BT10" s="97">
        <v>4</v>
      </c>
      <c r="BU10" s="97">
        <v>2179.1999999999998</v>
      </c>
      <c r="BV10" s="97">
        <v>7</v>
      </c>
      <c r="BW10" s="97">
        <v>3813.5999999999995</v>
      </c>
      <c r="BX10" s="97">
        <v>4</v>
      </c>
      <c r="BY10" s="97">
        <v>2179.1999999999998</v>
      </c>
      <c r="BZ10" s="97">
        <v>4</v>
      </c>
      <c r="CA10" s="97">
        <v>2179.1999999999998</v>
      </c>
      <c r="CB10" s="97">
        <v>4</v>
      </c>
      <c r="CC10" s="97">
        <v>2179.1999999999998</v>
      </c>
      <c r="CD10" s="97">
        <v>5</v>
      </c>
      <c r="CE10" s="97">
        <v>2724</v>
      </c>
      <c r="CF10" s="97">
        <v>5</v>
      </c>
      <c r="CG10" s="97">
        <v>2724</v>
      </c>
      <c r="CH10" s="97">
        <v>3</v>
      </c>
      <c r="CI10" s="97">
        <v>1634.3999999999999</v>
      </c>
      <c r="CJ10" s="97">
        <v>5</v>
      </c>
      <c r="CK10" s="97">
        <v>2724</v>
      </c>
      <c r="CL10" s="97">
        <v>4</v>
      </c>
      <c r="CM10" s="97">
        <v>2179.1999999999998</v>
      </c>
      <c r="CN10" s="97">
        <v>3</v>
      </c>
      <c r="CO10" s="97">
        <v>1634.3999999999999</v>
      </c>
      <c r="CP10" s="97">
        <v>5</v>
      </c>
      <c r="CQ10" s="97">
        <v>2724</v>
      </c>
      <c r="CR10" s="97">
        <v>3</v>
      </c>
      <c r="CS10" s="97">
        <v>1634.3999999999999</v>
      </c>
      <c r="CT10" s="97">
        <v>3</v>
      </c>
      <c r="CU10" s="97">
        <v>1634.3999999999999</v>
      </c>
    </row>
    <row r="11" spans="1:99" x14ac:dyDescent="0.15">
      <c r="C11" s="96" t="s">
        <v>176</v>
      </c>
      <c r="D11" s="97">
        <v>55</v>
      </c>
      <c r="E11" s="97">
        <v>29303.999999999996</v>
      </c>
      <c r="F11" s="97">
        <v>73</v>
      </c>
      <c r="G11" s="97">
        <v>38894.399999999994</v>
      </c>
      <c r="H11" s="97">
        <v>44</v>
      </c>
      <c r="I11" s="97">
        <v>23443.199999999997</v>
      </c>
      <c r="J11" s="97">
        <v>82</v>
      </c>
      <c r="K11" s="97">
        <v>43689.599999999999</v>
      </c>
      <c r="L11" s="97">
        <v>25</v>
      </c>
      <c r="M11" s="97">
        <v>13319.999999999998</v>
      </c>
      <c r="N11" s="97">
        <v>33</v>
      </c>
      <c r="O11" s="97">
        <v>17582.399999999998</v>
      </c>
      <c r="P11" s="97">
        <v>46</v>
      </c>
      <c r="Q11" s="97">
        <v>24508.799999999999</v>
      </c>
      <c r="R11" s="97">
        <v>24</v>
      </c>
      <c r="S11" s="97">
        <v>12787.199999999999</v>
      </c>
      <c r="T11" s="97">
        <v>20</v>
      </c>
      <c r="U11" s="97">
        <v>10656</v>
      </c>
      <c r="V11" s="97">
        <v>22</v>
      </c>
      <c r="W11" s="97">
        <v>11721.599999999999</v>
      </c>
      <c r="X11" s="97">
        <v>22</v>
      </c>
      <c r="Y11" s="97">
        <v>11721.599999999999</v>
      </c>
      <c r="Z11" s="97">
        <v>20</v>
      </c>
      <c r="AA11" s="97">
        <v>10656</v>
      </c>
      <c r="AB11" s="97">
        <v>23</v>
      </c>
      <c r="AC11" s="97">
        <v>12254.4</v>
      </c>
      <c r="AD11" s="97">
        <v>12</v>
      </c>
      <c r="AE11" s="97">
        <v>6393.5999999999995</v>
      </c>
      <c r="AF11" s="97">
        <v>13</v>
      </c>
      <c r="AG11" s="97">
        <v>6926.4</v>
      </c>
      <c r="AH11" s="97">
        <v>19</v>
      </c>
      <c r="AI11" s="97">
        <v>10123.199999999999</v>
      </c>
      <c r="AJ11" s="97">
        <v>11</v>
      </c>
      <c r="AK11" s="97">
        <v>5860.7999999999993</v>
      </c>
      <c r="AL11" s="97">
        <v>11</v>
      </c>
      <c r="AM11" s="97">
        <v>5860.7999999999993</v>
      </c>
      <c r="AN11" s="97">
        <v>13</v>
      </c>
      <c r="AO11" s="97">
        <v>6926.4</v>
      </c>
      <c r="AP11" s="97">
        <v>14</v>
      </c>
      <c r="AQ11" s="97">
        <v>7459.1999999999989</v>
      </c>
      <c r="AR11" s="97">
        <v>12</v>
      </c>
      <c r="AS11" s="97">
        <v>6393.5999999999995</v>
      </c>
      <c r="AT11" s="97">
        <v>13</v>
      </c>
      <c r="AU11" s="97">
        <v>6926.4</v>
      </c>
      <c r="AV11" s="97">
        <v>12</v>
      </c>
      <c r="AW11" s="97">
        <v>6393.5999999999995</v>
      </c>
      <c r="AX11" s="97">
        <v>13</v>
      </c>
      <c r="AY11" s="97">
        <v>6926.4</v>
      </c>
      <c r="AZ11" s="97">
        <v>7</v>
      </c>
      <c r="BA11" s="97">
        <v>3729.5999999999995</v>
      </c>
      <c r="BB11" s="97">
        <v>7</v>
      </c>
      <c r="BC11" s="97">
        <v>3729.5999999999995</v>
      </c>
      <c r="BD11" s="97">
        <v>8</v>
      </c>
      <c r="BE11" s="97">
        <v>4262.3999999999996</v>
      </c>
      <c r="BF11" s="97">
        <v>10</v>
      </c>
      <c r="BG11" s="97">
        <v>5328</v>
      </c>
      <c r="BH11" s="97">
        <v>7</v>
      </c>
      <c r="BI11" s="97">
        <v>3729.5999999999995</v>
      </c>
      <c r="BJ11" s="97">
        <v>5</v>
      </c>
      <c r="BK11" s="97">
        <v>2664</v>
      </c>
      <c r="BL11" s="97">
        <v>7</v>
      </c>
      <c r="BM11" s="97">
        <v>3729.5999999999995</v>
      </c>
      <c r="BN11" s="97">
        <v>5</v>
      </c>
      <c r="BO11" s="97">
        <v>2664</v>
      </c>
      <c r="BP11" s="97">
        <v>7</v>
      </c>
      <c r="BQ11" s="97">
        <v>3729.5999999999995</v>
      </c>
      <c r="BR11" s="97">
        <v>4</v>
      </c>
      <c r="BS11" s="97">
        <v>2131.1999999999998</v>
      </c>
      <c r="BT11" s="97">
        <v>4</v>
      </c>
      <c r="BU11" s="97">
        <v>2131.1999999999998</v>
      </c>
      <c r="BV11" s="97">
        <v>7</v>
      </c>
      <c r="BW11" s="97">
        <v>3729.5999999999995</v>
      </c>
      <c r="BX11" s="97">
        <v>4</v>
      </c>
      <c r="BY11" s="97">
        <v>2131.1999999999998</v>
      </c>
      <c r="BZ11" s="97">
        <v>4</v>
      </c>
      <c r="CA11" s="97">
        <v>2131.1999999999998</v>
      </c>
      <c r="CB11" s="97">
        <v>4</v>
      </c>
      <c r="CC11" s="97">
        <v>2131.1999999999998</v>
      </c>
      <c r="CD11" s="97">
        <v>5</v>
      </c>
      <c r="CE11" s="97">
        <v>2664</v>
      </c>
      <c r="CF11" s="97">
        <v>5</v>
      </c>
      <c r="CG11" s="97">
        <v>2664</v>
      </c>
      <c r="CH11" s="97">
        <v>3</v>
      </c>
      <c r="CI11" s="97">
        <v>1598.3999999999999</v>
      </c>
      <c r="CJ11" s="97">
        <v>6</v>
      </c>
      <c r="CK11" s="97">
        <v>3196.7999999999997</v>
      </c>
      <c r="CL11" s="97">
        <v>4</v>
      </c>
      <c r="CM11" s="97">
        <v>2131.1999999999998</v>
      </c>
      <c r="CN11" s="97">
        <v>3</v>
      </c>
      <c r="CO11" s="97">
        <v>1598.3999999999999</v>
      </c>
      <c r="CP11" s="97">
        <v>5</v>
      </c>
      <c r="CQ11" s="97">
        <v>2664</v>
      </c>
      <c r="CR11" s="97">
        <v>3</v>
      </c>
      <c r="CS11" s="97">
        <v>1598.3999999999999</v>
      </c>
      <c r="CT11" s="97">
        <v>2</v>
      </c>
      <c r="CU11" s="97">
        <v>1065.5999999999999</v>
      </c>
    </row>
    <row r="12" spans="1:99" x14ac:dyDescent="0.15">
      <c r="C12" s="96" t="s">
        <v>177</v>
      </c>
      <c r="D12" s="97">
        <v>60</v>
      </c>
      <c r="E12" s="97">
        <v>33768</v>
      </c>
      <c r="F12" s="97">
        <v>71</v>
      </c>
      <c r="G12" s="97">
        <v>39958.799999999996</v>
      </c>
      <c r="H12" s="97">
        <v>43</v>
      </c>
      <c r="I12" s="97">
        <v>24200.399999999998</v>
      </c>
      <c r="J12" s="97">
        <v>81</v>
      </c>
      <c r="K12" s="97">
        <v>45586.799999999996</v>
      </c>
      <c r="L12" s="97">
        <v>27</v>
      </c>
      <c r="M12" s="97">
        <v>15195.599999999999</v>
      </c>
      <c r="N12" s="97">
        <v>33</v>
      </c>
      <c r="O12" s="97">
        <v>18572.399999999998</v>
      </c>
      <c r="P12" s="97">
        <v>39</v>
      </c>
      <c r="Q12" s="97">
        <v>21949.199999999997</v>
      </c>
      <c r="R12" s="97">
        <v>29</v>
      </c>
      <c r="S12" s="97">
        <v>16321.199999999999</v>
      </c>
      <c r="T12" s="97">
        <v>20</v>
      </c>
      <c r="U12" s="97">
        <v>11256</v>
      </c>
      <c r="V12" s="97">
        <v>24</v>
      </c>
      <c r="W12" s="97">
        <v>13507.199999999999</v>
      </c>
      <c r="X12" s="97">
        <v>22</v>
      </c>
      <c r="Y12" s="97">
        <v>12381.599999999999</v>
      </c>
      <c r="Z12" s="97">
        <v>18</v>
      </c>
      <c r="AA12" s="97">
        <v>10130.4</v>
      </c>
      <c r="AB12" s="97">
        <v>24</v>
      </c>
      <c r="AC12" s="97">
        <v>13507.199999999999</v>
      </c>
      <c r="AD12" s="97">
        <v>13</v>
      </c>
      <c r="AE12" s="97">
        <v>7316.4</v>
      </c>
      <c r="AF12" s="97">
        <v>11</v>
      </c>
      <c r="AG12" s="97">
        <v>6190.7999999999993</v>
      </c>
      <c r="AH12" s="97">
        <v>21</v>
      </c>
      <c r="AI12" s="97">
        <v>11818.8</v>
      </c>
      <c r="AJ12" s="97">
        <v>11</v>
      </c>
      <c r="AK12" s="97">
        <v>6190.7999999999993</v>
      </c>
      <c r="AL12" s="97">
        <v>12</v>
      </c>
      <c r="AM12" s="97">
        <v>6753.5999999999995</v>
      </c>
      <c r="AN12" s="97">
        <v>14</v>
      </c>
      <c r="AO12" s="97">
        <v>7879.1999999999989</v>
      </c>
      <c r="AP12" s="97">
        <v>13</v>
      </c>
      <c r="AQ12" s="97">
        <v>7316.4</v>
      </c>
      <c r="AR12" s="97">
        <v>11</v>
      </c>
      <c r="AS12" s="97">
        <v>6190.7999999999993</v>
      </c>
      <c r="AT12" s="97">
        <v>13</v>
      </c>
      <c r="AU12" s="97">
        <v>7316.4</v>
      </c>
      <c r="AV12" s="97">
        <v>12</v>
      </c>
      <c r="AW12" s="97">
        <v>6753.5999999999995</v>
      </c>
      <c r="AX12" s="97">
        <v>12</v>
      </c>
      <c r="AY12" s="97">
        <v>6753.5999999999995</v>
      </c>
      <c r="AZ12" s="97">
        <v>7</v>
      </c>
      <c r="BA12" s="97">
        <v>3939.5999999999995</v>
      </c>
      <c r="BB12" s="97">
        <v>7</v>
      </c>
      <c r="BC12" s="97">
        <v>3939.5999999999995</v>
      </c>
      <c r="BD12" s="97">
        <v>8</v>
      </c>
      <c r="BE12" s="97">
        <v>4502.3999999999996</v>
      </c>
      <c r="BF12" s="97">
        <v>10</v>
      </c>
      <c r="BG12" s="97">
        <v>5628</v>
      </c>
      <c r="BH12" s="97">
        <v>6</v>
      </c>
      <c r="BI12" s="97">
        <v>3376.7999999999997</v>
      </c>
      <c r="BJ12" s="97">
        <v>5</v>
      </c>
      <c r="BK12" s="97">
        <v>2814</v>
      </c>
      <c r="BL12" s="97">
        <v>7</v>
      </c>
      <c r="BM12" s="97">
        <v>3939.5999999999995</v>
      </c>
      <c r="BN12" s="97">
        <v>5</v>
      </c>
      <c r="BO12" s="97">
        <v>2814</v>
      </c>
      <c r="BP12" s="97">
        <v>6</v>
      </c>
      <c r="BQ12" s="97">
        <v>3376.7999999999997</v>
      </c>
      <c r="BR12" s="97">
        <v>4</v>
      </c>
      <c r="BS12" s="97">
        <v>2251.1999999999998</v>
      </c>
      <c r="BT12" s="97">
        <v>4</v>
      </c>
      <c r="BU12" s="97">
        <v>2251.1999999999998</v>
      </c>
      <c r="BV12" s="97">
        <v>7</v>
      </c>
      <c r="BW12" s="97">
        <v>3939.5999999999995</v>
      </c>
      <c r="BX12" s="97">
        <v>4</v>
      </c>
      <c r="BY12" s="97">
        <v>2251.1999999999998</v>
      </c>
      <c r="BZ12" s="97">
        <v>4</v>
      </c>
      <c r="CA12" s="97">
        <v>2251.1999999999998</v>
      </c>
      <c r="CB12" s="97">
        <v>4</v>
      </c>
      <c r="CC12" s="97">
        <v>2251.1999999999998</v>
      </c>
      <c r="CD12" s="97">
        <v>5</v>
      </c>
      <c r="CE12" s="97">
        <v>2814</v>
      </c>
      <c r="CF12" s="97">
        <v>5</v>
      </c>
      <c r="CG12" s="97">
        <v>2814</v>
      </c>
      <c r="CH12" s="97">
        <v>4</v>
      </c>
      <c r="CI12" s="97">
        <v>2251.1999999999998</v>
      </c>
      <c r="CJ12" s="97">
        <v>5</v>
      </c>
      <c r="CK12" s="97">
        <v>2814</v>
      </c>
      <c r="CL12" s="97">
        <v>4</v>
      </c>
      <c r="CM12" s="97">
        <v>2251.1999999999998</v>
      </c>
      <c r="CN12" s="97">
        <v>3</v>
      </c>
      <c r="CO12" s="97">
        <v>1688.3999999999999</v>
      </c>
      <c r="CP12" s="97">
        <v>5</v>
      </c>
      <c r="CQ12" s="97">
        <v>2814</v>
      </c>
      <c r="CR12" s="97">
        <v>3</v>
      </c>
      <c r="CS12" s="97">
        <v>1688.3999999999999</v>
      </c>
      <c r="CT12" s="97">
        <v>3</v>
      </c>
      <c r="CU12" s="97">
        <v>1688.3999999999999</v>
      </c>
    </row>
    <row r="13" spans="1:99" x14ac:dyDescent="0.15">
      <c r="C13" s="96" t="s">
        <v>178</v>
      </c>
      <c r="D13" s="97">
        <v>65</v>
      </c>
      <c r="E13" s="97">
        <v>5538</v>
      </c>
      <c r="F13" s="97">
        <v>75</v>
      </c>
      <c r="G13" s="97">
        <v>6390</v>
      </c>
      <c r="H13" s="97">
        <v>50</v>
      </c>
      <c r="I13" s="97">
        <v>4260</v>
      </c>
      <c r="J13" s="97">
        <v>85</v>
      </c>
      <c r="K13" s="97">
        <v>7242</v>
      </c>
      <c r="L13" s="97">
        <v>28</v>
      </c>
      <c r="M13" s="97">
        <v>2385.6</v>
      </c>
      <c r="N13" s="97">
        <v>42</v>
      </c>
      <c r="O13" s="97">
        <v>3578.4</v>
      </c>
      <c r="P13" s="97">
        <v>44</v>
      </c>
      <c r="Q13" s="97">
        <v>3748.8</v>
      </c>
      <c r="R13" s="97">
        <v>26</v>
      </c>
      <c r="S13" s="97">
        <v>2215.2000000000003</v>
      </c>
      <c r="T13" s="97">
        <v>20</v>
      </c>
      <c r="U13" s="97">
        <v>1704</v>
      </c>
      <c r="V13" s="97">
        <v>25</v>
      </c>
      <c r="W13" s="97">
        <v>2130</v>
      </c>
      <c r="X13" s="97">
        <v>23</v>
      </c>
      <c r="Y13" s="97">
        <v>1959.6000000000001</v>
      </c>
      <c r="Z13" s="97">
        <v>18</v>
      </c>
      <c r="AA13" s="97">
        <v>1533.6000000000001</v>
      </c>
      <c r="AB13" s="97">
        <v>24</v>
      </c>
      <c r="AC13" s="97">
        <v>2044.8000000000002</v>
      </c>
      <c r="AD13" s="97">
        <v>14</v>
      </c>
      <c r="AE13" s="97">
        <v>1192.8</v>
      </c>
      <c r="AF13" s="97">
        <v>14</v>
      </c>
      <c r="AG13" s="97">
        <v>1192.8</v>
      </c>
      <c r="AH13" s="97">
        <v>19</v>
      </c>
      <c r="AI13" s="97">
        <v>1618.8</v>
      </c>
      <c r="AJ13" s="97">
        <v>14</v>
      </c>
      <c r="AK13" s="97">
        <v>1192.8</v>
      </c>
      <c r="AL13" s="97">
        <v>13</v>
      </c>
      <c r="AM13" s="97">
        <v>1107.6000000000001</v>
      </c>
      <c r="AN13" s="97">
        <v>15</v>
      </c>
      <c r="AO13" s="97">
        <v>1278</v>
      </c>
      <c r="AP13" s="97">
        <v>14</v>
      </c>
      <c r="AQ13" s="97">
        <v>1192.8</v>
      </c>
      <c r="AR13" s="97">
        <v>13</v>
      </c>
      <c r="AS13" s="97">
        <v>1107.6000000000001</v>
      </c>
      <c r="AT13" s="97">
        <v>13</v>
      </c>
      <c r="AU13" s="97">
        <v>1107.6000000000001</v>
      </c>
      <c r="AV13" s="97">
        <v>13</v>
      </c>
      <c r="AW13" s="97">
        <v>1107.6000000000001</v>
      </c>
      <c r="AX13" s="97">
        <v>11</v>
      </c>
      <c r="AY13" s="97">
        <v>937.2</v>
      </c>
      <c r="AZ13" s="97">
        <v>8</v>
      </c>
      <c r="BA13" s="97">
        <v>681.6</v>
      </c>
      <c r="BB13" s="97">
        <v>7</v>
      </c>
      <c r="BC13" s="97">
        <v>596.4</v>
      </c>
      <c r="BD13" s="97">
        <v>8</v>
      </c>
      <c r="BE13" s="97">
        <v>681.6</v>
      </c>
      <c r="BF13" s="97">
        <v>11</v>
      </c>
      <c r="BG13" s="97">
        <v>937.2</v>
      </c>
      <c r="BH13" s="97">
        <v>8</v>
      </c>
      <c r="BI13" s="97">
        <v>681.6</v>
      </c>
      <c r="BJ13" s="97">
        <v>5</v>
      </c>
      <c r="BK13" s="97">
        <v>426</v>
      </c>
      <c r="BL13" s="97">
        <v>8</v>
      </c>
      <c r="BM13" s="97">
        <v>681.6</v>
      </c>
      <c r="BN13" s="97">
        <v>4</v>
      </c>
      <c r="BO13" s="97">
        <v>340.8</v>
      </c>
      <c r="BP13" s="97">
        <v>6</v>
      </c>
      <c r="BQ13" s="97">
        <v>511.20000000000005</v>
      </c>
      <c r="BR13" s="97">
        <v>4</v>
      </c>
      <c r="BS13" s="97">
        <v>340.8</v>
      </c>
      <c r="BT13" s="97">
        <v>4</v>
      </c>
      <c r="BU13" s="97">
        <v>340.8</v>
      </c>
      <c r="BV13" s="97">
        <v>8</v>
      </c>
      <c r="BW13" s="97">
        <v>681.6</v>
      </c>
      <c r="BX13" s="97">
        <v>4</v>
      </c>
      <c r="BY13" s="97">
        <v>340.8</v>
      </c>
      <c r="BZ13" s="97">
        <v>4</v>
      </c>
      <c r="CA13" s="97">
        <v>340.8</v>
      </c>
      <c r="CB13" s="97">
        <v>4</v>
      </c>
      <c r="CC13" s="97">
        <v>340.8</v>
      </c>
      <c r="CD13" s="97">
        <v>5</v>
      </c>
      <c r="CE13" s="97">
        <v>426</v>
      </c>
      <c r="CF13" s="97">
        <v>5</v>
      </c>
      <c r="CG13" s="97">
        <v>426</v>
      </c>
      <c r="CH13" s="97">
        <v>4</v>
      </c>
      <c r="CI13" s="97">
        <v>340.8</v>
      </c>
      <c r="CJ13" s="97">
        <v>5</v>
      </c>
      <c r="CK13" s="97">
        <v>426</v>
      </c>
      <c r="CL13" s="97">
        <v>4</v>
      </c>
      <c r="CM13" s="97">
        <v>340.8</v>
      </c>
      <c r="CN13" s="97">
        <v>3</v>
      </c>
      <c r="CO13" s="97">
        <v>255.60000000000002</v>
      </c>
      <c r="CP13" s="97">
        <v>5</v>
      </c>
      <c r="CQ13" s="97">
        <v>426</v>
      </c>
      <c r="CR13" s="97">
        <v>3</v>
      </c>
      <c r="CS13" s="97">
        <v>255.60000000000002</v>
      </c>
      <c r="CT13" s="97">
        <v>3</v>
      </c>
      <c r="CU13" s="97">
        <v>255.60000000000002</v>
      </c>
    </row>
    <row r="14" spans="1:99" x14ac:dyDescent="0.15">
      <c r="C14" s="96" t="s">
        <v>179</v>
      </c>
      <c r="D14" s="97">
        <v>53</v>
      </c>
      <c r="E14" s="97">
        <v>25885.199999999997</v>
      </c>
      <c r="F14" s="97">
        <v>72</v>
      </c>
      <c r="G14" s="97">
        <v>35164.799999999996</v>
      </c>
      <c r="H14" s="97">
        <v>44</v>
      </c>
      <c r="I14" s="97">
        <v>21489.599999999999</v>
      </c>
      <c r="J14" s="97">
        <v>83</v>
      </c>
      <c r="K14" s="97">
        <v>40537.199999999997</v>
      </c>
      <c r="L14" s="97">
        <v>25</v>
      </c>
      <c r="M14" s="97">
        <v>12210</v>
      </c>
      <c r="N14" s="97">
        <v>36</v>
      </c>
      <c r="O14" s="97">
        <v>17582.399999999998</v>
      </c>
      <c r="P14" s="97">
        <v>46</v>
      </c>
      <c r="Q14" s="97">
        <v>22466.399999999998</v>
      </c>
      <c r="R14" s="97">
        <v>28</v>
      </c>
      <c r="S14" s="97">
        <v>13675.199999999999</v>
      </c>
      <c r="T14" s="97">
        <v>21</v>
      </c>
      <c r="U14" s="97">
        <v>10256.4</v>
      </c>
      <c r="V14" s="97">
        <v>20</v>
      </c>
      <c r="W14" s="97">
        <v>9768</v>
      </c>
      <c r="X14" s="97">
        <v>24</v>
      </c>
      <c r="Y14" s="97">
        <v>11721.599999999999</v>
      </c>
      <c r="Z14" s="97">
        <v>20</v>
      </c>
      <c r="AA14" s="97">
        <v>9768</v>
      </c>
      <c r="AB14" s="97">
        <v>24</v>
      </c>
      <c r="AC14" s="97">
        <v>11721.599999999999</v>
      </c>
      <c r="AD14" s="97">
        <v>14</v>
      </c>
      <c r="AE14" s="97">
        <v>6837.5999999999995</v>
      </c>
      <c r="AF14" s="97">
        <v>13</v>
      </c>
      <c r="AG14" s="97">
        <v>6349.2</v>
      </c>
      <c r="AH14" s="97">
        <v>19</v>
      </c>
      <c r="AI14" s="97">
        <v>9279.6</v>
      </c>
      <c r="AJ14" s="97">
        <v>12</v>
      </c>
      <c r="AK14" s="97">
        <v>5860.7999999999993</v>
      </c>
      <c r="AL14" s="97">
        <v>11</v>
      </c>
      <c r="AM14" s="97">
        <v>5372.4</v>
      </c>
      <c r="AN14" s="97">
        <v>15</v>
      </c>
      <c r="AO14" s="97">
        <v>7326</v>
      </c>
      <c r="AP14" s="97">
        <v>13</v>
      </c>
      <c r="AQ14" s="97">
        <v>6349.2</v>
      </c>
      <c r="AR14" s="97">
        <v>11</v>
      </c>
      <c r="AS14" s="97">
        <v>5372.4</v>
      </c>
      <c r="AT14" s="97">
        <v>13</v>
      </c>
      <c r="AU14" s="97">
        <v>6349.2</v>
      </c>
      <c r="AV14" s="97">
        <v>14</v>
      </c>
      <c r="AW14" s="97">
        <v>6837.5999999999995</v>
      </c>
      <c r="AX14" s="97">
        <v>13</v>
      </c>
      <c r="AY14" s="97">
        <v>6349.2</v>
      </c>
      <c r="AZ14" s="97">
        <v>7</v>
      </c>
      <c r="BA14" s="97">
        <v>3418.7999999999997</v>
      </c>
      <c r="BB14" s="97">
        <v>6</v>
      </c>
      <c r="BC14" s="97">
        <v>2930.3999999999996</v>
      </c>
      <c r="BD14" s="97">
        <v>8</v>
      </c>
      <c r="BE14" s="97">
        <v>3907.2</v>
      </c>
      <c r="BF14" s="97">
        <v>10</v>
      </c>
      <c r="BG14" s="97">
        <v>4884</v>
      </c>
      <c r="BH14" s="97">
        <v>7</v>
      </c>
      <c r="BI14" s="97">
        <v>3418.7999999999997</v>
      </c>
      <c r="BJ14" s="97">
        <v>5</v>
      </c>
      <c r="BK14" s="97">
        <v>2442</v>
      </c>
      <c r="BL14" s="97">
        <v>7</v>
      </c>
      <c r="BM14" s="97">
        <v>3418.7999999999997</v>
      </c>
      <c r="BN14" s="97">
        <v>5</v>
      </c>
      <c r="BO14" s="97">
        <v>2442</v>
      </c>
      <c r="BP14" s="97">
        <v>7</v>
      </c>
      <c r="BQ14" s="97">
        <v>3418.7999999999997</v>
      </c>
      <c r="BR14" s="97">
        <v>4</v>
      </c>
      <c r="BS14" s="97">
        <v>1953.6</v>
      </c>
      <c r="BT14" s="97">
        <v>4</v>
      </c>
      <c r="BU14" s="97">
        <v>1953.6</v>
      </c>
      <c r="BV14" s="97">
        <v>7</v>
      </c>
      <c r="BW14" s="97">
        <v>3418.7999999999997</v>
      </c>
      <c r="BX14" s="97">
        <v>4</v>
      </c>
      <c r="BY14" s="97">
        <v>1953.6</v>
      </c>
      <c r="BZ14" s="97">
        <v>4</v>
      </c>
      <c r="CA14" s="97">
        <v>1953.6</v>
      </c>
      <c r="CB14" s="97">
        <v>4</v>
      </c>
      <c r="CC14" s="97">
        <v>1953.6</v>
      </c>
      <c r="CD14" s="97">
        <v>5</v>
      </c>
      <c r="CE14" s="97">
        <v>2442</v>
      </c>
      <c r="CF14" s="97">
        <v>5</v>
      </c>
      <c r="CG14" s="97">
        <v>2442</v>
      </c>
      <c r="CH14" s="97">
        <v>4</v>
      </c>
      <c r="CI14" s="97">
        <v>1953.6</v>
      </c>
      <c r="CJ14" s="97">
        <v>5</v>
      </c>
      <c r="CK14" s="97">
        <v>2442</v>
      </c>
      <c r="CL14" s="97">
        <v>3</v>
      </c>
      <c r="CM14" s="97">
        <v>1465.1999999999998</v>
      </c>
      <c r="CN14" s="97">
        <v>3</v>
      </c>
      <c r="CO14" s="97">
        <v>1465.1999999999998</v>
      </c>
      <c r="CP14" s="97">
        <v>4</v>
      </c>
      <c r="CQ14" s="97">
        <v>1953.6</v>
      </c>
      <c r="CR14" s="97">
        <v>3</v>
      </c>
      <c r="CS14" s="97">
        <v>1465.1999999999998</v>
      </c>
      <c r="CT14" s="97">
        <v>3</v>
      </c>
      <c r="CU14" s="97">
        <v>1465.1999999999998</v>
      </c>
    </row>
    <row r="15" spans="1:99" x14ac:dyDescent="0.15">
      <c r="C15" s="96" t="s">
        <v>180</v>
      </c>
      <c r="D15" s="97">
        <v>58</v>
      </c>
      <c r="E15" s="97">
        <v>44265.599999999999</v>
      </c>
      <c r="F15" s="97">
        <v>75</v>
      </c>
      <c r="G15" s="97">
        <v>57239.999999999993</v>
      </c>
      <c r="H15" s="97">
        <v>46</v>
      </c>
      <c r="I15" s="97">
        <v>35107.199999999997</v>
      </c>
      <c r="J15" s="97">
        <v>81</v>
      </c>
      <c r="K15" s="97">
        <v>61819.199999999997</v>
      </c>
      <c r="L15" s="97">
        <v>25</v>
      </c>
      <c r="M15" s="97">
        <v>19080</v>
      </c>
      <c r="N15" s="97">
        <v>37</v>
      </c>
      <c r="O15" s="97">
        <v>28238.399999999998</v>
      </c>
      <c r="P15" s="97">
        <v>43</v>
      </c>
      <c r="Q15" s="97">
        <v>32817.599999999999</v>
      </c>
      <c r="R15" s="97">
        <v>23</v>
      </c>
      <c r="S15" s="97">
        <v>17553.599999999999</v>
      </c>
      <c r="T15" s="97">
        <v>20</v>
      </c>
      <c r="U15" s="97">
        <v>15263.999999999998</v>
      </c>
      <c r="V15" s="97">
        <v>21</v>
      </c>
      <c r="W15" s="97">
        <v>16027.199999999999</v>
      </c>
      <c r="X15" s="97">
        <v>24</v>
      </c>
      <c r="Y15" s="97">
        <v>18316.8</v>
      </c>
      <c r="Z15" s="97">
        <v>20</v>
      </c>
      <c r="AA15" s="97">
        <v>15263.999999999998</v>
      </c>
      <c r="AB15" s="97">
        <v>24</v>
      </c>
      <c r="AC15" s="97">
        <v>18316.8</v>
      </c>
      <c r="AD15" s="97">
        <v>12</v>
      </c>
      <c r="AE15" s="97">
        <v>9158.4</v>
      </c>
      <c r="AF15" s="97">
        <v>13</v>
      </c>
      <c r="AG15" s="97">
        <v>9921.5999999999985</v>
      </c>
      <c r="AH15" s="97">
        <v>18</v>
      </c>
      <c r="AI15" s="97">
        <v>13737.599999999999</v>
      </c>
      <c r="AJ15" s="97">
        <v>12</v>
      </c>
      <c r="AK15" s="97">
        <v>9158.4</v>
      </c>
      <c r="AL15" s="97">
        <v>11</v>
      </c>
      <c r="AM15" s="97">
        <v>8395.1999999999989</v>
      </c>
      <c r="AN15" s="97">
        <v>14</v>
      </c>
      <c r="AO15" s="97">
        <v>10684.8</v>
      </c>
      <c r="AP15" s="97">
        <v>14</v>
      </c>
      <c r="AQ15" s="97">
        <v>10684.8</v>
      </c>
      <c r="AR15" s="97">
        <v>11</v>
      </c>
      <c r="AS15" s="97">
        <v>8395.1999999999989</v>
      </c>
      <c r="AT15" s="97">
        <v>11</v>
      </c>
      <c r="AU15" s="97">
        <v>8395.1999999999989</v>
      </c>
      <c r="AV15" s="97">
        <v>13</v>
      </c>
      <c r="AW15" s="97">
        <v>9921.5999999999985</v>
      </c>
      <c r="AX15" s="97">
        <v>11</v>
      </c>
      <c r="AY15" s="97">
        <v>8395.1999999999989</v>
      </c>
      <c r="AZ15" s="97">
        <v>7</v>
      </c>
      <c r="BA15" s="97">
        <v>5342.4</v>
      </c>
      <c r="BB15" s="97">
        <v>6</v>
      </c>
      <c r="BC15" s="97">
        <v>4579.2</v>
      </c>
      <c r="BD15" s="97">
        <v>6</v>
      </c>
      <c r="BE15" s="97">
        <v>4579.2</v>
      </c>
      <c r="BF15" s="97">
        <v>9</v>
      </c>
      <c r="BG15" s="97">
        <v>6868.7999999999993</v>
      </c>
      <c r="BH15" s="97">
        <v>7</v>
      </c>
      <c r="BI15" s="97">
        <v>5342.4</v>
      </c>
      <c r="BJ15" s="97">
        <v>5</v>
      </c>
      <c r="BK15" s="97">
        <v>3815.9999999999995</v>
      </c>
      <c r="BL15" s="97">
        <v>6</v>
      </c>
      <c r="BM15" s="97">
        <v>4579.2</v>
      </c>
      <c r="BN15" s="97">
        <v>5</v>
      </c>
      <c r="BO15" s="97">
        <v>3815.9999999999995</v>
      </c>
      <c r="BP15" s="97">
        <v>7</v>
      </c>
      <c r="BQ15" s="97">
        <v>5342.4</v>
      </c>
      <c r="BR15" s="97">
        <v>4</v>
      </c>
      <c r="BS15" s="97">
        <v>3052.7999999999997</v>
      </c>
      <c r="BT15" s="97">
        <v>4</v>
      </c>
      <c r="BU15" s="97">
        <v>3052.7999999999997</v>
      </c>
      <c r="BV15" s="97">
        <v>7</v>
      </c>
      <c r="BW15" s="97">
        <v>5342.4</v>
      </c>
      <c r="BX15" s="97">
        <v>4</v>
      </c>
      <c r="BY15" s="97">
        <v>3052.7999999999997</v>
      </c>
      <c r="BZ15" s="97">
        <v>3</v>
      </c>
      <c r="CA15" s="97">
        <v>2289.6</v>
      </c>
      <c r="CB15" s="97">
        <v>4</v>
      </c>
      <c r="CC15" s="97">
        <v>3052.7999999999997</v>
      </c>
      <c r="CD15" s="97">
        <v>5</v>
      </c>
      <c r="CE15" s="97">
        <v>3815.9999999999995</v>
      </c>
      <c r="CF15" s="97">
        <v>5</v>
      </c>
      <c r="CG15" s="97">
        <v>3815.9999999999995</v>
      </c>
      <c r="CH15" s="97">
        <v>4</v>
      </c>
      <c r="CI15" s="97">
        <v>3052.7999999999997</v>
      </c>
      <c r="CJ15" s="97">
        <v>5</v>
      </c>
      <c r="CK15" s="97">
        <v>3815.9999999999995</v>
      </c>
      <c r="CL15" s="97">
        <v>4</v>
      </c>
      <c r="CM15" s="97">
        <v>3052.7999999999997</v>
      </c>
      <c r="CN15" s="97">
        <v>3</v>
      </c>
      <c r="CO15" s="97">
        <v>2289.6</v>
      </c>
      <c r="CP15" s="97">
        <v>4</v>
      </c>
      <c r="CQ15" s="97">
        <v>3052.7999999999997</v>
      </c>
      <c r="CR15" s="97">
        <v>3</v>
      </c>
      <c r="CS15" s="97">
        <v>2289.6</v>
      </c>
      <c r="CT15" s="97">
        <v>3</v>
      </c>
      <c r="CU15" s="97">
        <v>2289.6</v>
      </c>
    </row>
    <row r="16" spans="1:99" x14ac:dyDescent="0.15">
      <c r="C16" s="96" t="s">
        <v>181</v>
      </c>
      <c r="D16" s="97">
        <v>61</v>
      </c>
      <c r="E16" s="97">
        <v>20788.8</v>
      </c>
      <c r="F16" s="97">
        <v>72</v>
      </c>
      <c r="G16" s="97">
        <v>24537.600000000002</v>
      </c>
      <c r="H16" s="97">
        <v>47</v>
      </c>
      <c r="I16" s="97">
        <v>16017.6</v>
      </c>
      <c r="J16" s="97">
        <v>85</v>
      </c>
      <c r="K16" s="97">
        <v>28968</v>
      </c>
      <c r="L16" s="97">
        <v>27</v>
      </c>
      <c r="M16" s="97">
        <v>9201.6</v>
      </c>
      <c r="N16" s="97">
        <v>34</v>
      </c>
      <c r="O16" s="97">
        <v>11587.2</v>
      </c>
      <c r="P16" s="97">
        <v>40</v>
      </c>
      <c r="Q16" s="97">
        <v>13632</v>
      </c>
      <c r="R16" s="97">
        <v>30</v>
      </c>
      <c r="S16" s="97">
        <v>10224</v>
      </c>
      <c r="T16" s="97">
        <v>21</v>
      </c>
      <c r="U16" s="97">
        <v>7156.8</v>
      </c>
      <c r="V16" s="97">
        <v>22</v>
      </c>
      <c r="W16" s="97">
        <v>7497.6</v>
      </c>
      <c r="X16" s="97">
        <v>25</v>
      </c>
      <c r="Y16" s="97">
        <v>8520</v>
      </c>
      <c r="Z16" s="97">
        <v>19</v>
      </c>
      <c r="AA16" s="97">
        <v>6475.2</v>
      </c>
      <c r="AB16" s="97">
        <v>22</v>
      </c>
      <c r="AC16" s="97">
        <v>7497.6</v>
      </c>
      <c r="AD16" s="97">
        <v>12</v>
      </c>
      <c r="AE16" s="97">
        <v>4089.6000000000004</v>
      </c>
      <c r="AF16" s="97">
        <v>12</v>
      </c>
      <c r="AG16" s="97">
        <v>4089.6000000000004</v>
      </c>
      <c r="AH16" s="97">
        <v>20</v>
      </c>
      <c r="AI16" s="97">
        <v>6816</v>
      </c>
      <c r="AJ16" s="97">
        <v>12</v>
      </c>
      <c r="AK16" s="97">
        <v>4089.6000000000004</v>
      </c>
      <c r="AL16" s="97">
        <v>11</v>
      </c>
      <c r="AM16" s="97">
        <v>3748.8</v>
      </c>
      <c r="AN16" s="97">
        <v>14</v>
      </c>
      <c r="AO16" s="97">
        <v>4771.2</v>
      </c>
      <c r="AP16" s="97">
        <v>15</v>
      </c>
      <c r="AQ16" s="97">
        <v>5112</v>
      </c>
      <c r="AR16" s="97">
        <v>13</v>
      </c>
      <c r="AS16" s="97">
        <v>4430.4000000000005</v>
      </c>
      <c r="AT16" s="97">
        <v>12</v>
      </c>
      <c r="AU16" s="97">
        <v>4089.6000000000004</v>
      </c>
      <c r="AV16" s="97">
        <v>12</v>
      </c>
      <c r="AW16" s="97">
        <v>4089.6000000000004</v>
      </c>
      <c r="AX16" s="97">
        <v>12</v>
      </c>
      <c r="AY16" s="97">
        <v>4089.6000000000004</v>
      </c>
      <c r="AZ16" s="97">
        <v>7</v>
      </c>
      <c r="BA16" s="97">
        <v>2385.6</v>
      </c>
      <c r="BB16" s="97">
        <v>6</v>
      </c>
      <c r="BC16" s="97">
        <v>2044.8000000000002</v>
      </c>
      <c r="BD16" s="97">
        <v>8</v>
      </c>
      <c r="BE16" s="97">
        <v>2726.4</v>
      </c>
      <c r="BF16" s="97">
        <v>9</v>
      </c>
      <c r="BG16" s="97">
        <v>3067.2000000000003</v>
      </c>
      <c r="BH16" s="97">
        <v>7</v>
      </c>
      <c r="BI16" s="97">
        <v>2385.6</v>
      </c>
      <c r="BJ16" s="97">
        <v>5</v>
      </c>
      <c r="BK16" s="97">
        <v>1704</v>
      </c>
      <c r="BL16" s="97">
        <v>8</v>
      </c>
      <c r="BM16" s="97">
        <v>2726.4</v>
      </c>
      <c r="BN16" s="97">
        <v>5</v>
      </c>
      <c r="BO16" s="97">
        <v>1704</v>
      </c>
      <c r="BP16" s="97">
        <v>7</v>
      </c>
      <c r="BQ16" s="97">
        <v>2385.6</v>
      </c>
      <c r="BR16" s="97">
        <v>4</v>
      </c>
      <c r="BS16" s="97">
        <v>1363.2</v>
      </c>
      <c r="BT16" s="97">
        <v>4</v>
      </c>
      <c r="BU16" s="97">
        <v>1363.2</v>
      </c>
      <c r="BV16" s="97">
        <v>7</v>
      </c>
      <c r="BW16" s="97">
        <v>2385.6</v>
      </c>
      <c r="BX16" s="97">
        <v>4</v>
      </c>
      <c r="BY16" s="97">
        <v>1363.2</v>
      </c>
      <c r="BZ16" s="97">
        <v>4</v>
      </c>
      <c r="CA16" s="97">
        <v>1363.2</v>
      </c>
      <c r="CB16" s="97">
        <v>3</v>
      </c>
      <c r="CC16" s="97">
        <v>1022.4000000000001</v>
      </c>
      <c r="CD16" s="97">
        <v>5</v>
      </c>
      <c r="CE16" s="97">
        <v>1704</v>
      </c>
      <c r="CF16" s="97">
        <v>5</v>
      </c>
      <c r="CG16" s="97">
        <v>1704</v>
      </c>
      <c r="CH16" s="97">
        <v>4</v>
      </c>
      <c r="CI16" s="97">
        <v>1363.2</v>
      </c>
      <c r="CJ16" s="97">
        <v>6</v>
      </c>
      <c r="CK16" s="97">
        <v>2044.8000000000002</v>
      </c>
      <c r="CL16" s="97">
        <v>4</v>
      </c>
      <c r="CM16" s="97">
        <v>1363.2</v>
      </c>
      <c r="CN16" s="97">
        <v>3</v>
      </c>
      <c r="CO16" s="97">
        <v>1022.4000000000001</v>
      </c>
      <c r="CP16" s="97">
        <v>5</v>
      </c>
      <c r="CQ16" s="97">
        <v>1704</v>
      </c>
      <c r="CR16" s="97">
        <v>3</v>
      </c>
      <c r="CS16" s="97">
        <v>1022.4000000000001</v>
      </c>
      <c r="CT16" s="97">
        <v>3</v>
      </c>
      <c r="CU16" s="97">
        <v>1022.4000000000001</v>
      </c>
    </row>
    <row r="17" spans="2:99" x14ac:dyDescent="0.15">
      <c r="C17" s="96" t="s">
        <v>182</v>
      </c>
      <c r="D17" s="97">
        <v>58</v>
      </c>
      <c r="E17" s="97">
        <v>24499.199999999997</v>
      </c>
      <c r="F17" s="97">
        <v>68</v>
      </c>
      <c r="G17" s="97">
        <v>28723.199999999997</v>
      </c>
      <c r="H17" s="97">
        <v>50</v>
      </c>
      <c r="I17" s="97">
        <v>21120</v>
      </c>
      <c r="J17" s="97">
        <v>74</v>
      </c>
      <c r="K17" s="97">
        <v>31257.599999999999</v>
      </c>
      <c r="L17" s="97">
        <v>25</v>
      </c>
      <c r="M17" s="97">
        <v>10560</v>
      </c>
      <c r="N17" s="97">
        <v>34</v>
      </c>
      <c r="O17" s="97">
        <v>14361.599999999999</v>
      </c>
      <c r="P17" s="97">
        <v>44</v>
      </c>
      <c r="Q17" s="97">
        <v>18585.599999999999</v>
      </c>
      <c r="R17" s="97">
        <v>28</v>
      </c>
      <c r="S17" s="97">
        <v>11827.199999999999</v>
      </c>
      <c r="T17" s="97">
        <v>21</v>
      </c>
      <c r="U17" s="97">
        <v>8870.4</v>
      </c>
      <c r="V17" s="97">
        <v>24</v>
      </c>
      <c r="W17" s="97">
        <v>10137.599999999999</v>
      </c>
      <c r="X17" s="97">
        <v>22</v>
      </c>
      <c r="Y17" s="97">
        <v>9292.7999999999993</v>
      </c>
      <c r="Z17" s="97">
        <v>19</v>
      </c>
      <c r="AA17" s="97">
        <v>8025.5999999999995</v>
      </c>
      <c r="AB17" s="97">
        <v>21</v>
      </c>
      <c r="AC17" s="97">
        <v>8870.4</v>
      </c>
      <c r="AD17" s="97">
        <v>14</v>
      </c>
      <c r="AE17" s="97">
        <v>5913.5999999999995</v>
      </c>
      <c r="AF17" s="97">
        <v>14</v>
      </c>
      <c r="AG17" s="97">
        <v>5913.5999999999995</v>
      </c>
      <c r="AH17" s="97">
        <v>18</v>
      </c>
      <c r="AI17" s="97">
        <v>7603.2</v>
      </c>
      <c r="AJ17" s="97">
        <v>14</v>
      </c>
      <c r="AK17" s="97">
        <v>5913.5999999999995</v>
      </c>
      <c r="AL17" s="97">
        <v>12</v>
      </c>
      <c r="AM17" s="97">
        <v>5068.7999999999993</v>
      </c>
      <c r="AN17" s="97">
        <v>13</v>
      </c>
      <c r="AO17" s="97">
        <v>5491.2</v>
      </c>
      <c r="AP17" s="97">
        <v>14</v>
      </c>
      <c r="AQ17" s="97">
        <v>5913.5999999999995</v>
      </c>
      <c r="AR17" s="97">
        <v>11</v>
      </c>
      <c r="AS17" s="97">
        <v>4646.3999999999996</v>
      </c>
      <c r="AT17" s="97">
        <v>13</v>
      </c>
      <c r="AU17" s="97">
        <v>5491.2</v>
      </c>
      <c r="AV17" s="97">
        <v>12</v>
      </c>
      <c r="AW17" s="97">
        <v>5068.7999999999993</v>
      </c>
      <c r="AX17" s="97">
        <v>12</v>
      </c>
      <c r="AY17" s="97">
        <v>5068.7999999999993</v>
      </c>
      <c r="AZ17" s="97">
        <v>8</v>
      </c>
      <c r="BA17" s="97">
        <v>3379.2</v>
      </c>
      <c r="BB17" s="97">
        <v>7</v>
      </c>
      <c r="BC17" s="97">
        <v>2956.7999999999997</v>
      </c>
      <c r="BD17" s="97">
        <v>7</v>
      </c>
      <c r="BE17" s="97">
        <v>2956.7999999999997</v>
      </c>
      <c r="BF17" s="97">
        <v>10</v>
      </c>
      <c r="BG17" s="97">
        <v>4224</v>
      </c>
      <c r="BH17" s="97">
        <v>6</v>
      </c>
      <c r="BI17" s="97">
        <v>2534.3999999999996</v>
      </c>
      <c r="BJ17" s="97">
        <v>5</v>
      </c>
      <c r="BK17" s="97">
        <v>2112</v>
      </c>
      <c r="BL17" s="97">
        <v>7</v>
      </c>
      <c r="BM17" s="97">
        <v>2956.7999999999997</v>
      </c>
      <c r="BN17" s="97">
        <v>5</v>
      </c>
      <c r="BO17" s="97">
        <v>2112</v>
      </c>
      <c r="BP17" s="97">
        <v>6</v>
      </c>
      <c r="BQ17" s="97">
        <v>2534.3999999999996</v>
      </c>
      <c r="BR17" s="97">
        <v>4</v>
      </c>
      <c r="BS17" s="97">
        <v>1689.6</v>
      </c>
      <c r="BT17" s="97">
        <v>3</v>
      </c>
      <c r="BU17" s="97">
        <v>1267.1999999999998</v>
      </c>
      <c r="BV17" s="97">
        <v>7</v>
      </c>
      <c r="BW17" s="97">
        <v>2956.7999999999997</v>
      </c>
      <c r="BX17" s="97">
        <v>4</v>
      </c>
      <c r="BY17" s="97">
        <v>1689.6</v>
      </c>
      <c r="BZ17" s="97">
        <v>4</v>
      </c>
      <c r="CA17" s="97">
        <v>1689.6</v>
      </c>
      <c r="CB17" s="97">
        <v>4</v>
      </c>
      <c r="CC17" s="97">
        <v>1689.6</v>
      </c>
      <c r="CD17" s="97">
        <v>5</v>
      </c>
      <c r="CE17" s="97">
        <v>2112</v>
      </c>
      <c r="CF17" s="97">
        <v>5</v>
      </c>
      <c r="CG17" s="97">
        <v>2112</v>
      </c>
      <c r="CH17" s="97">
        <v>4</v>
      </c>
      <c r="CI17" s="97">
        <v>1689.6</v>
      </c>
      <c r="CJ17" s="97">
        <v>5</v>
      </c>
      <c r="CK17" s="97">
        <v>2112</v>
      </c>
      <c r="CL17" s="97">
        <v>4</v>
      </c>
      <c r="CM17" s="97">
        <v>1689.6</v>
      </c>
      <c r="CN17" s="97">
        <v>3</v>
      </c>
      <c r="CO17" s="97">
        <v>1267.1999999999998</v>
      </c>
      <c r="CP17" s="97">
        <v>5</v>
      </c>
      <c r="CQ17" s="97">
        <v>2112</v>
      </c>
      <c r="CR17" s="97">
        <v>3</v>
      </c>
      <c r="CS17" s="97">
        <v>1267.1999999999998</v>
      </c>
      <c r="CT17" s="97">
        <v>3</v>
      </c>
      <c r="CU17" s="97">
        <v>1267.1999999999998</v>
      </c>
    </row>
    <row r="18" spans="2:99" x14ac:dyDescent="0.15">
      <c r="C18" s="96" t="s">
        <v>183</v>
      </c>
      <c r="D18" s="97">
        <v>55</v>
      </c>
      <c r="E18" s="97">
        <v>35904</v>
      </c>
      <c r="F18" s="97">
        <v>71</v>
      </c>
      <c r="G18" s="97">
        <v>46348.799999999996</v>
      </c>
      <c r="H18" s="97">
        <v>48</v>
      </c>
      <c r="I18" s="97">
        <v>31334.399999999998</v>
      </c>
      <c r="J18" s="97">
        <v>84</v>
      </c>
      <c r="K18" s="97">
        <v>54835.199999999997</v>
      </c>
      <c r="L18" s="97">
        <v>25</v>
      </c>
      <c r="M18" s="97">
        <v>16319.999999999998</v>
      </c>
      <c r="N18" s="97">
        <v>33</v>
      </c>
      <c r="O18" s="97">
        <v>21542.399999999998</v>
      </c>
      <c r="P18" s="97">
        <v>43</v>
      </c>
      <c r="Q18" s="97">
        <v>28070.399999999998</v>
      </c>
      <c r="R18" s="97">
        <v>24</v>
      </c>
      <c r="S18" s="97">
        <v>15667.199999999999</v>
      </c>
      <c r="T18" s="97">
        <v>21</v>
      </c>
      <c r="U18" s="97">
        <v>13708.8</v>
      </c>
      <c r="V18" s="97">
        <v>22</v>
      </c>
      <c r="W18" s="97">
        <v>14361.599999999999</v>
      </c>
      <c r="X18" s="97">
        <v>23</v>
      </c>
      <c r="Y18" s="97">
        <v>15014.4</v>
      </c>
      <c r="Z18" s="97">
        <v>19</v>
      </c>
      <c r="AA18" s="97">
        <v>12403.199999999999</v>
      </c>
      <c r="AB18" s="97">
        <v>23</v>
      </c>
      <c r="AC18" s="97">
        <v>15014.4</v>
      </c>
      <c r="AD18" s="97">
        <v>12</v>
      </c>
      <c r="AE18" s="97">
        <v>7833.5999999999995</v>
      </c>
      <c r="AF18" s="97">
        <v>12</v>
      </c>
      <c r="AG18" s="97">
        <v>7833.5999999999995</v>
      </c>
      <c r="AH18" s="97">
        <v>19</v>
      </c>
      <c r="AI18" s="97">
        <v>12403.199999999999</v>
      </c>
      <c r="AJ18" s="97">
        <v>12</v>
      </c>
      <c r="AK18" s="97">
        <v>7833.5999999999995</v>
      </c>
      <c r="AL18" s="97">
        <v>12</v>
      </c>
      <c r="AM18" s="97">
        <v>7833.5999999999995</v>
      </c>
      <c r="AN18" s="97">
        <v>14</v>
      </c>
      <c r="AO18" s="97">
        <v>9139.1999999999989</v>
      </c>
      <c r="AP18" s="97">
        <v>14</v>
      </c>
      <c r="AQ18" s="97">
        <v>9139.1999999999989</v>
      </c>
      <c r="AR18" s="97">
        <v>12</v>
      </c>
      <c r="AS18" s="97">
        <v>7833.5999999999995</v>
      </c>
      <c r="AT18" s="97">
        <v>12</v>
      </c>
      <c r="AU18" s="97">
        <v>7833.5999999999995</v>
      </c>
      <c r="AV18" s="97">
        <v>12</v>
      </c>
      <c r="AW18" s="97">
        <v>7833.5999999999995</v>
      </c>
      <c r="AX18" s="97">
        <v>13</v>
      </c>
      <c r="AY18" s="97">
        <v>8486.4</v>
      </c>
      <c r="AZ18" s="97">
        <v>8</v>
      </c>
      <c r="BA18" s="97">
        <v>5222.3999999999996</v>
      </c>
      <c r="BB18" s="97">
        <v>6</v>
      </c>
      <c r="BC18" s="97">
        <v>3916.7999999999997</v>
      </c>
      <c r="BD18" s="97">
        <v>7</v>
      </c>
      <c r="BE18" s="97">
        <v>4569.5999999999995</v>
      </c>
      <c r="BF18" s="97">
        <v>9</v>
      </c>
      <c r="BG18" s="97">
        <v>5875.2</v>
      </c>
      <c r="BH18" s="97">
        <v>7</v>
      </c>
      <c r="BI18" s="97">
        <v>4569.5999999999995</v>
      </c>
      <c r="BJ18" s="97">
        <v>5</v>
      </c>
      <c r="BK18" s="97">
        <v>3264</v>
      </c>
      <c r="BL18" s="97">
        <v>7</v>
      </c>
      <c r="BM18" s="97">
        <v>4569.5999999999995</v>
      </c>
      <c r="BN18" s="97">
        <v>5</v>
      </c>
      <c r="BO18" s="97">
        <v>3264</v>
      </c>
      <c r="BP18" s="97">
        <v>6</v>
      </c>
      <c r="BQ18" s="97">
        <v>3916.7999999999997</v>
      </c>
      <c r="BR18" s="97">
        <v>4</v>
      </c>
      <c r="BS18" s="97">
        <v>2611.1999999999998</v>
      </c>
      <c r="BT18" s="97">
        <v>4</v>
      </c>
      <c r="BU18" s="97">
        <v>2611.1999999999998</v>
      </c>
      <c r="BV18" s="97">
        <v>7</v>
      </c>
      <c r="BW18" s="97">
        <v>4569.5999999999995</v>
      </c>
      <c r="BX18" s="97">
        <v>4</v>
      </c>
      <c r="BY18" s="97">
        <v>2611.1999999999998</v>
      </c>
      <c r="BZ18" s="97">
        <v>4</v>
      </c>
      <c r="CA18" s="97">
        <v>2611.1999999999998</v>
      </c>
      <c r="CB18" s="97">
        <v>4</v>
      </c>
      <c r="CC18" s="97">
        <v>2611.1999999999998</v>
      </c>
      <c r="CD18" s="97">
        <v>5</v>
      </c>
      <c r="CE18" s="97">
        <v>3264</v>
      </c>
      <c r="CF18" s="97">
        <v>5</v>
      </c>
      <c r="CG18" s="97">
        <v>3264</v>
      </c>
      <c r="CH18" s="97">
        <v>3</v>
      </c>
      <c r="CI18" s="97">
        <v>1958.3999999999999</v>
      </c>
      <c r="CJ18" s="97">
        <v>5</v>
      </c>
      <c r="CK18" s="97">
        <v>3264</v>
      </c>
      <c r="CL18" s="97">
        <v>3</v>
      </c>
      <c r="CM18" s="97">
        <v>1958.3999999999999</v>
      </c>
      <c r="CN18" s="97">
        <v>3</v>
      </c>
      <c r="CO18" s="97">
        <v>1958.3999999999999</v>
      </c>
      <c r="CP18" s="97">
        <v>4</v>
      </c>
      <c r="CQ18" s="97">
        <v>2611.1999999999998</v>
      </c>
      <c r="CR18" s="97">
        <v>3</v>
      </c>
      <c r="CS18" s="97">
        <v>1958.3999999999999</v>
      </c>
      <c r="CT18" s="97">
        <v>2</v>
      </c>
      <c r="CU18" s="97">
        <v>1305.5999999999999</v>
      </c>
    </row>
    <row r="19" spans="2:99" x14ac:dyDescent="0.15">
      <c r="C19" s="96" t="s">
        <v>184</v>
      </c>
      <c r="D19" s="97">
        <v>59</v>
      </c>
      <c r="E19" s="97">
        <v>19470</v>
      </c>
      <c r="F19" s="97">
        <v>74</v>
      </c>
      <c r="G19" s="97">
        <v>24420</v>
      </c>
      <c r="H19" s="97">
        <v>53</v>
      </c>
      <c r="I19" s="97">
        <v>17490</v>
      </c>
      <c r="J19" s="97">
        <v>80</v>
      </c>
      <c r="K19" s="97">
        <v>26400</v>
      </c>
      <c r="L19" s="97">
        <v>27</v>
      </c>
      <c r="M19" s="97">
        <v>8910</v>
      </c>
      <c r="N19" s="97">
        <v>35</v>
      </c>
      <c r="O19" s="97">
        <v>11550</v>
      </c>
      <c r="P19" s="97">
        <v>42</v>
      </c>
      <c r="Q19" s="97">
        <v>13860</v>
      </c>
      <c r="R19" s="97">
        <v>27</v>
      </c>
      <c r="S19" s="97">
        <v>8910</v>
      </c>
      <c r="T19" s="97">
        <v>22</v>
      </c>
      <c r="U19" s="97">
        <v>7260</v>
      </c>
      <c r="V19" s="97">
        <v>24</v>
      </c>
      <c r="W19" s="97">
        <v>7920</v>
      </c>
      <c r="X19" s="97">
        <v>24</v>
      </c>
      <c r="Y19" s="97">
        <v>7920</v>
      </c>
      <c r="Z19" s="97">
        <v>19</v>
      </c>
      <c r="AA19" s="97">
        <v>6270</v>
      </c>
      <c r="AB19" s="97">
        <v>22</v>
      </c>
      <c r="AC19" s="97">
        <v>7260</v>
      </c>
      <c r="AD19" s="97">
        <v>13</v>
      </c>
      <c r="AE19" s="97">
        <v>4290</v>
      </c>
      <c r="AF19" s="97">
        <v>13</v>
      </c>
      <c r="AG19" s="97">
        <v>4290</v>
      </c>
      <c r="AH19" s="97">
        <v>19</v>
      </c>
      <c r="AI19" s="97">
        <v>6270</v>
      </c>
      <c r="AJ19" s="97">
        <v>12</v>
      </c>
      <c r="AK19" s="97">
        <v>3960</v>
      </c>
      <c r="AL19" s="97">
        <v>12</v>
      </c>
      <c r="AM19" s="97">
        <v>3960</v>
      </c>
      <c r="AN19" s="97">
        <v>13</v>
      </c>
      <c r="AO19" s="97">
        <v>4290</v>
      </c>
      <c r="AP19" s="97">
        <v>15</v>
      </c>
      <c r="AQ19" s="97">
        <v>4950</v>
      </c>
      <c r="AR19" s="97">
        <v>13</v>
      </c>
      <c r="AS19" s="97">
        <v>4290</v>
      </c>
      <c r="AT19" s="97">
        <v>11</v>
      </c>
      <c r="AU19" s="97">
        <v>3630</v>
      </c>
      <c r="AV19" s="97">
        <v>13</v>
      </c>
      <c r="AW19" s="97">
        <v>4290</v>
      </c>
      <c r="AX19" s="97">
        <v>13</v>
      </c>
      <c r="AY19" s="97">
        <v>4290</v>
      </c>
      <c r="AZ19" s="97">
        <v>8</v>
      </c>
      <c r="BA19" s="97">
        <v>2640</v>
      </c>
      <c r="BB19" s="97">
        <v>7</v>
      </c>
      <c r="BC19" s="97">
        <v>2310</v>
      </c>
      <c r="BD19" s="97">
        <v>8</v>
      </c>
      <c r="BE19" s="97">
        <v>2640</v>
      </c>
      <c r="BF19" s="97">
        <v>11</v>
      </c>
      <c r="BG19" s="97">
        <v>3630</v>
      </c>
      <c r="BH19" s="97">
        <v>8</v>
      </c>
      <c r="BI19" s="97">
        <v>2640</v>
      </c>
      <c r="BJ19" s="97">
        <v>5</v>
      </c>
      <c r="BK19" s="97">
        <v>1650</v>
      </c>
      <c r="BL19" s="97">
        <v>8</v>
      </c>
      <c r="BM19" s="97">
        <v>2640</v>
      </c>
      <c r="BN19" s="97">
        <v>5</v>
      </c>
      <c r="BO19" s="97">
        <v>1650</v>
      </c>
      <c r="BP19" s="97">
        <v>7</v>
      </c>
      <c r="BQ19" s="97">
        <v>2310</v>
      </c>
      <c r="BR19" s="97">
        <v>4</v>
      </c>
      <c r="BS19" s="97">
        <v>1320</v>
      </c>
      <c r="BT19" s="97">
        <v>4</v>
      </c>
      <c r="BU19" s="97">
        <v>1320</v>
      </c>
      <c r="BV19" s="97">
        <v>8</v>
      </c>
      <c r="BW19" s="97">
        <v>2640</v>
      </c>
      <c r="BX19" s="97">
        <v>4</v>
      </c>
      <c r="BY19" s="97">
        <v>1320</v>
      </c>
      <c r="BZ19" s="97">
        <v>3</v>
      </c>
      <c r="CA19" s="97">
        <v>990</v>
      </c>
      <c r="CB19" s="97">
        <v>3</v>
      </c>
      <c r="CC19" s="97">
        <v>990</v>
      </c>
      <c r="CD19" s="97">
        <v>5</v>
      </c>
      <c r="CE19" s="97">
        <v>1650</v>
      </c>
      <c r="CF19" s="97">
        <v>5</v>
      </c>
      <c r="CG19" s="97">
        <v>1650</v>
      </c>
      <c r="CH19" s="97">
        <v>4</v>
      </c>
      <c r="CI19" s="97">
        <v>1320</v>
      </c>
      <c r="CJ19" s="97">
        <v>5</v>
      </c>
      <c r="CK19" s="97">
        <v>1650</v>
      </c>
      <c r="CL19" s="97">
        <v>3</v>
      </c>
      <c r="CM19" s="97">
        <v>990</v>
      </c>
      <c r="CN19" s="97">
        <v>3</v>
      </c>
      <c r="CO19" s="97">
        <v>990</v>
      </c>
      <c r="CP19" s="97">
        <v>5</v>
      </c>
      <c r="CQ19" s="97">
        <v>1650</v>
      </c>
      <c r="CR19" s="97">
        <v>3</v>
      </c>
      <c r="CS19" s="97">
        <v>990</v>
      </c>
      <c r="CT19" s="97">
        <v>3</v>
      </c>
      <c r="CU19" s="97">
        <v>990</v>
      </c>
    </row>
    <row r="20" spans="2:99" x14ac:dyDescent="0.15">
      <c r="B20" s="96" t="s">
        <v>127</v>
      </c>
      <c r="C20" s="96" t="s">
        <v>185</v>
      </c>
      <c r="D20" s="97">
        <v>129</v>
      </c>
      <c r="E20" s="97">
        <v>36997.200000000004</v>
      </c>
      <c r="F20" s="97">
        <v>115</v>
      </c>
      <c r="G20" s="97">
        <v>32982</v>
      </c>
      <c r="H20" s="97">
        <v>63</v>
      </c>
      <c r="I20" s="97">
        <v>18068.400000000001</v>
      </c>
      <c r="J20" s="97">
        <v>68</v>
      </c>
      <c r="K20" s="97">
        <v>19502.400000000001</v>
      </c>
      <c r="L20" s="97">
        <v>42</v>
      </c>
      <c r="M20" s="97">
        <v>12045.6</v>
      </c>
      <c r="N20" s="97">
        <v>53</v>
      </c>
      <c r="O20" s="97">
        <v>15200.400000000001</v>
      </c>
      <c r="P20" s="97">
        <v>72</v>
      </c>
      <c r="Q20" s="97">
        <v>20649.600000000002</v>
      </c>
      <c r="R20" s="97">
        <v>56</v>
      </c>
      <c r="S20" s="97">
        <v>16060.800000000001</v>
      </c>
      <c r="T20" s="97">
        <v>44</v>
      </c>
      <c r="U20" s="97">
        <v>12619.2</v>
      </c>
      <c r="V20" s="97">
        <v>41</v>
      </c>
      <c r="W20" s="97">
        <v>11758.800000000001</v>
      </c>
      <c r="X20" s="97">
        <v>47</v>
      </c>
      <c r="Y20" s="97">
        <v>13479.6</v>
      </c>
      <c r="Z20" s="97">
        <v>53</v>
      </c>
      <c r="AA20" s="97">
        <v>15200.400000000001</v>
      </c>
      <c r="AB20" s="97">
        <v>32</v>
      </c>
      <c r="AC20" s="97">
        <v>9177.6</v>
      </c>
      <c r="AD20" s="97">
        <v>24</v>
      </c>
      <c r="AE20" s="97">
        <v>6883.2000000000007</v>
      </c>
      <c r="AF20" s="97">
        <v>30</v>
      </c>
      <c r="AG20" s="97">
        <v>8604</v>
      </c>
      <c r="AH20" s="97">
        <v>40</v>
      </c>
      <c r="AI20" s="97">
        <v>11472</v>
      </c>
      <c r="AJ20" s="97">
        <v>24</v>
      </c>
      <c r="AK20" s="97">
        <v>6883.2000000000007</v>
      </c>
      <c r="AL20" s="97">
        <v>17</v>
      </c>
      <c r="AM20" s="97">
        <v>4875.6000000000004</v>
      </c>
      <c r="AN20" s="97">
        <v>18</v>
      </c>
      <c r="AO20" s="97">
        <v>5162.4000000000005</v>
      </c>
      <c r="AP20" s="97">
        <v>19</v>
      </c>
      <c r="AQ20" s="97">
        <v>5449.2</v>
      </c>
      <c r="AR20" s="97">
        <v>20</v>
      </c>
      <c r="AS20" s="97">
        <v>5736</v>
      </c>
      <c r="AT20" s="97">
        <v>17</v>
      </c>
      <c r="AU20" s="97">
        <v>4875.6000000000004</v>
      </c>
      <c r="AV20" s="97">
        <v>13</v>
      </c>
      <c r="AW20" s="97">
        <v>3728.4</v>
      </c>
      <c r="AX20" s="97">
        <v>18</v>
      </c>
      <c r="AY20" s="97">
        <v>5162.4000000000005</v>
      </c>
      <c r="AZ20" s="97">
        <v>9</v>
      </c>
      <c r="BA20" s="97">
        <v>2581.2000000000003</v>
      </c>
      <c r="BB20" s="97">
        <v>14</v>
      </c>
      <c r="BC20" s="97">
        <v>4015.2000000000003</v>
      </c>
      <c r="BD20" s="97">
        <v>9</v>
      </c>
      <c r="BE20" s="97">
        <v>2581.2000000000003</v>
      </c>
      <c r="BF20" s="97">
        <v>10</v>
      </c>
      <c r="BG20" s="97">
        <v>2868</v>
      </c>
      <c r="BH20" s="97">
        <v>12</v>
      </c>
      <c r="BI20" s="97">
        <v>3441.6000000000004</v>
      </c>
      <c r="BJ20" s="97">
        <v>13</v>
      </c>
      <c r="BK20" s="97">
        <v>3728.4</v>
      </c>
      <c r="BL20" s="97">
        <v>11</v>
      </c>
      <c r="BM20" s="97">
        <v>3154.8</v>
      </c>
      <c r="BN20" s="97">
        <v>9</v>
      </c>
      <c r="BO20" s="97">
        <v>2581.2000000000003</v>
      </c>
      <c r="BP20" s="97">
        <v>10</v>
      </c>
      <c r="BQ20" s="97">
        <v>2868</v>
      </c>
      <c r="BR20" s="97">
        <v>7</v>
      </c>
      <c r="BS20" s="97">
        <v>2007.6000000000001</v>
      </c>
      <c r="BT20" s="97">
        <v>8</v>
      </c>
      <c r="BU20" s="97">
        <v>2294.4</v>
      </c>
      <c r="BV20" s="97">
        <v>11</v>
      </c>
      <c r="BW20" s="97">
        <v>3154.8</v>
      </c>
      <c r="BX20" s="97">
        <v>8</v>
      </c>
      <c r="BY20" s="97">
        <v>2294.4</v>
      </c>
      <c r="BZ20" s="97">
        <v>8</v>
      </c>
      <c r="CA20" s="97">
        <v>2294.4</v>
      </c>
      <c r="CB20" s="97">
        <v>8</v>
      </c>
      <c r="CC20" s="97">
        <v>2294.4</v>
      </c>
      <c r="CD20" s="97">
        <v>7</v>
      </c>
      <c r="CE20" s="97">
        <v>2007.6000000000001</v>
      </c>
      <c r="CF20" s="97">
        <v>8</v>
      </c>
      <c r="CG20" s="97">
        <v>2294.4</v>
      </c>
      <c r="CH20" s="97">
        <v>7</v>
      </c>
      <c r="CI20" s="97">
        <v>2007.6000000000001</v>
      </c>
      <c r="CJ20" s="97">
        <v>6</v>
      </c>
      <c r="CK20" s="97">
        <v>1720.8000000000002</v>
      </c>
      <c r="CL20" s="97">
        <v>5</v>
      </c>
      <c r="CM20" s="97">
        <v>1434</v>
      </c>
      <c r="CN20" s="97">
        <v>3</v>
      </c>
      <c r="CO20" s="97">
        <v>860.40000000000009</v>
      </c>
      <c r="CP20" s="97">
        <v>6</v>
      </c>
      <c r="CQ20" s="97">
        <v>1720.8000000000002</v>
      </c>
      <c r="CR20" s="97">
        <v>4</v>
      </c>
      <c r="CS20" s="97">
        <v>1147.2</v>
      </c>
      <c r="CT20" s="97">
        <v>5</v>
      </c>
      <c r="CU20" s="97">
        <v>1434</v>
      </c>
    </row>
    <row r="21" spans="2:99" x14ac:dyDescent="0.15">
      <c r="C21" s="96" t="s">
        <v>186</v>
      </c>
      <c r="D21" s="97">
        <v>126</v>
      </c>
      <c r="E21" s="97">
        <v>7862.4</v>
      </c>
      <c r="F21" s="97">
        <v>128</v>
      </c>
      <c r="G21" s="97">
        <v>7987.2</v>
      </c>
      <c r="H21" s="97">
        <v>74</v>
      </c>
      <c r="I21" s="97">
        <v>4617.5999999999995</v>
      </c>
      <c r="J21" s="97">
        <v>70</v>
      </c>
      <c r="K21" s="97">
        <v>4368</v>
      </c>
      <c r="L21" s="97">
        <v>42</v>
      </c>
      <c r="M21" s="97">
        <v>2620.7999999999997</v>
      </c>
      <c r="N21" s="97">
        <v>59</v>
      </c>
      <c r="O21" s="97">
        <v>3681.6</v>
      </c>
      <c r="P21" s="97">
        <v>66</v>
      </c>
      <c r="Q21" s="97">
        <v>4118.3999999999996</v>
      </c>
      <c r="R21" s="97">
        <v>63</v>
      </c>
      <c r="S21" s="97">
        <v>3931.2</v>
      </c>
      <c r="T21" s="97">
        <v>48</v>
      </c>
      <c r="U21" s="97">
        <v>2995.2</v>
      </c>
      <c r="V21" s="97">
        <v>42</v>
      </c>
      <c r="W21" s="97">
        <v>2620.7999999999997</v>
      </c>
      <c r="X21" s="97">
        <v>54</v>
      </c>
      <c r="Y21" s="97">
        <v>3369.6</v>
      </c>
      <c r="Z21" s="97">
        <v>49</v>
      </c>
      <c r="AA21" s="97">
        <v>3057.6</v>
      </c>
      <c r="AB21" s="97">
        <v>28</v>
      </c>
      <c r="AC21" s="97">
        <v>1747.2</v>
      </c>
      <c r="AD21" s="97">
        <v>25</v>
      </c>
      <c r="AE21" s="97">
        <v>1560</v>
      </c>
      <c r="AF21" s="97">
        <v>27</v>
      </c>
      <c r="AG21" s="97">
        <v>1684.8</v>
      </c>
      <c r="AH21" s="97">
        <v>36</v>
      </c>
      <c r="AI21" s="97">
        <v>2246.4</v>
      </c>
      <c r="AJ21" s="97">
        <v>23</v>
      </c>
      <c r="AK21" s="97">
        <v>1435.2</v>
      </c>
      <c r="AL21" s="97">
        <v>17</v>
      </c>
      <c r="AM21" s="97">
        <v>1060.8</v>
      </c>
      <c r="AN21" s="97">
        <v>20</v>
      </c>
      <c r="AO21" s="97">
        <v>1248</v>
      </c>
      <c r="AP21" s="97">
        <v>22</v>
      </c>
      <c r="AQ21" s="97">
        <v>1372.8</v>
      </c>
      <c r="AR21" s="97">
        <v>21</v>
      </c>
      <c r="AS21" s="97">
        <v>1310.3999999999999</v>
      </c>
      <c r="AT21" s="97">
        <v>20</v>
      </c>
      <c r="AU21" s="97">
        <v>1248</v>
      </c>
      <c r="AV21" s="97">
        <v>13</v>
      </c>
      <c r="AW21" s="97">
        <v>811.19999999999993</v>
      </c>
      <c r="AX21" s="97">
        <v>19</v>
      </c>
      <c r="AY21" s="97">
        <v>1185.5999999999999</v>
      </c>
      <c r="AZ21" s="97">
        <v>9</v>
      </c>
      <c r="BA21" s="97">
        <v>561.6</v>
      </c>
      <c r="BB21" s="97">
        <v>14</v>
      </c>
      <c r="BC21" s="97">
        <v>873.6</v>
      </c>
      <c r="BD21" s="97">
        <v>8</v>
      </c>
      <c r="BE21" s="97">
        <v>499.2</v>
      </c>
      <c r="BF21" s="97">
        <v>10</v>
      </c>
      <c r="BG21" s="97">
        <v>624</v>
      </c>
      <c r="BH21" s="97">
        <v>10</v>
      </c>
      <c r="BI21" s="97">
        <v>624</v>
      </c>
      <c r="BJ21" s="97">
        <v>13</v>
      </c>
      <c r="BK21" s="97">
        <v>811.19999999999993</v>
      </c>
      <c r="BL21" s="97">
        <v>11</v>
      </c>
      <c r="BM21" s="97">
        <v>686.4</v>
      </c>
      <c r="BN21" s="97">
        <v>8</v>
      </c>
      <c r="BO21" s="97">
        <v>499.2</v>
      </c>
      <c r="BP21" s="97">
        <v>10</v>
      </c>
      <c r="BQ21" s="97">
        <v>624</v>
      </c>
      <c r="BR21" s="97">
        <v>7</v>
      </c>
      <c r="BS21" s="97">
        <v>436.8</v>
      </c>
      <c r="BT21" s="97">
        <v>9</v>
      </c>
      <c r="BU21" s="97">
        <v>561.6</v>
      </c>
      <c r="BV21" s="97">
        <v>11</v>
      </c>
      <c r="BW21" s="97">
        <v>686.4</v>
      </c>
      <c r="BX21" s="97">
        <v>8</v>
      </c>
      <c r="BY21" s="97">
        <v>499.2</v>
      </c>
      <c r="BZ21" s="97">
        <v>7</v>
      </c>
      <c r="CA21" s="97">
        <v>436.8</v>
      </c>
      <c r="CB21" s="97">
        <v>7</v>
      </c>
      <c r="CC21" s="97">
        <v>436.8</v>
      </c>
      <c r="CD21" s="97">
        <v>7</v>
      </c>
      <c r="CE21" s="97">
        <v>436.8</v>
      </c>
      <c r="CF21" s="97">
        <v>7</v>
      </c>
      <c r="CG21" s="97">
        <v>436.8</v>
      </c>
      <c r="CH21" s="97">
        <v>7</v>
      </c>
      <c r="CI21" s="97">
        <v>436.8</v>
      </c>
      <c r="CJ21" s="97">
        <v>6</v>
      </c>
      <c r="CK21" s="97">
        <v>374.4</v>
      </c>
      <c r="CL21" s="97">
        <v>5</v>
      </c>
      <c r="CM21" s="97">
        <v>312</v>
      </c>
      <c r="CN21" s="97">
        <v>3</v>
      </c>
      <c r="CO21" s="97">
        <v>187.2</v>
      </c>
      <c r="CP21" s="97">
        <v>6</v>
      </c>
      <c r="CQ21" s="97">
        <v>374.4</v>
      </c>
      <c r="CR21" s="97">
        <v>5</v>
      </c>
      <c r="CS21" s="97">
        <v>312</v>
      </c>
      <c r="CT21" s="97">
        <v>5</v>
      </c>
      <c r="CU21" s="97">
        <v>312</v>
      </c>
    </row>
    <row r="22" spans="2:99" x14ac:dyDescent="0.15">
      <c r="C22" s="96" t="s">
        <v>187</v>
      </c>
      <c r="D22" s="97">
        <v>119</v>
      </c>
      <c r="E22" s="97">
        <v>22276.799999999999</v>
      </c>
      <c r="F22" s="97">
        <v>122</v>
      </c>
      <c r="G22" s="97">
        <v>22838.399999999998</v>
      </c>
      <c r="H22" s="97">
        <v>70</v>
      </c>
      <c r="I22" s="97">
        <v>13104</v>
      </c>
      <c r="J22" s="97">
        <v>79</v>
      </c>
      <c r="K22" s="97">
        <v>14788.8</v>
      </c>
      <c r="L22" s="97">
        <v>39</v>
      </c>
      <c r="M22" s="97">
        <v>7300.7999999999993</v>
      </c>
      <c r="N22" s="97">
        <v>51</v>
      </c>
      <c r="O22" s="97">
        <v>9547.1999999999989</v>
      </c>
      <c r="P22" s="97">
        <v>75</v>
      </c>
      <c r="Q22" s="97">
        <v>14040</v>
      </c>
      <c r="R22" s="97">
        <v>60</v>
      </c>
      <c r="S22" s="97">
        <v>11232</v>
      </c>
      <c r="T22" s="97">
        <v>43</v>
      </c>
      <c r="U22" s="97">
        <v>8049.5999999999995</v>
      </c>
      <c r="V22" s="97">
        <v>37</v>
      </c>
      <c r="W22" s="97">
        <v>6926.4</v>
      </c>
      <c r="X22" s="97">
        <v>52</v>
      </c>
      <c r="Y22" s="97">
        <v>9734.4</v>
      </c>
      <c r="Z22" s="97">
        <v>55</v>
      </c>
      <c r="AA22" s="97">
        <v>10296</v>
      </c>
      <c r="AB22" s="97">
        <v>32</v>
      </c>
      <c r="AC22" s="97">
        <v>5990.4</v>
      </c>
      <c r="AD22" s="97">
        <v>23</v>
      </c>
      <c r="AE22" s="97">
        <v>4305.5999999999995</v>
      </c>
      <c r="AF22" s="97">
        <v>27</v>
      </c>
      <c r="AG22" s="97">
        <v>5054.3999999999996</v>
      </c>
      <c r="AH22" s="97">
        <v>39</v>
      </c>
      <c r="AI22" s="97">
        <v>7300.7999999999993</v>
      </c>
      <c r="AJ22" s="97">
        <v>22</v>
      </c>
      <c r="AK22" s="97">
        <v>4118.3999999999996</v>
      </c>
      <c r="AL22" s="97">
        <v>15</v>
      </c>
      <c r="AM22" s="97">
        <v>2808</v>
      </c>
      <c r="AN22" s="97">
        <v>21</v>
      </c>
      <c r="AO22" s="97">
        <v>3931.2</v>
      </c>
      <c r="AP22" s="97">
        <v>21</v>
      </c>
      <c r="AQ22" s="97">
        <v>3931.2</v>
      </c>
      <c r="AR22" s="97">
        <v>20</v>
      </c>
      <c r="AS22" s="97">
        <v>3744</v>
      </c>
      <c r="AT22" s="97">
        <v>20</v>
      </c>
      <c r="AU22" s="97">
        <v>3744</v>
      </c>
      <c r="AV22" s="97">
        <v>14</v>
      </c>
      <c r="AW22" s="97">
        <v>2620.7999999999997</v>
      </c>
      <c r="AX22" s="97">
        <v>19</v>
      </c>
      <c r="AY22" s="97">
        <v>3556.7999999999997</v>
      </c>
      <c r="AZ22" s="97">
        <v>9</v>
      </c>
      <c r="BA22" s="97">
        <v>1684.8</v>
      </c>
      <c r="BB22" s="97">
        <v>12</v>
      </c>
      <c r="BC22" s="97">
        <v>2246.3999999999996</v>
      </c>
      <c r="BD22" s="97">
        <v>9</v>
      </c>
      <c r="BE22" s="97">
        <v>1684.8</v>
      </c>
      <c r="BF22" s="97">
        <v>9</v>
      </c>
      <c r="BG22" s="97">
        <v>1684.8</v>
      </c>
      <c r="BH22" s="97">
        <v>12</v>
      </c>
      <c r="BI22" s="97">
        <v>2246.3999999999996</v>
      </c>
      <c r="BJ22" s="97">
        <v>13</v>
      </c>
      <c r="BK22" s="97">
        <v>2433.6</v>
      </c>
      <c r="BL22" s="97">
        <v>11</v>
      </c>
      <c r="BM22" s="97">
        <v>2059.1999999999998</v>
      </c>
      <c r="BN22" s="97">
        <v>10</v>
      </c>
      <c r="BO22" s="97">
        <v>1872</v>
      </c>
      <c r="BP22" s="97">
        <v>9</v>
      </c>
      <c r="BQ22" s="97">
        <v>1684.8</v>
      </c>
      <c r="BR22" s="97">
        <v>7</v>
      </c>
      <c r="BS22" s="97">
        <v>1310.3999999999999</v>
      </c>
      <c r="BT22" s="97">
        <v>7</v>
      </c>
      <c r="BU22" s="97">
        <v>1310.3999999999999</v>
      </c>
      <c r="BV22" s="97">
        <v>10</v>
      </c>
      <c r="BW22" s="97">
        <v>1872</v>
      </c>
      <c r="BX22" s="97">
        <v>9</v>
      </c>
      <c r="BY22" s="97">
        <v>1684.8</v>
      </c>
      <c r="BZ22" s="97">
        <v>8</v>
      </c>
      <c r="CA22" s="97">
        <v>1497.6</v>
      </c>
      <c r="CB22" s="97">
        <v>7</v>
      </c>
      <c r="CC22" s="97">
        <v>1310.3999999999999</v>
      </c>
      <c r="CD22" s="97">
        <v>7</v>
      </c>
      <c r="CE22" s="97">
        <v>1310.3999999999999</v>
      </c>
      <c r="CF22" s="97">
        <v>7</v>
      </c>
      <c r="CG22" s="97">
        <v>1310.3999999999999</v>
      </c>
      <c r="CH22" s="97">
        <v>7</v>
      </c>
      <c r="CI22" s="97">
        <v>1310.3999999999999</v>
      </c>
      <c r="CJ22" s="97">
        <v>6</v>
      </c>
      <c r="CK22" s="97">
        <v>1123.1999999999998</v>
      </c>
      <c r="CL22" s="97">
        <v>5</v>
      </c>
      <c r="CM22" s="97">
        <v>936</v>
      </c>
      <c r="CN22" s="97">
        <v>4</v>
      </c>
      <c r="CO22" s="97">
        <v>748.8</v>
      </c>
      <c r="CP22" s="97">
        <v>5</v>
      </c>
      <c r="CQ22" s="97">
        <v>936</v>
      </c>
      <c r="CR22" s="97">
        <v>4</v>
      </c>
      <c r="CS22" s="97">
        <v>748.8</v>
      </c>
      <c r="CT22" s="97">
        <v>5</v>
      </c>
      <c r="CU22" s="97">
        <v>936</v>
      </c>
    </row>
    <row r="23" spans="2:99" x14ac:dyDescent="0.15">
      <c r="C23" s="96" t="s">
        <v>188</v>
      </c>
      <c r="D23" s="97">
        <v>131</v>
      </c>
      <c r="E23" s="97">
        <v>38514</v>
      </c>
      <c r="F23" s="97">
        <v>124</v>
      </c>
      <c r="G23" s="97">
        <v>36456</v>
      </c>
      <c r="H23" s="97">
        <v>73</v>
      </c>
      <c r="I23" s="97">
        <v>21462</v>
      </c>
      <c r="J23" s="97">
        <v>72</v>
      </c>
      <c r="K23" s="97">
        <v>21168</v>
      </c>
      <c r="L23" s="97">
        <v>38</v>
      </c>
      <c r="M23" s="97">
        <v>11172</v>
      </c>
      <c r="N23" s="97">
        <v>56</v>
      </c>
      <c r="O23" s="97">
        <v>16464</v>
      </c>
      <c r="P23" s="97">
        <v>65</v>
      </c>
      <c r="Q23" s="97">
        <v>19110</v>
      </c>
      <c r="R23" s="97">
        <v>59</v>
      </c>
      <c r="S23" s="97">
        <v>17346</v>
      </c>
      <c r="T23" s="97">
        <v>46</v>
      </c>
      <c r="U23" s="97">
        <v>13524</v>
      </c>
      <c r="V23" s="97">
        <v>41</v>
      </c>
      <c r="W23" s="97">
        <v>12054</v>
      </c>
      <c r="X23" s="97">
        <v>54</v>
      </c>
      <c r="Y23" s="97">
        <v>15876</v>
      </c>
      <c r="Z23" s="97">
        <v>54</v>
      </c>
      <c r="AA23" s="97">
        <v>15876</v>
      </c>
      <c r="AB23" s="97">
        <v>28</v>
      </c>
      <c r="AC23" s="97">
        <v>8232</v>
      </c>
      <c r="AD23" s="97">
        <v>24</v>
      </c>
      <c r="AE23" s="97">
        <v>7056</v>
      </c>
      <c r="AF23" s="97">
        <v>30</v>
      </c>
      <c r="AG23" s="97">
        <v>8820</v>
      </c>
      <c r="AH23" s="97">
        <v>38</v>
      </c>
      <c r="AI23" s="97">
        <v>11172</v>
      </c>
      <c r="AJ23" s="97">
        <v>22</v>
      </c>
      <c r="AK23" s="97">
        <v>6468</v>
      </c>
      <c r="AL23" s="97">
        <v>15</v>
      </c>
      <c r="AM23" s="97">
        <v>4410</v>
      </c>
      <c r="AN23" s="97">
        <v>18</v>
      </c>
      <c r="AO23" s="97">
        <v>5292</v>
      </c>
      <c r="AP23" s="97">
        <v>19</v>
      </c>
      <c r="AQ23" s="97">
        <v>5586</v>
      </c>
      <c r="AR23" s="97">
        <v>21</v>
      </c>
      <c r="AS23" s="97">
        <v>6174</v>
      </c>
      <c r="AT23" s="97">
        <v>20</v>
      </c>
      <c r="AU23" s="97">
        <v>5880</v>
      </c>
      <c r="AV23" s="97">
        <v>14</v>
      </c>
      <c r="AW23" s="97">
        <v>4116</v>
      </c>
      <c r="AX23" s="97">
        <v>17</v>
      </c>
      <c r="AY23" s="97">
        <v>4998</v>
      </c>
      <c r="AZ23" s="97">
        <v>8</v>
      </c>
      <c r="BA23" s="97">
        <v>2352</v>
      </c>
      <c r="BB23" s="97">
        <v>12</v>
      </c>
      <c r="BC23" s="97">
        <v>3528</v>
      </c>
      <c r="BD23" s="97">
        <v>8</v>
      </c>
      <c r="BE23" s="97">
        <v>2352</v>
      </c>
      <c r="BF23" s="97">
        <v>9</v>
      </c>
      <c r="BG23" s="97">
        <v>2646</v>
      </c>
      <c r="BH23" s="97">
        <v>11</v>
      </c>
      <c r="BI23" s="97">
        <v>3234</v>
      </c>
      <c r="BJ23" s="97">
        <v>14</v>
      </c>
      <c r="BK23" s="97">
        <v>4116</v>
      </c>
      <c r="BL23" s="97">
        <v>11</v>
      </c>
      <c r="BM23" s="97">
        <v>3234</v>
      </c>
      <c r="BN23" s="97">
        <v>8</v>
      </c>
      <c r="BO23" s="97">
        <v>2352</v>
      </c>
      <c r="BP23" s="97">
        <v>9</v>
      </c>
      <c r="BQ23" s="97">
        <v>2646</v>
      </c>
      <c r="BR23" s="97">
        <v>6</v>
      </c>
      <c r="BS23" s="97">
        <v>1764</v>
      </c>
      <c r="BT23" s="97">
        <v>8</v>
      </c>
      <c r="BU23" s="97">
        <v>2352</v>
      </c>
      <c r="BV23" s="97">
        <v>11</v>
      </c>
      <c r="BW23" s="97">
        <v>3234</v>
      </c>
      <c r="BX23" s="97">
        <v>8</v>
      </c>
      <c r="BY23" s="97">
        <v>2352</v>
      </c>
      <c r="BZ23" s="97">
        <v>7</v>
      </c>
      <c r="CA23" s="97">
        <v>2058</v>
      </c>
      <c r="CB23" s="97">
        <v>7</v>
      </c>
      <c r="CC23" s="97">
        <v>2058</v>
      </c>
      <c r="CD23" s="97">
        <v>7</v>
      </c>
      <c r="CE23" s="97">
        <v>2058</v>
      </c>
      <c r="CF23" s="97">
        <v>6</v>
      </c>
      <c r="CG23" s="97">
        <v>1764</v>
      </c>
      <c r="CH23" s="97">
        <v>7</v>
      </c>
      <c r="CI23" s="97">
        <v>2058</v>
      </c>
      <c r="CJ23" s="97">
        <v>6</v>
      </c>
      <c r="CK23" s="97">
        <v>1764</v>
      </c>
      <c r="CL23" s="97">
        <v>4</v>
      </c>
      <c r="CM23" s="97">
        <v>1176</v>
      </c>
      <c r="CN23" s="97">
        <v>4</v>
      </c>
      <c r="CO23" s="97">
        <v>1176</v>
      </c>
      <c r="CP23" s="97">
        <v>6</v>
      </c>
      <c r="CQ23" s="97">
        <v>1764</v>
      </c>
      <c r="CR23" s="97">
        <v>5</v>
      </c>
      <c r="CS23" s="97">
        <v>1470</v>
      </c>
      <c r="CT23" s="97">
        <v>5</v>
      </c>
      <c r="CU23" s="97">
        <v>1470</v>
      </c>
    </row>
    <row r="24" spans="2:99" x14ac:dyDescent="0.15">
      <c r="C24" s="96" t="s">
        <v>189</v>
      </c>
      <c r="D24" s="97">
        <v>117</v>
      </c>
      <c r="E24" s="97">
        <v>42962.400000000001</v>
      </c>
      <c r="F24" s="97">
        <v>124</v>
      </c>
      <c r="G24" s="97">
        <v>45532.799999999996</v>
      </c>
      <c r="H24" s="97">
        <v>63</v>
      </c>
      <c r="I24" s="97">
        <v>23133.599999999999</v>
      </c>
      <c r="J24" s="97">
        <v>71</v>
      </c>
      <c r="K24" s="97">
        <v>26071.200000000001</v>
      </c>
      <c r="L24" s="97">
        <v>43</v>
      </c>
      <c r="M24" s="97">
        <v>15789.6</v>
      </c>
      <c r="N24" s="97">
        <v>50</v>
      </c>
      <c r="O24" s="97">
        <v>18360</v>
      </c>
      <c r="P24" s="97">
        <v>67</v>
      </c>
      <c r="Q24" s="97">
        <v>24602.399999999998</v>
      </c>
      <c r="R24" s="97">
        <v>56</v>
      </c>
      <c r="S24" s="97">
        <v>20563.2</v>
      </c>
      <c r="T24" s="97">
        <v>42</v>
      </c>
      <c r="U24" s="97">
        <v>15422.4</v>
      </c>
      <c r="V24" s="97">
        <v>43</v>
      </c>
      <c r="W24" s="97">
        <v>15789.6</v>
      </c>
      <c r="X24" s="97">
        <v>49</v>
      </c>
      <c r="Y24" s="97">
        <v>17992.8</v>
      </c>
      <c r="Z24" s="97">
        <v>50</v>
      </c>
      <c r="AA24" s="97">
        <v>18360</v>
      </c>
      <c r="AB24" s="97">
        <v>32</v>
      </c>
      <c r="AC24" s="97">
        <v>11750.4</v>
      </c>
      <c r="AD24" s="97">
        <v>23</v>
      </c>
      <c r="AE24" s="97">
        <v>8445.6</v>
      </c>
      <c r="AF24" s="97">
        <v>26</v>
      </c>
      <c r="AG24" s="97">
        <v>9547.1999999999989</v>
      </c>
      <c r="AH24" s="97">
        <v>35</v>
      </c>
      <c r="AI24" s="97">
        <v>12852</v>
      </c>
      <c r="AJ24" s="97">
        <v>22</v>
      </c>
      <c r="AK24" s="97">
        <v>8078.4</v>
      </c>
      <c r="AL24" s="97">
        <v>16</v>
      </c>
      <c r="AM24" s="97">
        <v>5875.2</v>
      </c>
      <c r="AN24" s="97">
        <v>21</v>
      </c>
      <c r="AO24" s="97">
        <v>7711.2</v>
      </c>
      <c r="AP24" s="97">
        <v>20</v>
      </c>
      <c r="AQ24" s="97">
        <v>7344</v>
      </c>
      <c r="AR24" s="97">
        <v>18</v>
      </c>
      <c r="AS24" s="97">
        <v>6609.5999999999995</v>
      </c>
      <c r="AT24" s="97">
        <v>18</v>
      </c>
      <c r="AU24" s="97">
        <v>6609.5999999999995</v>
      </c>
      <c r="AV24" s="97">
        <v>12</v>
      </c>
      <c r="AW24" s="97">
        <v>4406.3999999999996</v>
      </c>
      <c r="AX24" s="97">
        <v>19</v>
      </c>
      <c r="AY24" s="97">
        <v>6976.8</v>
      </c>
      <c r="AZ24" s="97">
        <v>8</v>
      </c>
      <c r="BA24" s="97">
        <v>2937.6</v>
      </c>
      <c r="BB24" s="97">
        <v>14</v>
      </c>
      <c r="BC24" s="97">
        <v>5140.8</v>
      </c>
      <c r="BD24" s="97">
        <v>9</v>
      </c>
      <c r="BE24" s="97">
        <v>3304.7999999999997</v>
      </c>
      <c r="BF24" s="97">
        <v>9</v>
      </c>
      <c r="BG24" s="97">
        <v>3304.7999999999997</v>
      </c>
      <c r="BH24" s="97">
        <v>10</v>
      </c>
      <c r="BI24" s="97">
        <v>3672</v>
      </c>
      <c r="BJ24" s="97">
        <v>12</v>
      </c>
      <c r="BK24" s="97">
        <v>4406.3999999999996</v>
      </c>
      <c r="BL24" s="97">
        <v>11</v>
      </c>
      <c r="BM24" s="97">
        <v>4039.2</v>
      </c>
      <c r="BN24" s="97">
        <v>8</v>
      </c>
      <c r="BO24" s="97">
        <v>2937.6</v>
      </c>
      <c r="BP24" s="97">
        <v>9</v>
      </c>
      <c r="BQ24" s="97">
        <v>3304.7999999999997</v>
      </c>
      <c r="BR24" s="97">
        <v>7</v>
      </c>
      <c r="BS24" s="97">
        <v>2570.4</v>
      </c>
      <c r="BT24" s="97">
        <v>7</v>
      </c>
      <c r="BU24" s="97">
        <v>2570.4</v>
      </c>
      <c r="BV24" s="97">
        <v>10</v>
      </c>
      <c r="BW24" s="97">
        <v>3672</v>
      </c>
      <c r="BX24" s="97">
        <v>8</v>
      </c>
      <c r="BY24" s="97">
        <v>2937.6</v>
      </c>
      <c r="BZ24" s="97">
        <v>8</v>
      </c>
      <c r="CA24" s="97">
        <v>2937.6</v>
      </c>
      <c r="CB24" s="97">
        <v>7</v>
      </c>
      <c r="CC24" s="97">
        <v>2570.4</v>
      </c>
      <c r="CD24" s="97">
        <v>7</v>
      </c>
      <c r="CE24" s="97">
        <v>2570.4</v>
      </c>
      <c r="CF24" s="97">
        <v>7</v>
      </c>
      <c r="CG24" s="97">
        <v>2570.4</v>
      </c>
      <c r="CH24" s="97">
        <v>6</v>
      </c>
      <c r="CI24" s="97">
        <v>2203.1999999999998</v>
      </c>
      <c r="CJ24" s="97">
        <v>6</v>
      </c>
      <c r="CK24" s="97">
        <v>2203.1999999999998</v>
      </c>
      <c r="CL24" s="97">
        <v>4</v>
      </c>
      <c r="CM24" s="97">
        <v>1468.8</v>
      </c>
      <c r="CN24" s="97">
        <v>4</v>
      </c>
      <c r="CO24" s="97">
        <v>1468.8</v>
      </c>
      <c r="CP24" s="97">
        <v>5</v>
      </c>
      <c r="CQ24" s="97">
        <v>1836</v>
      </c>
      <c r="CR24" s="97">
        <v>5</v>
      </c>
      <c r="CS24" s="97">
        <v>1836</v>
      </c>
      <c r="CT24" s="97">
        <v>4</v>
      </c>
      <c r="CU24" s="97">
        <v>1468.8</v>
      </c>
    </row>
    <row r="25" spans="2:99" x14ac:dyDescent="0.15">
      <c r="C25" s="96" t="s">
        <v>190</v>
      </c>
      <c r="D25" s="97">
        <v>124</v>
      </c>
      <c r="E25" s="97">
        <v>65769.599999999991</v>
      </c>
      <c r="F25" s="97">
        <v>108</v>
      </c>
      <c r="G25" s="97">
        <v>57283.199999999997</v>
      </c>
      <c r="H25" s="97">
        <v>62</v>
      </c>
      <c r="I25" s="97">
        <v>32884.799999999996</v>
      </c>
      <c r="J25" s="97">
        <v>62</v>
      </c>
      <c r="K25" s="97">
        <v>32884.799999999996</v>
      </c>
      <c r="L25" s="97">
        <v>43</v>
      </c>
      <c r="M25" s="97">
        <v>22807.200000000001</v>
      </c>
      <c r="N25" s="97">
        <v>59</v>
      </c>
      <c r="O25" s="97">
        <v>31293.599999999999</v>
      </c>
      <c r="P25" s="97">
        <v>68</v>
      </c>
      <c r="Q25" s="97">
        <v>36067.199999999997</v>
      </c>
      <c r="R25" s="97">
        <v>55</v>
      </c>
      <c r="S25" s="97">
        <v>29172</v>
      </c>
      <c r="T25" s="97">
        <v>46</v>
      </c>
      <c r="U25" s="97">
        <v>24398.399999999998</v>
      </c>
      <c r="V25" s="97">
        <v>38</v>
      </c>
      <c r="W25" s="97">
        <v>20155.2</v>
      </c>
      <c r="X25" s="97">
        <v>48</v>
      </c>
      <c r="Y25" s="97">
        <v>25459.199999999997</v>
      </c>
      <c r="Z25" s="97">
        <v>49</v>
      </c>
      <c r="AA25" s="97">
        <v>25989.599999999999</v>
      </c>
      <c r="AB25" s="97">
        <v>30</v>
      </c>
      <c r="AC25" s="97">
        <v>15912</v>
      </c>
      <c r="AD25" s="97">
        <v>24</v>
      </c>
      <c r="AE25" s="97">
        <v>12729.599999999999</v>
      </c>
      <c r="AF25" s="97">
        <v>28</v>
      </c>
      <c r="AG25" s="97">
        <v>14851.199999999999</v>
      </c>
      <c r="AH25" s="97">
        <v>38</v>
      </c>
      <c r="AI25" s="97">
        <v>20155.2</v>
      </c>
      <c r="AJ25" s="97">
        <v>24</v>
      </c>
      <c r="AK25" s="97">
        <v>12729.599999999999</v>
      </c>
      <c r="AL25" s="97">
        <v>16</v>
      </c>
      <c r="AM25" s="97">
        <v>8486.4</v>
      </c>
      <c r="AN25" s="97">
        <v>19</v>
      </c>
      <c r="AO25" s="97">
        <v>10077.6</v>
      </c>
      <c r="AP25" s="97">
        <v>18</v>
      </c>
      <c r="AQ25" s="97">
        <v>9547.1999999999989</v>
      </c>
      <c r="AR25" s="97">
        <v>19</v>
      </c>
      <c r="AS25" s="97">
        <v>10077.6</v>
      </c>
      <c r="AT25" s="97">
        <v>16</v>
      </c>
      <c r="AU25" s="97">
        <v>8486.4</v>
      </c>
      <c r="AV25" s="97">
        <v>12</v>
      </c>
      <c r="AW25" s="97">
        <v>6364.7999999999993</v>
      </c>
      <c r="AX25" s="97">
        <v>16</v>
      </c>
      <c r="AY25" s="97">
        <v>8486.4</v>
      </c>
      <c r="AZ25" s="97">
        <v>8</v>
      </c>
      <c r="BA25" s="97">
        <v>4243.2</v>
      </c>
      <c r="BB25" s="97">
        <v>13</v>
      </c>
      <c r="BC25" s="97">
        <v>6895.2</v>
      </c>
      <c r="BD25" s="97">
        <v>8</v>
      </c>
      <c r="BE25" s="97">
        <v>4243.2</v>
      </c>
      <c r="BF25" s="97">
        <v>10</v>
      </c>
      <c r="BG25" s="97">
        <v>5304</v>
      </c>
      <c r="BH25" s="97">
        <v>11</v>
      </c>
      <c r="BI25" s="97">
        <v>5834.4</v>
      </c>
      <c r="BJ25" s="97">
        <v>12</v>
      </c>
      <c r="BK25" s="97">
        <v>6364.7999999999993</v>
      </c>
      <c r="BL25" s="97">
        <v>12</v>
      </c>
      <c r="BM25" s="97">
        <v>6364.7999999999993</v>
      </c>
      <c r="BN25" s="97">
        <v>10</v>
      </c>
      <c r="BO25" s="97">
        <v>5304</v>
      </c>
      <c r="BP25" s="97">
        <v>10</v>
      </c>
      <c r="BQ25" s="97">
        <v>5304</v>
      </c>
      <c r="BR25" s="97">
        <v>6</v>
      </c>
      <c r="BS25" s="97">
        <v>3182.3999999999996</v>
      </c>
      <c r="BT25" s="97">
        <v>7</v>
      </c>
      <c r="BU25" s="97">
        <v>3712.7999999999997</v>
      </c>
      <c r="BV25" s="97">
        <v>11</v>
      </c>
      <c r="BW25" s="97">
        <v>5834.4</v>
      </c>
      <c r="BX25" s="97">
        <v>8</v>
      </c>
      <c r="BY25" s="97">
        <v>4243.2</v>
      </c>
      <c r="BZ25" s="97">
        <v>8</v>
      </c>
      <c r="CA25" s="97">
        <v>4243.2</v>
      </c>
      <c r="CB25" s="97">
        <v>7</v>
      </c>
      <c r="CC25" s="97">
        <v>3712.7999999999997</v>
      </c>
      <c r="CD25" s="97">
        <v>8</v>
      </c>
      <c r="CE25" s="97">
        <v>4243.2</v>
      </c>
      <c r="CF25" s="97">
        <v>7</v>
      </c>
      <c r="CG25" s="97">
        <v>3712.7999999999997</v>
      </c>
      <c r="CH25" s="97">
        <v>7</v>
      </c>
      <c r="CI25" s="97">
        <v>3712.7999999999997</v>
      </c>
      <c r="CJ25" s="97">
        <v>5</v>
      </c>
      <c r="CK25" s="97">
        <v>2652</v>
      </c>
      <c r="CL25" s="97">
        <v>4</v>
      </c>
      <c r="CM25" s="97">
        <v>2121.6</v>
      </c>
      <c r="CN25" s="97">
        <v>3</v>
      </c>
      <c r="CO25" s="97">
        <v>1591.1999999999998</v>
      </c>
      <c r="CP25" s="97">
        <v>6</v>
      </c>
      <c r="CQ25" s="97">
        <v>3182.3999999999996</v>
      </c>
      <c r="CR25" s="97">
        <v>4</v>
      </c>
      <c r="CS25" s="97">
        <v>2121.6</v>
      </c>
      <c r="CT25" s="97">
        <v>4</v>
      </c>
      <c r="CU25" s="97">
        <v>2121.6</v>
      </c>
    </row>
    <row r="26" spans="2:99" x14ac:dyDescent="0.15">
      <c r="C26" s="96" t="s">
        <v>191</v>
      </c>
      <c r="D26" s="97">
        <v>114</v>
      </c>
      <c r="E26" s="97">
        <v>55404</v>
      </c>
      <c r="F26" s="97">
        <v>117</v>
      </c>
      <c r="G26" s="97">
        <v>56862</v>
      </c>
      <c r="H26" s="97">
        <v>61</v>
      </c>
      <c r="I26" s="97">
        <v>29646</v>
      </c>
      <c r="J26" s="97">
        <v>65</v>
      </c>
      <c r="K26" s="97">
        <v>31590</v>
      </c>
      <c r="L26" s="97">
        <v>44</v>
      </c>
      <c r="M26" s="97">
        <v>21384</v>
      </c>
      <c r="N26" s="97">
        <v>53</v>
      </c>
      <c r="O26" s="97">
        <v>25758</v>
      </c>
      <c r="P26" s="97">
        <v>59</v>
      </c>
      <c r="Q26" s="97">
        <v>28674</v>
      </c>
      <c r="R26" s="97">
        <v>55</v>
      </c>
      <c r="S26" s="97">
        <v>26730</v>
      </c>
      <c r="T26" s="97">
        <v>46</v>
      </c>
      <c r="U26" s="97">
        <v>22356</v>
      </c>
      <c r="V26" s="97">
        <v>39</v>
      </c>
      <c r="W26" s="97">
        <v>18954</v>
      </c>
      <c r="X26" s="97">
        <v>54</v>
      </c>
      <c r="Y26" s="97">
        <v>26244</v>
      </c>
      <c r="Z26" s="97">
        <v>48</v>
      </c>
      <c r="AA26" s="97">
        <v>23328</v>
      </c>
      <c r="AB26" s="97">
        <v>27</v>
      </c>
      <c r="AC26" s="97">
        <v>13122</v>
      </c>
      <c r="AD26" s="97">
        <v>22</v>
      </c>
      <c r="AE26" s="97">
        <v>10692</v>
      </c>
      <c r="AF26" s="97">
        <v>26</v>
      </c>
      <c r="AG26" s="97">
        <v>12636</v>
      </c>
      <c r="AH26" s="97">
        <v>34</v>
      </c>
      <c r="AI26" s="97">
        <v>16524</v>
      </c>
      <c r="AJ26" s="97">
        <v>22</v>
      </c>
      <c r="AK26" s="97">
        <v>10692</v>
      </c>
      <c r="AL26" s="97">
        <v>16</v>
      </c>
      <c r="AM26" s="97">
        <v>7776</v>
      </c>
      <c r="AN26" s="97">
        <v>20</v>
      </c>
      <c r="AO26" s="97">
        <v>9720</v>
      </c>
      <c r="AP26" s="97">
        <v>19</v>
      </c>
      <c r="AQ26" s="97">
        <v>9234</v>
      </c>
      <c r="AR26" s="97">
        <v>18</v>
      </c>
      <c r="AS26" s="97">
        <v>8748</v>
      </c>
      <c r="AT26" s="97">
        <v>17</v>
      </c>
      <c r="AU26" s="97">
        <v>8262</v>
      </c>
      <c r="AV26" s="97">
        <v>14</v>
      </c>
      <c r="AW26" s="97">
        <v>6804</v>
      </c>
      <c r="AX26" s="97">
        <v>19</v>
      </c>
      <c r="AY26" s="97">
        <v>9234</v>
      </c>
      <c r="AZ26" s="97">
        <v>9</v>
      </c>
      <c r="BA26" s="97">
        <v>4374</v>
      </c>
      <c r="BB26" s="97">
        <v>13</v>
      </c>
      <c r="BC26" s="97">
        <v>6318</v>
      </c>
      <c r="BD26" s="97">
        <v>9</v>
      </c>
      <c r="BE26" s="97">
        <v>4374</v>
      </c>
      <c r="BF26" s="97">
        <v>10</v>
      </c>
      <c r="BG26" s="97">
        <v>4860</v>
      </c>
      <c r="BH26" s="97">
        <v>10</v>
      </c>
      <c r="BI26" s="97">
        <v>4860</v>
      </c>
      <c r="BJ26" s="97">
        <v>12</v>
      </c>
      <c r="BK26" s="97">
        <v>5832</v>
      </c>
      <c r="BL26" s="97">
        <v>11</v>
      </c>
      <c r="BM26" s="97">
        <v>5346</v>
      </c>
      <c r="BN26" s="97">
        <v>8</v>
      </c>
      <c r="BO26" s="97">
        <v>3888</v>
      </c>
      <c r="BP26" s="97">
        <v>11</v>
      </c>
      <c r="BQ26" s="97">
        <v>5346</v>
      </c>
      <c r="BR26" s="97">
        <v>6</v>
      </c>
      <c r="BS26" s="97">
        <v>2916</v>
      </c>
      <c r="BT26" s="97">
        <v>8</v>
      </c>
      <c r="BU26" s="97">
        <v>3888</v>
      </c>
      <c r="BV26" s="97">
        <v>11</v>
      </c>
      <c r="BW26" s="97">
        <v>5346</v>
      </c>
      <c r="BX26" s="97">
        <v>9</v>
      </c>
      <c r="BY26" s="97">
        <v>4374</v>
      </c>
      <c r="BZ26" s="97">
        <v>8</v>
      </c>
      <c r="CA26" s="97">
        <v>3888</v>
      </c>
      <c r="CB26" s="97">
        <v>7</v>
      </c>
      <c r="CC26" s="97">
        <v>3402</v>
      </c>
      <c r="CD26" s="97">
        <v>6</v>
      </c>
      <c r="CE26" s="97">
        <v>2916</v>
      </c>
      <c r="CF26" s="97">
        <v>7</v>
      </c>
      <c r="CG26" s="97">
        <v>3402</v>
      </c>
      <c r="CH26" s="97">
        <v>8</v>
      </c>
      <c r="CI26" s="97">
        <v>3888</v>
      </c>
      <c r="CJ26" s="97">
        <v>6</v>
      </c>
      <c r="CK26" s="97">
        <v>2916</v>
      </c>
      <c r="CL26" s="97">
        <v>4</v>
      </c>
      <c r="CM26" s="97">
        <v>1944</v>
      </c>
      <c r="CN26" s="97">
        <v>3</v>
      </c>
      <c r="CO26" s="97">
        <v>1458</v>
      </c>
      <c r="CP26" s="97">
        <v>5</v>
      </c>
      <c r="CQ26" s="97">
        <v>2430</v>
      </c>
      <c r="CR26" s="97">
        <v>5</v>
      </c>
      <c r="CS26" s="97">
        <v>2430</v>
      </c>
      <c r="CT26" s="97">
        <v>5</v>
      </c>
      <c r="CU26" s="97">
        <v>2430</v>
      </c>
    </row>
    <row r="27" spans="2:99" x14ac:dyDescent="0.15">
      <c r="C27" s="96" t="s">
        <v>192</v>
      </c>
      <c r="D27" s="97">
        <v>117</v>
      </c>
      <c r="E27" s="97">
        <v>49982.400000000001</v>
      </c>
      <c r="F27" s="97">
        <v>111</v>
      </c>
      <c r="G27" s="97">
        <v>47419.199999999997</v>
      </c>
      <c r="H27" s="97">
        <v>66</v>
      </c>
      <c r="I27" s="97">
        <v>28195.200000000001</v>
      </c>
      <c r="J27" s="97">
        <v>66</v>
      </c>
      <c r="K27" s="97">
        <v>28195.200000000001</v>
      </c>
      <c r="L27" s="97">
        <v>39</v>
      </c>
      <c r="M27" s="97">
        <v>16660.8</v>
      </c>
      <c r="N27" s="97">
        <v>56</v>
      </c>
      <c r="O27" s="97">
        <v>23923.200000000001</v>
      </c>
      <c r="P27" s="97">
        <v>62</v>
      </c>
      <c r="Q27" s="97">
        <v>26486.399999999998</v>
      </c>
      <c r="R27" s="97">
        <v>58</v>
      </c>
      <c r="S27" s="97">
        <v>24777.599999999999</v>
      </c>
      <c r="T27" s="97">
        <v>49</v>
      </c>
      <c r="U27" s="97">
        <v>20932.8</v>
      </c>
      <c r="V27" s="97">
        <v>42</v>
      </c>
      <c r="W27" s="97">
        <v>17942.399999999998</v>
      </c>
      <c r="X27" s="97">
        <v>53</v>
      </c>
      <c r="Y27" s="97">
        <v>22641.599999999999</v>
      </c>
      <c r="Z27" s="97">
        <v>55</v>
      </c>
      <c r="AA27" s="97">
        <v>23496</v>
      </c>
      <c r="AB27" s="97">
        <v>32</v>
      </c>
      <c r="AC27" s="97">
        <v>13670.4</v>
      </c>
      <c r="AD27" s="97">
        <v>24</v>
      </c>
      <c r="AE27" s="97">
        <v>10252.799999999999</v>
      </c>
      <c r="AF27" s="97">
        <v>30</v>
      </c>
      <c r="AG27" s="97">
        <v>12816</v>
      </c>
      <c r="AH27" s="97">
        <v>39</v>
      </c>
      <c r="AI27" s="97">
        <v>16660.8</v>
      </c>
      <c r="AJ27" s="97">
        <v>22</v>
      </c>
      <c r="AK27" s="97">
        <v>9398.4</v>
      </c>
      <c r="AL27" s="97">
        <v>16</v>
      </c>
      <c r="AM27" s="97">
        <v>6835.2</v>
      </c>
      <c r="AN27" s="97">
        <v>19</v>
      </c>
      <c r="AO27" s="97">
        <v>8116.8</v>
      </c>
      <c r="AP27" s="97">
        <v>18</v>
      </c>
      <c r="AQ27" s="97">
        <v>7689.5999999999995</v>
      </c>
      <c r="AR27" s="97">
        <v>21</v>
      </c>
      <c r="AS27" s="97">
        <v>8971.1999999999989</v>
      </c>
      <c r="AT27" s="97">
        <v>17</v>
      </c>
      <c r="AU27" s="97">
        <v>7262.4</v>
      </c>
      <c r="AV27" s="97">
        <v>13</v>
      </c>
      <c r="AW27" s="97">
        <v>5553.5999999999995</v>
      </c>
      <c r="AX27" s="97">
        <v>17</v>
      </c>
      <c r="AY27" s="97">
        <v>7262.4</v>
      </c>
      <c r="AZ27" s="97">
        <v>8</v>
      </c>
      <c r="BA27" s="97">
        <v>3417.6</v>
      </c>
      <c r="BB27" s="97">
        <v>13</v>
      </c>
      <c r="BC27" s="97">
        <v>5553.5999999999995</v>
      </c>
      <c r="BD27" s="97">
        <v>9</v>
      </c>
      <c r="BE27" s="97">
        <v>3844.7999999999997</v>
      </c>
      <c r="BF27" s="97">
        <v>10</v>
      </c>
      <c r="BG27" s="97">
        <v>4272</v>
      </c>
      <c r="BH27" s="97">
        <v>11</v>
      </c>
      <c r="BI27" s="97">
        <v>4699.2</v>
      </c>
      <c r="BJ27" s="97">
        <v>12</v>
      </c>
      <c r="BK27" s="97">
        <v>5126.3999999999996</v>
      </c>
      <c r="BL27" s="97">
        <v>13</v>
      </c>
      <c r="BM27" s="97">
        <v>5553.5999999999995</v>
      </c>
      <c r="BN27" s="97">
        <v>10</v>
      </c>
      <c r="BO27" s="97">
        <v>4272</v>
      </c>
      <c r="BP27" s="97">
        <v>9</v>
      </c>
      <c r="BQ27" s="97">
        <v>3844.7999999999997</v>
      </c>
      <c r="BR27" s="97">
        <v>6</v>
      </c>
      <c r="BS27" s="97">
        <v>2563.1999999999998</v>
      </c>
      <c r="BT27" s="97">
        <v>8</v>
      </c>
      <c r="BU27" s="97">
        <v>3417.6</v>
      </c>
      <c r="BV27" s="97">
        <v>11</v>
      </c>
      <c r="BW27" s="97">
        <v>4699.2</v>
      </c>
      <c r="BX27" s="97">
        <v>8</v>
      </c>
      <c r="BY27" s="97">
        <v>3417.6</v>
      </c>
      <c r="BZ27" s="97">
        <v>7</v>
      </c>
      <c r="CA27" s="97">
        <v>2990.4</v>
      </c>
      <c r="CB27" s="97">
        <v>8</v>
      </c>
      <c r="CC27" s="97">
        <v>3417.6</v>
      </c>
      <c r="CD27" s="97">
        <v>6</v>
      </c>
      <c r="CE27" s="97">
        <v>2563.1999999999998</v>
      </c>
      <c r="CF27" s="97">
        <v>7</v>
      </c>
      <c r="CG27" s="97">
        <v>2990.4</v>
      </c>
      <c r="CH27" s="97">
        <v>7</v>
      </c>
      <c r="CI27" s="97">
        <v>2990.4</v>
      </c>
      <c r="CJ27" s="97">
        <v>5</v>
      </c>
      <c r="CK27" s="97">
        <v>2136</v>
      </c>
      <c r="CL27" s="97">
        <v>4</v>
      </c>
      <c r="CM27" s="97">
        <v>1708.8</v>
      </c>
      <c r="CN27" s="97">
        <v>4</v>
      </c>
      <c r="CO27" s="97">
        <v>1708.8</v>
      </c>
      <c r="CP27" s="97">
        <v>5</v>
      </c>
      <c r="CQ27" s="97">
        <v>2136</v>
      </c>
      <c r="CR27" s="97">
        <v>4</v>
      </c>
      <c r="CS27" s="97">
        <v>1708.8</v>
      </c>
      <c r="CT27" s="97">
        <v>4</v>
      </c>
      <c r="CU27" s="97">
        <v>1708.8</v>
      </c>
    </row>
    <row r="28" spans="2:99" x14ac:dyDescent="0.15">
      <c r="C28" s="96" t="s">
        <v>193</v>
      </c>
      <c r="D28" s="97">
        <v>105</v>
      </c>
      <c r="E28" s="97">
        <v>77490</v>
      </c>
      <c r="F28" s="97">
        <v>111</v>
      </c>
      <c r="G28" s="97">
        <v>81918</v>
      </c>
      <c r="H28" s="97">
        <v>58</v>
      </c>
      <c r="I28" s="97">
        <v>42804</v>
      </c>
      <c r="J28" s="97">
        <v>67</v>
      </c>
      <c r="K28" s="97">
        <v>49446</v>
      </c>
      <c r="L28" s="97">
        <v>39</v>
      </c>
      <c r="M28" s="97">
        <v>28782</v>
      </c>
      <c r="N28" s="97">
        <v>52</v>
      </c>
      <c r="O28" s="97">
        <v>38376</v>
      </c>
      <c r="P28" s="97">
        <v>65</v>
      </c>
      <c r="Q28" s="97">
        <v>47970</v>
      </c>
      <c r="R28" s="97">
        <v>55</v>
      </c>
      <c r="S28" s="97">
        <v>40590</v>
      </c>
      <c r="T28" s="97">
        <v>41</v>
      </c>
      <c r="U28" s="97">
        <v>30258</v>
      </c>
      <c r="V28" s="97">
        <v>39</v>
      </c>
      <c r="W28" s="97">
        <v>28782</v>
      </c>
      <c r="X28" s="97">
        <v>53</v>
      </c>
      <c r="Y28" s="97">
        <v>39114</v>
      </c>
      <c r="Z28" s="97">
        <v>46</v>
      </c>
      <c r="AA28" s="97">
        <v>33948</v>
      </c>
      <c r="AB28" s="97">
        <v>27</v>
      </c>
      <c r="AC28" s="97">
        <v>19926</v>
      </c>
      <c r="AD28" s="97">
        <v>24</v>
      </c>
      <c r="AE28" s="97">
        <v>17712</v>
      </c>
      <c r="AF28" s="97">
        <v>29</v>
      </c>
      <c r="AG28" s="97">
        <v>21402</v>
      </c>
      <c r="AH28" s="97">
        <v>36</v>
      </c>
      <c r="AI28" s="97">
        <v>26568</v>
      </c>
      <c r="AJ28" s="97">
        <v>22</v>
      </c>
      <c r="AK28" s="97">
        <v>16236</v>
      </c>
      <c r="AL28" s="97">
        <v>17</v>
      </c>
      <c r="AM28" s="97">
        <v>12546</v>
      </c>
      <c r="AN28" s="97">
        <v>18</v>
      </c>
      <c r="AO28" s="97">
        <v>13284</v>
      </c>
      <c r="AP28" s="97">
        <v>18</v>
      </c>
      <c r="AQ28" s="97">
        <v>13284</v>
      </c>
      <c r="AR28" s="97">
        <v>20</v>
      </c>
      <c r="AS28" s="97">
        <v>14760</v>
      </c>
      <c r="AT28" s="97">
        <v>17</v>
      </c>
      <c r="AU28" s="97">
        <v>12546</v>
      </c>
      <c r="AV28" s="97">
        <v>12</v>
      </c>
      <c r="AW28" s="97">
        <v>8856</v>
      </c>
      <c r="AX28" s="97">
        <v>17</v>
      </c>
      <c r="AY28" s="97">
        <v>12546</v>
      </c>
      <c r="AZ28" s="97">
        <v>8</v>
      </c>
      <c r="BA28" s="97">
        <v>5904</v>
      </c>
      <c r="BB28" s="97">
        <v>13</v>
      </c>
      <c r="BC28" s="97">
        <v>9594</v>
      </c>
      <c r="BD28" s="97">
        <v>8</v>
      </c>
      <c r="BE28" s="97">
        <v>5904</v>
      </c>
      <c r="BF28" s="97">
        <v>10</v>
      </c>
      <c r="BG28" s="97">
        <v>7380</v>
      </c>
      <c r="BH28" s="97">
        <v>9</v>
      </c>
      <c r="BI28" s="97">
        <v>6642</v>
      </c>
      <c r="BJ28" s="97">
        <v>13</v>
      </c>
      <c r="BK28" s="97">
        <v>9594</v>
      </c>
      <c r="BL28" s="97">
        <v>11</v>
      </c>
      <c r="BM28" s="97">
        <v>8118</v>
      </c>
      <c r="BN28" s="97">
        <v>10</v>
      </c>
      <c r="BO28" s="97">
        <v>7380</v>
      </c>
      <c r="BP28" s="97">
        <v>10</v>
      </c>
      <c r="BQ28" s="97">
        <v>7380</v>
      </c>
      <c r="BR28" s="97">
        <v>6</v>
      </c>
      <c r="BS28" s="97">
        <v>4428</v>
      </c>
      <c r="BT28" s="97">
        <v>7</v>
      </c>
      <c r="BU28" s="97">
        <v>5166</v>
      </c>
      <c r="BV28" s="97">
        <v>11</v>
      </c>
      <c r="BW28" s="97">
        <v>8118</v>
      </c>
      <c r="BX28" s="97">
        <v>8</v>
      </c>
      <c r="BY28" s="97">
        <v>5904</v>
      </c>
      <c r="BZ28" s="97">
        <v>7</v>
      </c>
      <c r="CA28" s="97">
        <v>5166</v>
      </c>
      <c r="CB28" s="97">
        <v>7</v>
      </c>
      <c r="CC28" s="97">
        <v>5166</v>
      </c>
      <c r="CD28" s="97">
        <v>7</v>
      </c>
      <c r="CE28" s="97">
        <v>5166</v>
      </c>
      <c r="CF28" s="97">
        <v>7</v>
      </c>
      <c r="CG28" s="97">
        <v>5166</v>
      </c>
      <c r="CH28" s="97">
        <v>6</v>
      </c>
      <c r="CI28" s="97">
        <v>4428</v>
      </c>
      <c r="CJ28" s="97">
        <v>6</v>
      </c>
      <c r="CK28" s="97">
        <v>4428</v>
      </c>
      <c r="CL28" s="97">
        <v>5</v>
      </c>
      <c r="CM28" s="97">
        <v>3690</v>
      </c>
      <c r="CN28" s="97">
        <v>3</v>
      </c>
      <c r="CO28" s="97">
        <v>2214</v>
      </c>
      <c r="CP28" s="97">
        <v>5</v>
      </c>
      <c r="CQ28" s="97">
        <v>3690</v>
      </c>
      <c r="CR28" s="97">
        <v>4</v>
      </c>
      <c r="CS28" s="97">
        <v>2952</v>
      </c>
      <c r="CT28" s="97">
        <v>5</v>
      </c>
      <c r="CU28" s="97">
        <v>3690</v>
      </c>
    </row>
    <row r="29" spans="2:99" x14ac:dyDescent="0.15">
      <c r="C29" s="96" t="s">
        <v>194</v>
      </c>
      <c r="D29" s="97">
        <v>126</v>
      </c>
      <c r="E29" s="97">
        <v>42638.399999999994</v>
      </c>
      <c r="F29" s="97">
        <v>110</v>
      </c>
      <c r="G29" s="97">
        <v>37224</v>
      </c>
      <c r="H29" s="97">
        <v>71</v>
      </c>
      <c r="I29" s="97">
        <v>24026.399999999998</v>
      </c>
      <c r="J29" s="97">
        <v>68</v>
      </c>
      <c r="K29" s="97">
        <v>23011.199999999997</v>
      </c>
      <c r="L29" s="97">
        <v>44</v>
      </c>
      <c r="M29" s="97">
        <v>14889.599999999999</v>
      </c>
      <c r="N29" s="97">
        <v>52</v>
      </c>
      <c r="O29" s="97">
        <v>17596.8</v>
      </c>
      <c r="P29" s="97">
        <v>65</v>
      </c>
      <c r="Q29" s="97">
        <v>21996</v>
      </c>
      <c r="R29" s="97">
        <v>49</v>
      </c>
      <c r="S29" s="97">
        <v>16581.599999999999</v>
      </c>
      <c r="T29" s="97">
        <v>46</v>
      </c>
      <c r="U29" s="97">
        <v>15566.4</v>
      </c>
      <c r="V29" s="97">
        <v>40</v>
      </c>
      <c r="W29" s="97">
        <v>13536</v>
      </c>
      <c r="X29" s="97">
        <v>49</v>
      </c>
      <c r="Y29" s="97">
        <v>16581.599999999999</v>
      </c>
      <c r="Z29" s="97">
        <v>47</v>
      </c>
      <c r="AA29" s="97">
        <v>15904.8</v>
      </c>
      <c r="AB29" s="97">
        <v>26</v>
      </c>
      <c r="AC29" s="97">
        <v>8798.4</v>
      </c>
      <c r="AD29" s="97">
        <v>23</v>
      </c>
      <c r="AE29" s="97">
        <v>7783.2</v>
      </c>
      <c r="AF29" s="97">
        <v>30</v>
      </c>
      <c r="AG29" s="97">
        <v>10152</v>
      </c>
      <c r="AH29" s="97">
        <v>39</v>
      </c>
      <c r="AI29" s="97">
        <v>13197.599999999999</v>
      </c>
      <c r="AJ29" s="97">
        <v>22</v>
      </c>
      <c r="AK29" s="97">
        <v>7444.7999999999993</v>
      </c>
      <c r="AL29" s="97">
        <v>15</v>
      </c>
      <c r="AM29" s="97">
        <v>5076</v>
      </c>
      <c r="AN29" s="97">
        <v>20</v>
      </c>
      <c r="AO29" s="97">
        <v>6768</v>
      </c>
      <c r="AP29" s="97">
        <v>19</v>
      </c>
      <c r="AQ29" s="97">
        <v>6429.5999999999995</v>
      </c>
      <c r="AR29" s="97">
        <v>20</v>
      </c>
      <c r="AS29" s="97">
        <v>6768</v>
      </c>
      <c r="AT29" s="97">
        <v>18</v>
      </c>
      <c r="AU29" s="97">
        <v>6091.2</v>
      </c>
      <c r="AV29" s="97">
        <v>13</v>
      </c>
      <c r="AW29" s="97">
        <v>4399.2</v>
      </c>
      <c r="AX29" s="97">
        <v>19</v>
      </c>
      <c r="AY29" s="97">
        <v>6429.5999999999995</v>
      </c>
      <c r="AZ29" s="97">
        <v>9</v>
      </c>
      <c r="BA29" s="97">
        <v>3045.6</v>
      </c>
      <c r="BB29" s="97">
        <v>13</v>
      </c>
      <c r="BC29" s="97">
        <v>4399.2</v>
      </c>
      <c r="BD29" s="97">
        <v>8</v>
      </c>
      <c r="BE29" s="97">
        <v>2707.2</v>
      </c>
      <c r="BF29" s="97">
        <v>10</v>
      </c>
      <c r="BG29" s="97">
        <v>3384</v>
      </c>
      <c r="BH29" s="97">
        <v>10</v>
      </c>
      <c r="BI29" s="97">
        <v>3384</v>
      </c>
      <c r="BJ29" s="97">
        <v>12</v>
      </c>
      <c r="BK29" s="97">
        <v>4060.7999999999997</v>
      </c>
      <c r="BL29" s="97">
        <v>13</v>
      </c>
      <c r="BM29" s="97">
        <v>4399.2</v>
      </c>
      <c r="BN29" s="97">
        <v>9</v>
      </c>
      <c r="BO29" s="97">
        <v>3045.6</v>
      </c>
      <c r="BP29" s="97">
        <v>11</v>
      </c>
      <c r="BQ29" s="97">
        <v>3722.3999999999996</v>
      </c>
      <c r="BR29" s="97">
        <v>6</v>
      </c>
      <c r="BS29" s="97">
        <v>2030.3999999999999</v>
      </c>
      <c r="BT29" s="97">
        <v>7</v>
      </c>
      <c r="BU29" s="97">
        <v>2368.7999999999997</v>
      </c>
      <c r="BV29" s="97">
        <v>11</v>
      </c>
      <c r="BW29" s="97">
        <v>3722.3999999999996</v>
      </c>
      <c r="BX29" s="97">
        <v>8</v>
      </c>
      <c r="BY29" s="97">
        <v>2707.2</v>
      </c>
      <c r="BZ29" s="97">
        <v>7</v>
      </c>
      <c r="CA29" s="97">
        <v>2368.7999999999997</v>
      </c>
      <c r="CB29" s="97">
        <v>7</v>
      </c>
      <c r="CC29" s="97">
        <v>2368.7999999999997</v>
      </c>
      <c r="CD29" s="97">
        <v>8</v>
      </c>
      <c r="CE29" s="97">
        <v>2707.2</v>
      </c>
      <c r="CF29" s="97">
        <v>7</v>
      </c>
      <c r="CG29" s="97">
        <v>2368.7999999999997</v>
      </c>
      <c r="CH29" s="97">
        <v>7</v>
      </c>
      <c r="CI29" s="97">
        <v>2368.7999999999997</v>
      </c>
      <c r="CJ29" s="97">
        <v>6</v>
      </c>
      <c r="CK29" s="97">
        <v>2030.3999999999999</v>
      </c>
      <c r="CL29" s="97">
        <v>5</v>
      </c>
      <c r="CM29" s="97">
        <v>1692</v>
      </c>
      <c r="CN29" s="97">
        <v>4</v>
      </c>
      <c r="CO29" s="97">
        <v>1353.6</v>
      </c>
      <c r="CP29" s="97">
        <v>5</v>
      </c>
      <c r="CQ29" s="97">
        <v>1692</v>
      </c>
      <c r="CR29" s="97">
        <v>5</v>
      </c>
      <c r="CS29" s="97">
        <v>1692</v>
      </c>
      <c r="CT29" s="97">
        <v>4</v>
      </c>
      <c r="CU29" s="97">
        <v>1353.6</v>
      </c>
    </row>
    <row r="30" spans="2:99" x14ac:dyDescent="0.15">
      <c r="C30" s="96" t="s">
        <v>195</v>
      </c>
      <c r="D30" s="97">
        <v>132</v>
      </c>
      <c r="E30" s="97">
        <v>18374.399999999998</v>
      </c>
      <c r="F30" s="97">
        <v>128</v>
      </c>
      <c r="G30" s="97">
        <v>17817.599999999999</v>
      </c>
      <c r="H30" s="97">
        <v>69</v>
      </c>
      <c r="I30" s="97">
        <v>9604.7999999999993</v>
      </c>
      <c r="J30" s="97">
        <v>73</v>
      </c>
      <c r="K30" s="97">
        <v>10161.599999999999</v>
      </c>
      <c r="L30" s="97">
        <v>43</v>
      </c>
      <c r="M30" s="97">
        <v>5985.5999999999995</v>
      </c>
      <c r="N30" s="97">
        <v>57</v>
      </c>
      <c r="O30" s="97">
        <v>7934.4</v>
      </c>
      <c r="P30" s="97">
        <v>72</v>
      </c>
      <c r="Q30" s="97">
        <v>10022.4</v>
      </c>
      <c r="R30" s="97">
        <v>60</v>
      </c>
      <c r="S30" s="97">
        <v>8352</v>
      </c>
      <c r="T30" s="97">
        <v>50</v>
      </c>
      <c r="U30" s="97">
        <v>6959.9999999999991</v>
      </c>
      <c r="V30" s="97">
        <v>41</v>
      </c>
      <c r="W30" s="97">
        <v>5707.2</v>
      </c>
      <c r="X30" s="97">
        <v>56</v>
      </c>
      <c r="Y30" s="97">
        <v>7795.1999999999989</v>
      </c>
      <c r="Z30" s="97">
        <v>51</v>
      </c>
      <c r="AA30" s="97">
        <v>7099.2</v>
      </c>
      <c r="AB30" s="97">
        <v>28</v>
      </c>
      <c r="AC30" s="97">
        <v>3897.5999999999995</v>
      </c>
      <c r="AD30" s="97">
        <v>26</v>
      </c>
      <c r="AE30" s="97">
        <v>3619.2</v>
      </c>
      <c r="AF30" s="97">
        <v>30</v>
      </c>
      <c r="AG30" s="97">
        <v>4176</v>
      </c>
      <c r="AH30" s="97">
        <v>37</v>
      </c>
      <c r="AI30" s="97">
        <v>5150.3999999999996</v>
      </c>
      <c r="AJ30" s="97">
        <v>22</v>
      </c>
      <c r="AK30" s="97">
        <v>3062.3999999999996</v>
      </c>
      <c r="AL30" s="97">
        <v>16</v>
      </c>
      <c r="AM30" s="97">
        <v>2227.1999999999998</v>
      </c>
      <c r="AN30" s="97">
        <v>20</v>
      </c>
      <c r="AO30" s="97">
        <v>2784</v>
      </c>
      <c r="AP30" s="97">
        <v>22</v>
      </c>
      <c r="AQ30" s="97">
        <v>3062.3999999999996</v>
      </c>
      <c r="AR30" s="97">
        <v>22</v>
      </c>
      <c r="AS30" s="97">
        <v>3062.3999999999996</v>
      </c>
      <c r="AT30" s="97">
        <v>17</v>
      </c>
      <c r="AU30" s="97">
        <v>2366.3999999999996</v>
      </c>
      <c r="AV30" s="97">
        <v>13</v>
      </c>
      <c r="AW30" s="97">
        <v>1809.6</v>
      </c>
      <c r="AX30" s="97">
        <v>17</v>
      </c>
      <c r="AY30" s="97">
        <v>2366.3999999999996</v>
      </c>
      <c r="AZ30" s="97">
        <v>9</v>
      </c>
      <c r="BA30" s="97">
        <v>1252.8</v>
      </c>
      <c r="BB30" s="97">
        <v>12</v>
      </c>
      <c r="BC30" s="97">
        <v>1670.3999999999999</v>
      </c>
      <c r="BD30" s="97">
        <v>9</v>
      </c>
      <c r="BE30" s="97">
        <v>1252.8</v>
      </c>
      <c r="BF30" s="97">
        <v>10</v>
      </c>
      <c r="BG30" s="97">
        <v>1392</v>
      </c>
      <c r="BH30" s="97">
        <v>11</v>
      </c>
      <c r="BI30" s="97">
        <v>1531.1999999999998</v>
      </c>
      <c r="BJ30" s="97">
        <v>12</v>
      </c>
      <c r="BK30" s="97">
        <v>1670.3999999999999</v>
      </c>
      <c r="BL30" s="97">
        <v>12</v>
      </c>
      <c r="BM30" s="97">
        <v>1670.3999999999999</v>
      </c>
      <c r="BN30" s="97">
        <v>9</v>
      </c>
      <c r="BO30" s="97">
        <v>1252.8</v>
      </c>
      <c r="BP30" s="97">
        <v>11</v>
      </c>
      <c r="BQ30" s="97">
        <v>1531.1999999999998</v>
      </c>
      <c r="BR30" s="97">
        <v>7</v>
      </c>
      <c r="BS30" s="97">
        <v>974.39999999999986</v>
      </c>
      <c r="BT30" s="97">
        <v>8</v>
      </c>
      <c r="BU30" s="97">
        <v>1113.5999999999999</v>
      </c>
      <c r="BV30" s="97">
        <v>12</v>
      </c>
      <c r="BW30" s="97">
        <v>1670.3999999999999</v>
      </c>
      <c r="BX30" s="97">
        <v>8</v>
      </c>
      <c r="BY30" s="97">
        <v>1113.5999999999999</v>
      </c>
      <c r="BZ30" s="97">
        <v>7</v>
      </c>
      <c r="CA30" s="97">
        <v>974.39999999999986</v>
      </c>
      <c r="CB30" s="97">
        <v>7</v>
      </c>
      <c r="CC30" s="97">
        <v>974.39999999999986</v>
      </c>
      <c r="CD30" s="97">
        <v>7</v>
      </c>
      <c r="CE30" s="97">
        <v>974.39999999999986</v>
      </c>
      <c r="CF30" s="97">
        <v>7</v>
      </c>
      <c r="CG30" s="97">
        <v>974.39999999999986</v>
      </c>
      <c r="CH30" s="97">
        <v>7</v>
      </c>
      <c r="CI30" s="97">
        <v>974.39999999999986</v>
      </c>
      <c r="CJ30" s="97">
        <v>5</v>
      </c>
      <c r="CK30" s="97">
        <v>696</v>
      </c>
      <c r="CL30" s="97">
        <v>5</v>
      </c>
      <c r="CM30" s="97">
        <v>696</v>
      </c>
      <c r="CN30" s="97">
        <v>3</v>
      </c>
      <c r="CO30" s="97">
        <v>417.59999999999997</v>
      </c>
      <c r="CP30" s="97">
        <v>5</v>
      </c>
      <c r="CQ30" s="97">
        <v>696</v>
      </c>
      <c r="CR30" s="97">
        <v>4</v>
      </c>
      <c r="CS30" s="97">
        <v>556.79999999999995</v>
      </c>
      <c r="CT30" s="97">
        <v>5</v>
      </c>
      <c r="CU30" s="97">
        <v>696</v>
      </c>
    </row>
    <row r="31" spans="2:99" x14ac:dyDescent="0.15">
      <c r="C31" s="96" t="s">
        <v>196</v>
      </c>
      <c r="D31" s="97">
        <v>132</v>
      </c>
      <c r="E31" s="97">
        <v>44985.599999999999</v>
      </c>
      <c r="F31" s="97">
        <v>108</v>
      </c>
      <c r="G31" s="97">
        <v>36806.400000000001</v>
      </c>
      <c r="H31" s="97">
        <v>70</v>
      </c>
      <c r="I31" s="97">
        <v>23856</v>
      </c>
      <c r="J31" s="97">
        <v>66</v>
      </c>
      <c r="K31" s="97">
        <v>22492.799999999999</v>
      </c>
      <c r="L31" s="97">
        <v>38</v>
      </c>
      <c r="M31" s="97">
        <v>12950.4</v>
      </c>
      <c r="N31" s="97">
        <v>60</v>
      </c>
      <c r="O31" s="97">
        <v>20448</v>
      </c>
      <c r="P31" s="97">
        <v>72</v>
      </c>
      <c r="Q31" s="97">
        <v>24537.600000000002</v>
      </c>
      <c r="R31" s="97">
        <v>53</v>
      </c>
      <c r="S31" s="97">
        <v>18062.400000000001</v>
      </c>
      <c r="T31" s="97">
        <v>43</v>
      </c>
      <c r="U31" s="97">
        <v>14654.4</v>
      </c>
      <c r="V31" s="97">
        <v>36</v>
      </c>
      <c r="W31" s="97">
        <v>12268.800000000001</v>
      </c>
      <c r="X31" s="97">
        <v>49</v>
      </c>
      <c r="Y31" s="97">
        <v>16699.2</v>
      </c>
      <c r="Z31" s="97">
        <v>52</v>
      </c>
      <c r="AA31" s="97">
        <v>17721.600000000002</v>
      </c>
      <c r="AB31" s="97">
        <v>29</v>
      </c>
      <c r="AC31" s="97">
        <v>9883.2000000000007</v>
      </c>
      <c r="AD31" s="97">
        <v>22</v>
      </c>
      <c r="AE31" s="97">
        <v>7497.6</v>
      </c>
      <c r="AF31" s="97">
        <v>31</v>
      </c>
      <c r="AG31" s="97">
        <v>10564.800000000001</v>
      </c>
      <c r="AH31" s="97">
        <v>34</v>
      </c>
      <c r="AI31" s="97">
        <v>11587.2</v>
      </c>
      <c r="AJ31" s="97">
        <v>25</v>
      </c>
      <c r="AK31" s="97">
        <v>8520</v>
      </c>
      <c r="AL31" s="97">
        <v>15</v>
      </c>
      <c r="AM31" s="97">
        <v>5112</v>
      </c>
      <c r="AN31" s="97">
        <v>19</v>
      </c>
      <c r="AO31" s="97">
        <v>6475.2</v>
      </c>
      <c r="AP31" s="97">
        <v>22</v>
      </c>
      <c r="AQ31" s="97">
        <v>7497.6</v>
      </c>
      <c r="AR31" s="97">
        <v>21</v>
      </c>
      <c r="AS31" s="97">
        <v>7156.8</v>
      </c>
      <c r="AT31" s="97">
        <v>18</v>
      </c>
      <c r="AU31" s="97">
        <v>6134.4000000000005</v>
      </c>
      <c r="AV31" s="97">
        <v>14</v>
      </c>
      <c r="AW31" s="97">
        <v>4771.2</v>
      </c>
      <c r="AX31" s="97">
        <v>18</v>
      </c>
      <c r="AY31" s="97">
        <v>6134.4000000000005</v>
      </c>
      <c r="AZ31" s="97">
        <v>9</v>
      </c>
      <c r="BA31" s="97">
        <v>3067.2000000000003</v>
      </c>
      <c r="BB31" s="97">
        <v>12</v>
      </c>
      <c r="BC31" s="97">
        <v>4089.6000000000004</v>
      </c>
      <c r="BD31" s="97">
        <v>8</v>
      </c>
      <c r="BE31" s="97">
        <v>2726.4</v>
      </c>
      <c r="BF31" s="97">
        <v>10</v>
      </c>
      <c r="BG31" s="97">
        <v>3408</v>
      </c>
      <c r="BH31" s="97">
        <v>10</v>
      </c>
      <c r="BI31" s="97">
        <v>3408</v>
      </c>
      <c r="BJ31" s="97">
        <v>13</v>
      </c>
      <c r="BK31" s="97">
        <v>4430.4000000000005</v>
      </c>
      <c r="BL31" s="97">
        <v>12</v>
      </c>
      <c r="BM31" s="97">
        <v>4089.6000000000004</v>
      </c>
      <c r="BN31" s="97">
        <v>9</v>
      </c>
      <c r="BO31" s="97">
        <v>3067.2000000000003</v>
      </c>
      <c r="BP31" s="97">
        <v>9</v>
      </c>
      <c r="BQ31" s="97">
        <v>3067.2000000000003</v>
      </c>
      <c r="BR31" s="97">
        <v>7</v>
      </c>
      <c r="BS31" s="97">
        <v>2385.6</v>
      </c>
      <c r="BT31" s="97">
        <v>8</v>
      </c>
      <c r="BU31" s="97">
        <v>2726.4</v>
      </c>
      <c r="BV31" s="97">
        <v>11</v>
      </c>
      <c r="BW31" s="97">
        <v>3748.8</v>
      </c>
      <c r="BX31" s="97">
        <v>9</v>
      </c>
      <c r="BY31" s="97">
        <v>3067.2000000000003</v>
      </c>
      <c r="BZ31" s="97">
        <v>7</v>
      </c>
      <c r="CA31" s="97">
        <v>2385.6</v>
      </c>
      <c r="CB31" s="97">
        <v>8</v>
      </c>
      <c r="CC31" s="97">
        <v>2726.4</v>
      </c>
      <c r="CD31" s="97">
        <v>8</v>
      </c>
      <c r="CE31" s="97">
        <v>2726.4</v>
      </c>
      <c r="CF31" s="97">
        <v>8</v>
      </c>
      <c r="CG31" s="97">
        <v>2726.4</v>
      </c>
      <c r="CH31" s="97">
        <v>8</v>
      </c>
      <c r="CI31" s="97">
        <v>2726.4</v>
      </c>
      <c r="CJ31" s="97">
        <v>6</v>
      </c>
      <c r="CK31" s="97">
        <v>2044.8000000000002</v>
      </c>
      <c r="CL31" s="97">
        <v>5</v>
      </c>
      <c r="CM31" s="97">
        <v>1704</v>
      </c>
      <c r="CN31" s="97">
        <v>3</v>
      </c>
      <c r="CO31" s="97">
        <v>1022.4000000000001</v>
      </c>
      <c r="CP31" s="97">
        <v>6</v>
      </c>
      <c r="CQ31" s="97">
        <v>2044.8000000000002</v>
      </c>
      <c r="CR31" s="97">
        <v>4</v>
      </c>
      <c r="CS31" s="97">
        <v>1363.2</v>
      </c>
      <c r="CT31" s="97">
        <v>4</v>
      </c>
      <c r="CU31" s="97">
        <v>1363.2</v>
      </c>
    </row>
    <row r="32" spans="2:99" x14ac:dyDescent="0.15">
      <c r="C32" s="96" t="s">
        <v>197</v>
      </c>
      <c r="D32" s="97">
        <v>120</v>
      </c>
      <c r="E32" s="97">
        <v>100800</v>
      </c>
      <c r="F32" s="97">
        <v>106</v>
      </c>
      <c r="G32" s="97">
        <v>89040</v>
      </c>
      <c r="H32" s="97">
        <v>56</v>
      </c>
      <c r="I32" s="97">
        <v>47040</v>
      </c>
      <c r="J32" s="97">
        <v>67</v>
      </c>
      <c r="K32" s="97">
        <v>56280</v>
      </c>
      <c r="L32" s="97">
        <v>41</v>
      </c>
      <c r="M32" s="97">
        <v>34440</v>
      </c>
      <c r="N32" s="97">
        <v>48</v>
      </c>
      <c r="O32" s="97">
        <v>40320</v>
      </c>
      <c r="P32" s="97">
        <v>59</v>
      </c>
      <c r="Q32" s="97">
        <v>49560</v>
      </c>
      <c r="R32" s="97">
        <v>45</v>
      </c>
      <c r="S32" s="97">
        <v>37800</v>
      </c>
      <c r="T32" s="97">
        <v>41</v>
      </c>
      <c r="U32" s="97">
        <v>34440</v>
      </c>
      <c r="V32" s="97">
        <v>37</v>
      </c>
      <c r="W32" s="97">
        <v>31080</v>
      </c>
      <c r="X32" s="97">
        <v>46</v>
      </c>
      <c r="Y32" s="97">
        <v>38640</v>
      </c>
      <c r="Z32" s="97">
        <v>44</v>
      </c>
      <c r="AA32" s="97">
        <v>36960</v>
      </c>
      <c r="AB32" s="97">
        <v>29</v>
      </c>
      <c r="AC32" s="97">
        <v>24360</v>
      </c>
      <c r="AD32" s="97">
        <v>24</v>
      </c>
      <c r="AE32" s="97">
        <v>20160</v>
      </c>
      <c r="AF32" s="97">
        <v>25</v>
      </c>
      <c r="AG32" s="97">
        <v>21000</v>
      </c>
      <c r="AH32" s="97">
        <v>35</v>
      </c>
      <c r="AI32" s="97">
        <v>29400</v>
      </c>
      <c r="AJ32" s="97">
        <v>21</v>
      </c>
      <c r="AK32" s="97">
        <v>17640</v>
      </c>
      <c r="AL32" s="97">
        <v>17</v>
      </c>
      <c r="AM32" s="97">
        <v>14280</v>
      </c>
      <c r="AN32" s="97">
        <v>17</v>
      </c>
      <c r="AO32" s="97">
        <v>14280</v>
      </c>
      <c r="AP32" s="97">
        <v>19</v>
      </c>
      <c r="AQ32" s="97">
        <v>15960</v>
      </c>
      <c r="AR32" s="97">
        <v>21</v>
      </c>
      <c r="AS32" s="97">
        <v>17640</v>
      </c>
      <c r="AT32" s="97">
        <v>19</v>
      </c>
      <c r="AU32" s="97">
        <v>15960</v>
      </c>
      <c r="AV32" s="97">
        <v>12</v>
      </c>
      <c r="AW32" s="97">
        <v>10080</v>
      </c>
      <c r="AX32" s="97">
        <v>16</v>
      </c>
      <c r="AY32" s="97">
        <v>13440</v>
      </c>
      <c r="AZ32" s="97">
        <v>9</v>
      </c>
      <c r="BA32" s="97">
        <v>7560</v>
      </c>
      <c r="BB32" s="97">
        <v>11</v>
      </c>
      <c r="BC32" s="97">
        <v>9240</v>
      </c>
      <c r="BD32" s="97">
        <v>9</v>
      </c>
      <c r="BE32" s="97">
        <v>7560</v>
      </c>
      <c r="BF32" s="97">
        <v>9</v>
      </c>
      <c r="BG32" s="97">
        <v>7560</v>
      </c>
      <c r="BH32" s="97">
        <v>9</v>
      </c>
      <c r="BI32" s="97">
        <v>7560</v>
      </c>
      <c r="BJ32" s="97">
        <v>12</v>
      </c>
      <c r="BK32" s="97">
        <v>10080</v>
      </c>
      <c r="BL32" s="97">
        <v>10</v>
      </c>
      <c r="BM32" s="97">
        <v>8400</v>
      </c>
      <c r="BN32" s="97">
        <v>8</v>
      </c>
      <c r="BO32" s="97">
        <v>6720</v>
      </c>
      <c r="BP32" s="97">
        <v>10</v>
      </c>
      <c r="BQ32" s="97">
        <v>8400</v>
      </c>
      <c r="BR32" s="97">
        <v>6</v>
      </c>
      <c r="BS32" s="97">
        <v>5040</v>
      </c>
      <c r="BT32" s="97">
        <v>8</v>
      </c>
      <c r="BU32" s="97">
        <v>6720</v>
      </c>
      <c r="BV32" s="97">
        <v>10</v>
      </c>
      <c r="BW32" s="97">
        <v>8400</v>
      </c>
      <c r="BX32" s="97">
        <v>8</v>
      </c>
      <c r="BY32" s="97">
        <v>6720</v>
      </c>
      <c r="BZ32" s="97">
        <v>8</v>
      </c>
      <c r="CA32" s="97">
        <v>6720</v>
      </c>
      <c r="CB32" s="97">
        <v>7</v>
      </c>
      <c r="CC32" s="97">
        <v>5880</v>
      </c>
      <c r="CD32" s="97">
        <v>8</v>
      </c>
      <c r="CE32" s="97">
        <v>6720</v>
      </c>
      <c r="CF32" s="97">
        <v>7</v>
      </c>
      <c r="CG32" s="97">
        <v>5880</v>
      </c>
      <c r="CH32" s="97">
        <v>7</v>
      </c>
      <c r="CI32" s="97">
        <v>5880</v>
      </c>
      <c r="CJ32" s="97">
        <v>6</v>
      </c>
      <c r="CK32" s="97">
        <v>5040</v>
      </c>
      <c r="CL32" s="97">
        <v>4</v>
      </c>
      <c r="CM32" s="97">
        <v>3360</v>
      </c>
      <c r="CN32" s="97">
        <v>4</v>
      </c>
      <c r="CO32" s="97">
        <v>3360</v>
      </c>
      <c r="CP32" s="97">
        <v>6</v>
      </c>
      <c r="CQ32" s="97">
        <v>5040</v>
      </c>
      <c r="CR32" s="97">
        <v>4</v>
      </c>
      <c r="CS32" s="97">
        <v>3360</v>
      </c>
      <c r="CT32" s="97">
        <v>4</v>
      </c>
      <c r="CU32" s="97">
        <v>3360</v>
      </c>
    </row>
    <row r="33" spans="2:99" x14ac:dyDescent="0.15">
      <c r="C33" s="96" t="s">
        <v>198</v>
      </c>
      <c r="D33" s="97">
        <v>113</v>
      </c>
      <c r="E33" s="97">
        <v>53562</v>
      </c>
      <c r="F33" s="97">
        <v>104</v>
      </c>
      <c r="G33" s="97">
        <v>49296</v>
      </c>
      <c r="H33" s="97">
        <v>61</v>
      </c>
      <c r="I33" s="97">
        <v>28914</v>
      </c>
      <c r="J33" s="97">
        <v>72</v>
      </c>
      <c r="K33" s="97">
        <v>34128</v>
      </c>
      <c r="L33" s="97">
        <v>45</v>
      </c>
      <c r="M33" s="97">
        <v>21330</v>
      </c>
      <c r="N33" s="97">
        <v>57</v>
      </c>
      <c r="O33" s="97">
        <v>27018</v>
      </c>
      <c r="P33" s="97">
        <v>63</v>
      </c>
      <c r="Q33" s="97">
        <v>29862</v>
      </c>
      <c r="R33" s="97">
        <v>49</v>
      </c>
      <c r="S33" s="97">
        <v>23226</v>
      </c>
      <c r="T33" s="97">
        <v>44</v>
      </c>
      <c r="U33" s="97">
        <v>20856</v>
      </c>
      <c r="V33" s="97">
        <v>38</v>
      </c>
      <c r="W33" s="97">
        <v>18012</v>
      </c>
      <c r="X33" s="97">
        <v>46</v>
      </c>
      <c r="Y33" s="97">
        <v>21804</v>
      </c>
      <c r="Z33" s="97">
        <v>54</v>
      </c>
      <c r="AA33" s="97">
        <v>25596</v>
      </c>
      <c r="AB33" s="97">
        <v>28</v>
      </c>
      <c r="AC33" s="97">
        <v>13272</v>
      </c>
      <c r="AD33" s="97">
        <v>26</v>
      </c>
      <c r="AE33" s="97">
        <v>12324</v>
      </c>
      <c r="AF33" s="97">
        <v>29</v>
      </c>
      <c r="AG33" s="97">
        <v>13746</v>
      </c>
      <c r="AH33" s="97">
        <v>36</v>
      </c>
      <c r="AI33" s="97">
        <v>17064</v>
      </c>
      <c r="AJ33" s="97">
        <v>23</v>
      </c>
      <c r="AK33" s="97">
        <v>10902</v>
      </c>
      <c r="AL33" s="97">
        <v>16</v>
      </c>
      <c r="AM33" s="97">
        <v>7584</v>
      </c>
      <c r="AN33" s="97">
        <v>18</v>
      </c>
      <c r="AO33" s="97">
        <v>8532</v>
      </c>
      <c r="AP33" s="97">
        <v>19</v>
      </c>
      <c r="AQ33" s="97">
        <v>9006</v>
      </c>
      <c r="AR33" s="97">
        <v>21</v>
      </c>
      <c r="AS33" s="97">
        <v>9954</v>
      </c>
      <c r="AT33" s="97">
        <v>17</v>
      </c>
      <c r="AU33" s="97">
        <v>8058</v>
      </c>
      <c r="AV33" s="97">
        <v>12</v>
      </c>
      <c r="AW33" s="97">
        <v>5688</v>
      </c>
      <c r="AX33" s="97">
        <v>17</v>
      </c>
      <c r="AY33" s="97">
        <v>8058</v>
      </c>
      <c r="AZ33" s="97">
        <v>9</v>
      </c>
      <c r="BA33" s="97">
        <v>4266</v>
      </c>
      <c r="BB33" s="97">
        <v>12</v>
      </c>
      <c r="BC33" s="97">
        <v>5688</v>
      </c>
      <c r="BD33" s="97">
        <v>9</v>
      </c>
      <c r="BE33" s="97">
        <v>4266</v>
      </c>
      <c r="BF33" s="97">
        <v>10</v>
      </c>
      <c r="BG33" s="97">
        <v>4740</v>
      </c>
      <c r="BH33" s="97">
        <v>10</v>
      </c>
      <c r="BI33" s="97">
        <v>4740</v>
      </c>
      <c r="BJ33" s="97">
        <v>14</v>
      </c>
      <c r="BK33" s="97">
        <v>6636</v>
      </c>
      <c r="BL33" s="97">
        <v>12</v>
      </c>
      <c r="BM33" s="97">
        <v>5688</v>
      </c>
      <c r="BN33" s="97">
        <v>9</v>
      </c>
      <c r="BO33" s="97">
        <v>4266</v>
      </c>
      <c r="BP33" s="97">
        <v>11</v>
      </c>
      <c r="BQ33" s="97">
        <v>5214</v>
      </c>
      <c r="BR33" s="97">
        <v>6</v>
      </c>
      <c r="BS33" s="97">
        <v>2844</v>
      </c>
      <c r="BT33" s="97">
        <v>8</v>
      </c>
      <c r="BU33" s="97">
        <v>3792</v>
      </c>
      <c r="BV33" s="97">
        <v>11</v>
      </c>
      <c r="BW33" s="97">
        <v>5214</v>
      </c>
      <c r="BX33" s="97">
        <v>9</v>
      </c>
      <c r="BY33" s="97">
        <v>4266</v>
      </c>
      <c r="BZ33" s="97">
        <v>8</v>
      </c>
      <c r="CA33" s="97">
        <v>3792</v>
      </c>
      <c r="CB33" s="97">
        <v>6</v>
      </c>
      <c r="CC33" s="97">
        <v>2844</v>
      </c>
      <c r="CD33" s="97">
        <v>6</v>
      </c>
      <c r="CE33" s="97">
        <v>2844</v>
      </c>
      <c r="CF33" s="97">
        <v>8</v>
      </c>
      <c r="CG33" s="97">
        <v>3792</v>
      </c>
      <c r="CH33" s="97">
        <v>7</v>
      </c>
      <c r="CI33" s="97">
        <v>3318</v>
      </c>
      <c r="CJ33" s="97">
        <v>6</v>
      </c>
      <c r="CK33" s="97">
        <v>2844</v>
      </c>
      <c r="CL33" s="97">
        <v>4</v>
      </c>
      <c r="CM33" s="97">
        <v>1896</v>
      </c>
      <c r="CN33" s="97">
        <v>3</v>
      </c>
      <c r="CO33" s="97">
        <v>1422</v>
      </c>
      <c r="CP33" s="97">
        <v>6</v>
      </c>
      <c r="CQ33" s="97">
        <v>2844</v>
      </c>
      <c r="CR33" s="97">
        <v>4</v>
      </c>
      <c r="CS33" s="97">
        <v>1896</v>
      </c>
      <c r="CT33" s="97">
        <v>5</v>
      </c>
      <c r="CU33" s="97">
        <v>2370</v>
      </c>
    </row>
    <row r="34" spans="2:99" x14ac:dyDescent="0.15">
      <c r="C34" s="96" t="s">
        <v>199</v>
      </c>
      <c r="D34" s="97">
        <v>110</v>
      </c>
      <c r="E34" s="97">
        <v>60324</v>
      </c>
      <c r="F34" s="97">
        <v>118</v>
      </c>
      <c r="G34" s="97">
        <v>64711.199999999997</v>
      </c>
      <c r="H34" s="97">
        <v>68</v>
      </c>
      <c r="I34" s="97">
        <v>37291.199999999997</v>
      </c>
      <c r="J34" s="97">
        <v>70</v>
      </c>
      <c r="K34" s="97">
        <v>38388</v>
      </c>
      <c r="L34" s="97">
        <v>40</v>
      </c>
      <c r="M34" s="97">
        <v>21936</v>
      </c>
      <c r="N34" s="97">
        <v>56</v>
      </c>
      <c r="O34" s="97">
        <v>30710.399999999998</v>
      </c>
      <c r="P34" s="97">
        <v>67</v>
      </c>
      <c r="Q34" s="97">
        <v>36742.799999999996</v>
      </c>
      <c r="R34" s="97">
        <v>56</v>
      </c>
      <c r="S34" s="97">
        <v>30710.399999999998</v>
      </c>
      <c r="T34" s="97">
        <v>48</v>
      </c>
      <c r="U34" s="97">
        <v>26323.199999999997</v>
      </c>
      <c r="V34" s="97">
        <v>36</v>
      </c>
      <c r="W34" s="97">
        <v>19742.399999999998</v>
      </c>
      <c r="X34" s="97">
        <v>53</v>
      </c>
      <c r="Y34" s="97">
        <v>29065.199999999997</v>
      </c>
      <c r="Z34" s="97">
        <v>49</v>
      </c>
      <c r="AA34" s="97">
        <v>26871.599999999999</v>
      </c>
      <c r="AB34" s="97">
        <v>28</v>
      </c>
      <c r="AC34" s="97">
        <v>15355.199999999999</v>
      </c>
      <c r="AD34" s="97">
        <v>22</v>
      </c>
      <c r="AE34" s="97">
        <v>12064.8</v>
      </c>
      <c r="AF34" s="97">
        <v>29</v>
      </c>
      <c r="AG34" s="97">
        <v>15903.599999999999</v>
      </c>
      <c r="AH34" s="97">
        <v>37</v>
      </c>
      <c r="AI34" s="97">
        <v>20290.8</v>
      </c>
      <c r="AJ34" s="97">
        <v>22</v>
      </c>
      <c r="AK34" s="97">
        <v>12064.8</v>
      </c>
      <c r="AL34" s="97">
        <v>15</v>
      </c>
      <c r="AM34" s="97">
        <v>8226</v>
      </c>
      <c r="AN34" s="97">
        <v>19</v>
      </c>
      <c r="AO34" s="97">
        <v>10419.6</v>
      </c>
      <c r="AP34" s="97">
        <v>20</v>
      </c>
      <c r="AQ34" s="97">
        <v>10968</v>
      </c>
      <c r="AR34" s="97">
        <v>20</v>
      </c>
      <c r="AS34" s="97">
        <v>10968</v>
      </c>
      <c r="AT34" s="97">
        <v>17</v>
      </c>
      <c r="AU34" s="97">
        <v>9322.7999999999993</v>
      </c>
      <c r="AV34" s="97">
        <v>12</v>
      </c>
      <c r="AW34" s="97">
        <v>6580.7999999999993</v>
      </c>
      <c r="AX34" s="97">
        <v>17</v>
      </c>
      <c r="AY34" s="97">
        <v>9322.7999999999993</v>
      </c>
      <c r="AZ34" s="97">
        <v>9</v>
      </c>
      <c r="BA34" s="97">
        <v>4935.5999999999995</v>
      </c>
      <c r="BB34" s="97">
        <v>14</v>
      </c>
      <c r="BC34" s="97">
        <v>7677.5999999999995</v>
      </c>
      <c r="BD34" s="97">
        <v>8</v>
      </c>
      <c r="BE34" s="97">
        <v>4387.2</v>
      </c>
      <c r="BF34" s="97">
        <v>10</v>
      </c>
      <c r="BG34" s="97">
        <v>5484</v>
      </c>
      <c r="BH34" s="97">
        <v>11</v>
      </c>
      <c r="BI34" s="97">
        <v>6032.4</v>
      </c>
      <c r="BJ34" s="97">
        <v>13</v>
      </c>
      <c r="BK34" s="97">
        <v>7129.2</v>
      </c>
      <c r="BL34" s="97">
        <v>12</v>
      </c>
      <c r="BM34" s="97">
        <v>6580.7999999999993</v>
      </c>
      <c r="BN34" s="97">
        <v>9</v>
      </c>
      <c r="BO34" s="97">
        <v>4935.5999999999995</v>
      </c>
      <c r="BP34" s="97">
        <v>10</v>
      </c>
      <c r="BQ34" s="97">
        <v>5484</v>
      </c>
      <c r="BR34" s="97">
        <v>7</v>
      </c>
      <c r="BS34" s="97">
        <v>3838.7999999999997</v>
      </c>
      <c r="BT34" s="97">
        <v>8</v>
      </c>
      <c r="BU34" s="97">
        <v>4387.2</v>
      </c>
      <c r="BV34" s="97">
        <v>10</v>
      </c>
      <c r="BW34" s="97">
        <v>5484</v>
      </c>
      <c r="BX34" s="97">
        <v>8</v>
      </c>
      <c r="BY34" s="97">
        <v>4387.2</v>
      </c>
      <c r="BZ34" s="97">
        <v>8</v>
      </c>
      <c r="CA34" s="97">
        <v>4387.2</v>
      </c>
      <c r="CB34" s="97">
        <v>7</v>
      </c>
      <c r="CC34" s="97">
        <v>3838.7999999999997</v>
      </c>
      <c r="CD34" s="97">
        <v>6</v>
      </c>
      <c r="CE34" s="97">
        <v>3290.3999999999996</v>
      </c>
      <c r="CF34" s="97">
        <v>7</v>
      </c>
      <c r="CG34" s="97">
        <v>3838.7999999999997</v>
      </c>
      <c r="CH34" s="97">
        <v>7</v>
      </c>
      <c r="CI34" s="97">
        <v>3838.7999999999997</v>
      </c>
      <c r="CJ34" s="97">
        <v>6</v>
      </c>
      <c r="CK34" s="97">
        <v>3290.3999999999996</v>
      </c>
      <c r="CL34" s="97">
        <v>5</v>
      </c>
      <c r="CM34" s="97">
        <v>2742</v>
      </c>
      <c r="CN34" s="97">
        <v>3</v>
      </c>
      <c r="CO34" s="97">
        <v>1645.1999999999998</v>
      </c>
      <c r="CP34" s="97">
        <v>5</v>
      </c>
      <c r="CQ34" s="97">
        <v>2742</v>
      </c>
      <c r="CR34" s="97">
        <v>4</v>
      </c>
      <c r="CS34" s="97">
        <v>2193.6</v>
      </c>
      <c r="CT34" s="97">
        <v>5</v>
      </c>
      <c r="CU34" s="97">
        <v>2742</v>
      </c>
    </row>
    <row r="35" spans="2:99" x14ac:dyDescent="0.15">
      <c r="C35" s="96" t="s">
        <v>200</v>
      </c>
      <c r="D35" s="97">
        <v>116</v>
      </c>
      <c r="E35" s="97">
        <v>58324.799999999988</v>
      </c>
      <c r="F35" s="97">
        <v>103</v>
      </c>
      <c r="G35" s="97">
        <v>51788.399999999987</v>
      </c>
      <c r="H35" s="97">
        <v>70</v>
      </c>
      <c r="I35" s="97">
        <v>35195.999999999993</v>
      </c>
      <c r="J35" s="97">
        <v>66</v>
      </c>
      <c r="K35" s="97">
        <v>33184.799999999996</v>
      </c>
      <c r="L35" s="97">
        <v>37</v>
      </c>
      <c r="M35" s="97">
        <v>18603.599999999995</v>
      </c>
      <c r="N35" s="97">
        <v>50</v>
      </c>
      <c r="O35" s="97">
        <v>25139.999999999996</v>
      </c>
      <c r="P35" s="97">
        <v>60</v>
      </c>
      <c r="Q35" s="97">
        <v>30167.999999999993</v>
      </c>
      <c r="R35" s="97">
        <v>53</v>
      </c>
      <c r="S35" s="97">
        <v>26648.399999999994</v>
      </c>
      <c r="T35" s="97">
        <v>41</v>
      </c>
      <c r="U35" s="97">
        <v>20614.799999999996</v>
      </c>
      <c r="V35" s="97">
        <v>39</v>
      </c>
      <c r="W35" s="97">
        <v>19609.199999999997</v>
      </c>
      <c r="X35" s="97">
        <v>50</v>
      </c>
      <c r="Y35" s="97">
        <v>25139.999999999996</v>
      </c>
      <c r="Z35" s="97">
        <v>53</v>
      </c>
      <c r="AA35" s="97">
        <v>26648.399999999994</v>
      </c>
      <c r="AB35" s="97">
        <v>28</v>
      </c>
      <c r="AC35" s="97">
        <v>14078.399999999998</v>
      </c>
      <c r="AD35" s="97">
        <v>25</v>
      </c>
      <c r="AE35" s="97">
        <v>12569.999999999998</v>
      </c>
      <c r="AF35" s="97">
        <v>30</v>
      </c>
      <c r="AG35" s="97">
        <v>15083.999999999996</v>
      </c>
      <c r="AH35" s="97">
        <v>37</v>
      </c>
      <c r="AI35" s="97">
        <v>18603.599999999995</v>
      </c>
      <c r="AJ35" s="97">
        <v>25</v>
      </c>
      <c r="AK35" s="97">
        <v>12569.999999999998</v>
      </c>
      <c r="AL35" s="97">
        <v>17</v>
      </c>
      <c r="AM35" s="97">
        <v>8547.5999999999985</v>
      </c>
      <c r="AN35" s="97">
        <v>17</v>
      </c>
      <c r="AO35" s="97">
        <v>8547.5999999999985</v>
      </c>
      <c r="AP35" s="97">
        <v>18</v>
      </c>
      <c r="AQ35" s="97">
        <v>9050.3999999999978</v>
      </c>
      <c r="AR35" s="97">
        <v>20</v>
      </c>
      <c r="AS35" s="97">
        <v>10055.999999999998</v>
      </c>
      <c r="AT35" s="97">
        <v>17</v>
      </c>
      <c r="AU35" s="97">
        <v>8547.5999999999985</v>
      </c>
      <c r="AV35" s="97">
        <v>13</v>
      </c>
      <c r="AW35" s="97">
        <v>6536.3999999999987</v>
      </c>
      <c r="AX35" s="97">
        <v>18</v>
      </c>
      <c r="AY35" s="97">
        <v>9050.3999999999978</v>
      </c>
      <c r="AZ35" s="97">
        <v>8</v>
      </c>
      <c r="BA35" s="97">
        <v>4022.3999999999992</v>
      </c>
      <c r="BB35" s="97">
        <v>12</v>
      </c>
      <c r="BC35" s="97">
        <v>6033.5999999999985</v>
      </c>
      <c r="BD35" s="97">
        <v>9</v>
      </c>
      <c r="BE35" s="97">
        <v>4525.1999999999989</v>
      </c>
      <c r="BF35" s="97">
        <v>10</v>
      </c>
      <c r="BG35" s="97">
        <v>5027.9999999999991</v>
      </c>
      <c r="BH35" s="97">
        <v>11</v>
      </c>
      <c r="BI35" s="97">
        <v>5530.7999999999993</v>
      </c>
      <c r="BJ35" s="97">
        <v>14</v>
      </c>
      <c r="BK35" s="97">
        <v>7039.1999999999989</v>
      </c>
      <c r="BL35" s="97">
        <v>12</v>
      </c>
      <c r="BM35" s="97">
        <v>6033.5999999999985</v>
      </c>
      <c r="BN35" s="97">
        <v>9</v>
      </c>
      <c r="BO35" s="97">
        <v>4525.1999999999989</v>
      </c>
      <c r="BP35" s="97">
        <v>9</v>
      </c>
      <c r="BQ35" s="97">
        <v>4525.1999999999989</v>
      </c>
      <c r="BR35" s="97">
        <v>6</v>
      </c>
      <c r="BS35" s="97">
        <v>3016.7999999999993</v>
      </c>
      <c r="BT35" s="97">
        <v>8</v>
      </c>
      <c r="BU35" s="97">
        <v>4022.3999999999992</v>
      </c>
      <c r="BV35" s="97">
        <v>12</v>
      </c>
      <c r="BW35" s="97">
        <v>6033.5999999999985</v>
      </c>
      <c r="BX35" s="97">
        <v>8</v>
      </c>
      <c r="BY35" s="97">
        <v>4022.3999999999992</v>
      </c>
      <c r="BZ35" s="97">
        <v>7</v>
      </c>
      <c r="CA35" s="97">
        <v>3519.5999999999995</v>
      </c>
      <c r="CB35" s="97">
        <v>7</v>
      </c>
      <c r="CC35" s="97">
        <v>3519.5999999999995</v>
      </c>
      <c r="CD35" s="97">
        <v>6</v>
      </c>
      <c r="CE35" s="97">
        <v>3016.7999999999993</v>
      </c>
      <c r="CF35" s="97">
        <v>6</v>
      </c>
      <c r="CG35" s="97">
        <v>3016.7999999999993</v>
      </c>
      <c r="CH35" s="97">
        <v>7</v>
      </c>
      <c r="CI35" s="97">
        <v>3519.5999999999995</v>
      </c>
      <c r="CJ35" s="97">
        <v>6</v>
      </c>
      <c r="CK35" s="97">
        <v>3016.7999999999993</v>
      </c>
      <c r="CL35" s="97">
        <v>4</v>
      </c>
      <c r="CM35" s="97">
        <v>2011.1999999999996</v>
      </c>
      <c r="CN35" s="97">
        <v>4</v>
      </c>
      <c r="CO35" s="97">
        <v>2011.1999999999996</v>
      </c>
      <c r="CP35" s="97">
        <v>6</v>
      </c>
      <c r="CQ35" s="97">
        <v>3016.7999999999993</v>
      </c>
      <c r="CR35" s="97">
        <v>4</v>
      </c>
      <c r="CS35" s="97">
        <v>2011.1999999999996</v>
      </c>
      <c r="CT35" s="97">
        <v>4</v>
      </c>
      <c r="CU35" s="97">
        <v>2011.1999999999996</v>
      </c>
    </row>
    <row r="36" spans="2:99" x14ac:dyDescent="0.15">
      <c r="C36" s="96" t="s">
        <v>201</v>
      </c>
      <c r="D36" s="97">
        <v>107</v>
      </c>
      <c r="E36" s="97">
        <v>81405.599999999991</v>
      </c>
      <c r="F36" s="97">
        <v>105</v>
      </c>
      <c r="G36" s="97">
        <v>79884</v>
      </c>
      <c r="H36" s="97">
        <v>60</v>
      </c>
      <c r="I36" s="97">
        <v>45648</v>
      </c>
      <c r="J36" s="97">
        <v>68</v>
      </c>
      <c r="K36" s="97">
        <v>51734.399999999994</v>
      </c>
      <c r="L36" s="97">
        <v>42</v>
      </c>
      <c r="M36" s="97">
        <v>31953.599999999999</v>
      </c>
      <c r="N36" s="97">
        <v>51</v>
      </c>
      <c r="O36" s="97">
        <v>38800.799999999996</v>
      </c>
      <c r="P36" s="97">
        <v>63</v>
      </c>
      <c r="Q36" s="97">
        <v>47930.399999999994</v>
      </c>
      <c r="R36" s="97">
        <v>46</v>
      </c>
      <c r="S36" s="97">
        <v>34996.799999999996</v>
      </c>
      <c r="T36" s="97">
        <v>40</v>
      </c>
      <c r="U36" s="97">
        <v>30432</v>
      </c>
      <c r="V36" s="97">
        <v>37</v>
      </c>
      <c r="W36" s="97">
        <v>28149.599999999999</v>
      </c>
      <c r="X36" s="97">
        <v>51</v>
      </c>
      <c r="Y36" s="97">
        <v>38800.799999999996</v>
      </c>
      <c r="Z36" s="97">
        <v>50</v>
      </c>
      <c r="AA36" s="97">
        <v>38040</v>
      </c>
      <c r="AB36" s="97">
        <v>25</v>
      </c>
      <c r="AC36" s="97">
        <v>19020</v>
      </c>
      <c r="AD36" s="97">
        <v>21</v>
      </c>
      <c r="AE36" s="97">
        <v>15976.8</v>
      </c>
      <c r="AF36" s="97">
        <v>25</v>
      </c>
      <c r="AG36" s="97">
        <v>19020</v>
      </c>
      <c r="AH36" s="97">
        <v>31</v>
      </c>
      <c r="AI36" s="97">
        <v>23584.799999999999</v>
      </c>
      <c r="AJ36" s="97">
        <v>23</v>
      </c>
      <c r="AK36" s="97">
        <v>17498.399999999998</v>
      </c>
      <c r="AL36" s="97">
        <v>14</v>
      </c>
      <c r="AM36" s="97">
        <v>10651.199999999999</v>
      </c>
      <c r="AN36" s="97">
        <v>17</v>
      </c>
      <c r="AO36" s="97">
        <v>12933.599999999999</v>
      </c>
      <c r="AP36" s="97">
        <v>19</v>
      </c>
      <c r="AQ36" s="97">
        <v>14455.199999999999</v>
      </c>
      <c r="AR36" s="97">
        <v>19</v>
      </c>
      <c r="AS36" s="97">
        <v>14455.199999999999</v>
      </c>
      <c r="AT36" s="97">
        <v>18</v>
      </c>
      <c r="AU36" s="97">
        <v>13694.4</v>
      </c>
      <c r="AV36" s="97">
        <v>13</v>
      </c>
      <c r="AW36" s="97">
        <v>9890.4</v>
      </c>
      <c r="AX36" s="97">
        <v>19</v>
      </c>
      <c r="AY36" s="97">
        <v>14455.199999999999</v>
      </c>
      <c r="AZ36" s="97">
        <v>7</v>
      </c>
      <c r="BA36" s="97">
        <v>5325.5999999999995</v>
      </c>
      <c r="BB36" s="97">
        <v>13</v>
      </c>
      <c r="BC36" s="97">
        <v>9890.4</v>
      </c>
      <c r="BD36" s="97">
        <v>8</v>
      </c>
      <c r="BE36" s="97">
        <v>6086.4</v>
      </c>
      <c r="BF36" s="97">
        <v>10</v>
      </c>
      <c r="BG36" s="97">
        <v>7608</v>
      </c>
      <c r="BH36" s="97">
        <v>11</v>
      </c>
      <c r="BI36" s="97">
        <v>8368.7999999999993</v>
      </c>
      <c r="BJ36" s="97">
        <v>13</v>
      </c>
      <c r="BK36" s="97">
        <v>9890.4</v>
      </c>
      <c r="BL36" s="97">
        <v>11</v>
      </c>
      <c r="BM36" s="97">
        <v>8368.7999999999993</v>
      </c>
      <c r="BN36" s="97">
        <v>9</v>
      </c>
      <c r="BO36" s="97">
        <v>6847.2</v>
      </c>
      <c r="BP36" s="97">
        <v>10</v>
      </c>
      <c r="BQ36" s="97">
        <v>7608</v>
      </c>
      <c r="BR36" s="97">
        <v>7</v>
      </c>
      <c r="BS36" s="97">
        <v>5325.5999999999995</v>
      </c>
      <c r="BT36" s="97">
        <v>8</v>
      </c>
      <c r="BU36" s="97">
        <v>6086.4</v>
      </c>
      <c r="BV36" s="97">
        <v>11</v>
      </c>
      <c r="BW36" s="97">
        <v>8368.7999999999993</v>
      </c>
      <c r="BX36" s="97">
        <v>7</v>
      </c>
      <c r="BY36" s="97">
        <v>5325.5999999999995</v>
      </c>
      <c r="BZ36" s="97">
        <v>8</v>
      </c>
      <c r="CA36" s="97">
        <v>6086.4</v>
      </c>
      <c r="CB36" s="97">
        <v>8</v>
      </c>
      <c r="CC36" s="97">
        <v>6086.4</v>
      </c>
      <c r="CD36" s="97">
        <v>7</v>
      </c>
      <c r="CE36" s="97">
        <v>5325.5999999999995</v>
      </c>
      <c r="CF36" s="97">
        <v>7</v>
      </c>
      <c r="CG36" s="97">
        <v>5325.5999999999995</v>
      </c>
      <c r="CH36" s="97">
        <v>7</v>
      </c>
      <c r="CI36" s="97">
        <v>5325.5999999999995</v>
      </c>
      <c r="CJ36" s="97">
        <v>5</v>
      </c>
      <c r="CK36" s="97">
        <v>3804</v>
      </c>
      <c r="CL36" s="97">
        <v>4</v>
      </c>
      <c r="CM36" s="97">
        <v>3043.2</v>
      </c>
      <c r="CN36" s="97">
        <v>4</v>
      </c>
      <c r="CO36" s="97">
        <v>3043.2</v>
      </c>
      <c r="CP36" s="97">
        <v>5</v>
      </c>
      <c r="CQ36" s="97">
        <v>3804</v>
      </c>
      <c r="CR36" s="97">
        <v>4</v>
      </c>
      <c r="CS36" s="97">
        <v>3043.2</v>
      </c>
      <c r="CT36" s="97">
        <v>5</v>
      </c>
      <c r="CU36" s="97">
        <v>3804</v>
      </c>
    </row>
    <row r="37" spans="2:99" x14ac:dyDescent="0.15">
      <c r="B37" s="96" t="s">
        <v>128</v>
      </c>
      <c r="C37" s="96" t="s">
        <v>202</v>
      </c>
      <c r="D37" s="97">
        <v>113</v>
      </c>
      <c r="E37" s="97">
        <v>97225.2</v>
      </c>
      <c r="F37" s="97">
        <v>85</v>
      </c>
      <c r="G37" s="97">
        <v>73134</v>
      </c>
      <c r="H37" s="97">
        <v>53</v>
      </c>
      <c r="I37" s="97">
        <v>45601.2</v>
      </c>
      <c r="J37" s="97">
        <v>80</v>
      </c>
      <c r="K37" s="97">
        <v>68832</v>
      </c>
      <c r="L37" s="97">
        <v>54</v>
      </c>
      <c r="M37" s="97">
        <v>46461.599999999999</v>
      </c>
      <c r="N37" s="97">
        <v>57</v>
      </c>
      <c r="O37" s="97">
        <v>49042.799999999996</v>
      </c>
      <c r="P37" s="97">
        <v>57</v>
      </c>
      <c r="Q37" s="97">
        <v>49042.799999999996</v>
      </c>
      <c r="R37" s="97">
        <v>58</v>
      </c>
      <c r="S37" s="97">
        <v>49903.199999999997</v>
      </c>
      <c r="T37" s="97">
        <v>31</v>
      </c>
      <c r="U37" s="97">
        <v>26672.399999999998</v>
      </c>
      <c r="V37" s="97">
        <v>32</v>
      </c>
      <c r="W37" s="97">
        <v>27532.799999999999</v>
      </c>
      <c r="X37" s="97">
        <v>35</v>
      </c>
      <c r="Y37" s="97">
        <v>30114</v>
      </c>
      <c r="Z37" s="97">
        <v>25</v>
      </c>
      <c r="AA37" s="97">
        <v>21510</v>
      </c>
      <c r="AB37" s="97">
        <v>28</v>
      </c>
      <c r="AC37" s="97">
        <v>24091.200000000001</v>
      </c>
      <c r="AD37" s="97">
        <v>27</v>
      </c>
      <c r="AE37" s="97">
        <v>23230.799999999999</v>
      </c>
      <c r="AF37" s="97">
        <v>26</v>
      </c>
      <c r="AG37" s="97">
        <v>22370.399999999998</v>
      </c>
      <c r="AH37" s="97">
        <v>25</v>
      </c>
      <c r="AI37" s="97">
        <v>21510</v>
      </c>
      <c r="AJ37" s="97">
        <v>18</v>
      </c>
      <c r="AK37" s="97">
        <v>15487.199999999999</v>
      </c>
      <c r="AL37" s="97">
        <v>15</v>
      </c>
      <c r="AM37" s="97">
        <v>12906</v>
      </c>
      <c r="AN37" s="97">
        <v>19</v>
      </c>
      <c r="AO37" s="97">
        <v>16347.6</v>
      </c>
      <c r="AP37" s="97">
        <v>20</v>
      </c>
      <c r="AQ37" s="97">
        <v>17208</v>
      </c>
      <c r="AR37" s="97">
        <v>15</v>
      </c>
      <c r="AS37" s="97">
        <v>12906</v>
      </c>
      <c r="AT37" s="97">
        <v>11</v>
      </c>
      <c r="AU37" s="97">
        <v>9464.4</v>
      </c>
      <c r="AV37" s="97">
        <v>12</v>
      </c>
      <c r="AW37" s="97">
        <v>10324.799999999999</v>
      </c>
      <c r="AX37" s="97">
        <v>9</v>
      </c>
      <c r="AY37" s="97">
        <v>7743.5999999999995</v>
      </c>
      <c r="AZ37" s="97">
        <v>7</v>
      </c>
      <c r="BA37" s="97">
        <v>6022.8</v>
      </c>
      <c r="BB37" s="97">
        <v>8</v>
      </c>
      <c r="BC37" s="97">
        <v>6883.2</v>
      </c>
      <c r="BD37" s="97">
        <v>7</v>
      </c>
      <c r="BE37" s="97">
        <v>6022.8</v>
      </c>
      <c r="BF37" s="97">
        <v>11</v>
      </c>
      <c r="BG37" s="97">
        <v>9464.4</v>
      </c>
      <c r="BH37" s="97">
        <v>10</v>
      </c>
      <c r="BI37" s="97">
        <v>8604</v>
      </c>
      <c r="BJ37" s="97">
        <v>8</v>
      </c>
      <c r="BK37" s="97">
        <v>6883.2</v>
      </c>
      <c r="BL37" s="97">
        <v>6</v>
      </c>
      <c r="BM37" s="97">
        <v>5162.3999999999996</v>
      </c>
      <c r="BN37" s="97">
        <v>7</v>
      </c>
      <c r="BO37" s="97">
        <v>6022.8</v>
      </c>
      <c r="BP37" s="97">
        <v>7</v>
      </c>
      <c r="BQ37" s="97">
        <v>6022.8</v>
      </c>
      <c r="BR37" s="97">
        <v>7</v>
      </c>
      <c r="BS37" s="97">
        <v>6022.8</v>
      </c>
      <c r="BT37" s="97">
        <v>8</v>
      </c>
      <c r="BU37" s="97">
        <v>6883.2</v>
      </c>
      <c r="BV37" s="97">
        <v>5</v>
      </c>
      <c r="BW37" s="97">
        <v>4302</v>
      </c>
      <c r="BX37" s="97">
        <v>6</v>
      </c>
      <c r="BY37" s="97">
        <v>5162.3999999999996</v>
      </c>
      <c r="BZ37" s="97">
        <v>8</v>
      </c>
      <c r="CA37" s="97">
        <v>6883.2</v>
      </c>
      <c r="CB37" s="97">
        <v>4</v>
      </c>
      <c r="CC37" s="97">
        <v>3441.6</v>
      </c>
      <c r="CD37" s="97">
        <v>6</v>
      </c>
      <c r="CE37" s="97">
        <v>5162.3999999999996</v>
      </c>
      <c r="CF37" s="97">
        <v>4</v>
      </c>
      <c r="CG37" s="97">
        <v>3441.6</v>
      </c>
      <c r="CH37" s="97">
        <v>5</v>
      </c>
      <c r="CI37" s="97">
        <v>4302</v>
      </c>
      <c r="CJ37" s="97">
        <v>4</v>
      </c>
      <c r="CK37" s="97">
        <v>3441.6</v>
      </c>
      <c r="CL37" s="97">
        <v>5</v>
      </c>
      <c r="CM37" s="97">
        <v>4302</v>
      </c>
      <c r="CN37" s="97">
        <v>3</v>
      </c>
      <c r="CO37" s="97">
        <v>2581.1999999999998</v>
      </c>
      <c r="CP37" s="97">
        <v>4</v>
      </c>
      <c r="CQ37" s="97">
        <v>3441.6</v>
      </c>
      <c r="CR37" s="97">
        <v>4</v>
      </c>
      <c r="CS37" s="97">
        <v>3441.6</v>
      </c>
      <c r="CT37" s="97">
        <v>5</v>
      </c>
      <c r="CU37" s="97">
        <v>4302</v>
      </c>
    </row>
    <row r="38" spans="2:99" x14ac:dyDescent="0.15">
      <c r="C38" s="96" t="s">
        <v>203</v>
      </c>
      <c r="D38" s="97">
        <v>108</v>
      </c>
      <c r="E38" s="97">
        <v>134136</v>
      </c>
      <c r="F38" s="97">
        <v>78</v>
      </c>
      <c r="G38" s="97">
        <v>96876</v>
      </c>
      <c r="H38" s="97">
        <v>50</v>
      </c>
      <c r="I38" s="97">
        <v>62100</v>
      </c>
      <c r="J38" s="97">
        <v>79</v>
      </c>
      <c r="K38" s="97">
        <v>98118</v>
      </c>
      <c r="L38" s="97">
        <v>45</v>
      </c>
      <c r="M38" s="97">
        <v>55890</v>
      </c>
      <c r="N38" s="97">
        <v>51</v>
      </c>
      <c r="O38" s="97">
        <v>63342</v>
      </c>
      <c r="P38" s="97">
        <v>45</v>
      </c>
      <c r="Q38" s="97">
        <v>55890</v>
      </c>
      <c r="R38" s="97">
        <v>55</v>
      </c>
      <c r="S38" s="97">
        <v>68310</v>
      </c>
      <c r="T38" s="97">
        <v>27</v>
      </c>
      <c r="U38" s="97">
        <v>33534</v>
      </c>
      <c r="V38" s="97">
        <v>33</v>
      </c>
      <c r="W38" s="97">
        <v>40986</v>
      </c>
      <c r="X38" s="97">
        <v>33</v>
      </c>
      <c r="Y38" s="97">
        <v>40986</v>
      </c>
      <c r="Z38" s="97">
        <v>27</v>
      </c>
      <c r="AA38" s="97">
        <v>33534</v>
      </c>
      <c r="AB38" s="97">
        <v>26</v>
      </c>
      <c r="AC38" s="97">
        <v>32292</v>
      </c>
      <c r="AD38" s="97">
        <v>26</v>
      </c>
      <c r="AE38" s="97">
        <v>32292</v>
      </c>
      <c r="AF38" s="97">
        <v>24</v>
      </c>
      <c r="AG38" s="97">
        <v>29808</v>
      </c>
      <c r="AH38" s="97">
        <v>24</v>
      </c>
      <c r="AI38" s="97">
        <v>29808</v>
      </c>
      <c r="AJ38" s="97">
        <v>17</v>
      </c>
      <c r="AK38" s="97">
        <v>21114</v>
      </c>
      <c r="AL38" s="97">
        <v>15</v>
      </c>
      <c r="AM38" s="97">
        <v>18630</v>
      </c>
      <c r="AN38" s="97">
        <v>18</v>
      </c>
      <c r="AO38" s="97">
        <v>22356</v>
      </c>
      <c r="AP38" s="97">
        <v>17</v>
      </c>
      <c r="AQ38" s="97">
        <v>21114</v>
      </c>
      <c r="AR38" s="97">
        <v>15</v>
      </c>
      <c r="AS38" s="97">
        <v>18630</v>
      </c>
      <c r="AT38" s="97">
        <v>10</v>
      </c>
      <c r="AU38" s="97">
        <v>12420</v>
      </c>
      <c r="AV38" s="97">
        <v>11</v>
      </c>
      <c r="AW38" s="97">
        <v>13662</v>
      </c>
      <c r="AX38" s="97">
        <v>9</v>
      </c>
      <c r="AY38" s="97">
        <v>11178</v>
      </c>
      <c r="AZ38" s="97">
        <v>8</v>
      </c>
      <c r="BA38" s="97">
        <v>9936</v>
      </c>
      <c r="BB38" s="97">
        <v>7</v>
      </c>
      <c r="BC38" s="97">
        <v>8694</v>
      </c>
      <c r="BD38" s="97">
        <v>8</v>
      </c>
      <c r="BE38" s="97">
        <v>9936</v>
      </c>
      <c r="BF38" s="97">
        <v>10</v>
      </c>
      <c r="BG38" s="97">
        <v>12420</v>
      </c>
      <c r="BH38" s="97">
        <v>10</v>
      </c>
      <c r="BI38" s="97">
        <v>12420</v>
      </c>
      <c r="BJ38" s="97">
        <v>9</v>
      </c>
      <c r="BK38" s="97">
        <v>11178</v>
      </c>
      <c r="BL38" s="97">
        <v>6</v>
      </c>
      <c r="BM38" s="97">
        <v>7452</v>
      </c>
      <c r="BN38" s="97">
        <v>7</v>
      </c>
      <c r="BO38" s="97">
        <v>8694</v>
      </c>
      <c r="BP38" s="97">
        <v>6</v>
      </c>
      <c r="BQ38" s="97">
        <v>7452</v>
      </c>
      <c r="BR38" s="97">
        <v>7</v>
      </c>
      <c r="BS38" s="97">
        <v>8694</v>
      </c>
      <c r="BT38" s="97">
        <v>9</v>
      </c>
      <c r="BU38" s="97">
        <v>11178</v>
      </c>
      <c r="BV38" s="97">
        <v>6</v>
      </c>
      <c r="BW38" s="97">
        <v>7452</v>
      </c>
      <c r="BX38" s="97">
        <v>5</v>
      </c>
      <c r="BY38" s="97">
        <v>6210</v>
      </c>
      <c r="BZ38" s="97">
        <v>7</v>
      </c>
      <c r="CA38" s="97">
        <v>8694</v>
      </c>
      <c r="CB38" s="97">
        <v>4</v>
      </c>
      <c r="CC38" s="97">
        <v>4968</v>
      </c>
      <c r="CD38" s="97">
        <v>6</v>
      </c>
      <c r="CE38" s="97">
        <v>7452</v>
      </c>
      <c r="CF38" s="97">
        <v>5</v>
      </c>
      <c r="CG38" s="97">
        <v>6210</v>
      </c>
      <c r="CH38" s="97">
        <v>5</v>
      </c>
      <c r="CI38" s="97">
        <v>6210</v>
      </c>
      <c r="CJ38" s="97">
        <v>4</v>
      </c>
      <c r="CK38" s="97">
        <v>4968</v>
      </c>
      <c r="CL38" s="97">
        <v>4</v>
      </c>
      <c r="CM38" s="97">
        <v>4968</v>
      </c>
      <c r="CN38" s="97">
        <v>3</v>
      </c>
      <c r="CO38" s="97">
        <v>3726</v>
      </c>
      <c r="CP38" s="97">
        <v>4</v>
      </c>
      <c r="CQ38" s="97">
        <v>4968</v>
      </c>
      <c r="CR38" s="97">
        <v>4</v>
      </c>
      <c r="CS38" s="97">
        <v>4968</v>
      </c>
      <c r="CT38" s="97">
        <v>5</v>
      </c>
      <c r="CU38" s="97">
        <v>6210</v>
      </c>
    </row>
    <row r="39" spans="2:99" x14ac:dyDescent="0.15">
      <c r="C39" s="96" t="s">
        <v>204</v>
      </c>
      <c r="D39" s="97">
        <v>90</v>
      </c>
      <c r="E39" s="97">
        <v>128088</v>
      </c>
      <c r="F39" s="97">
        <v>88</v>
      </c>
      <c r="G39" s="97">
        <v>125241.60000000001</v>
      </c>
      <c r="H39" s="97">
        <v>46</v>
      </c>
      <c r="I39" s="97">
        <v>65467.200000000004</v>
      </c>
      <c r="J39" s="97">
        <v>65</v>
      </c>
      <c r="K39" s="97">
        <v>92508</v>
      </c>
      <c r="L39" s="97">
        <v>44</v>
      </c>
      <c r="M39" s="97">
        <v>62620.800000000003</v>
      </c>
      <c r="N39" s="97">
        <v>53</v>
      </c>
      <c r="O39" s="97">
        <v>75429.600000000006</v>
      </c>
      <c r="P39" s="97">
        <v>47</v>
      </c>
      <c r="Q39" s="97">
        <v>66890.400000000009</v>
      </c>
      <c r="R39" s="97">
        <v>57</v>
      </c>
      <c r="S39" s="97">
        <v>81122.400000000009</v>
      </c>
      <c r="T39" s="97">
        <v>28</v>
      </c>
      <c r="U39" s="97">
        <v>39849.599999999999</v>
      </c>
      <c r="V39" s="97">
        <v>33</v>
      </c>
      <c r="W39" s="97">
        <v>46965.599999999999</v>
      </c>
      <c r="X39" s="97">
        <v>30</v>
      </c>
      <c r="Y39" s="97">
        <v>42696</v>
      </c>
      <c r="Z39" s="97">
        <v>24</v>
      </c>
      <c r="AA39" s="97">
        <v>34156.800000000003</v>
      </c>
      <c r="AB39" s="97">
        <v>25</v>
      </c>
      <c r="AC39" s="97">
        <v>35580</v>
      </c>
      <c r="AD39" s="97">
        <v>25</v>
      </c>
      <c r="AE39" s="97">
        <v>35580</v>
      </c>
      <c r="AF39" s="97">
        <v>23</v>
      </c>
      <c r="AG39" s="97">
        <v>32733.600000000002</v>
      </c>
      <c r="AH39" s="97">
        <v>23</v>
      </c>
      <c r="AI39" s="97">
        <v>32733.600000000002</v>
      </c>
      <c r="AJ39" s="97">
        <v>18</v>
      </c>
      <c r="AK39" s="97">
        <v>25617.600000000002</v>
      </c>
      <c r="AL39" s="97">
        <v>17</v>
      </c>
      <c r="AM39" s="97">
        <v>24194.400000000001</v>
      </c>
      <c r="AN39" s="97">
        <v>17</v>
      </c>
      <c r="AO39" s="97">
        <v>24194.400000000001</v>
      </c>
      <c r="AP39" s="97">
        <v>19</v>
      </c>
      <c r="AQ39" s="97">
        <v>27040.799999999999</v>
      </c>
      <c r="AR39" s="97">
        <v>14</v>
      </c>
      <c r="AS39" s="97">
        <v>19924.8</v>
      </c>
      <c r="AT39" s="97">
        <v>10</v>
      </c>
      <c r="AU39" s="97">
        <v>14232</v>
      </c>
      <c r="AV39" s="97">
        <v>11</v>
      </c>
      <c r="AW39" s="97">
        <v>15655.2</v>
      </c>
      <c r="AX39" s="97">
        <v>10</v>
      </c>
      <c r="AY39" s="97">
        <v>14232</v>
      </c>
      <c r="AZ39" s="97">
        <v>8</v>
      </c>
      <c r="BA39" s="97">
        <v>11385.6</v>
      </c>
      <c r="BB39" s="97">
        <v>8</v>
      </c>
      <c r="BC39" s="97">
        <v>11385.6</v>
      </c>
      <c r="BD39" s="97">
        <v>7</v>
      </c>
      <c r="BE39" s="97">
        <v>9962.4</v>
      </c>
      <c r="BF39" s="97">
        <v>10</v>
      </c>
      <c r="BG39" s="97">
        <v>14232</v>
      </c>
      <c r="BH39" s="97">
        <v>9</v>
      </c>
      <c r="BI39" s="97">
        <v>12808.800000000001</v>
      </c>
      <c r="BJ39" s="97">
        <v>9</v>
      </c>
      <c r="BK39" s="97">
        <v>12808.800000000001</v>
      </c>
      <c r="BL39" s="97">
        <v>6</v>
      </c>
      <c r="BM39" s="97">
        <v>8539.2000000000007</v>
      </c>
      <c r="BN39" s="97">
        <v>6</v>
      </c>
      <c r="BO39" s="97">
        <v>8539.2000000000007</v>
      </c>
      <c r="BP39" s="97">
        <v>6</v>
      </c>
      <c r="BQ39" s="97">
        <v>8539.2000000000007</v>
      </c>
      <c r="BR39" s="97">
        <v>7</v>
      </c>
      <c r="BS39" s="97">
        <v>9962.4</v>
      </c>
      <c r="BT39" s="97">
        <v>8</v>
      </c>
      <c r="BU39" s="97">
        <v>11385.6</v>
      </c>
      <c r="BV39" s="97">
        <v>5</v>
      </c>
      <c r="BW39" s="97">
        <v>7116</v>
      </c>
      <c r="BX39" s="97">
        <v>5</v>
      </c>
      <c r="BY39" s="97">
        <v>7116</v>
      </c>
      <c r="BZ39" s="97">
        <v>7</v>
      </c>
      <c r="CA39" s="97">
        <v>9962.4</v>
      </c>
      <c r="CB39" s="97">
        <v>4</v>
      </c>
      <c r="CC39" s="97">
        <v>5692.8</v>
      </c>
      <c r="CD39" s="97">
        <v>6</v>
      </c>
      <c r="CE39" s="97">
        <v>8539.2000000000007</v>
      </c>
      <c r="CF39" s="97">
        <v>5</v>
      </c>
      <c r="CG39" s="97">
        <v>7116</v>
      </c>
      <c r="CH39" s="97">
        <v>5</v>
      </c>
      <c r="CI39" s="97">
        <v>7116</v>
      </c>
      <c r="CJ39" s="97">
        <v>4</v>
      </c>
      <c r="CK39" s="97">
        <v>5692.8</v>
      </c>
      <c r="CL39" s="97">
        <v>4</v>
      </c>
      <c r="CM39" s="97">
        <v>5692.8</v>
      </c>
      <c r="CN39" s="97">
        <v>3</v>
      </c>
      <c r="CO39" s="97">
        <v>4269.6000000000004</v>
      </c>
      <c r="CP39" s="97">
        <v>4</v>
      </c>
      <c r="CQ39" s="97">
        <v>5692.8</v>
      </c>
      <c r="CR39" s="97">
        <v>4</v>
      </c>
      <c r="CS39" s="97">
        <v>5692.8</v>
      </c>
      <c r="CT39" s="97">
        <v>5</v>
      </c>
      <c r="CU39" s="97">
        <v>7116</v>
      </c>
    </row>
    <row r="40" spans="2:99" x14ac:dyDescent="0.15">
      <c r="C40" s="96" t="s">
        <v>205</v>
      </c>
      <c r="D40" s="97">
        <v>120</v>
      </c>
      <c r="E40" s="97">
        <v>86976</v>
      </c>
      <c r="F40" s="97">
        <v>105</v>
      </c>
      <c r="G40" s="97">
        <v>76104</v>
      </c>
      <c r="H40" s="97">
        <v>58</v>
      </c>
      <c r="I40" s="97">
        <v>42038.399999999994</v>
      </c>
      <c r="J40" s="97">
        <v>86</v>
      </c>
      <c r="K40" s="97">
        <v>62332.799999999996</v>
      </c>
      <c r="L40" s="97">
        <v>54</v>
      </c>
      <c r="M40" s="97">
        <v>39139.199999999997</v>
      </c>
      <c r="N40" s="97">
        <v>55</v>
      </c>
      <c r="O40" s="97">
        <v>39864</v>
      </c>
      <c r="P40" s="97">
        <v>54</v>
      </c>
      <c r="Q40" s="97">
        <v>39139.199999999997</v>
      </c>
      <c r="R40" s="97">
        <v>61</v>
      </c>
      <c r="S40" s="97">
        <v>44212.799999999996</v>
      </c>
      <c r="T40" s="97">
        <v>30</v>
      </c>
      <c r="U40" s="97">
        <v>21744</v>
      </c>
      <c r="V40" s="97">
        <v>34</v>
      </c>
      <c r="W40" s="97">
        <v>24643.199999999997</v>
      </c>
      <c r="X40" s="97">
        <v>35</v>
      </c>
      <c r="Y40" s="97">
        <v>25368</v>
      </c>
      <c r="Z40" s="97">
        <v>29</v>
      </c>
      <c r="AA40" s="97">
        <v>21019.199999999997</v>
      </c>
      <c r="AB40" s="97">
        <v>26</v>
      </c>
      <c r="AC40" s="97">
        <v>18844.8</v>
      </c>
      <c r="AD40" s="97">
        <v>25</v>
      </c>
      <c r="AE40" s="97">
        <v>18120</v>
      </c>
      <c r="AF40" s="97">
        <v>25</v>
      </c>
      <c r="AG40" s="97">
        <v>18120</v>
      </c>
      <c r="AH40" s="97">
        <v>27</v>
      </c>
      <c r="AI40" s="97">
        <v>19569.599999999999</v>
      </c>
      <c r="AJ40" s="97">
        <v>18</v>
      </c>
      <c r="AK40" s="97">
        <v>13046.4</v>
      </c>
      <c r="AL40" s="97">
        <v>16</v>
      </c>
      <c r="AM40" s="97">
        <v>11596.8</v>
      </c>
      <c r="AN40" s="97">
        <v>20</v>
      </c>
      <c r="AO40" s="97">
        <v>14496</v>
      </c>
      <c r="AP40" s="97">
        <v>17</v>
      </c>
      <c r="AQ40" s="97">
        <v>12321.599999999999</v>
      </c>
      <c r="AR40" s="97">
        <v>16</v>
      </c>
      <c r="AS40" s="97">
        <v>11596.8</v>
      </c>
      <c r="AT40" s="97">
        <v>11</v>
      </c>
      <c r="AU40" s="97">
        <v>7972.7999999999993</v>
      </c>
      <c r="AV40" s="97">
        <v>12</v>
      </c>
      <c r="AW40" s="97">
        <v>8697.5999999999985</v>
      </c>
      <c r="AX40" s="97">
        <v>9</v>
      </c>
      <c r="AY40" s="97">
        <v>6523.2</v>
      </c>
      <c r="AZ40" s="97">
        <v>8</v>
      </c>
      <c r="BA40" s="97">
        <v>5798.4</v>
      </c>
      <c r="BB40" s="97">
        <v>8</v>
      </c>
      <c r="BC40" s="97">
        <v>5798.4</v>
      </c>
      <c r="BD40" s="97">
        <v>7</v>
      </c>
      <c r="BE40" s="97">
        <v>5073.5999999999995</v>
      </c>
      <c r="BF40" s="97">
        <v>11</v>
      </c>
      <c r="BG40" s="97">
        <v>7972.7999999999993</v>
      </c>
      <c r="BH40" s="97">
        <v>11</v>
      </c>
      <c r="BI40" s="97">
        <v>7972.7999999999993</v>
      </c>
      <c r="BJ40" s="97">
        <v>8</v>
      </c>
      <c r="BK40" s="97">
        <v>5798.4</v>
      </c>
      <c r="BL40" s="97">
        <v>6</v>
      </c>
      <c r="BM40" s="97">
        <v>4348.7999999999993</v>
      </c>
      <c r="BN40" s="97">
        <v>7</v>
      </c>
      <c r="BO40" s="97">
        <v>5073.5999999999995</v>
      </c>
      <c r="BP40" s="97">
        <v>6</v>
      </c>
      <c r="BQ40" s="97">
        <v>4348.7999999999993</v>
      </c>
      <c r="BR40" s="97">
        <v>6</v>
      </c>
      <c r="BS40" s="97">
        <v>4348.7999999999993</v>
      </c>
      <c r="BT40" s="97">
        <v>9</v>
      </c>
      <c r="BU40" s="97">
        <v>6523.2</v>
      </c>
      <c r="BV40" s="97">
        <v>5</v>
      </c>
      <c r="BW40" s="97">
        <v>3624</v>
      </c>
      <c r="BX40" s="97">
        <v>5</v>
      </c>
      <c r="BY40" s="97">
        <v>3624</v>
      </c>
      <c r="BZ40" s="97">
        <v>7</v>
      </c>
      <c r="CA40" s="97">
        <v>5073.5999999999995</v>
      </c>
      <c r="CB40" s="97">
        <v>5</v>
      </c>
      <c r="CC40" s="97">
        <v>3624</v>
      </c>
      <c r="CD40" s="97">
        <v>7</v>
      </c>
      <c r="CE40" s="97">
        <v>5073.5999999999995</v>
      </c>
      <c r="CF40" s="97">
        <v>4</v>
      </c>
      <c r="CG40" s="97">
        <v>2899.2</v>
      </c>
      <c r="CH40" s="97">
        <v>6</v>
      </c>
      <c r="CI40" s="97">
        <v>4348.7999999999993</v>
      </c>
      <c r="CJ40" s="97">
        <v>4</v>
      </c>
      <c r="CK40" s="97">
        <v>2899.2</v>
      </c>
      <c r="CL40" s="97">
        <v>4</v>
      </c>
      <c r="CM40" s="97">
        <v>2899.2</v>
      </c>
      <c r="CN40" s="97">
        <v>3</v>
      </c>
      <c r="CO40" s="97">
        <v>2174.3999999999996</v>
      </c>
      <c r="CP40" s="97">
        <v>4</v>
      </c>
      <c r="CQ40" s="97">
        <v>2899.2</v>
      </c>
      <c r="CR40" s="97">
        <v>5</v>
      </c>
      <c r="CS40" s="97">
        <v>3624</v>
      </c>
      <c r="CT40" s="97">
        <v>5</v>
      </c>
      <c r="CU40" s="97">
        <v>3624</v>
      </c>
    </row>
    <row r="41" spans="2:99" x14ac:dyDescent="0.15">
      <c r="C41" s="96" t="s">
        <v>206</v>
      </c>
      <c r="D41" s="97">
        <v>109</v>
      </c>
      <c r="E41" s="97">
        <v>71940</v>
      </c>
      <c r="F41" s="97">
        <v>105</v>
      </c>
      <c r="G41" s="97">
        <v>69300</v>
      </c>
      <c r="H41" s="97">
        <v>62</v>
      </c>
      <c r="I41" s="97">
        <v>40920</v>
      </c>
      <c r="J41" s="97">
        <v>85</v>
      </c>
      <c r="K41" s="97">
        <v>56100</v>
      </c>
      <c r="L41" s="97">
        <v>53</v>
      </c>
      <c r="M41" s="97">
        <v>34980</v>
      </c>
      <c r="N41" s="97">
        <v>55</v>
      </c>
      <c r="O41" s="97">
        <v>36300</v>
      </c>
      <c r="P41" s="97">
        <v>56</v>
      </c>
      <c r="Q41" s="97">
        <v>36960</v>
      </c>
      <c r="R41" s="97">
        <v>60</v>
      </c>
      <c r="S41" s="97">
        <v>39600</v>
      </c>
      <c r="T41" s="97">
        <v>33</v>
      </c>
      <c r="U41" s="97">
        <v>21780</v>
      </c>
      <c r="V41" s="97">
        <v>35</v>
      </c>
      <c r="W41" s="97">
        <v>23100</v>
      </c>
      <c r="X41" s="97">
        <v>34</v>
      </c>
      <c r="Y41" s="97">
        <v>22440</v>
      </c>
      <c r="Z41" s="97">
        <v>26</v>
      </c>
      <c r="AA41" s="97">
        <v>17160</v>
      </c>
      <c r="AB41" s="97">
        <v>25</v>
      </c>
      <c r="AC41" s="97">
        <v>16500</v>
      </c>
      <c r="AD41" s="97">
        <v>26</v>
      </c>
      <c r="AE41" s="97">
        <v>17160</v>
      </c>
      <c r="AF41" s="97">
        <v>27</v>
      </c>
      <c r="AG41" s="97">
        <v>17820</v>
      </c>
      <c r="AH41" s="97">
        <v>26</v>
      </c>
      <c r="AI41" s="97">
        <v>17160</v>
      </c>
      <c r="AJ41" s="97">
        <v>21</v>
      </c>
      <c r="AK41" s="97">
        <v>13860</v>
      </c>
      <c r="AL41" s="97">
        <v>16</v>
      </c>
      <c r="AM41" s="97">
        <v>10560</v>
      </c>
      <c r="AN41" s="97">
        <v>20</v>
      </c>
      <c r="AO41" s="97">
        <v>13200</v>
      </c>
      <c r="AP41" s="97">
        <v>20</v>
      </c>
      <c r="AQ41" s="97">
        <v>13200</v>
      </c>
      <c r="AR41" s="97">
        <v>14</v>
      </c>
      <c r="AS41" s="97">
        <v>9240</v>
      </c>
      <c r="AT41" s="97">
        <v>9</v>
      </c>
      <c r="AU41" s="97">
        <v>5940</v>
      </c>
      <c r="AV41" s="97">
        <v>11</v>
      </c>
      <c r="AW41" s="97">
        <v>7260</v>
      </c>
      <c r="AX41" s="97">
        <v>9</v>
      </c>
      <c r="AY41" s="97">
        <v>5940</v>
      </c>
      <c r="AZ41" s="97">
        <v>9</v>
      </c>
      <c r="BA41" s="97">
        <v>5940</v>
      </c>
      <c r="BB41" s="97">
        <v>8</v>
      </c>
      <c r="BC41" s="97">
        <v>5280</v>
      </c>
      <c r="BD41" s="97">
        <v>7</v>
      </c>
      <c r="BE41" s="97">
        <v>4620</v>
      </c>
      <c r="BF41" s="97">
        <v>11</v>
      </c>
      <c r="BG41" s="97">
        <v>7260</v>
      </c>
      <c r="BH41" s="97">
        <v>11</v>
      </c>
      <c r="BI41" s="97">
        <v>7260</v>
      </c>
      <c r="BJ41" s="97">
        <v>8</v>
      </c>
      <c r="BK41" s="97">
        <v>5280</v>
      </c>
      <c r="BL41" s="97">
        <v>6</v>
      </c>
      <c r="BM41" s="97">
        <v>3960</v>
      </c>
      <c r="BN41" s="97">
        <v>6</v>
      </c>
      <c r="BO41" s="97">
        <v>3960</v>
      </c>
      <c r="BP41" s="97">
        <v>7</v>
      </c>
      <c r="BQ41" s="97">
        <v>4620</v>
      </c>
      <c r="BR41" s="97">
        <v>7</v>
      </c>
      <c r="BS41" s="97">
        <v>4620</v>
      </c>
      <c r="BT41" s="97">
        <v>9</v>
      </c>
      <c r="BU41" s="97">
        <v>5940</v>
      </c>
      <c r="BV41" s="97">
        <v>5</v>
      </c>
      <c r="BW41" s="97">
        <v>3300</v>
      </c>
      <c r="BX41" s="97">
        <v>5</v>
      </c>
      <c r="BY41" s="97">
        <v>3300</v>
      </c>
      <c r="BZ41" s="97">
        <v>7</v>
      </c>
      <c r="CA41" s="97">
        <v>4620</v>
      </c>
      <c r="CB41" s="97">
        <v>4</v>
      </c>
      <c r="CC41" s="97">
        <v>2640</v>
      </c>
      <c r="CD41" s="97">
        <v>7</v>
      </c>
      <c r="CE41" s="97">
        <v>4620</v>
      </c>
      <c r="CF41" s="97">
        <v>5</v>
      </c>
      <c r="CG41" s="97">
        <v>3300</v>
      </c>
      <c r="CH41" s="97">
        <v>6</v>
      </c>
      <c r="CI41" s="97">
        <v>3960</v>
      </c>
      <c r="CJ41" s="97">
        <v>4</v>
      </c>
      <c r="CK41" s="97">
        <v>2640</v>
      </c>
      <c r="CL41" s="97">
        <v>4</v>
      </c>
      <c r="CM41" s="97">
        <v>2640</v>
      </c>
      <c r="CN41" s="97">
        <v>4</v>
      </c>
      <c r="CO41" s="97">
        <v>2640</v>
      </c>
      <c r="CP41" s="97">
        <v>4</v>
      </c>
      <c r="CQ41" s="97">
        <v>2640</v>
      </c>
      <c r="CR41" s="97">
        <v>5</v>
      </c>
      <c r="CS41" s="97">
        <v>3300</v>
      </c>
      <c r="CT41" s="97">
        <v>6</v>
      </c>
      <c r="CU41" s="97">
        <v>3960</v>
      </c>
    </row>
    <row r="42" spans="2:99" x14ac:dyDescent="0.15">
      <c r="C42" s="96" t="s">
        <v>207</v>
      </c>
      <c r="D42" s="97">
        <v>113</v>
      </c>
      <c r="E42" s="97">
        <v>95598</v>
      </c>
      <c r="F42" s="97">
        <v>88</v>
      </c>
      <c r="G42" s="97">
        <v>74448</v>
      </c>
      <c r="H42" s="97">
        <v>55</v>
      </c>
      <c r="I42" s="97">
        <v>46530</v>
      </c>
      <c r="J42" s="97">
        <v>87</v>
      </c>
      <c r="K42" s="97">
        <v>73602</v>
      </c>
      <c r="L42" s="97">
        <v>50</v>
      </c>
      <c r="M42" s="97">
        <v>42300</v>
      </c>
      <c r="N42" s="97">
        <v>55</v>
      </c>
      <c r="O42" s="97">
        <v>46530</v>
      </c>
      <c r="P42" s="97">
        <v>56</v>
      </c>
      <c r="Q42" s="97">
        <v>47376</v>
      </c>
      <c r="R42" s="97">
        <v>60</v>
      </c>
      <c r="S42" s="97">
        <v>50760</v>
      </c>
      <c r="T42" s="97">
        <v>28</v>
      </c>
      <c r="U42" s="97">
        <v>23688</v>
      </c>
      <c r="V42" s="97">
        <v>36</v>
      </c>
      <c r="W42" s="97">
        <v>30456</v>
      </c>
      <c r="X42" s="97">
        <v>31</v>
      </c>
      <c r="Y42" s="97">
        <v>26226</v>
      </c>
      <c r="Z42" s="97">
        <v>27</v>
      </c>
      <c r="AA42" s="97">
        <v>22842</v>
      </c>
      <c r="AB42" s="97">
        <v>26</v>
      </c>
      <c r="AC42" s="97">
        <v>21996</v>
      </c>
      <c r="AD42" s="97">
        <v>28</v>
      </c>
      <c r="AE42" s="97">
        <v>23688</v>
      </c>
      <c r="AF42" s="97">
        <v>24</v>
      </c>
      <c r="AG42" s="97">
        <v>20304</v>
      </c>
      <c r="AH42" s="97">
        <v>27</v>
      </c>
      <c r="AI42" s="97">
        <v>22842</v>
      </c>
      <c r="AJ42" s="97">
        <v>18</v>
      </c>
      <c r="AK42" s="97">
        <v>15228</v>
      </c>
      <c r="AL42" s="97">
        <v>17</v>
      </c>
      <c r="AM42" s="97">
        <v>14382</v>
      </c>
      <c r="AN42" s="97">
        <v>18</v>
      </c>
      <c r="AO42" s="97">
        <v>15228</v>
      </c>
      <c r="AP42" s="97">
        <v>18</v>
      </c>
      <c r="AQ42" s="97">
        <v>15228</v>
      </c>
      <c r="AR42" s="97">
        <v>15</v>
      </c>
      <c r="AS42" s="97">
        <v>12690</v>
      </c>
      <c r="AT42" s="97">
        <v>9</v>
      </c>
      <c r="AU42" s="97">
        <v>7614</v>
      </c>
      <c r="AV42" s="97">
        <v>11</v>
      </c>
      <c r="AW42" s="97">
        <v>9306</v>
      </c>
      <c r="AX42" s="97">
        <v>9</v>
      </c>
      <c r="AY42" s="97">
        <v>7614</v>
      </c>
      <c r="AZ42" s="97">
        <v>7</v>
      </c>
      <c r="BA42" s="97">
        <v>5922</v>
      </c>
      <c r="BB42" s="97">
        <v>8</v>
      </c>
      <c r="BC42" s="97">
        <v>6768</v>
      </c>
      <c r="BD42" s="97">
        <v>8</v>
      </c>
      <c r="BE42" s="97">
        <v>6768</v>
      </c>
      <c r="BF42" s="97">
        <v>12</v>
      </c>
      <c r="BG42" s="97">
        <v>10152</v>
      </c>
      <c r="BH42" s="97">
        <v>10</v>
      </c>
      <c r="BI42" s="97">
        <v>8460</v>
      </c>
      <c r="BJ42" s="97">
        <v>9</v>
      </c>
      <c r="BK42" s="97">
        <v>7614</v>
      </c>
      <c r="BL42" s="97">
        <v>5</v>
      </c>
      <c r="BM42" s="97">
        <v>4230</v>
      </c>
      <c r="BN42" s="97">
        <v>7</v>
      </c>
      <c r="BO42" s="97">
        <v>5922</v>
      </c>
      <c r="BP42" s="97">
        <v>7</v>
      </c>
      <c r="BQ42" s="97">
        <v>5922</v>
      </c>
      <c r="BR42" s="97">
        <v>7</v>
      </c>
      <c r="BS42" s="97">
        <v>5922</v>
      </c>
      <c r="BT42" s="97">
        <v>9</v>
      </c>
      <c r="BU42" s="97">
        <v>7614</v>
      </c>
      <c r="BV42" s="97">
        <v>5</v>
      </c>
      <c r="BW42" s="97">
        <v>4230</v>
      </c>
      <c r="BX42" s="97">
        <v>5</v>
      </c>
      <c r="BY42" s="97">
        <v>4230</v>
      </c>
      <c r="BZ42" s="97">
        <v>7</v>
      </c>
      <c r="CA42" s="97">
        <v>5922</v>
      </c>
      <c r="CB42" s="97">
        <v>4</v>
      </c>
      <c r="CC42" s="97">
        <v>3384</v>
      </c>
      <c r="CD42" s="97">
        <v>6</v>
      </c>
      <c r="CE42" s="97">
        <v>5076</v>
      </c>
      <c r="CF42" s="97">
        <v>5</v>
      </c>
      <c r="CG42" s="97">
        <v>4230</v>
      </c>
      <c r="CH42" s="97">
        <v>5</v>
      </c>
      <c r="CI42" s="97">
        <v>4230</v>
      </c>
      <c r="CJ42" s="97">
        <v>4</v>
      </c>
      <c r="CK42" s="97">
        <v>3384</v>
      </c>
      <c r="CL42" s="97">
        <v>5</v>
      </c>
      <c r="CM42" s="97">
        <v>4230</v>
      </c>
      <c r="CN42" s="97">
        <v>3</v>
      </c>
      <c r="CO42" s="97">
        <v>2538</v>
      </c>
      <c r="CP42" s="97">
        <v>4</v>
      </c>
      <c r="CQ42" s="97">
        <v>3384</v>
      </c>
      <c r="CR42" s="97">
        <v>4</v>
      </c>
      <c r="CS42" s="97">
        <v>3384</v>
      </c>
      <c r="CT42" s="97">
        <v>5</v>
      </c>
      <c r="CU42" s="97">
        <v>4230</v>
      </c>
    </row>
    <row r="43" spans="2:99" x14ac:dyDescent="0.15">
      <c r="C43" s="96" t="s">
        <v>208</v>
      </c>
      <c r="D43" s="97">
        <v>95</v>
      </c>
      <c r="E43" s="97">
        <v>97128</v>
      </c>
      <c r="F43" s="97">
        <v>87</v>
      </c>
      <c r="G43" s="97">
        <v>88948.800000000003</v>
      </c>
      <c r="H43" s="97">
        <v>53</v>
      </c>
      <c r="I43" s="97">
        <v>54187.199999999997</v>
      </c>
      <c r="J43" s="97">
        <v>70</v>
      </c>
      <c r="K43" s="97">
        <v>71568</v>
      </c>
      <c r="L43" s="97">
        <v>54</v>
      </c>
      <c r="M43" s="97">
        <v>55209.599999999999</v>
      </c>
      <c r="N43" s="97">
        <v>58</v>
      </c>
      <c r="O43" s="97">
        <v>59299.199999999997</v>
      </c>
      <c r="P43" s="97">
        <v>49</v>
      </c>
      <c r="Q43" s="97">
        <v>50097.599999999999</v>
      </c>
      <c r="R43" s="97">
        <v>58</v>
      </c>
      <c r="S43" s="97">
        <v>59299.199999999997</v>
      </c>
      <c r="T43" s="97">
        <v>28</v>
      </c>
      <c r="U43" s="97">
        <v>28627.200000000001</v>
      </c>
      <c r="V43" s="97">
        <v>36</v>
      </c>
      <c r="W43" s="97">
        <v>36806.400000000001</v>
      </c>
      <c r="X43" s="97">
        <v>33</v>
      </c>
      <c r="Y43" s="97">
        <v>33739.199999999997</v>
      </c>
      <c r="Z43" s="97">
        <v>26</v>
      </c>
      <c r="AA43" s="97">
        <v>26582.399999999998</v>
      </c>
      <c r="AB43" s="97">
        <v>28</v>
      </c>
      <c r="AC43" s="97">
        <v>28627.200000000001</v>
      </c>
      <c r="AD43" s="97">
        <v>25</v>
      </c>
      <c r="AE43" s="97">
        <v>25560</v>
      </c>
      <c r="AF43" s="97">
        <v>23</v>
      </c>
      <c r="AG43" s="97">
        <v>23515.200000000001</v>
      </c>
      <c r="AH43" s="97">
        <v>26</v>
      </c>
      <c r="AI43" s="97">
        <v>26582.399999999998</v>
      </c>
      <c r="AJ43" s="97">
        <v>19</v>
      </c>
      <c r="AK43" s="97">
        <v>19425.599999999999</v>
      </c>
      <c r="AL43" s="97">
        <v>15</v>
      </c>
      <c r="AM43" s="97">
        <v>15336</v>
      </c>
      <c r="AN43" s="97">
        <v>17</v>
      </c>
      <c r="AO43" s="97">
        <v>17380.8</v>
      </c>
      <c r="AP43" s="97">
        <v>20</v>
      </c>
      <c r="AQ43" s="97">
        <v>20448</v>
      </c>
      <c r="AR43" s="97">
        <v>14</v>
      </c>
      <c r="AS43" s="97">
        <v>14313.6</v>
      </c>
      <c r="AT43" s="97">
        <v>10</v>
      </c>
      <c r="AU43" s="97">
        <v>10224</v>
      </c>
      <c r="AV43" s="97">
        <v>11</v>
      </c>
      <c r="AW43" s="97">
        <v>11246.4</v>
      </c>
      <c r="AX43" s="97">
        <v>9</v>
      </c>
      <c r="AY43" s="97">
        <v>9201.6</v>
      </c>
      <c r="AZ43" s="97">
        <v>7</v>
      </c>
      <c r="BA43" s="97">
        <v>7156.8</v>
      </c>
      <c r="BB43" s="97">
        <v>7</v>
      </c>
      <c r="BC43" s="97">
        <v>7156.8</v>
      </c>
      <c r="BD43" s="97">
        <v>7</v>
      </c>
      <c r="BE43" s="97">
        <v>7156.8</v>
      </c>
      <c r="BF43" s="97">
        <v>10</v>
      </c>
      <c r="BG43" s="97">
        <v>10224</v>
      </c>
      <c r="BH43" s="97">
        <v>10</v>
      </c>
      <c r="BI43" s="97">
        <v>10224</v>
      </c>
      <c r="BJ43" s="97">
        <v>9</v>
      </c>
      <c r="BK43" s="97">
        <v>9201.6</v>
      </c>
      <c r="BL43" s="97">
        <v>5</v>
      </c>
      <c r="BM43" s="97">
        <v>5112</v>
      </c>
      <c r="BN43" s="97">
        <v>6</v>
      </c>
      <c r="BO43" s="97">
        <v>6134.4</v>
      </c>
      <c r="BP43" s="97">
        <v>6</v>
      </c>
      <c r="BQ43" s="97">
        <v>6134.4</v>
      </c>
      <c r="BR43" s="97">
        <v>7</v>
      </c>
      <c r="BS43" s="97">
        <v>7156.8</v>
      </c>
      <c r="BT43" s="97">
        <v>8</v>
      </c>
      <c r="BU43" s="97">
        <v>8179.2</v>
      </c>
      <c r="BV43" s="97">
        <v>5</v>
      </c>
      <c r="BW43" s="97">
        <v>5112</v>
      </c>
      <c r="BX43" s="97">
        <v>5</v>
      </c>
      <c r="BY43" s="97">
        <v>5112</v>
      </c>
      <c r="BZ43" s="97">
        <v>7</v>
      </c>
      <c r="CA43" s="97">
        <v>7156.8</v>
      </c>
      <c r="CB43" s="97">
        <v>5</v>
      </c>
      <c r="CC43" s="97">
        <v>5112</v>
      </c>
      <c r="CD43" s="97">
        <v>7</v>
      </c>
      <c r="CE43" s="97">
        <v>7156.8</v>
      </c>
      <c r="CF43" s="97">
        <v>4</v>
      </c>
      <c r="CG43" s="97">
        <v>4089.6</v>
      </c>
      <c r="CH43" s="97">
        <v>5</v>
      </c>
      <c r="CI43" s="97">
        <v>5112</v>
      </c>
      <c r="CJ43" s="97">
        <v>4</v>
      </c>
      <c r="CK43" s="97">
        <v>4089.6</v>
      </c>
      <c r="CL43" s="97">
        <v>4</v>
      </c>
      <c r="CM43" s="97">
        <v>4089.6</v>
      </c>
      <c r="CN43" s="97">
        <v>3</v>
      </c>
      <c r="CO43" s="97">
        <v>3067.2</v>
      </c>
      <c r="CP43" s="97">
        <v>4</v>
      </c>
      <c r="CQ43" s="97">
        <v>4089.6</v>
      </c>
      <c r="CR43" s="97">
        <v>5</v>
      </c>
      <c r="CS43" s="97">
        <v>5112</v>
      </c>
      <c r="CT43" s="97">
        <v>5</v>
      </c>
      <c r="CU43" s="97">
        <v>5112</v>
      </c>
    </row>
    <row r="44" spans="2:99" x14ac:dyDescent="0.15">
      <c r="C44" s="96" t="s">
        <v>209</v>
      </c>
      <c r="D44" s="97">
        <v>108</v>
      </c>
      <c r="E44" s="97">
        <v>110419.2</v>
      </c>
      <c r="F44" s="97">
        <v>88</v>
      </c>
      <c r="G44" s="97">
        <v>89971.199999999997</v>
      </c>
      <c r="H44" s="97">
        <v>56</v>
      </c>
      <c r="I44" s="97">
        <v>57254.400000000001</v>
      </c>
      <c r="J44" s="97">
        <v>79</v>
      </c>
      <c r="K44" s="97">
        <v>80769.599999999991</v>
      </c>
      <c r="L44" s="97">
        <v>53</v>
      </c>
      <c r="M44" s="97">
        <v>54187.199999999997</v>
      </c>
      <c r="N44" s="97">
        <v>58</v>
      </c>
      <c r="O44" s="97">
        <v>59299.199999999997</v>
      </c>
      <c r="P44" s="97">
        <v>55</v>
      </c>
      <c r="Q44" s="97">
        <v>56232</v>
      </c>
      <c r="R44" s="97">
        <v>60</v>
      </c>
      <c r="S44" s="97">
        <v>61344</v>
      </c>
      <c r="T44" s="97">
        <v>28</v>
      </c>
      <c r="U44" s="97">
        <v>28627.200000000001</v>
      </c>
      <c r="V44" s="97">
        <v>32</v>
      </c>
      <c r="W44" s="97">
        <v>32716.799999999999</v>
      </c>
      <c r="X44" s="97">
        <v>35</v>
      </c>
      <c r="Y44" s="97">
        <v>35784</v>
      </c>
      <c r="Z44" s="97">
        <v>26</v>
      </c>
      <c r="AA44" s="97">
        <v>26582.399999999998</v>
      </c>
      <c r="AB44" s="97">
        <v>28</v>
      </c>
      <c r="AC44" s="97">
        <v>28627.200000000001</v>
      </c>
      <c r="AD44" s="97">
        <v>23</v>
      </c>
      <c r="AE44" s="97">
        <v>23515.200000000001</v>
      </c>
      <c r="AF44" s="97">
        <v>25</v>
      </c>
      <c r="AG44" s="97">
        <v>25560</v>
      </c>
      <c r="AH44" s="97">
        <v>27</v>
      </c>
      <c r="AI44" s="97">
        <v>27604.799999999999</v>
      </c>
      <c r="AJ44" s="97">
        <v>17</v>
      </c>
      <c r="AK44" s="97">
        <v>17380.8</v>
      </c>
      <c r="AL44" s="97">
        <v>17</v>
      </c>
      <c r="AM44" s="97">
        <v>17380.8</v>
      </c>
      <c r="AN44" s="97">
        <v>17</v>
      </c>
      <c r="AO44" s="97">
        <v>17380.8</v>
      </c>
      <c r="AP44" s="97">
        <v>19</v>
      </c>
      <c r="AQ44" s="97">
        <v>19425.599999999999</v>
      </c>
      <c r="AR44" s="97">
        <v>16</v>
      </c>
      <c r="AS44" s="97">
        <v>16358.4</v>
      </c>
      <c r="AT44" s="97">
        <v>10</v>
      </c>
      <c r="AU44" s="97">
        <v>10224</v>
      </c>
      <c r="AV44" s="97">
        <v>12</v>
      </c>
      <c r="AW44" s="97">
        <v>12268.8</v>
      </c>
      <c r="AX44" s="97">
        <v>8</v>
      </c>
      <c r="AY44" s="97">
        <v>8179.2</v>
      </c>
      <c r="AZ44" s="97">
        <v>7</v>
      </c>
      <c r="BA44" s="97">
        <v>7156.8</v>
      </c>
      <c r="BB44" s="97">
        <v>8</v>
      </c>
      <c r="BC44" s="97">
        <v>8179.2</v>
      </c>
      <c r="BD44" s="97">
        <v>7</v>
      </c>
      <c r="BE44" s="97">
        <v>7156.8</v>
      </c>
      <c r="BF44" s="97">
        <v>12</v>
      </c>
      <c r="BG44" s="97">
        <v>12268.8</v>
      </c>
      <c r="BH44" s="97">
        <v>9</v>
      </c>
      <c r="BI44" s="97">
        <v>9201.6</v>
      </c>
      <c r="BJ44" s="97">
        <v>8</v>
      </c>
      <c r="BK44" s="97">
        <v>8179.2</v>
      </c>
      <c r="BL44" s="97">
        <v>5</v>
      </c>
      <c r="BM44" s="97">
        <v>5112</v>
      </c>
      <c r="BN44" s="97">
        <v>7</v>
      </c>
      <c r="BO44" s="97">
        <v>7156.8</v>
      </c>
      <c r="BP44" s="97">
        <v>6</v>
      </c>
      <c r="BQ44" s="97">
        <v>6134.4</v>
      </c>
      <c r="BR44" s="97">
        <v>7</v>
      </c>
      <c r="BS44" s="97">
        <v>7156.8</v>
      </c>
      <c r="BT44" s="97">
        <v>8</v>
      </c>
      <c r="BU44" s="97">
        <v>8179.2</v>
      </c>
      <c r="BV44" s="97">
        <v>6</v>
      </c>
      <c r="BW44" s="97">
        <v>6134.4</v>
      </c>
      <c r="BX44" s="97">
        <v>5</v>
      </c>
      <c r="BY44" s="97">
        <v>5112</v>
      </c>
      <c r="BZ44" s="97">
        <v>8</v>
      </c>
      <c r="CA44" s="97">
        <v>8179.2</v>
      </c>
      <c r="CB44" s="97">
        <v>4</v>
      </c>
      <c r="CC44" s="97">
        <v>4089.6</v>
      </c>
      <c r="CD44" s="97">
        <v>7</v>
      </c>
      <c r="CE44" s="97">
        <v>7156.8</v>
      </c>
      <c r="CF44" s="97">
        <v>5</v>
      </c>
      <c r="CG44" s="97">
        <v>5112</v>
      </c>
      <c r="CH44" s="97">
        <v>5</v>
      </c>
      <c r="CI44" s="97">
        <v>5112</v>
      </c>
      <c r="CJ44" s="97">
        <v>4</v>
      </c>
      <c r="CK44" s="97">
        <v>4089.6</v>
      </c>
      <c r="CL44" s="97">
        <v>4</v>
      </c>
      <c r="CM44" s="97">
        <v>4089.6</v>
      </c>
      <c r="CN44" s="97">
        <v>3</v>
      </c>
      <c r="CO44" s="97">
        <v>3067.2</v>
      </c>
      <c r="CP44" s="97">
        <v>4</v>
      </c>
      <c r="CQ44" s="97">
        <v>4089.6</v>
      </c>
      <c r="CR44" s="97">
        <v>4</v>
      </c>
      <c r="CS44" s="97">
        <v>4089.6</v>
      </c>
      <c r="CT44" s="97">
        <v>5</v>
      </c>
      <c r="CU44" s="97">
        <v>5112</v>
      </c>
    </row>
    <row r="45" spans="2:99" x14ac:dyDescent="0.15">
      <c r="C45" s="96" t="s">
        <v>210</v>
      </c>
      <c r="D45" s="97">
        <v>93</v>
      </c>
      <c r="E45" s="97">
        <v>116175.6</v>
      </c>
      <c r="F45" s="97">
        <v>78</v>
      </c>
      <c r="G45" s="97">
        <v>97437.6</v>
      </c>
      <c r="H45" s="97">
        <v>57</v>
      </c>
      <c r="I45" s="97">
        <v>71204.400000000009</v>
      </c>
      <c r="J45" s="97">
        <v>81</v>
      </c>
      <c r="K45" s="97">
        <v>101185.2</v>
      </c>
      <c r="L45" s="97">
        <v>48</v>
      </c>
      <c r="M45" s="97">
        <v>59961.600000000006</v>
      </c>
      <c r="N45" s="97">
        <v>56</v>
      </c>
      <c r="O45" s="97">
        <v>69955.199999999997</v>
      </c>
      <c r="P45" s="97">
        <v>53</v>
      </c>
      <c r="Q45" s="97">
        <v>66207.600000000006</v>
      </c>
      <c r="R45" s="97">
        <v>55</v>
      </c>
      <c r="S45" s="97">
        <v>68706</v>
      </c>
      <c r="T45" s="97">
        <v>30</v>
      </c>
      <c r="U45" s="97">
        <v>37476</v>
      </c>
      <c r="V45" s="97">
        <v>31</v>
      </c>
      <c r="W45" s="97">
        <v>38725.200000000004</v>
      </c>
      <c r="X45" s="97">
        <v>30</v>
      </c>
      <c r="Y45" s="97">
        <v>37476</v>
      </c>
      <c r="Z45" s="97">
        <v>23</v>
      </c>
      <c r="AA45" s="97">
        <v>28731.600000000002</v>
      </c>
      <c r="AB45" s="97">
        <v>26</v>
      </c>
      <c r="AC45" s="97">
        <v>32479.200000000001</v>
      </c>
      <c r="AD45" s="97">
        <v>22</v>
      </c>
      <c r="AE45" s="97">
        <v>27482.400000000001</v>
      </c>
      <c r="AF45" s="97">
        <v>22</v>
      </c>
      <c r="AG45" s="97">
        <v>27482.400000000001</v>
      </c>
      <c r="AH45" s="97">
        <v>23</v>
      </c>
      <c r="AI45" s="97">
        <v>28731.600000000002</v>
      </c>
      <c r="AJ45" s="97">
        <v>18</v>
      </c>
      <c r="AK45" s="97">
        <v>22485.600000000002</v>
      </c>
      <c r="AL45" s="97">
        <v>15</v>
      </c>
      <c r="AM45" s="97">
        <v>18738</v>
      </c>
      <c r="AN45" s="97">
        <v>16</v>
      </c>
      <c r="AO45" s="97">
        <v>19987.2</v>
      </c>
      <c r="AP45" s="97">
        <v>20</v>
      </c>
      <c r="AQ45" s="97">
        <v>24984</v>
      </c>
      <c r="AR45" s="97">
        <v>14</v>
      </c>
      <c r="AS45" s="97">
        <v>17488.8</v>
      </c>
      <c r="AT45" s="97">
        <v>9</v>
      </c>
      <c r="AU45" s="97">
        <v>11242.800000000001</v>
      </c>
      <c r="AV45" s="97">
        <v>10</v>
      </c>
      <c r="AW45" s="97">
        <v>12492</v>
      </c>
      <c r="AX45" s="97">
        <v>9</v>
      </c>
      <c r="AY45" s="97">
        <v>11242.800000000001</v>
      </c>
      <c r="AZ45" s="97">
        <v>7</v>
      </c>
      <c r="BA45" s="97">
        <v>8744.4</v>
      </c>
      <c r="BB45" s="97">
        <v>7</v>
      </c>
      <c r="BC45" s="97">
        <v>8744.4</v>
      </c>
      <c r="BD45" s="97">
        <v>7</v>
      </c>
      <c r="BE45" s="97">
        <v>8744.4</v>
      </c>
      <c r="BF45" s="97">
        <v>11</v>
      </c>
      <c r="BG45" s="97">
        <v>13741.2</v>
      </c>
      <c r="BH45" s="97">
        <v>9</v>
      </c>
      <c r="BI45" s="97">
        <v>11242.800000000001</v>
      </c>
      <c r="BJ45" s="97">
        <v>8</v>
      </c>
      <c r="BK45" s="97">
        <v>9993.6</v>
      </c>
      <c r="BL45" s="97">
        <v>6</v>
      </c>
      <c r="BM45" s="97">
        <v>7495.2000000000007</v>
      </c>
      <c r="BN45" s="97">
        <v>6</v>
      </c>
      <c r="BO45" s="97">
        <v>7495.2000000000007</v>
      </c>
      <c r="BP45" s="97">
        <v>7</v>
      </c>
      <c r="BQ45" s="97">
        <v>8744.4</v>
      </c>
      <c r="BR45" s="97">
        <v>6</v>
      </c>
      <c r="BS45" s="97">
        <v>7495.2000000000007</v>
      </c>
      <c r="BT45" s="97">
        <v>9</v>
      </c>
      <c r="BU45" s="97">
        <v>11242.800000000001</v>
      </c>
      <c r="BV45" s="97">
        <v>6</v>
      </c>
      <c r="BW45" s="97">
        <v>7495.2000000000007</v>
      </c>
      <c r="BX45" s="97">
        <v>5</v>
      </c>
      <c r="BY45" s="97">
        <v>6246</v>
      </c>
      <c r="BZ45" s="97">
        <v>7</v>
      </c>
      <c r="CA45" s="97">
        <v>8744.4</v>
      </c>
      <c r="CB45" s="97">
        <v>4</v>
      </c>
      <c r="CC45" s="97">
        <v>4996.8</v>
      </c>
      <c r="CD45" s="97">
        <v>6</v>
      </c>
      <c r="CE45" s="97">
        <v>7495.2000000000007</v>
      </c>
      <c r="CF45" s="97">
        <v>4</v>
      </c>
      <c r="CG45" s="97">
        <v>4996.8</v>
      </c>
      <c r="CH45" s="97">
        <v>5</v>
      </c>
      <c r="CI45" s="97">
        <v>6246</v>
      </c>
      <c r="CJ45" s="97">
        <v>4</v>
      </c>
      <c r="CK45" s="97">
        <v>4996.8</v>
      </c>
      <c r="CL45" s="97">
        <v>4</v>
      </c>
      <c r="CM45" s="97">
        <v>4996.8</v>
      </c>
      <c r="CN45" s="97">
        <v>4</v>
      </c>
      <c r="CO45" s="97">
        <v>4996.8</v>
      </c>
      <c r="CP45" s="97">
        <v>4</v>
      </c>
      <c r="CQ45" s="97">
        <v>4996.8</v>
      </c>
      <c r="CR45" s="97">
        <v>4</v>
      </c>
      <c r="CS45" s="97">
        <v>4996.8</v>
      </c>
      <c r="CT45" s="97">
        <v>5</v>
      </c>
      <c r="CU45" s="97">
        <v>6246</v>
      </c>
    </row>
    <row r="46" spans="2:99" x14ac:dyDescent="0.15">
      <c r="C46" s="96" t="s">
        <v>211</v>
      </c>
      <c r="D46" s="97">
        <v>107</v>
      </c>
      <c r="E46" s="97">
        <v>129684</v>
      </c>
      <c r="F46" s="97">
        <v>92</v>
      </c>
      <c r="G46" s="97">
        <v>111504</v>
      </c>
      <c r="H46" s="97">
        <v>57</v>
      </c>
      <c r="I46" s="97">
        <v>69084</v>
      </c>
      <c r="J46" s="97">
        <v>71</v>
      </c>
      <c r="K46" s="97">
        <v>86052</v>
      </c>
      <c r="L46" s="97">
        <v>51</v>
      </c>
      <c r="M46" s="97">
        <v>61812</v>
      </c>
      <c r="N46" s="97">
        <v>53</v>
      </c>
      <c r="O46" s="97">
        <v>64236</v>
      </c>
      <c r="P46" s="97">
        <v>53</v>
      </c>
      <c r="Q46" s="97">
        <v>64236</v>
      </c>
      <c r="R46" s="97">
        <v>59</v>
      </c>
      <c r="S46" s="97">
        <v>71508</v>
      </c>
      <c r="T46" s="97">
        <v>28</v>
      </c>
      <c r="U46" s="97">
        <v>33936</v>
      </c>
      <c r="V46" s="97">
        <v>35</v>
      </c>
      <c r="W46" s="97">
        <v>42420</v>
      </c>
      <c r="X46" s="97">
        <v>34</v>
      </c>
      <c r="Y46" s="97">
        <v>41208</v>
      </c>
      <c r="Z46" s="97">
        <v>23</v>
      </c>
      <c r="AA46" s="97">
        <v>27876</v>
      </c>
      <c r="AB46" s="97">
        <v>27</v>
      </c>
      <c r="AC46" s="97">
        <v>32724</v>
      </c>
      <c r="AD46" s="97">
        <v>23</v>
      </c>
      <c r="AE46" s="97">
        <v>27876</v>
      </c>
      <c r="AF46" s="97">
        <v>24</v>
      </c>
      <c r="AG46" s="97">
        <v>29088</v>
      </c>
      <c r="AH46" s="97">
        <v>24</v>
      </c>
      <c r="AI46" s="97">
        <v>29088</v>
      </c>
      <c r="AJ46" s="97">
        <v>17</v>
      </c>
      <c r="AK46" s="97">
        <v>20604</v>
      </c>
      <c r="AL46" s="97">
        <v>16</v>
      </c>
      <c r="AM46" s="97">
        <v>19392</v>
      </c>
      <c r="AN46" s="97">
        <v>18</v>
      </c>
      <c r="AO46" s="97">
        <v>21816</v>
      </c>
      <c r="AP46" s="97">
        <v>19</v>
      </c>
      <c r="AQ46" s="97">
        <v>23028</v>
      </c>
      <c r="AR46" s="97">
        <v>15</v>
      </c>
      <c r="AS46" s="97">
        <v>18180</v>
      </c>
      <c r="AT46" s="97">
        <v>9</v>
      </c>
      <c r="AU46" s="97">
        <v>10908</v>
      </c>
      <c r="AV46" s="97">
        <v>12</v>
      </c>
      <c r="AW46" s="97">
        <v>14544</v>
      </c>
      <c r="AX46" s="97">
        <v>8</v>
      </c>
      <c r="AY46" s="97">
        <v>9696</v>
      </c>
      <c r="AZ46" s="97">
        <v>7</v>
      </c>
      <c r="BA46" s="97">
        <v>8484</v>
      </c>
      <c r="BB46" s="97">
        <v>7</v>
      </c>
      <c r="BC46" s="97">
        <v>8484</v>
      </c>
      <c r="BD46" s="97">
        <v>7</v>
      </c>
      <c r="BE46" s="97">
        <v>8484</v>
      </c>
      <c r="BF46" s="97">
        <v>10</v>
      </c>
      <c r="BG46" s="97">
        <v>12120</v>
      </c>
      <c r="BH46" s="97">
        <v>10</v>
      </c>
      <c r="BI46" s="97">
        <v>12120</v>
      </c>
      <c r="BJ46" s="97">
        <v>8</v>
      </c>
      <c r="BK46" s="97">
        <v>9696</v>
      </c>
      <c r="BL46" s="97">
        <v>6</v>
      </c>
      <c r="BM46" s="97">
        <v>7272</v>
      </c>
      <c r="BN46" s="97">
        <v>7</v>
      </c>
      <c r="BO46" s="97">
        <v>8484</v>
      </c>
      <c r="BP46" s="97">
        <v>7</v>
      </c>
      <c r="BQ46" s="97">
        <v>8484</v>
      </c>
      <c r="BR46" s="97">
        <v>6</v>
      </c>
      <c r="BS46" s="97">
        <v>7272</v>
      </c>
      <c r="BT46" s="97">
        <v>8</v>
      </c>
      <c r="BU46" s="97">
        <v>9696</v>
      </c>
      <c r="BV46" s="97">
        <v>5</v>
      </c>
      <c r="BW46" s="97">
        <v>6060</v>
      </c>
      <c r="BX46" s="97">
        <v>6</v>
      </c>
      <c r="BY46" s="97">
        <v>7272</v>
      </c>
      <c r="BZ46" s="97">
        <v>6</v>
      </c>
      <c r="CA46" s="97">
        <v>7272</v>
      </c>
      <c r="CB46" s="97">
        <v>4</v>
      </c>
      <c r="CC46" s="97">
        <v>4848</v>
      </c>
      <c r="CD46" s="97">
        <v>6</v>
      </c>
      <c r="CE46" s="97">
        <v>7272</v>
      </c>
      <c r="CF46" s="97">
        <v>4</v>
      </c>
      <c r="CG46" s="97">
        <v>4848</v>
      </c>
      <c r="CH46" s="97">
        <v>5</v>
      </c>
      <c r="CI46" s="97">
        <v>6060</v>
      </c>
      <c r="CJ46" s="97">
        <v>4</v>
      </c>
      <c r="CK46" s="97">
        <v>4848</v>
      </c>
      <c r="CL46" s="97">
        <v>4</v>
      </c>
      <c r="CM46" s="97">
        <v>4848</v>
      </c>
      <c r="CN46" s="97">
        <v>3</v>
      </c>
      <c r="CO46" s="97">
        <v>3636</v>
      </c>
      <c r="CP46" s="97">
        <v>4</v>
      </c>
      <c r="CQ46" s="97">
        <v>4848</v>
      </c>
      <c r="CR46" s="97">
        <v>5</v>
      </c>
      <c r="CS46" s="97">
        <v>6060</v>
      </c>
      <c r="CT46" s="97">
        <v>5</v>
      </c>
      <c r="CU46" s="97">
        <v>6060</v>
      </c>
    </row>
    <row r="47" spans="2:99" x14ac:dyDescent="0.15">
      <c r="C47" s="96" t="s">
        <v>212</v>
      </c>
      <c r="D47" s="97">
        <v>87</v>
      </c>
      <c r="E47" s="97">
        <v>132901.19999999998</v>
      </c>
      <c r="F47" s="97">
        <v>83</v>
      </c>
      <c r="G47" s="97">
        <v>126790.79999999999</v>
      </c>
      <c r="H47" s="97">
        <v>45</v>
      </c>
      <c r="I47" s="97">
        <v>68742</v>
      </c>
      <c r="J47" s="97">
        <v>63</v>
      </c>
      <c r="K47" s="97">
        <v>96238.799999999988</v>
      </c>
      <c r="L47" s="97">
        <v>51</v>
      </c>
      <c r="M47" s="97">
        <v>77907.599999999991</v>
      </c>
      <c r="N47" s="97">
        <v>49</v>
      </c>
      <c r="O47" s="97">
        <v>74852.399999999994</v>
      </c>
      <c r="P47" s="97">
        <v>47</v>
      </c>
      <c r="Q47" s="97">
        <v>71797.2</v>
      </c>
      <c r="R47" s="97">
        <v>48</v>
      </c>
      <c r="S47" s="97">
        <v>73324.799999999988</v>
      </c>
      <c r="T47" s="97">
        <v>25</v>
      </c>
      <c r="U47" s="97">
        <v>38190</v>
      </c>
      <c r="V47" s="97">
        <v>33</v>
      </c>
      <c r="W47" s="97">
        <v>50410.799999999996</v>
      </c>
      <c r="X47" s="97">
        <v>32</v>
      </c>
      <c r="Y47" s="97">
        <v>48883.199999999997</v>
      </c>
      <c r="Z47" s="97">
        <v>24</v>
      </c>
      <c r="AA47" s="97">
        <v>36662.399999999994</v>
      </c>
      <c r="AB47" s="97">
        <v>27</v>
      </c>
      <c r="AC47" s="97">
        <v>41245.199999999997</v>
      </c>
      <c r="AD47" s="97">
        <v>25</v>
      </c>
      <c r="AE47" s="97">
        <v>38190</v>
      </c>
      <c r="AF47" s="97">
        <v>23</v>
      </c>
      <c r="AG47" s="97">
        <v>35134.799999999996</v>
      </c>
      <c r="AH47" s="97">
        <v>25</v>
      </c>
      <c r="AI47" s="97">
        <v>38190</v>
      </c>
      <c r="AJ47" s="97">
        <v>17</v>
      </c>
      <c r="AK47" s="97">
        <v>25969.199999999997</v>
      </c>
      <c r="AL47" s="97">
        <v>15</v>
      </c>
      <c r="AM47" s="97">
        <v>22914</v>
      </c>
      <c r="AN47" s="97">
        <v>17</v>
      </c>
      <c r="AO47" s="97">
        <v>25969.199999999997</v>
      </c>
      <c r="AP47" s="97">
        <v>17</v>
      </c>
      <c r="AQ47" s="97">
        <v>25969.199999999997</v>
      </c>
      <c r="AR47" s="97">
        <v>15</v>
      </c>
      <c r="AS47" s="97">
        <v>22914</v>
      </c>
      <c r="AT47" s="97">
        <v>10</v>
      </c>
      <c r="AU47" s="97">
        <v>15276</v>
      </c>
      <c r="AV47" s="97">
        <v>11</v>
      </c>
      <c r="AW47" s="97">
        <v>16803.599999999999</v>
      </c>
      <c r="AX47" s="97">
        <v>8</v>
      </c>
      <c r="AY47" s="97">
        <v>12220.8</v>
      </c>
      <c r="AZ47" s="97">
        <v>7</v>
      </c>
      <c r="BA47" s="97">
        <v>10693.199999999999</v>
      </c>
      <c r="BB47" s="97">
        <v>8</v>
      </c>
      <c r="BC47" s="97">
        <v>12220.8</v>
      </c>
      <c r="BD47" s="97">
        <v>8</v>
      </c>
      <c r="BE47" s="97">
        <v>12220.8</v>
      </c>
      <c r="BF47" s="97">
        <v>11</v>
      </c>
      <c r="BG47" s="97">
        <v>16803.599999999999</v>
      </c>
      <c r="BH47" s="97">
        <v>10</v>
      </c>
      <c r="BI47" s="97">
        <v>15276</v>
      </c>
      <c r="BJ47" s="97">
        <v>8</v>
      </c>
      <c r="BK47" s="97">
        <v>12220.8</v>
      </c>
      <c r="BL47" s="97">
        <v>5</v>
      </c>
      <c r="BM47" s="97">
        <v>7638</v>
      </c>
      <c r="BN47" s="97">
        <v>7</v>
      </c>
      <c r="BO47" s="97">
        <v>10693.199999999999</v>
      </c>
      <c r="BP47" s="97">
        <v>6</v>
      </c>
      <c r="BQ47" s="97">
        <v>9165.5999999999985</v>
      </c>
      <c r="BR47" s="97">
        <v>7</v>
      </c>
      <c r="BS47" s="97">
        <v>10693.199999999999</v>
      </c>
      <c r="BT47" s="97">
        <v>8</v>
      </c>
      <c r="BU47" s="97">
        <v>12220.8</v>
      </c>
      <c r="BV47" s="97">
        <v>5</v>
      </c>
      <c r="BW47" s="97">
        <v>7638</v>
      </c>
      <c r="BX47" s="97">
        <v>5</v>
      </c>
      <c r="BY47" s="97">
        <v>7638</v>
      </c>
      <c r="BZ47" s="97">
        <v>7</v>
      </c>
      <c r="CA47" s="97">
        <v>10693.199999999999</v>
      </c>
      <c r="CB47" s="97">
        <v>4</v>
      </c>
      <c r="CC47" s="97">
        <v>6110.4</v>
      </c>
      <c r="CD47" s="97">
        <v>6</v>
      </c>
      <c r="CE47" s="97">
        <v>9165.5999999999985</v>
      </c>
      <c r="CF47" s="97">
        <v>5</v>
      </c>
      <c r="CG47" s="97">
        <v>7638</v>
      </c>
      <c r="CH47" s="97">
        <v>5</v>
      </c>
      <c r="CI47" s="97">
        <v>7638</v>
      </c>
      <c r="CJ47" s="97">
        <v>3</v>
      </c>
      <c r="CK47" s="97">
        <v>4582.7999999999993</v>
      </c>
      <c r="CL47" s="97">
        <v>5</v>
      </c>
      <c r="CM47" s="97">
        <v>7638</v>
      </c>
      <c r="CN47" s="97">
        <v>3</v>
      </c>
      <c r="CO47" s="97">
        <v>4582.7999999999993</v>
      </c>
      <c r="CP47" s="97">
        <v>4</v>
      </c>
      <c r="CQ47" s="97">
        <v>6110.4</v>
      </c>
      <c r="CR47" s="97">
        <v>5</v>
      </c>
      <c r="CS47" s="97">
        <v>7638</v>
      </c>
      <c r="CT47" s="97">
        <v>5</v>
      </c>
      <c r="CU47" s="97">
        <v>7638</v>
      </c>
    </row>
    <row r="48" spans="2:99" x14ac:dyDescent="0.15">
      <c r="C48" s="96" t="s">
        <v>213</v>
      </c>
      <c r="D48" s="97">
        <v>110</v>
      </c>
      <c r="E48" s="97">
        <v>95436</v>
      </c>
      <c r="F48" s="97">
        <v>100</v>
      </c>
      <c r="G48" s="97">
        <v>86760</v>
      </c>
      <c r="H48" s="97">
        <v>62</v>
      </c>
      <c r="I48" s="97">
        <v>53791.200000000004</v>
      </c>
      <c r="J48" s="97">
        <v>74</v>
      </c>
      <c r="K48" s="97">
        <v>64202.400000000001</v>
      </c>
      <c r="L48" s="97">
        <v>55</v>
      </c>
      <c r="M48" s="97">
        <v>47718</v>
      </c>
      <c r="N48" s="97">
        <v>52</v>
      </c>
      <c r="O48" s="97">
        <v>45115.200000000004</v>
      </c>
      <c r="P48" s="97">
        <v>52</v>
      </c>
      <c r="Q48" s="97">
        <v>45115.200000000004</v>
      </c>
      <c r="R48" s="97">
        <v>62</v>
      </c>
      <c r="S48" s="97">
        <v>53791.200000000004</v>
      </c>
      <c r="T48" s="97">
        <v>29</v>
      </c>
      <c r="U48" s="97">
        <v>25160.400000000001</v>
      </c>
      <c r="V48" s="97">
        <v>35</v>
      </c>
      <c r="W48" s="97">
        <v>30366</v>
      </c>
      <c r="X48" s="97">
        <v>32</v>
      </c>
      <c r="Y48" s="97">
        <v>27763.200000000001</v>
      </c>
      <c r="Z48" s="97">
        <v>29</v>
      </c>
      <c r="AA48" s="97">
        <v>25160.400000000001</v>
      </c>
      <c r="AB48" s="97">
        <v>25</v>
      </c>
      <c r="AC48" s="97">
        <v>21690</v>
      </c>
      <c r="AD48" s="97">
        <v>25</v>
      </c>
      <c r="AE48" s="97">
        <v>21690</v>
      </c>
      <c r="AF48" s="97">
        <v>24</v>
      </c>
      <c r="AG48" s="97">
        <v>20822.400000000001</v>
      </c>
      <c r="AH48" s="97">
        <v>29</v>
      </c>
      <c r="AI48" s="97">
        <v>25160.400000000001</v>
      </c>
      <c r="AJ48" s="97">
        <v>19</v>
      </c>
      <c r="AK48" s="97">
        <v>16484.400000000001</v>
      </c>
      <c r="AL48" s="97">
        <v>17</v>
      </c>
      <c r="AM48" s="97">
        <v>14749.2</v>
      </c>
      <c r="AN48" s="97">
        <v>17</v>
      </c>
      <c r="AO48" s="97">
        <v>14749.2</v>
      </c>
      <c r="AP48" s="97">
        <v>18</v>
      </c>
      <c r="AQ48" s="97">
        <v>15616.800000000001</v>
      </c>
      <c r="AR48" s="97">
        <v>16</v>
      </c>
      <c r="AS48" s="97">
        <v>13881.6</v>
      </c>
      <c r="AT48" s="97">
        <v>9</v>
      </c>
      <c r="AU48" s="97">
        <v>7808.4000000000005</v>
      </c>
      <c r="AV48" s="97">
        <v>12</v>
      </c>
      <c r="AW48" s="97">
        <v>10411.200000000001</v>
      </c>
      <c r="AX48" s="97">
        <v>9</v>
      </c>
      <c r="AY48" s="97">
        <v>7808.4000000000005</v>
      </c>
      <c r="AZ48" s="97">
        <v>8</v>
      </c>
      <c r="BA48" s="97">
        <v>6940.8</v>
      </c>
      <c r="BB48" s="97">
        <v>8</v>
      </c>
      <c r="BC48" s="97">
        <v>6940.8</v>
      </c>
      <c r="BD48" s="97">
        <v>8</v>
      </c>
      <c r="BE48" s="97">
        <v>6940.8</v>
      </c>
      <c r="BF48" s="97">
        <v>10</v>
      </c>
      <c r="BG48" s="97">
        <v>8676</v>
      </c>
      <c r="BH48" s="97">
        <v>10</v>
      </c>
      <c r="BI48" s="97">
        <v>8676</v>
      </c>
      <c r="BJ48" s="97">
        <v>9</v>
      </c>
      <c r="BK48" s="97">
        <v>7808.4000000000005</v>
      </c>
      <c r="BL48" s="97">
        <v>6</v>
      </c>
      <c r="BM48" s="97">
        <v>5205.6000000000004</v>
      </c>
      <c r="BN48" s="97">
        <v>6</v>
      </c>
      <c r="BO48" s="97">
        <v>5205.6000000000004</v>
      </c>
      <c r="BP48" s="97">
        <v>6</v>
      </c>
      <c r="BQ48" s="97">
        <v>5205.6000000000004</v>
      </c>
      <c r="BR48" s="97">
        <v>7</v>
      </c>
      <c r="BS48" s="97">
        <v>6073.2</v>
      </c>
      <c r="BT48" s="97">
        <v>8</v>
      </c>
      <c r="BU48" s="97">
        <v>6940.8</v>
      </c>
      <c r="BV48" s="97">
        <v>6</v>
      </c>
      <c r="BW48" s="97">
        <v>5205.6000000000004</v>
      </c>
      <c r="BX48" s="97">
        <v>6</v>
      </c>
      <c r="BY48" s="97">
        <v>5205.6000000000004</v>
      </c>
      <c r="BZ48" s="97">
        <v>7</v>
      </c>
      <c r="CA48" s="97">
        <v>6073.2</v>
      </c>
      <c r="CB48" s="97">
        <v>4</v>
      </c>
      <c r="CC48" s="97">
        <v>3470.4</v>
      </c>
      <c r="CD48" s="97">
        <v>6</v>
      </c>
      <c r="CE48" s="97">
        <v>5205.6000000000004</v>
      </c>
      <c r="CF48" s="97">
        <v>5</v>
      </c>
      <c r="CG48" s="97">
        <v>4338</v>
      </c>
      <c r="CH48" s="97">
        <v>5</v>
      </c>
      <c r="CI48" s="97">
        <v>4338</v>
      </c>
      <c r="CJ48" s="97">
        <v>4</v>
      </c>
      <c r="CK48" s="97">
        <v>3470.4</v>
      </c>
      <c r="CL48" s="97">
        <v>5</v>
      </c>
      <c r="CM48" s="97">
        <v>4338</v>
      </c>
      <c r="CN48" s="97">
        <v>3</v>
      </c>
      <c r="CO48" s="97">
        <v>2602.8000000000002</v>
      </c>
      <c r="CP48" s="97">
        <v>4</v>
      </c>
      <c r="CQ48" s="97">
        <v>3470.4</v>
      </c>
      <c r="CR48" s="97">
        <v>4</v>
      </c>
      <c r="CS48" s="97">
        <v>3470.4</v>
      </c>
      <c r="CT48" s="97">
        <v>6</v>
      </c>
      <c r="CU48" s="97">
        <v>5205.6000000000004</v>
      </c>
    </row>
    <row r="49" spans="2:99" x14ac:dyDescent="0.15">
      <c r="B49" s="96" t="s">
        <v>129</v>
      </c>
      <c r="C49" s="96" t="s">
        <v>214</v>
      </c>
      <c r="D49" s="97">
        <v>72</v>
      </c>
      <c r="E49" s="97">
        <v>70934.399999999994</v>
      </c>
      <c r="F49" s="97">
        <v>61</v>
      </c>
      <c r="G49" s="97">
        <v>60097.2</v>
      </c>
      <c r="H49" s="97">
        <v>50</v>
      </c>
      <c r="I49" s="97">
        <v>49260</v>
      </c>
      <c r="J49" s="97">
        <v>48</v>
      </c>
      <c r="K49" s="97">
        <v>47289.599999999999</v>
      </c>
      <c r="L49" s="97">
        <v>39</v>
      </c>
      <c r="M49" s="97">
        <v>38422.799999999996</v>
      </c>
      <c r="N49" s="97">
        <v>49</v>
      </c>
      <c r="O49" s="97">
        <v>48274.799999999996</v>
      </c>
      <c r="P49" s="97">
        <v>46</v>
      </c>
      <c r="Q49" s="97">
        <v>45319.199999999997</v>
      </c>
      <c r="R49" s="97">
        <v>51</v>
      </c>
      <c r="S49" s="97">
        <v>50245.2</v>
      </c>
      <c r="T49" s="97">
        <v>24</v>
      </c>
      <c r="U49" s="97">
        <v>23644.799999999999</v>
      </c>
      <c r="V49" s="97">
        <v>37</v>
      </c>
      <c r="W49" s="97">
        <v>36452.399999999994</v>
      </c>
      <c r="X49" s="97">
        <v>23</v>
      </c>
      <c r="Y49" s="97">
        <v>22659.599999999999</v>
      </c>
      <c r="Z49" s="97">
        <v>20</v>
      </c>
      <c r="AA49" s="97">
        <v>19704</v>
      </c>
      <c r="AB49" s="97">
        <v>21</v>
      </c>
      <c r="AC49" s="97">
        <v>20689.199999999997</v>
      </c>
      <c r="AD49" s="97">
        <v>15</v>
      </c>
      <c r="AE49" s="97">
        <v>14777.999999999998</v>
      </c>
      <c r="AF49" s="97">
        <v>24</v>
      </c>
      <c r="AG49" s="97">
        <v>23644.799999999999</v>
      </c>
      <c r="AH49" s="97">
        <v>24</v>
      </c>
      <c r="AI49" s="97">
        <v>23644.799999999999</v>
      </c>
      <c r="AJ49" s="97">
        <v>9</v>
      </c>
      <c r="AK49" s="97">
        <v>8866.7999999999993</v>
      </c>
      <c r="AL49" s="97">
        <v>15</v>
      </c>
      <c r="AM49" s="97">
        <v>14777.999999999998</v>
      </c>
      <c r="AN49" s="97">
        <v>11</v>
      </c>
      <c r="AO49" s="97">
        <v>10837.199999999999</v>
      </c>
      <c r="AP49" s="97">
        <v>13</v>
      </c>
      <c r="AQ49" s="97">
        <v>12807.599999999999</v>
      </c>
      <c r="AR49" s="97">
        <v>10</v>
      </c>
      <c r="AS49" s="97">
        <v>9852</v>
      </c>
      <c r="AT49" s="97">
        <v>7</v>
      </c>
      <c r="AU49" s="97">
        <v>6896.4</v>
      </c>
      <c r="AV49" s="97">
        <v>10</v>
      </c>
      <c r="AW49" s="97">
        <v>9852</v>
      </c>
      <c r="AX49" s="97">
        <v>14</v>
      </c>
      <c r="AY49" s="97">
        <v>13792.8</v>
      </c>
      <c r="AZ49" s="97">
        <v>10</v>
      </c>
      <c r="BA49" s="97">
        <v>9852</v>
      </c>
      <c r="BB49" s="97">
        <v>11</v>
      </c>
      <c r="BC49" s="97">
        <v>10837.199999999999</v>
      </c>
      <c r="BD49" s="97">
        <v>9</v>
      </c>
      <c r="BE49" s="97">
        <v>8866.7999999999993</v>
      </c>
      <c r="BF49" s="97">
        <v>10</v>
      </c>
      <c r="BG49" s="97">
        <v>9852</v>
      </c>
      <c r="BH49" s="97">
        <v>8</v>
      </c>
      <c r="BI49" s="97">
        <v>7881.5999999999995</v>
      </c>
      <c r="BJ49" s="97">
        <v>9</v>
      </c>
      <c r="BK49" s="97">
        <v>8866.7999999999993</v>
      </c>
      <c r="BL49" s="97">
        <v>5</v>
      </c>
      <c r="BM49" s="97">
        <v>4926</v>
      </c>
      <c r="BN49" s="97">
        <v>8</v>
      </c>
      <c r="BO49" s="97">
        <v>7881.5999999999995</v>
      </c>
      <c r="BP49" s="97">
        <v>8</v>
      </c>
      <c r="BQ49" s="97">
        <v>7881.5999999999995</v>
      </c>
      <c r="BR49" s="97">
        <v>5</v>
      </c>
      <c r="BS49" s="97">
        <v>4926</v>
      </c>
      <c r="BT49" s="97">
        <v>7</v>
      </c>
      <c r="BU49" s="97">
        <v>6896.4</v>
      </c>
      <c r="BV49" s="97">
        <v>8</v>
      </c>
      <c r="BW49" s="97">
        <v>7881.5999999999995</v>
      </c>
      <c r="BX49" s="97">
        <v>6</v>
      </c>
      <c r="BY49" s="97">
        <v>5911.2</v>
      </c>
      <c r="BZ49" s="97">
        <v>7</v>
      </c>
      <c r="CA49" s="97">
        <v>6896.4</v>
      </c>
      <c r="CB49" s="97">
        <v>5</v>
      </c>
      <c r="CC49" s="97">
        <v>4926</v>
      </c>
      <c r="CD49" s="97">
        <v>5</v>
      </c>
      <c r="CE49" s="97">
        <v>4926</v>
      </c>
      <c r="CF49" s="97">
        <v>4</v>
      </c>
      <c r="CG49" s="97">
        <v>3940.7999999999997</v>
      </c>
      <c r="CH49" s="97">
        <v>4</v>
      </c>
      <c r="CI49" s="97">
        <v>3940.7999999999997</v>
      </c>
      <c r="CJ49" s="97">
        <v>4</v>
      </c>
      <c r="CK49" s="97">
        <v>3940.7999999999997</v>
      </c>
      <c r="CL49" s="97">
        <v>5</v>
      </c>
      <c r="CM49" s="97">
        <v>4926</v>
      </c>
      <c r="CN49" s="97">
        <v>4</v>
      </c>
      <c r="CO49" s="97">
        <v>3940.7999999999997</v>
      </c>
      <c r="CP49" s="97">
        <v>3</v>
      </c>
      <c r="CQ49" s="97">
        <v>2955.6</v>
      </c>
      <c r="CR49" s="97">
        <v>4</v>
      </c>
      <c r="CS49" s="97">
        <v>3940.7999999999997</v>
      </c>
      <c r="CT49" s="97">
        <v>3</v>
      </c>
      <c r="CU49" s="97">
        <v>2955.6</v>
      </c>
    </row>
    <row r="50" spans="2:99" x14ac:dyDescent="0.15">
      <c r="C50" s="96" t="s">
        <v>215</v>
      </c>
      <c r="D50" s="97">
        <v>75</v>
      </c>
      <c r="E50" s="97">
        <v>21150</v>
      </c>
      <c r="F50" s="97">
        <v>59</v>
      </c>
      <c r="G50" s="97">
        <v>16638</v>
      </c>
      <c r="H50" s="97">
        <v>63</v>
      </c>
      <c r="I50" s="97">
        <v>17766</v>
      </c>
      <c r="J50" s="97">
        <v>63</v>
      </c>
      <c r="K50" s="97">
        <v>17766</v>
      </c>
      <c r="L50" s="97">
        <v>48</v>
      </c>
      <c r="M50" s="97">
        <v>13536</v>
      </c>
      <c r="N50" s="97">
        <v>52</v>
      </c>
      <c r="O50" s="97">
        <v>14664</v>
      </c>
      <c r="P50" s="97">
        <v>46</v>
      </c>
      <c r="Q50" s="97">
        <v>12972</v>
      </c>
      <c r="R50" s="97">
        <v>62</v>
      </c>
      <c r="S50" s="97">
        <v>17484</v>
      </c>
      <c r="T50" s="97">
        <v>30</v>
      </c>
      <c r="U50" s="97">
        <v>8460</v>
      </c>
      <c r="V50" s="97">
        <v>43</v>
      </c>
      <c r="W50" s="97">
        <v>12126</v>
      </c>
      <c r="X50" s="97">
        <v>23</v>
      </c>
      <c r="Y50" s="97">
        <v>6486</v>
      </c>
      <c r="Z50" s="97">
        <v>23</v>
      </c>
      <c r="AA50" s="97">
        <v>6486</v>
      </c>
      <c r="AB50" s="97">
        <v>23</v>
      </c>
      <c r="AC50" s="97">
        <v>6486</v>
      </c>
      <c r="AD50" s="97">
        <v>19</v>
      </c>
      <c r="AE50" s="97">
        <v>5358</v>
      </c>
      <c r="AF50" s="97">
        <v>27</v>
      </c>
      <c r="AG50" s="97">
        <v>7614</v>
      </c>
      <c r="AH50" s="97">
        <v>22</v>
      </c>
      <c r="AI50" s="97">
        <v>6204</v>
      </c>
      <c r="AJ50" s="97">
        <v>11</v>
      </c>
      <c r="AK50" s="97">
        <v>3102</v>
      </c>
      <c r="AL50" s="97">
        <v>13</v>
      </c>
      <c r="AM50" s="97">
        <v>3666</v>
      </c>
      <c r="AN50" s="97">
        <v>11</v>
      </c>
      <c r="AO50" s="97">
        <v>3102</v>
      </c>
      <c r="AP50" s="97">
        <v>14</v>
      </c>
      <c r="AQ50" s="97">
        <v>3948</v>
      </c>
      <c r="AR50" s="97">
        <v>9</v>
      </c>
      <c r="AS50" s="97">
        <v>2538</v>
      </c>
      <c r="AT50" s="97">
        <v>9</v>
      </c>
      <c r="AU50" s="97">
        <v>2538</v>
      </c>
      <c r="AV50" s="97">
        <v>12</v>
      </c>
      <c r="AW50" s="97">
        <v>3384</v>
      </c>
      <c r="AX50" s="97">
        <v>13</v>
      </c>
      <c r="AY50" s="97">
        <v>3666</v>
      </c>
      <c r="AZ50" s="97">
        <v>12</v>
      </c>
      <c r="BA50" s="97">
        <v>3384</v>
      </c>
      <c r="BB50" s="97">
        <v>11</v>
      </c>
      <c r="BC50" s="97">
        <v>3102</v>
      </c>
      <c r="BD50" s="97">
        <v>8</v>
      </c>
      <c r="BE50" s="97">
        <v>2256</v>
      </c>
      <c r="BF50" s="97">
        <v>10</v>
      </c>
      <c r="BG50" s="97">
        <v>2820</v>
      </c>
      <c r="BH50" s="97">
        <v>8</v>
      </c>
      <c r="BI50" s="97">
        <v>2256</v>
      </c>
      <c r="BJ50" s="97">
        <v>9</v>
      </c>
      <c r="BK50" s="97">
        <v>2538</v>
      </c>
      <c r="BL50" s="97">
        <v>6</v>
      </c>
      <c r="BM50" s="97">
        <v>1692</v>
      </c>
      <c r="BN50" s="97">
        <v>9</v>
      </c>
      <c r="BO50" s="97">
        <v>2538</v>
      </c>
      <c r="BP50" s="97">
        <v>9</v>
      </c>
      <c r="BQ50" s="97">
        <v>2538</v>
      </c>
      <c r="BR50" s="97">
        <v>5</v>
      </c>
      <c r="BS50" s="97">
        <v>1410</v>
      </c>
      <c r="BT50" s="97">
        <v>7</v>
      </c>
      <c r="BU50" s="97">
        <v>1974</v>
      </c>
      <c r="BV50" s="97">
        <v>9</v>
      </c>
      <c r="BW50" s="97">
        <v>2538</v>
      </c>
      <c r="BX50" s="97">
        <v>6</v>
      </c>
      <c r="BY50" s="97">
        <v>1692</v>
      </c>
      <c r="BZ50" s="97">
        <v>7</v>
      </c>
      <c r="CA50" s="97">
        <v>1974</v>
      </c>
      <c r="CB50" s="97">
        <v>5</v>
      </c>
      <c r="CC50" s="97">
        <v>1410</v>
      </c>
      <c r="CD50" s="97">
        <v>6</v>
      </c>
      <c r="CE50" s="97">
        <v>1692</v>
      </c>
      <c r="CF50" s="97">
        <v>3</v>
      </c>
      <c r="CG50" s="97">
        <v>846</v>
      </c>
      <c r="CH50" s="97">
        <v>5</v>
      </c>
      <c r="CI50" s="97">
        <v>1410</v>
      </c>
      <c r="CJ50" s="97">
        <v>4</v>
      </c>
      <c r="CK50" s="97">
        <v>1128</v>
      </c>
      <c r="CL50" s="97">
        <v>5</v>
      </c>
      <c r="CM50" s="97">
        <v>1410</v>
      </c>
      <c r="CN50" s="97">
        <v>4</v>
      </c>
      <c r="CO50" s="97">
        <v>1128</v>
      </c>
      <c r="CP50" s="97">
        <v>2</v>
      </c>
      <c r="CQ50" s="97">
        <v>564</v>
      </c>
      <c r="CR50" s="97">
        <v>4</v>
      </c>
      <c r="CS50" s="97">
        <v>1128</v>
      </c>
      <c r="CT50" s="97">
        <v>4</v>
      </c>
      <c r="CU50" s="97">
        <v>1128</v>
      </c>
    </row>
    <row r="51" spans="2:99" x14ac:dyDescent="0.15">
      <c r="C51" s="96" t="s">
        <v>216</v>
      </c>
      <c r="D51" s="97">
        <v>66</v>
      </c>
      <c r="E51" s="97">
        <v>56390.400000000001</v>
      </c>
      <c r="F51" s="97">
        <v>59</v>
      </c>
      <c r="G51" s="97">
        <v>50409.599999999999</v>
      </c>
      <c r="H51" s="97">
        <v>53</v>
      </c>
      <c r="I51" s="97">
        <v>45283.199999999997</v>
      </c>
      <c r="J51" s="97">
        <v>54</v>
      </c>
      <c r="K51" s="97">
        <v>46137.599999999999</v>
      </c>
      <c r="L51" s="97">
        <v>38</v>
      </c>
      <c r="M51" s="97">
        <v>32467.200000000001</v>
      </c>
      <c r="N51" s="97">
        <v>45</v>
      </c>
      <c r="O51" s="97">
        <v>38448</v>
      </c>
      <c r="P51" s="97">
        <v>47</v>
      </c>
      <c r="Q51" s="97">
        <v>40156.799999999996</v>
      </c>
      <c r="R51" s="97">
        <v>55</v>
      </c>
      <c r="S51" s="97">
        <v>46992</v>
      </c>
      <c r="T51" s="97">
        <v>25</v>
      </c>
      <c r="U51" s="97">
        <v>21360</v>
      </c>
      <c r="V51" s="97">
        <v>36</v>
      </c>
      <c r="W51" s="97">
        <v>30758.399999999998</v>
      </c>
      <c r="X51" s="97">
        <v>21</v>
      </c>
      <c r="Y51" s="97">
        <v>17942.399999999998</v>
      </c>
      <c r="Z51" s="97">
        <v>22</v>
      </c>
      <c r="AA51" s="97">
        <v>18796.8</v>
      </c>
      <c r="AB51" s="97">
        <v>21</v>
      </c>
      <c r="AC51" s="97">
        <v>17942.399999999998</v>
      </c>
      <c r="AD51" s="97">
        <v>17</v>
      </c>
      <c r="AE51" s="97">
        <v>14524.8</v>
      </c>
      <c r="AF51" s="97">
        <v>28</v>
      </c>
      <c r="AG51" s="97">
        <v>23923.200000000001</v>
      </c>
      <c r="AH51" s="97">
        <v>22</v>
      </c>
      <c r="AI51" s="97">
        <v>18796.8</v>
      </c>
      <c r="AJ51" s="97">
        <v>11</v>
      </c>
      <c r="AK51" s="97">
        <v>9398.4</v>
      </c>
      <c r="AL51" s="97">
        <v>13</v>
      </c>
      <c r="AM51" s="97">
        <v>11107.199999999999</v>
      </c>
      <c r="AN51" s="97">
        <v>11</v>
      </c>
      <c r="AO51" s="97">
        <v>9398.4</v>
      </c>
      <c r="AP51" s="97">
        <v>12</v>
      </c>
      <c r="AQ51" s="97">
        <v>10252.799999999999</v>
      </c>
      <c r="AR51" s="97">
        <v>10</v>
      </c>
      <c r="AS51" s="97">
        <v>8544</v>
      </c>
      <c r="AT51" s="97">
        <v>8</v>
      </c>
      <c r="AU51" s="97">
        <v>6835.2</v>
      </c>
      <c r="AV51" s="97">
        <v>10</v>
      </c>
      <c r="AW51" s="97">
        <v>8544</v>
      </c>
      <c r="AX51" s="97">
        <v>14</v>
      </c>
      <c r="AY51" s="97">
        <v>11961.6</v>
      </c>
      <c r="AZ51" s="97">
        <v>12</v>
      </c>
      <c r="BA51" s="97">
        <v>10252.799999999999</v>
      </c>
      <c r="BB51" s="97">
        <v>10</v>
      </c>
      <c r="BC51" s="97">
        <v>8544</v>
      </c>
      <c r="BD51" s="97">
        <v>8</v>
      </c>
      <c r="BE51" s="97">
        <v>6835.2</v>
      </c>
      <c r="BF51" s="97">
        <v>10</v>
      </c>
      <c r="BG51" s="97">
        <v>8544</v>
      </c>
      <c r="BH51" s="97">
        <v>8</v>
      </c>
      <c r="BI51" s="97">
        <v>6835.2</v>
      </c>
      <c r="BJ51" s="97">
        <v>9</v>
      </c>
      <c r="BK51" s="97">
        <v>7689.5999999999995</v>
      </c>
      <c r="BL51" s="97">
        <v>6</v>
      </c>
      <c r="BM51" s="97">
        <v>5126.3999999999996</v>
      </c>
      <c r="BN51" s="97">
        <v>9</v>
      </c>
      <c r="BO51" s="97">
        <v>7689.5999999999995</v>
      </c>
      <c r="BP51" s="97">
        <v>7</v>
      </c>
      <c r="BQ51" s="97">
        <v>5980.8</v>
      </c>
      <c r="BR51" s="97">
        <v>5</v>
      </c>
      <c r="BS51" s="97">
        <v>4272</v>
      </c>
      <c r="BT51" s="97">
        <v>7</v>
      </c>
      <c r="BU51" s="97">
        <v>5980.8</v>
      </c>
      <c r="BV51" s="97">
        <v>8</v>
      </c>
      <c r="BW51" s="97">
        <v>6835.2</v>
      </c>
      <c r="BX51" s="97">
        <v>6</v>
      </c>
      <c r="BY51" s="97">
        <v>5126.3999999999996</v>
      </c>
      <c r="BZ51" s="97">
        <v>6</v>
      </c>
      <c r="CA51" s="97">
        <v>5126.3999999999996</v>
      </c>
      <c r="CB51" s="97">
        <v>6</v>
      </c>
      <c r="CC51" s="97">
        <v>5126.3999999999996</v>
      </c>
      <c r="CD51" s="97">
        <v>5</v>
      </c>
      <c r="CE51" s="97">
        <v>4272</v>
      </c>
      <c r="CF51" s="97">
        <v>3</v>
      </c>
      <c r="CG51" s="97">
        <v>2563.1999999999998</v>
      </c>
      <c r="CH51" s="97">
        <v>5</v>
      </c>
      <c r="CI51" s="97">
        <v>4272</v>
      </c>
      <c r="CJ51" s="97">
        <v>4</v>
      </c>
      <c r="CK51" s="97">
        <v>3417.6</v>
      </c>
      <c r="CL51" s="97">
        <v>6</v>
      </c>
      <c r="CM51" s="97">
        <v>5126.3999999999996</v>
      </c>
      <c r="CN51" s="97">
        <v>4</v>
      </c>
      <c r="CO51" s="97">
        <v>3417.6</v>
      </c>
      <c r="CP51" s="97">
        <v>3</v>
      </c>
      <c r="CQ51" s="97">
        <v>2563.1999999999998</v>
      </c>
      <c r="CR51" s="97">
        <v>4</v>
      </c>
      <c r="CS51" s="97">
        <v>3417.6</v>
      </c>
      <c r="CT51" s="97">
        <v>4</v>
      </c>
      <c r="CU51" s="97">
        <v>3417.6</v>
      </c>
    </row>
    <row r="52" spans="2:99" x14ac:dyDescent="0.15">
      <c r="C52" s="96" t="s">
        <v>217</v>
      </c>
      <c r="D52" s="97">
        <v>70</v>
      </c>
      <c r="E52" s="97">
        <v>37800</v>
      </c>
      <c r="F52" s="97">
        <v>56</v>
      </c>
      <c r="G52" s="97">
        <v>30240</v>
      </c>
      <c r="H52" s="97">
        <v>58</v>
      </c>
      <c r="I52" s="97">
        <v>31320</v>
      </c>
      <c r="J52" s="97">
        <v>56</v>
      </c>
      <c r="K52" s="97">
        <v>30240</v>
      </c>
      <c r="L52" s="97">
        <v>38</v>
      </c>
      <c r="M52" s="97">
        <v>20520</v>
      </c>
      <c r="N52" s="97">
        <v>55</v>
      </c>
      <c r="O52" s="97">
        <v>29700</v>
      </c>
      <c r="P52" s="97">
        <v>46</v>
      </c>
      <c r="Q52" s="97">
        <v>24840</v>
      </c>
      <c r="R52" s="97">
        <v>60</v>
      </c>
      <c r="S52" s="97">
        <v>32400</v>
      </c>
      <c r="T52" s="97">
        <v>28</v>
      </c>
      <c r="U52" s="97">
        <v>15120</v>
      </c>
      <c r="V52" s="97">
        <v>42</v>
      </c>
      <c r="W52" s="97">
        <v>22680</v>
      </c>
      <c r="X52" s="97">
        <v>25</v>
      </c>
      <c r="Y52" s="97">
        <v>13500</v>
      </c>
      <c r="Z52" s="97">
        <v>21</v>
      </c>
      <c r="AA52" s="97">
        <v>11340</v>
      </c>
      <c r="AB52" s="97">
        <v>22</v>
      </c>
      <c r="AC52" s="97">
        <v>11880</v>
      </c>
      <c r="AD52" s="97">
        <v>17</v>
      </c>
      <c r="AE52" s="97">
        <v>9180</v>
      </c>
      <c r="AF52" s="97">
        <v>28</v>
      </c>
      <c r="AG52" s="97">
        <v>15120</v>
      </c>
      <c r="AH52" s="97">
        <v>25</v>
      </c>
      <c r="AI52" s="97">
        <v>13500</v>
      </c>
      <c r="AJ52" s="97">
        <v>11</v>
      </c>
      <c r="AK52" s="97">
        <v>5940</v>
      </c>
      <c r="AL52" s="97">
        <v>14</v>
      </c>
      <c r="AM52" s="97">
        <v>7560</v>
      </c>
      <c r="AN52" s="97">
        <v>11</v>
      </c>
      <c r="AO52" s="97">
        <v>5940</v>
      </c>
      <c r="AP52" s="97">
        <v>12</v>
      </c>
      <c r="AQ52" s="97">
        <v>6480</v>
      </c>
      <c r="AR52" s="97">
        <v>9</v>
      </c>
      <c r="AS52" s="97">
        <v>4860</v>
      </c>
      <c r="AT52" s="97">
        <v>8</v>
      </c>
      <c r="AU52" s="97">
        <v>4320</v>
      </c>
      <c r="AV52" s="97">
        <v>11</v>
      </c>
      <c r="AW52" s="97">
        <v>5940</v>
      </c>
      <c r="AX52" s="97">
        <v>13</v>
      </c>
      <c r="AY52" s="97">
        <v>7020</v>
      </c>
      <c r="AZ52" s="97">
        <v>11</v>
      </c>
      <c r="BA52" s="97">
        <v>5940</v>
      </c>
      <c r="BB52" s="97">
        <v>11</v>
      </c>
      <c r="BC52" s="97">
        <v>5940</v>
      </c>
      <c r="BD52" s="97">
        <v>9</v>
      </c>
      <c r="BE52" s="97">
        <v>4860</v>
      </c>
      <c r="BF52" s="97">
        <v>9</v>
      </c>
      <c r="BG52" s="97">
        <v>4860</v>
      </c>
      <c r="BH52" s="97">
        <v>8</v>
      </c>
      <c r="BI52" s="97">
        <v>4320</v>
      </c>
      <c r="BJ52" s="97">
        <v>10</v>
      </c>
      <c r="BK52" s="97">
        <v>5400</v>
      </c>
      <c r="BL52" s="97">
        <v>5</v>
      </c>
      <c r="BM52" s="97">
        <v>2700</v>
      </c>
      <c r="BN52" s="97">
        <v>8</v>
      </c>
      <c r="BO52" s="97">
        <v>4320</v>
      </c>
      <c r="BP52" s="97">
        <v>8</v>
      </c>
      <c r="BQ52" s="97">
        <v>4320</v>
      </c>
      <c r="BR52" s="97">
        <v>5</v>
      </c>
      <c r="BS52" s="97">
        <v>2700</v>
      </c>
      <c r="BT52" s="97">
        <v>8</v>
      </c>
      <c r="BU52" s="97">
        <v>4320</v>
      </c>
      <c r="BV52" s="97">
        <v>8</v>
      </c>
      <c r="BW52" s="97">
        <v>4320</v>
      </c>
      <c r="BX52" s="97">
        <v>6</v>
      </c>
      <c r="BY52" s="97">
        <v>3240</v>
      </c>
      <c r="BZ52" s="97">
        <v>6</v>
      </c>
      <c r="CA52" s="97">
        <v>3240</v>
      </c>
      <c r="CB52" s="97">
        <v>6</v>
      </c>
      <c r="CC52" s="97">
        <v>3240</v>
      </c>
      <c r="CD52" s="97">
        <v>5</v>
      </c>
      <c r="CE52" s="97">
        <v>2700</v>
      </c>
      <c r="CF52" s="97">
        <v>4</v>
      </c>
      <c r="CG52" s="97">
        <v>2160</v>
      </c>
      <c r="CH52" s="97">
        <v>5</v>
      </c>
      <c r="CI52" s="97">
        <v>2700</v>
      </c>
      <c r="CJ52" s="97">
        <v>4</v>
      </c>
      <c r="CK52" s="97">
        <v>2160</v>
      </c>
      <c r="CL52" s="97">
        <v>6</v>
      </c>
      <c r="CM52" s="97">
        <v>3240</v>
      </c>
      <c r="CN52" s="97">
        <v>4</v>
      </c>
      <c r="CO52" s="97">
        <v>2160</v>
      </c>
      <c r="CP52" s="97">
        <v>2</v>
      </c>
      <c r="CQ52" s="97">
        <v>1080</v>
      </c>
      <c r="CR52" s="97">
        <v>4</v>
      </c>
      <c r="CS52" s="97">
        <v>2160</v>
      </c>
      <c r="CT52" s="97">
        <v>4</v>
      </c>
      <c r="CU52" s="97">
        <v>2160</v>
      </c>
    </row>
    <row r="53" spans="2:99" x14ac:dyDescent="0.15">
      <c r="C53" s="96" t="s">
        <v>218</v>
      </c>
      <c r="D53" s="97">
        <v>87</v>
      </c>
      <c r="E53" s="97">
        <v>35391.599999999999</v>
      </c>
      <c r="F53" s="97">
        <v>60</v>
      </c>
      <c r="G53" s="97">
        <v>24408</v>
      </c>
      <c r="H53" s="97">
        <v>51</v>
      </c>
      <c r="I53" s="97">
        <v>20746.8</v>
      </c>
      <c r="J53" s="97">
        <v>60</v>
      </c>
      <c r="K53" s="97">
        <v>24408</v>
      </c>
      <c r="L53" s="97">
        <v>38</v>
      </c>
      <c r="M53" s="97">
        <v>15458.4</v>
      </c>
      <c r="N53" s="97">
        <v>46</v>
      </c>
      <c r="O53" s="97">
        <v>18712.8</v>
      </c>
      <c r="P53" s="97">
        <v>44</v>
      </c>
      <c r="Q53" s="97">
        <v>17899.2</v>
      </c>
      <c r="R53" s="97">
        <v>56</v>
      </c>
      <c r="S53" s="97">
        <v>22780.799999999999</v>
      </c>
      <c r="T53" s="97">
        <v>28</v>
      </c>
      <c r="U53" s="97">
        <v>11390.4</v>
      </c>
      <c r="V53" s="97">
        <v>42</v>
      </c>
      <c r="W53" s="97">
        <v>17085.600000000002</v>
      </c>
      <c r="X53" s="97">
        <v>24</v>
      </c>
      <c r="Y53" s="97">
        <v>9763.2000000000007</v>
      </c>
      <c r="Z53" s="97">
        <v>22</v>
      </c>
      <c r="AA53" s="97">
        <v>8949.6</v>
      </c>
      <c r="AB53" s="97">
        <v>23</v>
      </c>
      <c r="AC53" s="97">
        <v>9356.4</v>
      </c>
      <c r="AD53" s="97">
        <v>18</v>
      </c>
      <c r="AE53" s="97">
        <v>7322.4000000000005</v>
      </c>
      <c r="AF53" s="97">
        <v>25</v>
      </c>
      <c r="AG53" s="97">
        <v>10170</v>
      </c>
      <c r="AH53" s="97">
        <v>25</v>
      </c>
      <c r="AI53" s="97">
        <v>10170</v>
      </c>
      <c r="AJ53" s="97">
        <v>11</v>
      </c>
      <c r="AK53" s="97">
        <v>4474.8</v>
      </c>
      <c r="AL53" s="97">
        <v>15</v>
      </c>
      <c r="AM53" s="97">
        <v>6102</v>
      </c>
      <c r="AN53" s="97">
        <v>10</v>
      </c>
      <c r="AO53" s="97">
        <v>4068</v>
      </c>
      <c r="AP53" s="97">
        <v>14</v>
      </c>
      <c r="AQ53" s="97">
        <v>5695.2</v>
      </c>
      <c r="AR53" s="97">
        <v>8</v>
      </c>
      <c r="AS53" s="97">
        <v>3254.4</v>
      </c>
      <c r="AT53" s="97">
        <v>8</v>
      </c>
      <c r="AU53" s="97">
        <v>3254.4</v>
      </c>
      <c r="AV53" s="97">
        <v>11</v>
      </c>
      <c r="AW53" s="97">
        <v>4474.8</v>
      </c>
      <c r="AX53" s="97">
        <v>14</v>
      </c>
      <c r="AY53" s="97">
        <v>5695.2</v>
      </c>
      <c r="AZ53" s="97">
        <v>11</v>
      </c>
      <c r="BA53" s="97">
        <v>4474.8</v>
      </c>
      <c r="BB53" s="97">
        <v>11</v>
      </c>
      <c r="BC53" s="97">
        <v>4474.8</v>
      </c>
      <c r="BD53" s="97">
        <v>8</v>
      </c>
      <c r="BE53" s="97">
        <v>3254.4</v>
      </c>
      <c r="BF53" s="97">
        <v>10</v>
      </c>
      <c r="BG53" s="97">
        <v>4068</v>
      </c>
      <c r="BH53" s="97">
        <v>9</v>
      </c>
      <c r="BI53" s="97">
        <v>3661.2000000000003</v>
      </c>
      <c r="BJ53" s="97">
        <v>9</v>
      </c>
      <c r="BK53" s="97">
        <v>3661.2000000000003</v>
      </c>
      <c r="BL53" s="97">
        <v>6</v>
      </c>
      <c r="BM53" s="97">
        <v>2440.8000000000002</v>
      </c>
      <c r="BN53" s="97">
        <v>9</v>
      </c>
      <c r="BO53" s="97">
        <v>3661.2000000000003</v>
      </c>
      <c r="BP53" s="97">
        <v>8</v>
      </c>
      <c r="BQ53" s="97">
        <v>3254.4</v>
      </c>
      <c r="BR53" s="97">
        <v>5</v>
      </c>
      <c r="BS53" s="97">
        <v>2034</v>
      </c>
      <c r="BT53" s="97">
        <v>7</v>
      </c>
      <c r="BU53" s="97">
        <v>2847.6</v>
      </c>
      <c r="BV53" s="97">
        <v>7</v>
      </c>
      <c r="BW53" s="97">
        <v>2847.6</v>
      </c>
      <c r="BX53" s="97">
        <v>7</v>
      </c>
      <c r="BY53" s="97">
        <v>2847.6</v>
      </c>
      <c r="BZ53" s="97">
        <v>6</v>
      </c>
      <c r="CA53" s="97">
        <v>2440.8000000000002</v>
      </c>
      <c r="CB53" s="97">
        <v>5</v>
      </c>
      <c r="CC53" s="97">
        <v>2034</v>
      </c>
      <c r="CD53" s="97">
        <v>6</v>
      </c>
      <c r="CE53" s="97">
        <v>2440.8000000000002</v>
      </c>
      <c r="CF53" s="97">
        <v>4</v>
      </c>
      <c r="CG53" s="97">
        <v>1627.2</v>
      </c>
      <c r="CH53" s="97">
        <v>5</v>
      </c>
      <c r="CI53" s="97">
        <v>2034</v>
      </c>
      <c r="CJ53" s="97">
        <v>4</v>
      </c>
      <c r="CK53" s="97">
        <v>1627.2</v>
      </c>
      <c r="CL53" s="97">
        <v>6</v>
      </c>
      <c r="CM53" s="97">
        <v>2440.8000000000002</v>
      </c>
      <c r="CN53" s="97">
        <v>4</v>
      </c>
      <c r="CO53" s="97">
        <v>1627.2</v>
      </c>
      <c r="CP53" s="97">
        <v>3</v>
      </c>
      <c r="CQ53" s="97">
        <v>1220.4000000000001</v>
      </c>
      <c r="CR53" s="97">
        <v>4</v>
      </c>
      <c r="CS53" s="97">
        <v>1627.2</v>
      </c>
      <c r="CT53" s="97">
        <v>4</v>
      </c>
      <c r="CU53" s="97">
        <v>1627.2</v>
      </c>
    </row>
    <row r="54" spans="2:99" x14ac:dyDescent="0.15">
      <c r="C54" s="96" t="s">
        <v>219</v>
      </c>
      <c r="D54" s="97">
        <v>77</v>
      </c>
      <c r="E54" s="97">
        <v>25779.600000000002</v>
      </c>
      <c r="F54" s="97">
        <v>62</v>
      </c>
      <c r="G54" s="97">
        <v>20757.600000000002</v>
      </c>
      <c r="H54" s="97">
        <v>52</v>
      </c>
      <c r="I54" s="97">
        <v>17409.600000000002</v>
      </c>
      <c r="J54" s="97">
        <v>62</v>
      </c>
      <c r="K54" s="97">
        <v>20757.600000000002</v>
      </c>
      <c r="L54" s="97">
        <v>41</v>
      </c>
      <c r="M54" s="97">
        <v>13726.800000000001</v>
      </c>
      <c r="N54" s="97">
        <v>56</v>
      </c>
      <c r="O54" s="97">
        <v>18748.8</v>
      </c>
      <c r="P54" s="97">
        <v>45</v>
      </c>
      <c r="Q54" s="97">
        <v>15066</v>
      </c>
      <c r="R54" s="97">
        <v>58</v>
      </c>
      <c r="S54" s="97">
        <v>19418.400000000001</v>
      </c>
      <c r="T54" s="97">
        <v>29</v>
      </c>
      <c r="U54" s="97">
        <v>9709.2000000000007</v>
      </c>
      <c r="V54" s="97">
        <v>37</v>
      </c>
      <c r="W54" s="97">
        <v>12387.6</v>
      </c>
      <c r="X54" s="97">
        <v>27</v>
      </c>
      <c r="Y54" s="97">
        <v>9039.6</v>
      </c>
      <c r="Z54" s="97">
        <v>26</v>
      </c>
      <c r="AA54" s="97">
        <v>8704.8000000000011</v>
      </c>
      <c r="AB54" s="97">
        <v>24</v>
      </c>
      <c r="AC54" s="97">
        <v>8035.2000000000007</v>
      </c>
      <c r="AD54" s="97">
        <v>17</v>
      </c>
      <c r="AE54" s="97">
        <v>5691.6</v>
      </c>
      <c r="AF54" s="97">
        <v>27</v>
      </c>
      <c r="AG54" s="97">
        <v>9039.6</v>
      </c>
      <c r="AH54" s="97">
        <v>25</v>
      </c>
      <c r="AI54" s="97">
        <v>8370</v>
      </c>
      <c r="AJ54" s="97">
        <v>11</v>
      </c>
      <c r="AK54" s="97">
        <v>3682.8</v>
      </c>
      <c r="AL54" s="97">
        <v>16</v>
      </c>
      <c r="AM54" s="97">
        <v>5356.8</v>
      </c>
      <c r="AN54" s="97">
        <v>11</v>
      </c>
      <c r="AO54" s="97">
        <v>3682.8</v>
      </c>
      <c r="AP54" s="97">
        <v>14</v>
      </c>
      <c r="AQ54" s="97">
        <v>4687.2</v>
      </c>
      <c r="AR54" s="97">
        <v>9</v>
      </c>
      <c r="AS54" s="97">
        <v>3013.2000000000003</v>
      </c>
      <c r="AT54" s="97">
        <v>8</v>
      </c>
      <c r="AU54" s="97">
        <v>2678.4</v>
      </c>
      <c r="AV54" s="97">
        <v>11</v>
      </c>
      <c r="AW54" s="97">
        <v>3682.8</v>
      </c>
      <c r="AX54" s="97">
        <v>15</v>
      </c>
      <c r="AY54" s="97">
        <v>5022</v>
      </c>
      <c r="AZ54" s="97">
        <v>11</v>
      </c>
      <c r="BA54" s="97">
        <v>3682.8</v>
      </c>
      <c r="BB54" s="97">
        <v>11</v>
      </c>
      <c r="BC54" s="97">
        <v>3682.8</v>
      </c>
      <c r="BD54" s="97">
        <v>9</v>
      </c>
      <c r="BE54" s="97">
        <v>3013.2000000000003</v>
      </c>
      <c r="BF54" s="97">
        <v>10</v>
      </c>
      <c r="BG54" s="97">
        <v>3348</v>
      </c>
      <c r="BH54" s="97">
        <v>9</v>
      </c>
      <c r="BI54" s="97">
        <v>3013.2000000000003</v>
      </c>
      <c r="BJ54" s="97">
        <v>10</v>
      </c>
      <c r="BK54" s="97">
        <v>3348</v>
      </c>
      <c r="BL54" s="97">
        <v>6</v>
      </c>
      <c r="BM54" s="97">
        <v>2008.8000000000002</v>
      </c>
      <c r="BN54" s="97">
        <v>8</v>
      </c>
      <c r="BO54" s="97">
        <v>2678.4</v>
      </c>
      <c r="BP54" s="97">
        <v>8</v>
      </c>
      <c r="BQ54" s="97">
        <v>2678.4</v>
      </c>
      <c r="BR54" s="97">
        <v>5</v>
      </c>
      <c r="BS54" s="97">
        <v>1674</v>
      </c>
      <c r="BT54" s="97">
        <v>7</v>
      </c>
      <c r="BU54" s="97">
        <v>2343.6</v>
      </c>
      <c r="BV54" s="97">
        <v>8</v>
      </c>
      <c r="BW54" s="97">
        <v>2678.4</v>
      </c>
      <c r="BX54" s="97">
        <v>7</v>
      </c>
      <c r="BY54" s="97">
        <v>2343.6</v>
      </c>
      <c r="BZ54" s="97">
        <v>6</v>
      </c>
      <c r="CA54" s="97">
        <v>2008.8000000000002</v>
      </c>
      <c r="CB54" s="97">
        <v>6</v>
      </c>
      <c r="CC54" s="97">
        <v>2008.8000000000002</v>
      </c>
      <c r="CD54" s="97">
        <v>5</v>
      </c>
      <c r="CE54" s="97">
        <v>1674</v>
      </c>
      <c r="CF54" s="97">
        <v>4</v>
      </c>
      <c r="CG54" s="97">
        <v>1339.2</v>
      </c>
      <c r="CH54" s="97">
        <v>5</v>
      </c>
      <c r="CI54" s="97">
        <v>1674</v>
      </c>
      <c r="CJ54" s="97">
        <v>4</v>
      </c>
      <c r="CK54" s="97">
        <v>1339.2</v>
      </c>
      <c r="CL54" s="97">
        <v>6</v>
      </c>
      <c r="CM54" s="97">
        <v>2008.8000000000002</v>
      </c>
      <c r="CN54" s="97">
        <v>4</v>
      </c>
      <c r="CO54" s="97">
        <v>1339.2</v>
      </c>
      <c r="CP54" s="97">
        <v>2</v>
      </c>
      <c r="CQ54" s="97">
        <v>669.6</v>
      </c>
      <c r="CR54" s="97">
        <v>4</v>
      </c>
      <c r="CS54" s="97">
        <v>1339.2</v>
      </c>
      <c r="CT54" s="97">
        <v>4</v>
      </c>
      <c r="CU54" s="97">
        <v>1339.2</v>
      </c>
    </row>
    <row r="55" spans="2:99" x14ac:dyDescent="0.15">
      <c r="C55" s="96" t="s">
        <v>220</v>
      </c>
      <c r="D55" s="97">
        <v>68</v>
      </c>
      <c r="E55" s="97">
        <v>45124.800000000003</v>
      </c>
      <c r="F55" s="97">
        <v>57</v>
      </c>
      <c r="G55" s="97">
        <v>37825.200000000004</v>
      </c>
      <c r="H55" s="97">
        <v>49</v>
      </c>
      <c r="I55" s="97">
        <v>32516.400000000001</v>
      </c>
      <c r="J55" s="97">
        <v>60</v>
      </c>
      <c r="K55" s="97">
        <v>39816</v>
      </c>
      <c r="L55" s="97">
        <v>37</v>
      </c>
      <c r="M55" s="97">
        <v>24553.200000000001</v>
      </c>
      <c r="N55" s="97">
        <v>51</v>
      </c>
      <c r="O55" s="97">
        <v>33843.599999999999</v>
      </c>
      <c r="P55" s="97">
        <v>42</v>
      </c>
      <c r="Q55" s="97">
        <v>27871.200000000001</v>
      </c>
      <c r="R55" s="97">
        <v>62</v>
      </c>
      <c r="S55" s="97">
        <v>41143.200000000004</v>
      </c>
      <c r="T55" s="97">
        <v>26</v>
      </c>
      <c r="U55" s="97">
        <v>17253.600000000002</v>
      </c>
      <c r="V55" s="97">
        <v>37</v>
      </c>
      <c r="W55" s="97">
        <v>24553.200000000001</v>
      </c>
      <c r="X55" s="97">
        <v>23</v>
      </c>
      <c r="Y55" s="97">
        <v>15262.800000000001</v>
      </c>
      <c r="Z55" s="97">
        <v>23</v>
      </c>
      <c r="AA55" s="97">
        <v>15262.800000000001</v>
      </c>
      <c r="AB55" s="97">
        <v>24</v>
      </c>
      <c r="AC55" s="97">
        <v>15926.400000000001</v>
      </c>
      <c r="AD55" s="97">
        <v>16</v>
      </c>
      <c r="AE55" s="97">
        <v>10617.6</v>
      </c>
      <c r="AF55" s="97">
        <v>27</v>
      </c>
      <c r="AG55" s="97">
        <v>17917.2</v>
      </c>
      <c r="AH55" s="97">
        <v>24</v>
      </c>
      <c r="AI55" s="97">
        <v>15926.400000000001</v>
      </c>
      <c r="AJ55" s="97">
        <v>10</v>
      </c>
      <c r="AK55" s="97">
        <v>6636</v>
      </c>
      <c r="AL55" s="97">
        <v>15</v>
      </c>
      <c r="AM55" s="97">
        <v>9954</v>
      </c>
      <c r="AN55" s="97">
        <v>9</v>
      </c>
      <c r="AO55" s="97">
        <v>5972.4000000000005</v>
      </c>
      <c r="AP55" s="97">
        <v>14</v>
      </c>
      <c r="AQ55" s="97">
        <v>9290.4</v>
      </c>
      <c r="AR55" s="97">
        <v>10</v>
      </c>
      <c r="AS55" s="97">
        <v>6636</v>
      </c>
      <c r="AT55" s="97">
        <v>8</v>
      </c>
      <c r="AU55" s="97">
        <v>5308.8</v>
      </c>
      <c r="AV55" s="97">
        <v>10</v>
      </c>
      <c r="AW55" s="97">
        <v>6636</v>
      </c>
      <c r="AX55" s="97">
        <v>14</v>
      </c>
      <c r="AY55" s="97">
        <v>9290.4</v>
      </c>
      <c r="AZ55" s="97">
        <v>11</v>
      </c>
      <c r="BA55" s="97">
        <v>7299.6</v>
      </c>
      <c r="BB55" s="97">
        <v>10</v>
      </c>
      <c r="BC55" s="97">
        <v>6636</v>
      </c>
      <c r="BD55" s="97">
        <v>9</v>
      </c>
      <c r="BE55" s="97">
        <v>5972.4000000000005</v>
      </c>
      <c r="BF55" s="97">
        <v>10</v>
      </c>
      <c r="BG55" s="97">
        <v>6636</v>
      </c>
      <c r="BH55" s="97">
        <v>8</v>
      </c>
      <c r="BI55" s="97">
        <v>5308.8</v>
      </c>
      <c r="BJ55" s="97">
        <v>10</v>
      </c>
      <c r="BK55" s="97">
        <v>6636</v>
      </c>
      <c r="BL55" s="97">
        <v>6</v>
      </c>
      <c r="BM55" s="97">
        <v>3981.6000000000004</v>
      </c>
      <c r="BN55" s="97">
        <v>8</v>
      </c>
      <c r="BO55" s="97">
        <v>5308.8</v>
      </c>
      <c r="BP55" s="97">
        <v>8</v>
      </c>
      <c r="BQ55" s="97">
        <v>5308.8</v>
      </c>
      <c r="BR55" s="97">
        <v>5</v>
      </c>
      <c r="BS55" s="97">
        <v>3318</v>
      </c>
      <c r="BT55" s="97">
        <v>7</v>
      </c>
      <c r="BU55" s="97">
        <v>4645.2</v>
      </c>
      <c r="BV55" s="97">
        <v>7</v>
      </c>
      <c r="BW55" s="97">
        <v>4645.2</v>
      </c>
      <c r="BX55" s="97">
        <v>6</v>
      </c>
      <c r="BY55" s="97">
        <v>3981.6000000000004</v>
      </c>
      <c r="BZ55" s="97">
        <v>6</v>
      </c>
      <c r="CA55" s="97">
        <v>3981.6000000000004</v>
      </c>
      <c r="CB55" s="97">
        <v>5</v>
      </c>
      <c r="CC55" s="97">
        <v>3318</v>
      </c>
      <c r="CD55" s="97">
        <v>5</v>
      </c>
      <c r="CE55" s="97">
        <v>3318</v>
      </c>
      <c r="CF55" s="97">
        <v>4</v>
      </c>
      <c r="CG55" s="97">
        <v>2654.4</v>
      </c>
      <c r="CH55" s="97">
        <v>5</v>
      </c>
      <c r="CI55" s="97">
        <v>3318</v>
      </c>
      <c r="CJ55" s="97">
        <v>4</v>
      </c>
      <c r="CK55" s="97">
        <v>2654.4</v>
      </c>
      <c r="CL55" s="97">
        <v>5</v>
      </c>
      <c r="CM55" s="97">
        <v>3318</v>
      </c>
      <c r="CN55" s="97">
        <v>3</v>
      </c>
      <c r="CO55" s="97">
        <v>1990.8000000000002</v>
      </c>
      <c r="CP55" s="97">
        <v>2</v>
      </c>
      <c r="CQ55" s="97">
        <v>1327.2</v>
      </c>
      <c r="CR55" s="97">
        <v>4</v>
      </c>
      <c r="CS55" s="97">
        <v>2654.4</v>
      </c>
      <c r="CT55" s="97">
        <v>4</v>
      </c>
      <c r="CU55" s="97">
        <v>2654.4</v>
      </c>
    </row>
    <row r="56" spans="2:99" x14ac:dyDescent="0.15">
      <c r="C56" s="96" t="s">
        <v>221</v>
      </c>
      <c r="D56" s="97">
        <v>70</v>
      </c>
      <c r="E56" s="97">
        <v>80556</v>
      </c>
      <c r="F56" s="97">
        <v>49</v>
      </c>
      <c r="G56" s="97">
        <v>56389.2</v>
      </c>
      <c r="H56" s="97">
        <v>48</v>
      </c>
      <c r="I56" s="97">
        <v>55238.399999999994</v>
      </c>
      <c r="J56" s="97">
        <v>46</v>
      </c>
      <c r="K56" s="97">
        <v>52936.799999999996</v>
      </c>
      <c r="L56" s="97">
        <v>40</v>
      </c>
      <c r="M56" s="97">
        <v>46032</v>
      </c>
      <c r="N56" s="97">
        <v>46</v>
      </c>
      <c r="O56" s="97">
        <v>52936.799999999996</v>
      </c>
      <c r="P56" s="97">
        <v>44</v>
      </c>
      <c r="Q56" s="97">
        <v>50635.199999999997</v>
      </c>
      <c r="R56" s="97">
        <v>53</v>
      </c>
      <c r="S56" s="97">
        <v>60992.399999999994</v>
      </c>
      <c r="T56" s="97">
        <v>25</v>
      </c>
      <c r="U56" s="97">
        <v>28770</v>
      </c>
      <c r="V56" s="97">
        <v>34</v>
      </c>
      <c r="W56" s="97">
        <v>39127.199999999997</v>
      </c>
      <c r="X56" s="97">
        <v>23</v>
      </c>
      <c r="Y56" s="97">
        <v>26468.399999999998</v>
      </c>
      <c r="Z56" s="97">
        <v>22</v>
      </c>
      <c r="AA56" s="97">
        <v>25317.599999999999</v>
      </c>
      <c r="AB56" s="97">
        <v>23</v>
      </c>
      <c r="AC56" s="97">
        <v>26468.399999999998</v>
      </c>
      <c r="AD56" s="97">
        <v>17</v>
      </c>
      <c r="AE56" s="97">
        <v>19563.599999999999</v>
      </c>
      <c r="AF56" s="97">
        <v>27</v>
      </c>
      <c r="AG56" s="97">
        <v>31071.599999999999</v>
      </c>
      <c r="AH56" s="97">
        <v>20</v>
      </c>
      <c r="AI56" s="97">
        <v>23016</v>
      </c>
      <c r="AJ56" s="97">
        <v>9</v>
      </c>
      <c r="AK56" s="97">
        <v>10357.199999999999</v>
      </c>
      <c r="AL56" s="97">
        <v>15</v>
      </c>
      <c r="AM56" s="97">
        <v>17262</v>
      </c>
      <c r="AN56" s="97">
        <v>9</v>
      </c>
      <c r="AO56" s="97">
        <v>10357.199999999999</v>
      </c>
      <c r="AP56" s="97">
        <v>12</v>
      </c>
      <c r="AQ56" s="97">
        <v>13809.599999999999</v>
      </c>
      <c r="AR56" s="97">
        <v>8</v>
      </c>
      <c r="AS56" s="97">
        <v>9206.4</v>
      </c>
      <c r="AT56" s="97">
        <v>7</v>
      </c>
      <c r="AU56" s="97">
        <v>8055.5999999999995</v>
      </c>
      <c r="AV56" s="97">
        <v>11</v>
      </c>
      <c r="AW56" s="97">
        <v>12658.8</v>
      </c>
      <c r="AX56" s="97">
        <v>14</v>
      </c>
      <c r="AY56" s="97">
        <v>16111.199999999999</v>
      </c>
      <c r="AZ56" s="97">
        <v>9</v>
      </c>
      <c r="BA56" s="97">
        <v>10357.199999999999</v>
      </c>
      <c r="BB56" s="97">
        <v>11</v>
      </c>
      <c r="BC56" s="97">
        <v>12658.8</v>
      </c>
      <c r="BD56" s="97">
        <v>9</v>
      </c>
      <c r="BE56" s="97">
        <v>10357.199999999999</v>
      </c>
      <c r="BF56" s="97">
        <v>10</v>
      </c>
      <c r="BG56" s="97">
        <v>11508</v>
      </c>
      <c r="BH56" s="97">
        <v>8</v>
      </c>
      <c r="BI56" s="97">
        <v>9206.4</v>
      </c>
      <c r="BJ56" s="97">
        <v>9</v>
      </c>
      <c r="BK56" s="97">
        <v>10357.199999999999</v>
      </c>
      <c r="BL56" s="97">
        <v>6</v>
      </c>
      <c r="BM56" s="97">
        <v>6904.7999999999993</v>
      </c>
      <c r="BN56" s="97">
        <v>9</v>
      </c>
      <c r="BO56" s="97">
        <v>10357.199999999999</v>
      </c>
      <c r="BP56" s="97">
        <v>8</v>
      </c>
      <c r="BQ56" s="97">
        <v>9206.4</v>
      </c>
      <c r="BR56" s="97">
        <v>5</v>
      </c>
      <c r="BS56" s="97">
        <v>5754</v>
      </c>
      <c r="BT56" s="97">
        <v>7</v>
      </c>
      <c r="BU56" s="97">
        <v>8055.5999999999995</v>
      </c>
      <c r="BV56" s="97">
        <v>8</v>
      </c>
      <c r="BW56" s="97">
        <v>9206.4</v>
      </c>
      <c r="BX56" s="97">
        <v>6</v>
      </c>
      <c r="BY56" s="97">
        <v>6904.7999999999993</v>
      </c>
      <c r="BZ56" s="97">
        <v>6</v>
      </c>
      <c r="CA56" s="97">
        <v>6904.7999999999993</v>
      </c>
      <c r="CB56" s="97">
        <v>5</v>
      </c>
      <c r="CC56" s="97">
        <v>5754</v>
      </c>
      <c r="CD56" s="97">
        <v>5</v>
      </c>
      <c r="CE56" s="97">
        <v>5754</v>
      </c>
      <c r="CF56" s="97">
        <v>4</v>
      </c>
      <c r="CG56" s="97">
        <v>4603.2</v>
      </c>
      <c r="CH56" s="97">
        <v>5</v>
      </c>
      <c r="CI56" s="97">
        <v>5754</v>
      </c>
      <c r="CJ56" s="97">
        <v>4</v>
      </c>
      <c r="CK56" s="97">
        <v>4603.2</v>
      </c>
      <c r="CL56" s="97">
        <v>6</v>
      </c>
      <c r="CM56" s="97">
        <v>6904.7999999999993</v>
      </c>
      <c r="CN56" s="97">
        <v>4</v>
      </c>
      <c r="CO56" s="97">
        <v>4603.2</v>
      </c>
      <c r="CP56" s="97">
        <v>2</v>
      </c>
      <c r="CQ56" s="97">
        <v>2301.6</v>
      </c>
      <c r="CR56" s="97">
        <v>4</v>
      </c>
      <c r="CS56" s="97">
        <v>4603.2</v>
      </c>
      <c r="CT56" s="97">
        <v>4</v>
      </c>
      <c r="CU56" s="97">
        <v>4603.2</v>
      </c>
    </row>
    <row r="57" spans="2:99" x14ac:dyDescent="0.15">
      <c r="C57" s="96" t="s">
        <v>222</v>
      </c>
      <c r="D57" s="97">
        <v>65</v>
      </c>
      <c r="E57" s="97">
        <v>91728</v>
      </c>
      <c r="F57" s="97">
        <v>56</v>
      </c>
      <c r="G57" s="97">
        <v>79027.199999999997</v>
      </c>
      <c r="H57" s="97">
        <v>42</v>
      </c>
      <c r="I57" s="97">
        <v>59270.400000000001</v>
      </c>
      <c r="J57" s="97">
        <v>49</v>
      </c>
      <c r="K57" s="97">
        <v>69148.800000000003</v>
      </c>
      <c r="L57" s="97">
        <v>36</v>
      </c>
      <c r="M57" s="97">
        <v>50803.200000000004</v>
      </c>
      <c r="N57" s="97">
        <v>45</v>
      </c>
      <c r="O57" s="97">
        <v>63504</v>
      </c>
      <c r="P57" s="97">
        <v>43</v>
      </c>
      <c r="Q57" s="97">
        <v>60681.599999999999</v>
      </c>
      <c r="R57" s="97">
        <v>47</v>
      </c>
      <c r="S57" s="97">
        <v>66326.400000000009</v>
      </c>
      <c r="T57" s="97">
        <v>26</v>
      </c>
      <c r="U57" s="97">
        <v>36691.200000000004</v>
      </c>
      <c r="V57" s="97">
        <v>37</v>
      </c>
      <c r="W57" s="97">
        <v>52214.400000000001</v>
      </c>
      <c r="X57" s="97">
        <v>21</v>
      </c>
      <c r="Y57" s="97">
        <v>29635.200000000001</v>
      </c>
      <c r="Z57" s="97">
        <v>21</v>
      </c>
      <c r="AA57" s="97">
        <v>29635.200000000001</v>
      </c>
      <c r="AB57" s="97">
        <v>20</v>
      </c>
      <c r="AC57" s="97">
        <v>28224</v>
      </c>
      <c r="AD57" s="97">
        <v>15</v>
      </c>
      <c r="AE57" s="97">
        <v>21168</v>
      </c>
      <c r="AF57" s="97">
        <v>24</v>
      </c>
      <c r="AG57" s="97">
        <v>33868.800000000003</v>
      </c>
      <c r="AH57" s="97">
        <v>22</v>
      </c>
      <c r="AI57" s="97">
        <v>31046.400000000001</v>
      </c>
      <c r="AJ57" s="97">
        <v>10</v>
      </c>
      <c r="AK57" s="97">
        <v>14112</v>
      </c>
      <c r="AL57" s="97">
        <v>12</v>
      </c>
      <c r="AM57" s="97">
        <v>16934.400000000001</v>
      </c>
      <c r="AN57" s="97">
        <v>10</v>
      </c>
      <c r="AO57" s="97">
        <v>14112</v>
      </c>
      <c r="AP57" s="97">
        <v>12</v>
      </c>
      <c r="AQ57" s="97">
        <v>16934.400000000001</v>
      </c>
      <c r="AR57" s="97">
        <v>9</v>
      </c>
      <c r="AS57" s="97">
        <v>12700.800000000001</v>
      </c>
      <c r="AT57" s="97">
        <v>7</v>
      </c>
      <c r="AU57" s="97">
        <v>9878.4</v>
      </c>
      <c r="AV57" s="97">
        <v>11</v>
      </c>
      <c r="AW57" s="97">
        <v>15523.2</v>
      </c>
      <c r="AX57" s="97">
        <v>14</v>
      </c>
      <c r="AY57" s="97">
        <v>19756.8</v>
      </c>
      <c r="AZ57" s="97">
        <v>10</v>
      </c>
      <c r="BA57" s="97">
        <v>14112</v>
      </c>
      <c r="BB57" s="97">
        <v>10</v>
      </c>
      <c r="BC57" s="97">
        <v>14112</v>
      </c>
      <c r="BD57" s="97">
        <v>8</v>
      </c>
      <c r="BE57" s="97">
        <v>11289.6</v>
      </c>
      <c r="BF57" s="97">
        <v>9</v>
      </c>
      <c r="BG57" s="97">
        <v>12700.800000000001</v>
      </c>
      <c r="BH57" s="97">
        <v>7</v>
      </c>
      <c r="BI57" s="97">
        <v>9878.4</v>
      </c>
      <c r="BJ57" s="97">
        <v>8</v>
      </c>
      <c r="BK57" s="97">
        <v>11289.6</v>
      </c>
      <c r="BL57" s="97">
        <v>6</v>
      </c>
      <c r="BM57" s="97">
        <v>8467.2000000000007</v>
      </c>
      <c r="BN57" s="97">
        <v>9</v>
      </c>
      <c r="BO57" s="97">
        <v>12700.800000000001</v>
      </c>
      <c r="BP57" s="97">
        <v>7</v>
      </c>
      <c r="BQ57" s="97">
        <v>9878.4</v>
      </c>
      <c r="BR57" s="97">
        <v>4</v>
      </c>
      <c r="BS57" s="97">
        <v>5644.8</v>
      </c>
      <c r="BT57" s="97">
        <v>6</v>
      </c>
      <c r="BU57" s="97">
        <v>8467.2000000000007</v>
      </c>
      <c r="BV57" s="97">
        <v>7</v>
      </c>
      <c r="BW57" s="97">
        <v>9878.4</v>
      </c>
      <c r="BX57" s="97">
        <v>6</v>
      </c>
      <c r="BY57" s="97">
        <v>8467.2000000000007</v>
      </c>
      <c r="BZ57" s="97">
        <v>6</v>
      </c>
      <c r="CA57" s="97">
        <v>8467.2000000000007</v>
      </c>
      <c r="CB57" s="97">
        <v>5</v>
      </c>
      <c r="CC57" s="97">
        <v>7056</v>
      </c>
      <c r="CD57" s="97">
        <v>5</v>
      </c>
      <c r="CE57" s="97">
        <v>7056</v>
      </c>
      <c r="CF57" s="97">
        <v>4</v>
      </c>
      <c r="CG57" s="97">
        <v>5644.8</v>
      </c>
      <c r="CH57" s="97">
        <v>5</v>
      </c>
      <c r="CI57" s="97">
        <v>7056</v>
      </c>
      <c r="CJ57" s="97">
        <v>4</v>
      </c>
      <c r="CK57" s="97">
        <v>5644.8</v>
      </c>
      <c r="CL57" s="97">
        <v>5</v>
      </c>
      <c r="CM57" s="97">
        <v>7056</v>
      </c>
      <c r="CN57" s="97">
        <v>4</v>
      </c>
      <c r="CO57" s="97">
        <v>5644.8</v>
      </c>
      <c r="CP57" s="97">
        <v>2</v>
      </c>
      <c r="CQ57" s="97">
        <v>2822.4</v>
      </c>
      <c r="CR57" s="97">
        <v>4</v>
      </c>
      <c r="CS57" s="97">
        <v>5644.8</v>
      </c>
      <c r="CT57" s="97">
        <v>3</v>
      </c>
      <c r="CU57" s="97">
        <v>4233.6000000000004</v>
      </c>
    </row>
    <row r="58" spans="2:99" x14ac:dyDescent="0.15">
      <c r="C58" s="96" t="s">
        <v>223</v>
      </c>
      <c r="D58" s="97">
        <v>69</v>
      </c>
      <c r="E58" s="97">
        <v>81226.8</v>
      </c>
      <c r="F58" s="97">
        <v>56</v>
      </c>
      <c r="G58" s="97">
        <v>65923.199999999997</v>
      </c>
      <c r="H58" s="97">
        <v>44</v>
      </c>
      <c r="I58" s="97">
        <v>51796.800000000003</v>
      </c>
      <c r="J58" s="97">
        <v>49</v>
      </c>
      <c r="K58" s="97">
        <v>57682.8</v>
      </c>
      <c r="L58" s="97">
        <v>36</v>
      </c>
      <c r="M58" s="97">
        <v>42379.200000000004</v>
      </c>
      <c r="N58" s="97">
        <v>42</v>
      </c>
      <c r="O58" s="97">
        <v>49442.400000000001</v>
      </c>
      <c r="P58" s="97">
        <v>42</v>
      </c>
      <c r="Q58" s="97">
        <v>49442.400000000001</v>
      </c>
      <c r="R58" s="97">
        <v>58</v>
      </c>
      <c r="S58" s="97">
        <v>68277.600000000006</v>
      </c>
      <c r="T58" s="97">
        <v>26</v>
      </c>
      <c r="U58" s="97">
        <v>30607.200000000001</v>
      </c>
      <c r="V58" s="97">
        <v>37</v>
      </c>
      <c r="W58" s="97">
        <v>43556.4</v>
      </c>
      <c r="X58" s="97">
        <v>23</v>
      </c>
      <c r="Y58" s="97">
        <v>27075.600000000002</v>
      </c>
      <c r="Z58" s="97">
        <v>20</v>
      </c>
      <c r="AA58" s="97">
        <v>23544</v>
      </c>
      <c r="AB58" s="97">
        <v>20</v>
      </c>
      <c r="AC58" s="97">
        <v>23544</v>
      </c>
      <c r="AD58" s="97">
        <v>16</v>
      </c>
      <c r="AE58" s="97">
        <v>18835.2</v>
      </c>
      <c r="AF58" s="97">
        <v>26</v>
      </c>
      <c r="AG58" s="97">
        <v>30607.200000000001</v>
      </c>
      <c r="AH58" s="97">
        <v>19</v>
      </c>
      <c r="AI58" s="97">
        <v>22366.799999999999</v>
      </c>
      <c r="AJ58" s="97">
        <v>9</v>
      </c>
      <c r="AK58" s="97">
        <v>10594.800000000001</v>
      </c>
      <c r="AL58" s="97">
        <v>14</v>
      </c>
      <c r="AM58" s="97">
        <v>16480.8</v>
      </c>
      <c r="AN58" s="97">
        <v>10</v>
      </c>
      <c r="AO58" s="97">
        <v>11772</v>
      </c>
      <c r="AP58" s="97">
        <v>13</v>
      </c>
      <c r="AQ58" s="97">
        <v>15303.6</v>
      </c>
      <c r="AR58" s="97">
        <v>8</v>
      </c>
      <c r="AS58" s="97">
        <v>9417.6</v>
      </c>
      <c r="AT58" s="97">
        <v>7</v>
      </c>
      <c r="AU58" s="97">
        <v>8240.4</v>
      </c>
      <c r="AV58" s="97">
        <v>11</v>
      </c>
      <c r="AW58" s="97">
        <v>12949.2</v>
      </c>
      <c r="AX58" s="97">
        <v>12</v>
      </c>
      <c r="AY58" s="97">
        <v>14126.400000000001</v>
      </c>
      <c r="AZ58" s="97">
        <v>11</v>
      </c>
      <c r="BA58" s="97">
        <v>12949.2</v>
      </c>
      <c r="BB58" s="97">
        <v>9</v>
      </c>
      <c r="BC58" s="97">
        <v>10594.800000000001</v>
      </c>
      <c r="BD58" s="97">
        <v>7</v>
      </c>
      <c r="BE58" s="97">
        <v>8240.4</v>
      </c>
      <c r="BF58" s="97">
        <v>9</v>
      </c>
      <c r="BG58" s="97">
        <v>10594.800000000001</v>
      </c>
      <c r="BH58" s="97">
        <v>8</v>
      </c>
      <c r="BI58" s="97">
        <v>9417.6</v>
      </c>
      <c r="BJ58" s="97">
        <v>10</v>
      </c>
      <c r="BK58" s="97">
        <v>11772</v>
      </c>
      <c r="BL58" s="97">
        <v>5</v>
      </c>
      <c r="BM58" s="97">
        <v>5886</v>
      </c>
      <c r="BN58" s="97">
        <v>9</v>
      </c>
      <c r="BO58" s="97">
        <v>10594.800000000001</v>
      </c>
      <c r="BP58" s="97">
        <v>8</v>
      </c>
      <c r="BQ58" s="97">
        <v>9417.6</v>
      </c>
      <c r="BR58" s="97">
        <v>5</v>
      </c>
      <c r="BS58" s="97">
        <v>5886</v>
      </c>
      <c r="BT58" s="97">
        <v>7</v>
      </c>
      <c r="BU58" s="97">
        <v>8240.4</v>
      </c>
      <c r="BV58" s="97">
        <v>7</v>
      </c>
      <c r="BW58" s="97">
        <v>8240.4</v>
      </c>
      <c r="BX58" s="97">
        <v>6</v>
      </c>
      <c r="BY58" s="97">
        <v>7063.2000000000007</v>
      </c>
      <c r="BZ58" s="97">
        <v>6</v>
      </c>
      <c r="CA58" s="97">
        <v>7063.2000000000007</v>
      </c>
      <c r="CB58" s="97">
        <v>6</v>
      </c>
      <c r="CC58" s="97">
        <v>7063.2000000000007</v>
      </c>
      <c r="CD58" s="97">
        <v>5</v>
      </c>
      <c r="CE58" s="97">
        <v>5886</v>
      </c>
      <c r="CF58" s="97">
        <v>4</v>
      </c>
      <c r="CG58" s="97">
        <v>4708.8</v>
      </c>
      <c r="CH58" s="97">
        <v>4</v>
      </c>
      <c r="CI58" s="97">
        <v>4708.8</v>
      </c>
      <c r="CJ58" s="97">
        <v>4</v>
      </c>
      <c r="CK58" s="97">
        <v>4708.8</v>
      </c>
      <c r="CL58" s="97">
        <v>6</v>
      </c>
      <c r="CM58" s="97">
        <v>7063.2000000000007</v>
      </c>
      <c r="CN58" s="97">
        <v>4</v>
      </c>
      <c r="CO58" s="97">
        <v>4708.8</v>
      </c>
      <c r="CP58" s="97">
        <v>2</v>
      </c>
      <c r="CQ58" s="97">
        <v>2354.4</v>
      </c>
      <c r="CR58" s="97">
        <v>4</v>
      </c>
      <c r="CS58" s="97">
        <v>4708.8</v>
      </c>
      <c r="CT58" s="97">
        <v>3</v>
      </c>
      <c r="CU58" s="97">
        <v>3531.6000000000004</v>
      </c>
    </row>
    <row r="59" spans="2:99" x14ac:dyDescent="0.15">
      <c r="C59" s="96" t="s">
        <v>224</v>
      </c>
      <c r="D59" s="97">
        <v>79</v>
      </c>
      <c r="E59" s="97">
        <v>23984.399999999998</v>
      </c>
      <c r="F59" s="97">
        <v>64</v>
      </c>
      <c r="G59" s="97">
        <v>19430.399999999998</v>
      </c>
      <c r="H59" s="97">
        <v>54</v>
      </c>
      <c r="I59" s="97">
        <v>16394.399999999998</v>
      </c>
      <c r="J59" s="97">
        <v>65</v>
      </c>
      <c r="K59" s="97">
        <v>19733.999999999996</v>
      </c>
      <c r="L59" s="97">
        <v>47</v>
      </c>
      <c r="M59" s="97">
        <v>14269.199999999999</v>
      </c>
      <c r="N59" s="97">
        <v>57</v>
      </c>
      <c r="O59" s="97">
        <v>17305.199999999997</v>
      </c>
      <c r="P59" s="97">
        <v>44</v>
      </c>
      <c r="Q59" s="97">
        <v>13358.399999999998</v>
      </c>
      <c r="R59" s="97">
        <v>67</v>
      </c>
      <c r="S59" s="97">
        <v>20341.199999999997</v>
      </c>
      <c r="T59" s="97">
        <v>30</v>
      </c>
      <c r="U59" s="97">
        <v>9107.9999999999982</v>
      </c>
      <c r="V59" s="97">
        <v>37</v>
      </c>
      <c r="W59" s="97">
        <v>11233.199999999999</v>
      </c>
      <c r="X59" s="97">
        <v>24</v>
      </c>
      <c r="Y59" s="97">
        <v>7286.4</v>
      </c>
      <c r="Z59" s="97">
        <v>25</v>
      </c>
      <c r="AA59" s="97">
        <v>7589.9999999999991</v>
      </c>
      <c r="AB59" s="97">
        <v>25</v>
      </c>
      <c r="AC59" s="97">
        <v>7589.9999999999991</v>
      </c>
      <c r="AD59" s="97">
        <v>19</v>
      </c>
      <c r="AE59" s="97">
        <v>5768.4</v>
      </c>
      <c r="AF59" s="97">
        <v>30</v>
      </c>
      <c r="AG59" s="97">
        <v>9107.9999999999982</v>
      </c>
      <c r="AH59" s="97">
        <v>23</v>
      </c>
      <c r="AI59" s="97">
        <v>6982.7999999999993</v>
      </c>
      <c r="AJ59" s="97">
        <v>11</v>
      </c>
      <c r="AK59" s="97">
        <v>3339.5999999999995</v>
      </c>
      <c r="AL59" s="97">
        <v>13</v>
      </c>
      <c r="AM59" s="97">
        <v>3946.7999999999997</v>
      </c>
      <c r="AN59" s="97">
        <v>10</v>
      </c>
      <c r="AO59" s="97">
        <v>3035.9999999999995</v>
      </c>
      <c r="AP59" s="97">
        <v>14</v>
      </c>
      <c r="AQ59" s="97">
        <v>4250.3999999999996</v>
      </c>
      <c r="AR59" s="97">
        <v>10</v>
      </c>
      <c r="AS59" s="97">
        <v>3035.9999999999995</v>
      </c>
      <c r="AT59" s="97">
        <v>7</v>
      </c>
      <c r="AU59" s="97">
        <v>2125.1999999999998</v>
      </c>
      <c r="AV59" s="97">
        <v>12</v>
      </c>
      <c r="AW59" s="97">
        <v>3643.2</v>
      </c>
      <c r="AX59" s="97">
        <v>13</v>
      </c>
      <c r="AY59" s="97">
        <v>3946.7999999999997</v>
      </c>
      <c r="AZ59" s="97">
        <v>12</v>
      </c>
      <c r="BA59" s="97">
        <v>3643.2</v>
      </c>
      <c r="BB59" s="97">
        <v>11</v>
      </c>
      <c r="BC59" s="97">
        <v>3339.5999999999995</v>
      </c>
      <c r="BD59" s="97">
        <v>10</v>
      </c>
      <c r="BE59" s="97">
        <v>3035.9999999999995</v>
      </c>
      <c r="BF59" s="97">
        <v>10</v>
      </c>
      <c r="BG59" s="97">
        <v>3035.9999999999995</v>
      </c>
      <c r="BH59" s="97">
        <v>9</v>
      </c>
      <c r="BI59" s="97">
        <v>2732.3999999999996</v>
      </c>
      <c r="BJ59" s="97">
        <v>9</v>
      </c>
      <c r="BK59" s="97">
        <v>2732.3999999999996</v>
      </c>
      <c r="BL59" s="97">
        <v>7</v>
      </c>
      <c r="BM59" s="97">
        <v>2125.1999999999998</v>
      </c>
      <c r="BN59" s="97">
        <v>8</v>
      </c>
      <c r="BO59" s="97">
        <v>2428.7999999999997</v>
      </c>
      <c r="BP59" s="97">
        <v>8</v>
      </c>
      <c r="BQ59" s="97">
        <v>2428.7999999999997</v>
      </c>
      <c r="BR59" s="97">
        <v>5</v>
      </c>
      <c r="BS59" s="97">
        <v>1517.9999999999998</v>
      </c>
      <c r="BT59" s="97">
        <v>7</v>
      </c>
      <c r="BU59" s="97">
        <v>2125.1999999999998</v>
      </c>
      <c r="BV59" s="97">
        <v>8</v>
      </c>
      <c r="BW59" s="97">
        <v>2428.7999999999997</v>
      </c>
      <c r="BX59" s="97">
        <v>6</v>
      </c>
      <c r="BY59" s="97">
        <v>1821.6</v>
      </c>
      <c r="BZ59" s="97">
        <v>7</v>
      </c>
      <c r="CA59" s="97">
        <v>2125.1999999999998</v>
      </c>
      <c r="CB59" s="97">
        <v>5</v>
      </c>
      <c r="CC59" s="97">
        <v>1517.9999999999998</v>
      </c>
      <c r="CD59" s="97">
        <v>6</v>
      </c>
      <c r="CE59" s="97">
        <v>1821.6</v>
      </c>
      <c r="CF59" s="97">
        <v>4</v>
      </c>
      <c r="CG59" s="97">
        <v>1214.3999999999999</v>
      </c>
      <c r="CH59" s="97">
        <v>4</v>
      </c>
      <c r="CI59" s="97">
        <v>1214.3999999999999</v>
      </c>
      <c r="CJ59" s="97">
        <v>4</v>
      </c>
      <c r="CK59" s="97">
        <v>1214.3999999999999</v>
      </c>
      <c r="CL59" s="97">
        <v>5</v>
      </c>
      <c r="CM59" s="97">
        <v>1517.9999999999998</v>
      </c>
      <c r="CN59" s="97">
        <v>4</v>
      </c>
      <c r="CO59" s="97">
        <v>1214.3999999999999</v>
      </c>
      <c r="CP59" s="97">
        <v>2</v>
      </c>
      <c r="CQ59" s="97">
        <v>607.19999999999993</v>
      </c>
      <c r="CR59" s="97">
        <v>4</v>
      </c>
      <c r="CS59" s="97">
        <v>1214.3999999999999</v>
      </c>
      <c r="CT59" s="97">
        <v>4</v>
      </c>
      <c r="CU59" s="97">
        <v>1214.3999999999999</v>
      </c>
    </row>
    <row r="60" spans="2:99" x14ac:dyDescent="0.15">
      <c r="C60" s="96" t="s">
        <v>225</v>
      </c>
      <c r="D60" s="97">
        <v>72</v>
      </c>
      <c r="E60" s="97">
        <v>46915.200000000004</v>
      </c>
      <c r="F60" s="97">
        <v>60</v>
      </c>
      <c r="G60" s="97">
        <v>39096</v>
      </c>
      <c r="H60" s="97">
        <v>49</v>
      </c>
      <c r="I60" s="97">
        <v>31928.400000000001</v>
      </c>
      <c r="J60" s="97">
        <v>51</v>
      </c>
      <c r="K60" s="97">
        <v>33231.599999999999</v>
      </c>
      <c r="L60" s="97">
        <v>44</v>
      </c>
      <c r="M60" s="97">
        <v>28670.400000000001</v>
      </c>
      <c r="N60" s="97">
        <v>46</v>
      </c>
      <c r="O60" s="97">
        <v>29973.600000000002</v>
      </c>
      <c r="P60" s="97">
        <v>46</v>
      </c>
      <c r="Q60" s="97">
        <v>29973.600000000002</v>
      </c>
      <c r="R60" s="97">
        <v>60</v>
      </c>
      <c r="S60" s="97">
        <v>39096</v>
      </c>
      <c r="T60" s="97">
        <v>28</v>
      </c>
      <c r="U60" s="97">
        <v>18244.8</v>
      </c>
      <c r="V60" s="97">
        <v>39</v>
      </c>
      <c r="W60" s="97">
        <v>25412.400000000001</v>
      </c>
      <c r="X60" s="97">
        <v>22</v>
      </c>
      <c r="Y60" s="97">
        <v>14335.2</v>
      </c>
      <c r="Z60" s="97">
        <v>23</v>
      </c>
      <c r="AA60" s="97">
        <v>14986.800000000001</v>
      </c>
      <c r="AB60" s="97">
        <v>25</v>
      </c>
      <c r="AC60" s="97">
        <v>16290</v>
      </c>
      <c r="AD60" s="97">
        <v>17</v>
      </c>
      <c r="AE60" s="97">
        <v>11077.2</v>
      </c>
      <c r="AF60" s="97">
        <v>28</v>
      </c>
      <c r="AG60" s="97">
        <v>18244.8</v>
      </c>
      <c r="AH60" s="97">
        <v>25</v>
      </c>
      <c r="AI60" s="97">
        <v>16290</v>
      </c>
      <c r="AJ60" s="97">
        <v>10</v>
      </c>
      <c r="AK60" s="97">
        <v>6516</v>
      </c>
      <c r="AL60" s="97">
        <v>15</v>
      </c>
      <c r="AM60" s="97">
        <v>9774</v>
      </c>
      <c r="AN60" s="97">
        <v>11</v>
      </c>
      <c r="AO60" s="97">
        <v>7167.6</v>
      </c>
      <c r="AP60" s="97">
        <v>13</v>
      </c>
      <c r="AQ60" s="97">
        <v>8470.8000000000011</v>
      </c>
      <c r="AR60" s="97">
        <v>8</v>
      </c>
      <c r="AS60" s="97">
        <v>5212.8</v>
      </c>
      <c r="AT60" s="97">
        <v>8</v>
      </c>
      <c r="AU60" s="97">
        <v>5212.8</v>
      </c>
      <c r="AV60" s="97">
        <v>12</v>
      </c>
      <c r="AW60" s="97">
        <v>7819.2000000000007</v>
      </c>
      <c r="AX60" s="97">
        <v>13</v>
      </c>
      <c r="AY60" s="97">
        <v>8470.8000000000011</v>
      </c>
      <c r="AZ60" s="97">
        <v>11</v>
      </c>
      <c r="BA60" s="97">
        <v>7167.6</v>
      </c>
      <c r="BB60" s="97">
        <v>11</v>
      </c>
      <c r="BC60" s="97">
        <v>7167.6</v>
      </c>
      <c r="BD60" s="97">
        <v>9</v>
      </c>
      <c r="BE60" s="97">
        <v>5864.4000000000005</v>
      </c>
      <c r="BF60" s="97">
        <v>9</v>
      </c>
      <c r="BG60" s="97">
        <v>5864.4000000000005</v>
      </c>
      <c r="BH60" s="97">
        <v>8</v>
      </c>
      <c r="BI60" s="97">
        <v>5212.8</v>
      </c>
      <c r="BJ60" s="97">
        <v>9</v>
      </c>
      <c r="BK60" s="97">
        <v>5864.4000000000005</v>
      </c>
      <c r="BL60" s="97">
        <v>6</v>
      </c>
      <c r="BM60" s="97">
        <v>3909.6000000000004</v>
      </c>
      <c r="BN60" s="97">
        <v>8</v>
      </c>
      <c r="BO60" s="97">
        <v>5212.8</v>
      </c>
      <c r="BP60" s="97">
        <v>8</v>
      </c>
      <c r="BQ60" s="97">
        <v>5212.8</v>
      </c>
      <c r="BR60" s="97">
        <v>5</v>
      </c>
      <c r="BS60" s="97">
        <v>3258</v>
      </c>
      <c r="BT60" s="97">
        <v>7</v>
      </c>
      <c r="BU60" s="97">
        <v>4561.2</v>
      </c>
      <c r="BV60" s="97">
        <v>8</v>
      </c>
      <c r="BW60" s="97">
        <v>5212.8</v>
      </c>
      <c r="BX60" s="97">
        <v>6</v>
      </c>
      <c r="BY60" s="97">
        <v>3909.6000000000004</v>
      </c>
      <c r="BZ60" s="97">
        <v>6</v>
      </c>
      <c r="CA60" s="97">
        <v>3909.6000000000004</v>
      </c>
      <c r="CB60" s="97">
        <v>5</v>
      </c>
      <c r="CC60" s="97">
        <v>3258</v>
      </c>
      <c r="CD60" s="97">
        <v>5</v>
      </c>
      <c r="CE60" s="97">
        <v>3258</v>
      </c>
      <c r="CF60" s="97">
        <v>4</v>
      </c>
      <c r="CG60" s="97">
        <v>2606.4</v>
      </c>
      <c r="CH60" s="97">
        <v>5</v>
      </c>
      <c r="CI60" s="97">
        <v>3258</v>
      </c>
      <c r="CJ60" s="97">
        <v>4</v>
      </c>
      <c r="CK60" s="97">
        <v>2606.4</v>
      </c>
      <c r="CL60" s="97">
        <v>6</v>
      </c>
      <c r="CM60" s="97">
        <v>3909.6000000000004</v>
      </c>
      <c r="CN60" s="97">
        <v>4</v>
      </c>
      <c r="CO60" s="97">
        <v>2606.4</v>
      </c>
      <c r="CP60" s="97">
        <v>2</v>
      </c>
      <c r="CQ60" s="97">
        <v>1303.2</v>
      </c>
      <c r="CR60" s="97">
        <v>4</v>
      </c>
      <c r="CS60" s="97">
        <v>2606.4</v>
      </c>
      <c r="CT60" s="97">
        <v>3</v>
      </c>
      <c r="CU60" s="97">
        <v>1954.8000000000002</v>
      </c>
    </row>
    <row r="61" spans="2:99" x14ac:dyDescent="0.15">
      <c r="C61" s="96" t="s">
        <v>226</v>
      </c>
      <c r="D61" s="97">
        <v>69</v>
      </c>
      <c r="E61" s="97">
        <v>65660.399999999994</v>
      </c>
      <c r="F61" s="97">
        <v>60</v>
      </c>
      <c r="G61" s="97">
        <v>57095.999999999993</v>
      </c>
      <c r="H61" s="97">
        <v>45</v>
      </c>
      <c r="I61" s="97">
        <v>42821.999999999993</v>
      </c>
      <c r="J61" s="97">
        <v>47</v>
      </c>
      <c r="K61" s="97">
        <v>44725.2</v>
      </c>
      <c r="L61" s="97">
        <v>39</v>
      </c>
      <c r="M61" s="97">
        <v>37112.399999999994</v>
      </c>
      <c r="N61" s="97">
        <v>50</v>
      </c>
      <c r="O61" s="97">
        <v>47579.999999999993</v>
      </c>
      <c r="P61" s="97">
        <v>44</v>
      </c>
      <c r="Q61" s="97">
        <v>41870.399999999994</v>
      </c>
      <c r="R61" s="97">
        <v>55</v>
      </c>
      <c r="S61" s="97">
        <v>52337.999999999993</v>
      </c>
      <c r="T61" s="97">
        <v>27</v>
      </c>
      <c r="U61" s="97">
        <v>25693.199999999997</v>
      </c>
      <c r="V61" s="97">
        <v>33</v>
      </c>
      <c r="W61" s="97">
        <v>31402.799999999996</v>
      </c>
      <c r="X61" s="97">
        <v>22</v>
      </c>
      <c r="Y61" s="97">
        <v>20935.199999999997</v>
      </c>
      <c r="Z61" s="97">
        <v>21</v>
      </c>
      <c r="AA61" s="97">
        <v>19983.599999999999</v>
      </c>
      <c r="AB61" s="97">
        <v>23</v>
      </c>
      <c r="AC61" s="97">
        <v>21886.799999999999</v>
      </c>
      <c r="AD61" s="97">
        <v>16</v>
      </c>
      <c r="AE61" s="97">
        <v>15225.599999999999</v>
      </c>
      <c r="AF61" s="97">
        <v>26</v>
      </c>
      <c r="AG61" s="97">
        <v>24741.599999999999</v>
      </c>
      <c r="AH61" s="97">
        <v>23</v>
      </c>
      <c r="AI61" s="97">
        <v>21886.799999999999</v>
      </c>
      <c r="AJ61" s="97">
        <v>10</v>
      </c>
      <c r="AK61" s="97">
        <v>9516</v>
      </c>
      <c r="AL61" s="97">
        <v>15</v>
      </c>
      <c r="AM61" s="97">
        <v>14273.999999999998</v>
      </c>
      <c r="AN61" s="97">
        <v>11</v>
      </c>
      <c r="AO61" s="97">
        <v>10467.599999999999</v>
      </c>
      <c r="AP61" s="97">
        <v>13</v>
      </c>
      <c r="AQ61" s="97">
        <v>12370.8</v>
      </c>
      <c r="AR61" s="97">
        <v>8</v>
      </c>
      <c r="AS61" s="97">
        <v>7612.7999999999993</v>
      </c>
      <c r="AT61" s="97">
        <v>7</v>
      </c>
      <c r="AU61" s="97">
        <v>6661.1999999999989</v>
      </c>
      <c r="AV61" s="97">
        <v>11</v>
      </c>
      <c r="AW61" s="97">
        <v>10467.599999999999</v>
      </c>
      <c r="AX61" s="97">
        <v>14</v>
      </c>
      <c r="AY61" s="97">
        <v>13322.399999999998</v>
      </c>
      <c r="AZ61" s="97">
        <v>11</v>
      </c>
      <c r="BA61" s="97">
        <v>10467.599999999999</v>
      </c>
      <c r="BB61" s="97">
        <v>10</v>
      </c>
      <c r="BC61" s="97">
        <v>9516</v>
      </c>
      <c r="BD61" s="97">
        <v>8</v>
      </c>
      <c r="BE61" s="97">
        <v>7612.7999999999993</v>
      </c>
      <c r="BF61" s="97">
        <v>9</v>
      </c>
      <c r="BG61" s="97">
        <v>8564.4</v>
      </c>
      <c r="BH61" s="97">
        <v>8</v>
      </c>
      <c r="BI61" s="97">
        <v>7612.7999999999993</v>
      </c>
      <c r="BJ61" s="97">
        <v>8</v>
      </c>
      <c r="BK61" s="97">
        <v>7612.7999999999993</v>
      </c>
      <c r="BL61" s="97">
        <v>6</v>
      </c>
      <c r="BM61" s="97">
        <v>5709.5999999999995</v>
      </c>
      <c r="BN61" s="97">
        <v>8</v>
      </c>
      <c r="BO61" s="97">
        <v>7612.7999999999993</v>
      </c>
      <c r="BP61" s="97">
        <v>8</v>
      </c>
      <c r="BQ61" s="97">
        <v>7612.7999999999993</v>
      </c>
      <c r="BR61" s="97">
        <v>5</v>
      </c>
      <c r="BS61" s="97">
        <v>4758</v>
      </c>
      <c r="BT61" s="97">
        <v>6</v>
      </c>
      <c r="BU61" s="97">
        <v>5709.5999999999995</v>
      </c>
      <c r="BV61" s="97">
        <v>8</v>
      </c>
      <c r="BW61" s="97">
        <v>7612.7999999999993</v>
      </c>
      <c r="BX61" s="97">
        <v>6</v>
      </c>
      <c r="BY61" s="97">
        <v>5709.5999999999995</v>
      </c>
      <c r="BZ61" s="97">
        <v>6</v>
      </c>
      <c r="CA61" s="97">
        <v>5709.5999999999995</v>
      </c>
      <c r="CB61" s="97">
        <v>5</v>
      </c>
      <c r="CC61" s="97">
        <v>4758</v>
      </c>
      <c r="CD61" s="97">
        <v>5</v>
      </c>
      <c r="CE61" s="97">
        <v>4758</v>
      </c>
      <c r="CF61" s="97">
        <v>4</v>
      </c>
      <c r="CG61" s="97">
        <v>3806.3999999999996</v>
      </c>
      <c r="CH61" s="97">
        <v>4</v>
      </c>
      <c r="CI61" s="97">
        <v>3806.3999999999996</v>
      </c>
      <c r="CJ61" s="97">
        <v>4</v>
      </c>
      <c r="CK61" s="97">
        <v>3806.3999999999996</v>
      </c>
      <c r="CL61" s="97">
        <v>6</v>
      </c>
      <c r="CM61" s="97">
        <v>5709.5999999999995</v>
      </c>
      <c r="CN61" s="97">
        <v>3</v>
      </c>
      <c r="CO61" s="97">
        <v>2854.7999999999997</v>
      </c>
      <c r="CP61" s="97">
        <v>3</v>
      </c>
      <c r="CQ61" s="97">
        <v>2854.7999999999997</v>
      </c>
      <c r="CR61" s="97">
        <v>3</v>
      </c>
      <c r="CS61" s="97">
        <v>2854.7999999999997</v>
      </c>
      <c r="CT61" s="97">
        <v>3</v>
      </c>
      <c r="CU61" s="97">
        <v>2854.7999999999997</v>
      </c>
    </row>
    <row r="62" spans="2:99" x14ac:dyDescent="0.15">
      <c r="C62" s="96" t="s">
        <v>227</v>
      </c>
      <c r="D62" s="97">
        <v>58</v>
      </c>
      <c r="E62" s="97">
        <v>98901.6</v>
      </c>
      <c r="F62" s="97">
        <v>53</v>
      </c>
      <c r="G62" s="97">
        <v>90375.6</v>
      </c>
      <c r="H62" s="97">
        <v>44</v>
      </c>
      <c r="I62" s="97">
        <v>75028.800000000003</v>
      </c>
      <c r="J62" s="97">
        <v>43</v>
      </c>
      <c r="K62" s="97">
        <v>73323.600000000006</v>
      </c>
      <c r="L62" s="97">
        <v>33</v>
      </c>
      <c r="M62" s="97">
        <v>56271.6</v>
      </c>
      <c r="N62" s="97">
        <v>40</v>
      </c>
      <c r="O62" s="97">
        <v>68208</v>
      </c>
      <c r="P62" s="97">
        <v>35</v>
      </c>
      <c r="Q62" s="97">
        <v>59682</v>
      </c>
      <c r="R62" s="97">
        <v>51</v>
      </c>
      <c r="S62" s="97">
        <v>86965.2</v>
      </c>
      <c r="T62" s="97">
        <v>23</v>
      </c>
      <c r="U62" s="97">
        <v>39219.599999999999</v>
      </c>
      <c r="V62" s="97">
        <v>35</v>
      </c>
      <c r="W62" s="97">
        <v>59682</v>
      </c>
      <c r="X62" s="97">
        <v>21</v>
      </c>
      <c r="Y62" s="97">
        <v>35809.200000000004</v>
      </c>
      <c r="Z62" s="97">
        <v>22</v>
      </c>
      <c r="AA62" s="97">
        <v>37514.400000000001</v>
      </c>
      <c r="AB62" s="97">
        <v>19</v>
      </c>
      <c r="AC62" s="97">
        <v>32398.799999999999</v>
      </c>
      <c r="AD62" s="97">
        <v>14</v>
      </c>
      <c r="AE62" s="97">
        <v>23872.799999999999</v>
      </c>
      <c r="AF62" s="97">
        <v>22</v>
      </c>
      <c r="AG62" s="97">
        <v>37514.400000000001</v>
      </c>
      <c r="AH62" s="97">
        <v>22</v>
      </c>
      <c r="AI62" s="97">
        <v>37514.400000000001</v>
      </c>
      <c r="AJ62" s="97">
        <v>10</v>
      </c>
      <c r="AK62" s="97">
        <v>17052</v>
      </c>
      <c r="AL62" s="97">
        <v>12</v>
      </c>
      <c r="AM62" s="97">
        <v>20462.400000000001</v>
      </c>
      <c r="AN62" s="97">
        <v>9</v>
      </c>
      <c r="AO62" s="97">
        <v>15346.800000000001</v>
      </c>
      <c r="AP62" s="97">
        <v>12</v>
      </c>
      <c r="AQ62" s="97">
        <v>20462.400000000001</v>
      </c>
      <c r="AR62" s="97">
        <v>7</v>
      </c>
      <c r="AS62" s="97">
        <v>11936.4</v>
      </c>
      <c r="AT62" s="97">
        <v>8</v>
      </c>
      <c r="AU62" s="97">
        <v>13641.6</v>
      </c>
      <c r="AV62" s="97">
        <v>10</v>
      </c>
      <c r="AW62" s="97">
        <v>17052</v>
      </c>
      <c r="AX62" s="97">
        <v>14</v>
      </c>
      <c r="AY62" s="97">
        <v>23872.799999999999</v>
      </c>
      <c r="AZ62" s="97">
        <v>10</v>
      </c>
      <c r="BA62" s="97">
        <v>17052</v>
      </c>
      <c r="BB62" s="97">
        <v>10</v>
      </c>
      <c r="BC62" s="97">
        <v>17052</v>
      </c>
      <c r="BD62" s="97">
        <v>8</v>
      </c>
      <c r="BE62" s="97">
        <v>13641.6</v>
      </c>
      <c r="BF62" s="97">
        <v>8</v>
      </c>
      <c r="BG62" s="97">
        <v>13641.6</v>
      </c>
      <c r="BH62" s="97">
        <v>7</v>
      </c>
      <c r="BI62" s="97">
        <v>11936.4</v>
      </c>
      <c r="BJ62" s="97">
        <v>9</v>
      </c>
      <c r="BK62" s="97">
        <v>15346.800000000001</v>
      </c>
      <c r="BL62" s="97">
        <v>6</v>
      </c>
      <c r="BM62" s="97">
        <v>10231.200000000001</v>
      </c>
      <c r="BN62" s="97">
        <v>8</v>
      </c>
      <c r="BO62" s="97">
        <v>13641.6</v>
      </c>
      <c r="BP62" s="97">
        <v>8</v>
      </c>
      <c r="BQ62" s="97">
        <v>13641.6</v>
      </c>
      <c r="BR62" s="97">
        <v>5</v>
      </c>
      <c r="BS62" s="97">
        <v>8526</v>
      </c>
      <c r="BT62" s="97">
        <v>6</v>
      </c>
      <c r="BU62" s="97">
        <v>10231.200000000001</v>
      </c>
      <c r="BV62" s="97">
        <v>7</v>
      </c>
      <c r="BW62" s="97">
        <v>11936.4</v>
      </c>
      <c r="BX62" s="97">
        <v>6</v>
      </c>
      <c r="BY62" s="97">
        <v>10231.200000000001</v>
      </c>
      <c r="BZ62" s="97">
        <v>6</v>
      </c>
      <c r="CA62" s="97">
        <v>10231.200000000001</v>
      </c>
      <c r="CB62" s="97">
        <v>5</v>
      </c>
      <c r="CC62" s="97">
        <v>8526</v>
      </c>
      <c r="CD62" s="97">
        <v>5</v>
      </c>
      <c r="CE62" s="97">
        <v>8526</v>
      </c>
      <c r="CF62" s="97">
        <v>4</v>
      </c>
      <c r="CG62" s="97">
        <v>6820.8</v>
      </c>
      <c r="CH62" s="97">
        <v>4</v>
      </c>
      <c r="CI62" s="97">
        <v>6820.8</v>
      </c>
      <c r="CJ62" s="97">
        <v>4</v>
      </c>
      <c r="CK62" s="97">
        <v>6820.8</v>
      </c>
      <c r="CL62" s="97">
        <v>5</v>
      </c>
      <c r="CM62" s="97">
        <v>8526</v>
      </c>
      <c r="CN62" s="97">
        <v>3</v>
      </c>
      <c r="CO62" s="97">
        <v>5115.6000000000004</v>
      </c>
      <c r="CP62" s="97">
        <v>3</v>
      </c>
      <c r="CQ62" s="97">
        <v>5115.6000000000004</v>
      </c>
      <c r="CR62" s="97">
        <v>3</v>
      </c>
      <c r="CS62" s="97">
        <v>5115.6000000000004</v>
      </c>
      <c r="CT62" s="97">
        <v>3</v>
      </c>
      <c r="CU62" s="97">
        <v>5115.6000000000004</v>
      </c>
    </row>
    <row r="63" spans="2:99" x14ac:dyDescent="0.15">
      <c r="C63" s="96" t="s">
        <v>228</v>
      </c>
      <c r="D63" s="97">
        <v>73</v>
      </c>
      <c r="E63" s="97">
        <v>58078.8</v>
      </c>
      <c r="F63" s="97">
        <v>58</v>
      </c>
      <c r="G63" s="97">
        <v>46144.800000000003</v>
      </c>
      <c r="H63" s="97">
        <v>55</v>
      </c>
      <c r="I63" s="97">
        <v>43758</v>
      </c>
      <c r="J63" s="97">
        <v>49</v>
      </c>
      <c r="K63" s="97">
        <v>38984.400000000001</v>
      </c>
      <c r="L63" s="97">
        <v>38</v>
      </c>
      <c r="M63" s="97">
        <v>30232.799999999999</v>
      </c>
      <c r="N63" s="97">
        <v>43</v>
      </c>
      <c r="O63" s="97">
        <v>34210.800000000003</v>
      </c>
      <c r="P63" s="97">
        <v>47</v>
      </c>
      <c r="Q63" s="97">
        <v>37393.200000000004</v>
      </c>
      <c r="R63" s="97">
        <v>57</v>
      </c>
      <c r="S63" s="97">
        <v>45349.200000000004</v>
      </c>
      <c r="T63" s="97">
        <v>26</v>
      </c>
      <c r="U63" s="97">
        <v>20685.600000000002</v>
      </c>
      <c r="V63" s="97">
        <v>36</v>
      </c>
      <c r="W63" s="97">
        <v>28641.600000000002</v>
      </c>
      <c r="X63" s="97">
        <v>24</v>
      </c>
      <c r="Y63" s="97">
        <v>19094.400000000001</v>
      </c>
      <c r="Z63" s="97">
        <v>24</v>
      </c>
      <c r="AA63" s="97">
        <v>19094.400000000001</v>
      </c>
      <c r="AB63" s="97">
        <v>22</v>
      </c>
      <c r="AC63" s="97">
        <v>17503.2</v>
      </c>
      <c r="AD63" s="97">
        <v>18</v>
      </c>
      <c r="AE63" s="97">
        <v>14320.800000000001</v>
      </c>
      <c r="AF63" s="97">
        <v>27</v>
      </c>
      <c r="AG63" s="97">
        <v>21481.200000000001</v>
      </c>
      <c r="AH63" s="97">
        <v>20</v>
      </c>
      <c r="AI63" s="97">
        <v>15912</v>
      </c>
      <c r="AJ63" s="97">
        <v>11</v>
      </c>
      <c r="AK63" s="97">
        <v>8751.6</v>
      </c>
      <c r="AL63" s="97">
        <v>13</v>
      </c>
      <c r="AM63" s="97">
        <v>10342.800000000001</v>
      </c>
      <c r="AN63" s="97">
        <v>10</v>
      </c>
      <c r="AO63" s="97">
        <v>7956</v>
      </c>
      <c r="AP63" s="97">
        <v>13</v>
      </c>
      <c r="AQ63" s="97">
        <v>10342.800000000001</v>
      </c>
      <c r="AR63" s="97">
        <v>8</v>
      </c>
      <c r="AS63" s="97">
        <v>6364.8</v>
      </c>
      <c r="AT63" s="97">
        <v>8</v>
      </c>
      <c r="AU63" s="97">
        <v>6364.8</v>
      </c>
      <c r="AV63" s="97">
        <v>11</v>
      </c>
      <c r="AW63" s="97">
        <v>8751.6</v>
      </c>
      <c r="AX63" s="97">
        <v>15</v>
      </c>
      <c r="AY63" s="97">
        <v>11934</v>
      </c>
      <c r="AZ63" s="97">
        <v>12</v>
      </c>
      <c r="BA63" s="97">
        <v>9547.2000000000007</v>
      </c>
      <c r="BB63" s="97">
        <v>10</v>
      </c>
      <c r="BC63" s="97">
        <v>7956</v>
      </c>
      <c r="BD63" s="97">
        <v>9</v>
      </c>
      <c r="BE63" s="97">
        <v>7160.4000000000005</v>
      </c>
      <c r="BF63" s="97">
        <v>10</v>
      </c>
      <c r="BG63" s="97">
        <v>7956</v>
      </c>
      <c r="BH63" s="97">
        <v>8</v>
      </c>
      <c r="BI63" s="97">
        <v>6364.8</v>
      </c>
      <c r="BJ63" s="97">
        <v>9</v>
      </c>
      <c r="BK63" s="97">
        <v>7160.4000000000005</v>
      </c>
      <c r="BL63" s="97">
        <v>6</v>
      </c>
      <c r="BM63" s="97">
        <v>4773.6000000000004</v>
      </c>
      <c r="BN63" s="97">
        <v>8</v>
      </c>
      <c r="BO63" s="97">
        <v>6364.8</v>
      </c>
      <c r="BP63" s="97">
        <v>8</v>
      </c>
      <c r="BQ63" s="97">
        <v>6364.8</v>
      </c>
      <c r="BR63" s="97">
        <v>5</v>
      </c>
      <c r="BS63" s="97">
        <v>3978</v>
      </c>
      <c r="BT63" s="97">
        <v>6</v>
      </c>
      <c r="BU63" s="97">
        <v>4773.6000000000004</v>
      </c>
      <c r="BV63" s="97">
        <v>8</v>
      </c>
      <c r="BW63" s="97">
        <v>6364.8</v>
      </c>
      <c r="BX63" s="97">
        <v>6</v>
      </c>
      <c r="BY63" s="97">
        <v>4773.6000000000004</v>
      </c>
      <c r="BZ63" s="97">
        <v>6</v>
      </c>
      <c r="CA63" s="97">
        <v>4773.6000000000004</v>
      </c>
      <c r="CB63" s="97">
        <v>5</v>
      </c>
      <c r="CC63" s="97">
        <v>3978</v>
      </c>
      <c r="CD63" s="97">
        <v>5</v>
      </c>
      <c r="CE63" s="97">
        <v>3978</v>
      </c>
      <c r="CF63" s="97">
        <v>4</v>
      </c>
      <c r="CG63" s="97">
        <v>3182.4</v>
      </c>
      <c r="CH63" s="97">
        <v>5</v>
      </c>
      <c r="CI63" s="97">
        <v>3978</v>
      </c>
      <c r="CJ63" s="97">
        <v>4</v>
      </c>
      <c r="CK63" s="97">
        <v>3182.4</v>
      </c>
      <c r="CL63" s="97">
        <v>5</v>
      </c>
      <c r="CM63" s="97">
        <v>3978</v>
      </c>
      <c r="CN63" s="97">
        <v>3</v>
      </c>
      <c r="CO63" s="97">
        <v>2386.8000000000002</v>
      </c>
      <c r="CP63" s="97">
        <v>2</v>
      </c>
      <c r="CQ63" s="97">
        <v>1591.2</v>
      </c>
      <c r="CR63" s="97">
        <v>3</v>
      </c>
      <c r="CS63" s="97">
        <v>2386.8000000000002</v>
      </c>
      <c r="CT63" s="97">
        <v>4</v>
      </c>
      <c r="CU63" s="97">
        <v>3182.4</v>
      </c>
    </row>
    <row r="64" spans="2:99" x14ac:dyDescent="0.15">
      <c r="C64" s="96" t="s">
        <v>229</v>
      </c>
      <c r="D64" s="97">
        <v>69</v>
      </c>
      <c r="E64" s="97">
        <v>69634.799999999988</v>
      </c>
      <c r="F64" s="97">
        <v>61</v>
      </c>
      <c r="G64" s="97">
        <v>61561.19999999999</v>
      </c>
      <c r="H64" s="97">
        <v>50</v>
      </c>
      <c r="I64" s="97">
        <v>50459.999999999993</v>
      </c>
      <c r="J64" s="97">
        <v>51</v>
      </c>
      <c r="K64" s="97">
        <v>51469.19999999999</v>
      </c>
      <c r="L64" s="97">
        <v>37</v>
      </c>
      <c r="M64" s="97">
        <v>37340.399999999994</v>
      </c>
      <c r="N64" s="97">
        <v>45</v>
      </c>
      <c r="O64" s="97">
        <v>45413.999999999993</v>
      </c>
      <c r="P64" s="97">
        <v>44</v>
      </c>
      <c r="Q64" s="97">
        <v>44404.799999999988</v>
      </c>
      <c r="R64" s="97">
        <v>51</v>
      </c>
      <c r="S64" s="97">
        <v>51469.19999999999</v>
      </c>
      <c r="T64" s="97">
        <v>24</v>
      </c>
      <c r="U64" s="97">
        <v>24220.799999999996</v>
      </c>
      <c r="V64" s="97">
        <v>35</v>
      </c>
      <c r="W64" s="97">
        <v>35321.999999999993</v>
      </c>
      <c r="X64" s="97">
        <v>22</v>
      </c>
      <c r="Y64" s="97">
        <v>22202.399999999994</v>
      </c>
      <c r="Z64" s="97">
        <v>21</v>
      </c>
      <c r="AA64" s="97">
        <v>21193.199999999997</v>
      </c>
      <c r="AB64" s="97">
        <v>23</v>
      </c>
      <c r="AC64" s="97">
        <v>23211.599999999995</v>
      </c>
      <c r="AD64" s="97">
        <v>15</v>
      </c>
      <c r="AE64" s="97">
        <v>15137.999999999996</v>
      </c>
      <c r="AF64" s="97">
        <v>26</v>
      </c>
      <c r="AG64" s="97">
        <v>26239.199999999997</v>
      </c>
      <c r="AH64" s="97">
        <v>22</v>
      </c>
      <c r="AI64" s="97">
        <v>22202.399999999994</v>
      </c>
      <c r="AJ64" s="97">
        <v>11</v>
      </c>
      <c r="AK64" s="97">
        <v>11101.199999999997</v>
      </c>
      <c r="AL64" s="97">
        <v>13</v>
      </c>
      <c r="AM64" s="97">
        <v>13119.599999999999</v>
      </c>
      <c r="AN64" s="97">
        <v>9</v>
      </c>
      <c r="AO64" s="97">
        <v>9082.7999999999993</v>
      </c>
      <c r="AP64" s="97">
        <v>11</v>
      </c>
      <c r="AQ64" s="97">
        <v>11101.199999999997</v>
      </c>
      <c r="AR64" s="97">
        <v>9</v>
      </c>
      <c r="AS64" s="97">
        <v>9082.7999999999993</v>
      </c>
      <c r="AT64" s="97">
        <v>7</v>
      </c>
      <c r="AU64" s="97">
        <v>7064.3999999999987</v>
      </c>
      <c r="AV64" s="97">
        <v>11</v>
      </c>
      <c r="AW64" s="97">
        <v>11101.199999999997</v>
      </c>
      <c r="AX64" s="97">
        <v>13</v>
      </c>
      <c r="AY64" s="97">
        <v>13119.599999999999</v>
      </c>
      <c r="AZ64" s="97">
        <v>9</v>
      </c>
      <c r="BA64" s="97">
        <v>9082.7999999999993</v>
      </c>
      <c r="BB64" s="97">
        <v>10</v>
      </c>
      <c r="BC64" s="97">
        <v>10091.999999999998</v>
      </c>
      <c r="BD64" s="97">
        <v>8</v>
      </c>
      <c r="BE64" s="97">
        <v>8073.5999999999985</v>
      </c>
      <c r="BF64" s="97">
        <v>10</v>
      </c>
      <c r="BG64" s="97">
        <v>10091.999999999998</v>
      </c>
      <c r="BH64" s="97">
        <v>7</v>
      </c>
      <c r="BI64" s="97">
        <v>7064.3999999999987</v>
      </c>
      <c r="BJ64" s="97">
        <v>9</v>
      </c>
      <c r="BK64" s="97">
        <v>9082.7999999999993</v>
      </c>
      <c r="BL64" s="97">
        <v>6</v>
      </c>
      <c r="BM64" s="97">
        <v>6055.1999999999989</v>
      </c>
      <c r="BN64" s="97">
        <v>8</v>
      </c>
      <c r="BO64" s="97">
        <v>8073.5999999999985</v>
      </c>
      <c r="BP64" s="97">
        <v>8</v>
      </c>
      <c r="BQ64" s="97">
        <v>8073.5999999999985</v>
      </c>
      <c r="BR64" s="97">
        <v>5</v>
      </c>
      <c r="BS64" s="97">
        <v>5045.9999999999991</v>
      </c>
      <c r="BT64" s="97">
        <v>8</v>
      </c>
      <c r="BU64" s="97">
        <v>8073.5999999999985</v>
      </c>
      <c r="BV64" s="97">
        <v>7</v>
      </c>
      <c r="BW64" s="97">
        <v>7064.3999999999987</v>
      </c>
      <c r="BX64" s="97">
        <v>5</v>
      </c>
      <c r="BY64" s="97">
        <v>5045.9999999999991</v>
      </c>
      <c r="BZ64" s="97">
        <v>6</v>
      </c>
      <c r="CA64" s="97">
        <v>6055.1999999999989</v>
      </c>
      <c r="CB64" s="97">
        <v>6</v>
      </c>
      <c r="CC64" s="97">
        <v>6055.1999999999989</v>
      </c>
      <c r="CD64" s="97">
        <v>5</v>
      </c>
      <c r="CE64" s="97">
        <v>5045.9999999999991</v>
      </c>
      <c r="CF64" s="97">
        <v>4</v>
      </c>
      <c r="CG64" s="97">
        <v>4036.7999999999993</v>
      </c>
      <c r="CH64" s="97">
        <v>5</v>
      </c>
      <c r="CI64" s="97">
        <v>5045.9999999999991</v>
      </c>
      <c r="CJ64" s="97">
        <v>4</v>
      </c>
      <c r="CK64" s="97">
        <v>4036.7999999999993</v>
      </c>
      <c r="CL64" s="97">
        <v>6</v>
      </c>
      <c r="CM64" s="97">
        <v>6055.1999999999989</v>
      </c>
      <c r="CN64" s="97">
        <v>3</v>
      </c>
      <c r="CO64" s="97">
        <v>3027.5999999999995</v>
      </c>
      <c r="CP64" s="97">
        <v>3</v>
      </c>
      <c r="CQ64" s="97">
        <v>3027.5999999999995</v>
      </c>
      <c r="CR64" s="97">
        <v>4</v>
      </c>
      <c r="CS64" s="97">
        <v>4036.7999999999993</v>
      </c>
      <c r="CT64" s="97">
        <v>4</v>
      </c>
      <c r="CU64" s="97">
        <v>4036.7999999999993</v>
      </c>
    </row>
    <row r="65" spans="2:99" x14ac:dyDescent="0.15">
      <c r="C65" s="96" t="s">
        <v>230</v>
      </c>
      <c r="D65" s="97">
        <v>69</v>
      </c>
      <c r="E65" s="97">
        <v>70794</v>
      </c>
      <c r="F65" s="97">
        <v>53</v>
      </c>
      <c r="G65" s="97">
        <v>54378</v>
      </c>
      <c r="H65" s="97">
        <v>54</v>
      </c>
      <c r="I65" s="97">
        <v>55404</v>
      </c>
      <c r="J65" s="97">
        <v>48</v>
      </c>
      <c r="K65" s="97">
        <v>49248</v>
      </c>
      <c r="L65" s="97">
        <v>35</v>
      </c>
      <c r="M65" s="97">
        <v>35910</v>
      </c>
      <c r="N65" s="97">
        <v>47</v>
      </c>
      <c r="O65" s="97">
        <v>48222</v>
      </c>
      <c r="P65" s="97">
        <v>42</v>
      </c>
      <c r="Q65" s="97">
        <v>43092</v>
      </c>
      <c r="R65" s="97">
        <v>59</v>
      </c>
      <c r="S65" s="97">
        <v>60534</v>
      </c>
      <c r="T65" s="97">
        <v>27</v>
      </c>
      <c r="U65" s="97">
        <v>27702</v>
      </c>
      <c r="V65" s="97">
        <v>34</v>
      </c>
      <c r="W65" s="97">
        <v>34884</v>
      </c>
      <c r="X65" s="97">
        <v>24</v>
      </c>
      <c r="Y65" s="97">
        <v>24624</v>
      </c>
      <c r="Z65" s="97">
        <v>21</v>
      </c>
      <c r="AA65" s="97">
        <v>21546</v>
      </c>
      <c r="AB65" s="97">
        <v>22</v>
      </c>
      <c r="AC65" s="97">
        <v>22572</v>
      </c>
      <c r="AD65" s="97">
        <v>16</v>
      </c>
      <c r="AE65" s="97">
        <v>16416</v>
      </c>
      <c r="AF65" s="97">
        <v>23</v>
      </c>
      <c r="AG65" s="97">
        <v>23598</v>
      </c>
      <c r="AH65" s="97">
        <v>22</v>
      </c>
      <c r="AI65" s="97">
        <v>22572</v>
      </c>
      <c r="AJ65" s="97">
        <v>10</v>
      </c>
      <c r="AK65" s="97">
        <v>10260</v>
      </c>
      <c r="AL65" s="97">
        <v>12</v>
      </c>
      <c r="AM65" s="97">
        <v>12312</v>
      </c>
      <c r="AN65" s="97">
        <v>9</v>
      </c>
      <c r="AO65" s="97">
        <v>9234</v>
      </c>
      <c r="AP65" s="97">
        <v>13</v>
      </c>
      <c r="AQ65" s="97">
        <v>13338</v>
      </c>
      <c r="AR65" s="97">
        <v>9</v>
      </c>
      <c r="AS65" s="97">
        <v>9234</v>
      </c>
      <c r="AT65" s="97">
        <v>8</v>
      </c>
      <c r="AU65" s="97">
        <v>8208</v>
      </c>
      <c r="AV65" s="97">
        <v>10</v>
      </c>
      <c r="AW65" s="97">
        <v>10260</v>
      </c>
      <c r="AX65" s="97">
        <v>15</v>
      </c>
      <c r="AY65" s="97">
        <v>15390</v>
      </c>
      <c r="AZ65" s="97">
        <v>10</v>
      </c>
      <c r="BA65" s="97">
        <v>10260</v>
      </c>
      <c r="BB65" s="97">
        <v>11</v>
      </c>
      <c r="BC65" s="97">
        <v>11286</v>
      </c>
      <c r="BD65" s="97">
        <v>9</v>
      </c>
      <c r="BE65" s="97">
        <v>9234</v>
      </c>
      <c r="BF65" s="97">
        <v>10</v>
      </c>
      <c r="BG65" s="97">
        <v>10260</v>
      </c>
      <c r="BH65" s="97">
        <v>8</v>
      </c>
      <c r="BI65" s="97">
        <v>8208</v>
      </c>
      <c r="BJ65" s="97">
        <v>9</v>
      </c>
      <c r="BK65" s="97">
        <v>9234</v>
      </c>
      <c r="BL65" s="97">
        <v>5</v>
      </c>
      <c r="BM65" s="97">
        <v>5130</v>
      </c>
      <c r="BN65" s="97">
        <v>8</v>
      </c>
      <c r="BO65" s="97">
        <v>8208</v>
      </c>
      <c r="BP65" s="97">
        <v>7</v>
      </c>
      <c r="BQ65" s="97">
        <v>7182</v>
      </c>
      <c r="BR65" s="97">
        <v>5</v>
      </c>
      <c r="BS65" s="97">
        <v>5130</v>
      </c>
      <c r="BT65" s="97">
        <v>7</v>
      </c>
      <c r="BU65" s="97">
        <v>7182</v>
      </c>
      <c r="BV65" s="97">
        <v>7</v>
      </c>
      <c r="BW65" s="97">
        <v>7182</v>
      </c>
      <c r="BX65" s="97">
        <v>6</v>
      </c>
      <c r="BY65" s="97">
        <v>6156</v>
      </c>
      <c r="BZ65" s="97">
        <v>6</v>
      </c>
      <c r="CA65" s="97">
        <v>6156</v>
      </c>
      <c r="CB65" s="97">
        <v>5</v>
      </c>
      <c r="CC65" s="97">
        <v>5130</v>
      </c>
      <c r="CD65" s="97">
        <v>6</v>
      </c>
      <c r="CE65" s="97">
        <v>6156</v>
      </c>
      <c r="CF65" s="97">
        <v>4</v>
      </c>
      <c r="CG65" s="97">
        <v>4104</v>
      </c>
      <c r="CH65" s="97">
        <v>4</v>
      </c>
      <c r="CI65" s="97">
        <v>4104</v>
      </c>
      <c r="CJ65" s="97">
        <v>4</v>
      </c>
      <c r="CK65" s="97">
        <v>4104</v>
      </c>
      <c r="CL65" s="97">
        <v>6</v>
      </c>
      <c r="CM65" s="97">
        <v>6156</v>
      </c>
      <c r="CN65" s="97">
        <v>3</v>
      </c>
      <c r="CO65" s="97">
        <v>3078</v>
      </c>
      <c r="CP65" s="97">
        <v>2</v>
      </c>
      <c r="CQ65" s="97">
        <v>2052</v>
      </c>
      <c r="CR65" s="97">
        <v>4</v>
      </c>
      <c r="CS65" s="97">
        <v>4104</v>
      </c>
      <c r="CT65" s="97">
        <v>3</v>
      </c>
      <c r="CU65" s="97">
        <v>3078</v>
      </c>
    </row>
    <row r="66" spans="2:99" x14ac:dyDescent="0.15">
      <c r="C66" s="96" t="s">
        <v>231</v>
      </c>
      <c r="D66" s="97">
        <v>65</v>
      </c>
      <c r="E66" s="97">
        <v>77375.999999999985</v>
      </c>
      <c r="F66" s="97">
        <v>53</v>
      </c>
      <c r="G66" s="97">
        <v>63091.19999999999</v>
      </c>
      <c r="H66" s="97">
        <v>48</v>
      </c>
      <c r="I66" s="97">
        <v>57139.199999999997</v>
      </c>
      <c r="J66" s="97">
        <v>49</v>
      </c>
      <c r="K66" s="97">
        <v>58329.599999999991</v>
      </c>
      <c r="L66" s="97">
        <v>37</v>
      </c>
      <c r="M66" s="97">
        <v>44044.799999999996</v>
      </c>
      <c r="N66" s="97">
        <v>44</v>
      </c>
      <c r="O66" s="97">
        <v>52377.599999999991</v>
      </c>
      <c r="P66" s="97">
        <v>40</v>
      </c>
      <c r="Q66" s="97">
        <v>47615.999999999993</v>
      </c>
      <c r="R66" s="97">
        <v>51</v>
      </c>
      <c r="S66" s="97">
        <v>60710.399999999994</v>
      </c>
      <c r="T66" s="97">
        <v>23</v>
      </c>
      <c r="U66" s="97">
        <v>27379.199999999997</v>
      </c>
      <c r="V66" s="97">
        <v>38</v>
      </c>
      <c r="W66" s="97">
        <v>45235.199999999997</v>
      </c>
      <c r="X66" s="97">
        <v>20</v>
      </c>
      <c r="Y66" s="97">
        <v>23807.999999999996</v>
      </c>
      <c r="Z66" s="97">
        <v>23</v>
      </c>
      <c r="AA66" s="97">
        <v>27379.199999999997</v>
      </c>
      <c r="AB66" s="97">
        <v>19</v>
      </c>
      <c r="AC66" s="97">
        <v>22617.599999999999</v>
      </c>
      <c r="AD66" s="97">
        <v>14</v>
      </c>
      <c r="AE66" s="97">
        <v>16665.599999999999</v>
      </c>
      <c r="AF66" s="97">
        <v>23</v>
      </c>
      <c r="AG66" s="97">
        <v>27379.199999999997</v>
      </c>
      <c r="AH66" s="97">
        <v>21</v>
      </c>
      <c r="AI66" s="97">
        <v>24998.399999999998</v>
      </c>
      <c r="AJ66" s="97">
        <v>10</v>
      </c>
      <c r="AK66" s="97">
        <v>11903.999999999998</v>
      </c>
      <c r="AL66" s="97">
        <v>12</v>
      </c>
      <c r="AM66" s="97">
        <v>14284.8</v>
      </c>
      <c r="AN66" s="97">
        <v>10</v>
      </c>
      <c r="AO66" s="97">
        <v>11903.999999999998</v>
      </c>
      <c r="AP66" s="97">
        <v>12</v>
      </c>
      <c r="AQ66" s="97">
        <v>14284.8</v>
      </c>
      <c r="AR66" s="97">
        <v>8</v>
      </c>
      <c r="AS66" s="97">
        <v>9523.1999999999989</v>
      </c>
      <c r="AT66" s="97">
        <v>8</v>
      </c>
      <c r="AU66" s="97">
        <v>9523.1999999999989</v>
      </c>
      <c r="AV66" s="97">
        <v>10</v>
      </c>
      <c r="AW66" s="97">
        <v>11903.999999999998</v>
      </c>
      <c r="AX66" s="97">
        <v>15</v>
      </c>
      <c r="AY66" s="97">
        <v>17855.999999999996</v>
      </c>
      <c r="AZ66" s="97">
        <v>10</v>
      </c>
      <c r="BA66" s="97">
        <v>11903.999999999998</v>
      </c>
      <c r="BB66" s="97">
        <v>10</v>
      </c>
      <c r="BC66" s="97">
        <v>11903.999999999998</v>
      </c>
      <c r="BD66" s="97">
        <v>9</v>
      </c>
      <c r="BE66" s="97">
        <v>10713.599999999999</v>
      </c>
      <c r="BF66" s="97">
        <v>8</v>
      </c>
      <c r="BG66" s="97">
        <v>9523.1999999999989</v>
      </c>
      <c r="BH66" s="97">
        <v>7</v>
      </c>
      <c r="BI66" s="97">
        <v>8332.7999999999993</v>
      </c>
      <c r="BJ66" s="97">
        <v>9</v>
      </c>
      <c r="BK66" s="97">
        <v>10713.599999999999</v>
      </c>
      <c r="BL66" s="97">
        <v>6</v>
      </c>
      <c r="BM66" s="97">
        <v>7142.4</v>
      </c>
      <c r="BN66" s="97">
        <v>9</v>
      </c>
      <c r="BO66" s="97">
        <v>10713.599999999999</v>
      </c>
      <c r="BP66" s="97">
        <v>8</v>
      </c>
      <c r="BQ66" s="97">
        <v>9523.1999999999989</v>
      </c>
      <c r="BR66" s="97">
        <v>5</v>
      </c>
      <c r="BS66" s="97">
        <v>5951.9999999999991</v>
      </c>
      <c r="BT66" s="97">
        <v>8</v>
      </c>
      <c r="BU66" s="97">
        <v>9523.1999999999989</v>
      </c>
      <c r="BV66" s="97">
        <v>7</v>
      </c>
      <c r="BW66" s="97">
        <v>8332.7999999999993</v>
      </c>
      <c r="BX66" s="97">
        <v>6</v>
      </c>
      <c r="BY66" s="97">
        <v>7142.4</v>
      </c>
      <c r="BZ66" s="97">
        <v>5</v>
      </c>
      <c r="CA66" s="97">
        <v>5951.9999999999991</v>
      </c>
      <c r="CB66" s="97">
        <v>5</v>
      </c>
      <c r="CC66" s="97">
        <v>5951.9999999999991</v>
      </c>
      <c r="CD66" s="97">
        <v>5</v>
      </c>
      <c r="CE66" s="97">
        <v>5951.9999999999991</v>
      </c>
      <c r="CF66" s="97">
        <v>3</v>
      </c>
      <c r="CG66" s="97">
        <v>3571.2</v>
      </c>
      <c r="CH66" s="97">
        <v>5</v>
      </c>
      <c r="CI66" s="97">
        <v>5951.9999999999991</v>
      </c>
      <c r="CJ66" s="97">
        <v>4</v>
      </c>
      <c r="CK66" s="97">
        <v>4761.5999999999995</v>
      </c>
      <c r="CL66" s="97">
        <v>5</v>
      </c>
      <c r="CM66" s="97">
        <v>5951.9999999999991</v>
      </c>
      <c r="CN66" s="97">
        <v>3</v>
      </c>
      <c r="CO66" s="97">
        <v>3571.2</v>
      </c>
      <c r="CP66" s="97">
        <v>2</v>
      </c>
      <c r="CQ66" s="97">
        <v>2380.7999999999997</v>
      </c>
      <c r="CR66" s="97">
        <v>3</v>
      </c>
      <c r="CS66" s="97">
        <v>3571.2</v>
      </c>
      <c r="CT66" s="97">
        <v>4</v>
      </c>
      <c r="CU66" s="97">
        <v>4761.5999999999995</v>
      </c>
    </row>
    <row r="67" spans="2:99" x14ac:dyDescent="0.15">
      <c r="C67" s="96" t="s">
        <v>232</v>
      </c>
      <c r="D67" s="97">
        <v>75</v>
      </c>
      <c r="E67" s="97">
        <v>84240</v>
      </c>
      <c r="F67" s="97">
        <v>50</v>
      </c>
      <c r="G67" s="97">
        <v>56160</v>
      </c>
      <c r="H67" s="97">
        <v>47</v>
      </c>
      <c r="I67" s="97">
        <v>52790.400000000001</v>
      </c>
      <c r="J67" s="97">
        <v>54</v>
      </c>
      <c r="K67" s="97">
        <v>60652.800000000003</v>
      </c>
      <c r="L67" s="97">
        <v>39</v>
      </c>
      <c r="M67" s="97">
        <v>43804.800000000003</v>
      </c>
      <c r="N67" s="97">
        <v>49</v>
      </c>
      <c r="O67" s="97">
        <v>55036.800000000003</v>
      </c>
      <c r="P67" s="97">
        <v>41</v>
      </c>
      <c r="Q67" s="97">
        <v>46051.200000000004</v>
      </c>
      <c r="R67" s="97">
        <v>54</v>
      </c>
      <c r="S67" s="97">
        <v>60652.800000000003</v>
      </c>
      <c r="T67" s="97">
        <v>26</v>
      </c>
      <c r="U67" s="97">
        <v>29203.200000000001</v>
      </c>
      <c r="V67" s="97">
        <v>33</v>
      </c>
      <c r="W67" s="97">
        <v>37065.599999999999</v>
      </c>
      <c r="X67" s="97">
        <v>23</v>
      </c>
      <c r="Y67" s="97">
        <v>25833.600000000002</v>
      </c>
      <c r="Z67" s="97">
        <v>21</v>
      </c>
      <c r="AA67" s="97">
        <v>23587.200000000001</v>
      </c>
      <c r="AB67" s="97">
        <v>21</v>
      </c>
      <c r="AC67" s="97">
        <v>23587.200000000001</v>
      </c>
      <c r="AD67" s="97">
        <v>15</v>
      </c>
      <c r="AE67" s="97">
        <v>16848</v>
      </c>
      <c r="AF67" s="97">
        <v>28</v>
      </c>
      <c r="AG67" s="97">
        <v>31449.600000000002</v>
      </c>
      <c r="AH67" s="97">
        <v>21</v>
      </c>
      <c r="AI67" s="97">
        <v>23587.200000000001</v>
      </c>
      <c r="AJ67" s="97">
        <v>9</v>
      </c>
      <c r="AK67" s="97">
        <v>10108.800000000001</v>
      </c>
      <c r="AL67" s="97">
        <v>13</v>
      </c>
      <c r="AM67" s="97">
        <v>14601.6</v>
      </c>
      <c r="AN67" s="97">
        <v>9</v>
      </c>
      <c r="AO67" s="97">
        <v>10108.800000000001</v>
      </c>
      <c r="AP67" s="97">
        <v>13</v>
      </c>
      <c r="AQ67" s="97">
        <v>14601.6</v>
      </c>
      <c r="AR67" s="97">
        <v>8</v>
      </c>
      <c r="AS67" s="97">
        <v>8985.6</v>
      </c>
      <c r="AT67" s="97">
        <v>7</v>
      </c>
      <c r="AU67" s="97">
        <v>7862.4000000000005</v>
      </c>
      <c r="AV67" s="97">
        <v>11</v>
      </c>
      <c r="AW67" s="97">
        <v>12355.2</v>
      </c>
      <c r="AX67" s="97">
        <v>13</v>
      </c>
      <c r="AY67" s="97">
        <v>14601.6</v>
      </c>
      <c r="AZ67" s="97">
        <v>11</v>
      </c>
      <c r="BA67" s="97">
        <v>12355.2</v>
      </c>
      <c r="BB67" s="97">
        <v>9</v>
      </c>
      <c r="BC67" s="97">
        <v>10108.800000000001</v>
      </c>
      <c r="BD67" s="97">
        <v>8</v>
      </c>
      <c r="BE67" s="97">
        <v>8985.6</v>
      </c>
      <c r="BF67" s="97">
        <v>8</v>
      </c>
      <c r="BG67" s="97">
        <v>8985.6</v>
      </c>
      <c r="BH67" s="97">
        <v>7</v>
      </c>
      <c r="BI67" s="97">
        <v>7862.4000000000005</v>
      </c>
      <c r="BJ67" s="97">
        <v>8</v>
      </c>
      <c r="BK67" s="97">
        <v>8985.6</v>
      </c>
      <c r="BL67" s="97">
        <v>6</v>
      </c>
      <c r="BM67" s="97">
        <v>6739.2000000000007</v>
      </c>
      <c r="BN67" s="97">
        <v>8</v>
      </c>
      <c r="BO67" s="97">
        <v>8985.6</v>
      </c>
      <c r="BP67" s="97">
        <v>8</v>
      </c>
      <c r="BQ67" s="97">
        <v>8985.6</v>
      </c>
      <c r="BR67" s="97">
        <v>4</v>
      </c>
      <c r="BS67" s="97">
        <v>4492.8</v>
      </c>
      <c r="BT67" s="97">
        <v>7</v>
      </c>
      <c r="BU67" s="97">
        <v>7862.4000000000005</v>
      </c>
      <c r="BV67" s="97">
        <v>7</v>
      </c>
      <c r="BW67" s="97">
        <v>7862.4000000000005</v>
      </c>
      <c r="BX67" s="97">
        <v>6</v>
      </c>
      <c r="BY67" s="97">
        <v>6739.2000000000007</v>
      </c>
      <c r="BZ67" s="97">
        <v>6</v>
      </c>
      <c r="CA67" s="97">
        <v>6739.2000000000007</v>
      </c>
      <c r="CB67" s="97">
        <v>5</v>
      </c>
      <c r="CC67" s="97">
        <v>5616</v>
      </c>
      <c r="CD67" s="97">
        <v>6</v>
      </c>
      <c r="CE67" s="97">
        <v>6739.2000000000007</v>
      </c>
      <c r="CF67" s="97">
        <v>4</v>
      </c>
      <c r="CG67" s="97">
        <v>4492.8</v>
      </c>
      <c r="CH67" s="97">
        <v>5</v>
      </c>
      <c r="CI67" s="97">
        <v>5616</v>
      </c>
      <c r="CJ67" s="97">
        <v>4</v>
      </c>
      <c r="CK67" s="97">
        <v>4492.8</v>
      </c>
      <c r="CL67" s="97">
        <v>5</v>
      </c>
      <c r="CM67" s="97">
        <v>5616</v>
      </c>
      <c r="CN67" s="97">
        <v>3</v>
      </c>
      <c r="CO67" s="97">
        <v>3369.6000000000004</v>
      </c>
      <c r="CP67" s="97">
        <v>2</v>
      </c>
      <c r="CQ67" s="97">
        <v>2246.4</v>
      </c>
      <c r="CR67" s="97">
        <v>3</v>
      </c>
      <c r="CS67" s="97">
        <v>3369.6000000000004</v>
      </c>
      <c r="CT67" s="97">
        <v>4</v>
      </c>
      <c r="CU67" s="97">
        <v>4492.8</v>
      </c>
    </row>
    <row r="68" spans="2:99" x14ac:dyDescent="0.15">
      <c r="C68" s="96" t="s">
        <v>233</v>
      </c>
      <c r="D68" s="97">
        <v>69</v>
      </c>
      <c r="E68" s="97">
        <v>71290.8</v>
      </c>
      <c r="F68" s="97">
        <v>51</v>
      </c>
      <c r="G68" s="97">
        <v>52693.200000000004</v>
      </c>
      <c r="H68" s="97">
        <v>54</v>
      </c>
      <c r="I68" s="97">
        <v>55792.800000000003</v>
      </c>
      <c r="J68" s="97">
        <v>55</v>
      </c>
      <c r="K68" s="97">
        <v>56826</v>
      </c>
      <c r="L68" s="97">
        <v>36</v>
      </c>
      <c r="M68" s="97">
        <v>37195.200000000004</v>
      </c>
      <c r="N68" s="97">
        <v>45</v>
      </c>
      <c r="O68" s="97">
        <v>46494</v>
      </c>
      <c r="P68" s="97">
        <v>45</v>
      </c>
      <c r="Q68" s="97">
        <v>46494</v>
      </c>
      <c r="R68" s="97">
        <v>53</v>
      </c>
      <c r="S68" s="97">
        <v>54759.600000000006</v>
      </c>
      <c r="T68" s="97">
        <v>27</v>
      </c>
      <c r="U68" s="97">
        <v>27896.400000000001</v>
      </c>
      <c r="V68" s="97">
        <v>35</v>
      </c>
      <c r="W68" s="97">
        <v>36162</v>
      </c>
      <c r="X68" s="97">
        <v>21</v>
      </c>
      <c r="Y68" s="97">
        <v>21697.200000000001</v>
      </c>
      <c r="Z68" s="97">
        <v>23</v>
      </c>
      <c r="AA68" s="97">
        <v>23763.600000000002</v>
      </c>
      <c r="AB68" s="97">
        <v>22</v>
      </c>
      <c r="AC68" s="97">
        <v>22730.400000000001</v>
      </c>
      <c r="AD68" s="97">
        <v>17</v>
      </c>
      <c r="AE68" s="97">
        <v>17564.400000000001</v>
      </c>
      <c r="AF68" s="97">
        <v>25</v>
      </c>
      <c r="AG68" s="97">
        <v>25830</v>
      </c>
      <c r="AH68" s="97">
        <v>22</v>
      </c>
      <c r="AI68" s="97">
        <v>22730.400000000001</v>
      </c>
      <c r="AJ68" s="97">
        <v>10</v>
      </c>
      <c r="AK68" s="97">
        <v>10332</v>
      </c>
      <c r="AL68" s="97">
        <v>12</v>
      </c>
      <c r="AM68" s="97">
        <v>12398.400000000001</v>
      </c>
      <c r="AN68" s="97">
        <v>9</v>
      </c>
      <c r="AO68" s="97">
        <v>9298.8000000000011</v>
      </c>
      <c r="AP68" s="97">
        <v>13</v>
      </c>
      <c r="AQ68" s="97">
        <v>13431.6</v>
      </c>
      <c r="AR68" s="97">
        <v>8</v>
      </c>
      <c r="AS68" s="97">
        <v>8265.6</v>
      </c>
      <c r="AT68" s="97">
        <v>8</v>
      </c>
      <c r="AU68" s="97">
        <v>8265.6</v>
      </c>
      <c r="AV68" s="97">
        <v>10</v>
      </c>
      <c r="AW68" s="97">
        <v>10332</v>
      </c>
      <c r="AX68" s="97">
        <v>12</v>
      </c>
      <c r="AY68" s="97">
        <v>12398.400000000001</v>
      </c>
      <c r="AZ68" s="97">
        <v>11</v>
      </c>
      <c r="BA68" s="97">
        <v>11365.2</v>
      </c>
      <c r="BB68" s="97">
        <v>11</v>
      </c>
      <c r="BC68" s="97">
        <v>11365.2</v>
      </c>
      <c r="BD68" s="97">
        <v>9</v>
      </c>
      <c r="BE68" s="97">
        <v>9298.8000000000011</v>
      </c>
      <c r="BF68" s="97">
        <v>10</v>
      </c>
      <c r="BG68" s="97">
        <v>10332</v>
      </c>
      <c r="BH68" s="97">
        <v>8</v>
      </c>
      <c r="BI68" s="97">
        <v>8265.6</v>
      </c>
      <c r="BJ68" s="97">
        <v>10</v>
      </c>
      <c r="BK68" s="97">
        <v>10332</v>
      </c>
      <c r="BL68" s="97">
        <v>5</v>
      </c>
      <c r="BM68" s="97">
        <v>5166</v>
      </c>
      <c r="BN68" s="97">
        <v>9</v>
      </c>
      <c r="BO68" s="97">
        <v>9298.8000000000011</v>
      </c>
      <c r="BP68" s="97">
        <v>7</v>
      </c>
      <c r="BQ68" s="97">
        <v>7232.4000000000005</v>
      </c>
      <c r="BR68" s="97">
        <v>5</v>
      </c>
      <c r="BS68" s="97">
        <v>5166</v>
      </c>
      <c r="BT68" s="97">
        <v>8</v>
      </c>
      <c r="BU68" s="97">
        <v>8265.6</v>
      </c>
      <c r="BV68" s="97">
        <v>8</v>
      </c>
      <c r="BW68" s="97">
        <v>8265.6</v>
      </c>
      <c r="BX68" s="97">
        <v>6</v>
      </c>
      <c r="BY68" s="97">
        <v>6199.2000000000007</v>
      </c>
      <c r="BZ68" s="97">
        <v>6</v>
      </c>
      <c r="CA68" s="97">
        <v>6199.2000000000007</v>
      </c>
      <c r="CB68" s="97">
        <v>6</v>
      </c>
      <c r="CC68" s="97">
        <v>6199.2000000000007</v>
      </c>
      <c r="CD68" s="97">
        <v>5</v>
      </c>
      <c r="CE68" s="97">
        <v>5166</v>
      </c>
      <c r="CF68" s="97">
        <v>4</v>
      </c>
      <c r="CG68" s="97">
        <v>4132.8</v>
      </c>
      <c r="CH68" s="97">
        <v>5</v>
      </c>
      <c r="CI68" s="97">
        <v>5166</v>
      </c>
      <c r="CJ68" s="97">
        <v>4</v>
      </c>
      <c r="CK68" s="97">
        <v>4132.8</v>
      </c>
      <c r="CL68" s="97">
        <v>5</v>
      </c>
      <c r="CM68" s="97">
        <v>5166</v>
      </c>
      <c r="CN68" s="97">
        <v>4</v>
      </c>
      <c r="CO68" s="97">
        <v>4132.8</v>
      </c>
      <c r="CP68" s="97">
        <v>2</v>
      </c>
      <c r="CQ68" s="97">
        <v>2066.4</v>
      </c>
      <c r="CR68" s="97">
        <v>3</v>
      </c>
      <c r="CS68" s="97">
        <v>3099.6000000000004</v>
      </c>
      <c r="CT68" s="97">
        <v>4</v>
      </c>
      <c r="CU68" s="97">
        <v>4132.8</v>
      </c>
    </row>
    <row r="69" spans="2:99" x14ac:dyDescent="0.15">
      <c r="C69" s="96" t="s">
        <v>234</v>
      </c>
      <c r="D69" s="97">
        <v>80</v>
      </c>
      <c r="E69" s="97">
        <v>60672</v>
      </c>
      <c r="F69" s="97">
        <v>56</v>
      </c>
      <c r="G69" s="97">
        <v>42470.400000000001</v>
      </c>
      <c r="H69" s="97">
        <v>51</v>
      </c>
      <c r="I69" s="97">
        <v>38678.400000000001</v>
      </c>
      <c r="J69" s="97">
        <v>57</v>
      </c>
      <c r="K69" s="97">
        <v>43228.799999999996</v>
      </c>
      <c r="L69" s="97">
        <v>40</v>
      </c>
      <c r="M69" s="97">
        <v>30336</v>
      </c>
      <c r="N69" s="97">
        <v>46</v>
      </c>
      <c r="O69" s="97">
        <v>34886.400000000001</v>
      </c>
      <c r="P69" s="97">
        <v>47</v>
      </c>
      <c r="Q69" s="97">
        <v>35644.799999999996</v>
      </c>
      <c r="R69" s="97">
        <v>54</v>
      </c>
      <c r="S69" s="97">
        <v>40953.599999999999</v>
      </c>
      <c r="T69" s="97">
        <v>26</v>
      </c>
      <c r="U69" s="97">
        <v>19718.399999999998</v>
      </c>
      <c r="V69" s="97">
        <v>38</v>
      </c>
      <c r="W69" s="97">
        <v>28819.200000000001</v>
      </c>
      <c r="X69" s="97">
        <v>22</v>
      </c>
      <c r="Y69" s="97">
        <v>16684.8</v>
      </c>
      <c r="Z69" s="97">
        <v>22</v>
      </c>
      <c r="AA69" s="97">
        <v>16684.8</v>
      </c>
      <c r="AB69" s="97">
        <v>22</v>
      </c>
      <c r="AC69" s="97">
        <v>16684.8</v>
      </c>
      <c r="AD69" s="97">
        <v>15</v>
      </c>
      <c r="AE69" s="97">
        <v>11376</v>
      </c>
      <c r="AF69" s="97">
        <v>25</v>
      </c>
      <c r="AG69" s="97">
        <v>18960</v>
      </c>
      <c r="AH69" s="97">
        <v>24</v>
      </c>
      <c r="AI69" s="97">
        <v>18201.599999999999</v>
      </c>
      <c r="AJ69" s="97">
        <v>9</v>
      </c>
      <c r="AK69" s="97">
        <v>6825.5999999999995</v>
      </c>
      <c r="AL69" s="97">
        <v>15</v>
      </c>
      <c r="AM69" s="97">
        <v>11376</v>
      </c>
      <c r="AN69" s="97">
        <v>9</v>
      </c>
      <c r="AO69" s="97">
        <v>6825.5999999999995</v>
      </c>
      <c r="AP69" s="97">
        <v>13</v>
      </c>
      <c r="AQ69" s="97">
        <v>9859.1999999999989</v>
      </c>
      <c r="AR69" s="97">
        <v>9</v>
      </c>
      <c r="AS69" s="97">
        <v>6825.5999999999995</v>
      </c>
      <c r="AT69" s="97">
        <v>8</v>
      </c>
      <c r="AU69" s="97">
        <v>6067.2</v>
      </c>
      <c r="AV69" s="97">
        <v>11</v>
      </c>
      <c r="AW69" s="97">
        <v>8342.4</v>
      </c>
      <c r="AX69" s="97">
        <v>14</v>
      </c>
      <c r="AY69" s="97">
        <v>10617.6</v>
      </c>
      <c r="AZ69" s="97">
        <v>10</v>
      </c>
      <c r="BA69" s="97">
        <v>7584</v>
      </c>
      <c r="BB69" s="97">
        <v>10</v>
      </c>
      <c r="BC69" s="97">
        <v>7584</v>
      </c>
      <c r="BD69" s="97">
        <v>9</v>
      </c>
      <c r="BE69" s="97">
        <v>6825.5999999999995</v>
      </c>
      <c r="BF69" s="97">
        <v>10</v>
      </c>
      <c r="BG69" s="97">
        <v>7584</v>
      </c>
      <c r="BH69" s="97">
        <v>9</v>
      </c>
      <c r="BI69" s="97">
        <v>6825.5999999999995</v>
      </c>
      <c r="BJ69" s="97">
        <v>9</v>
      </c>
      <c r="BK69" s="97">
        <v>6825.5999999999995</v>
      </c>
      <c r="BL69" s="97">
        <v>5</v>
      </c>
      <c r="BM69" s="97">
        <v>3792</v>
      </c>
      <c r="BN69" s="97">
        <v>8</v>
      </c>
      <c r="BO69" s="97">
        <v>6067.2</v>
      </c>
      <c r="BP69" s="97">
        <v>8</v>
      </c>
      <c r="BQ69" s="97">
        <v>6067.2</v>
      </c>
      <c r="BR69" s="97">
        <v>5</v>
      </c>
      <c r="BS69" s="97">
        <v>3792</v>
      </c>
      <c r="BT69" s="97">
        <v>8</v>
      </c>
      <c r="BU69" s="97">
        <v>6067.2</v>
      </c>
      <c r="BV69" s="97">
        <v>7</v>
      </c>
      <c r="BW69" s="97">
        <v>5308.8</v>
      </c>
      <c r="BX69" s="97">
        <v>6</v>
      </c>
      <c r="BY69" s="97">
        <v>4550.3999999999996</v>
      </c>
      <c r="BZ69" s="97">
        <v>6</v>
      </c>
      <c r="CA69" s="97">
        <v>4550.3999999999996</v>
      </c>
      <c r="CB69" s="97">
        <v>5</v>
      </c>
      <c r="CC69" s="97">
        <v>3792</v>
      </c>
      <c r="CD69" s="97">
        <v>5</v>
      </c>
      <c r="CE69" s="97">
        <v>3792</v>
      </c>
      <c r="CF69" s="97">
        <v>4</v>
      </c>
      <c r="CG69" s="97">
        <v>3033.6</v>
      </c>
      <c r="CH69" s="97">
        <v>4</v>
      </c>
      <c r="CI69" s="97">
        <v>3033.6</v>
      </c>
      <c r="CJ69" s="97">
        <v>4</v>
      </c>
      <c r="CK69" s="97">
        <v>3033.6</v>
      </c>
      <c r="CL69" s="97">
        <v>5</v>
      </c>
      <c r="CM69" s="97">
        <v>3792</v>
      </c>
      <c r="CN69" s="97">
        <v>4</v>
      </c>
      <c r="CO69" s="97">
        <v>3033.6</v>
      </c>
      <c r="CP69" s="97">
        <v>2</v>
      </c>
      <c r="CQ69" s="97">
        <v>1516.8</v>
      </c>
      <c r="CR69" s="97">
        <v>4</v>
      </c>
      <c r="CS69" s="97">
        <v>3033.6</v>
      </c>
      <c r="CT69" s="97">
        <v>4</v>
      </c>
      <c r="CU69" s="97">
        <v>3033.6</v>
      </c>
    </row>
    <row r="70" spans="2:99" x14ac:dyDescent="0.15">
      <c r="C70" s="96" t="s">
        <v>235</v>
      </c>
      <c r="D70" s="97">
        <v>79</v>
      </c>
      <c r="E70" s="97">
        <v>42280.799999999996</v>
      </c>
      <c r="F70" s="97">
        <v>68</v>
      </c>
      <c r="G70" s="97">
        <v>36393.599999999999</v>
      </c>
      <c r="H70" s="97">
        <v>51</v>
      </c>
      <c r="I70" s="97">
        <v>27295.199999999997</v>
      </c>
      <c r="J70" s="97">
        <v>58</v>
      </c>
      <c r="K70" s="97">
        <v>31041.599999999995</v>
      </c>
      <c r="L70" s="97">
        <v>39</v>
      </c>
      <c r="M70" s="97">
        <v>20872.799999999996</v>
      </c>
      <c r="N70" s="97">
        <v>53</v>
      </c>
      <c r="O70" s="97">
        <v>28365.599999999995</v>
      </c>
      <c r="P70" s="97">
        <v>50</v>
      </c>
      <c r="Q70" s="97">
        <v>26759.999999999996</v>
      </c>
      <c r="R70" s="97">
        <v>59</v>
      </c>
      <c r="S70" s="97">
        <v>31576.799999999996</v>
      </c>
      <c r="T70" s="97">
        <v>26</v>
      </c>
      <c r="U70" s="97">
        <v>13915.199999999999</v>
      </c>
      <c r="V70" s="97">
        <v>42</v>
      </c>
      <c r="W70" s="97">
        <v>22478.399999999998</v>
      </c>
      <c r="X70" s="97">
        <v>22</v>
      </c>
      <c r="Y70" s="97">
        <v>11774.399999999998</v>
      </c>
      <c r="Z70" s="97">
        <v>23</v>
      </c>
      <c r="AA70" s="97">
        <v>12309.599999999999</v>
      </c>
      <c r="AB70" s="97">
        <v>24</v>
      </c>
      <c r="AC70" s="97">
        <v>12844.8</v>
      </c>
      <c r="AD70" s="97">
        <v>18</v>
      </c>
      <c r="AE70" s="97">
        <v>9633.5999999999985</v>
      </c>
      <c r="AF70" s="97">
        <v>28</v>
      </c>
      <c r="AG70" s="97">
        <v>14985.599999999999</v>
      </c>
      <c r="AH70" s="97">
        <v>22</v>
      </c>
      <c r="AI70" s="97">
        <v>11774.399999999998</v>
      </c>
      <c r="AJ70" s="97">
        <v>11</v>
      </c>
      <c r="AK70" s="97">
        <v>5887.1999999999989</v>
      </c>
      <c r="AL70" s="97">
        <v>14</v>
      </c>
      <c r="AM70" s="97">
        <v>7492.7999999999993</v>
      </c>
      <c r="AN70" s="97">
        <v>10</v>
      </c>
      <c r="AO70" s="97">
        <v>5351.9999999999991</v>
      </c>
      <c r="AP70" s="97">
        <v>13</v>
      </c>
      <c r="AQ70" s="97">
        <v>6957.5999999999995</v>
      </c>
      <c r="AR70" s="97">
        <v>9</v>
      </c>
      <c r="AS70" s="97">
        <v>4816.7999999999993</v>
      </c>
      <c r="AT70" s="97">
        <v>8</v>
      </c>
      <c r="AU70" s="97">
        <v>4281.5999999999995</v>
      </c>
      <c r="AV70" s="97">
        <v>11</v>
      </c>
      <c r="AW70" s="97">
        <v>5887.1999999999989</v>
      </c>
      <c r="AX70" s="97">
        <v>14</v>
      </c>
      <c r="AY70" s="97">
        <v>7492.7999999999993</v>
      </c>
      <c r="AZ70" s="97">
        <v>11</v>
      </c>
      <c r="BA70" s="97">
        <v>5887.1999999999989</v>
      </c>
      <c r="BB70" s="97">
        <v>10</v>
      </c>
      <c r="BC70" s="97">
        <v>5351.9999999999991</v>
      </c>
      <c r="BD70" s="97">
        <v>9</v>
      </c>
      <c r="BE70" s="97">
        <v>4816.7999999999993</v>
      </c>
      <c r="BF70" s="97">
        <v>9</v>
      </c>
      <c r="BG70" s="97">
        <v>4816.7999999999993</v>
      </c>
      <c r="BH70" s="97">
        <v>8</v>
      </c>
      <c r="BI70" s="97">
        <v>4281.5999999999995</v>
      </c>
      <c r="BJ70" s="97">
        <v>10</v>
      </c>
      <c r="BK70" s="97">
        <v>5351.9999999999991</v>
      </c>
      <c r="BL70" s="97">
        <v>6</v>
      </c>
      <c r="BM70" s="97">
        <v>3211.2</v>
      </c>
      <c r="BN70" s="97">
        <v>10</v>
      </c>
      <c r="BO70" s="97">
        <v>5351.9999999999991</v>
      </c>
      <c r="BP70" s="97">
        <v>7</v>
      </c>
      <c r="BQ70" s="97">
        <v>3746.3999999999996</v>
      </c>
      <c r="BR70" s="97">
        <v>5</v>
      </c>
      <c r="BS70" s="97">
        <v>2675.9999999999995</v>
      </c>
      <c r="BT70" s="97">
        <v>7</v>
      </c>
      <c r="BU70" s="97">
        <v>3746.3999999999996</v>
      </c>
      <c r="BV70" s="97">
        <v>8</v>
      </c>
      <c r="BW70" s="97">
        <v>4281.5999999999995</v>
      </c>
      <c r="BX70" s="97">
        <v>6</v>
      </c>
      <c r="BY70" s="97">
        <v>3211.2</v>
      </c>
      <c r="BZ70" s="97">
        <v>6</v>
      </c>
      <c r="CA70" s="97">
        <v>3211.2</v>
      </c>
      <c r="CB70" s="97">
        <v>5</v>
      </c>
      <c r="CC70" s="97">
        <v>2675.9999999999995</v>
      </c>
      <c r="CD70" s="97">
        <v>6</v>
      </c>
      <c r="CE70" s="97">
        <v>3211.2</v>
      </c>
      <c r="CF70" s="97">
        <v>4</v>
      </c>
      <c r="CG70" s="97">
        <v>2140.7999999999997</v>
      </c>
      <c r="CH70" s="97">
        <v>5</v>
      </c>
      <c r="CI70" s="97">
        <v>2675.9999999999995</v>
      </c>
      <c r="CJ70" s="97">
        <v>4</v>
      </c>
      <c r="CK70" s="97">
        <v>2140.7999999999997</v>
      </c>
      <c r="CL70" s="97">
        <v>5</v>
      </c>
      <c r="CM70" s="97">
        <v>2675.9999999999995</v>
      </c>
      <c r="CN70" s="97">
        <v>4</v>
      </c>
      <c r="CO70" s="97">
        <v>2140.7999999999997</v>
      </c>
      <c r="CP70" s="97">
        <v>2</v>
      </c>
      <c r="CQ70" s="97">
        <v>1070.3999999999999</v>
      </c>
      <c r="CR70" s="97">
        <v>4</v>
      </c>
      <c r="CS70" s="97">
        <v>2140.7999999999997</v>
      </c>
      <c r="CT70" s="97">
        <v>4</v>
      </c>
      <c r="CU70" s="97">
        <v>2140.7999999999997</v>
      </c>
    </row>
    <row r="71" spans="2:99" x14ac:dyDescent="0.15">
      <c r="B71" s="96" t="s">
        <v>130</v>
      </c>
      <c r="C71" s="96" t="s">
        <v>236</v>
      </c>
      <c r="D71" s="97">
        <v>45</v>
      </c>
      <c r="E71" s="97">
        <v>25380</v>
      </c>
      <c r="F71" s="97">
        <v>40</v>
      </c>
      <c r="G71" s="97">
        <v>22560</v>
      </c>
      <c r="H71" s="97">
        <v>50</v>
      </c>
      <c r="I71" s="97">
        <v>28200</v>
      </c>
      <c r="J71" s="97">
        <v>54</v>
      </c>
      <c r="K71" s="97">
        <v>30456</v>
      </c>
      <c r="L71" s="97">
        <v>43</v>
      </c>
      <c r="M71" s="97">
        <v>24252</v>
      </c>
      <c r="N71" s="97">
        <v>33</v>
      </c>
      <c r="O71" s="97">
        <v>18612</v>
      </c>
      <c r="P71" s="97">
        <v>31</v>
      </c>
      <c r="Q71" s="97">
        <v>17484</v>
      </c>
      <c r="R71" s="97">
        <v>29</v>
      </c>
      <c r="S71" s="97">
        <v>16356</v>
      </c>
      <c r="T71" s="97">
        <v>23</v>
      </c>
      <c r="U71" s="97">
        <v>12972</v>
      </c>
      <c r="V71" s="97">
        <v>24</v>
      </c>
      <c r="W71" s="97">
        <v>13536</v>
      </c>
      <c r="X71" s="97">
        <v>30</v>
      </c>
      <c r="Y71" s="97">
        <v>16920</v>
      </c>
      <c r="Z71" s="97">
        <v>17</v>
      </c>
      <c r="AA71" s="97">
        <v>9588</v>
      </c>
      <c r="AB71" s="97">
        <v>19</v>
      </c>
      <c r="AC71" s="97">
        <v>10716</v>
      </c>
      <c r="AD71" s="97">
        <v>18</v>
      </c>
      <c r="AE71" s="97">
        <v>10152</v>
      </c>
      <c r="AF71" s="97">
        <v>18</v>
      </c>
      <c r="AG71" s="97">
        <v>10152</v>
      </c>
      <c r="AH71" s="97">
        <v>14</v>
      </c>
      <c r="AI71" s="97">
        <v>7896</v>
      </c>
      <c r="AJ71" s="97">
        <v>9</v>
      </c>
      <c r="AK71" s="97">
        <v>5076</v>
      </c>
      <c r="AL71" s="97">
        <v>9</v>
      </c>
      <c r="AM71" s="97">
        <v>5076</v>
      </c>
      <c r="AN71" s="97">
        <v>9</v>
      </c>
      <c r="AO71" s="97">
        <v>5076</v>
      </c>
      <c r="AP71" s="97">
        <v>9</v>
      </c>
      <c r="AQ71" s="97">
        <v>5076</v>
      </c>
      <c r="AR71" s="97">
        <v>9</v>
      </c>
      <c r="AS71" s="97">
        <v>5076</v>
      </c>
      <c r="AT71" s="97">
        <v>7</v>
      </c>
      <c r="AU71" s="97">
        <v>3948</v>
      </c>
      <c r="AV71" s="97">
        <v>7</v>
      </c>
      <c r="AW71" s="97">
        <v>3948</v>
      </c>
      <c r="AX71" s="97">
        <v>10</v>
      </c>
      <c r="AY71" s="97">
        <v>5640</v>
      </c>
      <c r="AZ71" s="97">
        <v>8</v>
      </c>
      <c r="BA71" s="97">
        <v>4512</v>
      </c>
      <c r="BB71" s="97">
        <v>5</v>
      </c>
      <c r="BC71" s="97">
        <v>2820</v>
      </c>
      <c r="BD71" s="97">
        <v>7</v>
      </c>
      <c r="BE71" s="97">
        <v>3948</v>
      </c>
      <c r="BF71" s="97">
        <v>7</v>
      </c>
      <c r="BG71" s="97">
        <v>3948</v>
      </c>
      <c r="BH71" s="97">
        <v>5</v>
      </c>
      <c r="BI71" s="97">
        <v>2820</v>
      </c>
      <c r="BJ71" s="97">
        <v>6</v>
      </c>
      <c r="BK71" s="97">
        <v>3384</v>
      </c>
      <c r="BL71" s="97">
        <v>5</v>
      </c>
      <c r="BM71" s="97">
        <v>2820</v>
      </c>
      <c r="BN71" s="97">
        <v>6</v>
      </c>
      <c r="BO71" s="97">
        <v>3384</v>
      </c>
      <c r="BP71" s="97">
        <v>5</v>
      </c>
      <c r="BQ71" s="97">
        <v>2820</v>
      </c>
      <c r="BR71" s="97">
        <v>3</v>
      </c>
      <c r="BS71" s="97">
        <v>1692</v>
      </c>
      <c r="BT71" s="97">
        <v>5</v>
      </c>
      <c r="BU71" s="97">
        <v>2820</v>
      </c>
      <c r="BV71" s="97">
        <v>6</v>
      </c>
      <c r="BW71" s="97">
        <v>3384</v>
      </c>
      <c r="BX71" s="97">
        <v>5</v>
      </c>
      <c r="BY71" s="97">
        <v>2820</v>
      </c>
      <c r="BZ71" s="97">
        <v>4</v>
      </c>
      <c r="CA71" s="97">
        <v>2256</v>
      </c>
      <c r="CB71" s="97">
        <v>3</v>
      </c>
      <c r="CC71" s="97">
        <v>1692</v>
      </c>
      <c r="CD71" s="97">
        <v>3</v>
      </c>
      <c r="CE71" s="97">
        <v>1692</v>
      </c>
      <c r="CF71" s="97">
        <v>3</v>
      </c>
      <c r="CG71" s="97">
        <v>1692</v>
      </c>
      <c r="CH71" s="97">
        <v>4</v>
      </c>
      <c r="CI71" s="97">
        <v>2256</v>
      </c>
      <c r="CJ71" s="97">
        <v>4</v>
      </c>
      <c r="CK71" s="97">
        <v>2256</v>
      </c>
      <c r="CL71" s="97">
        <v>3</v>
      </c>
      <c r="CM71" s="97">
        <v>1692</v>
      </c>
      <c r="CN71" s="97">
        <v>4</v>
      </c>
      <c r="CO71" s="97">
        <v>2256</v>
      </c>
      <c r="CP71" s="97">
        <v>2</v>
      </c>
      <c r="CQ71" s="97">
        <v>1128</v>
      </c>
      <c r="CR71" s="97">
        <v>2</v>
      </c>
      <c r="CS71" s="97">
        <v>1128</v>
      </c>
      <c r="CT71" s="97">
        <v>4</v>
      </c>
      <c r="CU71" s="97">
        <v>2256</v>
      </c>
    </row>
    <row r="72" spans="2:99" x14ac:dyDescent="0.15">
      <c r="C72" s="96" t="s">
        <v>237</v>
      </c>
      <c r="D72" s="97">
        <v>50</v>
      </c>
      <c r="E72" s="97">
        <v>3719.9999999999995</v>
      </c>
      <c r="F72" s="97">
        <v>51</v>
      </c>
      <c r="G72" s="97">
        <v>3794.3999999999996</v>
      </c>
      <c r="H72" s="97">
        <v>53</v>
      </c>
      <c r="I72" s="97">
        <v>3943.1999999999994</v>
      </c>
      <c r="J72" s="97">
        <v>68</v>
      </c>
      <c r="K72" s="97">
        <v>5059.2</v>
      </c>
      <c r="L72" s="97">
        <v>41</v>
      </c>
      <c r="M72" s="97">
        <v>3050.3999999999996</v>
      </c>
      <c r="N72" s="97">
        <v>34</v>
      </c>
      <c r="O72" s="97">
        <v>2529.6</v>
      </c>
      <c r="P72" s="97">
        <v>31</v>
      </c>
      <c r="Q72" s="97">
        <v>2306.3999999999996</v>
      </c>
      <c r="R72" s="97">
        <v>37</v>
      </c>
      <c r="S72" s="97">
        <v>2752.7999999999997</v>
      </c>
      <c r="T72" s="97">
        <v>25</v>
      </c>
      <c r="U72" s="97">
        <v>1859.9999999999998</v>
      </c>
      <c r="V72" s="97">
        <v>25</v>
      </c>
      <c r="W72" s="97">
        <v>1859.9999999999998</v>
      </c>
      <c r="X72" s="97">
        <v>29</v>
      </c>
      <c r="Y72" s="97">
        <v>2157.6</v>
      </c>
      <c r="Z72" s="97">
        <v>21</v>
      </c>
      <c r="AA72" s="97">
        <v>1562.3999999999999</v>
      </c>
      <c r="AB72" s="97">
        <v>19</v>
      </c>
      <c r="AC72" s="97">
        <v>1413.6</v>
      </c>
      <c r="AD72" s="97">
        <v>19</v>
      </c>
      <c r="AE72" s="97">
        <v>1413.6</v>
      </c>
      <c r="AF72" s="97">
        <v>19</v>
      </c>
      <c r="AG72" s="97">
        <v>1413.6</v>
      </c>
      <c r="AH72" s="97">
        <v>13</v>
      </c>
      <c r="AI72" s="97">
        <v>967.19999999999993</v>
      </c>
      <c r="AJ72" s="97">
        <v>9</v>
      </c>
      <c r="AK72" s="97">
        <v>669.59999999999991</v>
      </c>
      <c r="AL72" s="97">
        <v>11</v>
      </c>
      <c r="AM72" s="97">
        <v>818.39999999999986</v>
      </c>
      <c r="AN72" s="97">
        <v>10</v>
      </c>
      <c r="AO72" s="97">
        <v>743.99999999999989</v>
      </c>
      <c r="AP72" s="97">
        <v>8</v>
      </c>
      <c r="AQ72" s="97">
        <v>595.19999999999993</v>
      </c>
      <c r="AR72" s="97">
        <v>8</v>
      </c>
      <c r="AS72" s="97">
        <v>595.19999999999993</v>
      </c>
      <c r="AT72" s="97">
        <v>6</v>
      </c>
      <c r="AU72" s="97">
        <v>446.4</v>
      </c>
      <c r="AV72" s="97">
        <v>7</v>
      </c>
      <c r="AW72" s="97">
        <v>520.79999999999995</v>
      </c>
      <c r="AX72" s="97">
        <v>12</v>
      </c>
      <c r="AY72" s="97">
        <v>892.8</v>
      </c>
      <c r="AZ72" s="97">
        <v>9</v>
      </c>
      <c r="BA72" s="97">
        <v>669.59999999999991</v>
      </c>
      <c r="BB72" s="97">
        <v>5</v>
      </c>
      <c r="BC72" s="97">
        <v>371.99999999999994</v>
      </c>
      <c r="BD72" s="97">
        <v>7</v>
      </c>
      <c r="BE72" s="97">
        <v>520.79999999999995</v>
      </c>
      <c r="BF72" s="97">
        <v>7</v>
      </c>
      <c r="BG72" s="97">
        <v>520.79999999999995</v>
      </c>
      <c r="BH72" s="97">
        <v>5</v>
      </c>
      <c r="BI72" s="97">
        <v>371.99999999999994</v>
      </c>
      <c r="BJ72" s="97">
        <v>7</v>
      </c>
      <c r="BK72" s="97">
        <v>520.79999999999995</v>
      </c>
      <c r="BL72" s="97">
        <v>5</v>
      </c>
      <c r="BM72" s="97">
        <v>371.99999999999994</v>
      </c>
      <c r="BN72" s="97">
        <v>6</v>
      </c>
      <c r="BO72" s="97">
        <v>446.4</v>
      </c>
      <c r="BP72" s="97">
        <v>4</v>
      </c>
      <c r="BQ72" s="97">
        <v>297.59999999999997</v>
      </c>
      <c r="BR72" s="97">
        <v>4</v>
      </c>
      <c r="BS72" s="97">
        <v>297.59999999999997</v>
      </c>
      <c r="BT72" s="97">
        <v>6</v>
      </c>
      <c r="BU72" s="97">
        <v>446.4</v>
      </c>
      <c r="BV72" s="97">
        <v>7</v>
      </c>
      <c r="BW72" s="97">
        <v>520.79999999999995</v>
      </c>
      <c r="BX72" s="97">
        <v>6</v>
      </c>
      <c r="BY72" s="97">
        <v>446.4</v>
      </c>
      <c r="BZ72" s="97">
        <v>5</v>
      </c>
      <c r="CA72" s="97">
        <v>371.99999999999994</v>
      </c>
      <c r="CB72" s="97">
        <v>3</v>
      </c>
      <c r="CC72" s="97">
        <v>223.2</v>
      </c>
      <c r="CD72" s="97">
        <v>3</v>
      </c>
      <c r="CE72" s="97">
        <v>223.2</v>
      </c>
      <c r="CF72" s="97">
        <v>3</v>
      </c>
      <c r="CG72" s="97">
        <v>223.2</v>
      </c>
      <c r="CH72" s="97">
        <v>4</v>
      </c>
      <c r="CI72" s="97">
        <v>297.59999999999997</v>
      </c>
      <c r="CJ72" s="97">
        <v>4</v>
      </c>
      <c r="CK72" s="97">
        <v>297.59999999999997</v>
      </c>
      <c r="CL72" s="97">
        <v>4</v>
      </c>
      <c r="CM72" s="97">
        <v>297.59999999999997</v>
      </c>
      <c r="CN72" s="97">
        <v>3</v>
      </c>
      <c r="CO72" s="97">
        <v>223.2</v>
      </c>
      <c r="CP72" s="97">
        <v>2</v>
      </c>
      <c r="CQ72" s="97">
        <v>148.79999999999998</v>
      </c>
      <c r="CR72" s="97">
        <v>3</v>
      </c>
      <c r="CS72" s="97">
        <v>223.2</v>
      </c>
      <c r="CT72" s="97">
        <v>3</v>
      </c>
      <c r="CU72" s="97">
        <v>223.2</v>
      </c>
    </row>
    <row r="73" spans="2:99" x14ac:dyDescent="0.15">
      <c r="C73" s="96" t="s">
        <v>238</v>
      </c>
      <c r="D73" s="97">
        <v>53</v>
      </c>
      <c r="E73" s="97">
        <v>29637.599999999995</v>
      </c>
      <c r="F73" s="97">
        <v>45</v>
      </c>
      <c r="G73" s="97">
        <v>25163.999999999996</v>
      </c>
      <c r="H73" s="97">
        <v>42</v>
      </c>
      <c r="I73" s="97">
        <v>23486.399999999998</v>
      </c>
      <c r="J73" s="97">
        <v>61</v>
      </c>
      <c r="K73" s="97">
        <v>34111.199999999997</v>
      </c>
      <c r="L73" s="97">
        <v>36</v>
      </c>
      <c r="M73" s="97">
        <v>20131.199999999997</v>
      </c>
      <c r="N73" s="97">
        <v>36</v>
      </c>
      <c r="O73" s="97">
        <v>20131.199999999997</v>
      </c>
      <c r="P73" s="97">
        <v>27</v>
      </c>
      <c r="Q73" s="97">
        <v>15098.399999999998</v>
      </c>
      <c r="R73" s="97">
        <v>33</v>
      </c>
      <c r="S73" s="97">
        <v>18453.599999999999</v>
      </c>
      <c r="T73" s="97">
        <v>24</v>
      </c>
      <c r="U73" s="97">
        <v>13420.8</v>
      </c>
      <c r="V73" s="97">
        <v>24</v>
      </c>
      <c r="W73" s="97">
        <v>13420.8</v>
      </c>
      <c r="X73" s="97">
        <v>27</v>
      </c>
      <c r="Y73" s="97">
        <v>15098.399999999998</v>
      </c>
      <c r="Z73" s="97">
        <v>18</v>
      </c>
      <c r="AA73" s="97">
        <v>10065.599999999999</v>
      </c>
      <c r="AB73" s="97">
        <v>21</v>
      </c>
      <c r="AC73" s="97">
        <v>11743.199999999999</v>
      </c>
      <c r="AD73" s="97">
        <v>18</v>
      </c>
      <c r="AE73" s="97">
        <v>10065.599999999999</v>
      </c>
      <c r="AF73" s="97">
        <v>18</v>
      </c>
      <c r="AG73" s="97">
        <v>10065.599999999999</v>
      </c>
      <c r="AH73" s="97">
        <v>13</v>
      </c>
      <c r="AI73" s="97">
        <v>7269.5999999999995</v>
      </c>
      <c r="AJ73" s="97">
        <v>9</v>
      </c>
      <c r="AK73" s="97">
        <v>5032.7999999999993</v>
      </c>
      <c r="AL73" s="97">
        <v>11</v>
      </c>
      <c r="AM73" s="97">
        <v>6151.1999999999989</v>
      </c>
      <c r="AN73" s="97">
        <v>9</v>
      </c>
      <c r="AO73" s="97">
        <v>5032.7999999999993</v>
      </c>
      <c r="AP73" s="97">
        <v>8</v>
      </c>
      <c r="AQ73" s="97">
        <v>4473.5999999999995</v>
      </c>
      <c r="AR73" s="97">
        <v>8</v>
      </c>
      <c r="AS73" s="97">
        <v>4473.5999999999995</v>
      </c>
      <c r="AT73" s="97">
        <v>7</v>
      </c>
      <c r="AU73" s="97">
        <v>3914.3999999999996</v>
      </c>
      <c r="AV73" s="97">
        <v>7</v>
      </c>
      <c r="AW73" s="97">
        <v>3914.3999999999996</v>
      </c>
      <c r="AX73" s="97">
        <v>11</v>
      </c>
      <c r="AY73" s="97">
        <v>6151.1999999999989</v>
      </c>
      <c r="AZ73" s="97">
        <v>8</v>
      </c>
      <c r="BA73" s="97">
        <v>4473.5999999999995</v>
      </c>
      <c r="BB73" s="97">
        <v>4</v>
      </c>
      <c r="BC73" s="97">
        <v>2236.7999999999997</v>
      </c>
      <c r="BD73" s="97">
        <v>7</v>
      </c>
      <c r="BE73" s="97">
        <v>3914.3999999999996</v>
      </c>
      <c r="BF73" s="97">
        <v>7</v>
      </c>
      <c r="BG73" s="97">
        <v>3914.3999999999996</v>
      </c>
      <c r="BH73" s="97">
        <v>5</v>
      </c>
      <c r="BI73" s="97">
        <v>2795.9999999999995</v>
      </c>
      <c r="BJ73" s="97">
        <v>7</v>
      </c>
      <c r="BK73" s="97">
        <v>3914.3999999999996</v>
      </c>
      <c r="BL73" s="97">
        <v>5</v>
      </c>
      <c r="BM73" s="97">
        <v>2795.9999999999995</v>
      </c>
      <c r="BN73" s="97">
        <v>5</v>
      </c>
      <c r="BO73" s="97">
        <v>2795.9999999999995</v>
      </c>
      <c r="BP73" s="97">
        <v>5</v>
      </c>
      <c r="BQ73" s="97">
        <v>2795.9999999999995</v>
      </c>
      <c r="BR73" s="97">
        <v>4</v>
      </c>
      <c r="BS73" s="97">
        <v>2236.7999999999997</v>
      </c>
      <c r="BT73" s="97">
        <v>6</v>
      </c>
      <c r="BU73" s="97">
        <v>3355.2</v>
      </c>
      <c r="BV73" s="97">
        <v>6</v>
      </c>
      <c r="BW73" s="97">
        <v>3355.2</v>
      </c>
      <c r="BX73" s="97">
        <v>5</v>
      </c>
      <c r="BY73" s="97">
        <v>2795.9999999999995</v>
      </c>
      <c r="BZ73" s="97">
        <v>5</v>
      </c>
      <c r="CA73" s="97">
        <v>2795.9999999999995</v>
      </c>
      <c r="CB73" s="97">
        <v>3</v>
      </c>
      <c r="CC73" s="97">
        <v>1677.6</v>
      </c>
      <c r="CD73" s="97">
        <v>4</v>
      </c>
      <c r="CE73" s="97">
        <v>2236.7999999999997</v>
      </c>
      <c r="CF73" s="97">
        <v>3</v>
      </c>
      <c r="CG73" s="97">
        <v>1677.6</v>
      </c>
      <c r="CH73" s="97">
        <v>4</v>
      </c>
      <c r="CI73" s="97">
        <v>2236.7999999999997</v>
      </c>
      <c r="CJ73" s="97">
        <v>4</v>
      </c>
      <c r="CK73" s="97">
        <v>2236.7999999999997</v>
      </c>
      <c r="CL73" s="97">
        <v>4</v>
      </c>
      <c r="CM73" s="97">
        <v>2236.7999999999997</v>
      </c>
      <c r="CN73" s="97">
        <v>3</v>
      </c>
      <c r="CO73" s="97">
        <v>1677.6</v>
      </c>
      <c r="CP73" s="97">
        <v>2</v>
      </c>
      <c r="CQ73" s="97">
        <v>1118.3999999999999</v>
      </c>
      <c r="CR73" s="97">
        <v>3</v>
      </c>
      <c r="CS73" s="97">
        <v>1677.6</v>
      </c>
      <c r="CT73" s="97">
        <v>4</v>
      </c>
      <c r="CU73" s="97">
        <v>2236.7999999999997</v>
      </c>
    </row>
    <row r="74" spans="2:99" x14ac:dyDescent="0.15">
      <c r="C74" s="96" t="s">
        <v>239</v>
      </c>
      <c r="D74" s="97">
        <v>51</v>
      </c>
      <c r="E74" s="97">
        <v>20563.2</v>
      </c>
      <c r="F74" s="97">
        <v>43</v>
      </c>
      <c r="G74" s="97">
        <v>17337.599999999999</v>
      </c>
      <c r="H74" s="97">
        <v>51</v>
      </c>
      <c r="I74" s="97">
        <v>20563.2</v>
      </c>
      <c r="J74" s="97">
        <v>64</v>
      </c>
      <c r="K74" s="97">
        <v>25804.799999999999</v>
      </c>
      <c r="L74" s="97">
        <v>43</v>
      </c>
      <c r="M74" s="97">
        <v>17337.599999999999</v>
      </c>
      <c r="N74" s="97">
        <v>33</v>
      </c>
      <c r="O74" s="97">
        <v>13305.6</v>
      </c>
      <c r="P74" s="97">
        <v>31</v>
      </c>
      <c r="Q74" s="97">
        <v>12499.199999999999</v>
      </c>
      <c r="R74" s="97">
        <v>35</v>
      </c>
      <c r="S74" s="97">
        <v>14112</v>
      </c>
      <c r="T74" s="97">
        <v>28</v>
      </c>
      <c r="U74" s="97">
        <v>11289.6</v>
      </c>
      <c r="V74" s="97">
        <v>27</v>
      </c>
      <c r="W74" s="97">
        <v>10886.4</v>
      </c>
      <c r="X74" s="97">
        <v>26</v>
      </c>
      <c r="Y74" s="97">
        <v>10483.199999999999</v>
      </c>
      <c r="Z74" s="97">
        <v>20</v>
      </c>
      <c r="AA74" s="97">
        <v>8064</v>
      </c>
      <c r="AB74" s="97">
        <v>21</v>
      </c>
      <c r="AC74" s="97">
        <v>8467.1999999999989</v>
      </c>
      <c r="AD74" s="97">
        <v>19</v>
      </c>
      <c r="AE74" s="97">
        <v>7660.8</v>
      </c>
      <c r="AF74" s="97">
        <v>18</v>
      </c>
      <c r="AG74" s="97">
        <v>7257.5999999999995</v>
      </c>
      <c r="AH74" s="97">
        <v>13</v>
      </c>
      <c r="AI74" s="97">
        <v>5241.5999999999995</v>
      </c>
      <c r="AJ74" s="97">
        <v>10</v>
      </c>
      <c r="AK74" s="97">
        <v>4032</v>
      </c>
      <c r="AL74" s="97">
        <v>10</v>
      </c>
      <c r="AM74" s="97">
        <v>4032</v>
      </c>
      <c r="AN74" s="97">
        <v>9</v>
      </c>
      <c r="AO74" s="97">
        <v>3628.7999999999997</v>
      </c>
      <c r="AP74" s="97">
        <v>8</v>
      </c>
      <c r="AQ74" s="97">
        <v>3225.6</v>
      </c>
      <c r="AR74" s="97">
        <v>9</v>
      </c>
      <c r="AS74" s="97">
        <v>3628.7999999999997</v>
      </c>
      <c r="AT74" s="97">
        <v>7</v>
      </c>
      <c r="AU74" s="97">
        <v>2822.4</v>
      </c>
      <c r="AV74" s="97">
        <v>8</v>
      </c>
      <c r="AW74" s="97">
        <v>3225.6</v>
      </c>
      <c r="AX74" s="97">
        <v>10</v>
      </c>
      <c r="AY74" s="97">
        <v>4032</v>
      </c>
      <c r="AZ74" s="97">
        <v>8</v>
      </c>
      <c r="BA74" s="97">
        <v>3225.6</v>
      </c>
      <c r="BB74" s="97">
        <v>5</v>
      </c>
      <c r="BC74" s="97">
        <v>2016</v>
      </c>
      <c r="BD74" s="97">
        <v>6</v>
      </c>
      <c r="BE74" s="97">
        <v>2419.1999999999998</v>
      </c>
      <c r="BF74" s="97">
        <v>6</v>
      </c>
      <c r="BG74" s="97">
        <v>2419.1999999999998</v>
      </c>
      <c r="BH74" s="97">
        <v>5</v>
      </c>
      <c r="BI74" s="97">
        <v>2016</v>
      </c>
      <c r="BJ74" s="97">
        <v>6</v>
      </c>
      <c r="BK74" s="97">
        <v>2419.1999999999998</v>
      </c>
      <c r="BL74" s="97">
        <v>5</v>
      </c>
      <c r="BM74" s="97">
        <v>2016</v>
      </c>
      <c r="BN74" s="97">
        <v>6</v>
      </c>
      <c r="BO74" s="97">
        <v>2419.1999999999998</v>
      </c>
      <c r="BP74" s="97">
        <v>4</v>
      </c>
      <c r="BQ74" s="97">
        <v>1612.8</v>
      </c>
      <c r="BR74" s="97">
        <v>3</v>
      </c>
      <c r="BS74" s="97">
        <v>1209.5999999999999</v>
      </c>
      <c r="BT74" s="97">
        <v>5</v>
      </c>
      <c r="BU74" s="97">
        <v>2016</v>
      </c>
      <c r="BV74" s="97">
        <v>7</v>
      </c>
      <c r="BW74" s="97">
        <v>2822.4</v>
      </c>
      <c r="BX74" s="97">
        <v>5</v>
      </c>
      <c r="BY74" s="97">
        <v>2016</v>
      </c>
      <c r="BZ74" s="97">
        <v>5</v>
      </c>
      <c r="CA74" s="97">
        <v>2016</v>
      </c>
      <c r="CB74" s="97">
        <v>3</v>
      </c>
      <c r="CC74" s="97">
        <v>1209.5999999999999</v>
      </c>
      <c r="CD74" s="97">
        <v>3</v>
      </c>
      <c r="CE74" s="97">
        <v>1209.5999999999999</v>
      </c>
      <c r="CF74" s="97">
        <v>3</v>
      </c>
      <c r="CG74" s="97">
        <v>1209.5999999999999</v>
      </c>
      <c r="CH74" s="97">
        <v>4</v>
      </c>
      <c r="CI74" s="97">
        <v>1612.8</v>
      </c>
      <c r="CJ74" s="97">
        <v>3</v>
      </c>
      <c r="CK74" s="97">
        <v>1209.5999999999999</v>
      </c>
      <c r="CL74" s="97">
        <v>4</v>
      </c>
      <c r="CM74" s="97">
        <v>1612.8</v>
      </c>
      <c r="CN74" s="97">
        <v>3</v>
      </c>
      <c r="CO74" s="97">
        <v>1209.5999999999999</v>
      </c>
      <c r="CP74" s="97">
        <v>2</v>
      </c>
      <c r="CQ74" s="97">
        <v>806.4</v>
      </c>
      <c r="CR74" s="97">
        <v>3</v>
      </c>
      <c r="CS74" s="97">
        <v>1209.5999999999999</v>
      </c>
      <c r="CT74" s="97">
        <v>3</v>
      </c>
      <c r="CU74" s="97">
        <v>1209.5999999999999</v>
      </c>
    </row>
    <row r="75" spans="2:99" x14ac:dyDescent="0.15">
      <c r="C75" s="96" t="s">
        <v>240</v>
      </c>
      <c r="D75" s="97">
        <v>46</v>
      </c>
      <c r="E75" s="97">
        <v>29587.199999999997</v>
      </c>
      <c r="F75" s="97">
        <v>38</v>
      </c>
      <c r="G75" s="97">
        <v>24441.599999999999</v>
      </c>
      <c r="H75" s="97">
        <v>43</v>
      </c>
      <c r="I75" s="97">
        <v>27657.599999999999</v>
      </c>
      <c r="J75" s="97">
        <v>58</v>
      </c>
      <c r="K75" s="97">
        <v>37305.599999999999</v>
      </c>
      <c r="L75" s="97">
        <v>37</v>
      </c>
      <c r="M75" s="97">
        <v>23798.399999999998</v>
      </c>
      <c r="N75" s="97">
        <v>31</v>
      </c>
      <c r="O75" s="97">
        <v>19939.199999999997</v>
      </c>
      <c r="P75" s="97">
        <v>31</v>
      </c>
      <c r="Q75" s="97">
        <v>19939.199999999997</v>
      </c>
      <c r="R75" s="97">
        <v>34</v>
      </c>
      <c r="S75" s="97">
        <v>21868.799999999999</v>
      </c>
      <c r="T75" s="97">
        <v>25</v>
      </c>
      <c r="U75" s="97">
        <v>16079.999999999998</v>
      </c>
      <c r="V75" s="97">
        <v>25</v>
      </c>
      <c r="W75" s="97">
        <v>16079.999999999998</v>
      </c>
      <c r="X75" s="97">
        <v>27</v>
      </c>
      <c r="Y75" s="97">
        <v>17366.399999999998</v>
      </c>
      <c r="Z75" s="97">
        <v>18</v>
      </c>
      <c r="AA75" s="97">
        <v>11577.599999999999</v>
      </c>
      <c r="AB75" s="97">
        <v>21</v>
      </c>
      <c r="AC75" s="97">
        <v>13507.199999999999</v>
      </c>
      <c r="AD75" s="97">
        <v>17</v>
      </c>
      <c r="AE75" s="97">
        <v>10934.4</v>
      </c>
      <c r="AF75" s="97">
        <v>18</v>
      </c>
      <c r="AG75" s="97">
        <v>11577.599999999999</v>
      </c>
      <c r="AH75" s="97">
        <v>13</v>
      </c>
      <c r="AI75" s="97">
        <v>8361.5999999999985</v>
      </c>
      <c r="AJ75" s="97">
        <v>9</v>
      </c>
      <c r="AK75" s="97">
        <v>5788.7999999999993</v>
      </c>
      <c r="AL75" s="97">
        <v>11</v>
      </c>
      <c r="AM75" s="97">
        <v>7075.1999999999989</v>
      </c>
      <c r="AN75" s="97">
        <v>9</v>
      </c>
      <c r="AO75" s="97">
        <v>5788.7999999999993</v>
      </c>
      <c r="AP75" s="97">
        <v>8</v>
      </c>
      <c r="AQ75" s="97">
        <v>5145.5999999999995</v>
      </c>
      <c r="AR75" s="97">
        <v>8</v>
      </c>
      <c r="AS75" s="97">
        <v>5145.5999999999995</v>
      </c>
      <c r="AT75" s="97">
        <v>7</v>
      </c>
      <c r="AU75" s="97">
        <v>4502.3999999999996</v>
      </c>
      <c r="AV75" s="97">
        <v>8</v>
      </c>
      <c r="AW75" s="97">
        <v>5145.5999999999995</v>
      </c>
      <c r="AX75" s="97">
        <v>10</v>
      </c>
      <c r="AY75" s="97">
        <v>6431.9999999999991</v>
      </c>
      <c r="AZ75" s="97">
        <v>8</v>
      </c>
      <c r="BA75" s="97">
        <v>5145.5999999999995</v>
      </c>
      <c r="BB75" s="97">
        <v>5</v>
      </c>
      <c r="BC75" s="97">
        <v>3215.9999999999995</v>
      </c>
      <c r="BD75" s="97">
        <v>6</v>
      </c>
      <c r="BE75" s="97">
        <v>3859.2</v>
      </c>
      <c r="BF75" s="97">
        <v>6</v>
      </c>
      <c r="BG75" s="97">
        <v>3859.2</v>
      </c>
      <c r="BH75" s="97">
        <v>5</v>
      </c>
      <c r="BI75" s="97">
        <v>3215.9999999999995</v>
      </c>
      <c r="BJ75" s="97">
        <v>6</v>
      </c>
      <c r="BK75" s="97">
        <v>3859.2</v>
      </c>
      <c r="BL75" s="97">
        <v>6</v>
      </c>
      <c r="BM75" s="97">
        <v>3859.2</v>
      </c>
      <c r="BN75" s="97">
        <v>5</v>
      </c>
      <c r="BO75" s="97">
        <v>3215.9999999999995</v>
      </c>
      <c r="BP75" s="97">
        <v>5</v>
      </c>
      <c r="BQ75" s="97">
        <v>3215.9999999999995</v>
      </c>
      <c r="BR75" s="97">
        <v>3</v>
      </c>
      <c r="BS75" s="97">
        <v>1929.6</v>
      </c>
      <c r="BT75" s="97">
        <v>6</v>
      </c>
      <c r="BU75" s="97">
        <v>3859.2</v>
      </c>
      <c r="BV75" s="97">
        <v>6</v>
      </c>
      <c r="BW75" s="97">
        <v>3859.2</v>
      </c>
      <c r="BX75" s="97">
        <v>5</v>
      </c>
      <c r="BY75" s="97">
        <v>3215.9999999999995</v>
      </c>
      <c r="BZ75" s="97">
        <v>5</v>
      </c>
      <c r="CA75" s="97">
        <v>3215.9999999999995</v>
      </c>
      <c r="CB75" s="97">
        <v>2</v>
      </c>
      <c r="CC75" s="97">
        <v>1286.3999999999999</v>
      </c>
      <c r="CD75" s="97">
        <v>4</v>
      </c>
      <c r="CE75" s="97">
        <v>2572.7999999999997</v>
      </c>
      <c r="CF75" s="97">
        <v>3</v>
      </c>
      <c r="CG75" s="97">
        <v>1929.6</v>
      </c>
      <c r="CH75" s="97">
        <v>3</v>
      </c>
      <c r="CI75" s="97">
        <v>1929.6</v>
      </c>
      <c r="CJ75" s="97">
        <v>3</v>
      </c>
      <c r="CK75" s="97">
        <v>1929.6</v>
      </c>
      <c r="CL75" s="97">
        <v>3</v>
      </c>
      <c r="CM75" s="97">
        <v>1929.6</v>
      </c>
      <c r="CN75" s="97">
        <v>3</v>
      </c>
      <c r="CO75" s="97">
        <v>1929.6</v>
      </c>
      <c r="CP75" s="97">
        <v>2</v>
      </c>
      <c r="CQ75" s="97">
        <v>1286.3999999999999</v>
      </c>
      <c r="CR75" s="97">
        <v>3</v>
      </c>
      <c r="CS75" s="97">
        <v>1929.6</v>
      </c>
      <c r="CT75" s="97">
        <v>3</v>
      </c>
      <c r="CU75" s="97">
        <v>1929.6</v>
      </c>
    </row>
    <row r="76" spans="2:99" x14ac:dyDescent="0.15">
      <c r="C76" s="96" t="s">
        <v>241</v>
      </c>
      <c r="D76" s="97">
        <v>44</v>
      </c>
      <c r="E76" s="97">
        <v>34267.199999999997</v>
      </c>
      <c r="F76" s="97">
        <v>36</v>
      </c>
      <c r="G76" s="97">
        <v>28036.799999999999</v>
      </c>
      <c r="H76" s="97">
        <v>47</v>
      </c>
      <c r="I76" s="97">
        <v>36603.599999999999</v>
      </c>
      <c r="J76" s="97">
        <v>59</v>
      </c>
      <c r="K76" s="97">
        <v>45949.2</v>
      </c>
      <c r="L76" s="97">
        <v>35</v>
      </c>
      <c r="M76" s="97">
        <v>27258</v>
      </c>
      <c r="N76" s="97">
        <v>35</v>
      </c>
      <c r="O76" s="97">
        <v>27258</v>
      </c>
      <c r="P76" s="97">
        <v>25</v>
      </c>
      <c r="Q76" s="97">
        <v>19470</v>
      </c>
      <c r="R76" s="97">
        <v>33</v>
      </c>
      <c r="S76" s="97">
        <v>25700.399999999998</v>
      </c>
      <c r="T76" s="97">
        <v>23</v>
      </c>
      <c r="U76" s="97">
        <v>17912.399999999998</v>
      </c>
      <c r="V76" s="97">
        <v>26</v>
      </c>
      <c r="W76" s="97">
        <v>20248.8</v>
      </c>
      <c r="X76" s="97">
        <v>26</v>
      </c>
      <c r="Y76" s="97">
        <v>20248.8</v>
      </c>
      <c r="Z76" s="97">
        <v>17</v>
      </c>
      <c r="AA76" s="97">
        <v>13239.599999999999</v>
      </c>
      <c r="AB76" s="97">
        <v>17</v>
      </c>
      <c r="AC76" s="97">
        <v>13239.599999999999</v>
      </c>
      <c r="AD76" s="97">
        <v>20</v>
      </c>
      <c r="AE76" s="97">
        <v>15576</v>
      </c>
      <c r="AF76" s="97">
        <v>20</v>
      </c>
      <c r="AG76" s="97">
        <v>15576</v>
      </c>
      <c r="AH76" s="97">
        <v>12</v>
      </c>
      <c r="AI76" s="97">
        <v>9345.5999999999985</v>
      </c>
      <c r="AJ76" s="97">
        <v>8</v>
      </c>
      <c r="AK76" s="97">
        <v>6230.4</v>
      </c>
      <c r="AL76" s="97">
        <v>10</v>
      </c>
      <c r="AM76" s="97">
        <v>7788</v>
      </c>
      <c r="AN76" s="97">
        <v>9</v>
      </c>
      <c r="AO76" s="97">
        <v>7009.2</v>
      </c>
      <c r="AP76" s="97">
        <v>7</v>
      </c>
      <c r="AQ76" s="97">
        <v>5451.5999999999995</v>
      </c>
      <c r="AR76" s="97">
        <v>8</v>
      </c>
      <c r="AS76" s="97">
        <v>6230.4</v>
      </c>
      <c r="AT76" s="97">
        <v>6</v>
      </c>
      <c r="AU76" s="97">
        <v>4672.7999999999993</v>
      </c>
      <c r="AV76" s="97">
        <v>6</v>
      </c>
      <c r="AW76" s="97">
        <v>4672.7999999999993</v>
      </c>
      <c r="AX76" s="97">
        <v>10</v>
      </c>
      <c r="AY76" s="97">
        <v>7788</v>
      </c>
      <c r="AZ76" s="97">
        <v>8</v>
      </c>
      <c r="BA76" s="97">
        <v>6230.4</v>
      </c>
      <c r="BB76" s="97">
        <v>4</v>
      </c>
      <c r="BC76" s="97">
        <v>3115.2</v>
      </c>
      <c r="BD76" s="97">
        <v>7</v>
      </c>
      <c r="BE76" s="97">
        <v>5451.5999999999995</v>
      </c>
      <c r="BF76" s="97">
        <v>6</v>
      </c>
      <c r="BG76" s="97">
        <v>4672.7999999999993</v>
      </c>
      <c r="BH76" s="97">
        <v>5</v>
      </c>
      <c r="BI76" s="97">
        <v>3894</v>
      </c>
      <c r="BJ76" s="97">
        <v>6</v>
      </c>
      <c r="BK76" s="97">
        <v>4672.7999999999993</v>
      </c>
      <c r="BL76" s="97">
        <v>5</v>
      </c>
      <c r="BM76" s="97">
        <v>3894</v>
      </c>
      <c r="BN76" s="97">
        <v>5</v>
      </c>
      <c r="BO76" s="97">
        <v>3894</v>
      </c>
      <c r="BP76" s="97">
        <v>4</v>
      </c>
      <c r="BQ76" s="97">
        <v>3115.2</v>
      </c>
      <c r="BR76" s="97">
        <v>4</v>
      </c>
      <c r="BS76" s="97">
        <v>3115.2</v>
      </c>
      <c r="BT76" s="97">
        <v>6</v>
      </c>
      <c r="BU76" s="97">
        <v>4672.7999999999993</v>
      </c>
      <c r="BV76" s="97">
        <v>5</v>
      </c>
      <c r="BW76" s="97">
        <v>3894</v>
      </c>
      <c r="BX76" s="97">
        <v>4</v>
      </c>
      <c r="BY76" s="97">
        <v>3115.2</v>
      </c>
      <c r="BZ76" s="97">
        <v>5</v>
      </c>
      <c r="CA76" s="97">
        <v>3894</v>
      </c>
      <c r="CB76" s="97">
        <v>3</v>
      </c>
      <c r="CC76" s="97">
        <v>2336.3999999999996</v>
      </c>
      <c r="CD76" s="97">
        <v>3</v>
      </c>
      <c r="CE76" s="97">
        <v>2336.3999999999996</v>
      </c>
      <c r="CF76" s="97">
        <v>2</v>
      </c>
      <c r="CG76" s="97">
        <v>1557.6</v>
      </c>
      <c r="CH76" s="97">
        <v>3</v>
      </c>
      <c r="CI76" s="97">
        <v>2336.3999999999996</v>
      </c>
      <c r="CJ76" s="97">
        <v>3</v>
      </c>
      <c r="CK76" s="97">
        <v>2336.3999999999996</v>
      </c>
      <c r="CL76" s="97">
        <v>3</v>
      </c>
      <c r="CM76" s="97">
        <v>2336.3999999999996</v>
      </c>
      <c r="CN76" s="97">
        <v>3</v>
      </c>
      <c r="CO76" s="97">
        <v>2336.3999999999996</v>
      </c>
      <c r="CP76" s="97">
        <v>2</v>
      </c>
      <c r="CQ76" s="97">
        <v>1557.6</v>
      </c>
      <c r="CR76" s="97">
        <v>2</v>
      </c>
      <c r="CS76" s="97">
        <v>1557.6</v>
      </c>
      <c r="CT76" s="97">
        <v>3</v>
      </c>
      <c r="CU76" s="97">
        <v>2336.3999999999996</v>
      </c>
    </row>
    <row r="77" spans="2:99" x14ac:dyDescent="0.15">
      <c r="C77" s="96" t="s">
        <v>242</v>
      </c>
      <c r="D77" s="97">
        <v>54</v>
      </c>
      <c r="E77" s="97">
        <v>15033.599999999999</v>
      </c>
      <c r="F77" s="97">
        <v>42</v>
      </c>
      <c r="G77" s="97">
        <v>11692.8</v>
      </c>
      <c r="H77" s="97">
        <v>51</v>
      </c>
      <c r="I77" s="97">
        <v>14198.4</v>
      </c>
      <c r="J77" s="97">
        <v>63</v>
      </c>
      <c r="K77" s="97">
        <v>17539.199999999997</v>
      </c>
      <c r="L77" s="97">
        <v>39</v>
      </c>
      <c r="M77" s="97">
        <v>10857.599999999999</v>
      </c>
      <c r="N77" s="97">
        <v>36</v>
      </c>
      <c r="O77" s="97">
        <v>10022.4</v>
      </c>
      <c r="P77" s="97">
        <v>30</v>
      </c>
      <c r="Q77" s="97">
        <v>8352</v>
      </c>
      <c r="R77" s="97">
        <v>32</v>
      </c>
      <c r="S77" s="97">
        <v>8908.7999999999993</v>
      </c>
      <c r="T77" s="97">
        <v>25</v>
      </c>
      <c r="U77" s="97">
        <v>6959.9999999999991</v>
      </c>
      <c r="V77" s="97">
        <v>28</v>
      </c>
      <c r="W77" s="97">
        <v>7795.1999999999989</v>
      </c>
      <c r="X77" s="97">
        <v>28</v>
      </c>
      <c r="Y77" s="97">
        <v>7795.1999999999989</v>
      </c>
      <c r="Z77" s="97">
        <v>19</v>
      </c>
      <c r="AA77" s="97">
        <v>5289.5999999999995</v>
      </c>
      <c r="AB77" s="97">
        <v>20</v>
      </c>
      <c r="AC77" s="97">
        <v>5568</v>
      </c>
      <c r="AD77" s="97">
        <v>18</v>
      </c>
      <c r="AE77" s="97">
        <v>5011.2</v>
      </c>
      <c r="AF77" s="97">
        <v>18</v>
      </c>
      <c r="AG77" s="97">
        <v>5011.2</v>
      </c>
      <c r="AH77" s="97">
        <v>14</v>
      </c>
      <c r="AI77" s="97">
        <v>3897.5999999999995</v>
      </c>
      <c r="AJ77" s="97">
        <v>10</v>
      </c>
      <c r="AK77" s="97">
        <v>2784</v>
      </c>
      <c r="AL77" s="97">
        <v>11</v>
      </c>
      <c r="AM77" s="97">
        <v>3062.3999999999996</v>
      </c>
      <c r="AN77" s="97">
        <v>9</v>
      </c>
      <c r="AO77" s="97">
        <v>2505.6</v>
      </c>
      <c r="AP77" s="97">
        <v>8</v>
      </c>
      <c r="AQ77" s="97">
        <v>2227.1999999999998</v>
      </c>
      <c r="AR77" s="97">
        <v>8</v>
      </c>
      <c r="AS77" s="97">
        <v>2227.1999999999998</v>
      </c>
      <c r="AT77" s="97">
        <v>7</v>
      </c>
      <c r="AU77" s="97">
        <v>1948.7999999999997</v>
      </c>
      <c r="AV77" s="97">
        <v>8</v>
      </c>
      <c r="AW77" s="97">
        <v>2227.1999999999998</v>
      </c>
      <c r="AX77" s="97">
        <v>10</v>
      </c>
      <c r="AY77" s="97">
        <v>2784</v>
      </c>
      <c r="AZ77" s="97">
        <v>8</v>
      </c>
      <c r="BA77" s="97">
        <v>2227.1999999999998</v>
      </c>
      <c r="BB77" s="97">
        <v>5</v>
      </c>
      <c r="BC77" s="97">
        <v>1392</v>
      </c>
      <c r="BD77" s="97">
        <v>6</v>
      </c>
      <c r="BE77" s="97">
        <v>1670.3999999999999</v>
      </c>
      <c r="BF77" s="97">
        <v>6</v>
      </c>
      <c r="BG77" s="97">
        <v>1670.3999999999999</v>
      </c>
      <c r="BH77" s="97">
        <v>6</v>
      </c>
      <c r="BI77" s="97">
        <v>1670.3999999999999</v>
      </c>
      <c r="BJ77" s="97">
        <v>6</v>
      </c>
      <c r="BK77" s="97">
        <v>1670.3999999999999</v>
      </c>
      <c r="BL77" s="97">
        <v>6</v>
      </c>
      <c r="BM77" s="97">
        <v>1670.3999999999999</v>
      </c>
      <c r="BN77" s="97">
        <v>6</v>
      </c>
      <c r="BO77" s="97">
        <v>1670.3999999999999</v>
      </c>
      <c r="BP77" s="97">
        <v>5</v>
      </c>
      <c r="BQ77" s="97">
        <v>1392</v>
      </c>
      <c r="BR77" s="97">
        <v>4</v>
      </c>
      <c r="BS77" s="97">
        <v>1113.5999999999999</v>
      </c>
      <c r="BT77" s="97">
        <v>6</v>
      </c>
      <c r="BU77" s="97">
        <v>1670.3999999999999</v>
      </c>
      <c r="BV77" s="97">
        <v>6</v>
      </c>
      <c r="BW77" s="97">
        <v>1670.3999999999999</v>
      </c>
      <c r="BX77" s="97">
        <v>5</v>
      </c>
      <c r="BY77" s="97">
        <v>1392</v>
      </c>
      <c r="BZ77" s="97">
        <v>4</v>
      </c>
      <c r="CA77" s="97">
        <v>1113.5999999999999</v>
      </c>
      <c r="CB77" s="97">
        <v>3</v>
      </c>
      <c r="CC77" s="97">
        <v>835.19999999999993</v>
      </c>
      <c r="CD77" s="97">
        <v>3</v>
      </c>
      <c r="CE77" s="97">
        <v>835.19999999999993</v>
      </c>
      <c r="CF77" s="97">
        <v>3</v>
      </c>
      <c r="CG77" s="97">
        <v>835.19999999999993</v>
      </c>
      <c r="CH77" s="97">
        <v>4</v>
      </c>
      <c r="CI77" s="97">
        <v>1113.5999999999999</v>
      </c>
      <c r="CJ77" s="97">
        <v>4</v>
      </c>
      <c r="CK77" s="97">
        <v>1113.5999999999999</v>
      </c>
      <c r="CL77" s="97">
        <v>3</v>
      </c>
      <c r="CM77" s="97">
        <v>835.19999999999993</v>
      </c>
      <c r="CN77" s="97">
        <v>3</v>
      </c>
      <c r="CO77" s="97">
        <v>835.19999999999993</v>
      </c>
      <c r="CP77" s="97">
        <v>2</v>
      </c>
      <c r="CQ77" s="97">
        <v>556.79999999999995</v>
      </c>
      <c r="CR77" s="97">
        <v>3</v>
      </c>
      <c r="CS77" s="97">
        <v>835.19999999999993</v>
      </c>
      <c r="CT77" s="97">
        <v>4</v>
      </c>
      <c r="CU77" s="97">
        <v>1113.5999999999999</v>
      </c>
    </row>
    <row r="78" spans="2:99" x14ac:dyDescent="0.15">
      <c r="C78" s="96" t="s">
        <v>243</v>
      </c>
      <c r="D78" s="97">
        <v>50</v>
      </c>
      <c r="E78" s="97">
        <v>27600</v>
      </c>
      <c r="F78" s="97">
        <v>46</v>
      </c>
      <c r="G78" s="97">
        <v>25392</v>
      </c>
      <c r="H78" s="97">
        <v>47</v>
      </c>
      <c r="I78" s="97">
        <v>25944</v>
      </c>
      <c r="J78" s="97">
        <v>61</v>
      </c>
      <c r="K78" s="97">
        <v>33672</v>
      </c>
      <c r="L78" s="97">
        <v>41</v>
      </c>
      <c r="M78" s="97">
        <v>22632</v>
      </c>
      <c r="N78" s="97">
        <v>30</v>
      </c>
      <c r="O78" s="97">
        <v>16560</v>
      </c>
      <c r="P78" s="97">
        <v>30</v>
      </c>
      <c r="Q78" s="97">
        <v>16560</v>
      </c>
      <c r="R78" s="97">
        <v>31</v>
      </c>
      <c r="S78" s="97">
        <v>17112</v>
      </c>
      <c r="T78" s="97">
        <v>25</v>
      </c>
      <c r="U78" s="97">
        <v>13800</v>
      </c>
      <c r="V78" s="97">
        <v>27</v>
      </c>
      <c r="W78" s="97">
        <v>14904</v>
      </c>
      <c r="X78" s="97">
        <v>29</v>
      </c>
      <c r="Y78" s="97">
        <v>16008</v>
      </c>
      <c r="Z78" s="97">
        <v>18</v>
      </c>
      <c r="AA78" s="97">
        <v>9936</v>
      </c>
      <c r="AB78" s="97">
        <v>19</v>
      </c>
      <c r="AC78" s="97">
        <v>10488</v>
      </c>
      <c r="AD78" s="97">
        <v>20</v>
      </c>
      <c r="AE78" s="97">
        <v>11040</v>
      </c>
      <c r="AF78" s="97">
        <v>17</v>
      </c>
      <c r="AG78" s="97">
        <v>9384</v>
      </c>
      <c r="AH78" s="97">
        <v>15</v>
      </c>
      <c r="AI78" s="97">
        <v>8280</v>
      </c>
      <c r="AJ78" s="97">
        <v>9</v>
      </c>
      <c r="AK78" s="97">
        <v>4968</v>
      </c>
      <c r="AL78" s="97">
        <v>10</v>
      </c>
      <c r="AM78" s="97">
        <v>5520</v>
      </c>
      <c r="AN78" s="97">
        <v>9</v>
      </c>
      <c r="AO78" s="97">
        <v>4968</v>
      </c>
      <c r="AP78" s="97">
        <v>8</v>
      </c>
      <c r="AQ78" s="97">
        <v>4416</v>
      </c>
      <c r="AR78" s="97">
        <v>8</v>
      </c>
      <c r="AS78" s="97">
        <v>4416</v>
      </c>
      <c r="AT78" s="97">
        <v>7</v>
      </c>
      <c r="AU78" s="97">
        <v>3864</v>
      </c>
      <c r="AV78" s="97">
        <v>7</v>
      </c>
      <c r="AW78" s="97">
        <v>3864</v>
      </c>
      <c r="AX78" s="97">
        <v>10</v>
      </c>
      <c r="AY78" s="97">
        <v>5520</v>
      </c>
      <c r="AZ78" s="97">
        <v>9</v>
      </c>
      <c r="BA78" s="97">
        <v>4968</v>
      </c>
      <c r="BB78" s="97">
        <v>5</v>
      </c>
      <c r="BC78" s="97">
        <v>2760</v>
      </c>
      <c r="BD78" s="97">
        <v>7</v>
      </c>
      <c r="BE78" s="97">
        <v>3864</v>
      </c>
      <c r="BF78" s="97">
        <v>6</v>
      </c>
      <c r="BG78" s="97">
        <v>3312</v>
      </c>
      <c r="BH78" s="97">
        <v>5</v>
      </c>
      <c r="BI78" s="97">
        <v>2760</v>
      </c>
      <c r="BJ78" s="97">
        <v>6</v>
      </c>
      <c r="BK78" s="97">
        <v>3312</v>
      </c>
      <c r="BL78" s="97">
        <v>5</v>
      </c>
      <c r="BM78" s="97">
        <v>2760</v>
      </c>
      <c r="BN78" s="97">
        <v>5</v>
      </c>
      <c r="BO78" s="97">
        <v>2760</v>
      </c>
      <c r="BP78" s="97">
        <v>4</v>
      </c>
      <c r="BQ78" s="97">
        <v>2208</v>
      </c>
      <c r="BR78" s="97">
        <v>3</v>
      </c>
      <c r="BS78" s="97">
        <v>1656</v>
      </c>
      <c r="BT78" s="97">
        <v>5</v>
      </c>
      <c r="BU78" s="97">
        <v>2760</v>
      </c>
      <c r="BV78" s="97">
        <v>6</v>
      </c>
      <c r="BW78" s="97">
        <v>3312</v>
      </c>
      <c r="BX78" s="97">
        <v>5</v>
      </c>
      <c r="BY78" s="97">
        <v>2760</v>
      </c>
      <c r="BZ78" s="97">
        <v>5</v>
      </c>
      <c r="CA78" s="97">
        <v>2760</v>
      </c>
      <c r="CB78" s="97">
        <v>3</v>
      </c>
      <c r="CC78" s="97">
        <v>1656</v>
      </c>
      <c r="CD78" s="97">
        <v>3</v>
      </c>
      <c r="CE78" s="97">
        <v>1656</v>
      </c>
      <c r="CF78" s="97">
        <v>2</v>
      </c>
      <c r="CG78" s="97">
        <v>1104</v>
      </c>
      <c r="CH78" s="97">
        <v>4</v>
      </c>
      <c r="CI78" s="97">
        <v>2208</v>
      </c>
      <c r="CJ78" s="97">
        <v>3</v>
      </c>
      <c r="CK78" s="97">
        <v>1656</v>
      </c>
      <c r="CL78" s="97">
        <v>3</v>
      </c>
      <c r="CM78" s="97">
        <v>1656</v>
      </c>
      <c r="CN78" s="97">
        <v>4</v>
      </c>
      <c r="CO78" s="97">
        <v>2208</v>
      </c>
      <c r="CP78" s="97">
        <v>2</v>
      </c>
      <c r="CQ78" s="97">
        <v>1104</v>
      </c>
      <c r="CR78" s="97">
        <v>3</v>
      </c>
      <c r="CS78" s="97">
        <v>1656</v>
      </c>
      <c r="CT78" s="97">
        <v>4</v>
      </c>
      <c r="CU78" s="97">
        <v>2208</v>
      </c>
    </row>
    <row r="79" spans="2:99" x14ac:dyDescent="0.15">
      <c r="C79" s="96" t="s">
        <v>244</v>
      </c>
      <c r="D79" s="97">
        <v>45</v>
      </c>
      <c r="E79" s="97">
        <v>34074</v>
      </c>
      <c r="F79" s="97">
        <v>44</v>
      </c>
      <c r="G79" s="97">
        <v>33316.799999999996</v>
      </c>
      <c r="H79" s="97">
        <v>48</v>
      </c>
      <c r="I79" s="97">
        <v>36345.599999999999</v>
      </c>
      <c r="J79" s="97">
        <v>61</v>
      </c>
      <c r="K79" s="97">
        <v>46189.2</v>
      </c>
      <c r="L79" s="97">
        <v>36</v>
      </c>
      <c r="M79" s="97">
        <v>27259.199999999997</v>
      </c>
      <c r="N79" s="97">
        <v>34</v>
      </c>
      <c r="O79" s="97">
        <v>25744.799999999999</v>
      </c>
      <c r="P79" s="97">
        <v>29</v>
      </c>
      <c r="Q79" s="97">
        <v>21958.799999999999</v>
      </c>
      <c r="R79" s="97">
        <v>34</v>
      </c>
      <c r="S79" s="97">
        <v>25744.799999999999</v>
      </c>
      <c r="T79" s="97">
        <v>25</v>
      </c>
      <c r="U79" s="97">
        <v>18930</v>
      </c>
      <c r="V79" s="97">
        <v>24</v>
      </c>
      <c r="W79" s="97">
        <v>18172.8</v>
      </c>
      <c r="X79" s="97">
        <v>29</v>
      </c>
      <c r="Y79" s="97">
        <v>21958.799999999999</v>
      </c>
      <c r="Z79" s="97">
        <v>19</v>
      </c>
      <c r="AA79" s="97">
        <v>14386.8</v>
      </c>
      <c r="AB79" s="97">
        <v>18</v>
      </c>
      <c r="AC79" s="97">
        <v>13629.599999999999</v>
      </c>
      <c r="AD79" s="97">
        <v>18</v>
      </c>
      <c r="AE79" s="97">
        <v>13629.599999999999</v>
      </c>
      <c r="AF79" s="97">
        <v>19</v>
      </c>
      <c r="AG79" s="97">
        <v>14386.8</v>
      </c>
      <c r="AH79" s="97">
        <v>14</v>
      </c>
      <c r="AI79" s="97">
        <v>10600.8</v>
      </c>
      <c r="AJ79" s="97">
        <v>8</v>
      </c>
      <c r="AK79" s="97">
        <v>6057.5999999999995</v>
      </c>
      <c r="AL79" s="97">
        <v>9</v>
      </c>
      <c r="AM79" s="97">
        <v>6814.7999999999993</v>
      </c>
      <c r="AN79" s="97">
        <v>9</v>
      </c>
      <c r="AO79" s="97">
        <v>6814.7999999999993</v>
      </c>
      <c r="AP79" s="97">
        <v>8</v>
      </c>
      <c r="AQ79" s="97">
        <v>6057.5999999999995</v>
      </c>
      <c r="AR79" s="97">
        <v>7</v>
      </c>
      <c r="AS79" s="97">
        <v>5300.4</v>
      </c>
      <c r="AT79" s="97">
        <v>7</v>
      </c>
      <c r="AU79" s="97">
        <v>5300.4</v>
      </c>
      <c r="AV79" s="97">
        <v>7</v>
      </c>
      <c r="AW79" s="97">
        <v>5300.4</v>
      </c>
      <c r="AX79" s="97">
        <v>10</v>
      </c>
      <c r="AY79" s="97">
        <v>7571.9999999999991</v>
      </c>
      <c r="AZ79" s="97">
        <v>9</v>
      </c>
      <c r="BA79" s="97">
        <v>6814.7999999999993</v>
      </c>
      <c r="BB79" s="97">
        <v>4</v>
      </c>
      <c r="BC79" s="97">
        <v>3028.7999999999997</v>
      </c>
      <c r="BD79" s="97">
        <v>7</v>
      </c>
      <c r="BE79" s="97">
        <v>5300.4</v>
      </c>
      <c r="BF79" s="97">
        <v>6</v>
      </c>
      <c r="BG79" s="97">
        <v>4543.2</v>
      </c>
      <c r="BH79" s="97">
        <v>5</v>
      </c>
      <c r="BI79" s="97">
        <v>3785.9999999999995</v>
      </c>
      <c r="BJ79" s="97">
        <v>6</v>
      </c>
      <c r="BK79" s="97">
        <v>4543.2</v>
      </c>
      <c r="BL79" s="97">
        <v>5</v>
      </c>
      <c r="BM79" s="97">
        <v>3785.9999999999995</v>
      </c>
      <c r="BN79" s="97">
        <v>6</v>
      </c>
      <c r="BO79" s="97">
        <v>4543.2</v>
      </c>
      <c r="BP79" s="97">
        <v>5</v>
      </c>
      <c r="BQ79" s="97">
        <v>3785.9999999999995</v>
      </c>
      <c r="BR79" s="97">
        <v>3</v>
      </c>
      <c r="BS79" s="97">
        <v>2271.6</v>
      </c>
      <c r="BT79" s="97">
        <v>5</v>
      </c>
      <c r="BU79" s="97">
        <v>3785.9999999999995</v>
      </c>
      <c r="BV79" s="97">
        <v>5</v>
      </c>
      <c r="BW79" s="97">
        <v>3785.9999999999995</v>
      </c>
      <c r="BX79" s="97">
        <v>5</v>
      </c>
      <c r="BY79" s="97">
        <v>3785.9999999999995</v>
      </c>
      <c r="BZ79" s="97">
        <v>4</v>
      </c>
      <c r="CA79" s="97">
        <v>3028.7999999999997</v>
      </c>
      <c r="CB79" s="97">
        <v>3</v>
      </c>
      <c r="CC79" s="97">
        <v>2271.6</v>
      </c>
      <c r="CD79" s="97">
        <v>4</v>
      </c>
      <c r="CE79" s="97">
        <v>3028.7999999999997</v>
      </c>
      <c r="CF79" s="97">
        <v>3</v>
      </c>
      <c r="CG79" s="97">
        <v>2271.6</v>
      </c>
      <c r="CH79" s="97">
        <v>4</v>
      </c>
      <c r="CI79" s="97">
        <v>3028.7999999999997</v>
      </c>
      <c r="CJ79" s="97">
        <v>4</v>
      </c>
      <c r="CK79" s="97">
        <v>3028.7999999999997</v>
      </c>
      <c r="CL79" s="97">
        <v>4</v>
      </c>
      <c r="CM79" s="97">
        <v>3028.7999999999997</v>
      </c>
      <c r="CN79" s="97">
        <v>3</v>
      </c>
      <c r="CO79" s="97">
        <v>2271.6</v>
      </c>
      <c r="CP79" s="97">
        <v>2</v>
      </c>
      <c r="CQ79" s="97">
        <v>1514.3999999999999</v>
      </c>
      <c r="CR79" s="97">
        <v>3</v>
      </c>
      <c r="CS79" s="97">
        <v>2271.6</v>
      </c>
      <c r="CT79" s="97">
        <v>3</v>
      </c>
      <c r="CU79" s="97">
        <v>2271.6</v>
      </c>
    </row>
    <row r="80" spans="2:99" x14ac:dyDescent="0.15">
      <c r="C80" s="96" t="s">
        <v>245</v>
      </c>
      <c r="D80" s="97">
        <v>43</v>
      </c>
      <c r="E80" s="97">
        <v>34623.599999999999</v>
      </c>
      <c r="F80" s="97">
        <v>40</v>
      </c>
      <c r="G80" s="97">
        <v>32207.999999999996</v>
      </c>
      <c r="H80" s="97">
        <v>46</v>
      </c>
      <c r="I80" s="97">
        <v>37039.199999999997</v>
      </c>
      <c r="J80" s="97">
        <v>61</v>
      </c>
      <c r="K80" s="97">
        <v>49117.2</v>
      </c>
      <c r="L80" s="97">
        <v>36</v>
      </c>
      <c r="M80" s="97">
        <v>28987.199999999997</v>
      </c>
      <c r="N80" s="97">
        <v>32</v>
      </c>
      <c r="O80" s="97">
        <v>25766.399999999998</v>
      </c>
      <c r="P80" s="97">
        <v>28</v>
      </c>
      <c r="Q80" s="97">
        <v>22545.599999999999</v>
      </c>
      <c r="R80" s="97">
        <v>33</v>
      </c>
      <c r="S80" s="97">
        <v>26571.599999999999</v>
      </c>
      <c r="T80" s="97">
        <v>23</v>
      </c>
      <c r="U80" s="97">
        <v>18519.599999999999</v>
      </c>
      <c r="V80" s="97">
        <v>24</v>
      </c>
      <c r="W80" s="97">
        <v>19324.8</v>
      </c>
      <c r="X80" s="97">
        <v>24</v>
      </c>
      <c r="Y80" s="97">
        <v>19324.8</v>
      </c>
      <c r="Z80" s="97">
        <v>18</v>
      </c>
      <c r="AA80" s="97">
        <v>14493.599999999999</v>
      </c>
      <c r="AB80" s="97">
        <v>19</v>
      </c>
      <c r="AC80" s="97">
        <v>15298.8</v>
      </c>
      <c r="AD80" s="97">
        <v>18</v>
      </c>
      <c r="AE80" s="97">
        <v>14493.599999999999</v>
      </c>
      <c r="AF80" s="97">
        <v>20</v>
      </c>
      <c r="AG80" s="97">
        <v>16103.999999999998</v>
      </c>
      <c r="AH80" s="97">
        <v>13</v>
      </c>
      <c r="AI80" s="97">
        <v>10467.599999999999</v>
      </c>
      <c r="AJ80" s="97">
        <v>9</v>
      </c>
      <c r="AK80" s="97">
        <v>7246.7999999999993</v>
      </c>
      <c r="AL80" s="97">
        <v>10</v>
      </c>
      <c r="AM80" s="97">
        <v>8051.9999999999991</v>
      </c>
      <c r="AN80" s="97">
        <v>8</v>
      </c>
      <c r="AO80" s="97">
        <v>6441.5999999999995</v>
      </c>
      <c r="AP80" s="97">
        <v>8</v>
      </c>
      <c r="AQ80" s="97">
        <v>6441.5999999999995</v>
      </c>
      <c r="AR80" s="97">
        <v>7</v>
      </c>
      <c r="AS80" s="97">
        <v>5636.4</v>
      </c>
      <c r="AT80" s="97">
        <v>6</v>
      </c>
      <c r="AU80" s="97">
        <v>4831.2</v>
      </c>
      <c r="AV80" s="97">
        <v>6</v>
      </c>
      <c r="AW80" s="97">
        <v>4831.2</v>
      </c>
      <c r="AX80" s="97">
        <v>10</v>
      </c>
      <c r="AY80" s="97">
        <v>8051.9999999999991</v>
      </c>
      <c r="AZ80" s="97">
        <v>8</v>
      </c>
      <c r="BA80" s="97">
        <v>6441.5999999999995</v>
      </c>
      <c r="BB80" s="97">
        <v>4</v>
      </c>
      <c r="BC80" s="97">
        <v>3220.7999999999997</v>
      </c>
      <c r="BD80" s="97">
        <v>6</v>
      </c>
      <c r="BE80" s="97">
        <v>4831.2</v>
      </c>
      <c r="BF80" s="97">
        <v>6</v>
      </c>
      <c r="BG80" s="97">
        <v>4831.2</v>
      </c>
      <c r="BH80" s="97">
        <v>5</v>
      </c>
      <c r="BI80" s="97">
        <v>4025.9999999999995</v>
      </c>
      <c r="BJ80" s="97">
        <v>7</v>
      </c>
      <c r="BK80" s="97">
        <v>5636.4</v>
      </c>
      <c r="BL80" s="97">
        <v>5</v>
      </c>
      <c r="BM80" s="97">
        <v>4025.9999999999995</v>
      </c>
      <c r="BN80" s="97">
        <v>5</v>
      </c>
      <c r="BO80" s="97">
        <v>4025.9999999999995</v>
      </c>
      <c r="BP80" s="97">
        <v>5</v>
      </c>
      <c r="BQ80" s="97">
        <v>4025.9999999999995</v>
      </c>
      <c r="BR80" s="97">
        <v>3</v>
      </c>
      <c r="BS80" s="97">
        <v>2415.6</v>
      </c>
      <c r="BT80" s="97">
        <v>5</v>
      </c>
      <c r="BU80" s="97">
        <v>4025.9999999999995</v>
      </c>
      <c r="BV80" s="97">
        <v>6</v>
      </c>
      <c r="BW80" s="97">
        <v>4831.2</v>
      </c>
      <c r="BX80" s="97">
        <v>5</v>
      </c>
      <c r="BY80" s="97">
        <v>4025.9999999999995</v>
      </c>
      <c r="BZ80" s="97">
        <v>4</v>
      </c>
      <c r="CA80" s="97">
        <v>3220.7999999999997</v>
      </c>
      <c r="CB80" s="97">
        <v>3</v>
      </c>
      <c r="CC80" s="97">
        <v>2415.6</v>
      </c>
      <c r="CD80" s="97">
        <v>3</v>
      </c>
      <c r="CE80" s="97">
        <v>2415.6</v>
      </c>
      <c r="CF80" s="97">
        <v>2</v>
      </c>
      <c r="CG80" s="97">
        <v>1610.3999999999999</v>
      </c>
      <c r="CH80" s="97">
        <v>3</v>
      </c>
      <c r="CI80" s="97">
        <v>2415.6</v>
      </c>
      <c r="CJ80" s="97">
        <v>3</v>
      </c>
      <c r="CK80" s="97">
        <v>2415.6</v>
      </c>
      <c r="CL80" s="97">
        <v>4</v>
      </c>
      <c r="CM80" s="97">
        <v>3220.7999999999997</v>
      </c>
      <c r="CN80" s="97">
        <v>4</v>
      </c>
      <c r="CO80" s="97">
        <v>3220.7999999999997</v>
      </c>
      <c r="CP80" s="97">
        <v>2</v>
      </c>
      <c r="CQ80" s="97">
        <v>1610.3999999999999</v>
      </c>
      <c r="CR80" s="97">
        <v>2</v>
      </c>
      <c r="CS80" s="97">
        <v>1610.3999999999999</v>
      </c>
      <c r="CT80" s="97">
        <v>4</v>
      </c>
      <c r="CU80" s="97">
        <v>3220.7999999999997</v>
      </c>
    </row>
    <row r="81" spans="2:99" x14ac:dyDescent="0.15">
      <c r="C81" s="96" t="s">
        <v>246</v>
      </c>
      <c r="D81" s="97">
        <v>45</v>
      </c>
      <c r="E81" s="97">
        <v>33912</v>
      </c>
      <c r="F81" s="97">
        <v>39</v>
      </c>
      <c r="G81" s="97">
        <v>29390.400000000001</v>
      </c>
      <c r="H81" s="97">
        <v>45</v>
      </c>
      <c r="I81" s="97">
        <v>33912</v>
      </c>
      <c r="J81" s="97">
        <v>58</v>
      </c>
      <c r="K81" s="97">
        <v>43708.800000000003</v>
      </c>
      <c r="L81" s="97">
        <v>39</v>
      </c>
      <c r="M81" s="97">
        <v>29390.400000000001</v>
      </c>
      <c r="N81" s="97">
        <v>30</v>
      </c>
      <c r="O81" s="97">
        <v>22608</v>
      </c>
      <c r="P81" s="97">
        <v>29</v>
      </c>
      <c r="Q81" s="97">
        <v>21854.400000000001</v>
      </c>
      <c r="R81" s="97">
        <v>29</v>
      </c>
      <c r="S81" s="97">
        <v>21854.400000000001</v>
      </c>
      <c r="T81" s="97">
        <v>26</v>
      </c>
      <c r="U81" s="97">
        <v>19593.600000000002</v>
      </c>
      <c r="V81" s="97">
        <v>23</v>
      </c>
      <c r="W81" s="97">
        <v>17332.8</v>
      </c>
      <c r="X81" s="97">
        <v>26</v>
      </c>
      <c r="Y81" s="97">
        <v>19593.600000000002</v>
      </c>
      <c r="Z81" s="97">
        <v>16</v>
      </c>
      <c r="AA81" s="97">
        <v>12057.6</v>
      </c>
      <c r="AB81" s="97">
        <v>19</v>
      </c>
      <c r="AC81" s="97">
        <v>14318.4</v>
      </c>
      <c r="AD81" s="97">
        <v>19</v>
      </c>
      <c r="AE81" s="97">
        <v>14318.4</v>
      </c>
      <c r="AF81" s="97">
        <v>19</v>
      </c>
      <c r="AG81" s="97">
        <v>14318.4</v>
      </c>
      <c r="AH81" s="97">
        <v>12</v>
      </c>
      <c r="AI81" s="97">
        <v>9043.2000000000007</v>
      </c>
      <c r="AJ81" s="97">
        <v>8</v>
      </c>
      <c r="AK81" s="97">
        <v>6028.8</v>
      </c>
      <c r="AL81" s="97">
        <v>10</v>
      </c>
      <c r="AM81" s="97">
        <v>7536</v>
      </c>
      <c r="AN81" s="97">
        <v>8</v>
      </c>
      <c r="AO81" s="97">
        <v>6028.8</v>
      </c>
      <c r="AP81" s="97">
        <v>8</v>
      </c>
      <c r="AQ81" s="97">
        <v>6028.8</v>
      </c>
      <c r="AR81" s="97">
        <v>8</v>
      </c>
      <c r="AS81" s="97">
        <v>6028.8</v>
      </c>
      <c r="AT81" s="97">
        <v>6</v>
      </c>
      <c r="AU81" s="97">
        <v>4521.6000000000004</v>
      </c>
      <c r="AV81" s="97">
        <v>7</v>
      </c>
      <c r="AW81" s="97">
        <v>5275.2</v>
      </c>
      <c r="AX81" s="97">
        <v>9</v>
      </c>
      <c r="AY81" s="97">
        <v>6782.4000000000005</v>
      </c>
      <c r="AZ81" s="97">
        <v>9</v>
      </c>
      <c r="BA81" s="97">
        <v>6782.4000000000005</v>
      </c>
      <c r="BB81" s="97">
        <v>4</v>
      </c>
      <c r="BC81" s="97">
        <v>3014.4</v>
      </c>
      <c r="BD81" s="97">
        <v>7</v>
      </c>
      <c r="BE81" s="97">
        <v>5275.2</v>
      </c>
      <c r="BF81" s="97">
        <v>6</v>
      </c>
      <c r="BG81" s="97">
        <v>4521.6000000000004</v>
      </c>
      <c r="BH81" s="97">
        <v>5</v>
      </c>
      <c r="BI81" s="97">
        <v>3768</v>
      </c>
      <c r="BJ81" s="97">
        <v>7</v>
      </c>
      <c r="BK81" s="97">
        <v>5275.2</v>
      </c>
      <c r="BL81" s="97">
        <v>5</v>
      </c>
      <c r="BM81" s="97">
        <v>3768</v>
      </c>
      <c r="BN81" s="97">
        <v>6</v>
      </c>
      <c r="BO81" s="97">
        <v>4521.6000000000004</v>
      </c>
      <c r="BP81" s="97">
        <v>4</v>
      </c>
      <c r="BQ81" s="97">
        <v>3014.4</v>
      </c>
      <c r="BR81" s="97">
        <v>4</v>
      </c>
      <c r="BS81" s="97">
        <v>3014.4</v>
      </c>
      <c r="BT81" s="97">
        <v>5</v>
      </c>
      <c r="BU81" s="97">
        <v>3768</v>
      </c>
      <c r="BV81" s="97">
        <v>6</v>
      </c>
      <c r="BW81" s="97">
        <v>4521.6000000000004</v>
      </c>
      <c r="BX81" s="97">
        <v>5</v>
      </c>
      <c r="BY81" s="97">
        <v>3768</v>
      </c>
      <c r="BZ81" s="97">
        <v>5</v>
      </c>
      <c r="CA81" s="97">
        <v>3768</v>
      </c>
      <c r="CB81" s="97">
        <v>3</v>
      </c>
      <c r="CC81" s="97">
        <v>2260.8000000000002</v>
      </c>
      <c r="CD81" s="97">
        <v>3</v>
      </c>
      <c r="CE81" s="97">
        <v>2260.8000000000002</v>
      </c>
      <c r="CF81" s="97">
        <v>3</v>
      </c>
      <c r="CG81" s="97">
        <v>2260.8000000000002</v>
      </c>
      <c r="CH81" s="97">
        <v>4</v>
      </c>
      <c r="CI81" s="97">
        <v>3014.4</v>
      </c>
      <c r="CJ81" s="97">
        <v>3</v>
      </c>
      <c r="CK81" s="97">
        <v>2260.8000000000002</v>
      </c>
      <c r="CL81" s="97">
        <v>4</v>
      </c>
      <c r="CM81" s="97">
        <v>3014.4</v>
      </c>
      <c r="CN81" s="97">
        <v>4</v>
      </c>
      <c r="CO81" s="97">
        <v>3014.4</v>
      </c>
      <c r="CP81" s="97">
        <v>2</v>
      </c>
      <c r="CQ81" s="97">
        <v>1507.2</v>
      </c>
      <c r="CR81" s="97">
        <v>2</v>
      </c>
      <c r="CS81" s="97">
        <v>1507.2</v>
      </c>
      <c r="CT81" s="97">
        <v>3</v>
      </c>
      <c r="CU81" s="97">
        <v>2260.8000000000002</v>
      </c>
    </row>
    <row r="82" spans="2:99" x14ac:dyDescent="0.15">
      <c r="C82" s="96" t="s">
        <v>247</v>
      </c>
      <c r="D82" s="97">
        <v>50</v>
      </c>
      <c r="E82" s="97">
        <v>25439.999999999996</v>
      </c>
      <c r="F82" s="97">
        <v>42</v>
      </c>
      <c r="G82" s="97">
        <v>21369.599999999995</v>
      </c>
      <c r="H82" s="97">
        <v>51</v>
      </c>
      <c r="I82" s="97">
        <v>25948.799999999996</v>
      </c>
      <c r="J82" s="97">
        <v>58</v>
      </c>
      <c r="K82" s="97">
        <v>29510.399999999994</v>
      </c>
      <c r="L82" s="97">
        <v>41</v>
      </c>
      <c r="M82" s="97">
        <v>20860.799999999996</v>
      </c>
      <c r="N82" s="97">
        <v>32</v>
      </c>
      <c r="O82" s="97">
        <v>16281.599999999997</v>
      </c>
      <c r="P82" s="97">
        <v>29</v>
      </c>
      <c r="Q82" s="97">
        <v>14755.199999999997</v>
      </c>
      <c r="R82" s="97">
        <v>30</v>
      </c>
      <c r="S82" s="97">
        <v>15263.999999999996</v>
      </c>
      <c r="T82" s="97">
        <v>24</v>
      </c>
      <c r="U82" s="97">
        <v>12211.199999999997</v>
      </c>
      <c r="V82" s="97">
        <v>26</v>
      </c>
      <c r="W82" s="97">
        <v>13228.799999999997</v>
      </c>
      <c r="X82" s="97">
        <v>28</v>
      </c>
      <c r="Y82" s="97">
        <v>14246.399999999998</v>
      </c>
      <c r="Z82" s="97">
        <v>19</v>
      </c>
      <c r="AA82" s="97">
        <v>9667.1999999999989</v>
      </c>
      <c r="AB82" s="97">
        <v>19</v>
      </c>
      <c r="AC82" s="97">
        <v>9667.1999999999989</v>
      </c>
      <c r="AD82" s="97">
        <v>18</v>
      </c>
      <c r="AE82" s="97">
        <v>9158.3999999999978</v>
      </c>
      <c r="AF82" s="97">
        <v>18</v>
      </c>
      <c r="AG82" s="97">
        <v>9158.3999999999978</v>
      </c>
      <c r="AH82" s="97">
        <v>14</v>
      </c>
      <c r="AI82" s="97">
        <v>7123.1999999999989</v>
      </c>
      <c r="AJ82" s="97">
        <v>9</v>
      </c>
      <c r="AK82" s="97">
        <v>4579.1999999999989</v>
      </c>
      <c r="AL82" s="97">
        <v>11</v>
      </c>
      <c r="AM82" s="97">
        <v>5596.7999999999993</v>
      </c>
      <c r="AN82" s="97">
        <v>9</v>
      </c>
      <c r="AO82" s="97">
        <v>4579.1999999999989</v>
      </c>
      <c r="AP82" s="97">
        <v>8</v>
      </c>
      <c r="AQ82" s="97">
        <v>4070.3999999999992</v>
      </c>
      <c r="AR82" s="97">
        <v>9</v>
      </c>
      <c r="AS82" s="97">
        <v>4579.1999999999989</v>
      </c>
      <c r="AT82" s="97">
        <v>6</v>
      </c>
      <c r="AU82" s="97">
        <v>3052.7999999999993</v>
      </c>
      <c r="AV82" s="97">
        <v>7</v>
      </c>
      <c r="AW82" s="97">
        <v>3561.5999999999995</v>
      </c>
      <c r="AX82" s="97">
        <v>10</v>
      </c>
      <c r="AY82" s="97">
        <v>5087.9999999999991</v>
      </c>
      <c r="AZ82" s="97">
        <v>8</v>
      </c>
      <c r="BA82" s="97">
        <v>4070.3999999999992</v>
      </c>
      <c r="BB82" s="97">
        <v>5</v>
      </c>
      <c r="BC82" s="97">
        <v>2543.9999999999995</v>
      </c>
      <c r="BD82" s="97">
        <v>7</v>
      </c>
      <c r="BE82" s="97">
        <v>3561.5999999999995</v>
      </c>
      <c r="BF82" s="97">
        <v>6</v>
      </c>
      <c r="BG82" s="97">
        <v>3052.7999999999993</v>
      </c>
      <c r="BH82" s="97">
        <v>5</v>
      </c>
      <c r="BI82" s="97">
        <v>2543.9999999999995</v>
      </c>
      <c r="BJ82" s="97">
        <v>6</v>
      </c>
      <c r="BK82" s="97">
        <v>3052.7999999999993</v>
      </c>
      <c r="BL82" s="97">
        <v>5</v>
      </c>
      <c r="BM82" s="97">
        <v>2543.9999999999995</v>
      </c>
      <c r="BN82" s="97">
        <v>5</v>
      </c>
      <c r="BO82" s="97">
        <v>2543.9999999999995</v>
      </c>
      <c r="BP82" s="97">
        <v>4</v>
      </c>
      <c r="BQ82" s="97">
        <v>2035.1999999999996</v>
      </c>
      <c r="BR82" s="97">
        <v>4</v>
      </c>
      <c r="BS82" s="97">
        <v>2035.1999999999996</v>
      </c>
      <c r="BT82" s="97">
        <v>5</v>
      </c>
      <c r="BU82" s="97">
        <v>2543.9999999999995</v>
      </c>
      <c r="BV82" s="97">
        <v>6</v>
      </c>
      <c r="BW82" s="97">
        <v>3052.7999999999993</v>
      </c>
      <c r="BX82" s="97">
        <v>5</v>
      </c>
      <c r="BY82" s="97">
        <v>2543.9999999999995</v>
      </c>
      <c r="BZ82" s="97">
        <v>4</v>
      </c>
      <c r="CA82" s="97">
        <v>2035.1999999999996</v>
      </c>
      <c r="CB82" s="97">
        <v>3</v>
      </c>
      <c r="CC82" s="97">
        <v>1526.3999999999996</v>
      </c>
      <c r="CD82" s="97">
        <v>4</v>
      </c>
      <c r="CE82" s="97">
        <v>2035.1999999999996</v>
      </c>
      <c r="CF82" s="97">
        <v>3</v>
      </c>
      <c r="CG82" s="97">
        <v>1526.3999999999996</v>
      </c>
      <c r="CH82" s="97">
        <v>4</v>
      </c>
      <c r="CI82" s="97">
        <v>2035.1999999999996</v>
      </c>
      <c r="CJ82" s="97">
        <v>3</v>
      </c>
      <c r="CK82" s="97">
        <v>1526.3999999999996</v>
      </c>
      <c r="CL82" s="97">
        <v>3</v>
      </c>
      <c r="CM82" s="97">
        <v>1526.3999999999996</v>
      </c>
      <c r="CN82" s="97">
        <v>3</v>
      </c>
      <c r="CO82" s="97">
        <v>1526.3999999999996</v>
      </c>
      <c r="CP82" s="97">
        <v>2</v>
      </c>
      <c r="CQ82" s="97">
        <v>1017.5999999999998</v>
      </c>
      <c r="CR82" s="97">
        <v>2</v>
      </c>
      <c r="CS82" s="97">
        <v>1017.5999999999998</v>
      </c>
      <c r="CT82" s="97">
        <v>3</v>
      </c>
      <c r="CU82" s="97">
        <v>1526.3999999999996</v>
      </c>
    </row>
    <row r="83" spans="2:99" x14ac:dyDescent="0.15">
      <c r="C83" s="96" t="s">
        <v>248</v>
      </c>
      <c r="D83" s="97">
        <v>49</v>
      </c>
      <c r="E83" s="97">
        <v>42159.6</v>
      </c>
      <c r="F83" s="97">
        <v>42</v>
      </c>
      <c r="G83" s="97">
        <v>36136.799999999996</v>
      </c>
      <c r="H83" s="97">
        <v>43</v>
      </c>
      <c r="I83" s="97">
        <v>36997.199999999997</v>
      </c>
      <c r="J83" s="97">
        <v>54</v>
      </c>
      <c r="K83" s="97">
        <v>46461.599999999999</v>
      </c>
      <c r="L83" s="97">
        <v>35</v>
      </c>
      <c r="M83" s="97">
        <v>30114</v>
      </c>
      <c r="N83" s="97">
        <v>31</v>
      </c>
      <c r="O83" s="97">
        <v>26672.399999999998</v>
      </c>
      <c r="P83" s="97">
        <v>27</v>
      </c>
      <c r="Q83" s="97">
        <v>23230.799999999999</v>
      </c>
      <c r="R83" s="97">
        <v>33</v>
      </c>
      <c r="S83" s="97">
        <v>28393.200000000001</v>
      </c>
      <c r="T83" s="97">
        <v>25</v>
      </c>
      <c r="U83" s="97">
        <v>21510</v>
      </c>
      <c r="V83" s="97">
        <v>23</v>
      </c>
      <c r="W83" s="97">
        <v>19789.2</v>
      </c>
      <c r="X83" s="97">
        <v>28</v>
      </c>
      <c r="Y83" s="97">
        <v>24091.200000000001</v>
      </c>
      <c r="Z83" s="97">
        <v>18</v>
      </c>
      <c r="AA83" s="97">
        <v>15487.199999999999</v>
      </c>
      <c r="AB83" s="97">
        <v>17</v>
      </c>
      <c r="AC83" s="97">
        <v>14626.8</v>
      </c>
      <c r="AD83" s="97">
        <v>19</v>
      </c>
      <c r="AE83" s="97">
        <v>16347.6</v>
      </c>
      <c r="AF83" s="97">
        <v>19</v>
      </c>
      <c r="AG83" s="97">
        <v>16347.6</v>
      </c>
      <c r="AH83" s="97">
        <v>12</v>
      </c>
      <c r="AI83" s="97">
        <v>10324.799999999999</v>
      </c>
      <c r="AJ83" s="97">
        <v>9</v>
      </c>
      <c r="AK83" s="97">
        <v>7743.5999999999995</v>
      </c>
      <c r="AL83" s="97">
        <v>10</v>
      </c>
      <c r="AM83" s="97">
        <v>8604</v>
      </c>
      <c r="AN83" s="97">
        <v>9</v>
      </c>
      <c r="AO83" s="97">
        <v>7743.5999999999995</v>
      </c>
      <c r="AP83" s="97">
        <v>7</v>
      </c>
      <c r="AQ83" s="97">
        <v>6022.8</v>
      </c>
      <c r="AR83" s="97">
        <v>8</v>
      </c>
      <c r="AS83" s="97">
        <v>6883.2</v>
      </c>
      <c r="AT83" s="97">
        <v>6</v>
      </c>
      <c r="AU83" s="97">
        <v>5162.3999999999996</v>
      </c>
      <c r="AV83" s="97">
        <v>7</v>
      </c>
      <c r="AW83" s="97">
        <v>6022.8</v>
      </c>
      <c r="AX83" s="97">
        <v>9</v>
      </c>
      <c r="AY83" s="97">
        <v>7743.5999999999995</v>
      </c>
      <c r="AZ83" s="97">
        <v>8</v>
      </c>
      <c r="BA83" s="97">
        <v>6883.2</v>
      </c>
      <c r="BB83" s="97">
        <v>5</v>
      </c>
      <c r="BC83" s="97">
        <v>4302</v>
      </c>
      <c r="BD83" s="97">
        <v>6</v>
      </c>
      <c r="BE83" s="97">
        <v>5162.3999999999996</v>
      </c>
      <c r="BF83" s="97">
        <v>7</v>
      </c>
      <c r="BG83" s="97">
        <v>6022.8</v>
      </c>
      <c r="BH83" s="97">
        <v>5</v>
      </c>
      <c r="BI83" s="97">
        <v>4302</v>
      </c>
      <c r="BJ83" s="97">
        <v>6</v>
      </c>
      <c r="BK83" s="97">
        <v>5162.3999999999996</v>
      </c>
      <c r="BL83" s="97">
        <v>6</v>
      </c>
      <c r="BM83" s="97">
        <v>5162.3999999999996</v>
      </c>
      <c r="BN83" s="97">
        <v>5</v>
      </c>
      <c r="BO83" s="97">
        <v>4302</v>
      </c>
      <c r="BP83" s="97">
        <v>4</v>
      </c>
      <c r="BQ83" s="97">
        <v>3441.6</v>
      </c>
      <c r="BR83" s="97">
        <v>3</v>
      </c>
      <c r="BS83" s="97">
        <v>2581.1999999999998</v>
      </c>
      <c r="BT83" s="97">
        <v>6</v>
      </c>
      <c r="BU83" s="97">
        <v>5162.3999999999996</v>
      </c>
      <c r="BV83" s="97">
        <v>6</v>
      </c>
      <c r="BW83" s="97">
        <v>5162.3999999999996</v>
      </c>
      <c r="BX83" s="97">
        <v>5</v>
      </c>
      <c r="BY83" s="97">
        <v>4302</v>
      </c>
      <c r="BZ83" s="97">
        <v>5</v>
      </c>
      <c r="CA83" s="97">
        <v>4302</v>
      </c>
      <c r="CB83" s="97">
        <v>3</v>
      </c>
      <c r="CC83" s="97">
        <v>2581.1999999999998</v>
      </c>
      <c r="CD83" s="97">
        <v>4</v>
      </c>
      <c r="CE83" s="97">
        <v>3441.6</v>
      </c>
      <c r="CF83" s="97">
        <v>3</v>
      </c>
      <c r="CG83" s="97">
        <v>2581.1999999999998</v>
      </c>
      <c r="CH83" s="97">
        <v>4</v>
      </c>
      <c r="CI83" s="97">
        <v>3441.6</v>
      </c>
      <c r="CJ83" s="97">
        <v>3</v>
      </c>
      <c r="CK83" s="97">
        <v>2581.1999999999998</v>
      </c>
      <c r="CL83" s="97">
        <v>3</v>
      </c>
      <c r="CM83" s="97">
        <v>2581.1999999999998</v>
      </c>
      <c r="CN83" s="97">
        <v>3</v>
      </c>
      <c r="CO83" s="97">
        <v>2581.1999999999998</v>
      </c>
      <c r="CP83" s="97">
        <v>2</v>
      </c>
      <c r="CQ83" s="97">
        <v>1720.8</v>
      </c>
      <c r="CR83" s="97">
        <v>3</v>
      </c>
      <c r="CS83" s="97">
        <v>2581.1999999999998</v>
      </c>
      <c r="CT83" s="97">
        <v>4</v>
      </c>
      <c r="CU83" s="97">
        <v>3441.6</v>
      </c>
    </row>
    <row r="84" spans="2:99" x14ac:dyDescent="0.15">
      <c r="C84" s="96" t="s">
        <v>249</v>
      </c>
      <c r="D84" s="97">
        <v>46</v>
      </c>
      <c r="E84" s="97">
        <v>35935.199999999997</v>
      </c>
      <c r="F84" s="97">
        <v>36</v>
      </c>
      <c r="G84" s="97">
        <v>28123.199999999997</v>
      </c>
      <c r="H84" s="97">
        <v>40</v>
      </c>
      <c r="I84" s="97">
        <v>31247.999999999996</v>
      </c>
      <c r="J84" s="97">
        <v>61</v>
      </c>
      <c r="K84" s="97">
        <v>47653.2</v>
      </c>
      <c r="L84" s="97">
        <v>38</v>
      </c>
      <c r="M84" s="97">
        <v>29685.599999999999</v>
      </c>
      <c r="N84" s="97">
        <v>32</v>
      </c>
      <c r="O84" s="97">
        <v>24998.399999999998</v>
      </c>
      <c r="P84" s="97">
        <v>29</v>
      </c>
      <c r="Q84" s="97">
        <v>22654.799999999999</v>
      </c>
      <c r="R84" s="97">
        <v>28</v>
      </c>
      <c r="S84" s="97">
        <v>21873.599999999999</v>
      </c>
      <c r="T84" s="97">
        <v>25</v>
      </c>
      <c r="U84" s="97">
        <v>19530</v>
      </c>
      <c r="V84" s="97">
        <v>23</v>
      </c>
      <c r="W84" s="97">
        <v>17967.599999999999</v>
      </c>
      <c r="X84" s="97">
        <v>27</v>
      </c>
      <c r="Y84" s="97">
        <v>21092.399999999998</v>
      </c>
      <c r="Z84" s="97">
        <v>18</v>
      </c>
      <c r="AA84" s="97">
        <v>14061.599999999999</v>
      </c>
      <c r="AB84" s="97">
        <v>18</v>
      </c>
      <c r="AC84" s="97">
        <v>14061.599999999999</v>
      </c>
      <c r="AD84" s="97">
        <v>16</v>
      </c>
      <c r="AE84" s="97">
        <v>12499.199999999999</v>
      </c>
      <c r="AF84" s="97">
        <v>18</v>
      </c>
      <c r="AG84" s="97">
        <v>14061.599999999999</v>
      </c>
      <c r="AH84" s="97">
        <v>13</v>
      </c>
      <c r="AI84" s="97">
        <v>10155.599999999999</v>
      </c>
      <c r="AJ84" s="97">
        <v>8</v>
      </c>
      <c r="AK84" s="97">
        <v>6249.5999999999995</v>
      </c>
      <c r="AL84" s="97">
        <v>10</v>
      </c>
      <c r="AM84" s="97">
        <v>7811.9999999999991</v>
      </c>
      <c r="AN84" s="97">
        <v>9</v>
      </c>
      <c r="AO84" s="97">
        <v>7030.7999999999993</v>
      </c>
      <c r="AP84" s="97">
        <v>8</v>
      </c>
      <c r="AQ84" s="97">
        <v>6249.5999999999995</v>
      </c>
      <c r="AR84" s="97">
        <v>8</v>
      </c>
      <c r="AS84" s="97">
        <v>6249.5999999999995</v>
      </c>
      <c r="AT84" s="97">
        <v>6</v>
      </c>
      <c r="AU84" s="97">
        <v>4687.2</v>
      </c>
      <c r="AV84" s="97">
        <v>6</v>
      </c>
      <c r="AW84" s="97">
        <v>4687.2</v>
      </c>
      <c r="AX84" s="97">
        <v>10</v>
      </c>
      <c r="AY84" s="97">
        <v>7811.9999999999991</v>
      </c>
      <c r="AZ84" s="97">
        <v>9</v>
      </c>
      <c r="BA84" s="97">
        <v>7030.7999999999993</v>
      </c>
      <c r="BB84" s="97">
        <v>5</v>
      </c>
      <c r="BC84" s="97">
        <v>3905.9999999999995</v>
      </c>
      <c r="BD84" s="97">
        <v>7</v>
      </c>
      <c r="BE84" s="97">
        <v>5468.4</v>
      </c>
      <c r="BF84" s="97">
        <v>6</v>
      </c>
      <c r="BG84" s="97">
        <v>4687.2</v>
      </c>
      <c r="BH84" s="97">
        <v>5</v>
      </c>
      <c r="BI84" s="97">
        <v>3905.9999999999995</v>
      </c>
      <c r="BJ84" s="97">
        <v>6</v>
      </c>
      <c r="BK84" s="97">
        <v>4687.2</v>
      </c>
      <c r="BL84" s="97">
        <v>5</v>
      </c>
      <c r="BM84" s="97">
        <v>3905.9999999999995</v>
      </c>
      <c r="BN84" s="97">
        <v>5</v>
      </c>
      <c r="BO84" s="97">
        <v>3905.9999999999995</v>
      </c>
      <c r="BP84" s="97">
        <v>4</v>
      </c>
      <c r="BQ84" s="97">
        <v>3124.7999999999997</v>
      </c>
      <c r="BR84" s="97">
        <v>4</v>
      </c>
      <c r="BS84" s="97">
        <v>3124.7999999999997</v>
      </c>
      <c r="BT84" s="97">
        <v>6</v>
      </c>
      <c r="BU84" s="97">
        <v>4687.2</v>
      </c>
      <c r="BV84" s="97">
        <v>6</v>
      </c>
      <c r="BW84" s="97">
        <v>4687.2</v>
      </c>
      <c r="BX84" s="97">
        <v>5</v>
      </c>
      <c r="BY84" s="97">
        <v>3905.9999999999995</v>
      </c>
      <c r="BZ84" s="97">
        <v>4</v>
      </c>
      <c r="CA84" s="97">
        <v>3124.7999999999997</v>
      </c>
      <c r="CB84" s="97">
        <v>2</v>
      </c>
      <c r="CC84" s="97">
        <v>1562.3999999999999</v>
      </c>
      <c r="CD84" s="97">
        <v>3</v>
      </c>
      <c r="CE84" s="97">
        <v>2343.6</v>
      </c>
      <c r="CF84" s="97">
        <v>3</v>
      </c>
      <c r="CG84" s="97">
        <v>2343.6</v>
      </c>
      <c r="CH84" s="97">
        <v>4</v>
      </c>
      <c r="CI84" s="97">
        <v>3124.7999999999997</v>
      </c>
      <c r="CJ84" s="97">
        <v>4</v>
      </c>
      <c r="CK84" s="97">
        <v>3124.7999999999997</v>
      </c>
      <c r="CL84" s="97">
        <v>3</v>
      </c>
      <c r="CM84" s="97">
        <v>2343.6</v>
      </c>
      <c r="CN84" s="97">
        <v>3</v>
      </c>
      <c r="CO84" s="97">
        <v>2343.6</v>
      </c>
      <c r="CP84" s="97">
        <v>2</v>
      </c>
      <c r="CQ84" s="97">
        <v>1562.3999999999999</v>
      </c>
      <c r="CR84" s="97">
        <v>3</v>
      </c>
      <c r="CS84" s="97">
        <v>2343.6</v>
      </c>
      <c r="CT84" s="97">
        <v>3</v>
      </c>
      <c r="CU84" s="97">
        <v>2343.6</v>
      </c>
    </row>
    <row r="85" spans="2:99" x14ac:dyDescent="0.15">
      <c r="C85" s="96" t="s">
        <v>250</v>
      </c>
      <c r="D85" s="97">
        <v>55</v>
      </c>
      <c r="E85" s="97">
        <v>8250</v>
      </c>
      <c r="F85" s="97">
        <v>49</v>
      </c>
      <c r="G85" s="97">
        <v>7350</v>
      </c>
      <c r="H85" s="97">
        <v>50</v>
      </c>
      <c r="I85" s="97">
        <v>7500</v>
      </c>
      <c r="J85" s="97">
        <v>64</v>
      </c>
      <c r="K85" s="97">
        <v>9600</v>
      </c>
      <c r="L85" s="97">
        <v>46</v>
      </c>
      <c r="M85" s="97">
        <v>6900</v>
      </c>
      <c r="N85" s="97">
        <v>36</v>
      </c>
      <c r="O85" s="97">
        <v>5400</v>
      </c>
      <c r="P85" s="97">
        <v>29</v>
      </c>
      <c r="Q85" s="97">
        <v>4350</v>
      </c>
      <c r="R85" s="97">
        <v>32</v>
      </c>
      <c r="S85" s="97">
        <v>4800</v>
      </c>
      <c r="T85" s="97">
        <v>28</v>
      </c>
      <c r="U85" s="97">
        <v>4200</v>
      </c>
      <c r="V85" s="97">
        <v>29</v>
      </c>
      <c r="W85" s="97">
        <v>4350</v>
      </c>
      <c r="X85" s="97">
        <v>29</v>
      </c>
      <c r="Y85" s="97">
        <v>4350</v>
      </c>
      <c r="Z85" s="97">
        <v>19</v>
      </c>
      <c r="AA85" s="97">
        <v>2850</v>
      </c>
      <c r="AB85" s="97">
        <v>19</v>
      </c>
      <c r="AC85" s="97">
        <v>2850</v>
      </c>
      <c r="AD85" s="97">
        <v>20</v>
      </c>
      <c r="AE85" s="97">
        <v>3000</v>
      </c>
      <c r="AF85" s="97">
        <v>20</v>
      </c>
      <c r="AG85" s="97">
        <v>3000</v>
      </c>
      <c r="AH85" s="97">
        <v>15</v>
      </c>
      <c r="AI85" s="97">
        <v>2250</v>
      </c>
      <c r="AJ85" s="97">
        <v>10</v>
      </c>
      <c r="AK85" s="97">
        <v>1500</v>
      </c>
      <c r="AL85" s="97">
        <v>11</v>
      </c>
      <c r="AM85" s="97">
        <v>1650</v>
      </c>
      <c r="AN85" s="97">
        <v>10</v>
      </c>
      <c r="AO85" s="97">
        <v>1500</v>
      </c>
      <c r="AP85" s="97">
        <v>8</v>
      </c>
      <c r="AQ85" s="97">
        <v>1200</v>
      </c>
      <c r="AR85" s="97">
        <v>9</v>
      </c>
      <c r="AS85" s="97">
        <v>1350</v>
      </c>
      <c r="AT85" s="97">
        <v>7</v>
      </c>
      <c r="AU85" s="97">
        <v>1050</v>
      </c>
      <c r="AV85" s="97">
        <v>8</v>
      </c>
      <c r="AW85" s="97">
        <v>1200</v>
      </c>
      <c r="AX85" s="97">
        <v>10</v>
      </c>
      <c r="AY85" s="97">
        <v>1500</v>
      </c>
      <c r="AZ85" s="97">
        <v>9</v>
      </c>
      <c r="BA85" s="97">
        <v>1350</v>
      </c>
      <c r="BB85" s="97">
        <v>5</v>
      </c>
      <c r="BC85" s="97">
        <v>750</v>
      </c>
      <c r="BD85" s="97">
        <v>7</v>
      </c>
      <c r="BE85" s="97">
        <v>1050</v>
      </c>
      <c r="BF85" s="97">
        <v>7</v>
      </c>
      <c r="BG85" s="97">
        <v>1050</v>
      </c>
      <c r="BH85" s="97">
        <v>6</v>
      </c>
      <c r="BI85" s="97">
        <v>900</v>
      </c>
      <c r="BJ85" s="97">
        <v>7</v>
      </c>
      <c r="BK85" s="97">
        <v>1050</v>
      </c>
      <c r="BL85" s="97">
        <v>6</v>
      </c>
      <c r="BM85" s="97">
        <v>900</v>
      </c>
      <c r="BN85" s="97">
        <v>6</v>
      </c>
      <c r="BO85" s="97">
        <v>900</v>
      </c>
      <c r="BP85" s="97">
        <v>5</v>
      </c>
      <c r="BQ85" s="97">
        <v>750</v>
      </c>
      <c r="BR85" s="97">
        <v>4</v>
      </c>
      <c r="BS85" s="97">
        <v>600</v>
      </c>
      <c r="BT85" s="97">
        <v>5</v>
      </c>
      <c r="BU85" s="97">
        <v>750</v>
      </c>
      <c r="BV85" s="97">
        <v>6</v>
      </c>
      <c r="BW85" s="97">
        <v>900</v>
      </c>
      <c r="BX85" s="97">
        <v>5</v>
      </c>
      <c r="BY85" s="97">
        <v>750</v>
      </c>
      <c r="BZ85" s="97">
        <v>5</v>
      </c>
      <c r="CA85" s="97">
        <v>750</v>
      </c>
      <c r="CB85" s="97">
        <v>3</v>
      </c>
      <c r="CC85" s="97">
        <v>450</v>
      </c>
      <c r="CD85" s="97">
        <v>4</v>
      </c>
      <c r="CE85" s="97">
        <v>600</v>
      </c>
      <c r="CF85" s="97">
        <v>3</v>
      </c>
      <c r="CG85" s="97">
        <v>450</v>
      </c>
      <c r="CH85" s="97">
        <v>4</v>
      </c>
      <c r="CI85" s="97">
        <v>600</v>
      </c>
      <c r="CJ85" s="97">
        <v>4</v>
      </c>
      <c r="CK85" s="97">
        <v>600</v>
      </c>
      <c r="CL85" s="97">
        <v>3</v>
      </c>
      <c r="CM85" s="97">
        <v>450</v>
      </c>
      <c r="CN85" s="97">
        <v>3</v>
      </c>
      <c r="CO85" s="97">
        <v>450</v>
      </c>
      <c r="CP85" s="97">
        <v>2</v>
      </c>
      <c r="CQ85" s="97">
        <v>300</v>
      </c>
      <c r="CR85" s="97">
        <v>2</v>
      </c>
      <c r="CS85" s="97">
        <v>300</v>
      </c>
      <c r="CT85" s="97">
        <v>4</v>
      </c>
      <c r="CU85" s="97">
        <v>600</v>
      </c>
    </row>
    <row r="86" spans="2:99" x14ac:dyDescent="0.15">
      <c r="C86" s="96" t="s">
        <v>251</v>
      </c>
      <c r="D86" s="97">
        <v>47</v>
      </c>
      <c r="E86" s="97">
        <v>25380</v>
      </c>
      <c r="F86" s="97">
        <v>45</v>
      </c>
      <c r="G86" s="97">
        <v>24300</v>
      </c>
      <c r="H86" s="97">
        <v>44</v>
      </c>
      <c r="I86" s="97">
        <v>23760</v>
      </c>
      <c r="J86" s="97">
        <v>57</v>
      </c>
      <c r="K86" s="97">
        <v>30780</v>
      </c>
      <c r="L86" s="97">
        <v>38</v>
      </c>
      <c r="M86" s="97">
        <v>20520</v>
      </c>
      <c r="N86" s="97">
        <v>35</v>
      </c>
      <c r="O86" s="97">
        <v>18900</v>
      </c>
      <c r="P86" s="97">
        <v>30</v>
      </c>
      <c r="Q86" s="97">
        <v>16200</v>
      </c>
      <c r="R86" s="97">
        <v>30</v>
      </c>
      <c r="S86" s="97">
        <v>16200</v>
      </c>
      <c r="T86" s="97">
        <v>25</v>
      </c>
      <c r="U86" s="97">
        <v>13500</v>
      </c>
      <c r="V86" s="97">
        <v>24</v>
      </c>
      <c r="W86" s="97">
        <v>12960</v>
      </c>
      <c r="X86" s="97">
        <v>30</v>
      </c>
      <c r="Y86" s="97">
        <v>16200</v>
      </c>
      <c r="Z86" s="97">
        <v>17</v>
      </c>
      <c r="AA86" s="97">
        <v>9180</v>
      </c>
      <c r="AB86" s="97">
        <v>20</v>
      </c>
      <c r="AC86" s="97">
        <v>10800</v>
      </c>
      <c r="AD86" s="97">
        <v>20</v>
      </c>
      <c r="AE86" s="97">
        <v>10800</v>
      </c>
      <c r="AF86" s="97">
        <v>18</v>
      </c>
      <c r="AG86" s="97">
        <v>9720</v>
      </c>
      <c r="AH86" s="97">
        <v>12</v>
      </c>
      <c r="AI86" s="97">
        <v>6480</v>
      </c>
      <c r="AJ86" s="97">
        <v>9</v>
      </c>
      <c r="AK86" s="97">
        <v>4860</v>
      </c>
      <c r="AL86" s="97">
        <v>9</v>
      </c>
      <c r="AM86" s="97">
        <v>4860</v>
      </c>
      <c r="AN86" s="97">
        <v>8</v>
      </c>
      <c r="AO86" s="97">
        <v>4320</v>
      </c>
      <c r="AP86" s="97">
        <v>7</v>
      </c>
      <c r="AQ86" s="97">
        <v>3780</v>
      </c>
      <c r="AR86" s="97">
        <v>8</v>
      </c>
      <c r="AS86" s="97">
        <v>4320</v>
      </c>
      <c r="AT86" s="97">
        <v>7</v>
      </c>
      <c r="AU86" s="97">
        <v>3780</v>
      </c>
      <c r="AV86" s="97">
        <v>7</v>
      </c>
      <c r="AW86" s="97">
        <v>3780</v>
      </c>
      <c r="AX86" s="97">
        <v>10</v>
      </c>
      <c r="AY86" s="97">
        <v>5400</v>
      </c>
      <c r="AZ86" s="97">
        <v>9</v>
      </c>
      <c r="BA86" s="97">
        <v>4860</v>
      </c>
      <c r="BB86" s="97">
        <v>4</v>
      </c>
      <c r="BC86" s="97">
        <v>2160</v>
      </c>
      <c r="BD86" s="97">
        <v>7</v>
      </c>
      <c r="BE86" s="97">
        <v>3780</v>
      </c>
      <c r="BF86" s="97">
        <v>6</v>
      </c>
      <c r="BG86" s="97">
        <v>3240</v>
      </c>
      <c r="BH86" s="97">
        <v>6</v>
      </c>
      <c r="BI86" s="97">
        <v>3240</v>
      </c>
      <c r="BJ86" s="97">
        <v>7</v>
      </c>
      <c r="BK86" s="97">
        <v>3780</v>
      </c>
      <c r="BL86" s="97">
        <v>5</v>
      </c>
      <c r="BM86" s="97">
        <v>2700</v>
      </c>
      <c r="BN86" s="97">
        <v>5</v>
      </c>
      <c r="BO86" s="97">
        <v>2700</v>
      </c>
      <c r="BP86" s="97">
        <v>5</v>
      </c>
      <c r="BQ86" s="97">
        <v>2700</v>
      </c>
      <c r="BR86" s="97">
        <v>3</v>
      </c>
      <c r="BS86" s="97">
        <v>1620</v>
      </c>
      <c r="BT86" s="97">
        <v>6</v>
      </c>
      <c r="BU86" s="97">
        <v>3240</v>
      </c>
      <c r="BV86" s="97">
        <v>6</v>
      </c>
      <c r="BW86" s="97">
        <v>3240</v>
      </c>
      <c r="BX86" s="97">
        <v>5</v>
      </c>
      <c r="BY86" s="97">
        <v>2700</v>
      </c>
      <c r="BZ86" s="97">
        <v>5</v>
      </c>
      <c r="CA86" s="97">
        <v>2700</v>
      </c>
      <c r="CB86" s="97">
        <v>3</v>
      </c>
      <c r="CC86" s="97">
        <v>1620</v>
      </c>
      <c r="CD86" s="97">
        <v>3</v>
      </c>
      <c r="CE86" s="97">
        <v>1620</v>
      </c>
      <c r="CF86" s="97">
        <v>3</v>
      </c>
      <c r="CG86" s="97">
        <v>1620</v>
      </c>
      <c r="CH86" s="97">
        <v>4</v>
      </c>
      <c r="CI86" s="97">
        <v>2160</v>
      </c>
      <c r="CJ86" s="97">
        <v>3</v>
      </c>
      <c r="CK86" s="97">
        <v>1620</v>
      </c>
      <c r="CL86" s="97">
        <v>4</v>
      </c>
      <c r="CM86" s="97">
        <v>2160</v>
      </c>
      <c r="CN86" s="97">
        <v>3</v>
      </c>
      <c r="CO86" s="97">
        <v>1620</v>
      </c>
      <c r="CP86" s="97">
        <v>2</v>
      </c>
      <c r="CQ86" s="97">
        <v>1080</v>
      </c>
      <c r="CR86" s="97">
        <v>2</v>
      </c>
      <c r="CS86" s="97">
        <v>1080</v>
      </c>
      <c r="CT86" s="97">
        <v>3</v>
      </c>
      <c r="CU86" s="97">
        <v>1620</v>
      </c>
    </row>
    <row r="87" spans="2:99" x14ac:dyDescent="0.15">
      <c r="B87" s="96" t="s">
        <v>131</v>
      </c>
      <c r="C87" s="96" t="s">
        <v>252</v>
      </c>
      <c r="D87" s="97">
        <v>44</v>
      </c>
      <c r="E87" s="97">
        <v>86011.199999999997</v>
      </c>
      <c r="F87" s="97">
        <v>50</v>
      </c>
      <c r="G87" s="97">
        <v>97740</v>
      </c>
      <c r="H87" s="97">
        <v>39</v>
      </c>
      <c r="I87" s="97">
        <v>76237.2</v>
      </c>
      <c r="J87" s="97">
        <v>61</v>
      </c>
      <c r="K87" s="97">
        <v>119242.8</v>
      </c>
      <c r="L87" s="97">
        <v>39</v>
      </c>
      <c r="M87" s="97">
        <v>76237.2</v>
      </c>
      <c r="N87" s="97">
        <v>31</v>
      </c>
      <c r="O87" s="97">
        <v>60598.799999999996</v>
      </c>
      <c r="P87" s="97">
        <v>32</v>
      </c>
      <c r="Q87" s="97">
        <v>62553.599999999999</v>
      </c>
      <c r="R87" s="97">
        <v>45</v>
      </c>
      <c r="S87" s="97">
        <v>87966</v>
      </c>
      <c r="T87" s="97">
        <v>20</v>
      </c>
      <c r="U87" s="97">
        <v>39096</v>
      </c>
      <c r="V87" s="97">
        <v>17</v>
      </c>
      <c r="W87" s="97">
        <v>33231.599999999999</v>
      </c>
      <c r="X87" s="97">
        <v>18</v>
      </c>
      <c r="Y87" s="97">
        <v>35186.400000000001</v>
      </c>
      <c r="Z87" s="97">
        <v>23</v>
      </c>
      <c r="AA87" s="97">
        <v>44960.4</v>
      </c>
      <c r="AB87" s="97">
        <v>15</v>
      </c>
      <c r="AC87" s="97">
        <v>29322</v>
      </c>
      <c r="AD87" s="97">
        <v>20</v>
      </c>
      <c r="AE87" s="97">
        <v>39096</v>
      </c>
      <c r="AF87" s="97">
        <v>18</v>
      </c>
      <c r="AG87" s="97">
        <v>35186.400000000001</v>
      </c>
      <c r="AH87" s="97">
        <v>12</v>
      </c>
      <c r="AI87" s="97">
        <v>23457.599999999999</v>
      </c>
      <c r="AJ87" s="97">
        <v>18</v>
      </c>
      <c r="AK87" s="97">
        <v>35186.400000000001</v>
      </c>
      <c r="AL87" s="97">
        <v>15</v>
      </c>
      <c r="AM87" s="97">
        <v>29322</v>
      </c>
      <c r="AN87" s="97">
        <v>10</v>
      </c>
      <c r="AO87" s="97">
        <v>19548</v>
      </c>
      <c r="AP87" s="97">
        <v>17</v>
      </c>
      <c r="AQ87" s="97">
        <v>33231.599999999999</v>
      </c>
      <c r="AR87" s="97">
        <v>9</v>
      </c>
      <c r="AS87" s="97">
        <v>17593.2</v>
      </c>
      <c r="AT87" s="97">
        <v>11</v>
      </c>
      <c r="AU87" s="97">
        <v>21502.799999999999</v>
      </c>
      <c r="AV87" s="97">
        <v>9</v>
      </c>
      <c r="AW87" s="97">
        <v>17593.2</v>
      </c>
      <c r="AX87" s="97">
        <v>12</v>
      </c>
      <c r="AY87" s="97">
        <v>23457.599999999999</v>
      </c>
      <c r="AZ87" s="97">
        <v>10</v>
      </c>
      <c r="BA87" s="97">
        <v>19548</v>
      </c>
      <c r="BB87" s="97">
        <v>6</v>
      </c>
      <c r="BC87" s="97">
        <v>11728.8</v>
      </c>
      <c r="BD87" s="97">
        <v>8</v>
      </c>
      <c r="BE87" s="97">
        <v>15638.4</v>
      </c>
      <c r="BF87" s="97">
        <v>7</v>
      </c>
      <c r="BG87" s="97">
        <v>13683.6</v>
      </c>
      <c r="BH87" s="97">
        <v>10</v>
      </c>
      <c r="BI87" s="97">
        <v>19548</v>
      </c>
      <c r="BJ87" s="97">
        <v>7</v>
      </c>
      <c r="BK87" s="97">
        <v>13683.6</v>
      </c>
      <c r="BL87" s="97">
        <v>7</v>
      </c>
      <c r="BM87" s="97">
        <v>13683.6</v>
      </c>
      <c r="BN87" s="97">
        <v>4</v>
      </c>
      <c r="BO87" s="97">
        <v>7819.2</v>
      </c>
      <c r="BP87" s="97">
        <v>6</v>
      </c>
      <c r="BQ87" s="97">
        <v>11728.8</v>
      </c>
      <c r="BR87" s="97">
        <v>6</v>
      </c>
      <c r="BS87" s="97">
        <v>11728.8</v>
      </c>
      <c r="BT87" s="97">
        <v>5</v>
      </c>
      <c r="BU87" s="97">
        <v>9774</v>
      </c>
      <c r="BV87" s="97">
        <v>7</v>
      </c>
      <c r="BW87" s="97">
        <v>13683.6</v>
      </c>
      <c r="BX87" s="97">
        <v>3</v>
      </c>
      <c r="BY87" s="97">
        <v>5864.4</v>
      </c>
      <c r="BZ87" s="97">
        <v>6</v>
      </c>
      <c r="CA87" s="97">
        <v>11728.8</v>
      </c>
      <c r="CB87" s="97">
        <v>4</v>
      </c>
      <c r="CC87" s="97">
        <v>7819.2</v>
      </c>
      <c r="CD87" s="97">
        <v>6</v>
      </c>
      <c r="CE87" s="97">
        <v>11728.8</v>
      </c>
      <c r="CF87" s="97">
        <v>3</v>
      </c>
      <c r="CG87" s="97">
        <v>5864.4</v>
      </c>
      <c r="CH87" s="97">
        <v>4</v>
      </c>
      <c r="CI87" s="97">
        <v>7819.2</v>
      </c>
      <c r="CJ87" s="97">
        <v>4</v>
      </c>
      <c r="CK87" s="97">
        <v>7819.2</v>
      </c>
      <c r="CL87" s="97">
        <v>5</v>
      </c>
      <c r="CM87" s="97">
        <v>9774</v>
      </c>
      <c r="CN87" s="97">
        <v>3</v>
      </c>
      <c r="CO87" s="97">
        <v>5864.4</v>
      </c>
      <c r="CP87" s="97">
        <v>4</v>
      </c>
      <c r="CQ87" s="97">
        <v>7819.2</v>
      </c>
      <c r="CR87" s="97">
        <v>4</v>
      </c>
      <c r="CS87" s="97">
        <v>7819.2</v>
      </c>
      <c r="CT87" s="97">
        <v>3</v>
      </c>
      <c r="CU87" s="97">
        <v>5864.4</v>
      </c>
    </row>
    <row r="88" spans="2:99" x14ac:dyDescent="0.15">
      <c r="C88" s="96" t="s">
        <v>253</v>
      </c>
      <c r="D88" s="97">
        <v>47</v>
      </c>
      <c r="E88" s="97">
        <v>88942.799999999988</v>
      </c>
      <c r="F88" s="97">
        <v>43</v>
      </c>
      <c r="G88" s="97">
        <v>81373.2</v>
      </c>
      <c r="H88" s="97">
        <v>43</v>
      </c>
      <c r="I88" s="97">
        <v>81373.2</v>
      </c>
      <c r="J88" s="97">
        <v>59</v>
      </c>
      <c r="K88" s="97">
        <v>111651.59999999999</v>
      </c>
      <c r="L88" s="97">
        <v>38</v>
      </c>
      <c r="M88" s="97">
        <v>71911.199999999997</v>
      </c>
      <c r="N88" s="97">
        <v>34</v>
      </c>
      <c r="O88" s="97">
        <v>64341.599999999999</v>
      </c>
      <c r="P88" s="97">
        <v>29</v>
      </c>
      <c r="Q88" s="97">
        <v>54879.6</v>
      </c>
      <c r="R88" s="97">
        <v>47</v>
      </c>
      <c r="S88" s="97">
        <v>88942.799999999988</v>
      </c>
      <c r="T88" s="97">
        <v>20</v>
      </c>
      <c r="U88" s="97">
        <v>37848</v>
      </c>
      <c r="V88" s="97">
        <v>18</v>
      </c>
      <c r="W88" s="97">
        <v>34063.199999999997</v>
      </c>
      <c r="X88" s="97">
        <v>18</v>
      </c>
      <c r="Y88" s="97">
        <v>34063.199999999997</v>
      </c>
      <c r="Z88" s="97">
        <v>25</v>
      </c>
      <c r="AA88" s="97">
        <v>47310</v>
      </c>
      <c r="AB88" s="97">
        <v>15</v>
      </c>
      <c r="AC88" s="97">
        <v>28385.999999999996</v>
      </c>
      <c r="AD88" s="97">
        <v>23</v>
      </c>
      <c r="AE88" s="97">
        <v>43525.2</v>
      </c>
      <c r="AF88" s="97">
        <v>18</v>
      </c>
      <c r="AG88" s="97">
        <v>34063.199999999997</v>
      </c>
      <c r="AH88" s="97">
        <v>14</v>
      </c>
      <c r="AI88" s="97">
        <v>26493.599999999999</v>
      </c>
      <c r="AJ88" s="97">
        <v>18</v>
      </c>
      <c r="AK88" s="97">
        <v>34063.199999999997</v>
      </c>
      <c r="AL88" s="97">
        <v>17</v>
      </c>
      <c r="AM88" s="97">
        <v>32170.799999999999</v>
      </c>
      <c r="AN88" s="97">
        <v>10</v>
      </c>
      <c r="AO88" s="97">
        <v>18924</v>
      </c>
      <c r="AP88" s="97">
        <v>15</v>
      </c>
      <c r="AQ88" s="97">
        <v>28385.999999999996</v>
      </c>
      <c r="AR88" s="97">
        <v>11</v>
      </c>
      <c r="AS88" s="97">
        <v>20816.399999999998</v>
      </c>
      <c r="AT88" s="97">
        <v>11</v>
      </c>
      <c r="AU88" s="97">
        <v>20816.399999999998</v>
      </c>
      <c r="AV88" s="97">
        <v>10</v>
      </c>
      <c r="AW88" s="97">
        <v>18924</v>
      </c>
      <c r="AX88" s="97">
        <v>12</v>
      </c>
      <c r="AY88" s="97">
        <v>22708.799999999999</v>
      </c>
      <c r="AZ88" s="97">
        <v>10</v>
      </c>
      <c r="BA88" s="97">
        <v>18924</v>
      </c>
      <c r="BB88" s="97">
        <v>6</v>
      </c>
      <c r="BC88" s="97">
        <v>11354.4</v>
      </c>
      <c r="BD88" s="97">
        <v>9</v>
      </c>
      <c r="BE88" s="97">
        <v>17031.599999999999</v>
      </c>
      <c r="BF88" s="97">
        <v>7</v>
      </c>
      <c r="BG88" s="97">
        <v>13246.8</v>
      </c>
      <c r="BH88" s="97">
        <v>9</v>
      </c>
      <c r="BI88" s="97">
        <v>17031.599999999999</v>
      </c>
      <c r="BJ88" s="97">
        <v>7</v>
      </c>
      <c r="BK88" s="97">
        <v>13246.8</v>
      </c>
      <c r="BL88" s="97">
        <v>6</v>
      </c>
      <c r="BM88" s="97">
        <v>11354.4</v>
      </c>
      <c r="BN88" s="97">
        <v>5</v>
      </c>
      <c r="BO88" s="97">
        <v>9462</v>
      </c>
      <c r="BP88" s="97">
        <v>7</v>
      </c>
      <c r="BQ88" s="97">
        <v>13246.8</v>
      </c>
      <c r="BR88" s="97">
        <v>5</v>
      </c>
      <c r="BS88" s="97">
        <v>9462</v>
      </c>
      <c r="BT88" s="97">
        <v>5</v>
      </c>
      <c r="BU88" s="97">
        <v>9462</v>
      </c>
      <c r="BV88" s="97">
        <v>7</v>
      </c>
      <c r="BW88" s="97">
        <v>13246.8</v>
      </c>
      <c r="BX88" s="97">
        <v>3</v>
      </c>
      <c r="BY88" s="97">
        <v>5677.2</v>
      </c>
      <c r="BZ88" s="97">
        <v>6</v>
      </c>
      <c r="CA88" s="97">
        <v>11354.4</v>
      </c>
      <c r="CB88" s="97">
        <v>4</v>
      </c>
      <c r="CC88" s="97">
        <v>7569.5999999999995</v>
      </c>
      <c r="CD88" s="97">
        <v>6</v>
      </c>
      <c r="CE88" s="97">
        <v>11354.4</v>
      </c>
      <c r="CF88" s="97">
        <v>3</v>
      </c>
      <c r="CG88" s="97">
        <v>5677.2</v>
      </c>
      <c r="CH88" s="97">
        <v>4</v>
      </c>
      <c r="CI88" s="97">
        <v>7569.5999999999995</v>
      </c>
      <c r="CJ88" s="97">
        <v>4</v>
      </c>
      <c r="CK88" s="97">
        <v>7569.5999999999995</v>
      </c>
      <c r="CL88" s="97">
        <v>5</v>
      </c>
      <c r="CM88" s="97">
        <v>9462</v>
      </c>
      <c r="CN88" s="97">
        <v>3</v>
      </c>
      <c r="CO88" s="97">
        <v>5677.2</v>
      </c>
      <c r="CP88" s="97">
        <v>5</v>
      </c>
      <c r="CQ88" s="97">
        <v>9462</v>
      </c>
      <c r="CR88" s="97">
        <v>4</v>
      </c>
      <c r="CS88" s="97">
        <v>7569.5999999999995</v>
      </c>
      <c r="CT88" s="97">
        <v>3</v>
      </c>
      <c r="CU88" s="97">
        <v>5677.2</v>
      </c>
    </row>
    <row r="89" spans="2:99" x14ac:dyDescent="0.15">
      <c r="C89" s="96" t="s">
        <v>254</v>
      </c>
      <c r="D89" s="97">
        <v>44</v>
      </c>
      <c r="E89" s="97">
        <v>105494.39999999999</v>
      </c>
      <c r="F89" s="97">
        <v>44</v>
      </c>
      <c r="G89" s="97">
        <v>105494.39999999999</v>
      </c>
      <c r="H89" s="97">
        <v>34</v>
      </c>
      <c r="I89" s="97">
        <v>81518.399999999994</v>
      </c>
      <c r="J89" s="97">
        <v>54</v>
      </c>
      <c r="K89" s="97">
        <v>129470.39999999999</v>
      </c>
      <c r="L89" s="97">
        <v>33</v>
      </c>
      <c r="M89" s="97">
        <v>79120.800000000003</v>
      </c>
      <c r="N89" s="97">
        <v>30</v>
      </c>
      <c r="O89" s="97">
        <v>71928</v>
      </c>
      <c r="P89" s="97">
        <v>26</v>
      </c>
      <c r="Q89" s="97">
        <v>62337.599999999999</v>
      </c>
      <c r="R89" s="97">
        <v>40</v>
      </c>
      <c r="S89" s="97">
        <v>95904</v>
      </c>
      <c r="T89" s="97">
        <v>19</v>
      </c>
      <c r="U89" s="97">
        <v>45554.400000000001</v>
      </c>
      <c r="V89" s="97">
        <v>16</v>
      </c>
      <c r="W89" s="97">
        <v>38361.599999999999</v>
      </c>
      <c r="X89" s="97">
        <v>18</v>
      </c>
      <c r="Y89" s="97">
        <v>43156.799999999996</v>
      </c>
      <c r="Z89" s="97">
        <v>22</v>
      </c>
      <c r="AA89" s="97">
        <v>52747.199999999997</v>
      </c>
      <c r="AB89" s="97">
        <v>13</v>
      </c>
      <c r="AC89" s="97">
        <v>31168.799999999999</v>
      </c>
      <c r="AD89" s="97">
        <v>20</v>
      </c>
      <c r="AE89" s="97">
        <v>47952</v>
      </c>
      <c r="AF89" s="97">
        <v>18</v>
      </c>
      <c r="AG89" s="97">
        <v>43156.799999999996</v>
      </c>
      <c r="AH89" s="97">
        <v>12</v>
      </c>
      <c r="AI89" s="97">
        <v>28771.199999999997</v>
      </c>
      <c r="AJ89" s="97">
        <v>16</v>
      </c>
      <c r="AK89" s="97">
        <v>38361.599999999999</v>
      </c>
      <c r="AL89" s="97">
        <v>14</v>
      </c>
      <c r="AM89" s="97">
        <v>33566.400000000001</v>
      </c>
      <c r="AN89" s="97">
        <v>10</v>
      </c>
      <c r="AO89" s="97">
        <v>23976</v>
      </c>
      <c r="AP89" s="97">
        <v>15</v>
      </c>
      <c r="AQ89" s="97">
        <v>35964</v>
      </c>
      <c r="AR89" s="97">
        <v>9</v>
      </c>
      <c r="AS89" s="97">
        <v>21578.399999999998</v>
      </c>
      <c r="AT89" s="97">
        <v>11</v>
      </c>
      <c r="AU89" s="97">
        <v>26373.599999999999</v>
      </c>
      <c r="AV89" s="97">
        <v>9</v>
      </c>
      <c r="AW89" s="97">
        <v>21578.399999999998</v>
      </c>
      <c r="AX89" s="97">
        <v>11</v>
      </c>
      <c r="AY89" s="97">
        <v>26373.599999999999</v>
      </c>
      <c r="AZ89" s="97">
        <v>10</v>
      </c>
      <c r="BA89" s="97">
        <v>23976</v>
      </c>
      <c r="BB89" s="97">
        <v>6</v>
      </c>
      <c r="BC89" s="97">
        <v>14385.599999999999</v>
      </c>
      <c r="BD89" s="97">
        <v>8</v>
      </c>
      <c r="BE89" s="97">
        <v>19180.8</v>
      </c>
      <c r="BF89" s="97">
        <v>8</v>
      </c>
      <c r="BG89" s="97">
        <v>19180.8</v>
      </c>
      <c r="BH89" s="97">
        <v>10</v>
      </c>
      <c r="BI89" s="97">
        <v>23976</v>
      </c>
      <c r="BJ89" s="97">
        <v>7</v>
      </c>
      <c r="BK89" s="97">
        <v>16783.2</v>
      </c>
      <c r="BL89" s="97">
        <v>6</v>
      </c>
      <c r="BM89" s="97">
        <v>14385.599999999999</v>
      </c>
      <c r="BN89" s="97">
        <v>5</v>
      </c>
      <c r="BO89" s="97">
        <v>11988</v>
      </c>
      <c r="BP89" s="97">
        <v>6</v>
      </c>
      <c r="BQ89" s="97">
        <v>14385.599999999999</v>
      </c>
      <c r="BR89" s="97">
        <v>5</v>
      </c>
      <c r="BS89" s="97">
        <v>11988</v>
      </c>
      <c r="BT89" s="97">
        <v>5</v>
      </c>
      <c r="BU89" s="97">
        <v>11988</v>
      </c>
      <c r="BV89" s="97">
        <v>7</v>
      </c>
      <c r="BW89" s="97">
        <v>16783.2</v>
      </c>
      <c r="BX89" s="97">
        <v>3</v>
      </c>
      <c r="BY89" s="97">
        <v>7192.7999999999993</v>
      </c>
      <c r="BZ89" s="97">
        <v>6</v>
      </c>
      <c r="CA89" s="97">
        <v>14385.599999999999</v>
      </c>
      <c r="CB89" s="97">
        <v>4</v>
      </c>
      <c r="CC89" s="97">
        <v>9590.4</v>
      </c>
      <c r="CD89" s="97">
        <v>6</v>
      </c>
      <c r="CE89" s="97">
        <v>14385.599999999999</v>
      </c>
      <c r="CF89" s="97">
        <v>3</v>
      </c>
      <c r="CG89" s="97">
        <v>7192.7999999999993</v>
      </c>
      <c r="CH89" s="97">
        <v>4</v>
      </c>
      <c r="CI89" s="97">
        <v>9590.4</v>
      </c>
      <c r="CJ89" s="97">
        <v>4</v>
      </c>
      <c r="CK89" s="97">
        <v>9590.4</v>
      </c>
      <c r="CL89" s="97">
        <v>5</v>
      </c>
      <c r="CM89" s="97">
        <v>11988</v>
      </c>
      <c r="CN89" s="97">
        <v>3</v>
      </c>
      <c r="CO89" s="97">
        <v>7192.7999999999993</v>
      </c>
      <c r="CP89" s="97">
        <v>4</v>
      </c>
      <c r="CQ89" s="97">
        <v>9590.4</v>
      </c>
      <c r="CR89" s="97">
        <v>4</v>
      </c>
      <c r="CS89" s="97">
        <v>9590.4</v>
      </c>
      <c r="CT89" s="97">
        <v>3</v>
      </c>
      <c r="CU89" s="97">
        <v>7192.7999999999993</v>
      </c>
    </row>
    <row r="90" spans="2:99" x14ac:dyDescent="0.15">
      <c r="C90" s="96" t="s">
        <v>255</v>
      </c>
      <c r="D90" s="97">
        <v>43</v>
      </c>
      <c r="E90" s="97">
        <v>94479.599999999991</v>
      </c>
      <c r="F90" s="97">
        <v>41</v>
      </c>
      <c r="G90" s="97">
        <v>90085.2</v>
      </c>
      <c r="H90" s="97">
        <v>37</v>
      </c>
      <c r="I90" s="97">
        <v>81296.399999999994</v>
      </c>
      <c r="J90" s="97">
        <v>58</v>
      </c>
      <c r="K90" s="97">
        <v>127437.59999999999</v>
      </c>
      <c r="L90" s="97">
        <v>36</v>
      </c>
      <c r="M90" s="97">
        <v>79099.199999999997</v>
      </c>
      <c r="N90" s="97">
        <v>28</v>
      </c>
      <c r="O90" s="97">
        <v>61521.599999999991</v>
      </c>
      <c r="P90" s="97">
        <v>31</v>
      </c>
      <c r="Q90" s="97">
        <v>68113.2</v>
      </c>
      <c r="R90" s="97">
        <v>44</v>
      </c>
      <c r="S90" s="97">
        <v>96676.799999999988</v>
      </c>
      <c r="T90" s="97">
        <v>21</v>
      </c>
      <c r="U90" s="97">
        <v>46141.2</v>
      </c>
      <c r="V90" s="97">
        <v>18</v>
      </c>
      <c r="W90" s="97">
        <v>39549.599999999999</v>
      </c>
      <c r="X90" s="97">
        <v>18</v>
      </c>
      <c r="Y90" s="97">
        <v>39549.599999999999</v>
      </c>
      <c r="Z90" s="97">
        <v>22</v>
      </c>
      <c r="AA90" s="97">
        <v>48338.399999999994</v>
      </c>
      <c r="AB90" s="97">
        <v>16</v>
      </c>
      <c r="AC90" s="97">
        <v>35155.199999999997</v>
      </c>
      <c r="AD90" s="97">
        <v>23</v>
      </c>
      <c r="AE90" s="97">
        <v>50535.6</v>
      </c>
      <c r="AF90" s="97">
        <v>19</v>
      </c>
      <c r="AG90" s="97">
        <v>41746.799999999996</v>
      </c>
      <c r="AH90" s="97">
        <v>13</v>
      </c>
      <c r="AI90" s="97">
        <v>28563.599999999999</v>
      </c>
      <c r="AJ90" s="97">
        <v>18</v>
      </c>
      <c r="AK90" s="97">
        <v>39549.599999999999</v>
      </c>
      <c r="AL90" s="97">
        <v>15</v>
      </c>
      <c r="AM90" s="97">
        <v>32958</v>
      </c>
      <c r="AN90" s="97">
        <v>9</v>
      </c>
      <c r="AO90" s="97">
        <v>19774.8</v>
      </c>
      <c r="AP90" s="97">
        <v>14</v>
      </c>
      <c r="AQ90" s="97">
        <v>30760.799999999996</v>
      </c>
      <c r="AR90" s="97">
        <v>9</v>
      </c>
      <c r="AS90" s="97">
        <v>19774.8</v>
      </c>
      <c r="AT90" s="97">
        <v>10</v>
      </c>
      <c r="AU90" s="97">
        <v>21972</v>
      </c>
      <c r="AV90" s="97">
        <v>9</v>
      </c>
      <c r="AW90" s="97">
        <v>19774.8</v>
      </c>
      <c r="AX90" s="97">
        <v>11</v>
      </c>
      <c r="AY90" s="97">
        <v>24169.199999999997</v>
      </c>
      <c r="AZ90" s="97">
        <v>10</v>
      </c>
      <c r="BA90" s="97">
        <v>21972</v>
      </c>
      <c r="BB90" s="97">
        <v>6</v>
      </c>
      <c r="BC90" s="97">
        <v>13183.199999999999</v>
      </c>
      <c r="BD90" s="97">
        <v>8</v>
      </c>
      <c r="BE90" s="97">
        <v>17577.599999999999</v>
      </c>
      <c r="BF90" s="97">
        <v>8</v>
      </c>
      <c r="BG90" s="97">
        <v>17577.599999999999</v>
      </c>
      <c r="BH90" s="97">
        <v>8</v>
      </c>
      <c r="BI90" s="97">
        <v>17577.599999999999</v>
      </c>
      <c r="BJ90" s="97">
        <v>7</v>
      </c>
      <c r="BK90" s="97">
        <v>15380.399999999998</v>
      </c>
      <c r="BL90" s="97">
        <v>6</v>
      </c>
      <c r="BM90" s="97">
        <v>13183.199999999999</v>
      </c>
      <c r="BN90" s="97">
        <v>4</v>
      </c>
      <c r="BO90" s="97">
        <v>8788.7999999999993</v>
      </c>
      <c r="BP90" s="97">
        <v>6</v>
      </c>
      <c r="BQ90" s="97">
        <v>13183.199999999999</v>
      </c>
      <c r="BR90" s="97">
        <v>5</v>
      </c>
      <c r="BS90" s="97">
        <v>10986</v>
      </c>
      <c r="BT90" s="97">
        <v>5</v>
      </c>
      <c r="BU90" s="97">
        <v>10986</v>
      </c>
      <c r="BV90" s="97">
        <v>6</v>
      </c>
      <c r="BW90" s="97">
        <v>13183.199999999999</v>
      </c>
      <c r="BX90" s="97">
        <v>3</v>
      </c>
      <c r="BY90" s="97">
        <v>6591.5999999999995</v>
      </c>
      <c r="BZ90" s="97">
        <v>6</v>
      </c>
      <c r="CA90" s="97">
        <v>13183.199999999999</v>
      </c>
      <c r="CB90" s="97">
        <v>4</v>
      </c>
      <c r="CC90" s="97">
        <v>8788.7999999999993</v>
      </c>
      <c r="CD90" s="97">
        <v>6</v>
      </c>
      <c r="CE90" s="97">
        <v>13183.199999999999</v>
      </c>
      <c r="CF90" s="97">
        <v>3</v>
      </c>
      <c r="CG90" s="97">
        <v>6591.5999999999995</v>
      </c>
      <c r="CH90" s="97">
        <v>4</v>
      </c>
      <c r="CI90" s="97">
        <v>8788.7999999999993</v>
      </c>
      <c r="CJ90" s="97">
        <v>4</v>
      </c>
      <c r="CK90" s="97">
        <v>8788.7999999999993</v>
      </c>
      <c r="CL90" s="97">
        <v>5</v>
      </c>
      <c r="CM90" s="97">
        <v>10986</v>
      </c>
      <c r="CN90" s="97">
        <v>3</v>
      </c>
      <c r="CO90" s="97">
        <v>6591.5999999999995</v>
      </c>
      <c r="CP90" s="97">
        <v>4</v>
      </c>
      <c r="CQ90" s="97">
        <v>8788.7999999999993</v>
      </c>
      <c r="CR90" s="97">
        <v>4</v>
      </c>
      <c r="CS90" s="97">
        <v>8788.7999999999993</v>
      </c>
      <c r="CT90" s="97">
        <v>3</v>
      </c>
      <c r="CU90" s="97">
        <v>6591.5999999999995</v>
      </c>
    </row>
    <row r="91" spans="2:99" x14ac:dyDescent="0.15">
      <c r="C91" s="96" t="s">
        <v>256</v>
      </c>
      <c r="D91" s="97">
        <v>44</v>
      </c>
      <c r="E91" s="97">
        <v>101059.19999999998</v>
      </c>
      <c r="F91" s="97">
        <v>45</v>
      </c>
      <c r="G91" s="97">
        <v>103355.99999999999</v>
      </c>
      <c r="H91" s="97">
        <v>37</v>
      </c>
      <c r="I91" s="97">
        <v>84981.599999999991</v>
      </c>
      <c r="J91" s="97">
        <v>52</v>
      </c>
      <c r="K91" s="97">
        <v>119433.59999999999</v>
      </c>
      <c r="L91" s="97">
        <v>39</v>
      </c>
      <c r="M91" s="97">
        <v>89575.199999999983</v>
      </c>
      <c r="N91" s="97">
        <v>34</v>
      </c>
      <c r="O91" s="97">
        <v>78091.199999999997</v>
      </c>
      <c r="P91" s="97">
        <v>29</v>
      </c>
      <c r="Q91" s="97">
        <v>66607.199999999997</v>
      </c>
      <c r="R91" s="97">
        <v>45</v>
      </c>
      <c r="S91" s="97">
        <v>103355.99999999999</v>
      </c>
      <c r="T91" s="97">
        <v>22</v>
      </c>
      <c r="U91" s="97">
        <v>50529.599999999991</v>
      </c>
      <c r="V91" s="97">
        <v>18</v>
      </c>
      <c r="W91" s="97">
        <v>41342.399999999994</v>
      </c>
      <c r="X91" s="97">
        <v>16</v>
      </c>
      <c r="Y91" s="97">
        <v>36748.799999999996</v>
      </c>
      <c r="Z91" s="97">
        <v>21</v>
      </c>
      <c r="AA91" s="97">
        <v>48232.799999999996</v>
      </c>
      <c r="AB91" s="97">
        <v>16</v>
      </c>
      <c r="AC91" s="97">
        <v>36748.799999999996</v>
      </c>
      <c r="AD91" s="97">
        <v>22</v>
      </c>
      <c r="AE91" s="97">
        <v>50529.599999999991</v>
      </c>
      <c r="AF91" s="97">
        <v>17</v>
      </c>
      <c r="AG91" s="97">
        <v>39045.599999999999</v>
      </c>
      <c r="AH91" s="97">
        <v>14</v>
      </c>
      <c r="AI91" s="97">
        <v>32155.199999999997</v>
      </c>
      <c r="AJ91" s="97">
        <v>15</v>
      </c>
      <c r="AK91" s="97">
        <v>34451.999999999993</v>
      </c>
      <c r="AL91" s="97">
        <v>16</v>
      </c>
      <c r="AM91" s="97">
        <v>36748.799999999996</v>
      </c>
      <c r="AN91" s="97">
        <v>10</v>
      </c>
      <c r="AO91" s="97">
        <v>22967.999999999996</v>
      </c>
      <c r="AP91" s="97">
        <v>14</v>
      </c>
      <c r="AQ91" s="97">
        <v>32155.199999999997</v>
      </c>
      <c r="AR91" s="97">
        <v>10</v>
      </c>
      <c r="AS91" s="97">
        <v>22967.999999999996</v>
      </c>
      <c r="AT91" s="97">
        <v>10</v>
      </c>
      <c r="AU91" s="97">
        <v>22967.999999999996</v>
      </c>
      <c r="AV91" s="97">
        <v>8</v>
      </c>
      <c r="AW91" s="97">
        <v>18374.399999999998</v>
      </c>
      <c r="AX91" s="97">
        <v>12</v>
      </c>
      <c r="AY91" s="97">
        <v>27561.599999999999</v>
      </c>
      <c r="AZ91" s="97">
        <v>11</v>
      </c>
      <c r="BA91" s="97">
        <v>25264.799999999996</v>
      </c>
      <c r="BB91" s="97">
        <v>6</v>
      </c>
      <c r="BC91" s="97">
        <v>13780.8</v>
      </c>
      <c r="BD91" s="97">
        <v>8</v>
      </c>
      <c r="BE91" s="97">
        <v>18374.399999999998</v>
      </c>
      <c r="BF91" s="97">
        <v>7</v>
      </c>
      <c r="BG91" s="97">
        <v>16077.599999999999</v>
      </c>
      <c r="BH91" s="97">
        <v>8</v>
      </c>
      <c r="BI91" s="97">
        <v>18374.399999999998</v>
      </c>
      <c r="BJ91" s="97">
        <v>7</v>
      </c>
      <c r="BK91" s="97">
        <v>16077.599999999999</v>
      </c>
      <c r="BL91" s="97">
        <v>6</v>
      </c>
      <c r="BM91" s="97">
        <v>13780.8</v>
      </c>
      <c r="BN91" s="97">
        <v>4</v>
      </c>
      <c r="BO91" s="97">
        <v>9187.1999999999989</v>
      </c>
      <c r="BP91" s="97">
        <v>6</v>
      </c>
      <c r="BQ91" s="97">
        <v>13780.8</v>
      </c>
      <c r="BR91" s="97">
        <v>5</v>
      </c>
      <c r="BS91" s="97">
        <v>11483.999999999998</v>
      </c>
      <c r="BT91" s="97">
        <v>5</v>
      </c>
      <c r="BU91" s="97">
        <v>11483.999999999998</v>
      </c>
      <c r="BV91" s="97">
        <v>6</v>
      </c>
      <c r="BW91" s="97">
        <v>13780.8</v>
      </c>
      <c r="BX91" s="97">
        <v>3</v>
      </c>
      <c r="BY91" s="97">
        <v>6890.4</v>
      </c>
      <c r="BZ91" s="97">
        <v>6</v>
      </c>
      <c r="CA91" s="97">
        <v>13780.8</v>
      </c>
      <c r="CB91" s="97">
        <v>5</v>
      </c>
      <c r="CC91" s="97">
        <v>11483.999999999998</v>
      </c>
      <c r="CD91" s="97">
        <v>5</v>
      </c>
      <c r="CE91" s="97">
        <v>11483.999999999998</v>
      </c>
      <c r="CF91" s="97">
        <v>3</v>
      </c>
      <c r="CG91" s="97">
        <v>6890.4</v>
      </c>
      <c r="CH91" s="97">
        <v>4</v>
      </c>
      <c r="CI91" s="97">
        <v>9187.1999999999989</v>
      </c>
      <c r="CJ91" s="97">
        <v>4</v>
      </c>
      <c r="CK91" s="97">
        <v>9187.1999999999989</v>
      </c>
      <c r="CL91" s="97">
        <v>5</v>
      </c>
      <c r="CM91" s="97">
        <v>11483.999999999998</v>
      </c>
      <c r="CN91" s="97">
        <v>4</v>
      </c>
      <c r="CO91" s="97">
        <v>9187.1999999999989</v>
      </c>
      <c r="CP91" s="97">
        <v>5</v>
      </c>
      <c r="CQ91" s="97">
        <v>11483.999999999998</v>
      </c>
      <c r="CR91" s="97">
        <v>4</v>
      </c>
      <c r="CS91" s="97">
        <v>9187.1999999999989</v>
      </c>
      <c r="CT91" s="97">
        <v>3</v>
      </c>
      <c r="CU91" s="97">
        <v>6890.4</v>
      </c>
    </row>
    <row r="92" spans="2:99" x14ac:dyDescent="0.15">
      <c r="C92" s="96" t="s">
        <v>257</v>
      </c>
      <c r="D92" s="97">
        <v>55</v>
      </c>
      <c r="E92" s="97">
        <v>78144</v>
      </c>
      <c r="F92" s="97">
        <v>55</v>
      </c>
      <c r="G92" s="97">
        <v>78144</v>
      </c>
      <c r="H92" s="97">
        <v>45</v>
      </c>
      <c r="I92" s="97">
        <v>63936</v>
      </c>
      <c r="J92" s="97">
        <v>73</v>
      </c>
      <c r="K92" s="97">
        <v>103718.39999999999</v>
      </c>
      <c r="L92" s="97">
        <v>45</v>
      </c>
      <c r="M92" s="97">
        <v>63936</v>
      </c>
      <c r="N92" s="97">
        <v>34</v>
      </c>
      <c r="O92" s="97">
        <v>48307.199999999997</v>
      </c>
      <c r="P92" s="97">
        <v>36</v>
      </c>
      <c r="Q92" s="97">
        <v>51148.799999999996</v>
      </c>
      <c r="R92" s="97">
        <v>48</v>
      </c>
      <c r="S92" s="97">
        <v>68198.399999999994</v>
      </c>
      <c r="T92" s="97">
        <v>25</v>
      </c>
      <c r="U92" s="97">
        <v>35520</v>
      </c>
      <c r="V92" s="97">
        <v>20</v>
      </c>
      <c r="W92" s="97">
        <v>28416</v>
      </c>
      <c r="X92" s="97">
        <v>17</v>
      </c>
      <c r="Y92" s="97">
        <v>24153.599999999999</v>
      </c>
      <c r="Z92" s="97">
        <v>24</v>
      </c>
      <c r="AA92" s="97">
        <v>34099.199999999997</v>
      </c>
      <c r="AB92" s="97">
        <v>15</v>
      </c>
      <c r="AC92" s="97">
        <v>21312</v>
      </c>
      <c r="AD92" s="97">
        <v>24</v>
      </c>
      <c r="AE92" s="97">
        <v>34099.199999999997</v>
      </c>
      <c r="AF92" s="97">
        <v>21</v>
      </c>
      <c r="AG92" s="97">
        <v>29836.799999999999</v>
      </c>
      <c r="AH92" s="97">
        <v>15</v>
      </c>
      <c r="AI92" s="97">
        <v>21312</v>
      </c>
      <c r="AJ92" s="97">
        <v>19</v>
      </c>
      <c r="AK92" s="97">
        <v>26995.200000000001</v>
      </c>
      <c r="AL92" s="97">
        <v>16</v>
      </c>
      <c r="AM92" s="97">
        <v>22732.799999999999</v>
      </c>
      <c r="AN92" s="97">
        <v>11</v>
      </c>
      <c r="AO92" s="97">
        <v>15628.8</v>
      </c>
      <c r="AP92" s="97">
        <v>17</v>
      </c>
      <c r="AQ92" s="97">
        <v>24153.599999999999</v>
      </c>
      <c r="AR92" s="97">
        <v>11</v>
      </c>
      <c r="AS92" s="97">
        <v>15628.8</v>
      </c>
      <c r="AT92" s="97">
        <v>11</v>
      </c>
      <c r="AU92" s="97">
        <v>15628.8</v>
      </c>
      <c r="AV92" s="97">
        <v>9</v>
      </c>
      <c r="AW92" s="97">
        <v>12787.199999999999</v>
      </c>
      <c r="AX92" s="97">
        <v>12</v>
      </c>
      <c r="AY92" s="97">
        <v>17049.599999999999</v>
      </c>
      <c r="AZ92" s="97">
        <v>11</v>
      </c>
      <c r="BA92" s="97">
        <v>15628.8</v>
      </c>
      <c r="BB92" s="97">
        <v>6</v>
      </c>
      <c r="BC92" s="97">
        <v>8524.7999999999993</v>
      </c>
      <c r="BD92" s="97">
        <v>9</v>
      </c>
      <c r="BE92" s="97">
        <v>12787.199999999999</v>
      </c>
      <c r="BF92" s="97">
        <v>9</v>
      </c>
      <c r="BG92" s="97">
        <v>12787.199999999999</v>
      </c>
      <c r="BH92" s="97">
        <v>10</v>
      </c>
      <c r="BI92" s="97">
        <v>14208</v>
      </c>
      <c r="BJ92" s="97">
        <v>7</v>
      </c>
      <c r="BK92" s="97">
        <v>9945.6</v>
      </c>
      <c r="BL92" s="97">
        <v>6</v>
      </c>
      <c r="BM92" s="97">
        <v>8524.7999999999993</v>
      </c>
      <c r="BN92" s="97">
        <v>4</v>
      </c>
      <c r="BO92" s="97">
        <v>5683.2</v>
      </c>
      <c r="BP92" s="97">
        <v>7</v>
      </c>
      <c r="BQ92" s="97">
        <v>9945.6</v>
      </c>
      <c r="BR92" s="97">
        <v>6</v>
      </c>
      <c r="BS92" s="97">
        <v>8524.7999999999993</v>
      </c>
      <c r="BT92" s="97">
        <v>6</v>
      </c>
      <c r="BU92" s="97">
        <v>8524.7999999999993</v>
      </c>
      <c r="BV92" s="97">
        <v>6</v>
      </c>
      <c r="BW92" s="97">
        <v>8524.7999999999993</v>
      </c>
      <c r="BX92" s="97">
        <v>4</v>
      </c>
      <c r="BY92" s="97">
        <v>5683.2</v>
      </c>
      <c r="BZ92" s="97">
        <v>7</v>
      </c>
      <c r="CA92" s="97">
        <v>9945.6</v>
      </c>
      <c r="CB92" s="97">
        <v>4</v>
      </c>
      <c r="CC92" s="97">
        <v>5683.2</v>
      </c>
      <c r="CD92" s="97">
        <v>6</v>
      </c>
      <c r="CE92" s="97">
        <v>8524.7999999999993</v>
      </c>
      <c r="CF92" s="97">
        <v>3</v>
      </c>
      <c r="CG92" s="97">
        <v>4262.3999999999996</v>
      </c>
      <c r="CH92" s="97">
        <v>4</v>
      </c>
      <c r="CI92" s="97">
        <v>5683.2</v>
      </c>
      <c r="CJ92" s="97">
        <v>4</v>
      </c>
      <c r="CK92" s="97">
        <v>5683.2</v>
      </c>
      <c r="CL92" s="97">
        <v>6</v>
      </c>
      <c r="CM92" s="97">
        <v>8524.7999999999993</v>
      </c>
      <c r="CN92" s="97">
        <v>3</v>
      </c>
      <c r="CO92" s="97">
        <v>4262.3999999999996</v>
      </c>
      <c r="CP92" s="97">
        <v>5</v>
      </c>
      <c r="CQ92" s="97">
        <v>7104</v>
      </c>
      <c r="CR92" s="97">
        <v>4</v>
      </c>
      <c r="CS92" s="97">
        <v>5683.2</v>
      </c>
      <c r="CT92" s="97">
        <v>3</v>
      </c>
      <c r="CU92" s="97">
        <v>4262.3999999999996</v>
      </c>
    </row>
    <row r="93" spans="2:99" x14ac:dyDescent="0.15">
      <c r="C93" s="96" t="s">
        <v>258</v>
      </c>
      <c r="D93" s="97">
        <v>45</v>
      </c>
      <c r="E93" s="97">
        <v>79758</v>
      </c>
      <c r="F93" s="97">
        <v>50</v>
      </c>
      <c r="G93" s="97">
        <v>88620</v>
      </c>
      <c r="H93" s="97">
        <v>37</v>
      </c>
      <c r="I93" s="97">
        <v>65578.799999999988</v>
      </c>
      <c r="J93" s="97">
        <v>65</v>
      </c>
      <c r="K93" s="97">
        <v>115205.99999999999</v>
      </c>
      <c r="L93" s="97">
        <v>42</v>
      </c>
      <c r="M93" s="97">
        <v>74440.799999999988</v>
      </c>
      <c r="N93" s="97">
        <v>31</v>
      </c>
      <c r="O93" s="97">
        <v>54944.399999999994</v>
      </c>
      <c r="P93" s="97">
        <v>31</v>
      </c>
      <c r="Q93" s="97">
        <v>54944.399999999994</v>
      </c>
      <c r="R93" s="97">
        <v>45</v>
      </c>
      <c r="S93" s="97">
        <v>79758</v>
      </c>
      <c r="T93" s="97">
        <v>22</v>
      </c>
      <c r="U93" s="97">
        <v>38992.799999999996</v>
      </c>
      <c r="V93" s="97">
        <v>20</v>
      </c>
      <c r="W93" s="97">
        <v>35448</v>
      </c>
      <c r="X93" s="97">
        <v>18</v>
      </c>
      <c r="Y93" s="97">
        <v>31903.199999999997</v>
      </c>
      <c r="Z93" s="97">
        <v>25</v>
      </c>
      <c r="AA93" s="97">
        <v>44310</v>
      </c>
      <c r="AB93" s="97">
        <v>15</v>
      </c>
      <c r="AC93" s="97">
        <v>26585.999999999996</v>
      </c>
      <c r="AD93" s="97">
        <v>21</v>
      </c>
      <c r="AE93" s="97">
        <v>37220.399999999994</v>
      </c>
      <c r="AF93" s="97">
        <v>17</v>
      </c>
      <c r="AG93" s="97">
        <v>30130.799999999999</v>
      </c>
      <c r="AH93" s="97">
        <v>14</v>
      </c>
      <c r="AI93" s="97">
        <v>24813.599999999999</v>
      </c>
      <c r="AJ93" s="97">
        <v>17</v>
      </c>
      <c r="AK93" s="97">
        <v>30130.799999999999</v>
      </c>
      <c r="AL93" s="97">
        <v>16</v>
      </c>
      <c r="AM93" s="97">
        <v>28358.399999999998</v>
      </c>
      <c r="AN93" s="97">
        <v>10</v>
      </c>
      <c r="AO93" s="97">
        <v>17724</v>
      </c>
      <c r="AP93" s="97">
        <v>16</v>
      </c>
      <c r="AQ93" s="97">
        <v>28358.399999999998</v>
      </c>
      <c r="AR93" s="97">
        <v>11</v>
      </c>
      <c r="AS93" s="97">
        <v>19496.399999999998</v>
      </c>
      <c r="AT93" s="97">
        <v>11</v>
      </c>
      <c r="AU93" s="97">
        <v>19496.399999999998</v>
      </c>
      <c r="AV93" s="97">
        <v>10</v>
      </c>
      <c r="AW93" s="97">
        <v>17724</v>
      </c>
      <c r="AX93" s="97">
        <v>12</v>
      </c>
      <c r="AY93" s="97">
        <v>21268.799999999999</v>
      </c>
      <c r="AZ93" s="97">
        <v>11</v>
      </c>
      <c r="BA93" s="97">
        <v>19496.399999999998</v>
      </c>
      <c r="BB93" s="97">
        <v>6</v>
      </c>
      <c r="BC93" s="97">
        <v>10634.4</v>
      </c>
      <c r="BD93" s="97">
        <v>8</v>
      </c>
      <c r="BE93" s="97">
        <v>14179.199999999999</v>
      </c>
      <c r="BF93" s="97">
        <v>9</v>
      </c>
      <c r="BG93" s="97">
        <v>15951.599999999999</v>
      </c>
      <c r="BH93" s="97">
        <v>10</v>
      </c>
      <c r="BI93" s="97">
        <v>17724</v>
      </c>
      <c r="BJ93" s="97">
        <v>7</v>
      </c>
      <c r="BK93" s="97">
        <v>12406.8</v>
      </c>
      <c r="BL93" s="97">
        <v>7</v>
      </c>
      <c r="BM93" s="97">
        <v>12406.8</v>
      </c>
      <c r="BN93" s="97">
        <v>5</v>
      </c>
      <c r="BO93" s="97">
        <v>8862</v>
      </c>
      <c r="BP93" s="97">
        <v>7</v>
      </c>
      <c r="BQ93" s="97">
        <v>12406.8</v>
      </c>
      <c r="BR93" s="97">
        <v>6</v>
      </c>
      <c r="BS93" s="97">
        <v>10634.4</v>
      </c>
      <c r="BT93" s="97">
        <v>5</v>
      </c>
      <c r="BU93" s="97">
        <v>8862</v>
      </c>
      <c r="BV93" s="97">
        <v>6</v>
      </c>
      <c r="BW93" s="97">
        <v>10634.4</v>
      </c>
      <c r="BX93" s="97">
        <v>3</v>
      </c>
      <c r="BY93" s="97">
        <v>5317.2</v>
      </c>
      <c r="BZ93" s="97">
        <v>6</v>
      </c>
      <c r="CA93" s="97">
        <v>10634.4</v>
      </c>
      <c r="CB93" s="97">
        <v>4</v>
      </c>
      <c r="CC93" s="97">
        <v>7089.5999999999995</v>
      </c>
      <c r="CD93" s="97">
        <v>5</v>
      </c>
      <c r="CE93" s="97">
        <v>8862</v>
      </c>
      <c r="CF93" s="97">
        <v>3</v>
      </c>
      <c r="CG93" s="97">
        <v>5317.2</v>
      </c>
      <c r="CH93" s="97">
        <v>4</v>
      </c>
      <c r="CI93" s="97">
        <v>7089.5999999999995</v>
      </c>
      <c r="CJ93" s="97">
        <v>4</v>
      </c>
      <c r="CK93" s="97">
        <v>7089.5999999999995</v>
      </c>
      <c r="CL93" s="97">
        <v>5</v>
      </c>
      <c r="CM93" s="97">
        <v>8862</v>
      </c>
      <c r="CN93" s="97">
        <v>3</v>
      </c>
      <c r="CO93" s="97">
        <v>5317.2</v>
      </c>
      <c r="CP93" s="97">
        <v>5</v>
      </c>
      <c r="CQ93" s="97">
        <v>8862</v>
      </c>
      <c r="CR93" s="97">
        <v>4</v>
      </c>
      <c r="CS93" s="97">
        <v>7089.5999999999995</v>
      </c>
      <c r="CT93" s="97">
        <v>3</v>
      </c>
      <c r="CU93" s="97">
        <v>5317.2</v>
      </c>
    </row>
    <row r="94" spans="2:99" x14ac:dyDescent="0.15">
      <c r="C94" s="96" t="s">
        <v>259</v>
      </c>
      <c r="D94" s="97">
        <v>43</v>
      </c>
      <c r="E94" s="97">
        <v>102993.59999999999</v>
      </c>
      <c r="F94" s="97">
        <v>41</v>
      </c>
      <c r="G94" s="97">
        <v>98203.199999999997</v>
      </c>
      <c r="H94" s="97">
        <v>34</v>
      </c>
      <c r="I94" s="97">
        <v>81436.799999999988</v>
      </c>
      <c r="J94" s="97">
        <v>50</v>
      </c>
      <c r="K94" s="97">
        <v>119759.99999999999</v>
      </c>
      <c r="L94" s="97">
        <v>35</v>
      </c>
      <c r="M94" s="97">
        <v>83832</v>
      </c>
      <c r="N94" s="97">
        <v>32</v>
      </c>
      <c r="O94" s="97">
        <v>76646.399999999994</v>
      </c>
      <c r="P94" s="97">
        <v>27</v>
      </c>
      <c r="Q94" s="97">
        <v>64670.399999999994</v>
      </c>
      <c r="R94" s="97">
        <v>42</v>
      </c>
      <c r="S94" s="97">
        <v>100598.39999999999</v>
      </c>
      <c r="T94" s="97">
        <v>20</v>
      </c>
      <c r="U94" s="97">
        <v>47904</v>
      </c>
      <c r="V94" s="97">
        <v>18</v>
      </c>
      <c r="W94" s="97">
        <v>43113.599999999999</v>
      </c>
      <c r="X94" s="97">
        <v>18</v>
      </c>
      <c r="Y94" s="97">
        <v>43113.599999999999</v>
      </c>
      <c r="Z94" s="97">
        <v>22</v>
      </c>
      <c r="AA94" s="97">
        <v>52694.399999999994</v>
      </c>
      <c r="AB94" s="97">
        <v>14</v>
      </c>
      <c r="AC94" s="97">
        <v>33532.799999999996</v>
      </c>
      <c r="AD94" s="97">
        <v>19</v>
      </c>
      <c r="AE94" s="97">
        <v>45508.799999999996</v>
      </c>
      <c r="AF94" s="97">
        <v>16</v>
      </c>
      <c r="AG94" s="97">
        <v>38323.199999999997</v>
      </c>
      <c r="AH94" s="97">
        <v>12</v>
      </c>
      <c r="AI94" s="97">
        <v>28742.399999999998</v>
      </c>
      <c r="AJ94" s="97">
        <v>17</v>
      </c>
      <c r="AK94" s="97">
        <v>40718.399999999994</v>
      </c>
      <c r="AL94" s="97">
        <v>16</v>
      </c>
      <c r="AM94" s="97">
        <v>38323.199999999997</v>
      </c>
      <c r="AN94" s="97">
        <v>9</v>
      </c>
      <c r="AO94" s="97">
        <v>21556.799999999999</v>
      </c>
      <c r="AP94" s="97">
        <v>14</v>
      </c>
      <c r="AQ94" s="97">
        <v>33532.799999999996</v>
      </c>
      <c r="AR94" s="97">
        <v>9</v>
      </c>
      <c r="AS94" s="97">
        <v>21556.799999999999</v>
      </c>
      <c r="AT94" s="97">
        <v>10</v>
      </c>
      <c r="AU94" s="97">
        <v>23952</v>
      </c>
      <c r="AV94" s="97">
        <v>9</v>
      </c>
      <c r="AW94" s="97">
        <v>21556.799999999999</v>
      </c>
      <c r="AX94" s="97">
        <v>11</v>
      </c>
      <c r="AY94" s="97">
        <v>26347.199999999997</v>
      </c>
      <c r="AZ94" s="97">
        <v>10</v>
      </c>
      <c r="BA94" s="97">
        <v>23952</v>
      </c>
      <c r="BB94" s="97">
        <v>6</v>
      </c>
      <c r="BC94" s="97">
        <v>14371.199999999999</v>
      </c>
      <c r="BD94" s="97">
        <v>8</v>
      </c>
      <c r="BE94" s="97">
        <v>19161.599999999999</v>
      </c>
      <c r="BF94" s="97">
        <v>7</v>
      </c>
      <c r="BG94" s="97">
        <v>16766.399999999998</v>
      </c>
      <c r="BH94" s="97">
        <v>8</v>
      </c>
      <c r="BI94" s="97">
        <v>19161.599999999999</v>
      </c>
      <c r="BJ94" s="97">
        <v>7</v>
      </c>
      <c r="BK94" s="97">
        <v>16766.399999999998</v>
      </c>
      <c r="BL94" s="97">
        <v>7</v>
      </c>
      <c r="BM94" s="97">
        <v>16766.399999999998</v>
      </c>
      <c r="BN94" s="97">
        <v>5</v>
      </c>
      <c r="BO94" s="97">
        <v>11976</v>
      </c>
      <c r="BP94" s="97">
        <v>7</v>
      </c>
      <c r="BQ94" s="97">
        <v>16766.399999999998</v>
      </c>
      <c r="BR94" s="97">
        <v>6</v>
      </c>
      <c r="BS94" s="97">
        <v>14371.199999999999</v>
      </c>
      <c r="BT94" s="97">
        <v>5</v>
      </c>
      <c r="BU94" s="97">
        <v>11976</v>
      </c>
      <c r="BV94" s="97">
        <v>6</v>
      </c>
      <c r="BW94" s="97">
        <v>14371.199999999999</v>
      </c>
      <c r="BX94" s="97">
        <v>3</v>
      </c>
      <c r="BY94" s="97">
        <v>7185.5999999999995</v>
      </c>
      <c r="BZ94" s="97">
        <v>6</v>
      </c>
      <c r="CA94" s="97">
        <v>14371.199999999999</v>
      </c>
      <c r="CB94" s="97">
        <v>4</v>
      </c>
      <c r="CC94" s="97">
        <v>9580.7999999999993</v>
      </c>
      <c r="CD94" s="97">
        <v>5</v>
      </c>
      <c r="CE94" s="97">
        <v>11976</v>
      </c>
      <c r="CF94" s="97">
        <v>3</v>
      </c>
      <c r="CG94" s="97">
        <v>7185.5999999999995</v>
      </c>
      <c r="CH94" s="97">
        <v>4</v>
      </c>
      <c r="CI94" s="97">
        <v>9580.7999999999993</v>
      </c>
      <c r="CJ94" s="97">
        <v>4</v>
      </c>
      <c r="CK94" s="97">
        <v>9580.7999999999993</v>
      </c>
      <c r="CL94" s="97">
        <v>5</v>
      </c>
      <c r="CM94" s="97">
        <v>11976</v>
      </c>
      <c r="CN94" s="97">
        <v>3</v>
      </c>
      <c r="CO94" s="97">
        <v>7185.5999999999995</v>
      </c>
      <c r="CP94" s="97">
        <v>4</v>
      </c>
      <c r="CQ94" s="97">
        <v>9580.7999999999993</v>
      </c>
      <c r="CR94" s="97">
        <v>4</v>
      </c>
      <c r="CS94" s="97">
        <v>9580.7999999999993</v>
      </c>
      <c r="CT94" s="97">
        <v>3</v>
      </c>
      <c r="CU94" s="97">
        <v>7185.5999999999995</v>
      </c>
    </row>
    <row r="95" spans="2:99" x14ac:dyDescent="0.15">
      <c r="B95" s="96" t="s">
        <v>132</v>
      </c>
      <c r="C95" s="96" t="s">
        <v>260</v>
      </c>
      <c r="D95" s="97">
        <v>48</v>
      </c>
      <c r="E95" s="97">
        <v>83174.399999999994</v>
      </c>
      <c r="F95" s="97">
        <v>68</v>
      </c>
      <c r="G95" s="97">
        <v>117830.39999999999</v>
      </c>
      <c r="H95" s="97">
        <v>42</v>
      </c>
      <c r="I95" s="97">
        <v>72777.599999999991</v>
      </c>
      <c r="J95" s="97">
        <v>54</v>
      </c>
      <c r="K95" s="97">
        <v>93571.199999999997</v>
      </c>
      <c r="L95" s="97">
        <v>44</v>
      </c>
      <c r="M95" s="97">
        <v>76243.199999999997</v>
      </c>
      <c r="N95" s="97">
        <v>24</v>
      </c>
      <c r="O95" s="97">
        <v>41587.199999999997</v>
      </c>
      <c r="P95" s="97">
        <v>26</v>
      </c>
      <c r="Q95" s="97">
        <v>45052.799999999996</v>
      </c>
      <c r="R95" s="97">
        <v>40</v>
      </c>
      <c r="S95" s="97">
        <v>69312</v>
      </c>
      <c r="T95" s="97">
        <v>32</v>
      </c>
      <c r="U95" s="97">
        <v>55449.599999999999</v>
      </c>
      <c r="V95" s="97">
        <v>32</v>
      </c>
      <c r="W95" s="97">
        <v>55449.599999999999</v>
      </c>
      <c r="X95" s="97">
        <v>32</v>
      </c>
      <c r="Y95" s="97">
        <v>55449.599999999999</v>
      </c>
      <c r="Z95" s="97">
        <v>30</v>
      </c>
      <c r="AA95" s="97">
        <v>51984</v>
      </c>
      <c r="AB95" s="97">
        <v>14</v>
      </c>
      <c r="AC95" s="97">
        <v>24259.200000000001</v>
      </c>
      <c r="AD95" s="97">
        <v>25</v>
      </c>
      <c r="AE95" s="97">
        <v>43320</v>
      </c>
      <c r="AF95" s="97">
        <v>20</v>
      </c>
      <c r="AG95" s="97">
        <v>34656</v>
      </c>
      <c r="AH95" s="97">
        <v>14</v>
      </c>
      <c r="AI95" s="97">
        <v>24259.200000000001</v>
      </c>
      <c r="AJ95" s="97">
        <v>13</v>
      </c>
      <c r="AK95" s="97">
        <v>22526.399999999998</v>
      </c>
      <c r="AL95" s="97">
        <v>11</v>
      </c>
      <c r="AM95" s="97">
        <v>19060.8</v>
      </c>
      <c r="AN95" s="97">
        <v>12</v>
      </c>
      <c r="AO95" s="97">
        <v>20793.599999999999</v>
      </c>
      <c r="AP95" s="97">
        <v>11</v>
      </c>
      <c r="AQ95" s="97">
        <v>19060.8</v>
      </c>
      <c r="AR95" s="97">
        <v>7</v>
      </c>
      <c r="AS95" s="97">
        <v>12129.6</v>
      </c>
      <c r="AT95" s="97">
        <v>7</v>
      </c>
      <c r="AU95" s="97">
        <v>12129.6</v>
      </c>
      <c r="AV95" s="97">
        <v>9</v>
      </c>
      <c r="AW95" s="97">
        <v>15595.199999999999</v>
      </c>
      <c r="AX95" s="97">
        <v>10</v>
      </c>
      <c r="AY95" s="97">
        <v>17328</v>
      </c>
      <c r="AZ95" s="97">
        <v>6</v>
      </c>
      <c r="BA95" s="97">
        <v>10396.799999999999</v>
      </c>
      <c r="BB95" s="97">
        <v>11</v>
      </c>
      <c r="BC95" s="97">
        <v>19060.8</v>
      </c>
      <c r="BD95" s="97">
        <v>8</v>
      </c>
      <c r="BE95" s="97">
        <v>13862.4</v>
      </c>
      <c r="BF95" s="97">
        <v>8</v>
      </c>
      <c r="BG95" s="97">
        <v>13862.4</v>
      </c>
      <c r="BH95" s="97">
        <v>9</v>
      </c>
      <c r="BI95" s="97">
        <v>15595.199999999999</v>
      </c>
      <c r="BJ95" s="97">
        <v>8</v>
      </c>
      <c r="BK95" s="97">
        <v>13862.4</v>
      </c>
      <c r="BL95" s="97">
        <v>9</v>
      </c>
      <c r="BM95" s="97">
        <v>15595.199999999999</v>
      </c>
      <c r="BN95" s="97">
        <v>9</v>
      </c>
      <c r="BO95" s="97">
        <v>15595.199999999999</v>
      </c>
      <c r="BP95" s="97">
        <v>6</v>
      </c>
      <c r="BQ95" s="97">
        <v>10396.799999999999</v>
      </c>
      <c r="BR95" s="97">
        <v>7</v>
      </c>
      <c r="BS95" s="97">
        <v>12129.6</v>
      </c>
      <c r="BT95" s="97">
        <v>8</v>
      </c>
      <c r="BU95" s="97">
        <v>13862.4</v>
      </c>
      <c r="BV95" s="97">
        <v>7</v>
      </c>
      <c r="BW95" s="97">
        <v>12129.6</v>
      </c>
      <c r="BX95" s="97">
        <v>6</v>
      </c>
      <c r="BY95" s="97">
        <v>10396.799999999999</v>
      </c>
      <c r="BZ95" s="97">
        <v>5</v>
      </c>
      <c r="CA95" s="97">
        <v>8664</v>
      </c>
      <c r="CB95" s="97">
        <v>4</v>
      </c>
      <c r="CC95" s="97">
        <v>6931.2</v>
      </c>
      <c r="CD95" s="97">
        <v>4</v>
      </c>
      <c r="CE95" s="97">
        <v>6931.2</v>
      </c>
      <c r="CF95" s="97">
        <v>3</v>
      </c>
      <c r="CG95" s="97">
        <v>5198.3999999999996</v>
      </c>
      <c r="CH95" s="97">
        <v>4</v>
      </c>
      <c r="CI95" s="97">
        <v>6931.2</v>
      </c>
      <c r="CJ95" s="97">
        <v>4</v>
      </c>
      <c r="CK95" s="97">
        <v>6931.2</v>
      </c>
      <c r="CL95" s="97">
        <v>4</v>
      </c>
      <c r="CM95" s="97">
        <v>6931.2</v>
      </c>
      <c r="CN95" s="97">
        <v>4</v>
      </c>
      <c r="CO95" s="97">
        <v>6931.2</v>
      </c>
      <c r="CP95" s="97">
        <v>3</v>
      </c>
      <c r="CQ95" s="97">
        <v>5198.3999999999996</v>
      </c>
      <c r="CR95" s="97">
        <v>4</v>
      </c>
      <c r="CS95" s="97">
        <v>6931.2</v>
      </c>
      <c r="CT95" s="97">
        <v>4</v>
      </c>
      <c r="CU95" s="97">
        <v>6931.2</v>
      </c>
    </row>
    <row r="96" spans="2:99" x14ac:dyDescent="0.15">
      <c r="C96" s="96" t="s">
        <v>261</v>
      </c>
      <c r="D96" s="97">
        <v>55</v>
      </c>
      <c r="E96" s="97">
        <v>45275.999999999993</v>
      </c>
      <c r="F96" s="97">
        <v>85</v>
      </c>
      <c r="G96" s="97">
        <v>69972</v>
      </c>
      <c r="H96" s="97">
        <v>60</v>
      </c>
      <c r="I96" s="97">
        <v>49391.999999999993</v>
      </c>
      <c r="J96" s="97">
        <v>60</v>
      </c>
      <c r="K96" s="97">
        <v>49391.999999999993</v>
      </c>
      <c r="L96" s="97">
        <v>52</v>
      </c>
      <c r="M96" s="97">
        <v>42806.399999999994</v>
      </c>
      <c r="N96" s="97">
        <v>31</v>
      </c>
      <c r="O96" s="97">
        <v>25519.199999999997</v>
      </c>
      <c r="P96" s="97">
        <v>28</v>
      </c>
      <c r="Q96" s="97">
        <v>23049.599999999999</v>
      </c>
      <c r="R96" s="97">
        <v>53</v>
      </c>
      <c r="S96" s="97">
        <v>43629.599999999999</v>
      </c>
      <c r="T96" s="97">
        <v>36</v>
      </c>
      <c r="U96" s="97">
        <v>29635.199999999997</v>
      </c>
      <c r="V96" s="97">
        <v>34</v>
      </c>
      <c r="W96" s="97">
        <v>27988.799999999999</v>
      </c>
      <c r="X96" s="97">
        <v>37</v>
      </c>
      <c r="Y96" s="97">
        <v>30458.399999999998</v>
      </c>
      <c r="Z96" s="97">
        <v>33</v>
      </c>
      <c r="AA96" s="97">
        <v>27165.599999999999</v>
      </c>
      <c r="AB96" s="97">
        <v>16</v>
      </c>
      <c r="AC96" s="97">
        <v>13171.199999999999</v>
      </c>
      <c r="AD96" s="97">
        <v>23</v>
      </c>
      <c r="AE96" s="97">
        <v>18933.599999999999</v>
      </c>
      <c r="AF96" s="97">
        <v>22</v>
      </c>
      <c r="AG96" s="97">
        <v>18110.399999999998</v>
      </c>
      <c r="AH96" s="97">
        <v>15</v>
      </c>
      <c r="AI96" s="97">
        <v>12347.999999999998</v>
      </c>
      <c r="AJ96" s="97">
        <v>13</v>
      </c>
      <c r="AK96" s="97">
        <v>10701.599999999999</v>
      </c>
      <c r="AL96" s="97">
        <v>11</v>
      </c>
      <c r="AM96" s="97">
        <v>9055.1999999999989</v>
      </c>
      <c r="AN96" s="97">
        <v>11</v>
      </c>
      <c r="AO96" s="97">
        <v>9055.1999999999989</v>
      </c>
      <c r="AP96" s="97">
        <v>12</v>
      </c>
      <c r="AQ96" s="97">
        <v>9878.4</v>
      </c>
      <c r="AR96" s="97">
        <v>9</v>
      </c>
      <c r="AS96" s="97">
        <v>7408.7999999999993</v>
      </c>
      <c r="AT96" s="97">
        <v>8</v>
      </c>
      <c r="AU96" s="97">
        <v>6585.5999999999995</v>
      </c>
      <c r="AV96" s="97">
        <v>10</v>
      </c>
      <c r="AW96" s="97">
        <v>8232</v>
      </c>
      <c r="AX96" s="97">
        <v>11</v>
      </c>
      <c r="AY96" s="97">
        <v>9055.1999999999989</v>
      </c>
      <c r="AZ96" s="97">
        <v>6</v>
      </c>
      <c r="BA96" s="97">
        <v>4939.2</v>
      </c>
      <c r="BB96" s="97">
        <v>11</v>
      </c>
      <c r="BC96" s="97">
        <v>9055.1999999999989</v>
      </c>
      <c r="BD96" s="97">
        <v>7</v>
      </c>
      <c r="BE96" s="97">
        <v>5762.4</v>
      </c>
      <c r="BF96" s="97">
        <v>9</v>
      </c>
      <c r="BG96" s="97">
        <v>7408.7999999999993</v>
      </c>
      <c r="BH96" s="97">
        <v>9</v>
      </c>
      <c r="BI96" s="97">
        <v>7408.7999999999993</v>
      </c>
      <c r="BJ96" s="97">
        <v>8</v>
      </c>
      <c r="BK96" s="97">
        <v>6585.5999999999995</v>
      </c>
      <c r="BL96" s="97">
        <v>9</v>
      </c>
      <c r="BM96" s="97">
        <v>7408.7999999999993</v>
      </c>
      <c r="BN96" s="97">
        <v>10</v>
      </c>
      <c r="BO96" s="97">
        <v>8232</v>
      </c>
      <c r="BP96" s="97">
        <v>6</v>
      </c>
      <c r="BQ96" s="97">
        <v>4939.2</v>
      </c>
      <c r="BR96" s="97">
        <v>6</v>
      </c>
      <c r="BS96" s="97">
        <v>4939.2</v>
      </c>
      <c r="BT96" s="97">
        <v>8</v>
      </c>
      <c r="BU96" s="97">
        <v>6585.5999999999995</v>
      </c>
      <c r="BV96" s="97">
        <v>8</v>
      </c>
      <c r="BW96" s="97">
        <v>6585.5999999999995</v>
      </c>
      <c r="BX96" s="97">
        <v>7</v>
      </c>
      <c r="BY96" s="97">
        <v>5762.4</v>
      </c>
      <c r="BZ96" s="97">
        <v>5</v>
      </c>
      <c r="CA96" s="97">
        <v>4116</v>
      </c>
      <c r="CB96" s="97">
        <v>5</v>
      </c>
      <c r="CC96" s="97">
        <v>4116</v>
      </c>
      <c r="CD96" s="97">
        <v>4</v>
      </c>
      <c r="CE96" s="97">
        <v>3292.7999999999997</v>
      </c>
      <c r="CF96" s="97">
        <v>3</v>
      </c>
      <c r="CG96" s="97">
        <v>2469.6</v>
      </c>
      <c r="CH96" s="97">
        <v>4</v>
      </c>
      <c r="CI96" s="97">
        <v>3292.7999999999997</v>
      </c>
      <c r="CJ96" s="97">
        <v>4</v>
      </c>
      <c r="CK96" s="97">
        <v>3292.7999999999997</v>
      </c>
      <c r="CL96" s="97">
        <v>5</v>
      </c>
      <c r="CM96" s="97">
        <v>4116</v>
      </c>
      <c r="CN96" s="97">
        <v>4</v>
      </c>
      <c r="CO96" s="97">
        <v>3292.7999999999997</v>
      </c>
      <c r="CP96" s="97">
        <v>3</v>
      </c>
      <c r="CQ96" s="97">
        <v>2469.6</v>
      </c>
      <c r="CR96" s="97">
        <v>4</v>
      </c>
      <c r="CS96" s="97">
        <v>3292.7999999999997</v>
      </c>
      <c r="CT96" s="97">
        <v>5</v>
      </c>
      <c r="CU96" s="97">
        <v>4116</v>
      </c>
    </row>
    <row r="97" spans="2:99" x14ac:dyDescent="0.15">
      <c r="C97" s="96" t="s">
        <v>262</v>
      </c>
      <c r="D97" s="97">
        <v>43</v>
      </c>
      <c r="E97" s="97">
        <v>78638.399999999994</v>
      </c>
      <c r="F97" s="97">
        <v>59</v>
      </c>
      <c r="G97" s="97">
        <v>107899.2</v>
      </c>
      <c r="H97" s="97">
        <v>43</v>
      </c>
      <c r="I97" s="97">
        <v>78638.399999999994</v>
      </c>
      <c r="J97" s="97">
        <v>56</v>
      </c>
      <c r="K97" s="97">
        <v>102412.8</v>
      </c>
      <c r="L97" s="97">
        <v>46</v>
      </c>
      <c r="M97" s="97">
        <v>84124.800000000003</v>
      </c>
      <c r="N97" s="97">
        <v>24</v>
      </c>
      <c r="O97" s="97">
        <v>43891.199999999997</v>
      </c>
      <c r="P97" s="97">
        <v>24</v>
      </c>
      <c r="Q97" s="97">
        <v>43891.199999999997</v>
      </c>
      <c r="R97" s="97">
        <v>44</v>
      </c>
      <c r="S97" s="97">
        <v>80467.199999999997</v>
      </c>
      <c r="T97" s="97">
        <v>29</v>
      </c>
      <c r="U97" s="97">
        <v>53035.199999999997</v>
      </c>
      <c r="V97" s="97">
        <v>29</v>
      </c>
      <c r="W97" s="97">
        <v>53035.199999999997</v>
      </c>
      <c r="X97" s="97">
        <v>31</v>
      </c>
      <c r="Y97" s="97">
        <v>56692.799999999996</v>
      </c>
      <c r="Z97" s="97">
        <v>28</v>
      </c>
      <c r="AA97" s="97">
        <v>51206.400000000001</v>
      </c>
      <c r="AB97" s="97">
        <v>14</v>
      </c>
      <c r="AC97" s="97">
        <v>25603.200000000001</v>
      </c>
      <c r="AD97" s="97">
        <v>24</v>
      </c>
      <c r="AE97" s="97">
        <v>43891.199999999997</v>
      </c>
      <c r="AF97" s="97">
        <v>21</v>
      </c>
      <c r="AG97" s="97">
        <v>38404.799999999996</v>
      </c>
      <c r="AH97" s="97">
        <v>13</v>
      </c>
      <c r="AI97" s="97">
        <v>23774.399999999998</v>
      </c>
      <c r="AJ97" s="97">
        <v>12</v>
      </c>
      <c r="AK97" s="97">
        <v>21945.599999999999</v>
      </c>
      <c r="AL97" s="97">
        <v>11</v>
      </c>
      <c r="AM97" s="97">
        <v>20116.8</v>
      </c>
      <c r="AN97" s="97">
        <v>12</v>
      </c>
      <c r="AO97" s="97">
        <v>21945.599999999999</v>
      </c>
      <c r="AP97" s="97">
        <v>11</v>
      </c>
      <c r="AQ97" s="97">
        <v>20116.8</v>
      </c>
      <c r="AR97" s="97">
        <v>8</v>
      </c>
      <c r="AS97" s="97">
        <v>14630.4</v>
      </c>
      <c r="AT97" s="97">
        <v>7</v>
      </c>
      <c r="AU97" s="97">
        <v>12801.6</v>
      </c>
      <c r="AV97" s="97">
        <v>10</v>
      </c>
      <c r="AW97" s="97">
        <v>18288</v>
      </c>
      <c r="AX97" s="97">
        <v>10</v>
      </c>
      <c r="AY97" s="97">
        <v>18288</v>
      </c>
      <c r="AZ97" s="97">
        <v>7</v>
      </c>
      <c r="BA97" s="97">
        <v>12801.6</v>
      </c>
      <c r="BB97" s="97">
        <v>11</v>
      </c>
      <c r="BC97" s="97">
        <v>20116.8</v>
      </c>
      <c r="BD97" s="97">
        <v>6</v>
      </c>
      <c r="BE97" s="97">
        <v>10972.8</v>
      </c>
      <c r="BF97" s="97">
        <v>9</v>
      </c>
      <c r="BG97" s="97">
        <v>16459.2</v>
      </c>
      <c r="BH97" s="97">
        <v>8</v>
      </c>
      <c r="BI97" s="97">
        <v>14630.4</v>
      </c>
      <c r="BJ97" s="97">
        <v>7</v>
      </c>
      <c r="BK97" s="97">
        <v>12801.6</v>
      </c>
      <c r="BL97" s="97">
        <v>9</v>
      </c>
      <c r="BM97" s="97">
        <v>16459.2</v>
      </c>
      <c r="BN97" s="97">
        <v>9</v>
      </c>
      <c r="BO97" s="97">
        <v>16459.2</v>
      </c>
      <c r="BP97" s="97">
        <v>5</v>
      </c>
      <c r="BQ97" s="97">
        <v>9144</v>
      </c>
      <c r="BR97" s="97">
        <v>6</v>
      </c>
      <c r="BS97" s="97">
        <v>10972.8</v>
      </c>
      <c r="BT97" s="97">
        <v>7</v>
      </c>
      <c r="BU97" s="97">
        <v>12801.6</v>
      </c>
      <c r="BV97" s="97">
        <v>7</v>
      </c>
      <c r="BW97" s="97">
        <v>12801.6</v>
      </c>
      <c r="BX97" s="97">
        <v>6</v>
      </c>
      <c r="BY97" s="97">
        <v>10972.8</v>
      </c>
      <c r="BZ97" s="97">
        <v>5</v>
      </c>
      <c r="CA97" s="97">
        <v>9144</v>
      </c>
      <c r="CB97" s="97">
        <v>4</v>
      </c>
      <c r="CC97" s="97">
        <v>7315.2</v>
      </c>
      <c r="CD97" s="97">
        <v>4</v>
      </c>
      <c r="CE97" s="97">
        <v>7315.2</v>
      </c>
      <c r="CF97" s="97">
        <v>4</v>
      </c>
      <c r="CG97" s="97">
        <v>7315.2</v>
      </c>
      <c r="CH97" s="97">
        <v>4</v>
      </c>
      <c r="CI97" s="97">
        <v>7315.2</v>
      </c>
      <c r="CJ97" s="97">
        <v>3</v>
      </c>
      <c r="CK97" s="97">
        <v>5486.4</v>
      </c>
      <c r="CL97" s="97">
        <v>5</v>
      </c>
      <c r="CM97" s="97">
        <v>9144</v>
      </c>
      <c r="CN97" s="97">
        <v>4</v>
      </c>
      <c r="CO97" s="97">
        <v>7315.2</v>
      </c>
      <c r="CP97" s="97">
        <v>3</v>
      </c>
      <c r="CQ97" s="97">
        <v>5486.4</v>
      </c>
      <c r="CR97" s="97">
        <v>4</v>
      </c>
      <c r="CS97" s="97">
        <v>7315.2</v>
      </c>
      <c r="CT97" s="97">
        <v>4</v>
      </c>
      <c r="CU97" s="97">
        <v>7315.2</v>
      </c>
    </row>
    <row r="98" spans="2:99" x14ac:dyDescent="0.15">
      <c r="C98" s="96" t="s">
        <v>263</v>
      </c>
      <c r="D98" s="97">
        <v>46</v>
      </c>
      <c r="E98" s="97">
        <v>58125.599999999999</v>
      </c>
      <c r="F98" s="97">
        <v>77</v>
      </c>
      <c r="G98" s="97">
        <v>97297.2</v>
      </c>
      <c r="H98" s="97">
        <v>52</v>
      </c>
      <c r="I98" s="97">
        <v>65707.199999999997</v>
      </c>
      <c r="J98" s="97">
        <v>64</v>
      </c>
      <c r="K98" s="97">
        <v>80870.399999999994</v>
      </c>
      <c r="L98" s="97">
        <v>44</v>
      </c>
      <c r="M98" s="97">
        <v>55598.399999999994</v>
      </c>
      <c r="N98" s="97">
        <v>31</v>
      </c>
      <c r="O98" s="97">
        <v>39171.599999999999</v>
      </c>
      <c r="P98" s="97">
        <v>27</v>
      </c>
      <c r="Q98" s="97">
        <v>34117.199999999997</v>
      </c>
      <c r="R98" s="97">
        <v>44</v>
      </c>
      <c r="S98" s="97">
        <v>55598.399999999994</v>
      </c>
      <c r="T98" s="97">
        <v>31</v>
      </c>
      <c r="U98" s="97">
        <v>39171.599999999999</v>
      </c>
      <c r="V98" s="97">
        <v>37</v>
      </c>
      <c r="W98" s="97">
        <v>46753.2</v>
      </c>
      <c r="X98" s="97">
        <v>32</v>
      </c>
      <c r="Y98" s="97">
        <v>40435.199999999997</v>
      </c>
      <c r="Z98" s="97">
        <v>28</v>
      </c>
      <c r="AA98" s="97">
        <v>35380.799999999996</v>
      </c>
      <c r="AB98" s="97">
        <v>14</v>
      </c>
      <c r="AC98" s="97">
        <v>17690.399999999998</v>
      </c>
      <c r="AD98" s="97">
        <v>23</v>
      </c>
      <c r="AE98" s="97">
        <v>29062.799999999999</v>
      </c>
      <c r="AF98" s="97">
        <v>21</v>
      </c>
      <c r="AG98" s="97">
        <v>26535.599999999999</v>
      </c>
      <c r="AH98" s="97">
        <v>14</v>
      </c>
      <c r="AI98" s="97">
        <v>17690.399999999998</v>
      </c>
      <c r="AJ98" s="97">
        <v>14</v>
      </c>
      <c r="AK98" s="97">
        <v>17690.399999999998</v>
      </c>
      <c r="AL98" s="97">
        <v>11</v>
      </c>
      <c r="AM98" s="97">
        <v>13899.599999999999</v>
      </c>
      <c r="AN98" s="97">
        <v>11</v>
      </c>
      <c r="AO98" s="97">
        <v>13899.599999999999</v>
      </c>
      <c r="AP98" s="97">
        <v>13</v>
      </c>
      <c r="AQ98" s="97">
        <v>16426.8</v>
      </c>
      <c r="AR98" s="97">
        <v>8</v>
      </c>
      <c r="AS98" s="97">
        <v>10108.799999999999</v>
      </c>
      <c r="AT98" s="97">
        <v>8</v>
      </c>
      <c r="AU98" s="97">
        <v>10108.799999999999</v>
      </c>
      <c r="AV98" s="97">
        <v>9</v>
      </c>
      <c r="AW98" s="97">
        <v>11372.4</v>
      </c>
      <c r="AX98" s="97">
        <v>10</v>
      </c>
      <c r="AY98" s="97">
        <v>12636</v>
      </c>
      <c r="AZ98" s="97">
        <v>6</v>
      </c>
      <c r="BA98" s="97">
        <v>7581.5999999999995</v>
      </c>
      <c r="BB98" s="97">
        <v>10</v>
      </c>
      <c r="BC98" s="97">
        <v>12636</v>
      </c>
      <c r="BD98" s="97">
        <v>8</v>
      </c>
      <c r="BE98" s="97">
        <v>10108.799999999999</v>
      </c>
      <c r="BF98" s="97">
        <v>10</v>
      </c>
      <c r="BG98" s="97">
        <v>12636</v>
      </c>
      <c r="BH98" s="97">
        <v>9</v>
      </c>
      <c r="BI98" s="97">
        <v>11372.4</v>
      </c>
      <c r="BJ98" s="97">
        <v>8</v>
      </c>
      <c r="BK98" s="97">
        <v>10108.799999999999</v>
      </c>
      <c r="BL98" s="97">
        <v>9</v>
      </c>
      <c r="BM98" s="97">
        <v>11372.4</v>
      </c>
      <c r="BN98" s="97">
        <v>9</v>
      </c>
      <c r="BO98" s="97">
        <v>11372.4</v>
      </c>
      <c r="BP98" s="97">
        <v>6</v>
      </c>
      <c r="BQ98" s="97">
        <v>7581.5999999999995</v>
      </c>
      <c r="BR98" s="97">
        <v>7</v>
      </c>
      <c r="BS98" s="97">
        <v>8845.1999999999989</v>
      </c>
      <c r="BT98" s="97">
        <v>8</v>
      </c>
      <c r="BU98" s="97">
        <v>10108.799999999999</v>
      </c>
      <c r="BV98" s="97">
        <v>8</v>
      </c>
      <c r="BW98" s="97">
        <v>10108.799999999999</v>
      </c>
      <c r="BX98" s="97">
        <v>6</v>
      </c>
      <c r="BY98" s="97">
        <v>7581.5999999999995</v>
      </c>
      <c r="BZ98" s="97">
        <v>4</v>
      </c>
      <c r="CA98" s="97">
        <v>5054.3999999999996</v>
      </c>
      <c r="CB98" s="97">
        <v>5</v>
      </c>
      <c r="CC98" s="97">
        <v>6318</v>
      </c>
      <c r="CD98" s="97">
        <v>4</v>
      </c>
      <c r="CE98" s="97">
        <v>5054.3999999999996</v>
      </c>
      <c r="CF98" s="97">
        <v>4</v>
      </c>
      <c r="CG98" s="97">
        <v>5054.3999999999996</v>
      </c>
      <c r="CH98" s="97">
        <v>4</v>
      </c>
      <c r="CI98" s="97">
        <v>5054.3999999999996</v>
      </c>
      <c r="CJ98" s="97">
        <v>4</v>
      </c>
      <c r="CK98" s="97">
        <v>5054.3999999999996</v>
      </c>
      <c r="CL98" s="97">
        <v>5</v>
      </c>
      <c r="CM98" s="97">
        <v>6318</v>
      </c>
      <c r="CN98" s="97">
        <v>4</v>
      </c>
      <c r="CO98" s="97">
        <v>5054.3999999999996</v>
      </c>
      <c r="CP98" s="97">
        <v>3</v>
      </c>
      <c r="CQ98" s="97">
        <v>3790.7999999999997</v>
      </c>
      <c r="CR98" s="97">
        <v>4</v>
      </c>
      <c r="CS98" s="97">
        <v>5054.3999999999996</v>
      </c>
      <c r="CT98" s="97">
        <v>4</v>
      </c>
      <c r="CU98" s="97">
        <v>5054.3999999999996</v>
      </c>
    </row>
    <row r="99" spans="2:99" x14ac:dyDescent="0.15">
      <c r="C99" s="96" t="s">
        <v>264</v>
      </c>
      <c r="D99" s="97">
        <v>22</v>
      </c>
      <c r="E99" s="97">
        <v>120595.19999999998</v>
      </c>
      <c r="F99" s="97">
        <v>32</v>
      </c>
      <c r="G99" s="97">
        <v>175411.19999999998</v>
      </c>
      <c r="H99" s="97">
        <v>24</v>
      </c>
      <c r="I99" s="97">
        <v>131558.39999999999</v>
      </c>
      <c r="J99" s="97">
        <v>26</v>
      </c>
      <c r="K99" s="97">
        <v>142521.59999999998</v>
      </c>
      <c r="L99" s="97">
        <v>27</v>
      </c>
      <c r="M99" s="97">
        <v>148003.19999999998</v>
      </c>
      <c r="N99" s="97">
        <v>17</v>
      </c>
      <c r="O99" s="97">
        <v>93187.199999999997</v>
      </c>
      <c r="P99" s="97">
        <v>15</v>
      </c>
      <c r="Q99" s="97">
        <v>82223.999999999985</v>
      </c>
      <c r="R99" s="97">
        <v>25</v>
      </c>
      <c r="S99" s="97">
        <v>137040</v>
      </c>
      <c r="T99" s="97">
        <v>19</v>
      </c>
      <c r="U99" s="97">
        <v>104150.39999999999</v>
      </c>
      <c r="V99" s="97">
        <v>22</v>
      </c>
      <c r="W99" s="97">
        <v>120595.19999999998</v>
      </c>
      <c r="X99" s="97">
        <v>18</v>
      </c>
      <c r="Y99" s="97">
        <v>98668.799999999988</v>
      </c>
      <c r="Z99" s="97">
        <v>19</v>
      </c>
      <c r="AA99" s="97">
        <v>104150.39999999999</v>
      </c>
      <c r="AB99" s="97">
        <v>10</v>
      </c>
      <c r="AC99" s="97">
        <v>54815.999999999993</v>
      </c>
      <c r="AD99" s="97">
        <v>15</v>
      </c>
      <c r="AE99" s="97">
        <v>82223.999999999985</v>
      </c>
      <c r="AF99" s="97">
        <v>12</v>
      </c>
      <c r="AG99" s="97">
        <v>65779.199999999997</v>
      </c>
      <c r="AH99" s="97">
        <v>9</v>
      </c>
      <c r="AI99" s="97">
        <v>49334.399999999994</v>
      </c>
      <c r="AJ99" s="97">
        <v>8</v>
      </c>
      <c r="AK99" s="97">
        <v>43852.799999999996</v>
      </c>
      <c r="AL99" s="97">
        <v>8</v>
      </c>
      <c r="AM99" s="97">
        <v>43852.799999999996</v>
      </c>
      <c r="AN99" s="97">
        <v>7</v>
      </c>
      <c r="AO99" s="97">
        <v>38371.199999999997</v>
      </c>
      <c r="AP99" s="97">
        <v>8</v>
      </c>
      <c r="AQ99" s="97">
        <v>43852.799999999996</v>
      </c>
      <c r="AR99" s="97">
        <v>6</v>
      </c>
      <c r="AS99" s="97">
        <v>32889.599999999999</v>
      </c>
      <c r="AT99" s="97">
        <v>5</v>
      </c>
      <c r="AU99" s="97">
        <v>27407.999999999996</v>
      </c>
      <c r="AV99" s="97">
        <v>7</v>
      </c>
      <c r="AW99" s="97">
        <v>38371.199999999997</v>
      </c>
      <c r="AX99" s="97">
        <v>8</v>
      </c>
      <c r="AY99" s="97">
        <v>43852.799999999996</v>
      </c>
      <c r="AZ99" s="97">
        <v>5</v>
      </c>
      <c r="BA99" s="97">
        <v>27407.999999999996</v>
      </c>
      <c r="BB99" s="97">
        <v>8</v>
      </c>
      <c r="BC99" s="97">
        <v>43852.799999999996</v>
      </c>
      <c r="BD99" s="97">
        <v>5</v>
      </c>
      <c r="BE99" s="97">
        <v>27407.999999999996</v>
      </c>
      <c r="BF99" s="97">
        <v>6</v>
      </c>
      <c r="BG99" s="97">
        <v>32889.599999999999</v>
      </c>
      <c r="BH99" s="97">
        <v>6</v>
      </c>
      <c r="BI99" s="97">
        <v>32889.599999999999</v>
      </c>
      <c r="BJ99" s="97">
        <v>5</v>
      </c>
      <c r="BK99" s="97">
        <v>27407.999999999996</v>
      </c>
      <c r="BL99" s="97">
        <v>7</v>
      </c>
      <c r="BM99" s="97">
        <v>38371.199999999997</v>
      </c>
      <c r="BN99" s="97">
        <v>7</v>
      </c>
      <c r="BO99" s="97">
        <v>38371.199999999997</v>
      </c>
      <c r="BP99" s="97">
        <v>5</v>
      </c>
      <c r="BQ99" s="97">
        <v>27407.999999999996</v>
      </c>
      <c r="BR99" s="97">
        <v>5</v>
      </c>
      <c r="BS99" s="97">
        <v>27407.999999999996</v>
      </c>
      <c r="BT99" s="97">
        <v>6</v>
      </c>
      <c r="BU99" s="97">
        <v>32889.599999999999</v>
      </c>
      <c r="BV99" s="97">
        <v>6</v>
      </c>
      <c r="BW99" s="97">
        <v>32889.599999999999</v>
      </c>
      <c r="BX99" s="97">
        <v>4</v>
      </c>
      <c r="BY99" s="97">
        <v>21926.399999999998</v>
      </c>
      <c r="BZ99" s="97">
        <v>4</v>
      </c>
      <c r="CA99" s="97">
        <v>21926.399999999998</v>
      </c>
      <c r="CB99" s="97">
        <v>3</v>
      </c>
      <c r="CC99" s="97">
        <v>16444.8</v>
      </c>
      <c r="CD99" s="97">
        <v>3</v>
      </c>
      <c r="CE99" s="97">
        <v>16444.8</v>
      </c>
      <c r="CF99" s="97">
        <v>3</v>
      </c>
      <c r="CG99" s="97">
        <v>16444.8</v>
      </c>
      <c r="CH99" s="97">
        <v>3</v>
      </c>
      <c r="CI99" s="97">
        <v>16444.8</v>
      </c>
      <c r="CJ99" s="97">
        <v>3</v>
      </c>
      <c r="CK99" s="97">
        <v>16444.8</v>
      </c>
      <c r="CL99" s="97">
        <v>3</v>
      </c>
      <c r="CM99" s="97">
        <v>16444.8</v>
      </c>
      <c r="CN99" s="97">
        <v>3</v>
      </c>
      <c r="CO99" s="97">
        <v>16444.8</v>
      </c>
      <c r="CP99" s="97">
        <v>3</v>
      </c>
      <c r="CQ99" s="97">
        <v>16444.8</v>
      </c>
      <c r="CR99" s="97">
        <v>3</v>
      </c>
      <c r="CS99" s="97">
        <v>16444.8</v>
      </c>
      <c r="CT99" s="97">
        <v>3</v>
      </c>
      <c r="CU99" s="97">
        <v>16444.8</v>
      </c>
    </row>
    <row r="100" spans="2:99" x14ac:dyDescent="0.15">
      <c r="C100" s="96" t="s">
        <v>265</v>
      </c>
      <c r="D100" s="97">
        <v>48</v>
      </c>
      <c r="E100" s="97">
        <v>77875.199999999997</v>
      </c>
      <c r="F100" s="97">
        <v>70</v>
      </c>
      <c r="G100" s="97">
        <v>113567.99999999999</v>
      </c>
      <c r="H100" s="97">
        <v>51</v>
      </c>
      <c r="I100" s="97">
        <v>82742.399999999994</v>
      </c>
      <c r="J100" s="97">
        <v>58</v>
      </c>
      <c r="K100" s="97">
        <v>94099.199999999997</v>
      </c>
      <c r="L100" s="97">
        <v>48</v>
      </c>
      <c r="M100" s="97">
        <v>77875.199999999997</v>
      </c>
      <c r="N100" s="97">
        <v>26</v>
      </c>
      <c r="O100" s="97">
        <v>42182.399999999994</v>
      </c>
      <c r="P100" s="97">
        <v>27</v>
      </c>
      <c r="Q100" s="97">
        <v>43804.799999999996</v>
      </c>
      <c r="R100" s="97">
        <v>48</v>
      </c>
      <c r="S100" s="97">
        <v>77875.199999999997</v>
      </c>
      <c r="T100" s="97">
        <v>33</v>
      </c>
      <c r="U100" s="97">
        <v>53539.199999999997</v>
      </c>
      <c r="V100" s="97">
        <v>30</v>
      </c>
      <c r="W100" s="97">
        <v>48671.999999999993</v>
      </c>
      <c r="X100" s="97">
        <v>31</v>
      </c>
      <c r="Y100" s="97">
        <v>50294.399999999994</v>
      </c>
      <c r="Z100" s="97">
        <v>28</v>
      </c>
      <c r="AA100" s="97">
        <v>45427.199999999997</v>
      </c>
      <c r="AB100" s="97">
        <v>15</v>
      </c>
      <c r="AC100" s="97">
        <v>24335.999999999996</v>
      </c>
      <c r="AD100" s="97">
        <v>24</v>
      </c>
      <c r="AE100" s="97">
        <v>38937.599999999999</v>
      </c>
      <c r="AF100" s="97">
        <v>21</v>
      </c>
      <c r="AG100" s="97">
        <v>34070.399999999994</v>
      </c>
      <c r="AH100" s="97">
        <v>13</v>
      </c>
      <c r="AI100" s="97">
        <v>21091.199999999997</v>
      </c>
      <c r="AJ100" s="97">
        <v>12</v>
      </c>
      <c r="AK100" s="97">
        <v>19468.8</v>
      </c>
      <c r="AL100" s="97">
        <v>12</v>
      </c>
      <c r="AM100" s="97">
        <v>19468.8</v>
      </c>
      <c r="AN100" s="97">
        <v>11</v>
      </c>
      <c r="AO100" s="97">
        <v>17846.399999999998</v>
      </c>
      <c r="AP100" s="97">
        <v>12</v>
      </c>
      <c r="AQ100" s="97">
        <v>19468.8</v>
      </c>
      <c r="AR100" s="97">
        <v>8</v>
      </c>
      <c r="AS100" s="97">
        <v>12979.199999999999</v>
      </c>
      <c r="AT100" s="97">
        <v>8</v>
      </c>
      <c r="AU100" s="97">
        <v>12979.199999999999</v>
      </c>
      <c r="AV100" s="97">
        <v>10</v>
      </c>
      <c r="AW100" s="97">
        <v>16223.999999999998</v>
      </c>
      <c r="AX100" s="97">
        <v>10</v>
      </c>
      <c r="AY100" s="97">
        <v>16223.999999999998</v>
      </c>
      <c r="AZ100" s="97">
        <v>7</v>
      </c>
      <c r="BA100" s="97">
        <v>11356.8</v>
      </c>
      <c r="BB100" s="97">
        <v>10</v>
      </c>
      <c r="BC100" s="97">
        <v>16223.999999999998</v>
      </c>
      <c r="BD100" s="97">
        <v>8</v>
      </c>
      <c r="BE100" s="97">
        <v>12979.199999999999</v>
      </c>
      <c r="BF100" s="97">
        <v>9</v>
      </c>
      <c r="BG100" s="97">
        <v>14601.599999999999</v>
      </c>
      <c r="BH100" s="97">
        <v>9</v>
      </c>
      <c r="BI100" s="97">
        <v>14601.599999999999</v>
      </c>
      <c r="BJ100" s="97">
        <v>8</v>
      </c>
      <c r="BK100" s="97">
        <v>12979.199999999999</v>
      </c>
      <c r="BL100" s="97">
        <v>9</v>
      </c>
      <c r="BM100" s="97">
        <v>14601.599999999999</v>
      </c>
      <c r="BN100" s="97">
        <v>10</v>
      </c>
      <c r="BO100" s="97">
        <v>16223.999999999998</v>
      </c>
      <c r="BP100" s="97">
        <v>6</v>
      </c>
      <c r="BQ100" s="97">
        <v>9734.4</v>
      </c>
      <c r="BR100" s="97">
        <v>6</v>
      </c>
      <c r="BS100" s="97">
        <v>9734.4</v>
      </c>
      <c r="BT100" s="97">
        <v>7</v>
      </c>
      <c r="BU100" s="97">
        <v>11356.8</v>
      </c>
      <c r="BV100" s="97">
        <v>7</v>
      </c>
      <c r="BW100" s="97">
        <v>11356.8</v>
      </c>
      <c r="BX100" s="97">
        <v>7</v>
      </c>
      <c r="BY100" s="97">
        <v>11356.8</v>
      </c>
      <c r="BZ100" s="97">
        <v>5</v>
      </c>
      <c r="CA100" s="97">
        <v>8111.9999999999991</v>
      </c>
      <c r="CB100" s="97">
        <v>5</v>
      </c>
      <c r="CC100" s="97">
        <v>8111.9999999999991</v>
      </c>
      <c r="CD100" s="97">
        <v>4</v>
      </c>
      <c r="CE100" s="97">
        <v>6489.5999999999995</v>
      </c>
      <c r="CF100" s="97">
        <v>3</v>
      </c>
      <c r="CG100" s="97">
        <v>4867.2</v>
      </c>
      <c r="CH100" s="97">
        <v>4</v>
      </c>
      <c r="CI100" s="97">
        <v>6489.5999999999995</v>
      </c>
      <c r="CJ100" s="97">
        <v>4</v>
      </c>
      <c r="CK100" s="97">
        <v>6489.5999999999995</v>
      </c>
      <c r="CL100" s="97">
        <v>5</v>
      </c>
      <c r="CM100" s="97">
        <v>8111.9999999999991</v>
      </c>
      <c r="CN100" s="97">
        <v>4</v>
      </c>
      <c r="CO100" s="97">
        <v>6489.5999999999995</v>
      </c>
      <c r="CP100" s="97">
        <v>3</v>
      </c>
      <c r="CQ100" s="97">
        <v>4867.2</v>
      </c>
      <c r="CR100" s="97">
        <v>4</v>
      </c>
      <c r="CS100" s="97">
        <v>6489.5999999999995</v>
      </c>
      <c r="CT100" s="97">
        <v>5</v>
      </c>
      <c r="CU100" s="97">
        <v>8111.9999999999991</v>
      </c>
    </row>
    <row r="101" spans="2:99" x14ac:dyDescent="0.15">
      <c r="C101" s="96" t="s">
        <v>266</v>
      </c>
      <c r="D101" s="97">
        <v>51</v>
      </c>
      <c r="E101" s="97">
        <v>60710.399999999994</v>
      </c>
      <c r="F101" s="97">
        <v>75</v>
      </c>
      <c r="G101" s="97">
        <v>89279.999999999985</v>
      </c>
      <c r="H101" s="97">
        <v>55</v>
      </c>
      <c r="I101" s="97">
        <v>65471.999999999993</v>
      </c>
      <c r="J101" s="97">
        <v>63</v>
      </c>
      <c r="K101" s="97">
        <v>74995.199999999997</v>
      </c>
      <c r="L101" s="97">
        <v>47</v>
      </c>
      <c r="M101" s="97">
        <v>55948.799999999996</v>
      </c>
      <c r="N101" s="97">
        <v>32</v>
      </c>
      <c r="O101" s="97">
        <v>38092.799999999996</v>
      </c>
      <c r="P101" s="97">
        <v>31</v>
      </c>
      <c r="Q101" s="97">
        <v>36902.399999999994</v>
      </c>
      <c r="R101" s="97">
        <v>49</v>
      </c>
      <c r="S101" s="97">
        <v>58329.599999999991</v>
      </c>
      <c r="T101" s="97">
        <v>31</v>
      </c>
      <c r="U101" s="97">
        <v>36902.399999999994</v>
      </c>
      <c r="V101" s="97">
        <v>31</v>
      </c>
      <c r="W101" s="97">
        <v>36902.399999999994</v>
      </c>
      <c r="X101" s="97">
        <v>35</v>
      </c>
      <c r="Y101" s="97">
        <v>41663.999999999993</v>
      </c>
      <c r="Z101" s="97">
        <v>31</v>
      </c>
      <c r="AA101" s="97">
        <v>36902.399999999994</v>
      </c>
      <c r="AB101" s="97">
        <v>14</v>
      </c>
      <c r="AC101" s="97">
        <v>16665.599999999999</v>
      </c>
      <c r="AD101" s="97">
        <v>23</v>
      </c>
      <c r="AE101" s="97">
        <v>27379.199999999997</v>
      </c>
      <c r="AF101" s="97">
        <v>20</v>
      </c>
      <c r="AG101" s="97">
        <v>23807.999999999996</v>
      </c>
      <c r="AH101" s="97">
        <v>16</v>
      </c>
      <c r="AI101" s="97">
        <v>19046.399999999998</v>
      </c>
      <c r="AJ101" s="97">
        <v>12</v>
      </c>
      <c r="AK101" s="97">
        <v>14284.8</v>
      </c>
      <c r="AL101" s="97">
        <v>12</v>
      </c>
      <c r="AM101" s="97">
        <v>14284.8</v>
      </c>
      <c r="AN101" s="97">
        <v>11</v>
      </c>
      <c r="AO101" s="97">
        <v>13094.399999999998</v>
      </c>
      <c r="AP101" s="97">
        <v>13</v>
      </c>
      <c r="AQ101" s="97">
        <v>15475.199999999999</v>
      </c>
      <c r="AR101" s="97">
        <v>8</v>
      </c>
      <c r="AS101" s="97">
        <v>9523.1999999999989</v>
      </c>
      <c r="AT101" s="97">
        <v>7</v>
      </c>
      <c r="AU101" s="97">
        <v>8332.7999999999993</v>
      </c>
      <c r="AV101" s="97">
        <v>10</v>
      </c>
      <c r="AW101" s="97">
        <v>11903.999999999998</v>
      </c>
      <c r="AX101" s="97">
        <v>10</v>
      </c>
      <c r="AY101" s="97">
        <v>11903.999999999998</v>
      </c>
      <c r="AZ101" s="97">
        <v>7</v>
      </c>
      <c r="BA101" s="97">
        <v>8332.7999999999993</v>
      </c>
      <c r="BB101" s="97">
        <v>11</v>
      </c>
      <c r="BC101" s="97">
        <v>13094.399999999998</v>
      </c>
      <c r="BD101" s="97">
        <v>7</v>
      </c>
      <c r="BE101" s="97">
        <v>8332.7999999999993</v>
      </c>
      <c r="BF101" s="97">
        <v>10</v>
      </c>
      <c r="BG101" s="97">
        <v>11903.999999999998</v>
      </c>
      <c r="BH101" s="97">
        <v>9</v>
      </c>
      <c r="BI101" s="97">
        <v>10713.599999999999</v>
      </c>
      <c r="BJ101" s="97">
        <v>7</v>
      </c>
      <c r="BK101" s="97">
        <v>8332.7999999999993</v>
      </c>
      <c r="BL101" s="97">
        <v>8</v>
      </c>
      <c r="BM101" s="97">
        <v>9523.1999999999989</v>
      </c>
      <c r="BN101" s="97">
        <v>9</v>
      </c>
      <c r="BO101" s="97">
        <v>10713.599999999999</v>
      </c>
      <c r="BP101" s="97">
        <v>6</v>
      </c>
      <c r="BQ101" s="97">
        <v>7142.4</v>
      </c>
      <c r="BR101" s="97">
        <v>7</v>
      </c>
      <c r="BS101" s="97">
        <v>8332.7999999999993</v>
      </c>
      <c r="BT101" s="97">
        <v>8</v>
      </c>
      <c r="BU101" s="97">
        <v>9523.1999999999989</v>
      </c>
      <c r="BV101" s="97">
        <v>8</v>
      </c>
      <c r="BW101" s="97">
        <v>9523.1999999999989</v>
      </c>
      <c r="BX101" s="97">
        <v>7</v>
      </c>
      <c r="BY101" s="97">
        <v>8332.7999999999993</v>
      </c>
      <c r="BZ101" s="97">
        <v>5</v>
      </c>
      <c r="CA101" s="97">
        <v>5951.9999999999991</v>
      </c>
      <c r="CB101" s="97">
        <v>5</v>
      </c>
      <c r="CC101" s="97">
        <v>5951.9999999999991</v>
      </c>
      <c r="CD101" s="97">
        <v>4</v>
      </c>
      <c r="CE101" s="97">
        <v>4761.5999999999995</v>
      </c>
      <c r="CF101" s="97">
        <v>4</v>
      </c>
      <c r="CG101" s="97">
        <v>4761.5999999999995</v>
      </c>
      <c r="CH101" s="97">
        <v>4</v>
      </c>
      <c r="CI101" s="97">
        <v>4761.5999999999995</v>
      </c>
      <c r="CJ101" s="97">
        <v>4</v>
      </c>
      <c r="CK101" s="97">
        <v>4761.5999999999995</v>
      </c>
      <c r="CL101" s="97">
        <v>5</v>
      </c>
      <c r="CM101" s="97">
        <v>5951.9999999999991</v>
      </c>
      <c r="CN101" s="97">
        <v>4</v>
      </c>
      <c r="CO101" s="97">
        <v>4761.5999999999995</v>
      </c>
      <c r="CP101" s="97">
        <v>3</v>
      </c>
      <c r="CQ101" s="97">
        <v>3571.2</v>
      </c>
      <c r="CR101" s="97">
        <v>5</v>
      </c>
      <c r="CS101" s="97">
        <v>5951.9999999999991</v>
      </c>
      <c r="CT101" s="97">
        <v>4</v>
      </c>
      <c r="CU101" s="97">
        <v>4761.5999999999995</v>
      </c>
    </row>
    <row r="102" spans="2:99" x14ac:dyDescent="0.15">
      <c r="C102" s="96" t="s">
        <v>267</v>
      </c>
      <c r="D102" s="97">
        <v>40</v>
      </c>
      <c r="E102" s="97">
        <v>77568</v>
      </c>
      <c r="F102" s="97">
        <v>61</v>
      </c>
      <c r="G102" s="97">
        <v>118291.19999999998</v>
      </c>
      <c r="H102" s="97">
        <v>43</v>
      </c>
      <c r="I102" s="97">
        <v>83385.599999999991</v>
      </c>
      <c r="J102" s="97">
        <v>48</v>
      </c>
      <c r="K102" s="97">
        <v>93081.599999999991</v>
      </c>
      <c r="L102" s="97">
        <v>45</v>
      </c>
      <c r="M102" s="97">
        <v>87263.999999999985</v>
      </c>
      <c r="N102" s="97">
        <v>25</v>
      </c>
      <c r="O102" s="97">
        <v>48479.999999999993</v>
      </c>
      <c r="P102" s="97">
        <v>25</v>
      </c>
      <c r="Q102" s="97">
        <v>48479.999999999993</v>
      </c>
      <c r="R102" s="97">
        <v>38</v>
      </c>
      <c r="S102" s="97">
        <v>73689.599999999991</v>
      </c>
      <c r="T102" s="97">
        <v>27</v>
      </c>
      <c r="U102" s="97">
        <v>52358.399999999994</v>
      </c>
      <c r="V102" s="97">
        <v>30</v>
      </c>
      <c r="W102" s="97">
        <v>58175.999999999993</v>
      </c>
      <c r="X102" s="97">
        <v>30</v>
      </c>
      <c r="Y102" s="97">
        <v>58175.999999999993</v>
      </c>
      <c r="Z102" s="97">
        <v>30</v>
      </c>
      <c r="AA102" s="97">
        <v>58175.999999999993</v>
      </c>
      <c r="AB102" s="97">
        <v>13</v>
      </c>
      <c r="AC102" s="97">
        <v>25209.599999999999</v>
      </c>
      <c r="AD102" s="97">
        <v>23</v>
      </c>
      <c r="AE102" s="97">
        <v>44601.599999999999</v>
      </c>
      <c r="AF102" s="97">
        <v>19</v>
      </c>
      <c r="AG102" s="97">
        <v>36844.799999999996</v>
      </c>
      <c r="AH102" s="97">
        <v>14</v>
      </c>
      <c r="AI102" s="97">
        <v>27148.799999999996</v>
      </c>
      <c r="AJ102" s="97">
        <v>11</v>
      </c>
      <c r="AK102" s="97">
        <v>21331.199999999997</v>
      </c>
      <c r="AL102" s="97">
        <v>11</v>
      </c>
      <c r="AM102" s="97">
        <v>21331.199999999997</v>
      </c>
      <c r="AN102" s="97">
        <v>10</v>
      </c>
      <c r="AO102" s="97">
        <v>19392</v>
      </c>
      <c r="AP102" s="97">
        <v>11</v>
      </c>
      <c r="AQ102" s="97">
        <v>21331.199999999997</v>
      </c>
      <c r="AR102" s="97">
        <v>7</v>
      </c>
      <c r="AS102" s="97">
        <v>13574.399999999998</v>
      </c>
      <c r="AT102" s="97">
        <v>7</v>
      </c>
      <c r="AU102" s="97">
        <v>13574.399999999998</v>
      </c>
      <c r="AV102" s="97">
        <v>8</v>
      </c>
      <c r="AW102" s="97">
        <v>15513.599999999999</v>
      </c>
      <c r="AX102" s="97">
        <v>10</v>
      </c>
      <c r="AY102" s="97">
        <v>19392</v>
      </c>
      <c r="AZ102" s="97">
        <v>7</v>
      </c>
      <c r="BA102" s="97">
        <v>13574.399999999998</v>
      </c>
      <c r="BB102" s="97">
        <v>11</v>
      </c>
      <c r="BC102" s="97">
        <v>21331.199999999997</v>
      </c>
      <c r="BD102" s="97">
        <v>7</v>
      </c>
      <c r="BE102" s="97">
        <v>13574.399999999998</v>
      </c>
      <c r="BF102" s="97">
        <v>8</v>
      </c>
      <c r="BG102" s="97">
        <v>15513.599999999999</v>
      </c>
      <c r="BH102" s="97">
        <v>8</v>
      </c>
      <c r="BI102" s="97">
        <v>15513.599999999999</v>
      </c>
      <c r="BJ102" s="97">
        <v>7</v>
      </c>
      <c r="BK102" s="97">
        <v>13574.399999999998</v>
      </c>
      <c r="BL102" s="97">
        <v>9</v>
      </c>
      <c r="BM102" s="97">
        <v>17452.8</v>
      </c>
      <c r="BN102" s="97">
        <v>10</v>
      </c>
      <c r="BO102" s="97">
        <v>19392</v>
      </c>
      <c r="BP102" s="97">
        <v>6</v>
      </c>
      <c r="BQ102" s="97">
        <v>11635.199999999999</v>
      </c>
      <c r="BR102" s="97">
        <v>6</v>
      </c>
      <c r="BS102" s="97">
        <v>11635.199999999999</v>
      </c>
      <c r="BT102" s="97">
        <v>8</v>
      </c>
      <c r="BU102" s="97">
        <v>15513.599999999999</v>
      </c>
      <c r="BV102" s="97">
        <v>7</v>
      </c>
      <c r="BW102" s="97">
        <v>13574.399999999998</v>
      </c>
      <c r="BX102" s="97">
        <v>6</v>
      </c>
      <c r="BY102" s="97">
        <v>11635.199999999999</v>
      </c>
      <c r="BZ102" s="97">
        <v>5</v>
      </c>
      <c r="CA102" s="97">
        <v>9696</v>
      </c>
      <c r="CB102" s="97">
        <v>5</v>
      </c>
      <c r="CC102" s="97">
        <v>9696</v>
      </c>
      <c r="CD102" s="97">
        <v>4</v>
      </c>
      <c r="CE102" s="97">
        <v>7756.7999999999993</v>
      </c>
      <c r="CF102" s="97">
        <v>4</v>
      </c>
      <c r="CG102" s="97">
        <v>7756.7999999999993</v>
      </c>
      <c r="CH102" s="97">
        <v>3</v>
      </c>
      <c r="CI102" s="97">
        <v>5817.5999999999995</v>
      </c>
      <c r="CJ102" s="97">
        <v>4</v>
      </c>
      <c r="CK102" s="97">
        <v>7756.7999999999993</v>
      </c>
      <c r="CL102" s="97">
        <v>4</v>
      </c>
      <c r="CM102" s="97">
        <v>7756.7999999999993</v>
      </c>
      <c r="CN102" s="97">
        <v>4</v>
      </c>
      <c r="CO102" s="97">
        <v>7756.7999999999993</v>
      </c>
      <c r="CP102" s="97">
        <v>3</v>
      </c>
      <c r="CQ102" s="97">
        <v>5817.5999999999995</v>
      </c>
      <c r="CR102" s="97">
        <v>4</v>
      </c>
      <c r="CS102" s="97">
        <v>7756.7999999999993</v>
      </c>
      <c r="CT102" s="97">
        <v>4</v>
      </c>
      <c r="CU102" s="97">
        <v>7756.7999999999993</v>
      </c>
    </row>
    <row r="103" spans="2:99" x14ac:dyDescent="0.15">
      <c r="C103" s="96" t="s">
        <v>268</v>
      </c>
      <c r="D103" s="97">
        <v>41</v>
      </c>
      <c r="E103" s="97">
        <v>83148</v>
      </c>
      <c r="F103" s="97">
        <v>64</v>
      </c>
      <c r="G103" s="97">
        <v>129792</v>
      </c>
      <c r="H103" s="97">
        <v>47</v>
      </c>
      <c r="I103" s="97">
        <v>95316</v>
      </c>
      <c r="J103" s="97">
        <v>46</v>
      </c>
      <c r="K103" s="97">
        <v>93288</v>
      </c>
      <c r="L103" s="97">
        <v>41</v>
      </c>
      <c r="M103" s="97">
        <v>83148</v>
      </c>
      <c r="N103" s="97">
        <v>26</v>
      </c>
      <c r="O103" s="97">
        <v>52728</v>
      </c>
      <c r="P103" s="97">
        <v>25</v>
      </c>
      <c r="Q103" s="97">
        <v>50700</v>
      </c>
      <c r="R103" s="97">
        <v>42</v>
      </c>
      <c r="S103" s="97">
        <v>85176</v>
      </c>
      <c r="T103" s="97">
        <v>31</v>
      </c>
      <c r="U103" s="97">
        <v>62868</v>
      </c>
      <c r="V103" s="97">
        <v>31</v>
      </c>
      <c r="W103" s="97">
        <v>62868</v>
      </c>
      <c r="X103" s="97">
        <v>32</v>
      </c>
      <c r="Y103" s="97">
        <v>64896</v>
      </c>
      <c r="Z103" s="97">
        <v>26</v>
      </c>
      <c r="AA103" s="97">
        <v>52728</v>
      </c>
      <c r="AB103" s="97">
        <v>15</v>
      </c>
      <c r="AC103" s="97">
        <v>30420</v>
      </c>
      <c r="AD103" s="97">
        <v>23</v>
      </c>
      <c r="AE103" s="97">
        <v>46644</v>
      </c>
      <c r="AF103" s="97">
        <v>19</v>
      </c>
      <c r="AG103" s="97">
        <v>38532</v>
      </c>
      <c r="AH103" s="97">
        <v>14</v>
      </c>
      <c r="AI103" s="97">
        <v>28392</v>
      </c>
      <c r="AJ103" s="97">
        <v>11</v>
      </c>
      <c r="AK103" s="97">
        <v>22308</v>
      </c>
      <c r="AL103" s="97">
        <v>11</v>
      </c>
      <c r="AM103" s="97">
        <v>22308</v>
      </c>
      <c r="AN103" s="97">
        <v>11</v>
      </c>
      <c r="AO103" s="97">
        <v>22308</v>
      </c>
      <c r="AP103" s="97">
        <v>11</v>
      </c>
      <c r="AQ103" s="97">
        <v>22308</v>
      </c>
      <c r="AR103" s="97">
        <v>8</v>
      </c>
      <c r="AS103" s="97">
        <v>16224</v>
      </c>
      <c r="AT103" s="97">
        <v>7</v>
      </c>
      <c r="AU103" s="97">
        <v>14196</v>
      </c>
      <c r="AV103" s="97">
        <v>8</v>
      </c>
      <c r="AW103" s="97">
        <v>16224</v>
      </c>
      <c r="AX103" s="97">
        <v>10</v>
      </c>
      <c r="AY103" s="97">
        <v>20280</v>
      </c>
      <c r="AZ103" s="97">
        <v>6</v>
      </c>
      <c r="BA103" s="97">
        <v>12168</v>
      </c>
      <c r="BB103" s="97">
        <v>10</v>
      </c>
      <c r="BC103" s="97">
        <v>20280</v>
      </c>
      <c r="BD103" s="97">
        <v>7</v>
      </c>
      <c r="BE103" s="97">
        <v>14196</v>
      </c>
      <c r="BF103" s="97">
        <v>8</v>
      </c>
      <c r="BG103" s="97">
        <v>16224</v>
      </c>
      <c r="BH103" s="97">
        <v>8</v>
      </c>
      <c r="BI103" s="97">
        <v>16224</v>
      </c>
      <c r="BJ103" s="97">
        <v>7</v>
      </c>
      <c r="BK103" s="97">
        <v>14196</v>
      </c>
      <c r="BL103" s="97">
        <v>8</v>
      </c>
      <c r="BM103" s="97">
        <v>16224</v>
      </c>
      <c r="BN103" s="97">
        <v>9</v>
      </c>
      <c r="BO103" s="97">
        <v>18252</v>
      </c>
      <c r="BP103" s="97">
        <v>5</v>
      </c>
      <c r="BQ103" s="97">
        <v>10140</v>
      </c>
      <c r="BR103" s="97">
        <v>6</v>
      </c>
      <c r="BS103" s="97">
        <v>12168</v>
      </c>
      <c r="BT103" s="97">
        <v>8</v>
      </c>
      <c r="BU103" s="97">
        <v>16224</v>
      </c>
      <c r="BV103" s="97">
        <v>7</v>
      </c>
      <c r="BW103" s="97">
        <v>14196</v>
      </c>
      <c r="BX103" s="97">
        <v>6</v>
      </c>
      <c r="BY103" s="97">
        <v>12168</v>
      </c>
      <c r="BZ103" s="97">
        <v>4</v>
      </c>
      <c r="CA103" s="97">
        <v>8112</v>
      </c>
      <c r="CB103" s="97">
        <v>5</v>
      </c>
      <c r="CC103" s="97">
        <v>10140</v>
      </c>
      <c r="CD103" s="97">
        <v>4</v>
      </c>
      <c r="CE103" s="97">
        <v>8112</v>
      </c>
      <c r="CF103" s="97">
        <v>3</v>
      </c>
      <c r="CG103" s="97">
        <v>6084</v>
      </c>
      <c r="CH103" s="97">
        <v>4</v>
      </c>
      <c r="CI103" s="97">
        <v>8112</v>
      </c>
      <c r="CJ103" s="97">
        <v>4</v>
      </c>
      <c r="CK103" s="97">
        <v>8112</v>
      </c>
      <c r="CL103" s="97">
        <v>4</v>
      </c>
      <c r="CM103" s="97">
        <v>8112</v>
      </c>
      <c r="CN103" s="97">
        <v>4</v>
      </c>
      <c r="CO103" s="97">
        <v>8112</v>
      </c>
      <c r="CP103" s="97">
        <v>3</v>
      </c>
      <c r="CQ103" s="97">
        <v>6084</v>
      </c>
      <c r="CR103" s="97">
        <v>4</v>
      </c>
      <c r="CS103" s="97">
        <v>8112</v>
      </c>
      <c r="CT103" s="97">
        <v>4</v>
      </c>
      <c r="CU103" s="97">
        <v>8112</v>
      </c>
    </row>
    <row r="104" spans="2:99" x14ac:dyDescent="0.15">
      <c r="C104" s="96" t="s">
        <v>269</v>
      </c>
      <c r="D104" s="97">
        <v>40</v>
      </c>
      <c r="E104" s="97">
        <v>82896</v>
      </c>
      <c r="F104" s="97">
        <v>62</v>
      </c>
      <c r="G104" s="97">
        <v>128488.8</v>
      </c>
      <c r="H104" s="97">
        <v>42</v>
      </c>
      <c r="I104" s="97">
        <v>87040.8</v>
      </c>
      <c r="J104" s="97">
        <v>54</v>
      </c>
      <c r="K104" s="97">
        <v>111909.6</v>
      </c>
      <c r="L104" s="97">
        <v>42</v>
      </c>
      <c r="M104" s="97">
        <v>87040.8</v>
      </c>
      <c r="N104" s="97">
        <v>23</v>
      </c>
      <c r="O104" s="97">
        <v>47665.200000000004</v>
      </c>
      <c r="P104" s="97">
        <v>24</v>
      </c>
      <c r="Q104" s="97">
        <v>49737.600000000006</v>
      </c>
      <c r="R104" s="97">
        <v>44</v>
      </c>
      <c r="S104" s="97">
        <v>91185.600000000006</v>
      </c>
      <c r="T104" s="97">
        <v>27</v>
      </c>
      <c r="U104" s="97">
        <v>55954.8</v>
      </c>
      <c r="V104" s="97">
        <v>32</v>
      </c>
      <c r="W104" s="97">
        <v>66316.800000000003</v>
      </c>
      <c r="X104" s="97">
        <v>28</v>
      </c>
      <c r="Y104" s="97">
        <v>58027.200000000004</v>
      </c>
      <c r="Z104" s="97">
        <v>25</v>
      </c>
      <c r="AA104" s="97">
        <v>51810</v>
      </c>
      <c r="AB104" s="97">
        <v>13</v>
      </c>
      <c r="AC104" s="97">
        <v>26941.200000000001</v>
      </c>
      <c r="AD104" s="97">
        <v>21</v>
      </c>
      <c r="AE104" s="97">
        <v>43520.4</v>
      </c>
      <c r="AF104" s="97">
        <v>19</v>
      </c>
      <c r="AG104" s="97">
        <v>39375.599999999999</v>
      </c>
      <c r="AH104" s="97">
        <v>14</v>
      </c>
      <c r="AI104" s="97">
        <v>29013.600000000002</v>
      </c>
      <c r="AJ104" s="97">
        <v>11</v>
      </c>
      <c r="AK104" s="97">
        <v>22796.400000000001</v>
      </c>
      <c r="AL104" s="97">
        <v>10</v>
      </c>
      <c r="AM104" s="97">
        <v>20724</v>
      </c>
      <c r="AN104" s="97">
        <v>11</v>
      </c>
      <c r="AO104" s="97">
        <v>22796.400000000001</v>
      </c>
      <c r="AP104" s="97">
        <v>11</v>
      </c>
      <c r="AQ104" s="97">
        <v>22796.400000000001</v>
      </c>
      <c r="AR104" s="97">
        <v>8</v>
      </c>
      <c r="AS104" s="97">
        <v>16579.2</v>
      </c>
      <c r="AT104" s="97">
        <v>7</v>
      </c>
      <c r="AU104" s="97">
        <v>14506.800000000001</v>
      </c>
      <c r="AV104" s="97">
        <v>9</v>
      </c>
      <c r="AW104" s="97">
        <v>18651.600000000002</v>
      </c>
      <c r="AX104" s="97">
        <v>10</v>
      </c>
      <c r="AY104" s="97">
        <v>20724</v>
      </c>
      <c r="AZ104" s="97">
        <v>6</v>
      </c>
      <c r="BA104" s="97">
        <v>12434.400000000001</v>
      </c>
      <c r="BB104" s="97">
        <v>11</v>
      </c>
      <c r="BC104" s="97">
        <v>22796.400000000001</v>
      </c>
      <c r="BD104" s="97">
        <v>8</v>
      </c>
      <c r="BE104" s="97">
        <v>16579.2</v>
      </c>
      <c r="BF104" s="97">
        <v>8</v>
      </c>
      <c r="BG104" s="97">
        <v>16579.2</v>
      </c>
      <c r="BH104" s="97">
        <v>8</v>
      </c>
      <c r="BI104" s="97">
        <v>16579.2</v>
      </c>
      <c r="BJ104" s="97">
        <v>8</v>
      </c>
      <c r="BK104" s="97">
        <v>16579.2</v>
      </c>
      <c r="BL104" s="97">
        <v>8</v>
      </c>
      <c r="BM104" s="97">
        <v>16579.2</v>
      </c>
      <c r="BN104" s="97">
        <v>8</v>
      </c>
      <c r="BO104" s="97">
        <v>16579.2</v>
      </c>
      <c r="BP104" s="97">
        <v>6</v>
      </c>
      <c r="BQ104" s="97">
        <v>12434.400000000001</v>
      </c>
      <c r="BR104" s="97">
        <v>6</v>
      </c>
      <c r="BS104" s="97">
        <v>12434.400000000001</v>
      </c>
      <c r="BT104" s="97">
        <v>7</v>
      </c>
      <c r="BU104" s="97">
        <v>14506.800000000001</v>
      </c>
      <c r="BV104" s="97">
        <v>7</v>
      </c>
      <c r="BW104" s="97">
        <v>14506.800000000001</v>
      </c>
      <c r="BX104" s="97">
        <v>6</v>
      </c>
      <c r="BY104" s="97">
        <v>12434.400000000001</v>
      </c>
      <c r="BZ104" s="97">
        <v>5</v>
      </c>
      <c r="CA104" s="97">
        <v>10362</v>
      </c>
      <c r="CB104" s="97">
        <v>5</v>
      </c>
      <c r="CC104" s="97">
        <v>10362</v>
      </c>
      <c r="CD104" s="97">
        <v>4</v>
      </c>
      <c r="CE104" s="97">
        <v>8289.6</v>
      </c>
      <c r="CF104" s="97">
        <v>3</v>
      </c>
      <c r="CG104" s="97">
        <v>6217.2000000000007</v>
      </c>
      <c r="CH104" s="97">
        <v>3</v>
      </c>
      <c r="CI104" s="97">
        <v>6217.2000000000007</v>
      </c>
      <c r="CJ104" s="97">
        <v>3</v>
      </c>
      <c r="CK104" s="97">
        <v>6217.2000000000007</v>
      </c>
      <c r="CL104" s="97">
        <v>5</v>
      </c>
      <c r="CM104" s="97">
        <v>10362</v>
      </c>
      <c r="CN104" s="97">
        <v>4</v>
      </c>
      <c r="CO104" s="97">
        <v>8289.6</v>
      </c>
      <c r="CP104" s="97">
        <v>3</v>
      </c>
      <c r="CQ104" s="97">
        <v>6217.2000000000007</v>
      </c>
      <c r="CR104" s="97">
        <v>4</v>
      </c>
      <c r="CS104" s="97">
        <v>8289.6</v>
      </c>
      <c r="CT104" s="97">
        <v>4</v>
      </c>
      <c r="CU104" s="97">
        <v>8289.6</v>
      </c>
    </row>
    <row r="105" spans="2:99" x14ac:dyDescent="0.15">
      <c r="C105" s="96" t="s">
        <v>270</v>
      </c>
      <c r="D105" s="97">
        <v>44</v>
      </c>
      <c r="E105" s="97">
        <v>87912</v>
      </c>
      <c r="F105" s="97">
        <v>58</v>
      </c>
      <c r="G105" s="97">
        <v>115884</v>
      </c>
      <c r="H105" s="97">
        <v>48</v>
      </c>
      <c r="I105" s="97">
        <v>95904</v>
      </c>
      <c r="J105" s="97">
        <v>52</v>
      </c>
      <c r="K105" s="97">
        <v>103896</v>
      </c>
      <c r="L105" s="97">
        <v>41</v>
      </c>
      <c r="M105" s="97">
        <v>81918</v>
      </c>
      <c r="N105" s="97">
        <v>25</v>
      </c>
      <c r="O105" s="97">
        <v>49950</v>
      </c>
      <c r="P105" s="97">
        <v>27</v>
      </c>
      <c r="Q105" s="97">
        <v>53946</v>
      </c>
      <c r="R105" s="97">
        <v>43</v>
      </c>
      <c r="S105" s="97">
        <v>85914</v>
      </c>
      <c r="T105" s="97">
        <v>27</v>
      </c>
      <c r="U105" s="97">
        <v>53946</v>
      </c>
      <c r="V105" s="97">
        <v>28</v>
      </c>
      <c r="W105" s="97">
        <v>55944</v>
      </c>
      <c r="X105" s="97">
        <v>29</v>
      </c>
      <c r="Y105" s="97">
        <v>57942</v>
      </c>
      <c r="Z105" s="97">
        <v>30</v>
      </c>
      <c r="AA105" s="97">
        <v>59940</v>
      </c>
      <c r="AB105" s="97">
        <v>14</v>
      </c>
      <c r="AC105" s="97">
        <v>27972</v>
      </c>
      <c r="AD105" s="97">
        <v>21</v>
      </c>
      <c r="AE105" s="97">
        <v>41958</v>
      </c>
      <c r="AF105" s="97">
        <v>20</v>
      </c>
      <c r="AG105" s="97">
        <v>39960</v>
      </c>
      <c r="AH105" s="97">
        <v>13</v>
      </c>
      <c r="AI105" s="97">
        <v>25974</v>
      </c>
      <c r="AJ105" s="97">
        <v>11</v>
      </c>
      <c r="AK105" s="97">
        <v>21978</v>
      </c>
      <c r="AL105" s="97">
        <v>11</v>
      </c>
      <c r="AM105" s="97">
        <v>21978</v>
      </c>
      <c r="AN105" s="97">
        <v>11</v>
      </c>
      <c r="AO105" s="97">
        <v>21978</v>
      </c>
      <c r="AP105" s="97">
        <v>11</v>
      </c>
      <c r="AQ105" s="97">
        <v>21978</v>
      </c>
      <c r="AR105" s="97">
        <v>7</v>
      </c>
      <c r="AS105" s="97">
        <v>13986</v>
      </c>
      <c r="AT105" s="97">
        <v>7</v>
      </c>
      <c r="AU105" s="97">
        <v>13986</v>
      </c>
      <c r="AV105" s="97">
        <v>8</v>
      </c>
      <c r="AW105" s="97">
        <v>15984</v>
      </c>
      <c r="AX105" s="97">
        <v>11</v>
      </c>
      <c r="AY105" s="97">
        <v>21978</v>
      </c>
      <c r="AZ105" s="97">
        <v>7</v>
      </c>
      <c r="BA105" s="97">
        <v>13986</v>
      </c>
      <c r="BB105" s="97">
        <v>10</v>
      </c>
      <c r="BC105" s="97">
        <v>19980</v>
      </c>
      <c r="BD105" s="97">
        <v>6</v>
      </c>
      <c r="BE105" s="97">
        <v>11988</v>
      </c>
      <c r="BF105" s="97">
        <v>9</v>
      </c>
      <c r="BG105" s="97">
        <v>17982</v>
      </c>
      <c r="BH105" s="97">
        <v>8</v>
      </c>
      <c r="BI105" s="97">
        <v>15984</v>
      </c>
      <c r="BJ105" s="97">
        <v>8</v>
      </c>
      <c r="BK105" s="97">
        <v>15984</v>
      </c>
      <c r="BL105" s="97">
        <v>7</v>
      </c>
      <c r="BM105" s="97">
        <v>13986</v>
      </c>
      <c r="BN105" s="97">
        <v>8</v>
      </c>
      <c r="BO105" s="97">
        <v>15984</v>
      </c>
      <c r="BP105" s="97">
        <v>5</v>
      </c>
      <c r="BQ105" s="97">
        <v>9990</v>
      </c>
      <c r="BR105" s="97">
        <v>7</v>
      </c>
      <c r="BS105" s="97">
        <v>13986</v>
      </c>
      <c r="BT105" s="97">
        <v>7</v>
      </c>
      <c r="BU105" s="97">
        <v>13986</v>
      </c>
      <c r="BV105" s="97">
        <v>8</v>
      </c>
      <c r="BW105" s="97">
        <v>15984</v>
      </c>
      <c r="BX105" s="97">
        <v>6</v>
      </c>
      <c r="BY105" s="97">
        <v>11988</v>
      </c>
      <c r="BZ105" s="97">
        <v>4</v>
      </c>
      <c r="CA105" s="97">
        <v>7992</v>
      </c>
      <c r="CB105" s="97">
        <v>5</v>
      </c>
      <c r="CC105" s="97">
        <v>9990</v>
      </c>
      <c r="CD105" s="97">
        <v>4</v>
      </c>
      <c r="CE105" s="97">
        <v>7992</v>
      </c>
      <c r="CF105" s="97">
        <v>4</v>
      </c>
      <c r="CG105" s="97">
        <v>7992</v>
      </c>
      <c r="CH105" s="97">
        <v>4</v>
      </c>
      <c r="CI105" s="97">
        <v>7992</v>
      </c>
      <c r="CJ105" s="97">
        <v>4</v>
      </c>
      <c r="CK105" s="97">
        <v>7992</v>
      </c>
      <c r="CL105" s="97">
        <v>4</v>
      </c>
      <c r="CM105" s="97">
        <v>7992</v>
      </c>
      <c r="CN105" s="97">
        <v>4</v>
      </c>
      <c r="CO105" s="97">
        <v>7992</v>
      </c>
      <c r="CP105" s="97">
        <v>3</v>
      </c>
      <c r="CQ105" s="97">
        <v>5994</v>
      </c>
      <c r="CR105" s="97">
        <v>4</v>
      </c>
      <c r="CS105" s="97">
        <v>7992</v>
      </c>
      <c r="CT105" s="97">
        <v>4</v>
      </c>
      <c r="CU105" s="97">
        <v>7992</v>
      </c>
    </row>
    <row r="107" spans="2:99" x14ac:dyDescent="0.15">
      <c r="B107" s="101" t="s">
        <v>275</v>
      </c>
    </row>
    <row r="108" spans="2:99" x14ac:dyDescent="0.15">
      <c r="C108" s="96" t="s">
        <v>276</v>
      </c>
      <c r="D108" s="96" t="s">
        <v>92</v>
      </c>
      <c r="E108" s="96" t="s">
        <v>93</v>
      </c>
      <c r="F108" s="96" t="s">
        <v>94</v>
      </c>
      <c r="G108" s="96" t="s">
        <v>95</v>
      </c>
      <c r="H108" s="96" t="s">
        <v>96</v>
      </c>
      <c r="I108" s="96" t="s">
        <v>97</v>
      </c>
      <c r="J108" s="96" t="s">
        <v>98</v>
      </c>
      <c r="K108" s="96" t="s">
        <v>99</v>
      </c>
      <c r="L108" s="96" t="s">
        <v>100</v>
      </c>
      <c r="M108" s="96" t="s">
        <v>101</v>
      </c>
      <c r="N108" s="96" t="s">
        <v>102</v>
      </c>
      <c r="O108" s="96" t="s">
        <v>103</v>
      </c>
    </row>
    <row r="109" spans="2:99" x14ac:dyDescent="0.15">
      <c r="C109" s="96" t="s">
        <v>126</v>
      </c>
      <c r="D109" s="97">
        <f>SUM(D$6:D$19)+SUM(F$6:F$19)+SUM(H$6:H$19)+SUM(J$6:J$19)</f>
        <v>3588</v>
      </c>
      <c r="E109" s="97">
        <f>SUM(L$6:L$19)+SUM(N$6:N$19)+SUM(P$6:P$19)+SUM(R$6:R$19)</f>
        <v>1832</v>
      </c>
      <c r="F109" s="97">
        <f>SUM(T$6:T$19)+SUM(V$6:V$19)+SUM(X$6:X$19)+SUM(Z$6:Z$19)</f>
        <v>1181</v>
      </c>
      <c r="G109" s="97">
        <f>SUM(AB$6:AB$19)+SUM(AD$6:AD$19)+SUM(AF$6:AF$19)+SUM(AH$6:AH$19)</f>
        <v>941</v>
      </c>
      <c r="H109" s="97">
        <f>SUM(AJ$6:AJ$19)+SUM(AL$6:AL$19)+SUM(AN$6:AN$19)+SUM(AP$6:AP$19)</f>
        <v>719</v>
      </c>
      <c r="I109" s="97">
        <f>SUM(AR$6:AR$19)+SUM(AT$6:AT$19)+SUM(AV$6:AV$19)+SUM(AX$6:AX$19)</f>
        <v>685</v>
      </c>
      <c r="J109" s="97">
        <f>SUM(AZ$6:AZ$19)+SUM(BB$6:BB$19)+SUM(BD$6:BD$19)+SUM(BF$6:BF$19)</f>
        <v>435</v>
      </c>
      <c r="K109" s="97">
        <f>SUM(BH$6:BH$19)+SUM(BJ$6:BJ$19)+SUM(BL$6:BL$19)+SUM(BN$6:BN$19)</f>
        <v>336</v>
      </c>
      <c r="L109" s="97">
        <f>SUM(BP$6:BP$19)+SUM(BR$6:BR$19)+SUM(BT$6:BT$19)+SUM(BV$6:BV$19)</f>
        <v>303</v>
      </c>
      <c r="M109" s="97">
        <f>SUM(BX$6:BX$19)+SUM(BZ$6:BZ$19)+SUM(CB$6:CB$19)+SUM(CD$6:CD$19)</f>
        <v>232</v>
      </c>
      <c r="N109" s="97">
        <f>SUM(CF$6:CF$19)+SUM(CH$6:CH$19)+SUM(CJ$6:CJ$19)+SUM(CL$6:CL$19)</f>
        <v>245</v>
      </c>
      <c r="O109" s="97">
        <f>SUM(CN$6:CN$19)+SUM(CP$6:CP$19)+SUM(CR$6:CR$19)+SUM(CT$6:CT$19)</f>
        <v>188</v>
      </c>
    </row>
    <row r="110" spans="2:99" x14ac:dyDescent="0.15">
      <c r="C110" s="96" t="s">
        <v>127</v>
      </c>
      <c r="D110" s="97">
        <f>SUM(D$20:D$36)+SUM(F$20:F$36)+SUM(H$20:H$36)+SUM(J$20:J$36)</f>
        <v>6265</v>
      </c>
      <c r="E110" s="97">
        <f>SUM(L$20:L$36)+SUM(N$20:N$36)+SUM(P$20:P$36)+SUM(R$20:R$36)</f>
        <v>3667</v>
      </c>
      <c r="F110" s="97">
        <f>SUM(T$20:T$36)+SUM(V$20:V$36)+SUM(X$20:X$36)+SUM(Z$20:Z$36)</f>
        <v>3147</v>
      </c>
      <c r="G110" s="97">
        <f>SUM(AB$20:AB$36)+SUM(AD$20:AD$36)+SUM(AF$20:AF$36)+SUM(AH$20:AH$36)</f>
        <v>1994</v>
      </c>
      <c r="H110" s="97">
        <f>SUM(AJ$20:AJ$36)+SUM(AL$20:AL$36)+SUM(AN$20:AN$36)+SUM(AP$20:AP$36)</f>
        <v>1309</v>
      </c>
      <c r="I110" s="97">
        <f>SUM(AR$20:AR$36)+SUM(AT$20:AT$36)+SUM(AV$20:AV$36)+SUM(AX$20:AX$36)</f>
        <v>1166</v>
      </c>
      <c r="J110" s="97">
        <f>SUM(AZ$20:AZ$36)+SUM(BB$20:BB$36)+SUM(BD$20:BD$36)+SUM(BF$20:BF$36)</f>
        <v>673</v>
      </c>
      <c r="K110" s="97">
        <f>SUM(BH$20:BH$36)+SUM(BJ$20:BJ$36)+SUM(BL$20:BL$36)+SUM(BN$20:BN$36)</f>
        <v>744</v>
      </c>
      <c r="L110" s="97">
        <f>SUM(BP$20:BP$36)+SUM(BR$20:BR$36)+SUM(BT$20:BT$36)+SUM(BV$20:BV$36)</f>
        <v>595</v>
      </c>
      <c r="M110" s="97">
        <f>SUM(BX$20:BX$36)+SUM(BZ$20:BZ$36)+SUM(CB$20:CB$36)+SUM(CD$20:CD$36)</f>
        <v>507</v>
      </c>
      <c r="N110" s="97">
        <f>SUM(CF$20:CF$36)+SUM(CH$20:CH$36)+SUM(CJ$20:CJ$36)+SUM(CL$20:CL$36)</f>
        <v>413</v>
      </c>
      <c r="O110" s="97">
        <f>SUM(CN$20:CN$36)+SUM(CP$20:CP$36)+SUM(CR$20:CR$36)+SUM(CT$20:CT$36)</f>
        <v>303</v>
      </c>
    </row>
    <row r="111" spans="2:99" x14ac:dyDescent="0.15">
      <c r="C111" s="96" t="s">
        <v>128</v>
      </c>
      <c r="D111" s="97">
        <f>SUM(D$37:D$48)+SUM(F$37:F$48)+SUM(H$37:H$48)+SUM(J$37:J$48)</f>
        <v>3904</v>
      </c>
      <c r="E111" s="97">
        <f>SUM(L$37:L$48)+SUM(N$37:N$48)+SUM(P$37:P$48)+SUM(R$37:R$48)</f>
        <v>2581</v>
      </c>
      <c r="F111" s="97">
        <f>SUM(T$37:T$48)+SUM(V$37:V$48)+SUM(X$37:X$48)+SUM(Z$37:Z$48)</f>
        <v>1453</v>
      </c>
      <c r="G111" s="97">
        <f>SUM(AB$37:AB$48)+SUM(AD$37:AD$48)+SUM(AF$37:AF$48)+SUM(AH$37:AH$48)</f>
        <v>1213</v>
      </c>
      <c r="H111" s="97">
        <f>SUM(AJ$37:AJ$48)+SUM(AL$37:AL$48)+SUM(AN$37:AN$48)+SUM(AP$37:AP$48)</f>
        <v>846</v>
      </c>
      <c r="I111" s="97">
        <f>SUM(AR$37:AR$48)+SUM(AT$37:AT$48)+SUM(AV$37:AV$48)+SUM(AX$37:AX$48)</f>
        <v>538</v>
      </c>
      <c r="J111" s="97">
        <f>SUM(AZ$37:AZ$48)+SUM(BB$37:BB$48)+SUM(BD$37:BD$48)+SUM(BF$37:BF$48)</f>
        <v>399</v>
      </c>
      <c r="K111" s="97">
        <f>SUM(BH$37:BH$48)+SUM(BJ$37:BJ$48)+SUM(BL$37:BL$48)+SUM(BN$37:BN$48)</f>
        <v>367</v>
      </c>
      <c r="L111" s="97">
        <f>SUM(BP$37:BP$48)+SUM(BR$37:BR$48)+SUM(BT$37:BT$48)+SUM(BV$37:BV$48)</f>
        <v>323</v>
      </c>
      <c r="M111" s="97">
        <f>SUM(BX$37:BX$48)+SUM(BZ$37:BZ$48)+SUM(CB$37:CB$48)+SUM(CD$37:CD$48)</f>
        <v>274</v>
      </c>
      <c r="N111" s="97">
        <f>SUM(CF$37:CF$48)+SUM(CH$37:CH$48)+SUM(CJ$37:CJ$48)+SUM(CL$37:CL$48)</f>
        <v>216</v>
      </c>
      <c r="O111" s="97">
        <f>SUM(CN$37:CN$48)+SUM(CP$37:CP$48)+SUM(CR$37:CR$48)+SUM(CT$37:CT$48)</f>
        <v>201</v>
      </c>
    </row>
    <row r="112" spans="2:99" x14ac:dyDescent="0.15">
      <c r="C112" s="96" t="s">
        <v>129</v>
      </c>
      <c r="D112" s="97">
        <f>SUM(D$49:D$70)+SUM(F$49:F$70)+SUM(H$49:H$70)+SUM(J$49:J$70)</f>
        <v>5124</v>
      </c>
      <c r="E112" s="97">
        <f>SUM(L$49:L$70)+SUM(N$49:N$70)+SUM(P$49:P$70)+SUM(R$49:R$70)</f>
        <v>4110</v>
      </c>
      <c r="F112" s="97">
        <f>SUM(T$49:T$70)+SUM(V$49:V$70)+SUM(X$49:X$70)+SUM(Z$49:Z$70)</f>
        <v>2386</v>
      </c>
      <c r="G112" s="97">
        <f>SUM(AB$49:AB$70)+SUM(AD$49:AD$70)+SUM(AF$49:AF$70)+SUM(AH$49:AH$70)</f>
        <v>1918</v>
      </c>
      <c r="H112" s="97">
        <f>SUM(AJ$49:AJ$70)+SUM(AL$49:AL$70)+SUM(AN$49:AN$70)+SUM(AP$49:AP$70)</f>
        <v>1027</v>
      </c>
      <c r="I112" s="97">
        <f>SUM(AR$49:AR$70)+SUM(AT$49:AT$70)+SUM(AV$49:AV$70)+SUM(AX$49:AX$70)</f>
        <v>900</v>
      </c>
      <c r="J112" s="97">
        <f>SUM(AZ$49:AZ$70)+SUM(BB$49:BB$70)+SUM(BD$49:BD$70)+SUM(BF$49:BF$70)</f>
        <v>861</v>
      </c>
      <c r="K112" s="97">
        <f>SUM(BH$49:BH$70)+SUM(BJ$49:BJ$70)+SUM(BL$49:BL$70)+SUM(BN$49:BN$70)</f>
        <v>689</v>
      </c>
      <c r="L112" s="97">
        <f>SUM(BP$49:BP$70)+SUM(BR$49:BR$70)+SUM(BT$49:BT$70)+SUM(BV$49:BV$70)</f>
        <v>602</v>
      </c>
      <c r="M112" s="97">
        <f>SUM(BX$49:BX$70)+SUM(BZ$49:BZ$70)+SUM(CB$49:CB$70)+SUM(CD$49:CD$70)</f>
        <v>499</v>
      </c>
      <c r="N112" s="97">
        <f>SUM(CF$49:CF$70)+SUM(CH$49:CH$70)+SUM(CJ$49:CJ$70)+SUM(CL$49:CL$70)</f>
        <v>396</v>
      </c>
      <c r="O112" s="97">
        <f>SUM(CN$49:CN$70)+SUM(CP$49:CP$70)+SUM(CR$49:CR$70)+SUM(CT$49:CT$70)</f>
        <v>293</v>
      </c>
    </row>
    <row r="113" spans="2:15" x14ac:dyDescent="0.15">
      <c r="C113" s="96" t="s">
        <v>130</v>
      </c>
      <c r="D113" s="97">
        <f>SUM(D$71:D$86)+SUM(F$71:F$86)+SUM(H$71:H$86)+SUM(J$71:J$86)</f>
        <v>3164</v>
      </c>
      <c r="E113" s="97">
        <f>SUM(L$71:L$86)+SUM(N$71:N$86)+SUM(P$71:P$86)+SUM(R$71:R$86)</f>
        <v>2133</v>
      </c>
      <c r="F113" s="97">
        <f>SUM(T$71:T$86)+SUM(V$71:V$86)+SUM(X$71:X$86)+SUM(Z$71:Z$86)</f>
        <v>1536</v>
      </c>
      <c r="G113" s="97">
        <f>SUM(AB$71:AB$86)+SUM(AD$71:AD$86)+SUM(AF$71:AF$86)+SUM(AH$71:AH$86)</f>
        <v>1112</v>
      </c>
      <c r="H113" s="97">
        <f>SUM(AJ$71:AJ$86)+SUM(AL$71:AL$86)+SUM(AN$71:AN$86)+SUM(AP$71:AP$86)</f>
        <v>575</v>
      </c>
      <c r="I113" s="97">
        <f>SUM(AR$71:AR$86)+SUM(AT$71:AT$86)+SUM(AV$71:AV$86)+SUM(AX$71:AX$86)</f>
        <v>509</v>
      </c>
      <c r="J113" s="97">
        <f>SUM(AZ$71:AZ$86)+SUM(BB$71:BB$86)+SUM(BD$71:BD$86)+SUM(BF$71:BF$86)</f>
        <v>417</v>
      </c>
      <c r="K113" s="97">
        <f>SUM(BH$71:BH$86)+SUM(BJ$71:BJ$86)+SUM(BL$71:BL$86)+SUM(BN$71:BN$86)</f>
        <v>356</v>
      </c>
      <c r="L113" s="97">
        <f>SUM(BP$71:BP$86)+SUM(BR$71:BR$86)+SUM(BT$71:BT$86)+SUM(BV$71:BV$86)</f>
        <v>312</v>
      </c>
      <c r="M113" s="97">
        <f>SUM(BX$71:BX$86)+SUM(BZ$71:BZ$86)+SUM(CB$71:CB$86)+SUM(CD$71:CD$86)</f>
        <v>254</v>
      </c>
      <c r="N113" s="97">
        <f>SUM(CF$71:CF$86)+SUM(CH$71:CH$86)+SUM(CJ$71:CJ$86)+SUM(CL$71:CL$86)</f>
        <v>216</v>
      </c>
      <c r="O113" s="97">
        <f>SUM(CN$71:CN$86)+SUM(CP$71:CP$86)+SUM(CR$71:CR$86)+SUM(CT$71:CT$86)</f>
        <v>180</v>
      </c>
    </row>
    <row r="114" spans="2:15" x14ac:dyDescent="0.15">
      <c r="C114" s="96" t="s">
        <v>131</v>
      </c>
      <c r="D114" s="97">
        <f>SUM(D$87:D$94)+SUM(F$87:F$94)+SUM(H$87:H$94)+SUM(J$87:J$94)</f>
        <v>1512</v>
      </c>
      <c r="E114" s="97">
        <f>SUM(L$87:L$94)+SUM(N$87:N$94)+SUM(P$87:P$94)+SUM(R$87:R$94)</f>
        <v>1158</v>
      </c>
      <c r="F114" s="97">
        <f>SUM(T$87:T$94)+SUM(V$87:V$94)+SUM(X$87:X$94)+SUM(Z$87:Z$94)</f>
        <v>639</v>
      </c>
      <c r="G114" s="97">
        <f>SUM(AB$87:AB$94)+SUM(AD$87:AD$94)+SUM(AF$87:AF$94)+SUM(AH$87:AH$94)</f>
        <v>541</v>
      </c>
      <c r="H114" s="97">
        <f>SUM(AJ$87:AJ$94)+SUM(AL$87:AL$94)+SUM(AN$87:AN$94)+SUM(AP$87:AP$94)</f>
        <v>464</v>
      </c>
      <c r="I114" s="97">
        <f>SUM(AR$87:AR$94)+SUM(AT$87:AT$94)+SUM(AV$87:AV$94)+SUM(AX$87:AX$94)</f>
        <v>330</v>
      </c>
      <c r="J114" s="97">
        <f>SUM(AZ$87:AZ$94)+SUM(BB$87:BB$94)+SUM(BD$87:BD$94)+SUM(BF$87:BF$94)</f>
        <v>259</v>
      </c>
      <c r="K114" s="97">
        <f>SUM(BH$87:BH$94)+SUM(BJ$87:BJ$94)+SUM(BL$87:BL$94)+SUM(BN$87:BN$94)</f>
        <v>216</v>
      </c>
      <c r="L114" s="97">
        <f>SUM(BP$87:BP$94)+SUM(BR$87:BR$94)+SUM(BT$87:BT$94)+SUM(BV$87:BV$94)</f>
        <v>188</v>
      </c>
      <c r="M114" s="97">
        <f>SUM(BX$87:BX$94)+SUM(BZ$87:BZ$94)+SUM(CB$87:CB$94)+SUM(CD$87:CD$94)</f>
        <v>152</v>
      </c>
      <c r="N114" s="97">
        <f>SUM(CF$87:CF$94)+SUM(CH$87:CH$94)+SUM(CJ$87:CJ$94)+SUM(CL$87:CL$94)</f>
        <v>129</v>
      </c>
      <c r="O114" s="97">
        <f>SUM(CN$87:CN$94)+SUM(CP$87:CP$94)+SUM(CR$87:CR$94)+SUM(CT$87:CT$94)</f>
        <v>117</v>
      </c>
    </row>
    <row r="115" spans="2:15" x14ac:dyDescent="0.15">
      <c r="C115" s="96" t="s">
        <v>132</v>
      </c>
      <c r="D115" s="97">
        <f>SUM(D$95:D$105)+SUM(F$95:F$105)+SUM(H$95:H$105)+SUM(J$95:J$105)</f>
        <v>2277</v>
      </c>
      <c r="E115" s="97">
        <f>SUM(L$95:L$105)+SUM(N$95:N$105)+SUM(P$95:P$105)+SUM(R$95:R$105)</f>
        <v>1510</v>
      </c>
      <c r="F115" s="97">
        <f>SUM(T$95:T$105)+SUM(V$95:V$105)+SUM(X$95:X$105)+SUM(Z$95:Z$105)</f>
        <v>1302</v>
      </c>
      <c r="G115" s="97">
        <f>SUM(AB$95:AB$105)+SUM(AD$95:AD$105)+SUM(AF$95:AF$105)+SUM(AH$95:AH$105)</f>
        <v>760</v>
      </c>
      <c r="H115" s="97">
        <f>SUM(AJ$95:AJ$105)+SUM(AL$95:AL$105)+SUM(AN$95:AN$105)+SUM(AP$95:AP$105)</f>
        <v>489</v>
      </c>
      <c r="I115" s="97">
        <f>SUM(AR$95:AR$105)+SUM(AT$95:AT$105)+SUM(AV$95:AV$105)+SUM(AX$95:AX$105)</f>
        <v>370</v>
      </c>
      <c r="J115" s="97">
        <f>SUM(AZ$95:AZ$105)+SUM(BB$95:BB$105)+SUM(BD$95:BD$105)+SUM(BF$95:BF$105)</f>
        <v>355</v>
      </c>
      <c r="K115" s="97">
        <f>SUM(BH$95:BH$105)+SUM(BJ$95:BJ$105)+SUM(BL$95:BL$105)+SUM(BN$95:BN$105)</f>
        <v>362</v>
      </c>
      <c r="L115" s="97">
        <f>SUM(BP$95:BP$105)+SUM(BR$95:BR$105)+SUM(BT$95:BT$105)+SUM(BV$95:BV$105)</f>
        <v>293</v>
      </c>
      <c r="M115" s="97">
        <f>SUM(BX$95:BX$105)+SUM(BZ$95:BZ$105)+SUM(CB$95:CB$105)+SUM(CD$95:CD$105)</f>
        <v>212</v>
      </c>
      <c r="N115" s="97">
        <f>SUM(CF$95:CF$105)+SUM(CH$95:CH$105)+SUM(CJ$95:CJ$105)+SUM(CL$95:CL$105)</f>
        <v>169</v>
      </c>
      <c r="O115" s="97">
        <f>SUM(CN$95:CN$105)+SUM(CP$95:CP$105)+SUM(CR$95:CR$105)+SUM(CT$95:CT$105)</f>
        <v>165</v>
      </c>
    </row>
    <row r="116" spans="2:15" x14ac:dyDescent="0.15">
      <c r="C116" s="96" t="s">
        <v>277</v>
      </c>
      <c r="D116" s="97">
        <f t="shared" ref="D116:O116" si="0">SUM(D$109:D$115)</f>
        <v>25834</v>
      </c>
      <c r="E116" s="97">
        <f t="shared" si="0"/>
        <v>16991</v>
      </c>
      <c r="F116" s="97">
        <f t="shared" si="0"/>
        <v>11644</v>
      </c>
      <c r="G116" s="97">
        <f t="shared" si="0"/>
        <v>8479</v>
      </c>
      <c r="H116" s="97">
        <f t="shared" si="0"/>
        <v>5429</v>
      </c>
      <c r="I116" s="97">
        <f t="shared" si="0"/>
        <v>4498</v>
      </c>
      <c r="J116" s="97">
        <f t="shared" si="0"/>
        <v>3399</v>
      </c>
      <c r="K116" s="97">
        <f t="shared" si="0"/>
        <v>3070</v>
      </c>
      <c r="L116" s="97">
        <f t="shared" si="0"/>
        <v>2616</v>
      </c>
      <c r="M116" s="97">
        <f t="shared" si="0"/>
        <v>2130</v>
      </c>
      <c r="N116" s="97">
        <f t="shared" si="0"/>
        <v>1784</v>
      </c>
      <c r="O116" s="97">
        <f t="shared" si="0"/>
        <v>1447</v>
      </c>
    </row>
    <row r="118" spans="2:15" x14ac:dyDescent="0.15">
      <c r="B118" s="100" t="s">
        <v>278</v>
      </c>
    </row>
    <row r="119" spans="2:15" x14ac:dyDescent="0.15">
      <c r="C119" s="96" t="s">
        <v>276</v>
      </c>
      <c r="D119" s="96" t="s">
        <v>92</v>
      </c>
      <c r="E119" s="96" t="s">
        <v>93</v>
      </c>
      <c r="F119" s="96" t="s">
        <v>94</v>
      </c>
      <c r="G119" s="96" t="s">
        <v>95</v>
      </c>
      <c r="H119" s="96" t="s">
        <v>96</v>
      </c>
      <c r="I119" s="96" t="s">
        <v>97</v>
      </c>
      <c r="J119" s="96" t="s">
        <v>98</v>
      </c>
      <c r="K119" s="96" t="s">
        <v>99</v>
      </c>
      <c r="L119" s="96" t="s">
        <v>100</v>
      </c>
      <c r="M119" s="96" t="s">
        <v>101</v>
      </c>
      <c r="N119" s="96" t="s">
        <v>102</v>
      </c>
      <c r="O119" s="96" t="s">
        <v>103</v>
      </c>
    </row>
    <row r="120" spans="2:15" x14ac:dyDescent="0.15">
      <c r="C120" s="96" t="s">
        <v>126</v>
      </c>
      <c r="D120" s="97">
        <f>D109*pricing!D6*2000</f>
        <v>7176000</v>
      </c>
      <c r="E120" s="97">
        <f>E109*pricing!E6*2000</f>
        <v>4663272.7272727266</v>
      </c>
      <c r="F120" s="97">
        <f>F109*pricing!F6*2000</f>
        <v>3650363.6363636367</v>
      </c>
      <c r="G120" s="97">
        <f>G109*pricing!G6*2000</f>
        <v>3421818.1818181816</v>
      </c>
      <c r="H120" s="97">
        <f>H109*pricing!H6*2000</f>
        <v>3006727.2727272725</v>
      </c>
      <c r="I120" s="97">
        <f>I109*pricing!I6*2000</f>
        <v>3238181.8181818174</v>
      </c>
      <c r="J120" s="97">
        <f>J109*pricing!J6*2000</f>
        <v>2293636.3636363628</v>
      </c>
      <c r="K120" s="97">
        <f>K109*pricing!K6*2000</f>
        <v>1954909.0909090904</v>
      </c>
      <c r="L120" s="97">
        <f>L109*pricing!L6*2000</f>
        <v>1928181.8181818177</v>
      </c>
      <c r="M120" s="97">
        <f>M109*pricing!M6*2000</f>
        <v>1602909.0909090904</v>
      </c>
      <c r="N120" s="97">
        <f>N109*pricing!N6*2000</f>
        <v>1826363.6363636355</v>
      </c>
      <c r="O120" s="97">
        <f>O109*pricing!O6*2000</f>
        <v>1503999.9999999993</v>
      </c>
    </row>
    <row r="121" spans="2:15" x14ac:dyDescent="0.15">
      <c r="C121" s="96" t="s">
        <v>127</v>
      </c>
      <c r="D121" s="97">
        <f>D110*pricing!D7*2000</f>
        <v>12530000</v>
      </c>
      <c r="E121" s="97">
        <f>E110*pricing!E7*2000</f>
        <v>9334181.8181818184</v>
      </c>
      <c r="F121" s="97">
        <f>F110*pricing!F7*2000</f>
        <v>9727090.9090909082</v>
      </c>
      <c r="G121" s="97">
        <f>G110*pricing!G7*2000</f>
        <v>7250909.0909090908</v>
      </c>
      <c r="H121" s="97">
        <f>H110*pricing!H7*2000</f>
        <v>5474000</v>
      </c>
      <c r="I121" s="97">
        <f>I110*pricing!I7*2000</f>
        <v>5511999.9999999991</v>
      </c>
      <c r="J121" s="97">
        <f>J110*pricing!J7*2000</f>
        <v>3548545.4545454537</v>
      </c>
      <c r="K121" s="97">
        <f>K110*pricing!K7*2000</f>
        <v>4328727.2727272715</v>
      </c>
      <c r="L121" s="97">
        <f>L110*pricing!L7*2000</f>
        <v>3786363.6363636353</v>
      </c>
      <c r="M121" s="97">
        <f>M110*pricing!M7*2000</f>
        <v>3502909.0909090894</v>
      </c>
      <c r="N121" s="97">
        <f>N110*pricing!N7*2000</f>
        <v>3078727.2727272715</v>
      </c>
      <c r="O121" s="97">
        <f>O110*pricing!O7*2000</f>
        <v>2423999.9999999991</v>
      </c>
    </row>
    <row r="122" spans="2:15" x14ac:dyDescent="0.15">
      <c r="C122" s="96" t="s">
        <v>128</v>
      </c>
      <c r="D122" s="97">
        <f>D111*pricing!D8*2000</f>
        <v>7808000</v>
      </c>
      <c r="E122" s="97">
        <f>E111*pricing!E8*2000</f>
        <v>6569818.1818181816</v>
      </c>
      <c r="F122" s="97">
        <f>F111*pricing!F8*2000</f>
        <v>4491090.9090909092</v>
      </c>
      <c r="G122" s="97">
        <f>G111*pricing!G8*2000</f>
        <v>4410909.0909090908</v>
      </c>
      <c r="H122" s="97">
        <f>H111*pricing!H8*2000</f>
        <v>3537818.1818181816</v>
      </c>
      <c r="I122" s="97">
        <f>I111*pricing!I8*2000</f>
        <v>2543272.7272727271</v>
      </c>
      <c r="J122" s="97">
        <f>J111*pricing!J8*2000</f>
        <v>2103818.1818181816</v>
      </c>
      <c r="K122" s="97">
        <f>K111*pricing!K8*2000</f>
        <v>2135272.7272727266</v>
      </c>
      <c r="L122" s="97">
        <f>L111*pricing!L8*2000</f>
        <v>2055454.5454545445</v>
      </c>
      <c r="M122" s="97">
        <f>M111*pricing!M8*2000</f>
        <v>1893090.9090909082</v>
      </c>
      <c r="N122" s="97">
        <f>N111*pricing!N8*2000</f>
        <v>1610181.8181818177</v>
      </c>
      <c r="O122" s="97">
        <f>O111*pricing!O8*2000</f>
        <v>1607999.9999999993</v>
      </c>
    </row>
    <row r="123" spans="2:15" x14ac:dyDescent="0.15">
      <c r="C123" s="96" t="s">
        <v>129</v>
      </c>
      <c r="D123" s="97">
        <f>D112*pricing!D9*2000</f>
        <v>10248000</v>
      </c>
      <c r="E123" s="97">
        <f>E112*pricing!E9*2000</f>
        <v>10461818.181818182</v>
      </c>
      <c r="F123" s="97">
        <f>F112*pricing!F9*2000</f>
        <v>7374909.0909090908</v>
      </c>
      <c r="G123" s="97">
        <f>G112*pricing!G9*2000</f>
        <v>6974545.4545454541</v>
      </c>
      <c r="H123" s="97">
        <f>H112*pricing!H9*2000</f>
        <v>4294727.2727272734</v>
      </c>
      <c r="I123" s="97">
        <f>I112*pricing!I9*2000</f>
        <v>4254545.4545454541</v>
      </c>
      <c r="J123" s="97">
        <f>J112*pricing!J9*2000</f>
        <v>4539818.1818181807</v>
      </c>
      <c r="K123" s="97">
        <f>K112*pricing!K9*2000</f>
        <v>4008727.2727272715</v>
      </c>
      <c r="L123" s="97">
        <f>L112*pricing!L9*2000</f>
        <v>3830909.0909090894</v>
      </c>
      <c r="M123" s="97">
        <f>M112*pricing!M9*2000</f>
        <v>3447636.3636363624</v>
      </c>
      <c r="N123" s="97">
        <f>N112*pricing!N9*2000</f>
        <v>2951999.9999999986</v>
      </c>
      <c r="O123" s="97">
        <f>O112*pricing!O9*2000</f>
        <v>2343999.9999999991</v>
      </c>
    </row>
    <row r="124" spans="2:15" x14ac:dyDescent="0.15">
      <c r="C124" s="96" t="s">
        <v>130</v>
      </c>
      <c r="D124" s="97">
        <f>D113*pricing!D10*2000</f>
        <v>6328000</v>
      </c>
      <c r="E124" s="97">
        <f>E113*pricing!E10*2000</f>
        <v>5429454.5454545449</v>
      </c>
      <c r="F124" s="97">
        <f>F113*pricing!F10*2000</f>
        <v>4747636.3636363642</v>
      </c>
      <c r="G124" s="97">
        <f>G113*pricing!G10*2000</f>
        <v>4043636.3636363633</v>
      </c>
      <c r="H124" s="97">
        <f>H113*pricing!H10*2000</f>
        <v>2404545.4545454546</v>
      </c>
      <c r="I124" s="97">
        <f>I113*pricing!I10*2000</f>
        <v>2406181.8181818179</v>
      </c>
      <c r="J124" s="97">
        <f>J113*pricing!J10*2000</f>
        <v>2198727.272727272</v>
      </c>
      <c r="K124" s="97">
        <f>K113*pricing!K10*2000</f>
        <v>2071272.7272727266</v>
      </c>
      <c r="L124" s="97">
        <f>L113*pricing!L10*2000</f>
        <v>1985454.5454545447</v>
      </c>
      <c r="M124" s="97">
        <f>M113*pricing!M10*2000</f>
        <v>1754909.0909090904</v>
      </c>
      <c r="N124" s="97">
        <f>N113*pricing!N10*2000</f>
        <v>1610181.8181818177</v>
      </c>
      <c r="O124" s="97">
        <f>O113*pricing!O10*2000</f>
        <v>1439999.9999999993</v>
      </c>
    </row>
    <row r="125" spans="2:15" x14ac:dyDescent="0.15">
      <c r="C125" s="96" t="s">
        <v>131</v>
      </c>
      <c r="D125" s="97">
        <f>D114*pricing!D11*2000</f>
        <v>3024000</v>
      </c>
      <c r="E125" s="97">
        <f>E114*pricing!E11*2000</f>
        <v>2947636.3636363633</v>
      </c>
      <c r="F125" s="97">
        <f>F114*pricing!F11*2000</f>
        <v>1975090.9090909089</v>
      </c>
      <c r="G125" s="97">
        <f>G114*pricing!G11*2000</f>
        <v>1967272.7272727273</v>
      </c>
      <c r="H125" s="97">
        <f>H114*pricing!H11*2000</f>
        <v>1940363.6363636362</v>
      </c>
      <c r="I125" s="97">
        <f>I114*pricing!I11*2000</f>
        <v>1559999.9999999998</v>
      </c>
      <c r="J125" s="97">
        <f>J114*pricing!J11*2000</f>
        <v>1365636.3636363633</v>
      </c>
      <c r="K125" s="97">
        <f>K114*pricing!K11*2000</f>
        <v>1256727.2727272722</v>
      </c>
      <c r="L125" s="97">
        <f>L114*pricing!L11*2000</f>
        <v>1196363.636363636</v>
      </c>
      <c r="M125" s="97">
        <f>M114*pricing!M11*2000</f>
        <v>1050181.8181818179</v>
      </c>
      <c r="N125" s="97">
        <f>N114*pricing!N11*2000</f>
        <v>961636.3636363633</v>
      </c>
      <c r="O125" s="97">
        <f>O114*pricing!O11*2000</f>
        <v>935999.99999999953</v>
      </c>
    </row>
    <row r="126" spans="2:15" x14ac:dyDescent="0.15">
      <c r="C126" s="96" t="s">
        <v>132</v>
      </c>
      <c r="D126" s="97">
        <f>D115*pricing!D12*2000</f>
        <v>4554000</v>
      </c>
      <c r="E126" s="97">
        <f>E115*pricing!E12*2000</f>
        <v>3843636.3636363633</v>
      </c>
      <c r="F126" s="97">
        <f>F115*pricing!F12*2000</f>
        <v>4024363.6363636362</v>
      </c>
      <c r="G126" s="97">
        <f>G115*pricing!G12*2000</f>
        <v>2763636.3636363633</v>
      </c>
      <c r="H126" s="97">
        <f>H115*pricing!H12*2000</f>
        <v>2044909.0909090908</v>
      </c>
      <c r="I126" s="97">
        <f>I115*pricing!I12*2000</f>
        <v>1749090.9090909087</v>
      </c>
      <c r="J126" s="97">
        <f>J115*pricing!J12*2000</f>
        <v>1871818.1818181814</v>
      </c>
      <c r="K126" s="97">
        <f>K115*pricing!K12*2000</f>
        <v>2106181.8181818174</v>
      </c>
      <c r="L126" s="97">
        <f>L115*pricing!L12*2000</f>
        <v>1864545.4545454539</v>
      </c>
      <c r="M126" s="97">
        <f>M115*pricing!M12*2000</f>
        <v>1464727.272727272</v>
      </c>
      <c r="N126" s="97">
        <f>N115*pricing!N12*2000</f>
        <v>1259818.1818181814</v>
      </c>
      <c r="O126" s="97">
        <f>O115*pricing!O12*2000</f>
        <v>1319999.9999999993</v>
      </c>
    </row>
    <row r="127" spans="2:15" x14ac:dyDescent="0.15">
      <c r="C127" s="96" t="s">
        <v>277</v>
      </c>
      <c r="D127" s="97">
        <f t="shared" ref="D127:O127" si="1">SUM(D$120:D$126)</f>
        <v>51668000</v>
      </c>
      <c r="E127" s="97">
        <f t="shared" si="1"/>
        <v>43249818.181818172</v>
      </c>
      <c r="F127" s="97">
        <f t="shared" si="1"/>
        <v>35990545.454545453</v>
      </c>
      <c r="G127" s="97">
        <f t="shared" si="1"/>
        <v>30832727.27272727</v>
      </c>
      <c r="H127" s="97">
        <f t="shared" si="1"/>
        <v>22703090.90909091</v>
      </c>
      <c r="I127" s="97">
        <f t="shared" si="1"/>
        <v>21263272.727272723</v>
      </c>
      <c r="J127" s="97">
        <f t="shared" si="1"/>
        <v>17921999.999999996</v>
      </c>
      <c r="K127" s="97">
        <f t="shared" si="1"/>
        <v>17861818.181818176</v>
      </c>
      <c r="L127" s="97">
        <f t="shared" si="1"/>
        <v>16647272.727272723</v>
      </c>
      <c r="M127" s="97">
        <f t="shared" si="1"/>
        <v>14716363.636363629</v>
      </c>
      <c r="N127" s="97">
        <f t="shared" si="1"/>
        <v>13298909.090909086</v>
      </c>
      <c r="O127" s="97">
        <f t="shared" si="1"/>
        <v>11575999.999999996</v>
      </c>
    </row>
    <row r="129" spans="2:15" x14ac:dyDescent="0.15">
      <c r="B129" s="100" t="s">
        <v>279</v>
      </c>
    </row>
    <row r="130" spans="2:15" x14ac:dyDescent="0.15">
      <c r="C130" s="102" t="s">
        <v>276</v>
      </c>
      <c r="D130" s="102" t="s">
        <v>92</v>
      </c>
      <c r="E130" s="102" t="s">
        <v>93</v>
      </c>
      <c r="F130" s="102" t="s">
        <v>94</v>
      </c>
      <c r="G130" s="102" t="s">
        <v>95</v>
      </c>
      <c r="H130" s="102" t="s">
        <v>96</v>
      </c>
      <c r="I130" s="102" t="s">
        <v>97</v>
      </c>
      <c r="J130" s="102" t="s">
        <v>98</v>
      </c>
      <c r="K130" s="102" t="s">
        <v>99</v>
      </c>
      <c r="L130" s="102" t="s">
        <v>100</v>
      </c>
      <c r="M130" s="102" t="s">
        <v>101</v>
      </c>
      <c r="N130" s="102" t="s">
        <v>102</v>
      </c>
      <c r="O130" s="102" t="s">
        <v>103</v>
      </c>
    </row>
    <row r="131" spans="2:15" x14ac:dyDescent="0.15">
      <c r="C131" s="102" t="s">
        <v>126</v>
      </c>
      <c r="D131" s="103">
        <f>SUM(E$6:E$19)+SUM(G$6:G$19)+SUM(I$6:I$19)+SUM(K$6:K$19)</f>
        <v>1803123.6</v>
      </c>
      <c r="E131" s="103">
        <f>SUM(M$6:M$19)+SUM(O$6:O$19)+SUM(Q$6:Q$19)+SUM(S$6:S$19)</f>
        <v>922197.59999999986</v>
      </c>
      <c r="F131" s="103">
        <f>SUM(U$6:U$19)+SUM(W$6:W$19)+SUM(Y$6:Y$19)+SUM(AA$6:AA$19)</f>
        <v>594188.39999999991</v>
      </c>
      <c r="G131" s="103">
        <f>SUM(AC$6:AC$19)+SUM(AE$6:AE$19)+SUM(AG$6:AG$19)+SUM(AI$6:AI$19)</f>
        <v>474921.60000000003</v>
      </c>
      <c r="H131" s="103">
        <f>SUM(AK$6:AK$19)+SUM(AM$6:AM$19)+SUM(AO$6:AO$19)+SUM(AQ$6:AQ$19)</f>
        <v>362198.39999999997</v>
      </c>
      <c r="I131" s="103">
        <f>SUM(AS$6:AS$19)+SUM(AU$6:AU$19)+SUM(AW$6:AW$19)+SUM(AY$6:AY$19)</f>
        <v>346318.8</v>
      </c>
      <c r="J131" s="103">
        <f>SUM(BA$6:BA$19)+SUM(BC$6:BC$19)+SUM(BE$6:BE$19)+SUM(BG$6:BG$19)</f>
        <v>217987.20000000001</v>
      </c>
      <c r="K131" s="103">
        <f>SUM(BI$6:BI$19)+SUM(BK$6:BK$19)+SUM(BM$6:BM$19)+SUM(BO$6:BO$19)</f>
        <v>169074</v>
      </c>
      <c r="L131" s="103">
        <f>SUM(BQ$6:BQ$19)+SUM(BS$6:BS$19)+SUM(BU$6:BU$19)+SUM(BW$6:BW$19)</f>
        <v>153564</v>
      </c>
      <c r="M131" s="103">
        <f>SUM(BY$6:BY$19)+SUM(CA$6:CA$19)+SUM(CC$6:CC$19)+SUM(CE$6:CE$19)</f>
        <v>117682.79999999999</v>
      </c>
      <c r="N131" s="103">
        <f>SUM(CG$6:CG$19)+SUM(CI$6:CI$19)+SUM(CK$6:CK$19)+SUM(CM$6:CM$19)</f>
        <v>122953.19999999998</v>
      </c>
      <c r="O131" s="103">
        <f>SUM(CO$6:CO$19)+SUM(CQ$6:CQ$19)+SUM(CS$6:CS$19)+SUM(CU$6:CU$19)</f>
        <v>94263.6</v>
      </c>
    </row>
    <row r="132" spans="2:15" x14ac:dyDescent="0.15">
      <c r="C132" s="102" t="s">
        <v>127</v>
      </c>
      <c r="D132" s="103">
        <f>SUM(E$20:E$36)+SUM(G$20:G$36)+SUM(I$20:I$36)+SUM(K$20:K$36)</f>
        <v>2636407.2000000002</v>
      </c>
      <c r="E132" s="103">
        <f>SUM(M$20:M$36)+SUM(O$20:O$36)+SUM(Q$20:Q$36)+SUM(S$20:S$36)</f>
        <v>1550541.5999999999</v>
      </c>
      <c r="F132" s="103">
        <f>SUM(U$20:U$36)+SUM(W$20:W$36)+SUM(Y$20:Y$36)+SUM(AA$20:AA$36)</f>
        <v>1336321.2</v>
      </c>
      <c r="G132" s="103">
        <f>SUM(AC$20:AC$36)+SUM(AE$20:AE$36)+SUM(AG$20:AG$36)+SUM(AI$20:AI$36)</f>
        <v>848716.79999999993</v>
      </c>
      <c r="H132" s="103">
        <f>SUM(AK$20:AK$36)+SUM(AM$20:AM$36)+SUM(AO$20:AO$36)+SUM(AQ$20:AQ$36)</f>
        <v>557269.19999999995</v>
      </c>
      <c r="I132" s="103">
        <f>SUM(AS$20:AS$36)+SUM(AU$20:AU$36)+SUM(AW$20:AW$36)+SUM(AY$20:AY$36)</f>
        <v>496962</v>
      </c>
      <c r="J132" s="103">
        <f>SUM(BA$20:BA$36)+SUM(BC$20:BC$36)+SUM(BE$20:BE$36)+SUM(BG$20:BG$36)</f>
        <v>288231.59999999998</v>
      </c>
      <c r="K132" s="103">
        <f>SUM(BI$20:BI$36)+SUM(BK$20:BK$36)+SUM(BM$20:BM$36)+SUM(BO$20:BO$36)</f>
        <v>318690</v>
      </c>
      <c r="L132" s="103">
        <f>SUM(BQ$20:BQ$36)+SUM(BS$20:BS$36)+SUM(BU$20:BU$36)+SUM(BW$20:BW$36)</f>
        <v>254937.59999999998</v>
      </c>
      <c r="M132" s="103">
        <f>SUM(BY$20:BY$36)+SUM(CA$20:CA$36)+SUM(CC$20:CC$36)+SUM(CE$20:CE$36)</f>
        <v>218545.19999999998</v>
      </c>
      <c r="N132" s="103">
        <f>SUM(CG$20:CG$36)+SUM(CI$20:CI$36)+SUM(CK$20:CK$36)+SUM(CM$20:CM$36)</f>
        <v>176576.40000000002</v>
      </c>
      <c r="O132" s="103">
        <f>SUM(CO$20:CO$36)+SUM(CQ$20:CQ$36)+SUM(CS$20:CS$36)+SUM(CU$20:CU$36)</f>
        <v>129751.2</v>
      </c>
    </row>
    <row r="133" spans="2:15" x14ac:dyDescent="0.15">
      <c r="C133" s="102" t="s">
        <v>128</v>
      </c>
      <c r="D133" s="103">
        <f>SUM(E$37:E$48)+SUM(G$37:G$48)+SUM(I$37:I$48)+SUM(K$37:K$48)</f>
        <v>4040652</v>
      </c>
      <c r="E133" s="103">
        <f>SUM(M$37:M$48)+SUM(O$37:O$48)+SUM(Q$37:Q$48)+SUM(S$37:S$48)</f>
        <v>2692318.8</v>
      </c>
      <c r="F133" s="103">
        <f>SUM(U$37:U$48)+SUM(W$37:W$48)+SUM(Y$37:Y$48)+SUM(AA$37:AA$48)</f>
        <v>1518914.4000000001</v>
      </c>
      <c r="G133" s="103">
        <f>SUM(AC$37:AC$48)+SUM(AE$37:AE$48)+SUM(AG$37:AG$48)+SUM(AI$37:AI$48)</f>
        <v>1270820.4000000001</v>
      </c>
      <c r="H133" s="103">
        <f>SUM(AK$37:AK$48)+SUM(AM$37:AM$48)+SUM(AO$37:AO$48)+SUM(AQ$37:AQ$48)</f>
        <v>886171.2</v>
      </c>
      <c r="I133" s="103">
        <f>SUM(AS$37:AS$48)+SUM(AU$37:AU$48)+SUM(AW$37:AW$48)+SUM(AY$37:AY$48)</f>
        <v>565701.6</v>
      </c>
      <c r="J133" s="103">
        <f>SUM(BA$37:BA$48)+SUM(BC$37:BC$48)+SUM(BE$37:BE$48)+SUM(BG$37:BG$48)</f>
        <v>419137.2</v>
      </c>
      <c r="K133" s="103">
        <f>SUM(BI$37:BI$48)+SUM(BK$37:BK$48)+SUM(BM$37:BM$48)+SUM(BO$37:BO$48)</f>
        <v>385836</v>
      </c>
      <c r="L133" s="103">
        <f>SUM(BQ$37:BQ$48)+SUM(BS$37:BS$48)+SUM(BU$37:BU$48)+SUM(BW$37:BW$48)</f>
        <v>339842.4</v>
      </c>
      <c r="M133" s="103">
        <f>SUM(BY$37:BY$48)+SUM(CA$37:CA$48)+SUM(CC$37:CC$48)+SUM(CE$37:CE$48)</f>
        <v>287254.80000000005</v>
      </c>
      <c r="N133" s="103">
        <f>SUM(CG$37:CG$48)+SUM(CI$37:CI$48)+SUM(CK$37:CK$48)+SUM(CM$37:CM$48)</f>
        <v>226726.8</v>
      </c>
      <c r="O133" s="103">
        <f>SUM(CO$37:CO$48)+SUM(CQ$37:CQ$48)+SUM(CS$37:CS$48)+SUM(CU$37:CU$48)</f>
        <v>211105.2</v>
      </c>
    </row>
    <row r="134" spans="2:15" x14ac:dyDescent="0.15">
      <c r="C134" s="102" t="s">
        <v>129</v>
      </c>
      <c r="D134" s="103">
        <f>SUM(E$49:E$70)+SUM(G$49:G$70)+SUM(I$49:I$70)+SUM(K$49:K$70)</f>
        <v>4271593.2</v>
      </c>
      <c r="E134" s="103">
        <f>SUM(M$49:M$70)+SUM(O$49:O$70)+SUM(Q$49:Q$70)+SUM(S$49:S$70)</f>
        <v>3438338.4000000004</v>
      </c>
      <c r="F134" s="103">
        <f>SUM(U$49:U$70)+SUM(W$49:W$70)+SUM(Y$49:Y$70)+SUM(AA$49:AA$70)</f>
        <v>2008563.6</v>
      </c>
      <c r="G134" s="103">
        <f>SUM(AC$49:AC$70)+SUM(AE$49:AE$70)+SUM(AG$49:AG$70)+SUM(AI$49:AI$70)</f>
        <v>1609616.4</v>
      </c>
      <c r="H134" s="103">
        <f>SUM(AK$49:AK$70)+SUM(AM$49:AM$70)+SUM(AO$49:AO$70)+SUM(AQ$49:AQ$70)</f>
        <v>866047.2</v>
      </c>
      <c r="I134" s="103">
        <f>SUM(AS$49:AS$70)+SUM(AU$49:AU$70)+SUM(AW$49:AW$70)+SUM(AY$49:AY$70)</f>
        <v>765228</v>
      </c>
      <c r="J134" s="103">
        <f>SUM(BA$49:BA$70)+SUM(BC$49:BC$70)+SUM(BE$49:BE$70)+SUM(BG$49:BG$70)</f>
        <v>727722</v>
      </c>
      <c r="K134" s="103">
        <f>SUM(BI$49:BI$70)+SUM(BK$49:BK$70)+SUM(BM$49:BM$70)+SUM(BO$49:BO$70)</f>
        <v>585087.6</v>
      </c>
      <c r="L134" s="103">
        <f>SUM(BQ$49:BQ$70)+SUM(BS$49:BS$70)+SUM(BU$49:BU$70)+SUM(BW$49:BW$70)</f>
        <v>511263.6</v>
      </c>
      <c r="M134" s="103">
        <f>SUM(BY$49:BY$70)+SUM(CA$49:CA$70)+SUM(CC$49:CC$70)+SUM(CE$49:CE$70)</f>
        <v>424300.79999999993</v>
      </c>
      <c r="N134" s="103">
        <f>SUM(CG$49:CG$70)+SUM(CI$49:CI$70)+SUM(CK$49:CK$70)+SUM(CM$49:CM$70)</f>
        <v>338874</v>
      </c>
      <c r="O134" s="103">
        <f>SUM(CO$49:CO$70)+SUM(CQ$49:CQ$70)+SUM(CS$49:CS$70)+SUM(CU$49:CU$70)</f>
        <v>247189.2</v>
      </c>
    </row>
    <row r="135" spans="2:15" x14ac:dyDescent="0.15">
      <c r="C135" s="102" t="s">
        <v>130</v>
      </c>
      <c r="D135" s="103">
        <f>SUM(E$71:E$86)+SUM(G$71:G$86)+SUM(I$71:I$86)+SUM(K$71:K$86)</f>
        <v>1742442</v>
      </c>
      <c r="E135" s="103">
        <f>SUM(M$71:M$86)+SUM(O$71:O$86)+SUM(Q$71:Q$86)+SUM(S$71:S$86)</f>
        <v>1182988.7999999998</v>
      </c>
      <c r="F135" s="103">
        <f>SUM(U$71:U$86)+SUM(W$71:W$86)+SUM(Y$71:Y$86)+SUM(AA$71:AA$86)</f>
        <v>852588</v>
      </c>
      <c r="G135" s="103">
        <f>SUM(AC$71:AC$86)+SUM(AE$71:AE$86)+SUM(AG$71:AG$86)+SUM(AI$71:AI$86)</f>
        <v>621734.39999999991</v>
      </c>
      <c r="H135" s="103">
        <f>SUM(AK$71:AK$86)+SUM(AM$71:AM$86)+SUM(AO$71:AO$86)+SUM(AQ$71:AQ$86)</f>
        <v>318969.59999999998</v>
      </c>
      <c r="I135" s="103">
        <f>SUM(AS$71:AS$86)+SUM(AU$71:AU$86)+SUM(AW$71:AW$86)+SUM(AY$71:AY$86)</f>
        <v>282012</v>
      </c>
      <c r="J135" s="103">
        <f>SUM(BA$71:BA$86)+SUM(BC$71:BC$86)+SUM(BE$71:BE$86)+SUM(BG$71:BG$86)</f>
        <v>232881.6</v>
      </c>
      <c r="K135" s="103">
        <f>SUM(BI$71:BI$86)+SUM(BK$71:BK$86)+SUM(BM$71:BM$86)+SUM(BO$71:BO$86)</f>
        <v>197965.2</v>
      </c>
      <c r="L135" s="103">
        <f>SUM(BQ$71:BQ$86)+SUM(BS$71:BS$86)+SUM(BU$71:BU$86)+SUM(BW$71:BW$86)</f>
        <v>173811.6</v>
      </c>
      <c r="M135" s="103">
        <f>SUM(BY$71:BY$86)+SUM(CA$71:CA$86)+SUM(CC$71:CC$86)+SUM(CE$71:CE$86)</f>
        <v>141808.79999999999</v>
      </c>
      <c r="N135" s="103">
        <f>SUM(CG$71:CG$86)+SUM(CI$71:CI$86)+SUM(CK$71:CK$86)+SUM(CM$71:CM$86)</f>
        <v>119818.8</v>
      </c>
      <c r="O135" s="103">
        <f>SUM(CO$71:CO$86)+SUM(CQ$71:CQ$86)+SUM(CS$71:CS$86)+SUM(CU$71:CU$86)</f>
        <v>101449.20000000001</v>
      </c>
    </row>
    <row r="136" spans="2:15" x14ac:dyDescent="0.15">
      <c r="C136" s="102" t="s">
        <v>131</v>
      </c>
      <c r="D136" s="103">
        <f>SUM(E$87:E$94)+SUM(G$87:G$94)+SUM(I$87:I$94)+SUM(K$87:K$94)</f>
        <v>3042177.5999999996</v>
      </c>
      <c r="E136" s="103">
        <f>SUM(M$87:M$94)+SUM(O$87:O$94)+SUM(Q$87:Q$94)+SUM(S$87:S$94)</f>
        <v>2341186.8000000003</v>
      </c>
      <c r="F136" s="103">
        <f>SUM(U$87:U$94)+SUM(W$87:W$94)+SUM(Y$87:Y$94)+SUM(AA$87:AA$94)</f>
        <v>1295679.5999999999</v>
      </c>
      <c r="G136" s="103">
        <f>SUM(AC$87:AC$94)+SUM(AE$87:AE$94)+SUM(AG$87:AG$94)+SUM(AI$87:AI$94)</f>
        <v>1096477.2</v>
      </c>
      <c r="H136" s="103">
        <f>SUM(AK$87:AK$94)+SUM(AM$87:AM$94)+SUM(AO$87:AO$94)+SUM(AQ$87:AQ$94)</f>
        <v>940280.39999999991</v>
      </c>
      <c r="I136" s="103">
        <f>SUM(AS$87:AS$94)+SUM(AU$87:AU$94)+SUM(AW$87:AW$94)+SUM(AY$87:AY$94)</f>
        <v>669372</v>
      </c>
      <c r="J136" s="103">
        <f>SUM(BA$87:BA$94)+SUM(BC$87:BC$94)+SUM(BE$87:BE$94)+SUM(BG$87:BG$94)</f>
        <v>525927.59999999986</v>
      </c>
      <c r="K136" s="103">
        <f>SUM(BI$87:BI$94)+SUM(BK$87:BK$94)+SUM(BM$87:BM$94)+SUM(BO$87:BO$94)</f>
        <v>439743.6</v>
      </c>
      <c r="L136" s="103">
        <f>SUM(BQ$87:BQ$94)+SUM(BS$87:BS$94)+SUM(BU$87:BU$94)+SUM(BW$87:BW$94)</f>
        <v>381888</v>
      </c>
      <c r="M136" s="103">
        <f>SUM(BY$87:BY$94)+SUM(CA$87:CA$94)+SUM(CC$87:CC$94)+SUM(CE$87:CE$94)</f>
        <v>308890.79999999993</v>
      </c>
      <c r="N136" s="103">
        <f>SUM(CG$87:CG$94)+SUM(CI$87:CI$94)+SUM(CK$87:CK$94)+SUM(CM$87:CM$94)</f>
        <v>262655.99999999994</v>
      </c>
      <c r="O136" s="103">
        <f>SUM(CO$87:CO$94)+SUM(CQ$87:CQ$94)+SUM(CS$87:CS$94)+SUM(CU$87:CU$94)</f>
        <v>238259.99999999994</v>
      </c>
    </row>
    <row r="137" spans="2:15" x14ac:dyDescent="0.15">
      <c r="C137" s="102" t="s">
        <v>132</v>
      </c>
      <c r="D137" s="103">
        <f>SUM(E$95:E$105)+SUM(G$95:G$105)+SUM(I$95:I$105)+SUM(K$95:K$105)</f>
        <v>4067605.2</v>
      </c>
      <c r="E137" s="103">
        <f>SUM(M$95:M$105)+SUM(O$95:O$105)+SUM(Q$95:Q$105)+SUM(S$95:S$105)</f>
        <v>2772548.4000000004</v>
      </c>
      <c r="F137" s="103">
        <f>SUM(U$95:U$105)+SUM(W$95:W$105)+SUM(Y$95:Y$105)+SUM(AA$95:AA$105)</f>
        <v>2417287.1999999997</v>
      </c>
      <c r="G137" s="103">
        <f>SUM(AC$95:AC$105)+SUM(AE$95:AE$105)+SUM(AG$95:AG$105)+SUM(AI$95:AI$105)</f>
        <v>1421706</v>
      </c>
      <c r="H137" s="103">
        <f>SUM(AK$95:AK$105)+SUM(AM$95:AM$105)+SUM(AO$95:AO$105)+SUM(AQ$95:AQ$105)</f>
        <v>919137.6</v>
      </c>
      <c r="I137" s="103">
        <f>SUM(AS$95:AS$105)+SUM(AU$95:AU$105)+SUM(AW$95:AW$105)+SUM(AY$95:AY$105)</f>
        <v>704664</v>
      </c>
      <c r="J137" s="103">
        <f>SUM(BA$95:BA$105)+SUM(BC$95:BC$105)+SUM(BE$95:BE$105)+SUM(BG$95:BG$105)</f>
        <v>675231.60000000009</v>
      </c>
      <c r="K137" s="103">
        <f>SUM(BI$95:BI$105)+SUM(BK$95:BK$105)+SUM(BM$95:BM$105)+SUM(BO$95:BO$105)</f>
        <v>688672.8</v>
      </c>
      <c r="L137" s="103">
        <f>SUM(BQ$95:BQ$105)+SUM(BS$95:BS$105)+SUM(BU$95:BU$105)+SUM(BW$95:BW$105)</f>
        <v>564146.39999999991</v>
      </c>
      <c r="M137" s="103">
        <f>SUM(BY$95:BY$105)+SUM(CA$95:CA$105)+SUM(CC$95:CC$105)+SUM(CE$95:CE$105)</f>
        <v>401503.2</v>
      </c>
      <c r="N137" s="103">
        <f>SUM(CG$95:CG$105)+SUM(CI$95:CI$105)+SUM(CK$95:CK$105)+SUM(CM$95:CM$105)</f>
        <v>322369.19999999995</v>
      </c>
      <c r="O137" s="103">
        <f>SUM(CO$95:CO$105)+SUM(CQ$95:CQ$105)+SUM(CS$95:CS$105)+SUM(CU$95:CU$105)</f>
        <v>316897.2</v>
      </c>
    </row>
    <row r="138" spans="2:15" x14ac:dyDescent="0.15">
      <c r="C138" s="102" t="s">
        <v>277</v>
      </c>
      <c r="D138" s="97">
        <f t="shared" ref="D138:O138" si="2">SUM(D$131:D$137)</f>
        <v>21604000.800000001</v>
      </c>
      <c r="E138" s="97">
        <f t="shared" si="2"/>
        <v>14900120.4</v>
      </c>
      <c r="F138" s="97">
        <f t="shared" si="2"/>
        <v>10023542.399999999</v>
      </c>
      <c r="G138" s="97">
        <f t="shared" si="2"/>
        <v>7343992.7999999998</v>
      </c>
      <c r="H138" s="97">
        <f t="shared" si="2"/>
        <v>4850073.5999999996</v>
      </c>
      <c r="I138" s="97">
        <f t="shared" si="2"/>
        <v>3830258.4</v>
      </c>
      <c r="J138" s="97">
        <f t="shared" si="2"/>
        <v>3087118.8000000003</v>
      </c>
      <c r="K138" s="97">
        <f t="shared" si="2"/>
        <v>2785069.2</v>
      </c>
      <c r="L138" s="97">
        <f t="shared" si="2"/>
        <v>2379453.6</v>
      </c>
      <c r="M138" s="97">
        <f t="shared" si="2"/>
        <v>1899986.3999999997</v>
      </c>
      <c r="N138" s="97">
        <f t="shared" si="2"/>
        <v>1569974.4</v>
      </c>
      <c r="O138" s="97">
        <f t="shared" si="2"/>
        <v>1338915.5999999999</v>
      </c>
    </row>
  </sheetData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baseColWidth="10" defaultColWidth="8.83203125" defaultRowHeight="13" x14ac:dyDescent="0.15"/>
  <cols>
    <col min="1" max="16384" width="8.83203125" style="97"/>
  </cols>
  <sheetData>
    <row r="2" spans="1:99" x14ac:dyDescent="0.15">
      <c r="B2" s="99" t="s">
        <v>271</v>
      </c>
    </row>
    <row r="3" spans="1:99" x14ac:dyDescent="0.15">
      <c r="B3" s="100" t="s">
        <v>281</v>
      </c>
    </row>
    <row r="4" spans="1:99" x14ac:dyDescent="0.15">
      <c r="A4" s="98"/>
      <c r="B4" s="98"/>
      <c r="C4" s="96" t="s">
        <v>273</v>
      </c>
      <c r="D4" s="96" t="s">
        <v>92</v>
      </c>
      <c r="E4" s="98"/>
      <c r="F4" s="98"/>
      <c r="G4" s="98"/>
      <c r="H4" s="98"/>
      <c r="I4" s="98"/>
      <c r="J4" s="98"/>
      <c r="K4" s="98"/>
      <c r="L4" s="96" t="s">
        <v>93</v>
      </c>
      <c r="M4" s="98"/>
      <c r="N4" s="98"/>
      <c r="O4" s="98"/>
      <c r="P4" s="98"/>
      <c r="Q4" s="98"/>
      <c r="R4" s="98"/>
      <c r="S4" s="98"/>
      <c r="T4" s="96" t="s">
        <v>94</v>
      </c>
      <c r="U4" s="98"/>
      <c r="V4" s="98"/>
      <c r="W4" s="98"/>
      <c r="X4" s="98"/>
      <c r="Y4" s="98"/>
      <c r="Z4" s="98"/>
      <c r="AA4" s="98"/>
      <c r="AB4" s="96" t="s">
        <v>95</v>
      </c>
      <c r="AC4" s="98"/>
      <c r="AD4" s="98"/>
      <c r="AE4" s="98"/>
      <c r="AF4" s="98"/>
      <c r="AG4" s="98"/>
      <c r="AH4" s="98"/>
      <c r="AI4" s="98"/>
      <c r="AJ4" s="96" t="s">
        <v>96</v>
      </c>
      <c r="AK4" s="98"/>
      <c r="AL4" s="98"/>
      <c r="AM4" s="98"/>
      <c r="AN4" s="98"/>
      <c r="AO4" s="98"/>
      <c r="AP4" s="98"/>
      <c r="AQ4" s="98"/>
      <c r="AR4" s="96" t="s">
        <v>97</v>
      </c>
      <c r="AS4" s="98"/>
      <c r="AT4" s="98"/>
      <c r="AU4" s="98"/>
      <c r="AV4" s="98"/>
      <c r="AW4" s="98"/>
      <c r="AX4" s="98"/>
      <c r="AY4" s="98"/>
      <c r="AZ4" s="96" t="s">
        <v>98</v>
      </c>
      <c r="BA4" s="98"/>
      <c r="BB4" s="98"/>
      <c r="BC4" s="98"/>
      <c r="BD4" s="98"/>
      <c r="BE4" s="98"/>
      <c r="BF4" s="98"/>
      <c r="BG4" s="98"/>
      <c r="BH4" s="96" t="s">
        <v>99</v>
      </c>
      <c r="BI4" s="98"/>
      <c r="BJ4" s="98"/>
      <c r="BK4" s="98"/>
      <c r="BL4" s="98"/>
      <c r="BM4" s="98"/>
      <c r="BN4" s="98"/>
      <c r="BO4" s="98"/>
      <c r="BP4" s="96" t="s">
        <v>100</v>
      </c>
      <c r="BQ4" s="98"/>
      <c r="BR4" s="98"/>
      <c r="BS4" s="98"/>
      <c r="BT4" s="98"/>
      <c r="BU4" s="98"/>
      <c r="BV4" s="98"/>
      <c r="BW4" s="98"/>
      <c r="BX4" s="96" t="s">
        <v>101</v>
      </c>
      <c r="BY4" s="98"/>
      <c r="BZ4" s="98"/>
      <c r="CA4" s="98"/>
      <c r="CB4" s="98"/>
      <c r="CC4" s="98"/>
      <c r="CD4" s="98"/>
      <c r="CE4" s="98"/>
      <c r="CF4" s="96" t="s">
        <v>102</v>
      </c>
      <c r="CG4" s="98"/>
      <c r="CH4" s="98"/>
      <c r="CI4" s="98"/>
      <c r="CJ4" s="98"/>
      <c r="CK4" s="98"/>
      <c r="CL4" s="98"/>
      <c r="CM4" s="98"/>
      <c r="CN4" s="96" t="s">
        <v>103</v>
      </c>
      <c r="CO4" s="98"/>
      <c r="CP4" s="98"/>
      <c r="CQ4" s="98"/>
      <c r="CR4" s="98"/>
      <c r="CS4" s="98"/>
      <c r="CT4" s="98"/>
      <c r="CU4" s="98"/>
    </row>
    <row r="5" spans="1:99" x14ac:dyDescent="0.15">
      <c r="B5" s="96" t="s">
        <v>166</v>
      </c>
      <c r="C5" s="96" t="s">
        <v>274</v>
      </c>
      <c r="D5" s="96">
        <v>1</v>
      </c>
      <c r="E5" s="96"/>
      <c r="F5" s="96">
        <v>2</v>
      </c>
      <c r="G5" s="96"/>
      <c r="H5" s="96">
        <v>3</v>
      </c>
      <c r="I5" s="96"/>
      <c r="J5" s="96">
        <v>4</v>
      </c>
      <c r="K5" s="96"/>
      <c r="L5" s="96">
        <v>1</v>
      </c>
      <c r="M5" s="96"/>
      <c r="N5" s="96">
        <v>2</v>
      </c>
      <c r="O5" s="96"/>
      <c r="P5" s="96">
        <v>3</v>
      </c>
      <c r="Q5" s="96"/>
      <c r="R5" s="96">
        <v>4</v>
      </c>
      <c r="S5" s="96"/>
      <c r="T5" s="96">
        <v>1</v>
      </c>
      <c r="U5" s="96"/>
      <c r="V5" s="96">
        <v>2</v>
      </c>
      <c r="W5" s="96"/>
      <c r="X5" s="96">
        <v>3</v>
      </c>
      <c r="Y5" s="96"/>
      <c r="Z5" s="96">
        <v>4</v>
      </c>
      <c r="AA5" s="96"/>
      <c r="AB5" s="96">
        <v>1</v>
      </c>
      <c r="AC5" s="96"/>
      <c r="AD5" s="96">
        <v>2</v>
      </c>
      <c r="AE5" s="96"/>
      <c r="AF5" s="96">
        <v>3</v>
      </c>
      <c r="AG5" s="96"/>
      <c r="AH5" s="96">
        <v>4</v>
      </c>
      <c r="AI5" s="96"/>
      <c r="AJ5" s="96">
        <v>1</v>
      </c>
      <c r="AK5" s="96"/>
      <c r="AL5" s="96">
        <v>2</v>
      </c>
      <c r="AM5" s="96"/>
      <c r="AN5" s="96">
        <v>3</v>
      </c>
      <c r="AO5" s="96"/>
      <c r="AP5" s="96">
        <v>4</v>
      </c>
      <c r="AQ5" s="96"/>
      <c r="AR5" s="96">
        <v>1</v>
      </c>
      <c r="AS5" s="96"/>
      <c r="AT5" s="96">
        <v>2</v>
      </c>
      <c r="AU5" s="96"/>
      <c r="AV5" s="96">
        <v>3</v>
      </c>
      <c r="AW5" s="96"/>
      <c r="AX5" s="96">
        <v>4</v>
      </c>
      <c r="AY5" s="96"/>
      <c r="AZ5" s="96">
        <v>1</v>
      </c>
      <c r="BA5" s="96"/>
      <c r="BB5" s="96">
        <v>2</v>
      </c>
      <c r="BC5" s="96"/>
      <c r="BD5" s="96">
        <v>3</v>
      </c>
      <c r="BE5" s="96"/>
      <c r="BF5" s="96">
        <v>4</v>
      </c>
      <c r="BG5" s="96"/>
      <c r="BH5" s="96">
        <v>1</v>
      </c>
      <c r="BI5" s="96"/>
      <c r="BJ5" s="96">
        <v>2</v>
      </c>
      <c r="BK5" s="96"/>
      <c r="BL5" s="96">
        <v>3</v>
      </c>
      <c r="BM5" s="96"/>
      <c r="BN5" s="96">
        <v>4</v>
      </c>
      <c r="BO5" s="96"/>
      <c r="BP5" s="96">
        <v>1</v>
      </c>
      <c r="BQ5" s="96"/>
      <c r="BR5" s="96">
        <v>2</v>
      </c>
      <c r="BS5" s="96"/>
      <c r="BT5" s="96">
        <v>3</v>
      </c>
      <c r="BU5" s="96"/>
      <c r="BV5" s="96">
        <v>4</v>
      </c>
      <c r="BW5" s="96"/>
      <c r="BX5" s="96">
        <v>1</v>
      </c>
      <c r="BY5" s="96"/>
      <c r="BZ5" s="96">
        <v>2</v>
      </c>
      <c r="CA5" s="96"/>
      <c r="CB5" s="96">
        <v>3</v>
      </c>
      <c r="CC5" s="96"/>
      <c r="CD5" s="96">
        <v>4</v>
      </c>
      <c r="CE5" s="96"/>
      <c r="CF5" s="96">
        <v>1</v>
      </c>
      <c r="CG5" s="96"/>
      <c r="CH5" s="96">
        <v>2</v>
      </c>
      <c r="CI5" s="96"/>
      <c r="CJ5" s="96">
        <v>3</v>
      </c>
      <c r="CK5" s="96"/>
      <c r="CL5" s="96">
        <v>4</v>
      </c>
      <c r="CM5" s="96"/>
      <c r="CN5" s="96">
        <v>1</v>
      </c>
      <c r="CO5" s="96"/>
      <c r="CP5" s="96">
        <v>2</v>
      </c>
      <c r="CQ5" s="96"/>
      <c r="CR5" s="96">
        <v>3</v>
      </c>
      <c r="CS5" s="96"/>
      <c r="CT5" s="96">
        <v>4</v>
      </c>
      <c r="CU5" s="96"/>
    </row>
    <row r="6" spans="1:99" x14ac:dyDescent="0.15">
      <c r="B6" s="96" t="s">
        <v>126</v>
      </c>
      <c r="C6" s="96" t="s">
        <v>171</v>
      </c>
      <c r="D6" s="97">
        <v>0</v>
      </c>
      <c r="E6" s="97">
        <v>0</v>
      </c>
      <c r="F6" s="97">
        <v>0</v>
      </c>
      <c r="G6" s="97">
        <v>0</v>
      </c>
      <c r="H6" s="97">
        <v>22.838917412958722</v>
      </c>
      <c r="I6" s="97">
        <v>13210.029831655324</v>
      </c>
      <c r="J6" s="97">
        <v>1.313035204567079</v>
      </c>
      <c r="K6" s="97">
        <v>759.45956232159847</v>
      </c>
      <c r="L6" s="97">
        <v>55.882258863559365</v>
      </c>
      <c r="M6" s="97">
        <v>32322.298526682735</v>
      </c>
      <c r="N6" s="97">
        <v>2.3392860041031733</v>
      </c>
      <c r="O6" s="97">
        <v>1353.0430247732754</v>
      </c>
      <c r="P6" s="97">
        <v>15.484244001156403</v>
      </c>
      <c r="Q6" s="97">
        <v>8956.0867302688639</v>
      </c>
      <c r="R6" s="97">
        <v>32.850354043998216</v>
      </c>
      <c r="S6" s="97">
        <v>19000.644779048569</v>
      </c>
      <c r="T6" s="97">
        <v>24.857443766674415</v>
      </c>
      <c r="U6" s="97">
        <v>14377.545474644481</v>
      </c>
      <c r="V6" s="97">
        <v>18.921042416973439</v>
      </c>
      <c r="W6" s="97">
        <v>10943.930933977437</v>
      </c>
      <c r="X6" s="97">
        <v>28.769675439509985</v>
      </c>
      <c r="Y6" s="97">
        <v>16640.380274212574</v>
      </c>
      <c r="Z6" s="97">
        <v>13.787015222617118</v>
      </c>
      <c r="AA6" s="97">
        <v>7974.4096047617404</v>
      </c>
      <c r="AB6" s="97">
        <v>22.155809069168853</v>
      </c>
      <c r="AC6" s="97">
        <v>12814.919965607265</v>
      </c>
      <c r="AD6" s="97">
        <v>22.027365172537291</v>
      </c>
      <c r="AE6" s="97">
        <v>12740.628015795568</v>
      </c>
      <c r="AF6" s="97">
        <v>19.934869467935268</v>
      </c>
      <c r="AG6" s="97">
        <v>11530.32850025376</v>
      </c>
      <c r="AH6" s="97">
        <v>21</v>
      </c>
      <c r="AI6" s="97">
        <v>12146.4</v>
      </c>
      <c r="AJ6" s="97">
        <v>21</v>
      </c>
      <c r="AK6" s="97">
        <v>12146.4</v>
      </c>
      <c r="AL6" s="97">
        <v>18</v>
      </c>
      <c r="AM6" s="97">
        <v>10411.199999999999</v>
      </c>
      <c r="AN6" s="97">
        <v>19</v>
      </c>
      <c r="AO6" s="97">
        <v>10989.6</v>
      </c>
      <c r="AP6" s="97">
        <v>28</v>
      </c>
      <c r="AQ6" s="97">
        <v>16195.199999999999</v>
      </c>
      <c r="AR6" s="97">
        <v>17</v>
      </c>
      <c r="AS6" s="97">
        <v>9832.7999999999993</v>
      </c>
      <c r="AT6" s="97">
        <v>11</v>
      </c>
      <c r="AU6" s="97">
        <v>6362.4</v>
      </c>
      <c r="AV6" s="97">
        <v>10</v>
      </c>
      <c r="AW6" s="97">
        <v>5784</v>
      </c>
      <c r="AX6" s="97">
        <v>20</v>
      </c>
      <c r="AY6" s="97">
        <v>11568</v>
      </c>
      <c r="AZ6" s="97">
        <v>9</v>
      </c>
      <c r="BA6" s="97">
        <v>5205.5999999999995</v>
      </c>
      <c r="BB6" s="97">
        <v>9</v>
      </c>
      <c r="BC6" s="97">
        <v>5205.5999999999995</v>
      </c>
      <c r="BD6" s="97">
        <v>15</v>
      </c>
      <c r="BE6" s="97">
        <v>8676</v>
      </c>
      <c r="BF6" s="97">
        <v>15</v>
      </c>
      <c r="BG6" s="97">
        <v>8676</v>
      </c>
      <c r="BH6" s="97">
        <v>11</v>
      </c>
      <c r="BI6" s="97">
        <v>6362.4</v>
      </c>
      <c r="BJ6" s="97">
        <v>9</v>
      </c>
      <c r="BK6" s="97">
        <v>5205.5999999999995</v>
      </c>
      <c r="BL6" s="97">
        <v>13</v>
      </c>
      <c r="BM6" s="97">
        <v>7519.2</v>
      </c>
      <c r="BN6" s="97">
        <v>10</v>
      </c>
      <c r="BO6" s="97">
        <v>5784</v>
      </c>
      <c r="BP6" s="97">
        <v>9</v>
      </c>
      <c r="BQ6" s="97">
        <v>5205.5999999999995</v>
      </c>
      <c r="BR6" s="97">
        <v>9</v>
      </c>
      <c r="BS6" s="97">
        <v>5205.5999999999995</v>
      </c>
      <c r="BT6" s="97">
        <v>9</v>
      </c>
      <c r="BU6" s="97">
        <v>5205.5999999999995</v>
      </c>
      <c r="BV6" s="97">
        <v>9</v>
      </c>
      <c r="BW6" s="97">
        <v>5205.5999999999995</v>
      </c>
      <c r="BX6" s="97">
        <v>8</v>
      </c>
      <c r="BY6" s="97">
        <v>4627.2</v>
      </c>
      <c r="BZ6" s="97">
        <v>6</v>
      </c>
      <c r="CA6" s="97">
        <v>3470.3999999999996</v>
      </c>
      <c r="CB6" s="97">
        <v>5</v>
      </c>
      <c r="CC6" s="97">
        <v>2892</v>
      </c>
      <c r="CD6" s="97">
        <v>7</v>
      </c>
      <c r="CE6" s="97">
        <v>4048.7999999999997</v>
      </c>
      <c r="CF6" s="97">
        <v>5</v>
      </c>
      <c r="CG6" s="97">
        <v>2892</v>
      </c>
      <c r="CH6" s="97">
        <v>6</v>
      </c>
      <c r="CI6" s="97">
        <v>3470.3999999999996</v>
      </c>
      <c r="CJ6" s="97">
        <v>7</v>
      </c>
      <c r="CK6" s="97">
        <v>4048.7999999999997</v>
      </c>
      <c r="CL6" s="97">
        <v>5</v>
      </c>
      <c r="CM6" s="97">
        <v>2892</v>
      </c>
      <c r="CN6" s="97">
        <v>6</v>
      </c>
      <c r="CO6" s="97">
        <v>3470.3999999999996</v>
      </c>
      <c r="CP6" s="97">
        <v>6</v>
      </c>
      <c r="CQ6" s="97">
        <v>3470.3999999999996</v>
      </c>
      <c r="CR6" s="97">
        <v>5</v>
      </c>
      <c r="CS6" s="97">
        <v>2892</v>
      </c>
      <c r="CT6" s="97">
        <v>7</v>
      </c>
      <c r="CU6" s="97">
        <v>4048.7999999999997</v>
      </c>
    </row>
    <row r="7" spans="1:99" x14ac:dyDescent="0.15">
      <c r="C7" s="96" t="s">
        <v>172</v>
      </c>
      <c r="D7" s="97">
        <v>0</v>
      </c>
      <c r="E7" s="97">
        <v>0</v>
      </c>
      <c r="F7" s="97">
        <v>0</v>
      </c>
      <c r="G7" s="97">
        <v>0</v>
      </c>
      <c r="H7" s="97">
        <v>22.603464656124096</v>
      </c>
      <c r="I7" s="97">
        <v>17820.571534888237</v>
      </c>
      <c r="J7" s="97">
        <v>1.313035204567079</v>
      </c>
      <c r="K7" s="97">
        <v>1035.196955280685</v>
      </c>
      <c r="L7" s="97">
        <v>50.951471316774715</v>
      </c>
      <c r="M7" s="97">
        <v>40170.139986145186</v>
      </c>
      <c r="N7" s="97">
        <v>2.1233519114167265</v>
      </c>
      <c r="O7" s="97">
        <v>1674.0506469609472</v>
      </c>
      <c r="P7" s="97">
        <v>16.675339693553049</v>
      </c>
      <c r="Q7" s="97">
        <v>13146.837814397224</v>
      </c>
      <c r="R7" s="97">
        <v>37.827680414300978</v>
      </c>
      <c r="S7" s="97">
        <v>29823.34323863489</v>
      </c>
      <c r="T7" s="97">
        <v>25.529266571179129</v>
      </c>
      <c r="U7" s="97">
        <v>20127.273764717625</v>
      </c>
      <c r="V7" s="97">
        <v>20.103607568034278</v>
      </c>
      <c r="W7" s="97">
        <v>15849.684206638223</v>
      </c>
      <c r="X7" s="97">
        <v>23.85777963276438</v>
      </c>
      <c r="Y7" s="97">
        <v>18809.473462471437</v>
      </c>
      <c r="Z7" s="97">
        <v>16.659310060662353</v>
      </c>
      <c r="AA7" s="97">
        <v>13134.200051826199</v>
      </c>
      <c r="AB7" s="97">
        <v>22.155809069168853</v>
      </c>
      <c r="AC7" s="97">
        <v>17467.639870132723</v>
      </c>
      <c r="AD7" s="97">
        <v>21.109558290348236</v>
      </c>
      <c r="AE7" s="97">
        <v>16642.77575611055</v>
      </c>
      <c r="AF7" s="97">
        <v>20.538956421509059</v>
      </c>
      <c r="AG7" s="97">
        <v>16192.913242717743</v>
      </c>
      <c r="AH7" s="97">
        <v>21</v>
      </c>
      <c r="AI7" s="97">
        <v>16556.399999999998</v>
      </c>
      <c r="AJ7" s="97">
        <v>18</v>
      </c>
      <c r="AK7" s="97">
        <v>14191.199999999999</v>
      </c>
      <c r="AL7" s="97">
        <v>19</v>
      </c>
      <c r="AM7" s="97">
        <v>14979.6</v>
      </c>
      <c r="AN7" s="97">
        <v>20</v>
      </c>
      <c r="AO7" s="97">
        <v>15768</v>
      </c>
      <c r="AP7" s="97">
        <v>26</v>
      </c>
      <c r="AQ7" s="97">
        <v>20498.399999999998</v>
      </c>
      <c r="AR7" s="97">
        <v>18</v>
      </c>
      <c r="AS7" s="97">
        <v>14191.199999999999</v>
      </c>
      <c r="AT7" s="97">
        <v>11</v>
      </c>
      <c r="AU7" s="97">
        <v>8672.4</v>
      </c>
      <c r="AV7" s="97">
        <v>11</v>
      </c>
      <c r="AW7" s="97">
        <v>8672.4</v>
      </c>
      <c r="AX7" s="97">
        <v>21</v>
      </c>
      <c r="AY7" s="97">
        <v>16556.399999999998</v>
      </c>
      <c r="AZ7" s="97">
        <v>10</v>
      </c>
      <c r="BA7" s="97">
        <v>7884</v>
      </c>
      <c r="BB7" s="97">
        <v>9</v>
      </c>
      <c r="BC7" s="97">
        <v>7095.5999999999995</v>
      </c>
      <c r="BD7" s="97">
        <v>16</v>
      </c>
      <c r="BE7" s="97">
        <v>12614.4</v>
      </c>
      <c r="BF7" s="97">
        <v>15</v>
      </c>
      <c r="BG7" s="97">
        <v>11826</v>
      </c>
      <c r="BH7" s="97">
        <v>10</v>
      </c>
      <c r="BI7" s="97">
        <v>7884</v>
      </c>
      <c r="BJ7" s="97">
        <v>10</v>
      </c>
      <c r="BK7" s="97">
        <v>7884</v>
      </c>
      <c r="BL7" s="97">
        <v>13</v>
      </c>
      <c r="BM7" s="97">
        <v>10249.199999999999</v>
      </c>
      <c r="BN7" s="97">
        <v>11</v>
      </c>
      <c r="BO7" s="97">
        <v>8672.4</v>
      </c>
      <c r="BP7" s="97">
        <v>10</v>
      </c>
      <c r="BQ7" s="97">
        <v>7884</v>
      </c>
      <c r="BR7" s="97">
        <v>9</v>
      </c>
      <c r="BS7" s="97">
        <v>7095.5999999999995</v>
      </c>
      <c r="BT7" s="97">
        <v>9</v>
      </c>
      <c r="BU7" s="97">
        <v>7095.5999999999995</v>
      </c>
      <c r="BV7" s="97">
        <v>11</v>
      </c>
      <c r="BW7" s="97">
        <v>8672.4</v>
      </c>
      <c r="BX7" s="97">
        <v>9</v>
      </c>
      <c r="BY7" s="97">
        <v>7095.5999999999995</v>
      </c>
      <c r="BZ7" s="97">
        <v>6</v>
      </c>
      <c r="CA7" s="97">
        <v>4730.3999999999996</v>
      </c>
      <c r="CB7" s="97">
        <v>5</v>
      </c>
      <c r="CC7" s="97">
        <v>3942</v>
      </c>
      <c r="CD7" s="97">
        <v>7</v>
      </c>
      <c r="CE7" s="97">
        <v>5518.8</v>
      </c>
      <c r="CF7" s="97">
        <v>6</v>
      </c>
      <c r="CG7" s="97">
        <v>4730.3999999999996</v>
      </c>
      <c r="CH7" s="97">
        <v>7</v>
      </c>
      <c r="CI7" s="97">
        <v>5518.8</v>
      </c>
      <c r="CJ7" s="97">
        <v>7</v>
      </c>
      <c r="CK7" s="97">
        <v>5518.8</v>
      </c>
      <c r="CL7" s="97">
        <v>5</v>
      </c>
      <c r="CM7" s="97">
        <v>3942</v>
      </c>
      <c r="CN7" s="97">
        <v>5</v>
      </c>
      <c r="CO7" s="97">
        <v>3942</v>
      </c>
      <c r="CP7" s="97">
        <v>6</v>
      </c>
      <c r="CQ7" s="97">
        <v>4730.3999999999996</v>
      </c>
      <c r="CR7" s="97">
        <v>6</v>
      </c>
      <c r="CS7" s="97">
        <v>4730.3999999999996</v>
      </c>
      <c r="CT7" s="97">
        <v>7</v>
      </c>
      <c r="CU7" s="97">
        <v>5518.8</v>
      </c>
    </row>
    <row r="8" spans="1:99" x14ac:dyDescent="0.15">
      <c r="C8" s="96" t="s">
        <v>173</v>
      </c>
      <c r="D8" s="97">
        <v>0</v>
      </c>
      <c r="E8" s="97">
        <v>0</v>
      </c>
      <c r="F8" s="97">
        <v>0</v>
      </c>
      <c r="G8" s="97">
        <v>0</v>
      </c>
      <c r="H8" s="97">
        <v>25.664350494974233</v>
      </c>
      <c r="I8" s="97">
        <v>7945.6829132440216</v>
      </c>
      <c r="J8" s="97">
        <v>1.4985727878211228</v>
      </c>
      <c r="K8" s="97">
        <v>463.95813510941957</v>
      </c>
      <c r="L8" s="97">
        <v>54.238663014631143</v>
      </c>
      <c r="M8" s="97">
        <v>16792.2900693298</v>
      </c>
      <c r="N8" s="97">
        <v>2.5552200967896201</v>
      </c>
      <c r="O8" s="97">
        <v>791.09614196606628</v>
      </c>
      <c r="P8" s="97">
        <v>17.866435385949696</v>
      </c>
      <c r="Q8" s="97">
        <v>5531.4483954900252</v>
      </c>
      <c r="R8" s="97">
        <v>41.809541510543184</v>
      </c>
      <c r="S8" s="97">
        <v>12944.234051664169</v>
      </c>
      <c r="T8" s="97">
        <v>26.201089375683843</v>
      </c>
      <c r="U8" s="97">
        <v>8111.8572707117164</v>
      </c>
      <c r="V8" s="97">
        <v>18.329759841443018</v>
      </c>
      <c r="W8" s="97">
        <v>5674.8936469107575</v>
      </c>
      <c r="X8" s="97">
        <v>25.962877835655352</v>
      </c>
      <c r="Y8" s="97">
        <v>8038.1069779188956</v>
      </c>
      <c r="Z8" s="97">
        <v>17.2337690282714</v>
      </c>
      <c r="AA8" s="97">
        <v>5335.5748911528244</v>
      </c>
      <c r="AB8" s="97">
        <v>23.119105115654452</v>
      </c>
      <c r="AC8" s="97">
        <v>7157.6749438066181</v>
      </c>
      <c r="AD8" s="97">
        <v>19.27394452597013</v>
      </c>
      <c r="AE8" s="97">
        <v>5967.2132252403517</v>
      </c>
      <c r="AF8" s="97">
        <v>21.747130328656652</v>
      </c>
      <c r="AG8" s="97">
        <v>6732.9115497520988</v>
      </c>
      <c r="AH8" s="97">
        <v>22</v>
      </c>
      <c r="AI8" s="97">
        <v>6811.1999999999989</v>
      </c>
      <c r="AJ8" s="97">
        <v>19</v>
      </c>
      <c r="AK8" s="97">
        <v>5882.4</v>
      </c>
      <c r="AL8" s="97">
        <v>19</v>
      </c>
      <c r="AM8" s="97">
        <v>5882.4</v>
      </c>
      <c r="AN8" s="97">
        <v>21</v>
      </c>
      <c r="AO8" s="97">
        <v>6501.5999999999995</v>
      </c>
      <c r="AP8" s="97">
        <v>24</v>
      </c>
      <c r="AQ8" s="97">
        <v>7430.4</v>
      </c>
      <c r="AR8" s="97">
        <v>17</v>
      </c>
      <c r="AS8" s="97">
        <v>5263.2</v>
      </c>
      <c r="AT8" s="97">
        <v>13</v>
      </c>
      <c r="AU8" s="97">
        <v>4024.7999999999997</v>
      </c>
      <c r="AV8" s="97">
        <v>13</v>
      </c>
      <c r="AW8" s="97">
        <v>4024.7999999999997</v>
      </c>
      <c r="AX8" s="97">
        <v>20</v>
      </c>
      <c r="AY8" s="97">
        <v>6191.9999999999991</v>
      </c>
      <c r="AZ8" s="97">
        <v>10</v>
      </c>
      <c r="BA8" s="97">
        <v>3095.9999999999995</v>
      </c>
      <c r="BB8" s="97">
        <v>9</v>
      </c>
      <c r="BC8" s="97">
        <v>2786.3999999999996</v>
      </c>
      <c r="BD8" s="97">
        <v>15</v>
      </c>
      <c r="BE8" s="97">
        <v>4643.9999999999991</v>
      </c>
      <c r="BF8" s="97">
        <v>15</v>
      </c>
      <c r="BG8" s="97">
        <v>4643.9999999999991</v>
      </c>
      <c r="BH8" s="97">
        <v>10</v>
      </c>
      <c r="BI8" s="97">
        <v>3095.9999999999995</v>
      </c>
      <c r="BJ8" s="97">
        <v>10</v>
      </c>
      <c r="BK8" s="97">
        <v>3095.9999999999995</v>
      </c>
      <c r="BL8" s="97">
        <v>13</v>
      </c>
      <c r="BM8" s="97">
        <v>4024.7999999999997</v>
      </c>
      <c r="BN8" s="97">
        <v>10</v>
      </c>
      <c r="BO8" s="97">
        <v>3095.9999999999995</v>
      </c>
      <c r="BP8" s="97">
        <v>9</v>
      </c>
      <c r="BQ8" s="97">
        <v>2786.3999999999996</v>
      </c>
      <c r="BR8" s="97">
        <v>9</v>
      </c>
      <c r="BS8" s="97">
        <v>2786.3999999999996</v>
      </c>
      <c r="BT8" s="97">
        <v>10</v>
      </c>
      <c r="BU8" s="97">
        <v>3095.9999999999995</v>
      </c>
      <c r="BV8" s="97">
        <v>10</v>
      </c>
      <c r="BW8" s="97">
        <v>3095.9999999999995</v>
      </c>
      <c r="BX8" s="97">
        <v>9</v>
      </c>
      <c r="BY8" s="97">
        <v>2786.3999999999996</v>
      </c>
      <c r="BZ8" s="97">
        <v>6</v>
      </c>
      <c r="CA8" s="97">
        <v>1857.6</v>
      </c>
      <c r="CB8" s="97">
        <v>5</v>
      </c>
      <c r="CC8" s="97">
        <v>1547.9999999999998</v>
      </c>
      <c r="CD8" s="97">
        <v>7</v>
      </c>
      <c r="CE8" s="97">
        <v>2167.1999999999998</v>
      </c>
      <c r="CF8" s="97">
        <v>6</v>
      </c>
      <c r="CG8" s="97">
        <v>1857.6</v>
      </c>
      <c r="CH8" s="97">
        <v>6</v>
      </c>
      <c r="CI8" s="97">
        <v>1857.6</v>
      </c>
      <c r="CJ8" s="97">
        <v>7</v>
      </c>
      <c r="CK8" s="97">
        <v>2167.1999999999998</v>
      </c>
      <c r="CL8" s="97">
        <v>5</v>
      </c>
      <c r="CM8" s="97">
        <v>1547.9999999999998</v>
      </c>
      <c r="CN8" s="97">
        <v>5</v>
      </c>
      <c r="CO8" s="97">
        <v>1547.9999999999998</v>
      </c>
      <c r="CP8" s="97">
        <v>6</v>
      </c>
      <c r="CQ8" s="97">
        <v>1857.6</v>
      </c>
      <c r="CR8" s="97">
        <v>6</v>
      </c>
      <c r="CS8" s="97">
        <v>1857.6</v>
      </c>
      <c r="CT8" s="97">
        <v>7</v>
      </c>
      <c r="CU8" s="97">
        <v>2167.1999999999998</v>
      </c>
    </row>
    <row r="9" spans="1:99" x14ac:dyDescent="0.15">
      <c r="C9" s="96" t="s">
        <v>174</v>
      </c>
      <c r="D9" s="97">
        <v>0</v>
      </c>
      <c r="E9" s="97">
        <v>0</v>
      </c>
      <c r="F9" s="97">
        <v>0</v>
      </c>
      <c r="G9" s="97">
        <v>0</v>
      </c>
      <c r="H9" s="97">
        <v>22.368011899289467</v>
      </c>
      <c r="I9" s="97">
        <v>15702.344353301205</v>
      </c>
      <c r="J9" s="97">
        <v>1.4272121788772596</v>
      </c>
      <c r="K9" s="97">
        <v>1001.9029495718362</v>
      </c>
      <c r="L9" s="97">
        <v>46.020683769990065</v>
      </c>
      <c r="M9" s="97">
        <v>32306.520006533025</v>
      </c>
      <c r="N9" s="97">
        <v>2.4112640349986556</v>
      </c>
      <c r="O9" s="97">
        <v>1692.7073525690562</v>
      </c>
      <c r="P9" s="97">
        <v>17.270887539751371</v>
      </c>
      <c r="Q9" s="97">
        <v>12124.163052905462</v>
      </c>
      <c r="R9" s="97">
        <v>32.850354043998216</v>
      </c>
      <c r="S9" s="97">
        <v>23060.948538886747</v>
      </c>
      <c r="T9" s="97">
        <v>26.201089375683843</v>
      </c>
      <c r="U9" s="97">
        <v>18393.164741730059</v>
      </c>
      <c r="V9" s="97">
        <v>17.7384772659126</v>
      </c>
      <c r="W9" s="97">
        <v>12452.411040670646</v>
      </c>
      <c r="X9" s="97">
        <v>28.067976038546327</v>
      </c>
      <c r="Y9" s="97">
        <v>19703.719179059521</v>
      </c>
      <c r="Z9" s="97">
        <v>15.510392125444261</v>
      </c>
      <c r="AA9" s="97">
        <v>10888.29527206187</v>
      </c>
      <c r="AB9" s="97">
        <v>24.082401162140055</v>
      </c>
      <c r="AC9" s="97">
        <v>16905.84561582232</v>
      </c>
      <c r="AD9" s="97">
        <v>22.027365172537291</v>
      </c>
      <c r="AE9" s="97">
        <v>15463.210351121179</v>
      </c>
      <c r="AF9" s="97">
        <v>18.726695560787675</v>
      </c>
      <c r="AG9" s="97">
        <v>13146.140283672948</v>
      </c>
      <c r="AH9" s="97">
        <v>20</v>
      </c>
      <c r="AI9" s="97">
        <v>14040</v>
      </c>
      <c r="AJ9" s="97">
        <v>18</v>
      </c>
      <c r="AK9" s="97">
        <v>12636</v>
      </c>
      <c r="AL9" s="97">
        <v>17</v>
      </c>
      <c r="AM9" s="97">
        <v>11934</v>
      </c>
      <c r="AN9" s="97">
        <v>18</v>
      </c>
      <c r="AO9" s="97">
        <v>12636</v>
      </c>
      <c r="AP9" s="97">
        <v>24</v>
      </c>
      <c r="AQ9" s="97">
        <v>16848</v>
      </c>
      <c r="AR9" s="97">
        <v>18</v>
      </c>
      <c r="AS9" s="97">
        <v>12636</v>
      </c>
      <c r="AT9" s="97">
        <v>13</v>
      </c>
      <c r="AU9" s="97">
        <v>9126</v>
      </c>
      <c r="AV9" s="97">
        <v>11</v>
      </c>
      <c r="AW9" s="97">
        <v>7722</v>
      </c>
      <c r="AX9" s="97">
        <v>22</v>
      </c>
      <c r="AY9" s="97">
        <v>15444</v>
      </c>
      <c r="AZ9" s="97">
        <v>9</v>
      </c>
      <c r="BA9" s="97">
        <v>6318</v>
      </c>
      <c r="BB9" s="97">
        <v>9</v>
      </c>
      <c r="BC9" s="97">
        <v>6318</v>
      </c>
      <c r="BD9" s="97">
        <v>16</v>
      </c>
      <c r="BE9" s="97">
        <v>11232</v>
      </c>
      <c r="BF9" s="97">
        <v>15</v>
      </c>
      <c r="BG9" s="97">
        <v>10530</v>
      </c>
      <c r="BH9" s="97">
        <v>9</v>
      </c>
      <c r="BI9" s="97">
        <v>6318</v>
      </c>
      <c r="BJ9" s="97">
        <v>10</v>
      </c>
      <c r="BK9" s="97">
        <v>7020</v>
      </c>
      <c r="BL9" s="97">
        <v>12</v>
      </c>
      <c r="BM9" s="97">
        <v>8424</v>
      </c>
      <c r="BN9" s="97">
        <v>11</v>
      </c>
      <c r="BO9" s="97">
        <v>7722</v>
      </c>
      <c r="BP9" s="97">
        <v>9</v>
      </c>
      <c r="BQ9" s="97">
        <v>6318</v>
      </c>
      <c r="BR9" s="97">
        <v>7</v>
      </c>
      <c r="BS9" s="97">
        <v>4914</v>
      </c>
      <c r="BT9" s="97">
        <v>9</v>
      </c>
      <c r="BU9" s="97">
        <v>6318</v>
      </c>
      <c r="BV9" s="97">
        <v>11</v>
      </c>
      <c r="BW9" s="97">
        <v>7722</v>
      </c>
      <c r="BX9" s="97">
        <v>9</v>
      </c>
      <c r="BY9" s="97">
        <v>6318</v>
      </c>
      <c r="BZ9" s="97">
        <v>5</v>
      </c>
      <c r="CA9" s="97">
        <v>3510</v>
      </c>
      <c r="CB9" s="97">
        <v>5</v>
      </c>
      <c r="CC9" s="97">
        <v>3510</v>
      </c>
      <c r="CD9" s="97">
        <v>7</v>
      </c>
      <c r="CE9" s="97">
        <v>4914</v>
      </c>
      <c r="CF9" s="97">
        <v>6</v>
      </c>
      <c r="CG9" s="97">
        <v>4212</v>
      </c>
      <c r="CH9" s="97">
        <v>6</v>
      </c>
      <c r="CI9" s="97">
        <v>4212</v>
      </c>
      <c r="CJ9" s="97">
        <v>7</v>
      </c>
      <c r="CK9" s="97">
        <v>4914</v>
      </c>
      <c r="CL9" s="97">
        <v>5</v>
      </c>
      <c r="CM9" s="97">
        <v>3510</v>
      </c>
      <c r="CN9" s="97">
        <v>5</v>
      </c>
      <c r="CO9" s="97">
        <v>3510</v>
      </c>
      <c r="CP9" s="97">
        <v>7</v>
      </c>
      <c r="CQ9" s="97">
        <v>4914</v>
      </c>
      <c r="CR9" s="97">
        <v>5</v>
      </c>
      <c r="CS9" s="97">
        <v>3510</v>
      </c>
      <c r="CT9" s="97">
        <v>7</v>
      </c>
      <c r="CU9" s="97">
        <v>4914</v>
      </c>
    </row>
    <row r="10" spans="1:99" x14ac:dyDescent="0.15">
      <c r="C10" s="96" t="s">
        <v>175</v>
      </c>
      <c r="D10" s="97">
        <v>0</v>
      </c>
      <c r="E10" s="97">
        <v>0</v>
      </c>
      <c r="F10" s="97">
        <v>0</v>
      </c>
      <c r="G10" s="97">
        <v>0</v>
      </c>
      <c r="H10" s="97">
        <v>26.37070876547811</v>
      </c>
      <c r="I10" s="97">
        <v>14366.762135432473</v>
      </c>
      <c r="J10" s="97">
        <v>1.4272121788772596</v>
      </c>
      <c r="K10" s="97">
        <v>777.545195052331</v>
      </c>
      <c r="L10" s="97">
        <v>48.486077543382393</v>
      </c>
      <c r="M10" s="97">
        <v>26415.215045634726</v>
      </c>
      <c r="N10" s="97">
        <v>2.1953299423122088</v>
      </c>
      <c r="O10" s="97">
        <v>1196.0157525716913</v>
      </c>
      <c r="P10" s="97">
        <v>17.866435385949696</v>
      </c>
      <c r="Q10" s="97">
        <v>9733.6339982653935</v>
      </c>
      <c r="R10" s="97">
        <v>38.823145688361528</v>
      </c>
      <c r="S10" s="97">
        <v>21150.849771019359</v>
      </c>
      <c r="T10" s="97">
        <v>22.841975353160272</v>
      </c>
      <c r="U10" s="97">
        <v>12444.308172401716</v>
      </c>
      <c r="V10" s="97">
        <v>17.7384772659126</v>
      </c>
      <c r="W10" s="97">
        <v>9663.9224144691834</v>
      </c>
      <c r="X10" s="97">
        <v>24.559479033728035</v>
      </c>
      <c r="Y10" s="97">
        <v>13380.004177575032</v>
      </c>
      <c r="Z10" s="97">
        <v>14.361474190226165</v>
      </c>
      <c r="AA10" s="97">
        <v>7824.1311388352142</v>
      </c>
      <c r="AB10" s="97">
        <v>23.119105115654452</v>
      </c>
      <c r="AC10" s="97">
        <v>12595.288467008544</v>
      </c>
      <c r="AD10" s="97">
        <v>21.109558290348236</v>
      </c>
      <c r="AE10" s="97">
        <v>11500.487356581718</v>
      </c>
      <c r="AF10" s="97">
        <v>18.726695560787675</v>
      </c>
      <c r="AG10" s="97">
        <v>10202.303741517124</v>
      </c>
      <c r="AH10" s="97">
        <v>23</v>
      </c>
      <c r="AI10" s="97">
        <v>12530.4</v>
      </c>
      <c r="AJ10" s="97">
        <v>18</v>
      </c>
      <c r="AK10" s="97">
        <v>9806.4</v>
      </c>
      <c r="AL10" s="97">
        <v>18</v>
      </c>
      <c r="AM10" s="97">
        <v>9806.4</v>
      </c>
      <c r="AN10" s="97">
        <v>19</v>
      </c>
      <c r="AO10" s="97">
        <v>10351.199999999999</v>
      </c>
      <c r="AP10" s="97">
        <v>24</v>
      </c>
      <c r="AQ10" s="97">
        <v>13075.199999999999</v>
      </c>
      <c r="AR10" s="97">
        <v>17</v>
      </c>
      <c r="AS10" s="97">
        <v>9261.5999999999985</v>
      </c>
      <c r="AT10" s="97">
        <v>13</v>
      </c>
      <c r="AU10" s="97">
        <v>7082.4</v>
      </c>
      <c r="AV10" s="97">
        <v>12</v>
      </c>
      <c r="AW10" s="97">
        <v>6537.5999999999995</v>
      </c>
      <c r="AX10" s="97">
        <v>20</v>
      </c>
      <c r="AY10" s="97">
        <v>10896</v>
      </c>
      <c r="AZ10" s="97">
        <v>10</v>
      </c>
      <c r="BA10" s="97">
        <v>5448</v>
      </c>
      <c r="BB10" s="97">
        <v>9</v>
      </c>
      <c r="BC10" s="97">
        <v>4903.2</v>
      </c>
      <c r="BD10" s="97">
        <v>17</v>
      </c>
      <c r="BE10" s="97">
        <v>9261.5999999999985</v>
      </c>
      <c r="BF10" s="97">
        <v>14</v>
      </c>
      <c r="BG10" s="97">
        <v>7627.1999999999989</v>
      </c>
      <c r="BH10" s="97">
        <v>11</v>
      </c>
      <c r="BI10" s="97">
        <v>5992.7999999999993</v>
      </c>
      <c r="BJ10" s="97">
        <v>10</v>
      </c>
      <c r="BK10" s="97">
        <v>5448</v>
      </c>
      <c r="BL10" s="97">
        <v>12</v>
      </c>
      <c r="BM10" s="97">
        <v>6537.5999999999995</v>
      </c>
      <c r="BN10" s="97">
        <v>11</v>
      </c>
      <c r="BO10" s="97">
        <v>5992.7999999999993</v>
      </c>
      <c r="BP10" s="97">
        <v>8</v>
      </c>
      <c r="BQ10" s="97">
        <v>4358.3999999999996</v>
      </c>
      <c r="BR10" s="97">
        <v>8</v>
      </c>
      <c r="BS10" s="97">
        <v>4358.3999999999996</v>
      </c>
      <c r="BT10" s="97">
        <v>9</v>
      </c>
      <c r="BU10" s="97">
        <v>4903.2</v>
      </c>
      <c r="BV10" s="97">
        <v>9</v>
      </c>
      <c r="BW10" s="97">
        <v>4903.2</v>
      </c>
      <c r="BX10" s="97">
        <v>9</v>
      </c>
      <c r="BY10" s="97">
        <v>4903.2</v>
      </c>
      <c r="BZ10" s="97">
        <v>6</v>
      </c>
      <c r="CA10" s="97">
        <v>3268.7999999999997</v>
      </c>
      <c r="CB10" s="97">
        <v>5</v>
      </c>
      <c r="CC10" s="97">
        <v>2724</v>
      </c>
      <c r="CD10" s="97">
        <v>8</v>
      </c>
      <c r="CE10" s="97">
        <v>4358.3999999999996</v>
      </c>
      <c r="CF10" s="97">
        <v>5</v>
      </c>
      <c r="CG10" s="97">
        <v>2724</v>
      </c>
      <c r="CH10" s="97">
        <v>6</v>
      </c>
      <c r="CI10" s="97">
        <v>3268.7999999999997</v>
      </c>
      <c r="CJ10" s="97">
        <v>7</v>
      </c>
      <c r="CK10" s="97">
        <v>3813.5999999999995</v>
      </c>
      <c r="CL10" s="97">
        <v>5</v>
      </c>
      <c r="CM10" s="97">
        <v>2724</v>
      </c>
      <c r="CN10" s="97">
        <v>5</v>
      </c>
      <c r="CO10" s="97">
        <v>2724</v>
      </c>
      <c r="CP10" s="97">
        <v>7</v>
      </c>
      <c r="CQ10" s="97">
        <v>3813.5999999999995</v>
      </c>
      <c r="CR10" s="97">
        <v>5</v>
      </c>
      <c r="CS10" s="97">
        <v>2724</v>
      </c>
      <c r="CT10" s="97">
        <v>8</v>
      </c>
      <c r="CU10" s="97">
        <v>4358.3999999999996</v>
      </c>
    </row>
    <row r="11" spans="1:99" x14ac:dyDescent="0.15">
      <c r="C11" s="96" t="s">
        <v>176</v>
      </c>
      <c r="D11" s="97">
        <v>0</v>
      </c>
      <c r="E11" s="97">
        <v>0</v>
      </c>
      <c r="F11" s="97">
        <v>0</v>
      </c>
      <c r="G11" s="97">
        <v>0</v>
      </c>
      <c r="H11" s="97">
        <v>22.368011899289467</v>
      </c>
      <c r="I11" s="97">
        <v>11917.676739941428</v>
      </c>
      <c r="J11" s="97">
        <v>1.4272121788772596</v>
      </c>
      <c r="K11" s="97">
        <v>760.41864890580382</v>
      </c>
      <c r="L11" s="97">
        <v>48.486077543382393</v>
      </c>
      <c r="M11" s="97">
        <v>25833.382115114138</v>
      </c>
      <c r="N11" s="97">
        <v>2.519231081341879</v>
      </c>
      <c r="O11" s="97">
        <v>1342.246320138953</v>
      </c>
      <c r="P11" s="97">
        <v>16.377565770453888</v>
      </c>
      <c r="Q11" s="97">
        <v>8725.9670424978303</v>
      </c>
      <c r="R11" s="97">
        <v>39.818610962422078</v>
      </c>
      <c r="S11" s="97">
        <v>21215.355920778482</v>
      </c>
      <c r="T11" s="97">
        <v>26.872912180188557</v>
      </c>
      <c r="U11" s="97">
        <v>14317.887609604462</v>
      </c>
      <c r="V11" s="97">
        <v>19.51232499250386</v>
      </c>
      <c r="W11" s="97">
        <v>10396.166756006056</v>
      </c>
      <c r="X11" s="97">
        <v>24.559479033728035</v>
      </c>
      <c r="Y11" s="97">
        <v>13085.290429170296</v>
      </c>
      <c r="Z11" s="97">
        <v>14.935933157835214</v>
      </c>
      <c r="AA11" s="97">
        <v>7957.8651864946014</v>
      </c>
      <c r="AB11" s="97">
        <v>22.155809069168853</v>
      </c>
      <c r="AC11" s="97">
        <v>11804.615072053164</v>
      </c>
      <c r="AD11" s="97">
        <v>20.191751408159185</v>
      </c>
      <c r="AE11" s="97">
        <v>10758.165150267212</v>
      </c>
      <c r="AF11" s="97">
        <v>19.934869467935268</v>
      </c>
      <c r="AG11" s="97">
        <v>10621.29845251591</v>
      </c>
      <c r="AH11" s="97">
        <v>22</v>
      </c>
      <c r="AI11" s="97">
        <v>11721.599999999999</v>
      </c>
      <c r="AJ11" s="97">
        <v>19</v>
      </c>
      <c r="AK11" s="97">
        <v>10123.199999999999</v>
      </c>
      <c r="AL11" s="97">
        <v>17</v>
      </c>
      <c r="AM11" s="97">
        <v>9057.5999999999985</v>
      </c>
      <c r="AN11" s="97">
        <v>21</v>
      </c>
      <c r="AO11" s="97">
        <v>11188.8</v>
      </c>
      <c r="AP11" s="97">
        <v>24</v>
      </c>
      <c r="AQ11" s="97">
        <v>12787.199999999999</v>
      </c>
      <c r="AR11" s="97">
        <v>18</v>
      </c>
      <c r="AS11" s="97">
        <v>9590.4</v>
      </c>
      <c r="AT11" s="97">
        <v>12</v>
      </c>
      <c r="AU11" s="97">
        <v>6393.5999999999995</v>
      </c>
      <c r="AV11" s="97">
        <v>11</v>
      </c>
      <c r="AW11" s="97">
        <v>5860.7999999999993</v>
      </c>
      <c r="AX11" s="97">
        <v>22</v>
      </c>
      <c r="AY11" s="97">
        <v>11721.599999999999</v>
      </c>
      <c r="AZ11" s="97">
        <v>10</v>
      </c>
      <c r="BA11" s="97">
        <v>5328</v>
      </c>
      <c r="BB11" s="97">
        <v>9</v>
      </c>
      <c r="BC11" s="97">
        <v>4795.2</v>
      </c>
      <c r="BD11" s="97">
        <v>15</v>
      </c>
      <c r="BE11" s="97">
        <v>7991.9999999999991</v>
      </c>
      <c r="BF11" s="97">
        <v>16</v>
      </c>
      <c r="BG11" s="97">
        <v>8524.7999999999993</v>
      </c>
      <c r="BH11" s="97">
        <v>11</v>
      </c>
      <c r="BI11" s="97">
        <v>5860.7999999999993</v>
      </c>
      <c r="BJ11" s="97">
        <v>10</v>
      </c>
      <c r="BK11" s="97">
        <v>5328</v>
      </c>
      <c r="BL11" s="97">
        <v>14</v>
      </c>
      <c r="BM11" s="97">
        <v>7459.1999999999989</v>
      </c>
      <c r="BN11" s="97">
        <v>11</v>
      </c>
      <c r="BO11" s="97">
        <v>5860.7999999999993</v>
      </c>
      <c r="BP11" s="97">
        <v>9</v>
      </c>
      <c r="BQ11" s="97">
        <v>4795.2</v>
      </c>
      <c r="BR11" s="97">
        <v>9</v>
      </c>
      <c r="BS11" s="97">
        <v>4795.2</v>
      </c>
      <c r="BT11" s="97">
        <v>10</v>
      </c>
      <c r="BU11" s="97">
        <v>5328</v>
      </c>
      <c r="BV11" s="97">
        <v>9</v>
      </c>
      <c r="BW11" s="97">
        <v>4795.2</v>
      </c>
      <c r="BX11" s="97">
        <v>8</v>
      </c>
      <c r="BY11" s="97">
        <v>4262.3999999999996</v>
      </c>
      <c r="BZ11" s="97">
        <v>6</v>
      </c>
      <c r="CA11" s="97">
        <v>3196.7999999999997</v>
      </c>
      <c r="CB11" s="97">
        <v>5</v>
      </c>
      <c r="CC11" s="97">
        <v>2664</v>
      </c>
      <c r="CD11" s="97">
        <v>7</v>
      </c>
      <c r="CE11" s="97">
        <v>3729.5999999999995</v>
      </c>
      <c r="CF11" s="97">
        <v>6</v>
      </c>
      <c r="CG11" s="97">
        <v>3196.7999999999997</v>
      </c>
      <c r="CH11" s="97">
        <v>6</v>
      </c>
      <c r="CI11" s="97">
        <v>3196.7999999999997</v>
      </c>
      <c r="CJ11" s="97">
        <v>7</v>
      </c>
      <c r="CK11" s="97">
        <v>3729.5999999999995</v>
      </c>
      <c r="CL11" s="97">
        <v>5</v>
      </c>
      <c r="CM11" s="97">
        <v>2664</v>
      </c>
      <c r="CN11" s="97">
        <v>5</v>
      </c>
      <c r="CO11" s="97">
        <v>2664</v>
      </c>
      <c r="CP11" s="97">
        <v>7</v>
      </c>
      <c r="CQ11" s="97">
        <v>3729.5999999999995</v>
      </c>
      <c r="CR11" s="97">
        <v>5</v>
      </c>
      <c r="CS11" s="97">
        <v>2664</v>
      </c>
      <c r="CT11" s="97">
        <v>8</v>
      </c>
      <c r="CU11" s="97">
        <v>4262.3999999999996</v>
      </c>
    </row>
    <row r="12" spans="1:99" x14ac:dyDescent="0.15">
      <c r="C12" s="96" t="s">
        <v>177</v>
      </c>
      <c r="D12" s="97">
        <v>0</v>
      </c>
      <c r="E12" s="97">
        <v>0</v>
      </c>
      <c r="F12" s="97">
        <v>0</v>
      </c>
      <c r="G12" s="97">
        <v>0</v>
      </c>
      <c r="H12" s="97">
        <v>22.603464656124096</v>
      </c>
      <c r="I12" s="97">
        <v>12721.229908466641</v>
      </c>
      <c r="J12" s="97">
        <v>1.4700285442435777</v>
      </c>
      <c r="K12" s="97">
        <v>827.3320647002854</v>
      </c>
      <c r="L12" s="97">
        <v>54.238663014631143</v>
      </c>
      <c r="M12" s="97">
        <v>30525.519544634404</v>
      </c>
      <c r="N12" s="97">
        <v>2.1953299423122088</v>
      </c>
      <c r="O12" s="97">
        <v>1235.531691533311</v>
      </c>
      <c r="P12" s="97">
        <v>16.675339693553049</v>
      </c>
      <c r="Q12" s="97">
        <v>9384.881179531656</v>
      </c>
      <c r="R12" s="97">
        <v>35.836749866179872</v>
      </c>
      <c r="S12" s="97">
        <v>20168.922824686029</v>
      </c>
      <c r="T12" s="97">
        <v>25.529266571179129</v>
      </c>
      <c r="U12" s="97">
        <v>14367.871226259613</v>
      </c>
      <c r="V12" s="97">
        <v>19.51232499250386</v>
      </c>
      <c r="W12" s="97">
        <v>10981.536505781172</v>
      </c>
      <c r="X12" s="97">
        <v>25.962877835655352</v>
      </c>
      <c r="Y12" s="97">
        <v>14611.907645906831</v>
      </c>
      <c r="Z12" s="97">
        <v>15.510392125444261</v>
      </c>
      <c r="AA12" s="97">
        <v>8729.2486882000285</v>
      </c>
      <c r="AB12" s="97">
        <v>24.082401162140055</v>
      </c>
      <c r="AC12" s="97">
        <v>13553.575374052421</v>
      </c>
      <c r="AD12" s="97">
        <v>21.109558290348236</v>
      </c>
      <c r="AE12" s="97">
        <v>11880.459405807986</v>
      </c>
      <c r="AF12" s="97">
        <v>19.934869467935268</v>
      </c>
      <c r="AG12" s="97">
        <v>11219.344536553968</v>
      </c>
      <c r="AH12" s="97">
        <v>22</v>
      </c>
      <c r="AI12" s="97">
        <v>12381.599999999999</v>
      </c>
      <c r="AJ12" s="97">
        <v>18</v>
      </c>
      <c r="AK12" s="97">
        <v>10130.4</v>
      </c>
      <c r="AL12" s="97">
        <v>17</v>
      </c>
      <c r="AM12" s="97">
        <v>9567.5999999999985</v>
      </c>
      <c r="AN12" s="97">
        <v>20</v>
      </c>
      <c r="AO12" s="97">
        <v>11256</v>
      </c>
      <c r="AP12" s="97">
        <v>27</v>
      </c>
      <c r="AQ12" s="97">
        <v>15195.599999999999</v>
      </c>
      <c r="AR12" s="97">
        <v>16</v>
      </c>
      <c r="AS12" s="97">
        <v>9004.7999999999993</v>
      </c>
      <c r="AT12" s="97">
        <v>14</v>
      </c>
      <c r="AU12" s="97">
        <v>7879.1999999999989</v>
      </c>
      <c r="AV12" s="97">
        <v>10</v>
      </c>
      <c r="AW12" s="97">
        <v>5628</v>
      </c>
      <c r="AX12" s="97">
        <v>23</v>
      </c>
      <c r="AY12" s="97">
        <v>12944.4</v>
      </c>
      <c r="AZ12" s="97">
        <v>10</v>
      </c>
      <c r="BA12" s="97">
        <v>5628</v>
      </c>
      <c r="BB12" s="97">
        <v>9</v>
      </c>
      <c r="BC12" s="97">
        <v>5065.2</v>
      </c>
      <c r="BD12" s="97">
        <v>15</v>
      </c>
      <c r="BE12" s="97">
        <v>8442</v>
      </c>
      <c r="BF12" s="97">
        <v>15</v>
      </c>
      <c r="BG12" s="97">
        <v>8442</v>
      </c>
      <c r="BH12" s="97">
        <v>11</v>
      </c>
      <c r="BI12" s="97">
        <v>6190.7999999999993</v>
      </c>
      <c r="BJ12" s="97">
        <v>9</v>
      </c>
      <c r="BK12" s="97">
        <v>5065.2</v>
      </c>
      <c r="BL12" s="97">
        <v>12</v>
      </c>
      <c r="BM12" s="97">
        <v>6753.5999999999995</v>
      </c>
      <c r="BN12" s="97">
        <v>10</v>
      </c>
      <c r="BO12" s="97">
        <v>5628</v>
      </c>
      <c r="BP12" s="97">
        <v>10</v>
      </c>
      <c r="BQ12" s="97">
        <v>5628</v>
      </c>
      <c r="BR12" s="97">
        <v>8</v>
      </c>
      <c r="BS12" s="97">
        <v>4502.3999999999996</v>
      </c>
      <c r="BT12" s="97">
        <v>10</v>
      </c>
      <c r="BU12" s="97">
        <v>5628</v>
      </c>
      <c r="BV12" s="97">
        <v>10</v>
      </c>
      <c r="BW12" s="97">
        <v>5628</v>
      </c>
      <c r="BX12" s="97">
        <v>9</v>
      </c>
      <c r="BY12" s="97">
        <v>5065.2</v>
      </c>
      <c r="BZ12" s="97">
        <v>6</v>
      </c>
      <c r="CA12" s="97">
        <v>3376.7999999999997</v>
      </c>
      <c r="CB12" s="97">
        <v>5</v>
      </c>
      <c r="CC12" s="97">
        <v>2814</v>
      </c>
      <c r="CD12" s="97">
        <v>7</v>
      </c>
      <c r="CE12" s="97">
        <v>3939.5999999999995</v>
      </c>
      <c r="CF12" s="97">
        <v>5</v>
      </c>
      <c r="CG12" s="97">
        <v>2814</v>
      </c>
      <c r="CH12" s="97">
        <v>6</v>
      </c>
      <c r="CI12" s="97">
        <v>3376.7999999999997</v>
      </c>
      <c r="CJ12" s="97">
        <v>7</v>
      </c>
      <c r="CK12" s="97">
        <v>3939.5999999999995</v>
      </c>
      <c r="CL12" s="97">
        <v>5</v>
      </c>
      <c r="CM12" s="97">
        <v>2814</v>
      </c>
      <c r="CN12" s="97">
        <v>5</v>
      </c>
      <c r="CO12" s="97">
        <v>2814</v>
      </c>
      <c r="CP12" s="97">
        <v>7</v>
      </c>
      <c r="CQ12" s="97">
        <v>3939.5999999999995</v>
      </c>
      <c r="CR12" s="97">
        <v>6</v>
      </c>
      <c r="CS12" s="97">
        <v>3376.7999999999997</v>
      </c>
      <c r="CT12" s="97">
        <v>7</v>
      </c>
      <c r="CU12" s="97">
        <v>3939.5999999999995</v>
      </c>
    </row>
    <row r="13" spans="1:99" x14ac:dyDescent="0.15">
      <c r="C13" s="96" t="s">
        <v>178</v>
      </c>
      <c r="D13" s="97">
        <v>0</v>
      </c>
      <c r="E13" s="97">
        <v>0</v>
      </c>
      <c r="F13" s="97">
        <v>0</v>
      </c>
      <c r="G13" s="97">
        <v>0</v>
      </c>
      <c r="H13" s="97">
        <v>25.899803251808859</v>
      </c>
      <c r="I13" s="97">
        <v>2206.6632370541147</v>
      </c>
      <c r="J13" s="97">
        <v>1.5699333967649858</v>
      </c>
      <c r="K13" s="97">
        <v>133.75832540437679</v>
      </c>
      <c r="L13" s="97">
        <v>61.634844334808122</v>
      </c>
      <c r="M13" s="97">
        <v>5251.2887373256517</v>
      </c>
      <c r="N13" s="97">
        <v>2.5552200967896201</v>
      </c>
      <c r="O13" s="97">
        <v>217.70475224647564</v>
      </c>
      <c r="P13" s="97">
        <v>16.377565770453888</v>
      </c>
      <c r="Q13" s="97">
        <v>1395.3686036426714</v>
      </c>
      <c r="R13" s="97">
        <v>38.823145688361528</v>
      </c>
      <c r="S13" s="97">
        <v>3307.7320126484024</v>
      </c>
      <c r="T13" s="97">
        <v>25.529266571179129</v>
      </c>
      <c r="U13" s="97">
        <v>2175.093511864462</v>
      </c>
      <c r="V13" s="97">
        <v>19.51232499250386</v>
      </c>
      <c r="W13" s="97">
        <v>1662.450089361329</v>
      </c>
      <c r="X13" s="97">
        <v>25.261178434691693</v>
      </c>
      <c r="Y13" s="97">
        <v>2152.2524026357323</v>
      </c>
      <c r="Z13" s="97">
        <v>18.382686963489494</v>
      </c>
      <c r="AA13" s="97">
        <v>1566.204929289305</v>
      </c>
      <c r="AB13" s="97">
        <v>26.00899325511126</v>
      </c>
      <c r="AC13" s="97">
        <v>2215.9662253354795</v>
      </c>
      <c r="AD13" s="97">
        <v>22.027365172537291</v>
      </c>
      <c r="AE13" s="97">
        <v>1876.7315127001773</v>
      </c>
      <c r="AF13" s="97">
        <v>22.955304235804245</v>
      </c>
      <c r="AG13" s="97">
        <v>1955.7919208905219</v>
      </c>
      <c r="AH13" s="97">
        <v>24</v>
      </c>
      <c r="AI13" s="97">
        <v>2044.8000000000002</v>
      </c>
      <c r="AJ13" s="97">
        <v>21</v>
      </c>
      <c r="AK13" s="97">
        <v>1789.2</v>
      </c>
      <c r="AL13" s="97">
        <v>18</v>
      </c>
      <c r="AM13" s="97">
        <v>1533.6000000000001</v>
      </c>
      <c r="AN13" s="97">
        <v>21</v>
      </c>
      <c r="AO13" s="97">
        <v>1789.2</v>
      </c>
      <c r="AP13" s="97">
        <v>26</v>
      </c>
      <c r="AQ13" s="97">
        <v>2215.2000000000003</v>
      </c>
      <c r="AR13" s="97">
        <v>19</v>
      </c>
      <c r="AS13" s="97">
        <v>1618.8</v>
      </c>
      <c r="AT13" s="97">
        <v>14</v>
      </c>
      <c r="AU13" s="97">
        <v>1192.8</v>
      </c>
      <c r="AV13" s="97">
        <v>13</v>
      </c>
      <c r="AW13" s="97">
        <v>1107.6000000000001</v>
      </c>
      <c r="AX13" s="97">
        <v>23</v>
      </c>
      <c r="AY13" s="97">
        <v>1959.6000000000001</v>
      </c>
      <c r="AZ13" s="97">
        <v>10</v>
      </c>
      <c r="BA13" s="97">
        <v>852</v>
      </c>
      <c r="BB13" s="97">
        <v>9</v>
      </c>
      <c r="BC13" s="97">
        <v>766.80000000000007</v>
      </c>
      <c r="BD13" s="97">
        <v>16</v>
      </c>
      <c r="BE13" s="97">
        <v>1363.2</v>
      </c>
      <c r="BF13" s="97">
        <v>14</v>
      </c>
      <c r="BG13" s="97">
        <v>1192.8</v>
      </c>
      <c r="BH13" s="97">
        <v>12</v>
      </c>
      <c r="BI13" s="97">
        <v>1022.4000000000001</v>
      </c>
      <c r="BJ13" s="97">
        <v>10</v>
      </c>
      <c r="BK13" s="97">
        <v>852</v>
      </c>
      <c r="BL13" s="97">
        <v>12</v>
      </c>
      <c r="BM13" s="97">
        <v>1022.4000000000001</v>
      </c>
      <c r="BN13" s="97">
        <v>12</v>
      </c>
      <c r="BO13" s="97">
        <v>1022.4000000000001</v>
      </c>
      <c r="BP13" s="97">
        <v>10</v>
      </c>
      <c r="BQ13" s="97">
        <v>852</v>
      </c>
      <c r="BR13" s="97">
        <v>9</v>
      </c>
      <c r="BS13" s="97">
        <v>766.80000000000007</v>
      </c>
      <c r="BT13" s="97">
        <v>10</v>
      </c>
      <c r="BU13" s="97">
        <v>852</v>
      </c>
      <c r="BV13" s="97">
        <v>10</v>
      </c>
      <c r="BW13" s="97">
        <v>852</v>
      </c>
      <c r="BX13" s="97">
        <v>9</v>
      </c>
      <c r="BY13" s="97">
        <v>766.80000000000007</v>
      </c>
      <c r="BZ13" s="97">
        <v>6</v>
      </c>
      <c r="CA13" s="97">
        <v>511.20000000000005</v>
      </c>
      <c r="CB13" s="97">
        <v>5</v>
      </c>
      <c r="CC13" s="97">
        <v>426</v>
      </c>
      <c r="CD13" s="97">
        <v>7</v>
      </c>
      <c r="CE13" s="97">
        <v>596.4</v>
      </c>
      <c r="CF13" s="97">
        <v>6</v>
      </c>
      <c r="CG13" s="97">
        <v>511.20000000000005</v>
      </c>
      <c r="CH13" s="97">
        <v>7</v>
      </c>
      <c r="CI13" s="97">
        <v>596.4</v>
      </c>
      <c r="CJ13" s="97">
        <v>7</v>
      </c>
      <c r="CK13" s="97">
        <v>596.4</v>
      </c>
      <c r="CL13" s="97">
        <v>5</v>
      </c>
      <c r="CM13" s="97">
        <v>426</v>
      </c>
      <c r="CN13" s="97">
        <v>5</v>
      </c>
      <c r="CO13" s="97">
        <v>426</v>
      </c>
      <c r="CP13" s="97">
        <v>6</v>
      </c>
      <c r="CQ13" s="97">
        <v>511.20000000000005</v>
      </c>
      <c r="CR13" s="97">
        <v>6</v>
      </c>
      <c r="CS13" s="97">
        <v>511.20000000000005</v>
      </c>
      <c r="CT13" s="97">
        <v>8</v>
      </c>
      <c r="CU13" s="97">
        <v>681.6</v>
      </c>
    </row>
    <row r="14" spans="1:99" x14ac:dyDescent="0.15">
      <c r="C14" s="96" t="s">
        <v>179</v>
      </c>
      <c r="D14" s="97">
        <v>0</v>
      </c>
      <c r="E14" s="97">
        <v>0</v>
      </c>
      <c r="F14" s="97">
        <v>0</v>
      </c>
      <c r="G14" s="97">
        <v>0</v>
      </c>
      <c r="H14" s="97">
        <v>24.251633953966476</v>
      </c>
      <c r="I14" s="97">
        <v>11844.498023117227</v>
      </c>
      <c r="J14" s="97">
        <v>1.4414843006660323</v>
      </c>
      <c r="K14" s="97">
        <v>704.0209324452901</v>
      </c>
      <c r="L14" s="97">
        <v>56.704056788023472</v>
      </c>
      <c r="M14" s="97">
        <v>27694.261335270661</v>
      </c>
      <c r="N14" s="97">
        <v>2.3392860041031733</v>
      </c>
      <c r="O14" s="97">
        <v>1142.5072844039898</v>
      </c>
      <c r="P14" s="97">
        <v>16.675339693553049</v>
      </c>
      <c r="Q14" s="97">
        <v>8144.2359063313088</v>
      </c>
      <c r="R14" s="97">
        <v>33.845819318058766</v>
      </c>
      <c r="S14" s="97">
        <v>16530.298154939901</v>
      </c>
      <c r="T14" s="97">
        <v>23.513798157664986</v>
      </c>
      <c r="U14" s="97">
        <v>11484.139020203578</v>
      </c>
      <c r="V14" s="97">
        <v>20.103607568034278</v>
      </c>
      <c r="W14" s="97">
        <v>9818.6019362279403</v>
      </c>
      <c r="X14" s="97">
        <v>24.559479033728035</v>
      </c>
      <c r="Y14" s="97">
        <v>11994.849560072771</v>
      </c>
      <c r="Z14" s="97">
        <v>15.510392125444261</v>
      </c>
      <c r="AA14" s="97">
        <v>7575.2755140669769</v>
      </c>
      <c r="AB14" s="97">
        <v>24.082401162140055</v>
      </c>
      <c r="AC14" s="97">
        <v>11761.844727589203</v>
      </c>
      <c r="AD14" s="97">
        <v>21.109558290348236</v>
      </c>
      <c r="AE14" s="97">
        <v>10309.908269006079</v>
      </c>
      <c r="AF14" s="97">
        <v>21.143043375082858</v>
      </c>
      <c r="AG14" s="97">
        <v>10326.262384390468</v>
      </c>
      <c r="AH14" s="97">
        <v>21</v>
      </c>
      <c r="AI14" s="97">
        <v>10256.4</v>
      </c>
      <c r="AJ14" s="97">
        <v>19</v>
      </c>
      <c r="AK14" s="97">
        <v>9279.6</v>
      </c>
      <c r="AL14" s="97">
        <v>19</v>
      </c>
      <c r="AM14" s="97">
        <v>9279.6</v>
      </c>
      <c r="AN14" s="97">
        <v>20</v>
      </c>
      <c r="AO14" s="97">
        <v>9768</v>
      </c>
      <c r="AP14" s="97">
        <v>28</v>
      </c>
      <c r="AQ14" s="97">
        <v>13675.199999999999</v>
      </c>
      <c r="AR14" s="97">
        <v>18</v>
      </c>
      <c r="AS14" s="97">
        <v>8791.1999999999989</v>
      </c>
      <c r="AT14" s="97">
        <v>12</v>
      </c>
      <c r="AU14" s="97">
        <v>5860.7999999999993</v>
      </c>
      <c r="AV14" s="97">
        <v>10</v>
      </c>
      <c r="AW14" s="97">
        <v>4884</v>
      </c>
      <c r="AX14" s="97">
        <v>23</v>
      </c>
      <c r="AY14" s="97">
        <v>11233.199999999999</v>
      </c>
      <c r="AZ14" s="97">
        <v>9</v>
      </c>
      <c r="BA14" s="97">
        <v>4395.5999999999995</v>
      </c>
      <c r="BB14" s="97">
        <v>8</v>
      </c>
      <c r="BC14" s="97">
        <v>3907.2</v>
      </c>
      <c r="BD14" s="97">
        <v>17</v>
      </c>
      <c r="BE14" s="97">
        <v>8302.7999999999993</v>
      </c>
      <c r="BF14" s="97">
        <v>14</v>
      </c>
      <c r="BG14" s="97">
        <v>6837.5999999999995</v>
      </c>
      <c r="BH14" s="97">
        <v>10</v>
      </c>
      <c r="BI14" s="97">
        <v>4884</v>
      </c>
      <c r="BJ14" s="97">
        <v>9</v>
      </c>
      <c r="BK14" s="97">
        <v>4395.5999999999995</v>
      </c>
      <c r="BL14" s="97">
        <v>14</v>
      </c>
      <c r="BM14" s="97">
        <v>6837.5999999999995</v>
      </c>
      <c r="BN14" s="97">
        <v>10</v>
      </c>
      <c r="BO14" s="97">
        <v>4884</v>
      </c>
      <c r="BP14" s="97">
        <v>9</v>
      </c>
      <c r="BQ14" s="97">
        <v>4395.5999999999995</v>
      </c>
      <c r="BR14" s="97">
        <v>8</v>
      </c>
      <c r="BS14" s="97">
        <v>3907.2</v>
      </c>
      <c r="BT14" s="97">
        <v>9</v>
      </c>
      <c r="BU14" s="97">
        <v>4395.5999999999995</v>
      </c>
      <c r="BV14" s="97">
        <v>10</v>
      </c>
      <c r="BW14" s="97">
        <v>4884</v>
      </c>
      <c r="BX14" s="97">
        <v>9</v>
      </c>
      <c r="BY14" s="97">
        <v>4395.5999999999995</v>
      </c>
      <c r="BZ14" s="97">
        <v>6</v>
      </c>
      <c r="CA14" s="97">
        <v>2930.3999999999996</v>
      </c>
      <c r="CB14" s="97">
        <v>6</v>
      </c>
      <c r="CC14" s="97">
        <v>2930.3999999999996</v>
      </c>
      <c r="CD14" s="97">
        <v>7</v>
      </c>
      <c r="CE14" s="97">
        <v>3418.7999999999997</v>
      </c>
      <c r="CF14" s="97">
        <v>6</v>
      </c>
      <c r="CG14" s="97">
        <v>2930.3999999999996</v>
      </c>
      <c r="CH14" s="97">
        <v>7</v>
      </c>
      <c r="CI14" s="97">
        <v>3418.7999999999997</v>
      </c>
      <c r="CJ14" s="97">
        <v>8</v>
      </c>
      <c r="CK14" s="97">
        <v>3907.2</v>
      </c>
      <c r="CL14" s="97">
        <v>5</v>
      </c>
      <c r="CM14" s="97">
        <v>2442</v>
      </c>
      <c r="CN14" s="97">
        <v>5</v>
      </c>
      <c r="CO14" s="97">
        <v>2442</v>
      </c>
      <c r="CP14" s="97">
        <v>7</v>
      </c>
      <c r="CQ14" s="97">
        <v>3418.7999999999997</v>
      </c>
      <c r="CR14" s="97">
        <v>5</v>
      </c>
      <c r="CS14" s="97">
        <v>2442</v>
      </c>
      <c r="CT14" s="97">
        <v>7</v>
      </c>
      <c r="CU14" s="97">
        <v>3418.7999999999997</v>
      </c>
    </row>
    <row r="15" spans="1:99" x14ac:dyDescent="0.15">
      <c r="C15" s="96" t="s">
        <v>180</v>
      </c>
      <c r="D15" s="97">
        <v>0</v>
      </c>
      <c r="E15" s="97">
        <v>0</v>
      </c>
      <c r="F15" s="97">
        <v>0</v>
      </c>
      <c r="G15" s="97">
        <v>0</v>
      </c>
      <c r="H15" s="97">
        <v>25.899803251808859</v>
      </c>
      <c r="I15" s="97">
        <v>19766.729841780518</v>
      </c>
      <c r="J15" s="97">
        <v>1.3415794481446242</v>
      </c>
      <c r="K15" s="97">
        <v>1023.893434823977</v>
      </c>
      <c r="L15" s="97">
        <v>50.951471316774715</v>
      </c>
      <c r="M15" s="97">
        <v>38886.162908962462</v>
      </c>
      <c r="N15" s="97">
        <v>2.4112640349986556</v>
      </c>
      <c r="O15" s="97">
        <v>1840.2767115109739</v>
      </c>
      <c r="P15" s="97">
        <v>15.186470078057242</v>
      </c>
      <c r="Q15" s="97">
        <v>11590.313963573286</v>
      </c>
      <c r="R15" s="97">
        <v>36.832215140240429</v>
      </c>
      <c r="S15" s="97">
        <v>28110.346595031493</v>
      </c>
      <c r="T15" s="97">
        <v>23.513798157664986</v>
      </c>
      <c r="U15" s="97">
        <v>17945.730753929914</v>
      </c>
      <c r="V15" s="97">
        <v>17.7384772659126</v>
      </c>
      <c r="W15" s="97">
        <v>13538.005849344496</v>
      </c>
      <c r="X15" s="97">
        <v>27.366276637582665</v>
      </c>
      <c r="Y15" s="97">
        <v>20885.942329803089</v>
      </c>
      <c r="Z15" s="97">
        <v>14.935933157835214</v>
      </c>
      <c r="AA15" s="97">
        <v>11399.104186059834</v>
      </c>
      <c r="AB15" s="97">
        <v>22.155809069168853</v>
      </c>
      <c r="AC15" s="97">
        <v>16909.313481589666</v>
      </c>
      <c r="AD15" s="97">
        <v>20.191751408159185</v>
      </c>
      <c r="AE15" s="97">
        <v>15410.344674707088</v>
      </c>
      <c r="AF15" s="97">
        <v>20.538956421509059</v>
      </c>
      <c r="AG15" s="97">
        <v>15675.331540895713</v>
      </c>
      <c r="AH15" s="97">
        <v>22</v>
      </c>
      <c r="AI15" s="97">
        <v>16790.399999999998</v>
      </c>
      <c r="AJ15" s="97">
        <v>19</v>
      </c>
      <c r="AK15" s="97">
        <v>14500.8</v>
      </c>
      <c r="AL15" s="97">
        <v>16</v>
      </c>
      <c r="AM15" s="97">
        <v>12211.199999999999</v>
      </c>
      <c r="AN15" s="97">
        <v>20</v>
      </c>
      <c r="AO15" s="97">
        <v>15263.999999999998</v>
      </c>
      <c r="AP15" s="97">
        <v>24</v>
      </c>
      <c r="AQ15" s="97">
        <v>18316.8</v>
      </c>
      <c r="AR15" s="97">
        <v>16</v>
      </c>
      <c r="AS15" s="97">
        <v>12211.199999999999</v>
      </c>
      <c r="AT15" s="97">
        <v>12</v>
      </c>
      <c r="AU15" s="97">
        <v>9158.4</v>
      </c>
      <c r="AV15" s="97">
        <v>11</v>
      </c>
      <c r="AW15" s="97">
        <v>8395.1999999999989</v>
      </c>
      <c r="AX15" s="97">
        <v>21</v>
      </c>
      <c r="AY15" s="97">
        <v>16027.199999999999</v>
      </c>
      <c r="AZ15" s="97">
        <v>10</v>
      </c>
      <c r="BA15" s="97">
        <v>7631.9999999999991</v>
      </c>
      <c r="BB15" s="97">
        <v>9</v>
      </c>
      <c r="BC15" s="97">
        <v>6868.7999999999993</v>
      </c>
      <c r="BD15" s="97">
        <v>15</v>
      </c>
      <c r="BE15" s="97">
        <v>11447.999999999998</v>
      </c>
      <c r="BF15" s="97">
        <v>16</v>
      </c>
      <c r="BG15" s="97">
        <v>12211.199999999999</v>
      </c>
      <c r="BH15" s="97">
        <v>11</v>
      </c>
      <c r="BI15" s="97">
        <v>8395.1999999999989</v>
      </c>
      <c r="BJ15" s="97">
        <v>10</v>
      </c>
      <c r="BK15" s="97">
        <v>7631.9999999999991</v>
      </c>
      <c r="BL15" s="97">
        <v>11</v>
      </c>
      <c r="BM15" s="97">
        <v>8395.1999999999989</v>
      </c>
      <c r="BN15" s="97">
        <v>10</v>
      </c>
      <c r="BO15" s="97">
        <v>7631.9999999999991</v>
      </c>
      <c r="BP15" s="97">
        <v>10</v>
      </c>
      <c r="BQ15" s="97">
        <v>7631.9999999999991</v>
      </c>
      <c r="BR15" s="97">
        <v>9</v>
      </c>
      <c r="BS15" s="97">
        <v>6868.7999999999993</v>
      </c>
      <c r="BT15" s="97">
        <v>9</v>
      </c>
      <c r="BU15" s="97">
        <v>6868.7999999999993</v>
      </c>
      <c r="BV15" s="97">
        <v>9</v>
      </c>
      <c r="BW15" s="97">
        <v>6868.7999999999993</v>
      </c>
      <c r="BX15" s="97">
        <v>9</v>
      </c>
      <c r="BY15" s="97">
        <v>6868.7999999999993</v>
      </c>
      <c r="BZ15" s="97">
        <v>6</v>
      </c>
      <c r="CA15" s="97">
        <v>4579.2</v>
      </c>
      <c r="CB15" s="97">
        <v>5</v>
      </c>
      <c r="CC15" s="97">
        <v>3815.9999999999995</v>
      </c>
      <c r="CD15" s="97">
        <v>7</v>
      </c>
      <c r="CE15" s="97">
        <v>5342.4</v>
      </c>
      <c r="CF15" s="97">
        <v>5</v>
      </c>
      <c r="CG15" s="97">
        <v>3815.9999999999995</v>
      </c>
      <c r="CH15" s="97">
        <v>6</v>
      </c>
      <c r="CI15" s="97">
        <v>4579.2</v>
      </c>
      <c r="CJ15" s="97">
        <v>7</v>
      </c>
      <c r="CK15" s="97">
        <v>5342.4</v>
      </c>
      <c r="CL15" s="97">
        <v>5</v>
      </c>
      <c r="CM15" s="97">
        <v>3815.9999999999995</v>
      </c>
      <c r="CN15" s="97">
        <v>5</v>
      </c>
      <c r="CO15" s="97">
        <v>3815.9999999999995</v>
      </c>
      <c r="CP15" s="97">
        <v>6</v>
      </c>
      <c r="CQ15" s="97">
        <v>4579.2</v>
      </c>
      <c r="CR15" s="97">
        <v>6</v>
      </c>
      <c r="CS15" s="97">
        <v>4579.2</v>
      </c>
      <c r="CT15" s="97">
        <v>7</v>
      </c>
      <c r="CU15" s="97">
        <v>5342.4</v>
      </c>
    </row>
    <row r="16" spans="1:99" x14ac:dyDescent="0.15">
      <c r="C16" s="96" t="s">
        <v>181</v>
      </c>
      <c r="D16" s="97">
        <v>0</v>
      </c>
      <c r="E16" s="97">
        <v>0</v>
      </c>
      <c r="F16" s="97">
        <v>0</v>
      </c>
      <c r="G16" s="97">
        <v>0</v>
      </c>
      <c r="H16" s="97">
        <v>23.545275683462599</v>
      </c>
      <c r="I16" s="97">
        <v>8024.2299529240536</v>
      </c>
      <c r="J16" s="97">
        <v>1.4700285442435777</v>
      </c>
      <c r="K16" s="97">
        <v>500.98572787821126</v>
      </c>
      <c r="L16" s="97">
        <v>59.1694505614158</v>
      </c>
      <c r="M16" s="97">
        <v>20164.948751330507</v>
      </c>
      <c r="N16" s="97">
        <v>2.4472530504463967</v>
      </c>
      <c r="O16" s="97">
        <v>834.02383959213205</v>
      </c>
      <c r="P16" s="97">
        <v>17.568661462850535</v>
      </c>
      <c r="Q16" s="97">
        <v>5987.399826539463</v>
      </c>
      <c r="R16" s="97">
        <v>36.832215140240429</v>
      </c>
      <c r="S16" s="97">
        <v>12552.418919793938</v>
      </c>
      <c r="T16" s="97">
        <v>26.872912180188557</v>
      </c>
      <c r="U16" s="97">
        <v>9158.2884710082599</v>
      </c>
      <c r="V16" s="97">
        <v>20.103607568034278</v>
      </c>
      <c r="W16" s="97">
        <v>6851.3094591860818</v>
      </c>
      <c r="X16" s="97">
        <v>26.66457723661901</v>
      </c>
      <c r="Y16" s="97">
        <v>9087.2879222397587</v>
      </c>
      <c r="Z16" s="97">
        <v>16.659310060662353</v>
      </c>
      <c r="AA16" s="97">
        <v>5677.4928686737303</v>
      </c>
      <c r="AB16" s="97">
        <v>25.045697208625658</v>
      </c>
      <c r="AC16" s="97">
        <v>8535.5736086996239</v>
      </c>
      <c r="AD16" s="97">
        <v>20.191751408159185</v>
      </c>
      <c r="AE16" s="97">
        <v>6881.34887990065</v>
      </c>
      <c r="AF16" s="97">
        <v>19.934869467935268</v>
      </c>
      <c r="AG16" s="97">
        <v>6793.8035146723396</v>
      </c>
      <c r="AH16" s="97">
        <v>22</v>
      </c>
      <c r="AI16" s="97">
        <v>7497.6</v>
      </c>
      <c r="AJ16" s="97">
        <v>18</v>
      </c>
      <c r="AK16" s="97">
        <v>6134.4000000000005</v>
      </c>
      <c r="AL16" s="97">
        <v>17</v>
      </c>
      <c r="AM16" s="97">
        <v>5793.6</v>
      </c>
      <c r="AN16" s="97">
        <v>21</v>
      </c>
      <c r="AO16" s="97">
        <v>7156.8</v>
      </c>
      <c r="AP16" s="97">
        <v>27</v>
      </c>
      <c r="AQ16" s="97">
        <v>9201.6</v>
      </c>
      <c r="AR16" s="97">
        <v>18</v>
      </c>
      <c r="AS16" s="97">
        <v>6134.4000000000005</v>
      </c>
      <c r="AT16" s="97">
        <v>14</v>
      </c>
      <c r="AU16" s="97">
        <v>4771.2</v>
      </c>
      <c r="AV16" s="97">
        <v>11</v>
      </c>
      <c r="AW16" s="97">
        <v>3748.8</v>
      </c>
      <c r="AX16" s="97">
        <v>19</v>
      </c>
      <c r="AY16" s="97">
        <v>6475.2</v>
      </c>
      <c r="AZ16" s="97">
        <v>9</v>
      </c>
      <c r="BA16" s="97">
        <v>3067.2000000000003</v>
      </c>
      <c r="BB16" s="97">
        <v>10</v>
      </c>
      <c r="BC16" s="97">
        <v>3408</v>
      </c>
      <c r="BD16" s="97">
        <v>17</v>
      </c>
      <c r="BE16" s="97">
        <v>5793.6</v>
      </c>
      <c r="BF16" s="97">
        <v>14</v>
      </c>
      <c r="BG16" s="97">
        <v>4771.2</v>
      </c>
      <c r="BH16" s="97">
        <v>11</v>
      </c>
      <c r="BI16" s="97">
        <v>3748.8</v>
      </c>
      <c r="BJ16" s="97">
        <v>10</v>
      </c>
      <c r="BK16" s="97">
        <v>3408</v>
      </c>
      <c r="BL16" s="97">
        <v>12</v>
      </c>
      <c r="BM16" s="97">
        <v>4089.6000000000004</v>
      </c>
      <c r="BN16" s="97">
        <v>11</v>
      </c>
      <c r="BO16" s="97">
        <v>3748.8</v>
      </c>
      <c r="BP16" s="97">
        <v>10</v>
      </c>
      <c r="BQ16" s="97">
        <v>3408</v>
      </c>
      <c r="BR16" s="97">
        <v>8</v>
      </c>
      <c r="BS16" s="97">
        <v>2726.4</v>
      </c>
      <c r="BT16" s="97">
        <v>10</v>
      </c>
      <c r="BU16" s="97">
        <v>3408</v>
      </c>
      <c r="BV16" s="97">
        <v>11</v>
      </c>
      <c r="BW16" s="97">
        <v>3748.8</v>
      </c>
      <c r="BX16" s="97">
        <v>9</v>
      </c>
      <c r="BY16" s="97">
        <v>3067.2000000000003</v>
      </c>
      <c r="BZ16" s="97">
        <v>6</v>
      </c>
      <c r="CA16" s="97">
        <v>2044.8000000000002</v>
      </c>
      <c r="CB16" s="97">
        <v>5</v>
      </c>
      <c r="CC16" s="97">
        <v>1704</v>
      </c>
      <c r="CD16" s="97">
        <v>7</v>
      </c>
      <c r="CE16" s="97">
        <v>2385.6</v>
      </c>
      <c r="CF16" s="97">
        <v>6</v>
      </c>
      <c r="CG16" s="97">
        <v>2044.8000000000002</v>
      </c>
      <c r="CH16" s="97">
        <v>7</v>
      </c>
      <c r="CI16" s="97">
        <v>2385.6</v>
      </c>
      <c r="CJ16" s="97">
        <v>7</v>
      </c>
      <c r="CK16" s="97">
        <v>2385.6</v>
      </c>
      <c r="CL16" s="97">
        <v>5</v>
      </c>
      <c r="CM16" s="97">
        <v>1704</v>
      </c>
      <c r="CN16" s="97">
        <v>5</v>
      </c>
      <c r="CO16" s="97">
        <v>1704</v>
      </c>
      <c r="CP16" s="97">
        <v>6</v>
      </c>
      <c r="CQ16" s="97">
        <v>2044.8000000000002</v>
      </c>
      <c r="CR16" s="97">
        <v>5</v>
      </c>
      <c r="CS16" s="97">
        <v>1704</v>
      </c>
      <c r="CT16" s="97">
        <v>7</v>
      </c>
      <c r="CU16" s="97">
        <v>2385.6</v>
      </c>
    </row>
    <row r="17" spans="2:99" x14ac:dyDescent="0.15">
      <c r="C17" s="96" t="s">
        <v>182</v>
      </c>
      <c r="D17" s="97">
        <v>0</v>
      </c>
      <c r="E17" s="97">
        <v>0</v>
      </c>
      <c r="F17" s="97">
        <v>0</v>
      </c>
      <c r="G17" s="97">
        <v>0</v>
      </c>
      <c r="H17" s="97">
        <v>22.838917412958722</v>
      </c>
      <c r="I17" s="97">
        <v>9647.1587152337634</v>
      </c>
      <c r="J17" s="97">
        <v>1.5699333967649858</v>
      </c>
      <c r="K17" s="97">
        <v>663.1398667935299</v>
      </c>
      <c r="L17" s="97">
        <v>55.882258863559365</v>
      </c>
      <c r="M17" s="97">
        <v>23604.666143967475</v>
      </c>
      <c r="N17" s="97">
        <v>2.1233519114167265</v>
      </c>
      <c r="O17" s="97">
        <v>896.90384738242528</v>
      </c>
      <c r="P17" s="97">
        <v>16.377565770453888</v>
      </c>
      <c r="Q17" s="97">
        <v>6917.883781439722</v>
      </c>
      <c r="R17" s="97">
        <v>38.823145688361528</v>
      </c>
      <c r="S17" s="97">
        <v>16398.89673876391</v>
      </c>
      <c r="T17" s="97">
        <v>26.201089375683843</v>
      </c>
      <c r="U17" s="97">
        <v>11067.340152288854</v>
      </c>
      <c r="V17" s="97">
        <v>18.329759841443018</v>
      </c>
      <c r="W17" s="97">
        <v>7742.4905570255305</v>
      </c>
      <c r="X17" s="97">
        <v>24.559479033728035</v>
      </c>
      <c r="Y17" s="97">
        <v>10373.923943846721</v>
      </c>
      <c r="Z17" s="97">
        <v>14.935933157835214</v>
      </c>
      <c r="AA17" s="97">
        <v>6308.9381658695938</v>
      </c>
      <c r="AB17" s="97">
        <v>25.045697208625658</v>
      </c>
      <c r="AC17" s="97">
        <v>10579.302500923477</v>
      </c>
      <c r="AD17" s="97">
        <v>22.945172054726346</v>
      </c>
      <c r="AE17" s="97">
        <v>9692.0406759164071</v>
      </c>
      <c r="AF17" s="97">
        <v>19.33078251436147</v>
      </c>
      <c r="AG17" s="97">
        <v>8165.3225340662848</v>
      </c>
      <c r="AH17" s="97">
        <v>23</v>
      </c>
      <c r="AI17" s="97">
        <v>9715.1999999999989</v>
      </c>
      <c r="AJ17" s="97">
        <v>20</v>
      </c>
      <c r="AK17" s="97">
        <v>8448</v>
      </c>
      <c r="AL17" s="97">
        <v>19</v>
      </c>
      <c r="AM17" s="97">
        <v>8025.5999999999995</v>
      </c>
      <c r="AN17" s="97">
        <v>20</v>
      </c>
      <c r="AO17" s="97">
        <v>8448</v>
      </c>
      <c r="AP17" s="97">
        <v>24</v>
      </c>
      <c r="AQ17" s="97">
        <v>10137.599999999999</v>
      </c>
      <c r="AR17" s="97">
        <v>17</v>
      </c>
      <c r="AS17" s="97">
        <v>7180.7999999999993</v>
      </c>
      <c r="AT17" s="97">
        <v>14</v>
      </c>
      <c r="AU17" s="97">
        <v>5913.5999999999995</v>
      </c>
      <c r="AV17" s="97">
        <v>11</v>
      </c>
      <c r="AW17" s="97">
        <v>4646.3999999999996</v>
      </c>
      <c r="AX17" s="97">
        <v>19</v>
      </c>
      <c r="AY17" s="97">
        <v>8025.5999999999995</v>
      </c>
      <c r="AZ17" s="97">
        <v>10</v>
      </c>
      <c r="BA17" s="97">
        <v>4224</v>
      </c>
      <c r="BB17" s="97">
        <v>8</v>
      </c>
      <c r="BC17" s="97">
        <v>3379.2</v>
      </c>
      <c r="BD17" s="97">
        <v>15</v>
      </c>
      <c r="BE17" s="97">
        <v>6336</v>
      </c>
      <c r="BF17" s="97">
        <v>15</v>
      </c>
      <c r="BG17" s="97">
        <v>6336</v>
      </c>
      <c r="BH17" s="97">
        <v>11</v>
      </c>
      <c r="BI17" s="97">
        <v>4646.3999999999996</v>
      </c>
      <c r="BJ17" s="97">
        <v>9</v>
      </c>
      <c r="BK17" s="97">
        <v>3801.6</v>
      </c>
      <c r="BL17" s="97">
        <v>12</v>
      </c>
      <c r="BM17" s="97">
        <v>5068.7999999999993</v>
      </c>
      <c r="BN17" s="97">
        <v>11</v>
      </c>
      <c r="BO17" s="97">
        <v>4646.3999999999996</v>
      </c>
      <c r="BP17" s="97">
        <v>10</v>
      </c>
      <c r="BQ17" s="97">
        <v>4224</v>
      </c>
      <c r="BR17" s="97">
        <v>8</v>
      </c>
      <c r="BS17" s="97">
        <v>3379.2</v>
      </c>
      <c r="BT17" s="97">
        <v>9</v>
      </c>
      <c r="BU17" s="97">
        <v>3801.6</v>
      </c>
      <c r="BV17" s="97">
        <v>11</v>
      </c>
      <c r="BW17" s="97">
        <v>4646.3999999999996</v>
      </c>
      <c r="BX17" s="97">
        <v>9</v>
      </c>
      <c r="BY17" s="97">
        <v>3801.6</v>
      </c>
      <c r="BZ17" s="97">
        <v>5</v>
      </c>
      <c r="CA17" s="97">
        <v>2112</v>
      </c>
      <c r="CB17" s="97">
        <v>5</v>
      </c>
      <c r="CC17" s="97">
        <v>2112</v>
      </c>
      <c r="CD17" s="97">
        <v>8</v>
      </c>
      <c r="CE17" s="97">
        <v>3379.2</v>
      </c>
      <c r="CF17" s="97">
        <v>5</v>
      </c>
      <c r="CG17" s="97">
        <v>2112</v>
      </c>
      <c r="CH17" s="97">
        <v>6</v>
      </c>
      <c r="CI17" s="97">
        <v>2534.3999999999996</v>
      </c>
      <c r="CJ17" s="97">
        <v>7</v>
      </c>
      <c r="CK17" s="97">
        <v>2956.7999999999997</v>
      </c>
      <c r="CL17" s="97">
        <v>5</v>
      </c>
      <c r="CM17" s="97">
        <v>2112</v>
      </c>
      <c r="CN17" s="97">
        <v>5</v>
      </c>
      <c r="CO17" s="97">
        <v>2112</v>
      </c>
      <c r="CP17" s="97">
        <v>7</v>
      </c>
      <c r="CQ17" s="97">
        <v>2956.7999999999997</v>
      </c>
      <c r="CR17" s="97">
        <v>5</v>
      </c>
      <c r="CS17" s="97">
        <v>2112</v>
      </c>
      <c r="CT17" s="97">
        <v>8</v>
      </c>
      <c r="CU17" s="97">
        <v>3379.2</v>
      </c>
    </row>
    <row r="18" spans="2:99" x14ac:dyDescent="0.15">
      <c r="C18" s="96" t="s">
        <v>183</v>
      </c>
      <c r="D18" s="97">
        <v>0</v>
      </c>
      <c r="E18" s="97">
        <v>0</v>
      </c>
      <c r="F18" s="97">
        <v>0</v>
      </c>
      <c r="G18" s="97">
        <v>0</v>
      </c>
      <c r="H18" s="97">
        <v>22.603464656124096</v>
      </c>
      <c r="I18" s="97">
        <v>14755.54172751781</v>
      </c>
      <c r="J18" s="97">
        <v>1.3415794481446242</v>
      </c>
      <c r="K18" s="97">
        <v>875.7830637488106</v>
      </c>
      <c r="L18" s="97">
        <v>46.842481694454172</v>
      </c>
      <c r="M18" s="97">
        <v>30578.77205013968</v>
      </c>
      <c r="N18" s="97">
        <v>2.0873628959689854</v>
      </c>
      <c r="O18" s="97">
        <v>1362.6304984885535</v>
      </c>
      <c r="P18" s="97">
        <v>16.079791847354727</v>
      </c>
      <c r="Q18" s="97">
        <v>10496.888117953165</v>
      </c>
      <c r="R18" s="97">
        <v>36.832215140240429</v>
      </c>
      <c r="S18" s="97">
        <v>24044.070043548949</v>
      </c>
      <c r="T18" s="97">
        <v>23.513798157664986</v>
      </c>
      <c r="U18" s="97">
        <v>15349.807437323701</v>
      </c>
      <c r="V18" s="97">
        <v>20.103607568034278</v>
      </c>
      <c r="W18" s="97">
        <v>13123.635020412776</v>
      </c>
      <c r="X18" s="97">
        <v>27.366276637582665</v>
      </c>
      <c r="Y18" s="97">
        <v>17864.705389013961</v>
      </c>
      <c r="Z18" s="97">
        <v>16.659310060662353</v>
      </c>
      <c r="AA18" s="97">
        <v>10875.197607600383</v>
      </c>
      <c r="AB18" s="97">
        <v>23.119105115654452</v>
      </c>
      <c r="AC18" s="97">
        <v>15092.151819499226</v>
      </c>
      <c r="AD18" s="97">
        <v>22.027365172537291</v>
      </c>
      <c r="AE18" s="97">
        <v>14379.463984632343</v>
      </c>
      <c r="AF18" s="97">
        <v>19.934869467935268</v>
      </c>
      <c r="AG18" s="97">
        <v>13013.482788668141</v>
      </c>
      <c r="AH18" s="97">
        <v>20</v>
      </c>
      <c r="AI18" s="97">
        <v>13056</v>
      </c>
      <c r="AJ18" s="97">
        <v>18</v>
      </c>
      <c r="AK18" s="97">
        <v>11750.4</v>
      </c>
      <c r="AL18" s="97">
        <v>18</v>
      </c>
      <c r="AM18" s="97">
        <v>11750.4</v>
      </c>
      <c r="AN18" s="97">
        <v>20</v>
      </c>
      <c r="AO18" s="97">
        <v>13056</v>
      </c>
      <c r="AP18" s="97">
        <v>23</v>
      </c>
      <c r="AQ18" s="97">
        <v>15014.4</v>
      </c>
      <c r="AR18" s="97">
        <v>17</v>
      </c>
      <c r="AS18" s="97">
        <v>11097.599999999999</v>
      </c>
      <c r="AT18" s="97">
        <v>12</v>
      </c>
      <c r="AU18" s="97">
        <v>7833.5999999999995</v>
      </c>
      <c r="AV18" s="97">
        <v>11</v>
      </c>
      <c r="AW18" s="97">
        <v>7180.7999999999993</v>
      </c>
      <c r="AX18" s="97">
        <v>21</v>
      </c>
      <c r="AY18" s="97">
        <v>13708.8</v>
      </c>
      <c r="AZ18" s="97">
        <v>11</v>
      </c>
      <c r="BA18" s="97">
        <v>7180.7999999999993</v>
      </c>
      <c r="BB18" s="97">
        <v>9</v>
      </c>
      <c r="BC18" s="97">
        <v>5875.2</v>
      </c>
      <c r="BD18" s="97">
        <v>16</v>
      </c>
      <c r="BE18" s="97">
        <v>10444.799999999999</v>
      </c>
      <c r="BF18" s="97">
        <v>14</v>
      </c>
      <c r="BG18" s="97">
        <v>9139.1999999999989</v>
      </c>
      <c r="BH18" s="97">
        <v>10</v>
      </c>
      <c r="BI18" s="97">
        <v>6528</v>
      </c>
      <c r="BJ18" s="97">
        <v>10</v>
      </c>
      <c r="BK18" s="97">
        <v>6528</v>
      </c>
      <c r="BL18" s="97">
        <v>13</v>
      </c>
      <c r="BM18" s="97">
        <v>8486.4</v>
      </c>
      <c r="BN18" s="97">
        <v>10</v>
      </c>
      <c r="BO18" s="97">
        <v>6528</v>
      </c>
      <c r="BP18" s="97">
        <v>9</v>
      </c>
      <c r="BQ18" s="97">
        <v>5875.2</v>
      </c>
      <c r="BR18" s="97">
        <v>8</v>
      </c>
      <c r="BS18" s="97">
        <v>5222.3999999999996</v>
      </c>
      <c r="BT18" s="97">
        <v>9</v>
      </c>
      <c r="BU18" s="97">
        <v>5875.2</v>
      </c>
      <c r="BV18" s="97">
        <v>11</v>
      </c>
      <c r="BW18" s="97">
        <v>7180.7999999999993</v>
      </c>
      <c r="BX18" s="97">
        <v>9</v>
      </c>
      <c r="BY18" s="97">
        <v>5875.2</v>
      </c>
      <c r="BZ18" s="97">
        <v>6</v>
      </c>
      <c r="CA18" s="97">
        <v>3916.7999999999997</v>
      </c>
      <c r="CB18" s="97">
        <v>5</v>
      </c>
      <c r="CC18" s="97">
        <v>3264</v>
      </c>
      <c r="CD18" s="97">
        <v>7</v>
      </c>
      <c r="CE18" s="97">
        <v>4569.5999999999995</v>
      </c>
      <c r="CF18" s="97">
        <v>5</v>
      </c>
      <c r="CG18" s="97">
        <v>3264</v>
      </c>
      <c r="CH18" s="97">
        <v>6</v>
      </c>
      <c r="CI18" s="97">
        <v>3916.7999999999997</v>
      </c>
      <c r="CJ18" s="97">
        <v>8</v>
      </c>
      <c r="CK18" s="97">
        <v>5222.3999999999996</v>
      </c>
      <c r="CL18" s="97">
        <v>5</v>
      </c>
      <c r="CM18" s="97">
        <v>3264</v>
      </c>
      <c r="CN18" s="97">
        <v>5</v>
      </c>
      <c r="CO18" s="97">
        <v>3264</v>
      </c>
      <c r="CP18" s="97">
        <v>6</v>
      </c>
      <c r="CQ18" s="97">
        <v>3916.7999999999997</v>
      </c>
      <c r="CR18" s="97">
        <v>5</v>
      </c>
      <c r="CS18" s="97">
        <v>3264</v>
      </c>
      <c r="CT18" s="97">
        <v>7</v>
      </c>
      <c r="CU18" s="97">
        <v>4569.5999999999995</v>
      </c>
    </row>
    <row r="19" spans="2:99" x14ac:dyDescent="0.15">
      <c r="C19" s="96" t="s">
        <v>184</v>
      </c>
      <c r="D19" s="97">
        <v>0</v>
      </c>
      <c r="E19" s="97">
        <v>0</v>
      </c>
      <c r="F19" s="97">
        <v>0</v>
      </c>
      <c r="G19" s="97">
        <v>0</v>
      </c>
      <c r="H19" s="97">
        <v>24.016181197131854</v>
      </c>
      <c r="I19" s="97">
        <v>7925.3397950535118</v>
      </c>
      <c r="J19" s="97">
        <v>1.455756422454805</v>
      </c>
      <c r="K19" s="97">
        <v>480.39961941008562</v>
      </c>
      <c r="L19" s="97">
        <v>56.704056788023472</v>
      </c>
      <c r="M19" s="97">
        <v>18712.338740047744</v>
      </c>
      <c r="N19" s="97">
        <v>2.1953299423122088</v>
      </c>
      <c r="O19" s="97">
        <v>724.45888096302895</v>
      </c>
      <c r="P19" s="97">
        <v>16.377565770453888</v>
      </c>
      <c r="Q19" s="97">
        <v>5404.5967042497832</v>
      </c>
      <c r="R19" s="97">
        <v>36.832215140240429</v>
      </c>
      <c r="S19" s="97">
        <v>12154.630996279342</v>
      </c>
      <c r="T19" s="97">
        <v>28.216557789197982</v>
      </c>
      <c r="U19" s="97">
        <v>9311.4640704353333</v>
      </c>
      <c r="V19" s="97">
        <v>18.921042416973439</v>
      </c>
      <c r="W19" s="97">
        <v>6243.9439976012345</v>
      </c>
      <c r="X19" s="97">
        <v>25.962877835655352</v>
      </c>
      <c r="Y19" s="97">
        <v>8567.7496857662663</v>
      </c>
      <c r="Z19" s="97">
        <v>15.510392125444261</v>
      </c>
      <c r="AA19" s="97">
        <v>5118.4294013966064</v>
      </c>
      <c r="AB19" s="97">
        <v>25.045697208625658</v>
      </c>
      <c r="AC19" s="97">
        <v>8265.0800788464676</v>
      </c>
      <c r="AD19" s="97">
        <v>19.27394452597013</v>
      </c>
      <c r="AE19" s="97">
        <v>6360.4016935701429</v>
      </c>
      <c r="AF19" s="97">
        <v>21.747130328656652</v>
      </c>
      <c r="AG19" s="97">
        <v>7176.5530084566954</v>
      </c>
      <c r="AH19" s="97">
        <v>20</v>
      </c>
      <c r="AI19" s="97">
        <v>6600</v>
      </c>
      <c r="AJ19" s="97">
        <v>20</v>
      </c>
      <c r="AK19" s="97">
        <v>6600</v>
      </c>
      <c r="AL19" s="97">
        <v>16</v>
      </c>
      <c r="AM19" s="97">
        <v>5280</v>
      </c>
      <c r="AN19" s="97">
        <v>21</v>
      </c>
      <c r="AO19" s="97">
        <v>6930</v>
      </c>
      <c r="AP19" s="97">
        <v>28</v>
      </c>
      <c r="AQ19" s="97">
        <v>9240</v>
      </c>
      <c r="AR19" s="97">
        <v>18</v>
      </c>
      <c r="AS19" s="97">
        <v>5940</v>
      </c>
      <c r="AT19" s="97">
        <v>12</v>
      </c>
      <c r="AU19" s="97">
        <v>3960</v>
      </c>
      <c r="AV19" s="97">
        <v>11</v>
      </c>
      <c r="AW19" s="97">
        <v>3630</v>
      </c>
      <c r="AX19" s="97">
        <v>22</v>
      </c>
      <c r="AY19" s="97">
        <v>7260</v>
      </c>
      <c r="AZ19" s="97">
        <v>10</v>
      </c>
      <c r="BA19" s="97">
        <v>3300</v>
      </c>
      <c r="BB19" s="97">
        <v>10</v>
      </c>
      <c r="BC19" s="97">
        <v>3300</v>
      </c>
      <c r="BD19" s="97">
        <v>17</v>
      </c>
      <c r="BE19" s="97">
        <v>5610</v>
      </c>
      <c r="BF19" s="97">
        <v>15</v>
      </c>
      <c r="BG19" s="97">
        <v>4950</v>
      </c>
      <c r="BH19" s="97">
        <v>11</v>
      </c>
      <c r="BI19" s="97">
        <v>3630</v>
      </c>
      <c r="BJ19" s="97">
        <v>10</v>
      </c>
      <c r="BK19" s="97">
        <v>3300</v>
      </c>
      <c r="BL19" s="97">
        <v>13</v>
      </c>
      <c r="BM19" s="97">
        <v>4290</v>
      </c>
      <c r="BN19" s="97">
        <v>12</v>
      </c>
      <c r="BO19" s="97">
        <v>3960</v>
      </c>
      <c r="BP19" s="97">
        <v>9</v>
      </c>
      <c r="BQ19" s="97">
        <v>2970</v>
      </c>
      <c r="BR19" s="97">
        <v>8</v>
      </c>
      <c r="BS19" s="97">
        <v>2640</v>
      </c>
      <c r="BT19" s="97">
        <v>10</v>
      </c>
      <c r="BU19" s="97">
        <v>3300</v>
      </c>
      <c r="BV19" s="97">
        <v>10</v>
      </c>
      <c r="BW19" s="97">
        <v>3300</v>
      </c>
      <c r="BX19" s="97">
        <v>8</v>
      </c>
      <c r="BY19" s="97">
        <v>2640</v>
      </c>
      <c r="BZ19" s="97">
        <v>6</v>
      </c>
      <c r="CA19" s="97">
        <v>1980</v>
      </c>
      <c r="CB19" s="97">
        <v>5</v>
      </c>
      <c r="CC19" s="97">
        <v>1650</v>
      </c>
      <c r="CD19" s="97">
        <v>7</v>
      </c>
      <c r="CE19" s="97">
        <v>2310</v>
      </c>
      <c r="CF19" s="97">
        <v>5</v>
      </c>
      <c r="CG19" s="97">
        <v>1650</v>
      </c>
      <c r="CH19" s="97">
        <v>7</v>
      </c>
      <c r="CI19" s="97">
        <v>2310</v>
      </c>
      <c r="CJ19" s="97">
        <v>8</v>
      </c>
      <c r="CK19" s="97">
        <v>2640</v>
      </c>
      <c r="CL19" s="97">
        <v>6</v>
      </c>
      <c r="CM19" s="97">
        <v>1980</v>
      </c>
      <c r="CN19" s="97">
        <v>5</v>
      </c>
      <c r="CO19" s="97">
        <v>1650</v>
      </c>
      <c r="CP19" s="97">
        <v>7</v>
      </c>
      <c r="CQ19" s="97">
        <v>2310</v>
      </c>
      <c r="CR19" s="97">
        <v>5</v>
      </c>
      <c r="CS19" s="97">
        <v>1650</v>
      </c>
      <c r="CT19" s="97">
        <v>7</v>
      </c>
      <c r="CU19" s="97">
        <v>2310</v>
      </c>
    </row>
    <row r="20" spans="2:99" x14ac:dyDescent="0.15">
      <c r="B20" s="96" t="s">
        <v>127</v>
      </c>
      <c r="C20" s="96" t="s">
        <v>185</v>
      </c>
      <c r="D20" s="97">
        <v>0</v>
      </c>
      <c r="E20" s="97">
        <v>0</v>
      </c>
      <c r="F20" s="97">
        <v>0</v>
      </c>
      <c r="G20" s="97">
        <v>0</v>
      </c>
      <c r="H20" s="97">
        <v>47.561456880594449</v>
      </c>
      <c r="I20" s="97">
        <v>13640.625833354488</v>
      </c>
      <c r="J20" s="97">
        <v>2.3120837297811607</v>
      </c>
      <c r="K20" s="97">
        <v>663.10561370123696</v>
      </c>
      <c r="L20" s="97">
        <v>84.645186219803151</v>
      </c>
      <c r="M20" s="97">
        <v>24276.239407839545</v>
      </c>
      <c r="N20" s="97">
        <v>2.9151102512670315</v>
      </c>
      <c r="O20" s="97">
        <v>836.05362006338464</v>
      </c>
      <c r="P20" s="97">
        <v>20.844174616941313</v>
      </c>
      <c r="Q20" s="97">
        <v>5978.1092801387686</v>
      </c>
      <c r="R20" s="97">
        <v>112.48757596884238</v>
      </c>
      <c r="S20" s="97">
        <v>32261.436787863997</v>
      </c>
      <c r="T20" s="97">
        <v>38.293899856768689</v>
      </c>
      <c r="U20" s="97">
        <v>10982.69047892126</v>
      </c>
      <c r="V20" s="97">
        <v>52.624149222207379</v>
      </c>
      <c r="W20" s="97">
        <v>15092.605996929076</v>
      </c>
      <c r="X20" s="97">
        <v>54.73255327516533</v>
      </c>
      <c r="Y20" s="97">
        <v>15697.296279317417</v>
      </c>
      <c r="Z20" s="97">
        <v>46.53117637633278</v>
      </c>
      <c r="AA20" s="97">
        <v>13345.141384732242</v>
      </c>
      <c r="AB20" s="97">
        <v>39.495137905909694</v>
      </c>
      <c r="AC20" s="97">
        <v>11327.205551414901</v>
      </c>
      <c r="AD20" s="97">
        <v>45.890344109452691</v>
      </c>
      <c r="AE20" s="97">
        <v>13161.350690591033</v>
      </c>
      <c r="AF20" s="97">
        <v>24.767565096525633</v>
      </c>
      <c r="AG20" s="97">
        <v>7103.3376696835521</v>
      </c>
      <c r="AH20" s="97">
        <v>59</v>
      </c>
      <c r="AI20" s="97">
        <v>16921.2</v>
      </c>
      <c r="AJ20" s="97">
        <v>39</v>
      </c>
      <c r="AK20" s="97">
        <v>11185.2</v>
      </c>
      <c r="AL20" s="97">
        <v>45</v>
      </c>
      <c r="AM20" s="97">
        <v>12906</v>
      </c>
      <c r="AN20" s="97">
        <v>36</v>
      </c>
      <c r="AO20" s="97">
        <v>10324.800000000001</v>
      </c>
      <c r="AP20" s="97">
        <v>43</v>
      </c>
      <c r="AQ20" s="97">
        <v>12332.4</v>
      </c>
      <c r="AR20" s="97">
        <v>35</v>
      </c>
      <c r="AS20" s="97">
        <v>10038</v>
      </c>
      <c r="AT20" s="97">
        <v>31</v>
      </c>
      <c r="AU20" s="97">
        <v>8890.8000000000011</v>
      </c>
      <c r="AV20" s="97">
        <v>26</v>
      </c>
      <c r="AW20" s="97">
        <v>7456.8</v>
      </c>
      <c r="AX20" s="97">
        <v>23</v>
      </c>
      <c r="AY20" s="97">
        <v>6596.4000000000005</v>
      </c>
      <c r="AZ20" s="97">
        <v>19</v>
      </c>
      <c r="BA20" s="97">
        <v>5449.2</v>
      </c>
      <c r="BB20" s="97">
        <v>21</v>
      </c>
      <c r="BC20" s="97">
        <v>6022.8</v>
      </c>
      <c r="BD20" s="97">
        <v>25</v>
      </c>
      <c r="BE20" s="97">
        <v>7170</v>
      </c>
      <c r="BF20" s="97">
        <v>18</v>
      </c>
      <c r="BG20" s="97">
        <v>5162.4000000000005</v>
      </c>
      <c r="BH20" s="97">
        <v>22</v>
      </c>
      <c r="BI20" s="97">
        <v>6309.6</v>
      </c>
      <c r="BJ20" s="97">
        <v>25</v>
      </c>
      <c r="BK20" s="97">
        <v>7170</v>
      </c>
      <c r="BL20" s="97">
        <v>26</v>
      </c>
      <c r="BM20" s="97">
        <v>7456.8</v>
      </c>
      <c r="BN20" s="97">
        <v>20</v>
      </c>
      <c r="BO20" s="97">
        <v>5736</v>
      </c>
      <c r="BP20" s="97">
        <v>16</v>
      </c>
      <c r="BQ20" s="97">
        <v>4588.8</v>
      </c>
      <c r="BR20" s="97">
        <v>19</v>
      </c>
      <c r="BS20" s="97">
        <v>5449.2</v>
      </c>
      <c r="BT20" s="97">
        <v>17</v>
      </c>
      <c r="BU20" s="97">
        <v>4875.6000000000004</v>
      </c>
      <c r="BV20" s="97">
        <v>16</v>
      </c>
      <c r="BW20" s="97">
        <v>4588.8</v>
      </c>
      <c r="BX20" s="97">
        <v>16</v>
      </c>
      <c r="BY20" s="97">
        <v>4588.8</v>
      </c>
      <c r="BZ20" s="97">
        <v>10</v>
      </c>
      <c r="CA20" s="97">
        <v>2868</v>
      </c>
      <c r="CB20" s="97">
        <v>16</v>
      </c>
      <c r="CC20" s="97">
        <v>4588.8</v>
      </c>
      <c r="CD20" s="97">
        <v>17</v>
      </c>
      <c r="CE20" s="97">
        <v>4875.6000000000004</v>
      </c>
      <c r="CF20" s="97">
        <v>11</v>
      </c>
      <c r="CG20" s="97">
        <v>3154.8</v>
      </c>
      <c r="CH20" s="97">
        <v>12</v>
      </c>
      <c r="CI20" s="97">
        <v>3441.6000000000004</v>
      </c>
      <c r="CJ20" s="97">
        <v>15</v>
      </c>
      <c r="CK20" s="97">
        <v>4302</v>
      </c>
      <c r="CL20" s="97">
        <v>8</v>
      </c>
      <c r="CM20" s="97">
        <v>2294.4</v>
      </c>
      <c r="CN20" s="97">
        <v>10</v>
      </c>
      <c r="CO20" s="97">
        <v>2868</v>
      </c>
      <c r="CP20" s="97">
        <v>9</v>
      </c>
      <c r="CQ20" s="97">
        <v>2581.2000000000003</v>
      </c>
      <c r="CR20" s="97">
        <v>12</v>
      </c>
      <c r="CS20" s="97">
        <v>3441.6000000000004</v>
      </c>
      <c r="CT20" s="97">
        <v>8</v>
      </c>
      <c r="CU20" s="97">
        <v>2294.4</v>
      </c>
    </row>
    <row r="21" spans="2:99" x14ac:dyDescent="0.15">
      <c r="C21" s="96" t="s">
        <v>186</v>
      </c>
      <c r="D21" s="97">
        <v>0</v>
      </c>
      <c r="E21" s="97">
        <v>0</v>
      </c>
      <c r="F21" s="97">
        <v>0</v>
      </c>
      <c r="G21" s="97">
        <v>0</v>
      </c>
      <c r="H21" s="97">
        <v>49.209626178436835</v>
      </c>
      <c r="I21" s="97">
        <v>3070.6806735344585</v>
      </c>
      <c r="J21" s="97">
        <v>2.240723120837298</v>
      </c>
      <c r="K21" s="97">
        <v>139.8211227402474</v>
      </c>
      <c r="L21" s="97">
        <v>77.249004899626186</v>
      </c>
      <c r="M21" s="97">
        <v>4820.3379057366737</v>
      </c>
      <c r="N21" s="97">
        <v>2.9870882821625138</v>
      </c>
      <c r="O21" s="97">
        <v>186.39430880694084</v>
      </c>
      <c r="P21" s="97">
        <v>21.141948540040474</v>
      </c>
      <c r="Q21" s="97">
        <v>1319.2575888985255</v>
      </c>
      <c r="R21" s="97">
        <v>119.45583288726624</v>
      </c>
      <c r="S21" s="97">
        <v>7454.0439721654129</v>
      </c>
      <c r="T21" s="97">
        <v>36.278431443254547</v>
      </c>
      <c r="U21" s="97">
        <v>2263.7741220590838</v>
      </c>
      <c r="V21" s="97">
        <v>57.945692401981162</v>
      </c>
      <c r="W21" s="97">
        <v>3615.8112058836246</v>
      </c>
      <c r="X21" s="97">
        <v>49.820657468419725</v>
      </c>
      <c r="Y21" s="97">
        <v>3108.8090260293907</v>
      </c>
      <c r="Z21" s="97">
        <v>48.254553279159921</v>
      </c>
      <c r="AA21" s="97">
        <v>3011.0841246195791</v>
      </c>
      <c r="AB21" s="97">
        <v>41.421729998880892</v>
      </c>
      <c r="AC21" s="97">
        <v>2584.7159519301676</v>
      </c>
      <c r="AD21" s="97">
        <v>52.314992284776068</v>
      </c>
      <c r="AE21" s="97">
        <v>3264.4555185700265</v>
      </c>
      <c r="AF21" s="97">
        <v>24.163478142951835</v>
      </c>
      <c r="AG21" s="97">
        <v>1507.8010361201946</v>
      </c>
      <c r="AH21" s="97">
        <v>61</v>
      </c>
      <c r="AI21" s="97">
        <v>3806.4</v>
      </c>
      <c r="AJ21" s="97">
        <v>39</v>
      </c>
      <c r="AK21" s="97">
        <v>2433.6</v>
      </c>
      <c r="AL21" s="97">
        <v>42</v>
      </c>
      <c r="AM21" s="97">
        <v>2620.7999999999997</v>
      </c>
      <c r="AN21" s="97">
        <v>40</v>
      </c>
      <c r="AO21" s="97">
        <v>2496</v>
      </c>
      <c r="AP21" s="97">
        <v>43</v>
      </c>
      <c r="AQ21" s="97">
        <v>2683.2</v>
      </c>
      <c r="AR21" s="97">
        <v>30</v>
      </c>
      <c r="AS21" s="97">
        <v>1872</v>
      </c>
      <c r="AT21" s="97">
        <v>31</v>
      </c>
      <c r="AU21" s="97">
        <v>1934.3999999999999</v>
      </c>
      <c r="AV21" s="97">
        <v>28</v>
      </c>
      <c r="AW21" s="97">
        <v>1747.2</v>
      </c>
      <c r="AX21" s="97">
        <v>24</v>
      </c>
      <c r="AY21" s="97">
        <v>1497.6</v>
      </c>
      <c r="AZ21" s="97">
        <v>21</v>
      </c>
      <c r="BA21" s="97">
        <v>1310.3999999999999</v>
      </c>
      <c r="BB21" s="97">
        <v>22</v>
      </c>
      <c r="BC21" s="97">
        <v>1372.8</v>
      </c>
      <c r="BD21" s="97">
        <v>28</v>
      </c>
      <c r="BE21" s="97">
        <v>1747.2</v>
      </c>
      <c r="BF21" s="97">
        <v>21</v>
      </c>
      <c r="BG21" s="97">
        <v>1310.3999999999999</v>
      </c>
      <c r="BH21" s="97">
        <v>26</v>
      </c>
      <c r="BI21" s="97">
        <v>1622.3999999999999</v>
      </c>
      <c r="BJ21" s="97">
        <v>27</v>
      </c>
      <c r="BK21" s="97">
        <v>1684.8</v>
      </c>
      <c r="BL21" s="97">
        <v>26</v>
      </c>
      <c r="BM21" s="97">
        <v>1622.3999999999999</v>
      </c>
      <c r="BN21" s="97">
        <v>17</v>
      </c>
      <c r="BO21" s="97">
        <v>1060.8</v>
      </c>
      <c r="BP21" s="97">
        <v>17</v>
      </c>
      <c r="BQ21" s="97">
        <v>1060.8</v>
      </c>
      <c r="BR21" s="97">
        <v>19</v>
      </c>
      <c r="BS21" s="97">
        <v>1185.5999999999999</v>
      </c>
      <c r="BT21" s="97">
        <v>16</v>
      </c>
      <c r="BU21" s="97">
        <v>998.4</v>
      </c>
      <c r="BV21" s="97">
        <v>17</v>
      </c>
      <c r="BW21" s="97">
        <v>1060.8</v>
      </c>
      <c r="BX21" s="97">
        <v>17</v>
      </c>
      <c r="BY21" s="97">
        <v>1060.8</v>
      </c>
      <c r="BZ21" s="97">
        <v>11</v>
      </c>
      <c r="CA21" s="97">
        <v>686.4</v>
      </c>
      <c r="CB21" s="97">
        <v>17</v>
      </c>
      <c r="CC21" s="97">
        <v>1060.8</v>
      </c>
      <c r="CD21" s="97">
        <v>17</v>
      </c>
      <c r="CE21" s="97">
        <v>1060.8</v>
      </c>
      <c r="CF21" s="97">
        <v>11</v>
      </c>
      <c r="CG21" s="97">
        <v>686.4</v>
      </c>
      <c r="CH21" s="97">
        <v>13</v>
      </c>
      <c r="CI21" s="97">
        <v>811.19999999999993</v>
      </c>
      <c r="CJ21" s="97">
        <v>16</v>
      </c>
      <c r="CK21" s="97">
        <v>998.4</v>
      </c>
      <c r="CL21" s="97">
        <v>9</v>
      </c>
      <c r="CM21" s="97">
        <v>561.6</v>
      </c>
      <c r="CN21" s="97">
        <v>10</v>
      </c>
      <c r="CO21" s="97">
        <v>624</v>
      </c>
      <c r="CP21" s="97">
        <v>11</v>
      </c>
      <c r="CQ21" s="97">
        <v>686.4</v>
      </c>
      <c r="CR21" s="97">
        <v>13</v>
      </c>
      <c r="CS21" s="97">
        <v>811.19999999999993</v>
      </c>
      <c r="CT21" s="97">
        <v>9</v>
      </c>
      <c r="CU21" s="97">
        <v>561.6</v>
      </c>
    </row>
    <row r="22" spans="2:99" x14ac:dyDescent="0.15">
      <c r="C22" s="96" t="s">
        <v>187</v>
      </c>
      <c r="D22" s="97">
        <v>0</v>
      </c>
      <c r="E22" s="97">
        <v>0</v>
      </c>
      <c r="F22" s="97">
        <v>0</v>
      </c>
      <c r="G22" s="97">
        <v>0</v>
      </c>
      <c r="H22" s="97">
        <v>52.976870287790852</v>
      </c>
      <c r="I22" s="97">
        <v>9917.2701178744464</v>
      </c>
      <c r="J22" s="97">
        <v>2.1836346336822077</v>
      </c>
      <c r="K22" s="97">
        <v>408.77640342530924</v>
      </c>
      <c r="L22" s="97">
        <v>86.288782068731379</v>
      </c>
      <c r="M22" s="97">
        <v>16153.260003266512</v>
      </c>
      <c r="N22" s="97">
        <v>2.8431322203715492</v>
      </c>
      <c r="O22" s="97">
        <v>532.23435165355397</v>
      </c>
      <c r="P22" s="97">
        <v>22.630818155536282</v>
      </c>
      <c r="Q22" s="97">
        <v>4236.489158716392</v>
      </c>
      <c r="R22" s="97">
        <v>129.41048562787176</v>
      </c>
      <c r="S22" s="97">
        <v>24225.642909537593</v>
      </c>
      <c r="T22" s="97">
        <v>36.950254247759261</v>
      </c>
      <c r="U22" s="97">
        <v>6917.0875951805328</v>
      </c>
      <c r="V22" s="97">
        <v>53.2154317977378</v>
      </c>
      <c r="W22" s="97">
        <v>9961.928832536516</v>
      </c>
      <c r="X22" s="97">
        <v>49.820657468419725</v>
      </c>
      <c r="Y22" s="97">
        <v>9326.4270780881725</v>
      </c>
      <c r="Z22" s="97">
        <v>49.403471214378008</v>
      </c>
      <c r="AA22" s="97">
        <v>9248.3298113315632</v>
      </c>
      <c r="AB22" s="97">
        <v>45.274914184823302</v>
      </c>
      <c r="AC22" s="97">
        <v>8475.4639353989223</v>
      </c>
      <c r="AD22" s="97">
        <v>48.643764756019856</v>
      </c>
      <c r="AE22" s="97">
        <v>9106.1127623269167</v>
      </c>
      <c r="AF22" s="97">
        <v>24.767565096525633</v>
      </c>
      <c r="AG22" s="97">
        <v>4636.4881860695987</v>
      </c>
      <c r="AH22" s="97">
        <v>62</v>
      </c>
      <c r="AI22" s="97">
        <v>11606.4</v>
      </c>
      <c r="AJ22" s="97">
        <v>35</v>
      </c>
      <c r="AK22" s="97">
        <v>6552</v>
      </c>
      <c r="AL22" s="97">
        <v>42</v>
      </c>
      <c r="AM22" s="97">
        <v>7862.4</v>
      </c>
      <c r="AN22" s="97">
        <v>40</v>
      </c>
      <c r="AO22" s="97">
        <v>7488</v>
      </c>
      <c r="AP22" s="97">
        <v>48</v>
      </c>
      <c r="AQ22" s="97">
        <v>8985.5999999999985</v>
      </c>
      <c r="AR22" s="97">
        <v>36</v>
      </c>
      <c r="AS22" s="97">
        <v>6739.2</v>
      </c>
      <c r="AT22" s="97">
        <v>27</v>
      </c>
      <c r="AU22" s="97">
        <v>5054.3999999999996</v>
      </c>
      <c r="AV22" s="97">
        <v>32</v>
      </c>
      <c r="AW22" s="97">
        <v>5990.4</v>
      </c>
      <c r="AX22" s="97">
        <v>25</v>
      </c>
      <c r="AY22" s="97">
        <v>4680</v>
      </c>
      <c r="AZ22" s="97">
        <v>17</v>
      </c>
      <c r="BA22" s="97">
        <v>3182.3999999999996</v>
      </c>
      <c r="BB22" s="97">
        <v>21</v>
      </c>
      <c r="BC22" s="97">
        <v>3931.2</v>
      </c>
      <c r="BD22" s="97">
        <v>30</v>
      </c>
      <c r="BE22" s="97">
        <v>5616</v>
      </c>
      <c r="BF22" s="97">
        <v>18</v>
      </c>
      <c r="BG22" s="97">
        <v>3369.6</v>
      </c>
      <c r="BH22" s="97">
        <v>23</v>
      </c>
      <c r="BI22" s="97">
        <v>4305.5999999999995</v>
      </c>
      <c r="BJ22" s="97">
        <v>23</v>
      </c>
      <c r="BK22" s="97">
        <v>4305.5999999999995</v>
      </c>
      <c r="BL22" s="97">
        <v>24</v>
      </c>
      <c r="BM22" s="97">
        <v>4492.7999999999993</v>
      </c>
      <c r="BN22" s="97">
        <v>17</v>
      </c>
      <c r="BO22" s="97">
        <v>3182.3999999999996</v>
      </c>
      <c r="BP22" s="97">
        <v>18</v>
      </c>
      <c r="BQ22" s="97">
        <v>3369.6</v>
      </c>
      <c r="BR22" s="97">
        <v>17</v>
      </c>
      <c r="BS22" s="97">
        <v>3182.3999999999996</v>
      </c>
      <c r="BT22" s="97">
        <v>16</v>
      </c>
      <c r="BU22" s="97">
        <v>2995.2</v>
      </c>
      <c r="BV22" s="97">
        <v>17</v>
      </c>
      <c r="BW22" s="97">
        <v>3182.3999999999996</v>
      </c>
      <c r="BX22" s="97">
        <v>15</v>
      </c>
      <c r="BY22" s="97">
        <v>2808</v>
      </c>
      <c r="BZ22" s="97">
        <v>11</v>
      </c>
      <c r="CA22" s="97">
        <v>2059.1999999999998</v>
      </c>
      <c r="CB22" s="97">
        <v>16</v>
      </c>
      <c r="CC22" s="97">
        <v>2995.2</v>
      </c>
      <c r="CD22" s="97">
        <v>15</v>
      </c>
      <c r="CE22" s="97">
        <v>2808</v>
      </c>
      <c r="CF22" s="97">
        <v>12</v>
      </c>
      <c r="CG22" s="97">
        <v>2246.3999999999996</v>
      </c>
      <c r="CH22" s="97">
        <v>11</v>
      </c>
      <c r="CI22" s="97">
        <v>2059.1999999999998</v>
      </c>
      <c r="CJ22" s="97">
        <v>16</v>
      </c>
      <c r="CK22" s="97">
        <v>2995.2</v>
      </c>
      <c r="CL22" s="97">
        <v>8</v>
      </c>
      <c r="CM22" s="97">
        <v>1497.6</v>
      </c>
      <c r="CN22" s="97">
        <v>10</v>
      </c>
      <c r="CO22" s="97">
        <v>1872</v>
      </c>
      <c r="CP22" s="97">
        <v>10</v>
      </c>
      <c r="CQ22" s="97">
        <v>1872</v>
      </c>
      <c r="CR22" s="97">
        <v>12</v>
      </c>
      <c r="CS22" s="97">
        <v>2246.3999999999996</v>
      </c>
      <c r="CT22" s="97">
        <v>9</v>
      </c>
      <c r="CU22" s="97">
        <v>1684.8</v>
      </c>
    </row>
    <row r="23" spans="2:99" x14ac:dyDescent="0.15">
      <c r="C23" s="96" t="s">
        <v>188</v>
      </c>
      <c r="D23" s="97">
        <v>0</v>
      </c>
      <c r="E23" s="97">
        <v>0</v>
      </c>
      <c r="F23" s="97">
        <v>0</v>
      </c>
      <c r="G23" s="97">
        <v>0</v>
      </c>
      <c r="H23" s="97">
        <v>47.796909637429074</v>
      </c>
      <c r="I23" s="97">
        <v>14052.291433404147</v>
      </c>
      <c r="J23" s="97">
        <v>2.2549952426260704</v>
      </c>
      <c r="K23" s="97">
        <v>662.96860133206474</v>
      </c>
      <c r="L23" s="97">
        <v>88.754175842123701</v>
      </c>
      <c r="M23" s="97">
        <v>26093.727697584367</v>
      </c>
      <c r="N23" s="97">
        <v>2.6991761585805847</v>
      </c>
      <c r="O23" s="97">
        <v>793.55779062269187</v>
      </c>
      <c r="P23" s="97">
        <v>20.546400693842152</v>
      </c>
      <c r="Q23" s="97">
        <v>6040.6418039895925</v>
      </c>
      <c r="R23" s="97">
        <v>120.45129816132679</v>
      </c>
      <c r="S23" s="97">
        <v>35412.681659430076</v>
      </c>
      <c r="T23" s="97">
        <v>35.60660863874984</v>
      </c>
      <c r="U23" s="97">
        <v>10468.342939792454</v>
      </c>
      <c r="V23" s="97">
        <v>54.989279524329064</v>
      </c>
      <c r="W23" s="97">
        <v>16166.848180152745</v>
      </c>
      <c r="X23" s="97">
        <v>49.11895806745607</v>
      </c>
      <c r="Y23" s="97">
        <v>14440.973671832086</v>
      </c>
      <c r="Z23" s="97">
        <v>52.275766052423251</v>
      </c>
      <c r="AA23" s="97">
        <v>15369.075219412436</v>
      </c>
      <c r="AB23" s="97">
        <v>42.385026045366494</v>
      </c>
      <c r="AC23" s="97">
        <v>12461.197657337749</v>
      </c>
      <c r="AD23" s="97">
        <v>51.397185402587013</v>
      </c>
      <c r="AE23" s="97">
        <v>15110.772508360582</v>
      </c>
      <c r="AF23" s="97">
        <v>22.955304235804245</v>
      </c>
      <c r="AG23" s="97">
        <v>6748.8594453264477</v>
      </c>
      <c r="AH23" s="97">
        <v>63</v>
      </c>
      <c r="AI23" s="97">
        <v>18522</v>
      </c>
      <c r="AJ23" s="97">
        <v>37</v>
      </c>
      <c r="AK23" s="97">
        <v>10878</v>
      </c>
      <c r="AL23" s="97">
        <v>40</v>
      </c>
      <c r="AM23" s="97">
        <v>11760</v>
      </c>
      <c r="AN23" s="97">
        <v>35</v>
      </c>
      <c r="AO23" s="97">
        <v>10290</v>
      </c>
      <c r="AP23" s="97">
        <v>44</v>
      </c>
      <c r="AQ23" s="97">
        <v>12936</v>
      </c>
      <c r="AR23" s="97">
        <v>29</v>
      </c>
      <c r="AS23" s="97">
        <v>8526</v>
      </c>
      <c r="AT23" s="97">
        <v>29</v>
      </c>
      <c r="AU23" s="97">
        <v>8526</v>
      </c>
      <c r="AV23" s="97">
        <v>31</v>
      </c>
      <c r="AW23" s="97">
        <v>9114</v>
      </c>
      <c r="AX23" s="97">
        <v>25</v>
      </c>
      <c r="AY23" s="97">
        <v>7350</v>
      </c>
      <c r="AZ23" s="97">
        <v>17</v>
      </c>
      <c r="BA23" s="97">
        <v>4998</v>
      </c>
      <c r="BB23" s="97">
        <v>24</v>
      </c>
      <c r="BC23" s="97">
        <v>7056</v>
      </c>
      <c r="BD23" s="97">
        <v>29</v>
      </c>
      <c r="BE23" s="97">
        <v>8526</v>
      </c>
      <c r="BF23" s="97">
        <v>18</v>
      </c>
      <c r="BG23" s="97">
        <v>5292</v>
      </c>
      <c r="BH23" s="97">
        <v>22</v>
      </c>
      <c r="BI23" s="97">
        <v>6468</v>
      </c>
      <c r="BJ23" s="97">
        <v>26</v>
      </c>
      <c r="BK23" s="97">
        <v>7644</v>
      </c>
      <c r="BL23" s="97">
        <v>23</v>
      </c>
      <c r="BM23" s="97">
        <v>6762</v>
      </c>
      <c r="BN23" s="97">
        <v>20</v>
      </c>
      <c r="BO23" s="97">
        <v>5880</v>
      </c>
      <c r="BP23" s="97">
        <v>16</v>
      </c>
      <c r="BQ23" s="97">
        <v>4704</v>
      </c>
      <c r="BR23" s="97">
        <v>18</v>
      </c>
      <c r="BS23" s="97">
        <v>5292</v>
      </c>
      <c r="BT23" s="97">
        <v>15</v>
      </c>
      <c r="BU23" s="97">
        <v>4410</v>
      </c>
      <c r="BV23" s="97">
        <v>15</v>
      </c>
      <c r="BW23" s="97">
        <v>4410</v>
      </c>
      <c r="BX23" s="97">
        <v>16</v>
      </c>
      <c r="BY23" s="97">
        <v>4704</v>
      </c>
      <c r="BZ23" s="97">
        <v>10</v>
      </c>
      <c r="CA23" s="97">
        <v>2940</v>
      </c>
      <c r="CB23" s="97">
        <v>18</v>
      </c>
      <c r="CC23" s="97">
        <v>5292</v>
      </c>
      <c r="CD23" s="97">
        <v>16</v>
      </c>
      <c r="CE23" s="97">
        <v>4704</v>
      </c>
      <c r="CF23" s="97">
        <v>11</v>
      </c>
      <c r="CG23" s="97">
        <v>3234</v>
      </c>
      <c r="CH23" s="97">
        <v>13</v>
      </c>
      <c r="CI23" s="97">
        <v>3822</v>
      </c>
      <c r="CJ23" s="97">
        <v>14</v>
      </c>
      <c r="CK23" s="97">
        <v>4116</v>
      </c>
      <c r="CL23" s="97">
        <v>8</v>
      </c>
      <c r="CM23" s="97">
        <v>2352</v>
      </c>
      <c r="CN23" s="97">
        <v>9</v>
      </c>
      <c r="CO23" s="97">
        <v>2646</v>
      </c>
      <c r="CP23" s="97">
        <v>10</v>
      </c>
      <c r="CQ23" s="97">
        <v>2940</v>
      </c>
      <c r="CR23" s="97">
        <v>12</v>
      </c>
      <c r="CS23" s="97">
        <v>3528</v>
      </c>
      <c r="CT23" s="97">
        <v>10</v>
      </c>
      <c r="CU23" s="97">
        <v>2940</v>
      </c>
    </row>
    <row r="24" spans="2:99" x14ac:dyDescent="0.15">
      <c r="C24" s="96" t="s">
        <v>189</v>
      </c>
      <c r="D24" s="97">
        <v>0</v>
      </c>
      <c r="E24" s="97">
        <v>0</v>
      </c>
      <c r="F24" s="97">
        <v>0</v>
      </c>
      <c r="G24" s="97">
        <v>0</v>
      </c>
      <c r="H24" s="97">
        <v>48.738720664767584</v>
      </c>
      <c r="I24" s="97">
        <v>17896.858228102657</v>
      </c>
      <c r="J24" s="97">
        <v>2.3263558515699332</v>
      </c>
      <c r="K24" s="97">
        <v>854.2378686964795</v>
      </c>
      <c r="L24" s="97">
        <v>79.714398673018508</v>
      </c>
      <c r="M24" s="97">
        <v>29271.127192732394</v>
      </c>
      <c r="N24" s="97">
        <v>3.1670333594012194</v>
      </c>
      <c r="O24" s="97">
        <v>1162.9346495721277</v>
      </c>
      <c r="P24" s="97">
        <v>22.630818155536282</v>
      </c>
      <c r="Q24" s="97">
        <v>8310.0364267129225</v>
      </c>
      <c r="R24" s="97">
        <v>118.46036761320568</v>
      </c>
      <c r="S24" s="97">
        <v>43498.646987569125</v>
      </c>
      <c r="T24" s="97">
        <v>34.934785834245126</v>
      </c>
      <c r="U24" s="97">
        <v>12828.05335833481</v>
      </c>
      <c r="V24" s="97">
        <v>45.528758315842339</v>
      </c>
      <c r="W24" s="97">
        <v>16718.160053577307</v>
      </c>
      <c r="X24" s="97">
        <v>52.627455072274365</v>
      </c>
      <c r="Y24" s="97">
        <v>19324.801502539147</v>
      </c>
      <c r="Z24" s="97">
        <v>42.509963603069451</v>
      </c>
      <c r="AA24" s="97">
        <v>15609.658635047103</v>
      </c>
      <c r="AB24" s="97">
        <v>40.458433952395289</v>
      </c>
      <c r="AC24" s="97">
        <v>14856.336947319549</v>
      </c>
      <c r="AD24" s="97">
        <v>45.890344109452691</v>
      </c>
      <c r="AE24" s="97">
        <v>16850.934356991027</v>
      </c>
      <c r="AF24" s="97">
        <v>21.747130328656652</v>
      </c>
      <c r="AG24" s="97">
        <v>7985.5462566827227</v>
      </c>
      <c r="AH24" s="97">
        <v>60</v>
      </c>
      <c r="AI24" s="97">
        <v>22032</v>
      </c>
      <c r="AJ24" s="97">
        <v>34</v>
      </c>
      <c r="AK24" s="97">
        <v>12484.8</v>
      </c>
      <c r="AL24" s="97">
        <v>37</v>
      </c>
      <c r="AM24" s="97">
        <v>13586.4</v>
      </c>
      <c r="AN24" s="97">
        <v>37</v>
      </c>
      <c r="AO24" s="97">
        <v>13586.4</v>
      </c>
      <c r="AP24" s="97">
        <v>39</v>
      </c>
      <c r="AQ24" s="97">
        <v>14320.8</v>
      </c>
      <c r="AR24" s="97">
        <v>34</v>
      </c>
      <c r="AS24" s="97">
        <v>12484.8</v>
      </c>
      <c r="AT24" s="97">
        <v>31</v>
      </c>
      <c r="AU24" s="97">
        <v>11383.199999999999</v>
      </c>
      <c r="AV24" s="97">
        <v>27</v>
      </c>
      <c r="AW24" s="97">
        <v>9914.4</v>
      </c>
      <c r="AX24" s="97">
        <v>27</v>
      </c>
      <c r="AY24" s="97">
        <v>9914.4</v>
      </c>
      <c r="AZ24" s="97">
        <v>19</v>
      </c>
      <c r="BA24" s="97">
        <v>6976.8</v>
      </c>
      <c r="BB24" s="97">
        <v>21</v>
      </c>
      <c r="BC24" s="97">
        <v>7711.2</v>
      </c>
      <c r="BD24" s="97">
        <v>28</v>
      </c>
      <c r="BE24" s="97">
        <v>10281.6</v>
      </c>
      <c r="BF24" s="97">
        <v>19</v>
      </c>
      <c r="BG24" s="97">
        <v>6976.8</v>
      </c>
      <c r="BH24" s="97">
        <v>24</v>
      </c>
      <c r="BI24" s="97">
        <v>8812.7999999999993</v>
      </c>
      <c r="BJ24" s="97">
        <v>24</v>
      </c>
      <c r="BK24" s="97">
        <v>8812.7999999999993</v>
      </c>
      <c r="BL24" s="97">
        <v>24</v>
      </c>
      <c r="BM24" s="97">
        <v>8812.7999999999993</v>
      </c>
      <c r="BN24" s="97">
        <v>17</v>
      </c>
      <c r="BO24" s="97">
        <v>6242.4</v>
      </c>
      <c r="BP24" s="97">
        <v>17</v>
      </c>
      <c r="BQ24" s="97">
        <v>6242.4</v>
      </c>
      <c r="BR24" s="97">
        <v>19</v>
      </c>
      <c r="BS24" s="97">
        <v>6976.8</v>
      </c>
      <c r="BT24" s="97">
        <v>14</v>
      </c>
      <c r="BU24" s="97">
        <v>5140.8</v>
      </c>
      <c r="BV24" s="97">
        <v>14</v>
      </c>
      <c r="BW24" s="97">
        <v>5140.8</v>
      </c>
      <c r="BX24" s="97">
        <v>16</v>
      </c>
      <c r="BY24" s="97">
        <v>5875.2</v>
      </c>
      <c r="BZ24" s="97">
        <v>11</v>
      </c>
      <c r="CA24" s="97">
        <v>4039.2</v>
      </c>
      <c r="CB24" s="97">
        <v>16</v>
      </c>
      <c r="CC24" s="97">
        <v>5875.2</v>
      </c>
      <c r="CD24" s="97">
        <v>17</v>
      </c>
      <c r="CE24" s="97">
        <v>6242.4</v>
      </c>
      <c r="CF24" s="97">
        <v>13</v>
      </c>
      <c r="CG24" s="97">
        <v>4773.5999999999995</v>
      </c>
      <c r="CH24" s="97">
        <v>12</v>
      </c>
      <c r="CI24" s="97">
        <v>4406.3999999999996</v>
      </c>
      <c r="CJ24" s="97">
        <v>15</v>
      </c>
      <c r="CK24" s="97">
        <v>5508</v>
      </c>
      <c r="CL24" s="97">
        <v>8</v>
      </c>
      <c r="CM24" s="97">
        <v>2937.6</v>
      </c>
      <c r="CN24" s="97">
        <v>11</v>
      </c>
      <c r="CO24" s="97">
        <v>4039.2</v>
      </c>
      <c r="CP24" s="97">
        <v>10</v>
      </c>
      <c r="CQ24" s="97">
        <v>3672</v>
      </c>
      <c r="CR24" s="97">
        <v>13</v>
      </c>
      <c r="CS24" s="97">
        <v>4773.5999999999995</v>
      </c>
      <c r="CT24" s="97">
        <v>9</v>
      </c>
      <c r="CU24" s="97">
        <v>3304.7999999999997</v>
      </c>
    </row>
    <row r="25" spans="2:99" x14ac:dyDescent="0.15">
      <c r="C25" s="96" t="s">
        <v>190</v>
      </c>
      <c r="D25" s="97">
        <v>0</v>
      </c>
      <c r="E25" s="97">
        <v>0</v>
      </c>
      <c r="F25" s="97">
        <v>0</v>
      </c>
      <c r="G25" s="97">
        <v>0</v>
      </c>
      <c r="H25" s="97">
        <v>46.38419309642132</v>
      </c>
      <c r="I25" s="97">
        <v>24602.176018341866</v>
      </c>
      <c r="J25" s="97">
        <v>2.3406279733587061</v>
      </c>
      <c r="K25" s="97">
        <v>1241.4690770694576</v>
      </c>
      <c r="L25" s="97">
        <v>85.466984144267258</v>
      </c>
      <c r="M25" s="97">
        <v>45331.688390119351</v>
      </c>
      <c r="N25" s="97">
        <v>3.059066313057996</v>
      </c>
      <c r="O25" s="97">
        <v>1622.5287724459611</v>
      </c>
      <c r="P25" s="97">
        <v>22.928592078635443</v>
      </c>
      <c r="Q25" s="97">
        <v>12161.325238508238</v>
      </c>
      <c r="R25" s="97">
        <v>108.50571487260017</v>
      </c>
      <c r="S25" s="97">
        <v>57551.431168427123</v>
      </c>
      <c r="T25" s="97">
        <v>33.591140225235691</v>
      </c>
      <c r="U25" s="97">
        <v>17816.740775465008</v>
      </c>
      <c r="V25" s="97">
        <v>47.302606042433602</v>
      </c>
      <c r="W25" s="97">
        <v>25089.302244906783</v>
      </c>
      <c r="X25" s="97">
        <v>50.522356869383387</v>
      </c>
      <c r="Y25" s="97">
        <v>26797.058083520948</v>
      </c>
      <c r="Z25" s="97">
        <v>48.829012246768961</v>
      </c>
      <c r="AA25" s="97">
        <v>25898.908095686256</v>
      </c>
      <c r="AB25" s="97">
        <v>41.421729998880892</v>
      </c>
      <c r="AC25" s="97">
        <v>21970.085591406423</v>
      </c>
      <c r="AD25" s="97">
        <v>49.56157163820891</v>
      </c>
      <c r="AE25" s="97">
        <v>26287.457596906006</v>
      </c>
      <c r="AF25" s="97">
        <v>22.351217282230451</v>
      </c>
      <c r="AG25" s="97">
        <v>11855.08564649503</v>
      </c>
      <c r="AH25" s="97">
        <v>64</v>
      </c>
      <c r="AI25" s="97">
        <v>33945.599999999999</v>
      </c>
      <c r="AJ25" s="97">
        <v>40</v>
      </c>
      <c r="AK25" s="97">
        <v>21216</v>
      </c>
      <c r="AL25" s="97">
        <v>37</v>
      </c>
      <c r="AM25" s="97">
        <v>19624.8</v>
      </c>
      <c r="AN25" s="97">
        <v>38</v>
      </c>
      <c r="AO25" s="97">
        <v>20155.2</v>
      </c>
      <c r="AP25" s="97">
        <v>45</v>
      </c>
      <c r="AQ25" s="97">
        <v>23868</v>
      </c>
      <c r="AR25" s="97">
        <v>33</v>
      </c>
      <c r="AS25" s="97">
        <v>17503.2</v>
      </c>
      <c r="AT25" s="97">
        <v>27</v>
      </c>
      <c r="AU25" s="97">
        <v>14320.8</v>
      </c>
      <c r="AV25" s="97">
        <v>26</v>
      </c>
      <c r="AW25" s="97">
        <v>13790.4</v>
      </c>
      <c r="AX25" s="97">
        <v>23</v>
      </c>
      <c r="AY25" s="97">
        <v>12199.199999999999</v>
      </c>
      <c r="AZ25" s="97">
        <v>19</v>
      </c>
      <c r="BA25" s="97">
        <v>10077.6</v>
      </c>
      <c r="BB25" s="97">
        <v>21</v>
      </c>
      <c r="BC25" s="97">
        <v>11138.4</v>
      </c>
      <c r="BD25" s="97">
        <v>28</v>
      </c>
      <c r="BE25" s="97">
        <v>14851.199999999999</v>
      </c>
      <c r="BF25" s="97">
        <v>17</v>
      </c>
      <c r="BG25" s="97">
        <v>9016.7999999999993</v>
      </c>
      <c r="BH25" s="97">
        <v>22</v>
      </c>
      <c r="BI25" s="97">
        <v>11668.8</v>
      </c>
      <c r="BJ25" s="97">
        <v>22</v>
      </c>
      <c r="BK25" s="97">
        <v>11668.8</v>
      </c>
      <c r="BL25" s="97">
        <v>21</v>
      </c>
      <c r="BM25" s="97">
        <v>11138.4</v>
      </c>
      <c r="BN25" s="97">
        <v>17</v>
      </c>
      <c r="BO25" s="97">
        <v>9016.7999999999993</v>
      </c>
      <c r="BP25" s="97">
        <v>18</v>
      </c>
      <c r="BQ25" s="97">
        <v>9547.1999999999989</v>
      </c>
      <c r="BR25" s="97">
        <v>20</v>
      </c>
      <c r="BS25" s="97">
        <v>10608</v>
      </c>
      <c r="BT25" s="97">
        <v>17</v>
      </c>
      <c r="BU25" s="97">
        <v>9016.7999999999993</v>
      </c>
      <c r="BV25" s="97">
        <v>14</v>
      </c>
      <c r="BW25" s="97">
        <v>7425.5999999999995</v>
      </c>
      <c r="BX25" s="97">
        <v>16</v>
      </c>
      <c r="BY25" s="97">
        <v>8486.4</v>
      </c>
      <c r="BZ25" s="97">
        <v>10</v>
      </c>
      <c r="CA25" s="97">
        <v>5304</v>
      </c>
      <c r="CB25" s="97">
        <v>15</v>
      </c>
      <c r="CC25" s="97">
        <v>7956</v>
      </c>
      <c r="CD25" s="97">
        <v>17</v>
      </c>
      <c r="CE25" s="97">
        <v>9016.7999999999993</v>
      </c>
      <c r="CF25" s="97">
        <v>12</v>
      </c>
      <c r="CG25" s="97">
        <v>6364.7999999999993</v>
      </c>
      <c r="CH25" s="97">
        <v>11</v>
      </c>
      <c r="CI25" s="97">
        <v>5834.4</v>
      </c>
      <c r="CJ25" s="97">
        <v>14</v>
      </c>
      <c r="CK25" s="97">
        <v>7425.5999999999995</v>
      </c>
      <c r="CL25" s="97">
        <v>8</v>
      </c>
      <c r="CM25" s="97">
        <v>4243.2</v>
      </c>
      <c r="CN25" s="97">
        <v>10</v>
      </c>
      <c r="CO25" s="97">
        <v>5304</v>
      </c>
      <c r="CP25" s="97">
        <v>10</v>
      </c>
      <c r="CQ25" s="97">
        <v>5304</v>
      </c>
      <c r="CR25" s="97">
        <v>12</v>
      </c>
      <c r="CS25" s="97">
        <v>6364.7999999999993</v>
      </c>
      <c r="CT25" s="97">
        <v>8</v>
      </c>
      <c r="CU25" s="97">
        <v>4243.2</v>
      </c>
    </row>
    <row r="26" spans="2:99" x14ac:dyDescent="0.15">
      <c r="C26" s="96" t="s">
        <v>191</v>
      </c>
      <c r="D26" s="97">
        <v>0</v>
      </c>
      <c r="E26" s="97">
        <v>0</v>
      </c>
      <c r="F26" s="97">
        <v>0</v>
      </c>
      <c r="G26" s="97">
        <v>0</v>
      </c>
      <c r="H26" s="97">
        <v>51.328700989948466</v>
      </c>
      <c r="I26" s="97">
        <v>24945.748681114954</v>
      </c>
      <c r="J26" s="97">
        <v>1.9410085632730734</v>
      </c>
      <c r="K26" s="97">
        <v>943.33016175071361</v>
      </c>
      <c r="L26" s="97">
        <v>73.961813201769743</v>
      </c>
      <c r="M26" s="97">
        <v>35945.441216060099</v>
      </c>
      <c r="N26" s="97">
        <v>2.8431322203715492</v>
      </c>
      <c r="O26" s="97">
        <v>1381.7622591005729</v>
      </c>
      <c r="P26" s="97">
        <v>21.141948540040474</v>
      </c>
      <c r="Q26" s="97">
        <v>10274.986990459671</v>
      </c>
      <c r="R26" s="97">
        <v>123.43769398350844</v>
      </c>
      <c r="S26" s="97">
        <v>59990.719275985102</v>
      </c>
      <c r="T26" s="97">
        <v>32.919317420730977</v>
      </c>
      <c r="U26" s="97">
        <v>15998.788266475254</v>
      </c>
      <c r="V26" s="97">
        <v>49.076453769024859</v>
      </c>
      <c r="W26" s="97">
        <v>23851.156531746081</v>
      </c>
      <c r="X26" s="97">
        <v>47.013859864565092</v>
      </c>
      <c r="Y26" s="97">
        <v>22848.735894178633</v>
      </c>
      <c r="Z26" s="97">
        <v>44.233340505896592</v>
      </c>
      <c r="AA26" s="97">
        <v>21497.403485865743</v>
      </c>
      <c r="AB26" s="97">
        <v>43.348322091852104</v>
      </c>
      <c r="AC26" s="97">
        <v>21067.284536640123</v>
      </c>
      <c r="AD26" s="97">
        <v>42.219116580696472</v>
      </c>
      <c r="AE26" s="97">
        <v>20518.490658218485</v>
      </c>
      <c r="AF26" s="97">
        <v>24.767565096525633</v>
      </c>
      <c r="AG26" s="97">
        <v>12037.036636911458</v>
      </c>
      <c r="AH26" s="97">
        <v>68</v>
      </c>
      <c r="AI26" s="97">
        <v>33048</v>
      </c>
      <c r="AJ26" s="97">
        <v>39</v>
      </c>
      <c r="AK26" s="97">
        <v>18954</v>
      </c>
      <c r="AL26" s="97">
        <v>38</v>
      </c>
      <c r="AM26" s="97">
        <v>18468</v>
      </c>
      <c r="AN26" s="97">
        <v>38</v>
      </c>
      <c r="AO26" s="97">
        <v>18468</v>
      </c>
      <c r="AP26" s="97">
        <v>42</v>
      </c>
      <c r="AQ26" s="97">
        <v>20412</v>
      </c>
      <c r="AR26" s="97">
        <v>35</v>
      </c>
      <c r="AS26" s="97">
        <v>17010</v>
      </c>
      <c r="AT26" s="97">
        <v>28</v>
      </c>
      <c r="AU26" s="97">
        <v>13608</v>
      </c>
      <c r="AV26" s="97">
        <v>31</v>
      </c>
      <c r="AW26" s="97">
        <v>15066</v>
      </c>
      <c r="AX26" s="97">
        <v>24</v>
      </c>
      <c r="AY26" s="97">
        <v>11664</v>
      </c>
      <c r="AZ26" s="97">
        <v>17</v>
      </c>
      <c r="BA26" s="97">
        <v>8262</v>
      </c>
      <c r="BB26" s="97">
        <v>21</v>
      </c>
      <c r="BC26" s="97">
        <v>10206</v>
      </c>
      <c r="BD26" s="97">
        <v>24</v>
      </c>
      <c r="BE26" s="97">
        <v>11664</v>
      </c>
      <c r="BF26" s="97">
        <v>19</v>
      </c>
      <c r="BG26" s="97">
        <v>9234</v>
      </c>
      <c r="BH26" s="97">
        <v>25</v>
      </c>
      <c r="BI26" s="97">
        <v>12150</v>
      </c>
      <c r="BJ26" s="97">
        <v>25</v>
      </c>
      <c r="BK26" s="97">
        <v>12150</v>
      </c>
      <c r="BL26" s="97">
        <v>23</v>
      </c>
      <c r="BM26" s="97">
        <v>11178</v>
      </c>
      <c r="BN26" s="97">
        <v>17</v>
      </c>
      <c r="BO26" s="97">
        <v>8262</v>
      </c>
      <c r="BP26" s="97">
        <v>15</v>
      </c>
      <c r="BQ26" s="97">
        <v>7290</v>
      </c>
      <c r="BR26" s="97">
        <v>19</v>
      </c>
      <c r="BS26" s="97">
        <v>9234</v>
      </c>
      <c r="BT26" s="97">
        <v>16</v>
      </c>
      <c r="BU26" s="97">
        <v>7776</v>
      </c>
      <c r="BV26" s="97">
        <v>15</v>
      </c>
      <c r="BW26" s="97">
        <v>7290</v>
      </c>
      <c r="BX26" s="97">
        <v>16</v>
      </c>
      <c r="BY26" s="97">
        <v>7776</v>
      </c>
      <c r="BZ26" s="97">
        <v>11</v>
      </c>
      <c r="CA26" s="97">
        <v>5346</v>
      </c>
      <c r="CB26" s="97">
        <v>17</v>
      </c>
      <c r="CC26" s="97">
        <v>8262</v>
      </c>
      <c r="CD26" s="97">
        <v>15</v>
      </c>
      <c r="CE26" s="97">
        <v>7290</v>
      </c>
      <c r="CF26" s="97">
        <v>12</v>
      </c>
      <c r="CG26" s="97">
        <v>5832</v>
      </c>
      <c r="CH26" s="97">
        <v>13</v>
      </c>
      <c r="CI26" s="97">
        <v>6318</v>
      </c>
      <c r="CJ26" s="97">
        <v>16</v>
      </c>
      <c r="CK26" s="97">
        <v>7776</v>
      </c>
      <c r="CL26" s="97">
        <v>8</v>
      </c>
      <c r="CM26" s="97">
        <v>3888</v>
      </c>
      <c r="CN26" s="97">
        <v>10</v>
      </c>
      <c r="CO26" s="97">
        <v>4860</v>
      </c>
      <c r="CP26" s="97">
        <v>10</v>
      </c>
      <c r="CQ26" s="97">
        <v>4860</v>
      </c>
      <c r="CR26" s="97">
        <v>12</v>
      </c>
      <c r="CS26" s="97">
        <v>5832</v>
      </c>
      <c r="CT26" s="97">
        <v>9</v>
      </c>
      <c r="CU26" s="97">
        <v>4374</v>
      </c>
    </row>
    <row r="27" spans="2:99" x14ac:dyDescent="0.15">
      <c r="C27" s="96" t="s">
        <v>192</v>
      </c>
      <c r="D27" s="97">
        <v>0</v>
      </c>
      <c r="E27" s="97">
        <v>0</v>
      </c>
      <c r="F27" s="97">
        <v>0</v>
      </c>
      <c r="G27" s="97">
        <v>0</v>
      </c>
      <c r="H27" s="97">
        <v>50.151437205775338</v>
      </c>
      <c r="I27" s="97">
        <v>21424.693974307225</v>
      </c>
      <c r="J27" s="97">
        <v>2.2121788772597526</v>
      </c>
      <c r="K27" s="97">
        <v>945.04281636536632</v>
      </c>
      <c r="L27" s="97">
        <v>84.645186219803151</v>
      </c>
      <c r="M27" s="97">
        <v>36160.423553099907</v>
      </c>
      <c r="N27" s="97">
        <v>2.8071432049238076</v>
      </c>
      <c r="O27" s="97">
        <v>1199.2115771434505</v>
      </c>
      <c r="P27" s="97">
        <v>20.546400693842152</v>
      </c>
      <c r="Q27" s="97">
        <v>8777.4223764093676</v>
      </c>
      <c r="R27" s="97">
        <v>118.46036761320568</v>
      </c>
      <c r="S27" s="97">
        <v>50606.269044361463</v>
      </c>
      <c r="T27" s="97">
        <v>37.622077052263975</v>
      </c>
      <c r="U27" s="97">
        <v>16072.15131672717</v>
      </c>
      <c r="V27" s="97">
        <v>48.485171193494445</v>
      </c>
      <c r="W27" s="97">
        <v>20712.865133860825</v>
      </c>
      <c r="X27" s="97">
        <v>49.11895806745607</v>
      </c>
      <c r="Y27" s="97">
        <v>20983.618886417233</v>
      </c>
      <c r="Z27" s="97">
        <v>50.552389149596102</v>
      </c>
      <c r="AA27" s="97">
        <v>21595.980644707455</v>
      </c>
      <c r="AB27" s="97">
        <v>42.385026045366494</v>
      </c>
      <c r="AC27" s="97">
        <v>18106.883126580567</v>
      </c>
      <c r="AD27" s="97">
        <v>47.725957873830794</v>
      </c>
      <c r="AE27" s="97">
        <v>20388.529203700513</v>
      </c>
      <c r="AF27" s="97">
        <v>21.143043375082858</v>
      </c>
      <c r="AG27" s="97">
        <v>9032.3081298353973</v>
      </c>
      <c r="AH27" s="97">
        <v>59</v>
      </c>
      <c r="AI27" s="97">
        <v>25204.799999999999</v>
      </c>
      <c r="AJ27" s="97">
        <v>40</v>
      </c>
      <c r="AK27" s="97">
        <v>17088</v>
      </c>
      <c r="AL27" s="97">
        <v>44</v>
      </c>
      <c r="AM27" s="97">
        <v>18796.8</v>
      </c>
      <c r="AN27" s="97">
        <v>38</v>
      </c>
      <c r="AO27" s="97">
        <v>16233.6</v>
      </c>
      <c r="AP27" s="97">
        <v>46</v>
      </c>
      <c r="AQ27" s="97">
        <v>19651.2</v>
      </c>
      <c r="AR27" s="97">
        <v>33</v>
      </c>
      <c r="AS27" s="97">
        <v>14097.6</v>
      </c>
      <c r="AT27" s="97">
        <v>30</v>
      </c>
      <c r="AU27" s="97">
        <v>12816</v>
      </c>
      <c r="AV27" s="97">
        <v>27</v>
      </c>
      <c r="AW27" s="97">
        <v>11534.4</v>
      </c>
      <c r="AX27" s="97">
        <v>25</v>
      </c>
      <c r="AY27" s="97">
        <v>10680</v>
      </c>
      <c r="AZ27" s="97">
        <v>19</v>
      </c>
      <c r="BA27" s="97">
        <v>8116.8</v>
      </c>
      <c r="BB27" s="97">
        <v>22</v>
      </c>
      <c r="BC27" s="97">
        <v>9398.4</v>
      </c>
      <c r="BD27" s="97">
        <v>29</v>
      </c>
      <c r="BE27" s="97">
        <v>12388.8</v>
      </c>
      <c r="BF27" s="97">
        <v>19</v>
      </c>
      <c r="BG27" s="97">
        <v>8116.8</v>
      </c>
      <c r="BH27" s="97">
        <v>23</v>
      </c>
      <c r="BI27" s="97">
        <v>9825.6</v>
      </c>
      <c r="BJ27" s="97">
        <v>22</v>
      </c>
      <c r="BK27" s="97">
        <v>9398.4</v>
      </c>
      <c r="BL27" s="97">
        <v>22</v>
      </c>
      <c r="BM27" s="97">
        <v>9398.4</v>
      </c>
      <c r="BN27" s="97">
        <v>18</v>
      </c>
      <c r="BO27" s="97">
        <v>7689.5999999999995</v>
      </c>
      <c r="BP27" s="97">
        <v>15</v>
      </c>
      <c r="BQ27" s="97">
        <v>6408</v>
      </c>
      <c r="BR27" s="97">
        <v>17</v>
      </c>
      <c r="BS27" s="97">
        <v>7262.4</v>
      </c>
      <c r="BT27" s="97">
        <v>15</v>
      </c>
      <c r="BU27" s="97">
        <v>6408</v>
      </c>
      <c r="BV27" s="97">
        <v>14</v>
      </c>
      <c r="BW27" s="97">
        <v>5980.8</v>
      </c>
      <c r="BX27" s="97">
        <v>15</v>
      </c>
      <c r="BY27" s="97">
        <v>6408</v>
      </c>
      <c r="BZ27" s="97">
        <v>11</v>
      </c>
      <c r="CA27" s="97">
        <v>4699.2</v>
      </c>
      <c r="CB27" s="97">
        <v>18</v>
      </c>
      <c r="CC27" s="97">
        <v>7689.5999999999995</v>
      </c>
      <c r="CD27" s="97">
        <v>16</v>
      </c>
      <c r="CE27" s="97">
        <v>6835.2</v>
      </c>
      <c r="CF27" s="97">
        <v>12</v>
      </c>
      <c r="CG27" s="97">
        <v>5126.3999999999996</v>
      </c>
      <c r="CH27" s="97">
        <v>13</v>
      </c>
      <c r="CI27" s="97">
        <v>5553.5999999999995</v>
      </c>
      <c r="CJ27" s="97">
        <v>14</v>
      </c>
      <c r="CK27" s="97">
        <v>5980.8</v>
      </c>
      <c r="CL27" s="97">
        <v>8</v>
      </c>
      <c r="CM27" s="97">
        <v>3417.6</v>
      </c>
      <c r="CN27" s="97">
        <v>11</v>
      </c>
      <c r="CO27" s="97">
        <v>4699.2</v>
      </c>
      <c r="CP27" s="97">
        <v>10</v>
      </c>
      <c r="CQ27" s="97">
        <v>4272</v>
      </c>
      <c r="CR27" s="97">
        <v>12</v>
      </c>
      <c r="CS27" s="97">
        <v>5126.3999999999996</v>
      </c>
      <c r="CT27" s="97">
        <v>9</v>
      </c>
      <c r="CU27" s="97">
        <v>3844.7999999999997</v>
      </c>
    </row>
    <row r="28" spans="2:99" x14ac:dyDescent="0.15">
      <c r="C28" s="96" t="s">
        <v>193</v>
      </c>
      <c r="D28" s="97">
        <v>0</v>
      </c>
      <c r="E28" s="97">
        <v>0</v>
      </c>
      <c r="F28" s="97">
        <v>0</v>
      </c>
      <c r="G28" s="97">
        <v>0</v>
      </c>
      <c r="H28" s="97">
        <v>47.561456880594449</v>
      </c>
      <c r="I28" s="97">
        <v>35100.3551778787</v>
      </c>
      <c r="J28" s="97">
        <v>2.1693625118934348</v>
      </c>
      <c r="K28" s="97">
        <v>1600.9895337773548</v>
      </c>
      <c r="L28" s="97">
        <v>79.714398673018508</v>
      </c>
      <c r="M28" s="97">
        <v>58829.226220687662</v>
      </c>
      <c r="N28" s="97">
        <v>2.5552200967896201</v>
      </c>
      <c r="O28" s="97">
        <v>1885.7524314307398</v>
      </c>
      <c r="P28" s="97">
        <v>21.439722463139635</v>
      </c>
      <c r="Q28" s="97">
        <v>15822.515177797051</v>
      </c>
      <c r="R28" s="97">
        <v>110.49664542072126</v>
      </c>
      <c r="S28" s="97">
        <v>81546.524320492288</v>
      </c>
      <c r="T28" s="97">
        <v>29.560203398207413</v>
      </c>
      <c r="U28" s="97">
        <v>21815.43010787707</v>
      </c>
      <c r="V28" s="97">
        <v>45.528758315842339</v>
      </c>
      <c r="W28" s="97">
        <v>33600.223637091643</v>
      </c>
      <c r="X28" s="97">
        <v>46.312160463601437</v>
      </c>
      <c r="Y28" s="97">
        <v>34178.374422137858</v>
      </c>
      <c r="Z28" s="97">
        <v>49.403471214378008</v>
      </c>
      <c r="AA28" s="97">
        <v>36459.761756210974</v>
      </c>
      <c r="AB28" s="97">
        <v>34.67865767348168</v>
      </c>
      <c r="AC28" s="97">
        <v>25592.84936302948</v>
      </c>
      <c r="AD28" s="97">
        <v>44.054730345074582</v>
      </c>
      <c r="AE28" s="97">
        <v>32512.390994665042</v>
      </c>
      <c r="AF28" s="97">
        <v>23.559391189378044</v>
      </c>
      <c r="AG28" s="97">
        <v>17386.830697760997</v>
      </c>
      <c r="AH28" s="97">
        <v>67</v>
      </c>
      <c r="AI28" s="97">
        <v>49446</v>
      </c>
      <c r="AJ28" s="97">
        <v>33</v>
      </c>
      <c r="AK28" s="97">
        <v>24354</v>
      </c>
      <c r="AL28" s="97">
        <v>42</v>
      </c>
      <c r="AM28" s="97">
        <v>30996</v>
      </c>
      <c r="AN28" s="97">
        <v>34</v>
      </c>
      <c r="AO28" s="97">
        <v>25092</v>
      </c>
      <c r="AP28" s="97">
        <v>42</v>
      </c>
      <c r="AQ28" s="97">
        <v>30996</v>
      </c>
      <c r="AR28" s="97">
        <v>29</v>
      </c>
      <c r="AS28" s="97">
        <v>21402</v>
      </c>
      <c r="AT28" s="97">
        <v>30</v>
      </c>
      <c r="AU28" s="97">
        <v>22140</v>
      </c>
      <c r="AV28" s="97">
        <v>25</v>
      </c>
      <c r="AW28" s="97">
        <v>18450</v>
      </c>
      <c r="AX28" s="97">
        <v>26</v>
      </c>
      <c r="AY28" s="97">
        <v>19188</v>
      </c>
      <c r="AZ28" s="97">
        <v>16</v>
      </c>
      <c r="BA28" s="97">
        <v>11808</v>
      </c>
      <c r="BB28" s="97">
        <v>22</v>
      </c>
      <c r="BC28" s="97">
        <v>16236</v>
      </c>
      <c r="BD28" s="97">
        <v>27</v>
      </c>
      <c r="BE28" s="97">
        <v>19926</v>
      </c>
      <c r="BF28" s="97">
        <v>18</v>
      </c>
      <c r="BG28" s="97">
        <v>13284</v>
      </c>
      <c r="BH28" s="97">
        <v>22</v>
      </c>
      <c r="BI28" s="97">
        <v>16236</v>
      </c>
      <c r="BJ28" s="97">
        <v>26</v>
      </c>
      <c r="BK28" s="97">
        <v>19188</v>
      </c>
      <c r="BL28" s="97">
        <v>24</v>
      </c>
      <c r="BM28" s="97">
        <v>17712</v>
      </c>
      <c r="BN28" s="97">
        <v>17</v>
      </c>
      <c r="BO28" s="97">
        <v>12546</v>
      </c>
      <c r="BP28" s="97">
        <v>15</v>
      </c>
      <c r="BQ28" s="97">
        <v>11070</v>
      </c>
      <c r="BR28" s="97">
        <v>17</v>
      </c>
      <c r="BS28" s="97">
        <v>12546</v>
      </c>
      <c r="BT28" s="97">
        <v>14</v>
      </c>
      <c r="BU28" s="97">
        <v>10332</v>
      </c>
      <c r="BV28" s="97">
        <v>14</v>
      </c>
      <c r="BW28" s="97">
        <v>10332</v>
      </c>
      <c r="BX28" s="97">
        <v>16</v>
      </c>
      <c r="BY28" s="97">
        <v>11808</v>
      </c>
      <c r="BZ28" s="97">
        <v>11</v>
      </c>
      <c r="CA28" s="97">
        <v>8118</v>
      </c>
      <c r="CB28" s="97">
        <v>17</v>
      </c>
      <c r="CC28" s="97">
        <v>12546</v>
      </c>
      <c r="CD28" s="97">
        <v>16</v>
      </c>
      <c r="CE28" s="97">
        <v>11808</v>
      </c>
      <c r="CF28" s="97">
        <v>12</v>
      </c>
      <c r="CG28" s="97">
        <v>8856</v>
      </c>
      <c r="CH28" s="97">
        <v>13</v>
      </c>
      <c r="CI28" s="97">
        <v>9594</v>
      </c>
      <c r="CJ28" s="97">
        <v>15</v>
      </c>
      <c r="CK28" s="97">
        <v>11070</v>
      </c>
      <c r="CL28" s="97">
        <v>8</v>
      </c>
      <c r="CM28" s="97">
        <v>5904</v>
      </c>
      <c r="CN28" s="97">
        <v>10</v>
      </c>
      <c r="CO28" s="97">
        <v>7380</v>
      </c>
      <c r="CP28" s="97">
        <v>10</v>
      </c>
      <c r="CQ28" s="97">
        <v>7380</v>
      </c>
      <c r="CR28" s="97">
        <v>12</v>
      </c>
      <c r="CS28" s="97">
        <v>8856</v>
      </c>
      <c r="CT28" s="97">
        <v>9</v>
      </c>
      <c r="CU28" s="97">
        <v>6642</v>
      </c>
    </row>
    <row r="29" spans="2:99" x14ac:dyDescent="0.15">
      <c r="C29" s="96" t="s">
        <v>194</v>
      </c>
      <c r="D29" s="97">
        <v>0</v>
      </c>
      <c r="E29" s="97">
        <v>0</v>
      </c>
      <c r="F29" s="97">
        <v>0</v>
      </c>
      <c r="G29" s="97">
        <v>0</v>
      </c>
      <c r="H29" s="97">
        <v>48.738720664767584</v>
      </c>
      <c r="I29" s="97">
        <v>16493.183072957348</v>
      </c>
      <c r="J29" s="97">
        <v>2.2978116079923883</v>
      </c>
      <c r="K29" s="97">
        <v>777.57944814462417</v>
      </c>
      <c r="L29" s="97">
        <v>76.427206975162065</v>
      </c>
      <c r="M29" s="97">
        <v>25862.966840394842</v>
      </c>
      <c r="N29" s="97">
        <v>3.2030223748489606</v>
      </c>
      <c r="O29" s="97">
        <v>1083.9027716488881</v>
      </c>
      <c r="P29" s="97">
        <v>19.95085284764383</v>
      </c>
      <c r="Q29" s="97">
        <v>6751.3686036426716</v>
      </c>
      <c r="R29" s="97">
        <v>119.45583288726624</v>
      </c>
      <c r="S29" s="97">
        <v>40423.853849050894</v>
      </c>
      <c r="T29" s="97">
        <v>37.622077052263975</v>
      </c>
      <c r="U29" s="97">
        <v>12731.310874486129</v>
      </c>
      <c r="V29" s="97">
        <v>47.893888617964016</v>
      </c>
      <c r="W29" s="97">
        <v>16207.291908319023</v>
      </c>
      <c r="X29" s="97">
        <v>52.627455072274365</v>
      </c>
      <c r="Y29" s="97">
        <v>17809.130796457644</v>
      </c>
      <c r="Z29" s="97">
        <v>43.084422570678498</v>
      </c>
      <c r="AA29" s="97">
        <v>14579.768597917602</v>
      </c>
      <c r="AB29" s="97">
        <v>40.458433952395289</v>
      </c>
      <c r="AC29" s="97">
        <v>13691.134049490565</v>
      </c>
      <c r="AD29" s="97">
        <v>45.890344109452691</v>
      </c>
      <c r="AE29" s="97">
        <v>15529.29244663879</v>
      </c>
      <c r="AF29" s="97">
        <v>23.559391189378044</v>
      </c>
      <c r="AG29" s="97">
        <v>7972.4979784855295</v>
      </c>
      <c r="AH29" s="97">
        <v>59</v>
      </c>
      <c r="AI29" s="97">
        <v>19965.599999999999</v>
      </c>
      <c r="AJ29" s="97">
        <v>35</v>
      </c>
      <c r="AK29" s="97">
        <v>11844</v>
      </c>
      <c r="AL29" s="97">
        <v>45</v>
      </c>
      <c r="AM29" s="97">
        <v>15227.999999999998</v>
      </c>
      <c r="AN29" s="97">
        <v>33</v>
      </c>
      <c r="AO29" s="97">
        <v>11167.199999999999</v>
      </c>
      <c r="AP29" s="97">
        <v>40</v>
      </c>
      <c r="AQ29" s="97">
        <v>13536</v>
      </c>
      <c r="AR29" s="97">
        <v>29</v>
      </c>
      <c r="AS29" s="97">
        <v>9813.5999999999985</v>
      </c>
      <c r="AT29" s="97">
        <v>31</v>
      </c>
      <c r="AU29" s="97">
        <v>10490.4</v>
      </c>
      <c r="AV29" s="97">
        <v>28</v>
      </c>
      <c r="AW29" s="97">
        <v>9475.1999999999989</v>
      </c>
      <c r="AX29" s="97">
        <v>26</v>
      </c>
      <c r="AY29" s="97">
        <v>8798.4</v>
      </c>
      <c r="AZ29" s="97">
        <v>17</v>
      </c>
      <c r="BA29" s="97">
        <v>5752.7999999999993</v>
      </c>
      <c r="BB29" s="97">
        <v>23</v>
      </c>
      <c r="BC29" s="97">
        <v>7783.2</v>
      </c>
      <c r="BD29" s="97">
        <v>28</v>
      </c>
      <c r="BE29" s="97">
        <v>9475.1999999999989</v>
      </c>
      <c r="BF29" s="97">
        <v>21</v>
      </c>
      <c r="BG29" s="97">
        <v>7106.4</v>
      </c>
      <c r="BH29" s="97">
        <v>23</v>
      </c>
      <c r="BI29" s="97">
        <v>7783.2</v>
      </c>
      <c r="BJ29" s="97">
        <v>27</v>
      </c>
      <c r="BK29" s="97">
        <v>9136.7999999999993</v>
      </c>
      <c r="BL29" s="97">
        <v>25</v>
      </c>
      <c r="BM29" s="97">
        <v>8460</v>
      </c>
      <c r="BN29" s="97">
        <v>18</v>
      </c>
      <c r="BO29" s="97">
        <v>6091.2</v>
      </c>
      <c r="BP29" s="97">
        <v>16</v>
      </c>
      <c r="BQ29" s="97">
        <v>5414.4</v>
      </c>
      <c r="BR29" s="97">
        <v>18</v>
      </c>
      <c r="BS29" s="97">
        <v>6091.2</v>
      </c>
      <c r="BT29" s="97">
        <v>15</v>
      </c>
      <c r="BU29" s="97">
        <v>5076</v>
      </c>
      <c r="BV29" s="97">
        <v>15</v>
      </c>
      <c r="BW29" s="97">
        <v>5076</v>
      </c>
      <c r="BX29" s="97">
        <v>16</v>
      </c>
      <c r="BY29" s="97">
        <v>5414.4</v>
      </c>
      <c r="BZ29" s="97">
        <v>11</v>
      </c>
      <c r="CA29" s="97">
        <v>3722.3999999999996</v>
      </c>
      <c r="CB29" s="97">
        <v>18</v>
      </c>
      <c r="CC29" s="97">
        <v>6091.2</v>
      </c>
      <c r="CD29" s="97">
        <v>15</v>
      </c>
      <c r="CE29" s="97">
        <v>5076</v>
      </c>
      <c r="CF29" s="97">
        <v>12</v>
      </c>
      <c r="CG29" s="97">
        <v>4060.7999999999997</v>
      </c>
      <c r="CH29" s="97">
        <v>12</v>
      </c>
      <c r="CI29" s="97">
        <v>4060.7999999999997</v>
      </c>
      <c r="CJ29" s="97">
        <v>15</v>
      </c>
      <c r="CK29" s="97">
        <v>5076</v>
      </c>
      <c r="CL29" s="97">
        <v>7</v>
      </c>
      <c r="CM29" s="97">
        <v>2368.7999999999997</v>
      </c>
      <c r="CN29" s="97">
        <v>9</v>
      </c>
      <c r="CO29" s="97">
        <v>3045.6</v>
      </c>
      <c r="CP29" s="97">
        <v>10</v>
      </c>
      <c r="CQ29" s="97">
        <v>3384</v>
      </c>
      <c r="CR29" s="97">
        <v>12</v>
      </c>
      <c r="CS29" s="97">
        <v>4060.7999999999997</v>
      </c>
      <c r="CT29" s="97">
        <v>9</v>
      </c>
      <c r="CU29" s="97">
        <v>3045.6</v>
      </c>
    </row>
    <row r="30" spans="2:99" x14ac:dyDescent="0.15">
      <c r="C30" s="96" t="s">
        <v>195</v>
      </c>
      <c r="D30" s="97">
        <v>0</v>
      </c>
      <c r="E30" s="97">
        <v>0</v>
      </c>
      <c r="F30" s="97">
        <v>0</v>
      </c>
      <c r="G30" s="97">
        <v>0</v>
      </c>
      <c r="H30" s="97">
        <v>50.622342719444589</v>
      </c>
      <c r="I30" s="97">
        <v>7046.630106546686</v>
      </c>
      <c r="J30" s="97">
        <v>2.5118934348239774</v>
      </c>
      <c r="K30" s="97">
        <v>349.65556612749765</v>
      </c>
      <c r="L30" s="97">
        <v>76.427206975162065</v>
      </c>
      <c r="M30" s="97">
        <v>10638.667210942558</v>
      </c>
      <c r="N30" s="97">
        <v>2.9510992667147722</v>
      </c>
      <c r="O30" s="97">
        <v>410.79301792669628</v>
      </c>
      <c r="P30" s="97">
        <v>22.333044232437121</v>
      </c>
      <c r="Q30" s="97">
        <v>3108.7597571552469</v>
      </c>
      <c r="R30" s="97">
        <v>122.44222870944789</v>
      </c>
      <c r="S30" s="97">
        <v>17043.958236355145</v>
      </c>
      <c r="T30" s="97">
        <v>38.293899856768689</v>
      </c>
      <c r="U30" s="97">
        <v>5330.5108600622016</v>
      </c>
      <c r="V30" s="97">
        <v>49.66773634455528</v>
      </c>
      <c r="W30" s="97">
        <v>6913.7488991620949</v>
      </c>
      <c r="X30" s="97">
        <v>51.224056270347049</v>
      </c>
      <c r="Y30" s="97">
        <v>7130.3886328323088</v>
      </c>
      <c r="Z30" s="97">
        <v>45.956717408723733</v>
      </c>
      <c r="AA30" s="97">
        <v>6397.1750632943431</v>
      </c>
      <c r="AB30" s="97">
        <v>41.421729998880892</v>
      </c>
      <c r="AC30" s="97">
        <v>5765.9048158442192</v>
      </c>
      <c r="AD30" s="97">
        <v>48.643764756019856</v>
      </c>
      <c r="AE30" s="97">
        <v>6771.2120540379638</v>
      </c>
      <c r="AF30" s="97">
        <v>24.163478142951835</v>
      </c>
      <c r="AG30" s="97">
        <v>3363.5561574988951</v>
      </c>
      <c r="AH30" s="97">
        <v>64</v>
      </c>
      <c r="AI30" s="97">
        <v>8908.7999999999993</v>
      </c>
      <c r="AJ30" s="97">
        <v>38</v>
      </c>
      <c r="AK30" s="97">
        <v>5289.5999999999995</v>
      </c>
      <c r="AL30" s="97">
        <v>40</v>
      </c>
      <c r="AM30" s="97">
        <v>5568</v>
      </c>
      <c r="AN30" s="97">
        <v>38</v>
      </c>
      <c r="AO30" s="97">
        <v>5289.5999999999995</v>
      </c>
      <c r="AP30" s="97">
        <v>41</v>
      </c>
      <c r="AQ30" s="97">
        <v>5707.2</v>
      </c>
      <c r="AR30" s="97">
        <v>36</v>
      </c>
      <c r="AS30" s="97">
        <v>5011.2</v>
      </c>
      <c r="AT30" s="97">
        <v>28</v>
      </c>
      <c r="AU30" s="97">
        <v>3897.5999999999995</v>
      </c>
      <c r="AV30" s="97">
        <v>31</v>
      </c>
      <c r="AW30" s="97">
        <v>4315.2</v>
      </c>
      <c r="AX30" s="97">
        <v>24</v>
      </c>
      <c r="AY30" s="97">
        <v>3340.7999999999997</v>
      </c>
      <c r="AZ30" s="97">
        <v>18</v>
      </c>
      <c r="BA30" s="97">
        <v>2505.6</v>
      </c>
      <c r="BB30" s="97">
        <v>22</v>
      </c>
      <c r="BC30" s="97">
        <v>3062.3999999999996</v>
      </c>
      <c r="BD30" s="97">
        <v>29</v>
      </c>
      <c r="BE30" s="97">
        <v>4036.7999999999997</v>
      </c>
      <c r="BF30" s="97">
        <v>20</v>
      </c>
      <c r="BG30" s="97">
        <v>2784</v>
      </c>
      <c r="BH30" s="97">
        <v>24</v>
      </c>
      <c r="BI30" s="97">
        <v>3340.7999999999997</v>
      </c>
      <c r="BJ30" s="97">
        <v>23</v>
      </c>
      <c r="BK30" s="97">
        <v>3201.6</v>
      </c>
      <c r="BL30" s="97">
        <v>22</v>
      </c>
      <c r="BM30" s="97">
        <v>3062.3999999999996</v>
      </c>
      <c r="BN30" s="97">
        <v>17</v>
      </c>
      <c r="BO30" s="97">
        <v>2366.3999999999996</v>
      </c>
      <c r="BP30" s="97">
        <v>17</v>
      </c>
      <c r="BQ30" s="97">
        <v>2366.3999999999996</v>
      </c>
      <c r="BR30" s="97">
        <v>18</v>
      </c>
      <c r="BS30" s="97">
        <v>2505.6</v>
      </c>
      <c r="BT30" s="97">
        <v>17</v>
      </c>
      <c r="BU30" s="97">
        <v>2366.3999999999996</v>
      </c>
      <c r="BV30" s="97">
        <v>15</v>
      </c>
      <c r="BW30" s="97">
        <v>2088</v>
      </c>
      <c r="BX30" s="97">
        <v>17</v>
      </c>
      <c r="BY30" s="97">
        <v>2366.3999999999996</v>
      </c>
      <c r="BZ30" s="97">
        <v>12</v>
      </c>
      <c r="CA30" s="97">
        <v>1670.3999999999999</v>
      </c>
      <c r="CB30" s="97">
        <v>17</v>
      </c>
      <c r="CC30" s="97">
        <v>2366.3999999999996</v>
      </c>
      <c r="CD30" s="97">
        <v>17</v>
      </c>
      <c r="CE30" s="97">
        <v>2366.3999999999996</v>
      </c>
      <c r="CF30" s="97">
        <v>11</v>
      </c>
      <c r="CG30" s="97">
        <v>1531.1999999999998</v>
      </c>
      <c r="CH30" s="97">
        <v>11</v>
      </c>
      <c r="CI30" s="97">
        <v>1531.1999999999998</v>
      </c>
      <c r="CJ30" s="97">
        <v>16</v>
      </c>
      <c r="CK30" s="97">
        <v>2227.1999999999998</v>
      </c>
      <c r="CL30" s="97">
        <v>8</v>
      </c>
      <c r="CM30" s="97">
        <v>1113.5999999999999</v>
      </c>
      <c r="CN30" s="97">
        <v>10</v>
      </c>
      <c r="CO30" s="97">
        <v>1392</v>
      </c>
      <c r="CP30" s="97">
        <v>11</v>
      </c>
      <c r="CQ30" s="97">
        <v>1531.1999999999998</v>
      </c>
      <c r="CR30" s="97">
        <v>13</v>
      </c>
      <c r="CS30" s="97">
        <v>1809.6</v>
      </c>
      <c r="CT30" s="97">
        <v>9</v>
      </c>
      <c r="CU30" s="97">
        <v>1252.8</v>
      </c>
    </row>
    <row r="31" spans="2:99" x14ac:dyDescent="0.15">
      <c r="C31" s="96" t="s">
        <v>196</v>
      </c>
      <c r="D31" s="97">
        <v>0</v>
      </c>
      <c r="E31" s="97">
        <v>0</v>
      </c>
      <c r="F31" s="97">
        <v>0</v>
      </c>
      <c r="G31" s="97">
        <v>0</v>
      </c>
      <c r="H31" s="97">
        <v>47.090551366925197</v>
      </c>
      <c r="I31" s="97">
        <v>16048.459905848107</v>
      </c>
      <c r="J31" s="97">
        <v>2.1693625118934348</v>
      </c>
      <c r="K31" s="97">
        <v>739.31874405328256</v>
      </c>
      <c r="L31" s="97">
        <v>82.179792446410829</v>
      </c>
      <c r="M31" s="97">
        <v>28006.873265736813</v>
      </c>
      <c r="N31" s="97">
        <v>3.059066313057996</v>
      </c>
      <c r="O31" s="97">
        <v>1042.529799490165</v>
      </c>
      <c r="P31" s="97">
        <v>24.119687771032087</v>
      </c>
      <c r="Q31" s="97">
        <v>8219.9895923677359</v>
      </c>
      <c r="R31" s="97">
        <v>105.51931905041852</v>
      </c>
      <c r="S31" s="97">
        <v>35960.983932382631</v>
      </c>
      <c r="T31" s="97">
        <v>37.622077052263975</v>
      </c>
      <c r="U31" s="97">
        <v>12821.603859411563</v>
      </c>
      <c r="V31" s="97">
        <v>50.259018920085694</v>
      </c>
      <c r="W31" s="97">
        <v>17128.273647965205</v>
      </c>
      <c r="X31" s="97">
        <v>54.030853874201675</v>
      </c>
      <c r="Y31" s="97">
        <v>18413.715000327931</v>
      </c>
      <c r="Z31" s="97">
        <v>46.53117637633278</v>
      </c>
      <c r="AA31" s="97">
        <v>15857.824909054212</v>
      </c>
      <c r="AB31" s="97">
        <v>40.458433952395289</v>
      </c>
      <c r="AC31" s="97">
        <v>13788.234290976316</v>
      </c>
      <c r="AD31" s="97">
        <v>50.479378520397958</v>
      </c>
      <c r="AE31" s="97">
        <v>17203.372199751626</v>
      </c>
      <c r="AF31" s="97">
        <v>22.351217282230451</v>
      </c>
      <c r="AG31" s="97">
        <v>7617.294849784138</v>
      </c>
      <c r="AH31" s="97">
        <v>59</v>
      </c>
      <c r="AI31" s="97">
        <v>20107.2</v>
      </c>
      <c r="AJ31" s="97">
        <v>34</v>
      </c>
      <c r="AK31" s="97">
        <v>11587.2</v>
      </c>
      <c r="AL31" s="97">
        <v>38</v>
      </c>
      <c r="AM31" s="97">
        <v>12950.4</v>
      </c>
      <c r="AN31" s="97">
        <v>35</v>
      </c>
      <c r="AO31" s="97">
        <v>11928</v>
      </c>
      <c r="AP31" s="97">
        <v>39</v>
      </c>
      <c r="AQ31" s="97">
        <v>13291.2</v>
      </c>
      <c r="AR31" s="97">
        <v>29</v>
      </c>
      <c r="AS31" s="97">
        <v>9883.2000000000007</v>
      </c>
      <c r="AT31" s="97">
        <v>31</v>
      </c>
      <c r="AU31" s="97">
        <v>10564.800000000001</v>
      </c>
      <c r="AV31" s="97">
        <v>27</v>
      </c>
      <c r="AW31" s="97">
        <v>9201.6</v>
      </c>
      <c r="AX31" s="97">
        <v>25</v>
      </c>
      <c r="AY31" s="97">
        <v>8520</v>
      </c>
      <c r="AZ31" s="97">
        <v>19</v>
      </c>
      <c r="BA31" s="97">
        <v>6475.2</v>
      </c>
      <c r="BB31" s="97">
        <v>23</v>
      </c>
      <c r="BC31" s="97">
        <v>7838.4000000000005</v>
      </c>
      <c r="BD31" s="97">
        <v>26</v>
      </c>
      <c r="BE31" s="97">
        <v>8860.8000000000011</v>
      </c>
      <c r="BF31" s="97">
        <v>20</v>
      </c>
      <c r="BG31" s="97">
        <v>6816</v>
      </c>
      <c r="BH31" s="97">
        <v>25</v>
      </c>
      <c r="BI31" s="97">
        <v>8520</v>
      </c>
      <c r="BJ31" s="97">
        <v>24</v>
      </c>
      <c r="BK31" s="97">
        <v>8179.2000000000007</v>
      </c>
      <c r="BL31" s="97">
        <v>24</v>
      </c>
      <c r="BM31" s="97">
        <v>8179.2000000000007</v>
      </c>
      <c r="BN31" s="97">
        <v>17</v>
      </c>
      <c r="BO31" s="97">
        <v>5793.6</v>
      </c>
      <c r="BP31" s="97">
        <v>15</v>
      </c>
      <c r="BQ31" s="97">
        <v>5112</v>
      </c>
      <c r="BR31" s="97">
        <v>19</v>
      </c>
      <c r="BS31" s="97">
        <v>6475.2</v>
      </c>
      <c r="BT31" s="97">
        <v>14</v>
      </c>
      <c r="BU31" s="97">
        <v>4771.2</v>
      </c>
      <c r="BV31" s="97">
        <v>15</v>
      </c>
      <c r="BW31" s="97">
        <v>5112</v>
      </c>
      <c r="BX31" s="97">
        <v>15</v>
      </c>
      <c r="BY31" s="97">
        <v>5112</v>
      </c>
      <c r="BZ31" s="97">
        <v>10</v>
      </c>
      <c r="CA31" s="97">
        <v>3408</v>
      </c>
      <c r="CB31" s="97">
        <v>17</v>
      </c>
      <c r="CC31" s="97">
        <v>5793.6</v>
      </c>
      <c r="CD31" s="97">
        <v>15</v>
      </c>
      <c r="CE31" s="97">
        <v>5112</v>
      </c>
      <c r="CF31" s="97">
        <v>12</v>
      </c>
      <c r="CG31" s="97">
        <v>4089.6000000000004</v>
      </c>
      <c r="CH31" s="97">
        <v>11</v>
      </c>
      <c r="CI31" s="97">
        <v>3748.8</v>
      </c>
      <c r="CJ31" s="97">
        <v>14</v>
      </c>
      <c r="CK31" s="97">
        <v>4771.2</v>
      </c>
      <c r="CL31" s="97">
        <v>9</v>
      </c>
      <c r="CM31" s="97">
        <v>3067.2000000000003</v>
      </c>
      <c r="CN31" s="97">
        <v>9</v>
      </c>
      <c r="CO31" s="97">
        <v>3067.2000000000003</v>
      </c>
      <c r="CP31" s="97">
        <v>10</v>
      </c>
      <c r="CQ31" s="97">
        <v>3408</v>
      </c>
      <c r="CR31" s="97">
        <v>12</v>
      </c>
      <c r="CS31" s="97">
        <v>4089.6000000000004</v>
      </c>
      <c r="CT31" s="97">
        <v>9</v>
      </c>
      <c r="CU31" s="97">
        <v>3067.2000000000003</v>
      </c>
    </row>
    <row r="32" spans="2:99" x14ac:dyDescent="0.15">
      <c r="C32" s="96" t="s">
        <v>197</v>
      </c>
      <c r="D32" s="97">
        <v>0</v>
      </c>
      <c r="E32" s="97">
        <v>0</v>
      </c>
      <c r="F32" s="97">
        <v>0</v>
      </c>
      <c r="G32" s="97">
        <v>0</v>
      </c>
      <c r="H32" s="97">
        <v>44.029665528075057</v>
      </c>
      <c r="I32" s="97">
        <v>36984.919043583046</v>
      </c>
      <c r="J32" s="97">
        <v>1.9267364414843007</v>
      </c>
      <c r="K32" s="97">
        <v>1618.4586108468125</v>
      </c>
      <c r="L32" s="97">
        <v>79.714398673018508</v>
      </c>
      <c r="M32" s="97">
        <v>66960.094885335551</v>
      </c>
      <c r="N32" s="97">
        <v>2.5552200967896201</v>
      </c>
      <c r="O32" s="97">
        <v>2146.384881303281</v>
      </c>
      <c r="P32" s="97">
        <v>20.546400693842152</v>
      </c>
      <c r="Q32" s="97">
        <v>17258.976582827407</v>
      </c>
      <c r="R32" s="97">
        <v>109.50118014666073</v>
      </c>
      <c r="S32" s="97">
        <v>91980.99132319502</v>
      </c>
      <c r="T32" s="97">
        <v>33.591140225235691</v>
      </c>
      <c r="U32" s="97">
        <v>28216.557789197981</v>
      </c>
      <c r="V32" s="97">
        <v>45.528758315842339</v>
      </c>
      <c r="W32" s="97">
        <v>38244.156985307563</v>
      </c>
      <c r="X32" s="97">
        <v>44.207062260710465</v>
      </c>
      <c r="Y32" s="97">
        <v>37133.932298996791</v>
      </c>
      <c r="Z32" s="97">
        <v>45.956717408723733</v>
      </c>
      <c r="AA32" s="97">
        <v>38603.642623327934</v>
      </c>
      <c r="AB32" s="97">
        <v>35.641953719967283</v>
      </c>
      <c r="AC32" s="97">
        <v>29939.241124772518</v>
      </c>
      <c r="AD32" s="97">
        <v>45.890344109452691</v>
      </c>
      <c r="AE32" s="97">
        <v>38547.889051940263</v>
      </c>
      <c r="AF32" s="97">
        <v>24.767565096525633</v>
      </c>
      <c r="AG32" s="97">
        <v>20804.754681081533</v>
      </c>
      <c r="AH32" s="97">
        <v>58</v>
      </c>
      <c r="AI32" s="97">
        <v>48720</v>
      </c>
      <c r="AJ32" s="97">
        <v>33</v>
      </c>
      <c r="AK32" s="97">
        <v>27720</v>
      </c>
      <c r="AL32" s="97">
        <v>36</v>
      </c>
      <c r="AM32" s="97">
        <v>30240</v>
      </c>
      <c r="AN32" s="97">
        <v>38</v>
      </c>
      <c r="AO32" s="97">
        <v>31920</v>
      </c>
      <c r="AP32" s="97">
        <v>38</v>
      </c>
      <c r="AQ32" s="97">
        <v>31920</v>
      </c>
      <c r="AR32" s="97">
        <v>33</v>
      </c>
      <c r="AS32" s="97">
        <v>27720</v>
      </c>
      <c r="AT32" s="97">
        <v>28</v>
      </c>
      <c r="AU32" s="97">
        <v>23520</v>
      </c>
      <c r="AV32" s="97">
        <v>27</v>
      </c>
      <c r="AW32" s="97">
        <v>22680</v>
      </c>
      <c r="AX32" s="97">
        <v>25</v>
      </c>
      <c r="AY32" s="97">
        <v>21000</v>
      </c>
      <c r="AZ32" s="97">
        <v>17</v>
      </c>
      <c r="BA32" s="97">
        <v>14280</v>
      </c>
      <c r="BB32" s="97">
        <v>21</v>
      </c>
      <c r="BC32" s="97">
        <v>17640</v>
      </c>
      <c r="BD32" s="97">
        <v>29</v>
      </c>
      <c r="BE32" s="97">
        <v>24360</v>
      </c>
      <c r="BF32" s="97">
        <v>17</v>
      </c>
      <c r="BG32" s="97">
        <v>14280</v>
      </c>
      <c r="BH32" s="97">
        <v>22</v>
      </c>
      <c r="BI32" s="97">
        <v>18480</v>
      </c>
      <c r="BJ32" s="97">
        <v>25</v>
      </c>
      <c r="BK32" s="97">
        <v>21000</v>
      </c>
      <c r="BL32" s="97">
        <v>25</v>
      </c>
      <c r="BM32" s="97">
        <v>21000</v>
      </c>
      <c r="BN32" s="97">
        <v>18</v>
      </c>
      <c r="BO32" s="97">
        <v>15120</v>
      </c>
      <c r="BP32" s="97">
        <v>16</v>
      </c>
      <c r="BQ32" s="97">
        <v>13440</v>
      </c>
      <c r="BR32" s="97">
        <v>16</v>
      </c>
      <c r="BS32" s="97">
        <v>13440</v>
      </c>
      <c r="BT32" s="97">
        <v>16</v>
      </c>
      <c r="BU32" s="97">
        <v>13440</v>
      </c>
      <c r="BV32" s="97">
        <v>14</v>
      </c>
      <c r="BW32" s="97">
        <v>11760</v>
      </c>
      <c r="BX32" s="97">
        <v>16</v>
      </c>
      <c r="BY32" s="97">
        <v>13440</v>
      </c>
      <c r="BZ32" s="97">
        <v>9</v>
      </c>
      <c r="CA32" s="97">
        <v>7560</v>
      </c>
      <c r="CB32" s="97">
        <v>16</v>
      </c>
      <c r="CC32" s="97">
        <v>13440</v>
      </c>
      <c r="CD32" s="97">
        <v>15</v>
      </c>
      <c r="CE32" s="97">
        <v>12600</v>
      </c>
      <c r="CF32" s="97">
        <v>11</v>
      </c>
      <c r="CG32" s="97">
        <v>9240</v>
      </c>
      <c r="CH32" s="97">
        <v>12</v>
      </c>
      <c r="CI32" s="97">
        <v>10080</v>
      </c>
      <c r="CJ32" s="97">
        <v>16</v>
      </c>
      <c r="CK32" s="97">
        <v>13440</v>
      </c>
      <c r="CL32" s="97">
        <v>8</v>
      </c>
      <c r="CM32" s="97">
        <v>6720</v>
      </c>
      <c r="CN32" s="97">
        <v>9</v>
      </c>
      <c r="CO32" s="97">
        <v>7560</v>
      </c>
      <c r="CP32" s="97">
        <v>10</v>
      </c>
      <c r="CQ32" s="97">
        <v>8400</v>
      </c>
      <c r="CR32" s="97">
        <v>13</v>
      </c>
      <c r="CS32" s="97">
        <v>10920</v>
      </c>
      <c r="CT32" s="97">
        <v>10</v>
      </c>
      <c r="CU32" s="97">
        <v>8400</v>
      </c>
    </row>
    <row r="33" spans="2:99" x14ac:dyDescent="0.15">
      <c r="C33" s="96" t="s">
        <v>198</v>
      </c>
      <c r="D33" s="97">
        <v>0</v>
      </c>
      <c r="E33" s="97">
        <v>0</v>
      </c>
      <c r="F33" s="97">
        <v>0</v>
      </c>
      <c r="G33" s="97">
        <v>0</v>
      </c>
      <c r="H33" s="97">
        <v>52.74141753095622</v>
      </c>
      <c r="I33" s="97">
        <v>24999.431909673247</v>
      </c>
      <c r="J33" s="97">
        <v>2.240723120837298</v>
      </c>
      <c r="K33" s="97">
        <v>1062.1027592768792</v>
      </c>
      <c r="L33" s="97">
        <v>78.892600748554401</v>
      </c>
      <c r="M33" s="97">
        <v>37395.092754814788</v>
      </c>
      <c r="N33" s="97">
        <v>3.059066313057996</v>
      </c>
      <c r="O33" s="97">
        <v>1449.9974323894901</v>
      </c>
      <c r="P33" s="97">
        <v>21.141948540040474</v>
      </c>
      <c r="Q33" s="97">
        <v>10021.283607979185</v>
      </c>
      <c r="R33" s="97">
        <v>105.51931905041852</v>
      </c>
      <c r="S33" s="97">
        <v>50016.157229898374</v>
      </c>
      <c r="T33" s="97">
        <v>34.262963029740412</v>
      </c>
      <c r="U33" s="97">
        <v>16240.644476096955</v>
      </c>
      <c r="V33" s="97">
        <v>47.893888617964016</v>
      </c>
      <c r="W33" s="97">
        <v>22701.703204914942</v>
      </c>
      <c r="X33" s="97">
        <v>53.32915447323802</v>
      </c>
      <c r="Y33" s="97">
        <v>25278.019220314822</v>
      </c>
      <c r="Z33" s="97">
        <v>44.233340505896592</v>
      </c>
      <c r="AA33" s="97">
        <v>20966.603399794985</v>
      </c>
      <c r="AB33" s="97">
        <v>41.421729998880892</v>
      </c>
      <c r="AC33" s="97">
        <v>19633.900019469544</v>
      </c>
      <c r="AD33" s="97">
        <v>41.301309698507424</v>
      </c>
      <c r="AE33" s="97">
        <v>19576.820797092518</v>
      </c>
      <c r="AF33" s="97">
        <v>21.747130328656652</v>
      </c>
      <c r="AG33" s="97">
        <v>10308.139775783253</v>
      </c>
      <c r="AH33" s="97">
        <v>67</v>
      </c>
      <c r="AI33" s="97">
        <v>31758</v>
      </c>
      <c r="AJ33" s="97">
        <v>35</v>
      </c>
      <c r="AK33" s="97">
        <v>16590</v>
      </c>
      <c r="AL33" s="97">
        <v>43</v>
      </c>
      <c r="AM33" s="97">
        <v>20382</v>
      </c>
      <c r="AN33" s="97">
        <v>32</v>
      </c>
      <c r="AO33" s="97">
        <v>15168</v>
      </c>
      <c r="AP33" s="97">
        <v>46</v>
      </c>
      <c r="AQ33" s="97">
        <v>21804</v>
      </c>
      <c r="AR33" s="97">
        <v>34</v>
      </c>
      <c r="AS33" s="97">
        <v>16116</v>
      </c>
      <c r="AT33" s="97">
        <v>26</v>
      </c>
      <c r="AU33" s="97">
        <v>12324</v>
      </c>
      <c r="AV33" s="97">
        <v>29</v>
      </c>
      <c r="AW33" s="97">
        <v>13746</v>
      </c>
      <c r="AX33" s="97">
        <v>23</v>
      </c>
      <c r="AY33" s="97">
        <v>10902</v>
      </c>
      <c r="AZ33" s="97">
        <v>18</v>
      </c>
      <c r="BA33" s="97">
        <v>8532</v>
      </c>
      <c r="BB33" s="97">
        <v>21</v>
      </c>
      <c r="BC33" s="97">
        <v>9954</v>
      </c>
      <c r="BD33" s="97">
        <v>30</v>
      </c>
      <c r="BE33" s="97">
        <v>14220</v>
      </c>
      <c r="BF33" s="97">
        <v>19</v>
      </c>
      <c r="BG33" s="97">
        <v>9006</v>
      </c>
      <c r="BH33" s="97">
        <v>22</v>
      </c>
      <c r="BI33" s="97">
        <v>10428</v>
      </c>
      <c r="BJ33" s="97">
        <v>26</v>
      </c>
      <c r="BK33" s="97">
        <v>12324</v>
      </c>
      <c r="BL33" s="97">
        <v>22</v>
      </c>
      <c r="BM33" s="97">
        <v>10428</v>
      </c>
      <c r="BN33" s="97">
        <v>16</v>
      </c>
      <c r="BO33" s="97">
        <v>7584</v>
      </c>
      <c r="BP33" s="97">
        <v>17</v>
      </c>
      <c r="BQ33" s="97">
        <v>8058</v>
      </c>
      <c r="BR33" s="97">
        <v>18</v>
      </c>
      <c r="BS33" s="97">
        <v>8532</v>
      </c>
      <c r="BT33" s="97">
        <v>15</v>
      </c>
      <c r="BU33" s="97">
        <v>7110</v>
      </c>
      <c r="BV33" s="97">
        <v>15</v>
      </c>
      <c r="BW33" s="97">
        <v>7110</v>
      </c>
      <c r="BX33" s="97">
        <v>17</v>
      </c>
      <c r="BY33" s="97">
        <v>8058</v>
      </c>
      <c r="BZ33" s="97">
        <v>11</v>
      </c>
      <c r="CA33" s="97">
        <v>5214</v>
      </c>
      <c r="CB33" s="97">
        <v>15</v>
      </c>
      <c r="CC33" s="97">
        <v>7110</v>
      </c>
      <c r="CD33" s="97">
        <v>17</v>
      </c>
      <c r="CE33" s="97">
        <v>8058</v>
      </c>
      <c r="CF33" s="97">
        <v>12</v>
      </c>
      <c r="CG33" s="97">
        <v>5688</v>
      </c>
      <c r="CH33" s="97">
        <v>13</v>
      </c>
      <c r="CI33" s="97">
        <v>6162</v>
      </c>
      <c r="CJ33" s="97">
        <v>15</v>
      </c>
      <c r="CK33" s="97">
        <v>7110</v>
      </c>
      <c r="CL33" s="97">
        <v>8</v>
      </c>
      <c r="CM33" s="97">
        <v>3792</v>
      </c>
      <c r="CN33" s="97">
        <v>11</v>
      </c>
      <c r="CO33" s="97">
        <v>5214</v>
      </c>
      <c r="CP33" s="97">
        <v>10</v>
      </c>
      <c r="CQ33" s="97">
        <v>4740</v>
      </c>
      <c r="CR33" s="97">
        <v>13</v>
      </c>
      <c r="CS33" s="97">
        <v>6162</v>
      </c>
      <c r="CT33" s="97">
        <v>9</v>
      </c>
      <c r="CU33" s="97">
        <v>4266</v>
      </c>
    </row>
    <row r="34" spans="2:99" x14ac:dyDescent="0.15">
      <c r="C34" s="96" t="s">
        <v>199</v>
      </c>
      <c r="D34" s="97">
        <v>0</v>
      </c>
      <c r="E34" s="97">
        <v>0</v>
      </c>
      <c r="F34" s="97">
        <v>0</v>
      </c>
      <c r="G34" s="97">
        <v>0</v>
      </c>
      <c r="H34" s="97">
        <v>50.622342719444589</v>
      </c>
      <c r="I34" s="97">
        <v>27761.29274734341</v>
      </c>
      <c r="J34" s="97">
        <v>2.1550903901046623</v>
      </c>
      <c r="K34" s="97">
        <v>1181.8515699333968</v>
      </c>
      <c r="L34" s="97">
        <v>75.605409050697958</v>
      </c>
      <c r="M34" s="97">
        <v>41462.006323402755</v>
      </c>
      <c r="N34" s="97">
        <v>2.6991761585805847</v>
      </c>
      <c r="O34" s="97">
        <v>1480.2282053655927</v>
      </c>
      <c r="P34" s="97">
        <v>21.439722463139635</v>
      </c>
      <c r="Q34" s="97">
        <v>11757.543798785775</v>
      </c>
      <c r="R34" s="97">
        <v>108.50571487260017</v>
      </c>
      <c r="S34" s="97">
        <v>59504.534036133926</v>
      </c>
      <c r="T34" s="97">
        <v>35.60660863874984</v>
      </c>
      <c r="U34" s="97">
        <v>19526.664177490413</v>
      </c>
      <c r="V34" s="97">
        <v>50.259018920085694</v>
      </c>
      <c r="W34" s="97">
        <v>27562.045975774992</v>
      </c>
      <c r="X34" s="97">
        <v>47.013859864565092</v>
      </c>
      <c r="Y34" s="97">
        <v>25782.400749727494</v>
      </c>
      <c r="Z34" s="97">
        <v>48.829012246768961</v>
      </c>
      <c r="AA34" s="97">
        <v>26777.830316128096</v>
      </c>
      <c r="AB34" s="97">
        <v>42.385026045366494</v>
      </c>
      <c r="AC34" s="97">
        <v>23243.948283278984</v>
      </c>
      <c r="AD34" s="97">
        <v>43.136923462885527</v>
      </c>
      <c r="AE34" s="97">
        <v>23656.288827046421</v>
      </c>
      <c r="AF34" s="97">
        <v>24.767565096525633</v>
      </c>
      <c r="AG34" s="97">
        <v>13582.532698934656</v>
      </c>
      <c r="AH34" s="97">
        <v>68</v>
      </c>
      <c r="AI34" s="97">
        <v>37291.199999999997</v>
      </c>
      <c r="AJ34" s="97">
        <v>40</v>
      </c>
      <c r="AK34" s="97">
        <v>21936</v>
      </c>
      <c r="AL34" s="97">
        <v>42</v>
      </c>
      <c r="AM34" s="97">
        <v>23032.799999999999</v>
      </c>
      <c r="AN34" s="97">
        <v>33</v>
      </c>
      <c r="AO34" s="97">
        <v>18097.2</v>
      </c>
      <c r="AP34" s="97">
        <v>46</v>
      </c>
      <c r="AQ34" s="97">
        <v>25226.399999999998</v>
      </c>
      <c r="AR34" s="97">
        <v>32</v>
      </c>
      <c r="AS34" s="97">
        <v>17548.8</v>
      </c>
      <c r="AT34" s="97">
        <v>29</v>
      </c>
      <c r="AU34" s="97">
        <v>15903.599999999999</v>
      </c>
      <c r="AV34" s="97">
        <v>30</v>
      </c>
      <c r="AW34" s="97">
        <v>16452</v>
      </c>
      <c r="AX34" s="97">
        <v>26</v>
      </c>
      <c r="AY34" s="97">
        <v>14258.4</v>
      </c>
      <c r="AZ34" s="97">
        <v>17</v>
      </c>
      <c r="BA34" s="97">
        <v>9322.7999999999993</v>
      </c>
      <c r="BB34" s="97">
        <v>20</v>
      </c>
      <c r="BC34" s="97">
        <v>10968</v>
      </c>
      <c r="BD34" s="97">
        <v>25</v>
      </c>
      <c r="BE34" s="97">
        <v>13710</v>
      </c>
      <c r="BF34" s="97">
        <v>17</v>
      </c>
      <c r="BG34" s="97">
        <v>9322.7999999999993</v>
      </c>
      <c r="BH34" s="97">
        <v>23</v>
      </c>
      <c r="BI34" s="97">
        <v>12613.199999999999</v>
      </c>
      <c r="BJ34" s="97">
        <v>24</v>
      </c>
      <c r="BK34" s="97">
        <v>13161.599999999999</v>
      </c>
      <c r="BL34" s="97">
        <v>24</v>
      </c>
      <c r="BM34" s="97">
        <v>13161.599999999999</v>
      </c>
      <c r="BN34" s="97">
        <v>17</v>
      </c>
      <c r="BO34" s="97">
        <v>9322.7999999999993</v>
      </c>
      <c r="BP34" s="97">
        <v>15</v>
      </c>
      <c r="BQ34" s="97">
        <v>8226</v>
      </c>
      <c r="BR34" s="97">
        <v>16</v>
      </c>
      <c r="BS34" s="97">
        <v>8774.4</v>
      </c>
      <c r="BT34" s="97">
        <v>16</v>
      </c>
      <c r="BU34" s="97">
        <v>8774.4</v>
      </c>
      <c r="BV34" s="97">
        <v>14</v>
      </c>
      <c r="BW34" s="97">
        <v>7677.5999999999995</v>
      </c>
      <c r="BX34" s="97">
        <v>14</v>
      </c>
      <c r="BY34" s="97">
        <v>7677.5999999999995</v>
      </c>
      <c r="BZ34" s="97">
        <v>11</v>
      </c>
      <c r="CA34" s="97">
        <v>6032.4</v>
      </c>
      <c r="CB34" s="97">
        <v>17</v>
      </c>
      <c r="CC34" s="97">
        <v>9322.7999999999993</v>
      </c>
      <c r="CD34" s="97">
        <v>15</v>
      </c>
      <c r="CE34" s="97">
        <v>8226</v>
      </c>
      <c r="CF34" s="97">
        <v>11</v>
      </c>
      <c r="CG34" s="97">
        <v>6032.4</v>
      </c>
      <c r="CH34" s="97">
        <v>11</v>
      </c>
      <c r="CI34" s="97">
        <v>6032.4</v>
      </c>
      <c r="CJ34" s="97">
        <v>16</v>
      </c>
      <c r="CK34" s="97">
        <v>8774.4</v>
      </c>
      <c r="CL34" s="97">
        <v>8</v>
      </c>
      <c r="CM34" s="97">
        <v>4387.2</v>
      </c>
      <c r="CN34" s="97">
        <v>10</v>
      </c>
      <c r="CO34" s="97">
        <v>5484</v>
      </c>
      <c r="CP34" s="97">
        <v>10</v>
      </c>
      <c r="CQ34" s="97">
        <v>5484</v>
      </c>
      <c r="CR34" s="97">
        <v>13</v>
      </c>
      <c r="CS34" s="97">
        <v>7129.2</v>
      </c>
      <c r="CT34" s="97">
        <v>9</v>
      </c>
      <c r="CU34" s="97">
        <v>4935.5999999999995</v>
      </c>
    </row>
    <row r="35" spans="2:99" x14ac:dyDescent="0.15">
      <c r="C35" s="96" t="s">
        <v>200</v>
      </c>
      <c r="D35" s="97">
        <v>0</v>
      </c>
      <c r="E35" s="97">
        <v>0</v>
      </c>
      <c r="F35" s="97">
        <v>0</v>
      </c>
      <c r="G35" s="97">
        <v>0</v>
      </c>
      <c r="H35" s="97">
        <v>51.09324823311384</v>
      </c>
      <c r="I35" s="97">
        <v>25689.685211609634</v>
      </c>
      <c r="J35" s="97">
        <v>2.1122740247383445</v>
      </c>
      <c r="K35" s="97">
        <v>1062.0513796384394</v>
      </c>
      <c r="L35" s="97">
        <v>83.001590370874936</v>
      </c>
      <c r="M35" s="97">
        <v>41733.199638475911</v>
      </c>
      <c r="N35" s="97">
        <v>2.6991761585805847</v>
      </c>
      <c r="O35" s="97">
        <v>1357.1457725343178</v>
      </c>
      <c r="P35" s="97">
        <v>21.439722463139635</v>
      </c>
      <c r="Q35" s="97">
        <v>10779.892454466606</v>
      </c>
      <c r="R35" s="97">
        <v>122.44222870944789</v>
      </c>
      <c r="S35" s="97">
        <v>61563.952595110386</v>
      </c>
      <c r="T35" s="97">
        <v>37.622077052263975</v>
      </c>
      <c r="U35" s="97">
        <v>18916.380341878325</v>
      </c>
      <c r="V35" s="97">
        <v>54.397996948798642</v>
      </c>
      <c r="W35" s="97">
        <v>27351.312865855951</v>
      </c>
      <c r="X35" s="97">
        <v>51.925755671310704</v>
      </c>
      <c r="Y35" s="97">
        <v>26108.269951535018</v>
      </c>
      <c r="Z35" s="97">
        <v>49.977930181987055</v>
      </c>
      <c r="AA35" s="97">
        <v>25128.903295503085</v>
      </c>
      <c r="AB35" s="97">
        <v>42.385026045366494</v>
      </c>
      <c r="AC35" s="97">
        <v>21311.191095610269</v>
      </c>
      <c r="AD35" s="97">
        <v>45.890344109452691</v>
      </c>
      <c r="AE35" s="97">
        <v>23073.665018232809</v>
      </c>
      <c r="AF35" s="97">
        <v>21.747130328656652</v>
      </c>
      <c r="AG35" s="97">
        <v>10934.457129248563</v>
      </c>
      <c r="AH35" s="97">
        <v>58</v>
      </c>
      <c r="AI35" s="97">
        <v>29162.399999999994</v>
      </c>
      <c r="AJ35" s="97">
        <v>36</v>
      </c>
      <c r="AK35" s="97">
        <v>18100.799999999996</v>
      </c>
      <c r="AL35" s="97">
        <v>37</v>
      </c>
      <c r="AM35" s="97">
        <v>18603.599999999995</v>
      </c>
      <c r="AN35" s="97">
        <v>33</v>
      </c>
      <c r="AO35" s="97">
        <v>16592.399999999998</v>
      </c>
      <c r="AP35" s="97">
        <v>41</v>
      </c>
      <c r="AQ35" s="97">
        <v>20614.799999999996</v>
      </c>
      <c r="AR35" s="97">
        <v>33</v>
      </c>
      <c r="AS35" s="97">
        <v>16592.399999999998</v>
      </c>
      <c r="AT35" s="97">
        <v>31</v>
      </c>
      <c r="AU35" s="97">
        <v>15586.799999999997</v>
      </c>
      <c r="AV35" s="97">
        <v>30</v>
      </c>
      <c r="AW35" s="97">
        <v>15083.999999999996</v>
      </c>
      <c r="AX35" s="97">
        <v>27</v>
      </c>
      <c r="AY35" s="97">
        <v>13575.599999999997</v>
      </c>
      <c r="AZ35" s="97">
        <v>18</v>
      </c>
      <c r="BA35" s="97">
        <v>9050.3999999999978</v>
      </c>
      <c r="BB35" s="97">
        <v>23</v>
      </c>
      <c r="BC35" s="97">
        <v>11564.399999999998</v>
      </c>
      <c r="BD35" s="97">
        <v>28</v>
      </c>
      <c r="BE35" s="97">
        <v>14078.399999999998</v>
      </c>
      <c r="BF35" s="97">
        <v>18</v>
      </c>
      <c r="BG35" s="97">
        <v>9050.3999999999978</v>
      </c>
      <c r="BH35" s="97">
        <v>22</v>
      </c>
      <c r="BI35" s="97">
        <v>11061.599999999999</v>
      </c>
      <c r="BJ35" s="97">
        <v>22</v>
      </c>
      <c r="BK35" s="97">
        <v>11061.599999999999</v>
      </c>
      <c r="BL35" s="97">
        <v>22</v>
      </c>
      <c r="BM35" s="97">
        <v>11061.599999999999</v>
      </c>
      <c r="BN35" s="97">
        <v>19</v>
      </c>
      <c r="BO35" s="97">
        <v>9553.1999999999989</v>
      </c>
      <c r="BP35" s="97">
        <v>16</v>
      </c>
      <c r="BQ35" s="97">
        <v>8044.7999999999984</v>
      </c>
      <c r="BR35" s="97">
        <v>17</v>
      </c>
      <c r="BS35" s="97">
        <v>8547.5999999999985</v>
      </c>
      <c r="BT35" s="97">
        <v>16</v>
      </c>
      <c r="BU35" s="97">
        <v>8044.7999999999984</v>
      </c>
      <c r="BV35" s="97">
        <v>16</v>
      </c>
      <c r="BW35" s="97">
        <v>8044.7999999999984</v>
      </c>
      <c r="BX35" s="97">
        <v>15</v>
      </c>
      <c r="BY35" s="97">
        <v>7541.9999999999982</v>
      </c>
      <c r="BZ35" s="97">
        <v>11</v>
      </c>
      <c r="CA35" s="97">
        <v>5530.7999999999993</v>
      </c>
      <c r="CB35" s="97">
        <v>15</v>
      </c>
      <c r="CC35" s="97">
        <v>7541.9999999999982</v>
      </c>
      <c r="CD35" s="97">
        <v>15</v>
      </c>
      <c r="CE35" s="97">
        <v>7541.9999999999982</v>
      </c>
      <c r="CF35" s="97">
        <v>11</v>
      </c>
      <c r="CG35" s="97">
        <v>5530.7999999999993</v>
      </c>
      <c r="CH35" s="97">
        <v>13</v>
      </c>
      <c r="CI35" s="97">
        <v>6536.3999999999987</v>
      </c>
      <c r="CJ35" s="97">
        <v>14</v>
      </c>
      <c r="CK35" s="97">
        <v>7039.1999999999989</v>
      </c>
      <c r="CL35" s="97">
        <v>8</v>
      </c>
      <c r="CM35" s="97">
        <v>4022.3999999999992</v>
      </c>
      <c r="CN35" s="97">
        <v>10</v>
      </c>
      <c r="CO35" s="97">
        <v>5027.9999999999991</v>
      </c>
      <c r="CP35" s="97">
        <v>11</v>
      </c>
      <c r="CQ35" s="97">
        <v>5530.7999999999993</v>
      </c>
      <c r="CR35" s="97">
        <v>13</v>
      </c>
      <c r="CS35" s="97">
        <v>6536.3999999999987</v>
      </c>
      <c r="CT35" s="97">
        <v>10</v>
      </c>
      <c r="CU35" s="97">
        <v>5027.9999999999991</v>
      </c>
    </row>
    <row r="36" spans="2:99" x14ac:dyDescent="0.15">
      <c r="C36" s="96" t="s">
        <v>201</v>
      </c>
      <c r="D36" s="97">
        <v>0</v>
      </c>
      <c r="E36" s="97">
        <v>0</v>
      </c>
      <c r="F36" s="97">
        <v>0</v>
      </c>
      <c r="G36" s="97">
        <v>0</v>
      </c>
      <c r="H36" s="97">
        <v>44.26511828490969</v>
      </c>
      <c r="I36" s="97">
        <v>33676.901991159291</v>
      </c>
      <c r="J36" s="97">
        <v>1.8981921979067555</v>
      </c>
      <c r="K36" s="97">
        <v>1444.1446241674596</v>
      </c>
      <c r="L36" s="97">
        <v>73.14001527730565</v>
      </c>
      <c r="M36" s="97">
        <v>55644.923622974136</v>
      </c>
      <c r="N36" s="97">
        <v>2.6271981276851024</v>
      </c>
      <c r="O36" s="97">
        <v>1998.7723355428259</v>
      </c>
      <c r="P36" s="97">
        <v>22.333044232437121</v>
      </c>
      <c r="Q36" s="97">
        <v>16990.980052038161</v>
      </c>
      <c r="R36" s="97">
        <v>114.47850651696348</v>
      </c>
      <c r="S36" s="97">
        <v>87095.247758105805</v>
      </c>
      <c r="T36" s="97">
        <v>33.591140225235691</v>
      </c>
      <c r="U36" s="97">
        <v>25556.139483359311</v>
      </c>
      <c r="V36" s="97">
        <v>49.076453769024859</v>
      </c>
      <c r="W36" s="97">
        <v>37337.366027474112</v>
      </c>
      <c r="X36" s="97">
        <v>44.207062260710465</v>
      </c>
      <c r="Y36" s="97">
        <v>33632.732967948519</v>
      </c>
      <c r="Z36" s="97">
        <v>45.382258441114686</v>
      </c>
      <c r="AA36" s="97">
        <v>34526.822222000053</v>
      </c>
      <c r="AB36" s="97">
        <v>40.458433952395289</v>
      </c>
      <c r="AC36" s="97">
        <v>30780.776550982333</v>
      </c>
      <c r="AD36" s="97">
        <v>44.972537227263636</v>
      </c>
      <c r="AE36" s="97">
        <v>34215.106322502172</v>
      </c>
      <c r="AF36" s="97">
        <v>22.351217282230451</v>
      </c>
      <c r="AG36" s="97">
        <v>17004.806108320925</v>
      </c>
      <c r="AH36" s="97">
        <v>68</v>
      </c>
      <c r="AI36" s="97">
        <v>51734.399999999994</v>
      </c>
      <c r="AJ36" s="97">
        <v>38</v>
      </c>
      <c r="AK36" s="97">
        <v>28910.399999999998</v>
      </c>
      <c r="AL36" s="97">
        <v>40</v>
      </c>
      <c r="AM36" s="97">
        <v>30432</v>
      </c>
      <c r="AN36" s="97">
        <v>33</v>
      </c>
      <c r="AO36" s="97">
        <v>25106.399999999998</v>
      </c>
      <c r="AP36" s="97">
        <v>44</v>
      </c>
      <c r="AQ36" s="97">
        <v>33475.199999999997</v>
      </c>
      <c r="AR36" s="97">
        <v>29</v>
      </c>
      <c r="AS36" s="97">
        <v>22063.199999999997</v>
      </c>
      <c r="AT36" s="97">
        <v>28</v>
      </c>
      <c r="AU36" s="97">
        <v>21302.399999999998</v>
      </c>
      <c r="AV36" s="97">
        <v>26</v>
      </c>
      <c r="AW36" s="97">
        <v>19780.8</v>
      </c>
      <c r="AX36" s="97">
        <v>27</v>
      </c>
      <c r="AY36" s="97">
        <v>20541.599999999999</v>
      </c>
      <c r="AZ36" s="97">
        <v>19</v>
      </c>
      <c r="BA36" s="97">
        <v>14455.199999999999</v>
      </c>
      <c r="BB36" s="97">
        <v>20</v>
      </c>
      <c r="BC36" s="97">
        <v>15216</v>
      </c>
      <c r="BD36" s="97">
        <v>25</v>
      </c>
      <c r="BE36" s="97">
        <v>19020</v>
      </c>
      <c r="BF36" s="97">
        <v>18</v>
      </c>
      <c r="BG36" s="97">
        <v>13694.4</v>
      </c>
      <c r="BH36" s="97">
        <v>22</v>
      </c>
      <c r="BI36" s="97">
        <v>16737.599999999999</v>
      </c>
      <c r="BJ36" s="97">
        <v>23</v>
      </c>
      <c r="BK36" s="97">
        <v>17498.399999999998</v>
      </c>
      <c r="BL36" s="97">
        <v>21</v>
      </c>
      <c r="BM36" s="97">
        <v>15976.8</v>
      </c>
      <c r="BN36" s="97">
        <v>18</v>
      </c>
      <c r="BO36" s="97">
        <v>13694.4</v>
      </c>
      <c r="BP36" s="97">
        <v>16</v>
      </c>
      <c r="BQ36" s="97">
        <v>12172.8</v>
      </c>
      <c r="BR36" s="97">
        <v>17</v>
      </c>
      <c r="BS36" s="97">
        <v>12933.599999999999</v>
      </c>
      <c r="BT36" s="97">
        <v>17</v>
      </c>
      <c r="BU36" s="97">
        <v>12933.599999999999</v>
      </c>
      <c r="BV36" s="97">
        <v>14</v>
      </c>
      <c r="BW36" s="97">
        <v>10651.199999999999</v>
      </c>
      <c r="BX36" s="97">
        <v>16</v>
      </c>
      <c r="BY36" s="97">
        <v>12172.8</v>
      </c>
      <c r="BZ36" s="97">
        <v>10</v>
      </c>
      <c r="CA36" s="97">
        <v>7608</v>
      </c>
      <c r="CB36" s="97">
        <v>15</v>
      </c>
      <c r="CC36" s="97">
        <v>11412</v>
      </c>
      <c r="CD36" s="97">
        <v>16</v>
      </c>
      <c r="CE36" s="97">
        <v>12172.8</v>
      </c>
      <c r="CF36" s="97">
        <v>13</v>
      </c>
      <c r="CG36" s="97">
        <v>9890.4</v>
      </c>
      <c r="CH36" s="97">
        <v>11</v>
      </c>
      <c r="CI36" s="97">
        <v>8368.7999999999993</v>
      </c>
      <c r="CJ36" s="97">
        <v>15</v>
      </c>
      <c r="CK36" s="97">
        <v>11412</v>
      </c>
      <c r="CL36" s="97">
        <v>8</v>
      </c>
      <c r="CM36" s="97">
        <v>6086.4</v>
      </c>
      <c r="CN36" s="97">
        <v>9</v>
      </c>
      <c r="CO36" s="97">
        <v>6847.2</v>
      </c>
      <c r="CP36" s="97">
        <v>9</v>
      </c>
      <c r="CQ36" s="97">
        <v>6847.2</v>
      </c>
      <c r="CR36" s="97">
        <v>13</v>
      </c>
      <c r="CS36" s="97">
        <v>9890.4</v>
      </c>
      <c r="CT36" s="97">
        <v>8</v>
      </c>
      <c r="CU36" s="97">
        <v>6086.4</v>
      </c>
    </row>
    <row r="37" spans="2:99" x14ac:dyDescent="0.15">
      <c r="B37" s="96" t="s">
        <v>128</v>
      </c>
      <c r="C37" s="96" t="s">
        <v>202</v>
      </c>
      <c r="D37" s="97">
        <v>0</v>
      </c>
      <c r="E37" s="97">
        <v>0</v>
      </c>
      <c r="F37" s="97">
        <v>0</v>
      </c>
      <c r="G37" s="97">
        <v>0</v>
      </c>
      <c r="H37" s="97">
        <v>25.428897738139607</v>
      </c>
      <c r="I37" s="97">
        <v>21879.023613895319</v>
      </c>
      <c r="J37" s="97">
        <v>1.5699333967649858</v>
      </c>
      <c r="K37" s="97">
        <v>1350.7706945765938</v>
      </c>
      <c r="L37" s="97">
        <v>73.961813201769743</v>
      </c>
      <c r="M37" s="97">
        <v>63636.744078802687</v>
      </c>
      <c r="N37" s="97">
        <v>2.6991761585805847</v>
      </c>
      <c r="O37" s="97">
        <v>2322.371166842735</v>
      </c>
      <c r="P37" s="97">
        <v>15.186470078057242</v>
      </c>
      <c r="Q37" s="97">
        <v>13066.438855160452</v>
      </c>
      <c r="R37" s="97">
        <v>77.646291376723056</v>
      </c>
      <c r="S37" s="97">
        <v>66806.869100532509</v>
      </c>
      <c r="T37" s="97">
        <v>38.293899856768689</v>
      </c>
      <c r="U37" s="97">
        <v>32948.071436763777</v>
      </c>
      <c r="V37" s="97">
        <v>30.15541135205142</v>
      </c>
      <c r="W37" s="97">
        <v>25945.715927305042</v>
      </c>
      <c r="X37" s="97">
        <v>29.471374840473644</v>
      </c>
      <c r="Y37" s="97">
        <v>25357.170912743521</v>
      </c>
      <c r="Z37" s="97">
        <v>18.382686963489494</v>
      </c>
      <c r="AA37" s="97">
        <v>15816.46386338636</v>
      </c>
      <c r="AB37" s="97">
        <v>38.531841859424091</v>
      </c>
      <c r="AC37" s="97">
        <v>33152.796735848489</v>
      </c>
      <c r="AD37" s="97">
        <v>40.383502816318369</v>
      </c>
      <c r="AE37" s="97">
        <v>34745.965823160324</v>
      </c>
      <c r="AF37" s="97">
        <v>16.310347746492489</v>
      </c>
      <c r="AG37" s="97">
        <v>14033.423201082138</v>
      </c>
      <c r="AH37" s="97">
        <v>42</v>
      </c>
      <c r="AI37" s="97">
        <v>36136.799999999996</v>
      </c>
      <c r="AJ37" s="97">
        <v>19</v>
      </c>
      <c r="AK37" s="97">
        <v>16347.6</v>
      </c>
      <c r="AL37" s="97">
        <v>26</v>
      </c>
      <c r="AM37" s="97">
        <v>22370.399999999998</v>
      </c>
      <c r="AN37" s="97">
        <v>28</v>
      </c>
      <c r="AO37" s="97">
        <v>24091.200000000001</v>
      </c>
      <c r="AP37" s="97">
        <v>31</v>
      </c>
      <c r="AQ37" s="97">
        <v>26672.399999999998</v>
      </c>
      <c r="AR37" s="97">
        <v>13</v>
      </c>
      <c r="AS37" s="97">
        <v>11185.199999999999</v>
      </c>
      <c r="AT37" s="97">
        <v>23</v>
      </c>
      <c r="AU37" s="97">
        <v>19789.2</v>
      </c>
      <c r="AV37" s="97">
        <v>17</v>
      </c>
      <c r="AW37" s="97">
        <v>14626.8</v>
      </c>
      <c r="AX37" s="97">
        <v>13</v>
      </c>
      <c r="AY37" s="97">
        <v>11185.199999999999</v>
      </c>
      <c r="AZ37" s="97">
        <v>22</v>
      </c>
      <c r="BA37" s="97">
        <v>18928.8</v>
      </c>
      <c r="BB37" s="97">
        <v>16</v>
      </c>
      <c r="BC37" s="97">
        <v>13766.4</v>
      </c>
      <c r="BD37" s="97">
        <v>13</v>
      </c>
      <c r="BE37" s="97">
        <v>11185.199999999999</v>
      </c>
      <c r="BF37" s="97">
        <v>13</v>
      </c>
      <c r="BG37" s="97">
        <v>11185.199999999999</v>
      </c>
      <c r="BH37" s="97">
        <v>12</v>
      </c>
      <c r="BI37" s="97">
        <v>10324.799999999999</v>
      </c>
      <c r="BJ37" s="97">
        <v>12</v>
      </c>
      <c r="BK37" s="97">
        <v>10324.799999999999</v>
      </c>
      <c r="BL37" s="97">
        <v>12</v>
      </c>
      <c r="BM37" s="97">
        <v>10324.799999999999</v>
      </c>
      <c r="BN37" s="97">
        <v>13</v>
      </c>
      <c r="BO37" s="97">
        <v>11185.199999999999</v>
      </c>
      <c r="BP37" s="97">
        <v>8</v>
      </c>
      <c r="BQ37" s="97">
        <v>6883.2</v>
      </c>
      <c r="BR37" s="97">
        <v>12</v>
      </c>
      <c r="BS37" s="97">
        <v>10324.799999999999</v>
      </c>
      <c r="BT37" s="97">
        <v>9</v>
      </c>
      <c r="BU37" s="97">
        <v>7743.5999999999995</v>
      </c>
      <c r="BV37" s="97">
        <v>8</v>
      </c>
      <c r="BW37" s="97">
        <v>6883.2</v>
      </c>
      <c r="BX37" s="97">
        <v>9</v>
      </c>
      <c r="BY37" s="97">
        <v>7743.5999999999995</v>
      </c>
      <c r="BZ37" s="97">
        <v>10</v>
      </c>
      <c r="CA37" s="97">
        <v>8604</v>
      </c>
      <c r="CB37" s="97">
        <v>10</v>
      </c>
      <c r="CC37" s="97">
        <v>8604</v>
      </c>
      <c r="CD37" s="97">
        <v>6</v>
      </c>
      <c r="CE37" s="97">
        <v>5162.3999999999996</v>
      </c>
      <c r="CF37" s="97">
        <v>9</v>
      </c>
      <c r="CG37" s="97">
        <v>7743.5999999999995</v>
      </c>
      <c r="CH37" s="97">
        <v>8</v>
      </c>
      <c r="CI37" s="97">
        <v>6883.2</v>
      </c>
      <c r="CJ37" s="97">
        <v>7</v>
      </c>
      <c r="CK37" s="97">
        <v>6022.8</v>
      </c>
      <c r="CL37" s="97">
        <v>6</v>
      </c>
      <c r="CM37" s="97">
        <v>5162.3999999999996</v>
      </c>
      <c r="CN37" s="97">
        <v>5</v>
      </c>
      <c r="CO37" s="97">
        <v>4302</v>
      </c>
      <c r="CP37" s="97">
        <v>8</v>
      </c>
      <c r="CQ37" s="97">
        <v>6883.2</v>
      </c>
      <c r="CR37" s="97">
        <v>7</v>
      </c>
      <c r="CS37" s="97">
        <v>6022.8</v>
      </c>
      <c r="CT37" s="97">
        <v>8</v>
      </c>
      <c r="CU37" s="97">
        <v>6883.2</v>
      </c>
    </row>
    <row r="38" spans="2:99" x14ac:dyDescent="0.15">
      <c r="C38" s="96" t="s">
        <v>203</v>
      </c>
      <c r="D38" s="97">
        <v>0</v>
      </c>
      <c r="E38" s="97">
        <v>0</v>
      </c>
      <c r="F38" s="97">
        <v>0</v>
      </c>
      <c r="G38" s="97">
        <v>0</v>
      </c>
      <c r="H38" s="97">
        <v>25.428897738139607</v>
      </c>
      <c r="I38" s="97">
        <v>31582.690990769392</v>
      </c>
      <c r="J38" s="97">
        <v>1.2844909609895339</v>
      </c>
      <c r="K38" s="97">
        <v>1595.337773549001</v>
      </c>
      <c r="L38" s="97">
        <v>62.456642259272236</v>
      </c>
      <c r="M38" s="97">
        <v>77571.149686016113</v>
      </c>
      <c r="N38" s="97">
        <v>2.5912091122373613</v>
      </c>
      <c r="O38" s="97">
        <v>3218.2817173988028</v>
      </c>
      <c r="P38" s="97">
        <v>12.208730847065628</v>
      </c>
      <c r="Q38" s="97">
        <v>15163.24371205551</v>
      </c>
      <c r="R38" s="97">
        <v>70.67803445829918</v>
      </c>
      <c r="S38" s="97">
        <v>87782.118797207586</v>
      </c>
      <c r="T38" s="97">
        <v>38.965722661273411</v>
      </c>
      <c r="U38" s="97">
        <v>48395.427545301573</v>
      </c>
      <c r="V38" s="97">
        <v>29.564128776520999</v>
      </c>
      <c r="W38" s="97">
        <v>36718.647940439078</v>
      </c>
      <c r="X38" s="97">
        <v>28.067976038546327</v>
      </c>
      <c r="Y38" s="97">
        <v>34860.426239874541</v>
      </c>
      <c r="Z38" s="97">
        <v>19.531604898707585</v>
      </c>
      <c r="AA38" s="97">
        <v>24258.25328419482</v>
      </c>
      <c r="AB38" s="97">
        <v>32.752065580510475</v>
      </c>
      <c r="AC38" s="97">
        <v>40678.065450994007</v>
      </c>
      <c r="AD38" s="97">
        <v>38.54788905194026</v>
      </c>
      <c r="AE38" s="97">
        <v>47876.478202509803</v>
      </c>
      <c r="AF38" s="97">
        <v>14.498086885771102</v>
      </c>
      <c r="AG38" s="97">
        <v>18006.623912127707</v>
      </c>
      <c r="AH38" s="97">
        <v>40</v>
      </c>
      <c r="AI38" s="97">
        <v>49680</v>
      </c>
      <c r="AJ38" s="97">
        <v>18</v>
      </c>
      <c r="AK38" s="97">
        <v>22356</v>
      </c>
      <c r="AL38" s="97">
        <v>24</v>
      </c>
      <c r="AM38" s="97">
        <v>29808</v>
      </c>
      <c r="AN38" s="97">
        <v>23</v>
      </c>
      <c r="AO38" s="97">
        <v>28566</v>
      </c>
      <c r="AP38" s="97">
        <v>30</v>
      </c>
      <c r="AQ38" s="97">
        <v>37260</v>
      </c>
      <c r="AR38" s="97">
        <v>13</v>
      </c>
      <c r="AS38" s="97">
        <v>16146</v>
      </c>
      <c r="AT38" s="97">
        <v>19</v>
      </c>
      <c r="AU38" s="97">
        <v>23598</v>
      </c>
      <c r="AV38" s="97">
        <v>16</v>
      </c>
      <c r="AW38" s="97">
        <v>19872</v>
      </c>
      <c r="AX38" s="97">
        <v>12</v>
      </c>
      <c r="AY38" s="97">
        <v>14904</v>
      </c>
      <c r="AZ38" s="97">
        <v>18</v>
      </c>
      <c r="BA38" s="97">
        <v>22356</v>
      </c>
      <c r="BB38" s="97">
        <v>15</v>
      </c>
      <c r="BC38" s="97">
        <v>18630</v>
      </c>
      <c r="BD38" s="97">
        <v>10</v>
      </c>
      <c r="BE38" s="97">
        <v>12420</v>
      </c>
      <c r="BF38" s="97">
        <v>13</v>
      </c>
      <c r="BG38" s="97">
        <v>16146</v>
      </c>
      <c r="BH38" s="97">
        <v>10</v>
      </c>
      <c r="BI38" s="97">
        <v>12420</v>
      </c>
      <c r="BJ38" s="97">
        <v>10</v>
      </c>
      <c r="BK38" s="97">
        <v>12420</v>
      </c>
      <c r="BL38" s="97">
        <v>10</v>
      </c>
      <c r="BM38" s="97">
        <v>12420</v>
      </c>
      <c r="BN38" s="97">
        <v>12</v>
      </c>
      <c r="BO38" s="97">
        <v>14904</v>
      </c>
      <c r="BP38" s="97">
        <v>8</v>
      </c>
      <c r="BQ38" s="97">
        <v>9936</v>
      </c>
      <c r="BR38" s="97">
        <v>11</v>
      </c>
      <c r="BS38" s="97">
        <v>13662</v>
      </c>
      <c r="BT38" s="97">
        <v>9</v>
      </c>
      <c r="BU38" s="97">
        <v>11178</v>
      </c>
      <c r="BV38" s="97">
        <v>7</v>
      </c>
      <c r="BW38" s="97">
        <v>8694</v>
      </c>
      <c r="BX38" s="97">
        <v>9</v>
      </c>
      <c r="BY38" s="97">
        <v>11178</v>
      </c>
      <c r="BZ38" s="97">
        <v>10</v>
      </c>
      <c r="CA38" s="97">
        <v>12420</v>
      </c>
      <c r="CB38" s="97">
        <v>9</v>
      </c>
      <c r="CC38" s="97">
        <v>11178</v>
      </c>
      <c r="CD38" s="97">
        <v>6</v>
      </c>
      <c r="CE38" s="97">
        <v>7452</v>
      </c>
      <c r="CF38" s="97">
        <v>9</v>
      </c>
      <c r="CG38" s="97">
        <v>11178</v>
      </c>
      <c r="CH38" s="97">
        <v>7</v>
      </c>
      <c r="CI38" s="97">
        <v>8694</v>
      </c>
      <c r="CJ38" s="97">
        <v>7</v>
      </c>
      <c r="CK38" s="97">
        <v>8694</v>
      </c>
      <c r="CL38" s="97">
        <v>6</v>
      </c>
      <c r="CM38" s="97">
        <v>7452</v>
      </c>
      <c r="CN38" s="97">
        <v>4</v>
      </c>
      <c r="CO38" s="97">
        <v>4968</v>
      </c>
      <c r="CP38" s="97">
        <v>8</v>
      </c>
      <c r="CQ38" s="97">
        <v>9936</v>
      </c>
      <c r="CR38" s="97">
        <v>7</v>
      </c>
      <c r="CS38" s="97">
        <v>8694</v>
      </c>
      <c r="CT38" s="97">
        <v>8</v>
      </c>
      <c r="CU38" s="97">
        <v>9936</v>
      </c>
    </row>
    <row r="39" spans="2:99" x14ac:dyDescent="0.15">
      <c r="C39" s="96" t="s">
        <v>204</v>
      </c>
      <c r="D39" s="97">
        <v>0</v>
      </c>
      <c r="E39" s="97">
        <v>0</v>
      </c>
      <c r="F39" s="97">
        <v>0</v>
      </c>
      <c r="G39" s="97">
        <v>0</v>
      </c>
      <c r="H39" s="97">
        <v>26.606161522312739</v>
      </c>
      <c r="I39" s="97">
        <v>37865.88907855549</v>
      </c>
      <c r="J39" s="97">
        <v>1.2702188392007612</v>
      </c>
      <c r="K39" s="97">
        <v>1807.7754519505233</v>
      </c>
      <c r="L39" s="97">
        <v>66.565631881592779</v>
      </c>
      <c r="M39" s="97">
        <v>94736.20729388285</v>
      </c>
      <c r="N39" s="97">
        <v>2.771154189476067</v>
      </c>
      <c r="O39" s="97">
        <v>3943.9066424623388</v>
      </c>
      <c r="P39" s="97">
        <v>12.804278693263949</v>
      </c>
      <c r="Q39" s="97">
        <v>18223.049436253252</v>
      </c>
      <c r="R39" s="97">
        <v>66.696173362056982</v>
      </c>
      <c r="S39" s="97">
        <v>94921.993928879499</v>
      </c>
      <c r="T39" s="97">
        <v>34.934785834245126</v>
      </c>
      <c r="U39" s="97">
        <v>49719.187199297667</v>
      </c>
      <c r="V39" s="97">
        <v>32.520541654173101</v>
      </c>
      <c r="W39" s="97">
        <v>46283.234882219156</v>
      </c>
      <c r="X39" s="97">
        <v>25.261178434691693</v>
      </c>
      <c r="Y39" s="97">
        <v>35951.70914825322</v>
      </c>
      <c r="Z39" s="97">
        <v>18.382686963489494</v>
      </c>
      <c r="AA39" s="97">
        <v>26162.240086438247</v>
      </c>
      <c r="AB39" s="97">
        <v>32.752065580510475</v>
      </c>
      <c r="AC39" s="97">
        <v>46612.739734182513</v>
      </c>
      <c r="AD39" s="97">
        <v>36.712275287562157</v>
      </c>
      <c r="AE39" s="97">
        <v>52248.910189258466</v>
      </c>
      <c r="AF39" s="97">
        <v>13.893999932197305</v>
      </c>
      <c r="AG39" s="97">
        <v>19773.940703503205</v>
      </c>
      <c r="AH39" s="97">
        <v>36</v>
      </c>
      <c r="AI39" s="97">
        <v>51235.200000000004</v>
      </c>
      <c r="AJ39" s="97">
        <v>17</v>
      </c>
      <c r="AK39" s="97">
        <v>24194.400000000001</v>
      </c>
      <c r="AL39" s="97">
        <v>23</v>
      </c>
      <c r="AM39" s="97">
        <v>32733.600000000002</v>
      </c>
      <c r="AN39" s="97">
        <v>25</v>
      </c>
      <c r="AO39" s="97">
        <v>35580</v>
      </c>
      <c r="AP39" s="97">
        <v>27</v>
      </c>
      <c r="AQ39" s="97">
        <v>38426.400000000001</v>
      </c>
      <c r="AR39" s="97">
        <v>13</v>
      </c>
      <c r="AS39" s="97">
        <v>18501.600000000002</v>
      </c>
      <c r="AT39" s="97">
        <v>19</v>
      </c>
      <c r="AU39" s="97">
        <v>27040.799999999999</v>
      </c>
      <c r="AV39" s="97">
        <v>15</v>
      </c>
      <c r="AW39" s="97">
        <v>21348</v>
      </c>
      <c r="AX39" s="97">
        <v>13</v>
      </c>
      <c r="AY39" s="97">
        <v>18501.600000000002</v>
      </c>
      <c r="AZ39" s="97">
        <v>19</v>
      </c>
      <c r="BA39" s="97">
        <v>27040.799999999999</v>
      </c>
      <c r="BB39" s="97">
        <v>16</v>
      </c>
      <c r="BC39" s="97">
        <v>22771.200000000001</v>
      </c>
      <c r="BD39" s="97">
        <v>11</v>
      </c>
      <c r="BE39" s="97">
        <v>15655.2</v>
      </c>
      <c r="BF39" s="97">
        <v>12</v>
      </c>
      <c r="BG39" s="97">
        <v>17078.400000000001</v>
      </c>
      <c r="BH39" s="97">
        <v>9</v>
      </c>
      <c r="BI39" s="97">
        <v>12808.800000000001</v>
      </c>
      <c r="BJ39" s="97">
        <v>11</v>
      </c>
      <c r="BK39" s="97">
        <v>15655.2</v>
      </c>
      <c r="BL39" s="97">
        <v>12</v>
      </c>
      <c r="BM39" s="97">
        <v>17078.400000000001</v>
      </c>
      <c r="BN39" s="97">
        <v>11</v>
      </c>
      <c r="BO39" s="97">
        <v>15655.2</v>
      </c>
      <c r="BP39" s="97">
        <v>7</v>
      </c>
      <c r="BQ39" s="97">
        <v>9962.4</v>
      </c>
      <c r="BR39" s="97">
        <v>11</v>
      </c>
      <c r="BS39" s="97">
        <v>15655.2</v>
      </c>
      <c r="BT39" s="97">
        <v>9</v>
      </c>
      <c r="BU39" s="97">
        <v>12808.800000000001</v>
      </c>
      <c r="BV39" s="97">
        <v>7</v>
      </c>
      <c r="BW39" s="97">
        <v>9962.4</v>
      </c>
      <c r="BX39" s="97">
        <v>8</v>
      </c>
      <c r="BY39" s="97">
        <v>11385.6</v>
      </c>
      <c r="BZ39" s="97">
        <v>9</v>
      </c>
      <c r="CA39" s="97">
        <v>12808.800000000001</v>
      </c>
      <c r="CB39" s="97">
        <v>8</v>
      </c>
      <c r="CC39" s="97">
        <v>11385.6</v>
      </c>
      <c r="CD39" s="97">
        <v>6</v>
      </c>
      <c r="CE39" s="97">
        <v>8539.2000000000007</v>
      </c>
      <c r="CF39" s="97">
        <v>8</v>
      </c>
      <c r="CG39" s="97">
        <v>11385.6</v>
      </c>
      <c r="CH39" s="97">
        <v>7</v>
      </c>
      <c r="CI39" s="97">
        <v>9962.4</v>
      </c>
      <c r="CJ39" s="97">
        <v>6</v>
      </c>
      <c r="CK39" s="97">
        <v>8539.2000000000007</v>
      </c>
      <c r="CL39" s="97">
        <v>6</v>
      </c>
      <c r="CM39" s="97">
        <v>8539.2000000000007</v>
      </c>
      <c r="CN39" s="97">
        <v>4</v>
      </c>
      <c r="CO39" s="97">
        <v>5692.8</v>
      </c>
      <c r="CP39" s="97">
        <v>8</v>
      </c>
      <c r="CQ39" s="97">
        <v>11385.6</v>
      </c>
      <c r="CR39" s="97">
        <v>6</v>
      </c>
      <c r="CS39" s="97">
        <v>8539.2000000000007</v>
      </c>
      <c r="CT39" s="97">
        <v>8</v>
      </c>
      <c r="CU39" s="97">
        <v>11385.6</v>
      </c>
    </row>
    <row r="40" spans="2:99" x14ac:dyDescent="0.15">
      <c r="C40" s="96" t="s">
        <v>205</v>
      </c>
      <c r="D40" s="97">
        <v>0</v>
      </c>
      <c r="E40" s="97">
        <v>0</v>
      </c>
      <c r="F40" s="97">
        <v>0</v>
      </c>
      <c r="G40" s="97">
        <v>0</v>
      </c>
      <c r="H40" s="97">
        <v>28.254330820155118</v>
      </c>
      <c r="I40" s="97">
        <v>20478.738978448429</v>
      </c>
      <c r="J40" s="97">
        <v>1.455756422454805</v>
      </c>
      <c r="K40" s="97">
        <v>1055.1322549952426</v>
      </c>
      <c r="L40" s="97">
        <v>75.605409050697958</v>
      </c>
      <c r="M40" s="97">
        <v>54798.800479945879</v>
      </c>
      <c r="N40" s="97">
        <v>3.0950553285057367</v>
      </c>
      <c r="O40" s="97">
        <v>2243.2961021009578</v>
      </c>
      <c r="P40" s="97">
        <v>15.484244001156403</v>
      </c>
      <c r="Q40" s="97">
        <v>11222.98005203816</v>
      </c>
      <c r="R40" s="97">
        <v>76.650826102662506</v>
      </c>
      <c r="S40" s="97">
        <v>55556.518759209779</v>
      </c>
      <c r="T40" s="97">
        <v>39.637545465778118</v>
      </c>
      <c r="U40" s="97">
        <v>28729.292953595977</v>
      </c>
      <c r="V40" s="97">
        <v>34.885671956294779</v>
      </c>
      <c r="W40" s="97">
        <v>25285.135033922455</v>
      </c>
      <c r="X40" s="97">
        <v>32.278172444328277</v>
      </c>
      <c r="Y40" s="97">
        <v>23395.219387649133</v>
      </c>
      <c r="Z40" s="97">
        <v>18.382686963489494</v>
      </c>
      <c r="AA40" s="97">
        <v>13323.771511137184</v>
      </c>
      <c r="AB40" s="97">
        <v>38.531841859424091</v>
      </c>
      <c r="AC40" s="97">
        <v>27927.878979710578</v>
      </c>
      <c r="AD40" s="97">
        <v>41.301309698507424</v>
      </c>
      <c r="AE40" s="97">
        <v>29935.189269478178</v>
      </c>
      <c r="AF40" s="97">
        <v>15.706260792918693</v>
      </c>
      <c r="AG40" s="97">
        <v>11383.897822707468</v>
      </c>
      <c r="AH40" s="97">
        <v>39</v>
      </c>
      <c r="AI40" s="97">
        <v>28267.199999999997</v>
      </c>
      <c r="AJ40" s="97">
        <v>17</v>
      </c>
      <c r="AK40" s="97">
        <v>12321.599999999999</v>
      </c>
      <c r="AL40" s="97">
        <v>25</v>
      </c>
      <c r="AM40" s="97">
        <v>18120</v>
      </c>
      <c r="AN40" s="97">
        <v>26</v>
      </c>
      <c r="AO40" s="97">
        <v>18844.8</v>
      </c>
      <c r="AP40" s="97">
        <v>29</v>
      </c>
      <c r="AQ40" s="97">
        <v>21019.199999999997</v>
      </c>
      <c r="AR40" s="97">
        <v>14</v>
      </c>
      <c r="AS40" s="97">
        <v>10147.199999999999</v>
      </c>
      <c r="AT40" s="97">
        <v>20</v>
      </c>
      <c r="AU40" s="97">
        <v>14496</v>
      </c>
      <c r="AV40" s="97">
        <v>18</v>
      </c>
      <c r="AW40" s="97">
        <v>13046.4</v>
      </c>
      <c r="AX40" s="97">
        <v>14</v>
      </c>
      <c r="AY40" s="97">
        <v>10147.199999999999</v>
      </c>
      <c r="AZ40" s="97">
        <v>20</v>
      </c>
      <c r="BA40" s="97">
        <v>14496</v>
      </c>
      <c r="BB40" s="97">
        <v>16</v>
      </c>
      <c r="BC40" s="97">
        <v>11596.8</v>
      </c>
      <c r="BD40" s="97">
        <v>11</v>
      </c>
      <c r="BE40" s="97">
        <v>7972.7999999999993</v>
      </c>
      <c r="BF40" s="97">
        <v>15</v>
      </c>
      <c r="BG40" s="97">
        <v>10872</v>
      </c>
      <c r="BH40" s="97">
        <v>12</v>
      </c>
      <c r="BI40" s="97">
        <v>8697.5999999999985</v>
      </c>
      <c r="BJ40" s="97">
        <v>11</v>
      </c>
      <c r="BK40" s="97">
        <v>7972.7999999999993</v>
      </c>
      <c r="BL40" s="97">
        <v>11</v>
      </c>
      <c r="BM40" s="97">
        <v>7972.7999999999993</v>
      </c>
      <c r="BN40" s="97">
        <v>12</v>
      </c>
      <c r="BO40" s="97">
        <v>8697.5999999999985</v>
      </c>
      <c r="BP40" s="97">
        <v>9</v>
      </c>
      <c r="BQ40" s="97">
        <v>6523.2</v>
      </c>
      <c r="BR40" s="97">
        <v>10</v>
      </c>
      <c r="BS40" s="97">
        <v>7248</v>
      </c>
      <c r="BT40" s="97">
        <v>9</v>
      </c>
      <c r="BU40" s="97">
        <v>6523.2</v>
      </c>
      <c r="BV40" s="97">
        <v>8</v>
      </c>
      <c r="BW40" s="97">
        <v>5798.4</v>
      </c>
      <c r="BX40" s="97">
        <v>10</v>
      </c>
      <c r="BY40" s="97">
        <v>7248</v>
      </c>
      <c r="BZ40" s="97">
        <v>10</v>
      </c>
      <c r="CA40" s="97">
        <v>7248</v>
      </c>
      <c r="CB40" s="97">
        <v>9</v>
      </c>
      <c r="CC40" s="97">
        <v>6523.2</v>
      </c>
      <c r="CD40" s="97">
        <v>6</v>
      </c>
      <c r="CE40" s="97">
        <v>4348.7999999999993</v>
      </c>
      <c r="CF40" s="97">
        <v>9</v>
      </c>
      <c r="CG40" s="97">
        <v>6523.2</v>
      </c>
      <c r="CH40" s="97">
        <v>7</v>
      </c>
      <c r="CI40" s="97">
        <v>5073.5999999999995</v>
      </c>
      <c r="CJ40" s="97">
        <v>7</v>
      </c>
      <c r="CK40" s="97">
        <v>5073.5999999999995</v>
      </c>
      <c r="CL40" s="97">
        <v>6</v>
      </c>
      <c r="CM40" s="97">
        <v>4348.7999999999993</v>
      </c>
      <c r="CN40" s="97">
        <v>4</v>
      </c>
      <c r="CO40" s="97">
        <v>2899.2</v>
      </c>
      <c r="CP40" s="97">
        <v>9</v>
      </c>
      <c r="CQ40" s="97">
        <v>6523.2</v>
      </c>
      <c r="CR40" s="97">
        <v>7</v>
      </c>
      <c r="CS40" s="97">
        <v>5073.5999999999995</v>
      </c>
      <c r="CT40" s="97">
        <v>8</v>
      </c>
      <c r="CU40" s="97">
        <v>5798.4</v>
      </c>
    </row>
    <row r="41" spans="2:99" x14ac:dyDescent="0.15">
      <c r="C41" s="96" t="s">
        <v>206</v>
      </c>
      <c r="D41" s="97">
        <v>0</v>
      </c>
      <c r="E41" s="97">
        <v>0</v>
      </c>
      <c r="F41" s="97">
        <v>0</v>
      </c>
      <c r="G41" s="97">
        <v>0</v>
      </c>
      <c r="H41" s="97">
        <v>31.07976390217063</v>
      </c>
      <c r="I41" s="97">
        <v>20512.644175432615</v>
      </c>
      <c r="J41" s="97">
        <v>1.6698382492863939</v>
      </c>
      <c r="K41" s="97">
        <v>1102.09324452902</v>
      </c>
      <c r="L41" s="97">
        <v>70.674621503913315</v>
      </c>
      <c r="M41" s="97">
        <v>46645.250192582789</v>
      </c>
      <c r="N41" s="97">
        <v>3.0950553285057367</v>
      </c>
      <c r="O41" s="97">
        <v>2042.7365168137862</v>
      </c>
      <c r="P41" s="97">
        <v>13.399826539462273</v>
      </c>
      <c r="Q41" s="97">
        <v>8843.8855160451003</v>
      </c>
      <c r="R41" s="97">
        <v>74.659895554541393</v>
      </c>
      <c r="S41" s="97">
        <v>49275.531065997318</v>
      </c>
      <c r="T41" s="97">
        <v>42.324836683796974</v>
      </c>
      <c r="U41" s="97">
        <v>27934.392211306003</v>
      </c>
      <c r="V41" s="97">
        <v>33.111824229703515</v>
      </c>
      <c r="W41" s="97">
        <v>21853.80399160432</v>
      </c>
      <c r="X41" s="97">
        <v>29.471374840473644</v>
      </c>
      <c r="Y41" s="97">
        <v>19451.107394712606</v>
      </c>
      <c r="Z41" s="97">
        <v>18.382686963489494</v>
      </c>
      <c r="AA41" s="97">
        <v>12132.573395903066</v>
      </c>
      <c r="AB41" s="97">
        <v>41.421729998880892</v>
      </c>
      <c r="AC41" s="97">
        <v>27338.34179926139</v>
      </c>
      <c r="AD41" s="97">
        <v>38.54788905194026</v>
      </c>
      <c r="AE41" s="97">
        <v>25441.606774280572</v>
      </c>
      <c r="AF41" s="97">
        <v>16.914434700066284</v>
      </c>
      <c r="AG41" s="97">
        <v>11163.526902043748</v>
      </c>
      <c r="AH41" s="97">
        <v>39</v>
      </c>
      <c r="AI41" s="97">
        <v>25740</v>
      </c>
      <c r="AJ41" s="97">
        <v>20</v>
      </c>
      <c r="AK41" s="97">
        <v>13200</v>
      </c>
      <c r="AL41" s="97">
        <v>28</v>
      </c>
      <c r="AM41" s="97">
        <v>18480</v>
      </c>
      <c r="AN41" s="97">
        <v>26</v>
      </c>
      <c r="AO41" s="97">
        <v>17160</v>
      </c>
      <c r="AP41" s="97">
        <v>29</v>
      </c>
      <c r="AQ41" s="97">
        <v>19140</v>
      </c>
      <c r="AR41" s="97">
        <v>14</v>
      </c>
      <c r="AS41" s="97">
        <v>9240</v>
      </c>
      <c r="AT41" s="97">
        <v>19</v>
      </c>
      <c r="AU41" s="97">
        <v>12540</v>
      </c>
      <c r="AV41" s="97">
        <v>18</v>
      </c>
      <c r="AW41" s="97">
        <v>11880</v>
      </c>
      <c r="AX41" s="97">
        <v>12</v>
      </c>
      <c r="AY41" s="97">
        <v>7920</v>
      </c>
      <c r="AZ41" s="97">
        <v>21</v>
      </c>
      <c r="BA41" s="97">
        <v>13860</v>
      </c>
      <c r="BB41" s="97">
        <v>17</v>
      </c>
      <c r="BC41" s="97">
        <v>11220</v>
      </c>
      <c r="BD41" s="97">
        <v>11</v>
      </c>
      <c r="BE41" s="97">
        <v>7260</v>
      </c>
      <c r="BF41" s="97">
        <v>13</v>
      </c>
      <c r="BG41" s="97">
        <v>8580</v>
      </c>
      <c r="BH41" s="97">
        <v>12</v>
      </c>
      <c r="BI41" s="97">
        <v>7920</v>
      </c>
      <c r="BJ41" s="97">
        <v>11</v>
      </c>
      <c r="BK41" s="97">
        <v>7260</v>
      </c>
      <c r="BL41" s="97">
        <v>12</v>
      </c>
      <c r="BM41" s="97">
        <v>7920</v>
      </c>
      <c r="BN41" s="97">
        <v>13</v>
      </c>
      <c r="BO41" s="97">
        <v>8580</v>
      </c>
      <c r="BP41" s="97">
        <v>8</v>
      </c>
      <c r="BQ41" s="97">
        <v>5280</v>
      </c>
      <c r="BR41" s="97">
        <v>11</v>
      </c>
      <c r="BS41" s="97">
        <v>7260</v>
      </c>
      <c r="BT41" s="97">
        <v>10</v>
      </c>
      <c r="BU41" s="97">
        <v>6600</v>
      </c>
      <c r="BV41" s="97">
        <v>9</v>
      </c>
      <c r="BW41" s="97">
        <v>5940</v>
      </c>
      <c r="BX41" s="97">
        <v>9</v>
      </c>
      <c r="BY41" s="97">
        <v>5940</v>
      </c>
      <c r="BZ41" s="97">
        <v>10</v>
      </c>
      <c r="CA41" s="97">
        <v>6600</v>
      </c>
      <c r="CB41" s="97">
        <v>9</v>
      </c>
      <c r="CC41" s="97">
        <v>5940</v>
      </c>
      <c r="CD41" s="97">
        <v>7</v>
      </c>
      <c r="CE41" s="97">
        <v>4620</v>
      </c>
      <c r="CF41" s="97">
        <v>8</v>
      </c>
      <c r="CG41" s="97">
        <v>5280</v>
      </c>
      <c r="CH41" s="97">
        <v>7</v>
      </c>
      <c r="CI41" s="97">
        <v>4620</v>
      </c>
      <c r="CJ41" s="97">
        <v>6</v>
      </c>
      <c r="CK41" s="97">
        <v>3960</v>
      </c>
      <c r="CL41" s="97">
        <v>5</v>
      </c>
      <c r="CM41" s="97">
        <v>3300</v>
      </c>
      <c r="CN41" s="97">
        <v>4</v>
      </c>
      <c r="CO41" s="97">
        <v>2640</v>
      </c>
      <c r="CP41" s="97">
        <v>8</v>
      </c>
      <c r="CQ41" s="97">
        <v>5280</v>
      </c>
      <c r="CR41" s="97">
        <v>7</v>
      </c>
      <c r="CS41" s="97">
        <v>4620</v>
      </c>
      <c r="CT41" s="97">
        <v>8</v>
      </c>
      <c r="CU41" s="97">
        <v>5280</v>
      </c>
    </row>
    <row r="42" spans="2:99" x14ac:dyDescent="0.15">
      <c r="C42" s="96" t="s">
        <v>207</v>
      </c>
      <c r="D42" s="97">
        <v>0</v>
      </c>
      <c r="E42" s="97">
        <v>0</v>
      </c>
      <c r="F42" s="97">
        <v>0</v>
      </c>
      <c r="G42" s="97">
        <v>0</v>
      </c>
      <c r="H42" s="97">
        <v>25.664350494974233</v>
      </c>
      <c r="I42" s="97">
        <v>21712.040518748199</v>
      </c>
      <c r="J42" s="97">
        <v>1.5842055185537582</v>
      </c>
      <c r="K42" s="97">
        <v>1340.2378686964794</v>
      </c>
      <c r="L42" s="97">
        <v>68.209227730520993</v>
      </c>
      <c r="M42" s="97">
        <v>57705.006660020757</v>
      </c>
      <c r="N42" s="97">
        <v>2.8431322203715492</v>
      </c>
      <c r="O42" s="97">
        <v>2405.2898584343307</v>
      </c>
      <c r="P42" s="97">
        <v>13.995374385660595</v>
      </c>
      <c r="Q42" s="97">
        <v>11840.086730268864</v>
      </c>
      <c r="R42" s="97">
        <v>82.623617747025804</v>
      </c>
      <c r="S42" s="97">
        <v>69899.580613983824</v>
      </c>
      <c r="T42" s="97">
        <v>45.683950706320545</v>
      </c>
      <c r="U42" s="97">
        <v>38648.622297547183</v>
      </c>
      <c r="V42" s="97">
        <v>33.703106805233944</v>
      </c>
      <c r="W42" s="97">
        <v>28512.828357227918</v>
      </c>
      <c r="X42" s="97">
        <v>28.769675439509985</v>
      </c>
      <c r="Y42" s="97">
        <v>24339.145421825448</v>
      </c>
      <c r="Z42" s="97">
        <v>21.254981801534726</v>
      </c>
      <c r="AA42" s="97">
        <v>17981.714604098379</v>
      </c>
      <c r="AB42" s="97">
        <v>34.67865767348168</v>
      </c>
      <c r="AC42" s="97">
        <v>29338.144391765501</v>
      </c>
      <c r="AD42" s="97">
        <v>43.136923462885527</v>
      </c>
      <c r="AE42" s="97">
        <v>36493.837249601158</v>
      </c>
      <c r="AF42" s="97">
        <v>14.498086885771102</v>
      </c>
      <c r="AG42" s="97">
        <v>12265.381505362351</v>
      </c>
      <c r="AH42" s="97">
        <v>42</v>
      </c>
      <c r="AI42" s="97">
        <v>35532</v>
      </c>
      <c r="AJ42" s="97">
        <v>19</v>
      </c>
      <c r="AK42" s="97">
        <v>16074</v>
      </c>
      <c r="AL42" s="97">
        <v>28</v>
      </c>
      <c r="AM42" s="97">
        <v>23688</v>
      </c>
      <c r="AN42" s="97">
        <v>28</v>
      </c>
      <c r="AO42" s="97">
        <v>23688</v>
      </c>
      <c r="AP42" s="97">
        <v>28</v>
      </c>
      <c r="AQ42" s="97">
        <v>23688</v>
      </c>
      <c r="AR42" s="97">
        <v>12</v>
      </c>
      <c r="AS42" s="97">
        <v>10152</v>
      </c>
      <c r="AT42" s="97">
        <v>20</v>
      </c>
      <c r="AU42" s="97">
        <v>16920</v>
      </c>
      <c r="AV42" s="97">
        <v>16</v>
      </c>
      <c r="AW42" s="97">
        <v>13536</v>
      </c>
      <c r="AX42" s="97">
        <v>13</v>
      </c>
      <c r="AY42" s="97">
        <v>10998</v>
      </c>
      <c r="AZ42" s="97">
        <v>20</v>
      </c>
      <c r="BA42" s="97">
        <v>16920</v>
      </c>
      <c r="BB42" s="97">
        <v>16</v>
      </c>
      <c r="BC42" s="97">
        <v>13536</v>
      </c>
      <c r="BD42" s="97">
        <v>10</v>
      </c>
      <c r="BE42" s="97">
        <v>8460</v>
      </c>
      <c r="BF42" s="97">
        <v>13</v>
      </c>
      <c r="BG42" s="97">
        <v>10998</v>
      </c>
      <c r="BH42" s="97">
        <v>10</v>
      </c>
      <c r="BI42" s="97">
        <v>8460</v>
      </c>
      <c r="BJ42" s="97">
        <v>11</v>
      </c>
      <c r="BK42" s="97">
        <v>9306</v>
      </c>
      <c r="BL42" s="97">
        <v>12</v>
      </c>
      <c r="BM42" s="97">
        <v>10152</v>
      </c>
      <c r="BN42" s="97">
        <v>12</v>
      </c>
      <c r="BO42" s="97">
        <v>10152</v>
      </c>
      <c r="BP42" s="97">
        <v>9</v>
      </c>
      <c r="BQ42" s="97">
        <v>7614</v>
      </c>
      <c r="BR42" s="97">
        <v>12</v>
      </c>
      <c r="BS42" s="97">
        <v>10152</v>
      </c>
      <c r="BT42" s="97">
        <v>8</v>
      </c>
      <c r="BU42" s="97">
        <v>6768</v>
      </c>
      <c r="BV42" s="97">
        <v>7</v>
      </c>
      <c r="BW42" s="97">
        <v>5922</v>
      </c>
      <c r="BX42" s="97">
        <v>10</v>
      </c>
      <c r="BY42" s="97">
        <v>8460</v>
      </c>
      <c r="BZ42" s="97">
        <v>9</v>
      </c>
      <c r="CA42" s="97">
        <v>7614</v>
      </c>
      <c r="CB42" s="97">
        <v>9</v>
      </c>
      <c r="CC42" s="97">
        <v>7614</v>
      </c>
      <c r="CD42" s="97">
        <v>7</v>
      </c>
      <c r="CE42" s="97">
        <v>5922</v>
      </c>
      <c r="CF42" s="97">
        <v>8</v>
      </c>
      <c r="CG42" s="97">
        <v>6768</v>
      </c>
      <c r="CH42" s="97">
        <v>7</v>
      </c>
      <c r="CI42" s="97">
        <v>5922</v>
      </c>
      <c r="CJ42" s="97">
        <v>7</v>
      </c>
      <c r="CK42" s="97">
        <v>5922</v>
      </c>
      <c r="CL42" s="97">
        <v>6</v>
      </c>
      <c r="CM42" s="97">
        <v>5076</v>
      </c>
      <c r="CN42" s="97">
        <v>5</v>
      </c>
      <c r="CO42" s="97">
        <v>4230</v>
      </c>
      <c r="CP42" s="97">
        <v>8</v>
      </c>
      <c r="CQ42" s="97">
        <v>6768</v>
      </c>
      <c r="CR42" s="97">
        <v>7</v>
      </c>
      <c r="CS42" s="97">
        <v>5922</v>
      </c>
      <c r="CT42" s="97">
        <v>8</v>
      </c>
      <c r="CU42" s="97">
        <v>6768</v>
      </c>
    </row>
    <row r="43" spans="2:99" x14ac:dyDescent="0.15">
      <c r="C43" s="96" t="s">
        <v>208</v>
      </c>
      <c r="D43" s="97">
        <v>0</v>
      </c>
      <c r="E43" s="97">
        <v>0</v>
      </c>
      <c r="F43" s="97">
        <v>0</v>
      </c>
      <c r="G43" s="97">
        <v>0</v>
      </c>
      <c r="H43" s="97">
        <v>24.251633953966476</v>
      </c>
      <c r="I43" s="97">
        <v>24794.870554535322</v>
      </c>
      <c r="J43" s="97">
        <v>1.3986679352997147</v>
      </c>
      <c r="K43" s="97">
        <v>1429.9980970504282</v>
      </c>
      <c r="L43" s="97">
        <v>59.9912484858799</v>
      </c>
      <c r="M43" s="97">
        <v>61335.052451963609</v>
      </c>
      <c r="N43" s="97">
        <v>3.059066313057996</v>
      </c>
      <c r="O43" s="97">
        <v>3127.5893984704949</v>
      </c>
      <c r="P43" s="97">
        <v>12.804278693263949</v>
      </c>
      <c r="Q43" s="97">
        <v>13091.094535993061</v>
      </c>
      <c r="R43" s="97">
        <v>76.650826102662506</v>
      </c>
      <c r="S43" s="97">
        <v>78367.804607362152</v>
      </c>
      <c r="T43" s="97">
        <v>39.637545465778118</v>
      </c>
      <c r="U43" s="97">
        <v>40525.426484211544</v>
      </c>
      <c r="V43" s="97">
        <v>30.15541135205142</v>
      </c>
      <c r="W43" s="97">
        <v>30830.89256633737</v>
      </c>
      <c r="X43" s="97">
        <v>28.769675439509985</v>
      </c>
      <c r="Y43" s="97">
        <v>29414.116169355009</v>
      </c>
      <c r="Z43" s="97">
        <v>20.680522833925682</v>
      </c>
      <c r="AA43" s="97">
        <v>21143.766545405619</v>
      </c>
      <c r="AB43" s="97">
        <v>37.568545812938488</v>
      </c>
      <c r="AC43" s="97">
        <v>38410.081239148312</v>
      </c>
      <c r="AD43" s="97">
        <v>38.54788905194026</v>
      </c>
      <c r="AE43" s="97">
        <v>39411.361766703718</v>
      </c>
      <c r="AF43" s="97">
        <v>15.706260792918693</v>
      </c>
      <c r="AG43" s="97">
        <v>16058.081034680072</v>
      </c>
      <c r="AH43" s="97">
        <v>38</v>
      </c>
      <c r="AI43" s="97">
        <v>38851.199999999997</v>
      </c>
      <c r="AJ43" s="97">
        <v>17</v>
      </c>
      <c r="AK43" s="97">
        <v>17380.8</v>
      </c>
      <c r="AL43" s="97">
        <v>25</v>
      </c>
      <c r="AM43" s="97">
        <v>25560</v>
      </c>
      <c r="AN43" s="97">
        <v>25</v>
      </c>
      <c r="AO43" s="97">
        <v>25560</v>
      </c>
      <c r="AP43" s="97">
        <v>28</v>
      </c>
      <c r="AQ43" s="97">
        <v>28627.200000000001</v>
      </c>
      <c r="AR43" s="97">
        <v>14</v>
      </c>
      <c r="AS43" s="97">
        <v>14313.6</v>
      </c>
      <c r="AT43" s="97">
        <v>22</v>
      </c>
      <c r="AU43" s="97">
        <v>22492.799999999999</v>
      </c>
      <c r="AV43" s="97">
        <v>16</v>
      </c>
      <c r="AW43" s="97">
        <v>16358.4</v>
      </c>
      <c r="AX43" s="97">
        <v>13</v>
      </c>
      <c r="AY43" s="97">
        <v>13291.199999999999</v>
      </c>
      <c r="AZ43" s="97">
        <v>19</v>
      </c>
      <c r="BA43" s="97">
        <v>19425.599999999999</v>
      </c>
      <c r="BB43" s="97">
        <v>17</v>
      </c>
      <c r="BC43" s="97">
        <v>17380.8</v>
      </c>
      <c r="BD43" s="97">
        <v>11</v>
      </c>
      <c r="BE43" s="97">
        <v>11246.4</v>
      </c>
      <c r="BF43" s="97">
        <v>14</v>
      </c>
      <c r="BG43" s="97">
        <v>14313.6</v>
      </c>
      <c r="BH43" s="97">
        <v>11</v>
      </c>
      <c r="BI43" s="97">
        <v>11246.4</v>
      </c>
      <c r="BJ43" s="97">
        <v>11</v>
      </c>
      <c r="BK43" s="97">
        <v>11246.4</v>
      </c>
      <c r="BL43" s="97">
        <v>11</v>
      </c>
      <c r="BM43" s="97">
        <v>11246.4</v>
      </c>
      <c r="BN43" s="97">
        <v>11</v>
      </c>
      <c r="BO43" s="97">
        <v>11246.4</v>
      </c>
      <c r="BP43" s="97">
        <v>9</v>
      </c>
      <c r="BQ43" s="97">
        <v>9201.6</v>
      </c>
      <c r="BR43" s="97">
        <v>10</v>
      </c>
      <c r="BS43" s="97">
        <v>10224</v>
      </c>
      <c r="BT43" s="97">
        <v>9</v>
      </c>
      <c r="BU43" s="97">
        <v>9201.6</v>
      </c>
      <c r="BV43" s="97">
        <v>9</v>
      </c>
      <c r="BW43" s="97">
        <v>9201.6</v>
      </c>
      <c r="BX43" s="97">
        <v>9</v>
      </c>
      <c r="BY43" s="97">
        <v>9201.6</v>
      </c>
      <c r="BZ43" s="97">
        <v>10</v>
      </c>
      <c r="CA43" s="97">
        <v>10224</v>
      </c>
      <c r="CB43" s="97">
        <v>9</v>
      </c>
      <c r="CC43" s="97">
        <v>9201.6</v>
      </c>
      <c r="CD43" s="97">
        <v>7</v>
      </c>
      <c r="CE43" s="97">
        <v>7156.8</v>
      </c>
      <c r="CF43" s="97">
        <v>9</v>
      </c>
      <c r="CG43" s="97">
        <v>9201.6</v>
      </c>
      <c r="CH43" s="97">
        <v>7</v>
      </c>
      <c r="CI43" s="97">
        <v>7156.8</v>
      </c>
      <c r="CJ43" s="97">
        <v>7</v>
      </c>
      <c r="CK43" s="97">
        <v>7156.8</v>
      </c>
      <c r="CL43" s="97">
        <v>5</v>
      </c>
      <c r="CM43" s="97">
        <v>5112</v>
      </c>
      <c r="CN43" s="97">
        <v>4</v>
      </c>
      <c r="CO43" s="97">
        <v>4089.6</v>
      </c>
      <c r="CP43" s="97">
        <v>8</v>
      </c>
      <c r="CQ43" s="97">
        <v>8179.2</v>
      </c>
      <c r="CR43" s="97">
        <v>7</v>
      </c>
      <c r="CS43" s="97">
        <v>7156.8</v>
      </c>
      <c r="CT43" s="97">
        <v>9</v>
      </c>
      <c r="CU43" s="97">
        <v>9201.6</v>
      </c>
    </row>
    <row r="44" spans="2:99" x14ac:dyDescent="0.15">
      <c r="C44" s="96" t="s">
        <v>209</v>
      </c>
      <c r="D44" s="97">
        <v>0</v>
      </c>
      <c r="E44" s="97">
        <v>0</v>
      </c>
      <c r="F44" s="97">
        <v>0</v>
      </c>
      <c r="G44" s="97">
        <v>0</v>
      </c>
      <c r="H44" s="97">
        <v>25.428897738139607</v>
      </c>
      <c r="I44" s="97">
        <v>25998.505047473933</v>
      </c>
      <c r="J44" s="97">
        <v>1.3273073263558515</v>
      </c>
      <c r="K44" s="97">
        <v>1357.0390104662224</v>
      </c>
      <c r="L44" s="97">
        <v>62.456642259272236</v>
      </c>
      <c r="M44" s="97">
        <v>63855.671045879935</v>
      </c>
      <c r="N44" s="97">
        <v>2.5912091122373613</v>
      </c>
      <c r="O44" s="97">
        <v>2649.2521963514782</v>
      </c>
      <c r="P44" s="97">
        <v>13.399826539462273</v>
      </c>
      <c r="Q44" s="97">
        <v>13699.982653946228</v>
      </c>
      <c r="R44" s="97">
        <v>76.650826102662506</v>
      </c>
      <c r="S44" s="97">
        <v>78367.804607362152</v>
      </c>
      <c r="T44" s="97">
        <v>40.309368270282832</v>
      </c>
      <c r="U44" s="97">
        <v>41212.298119537169</v>
      </c>
      <c r="V44" s="97">
        <v>29.564128776520999</v>
      </c>
      <c r="W44" s="97">
        <v>30226.365261115068</v>
      </c>
      <c r="X44" s="97">
        <v>28.769675439509985</v>
      </c>
      <c r="Y44" s="97">
        <v>29414.116169355009</v>
      </c>
      <c r="Z44" s="97">
        <v>20.680522833925682</v>
      </c>
      <c r="AA44" s="97">
        <v>21143.766545405619</v>
      </c>
      <c r="AB44" s="97">
        <v>33.715361626996078</v>
      </c>
      <c r="AC44" s="97">
        <v>34470.58572744079</v>
      </c>
      <c r="AD44" s="97">
        <v>39.465695934129315</v>
      </c>
      <c r="AE44" s="97">
        <v>40349.727523053807</v>
      </c>
      <c r="AF44" s="97">
        <v>15.706260792918693</v>
      </c>
      <c r="AG44" s="97">
        <v>16058.081034680072</v>
      </c>
      <c r="AH44" s="97">
        <v>38</v>
      </c>
      <c r="AI44" s="97">
        <v>38851.199999999997</v>
      </c>
      <c r="AJ44" s="97">
        <v>19</v>
      </c>
      <c r="AK44" s="97">
        <v>19425.599999999999</v>
      </c>
      <c r="AL44" s="97">
        <v>26</v>
      </c>
      <c r="AM44" s="97">
        <v>26582.399999999998</v>
      </c>
      <c r="AN44" s="97">
        <v>25</v>
      </c>
      <c r="AO44" s="97">
        <v>25560</v>
      </c>
      <c r="AP44" s="97">
        <v>31</v>
      </c>
      <c r="AQ44" s="97">
        <v>31694.399999999998</v>
      </c>
      <c r="AR44" s="97">
        <v>13</v>
      </c>
      <c r="AS44" s="97">
        <v>13291.199999999999</v>
      </c>
      <c r="AT44" s="97">
        <v>19</v>
      </c>
      <c r="AU44" s="97">
        <v>19425.599999999999</v>
      </c>
      <c r="AV44" s="97">
        <v>15</v>
      </c>
      <c r="AW44" s="97">
        <v>15336</v>
      </c>
      <c r="AX44" s="97">
        <v>13</v>
      </c>
      <c r="AY44" s="97">
        <v>13291.199999999999</v>
      </c>
      <c r="AZ44" s="97">
        <v>21</v>
      </c>
      <c r="BA44" s="97">
        <v>21470.399999999998</v>
      </c>
      <c r="BB44" s="97">
        <v>17</v>
      </c>
      <c r="BC44" s="97">
        <v>17380.8</v>
      </c>
      <c r="BD44" s="97">
        <v>11</v>
      </c>
      <c r="BE44" s="97">
        <v>11246.4</v>
      </c>
      <c r="BF44" s="97">
        <v>13</v>
      </c>
      <c r="BG44" s="97">
        <v>13291.199999999999</v>
      </c>
      <c r="BH44" s="97">
        <v>10</v>
      </c>
      <c r="BI44" s="97">
        <v>10224</v>
      </c>
      <c r="BJ44" s="97">
        <v>10</v>
      </c>
      <c r="BK44" s="97">
        <v>10224</v>
      </c>
      <c r="BL44" s="97">
        <v>12</v>
      </c>
      <c r="BM44" s="97">
        <v>12268.8</v>
      </c>
      <c r="BN44" s="97">
        <v>12</v>
      </c>
      <c r="BO44" s="97">
        <v>12268.8</v>
      </c>
      <c r="BP44" s="97">
        <v>8</v>
      </c>
      <c r="BQ44" s="97">
        <v>8179.2</v>
      </c>
      <c r="BR44" s="97">
        <v>11</v>
      </c>
      <c r="BS44" s="97">
        <v>11246.4</v>
      </c>
      <c r="BT44" s="97">
        <v>8</v>
      </c>
      <c r="BU44" s="97">
        <v>8179.2</v>
      </c>
      <c r="BV44" s="97">
        <v>7</v>
      </c>
      <c r="BW44" s="97">
        <v>7156.8</v>
      </c>
      <c r="BX44" s="97">
        <v>9</v>
      </c>
      <c r="BY44" s="97">
        <v>9201.6</v>
      </c>
      <c r="BZ44" s="97">
        <v>10</v>
      </c>
      <c r="CA44" s="97">
        <v>10224</v>
      </c>
      <c r="CB44" s="97">
        <v>10</v>
      </c>
      <c r="CC44" s="97">
        <v>10224</v>
      </c>
      <c r="CD44" s="97">
        <v>7</v>
      </c>
      <c r="CE44" s="97">
        <v>7156.8</v>
      </c>
      <c r="CF44" s="97">
        <v>8</v>
      </c>
      <c r="CG44" s="97">
        <v>8179.2</v>
      </c>
      <c r="CH44" s="97">
        <v>7</v>
      </c>
      <c r="CI44" s="97">
        <v>7156.8</v>
      </c>
      <c r="CJ44" s="97">
        <v>7</v>
      </c>
      <c r="CK44" s="97">
        <v>7156.8</v>
      </c>
      <c r="CL44" s="97">
        <v>6</v>
      </c>
      <c r="CM44" s="97">
        <v>6134.4</v>
      </c>
      <c r="CN44" s="97">
        <v>4</v>
      </c>
      <c r="CO44" s="97">
        <v>4089.6</v>
      </c>
      <c r="CP44" s="97">
        <v>7</v>
      </c>
      <c r="CQ44" s="97">
        <v>7156.8</v>
      </c>
      <c r="CR44" s="97">
        <v>7</v>
      </c>
      <c r="CS44" s="97">
        <v>7156.8</v>
      </c>
      <c r="CT44" s="97">
        <v>8</v>
      </c>
      <c r="CU44" s="97">
        <v>8179.2</v>
      </c>
    </row>
    <row r="45" spans="2:99" x14ac:dyDescent="0.15">
      <c r="C45" s="96" t="s">
        <v>210</v>
      </c>
      <c r="D45" s="97">
        <v>0</v>
      </c>
      <c r="E45" s="97">
        <v>0</v>
      </c>
      <c r="F45" s="97">
        <v>0</v>
      </c>
      <c r="G45" s="97">
        <v>0</v>
      </c>
      <c r="H45" s="97">
        <v>24.957992224470356</v>
      </c>
      <c r="I45" s="97">
        <v>31177.523886808369</v>
      </c>
      <c r="J45" s="97">
        <v>1.2987630827783063</v>
      </c>
      <c r="K45" s="97">
        <v>1622.4148430066602</v>
      </c>
      <c r="L45" s="97">
        <v>64.100238108200458</v>
      </c>
      <c r="M45" s="97">
        <v>80074.017444764017</v>
      </c>
      <c r="N45" s="97">
        <v>2.9151102512670315</v>
      </c>
      <c r="O45" s="97">
        <v>3641.5557258827757</v>
      </c>
      <c r="P45" s="97">
        <v>12.208730847065628</v>
      </c>
      <c r="Q45" s="97">
        <v>15251.146574154382</v>
      </c>
      <c r="R45" s="97">
        <v>77.646291376723056</v>
      </c>
      <c r="S45" s="97">
        <v>96995.747187802452</v>
      </c>
      <c r="T45" s="97">
        <v>37.622077052263975</v>
      </c>
      <c r="U45" s="97">
        <v>46997.498653688162</v>
      </c>
      <c r="V45" s="97">
        <v>28.38156362546016</v>
      </c>
      <c r="W45" s="97">
        <v>35454.249280924836</v>
      </c>
      <c r="X45" s="97">
        <v>29.471374840473644</v>
      </c>
      <c r="Y45" s="97">
        <v>36815.641450719675</v>
      </c>
      <c r="Z45" s="97">
        <v>20.106063866316632</v>
      </c>
      <c r="AA45" s="97">
        <v>25116.494981802738</v>
      </c>
      <c r="AB45" s="97">
        <v>34.67865767348168</v>
      </c>
      <c r="AC45" s="97">
        <v>43320.579165713316</v>
      </c>
      <c r="AD45" s="97">
        <v>35.794468405373102</v>
      </c>
      <c r="AE45" s="97">
        <v>44714.44993199208</v>
      </c>
      <c r="AF45" s="97">
        <v>15.102173839344898</v>
      </c>
      <c r="AG45" s="97">
        <v>18865.635560109647</v>
      </c>
      <c r="AH45" s="97">
        <v>38</v>
      </c>
      <c r="AI45" s="97">
        <v>47469.599999999999</v>
      </c>
      <c r="AJ45" s="97">
        <v>18</v>
      </c>
      <c r="AK45" s="97">
        <v>22485.600000000002</v>
      </c>
      <c r="AL45" s="97">
        <v>23</v>
      </c>
      <c r="AM45" s="97">
        <v>28731.600000000002</v>
      </c>
      <c r="AN45" s="97">
        <v>24</v>
      </c>
      <c r="AO45" s="97">
        <v>29980.800000000003</v>
      </c>
      <c r="AP45" s="97">
        <v>29</v>
      </c>
      <c r="AQ45" s="97">
        <v>36226.800000000003</v>
      </c>
      <c r="AR45" s="97">
        <v>12</v>
      </c>
      <c r="AS45" s="97">
        <v>14990.400000000001</v>
      </c>
      <c r="AT45" s="97">
        <v>21</v>
      </c>
      <c r="AU45" s="97">
        <v>26233.200000000001</v>
      </c>
      <c r="AV45" s="97">
        <v>16</v>
      </c>
      <c r="AW45" s="97">
        <v>19987.2</v>
      </c>
      <c r="AX45" s="97">
        <v>13</v>
      </c>
      <c r="AY45" s="97">
        <v>16239.6</v>
      </c>
      <c r="AZ45" s="97">
        <v>19</v>
      </c>
      <c r="BA45" s="97">
        <v>23734.799999999999</v>
      </c>
      <c r="BB45" s="97">
        <v>16</v>
      </c>
      <c r="BC45" s="97">
        <v>19987.2</v>
      </c>
      <c r="BD45" s="97">
        <v>12</v>
      </c>
      <c r="BE45" s="97">
        <v>14990.400000000001</v>
      </c>
      <c r="BF45" s="97">
        <v>15</v>
      </c>
      <c r="BG45" s="97">
        <v>18738</v>
      </c>
      <c r="BH45" s="97">
        <v>10</v>
      </c>
      <c r="BI45" s="97">
        <v>12492</v>
      </c>
      <c r="BJ45" s="97">
        <v>11</v>
      </c>
      <c r="BK45" s="97">
        <v>13741.2</v>
      </c>
      <c r="BL45" s="97">
        <v>11</v>
      </c>
      <c r="BM45" s="97">
        <v>13741.2</v>
      </c>
      <c r="BN45" s="97">
        <v>12</v>
      </c>
      <c r="BO45" s="97">
        <v>14990.400000000001</v>
      </c>
      <c r="BP45" s="97">
        <v>9</v>
      </c>
      <c r="BQ45" s="97">
        <v>11242.800000000001</v>
      </c>
      <c r="BR45" s="97">
        <v>11</v>
      </c>
      <c r="BS45" s="97">
        <v>13741.2</v>
      </c>
      <c r="BT45" s="97">
        <v>9</v>
      </c>
      <c r="BU45" s="97">
        <v>11242.800000000001</v>
      </c>
      <c r="BV45" s="97">
        <v>8</v>
      </c>
      <c r="BW45" s="97">
        <v>9993.6</v>
      </c>
      <c r="BX45" s="97">
        <v>9</v>
      </c>
      <c r="BY45" s="97">
        <v>11242.800000000001</v>
      </c>
      <c r="BZ45" s="97">
        <v>9</v>
      </c>
      <c r="CA45" s="97">
        <v>11242.800000000001</v>
      </c>
      <c r="CB45" s="97">
        <v>9</v>
      </c>
      <c r="CC45" s="97">
        <v>11242.800000000001</v>
      </c>
      <c r="CD45" s="97">
        <v>6</v>
      </c>
      <c r="CE45" s="97">
        <v>7495.2000000000007</v>
      </c>
      <c r="CF45" s="97">
        <v>8</v>
      </c>
      <c r="CG45" s="97">
        <v>9993.6</v>
      </c>
      <c r="CH45" s="97">
        <v>7</v>
      </c>
      <c r="CI45" s="97">
        <v>8744.4</v>
      </c>
      <c r="CJ45" s="97">
        <v>6</v>
      </c>
      <c r="CK45" s="97">
        <v>7495.2000000000007</v>
      </c>
      <c r="CL45" s="97">
        <v>5</v>
      </c>
      <c r="CM45" s="97">
        <v>6246</v>
      </c>
      <c r="CN45" s="97">
        <v>4</v>
      </c>
      <c r="CO45" s="97">
        <v>4996.8</v>
      </c>
      <c r="CP45" s="97">
        <v>8</v>
      </c>
      <c r="CQ45" s="97">
        <v>9993.6</v>
      </c>
      <c r="CR45" s="97">
        <v>6</v>
      </c>
      <c r="CS45" s="97">
        <v>7495.2000000000007</v>
      </c>
      <c r="CT45" s="97">
        <v>8</v>
      </c>
      <c r="CU45" s="97">
        <v>9993.6</v>
      </c>
    </row>
    <row r="46" spans="2:99" x14ac:dyDescent="0.15">
      <c r="C46" s="96" t="s">
        <v>211</v>
      </c>
      <c r="D46" s="97">
        <v>0</v>
      </c>
      <c r="E46" s="97">
        <v>0</v>
      </c>
      <c r="F46" s="97">
        <v>0</v>
      </c>
      <c r="G46" s="97">
        <v>0</v>
      </c>
      <c r="H46" s="97">
        <v>25.193444981304978</v>
      </c>
      <c r="I46" s="97">
        <v>30534.455317341635</v>
      </c>
      <c r="J46" s="97">
        <v>1.313035204567079</v>
      </c>
      <c r="K46" s="97">
        <v>1591.3986679352997</v>
      </c>
      <c r="L46" s="97">
        <v>66.565631881592779</v>
      </c>
      <c r="M46" s="97">
        <v>80677.545840490449</v>
      </c>
      <c r="N46" s="97">
        <v>2.8791212358192904</v>
      </c>
      <c r="O46" s="97">
        <v>3489.49493781298</v>
      </c>
      <c r="P46" s="97">
        <v>12.506504770164788</v>
      </c>
      <c r="Q46" s="97">
        <v>15157.883781439723</v>
      </c>
      <c r="R46" s="97">
        <v>79.637221924844155</v>
      </c>
      <c r="S46" s="97">
        <v>96520.31297291111</v>
      </c>
      <c r="T46" s="97">
        <v>38.965722661273411</v>
      </c>
      <c r="U46" s="97">
        <v>47226.455865463373</v>
      </c>
      <c r="V46" s="97">
        <v>33.111824229703515</v>
      </c>
      <c r="W46" s="97">
        <v>40131.530966400664</v>
      </c>
      <c r="X46" s="97">
        <v>27.366276637582665</v>
      </c>
      <c r="Y46" s="97">
        <v>33167.927284750192</v>
      </c>
      <c r="Z46" s="97">
        <v>18.382686963489494</v>
      </c>
      <c r="AA46" s="97">
        <v>22279.816599749265</v>
      </c>
      <c r="AB46" s="97">
        <v>37.568545812938488</v>
      </c>
      <c r="AC46" s="97">
        <v>45533.077525281449</v>
      </c>
      <c r="AD46" s="97">
        <v>34.87666152318404</v>
      </c>
      <c r="AE46" s="97">
        <v>42270.513766099059</v>
      </c>
      <c r="AF46" s="97">
        <v>15.102173839344898</v>
      </c>
      <c r="AG46" s="97">
        <v>18303.834693286015</v>
      </c>
      <c r="AH46" s="97">
        <v>39</v>
      </c>
      <c r="AI46" s="97">
        <v>47268</v>
      </c>
      <c r="AJ46" s="97">
        <v>18</v>
      </c>
      <c r="AK46" s="97">
        <v>21816</v>
      </c>
      <c r="AL46" s="97">
        <v>23</v>
      </c>
      <c r="AM46" s="97">
        <v>27876</v>
      </c>
      <c r="AN46" s="97">
        <v>26</v>
      </c>
      <c r="AO46" s="97">
        <v>31512</v>
      </c>
      <c r="AP46" s="97">
        <v>31</v>
      </c>
      <c r="AQ46" s="97">
        <v>37572</v>
      </c>
      <c r="AR46" s="97">
        <v>13</v>
      </c>
      <c r="AS46" s="97">
        <v>15756</v>
      </c>
      <c r="AT46" s="97">
        <v>18</v>
      </c>
      <c r="AU46" s="97">
        <v>21816</v>
      </c>
      <c r="AV46" s="97">
        <v>16</v>
      </c>
      <c r="AW46" s="97">
        <v>19392</v>
      </c>
      <c r="AX46" s="97">
        <v>12</v>
      </c>
      <c r="AY46" s="97">
        <v>14544</v>
      </c>
      <c r="AZ46" s="97">
        <v>18</v>
      </c>
      <c r="BA46" s="97">
        <v>21816</v>
      </c>
      <c r="BB46" s="97">
        <v>17</v>
      </c>
      <c r="BC46" s="97">
        <v>20604</v>
      </c>
      <c r="BD46" s="97">
        <v>11</v>
      </c>
      <c r="BE46" s="97">
        <v>13332</v>
      </c>
      <c r="BF46" s="97">
        <v>13</v>
      </c>
      <c r="BG46" s="97">
        <v>15756</v>
      </c>
      <c r="BH46" s="97">
        <v>11</v>
      </c>
      <c r="BI46" s="97">
        <v>13332</v>
      </c>
      <c r="BJ46" s="97">
        <v>10</v>
      </c>
      <c r="BK46" s="97">
        <v>12120</v>
      </c>
      <c r="BL46" s="97">
        <v>11</v>
      </c>
      <c r="BM46" s="97">
        <v>13332</v>
      </c>
      <c r="BN46" s="97">
        <v>13</v>
      </c>
      <c r="BO46" s="97">
        <v>15756</v>
      </c>
      <c r="BP46" s="97">
        <v>9</v>
      </c>
      <c r="BQ46" s="97">
        <v>10908</v>
      </c>
      <c r="BR46" s="97">
        <v>12</v>
      </c>
      <c r="BS46" s="97">
        <v>14544</v>
      </c>
      <c r="BT46" s="97">
        <v>8</v>
      </c>
      <c r="BU46" s="97">
        <v>9696</v>
      </c>
      <c r="BV46" s="97">
        <v>7</v>
      </c>
      <c r="BW46" s="97">
        <v>8484</v>
      </c>
      <c r="BX46" s="97">
        <v>10</v>
      </c>
      <c r="BY46" s="97">
        <v>12120</v>
      </c>
      <c r="BZ46" s="97">
        <v>10</v>
      </c>
      <c r="CA46" s="97">
        <v>12120</v>
      </c>
      <c r="CB46" s="97">
        <v>10</v>
      </c>
      <c r="CC46" s="97">
        <v>12120</v>
      </c>
      <c r="CD46" s="97">
        <v>7</v>
      </c>
      <c r="CE46" s="97">
        <v>8484</v>
      </c>
      <c r="CF46" s="97">
        <v>9</v>
      </c>
      <c r="CG46" s="97">
        <v>10908</v>
      </c>
      <c r="CH46" s="97">
        <v>7</v>
      </c>
      <c r="CI46" s="97">
        <v>8484</v>
      </c>
      <c r="CJ46" s="97">
        <v>6</v>
      </c>
      <c r="CK46" s="97">
        <v>7272</v>
      </c>
      <c r="CL46" s="97">
        <v>5</v>
      </c>
      <c r="CM46" s="97">
        <v>6060</v>
      </c>
      <c r="CN46" s="97">
        <v>4</v>
      </c>
      <c r="CO46" s="97">
        <v>4848</v>
      </c>
      <c r="CP46" s="97">
        <v>8</v>
      </c>
      <c r="CQ46" s="97">
        <v>9696</v>
      </c>
      <c r="CR46" s="97">
        <v>7</v>
      </c>
      <c r="CS46" s="97">
        <v>8484</v>
      </c>
      <c r="CT46" s="97">
        <v>8</v>
      </c>
      <c r="CU46" s="97">
        <v>9696</v>
      </c>
    </row>
    <row r="47" spans="2:99" x14ac:dyDescent="0.15">
      <c r="C47" s="96" t="s">
        <v>212</v>
      </c>
      <c r="D47" s="97">
        <v>0</v>
      </c>
      <c r="E47" s="97">
        <v>0</v>
      </c>
      <c r="F47" s="97">
        <v>0</v>
      </c>
      <c r="G47" s="97">
        <v>0</v>
      </c>
      <c r="H47" s="97">
        <v>24.251633953966476</v>
      </c>
      <c r="I47" s="97">
        <v>37046.796028079189</v>
      </c>
      <c r="J47" s="97">
        <v>1.2131303520456707</v>
      </c>
      <c r="K47" s="97">
        <v>1853.1779257849664</v>
      </c>
      <c r="L47" s="97">
        <v>61.634844334808122</v>
      </c>
      <c r="M47" s="97">
        <v>94153.388205852883</v>
      </c>
      <c r="N47" s="97">
        <v>2.5552200967896201</v>
      </c>
      <c r="O47" s="97">
        <v>3903.3542198558234</v>
      </c>
      <c r="P47" s="97">
        <v>12.506504770164788</v>
      </c>
      <c r="Q47" s="97">
        <v>19104.936686903729</v>
      </c>
      <c r="R47" s="97">
        <v>64.705242813935882</v>
      </c>
      <c r="S47" s="97">
        <v>98843.728922568451</v>
      </c>
      <c r="T47" s="97">
        <v>38.965722661273411</v>
      </c>
      <c r="U47" s="97">
        <v>59524.03793736126</v>
      </c>
      <c r="V47" s="97">
        <v>28.38156362546016</v>
      </c>
      <c r="W47" s="97">
        <v>43355.676594252938</v>
      </c>
      <c r="X47" s="97">
        <v>25.261178434691693</v>
      </c>
      <c r="Y47" s="97">
        <v>38588.976176835029</v>
      </c>
      <c r="Z47" s="97">
        <v>18.382686963489494</v>
      </c>
      <c r="AA47" s="97">
        <v>28081.39260542655</v>
      </c>
      <c r="AB47" s="97">
        <v>32.752065580510475</v>
      </c>
      <c r="AC47" s="97">
        <v>50032.055380787802</v>
      </c>
      <c r="AD47" s="97">
        <v>40.383502816318369</v>
      </c>
      <c r="AE47" s="97">
        <v>61689.838902207935</v>
      </c>
      <c r="AF47" s="97">
        <v>13.893999932197305</v>
      </c>
      <c r="AG47" s="97">
        <v>21224.474296424603</v>
      </c>
      <c r="AH47" s="97">
        <v>39</v>
      </c>
      <c r="AI47" s="97">
        <v>59576.399999999994</v>
      </c>
      <c r="AJ47" s="97">
        <v>18</v>
      </c>
      <c r="AK47" s="97">
        <v>27496.799999999999</v>
      </c>
      <c r="AL47" s="97">
        <v>25</v>
      </c>
      <c r="AM47" s="97">
        <v>38190</v>
      </c>
      <c r="AN47" s="97">
        <v>25</v>
      </c>
      <c r="AO47" s="97">
        <v>38190</v>
      </c>
      <c r="AP47" s="97">
        <v>28</v>
      </c>
      <c r="AQ47" s="97">
        <v>42772.799999999996</v>
      </c>
      <c r="AR47" s="97">
        <v>12</v>
      </c>
      <c r="AS47" s="97">
        <v>18331.199999999997</v>
      </c>
      <c r="AT47" s="97">
        <v>19</v>
      </c>
      <c r="AU47" s="97">
        <v>29024.399999999998</v>
      </c>
      <c r="AV47" s="97">
        <v>16</v>
      </c>
      <c r="AW47" s="97">
        <v>24441.599999999999</v>
      </c>
      <c r="AX47" s="97">
        <v>12</v>
      </c>
      <c r="AY47" s="97">
        <v>18331.199999999997</v>
      </c>
      <c r="AZ47" s="97">
        <v>19</v>
      </c>
      <c r="BA47" s="97">
        <v>29024.399999999998</v>
      </c>
      <c r="BB47" s="97">
        <v>17</v>
      </c>
      <c r="BC47" s="97">
        <v>25969.199999999997</v>
      </c>
      <c r="BD47" s="97">
        <v>10</v>
      </c>
      <c r="BE47" s="97">
        <v>15276</v>
      </c>
      <c r="BF47" s="97">
        <v>14</v>
      </c>
      <c r="BG47" s="97">
        <v>21386.399999999998</v>
      </c>
      <c r="BH47" s="97">
        <v>10</v>
      </c>
      <c r="BI47" s="97">
        <v>15276</v>
      </c>
      <c r="BJ47" s="97">
        <v>11</v>
      </c>
      <c r="BK47" s="97">
        <v>16803.599999999999</v>
      </c>
      <c r="BL47" s="97">
        <v>12</v>
      </c>
      <c r="BM47" s="97">
        <v>18331.199999999997</v>
      </c>
      <c r="BN47" s="97">
        <v>12</v>
      </c>
      <c r="BO47" s="97">
        <v>18331.199999999997</v>
      </c>
      <c r="BP47" s="97">
        <v>9</v>
      </c>
      <c r="BQ47" s="97">
        <v>13748.4</v>
      </c>
      <c r="BR47" s="97">
        <v>11</v>
      </c>
      <c r="BS47" s="97">
        <v>16803.599999999999</v>
      </c>
      <c r="BT47" s="97">
        <v>9</v>
      </c>
      <c r="BU47" s="97">
        <v>13748.4</v>
      </c>
      <c r="BV47" s="97">
        <v>8</v>
      </c>
      <c r="BW47" s="97">
        <v>12220.8</v>
      </c>
      <c r="BX47" s="97">
        <v>9</v>
      </c>
      <c r="BY47" s="97">
        <v>13748.4</v>
      </c>
      <c r="BZ47" s="97">
        <v>8</v>
      </c>
      <c r="CA47" s="97">
        <v>12220.8</v>
      </c>
      <c r="CB47" s="97">
        <v>9</v>
      </c>
      <c r="CC47" s="97">
        <v>13748.4</v>
      </c>
      <c r="CD47" s="97">
        <v>6</v>
      </c>
      <c r="CE47" s="97">
        <v>9165.5999999999985</v>
      </c>
      <c r="CF47" s="97">
        <v>7</v>
      </c>
      <c r="CG47" s="97">
        <v>10693.199999999999</v>
      </c>
      <c r="CH47" s="97">
        <v>7</v>
      </c>
      <c r="CI47" s="97">
        <v>10693.199999999999</v>
      </c>
      <c r="CJ47" s="97">
        <v>7</v>
      </c>
      <c r="CK47" s="97">
        <v>10693.199999999999</v>
      </c>
      <c r="CL47" s="97">
        <v>6</v>
      </c>
      <c r="CM47" s="97">
        <v>9165.5999999999985</v>
      </c>
      <c r="CN47" s="97">
        <v>4</v>
      </c>
      <c r="CO47" s="97">
        <v>6110.4</v>
      </c>
      <c r="CP47" s="97">
        <v>8</v>
      </c>
      <c r="CQ47" s="97">
        <v>12220.8</v>
      </c>
      <c r="CR47" s="97">
        <v>6</v>
      </c>
      <c r="CS47" s="97">
        <v>9165.5999999999985</v>
      </c>
      <c r="CT47" s="97">
        <v>8</v>
      </c>
      <c r="CU47" s="97">
        <v>12220.8</v>
      </c>
    </row>
    <row r="48" spans="2:99" x14ac:dyDescent="0.15">
      <c r="C48" s="96" t="s">
        <v>213</v>
      </c>
      <c r="D48" s="97">
        <v>0</v>
      </c>
      <c r="E48" s="97">
        <v>0</v>
      </c>
      <c r="F48" s="97">
        <v>0</v>
      </c>
      <c r="G48" s="97">
        <v>0</v>
      </c>
      <c r="H48" s="97">
        <v>24.72253946763573</v>
      </c>
      <c r="I48" s="97">
        <v>21449.275242120759</v>
      </c>
      <c r="J48" s="97">
        <v>1.5842055185537582</v>
      </c>
      <c r="K48" s="97">
        <v>1374.4567078972407</v>
      </c>
      <c r="L48" s="97">
        <v>61.634844334808122</v>
      </c>
      <c r="M48" s="97">
        <v>53474.390944879531</v>
      </c>
      <c r="N48" s="97">
        <v>2.8071432049238076</v>
      </c>
      <c r="O48" s="97">
        <v>2435.4774445918956</v>
      </c>
      <c r="P48" s="97">
        <v>14.88869615495808</v>
      </c>
      <c r="Q48" s="97">
        <v>12917.43278404163</v>
      </c>
      <c r="R48" s="97">
        <v>81.628152472965269</v>
      </c>
      <c r="S48" s="97">
        <v>70820.585085544662</v>
      </c>
      <c r="T48" s="97">
        <v>37.622077052263975</v>
      </c>
      <c r="U48" s="97">
        <v>32640.914050544226</v>
      </c>
      <c r="V48" s="97">
        <v>33.111824229703515</v>
      </c>
      <c r="W48" s="97">
        <v>28727.818701690772</v>
      </c>
      <c r="X48" s="97">
        <v>28.067976038546327</v>
      </c>
      <c r="Y48" s="97">
        <v>24351.776011042795</v>
      </c>
      <c r="Z48" s="97">
        <v>21.254981801534726</v>
      </c>
      <c r="AA48" s="97">
        <v>18440.822211011528</v>
      </c>
      <c r="AB48" s="97">
        <v>33.715361626996078</v>
      </c>
      <c r="AC48" s="97">
        <v>29251.447747581798</v>
      </c>
      <c r="AD48" s="97">
        <v>37.630082169751205</v>
      </c>
      <c r="AE48" s="97">
        <v>32647.859290476146</v>
      </c>
      <c r="AF48" s="97">
        <v>14.498086885771102</v>
      </c>
      <c r="AG48" s="97">
        <v>12578.540182095008</v>
      </c>
      <c r="AH48" s="97">
        <v>40</v>
      </c>
      <c r="AI48" s="97">
        <v>34704</v>
      </c>
      <c r="AJ48" s="97">
        <v>17</v>
      </c>
      <c r="AK48" s="97">
        <v>14749.2</v>
      </c>
      <c r="AL48" s="97">
        <v>24</v>
      </c>
      <c r="AM48" s="97">
        <v>20822.400000000001</v>
      </c>
      <c r="AN48" s="97">
        <v>24</v>
      </c>
      <c r="AO48" s="97">
        <v>20822.400000000001</v>
      </c>
      <c r="AP48" s="97">
        <v>27</v>
      </c>
      <c r="AQ48" s="97">
        <v>23425.200000000001</v>
      </c>
      <c r="AR48" s="97">
        <v>12</v>
      </c>
      <c r="AS48" s="97">
        <v>10411.200000000001</v>
      </c>
      <c r="AT48" s="97">
        <v>20</v>
      </c>
      <c r="AU48" s="97">
        <v>17352</v>
      </c>
      <c r="AV48" s="97">
        <v>16</v>
      </c>
      <c r="AW48" s="97">
        <v>13881.6</v>
      </c>
      <c r="AX48" s="97">
        <v>13</v>
      </c>
      <c r="AY48" s="97">
        <v>11278.800000000001</v>
      </c>
      <c r="AZ48" s="97">
        <v>18</v>
      </c>
      <c r="BA48" s="97">
        <v>15616.800000000001</v>
      </c>
      <c r="BB48" s="97">
        <v>15</v>
      </c>
      <c r="BC48" s="97">
        <v>13014</v>
      </c>
      <c r="BD48" s="97">
        <v>12</v>
      </c>
      <c r="BE48" s="97">
        <v>10411.200000000001</v>
      </c>
      <c r="BF48" s="97">
        <v>15</v>
      </c>
      <c r="BG48" s="97">
        <v>13014</v>
      </c>
      <c r="BH48" s="97">
        <v>11</v>
      </c>
      <c r="BI48" s="97">
        <v>9543.6</v>
      </c>
      <c r="BJ48" s="97">
        <v>11</v>
      </c>
      <c r="BK48" s="97">
        <v>9543.6</v>
      </c>
      <c r="BL48" s="97">
        <v>12</v>
      </c>
      <c r="BM48" s="97">
        <v>10411.200000000001</v>
      </c>
      <c r="BN48" s="97">
        <v>13</v>
      </c>
      <c r="BO48" s="97">
        <v>11278.800000000001</v>
      </c>
      <c r="BP48" s="97">
        <v>9</v>
      </c>
      <c r="BQ48" s="97">
        <v>7808.4000000000005</v>
      </c>
      <c r="BR48" s="97">
        <v>11</v>
      </c>
      <c r="BS48" s="97">
        <v>9543.6</v>
      </c>
      <c r="BT48" s="97">
        <v>9</v>
      </c>
      <c r="BU48" s="97">
        <v>7808.4000000000005</v>
      </c>
      <c r="BV48" s="97">
        <v>8</v>
      </c>
      <c r="BW48" s="97">
        <v>6940.8</v>
      </c>
      <c r="BX48" s="97">
        <v>9</v>
      </c>
      <c r="BY48" s="97">
        <v>7808.4000000000005</v>
      </c>
      <c r="BZ48" s="97">
        <v>10</v>
      </c>
      <c r="CA48" s="97">
        <v>8676</v>
      </c>
      <c r="CB48" s="97">
        <v>9</v>
      </c>
      <c r="CC48" s="97">
        <v>7808.4000000000005</v>
      </c>
      <c r="CD48" s="97">
        <v>6</v>
      </c>
      <c r="CE48" s="97">
        <v>5205.6000000000004</v>
      </c>
      <c r="CF48" s="97">
        <v>8</v>
      </c>
      <c r="CG48" s="97">
        <v>6940.8</v>
      </c>
      <c r="CH48" s="97">
        <v>7</v>
      </c>
      <c r="CI48" s="97">
        <v>6073.2</v>
      </c>
      <c r="CJ48" s="97">
        <v>6</v>
      </c>
      <c r="CK48" s="97">
        <v>5205.6000000000004</v>
      </c>
      <c r="CL48" s="97">
        <v>6</v>
      </c>
      <c r="CM48" s="97">
        <v>5205.6000000000004</v>
      </c>
      <c r="CN48" s="97">
        <v>4</v>
      </c>
      <c r="CO48" s="97">
        <v>3470.4</v>
      </c>
      <c r="CP48" s="97">
        <v>8</v>
      </c>
      <c r="CQ48" s="97">
        <v>6940.8</v>
      </c>
      <c r="CR48" s="97">
        <v>6</v>
      </c>
      <c r="CS48" s="97">
        <v>5205.6000000000004</v>
      </c>
      <c r="CT48" s="97">
        <v>8</v>
      </c>
      <c r="CU48" s="97">
        <v>6940.8</v>
      </c>
    </row>
    <row r="49" spans="2:99" x14ac:dyDescent="0.15">
      <c r="B49" s="96" t="s">
        <v>129</v>
      </c>
      <c r="C49" s="96" t="s">
        <v>214</v>
      </c>
      <c r="D49" s="97">
        <v>0</v>
      </c>
      <c r="E49" s="97">
        <v>0</v>
      </c>
      <c r="F49" s="97">
        <v>0</v>
      </c>
      <c r="G49" s="97">
        <v>0</v>
      </c>
      <c r="H49" s="97">
        <v>4.7934939819376945</v>
      </c>
      <c r="I49" s="97">
        <v>4722.5502710050159</v>
      </c>
      <c r="J49" s="97">
        <v>2.1115474611383918</v>
      </c>
      <c r="K49" s="97">
        <v>2080.2965587135436</v>
      </c>
      <c r="L49" s="97">
        <v>3.2202722952854237</v>
      </c>
      <c r="M49" s="97">
        <v>3172.6122653151992</v>
      </c>
      <c r="N49" s="97">
        <v>0</v>
      </c>
      <c r="O49" s="97">
        <v>0</v>
      </c>
      <c r="P49" s="97">
        <v>7.77530882616756</v>
      </c>
      <c r="Q49" s="97">
        <v>7660.2342555402793</v>
      </c>
      <c r="R49" s="97">
        <v>4.4369533139247066</v>
      </c>
      <c r="S49" s="97">
        <v>4371.2864048786205</v>
      </c>
      <c r="T49" s="97">
        <v>3.2253213529896594</v>
      </c>
      <c r="U49" s="97">
        <v>3177.5865969654124</v>
      </c>
      <c r="V49" s="97">
        <v>0</v>
      </c>
      <c r="W49" s="97">
        <v>0</v>
      </c>
      <c r="X49" s="97">
        <v>6.9209329790049061</v>
      </c>
      <c r="Y49" s="97">
        <v>6818.5031709156328</v>
      </c>
      <c r="Z49" s="97">
        <v>7.193251945305311E-16</v>
      </c>
      <c r="AA49" s="97">
        <v>7.0867918165147916E-13</v>
      </c>
      <c r="AB49" s="97">
        <v>5.6171587750752616</v>
      </c>
      <c r="AC49" s="97">
        <v>5534.0248252041474</v>
      </c>
      <c r="AD49" s="97">
        <v>3.048739508685431</v>
      </c>
      <c r="AE49" s="97">
        <v>3003.6181639568863</v>
      </c>
      <c r="AF49" s="97">
        <v>3.9877988354725211</v>
      </c>
      <c r="AG49" s="97">
        <v>3928.7794127075276</v>
      </c>
      <c r="AH49" s="97">
        <v>3.764237207029308</v>
      </c>
      <c r="AI49" s="97">
        <v>3708.5264963652739</v>
      </c>
      <c r="AJ49" s="97">
        <v>5.2755434818656761</v>
      </c>
      <c r="AK49" s="97">
        <v>5197.4654383340639</v>
      </c>
      <c r="AL49" s="97">
        <v>3.7491470995496026</v>
      </c>
      <c r="AM49" s="97">
        <v>3693.6597224762681</v>
      </c>
      <c r="AN49" s="97">
        <v>3.2438071145373901</v>
      </c>
      <c r="AO49" s="97">
        <v>3195.7987692422366</v>
      </c>
      <c r="AP49" s="97">
        <v>0.29310344827586204</v>
      </c>
      <c r="AQ49" s="97">
        <v>288.76551724137926</v>
      </c>
      <c r="AR49" s="97">
        <v>8.9349438079655528</v>
      </c>
      <c r="AS49" s="97">
        <v>8802.7066396076625</v>
      </c>
      <c r="AT49" s="97">
        <v>2.8870454441885784</v>
      </c>
      <c r="AU49" s="97">
        <v>2844.3171716145871</v>
      </c>
      <c r="AV49" s="97">
        <v>2.3809523809523809</v>
      </c>
      <c r="AW49" s="97">
        <v>2345.7142857142853</v>
      </c>
      <c r="AX49" s="97">
        <v>5.7091570105394851</v>
      </c>
      <c r="AY49" s="97">
        <v>5624.6614867835005</v>
      </c>
      <c r="AZ49" s="97">
        <v>4.5908357533301523</v>
      </c>
      <c r="BA49" s="97">
        <v>4522.8913841808653</v>
      </c>
      <c r="BB49" s="97">
        <v>0.25728987993138935</v>
      </c>
      <c r="BC49" s="97">
        <v>253.48198970840477</v>
      </c>
      <c r="BD49" s="97">
        <v>5.8261877587224111</v>
      </c>
      <c r="BE49" s="97">
        <v>5739.960179893319</v>
      </c>
      <c r="BF49" s="97">
        <v>2.6201955242390245</v>
      </c>
      <c r="BG49" s="97">
        <v>2581.4166304802866</v>
      </c>
      <c r="BH49" s="97">
        <v>2.782445319233056</v>
      </c>
      <c r="BI49" s="97">
        <v>2741.2651285084066</v>
      </c>
      <c r="BJ49" s="97">
        <v>3.7672592074952989</v>
      </c>
      <c r="BK49" s="97">
        <v>3711.5037712243684</v>
      </c>
      <c r="BL49" s="97">
        <v>3.8129980363846152</v>
      </c>
      <c r="BM49" s="97">
        <v>3756.5656654461227</v>
      </c>
      <c r="BN49" s="97">
        <v>0.31413612565445026</v>
      </c>
      <c r="BO49" s="97">
        <v>309.4869109947644</v>
      </c>
      <c r="BP49" s="97">
        <v>4.096425468939656</v>
      </c>
      <c r="BQ49" s="97">
        <v>4035.798371999349</v>
      </c>
      <c r="BR49" s="97">
        <v>3.0182113573719236</v>
      </c>
      <c r="BS49" s="97">
        <v>2973.541829282819</v>
      </c>
      <c r="BT49" s="97">
        <v>6.9919675438828524</v>
      </c>
      <c r="BU49" s="97">
        <v>6888.4864242333861</v>
      </c>
      <c r="BV49" s="97">
        <v>0.22522522522522523</v>
      </c>
      <c r="BW49" s="97">
        <v>221.89189189189187</v>
      </c>
      <c r="BX49" s="97">
        <v>7</v>
      </c>
      <c r="BY49" s="97">
        <v>6896.4</v>
      </c>
      <c r="BZ49" s="97">
        <v>2.1553386548424167</v>
      </c>
      <c r="CA49" s="97">
        <v>2123.4396427507486</v>
      </c>
      <c r="CB49" s="97">
        <v>3.4539007935890464</v>
      </c>
      <c r="CC49" s="97">
        <v>3402.7830618439284</v>
      </c>
      <c r="CD49" s="97">
        <v>3.875838926174497</v>
      </c>
      <c r="CE49" s="97">
        <v>3818.4765100671143</v>
      </c>
      <c r="CF49" s="97">
        <v>4.5198256018072023</v>
      </c>
      <c r="CG49" s="97">
        <v>4452.9321829004557</v>
      </c>
      <c r="CH49" s="97">
        <v>0.18356643356643357</v>
      </c>
      <c r="CI49" s="97">
        <v>180.84965034965035</v>
      </c>
      <c r="CJ49" s="97">
        <v>3.2093023255813953</v>
      </c>
      <c r="CK49" s="97">
        <v>3161.8046511627904</v>
      </c>
      <c r="CL49" s="97">
        <v>4.5372723968442372</v>
      </c>
      <c r="CM49" s="97">
        <v>4470.1207653709425</v>
      </c>
      <c r="CN49" s="97">
        <v>3.6995515695067263</v>
      </c>
      <c r="CO49" s="97">
        <v>3644.7982062780266</v>
      </c>
      <c r="CP49" s="97">
        <v>2.6058984152381493E-2</v>
      </c>
      <c r="CQ49" s="97">
        <v>25.673311186926245</v>
      </c>
      <c r="CR49" s="97">
        <v>4</v>
      </c>
      <c r="CS49" s="97">
        <v>3940.7999999999997</v>
      </c>
      <c r="CT49" s="97">
        <v>6</v>
      </c>
      <c r="CU49" s="97">
        <v>5911.2</v>
      </c>
    </row>
    <row r="50" spans="2:99" x14ac:dyDescent="0.15">
      <c r="C50" s="96" t="s">
        <v>215</v>
      </c>
      <c r="D50" s="97">
        <v>0</v>
      </c>
      <c r="E50" s="97">
        <v>0</v>
      </c>
      <c r="F50" s="97">
        <v>0</v>
      </c>
      <c r="G50" s="97">
        <v>0</v>
      </c>
      <c r="H50" s="97">
        <v>28.254330820155118</v>
      </c>
      <c r="I50" s="97">
        <v>7967.7212912837431</v>
      </c>
      <c r="J50" s="97">
        <v>0.97050428163653668</v>
      </c>
      <c r="K50" s="97">
        <v>273.68220742150334</v>
      </c>
      <c r="L50" s="97">
        <v>44.37708792106185</v>
      </c>
      <c r="M50" s="97">
        <v>12514.338793739442</v>
      </c>
      <c r="N50" s="97">
        <v>1.8354397878347974</v>
      </c>
      <c r="O50" s="97">
        <v>517.59402016941283</v>
      </c>
      <c r="P50" s="97">
        <v>15.186470078057242</v>
      </c>
      <c r="Q50" s="97">
        <v>4282.5845620121427</v>
      </c>
      <c r="R50" s="97">
        <v>61.718846991754219</v>
      </c>
      <c r="S50" s="97">
        <v>17404.714851674689</v>
      </c>
      <c r="T50" s="97">
        <v>22.841975353160272</v>
      </c>
      <c r="U50" s="97">
        <v>6441.4370495911971</v>
      </c>
      <c r="V50" s="97">
        <v>28.38156362546016</v>
      </c>
      <c r="W50" s="97">
        <v>8003.600942379765</v>
      </c>
      <c r="X50" s="97">
        <v>25.261178434691693</v>
      </c>
      <c r="Y50" s="97">
        <v>7123.6523185830574</v>
      </c>
      <c r="Z50" s="97">
        <v>30.446325283279474</v>
      </c>
      <c r="AA50" s="97">
        <v>8585.8637298848116</v>
      </c>
      <c r="AB50" s="97">
        <v>21.192513022683247</v>
      </c>
      <c r="AC50" s="97">
        <v>5976.2886723966758</v>
      </c>
      <c r="AD50" s="97">
        <v>22.945172054726346</v>
      </c>
      <c r="AE50" s="97">
        <v>6470.5385194328292</v>
      </c>
      <c r="AF50" s="97">
        <v>18.726695560787675</v>
      </c>
      <c r="AG50" s="97">
        <v>5280.928148142124</v>
      </c>
      <c r="AH50" s="97">
        <v>30</v>
      </c>
      <c r="AI50" s="97">
        <v>8460</v>
      </c>
      <c r="AJ50" s="97">
        <v>23</v>
      </c>
      <c r="AK50" s="97">
        <v>6486</v>
      </c>
      <c r="AL50" s="97">
        <v>20</v>
      </c>
      <c r="AM50" s="97">
        <v>5640</v>
      </c>
      <c r="AN50" s="97">
        <v>21</v>
      </c>
      <c r="AO50" s="97">
        <v>5922</v>
      </c>
      <c r="AP50" s="97">
        <v>20</v>
      </c>
      <c r="AQ50" s="97">
        <v>5640</v>
      </c>
      <c r="AR50" s="97">
        <v>20</v>
      </c>
      <c r="AS50" s="97">
        <v>5640</v>
      </c>
      <c r="AT50" s="97">
        <v>10</v>
      </c>
      <c r="AU50" s="97">
        <v>2820</v>
      </c>
      <c r="AV50" s="97">
        <v>14</v>
      </c>
      <c r="AW50" s="97">
        <v>3948</v>
      </c>
      <c r="AX50" s="97">
        <v>21</v>
      </c>
      <c r="AY50" s="97">
        <v>5922</v>
      </c>
      <c r="AZ50" s="97">
        <v>15</v>
      </c>
      <c r="BA50" s="97">
        <v>4230</v>
      </c>
      <c r="BB50" s="97">
        <v>12</v>
      </c>
      <c r="BC50" s="97">
        <v>3384</v>
      </c>
      <c r="BD50" s="97">
        <v>13</v>
      </c>
      <c r="BE50" s="97">
        <v>3666</v>
      </c>
      <c r="BF50" s="97">
        <v>9</v>
      </c>
      <c r="BG50" s="97">
        <v>2538</v>
      </c>
      <c r="BH50" s="97">
        <v>6</v>
      </c>
      <c r="BI50" s="97">
        <v>1692</v>
      </c>
      <c r="BJ50" s="97">
        <v>12</v>
      </c>
      <c r="BK50" s="97">
        <v>3384</v>
      </c>
      <c r="BL50" s="97">
        <v>13</v>
      </c>
      <c r="BM50" s="97">
        <v>3666</v>
      </c>
      <c r="BN50" s="97">
        <v>9</v>
      </c>
      <c r="BO50" s="97">
        <v>2538</v>
      </c>
      <c r="BP50" s="97">
        <v>7</v>
      </c>
      <c r="BQ50" s="97">
        <v>1974</v>
      </c>
      <c r="BR50" s="97">
        <v>8</v>
      </c>
      <c r="BS50" s="97">
        <v>2256</v>
      </c>
      <c r="BT50" s="97">
        <v>9</v>
      </c>
      <c r="BU50" s="97">
        <v>2538</v>
      </c>
      <c r="BV50" s="97">
        <v>5</v>
      </c>
      <c r="BW50" s="97">
        <v>1410</v>
      </c>
      <c r="BX50" s="97">
        <v>7</v>
      </c>
      <c r="BY50" s="97">
        <v>1974</v>
      </c>
      <c r="BZ50" s="97">
        <v>6</v>
      </c>
      <c r="CA50" s="97">
        <v>1692</v>
      </c>
      <c r="CB50" s="97">
        <v>6</v>
      </c>
      <c r="CC50" s="97">
        <v>1692</v>
      </c>
      <c r="CD50" s="97">
        <v>7</v>
      </c>
      <c r="CE50" s="97">
        <v>1974</v>
      </c>
      <c r="CF50" s="97">
        <v>6</v>
      </c>
      <c r="CG50" s="97">
        <v>1692</v>
      </c>
      <c r="CH50" s="97">
        <v>6</v>
      </c>
      <c r="CI50" s="97">
        <v>1692</v>
      </c>
      <c r="CJ50" s="97">
        <v>4</v>
      </c>
      <c r="CK50" s="97">
        <v>1128</v>
      </c>
      <c r="CL50" s="97">
        <v>7</v>
      </c>
      <c r="CM50" s="97">
        <v>1974</v>
      </c>
      <c r="CN50" s="97">
        <v>6</v>
      </c>
      <c r="CO50" s="97">
        <v>1692</v>
      </c>
      <c r="CP50" s="97">
        <v>4</v>
      </c>
      <c r="CQ50" s="97">
        <v>1128</v>
      </c>
      <c r="CR50" s="97">
        <v>4</v>
      </c>
      <c r="CS50" s="97">
        <v>1128</v>
      </c>
      <c r="CT50" s="97">
        <v>6</v>
      </c>
      <c r="CU50" s="97">
        <v>1692</v>
      </c>
    </row>
    <row r="51" spans="2:99" x14ac:dyDescent="0.15">
      <c r="C51" s="96" t="s">
        <v>216</v>
      </c>
      <c r="D51" s="97">
        <v>0</v>
      </c>
      <c r="E51" s="97">
        <v>0</v>
      </c>
      <c r="F51" s="97">
        <v>0</v>
      </c>
      <c r="G51" s="97">
        <v>0</v>
      </c>
      <c r="H51" s="97">
        <v>22.838917412958722</v>
      </c>
      <c r="I51" s="97">
        <v>19513.571037631933</v>
      </c>
      <c r="J51" s="97">
        <v>0.75642245480494774</v>
      </c>
      <c r="K51" s="97">
        <v>646.28734538534729</v>
      </c>
      <c r="L51" s="97">
        <v>38.624502449813093</v>
      </c>
      <c r="M51" s="97">
        <v>33000.774893120302</v>
      </c>
      <c r="N51" s="97">
        <v>1.7634617569393152</v>
      </c>
      <c r="O51" s="97">
        <v>1506.7017251289508</v>
      </c>
      <c r="P51" s="97">
        <v>13.995374385660595</v>
      </c>
      <c r="Q51" s="97">
        <v>11957.647875108412</v>
      </c>
      <c r="R51" s="97">
        <v>55.746055347390914</v>
      </c>
      <c r="S51" s="97">
        <v>47629.429688810793</v>
      </c>
      <c r="T51" s="97">
        <v>21.498329744150848</v>
      </c>
      <c r="U51" s="97">
        <v>18368.172933402482</v>
      </c>
      <c r="V51" s="97">
        <v>27.790281049929739</v>
      </c>
      <c r="W51" s="97">
        <v>23744.016129059968</v>
      </c>
      <c r="X51" s="97">
        <v>27.366276637582665</v>
      </c>
      <c r="Y51" s="97">
        <v>23381.746759150628</v>
      </c>
      <c r="Z51" s="97">
        <v>28.148489412843283</v>
      </c>
      <c r="AA51" s="97">
        <v>24050.0693543333</v>
      </c>
      <c r="AB51" s="97">
        <v>18.302624883226439</v>
      </c>
      <c r="AC51" s="97">
        <v>15637.76270022867</v>
      </c>
      <c r="AD51" s="97">
        <v>22.945172054726346</v>
      </c>
      <c r="AE51" s="97">
        <v>19604.35500355819</v>
      </c>
      <c r="AF51" s="97">
        <v>14.498086885771102</v>
      </c>
      <c r="AG51" s="97">
        <v>12387.165435202829</v>
      </c>
      <c r="AH51" s="97">
        <v>26</v>
      </c>
      <c r="AI51" s="97">
        <v>22214.399999999998</v>
      </c>
      <c r="AJ51" s="97">
        <v>26</v>
      </c>
      <c r="AK51" s="97">
        <v>22214.399999999998</v>
      </c>
      <c r="AL51" s="97">
        <v>19</v>
      </c>
      <c r="AM51" s="97">
        <v>16233.6</v>
      </c>
      <c r="AN51" s="97">
        <v>18</v>
      </c>
      <c r="AO51" s="97">
        <v>15379.199999999999</v>
      </c>
      <c r="AP51" s="97">
        <v>20</v>
      </c>
      <c r="AQ51" s="97">
        <v>17088</v>
      </c>
      <c r="AR51" s="97">
        <v>17</v>
      </c>
      <c r="AS51" s="97">
        <v>14524.8</v>
      </c>
      <c r="AT51" s="97">
        <v>10</v>
      </c>
      <c r="AU51" s="97">
        <v>8544</v>
      </c>
      <c r="AV51" s="97">
        <v>12</v>
      </c>
      <c r="AW51" s="97">
        <v>10252.799999999999</v>
      </c>
      <c r="AX51" s="97">
        <v>19</v>
      </c>
      <c r="AY51" s="97">
        <v>16233.6</v>
      </c>
      <c r="AZ51" s="97">
        <v>14</v>
      </c>
      <c r="BA51" s="97">
        <v>11961.6</v>
      </c>
      <c r="BB51" s="97">
        <v>10</v>
      </c>
      <c r="BC51" s="97">
        <v>8544</v>
      </c>
      <c r="BD51" s="97">
        <v>12</v>
      </c>
      <c r="BE51" s="97">
        <v>10252.799999999999</v>
      </c>
      <c r="BF51" s="97">
        <v>8</v>
      </c>
      <c r="BG51" s="97">
        <v>6835.2</v>
      </c>
      <c r="BH51" s="97">
        <v>7</v>
      </c>
      <c r="BI51" s="97">
        <v>5980.8</v>
      </c>
      <c r="BJ51" s="97">
        <v>12</v>
      </c>
      <c r="BK51" s="97">
        <v>10252.799999999999</v>
      </c>
      <c r="BL51" s="97">
        <v>11</v>
      </c>
      <c r="BM51" s="97">
        <v>9398.4</v>
      </c>
      <c r="BN51" s="97">
        <v>8</v>
      </c>
      <c r="BO51" s="97">
        <v>6835.2</v>
      </c>
      <c r="BP51" s="97">
        <v>7</v>
      </c>
      <c r="BQ51" s="97">
        <v>5980.8</v>
      </c>
      <c r="BR51" s="97">
        <v>8</v>
      </c>
      <c r="BS51" s="97">
        <v>6835.2</v>
      </c>
      <c r="BT51" s="97">
        <v>8</v>
      </c>
      <c r="BU51" s="97">
        <v>6835.2</v>
      </c>
      <c r="BV51" s="97">
        <v>5</v>
      </c>
      <c r="BW51" s="97">
        <v>4272</v>
      </c>
      <c r="BX51" s="97">
        <v>7</v>
      </c>
      <c r="BY51" s="97">
        <v>5980.8</v>
      </c>
      <c r="BZ51" s="97">
        <v>6</v>
      </c>
      <c r="CA51" s="97">
        <v>5126.3999999999996</v>
      </c>
      <c r="CB51" s="97">
        <v>5</v>
      </c>
      <c r="CC51" s="97">
        <v>4272</v>
      </c>
      <c r="CD51" s="97">
        <v>7</v>
      </c>
      <c r="CE51" s="97">
        <v>5980.8</v>
      </c>
      <c r="CF51" s="97">
        <v>6</v>
      </c>
      <c r="CG51" s="97">
        <v>5126.3999999999996</v>
      </c>
      <c r="CH51" s="97">
        <v>7</v>
      </c>
      <c r="CI51" s="97">
        <v>5980.8</v>
      </c>
      <c r="CJ51" s="97">
        <v>4</v>
      </c>
      <c r="CK51" s="97">
        <v>3417.6</v>
      </c>
      <c r="CL51" s="97">
        <v>7</v>
      </c>
      <c r="CM51" s="97">
        <v>5980.8</v>
      </c>
      <c r="CN51" s="97">
        <v>5</v>
      </c>
      <c r="CO51" s="97">
        <v>4272</v>
      </c>
      <c r="CP51" s="97">
        <v>3</v>
      </c>
      <c r="CQ51" s="97">
        <v>2563.1999999999998</v>
      </c>
      <c r="CR51" s="97">
        <v>5</v>
      </c>
      <c r="CS51" s="97">
        <v>4272</v>
      </c>
      <c r="CT51" s="97">
        <v>6</v>
      </c>
      <c r="CU51" s="97">
        <v>5126.3999999999996</v>
      </c>
    </row>
    <row r="52" spans="2:99" x14ac:dyDescent="0.15">
      <c r="C52" s="96" t="s">
        <v>217</v>
      </c>
      <c r="D52" s="97">
        <v>0</v>
      </c>
      <c r="E52" s="97">
        <v>0</v>
      </c>
      <c r="F52" s="97">
        <v>0</v>
      </c>
      <c r="G52" s="97">
        <v>0</v>
      </c>
      <c r="H52" s="97">
        <v>25.899803251808859</v>
      </c>
      <c r="I52" s="97">
        <v>13985.893755976784</v>
      </c>
      <c r="J52" s="97">
        <v>0.81351094196003815</v>
      </c>
      <c r="K52" s="97">
        <v>439.29590865842061</v>
      </c>
      <c r="L52" s="97">
        <v>37.802704525348979</v>
      </c>
      <c r="M52" s="97">
        <v>20413.460443688447</v>
      </c>
      <c r="N52" s="97">
        <v>1.7634617569393152</v>
      </c>
      <c r="O52" s="97">
        <v>952.2693487472302</v>
      </c>
      <c r="P52" s="97">
        <v>15.186470078057242</v>
      </c>
      <c r="Q52" s="97">
        <v>8200.6938421509112</v>
      </c>
      <c r="R52" s="97">
        <v>49.773263703027602</v>
      </c>
      <c r="S52" s="97">
        <v>26877.562399634906</v>
      </c>
      <c r="T52" s="97">
        <v>22.170152548655558</v>
      </c>
      <c r="U52" s="97">
        <v>11971.882376274001</v>
      </c>
      <c r="V52" s="97">
        <v>28.972846200990581</v>
      </c>
      <c r="W52" s="97">
        <v>15645.336948534914</v>
      </c>
      <c r="X52" s="97">
        <v>27.366276637582665</v>
      </c>
      <c r="Y52" s="97">
        <v>14777.78938429464</v>
      </c>
      <c r="Z52" s="97">
        <v>28.148489412843283</v>
      </c>
      <c r="AA52" s="97">
        <v>15200.184282935372</v>
      </c>
      <c r="AB52" s="97">
        <v>20.229216976197645</v>
      </c>
      <c r="AC52" s="97">
        <v>10923.777167146729</v>
      </c>
      <c r="AD52" s="97">
        <v>22.027365172537291</v>
      </c>
      <c r="AE52" s="97">
        <v>11894.777193170137</v>
      </c>
      <c r="AF52" s="97">
        <v>15.706260792918693</v>
      </c>
      <c r="AG52" s="97">
        <v>8481.3808281760939</v>
      </c>
      <c r="AH52" s="97">
        <v>32</v>
      </c>
      <c r="AI52" s="97">
        <v>17280</v>
      </c>
      <c r="AJ52" s="97">
        <v>24</v>
      </c>
      <c r="AK52" s="97">
        <v>12960</v>
      </c>
      <c r="AL52" s="97">
        <v>20</v>
      </c>
      <c r="AM52" s="97">
        <v>10800</v>
      </c>
      <c r="AN52" s="97">
        <v>21</v>
      </c>
      <c r="AO52" s="97">
        <v>11340</v>
      </c>
      <c r="AP52" s="97">
        <v>18</v>
      </c>
      <c r="AQ52" s="97">
        <v>9720</v>
      </c>
      <c r="AR52" s="97">
        <v>19</v>
      </c>
      <c r="AS52" s="97">
        <v>10260</v>
      </c>
      <c r="AT52" s="97">
        <v>11</v>
      </c>
      <c r="AU52" s="97">
        <v>5940</v>
      </c>
      <c r="AV52" s="97">
        <v>12</v>
      </c>
      <c r="AW52" s="97">
        <v>6480</v>
      </c>
      <c r="AX52" s="97">
        <v>21</v>
      </c>
      <c r="AY52" s="97">
        <v>11340</v>
      </c>
      <c r="AZ52" s="97">
        <v>14</v>
      </c>
      <c r="BA52" s="97">
        <v>7560</v>
      </c>
      <c r="BB52" s="97">
        <v>10</v>
      </c>
      <c r="BC52" s="97">
        <v>5400</v>
      </c>
      <c r="BD52" s="97">
        <v>12</v>
      </c>
      <c r="BE52" s="97">
        <v>6480</v>
      </c>
      <c r="BF52" s="97">
        <v>9</v>
      </c>
      <c r="BG52" s="97">
        <v>4860</v>
      </c>
      <c r="BH52" s="97">
        <v>7</v>
      </c>
      <c r="BI52" s="97">
        <v>3780</v>
      </c>
      <c r="BJ52" s="97">
        <v>12</v>
      </c>
      <c r="BK52" s="97">
        <v>6480</v>
      </c>
      <c r="BL52" s="97">
        <v>12</v>
      </c>
      <c r="BM52" s="97">
        <v>6480</v>
      </c>
      <c r="BN52" s="97">
        <v>8</v>
      </c>
      <c r="BO52" s="97">
        <v>4320</v>
      </c>
      <c r="BP52" s="97">
        <v>7</v>
      </c>
      <c r="BQ52" s="97">
        <v>3780</v>
      </c>
      <c r="BR52" s="97">
        <v>9</v>
      </c>
      <c r="BS52" s="97">
        <v>4860</v>
      </c>
      <c r="BT52" s="97">
        <v>8</v>
      </c>
      <c r="BU52" s="97">
        <v>4320</v>
      </c>
      <c r="BV52" s="97">
        <v>5</v>
      </c>
      <c r="BW52" s="97">
        <v>2700</v>
      </c>
      <c r="BX52" s="97">
        <v>8</v>
      </c>
      <c r="BY52" s="97">
        <v>4320</v>
      </c>
      <c r="BZ52" s="97">
        <v>7</v>
      </c>
      <c r="CA52" s="97">
        <v>3780</v>
      </c>
      <c r="CB52" s="97">
        <v>6</v>
      </c>
      <c r="CC52" s="97">
        <v>3240</v>
      </c>
      <c r="CD52" s="97">
        <v>7</v>
      </c>
      <c r="CE52" s="97">
        <v>3780</v>
      </c>
      <c r="CF52" s="97">
        <v>6</v>
      </c>
      <c r="CG52" s="97">
        <v>3240</v>
      </c>
      <c r="CH52" s="97">
        <v>6</v>
      </c>
      <c r="CI52" s="97">
        <v>3240</v>
      </c>
      <c r="CJ52" s="97">
        <v>4</v>
      </c>
      <c r="CK52" s="97">
        <v>2160</v>
      </c>
      <c r="CL52" s="97">
        <v>6</v>
      </c>
      <c r="CM52" s="97">
        <v>3240</v>
      </c>
      <c r="CN52" s="97">
        <v>6</v>
      </c>
      <c r="CO52" s="97">
        <v>3240</v>
      </c>
      <c r="CP52" s="97">
        <v>4</v>
      </c>
      <c r="CQ52" s="97">
        <v>2160</v>
      </c>
      <c r="CR52" s="97">
        <v>5</v>
      </c>
      <c r="CS52" s="97">
        <v>2700</v>
      </c>
      <c r="CT52" s="97">
        <v>6</v>
      </c>
      <c r="CU52" s="97">
        <v>3240</v>
      </c>
    </row>
    <row r="53" spans="2:99" x14ac:dyDescent="0.15">
      <c r="C53" s="96" t="s">
        <v>218</v>
      </c>
      <c r="D53" s="97">
        <v>0</v>
      </c>
      <c r="E53" s="97">
        <v>0</v>
      </c>
      <c r="F53" s="97">
        <v>0</v>
      </c>
      <c r="G53" s="97">
        <v>0</v>
      </c>
      <c r="H53" s="97">
        <v>28.018878063320496</v>
      </c>
      <c r="I53" s="97">
        <v>11398.079596158777</v>
      </c>
      <c r="J53" s="97">
        <v>0.92768791627021896</v>
      </c>
      <c r="K53" s="97">
        <v>377.3834443387251</v>
      </c>
      <c r="L53" s="97">
        <v>43.555289996597736</v>
      </c>
      <c r="M53" s="97">
        <v>17718.291970615959</v>
      </c>
      <c r="N53" s="97">
        <v>1.7994507723870565</v>
      </c>
      <c r="O53" s="97">
        <v>732.01657420705465</v>
      </c>
      <c r="P53" s="97">
        <v>13.697600462561434</v>
      </c>
      <c r="Q53" s="97">
        <v>5572.1838681699919</v>
      </c>
      <c r="R53" s="97">
        <v>59.72791644363312</v>
      </c>
      <c r="S53" s="97">
        <v>24297.316409269955</v>
      </c>
      <c r="T53" s="97">
        <v>22.841975353160272</v>
      </c>
      <c r="U53" s="97">
        <v>9292.1155736655983</v>
      </c>
      <c r="V53" s="97">
        <v>26.6077158988689</v>
      </c>
      <c r="W53" s="97">
        <v>10824.018827659869</v>
      </c>
      <c r="X53" s="97">
        <v>30.173074241437302</v>
      </c>
      <c r="Y53" s="97">
        <v>12274.406601416695</v>
      </c>
      <c r="Z53" s="97">
        <v>29.297407348061384</v>
      </c>
      <c r="AA53" s="97">
        <v>11918.185309191371</v>
      </c>
      <c r="AB53" s="97">
        <v>21.192513022683247</v>
      </c>
      <c r="AC53" s="97">
        <v>8621.114297627546</v>
      </c>
      <c r="AD53" s="97">
        <v>20.191751408159185</v>
      </c>
      <c r="AE53" s="97">
        <v>8214.0044728391567</v>
      </c>
      <c r="AF53" s="97">
        <v>18.122608607213877</v>
      </c>
      <c r="AG53" s="97">
        <v>7372.2771814146054</v>
      </c>
      <c r="AH53" s="97">
        <v>28</v>
      </c>
      <c r="AI53" s="97">
        <v>11390.4</v>
      </c>
      <c r="AJ53" s="97">
        <v>25</v>
      </c>
      <c r="AK53" s="97">
        <v>10170</v>
      </c>
      <c r="AL53" s="97">
        <v>20</v>
      </c>
      <c r="AM53" s="97">
        <v>8136</v>
      </c>
      <c r="AN53" s="97">
        <v>20</v>
      </c>
      <c r="AO53" s="97">
        <v>8136</v>
      </c>
      <c r="AP53" s="97">
        <v>22</v>
      </c>
      <c r="AQ53" s="97">
        <v>8949.6</v>
      </c>
      <c r="AR53" s="97">
        <v>20</v>
      </c>
      <c r="AS53" s="97">
        <v>8136</v>
      </c>
      <c r="AT53" s="97">
        <v>10</v>
      </c>
      <c r="AU53" s="97">
        <v>4068</v>
      </c>
      <c r="AV53" s="97">
        <v>14</v>
      </c>
      <c r="AW53" s="97">
        <v>5695.2</v>
      </c>
      <c r="AX53" s="97">
        <v>19</v>
      </c>
      <c r="AY53" s="97">
        <v>7729.2</v>
      </c>
      <c r="AZ53" s="97">
        <v>14</v>
      </c>
      <c r="BA53" s="97">
        <v>5695.2</v>
      </c>
      <c r="BB53" s="97">
        <v>11</v>
      </c>
      <c r="BC53" s="97">
        <v>4474.8</v>
      </c>
      <c r="BD53" s="97">
        <v>11</v>
      </c>
      <c r="BE53" s="97">
        <v>4474.8</v>
      </c>
      <c r="BF53" s="97">
        <v>9</v>
      </c>
      <c r="BG53" s="97">
        <v>3661.2000000000003</v>
      </c>
      <c r="BH53" s="97">
        <v>7</v>
      </c>
      <c r="BI53" s="97">
        <v>2847.6</v>
      </c>
      <c r="BJ53" s="97">
        <v>12</v>
      </c>
      <c r="BK53" s="97">
        <v>4881.6000000000004</v>
      </c>
      <c r="BL53" s="97">
        <v>12</v>
      </c>
      <c r="BM53" s="97">
        <v>4881.6000000000004</v>
      </c>
      <c r="BN53" s="97">
        <v>8</v>
      </c>
      <c r="BO53" s="97">
        <v>3254.4</v>
      </c>
      <c r="BP53" s="97">
        <v>7</v>
      </c>
      <c r="BQ53" s="97">
        <v>2847.6</v>
      </c>
      <c r="BR53" s="97">
        <v>8</v>
      </c>
      <c r="BS53" s="97">
        <v>3254.4</v>
      </c>
      <c r="BT53" s="97">
        <v>9</v>
      </c>
      <c r="BU53" s="97">
        <v>3661.2000000000003</v>
      </c>
      <c r="BV53" s="97">
        <v>6</v>
      </c>
      <c r="BW53" s="97">
        <v>2440.8000000000002</v>
      </c>
      <c r="BX53" s="97">
        <v>7</v>
      </c>
      <c r="BY53" s="97">
        <v>2847.6</v>
      </c>
      <c r="BZ53" s="97">
        <v>6</v>
      </c>
      <c r="CA53" s="97">
        <v>2440.8000000000002</v>
      </c>
      <c r="CB53" s="97">
        <v>5</v>
      </c>
      <c r="CC53" s="97">
        <v>2034</v>
      </c>
      <c r="CD53" s="97">
        <v>8</v>
      </c>
      <c r="CE53" s="97">
        <v>3254.4</v>
      </c>
      <c r="CF53" s="97">
        <v>6</v>
      </c>
      <c r="CG53" s="97">
        <v>2440.8000000000002</v>
      </c>
      <c r="CH53" s="97">
        <v>7</v>
      </c>
      <c r="CI53" s="97">
        <v>2847.6</v>
      </c>
      <c r="CJ53" s="97">
        <v>4</v>
      </c>
      <c r="CK53" s="97">
        <v>1627.2</v>
      </c>
      <c r="CL53" s="97">
        <v>7</v>
      </c>
      <c r="CM53" s="97">
        <v>2847.6</v>
      </c>
      <c r="CN53" s="97">
        <v>5</v>
      </c>
      <c r="CO53" s="97">
        <v>2034</v>
      </c>
      <c r="CP53" s="97">
        <v>3</v>
      </c>
      <c r="CQ53" s="97">
        <v>1220.4000000000001</v>
      </c>
      <c r="CR53" s="97">
        <v>5</v>
      </c>
      <c r="CS53" s="97">
        <v>2034</v>
      </c>
      <c r="CT53" s="97">
        <v>6</v>
      </c>
      <c r="CU53" s="97">
        <v>2440.8000000000002</v>
      </c>
    </row>
    <row r="54" spans="2:99" x14ac:dyDescent="0.15">
      <c r="C54" s="96" t="s">
        <v>219</v>
      </c>
      <c r="D54" s="97">
        <v>0</v>
      </c>
      <c r="E54" s="97">
        <v>0</v>
      </c>
      <c r="F54" s="97">
        <v>0</v>
      </c>
      <c r="G54" s="97">
        <v>0</v>
      </c>
      <c r="H54" s="97">
        <v>28.960689090658999</v>
      </c>
      <c r="I54" s="97">
        <v>9696.0387075526323</v>
      </c>
      <c r="J54" s="97">
        <v>0.8991436726926737</v>
      </c>
      <c r="K54" s="97">
        <v>301.03330161750716</v>
      </c>
      <c r="L54" s="97">
        <v>38.624502449813093</v>
      </c>
      <c r="M54" s="97">
        <v>12931.483420197424</v>
      </c>
      <c r="N54" s="97">
        <v>1.8354397878347974</v>
      </c>
      <c r="O54" s="97">
        <v>614.50524096709023</v>
      </c>
      <c r="P54" s="97">
        <v>16.377565770453888</v>
      </c>
      <c r="Q54" s="97">
        <v>5483.2090199479617</v>
      </c>
      <c r="R54" s="97">
        <v>50.768728977088152</v>
      </c>
      <c r="S54" s="97">
        <v>16997.370461529114</v>
      </c>
      <c r="T54" s="97">
        <v>23.513798157664986</v>
      </c>
      <c r="U54" s="97">
        <v>7872.4196231862379</v>
      </c>
      <c r="V54" s="97">
        <v>27.198998474399321</v>
      </c>
      <c r="W54" s="97">
        <v>9106.2246892288931</v>
      </c>
      <c r="X54" s="97">
        <v>27.366276637582665</v>
      </c>
      <c r="Y54" s="97">
        <v>9162.2294182626774</v>
      </c>
      <c r="Z54" s="97">
        <v>25.850653542407098</v>
      </c>
      <c r="AA54" s="97">
        <v>8654.7988059978961</v>
      </c>
      <c r="AB54" s="97">
        <v>19.265920929712046</v>
      </c>
      <c r="AC54" s="97">
        <v>6450.2303272675927</v>
      </c>
      <c r="AD54" s="97">
        <v>22.027365172537291</v>
      </c>
      <c r="AE54" s="97">
        <v>7374.7618597654855</v>
      </c>
      <c r="AF54" s="97">
        <v>17.518521653640082</v>
      </c>
      <c r="AG54" s="97">
        <v>5865.2010496387002</v>
      </c>
      <c r="AH54" s="97">
        <v>33</v>
      </c>
      <c r="AI54" s="97">
        <v>11048.4</v>
      </c>
      <c r="AJ54" s="97">
        <v>22</v>
      </c>
      <c r="AK54" s="97">
        <v>7365.6</v>
      </c>
      <c r="AL54" s="97">
        <v>21</v>
      </c>
      <c r="AM54" s="97">
        <v>7030.8</v>
      </c>
      <c r="AN54" s="97">
        <v>20</v>
      </c>
      <c r="AO54" s="97">
        <v>6696</v>
      </c>
      <c r="AP54" s="97">
        <v>20</v>
      </c>
      <c r="AQ54" s="97">
        <v>6696</v>
      </c>
      <c r="AR54" s="97">
        <v>17</v>
      </c>
      <c r="AS54" s="97">
        <v>5691.6</v>
      </c>
      <c r="AT54" s="97">
        <v>11</v>
      </c>
      <c r="AU54" s="97">
        <v>3682.8</v>
      </c>
      <c r="AV54" s="97">
        <v>13</v>
      </c>
      <c r="AW54" s="97">
        <v>4352.4000000000005</v>
      </c>
      <c r="AX54" s="97">
        <v>21</v>
      </c>
      <c r="AY54" s="97">
        <v>7030.8</v>
      </c>
      <c r="AZ54" s="97">
        <v>16</v>
      </c>
      <c r="BA54" s="97">
        <v>5356.8</v>
      </c>
      <c r="BB54" s="97">
        <v>11</v>
      </c>
      <c r="BC54" s="97">
        <v>3682.8</v>
      </c>
      <c r="BD54" s="97">
        <v>12</v>
      </c>
      <c r="BE54" s="97">
        <v>4017.6000000000004</v>
      </c>
      <c r="BF54" s="97">
        <v>9</v>
      </c>
      <c r="BG54" s="97">
        <v>3013.2000000000003</v>
      </c>
      <c r="BH54" s="97">
        <v>7</v>
      </c>
      <c r="BI54" s="97">
        <v>2343.6</v>
      </c>
      <c r="BJ54" s="97">
        <v>13</v>
      </c>
      <c r="BK54" s="97">
        <v>4352.4000000000005</v>
      </c>
      <c r="BL54" s="97">
        <v>13</v>
      </c>
      <c r="BM54" s="97">
        <v>4352.4000000000005</v>
      </c>
      <c r="BN54" s="97">
        <v>8</v>
      </c>
      <c r="BO54" s="97">
        <v>2678.4</v>
      </c>
      <c r="BP54" s="97">
        <v>7</v>
      </c>
      <c r="BQ54" s="97">
        <v>2343.6</v>
      </c>
      <c r="BR54" s="97">
        <v>8</v>
      </c>
      <c r="BS54" s="97">
        <v>2678.4</v>
      </c>
      <c r="BT54" s="97">
        <v>8</v>
      </c>
      <c r="BU54" s="97">
        <v>2678.4</v>
      </c>
      <c r="BV54" s="97">
        <v>6</v>
      </c>
      <c r="BW54" s="97">
        <v>2008.8000000000002</v>
      </c>
      <c r="BX54" s="97">
        <v>8</v>
      </c>
      <c r="BY54" s="97">
        <v>2678.4</v>
      </c>
      <c r="BZ54" s="97">
        <v>7</v>
      </c>
      <c r="CA54" s="97">
        <v>2343.6</v>
      </c>
      <c r="CB54" s="97">
        <v>5</v>
      </c>
      <c r="CC54" s="97">
        <v>1674</v>
      </c>
      <c r="CD54" s="97">
        <v>7</v>
      </c>
      <c r="CE54" s="97">
        <v>2343.6</v>
      </c>
      <c r="CF54" s="97">
        <v>6</v>
      </c>
      <c r="CG54" s="97">
        <v>2008.8000000000002</v>
      </c>
      <c r="CH54" s="97">
        <v>7</v>
      </c>
      <c r="CI54" s="97">
        <v>2343.6</v>
      </c>
      <c r="CJ54" s="97">
        <v>4</v>
      </c>
      <c r="CK54" s="97">
        <v>1339.2</v>
      </c>
      <c r="CL54" s="97">
        <v>6</v>
      </c>
      <c r="CM54" s="97">
        <v>2008.8000000000002</v>
      </c>
      <c r="CN54" s="97">
        <v>5</v>
      </c>
      <c r="CO54" s="97">
        <v>1674</v>
      </c>
      <c r="CP54" s="97">
        <v>4</v>
      </c>
      <c r="CQ54" s="97">
        <v>1339.2</v>
      </c>
      <c r="CR54" s="97">
        <v>5</v>
      </c>
      <c r="CS54" s="97">
        <v>1674</v>
      </c>
      <c r="CT54" s="97">
        <v>6</v>
      </c>
      <c r="CU54" s="97">
        <v>2008.8000000000002</v>
      </c>
    </row>
    <row r="55" spans="2:99" x14ac:dyDescent="0.15">
      <c r="C55" s="96" t="s">
        <v>220</v>
      </c>
      <c r="D55" s="97">
        <v>0</v>
      </c>
      <c r="E55" s="97">
        <v>0</v>
      </c>
      <c r="F55" s="97">
        <v>0</v>
      </c>
      <c r="G55" s="97">
        <v>0</v>
      </c>
      <c r="H55" s="97">
        <v>25.428897738139607</v>
      </c>
      <c r="I55" s="97">
        <v>16874.616539029445</v>
      </c>
      <c r="J55" s="97">
        <v>0.8420551855375833</v>
      </c>
      <c r="K55" s="97">
        <v>558.7878211227403</v>
      </c>
      <c r="L55" s="97">
        <v>38.624502449813093</v>
      </c>
      <c r="M55" s="97">
        <v>25631.219825695971</v>
      </c>
      <c r="N55" s="97">
        <v>1.655494710596092</v>
      </c>
      <c r="O55" s="97">
        <v>1098.5862899515666</v>
      </c>
      <c r="P55" s="97">
        <v>15.782017924255566</v>
      </c>
      <c r="Q55" s="97">
        <v>10472.947094535994</v>
      </c>
      <c r="R55" s="97">
        <v>48.777798428967053</v>
      </c>
      <c r="S55" s="97">
        <v>32368.947037462538</v>
      </c>
      <c r="T55" s="97">
        <v>24.1856209621697</v>
      </c>
      <c r="U55" s="97">
        <v>16049.578070495814</v>
      </c>
      <c r="V55" s="97">
        <v>24.242585596747222</v>
      </c>
      <c r="W55" s="97">
        <v>16087.379802001456</v>
      </c>
      <c r="X55" s="97">
        <v>28.769675439509985</v>
      </c>
      <c r="Y55" s="97">
        <v>19091.556621658827</v>
      </c>
      <c r="Z55" s="97">
        <v>26.425112510016149</v>
      </c>
      <c r="AA55" s="97">
        <v>17535.704661646716</v>
      </c>
      <c r="AB55" s="97">
        <v>18.302624883226439</v>
      </c>
      <c r="AC55" s="97">
        <v>12145.621872509066</v>
      </c>
      <c r="AD55" s="97">
        <v>20.191751408159185</v>
      </c>
      <c r="AE55" s="97">
        <v>13399.246234454435</v>
      </c>
      <c r="AF55" s="97">
        <v>16.310347746492489</v>
      </c>
      <c r="AG55" s="97">
        <v>10823.546764572417</v>
      </c>
      <c r="AH55" s="97">
        <v>27</v>
      </c>
      <c r="AI55" s="97">
        <v>17917.2</v>
      </c>
      <c r="AJ55" s="97">
        <v>25</v>
      </c>
      <c r="AK55" s="97">
        <v>16590</v>
      </c>
      <c r="AL55" s="97">
        <v>19</v>
      </c>
      <c r="AM55" s="97">
        <v>12608.4</v>
      </c>
      <c r="AN55" s="97">
        <v>21</v>
      </c>
      <c r="AO55" s="97">
        <v>13935.6</v>
      </c>
      <c r="AP55" s="97">
        <v>21</v>
      </c>
      <c r="AQ55" s="97">
        <v>13935.6</v>
      </c>
      <c r="AR55" s="97">
        <v>18</v>
      </c>
      <c r="AS55" s="97">
        <v>11944.800000000001</v>
      </c>
      <c r="AT55" s="97">
        <v>9</v>
      </c>
      <c r="AU55" s="97">
        <v>5972.4000000000005</v>
      </c>
      <c r="AV55" s="97">
        <v>13</v>
      </c>
      <c r="AW55" s="97">
        <v>8626.8000000000011</v>
      </c>
      <c r="AX55" s="97">
        <v>21</v>
      </c>
      <c r="AY55" s="97">
        <v>13935.6</v>
      </c>
      <c r="AZ55" s="97">
        <v>14</v>
      </c>
      <c r="BA55" s="97">
        <v>9290.4</v>
      </c>
      <c r="BB55" s="97">
        <v>12</v>
      </c>
      <c r="BC55" s="97">
        <v>7963.2000000000007</v>
      </c>
      <c r="BD55" s="97">
        <v>12</v>
      </c>
      <c r="BE55" s="97">
        <v>7963.2000000000007</v>
      </c>
      <c r="BF55" s="97">
        <v>10</v>
      </c>
      <c r="BG55" s="97">
        <v>6636</v>
      </c>
      <c r="BH55" s="97">
        <v>6</v>
      </c>
      <c r="BI55" s="97">
        <v>3981.6000000000004</v>
      </c>
      <c r="BJ55" s="97">
        <v>13</v>
      </c>
      <c r="BK55" s="97">
        <v>8626.8000000000011</v>
      </c>
      <c r="BL55" s="97">
        <v>12</v>
      </c>
      <c r="BM55" s="97">
        <v>7963.2000000000007</v>
      </c>
      <c r="BN55" s="97">
        <v>8</v>
      </c>
      <c r="BO55" s="97">
        <v>5308.8</v>
      </c>
      <c r="BP55" s="97">
        <v>7</v>
      </c>
      <c r="BQ55" s="97">
        <v>4645.2</v>
      </c>
      <c r="BR55" s="97">
        <v>8</v>
      </c>
      <c r="BS55" s="97">
        <v>5308.8</v>
      </c>
      <c r="BT55" s="97">
        <v>8</v>
      </c>
      <c r="BU55" s="97">
        <v>5308.8</v>
      </c>
      <c r="BV55" s="97">
        <v>5</v>
      </c>
      <c r="BW55" s="97">
        <v>3318</v>
      </c>
      <c r="BX55" s="97">
        <v>7</v>
      </c>
      <c r="BY55" s="97">
        <v>4645.2</v>
      </c>
      <c r="BZ55" s="97">
        <v>6</v>
      </c>
      <c r="CA55" s="97">
        <v>3981.6000000000004</v>
      </c>
      <c r="CB55" s="97">
        <v>5</v>
      </c>
      <c r="CC55" s="97">
        <v>3318</v>
      </c>
      <c r="CD55" s="97">
        <v>7</v>
      </c>
      <c r="CE55" s="97">
        <v>4645.2</v>
      </c>
      <c r="CF55" s="97">
        <v>6</v>
      </c>
      <c r="CG55" s="97">
        <v>3981.6000000000004</v>
      </c>
      <c r="CH55" s="97">
        <v>6</v>
      </c>
      <c r="CI55" s="97">
        <v>3981.6000000000004</v>
      </c>
      <c r="CJ55" s="97">
        <v>4</v>
      </c>
      <c r="CK55" s="97">
        <v>2654.4</v>
      </c>
      <c r="CL55" s="97">
        <v>7</v>
      </c>
      <c r="CM55" s="97">
        <v>4645.2</v>
      </c>
      <c r="CN55" s="97">
        <v>5</v>
      </c>
      <c r="CO55" s="97">
        <v>3318</v>
      </c>
      <c r="CP55" s="97">
        <v>3</v>
      </c>
      <c r="CQ55" s="97">
        <v>1990.8000000000002</v>
      </c>
      <c r="CR55" s="97">
        <v>4</v>
      </c>
      <c r="CS55" s="97">
        <v>2654.4</v>
      </c>
      <c r="CT55" s="97">
        <v>6</v>
      </c>
      <c r="CU55" s="97">
        <v>3981.6000000000004</v>
      </c>
    </row>
    <row r="56" spans="2:99" x14ac:dyDescent="0.15">
      <c r="C56" s="96" t="s">
        <v>221</v>
      </c>
      <c r="D56" s="97">
        <v>0</v>
      </c>
      <c r="E56" s="97">
        <v>0</v>
      </c>
      <c r="F56" s="97">
        <v>0</v>
      </c>
      <c r="G56" s="97">
        <v>0</v>
      </c>
      <c r="H56" s="97">
        <v>4.1151693618521712</v>
      </c>
      <c r="I56" s="97">
        <v>4735.736901619478</v>
      </c>
      <c r="J56" s="97">
        <v>2.2739741889182681</v>
      </c>
      <c r="K56" s="97">
        <v>2616.889496607143</v>
      </c>
      <c r="L56" s="97">
        <v>3.2934603019964559</v>
      </c>
      <c r="M56" s="97">
        <v>3790.1141155375212</v>
      </c>
      <c r="N56" s="97">
        <v>0</v>
      </c>
      <c r="O56" s="97">
        <v>0</v>
      </c>
      <c r="P56" s="97">
        <v>6.3757532374573991</v>
      </c>
      <c r="Q56" s="97">
        <v>7337.2168256659743</v>
      </c>
      <c r="R56" s="97">
        <v>4.2629551447511886</v>
      </c>
      <c r="S56" s="97">
        <v>4905.8087805796677</v>
      </c>
      <c r="T56" s="97">
        <v>3.3174733916465073</v>
      </c>
      <c r="U56" s="97">
        <v>3817.7483791068007</v>
      </c>
      <c r="V56" s="97">
        <v>0</v>
      </c>
      <c r="W56" s="97">
        <v>0</v>
      </c>
      <c r="X56" s="97">
        <v>6.9209329790049061</v>
      </c>
      <c r="Y56" s="97">
        <v>7964.6096722388456</v>
      </c>
      <c r="Z56" s="97">
        <v>6.8586820873841338E-16</v>
      </c>
      <c r="AA56" s="97">
        <v>7.892971346161661E-13</v>
      </c>
      <c r="AB56" s="97">
        <v>5.361833376208204</v>
      </c>
      <c r="AC56" s="97">
        <v>6170.3978493404011</v>
      </c>
      <c r="AD56" s="97">
        <v>3.3536134595539742</v>
      </c>
      <c r="AE56" s="97">
        <v>3859.3383692547131</v>
      </c>
      <c r="AF56" s="97">
        <v>3.6924063291412232</v>
      </c>
      <c r="AG56" s="97">
        <v>4249.2212035757193</v>
      </c>
      <c r="AH56" s="97">
        <v>3.764237207029308</v>
      </c>
      <c r="AI56" s="97">
        <v>4331.8841778493279</v>
      </c>
      <c r="AJ56" s="97">
        <v>4.8168005703990948</v>
      </c>
      <c r="AK56" s="97">
        <v>5543.1740964152777</v>
      </c>
      <c r="AL56" s="97">
        <v>3.7491470995496026</v>
      </c>
      <c r="AM56" s="97">
        <v>4314.5184821616822</v>
      </c>
      <c r="AN56" s="97">
        <v>3.4145338047762004</v>
      </c>
      <c r="AO56" s="97">
        <v>3929.4455025364514</v>
      </c>
      <c r="AP56" s="97">
        <v>0.31034482758620691</v>
      </c>
      <c r="AQ56" s="97">
        <v>357.14482758620687</v>
      </c>
      <c r="AR56" s="97">
        <v>8.4385580408563552</v>
      </c>
      <c r="AS56" s="97">
        <v>9711.0925934174938</v>
      </c>
      <c r="AT56" s="97">
        <v>2.8870454441885784</v>
      </c>
      <c r="AU56" s="97">
        <v>3322.411897172216</v>
      </c>
      <c r="AV56" s="97">
        <v>2.8138528138528138</v>
      </c>
      <c r="AW56" s="97">
        <v>3238.181818181818</v>
      </c>
      <c r="AX56" s="97">
        <v>5.4236991600125108</v>
      </c>
      <c r="AY56" s="97">
        <v>6241.5929933423977</v>
      </c>
      <c r="AZ56" s="97">
        <v>3.9787243195527986</v>
      </c>
      <c r="BA56" s="97">
        <v>4578.71594694136</v>
      </c>
      <c r="BB56" s="97">
        <v>0.25728987993138935</v>
      </c>
      <c r="BC56" s="97">
        <v>296.08919382504286</v>
      </c>
      <c r="BD56" s="97">
        <v>6.35584119133354</v>
      </c>
      <c r="BE56" s="97">
        <v>7314.3020429866374</v>
      </c>
      <c r="BF56" s="97">
        <v>2.9477199647689023</v>
      </c>
      <c r="BG56" s="97">
        <v>3392.2361354560526</v>
      </c>
      <c r="BH56" s="97">
        <v>2.782445319233056</v>
      </c>
      <c r="BI56" s="97">
        <v>3202.0380733734009</v>
      </c>
      <c r="BJ56" s="97">
        <v>4.0811974747865731</v>
      </c>
      <c r="BK56" s="97">
        <v>4696.6420539843884</v>
      </c>
      <c r="BL56" s="97">
        <v>3.8129980363846152</v>
      </c>
      <c r="BM56" s="97">
        <v>4387.9981402714147</v>
      </c>
      <c r="BN56" s="97">
        <v>0.31413612565445026</v>
      </c>
      <c r="BO56" s="97">
        <v>361.50785340314133</v>
      </c>
      <c r="BP56" s="97">
        <v>4.096425468939656</v>
      </c>
      <c r="BQ56" s="97">
        <v>4714.1664296557556</v>
      </c>
      <c r="BR56" s="97">
        <v>3.4493844084250549</v>
      </c>
      <c r="BS56" s="97">
        <v>3969.5515772155532</v>
      </c>
      <c r="BT56" s="97">
        <v>6.2150822612292025</v>
      </c>
      <c r="BU56" s="97">
        <v>7152.3166662225658</v>
      </c>
      <c r="BV56" s="97">
        <v>0.27027027027027029</v>
      </c>
      <c r="BW56" s="97">
        <v>311.02702702702703</v>
      </c>
      <c r="BX56" s="97">
        <v>7</v>
      </c>
      <c r="BY56" s="97">
        <v>8055.5999999999995</v>
      </c>
      <c r="BZ56" s="97">
        <v>2.1553386548424167</v>
      </c>
      <c r="CA56" s="97">
        <v>2480.3637239926529</v>
      </c>
      <c r="CB56" s="97">
        <v>2.8782506613242056</v>
      </c>
      <c r="CC56" s="97">
        <v>3312.2908610518957</v>
      </c>
      <c r="CD56" s="97">
        <v>3.3221476510067114</v>
      </c>
      <c r="CE56" s="97">
        <v>3823.1275167785234</v>
      </c>
      <c r="CF56" s="97">
        <v>3.8741362301204592</v>
      </c>
      <c r="CG56" s="97">
        <v>4458.3559736226243</v>
      </c>
      <c r="CH56" s="97">
        <v>0.18356643356643357</v>
      </c>
      <c r="CI56" s="97">
        <v>211.24825174825173</v>
      </c>
      <c r="CJ56" s="97">
        <v>3.2093023255813953</v>
      </c>
      <c r="CK56" s="97">
        <v>3693.2651162790694</v>
      </c>
      <c r="CL56" s="97">
        <v>4.5372723968442372</v>
      </c>
      <c r="CM56" s="97">
        <v>5221.493074288348</v>
      </c>
      <c r="CN56" s="97">
        <v>3.6995515695067263</v>
      </c>
      <c r="CO56" s="97">
        <v>4257.4439461883403</v>
      </c>
      <c r="CP56" s="97">
        <v>1.9544238114286121E-2</v>
      </c>
      <c r="CQ56" s="97">
        <v>22.491509221920467</v>
      </c>
      <c r="CR56" s="97">
        <v>4</v>
      </c>
      <c r="CS56" s="97">
        <v>4603.2</v>
      </c>
      <c r="CT56" s="97">
        <v>6</v>
      </c>
      <c r="CU56" s="97">
        <v>6904.7999999999993</v>
      </c>
    </row>
    <row r="57" spans="2:99" x14ac:dyDescent="0.15">
      <c r="C57" s="96" t="s">
        <v>222</v>
      </c>
      <c r="D57" s="97">
        <v>0</v>
      </c>
      <c r="E57" s="97">
        <v>0</v>
      </c>
      <c r="F57" s="97">
        <v>0</v>
      </c>
      <c r="G57" s="97">
        <v>0</v>
      </c>
      <c r="H57" s="97">
        <v>23.545275683462599</v>
      </c>
      <c r="I57" s="97">
        <v>33227.093044502421</v>
      </c>
      <c r="J57" s="97">
        <v>0.75642245480494774</v>
      </c>
      <c r="K57" s="97">
        <v>1067.4633682207423</v>
      </c>
      <c r="L57" s="97">
        <v>36.980906600884872</v>
      </c>
      <c r="M57" s="97">
        <v>52187.455395168734</v>
      </c>
      <c r="N57" s="97">
        <v>1.6195056951483506</v>
      </c>
      <c r="O57" s="97">
        <v>2285.4464369933526</v>
      </c>
      <c r="P57" s="97">
        <v>13.10205261636311</v>
      </c>
      <c r="Q57" s="97">
        <v>18489.616652211622</v>
      </c>
      <c r="R57" s="97">
        <v>47.782333154906496</v>
      </c>
      <c r="S57" s="97">
        <v>67430.428548204043</v>
      </c>
      <c r="T57" s="97">
        <v>23.513798157664986</v>
      </c>
      <c r="U57" s="97">
        <v>33182.671960096828</v>
      </c>
      <c r="V57" s="97">
        <v>23.06002044568638</v>
      </c>
      <c r="W57" s="97">
        <v>32542.30085295262</v>
      </c>
      <c r="X57" s="97">
        <v>23.156080231800718</v>
      </c>
      <c r="Y57" s="97">
        <v>32677.860423117174</v>
      </c>
      <c r="Z57" s="97">
        <v>23.552817671970914</v>
      </c>
      <c r="AA57" s="97">
        <v>33237.736298685355</v>
      </c>
      <c r="AB57" s="97">
        <v>18.302624883226439</v>
      </c>
      <c r="AC57" s="97">
        <v>25828.664235209151</v>
      </c>
      <c r="AD57" s="97">
        <v>17.43833076159202</v>
      </c>
      <c r="AE57" s="97">
        <v>24608.97237075866</v>
      </c>
      <c r="AF57" s="97">
        <v>14.498086885771102</v>
      </c>
      <c r="AG57" s="97">
        <v>20459.70021320018</v>
      </c>
      <c r="AH57" s="97">
        <v>25</v>
      </c>
      <c r="AI57" s="97">
        <v>35280</v>
      </c>
      <c r="AJ57" s="97">
        <v>22</v>
      </c>
      <c r="AK57" s="97">
        <v>31046.400000000001</v>
      </c>
      <c r="AL57" s="97">
        <v>19</v>
      </c>
      <c r="AM57" s="97">
        <v>26812.799999999999</v>
      </c>
      <c r="AN57" s="97">
        <v>18</v>
      </c>
      <c r="AO57" s="97">
        <v>25401.600000000002</v>
      </c>
      <c r="AP57" s="97">
        <v>20</v>
      </c>
      <c r="AQ57" s="97">
        <v>28224</v>
      </c>
      <c r="AR57" s="97">
        <v>15</v>
      </c>
      <c r="AS57" s="97">
        <v>21168</v>
      </c>
      <c r="AT57" s="97">
        <v>10</v>
      </c>
      <c r="AU57" s="97">
        <v>14112</v>
      </c>
      <c r="AV57" s="97">
        <v>13</v>
      </c>
      <c r="AW57" s="97">
        <v>18345.600000000002</v>
      </c>
      <c r="AX57" s="97">
        <v>16</v>
      </c>
      <c r="AY57" s="97">
        <v>22579.200000000001</v>
      </c>
      <c r="AZ57" s="97">
        <v>14</v>
      </c>
      <c r="BA57" s="97">
        <v>19756.8</v>
      </c>
      <c r="BB57" s="97">
        <v>10</v>
      </c>
      <c r="BC57" s="97">
        <v>14112</v>
      </c>
      <c r="BD57" s="97">
        <v>11</v>
      </c>
      <c r="BE57" s="97">
        <v>15523.2</v>
      </c>
      <c r="BF57" s="97">
        <v>9</v>
      </c>
      <c r="BG57" s="97">
        <v>12700.800000000001</v>
      </c>
      <c r="BH57" s="97">
        <v>6</v>
      </c>
      <c r="BI57" s="97">
        <v>8467.2000000000007</v>
      </c>
      <c r="BJ57" s="97">
        <v>11</v>
      </c>
      <c r="BK57" s="97">
        <v>15523.2</v>
      </c>
      <c r="BL57" s="97">
        <v>11</v>
      </c>
      <c r="BM57" s="97">
        <v>15523.2</v>
      </c>
      <c r="BN57" s="97">
        <v>8</v>
      </c>
      <c r="BO57" s="97">
        <v>11289.6</v>
      </c>
      <c r="BP57" s="97">
        <v>7</v>
      </c>
      <c r="BQ57" s="97">
        <v>9878.4</v>
      </c>
      <c r="BR57" s="97">
        <v>7</v>
      </c>
      <c r="BS57" s="97">
        <v>9878.4</v>
      </c>
      <c r="BT57" s="97">
        <v>8</v>
      </c>
      <c r="BU57" s="97">
        <v>11289.6</v>
      </c>
      <c r="BV57" s="97">
        <v>5</v>
      </c>
      <c r="BW57" s="97">
        <v>7056</v>
      </c>
      <c r="BX57" s="97">
        <v>7</v>
      </c>
      <c r="BY57" s="97">
        <v>9878.4</v>
      </c>
      <c r="BZ57" s="97">
        <v>6</v>
      </c>
      <c r="CA57" s="97">
        <v>8467.2000000000007</v>
      </c>
      <c r="CB57" s="97">
        <v>5</v>
      </c>
      <c r="CC57" s="97">
        <v>7056</v>
      </c>
      <c r="CD57" s="97">
        <v>6</v>
      </c>
      <c r="CE57" s="97">
        <v>8467.2000000000007</v>
      </c>
      <c r="CF57" s="97">
        <v>6</v>
      </c>
      <c r="CG57" s="97">
        <v>8467.2000000000007</v>
      </c>
      <c r="CH57" s="97">
        <v>6</v>
      </c>
      <c r="CI57" s="97">
        <v>8467.2000000000007</v>
      </c>
      <c r="CJ57" s="97">
        <v>4</v>
      </c>
      <c r="CK57" s="97">
        <v>5644.8</v>
      </c>
      <c r="CL57" s="97">
        <v>6</v>
      </c>
      <c r="CM57" s="97">
        <v>8467.2000000000007</v>
      </c>
      <c r="CN57" s="97">
        <v>5</v>
      </c>
      <c r="CO57" s="97">
        <v>7056</v>
      </c>
      <c r="CP57" s="97">
        <v>4</v>
      </c>
      <c r="CQ57" s="97">
        <v>5644.8</v>
      </c>
      <c r="CR57" s="97">
        <v>5</v>
      </c>
      <c r="CS57" s="97">
        <v>7056</v>
      </c>
      <c r="CT57" s="97">
        <v>5</v>
      </c>
      <c r="CU57" s="97">
        <v>7056</v>
      </c>
    </row>
    <row r="58" spans="2:99" x14ac:dyDescent="0.15">
      <c r="C58" s="96" t="s">
        <v>223</v>
      </c>
      <c r="D58" s="97">
        <v>0</v>
      </c>
      <c r="E58" s="97">
        <v>0</v>
      </c>
      <c r="F58" s="97">
        <v>0</v>
      </c>
      <c r="G58" s="97">
        <v>0</v>
      </c>
      <c r="H58" s="97">
        <v>4.7482723405986595</v>
      </c>
      <c r="I58" s="97">
        <v>5589.6661993527423</v>
      </c>
      <c r="J58" s="97">
        <v>2.0709407791934229</v>
      </c>
      <c r="K58" s="97">
        <v>2437.9114852664975</v>
      </c>
      <c r="L58" s="97">
        <v>3.4398363154185203</v>
      </c>
      <c r="M58" s="97">
        <v>4049.3753105106821</v>
      </c>
      <c r="N58" s="97">
        <v>0</v>
      </c>
      <c r="O58" s="97">
        <v>0</v>
      </c>
      <c r="P58" s="97">
        <v>6.6867655905041019</v>
      </c>
      <c r="Q58" s="97">
        <v>7871.6604531414287</v>
      </c>
      <c r="R58" s="97">
        <v>4.0889569755776716</v>
      </c>
      <c r="S58" s="97">
        <v>4813.5201516500356</v>
      </c>
      <c r="T58" s="97">
        <v>2.8567131983622702</v>
      </c>
      <c r="U58" s="97">
        <v>3362.9227771120645</v>
      </c>
      <c r="V58" s="97">
        <v>0</v>
      </c>
      <c r="W58" s="97">
        <v>0</v>
      </c>
      <c r="X58" s="97">
        <v>6.7231920367476228</v>
      </c>
      <c r="Y58" s="97">
        <v>7914.5416656593015</v>
      </c>
      <c r="Z58" s="97">
        <v>7.3605368742658991E-16</v>
      </c>
      <c r="AA58" s="97">
        <v>8.6648240083858164E-13</v>
      </c>
      <c r="AB58" s="97">
        <v>5.1065079773411464</v>
      </c>
      <c r="AC58" s="97">
        <v>6011.3811909259975</v>
      </c>
      <c r="AD58" s="97">
        <v>3.5060504349882455</v>
      </c>
      <c r="AE58" s="97">
        <v>4127.322572068163</v>
      </c>
      <c r="AF58" s="97">
        <v>3.5447100759755745</v>
      </c>
      <c r="AG58" s="97">
        <v>4172.8327014384467</v>
      </c>
      <c r="AH58" s="97">
        <v>4.0653761835916526</v>
      </c>
      <c r="AI58" s="97">
        <v>4785.7608433240939</v>
      </c>
      <c r="AJ58" s="97">
        <v>4.8168005703990948</v>
      </c>
      <c r="AK58" s="97">
        <v>5670.3376314738143</v>
      </c>
      <c r="AL58" s="97">
        <v>3.5408611495746243</v>
      </c>
      <c r="AM58" s="97">
        <v>4168.3017452792483</v>
      </c>
      <c r="AN58" s="97">
        <v>3.4145338047762004</v>
      </c>
      <c r="AO58" s="97">
        <v>4019.5891949825432</v>
      </c>
      <c r="AP58" s="97">
        <v>0.31034482758620691</v>
      </c>
      <c r="AQ58" s="97">
        <v>365.33793103448278</v>
      </c>
      <c r="AR58" s="97">
        <v>7.9421722737471576</v>
      </c>
      <c r="AS58" s="97">
        <v>9349.5252006551545</v>
      </c>
      <c r="AT58" s="97">
        <v>2.5983408997697208</v>
      </c>
      <c r="AU58" s="97">
        <v>3058.7669072089157</v>
      </c>
      <c r="AV58" s="97">
        <v>2.5974025974025974</v>
      </c>
      <c r="AW58" s="97">
        <v>3057.6623376623379</v>
      </c>
      <c r="AX58" s="97">
        <v>5.4236991600125108</v>
      </c>
      <c r="AY58" s="97">
        <v>6384.7786511667282</v>
      </c>
      <c r="AZ58" s="97">
        <v>4.5908357533301523</v>
      </c>
      <c r="BA58" s="97">
        <v>5404.3318488202558</v>
      </c>
      <c r="BB58" s="97">
        <v>0.28301886792452829</v>
      </c>
      <c r="BC58" s="97">
        <v>333.16981132075472</v>
      </c>
      <c r="BD58" s="97">
        <v>5.8261877587224111</v>
      </c>
      <c r="BE58" s="97">
        <v>6858.5882295680231</v>
      </c>
      <c r="BF58" s="97">
        <v>2.9477199647689023</v>
      </c>
      <c r="BG58" s="97">
        <v>3470.0559425259521</v>
      </c>
      <c r="BH58" s="97">
        <v>2.782445319233056</v>
      </c>
      <c r="BI58" s="97">
        <v>3275.4946298011537</v>
      </c>
      <c r="BJ58" s="97">
        <v>3.4533209402040237</v>
      </c>
      <c r="BK58" s="97">
        <v>4065.2494108081769</v>
      </c>
      <c r="BL58" s="97">
        <v>4.1596342215104896</v>
      </c>
      <c r="BM58" s="97">
        <v>4896.7214055621489</v>
      </c>
      <c r="BN58" s="97">
        <v>0.35340314136125656</v>
      </c>
      <c r="BO58" s="97">
        <v>416.02617801047126</v>
      </c>
      <c r="BP58" s="97">
        <v>4.096425468939656</v>
      </c>
      <c r="BQ58" s="97">
        <v>4822.3120620357631</v>
      </c>
      <c r="BR58" s="97">
        <v>3.0182113573719236</v>
      </c>
      <c r="BS58" s="97">
        <v>3553.0384098982286</v>
      </c>
      <c r="BT58" s="97">
        <v>5.4381969785755517</v>
      </c>
      <c r="BU58" s="97">
        <v>6401.8454831791396</v>
      </c>
      <c r="BV58" s="97">
        <v>0.22522522522522523</v>
      </c>
      <c r="BW58" s="97">
        <v>265.13513513513516</v>
      </c>
      <c r="BX58" s="97">
        <v>8</v>
      </c>
      <c r="BY58" s="97">
        <v>9417.6</v>
      </c>
      <c r="BZ58" s="97">
        <v>2.5145617639828193</v>
      </c>
      <c r="CA58" s="97">
        <v>2960.1421085605748</v>
      </c>
      <c r="CB58" s="97">
        <v>2.8782506613242056</v>
      </c>
      <c r="CC58" s="97">
        <v>3388.2766785108552</v>
      </c>
      <c r="CD58" s="97">
        <v>3.3221476510067114</v>
      </c>
      <c r="CE58" s="97">
        <v>3910.8322147651006</v>
      </c>
      <c r="CF58" s="97">
        <v>3.8741362301204592</v>
      </c>
      <c r="CG58" s="97">
        <v>4560.6331700978044</v>
      </c>
      <c r="CH58" s="97">
        <v>0.15734265734265734</v>
      </c>
      <c r="CI58" s="97">
        <v>185.22377622377624</v>
      </c>
      <c r="CJ58" s="97">
        <v>3.2093023255813953</v>
      </c>
      <c r="CK58" s="97">
        <v>3777.9906976744187</v>
      </c>
      <c r="CL58" s="97">
        <v>4.5372723968442372</v>
      </c>
      <c r="CM58" s="97">
        <v>5341.2770655650365</v>
      </c>
      <c r="CN58" s="97">
        <v>3.6995515695067263</v>
      </c>
      <c r="CO58" s="97">
        <v>4355.1121076233185</v>
      </c>
      <c r="CP58" s="97">
        <v>2.6058984152381493E-2</v>
      </c>
      <c r="CQ58" s="97">
        <v>30.676636144183494</v>
      </c>
      <c r="CR58" s="97">
        <v>5</v>
      </c>
      <c r="CS58" s="97">
        <v>5886</v>
      </c>
      <c r="CT58" s="97">
        <v>6</v>
      </c>
      <c r="CU58" s="97">
        <v>7063.2000000000007</v>
      </c>
    </row>
    <row r="59" spans="2:99" x14ac:dyDescent="0.15">
      <c r="C59" s="96" t="s">
        <v>224</v>
      </c>
      <c r="D59" s="97">
        <v>0</v>
      </c>
      <c r="E59" s="97">
        <v>0</v>
      </c>
      <c r="F59" s="97">
        <v>0</v>
      </c>
      <c r="G59" s="97">
        <v>0</v>
      </c>
      <c r="H59" s="97">
        <v>28.018878063320496</v>
      </c>
      <c r="I59" s="97">
        <v>8506.531380024102</v>
      </c>
      <c r="J59" s="97">
        <v>0.92768791627021896</v>
      </c>
      <c r="K59" s="97">
        <v>281.64605137963844</v>
      </c>
      <c r="L59" s="97">
        <v>44.37708792106185</v>
      </c>
      <c r="M59" s="97">
        <v>13472.883892834376</v>
      </c>
      <c r="N59" s="97">
        <v>1.9434068341780211</v>
      </c>
      <c r="O59" s="97">
        <v>590.01831485644709</v>
      </c>
      <c r="P59" s="97">
        <v>16.079791847354727</v>
      </c>
      <c r="Q59" s="97">
        <v>4881.8248048568948</v>
      </c>
      <c r="R59" s="97">
        <v>59.72791644363312</v>
      </c>
      <c r="S59" s="97">
        <v>18133.395432287012</v>
      </c>
      <c r="T59" s="97">
        <v>27.544734984693267</v>
      </c>
      <c r="U59" s="97">
        <v>8362.5815413528744</v>
      </c>
      <c r="V59" s="97">
        <v>25.425150747808061</v>
      </c>
      <c r="W59" s="97">
        <v>7719.0757670345265</v>
      </c>
      <c r="X59" s="97">
        <v>29.471374840473644</v>
      </c>
      <c r="Y59" s="97">
        <v>8947.5094015677969</v>
      </c>
      <c r="Z59" s="97">
        <v>25.276194574798051</v>
      </c>
      <c r="AA59" s="97">
        <v>7673.8526729086871</v>
      </c>
      <c r="AB59" s="97">
        <v>22.155809069168853</v>
      </c>
      <c r="AC59" s="97">
        <v>6726.5036333996632</v>
      </c>
      <c r="AD59" s="97">
        <v>22.945172054726346</v>
      </c>
      <c r="AE59" s="97">
        <v>6966.1542358149181</v>
      </c>
      <c r="AF59" s="97">
        <v>17.518521653640082</v>
      </c>
      <c r="AG59" s="97">
        <v>5318.6231740451285</v>
      </c>
      <c r="AH59" s="97">
        <v>31</v>
      </c>
      <c r="AI59" s="97">
        <v>9411.5999999999985</v>
      </c>
      <c r="AJ59" s="97">
        <v>23</v>
      </c>
      <c r="AK59" s="97">
        <v>6982.7999999999993</v>
      </c>
      <c r="AL59" s="97">
        <v>23</v>
      </c>
      <c r="AM59" s="97">
        <v>6982.7999999999993</v>
      </c>
      <c r="AN59" s="97">
        <v>20</v>
      </c>
      <c r="AO59" s="97">
        <v>6071.9999999999991</v>
      </c>
      <c r="AP59" s="97">
        <v>22</v>
      </c>
      <c r="AQ59" s="97">
        <v>6679.1999999999989</v>
      </c>
      <c r="AR59" s="97">
        <v>17</v>
      </c>
      <c r="AS59" s="97">
        <v>5161.2</v>
      </c>
      <c r="AT59" s="97">
        <v>11</v>
      </c>
      <c r="AU59" s="97">
        <v>3339.5999999999995</v>
      </c>
      <c r="AV59" s="97">
        <v>13</v>
      </c>
      <c r="AW59" s="97">
        <v>3946.7999999999997</v>
      </c>
      <c r="AX59" s="97">
        <v>19</v>
      </c>
      <c r="AY59" s="97">
        <v>5768.4</v>
      </c>
      <c r="AZ59" s="97">
        <v>14</v>
      </c>
      <c r="BA59" s="97">
        <v>4250.3999999999996</v>
      </c>
      <c r="BB59" s="97">
        <v>12</v>
      </c>
      <c r="BC59" s="97">
        <v>3643.2</v>
      </c>
      <c r="BD59" s="97">
        <v>12</v>
      </c>
      <c r="BE59" s="97">
        <v>3643.2</v>
      </c>
      <c r="BF59" s="97">
        <v>9</v>
      </c>
      <c r="BG59" s="97">
        <v>2732.3999999999996</v>
      </c>
      <c r="BH59" s="97">
        <v>7</v>
      </c>
      <c r="BI59" s="97">
        <v>2125.1999999999998</v>
      </c>
      <c r="BJ59" s="97">
        <v>13</v>
      </c>
      <c r="BK59" s="97">
        <v>3946.7999999999997</v>
      </c>
      <c r="BL59" s="97">
        <v>14</v>
      </c>
      <c r="BM59" s="97">
        <v>4250.3999999999996</v>
      </c>
      <c r="BN59" s="97">
        <v>9</v>
      </c>
      <c r="BO59" s="97">
        <v>2732.3999999999996</v>
      </c>
      <c r="BP59" s="97">
        <v>7</v>
      </c>
      <c r="BQ59" s="97">
        <v>2125.1999999999998</v>
      </c>
      <c r="BR59" s="97">
        <v>8</v>
      </c>
      <c r="BS59" s="97">
        <v>2428.7999999999997</v>
      </c>
      <c r="BT59" s="97">
        <v>8</v>
      </c>
      <c r="BU59" s="97">
        <v>2428.7999999999997</v>
      </c>
      <c r="BV59" s="97">
        <v>5</v>
      </c>
      <c r="BW59" s="97">
        <v>1517.9999999999998</v>
      </c>
      <c r="BX59" s="97">
        <v>7</v>
      </c>
      <c r="BY59" s="97">
        <v>2125.1999999999998</v>
      </c>
      <c r="BZ59" s="97">
        <v>6</v>
      </c>
      <c r="CA59" s="97">
        <v>1821.6</v>
      </c>
      <c r="CB59" s="97">
        <v>6</v>
      </c>
      <c r="CC59" s="97">
        <v>1821.6</v>
      </c>
      <c r="CD59" s="97">
        <v>7</v>
      </c>
      <c r="CE59" s="97">
        <v>2125.1999999999998</v>
      </c>
      <c r="CF59" s="97">
        <v>6</v>
      </c>
      <c r="CG59" s="97">
        <v>1821.6</v>
      </c>
      <c r="CH59" s="97">
        <v>7</v>
      </c>
      <c r="CI59" s="97">
        <v>2125.1999999999998</v>
      </c>
      <c r="CJ59" s="97">
        <v>4</v>
      </c>
      <c r="CK59" s="97">
        <v>1214.3999999999999</v>
      </c>
      <c r="CL59" s="97">
        <v>7</v>
      </c>
      <c r="CM59" s="97">
        <v>2125.1999999999998</v>
      </c>
      <c r="CN59" s="97">
        <v>5</v>
      </c>
      <c r="CO59" s="97">
        <v>1517.9999999999998</v>
      </c>
      <c r="CP59" s="97">
        <v>4</v>
      </c>
      <c r="CQ59" s="97">
        <v>1214.3999999999999</v>
      </c>
      <c r="CR59" s="97">
        <v>4</v>
      </c>
      <c r="CS59" s="97">
        <v>1214.3999999999999</v>
      </c>
      <c r="CT59" s="97">
        <v>6</v>
      </c>
      <c r="CU59" s="97">
        <v>1821.6</v>
      </c>
    </row>
    <row r="60" spans="2:99" x14ac:dyDescent="0.15">
      <c r="C60" s="96" t="s">
        <v>225</v>
      </c>
      <c r="D60" s="97">
        <v>0</v>
      </c>
      <c r="E60" s="97">
        <v>0</v>
      </c>
      <c r="F60" s="97">
        <v>0</v>
      </c>
      <c r="G60" s="97">
        <v>0</v>
      </c>
      <c r="H60" s="97">
        <v>27.312519792816616</v>
      </c>
      <c r="I60" s="97">
        <v>17796.837896999306</v>
      </c>
      <c r="J60" s="97">
        <v>0.81351094196003815</v>
      </c>
      <c r="K60" s="97">
        <v>530.08372978116086</v>
      </c>
      <c r="L60" s="97">
        <v>42.733492072133629</v>
      </c>
      <c r="M60" s="97">
        <v>27845.143434202273</v>
      </c>
      <c r="N60" s="97">
        <v>1.6914837260438329</v>
      </c>
      <c r="O60" s="97">
        <v>1102.1707958901616</v>
      </c>
      <c r="P60" s="97">
        <v>13.10205261636311</v>
      </c>
      <c r="Q60" s="97">
        <v>8537.2974848222038</v>
      </c>
      <c r="R60" s="97">
        <v>54.750590073330365</v>
      </c>
      <c r="S60" s="97">
        <v>35675.484491782066</v>
      </c>
      <c r="T60" s="97">
        <v>25.529266571179129</v>
      </c>
      <c r="U60" s="97">
        <v>16634.87009778032</v>
      </c>
      <c r="V60" s="97">
        <v>27.790281049929739</v>
      </c>
      <c r="W60" s="97">
        <v>18108.147132134218</v>
      </c>
      <c r="X60" s="97">
        <v>27.366276637582665</v>
      </c>
      <c r="Y60" s="97">
        <v>17831.865857048866</v>
      </c>
      <c r="Z60" s="97">
        <v>26.425112510016149</v>
      </c>
      <c r="AA60" s="97">
        <v>17218.603311526524</v>
      </c>
      <c r="AB60" s="97">
        <v>21.192513022683247</v>
      </c>
      <c r="AC60" s="97">
        <v>13809.041485580405</v>
      </c>
      <c r="AD60" s="97">
        <v>22.945172054726346</v>
      </c>
      <c r="AE60" s="97">
        <v>14951.074110859687</v>
      </c>
      <c r="AF60" s="97">
        <v>15.102173839344898</v>
      </c>
      <c r="AG60" s="97">
        <v>9840.5764737171357</v>
      </c>
      <c r="AH60" s="97">
        <v>31</v>
      </c>
      <c r="AI60" s="97">
        <v>20199.600000000002</v>
      </c>
      <c r="AJ60" s="97">
        <v>22</v>
      </c>
      <c r="AK60" s="97">
        <v>14335.2</v>
      </c>
      <c r="AL60" s="97">
        <v>18</v>
      </c>
      <c r="AM60" s="97">
        <v>11728.800000000001</v>
      </c>
      <c r="AN60" s="97">
        <v>21</v>
      </c>
      <c r="AO60" s="97">
        <v>13683.6</v>
      </c>
      <c r="AP60" s="97">
        <v>19</v>
      </c>
      <c r="AQ60" s="97">
        <v>12380.4</v>
      </c>
      <c r="AR60" s="97">
        <v>19</v>
      </c>
      <c r="AS60" s="97">
        <v>12380.4</v>
      </c>
      <c r="AT60" s="97">
        <v>11</v>
      </c>
      <c r="AU60" s="97">
        <v>7167.6</v>
      </c>
      <c r="AV60" s="97">
        <v>13</v>
      </c>
      <c r="AW60" s="97">
        <v>8470.8000000000011</v>
      </c>
      <c r="AX60" s="97">
        <v>20</v>
      </c>
      <c r="AY60" s="97">
        <v>13032</v>
      </c>
      <c r="AZ60" s="97">
        <v>15</v>
      </c>
      <c r="BA60" s="97">
        <v>9774</v>
      </c>
      <c r="BB60" s="97">
        <v>10</v>
      </c>
      <c r="BC60" s="97">
        <v>6516</v>
      </c>
      <c r="BD60" s="97">
        <v>13</v>
      </c>
      <c r="BE60" s="97">
        <v>8470.8000000000011</v>
      </c>
      <c r="BF60" s="97">
        <v>9</v>
      </c>
      <c r="BG60" s="97">
        <v>5864.4000000000005</v>
      </c>
      <c r="BH60" s="97">
        <v>6</v>
      </c>
      <c r="BI60" s="97">
        <v>3909.6000000000004</v>
      </c>
      <c r="BJ60" s="97">
        <v>13</v>
      </c>
      <c r="BK60" s="97">
        <v>8470.8000000000011</v>
      </c>
      <c r="BL60" s="97">
        <v>11</v>
      </c>
      <c r="BM60" s="97">
        <v>7167.6</v>
      </c>
      <c r="BN60" s="97">
        <v>9</v>
      </c>
      <c r="BO60" s="97">
        <v>5864.4000000000005</v>
      </c>
      <c r="BP60" s="97">
        <v>6</v>
      </c>
      <c r="BQ60" s="97">
        <v>3909.6000000000004</v>
      </c>
      <c r="BR60" s="97">
        <v>7</v>
      </c>
      <c r="BS60" s="97">
        <v>4561.2</v>
      </c>
      <c r="BT60" s="97">
        <v>9</v>
      </c>
      <c r="BU60" s="97">
        <v>5864.4000000000005</v>
      </c>
      <c r="BV60" s="97">
        <v>5</v>
      </c>
      <c r="BW60" s="97">
        <v>3258</v>
      </c>
      <c r="BX60" s="97">
        <v>7</v>
      </c>
      <c r="BY60" s="97">
        <v>4561.2</v>
      </c>
      <c r="BZ60" s="97">
        <v>6</v>
      </c>
      <c r="CA60" s="97">
        <v>3909.6000000000004</v>
      </c>
      <c r="CB60" s="97">
        <v>6</v>
      </c>
      <c r="CC60" s="97">
        <v>3909.6000000000004</v>
      </c>
      <c r="CD60" s="97">
        <v>8</v>
      </c>
      <c r="CE60" s="97">
        <v>5212.8</v>
      </c>
      <c r="CF60" s="97">
        <v>7</v>
      </c>
      <c r="CG60" s="97">
        <v>4561.2</v>
      </c>
      <c r="CH60" s="97">
        <v>6</v>
      </c>
      <c r="CI60" s="97">
        <v>3909.6000000000004</v>
      </c>
      <c r="CJ60" s="97">
        <v>4</v>
      </c>
      <c r="CK60" s="97">
        <v>2606.4</v>
      </c>
      <c r="CL60" s="97">
        <v>7</v>
      </c>
      <c r="CM60" s="97">
        <v>4561.2</v>
      </c>
      <c r="CN60" s="97">
        <v>5</v>
      </c>
      <c r="CO60" s="97">
        <v>3258</v>
      </c>
      <c r="CP60" s="97">
        <v>4</v>
      </c>
      <c r="CQ60" s="97">
        <v>2606.4</v>
      </c>
      <c r="CR60" s="97">
        <v>4</v>
      </c>
      <c r="CS60" s="97">
        <v>2606.4</v>
      </c>
      <c r="CT60" s="97">
        <v>6</v>
      </c>
      <c r="CU60" s="97">
        <v>3909.6000000000004</v>
      </c>
    </row>
    <row r="61" spans="2:99" x14ac:dyDescent="0.15">
      <c r="C61" s="96" t="s">
        <v>226</v>
      </c>
      <c r="D61" s="97">
        <v>0</v>
      </c>
      <c r="E61" s="97">
        <v>0</v>
      </c>
      <c r="F61" s="97">
        <v>0</v>
      </c>
      <c r="G61" s="97">
        <v>0</v>
      </c>
      <c r="H61" s="97">
        <v>24.957992224470356</v>
      </c>
      <c r="I61" s="97">
        <v>23750.025400805989</v>
      </c>
      <c r="J61" s="97">
        <v>0.78496669838249289</v>
      </c>
      <c r="K61" s="97">
        <v>746.97431018078021</v>
      </c>
      <c r="L61" s="97">
        <v>39.4463003742772</v>
      </c>
      <c r="M61" s="97">
        <v>37537.099436162178</v>
      </c>
      <c r="N61" s="97">
        <v>1.7634617569393152</v>
      </c>
      <c r="O61" s="97">
        <v>1678.1102079034522</v>
      </c>
      <c r="P61" s="97">
        <v>14.293148308759756</v>
      </c>
      <c r="Q61" s="97">
        <v>13601.359930615783</v>
      </c>
      <c r="R61" s="97">
        <v>55.746055347390914</v>
      </c>
      <c r="S61" s="97">
        <v>53047.946268577187</v>
      </c>
      <c r="T61" s="97">
        <v>22.170152548655558</v>
      </c>
      <c r="U61" s="97">
        <v>21097.117165300628</v>
      </c>
      <c r="V61" s="97">
        <v>24.242585596747222</v>
      </c>
      <c r="W61" s="97">
        <v>23069.244453864656</v>
      </c>
      <c r="X61" s="97">
        <v>25.962877835655352</v>
      </c>
      <c r="Y61" s="97">
        <v>24706.27454840963</v>
      </c>
      <c r="Z61" s="97">
        <v>24.127276639579961</v>
      </c>
      <c r="AA61" s="97">
        <v>22959.516450224288</v>
      </c>
      <c r="AB61" s="97">
        <v>18.302624883226439</v>
      </c>
      <c r="AC61" s="97">
        <v>17416.777838878279</v>
      </c>
      <c r="AD61" s="97">
        <v>22.027365172537291</v>
      </c>
      <c r="AE61" s="97">
        <v>20961.240698186484</v>
      </c>
      <c r="AF61" s="97">
        <v>16.914434700066284</v>
      </c>
      <c r="AG61" s="97">
        <v>16095.776060583074</v>
      </c>
      <c r="AH61" s="97">
        <v>28</v>
      </c>
      <c r="AI61" s="97">
        <v>26644.799999999996</v>
      </c>
      <c r="AJ61" s="97">
        <v>22</v>
      </c>
      <c r="AK61" s="97">
        <v>20935.199999999997</v>
      </c>
      <c r="AL61" s="97">
        <v>21</v>
      </c>
      <c r="AM61" s="97">
        <v>19983.599999999999</v>
      </c>
      <c r="AN61" s="97">
        <v>19</v>
      </c>
      <c r="AO61" s="97">
        <v>18080.399999999998</v>
      </c>
      <c r="AP61" s="97">
        <v>19</v>
      </c>
      <c r="AQ61" s="97">
        <v>18080.399999999998</v>
      </c>
      <c r="AR61" s="97">
        <v>18</v>
      </c>
      <c r="AS61" s="97">
        <v>17128.8</v>
      </c>
      <c r="AT61" s="97">
        <v>10</v>
      </c>
      <c r="AU61" s="97">
        <v>9516</v>
      </c>
      <c r="AV61" s="97">
        <v>12</v>
      </c>
      <c r="AW61" s="97">
        <v>11419.199999999999</v>
      </c>
      <c r="AX61" s="97">
        <v>20</v>
      </c>
      <c r="AY61" s="97">
        <v>19032</v>
      </c>
      <c r="AZ61" s="97">
        <v>15</v>
      </c>
      <c r="BA61" s="97">
        <v>14273.999999999998</v>
      </c>
      <c r="BB61" s="97">
        <v>10</v>
      </c>
      <c r="BC61" s="97">
        <v>9516</v>
      </c>
      <c r="BD61" s="97">
        <v>11</v>
      </c>
      <c r="BE61" s="97">
        <v>10467.599999999999</v>
      </c>
      <c r="BF61" s="97">
        <v>9</v>
      </c>
      <c r="BG61" s="97">
        <v>8564.4</v>
      </c>
      <c r="BH61" s="97">
        <v>7</v>
      </c>
      <c r="BI61" s="97">
        <v>6661.1999999999989</v>
      </c>
      <c r="BJ61" s="97">
        <v>11</v>
      </c>
      <c r="BK61" s="97">
        <v>10467.599999999999</v>
      </c>
      <c r="BL61" s="97">
        <v>12</v>
      </c>
      <c r="BM61" s="97">
        <v>11419.199999999999</v>
      </c>
      <c r="BN61" s="97">
        <v>9</v>
      </c>
      <c r="BO61" s="97">
        <v>8564.4</v>
      </c>
      <c r="BP61" s="97">
        <v>7</v>
      </c>
      <c r="BQ61" s="97">
        <v>6661.1999999999989</v>
      </c>
      <c r="BR61" s="97">
        <v>8</v>
      </c>
      <c r="BS61" s="97">
        <v>7612.7999999999993</v>
      </c>
      <c r="BT61" s="97">
        <v>9</v>
      </c>
      <c r="BU61" s="97">
        <v>8564.4</v>
      </c>
      <c r="BV61" s="97">
        <v>5</v>
      </c>
      <c r="BW61" s="97">
        <v>4758</v>
      </c>
      <c r="BX61" s="97">
        <v>7</v>
      </c>
      <c r="BY61" s="97">
        <v>6661.1999999999989</v>
      </c>
      <c r="BZ61" s="97">
        <v>6</v>
      </c>
      <c r="CA61" s="97">
        <v>5709.5999999999995</v>
      </c>
      <c r="CB61" s="97">
        <v>5</v>
      </c>
      <c r="CC61" s="97">
        <v>4758</v>
      </c>
      <c r="CD61" s="97">
        <v>8</v>
      </c>
      <c r="CE61" s="97">
        <v>7612.7999999999993</v>
      </c>
      <c r="CF61" s="97">
        <v>6</v>
      </c>
      <c r="CG61" s="97">
        <v>5709.5999999999995</v>
      </c>
      <c r="CH61" s="97">
        <v>7</v>
      </c>
      <c r="CI61" s="97">
        <v>6661.1999999999989</v>
      </c>
      <c r="CJ61" s="97">
        <v>4</v>
      </c>
      <c r="CK61" s="97">
        <v>3806.3999999999996</v>
      </c>
      <c r="CL61" s="97">
        <v>6</v>
      </c>
      <c r="CM61" s="97">
        <v>5709.5999999999995</v>
      </c>
      <c r="CN61" s="97">
        <v>5</v>
      </c>
      <c r="CO61" s="97">
        <v>4758</v>
      </c>
      <c r="CP61" s="97">
        <v>3</v>
      </c>
      <c r="CQ61" s="97">
        <v>2854.7999999999997</v>
      </c>
      <c r="CR61" s="97">
        <v>4</v>
      </c>
      <c r="CS61" s="97">
        <v>3806.3999999999996</v>
      </c>
      <c r="CT61" s="97">
        <v>6</v>
      </c>
      <c r="CU61" s="97">
        <v>5709.5999999999995</v>
      </c>
    </row>
    <row r="62" spans="2:99" x14ac:dyDescent="0.15">
      <c r="C62" s="96" t="s">
        <v>227</v>
      </c>
      <c r="D62" s="97">
        <v>0</v>
      </c>
      <c r="E62" s="97">
        <v>0</v>
      </c>
      <c r="F62" s="97">
        <v>0</v>
      </c>
      <c r="G62" s="97">
        <v>0</v>
      </c>
      <c r="H62" s="97">
        <v>21.190748115116342</v>
      </c>
      <c r="I62" s="97">
        <v>36134.463685896386</v>
      </c>
      <c r="J62" s="97">
        <v>0.6565176022835395</v>
      </c>
      <c r="K62" s="97">
        <v>1119.4938154138915</v>
      </c>
      <c r="L62" s="97">
        <v>36.980906600884872</v>
      </c>
      <c r="M62" s="97">
        <v>63059.841935828888</v>
      </c>
      <c r="N62" s="97">
        <v>1.6914837260438329</v>
      </c>
      <c r="O62" s="97">
        <v>2884.318049649944</v>
      </c>
      <c r="P62" s="97">
        <v>11.910956923966463</v>
      </c>
      <c r="Q62" s="97">
        <v>20310.563746747612</v>
      </c>
      <c r="R62" s="97">
        <v>49.773263703027602</v>
      </c>
      <c r="S62" s="97">
        <v>84873.369266402675</v>
      </c>
      <c r="T62" s="97">
        <v>19.482861330636705</v>
      </c>
      <c r="U62" s="97">
        <v>33222.17514100171</v>
      </c>
      <c r="V62" s="97">
        <v>23.06002044568638</v>
      </c>
      <c r="W62" s="97">
        <v>39321.946863984413</v>
      </c>
      <c r="X62" s="97">
        <v>21.752681429873402</v>
      </c>
      <c r="Y62" s="97">
        <v>37092.672374220128</v>
      </c>
      <c r="Z62" s="97">
        <v>25.276194574798051</v>
      </c>
      <c r="AA62" s="97">
        <v>43100.966988945635</v>
      </c>
      <c r="AB62" s="97">
        <v>17.33932883674084</v>
      </c>
      <c r="AC62" s="97">
        <v>29567.023532410483</v>
      </c>
      <c r="AD62" s="97">
        <v>17.43833076159202</v>
      </c>
      <c r="AE62" s="97">
        <v>29735.841614666715</v>
      </c>
      <c r="AF62" s="97">
        <v>13.893999932197305</v>
      </c>
      <c r="AG62" s="97">
        <v>23692.048684382844</v>
      </c>
      <c r="AH62" s="97">
        <v>25</v>
      </c>
      <c r="AI62" s="97">
        <v>42630</v>
      </c>
      <c r="AJ62" s="97">
        <v>23</v>
      </c>
      <c r="AK62" s="97">
        <v>39219.599999999999</v>
      </c>
      <c r="AL62" s="97">
        <v>19</v>
      </c>
      <c r="AM62" s="97">
        <v>32398.799999999999</v>
      </c>
      <c r="AN62" s="97">
        <v>16</v>
      </c>
      <c r="AO62" s="97">
        <v>27283.200000000001</v>
      </c>
      <c r="AP62" s="97">
        <v>17</v>
      </c>
      <c r="AQ62" s="97">
        <v>28988.400000000001</v>
      </c>
      <c r="AR62" s="97">
        <v>16</v>
      </c>
      <c r="AS62" s="97">
        <v>27283.200000000001</v>
      </c>
      <c r="AT62" s="97">
        <v>9</v>
      </c>
      <c r="AU62" s="97">
        <v>15346.800000000001</v>
      </c>
      <c r="AV62" s="97">
        <v>11</v>
      </c>
      <c r="AW62" s="97">
        <v>18757.2</v>
      </c>
      <c r="AX62" s="97">
        <v>17</v>
      </c>
      <c r="AY62" s="97">
        <v>28988.400000000001</v>
      </c>
      <c r="AZ62" s="97">
        <v>14</v>
      </c>
      <c r="BA62" s="97">
        <v>23872.799999999999</v>
      </c>
      <c r="BB62" s="97">
        <v>10</v>
      </c>
      <c r="BC62" s="97">
        <v>17052</v>
      </c>
      <c r="BD62" s="97">
        <v>11</v>
      </c>
      <c r="BE62" s="97">
        <v>18757.2</v>
      </c>
      <c r="BF62" s="97">
        <v>8</v>
      </c>
      <c r="BG62" s="97">
        <v>13641.6</v>
      </c>
      <c r="BH62" s="97">
        <v>7</v>
      </c>
      <c r="BI62" s="97">
        <v>11936.4</v>
      </c>
      <c r="BJ62" s="97">
        <v>11</v>
      </c>
      <c r="BK62" s="97">
        <v>18757.2</v>
      </c>
      <c r="BL62" s="97">
        <v>11</v>
      </c>
      <c r="BM62" s="97">
        <v>18757.2</v>
      </c>
      <c r="BN62" s="97">
        <v>8</v>
      </c>
      <c r="BO62" s="97">
        <v>13641.6</v>
      </c>
      <c r="BP62" s="97">
        <v>7</v>
      </c>
      <c r="BQ62" s="97">
        <v>11936.4</v>
      </c>
      <c r="BR62" s="97">
        <v>8</v>
      </c>
      <c r="BS62" s="97">
        <v>13641.6</v>
      </c>
      <c r="BT62" s="97">
        <v>7</v>
      </c>
      <c r="BU62" s="97">
        <v>11936.4</v>
      </c>
      <c r="BV62" s="97">
        <v>4</v>
      </c>
      <c r="BW62" s="97">
        <v>6820.8</v>
      </c>
      <c r="BX62" s="97">
        <v>7</v>
      </c>
      <c r="BY62" s="97">
        <v>11936.4</v>
      </c>
      <c r="BZ62" s="97">
        <v>6</v>
      </c>
      <c r="CA62" s="97">
        <v>10231.200000000001</v>
      </c>
      <c r="CB62" s="97">
        <v>5</v>
      </c>
      <c r="CC62" s="97">
        <v>8526</v>
      </c>
      <c r="CD62" s="97">
        <v>7</v>
      </c>
      <c r="CE62" s="97">
        <v>11936.4</v>
      </c>
      <c r="CF62" s="97">
        <v>6</v>
      </c>
      <c r="CG62" s="97">
        <v>10231.200000000001</v>
      </c>
      <c r="CH62" s="97">
        <v>6</v>
      </c>
      <c r="CI62" s="97">
        <v>10231.200000000001</v>
      </c>
      <c r="CJ62" s="97">
        <v>4</v>
      </c>
      <c r="CK62" s="97">
        <v>6820.8</v>
      </c>
      <c r="CL62" s="97">
        <v>6</v>
      </c>
      <c r="CM62" s="97">
        <v>10231.200000000001</v>
      </c>
      <c r="CN62" s="97">
        <v>5</v>
      </c>
      <c r="CO62" s="97">
        <v>8526</v>
      </c>
      <c r="CP62" s="97">
        <v>3</v>
      </c>
      <c r="CQ62" s="97">
        <v>5115.6000000000004</v>
      </c>
      <c r="CR62" s="97">
        <v>4</v>
      </c>
      <c r="CS62" s="97">
        <v>6820.8</v>
      </c>
      <c r="CT62" s="97">
        <v>5</v>
      </c>
      <c r="CU62" s="97">
        <v>8526</v>
      </c>
    </row>
    <row r="63" spans="2:99" x14ac:dyDescent="0.15">
      <c r="C63" s="96" t="s">
        <v>228</v>
      </c>
      <c r="D63" s="97">
        <v>0</v>
      </c>
      <c r="E63" s="97">
        <v>0</v>
      </c>
      <c r="F63" s="97">
        <v>0</v>
      </c>
      <c r="G63" s="97">
        <v>0</v>
      </c>
      <c r="H63" s="97">
        <v>23.309822926627973</v>
      </c>
      <c r="I63" s="97">
        <v>18545.295120425217</v>
      </c>
      <c r="J63" s="97">
        <v>0.7706945765937202</v>
      </c>
      <c r="K63" s="97">
        <v>613.1646051379638</v>
      </c>
      <c r="L63" s="97">
        <v>39.4463003742772</v>
      </c>
      <c r="M63" s="97">
        <v>31383.476577774942</v>
      </c>
      <c r="N63" s="97">
        <v>1.979395849625762</v>
      </c>
      <c r="O63" s="97">
        <v>1574.8073379622563</v>
      </c>
      <c r="P63" s="97">
        <v>13.10205261636311</v>
      </c>
      <c r="Q63" s="97">
        <v>10423.993061578491</v>
      </c>
      <c r="R63" s="97">
        <v>55.746055347390914</v>
      </c>
      <c r="S63" s="97">
        <v>44351.561634384212</v>
      </c>
      <c r="T63" s="97">
        <v>24.1856209621697</v>
      </c>
      <c r="U63" s="97">
        <v>19242.080037502215</v>
      </c>
      <c r="V63" s="97">
        <v>23.651303021216801</v>
      </c>
      <c r="W63" s="97">
        <v>18816.976683680088</v>
      </c>
      <c r="X63" s="97">
        <v>26.66457723661901</v>
      </c>
      <c r="Y63" s="97">
        <v>21214.337649454086</v>
      </c>
      <c r="Z63" s="97">
        <v>26.425112510016149</v>
      </c>
      <c r="AA63" s="97">
        <v>21023.81951296885</v>
      </c>
      <c r="AB63" s="97">
        <v>21.192513022683247</v>
      </c>
      <c r="AC63" s="97">
        <v>16860.763360846791</v>
      </c>
      <c r="AD63" s="97">
        <v>21.109558290348236</v>
      </c>
      <c r="AE63" s="97">
        <v>16794.764575801059</v>
      </c>
      <c r="AF63" s="97">
        <v>17.518521653640082</v>
      </c>
      <c r="AG63" s="97">
        <v>13937.73582763605</v>
      </c>
      <c r="AH63" s="97">
        <v>30</v>
      </c>
      <c r="AI63" s="97">
        <v>23868</v>
      </c>
      <c r="AJ63" s="97">
        <v>23</v>
      </c>
      <c r="AK63" s="97">
        <v>18298.8</v>
      </c>
      <c r="AL63" s="97">
        <v>21</v>
      </c>
      <c r="AM63" s="97">
        <v>16707.600000000002</v>
      </c>
      <c r="AN63" s="97">
        <v>19</v>
      </c>
      <c r="AO63" s="97">
        <v>15116.4</v>
      </c>
      <c r="AP63" s="97">
        <v>20</v>
      </c>
      <c r="AQ63" s="97">
        <v>15912</v>
      </c>
      <c r="AR63" s="97">
        <v>17</v>
      </c>
      <c r="AS63" s="97">
        <v>13525.2</v>
      </c>
      <c r="AT63" s="97">
        <v>10</v>
      </c>
      <c r="AU63" s="97">
        <v>7956</v>
      </c>
      <c r="AV63" s="97">
        <v>13</v>
      </c>
      <c r="AW63" s="97">
        <v>10342.800000000001</v>
      </c>
      <c r="AX63" s="97">
        <v>19</v>
      </c>
      <c r="AY63" s="97">
        <v>15116.4</v>
      </c>
      <c r="AZ63" s="97">
        <v>14</v>
      </c>
      <c r="BA63" s="97">
        <v>11138.4</v>
      </c>
      <c r="BB63" s="97">
        <v>11</v>
      </c>
      <c r="BC63" s="97">
        <v>8751.6</v>
      </c>
      <c r="BD63" s="97">
        <v>11</v>
      </c>
      <c r="BE63" s="97">
        <v>8751.6</v>
      </c>
      <c r="BF63" s="97">
        <v>9</v>
      </c>
      <c r="BG63" s="97">
        <v>7160.4000000000005</v>
      </c>
      <c r="BH63" s="97">
        <v>6</v>
      </c>
      <c r="BI63" s="97">
        <v>4773.6000000000004</v>
      </c>
      <c r="BJ63" s="97">
        <v>11</v>
      </c>
      <c r="BK63" s="97">
        <v>8751.6</v>
      </c>
      <c r="BL63" s="97">
        <v>12</v>
      </c>
      <c r="BM63" s="97">
        <v>9547.2000000000007</v>
      </c>
      <c r="BN63" s="97">
        <v>8</v>
      </c>
      <c r="BO63" s="97">
        <v>6364.8</v>
      </c>
      <c r="BP63" s="97">
        <v>8</v>
      </c>
      <c r="BQ63" s="97">
        <v>6364.8</v>
      </c>
      <c r="BR63" s="97">
        <v>9</v>
      </c>
      <c r="BS63" s="97">
        <v>7160.4000000000005</v>
      </c>
      <c r="BT63" s="97">
        <v>9</v>
      </c>
      <c r="BU63" s="97">
        <v>7160.4000000000005</v>
      </c>
      <c r="BV63" s="97">
        <v>5</v>
      </c>
      <c r="BW63" s="97">
        <v>3978</v>
      </c>
      <c r="BX63" s="97">
        <v>7</v>
      </c>
      <c r="BY63" s="97">
        <v>5569.2</v>
      </c>
      <c r="BZ63" s="97">
        <v>7</v>
      </c>
      <c r="CA63" s="97">
        <v>5569.2</v>
      </c>
      <c r="CB63" s="97">
        <v>5</v>
      </c>
      <c r="CC63" s="97">
        <v>3978</v>
      </c>
      <c r="CD63" s="97">
        <v>6</v>
      </c>
      <c r="CE63" s="97">
        <v>4773.6000000000004</v>
      </c>
      <c r="CF63" s="97">
        <v>6</v>
      </c>
      <c r="CG63" s="97">
        <v>4773.6000000000004</v>
      </c>
      <c r="CH63" s="97">
        <v>6</v>
      </c>
      <c r="CI63" s="97">
        <v>4773.6000000000004</v>
      </c>
      <c r="CJ63" s="97">
        <v>4</v>
      </c>
      <c r="CK63" s="97">
        <v>3182.4</v>
      </c>
      <c r="CL63" s="97">
        <v>7</v>
      </c>
      <c r="CM63" s="97">
        <v>5569.2</v>
      </c>
      <c r="CN63" s="97">
        <v>5</v>
      </c>
      <c r="CO63" s="97">
        <v>3978</v>
      </c>
      <c r="CP63" s="97">
        <v>3</v>
      </c>
      <c r="CQ63" s="97">
        <v>2386.8000000000002</v>
      </c>
      <c r="CR63" s="97">
        <v>5</v>
      </c>
      <c r="CS63" s="97">
        <v>3978</v>
      </c>
      <c r="CT63" s="97">
        <v>5</v>
      </c>
      <c r="CU63" s="97">
        <v>3978</v>
      </c>
    </row>
    <row r="64" spans="2:99" x14ac:dyDescent="0.15">
      <c r="C64" s="96" t="s">
        <v>229</v>
      </c>
      <c r="D64" s="97">
        <v>0</v>
      </c>
      <c r="E64" s="97">
        <v>0</v>
      </c>
      <c r="F64" s="97">
        <v>0</v>
      </c>
      <c r="G64" s="97">
        <v>0</v>
      </c>
      <c r="H64" s="97">
        <v>21.66165362878559</v>
      </c>
      <c r="I64" s="97">
        <v>21860.940842170414</v>
      </c>
      <c r="J64" s="97">
        <v>0.85632730732635587</v>
      </c>
      <c r="K64" s="97">
        <v>864.20551855375822</v>
      </c>
      <c r="L64" s="97">
        <v>36.159108676420765</v>
      </c>
      <c r="M64" s="97">
        <v>36491.77247624383</v>
      </c>
      <c r="N64" s="97">
        <v>1.7274727414915743</v>
      </c>
      <c r="O64" s="97">
        <v>1743.3654907132964</v>
      </c>
      <c r="P64" s="97">
        <v>13.399826539462273</v>
      </c>
      <c r="Q64" s="97">
        <v>13523.104943625323</v>
      </c>
      <c r="R64" s="97">
        <v>51.764194251148702</v>
      </c>
      <c r="S64" s="97">
        <v>52240.424838259263</v>
      </c>
      <c r="T64" s="97">
        <v>23.513798157664986</v>
      </c>
      <c r="U64" s="97">
        <v>23730.125100715501</v>
      </c>
      <c r="V64" s="97">
        <v>27.198998474399321</v>
      </c>
      <c r="W64" s="97">
        <v>27449.229260363791</v>
      </c>
      <c r="X64" s="97">
        <v>23.156080231800718</v>
      </c>
      <c r="Y64" s="97">
        <v>23369.116169933281</v>
      </c>
      <c r="Z64" s="97">
        <v>26.999571477625192</v>
      </c>
      <c r="AA64" s="97">
        <v>27247.967535219341</v>
      </c>
      <c r="AB64" s="97">
        <v>19.265920929712046</v>
      </c>
      <c r="AC64" s="97">
        <v>19443.167402265393</v>
      </c>
      <c r="AD64" s="97">
        <v>19.27394452597013</v>
      </c>
      <c r="AE64" s="97">
        <v>19451.264815609051</v>
      </c>
      <c r="AF64" s="97">
        <v>14.498086885771102</v>
      </c>
      <c r="AG64" s="97">
        <v>14631.469285120193</v>
      </c>
      <c r="AH64" s="97">
        <v>26</v>
      </c>
      <c r="AI64" s="97">
        <v>26239.199999999997</v>
      </c>
      <c r="AJ64" s="97">
        <v>23</v>
      </c>
      <c r="AK64" s="97">
        <v>23211.599999999995</v>
      </c>
      <c r="AL64" s="97">
        <v>18</v>
      </c>
      <c r="AM64" s="97">
        <v>18165.599999999999</v>
      </c>
      <c r="AN64" s="97">
        <v>19</v>
      </c>
      <c r="AO64" s="97">
        <v>19174.799999999996</v>
      </c>
      <c r="AP64" s="97">
        <v>19</v>
      </c>
      <c r="AQ64" s="97">
        <v>19174.799999999996</v>
      </c>
      <c r="AR64" s="97">
        <v>17</v>
      </c>
      <c r="AS64" s="97">
        <v>17156.399999999998</v>
      </c>
      <c r="AT64" s="97">
        <v>11</v>
      </c>
      <c r="AU64" s="97">
        <v>11101.199999999997</v>
      </c>
      <c r="AV64" s="97">
        <v>13</v>
      </c>
      <c r="AW64" s="97">
        <v>13119.599999999999</v>
      </c>
      <c r="AX64" s="97">
        <v>20</v>
      </c>
      <c r="AY64" s="97">
        <v>20183.999999999996</v>
      </c>
      <c r="AZ64" s="97">
        <v>15</v>
      </c>
      <c r="BA64" s="97">
        <v>15137.999999999996</v>
      </c>
      <c r="BB64" s="97">
        <v>10</v>
      </c>
      <c r="BC64" s="97">
        <v>10091.999999999998</v>
      </c>
      <c r="BD64" s="97">
        <v>12</v>
      </c>
      <c r="BE64" s="97">
        <v>12110.399999999998</v>
      </c>
      <c r="BF64" s="97">
        <v>9</v>
      </c>
      <c r="BG64" s="97">
        <v>9082.7999999999993</v>
      </c>
      <c r="BH64" s="97">
        <v>6</v>
      </c>
      <c r="BI64" s="97">
        <v>6055.1999999999989</v>
      </c>
      <c r="BJ64" s="97">
        <v>12</v>
      </c>
      <c r="BK64" s="97">
        <v>12110.399999999998</v>
      </c>
      <c r="BL64" s="97">
        <v>11</v>
      </c>
      <c r="BM64" s="97">
        <v>11101.199999999997</v>
      </c>
      <c r="BN64" s="97">
        <v>8</v>
      </c>
      <c r="BO64" s="97">
        <v>8073.5999999999985</v>
      </c>
      <c r="BP64" s="97">
        <v>7</v>
      </c>
      <c r="BQ64" s="97">
        <v>7064.3999999999987</v>
      </c>
      <c r="BR64" s="97">
        <v>7</v>
      </c>
      <c r="BS64" s="97">
        <v>7064.3999999999987</v>
      </c>
      <c r="BT64" s="97">
        <v>8</v>
      </c>
      <c r="BU64" s="97">
        <v>8073.5999999999985</v>
      </c>
      <c r="BV64" s="97">
        <v>5</v>
      </c>
      <c r="BW64" s="97">
        <v>5045.9999999999991</v>
      </c>
      <c r="BX64" s="97">
        <v>7</v>
      </c>
      <c r="BY64" s="97">
        <v>7064.3999999999987</v>
      </c>
      <c r="BZ64" s="97">
        <v>6</v>
      </c>
      <c r="CA64" s="97">
        <v>6055.1999999999989</v>
      </c>
      <c r="CB64" s="97">
        <v>5</v>
      </c>
      <c r="CC64" s="97">
        <v>5045.9999999999991</v>
      </c>
      <c r="CD64" s="97">
        <v>7</v>
      </c>
      <c r="CE64" s="97">
        <v>7064.3999999999987</v>
      </c>
      <c r="CF64" s="97">
        <v>7</v>
      </c>
      <c r="CG64" s="97">
        <v>7064.3999999999987</v>
      </c>
      <c r="CH64" s="97">
        <v>6</v>
      </c>
      <c r="CI64" s="97">
        <v>6055.1999999999989</v>
      </c>
      <c r="CJ64" s="97">
        <v>4</v>
      </c>
      <c r="CK64" s="97">
        <v>4036.7999999999993</v>
      </c>
      <c r="CL64" s="97">
        <v>6</v>
      </c>
      <c r="CM64" s="97">
        <v>6055.1999999999989</v>
      </c>
      <c r="CN64" s="97">
        <v>5</v>
      </c>
      <c r="CO64" s="97">
        <v>5045.9999999999991</v>
      </c>
      <c r="CP64" s="97">
        <v>3</v>
      </c>
      <c r="CQ64" s="97">
        <v>3027.5999999999995</v>
      </c>
      <c r="CR64" s="97">
        <v>5</v>
      </c>
      <c r="CS64" s="97">
        <v>5045.9999999999991</v>
      </c>
      <c r="CT64" s="97">
        <v>5</v>
      </c>
      <c r="CU64" s="97">
        <v>5045.9999999999991</v>
      </c>
    </row>
    <row r="65" spans="2:99" x14ac:dyDescent="0.15">
      <c r="C65" s="96" t="s">
        <v>230</v>
      </c>
      <c r="D65" s="97">
        <v>0</v>
      </c>
      <c r="E65" s="97">
        <v>0</v>
      </c>
      <c r="F65" s="97">
        <v>0</v>
      </c>
      <c r="G65" s="97">
        <v>0</v>
      </c>
      <c r="H65" s="97">
        <v>22.603464656124096</v>
      </c>
      <c r="I65" s="97">
        <v>23191.154737183322</v>
      </c>
      <c r="J65" s="97">
        <v>0.87059942911512855</v>
      </c>
      <c r="K65" s="97">
        <v>893.23501427212193</v>
      </c>
      <c r="L65" s="97">
        <v>38.624502449813093</v>
      </c>
      <c r="M65" s="97">
        <v>39628.739513508233</v>
      </c>
      <c r="N65" s="97">
        <v>1.7274727414915743</v>
      </c>
      <c r="O65" s="97">
        <v>1772.3870327703553</v>
      </c>
      <c r="P65" s="97">
        <v>12.506504770164788</v>
      </c>
      <c r="Q65" s="97">
        <v>12831.673894189073</v>
      </c>
      <c r="R65" s="97">
        <v>53.755124799269808</v>
      </c>
      <c r="S65" s="97">
        <v>55152.758044050825</v>
      </c>
      <c r="T65" s="97">
        <v>21.498329744150848</v>
      </c>
      <c r="U65" s="97">
        <v>22057.286317498769</v>
      </c>
      <c r="V65" s="97">
        <v>26.016433323338479</v>
      </c>
      <c r="W65" s="97">
        <v>26692.86058974528</v>
      </c>
      <c r="X65" s="97">
        <v>23.156080231800718</v>
      </c>
      <c r="Y65" s="97">
        <v>23758.138317827536</v>
      </c>
      <c r="Z65" s="97">
        <v>26.999571477625192</v>
      </c>
      <c r="AA65" s="97">
        <v>27701.560336043447</v>
      </c>
      <c r="AB65" s="97">
        <v>17.33932883674084</v>
      </c>
      <c r="AC65" s="97">
        <v>17790.151386496102</v>
      </c>
      <c r="AD65" s="97">
        <v>19.27394452597013</v>
      </c>
      <c r="AE65" s="97">
        <v>19775.067083645354</v>
      </c>
      <c r="AF65" s="97">
        <v>15.706260792918693</v>
      </c>
      <c r="AG65" s="97">
        <v>16114.623573534578</v>
      </c>
      <c r="AH65" s="97">
        <v>27</v>
      </c>
      <c r="AI65" s="97">
        <v>27702</v>
      </c>
      <c r="AJ65" s="97">
        <v>23</v>
      </c>
      <c r="AK65" s="97">
        <v>23598</v>
      </c>
      <c r="AL65" s="97">
        <v>20</v>
      </c>
      <c r="AM65" s="97">
        <v>20520</v>
      </c>
      <c r="AN65" s="97">
        <v>17</v>
      </c>
      <c r="AO65" s="97">
        <v>17442</v>
      </c>
      <c r="AP65" s="97">
        <v>20</v>
      </c>
      <c r="AQ65" s="97">
        <v>20520</v>
      </c>
      <c r="AR65" s="97">
        <v>18</v>
      </c>
      <c r="AS65" s="97">
        <v>18468</v>
      </c>
      <c r="AT65" s="97">
        <v>11</v>
      </c>
      <c r="AU65" s="97">
        <v>11286</v>
      </c>
      <c r="AV65" s="97">
        <v>11</v>
      </c>
      <c r="AW65" s="97">
        <v>11286</v>
      </c>
      <c r="AX65" s="97">
        <v>20</v>
      </c>
      <c r="AY65" s="97">
        <v>20520</v>
      </c>
      <c r="AZ65" s="97">
        <v>14</v>
      </c>
      <c r="BA65" s="97">
        <v>14364</v>
      </c>
      <c r="BB65" s="97">
        <v>11</v>
      </c>
      <c r="BC65" s="97">
        <v>11286</v>
      </c>
      <c r="BD65" s="97">
        <v>11</v>
      </c>
      <c r="BE65" s="97">
        <v>11286</v>
      </c>
      <c r="BF65" s="97">
        <v>8</v>
      </c>
      <c r="BG65" s="97">
        <v>8208</v>
      </c>
      <c r="BH65" s="97">
        <v>6</v>
      </c>
      <c r="BI65" s="97">
        <v>6156</v>
      </c>
      <c r="BJ65" s="97">
        <v>12</v>
      </c>
      <c r="BK65" s="97">
        <v>12312</v>
      </c>
      <c r="BL65" s="97">
        <v>12</v>
      </c>
      <c r="BM65" s="97">
        <v>12312</v>
      </c>
      <c r="BN65" s="97">
        <v>8</v>
      </c>
      <c r="BO65" s="97">
        <v>8208</v>
      </c>
      <c r="BP65" s="97">
        <v>6</v>
      </c>
      <c r="BQ65" s="97">
        <v>6156</v>
      </c>
      <c r="BR65" s="97">
        <v>7</v>
      </c>
      <c r="BS65" s="97">
        <v>7182</v>
      </c>
      <c r="BT65" s="97">
        <v>9</v>
      </c>
      <c r="BU65" s="97">
        <v>9234</v>
      </c>
      <c r="BV65" s="97">
        <v>5</v>
      </c>
      <c r="BW65" s="97">
        <v>5130</v>
      </c>
      <c r="BX65" s="97">
        <v>8</v>
      </c>
      <c r="BY65" s="97">
        <v>8208</v>
      </c>
      <c r="BZ65" s="97">
        <v>6</v>
      </c>
      <c r="CA65" s="97">
        <v>6156</v>
      </c>
      <c r="CB65" s="97">
        <v>5</v>
      </c>
      <c r="CC65" s="97">
        <v>5130</v>
      </c>
      <c r="CD65" s="97">
        <v>7</v>
      </c>
      <c r="CE65" s="97">
        <v>7182</v>
      </c>
      <c r="CF65" s="97">
        <v>6</v>
      </c>
      <c r="CG65" s="97">
        <v>6156</v>
      </c>
      <c r="CH65" s="97">
        <v>7</v>
      </c>
      <c r="CI65" s="97">
        <v>7182</v>
      </c>
      <c r="CJ65" s="97">
        <v>4</v>
      </c>
      <c r="CK65" s="97">
        <v>4104</v>
      </c>
      <c r="CL65" s="97">
        <v>6</v>
      </c>
      <c r="CM65" s="97">
        <v>6156</v>
      </c>
      <c r="CN65" s="97">
        <v>6</v>
      </c>
      <c r="CO65" s="97">
        <v>6156</v>
      </c>
      <c r="CP65" s="97">
        <v>4</v>
      </c>
      <c r="CQ65" s="97">
        <v>4104</v>
      </c>
      <c r="CR65" s="97">
        <v>5</v>
      </c>
      <c r="CS65" s="97">
        <v>5130</v>
      </c>
      <c r="CT65" s="97">
        <v>5</v>
      </c>
      <c r="CU65" s="97">
        <v>5130</v>
      </c>
    </row>
    <row r="66" spans="2:99" x14ac:dyDescent="0.15">
      <c r="C66" s="96" t="s">
        <v>231</v>
      </c>
      <c r="D66" s="97">
        <v>0</v>
      </c>
      <c r="E66" s="97">
        <v>0</v>
      </c>
      <c r="F66" s="97">
        <v>0</v>
      </c>
      <c r="G66" s="97">
        <v>0</v>
      </c>
      <c r="H66" s="97">
        <v>23.545275683462599</v>
      </c>
      <c r="I66" s="97">
        <v>28028.296173593873</v>
      </c>
      <c r="J66" s="97">
        <v>0.7136060894386298</v>
      </c>
      <c r="K66" s="97">
        <v>849.47668886774477</v>
      </c>
      <c r="L66" s="97">
        <v>39.4463003742772</v>
      </c>
      <c r="M66" s="97">
        <v>46956.875965539577</v>
      </c>
      <c r="N66" s="97">
        <v>1.5475276642528684</v>
      </c>
      <c r="O66" s="97">
        <v>1842.1769315266142</v>
      </c>
      <c r="P66" s="97">
        <v>13.10205261636311</v>
      </c>
      <c r="Q66" s="97">
        <v>15596.683434518645</v>
      </c>
      <c r="R66" s="97">
        <v>47.782333154906496</v>
      </c>
      <c r="S66" s="97">
        <v>56880.089387600688</v>
      </c>
      <c r="T66" s="97">
        <v>24.1856209621697</v>
      </c>
      <c r="U66" s="97">
        <v>28790.563193366808</v>
      </c>
      <c r="V66" s="97">
        <v>22.468737870155962</v>
      </c>
      <c r="W66" s="97">
        <v>26746.785560633656</v>
      </c>
      <c r="X66" s="97">
        <v>25.962877835655352</v>
      </c>
      <c r="Y66" s="97">
        <v>30906.209775564126</v>
      </c>
      <c r="Z66" s="97">
        <v>22.978358704361867</v>
      </c>
      <c r="AA66" s="97">
        <v>27353.438201672361</v>
      </c>
      <c r="AB66" s="97">
        <v>19.265920929712046</v>
      </c>
      <c r="AC66" s="97">
        <v>22934.152274729215</v>
      </c>
      <c r="AD66" s="97">
        <v>19.27394452597013</v>
      </c>
      <c r="AE66" s="97">
        <v>22943.70356371484</v>
      </c>
      <c r="AF66" s="97">
        <v>15.102173839344898</v>
      </c>
      <c r="AG66" s="97">
        <v>17977.627738356165</v>
      </c>
      <c r="AH66" s="97">
        <v>29</v>
      </c>
      <c r="AI66" s="97">
        <v>34521.599999999999</v>
      </c>
      <c r="AJ66" s="97">
        <v>22</v>
      </c>
      <c r="AK66" s="97">
        <v>26188.799999999996</v>
      </c>
      <c r="AL66" s="97">
        <v>20</v>
      </c>
      <c r="AM66" s="97">
        <v>23807.999999999996</v>
      </c>
      <c r="AN66" s="97">
        <v>19</v>
      </c>
      <c r="AO66" s="97">
        <v>22617.599999999999</v>
      </c>
      <c r="AP66" s="97">
        <v>19</v>
      </c>
      <c r="AQ66" s="97">
        <v>22617.599999999999</v>
      </c>
      <c r="AR66" s="97">
        <v>15</v>
      </c>
      <c r="AS66" s="97">
        <v>17855.999999999996</v>
      </c>
      <c r="AT66" s="97">
        <v>10</v>
      </c>
      <c r="AU66" s="97">
        <v>11903.999999999998</v>
      </c>
      <c r="AV66" s="97">
        <v>12</v>
      </c>
      <c r="AW66" s="97">
        <v>14284.8</v>
      </c>
      <c r="AX66" s="97">
        <v>18</v>
      </c>
      <c r="AY66" s="97">
        <v>21427.199999999997</v>
      </c>
      <c r="AZ66" s="97">
        <v>15</v>
      </c>
      <c r="BA66" s="97">
        <v>17855.999999999996</v>
      </c>
      <c r="BB66" s="97">
        <v>10</v>
      </c>
      <c r="BC66" s="97">
        <v>11903.999999999998</v>
      </c>
      <c r="BD66" s="97">
        <v>12</v>
      </c>
      <c r="BE66" s="97">
        <v>14284.8</v>
      </c>
      <c r="BF66" s="97">
        <v>9</v>
      </c>
      <c r="BG66" s="97">
        <v>10713.599999999999</v>
      </c>
      <c r="BH66" s="97">
        <v>7</v>
      </c>
      <c r="BI66" s="97">
        <v>8332.7999999999993</v>
      </c>
      <c r="BJ66" s="97">
        <v>12</v>
      </c>
      <c r="BK66" s="97">
        <v>14284.8</v>
      </c>
      <c r="BL66" s="97">
        <v>11</v>
      </c>
      <c r="BM66" s="97">
        <v>13094.399999999998</v>
      </c>
      <c r="BN66" s="97">
        <v>9</v>
      </c>
      <c r="BO66" s="97">
        <v>10713.599999999999</v>
      </c>
      <c r="BP66" s="97">
        <v>7</v>
      </c>
      <c r="BQ66" s="97">
        <v>8332.7999999999993</v>
      </c>
      <c r="BR66" s="97">
        <v>7</v>
      </c>
      <c r="BS66" s="97">
        <v>8332.7999999999993</v>
      </c>
      <c r="BT66" s="97">
        <v>8</v>
      </c>
      <c r="BU66" s="97">
        <v>9523.1999999999989</v>
      </c>
      <c r="BV66" s="97">
        <v>5</v>
      </c>
      <c r="BW66" s="97">
        <v>5951.9999999999991</v>
      </c>
      <c r="BX66" s="97">
        <v>7</v>
      </c>
      <c r="BY66" s="97">
        <v>8332.7999999999993</v>
      </c>
      <c r="BZ66" s="97">
        <v>6</v>
      </c>
      <c r="CA66" s="97">
        <v>7142.4</v>
      </c>
      <c r="CB66" s="97">
        <v>6</v>
      </c>
      <c r="CC66" s="97">
        <v>7142.4</v>
      </c>
      <c r="CD66" s="97">
        <v>7</v>
      </c>
      <c r="CE66" s="97">
        <v>8332.7999999999993</v>
      </c>
      <c r="CF66" s="97">
        <v>6</v>
      </c>
      <c r="CG66" s="97">
        <v>7142.4</v>
      </c>
      <c r="CH66" s="97">
        <v>6</v>
      </c>
      <c r="CI66" s="97">
        <v>7142.4</v>
      </c>
      <c r="CJ66" s="97">
        <v>4</v>
      </c>
      <c r="CK66" s="97">
        <v>4761.5999999999995</v>
      </c>
      <c r="CL66" s="97">
        <v>7</v>
      </c>
      <c r="CM66" s="97">
        <v>8332.7999999999993</v>
      </c>
      <c r="CN66" s="97">
        <v>5</v>
      </c>
      <c r="CO66" s="97">
        <v>5951.9999999999991</v>
      </c>
      <c r="CP66" s="97">
        <v>4</v>
      </c>
      <c r="CQ66" s="97">
        <v>4761.5999999999995</v>
      </c>
      <c r="CR66" s="97">
        <v>5</v>
      </c>
      <c r="CS66" s="97">
        <v>5951.9999999999991</v>
      </c>
      <c r="CT66" s="97">
        <v>6</v>
      </c>
      <c r="CU66" s="97">
        <v>7142.4</v>
      </c>
    </row>
    <row r="67" spans="2:99" x14ac:dyDescent="0.15">
      <c r="C67" s="96" t="s">
        <v>232</v>
      </c>
      <c r="D67" s="97">
        <v>0</v>
      </c>
      <c r="E67" s="97">
        <v>0</v>
      </c>
      <c r="F67" s="97">
        <v>0</v>
      </c>
      <c r="G67" s="97">
        <v>0</v>
      </c>
      <c r="H67" s="97">
        <v>25.664350494974233</v>
      </c>
      <c r="I67" s="97">
        <v>28826.198475955058</v>
      </c>
      <c r="J67" s="97">
        <v>0.74215033301617506</v>
      </c>
      <c r="K67" s="97">
        <v>833.58325404376785</v>
      </c>
      <c r="L67" s="97">
        <v>39.4463003742772</v>
      </c>
      <c r="M67" s="97">
        <v>44306.084580388153</v>
      </c>
      <c r="N67" s="97">
        <v>1.6195056951483506</v>
      </c>
      <c r="O67" s="97">
        <v>1819.0287967906274</v>
      </c>
      <c r="P67" s="97">
        <v>13.995374385660595</v>
      </c>
      <c r="Q67" s="97">
        <v>15719.60450997398</v>
      </c>
      <c r="R67" s="97">
        <v>53.755124799269808</v>
      </c>
      <c r="S67" s="97">
        <v>60377.756174539849</v>
      </c>
      <c r="T67" s="97">
        <v>23.513798157664986</v>
      </c>
      <c r="U67" s="97">
        <v>26410.698090689315</v>
      </c>
      <c r="V67" s="97">
        <v>26.016433323338479</v>
      </c>
      <c r="W67" s="97">
        <v>29221.657908773781</v>
      </c>
      <c r="X67" s="97">
        <v>26.66457723661901</v>
      </c>
      <c r="Y67" s="97">
        <v>29949.653152170475</v>
      </c>
      <c r="Z67" s="97">
        <v>22.978358704361867</v>
      </c>
      <c r="AA67" s="97">
        <v>25809.29249673925</v>
      </c>
      <c r="AB67" s="97">
        <v>19.265920929712046</v>
      </c>
      <c r="AC67" s="97">
        <v>21639.482388252571</v>
      </c>
      <c r="AD67" s="97">
        <v>18.356137643781079</v>
      </c>
      <c r="AE67" s="97">
        <v>20617.613801494907</v>
      </c>
      <c r="AF67" s="97">
        <v>15.706260792918693</v>
      </c>
      <c r="AG67" s="97">
        <v>17641.272122606275</v>
      </c>
      <c r="AH67" s="97">
        <v>26</v>
      </c>
      <c r="AI67" s="97">
        <v>29203.200000000001</v>
      </c>
      <c r="AJ67" s="97">
        <v>22</v>
      </c>
      <c r="AK67" s="97">
        <v>24710.400000000001</v>
      </c>
      <c r="AL67" s="97">
        <v>21</v>
      </c>
      <c r="AM67" s="97">
        <v>23587.200000000001</v>
      </c>
      <c r="AN67" s="97">
        <v>17</v>
      </c>
      <c r="AO67" s="97">
        <v>19094.400000000001</v>
      </c>
      <c r="AP67" s="97">
        <v>18</v>
      </c>
      <c r="AQ67" s="97">
        <v>20217.600000000002</v>
      </c>
      <c r="AR67" s="97">
        <v>17</v>
      </c>
      <c r="AS67" s="97">
        <v>19094.400000000001</v>
      </c>
      <c r="AT67" s="97">
        <v>9</v>
      </c>
      <c r="AU67" s="97">
        <v>10108.800000000001</v>
      </c>
      <c r="AV67" s="97">
        <v>13</v>
      </c>
      <c r="AW67" s="97">
        <v>14601.6</v>
      </c>
      <c r="AX67" s="97">
        <v>19</v>
      </c>
      <c r="AY67" s="97">
        <v>21340.799999999999</v>
      </c>
      <c r="AZ67" s="97">
        <v>15</v>
      </c>
      <c r="BA67" s="97">
        <v>16848</v>
      </c>
      <c r="BB67" s="97">
        <v>10</v>
      </c>
      <c r="BC67" s="97">
        <v>11232</v>
      </c>
      <c r="BD67" s="97">
        <v>12</v>
      </c>
      <c r="BE67" s="97">
        <v>13478.400000000001</v>
      </c>
      <c r="BF67" s="97">
        <v>9</v>
      </c>
      <c r="BG67" s="97">
        <v>10108.800000000001</v>
      </c>
      <c r="BH67" s="97">
        <v>6</v>
      </c>
      <c r="BI67" s="97">
        <v>6739.2000000000007</v>
      </c>
      <c r="BJ67" s="97">
        <v>13</v>
      </c>
      <c r="BK67" s="97">
        <v>14601.6</v>
      </c>
      <c r="BL67" s="97">
        <v>12</v>
      </c>
      <c r="BM67" s="97">
        <v>13478.400000000001</v>
      </c>
      <c r="BN67" s="97">
        <v>8</v>
      </c>
      <c r="BO67" s="97">
        <v>8985.6</v>
      </c>
      <c r="BP67" s="97">
        <v>7</v>
      </c>
      <c r="BQ67" s="97">
        <v>7862.4000000000005</v>
      </c>
      <c r="BR67" s="97">
        <v>7</v>
      </c>
      <c r="BS67" s="97">
        <v>7862.4000000000005</v>
      </c>
      <c r="BT67" s="97">
        <v>8</v>
      </c>
      <c r="BU67" s="97">
        <v>8985.6</v>
      </c>
      <c r="BV67" s="97">
        <v>6</v>
      </c>
      <c r="BW67" s="97">
        <v>6739.2000000000007</v>
      </c>
      <c r="BX67" s="97">
        <v>7</v>
      </c>
      <c r="BY67" s="97">
        <v>7862.4000000000005</v>
      </c>
      <c r="BZ67" s="97">
        <v>6</v>
      </c>
      <c r="CA67" s="97">
        <v>6739.2000000000007</v>
      </c>
      <c r="CB67" s="97">
        <v>5</v>
      </c>
      <c r="CC67" s="97">
        <v>5616</v>
      </c>
      <c r="CD67" s="97">
        <v>6</v>
      </c>
      <c r="CE67" s="97">
        <v>6739.2000000000007</v>
      </c>
      <c r="CF67" s="97">
        <v>6</v>
      </c>
      <c r="CG67" s="97">
        <v>6739.2000000000007</v>
      </c>
      <c r="CH67" s="97">
        <v>6</v>
      </c>
      <c r="CI67" s="97">
        <v>6739.2000000000007</v>
      </c>
      <c r="CJ67" s="97">
        <v>4</v>
      </c>
      <c r="CK67" s="97">
        <v>4492.8</v>
      </c>
      <c r="CL67" s="97">
        <v>6</v>
      </c>
      <c r="CM67" s="97">
        <v>6739.2000000000007</v>
      </c>
      <c r="CN67" s="97">
        <v>5</v>
      </c>
      <c r="CO67" s="97">
        <v>5616</v>
      </c>
      <c r="CP67" s="97">
        <v>4</v>
      </c>
      <c r="CQ67" s="97">
        <v>4492.8</v>
      </c>
      <c r="CR67" s="97">
        <v>4</v>
      </c>
      <c r="CS67" s="97">
        <v>4492.8</v>
      </c>
      <c r="CT67" s="97">
        <v>6</v>
      </c>
      <c r="CU67" s="97">
        <v>6739.2000000000007</v>
      </c>
    </row>
    <row r="68" spans="2:99" x14ac:dyDescent="0.15">
      <c r="C68" s="96" t="s">
        <v>233</v>
      </c>
      <c r="D68" s="97">
        <v>0</v>
      </c>
      <c r="E68" s="97">
        <v>0</v>
      </c>
      <c r="F68" s="97">
        <v>0</v>
      </c>
      <c r="G68" s="97">
        <v>0</v>
      </c>
      <c r="H68" s="97">
        <v>22.368011899289467</v>
      </c>
      <c r="I68" s="97">
        <v>23110.629894345879</v>
      </c>
      <c r="J68" s="97">
        <v>0.8420551855375833</v>
      </c>
      <c r="K68" s="97">
        <v>870.01141769743106</v>
      </c>
      <c r="L68" s="97">
        <v>35.337310751956657</v>
      </c>
      <c r="M68" s="97">
        <v>36510.50946892162</v>
      </c>
      <c r="N68" s="97">
        <v>1.655494710596092</v>
      </c>
      <c r="O68" s="97">
        <v>1710.4571349878822</v>
      </c>
      <c r="P68" s="97">
        <v>14.590922231858919</v>
      </c>
      <c r="Q68" s="97">
        <v>15075.340849956636</v>
      </c>
      <c r="R68" s="97">
        <v>52.759659525209258</v>
      </c>
      <c r="S68" s="97">
        <v>54511.280221446206</v>
      </c>
      <c r="T68" s="97">
        <v>24.1856209621697</v>
      </c>
      <c r="U68" s="97">
        <v>24988.583578113736</v>
      </c>
      <c r="V68" s="97">
        <v>23.06002044568638</v>
      </c>
      <c r="W68" s="97">
        <v>23825.61312448317</v>
      </c>
      <c r="X68" s="97">
        <v>26.66457723661901</v>
      </c>
      <c r="Y68" s="97">
        <v>27549.841200874762</v>
      </c>
      <c r="Z68" s="97">
        <v>26.425112510016149</v>
      </c>
      <c r="AA68" s="97">
        <v>27302.426245348684</v>
      </c>
      <c r="AB68" s="97">
        <v>19.265920929712046</v>
      </c>
      <c r="AC68" s="97">
        <v>19905.549504578485</v>
      </c>
      <c r="AD68" s="97">
        <v>20.191751408159185</v>
      </c>
      <c r="AE68" s="97">
        <v>20862.11755491007</v>
      </c>
      <c r="AF68" s="97">
        <v>15.102173839344898</v>
      </c>
      <c r="AG68" s="97">
        <v>15603.56601081115</v>
      </c>
      <c r="AH68" s="97">
        <v>27</v>
      </c>
      <c r="AI68" s="97">
        <v>27896.400000000001</v>
      </c>
      <c r="AJ68" s="97">
        <v>21</v>
      </c>
      <c r="AK68" s="97">
        <v>21697.200000000001</v>
      </c>
      <c r="AL68" s="97">
        <v>18</v>
      </c>
      <c r="AM68" s="97">
        <v>18597.600000000002</v>
      </c>
      <c r="AN68" s="97">
        <v>19</v>
      </c>
      <c r="AO68" s="97">
        <v>19630.8</v>
      </c>
      <c r="AP68" s="97">
        <v>18</v>
      </c>
      <c r="AQ68" s="97">
        <v>18597.600000000002</v>
      </c>
      <c r="AR68" s="97">
        <v>18</v>
      </c>
      <c r="AS68" s="97">
        <v>18597.600000000002</v>
      </c>
      <c r="AT68" s="97">
        <v>9</v>
      </c>
      <c r="AU68" s="97">
        <v>9298.8000000000011</v>
      </c>
      <c r="AV68" s="97">
        <v>11</v>
      </c>
      <c r="AW68" s="97">
        <v>11365.2</v>
      </c>
      <c r="AX68" s="97">
        <v>19</v>
      </c>
      <c r="AY68" s="97">
        <v>19630.8</v>
      </c>
      <c r="AZ68" s="97">
        <v>15</v>
      </c>
      <c r="BA68" s="97">
        <v>15498</v>
      </c>
      <c r="BB68" s="97">
        <v>11</v>
      </c>
      <c r="BC68" s="97">
        <v>11365.2</v>
      </c>
      <c r="BD68" s="97">
        <v>11</v>
      </c>
      <c r="BE68" s="97">
        <v>11365.2</v>
      </c>
      <c r="BF68" s="97">
        <v>8</v>
      </c>
      <c r="BG68" s="97">
        <v>8265.6</v>
      </c>
      <c r="BH68" s="97">
        <v>6</v>
      </c>
      <c r="BI68" s="97">
        <v>6199.2000000000007</v>
      </c>
      <c r="BJ68" s="97">
        <v>13</v>
      </c>
      <c r="BK68" s="97">
        <v>13431.6</v>
      </c>
      <c r="BL68" s="97">
        <v>12</v>
      </c>
      <c r="BM68" s="97">
        <v>12398.400000000001</v>
      </c>
      <c r="BN68" s="97">
        <v>7</v>
      </c>
      <c r="BO68" s="97">
        <v>7232.4000000000005</v>
      </c>
      <c r="BP68" s="97">
        <v>7</v>
      </c>
      <c r="BQ68" s="97">
        <v>7232.4000000000005</v>
      </c>
      <c r="BR68" s="97">
        <v>7</v>
      </c>
      <c r="BS68" s="97">
        <v>7232.4000000000005</v>
      </c>
      <c r="BT68" s="97">
        <v>8</v>
      </c>
      <c r="BU68" s="97">
        <v>8265.6</v>
      </c>
      <c r="BV68" s="97">
        <v>5</v>
      </c>
      <c r="BW68" s="97">
        <v>5166</v>
      </c>
      <c r="BX68" s="97">
        <v>7</v>
      </c>
      <c r="BY68" s="97">
        <v>7232.4000000000005</v>
      </c>
      <c r="BZ68" s="97">
        <v>6</v>
      </c>
      <c r="CA68" s="97">
        <v>6199.2000000000007</v>
      </c>
      <c r="CB68" s="97">
        <v>5</v>
      </c>
      <c r="CC68" s="97">
        <v>5166</v>
      </c>
      <c r="CD68" s="97">
        <v>7</v>
      </c>
      <c r="CE68" s="97">
        <v>7232.4000000000005</v>
      </c>
      <c r="CF68" s="97">
        <v>6</v>
      </c>
      <c r="CG68" s="97">
        <v>6199.2000000000007</v>
      </c>
      <c r="CH68" s="97">
        <v>6</v>
      </c>
      <c r="CI68" s="97">
        <v>6199.2000000000007</v>
      </c>
      <c r="CJ68" s="97">
        <v>4</v>
      </c>
      <c r="CK68" s="97">
        <v>4132.8</v>
      </c>
      <c r="CL68" s="97">
        <v>7</v>
      </c>
      <c r="CM68" s="97">
        <v>7232.4000000000005</v>
      </c>
      <c r="CN68" s="97">
        <v>5</v>
      </c>
      <c r="CO68" s="97">
        <v>5166</v>
      </c>
      <c r="CP68" s="97">
        <v>4</v>
      </c>
      <c r="CQ68" s="97">
        <v>4132.8</v>
      </c>
      <c r="CR68" s="97">
        <v>4</v>
      </c>
      <c r="CS68" s="97">
        <v>4132.8</v>
      </c>
      <c r="CT68" s="97">
        <v>6</v>
      </c>
      <c r="CU68" s="97">
        <v>6199.2000000000007</v>
      </c>
    </row>
    <row r="69" spans="2:99" x14ac:dyDescent="0.15">
      <c r="C69" s="96" t="s">
        <v>234</v>
      </c>
      <c r="D69" s="97">
        <v>0</v>
      </c>
      <c r="E69" s="97">
        <v>0</v>
      </c>
      <c r="F69" s="97">
        <v>0</v>
      </c>
      <c r="G69" s="97">
        <v>0</v>
      </c>
      <c r="H69" s="97">
        <v>23.780728440297224</v>
      </c>
      <c r="I69" s="97">
        <v>18035.304449121413</v>
      </c>
      <c r="J69" s="97">
        <v>0.81351094196003815</v>
      </c>
      <c r="K69" s="97">
        <v>616.96669838249295</v>
      </c>
      <c r="L69" s="97">
        <v>41.089896223205415</v>
      </c>
      <c r="M69" s="97">
        <v>31162.577295678984</v>
      </c>
      <c r="N69" s="97">
        <v>1.7274727414915743</v>
      </c>
      <c r="O69" s="97">
        <v>1310.1153271472099</v>
      </c>
      <c r="P69" s="97">
        <v>13.697600462561434</v>
      </c>
      <c r="Q69" s="97">
        <v>10388.260190806592</v>
      </c>
      <c r="R69" s="97">
        <v>51.764194251148702</v>
      </c>
      <c r="S69" s="97">
        <v>39257.964920071172</v>
      </c>
      <c r="T69" s="97">
        <v>22.841975353160272</v>
      </c>
      <c r="U69" s="97">
        <v>17323.354107836749</v>
      </c>
      <c r="V69" s="97">
        <v>26.6077158988689</v>
      </c>
      <c r="W69" s="97">
        <v>20179.291737702173</v>
      </c>
      <c r="X69" s="97">
        <v>24.559479033728035</v>
      </c>
      <c r="Y69" s="97">
        <v>18625.90889917934</v>
      </c>
      <c r="Z69" s="97">
        <v>28.72294838045233</v>
      </c>
      <c r="AA69" s="97">
        <v>21783.484051735046</v>
      </c>
      <c r="AB69" s="97">
        <v>20.229216976197645</v>
      </c>
      <c r="AC69" s="97">
        <v>15341.838154748293</v>
      </c>
      <c r="AD69" s="97">
        <v>21.109558290348236</v>
      </c>
      <c r="AE69" s="97">
        <v>16009.489007400101</v>
      </c>
      <c r="AF69" s="97">
        <v>15.706260792918693</v>
      </c>
      <c r="AG69" s="97">
        <v>11911.628185349537</v>
      </c>
      <c r="AH69" s="97">
        <v>27</v>
      </c>
      <c r="AI69" s="97">
        <v>20476.8</v>
      </c>
      <c r="AJ69" s="97">
        <v>25</v>
      </c>
      <c r="AK69" s="97">
        <v>18960</v>
      </c>
      <c r="AL69" s="97">
        <v>21</v>
      </c>
      <c r="AM69" s="97">
        <v>15926.4</v>
      </c>
      <c r="AN69" s="97">
        <v>20</v>
      </c>
      <c r="AO69" s="97">
        <v>15168</v>
      </c>
      <c r="AP69" s="97">
        <v>21</v>
      </c>
      <c r="AQ69" s="97">
        <v>15926.4</v>
      </c>
      <c r="AR69" s="97">
        <v>16</v>
      </c>
      <c r="AS69" s="97">
        <v>12134.4</v>
      </c>
      <c r="AT69" s="97">
        <v>10</v>
      </c>
      <c r="AU69" s="97">
        <v>7584</v>
      </c>
      <c r="AV69" s="97">
        <v>12</v>
      </c>
      <c r="AW69" s="97">
        <v>9100.7999999999993</v>
      </c>
      <c r="AX69" s="97">
        <v>17</v>
      </c>
      <c r="AY69" s="97">
        <v>12892.8</v>
      </c>
      <c r="AZ69" s="97">
        <v>15</v>
      </c>
      <c r="BA69" s="97">
        <v>11376</v>
      </c>
      <c r="BB69" s="97">
        <v>10</v>
      </c>
      <c r="BC69" s="97">
        <v>7584</v>
      </c>
      <c r="BD69" s="97">
        <v>12</v>
      </c>
      <c r="BE69" s="97">
        <v>9100.7999999999993</v>
      </c>
      <c r="BF69" s="97">
        <v>10</v>
      </c>
      <c r="BG69" s="97">
        <v>7584</v>
      </c>
      <c r="BH69" s="97">
        <v>6</v>
      </c>
      <c r="BI69" s="97">
        <v>4550.3999999999996</v>
      </c>
      <c r="BJ69" s="97">
        <v>11</v>
      </c>
      <c r="BK69" s="97">
        <v>8342.4</v>
      </c>
      <c r="BL69" s="97">
        <v>11</v>
      </c>
      <c r="BM69" s="97">
        <v>8342.4</v>
      </c>
      <c r="BN69" s="97">
        <v>8</v>
      </c>
      <c r="BO69" s="97">
        <v>6067.2</v>
      </c>
      <c r="BP69" s="97">
        <v>7</v>
      </c>
      <c r="BQ69" s="97">
        <v>5308.8</v>
      </c>
      <c r="BR69" s="97">
        <v>7</v>
      </c>
      <c r="BS69" s="97">
        <v>5308.8</v>
      </c>
      <c r="BT69" s="97">
        <v>8</v>
      </c>
      <c r="BU69" s="97">
        <v>6067.2</v>
      </c>
      <c r="BV69" s="97">
        <v>5</v>
      </c>
      <c r="BW69" s="97">
        <v>3792</v>
      </c>
      <c r="BX69" s="97">
        <v>7</v>
      </c>
      <c r="BY69" s="97">
        <v>5308.8</v>
      </c>
      <c r="BZ69" s="97">
        <v>6</v>
      </c>
      <c r="CA69" s="97">
        <v>4550.3999999999996</v>
      </c>
      <c r="CB69" s="97">
        <v>5</v>
      </c>
      <c r="CC69" s="97">
        <v>3792</v>
      </c>
      <c r="CD69" s="97">
        <v>8</v>
      </c>
      <c r="CE69" s="97">
        <v>6067.2</v>
      </c>
      <c r="CF69" s="97">
        <v>6</v>
      </c>
      <c r="CG69" s="97">
        <v>4550.3999999999996</v>
      </c>
      <c r="CH69" s="97">
        <v>7</v>
      </c>
      <c r="CI69" s="97">
        <v>5308.8</v>
      </c>
      <c r="CJ69" s="97">
        <v>4</v>
      </c>
      <c r="CK69" s="97">
        <v>3033.6</v>
      </c>
      <c r="CL69" s="97">
        <v>6</v>
      </c>
      <c r="CM69" s="97">
        <v>4550.3999999999996</v>
      </c>
      <c r="CN69" s="97">
        <v>6</v>
      </c>
      <c r="CO69" s="97">
        <v>4550.3999999999996</v>
      </c>
      <c r="CP69" s="97">
        <v>4</v>
      </c>
      <c r="CQ69" s="97">
        <v>3033.6</v>
      </c>
      <c r="CR69" s="97">
        <v>5</v>
      </c>
      <c r="CS69" s="97">
        <v>3792</v>
      </c>
      <c r="CT69" s="97">
        <v>6</v>
      </c>
      <c r="CU69" s="97">
        <v>4550.3999999999996</v>
      </c>
    </row>
    <row r="70" spans="2:99" x14ac:dyDescent="0.15">
      <c r="C70" s="96" t="s">
        <v>235</v>
      </c>
      <c r="D70" s="97">
        <v>0</v>
      </c>
      <c r="E70" s="97">
        <v>0</v>
      </c>
      <c r="F70" s="97">
        <v>0</v>
      </c>
      <c r="G70" s="97">
        <v>0</v>
      </c>
      <c r="H70" s="97">
        <v>23.780728440297224</v>
      </c>
      <c r="I70" s="97">
        <v>12727.445861247073</v>
      </c>
      <c r="J70" s="97">
        <v>0.91341579448144627</v>
      </c>
      <c r="K70" s="97">
        <v>488.86013320646998</v>
      </c>
      <c r="L70" s="97">
        <v>40.268098298741307</v>
      </c>
      <c r="M70" s="97">
        <v>21551.486209486346</v>
      </c>
      <c r="N70" s="97">
        <v>1.6914837260438329</v>
      </c>
      <c r="O70" s="97">
        <v>905.28209017865925</v>
      </c>
      <c r="P70" s="97">
        <v>15.484244001156403</v>
      </c>
      <c r="Q70" s="97">
        <v>8287.1673894189062</v>
      </c>
      <c r="R70" s="97">
        <v>57.736985895512014</v>
      </c>
      <c r="S70" s="97">
        <v>30900.834851278025</v>
      </c>
      <c r="T70" s="97">
        <v>24.857443766674415</v>
      </c>
      <c r="U70" s="97">
        <v>13303.703903924144</v>
      </c>
      <c r="V70" s="97">
        <v>26.016433323338479</v>
      </c>
      <c r="W70" s="97">
        <v>13923.995114650752</v>
      </c>
      <c r="X70" s="97">
        <v>25.261178434691693</v>
      </c>
      <c r="Y70" s="97">
        <v>13519.782698246992</v>
      </c>
      <c r="Z70" s="97">
        <v>27.574030445234236</v>
      </c>
      <c r="AA70" s="97">
        <v>14757.621094289361</v>
      </c>
      <c r="AB70" s="97">
        <v>20.229216976197645</v>
      </c>
      <c r="AC70" s="97">
        <v>10826.676925660979</v>
      </c>
      <c r="AD70" s="97">
        <v>21.109558290348236</v>
      </c>
      <c r="AE70" s="97">
        <v>11297.835596994375</v>
      </c>
      <c r="AF70" s="97">
        <v>16.914434700066284</v>
      </c>
      <c r="AG70" s="97">
        <v>9052.6054514754742</v>
      </c>
      <c r="AH70" s="97">
        <v>28</v>
      </c>
      <c r="AI70" s="97">
        <v>14985.599999999999</v>
      </c>
      <c r="AJ70" s="97">
        <v>25</v>
      </c>
      <c r="AK70" s="97">
        <v>13379.999999999998</v>
      </c>
      <c r="AL70" s="97">
        <v>20</v>
      </c>
      <c r="AM70" s="97">
        <v>10703.999999999998</v>
      </c>
      <c r="AN70" s="97">
        <v>20</v>
      </c>
      <c r="AO70" s="97">
        <v>10703.999999999998</v>
      </c>
      <c r="AP70" s="97">
        <v>20</v>
      </c>
      <c r="AQ70" s="97">
        <v>10703.999999999998</v>
      </c>
      <c r="AR70" s="97">
        <v>19</v>
      </c>
      <c r="AS70" s="97">
        <v>10168.799999999999</v>
      </c>
      <c r="AT70" s="97">
        <v>11</v>
      </c>
      <c r="AU70" s="97">
        <v>5887.1999999999989</v>
      </c>
      <c r="AV70" s="97">
        <v>12</v>
      </c>
      <c r="AW70" s="97">
        <v>6422.4</v>
      </c>
      <c r="AX70" s="97">
        <v>18</v>
      </c>
      <c r="AY70" s="97">
        <v>9633.5999999999985</v>
      </c>
      <c r="AZ70" s="97">
        <v>15</v>
      </c>
      <c r="BA70" s="97">
        <v>8027.9999999999991</v>
      </c>
      <c r="BB70" s="97">
        <v>11</v>
      </c>
      <c r="BC70" s="97">
        <v>5887.1999999999989</v>
      </c>
      <c r="BD70" s="97">
        <v>12</v>
      </c>
      <c r="BE70" s="97">
        <v>6422.4</v>
      </c>
      <c r="BF70" s="97">
        <v>8</v>
      </c>
      <c r="BG70" s="97">
        <v>4281.5999999999995</v>
      </c>
      <c r="BH70" s="97">
        <v>7</v>
      </c>
      <c r="BI70" s="97">
        <v>3746.3999999999996</v>
      </c>
      <c r="BJ70" s="97">
        <v>12</v>
      </c>
      <c r="BK70" s="97">
        <v>6422.4</v>
      </c>
      <c r="BL70" s="97">
        <v>12</v>
      </c>
      <c r="BM70" s="97">
        <v>6422.4</v>
      </c>
      <c r="BN70" s="97">
        <v>8</v>
      </c>
      <c r="BO70" s="97">
        <v>4281.5999999999995</v>
      </c>
      <c r="BP70" s="97">
        <v>8</v>
      </c>
      <c r="BQ70" s="97">
        <v>4281.5999999999995</v>
      </c>
      <c r="BR70" s="97">
        <v>8</v>
      </c>
      <c r="BS70" s="97">
        <v>4281.5999999999995</v>
      </c>
      <c r="BT70" s="97">
        <v>9</v>
      </c>
      <c r="BU70" s="97">
        <v>4816.7999999999993</v>
      </c>
      <c r="BV70" s="97">
        <v>5</v>
      </c>
      <c r="BW70" s="97">
        <v>2675.9999999999995</v>
      </c>
      <c r="BX70" s="97">
        <v>7</v>
      </c>
      <c r="BY70" s="97">
        <v>3746.3999999999996</v>
      </c>
      <c r="BZ70" s="97">
        <v>7</v>
      </c>
      <c r="CA70" s="97">
        <v>3746.3999999999996</v>
      </c>
      <c r="CB70" s="97">
        <v>6</v>
      </c>
      <c r="CC70" s="97">
        <v>3211.2</v>
      </c>
      <c r="CD70" s="97">
        <v>7</v>
      </c>
      <c r="CE70" s="97">
        <v>3746.3999999999996</v>
      </c>
      <c r="CF70" s="97">
        <v>6</v>
      </c>
      <c r="CG70" s="97">
        <v>3211.2</v>
      </c>
      <c r="CH70" s="97">
        <v>6</v>
      </c>
      <c r="CI70" s="97">
        <v>3211.2</v>
      </c>
      <c r="CJ70" s="97">
        <v>4</v>
      </c>
      <c r="CK70" s="97">
        <v>2140.7999999999997</v>
      </c>
      <c r="CL70" s="97">
        <v>6</v>
      </c>
      <c r="CM70" s="97">
        <v>3211.2</v>
      </c>
      <c r="CN70" s="97">
        <v>5</v>
      </c>
      <c r="CO70" s="97">
        <v>2675.9999999999995</v>
      </c>
      <c r="CP70" s="97">
        <v>3</v>
      </c>
      <c r="CQ70" s="97">
        <v>1605.6</v>
      </c>
      <c r="CR70" s="97">
        <v>5</v>
      </c>
      <c r="CS70" s="97">
        <v>2675.9999999999995</v>
      </c>
      <c r="CT70" s="97">
        <v>6</v>
      </c>
      <c r="CU70" s="97">
        <v>3211.2</v>
      </c>
    </row>
    <row r="71" spans="2:99" x14ac:dyDescent="0.15">
      <c r="B71" s="96" t="s">
        <v>130</v>
      </c>
      <c r="C71" s="96" t="s">
        <v>236</v>
      </c>
      <c r="D71" s="97">
        <v>0</v>
      </c>
      <c r="E71" s="97">
        <v>0</v>
      </c>
      <c r="F71" s="97">
        <v>0</v>
      </c>
      <c r="G71" s="97">
        <v>0</v>
      </c>
      <c r="H71" s="97">
        <v>5.0196021886328683</v>
      </c>
      <c r="I71" s="97">
        <v>2831.055634388938</v>
      </c>
      <c r="J71" s="97">
        <v>5.4412953806258564</v>
      </c>
      <c r="K71" s="97">
        <v>3068.8905946729828</v>
      </c>
      <c r="L71" s="97">
        <v>5.7818525301715553</v>
      </c>
      <c r="M71" s="97">
        <v>3260.9648270167572</v>
      </c>
      <c r="N71" s="97">
        <v>0</v>
      </c>
      <c r="O71" s="97">
        <v>0</v>
      </c>
      <c r="P71" s="97">
        <v>9.3303705914010724</v>
      </c>
      <c r="Q71" s="97">
        <v>5262.3290135502048</v>
      </c>
      <c r="R71" s="97">
        <v>4.4369533139247066</v>
      </c>
      <c r="S71" s="97">
        <v>2502.4416690535345</v>
      </c>
      <c r="T71" s="97">
        <v>4.8840580488129133</v>
      </c>
      <c r="U71" s="97">
        <v>2754.608739530483</v>
      </c>
      <c r="V71" s="97">
        <v>0</v>
      </c>
      <c r="W71" s="97">
        <v>0</v>
      </c>
      <c r="X71" s="97">
        <v>13.446384073495246</v>
      </c>
      <c r="Y71" s="97">
        <v>7583.7606174513185</v>
      </c>
      <c r="Z71" s="97">
        <v>9.2006710928323754E-16</v>
      </c>
      <c r="AA71" s="97">
        <v>5.1891784963574593E-13</v>
      </c>
      <c r="AB71" s="97">
        <v>10.213015954682293</v>
      </c>
      <c r="AC71" s="97">
        <v>5760.1409984408128</v>
      </c>
      <c r="AD71" s="97">
        <v>5.1828571647652328</v>
      </c>
      <c r="AE71" s="97">
        <v>2923.1314409275915</v>
      </c>
      <c r="AF71" s="97">
        <v>5.0216726076320635</v>
      </c>
      <c r="AG71" s="97">
        <v>2832.2233507044839</v>
      </c>
      <c r="AH71" s="97">
        <v>5.571071066403376</v>
      </c>
      <c r="AI71" s="97">
        <v>3142.0840814515041</v>
      </c>
      <c r="AJ71" s="97">
        <v>3.6699432917326438</v>
      </c>
      <c r="AK71" s="97">
        <v>2069.8480165372112</v>
      </c>
      <c r="AL71" s="97">
        <v>4.3740049494745366</v>
      </c>
      <c r="AM71" s="97">
        <v>2466.9387915036386</v>
      </c>
      <c r="AN71" s="97">
        <v>4.7803473266866803</v>
      </c>
      <c r="AO71" s="97">
        <v>2696.1158922512877</v>
      </c>
      <c r="AP71" s="97">
        <v>0.44827586206896552</v>
      </c>
      <c r="AQ71" s="97">
        <v>252.82758620689657</v>
      </c>
      <c r="AR71" s="97">
        <v>10.424101109293144</v>
      </c>
      <c r="AS71" s="97">
        <v>5879.1930256413334</v>
      </c>
      <c r="AT71" s="97">
        <v>5.1966817995394416</v>
      </c>
      <c r="AU71" s="97">
        <v>2930.9285349402453</v>
      </c>
      <c r="AV71" s="97">
        <v>4.9783549783549788</v>
      </c>
      <c r="AW71" s="97">
        <v>2807.792207792208</v>
      </c>
      <c r="AX71" s="97">
        <v>5.7091570105394851</v>
      </c>
      <c r="AY71" s="97">
        <v>3219.9645539442695</v>
      </c>
      <c r="AZ71" s="97">
        <v>4.8968914702188293</v>
      </c>
      <c r="BA71" s="97">
        <v>2761.8467892034196</v>
      </c>
      <c r="BB71" s="97">
        <v>0.51457975986277871</v>
      </c>
      <c r="BC71" s="97">
        <v>290.22298456260717</v>
      </c>
      <c r="BD71" s="97">
        <v>10.063415219611437</v>
      </c>
      <c r="BE71" s="97">
        <v>5675.766183860851</v>
      </c>
      <c r="BF71" s="97">
        <v>5.2403910484780489</v>
      </c>
      <c r="BG71" s="97">
        <v>2955.5805513416194</v>
      </c>
      <c r="BH71" s="97">
        <v>6.7573672038517083</v>
      </c>
      <c r="BI71" s="97">
        <v>3811.1551029723637</v>
      </c>
      <c r="BJ71" s="97">
        <v>5.3369505439516729</v>
      </c>
      <c r="BK71" s="97">
        <v>3010.0401067887433</v>
      </c>
      <c r="BL71" s="97">
        <v>4.8529065917622383</v>
      </c>
      <c r="BM71" s="97">
        <v>2737.0393177539022</v>
      </c>
      <c r="BN71" s="97">
        <v>0.43193717277486909</v>
      </c>
      <c r="BO71" s="97">
        <v>243.61256544502618</v>
      </c>
      <c r="BP71" s="97">
        <v>5.2668327457795581</v>
      </c>
      <c r="BQ71" s="97">
        <v>2970.4936686196706</v>
      </c>
      <c r="BR71" s="97">
        <v>5.1740766126375828</v>
      </c>
      <c r="BS71" s="97">
        <v>2918.1792095275969</v>
      </c>
      <c r="BT71" s="97">
        <v>9.3226233918438037</v>
      </c>
      <c r="BU71" s="97">
        <v>5257.959592999905</v>
      </c>
      <c r="BV71" s="97">
        <v>0.54054054054054057</v>
      </c>
      <c r="BW71" s="97">
        <v>304.8648648648649</v>
      </c>
      <c r="BX71" s="97">
        <v>6</v>
      </c>
      <c r="BY71" s="97">
        <v>3384</v>
      </c>
      <c r="BZ71" s="97">
        <v>3.9514542005444304</v>
      </c>
      <c r="CA71" s="97">
        <v>2228.6201691070587</v>
      </c>
      <c r="CB71" s="97">
        <v>4.0295509258538873</v>
      </c>
      <c r="CC71" s="97">
        <v>2272.6667221815924</v>
      </c>
      <c r="CD71" s="97">
        <v>5.5369127516778525</v>
      </c>
      <c r="CE71" s="97">
        <v>3122.8187919463089</v>
      </c>
      <c r="CF71" s="97">
        <v>4.5198256018072023</v>
      </c>
      <c r="CG71" s="97">
        <v>2549.181639419262</v>
      </c>
      <c r="CH71" s="97">
        <v>0.23601398601398604</v>
      </c>
      <c r="CI71" s="97">
        <v>133.11188811188813</v>
      </c>
      <c r="CJ71" s="97">
        <v>4.8139534883720927</v>
      </c>
      <c r="CK71" s="97">
        <v>2715.0697674418602</v>
      </c>
      <c r="CL71" s="97">
        <v>4.5372723968442372</v>
      </c>
      <c r="CM71" s="97">
        <v>2559.0216318201497</v>
      </c>
      <c r="CN71" s="97">
        <v>5.9192825112107625</v>
      </c>
      <c r="CO71" s="97">
        <v>3338.4753363228701</v>
      </c>
      <c r="CP71" s="97">
        <v>3.2573730190476866E-2</v>
      </c>
      <c r="CQ71" s="97">
        <v>18.371583827428953</v>
      </c>
      <c r="CR71" s="97">
        <v>5</v>
      </c>
      <c r="CS71" s="97">
        <v>2820</v>
      </c>
      <c r="CT71" s="97">
        <v>6</v>
      </c>
      <c r="CU71" s="97">
        <v>3384</v>
      </c>
    </row>
    <row r="72" spans="2:99" x14ac:dyDescent="0.15">
      <c r="C72" s="96" t="s">
        <v>237</v>
      </c>
      <c r="D72" s="97">
        <v>0</v>
      </c>
      <c r="E72" s="97">
        <v>0</v>
      </c>
      <c r="F72" s="97">
        <v>0</v>
      </c>
      <c r="G72" s="97">
        <v>0</v>
      </c>
      <c r="H72" s="97">
        <v>5.5170402433622519</v>
      </c>
      <c r="I72" s="97">
        <v>410.46779410615147</v>
      </c>
      <c r="J72" s="97">
        <v>6.6188891570299582</v>
      </c>
      <c r="K72" s="97">
        <v>492.44535328302885</v>
      </c>
      <c r="L72" s="97">
        <v>6.4405445905708474</v>
      </c>
      <c r="M72" s="97">
        <v>479.17651753847099</v>
      </c>
      <c r="N72" s="97">
        <v>0</v>
      </c>
      <c r="O72" s="97">
        <v>0</v>
      </c>
      <c r="P72" s="97">
        <v>10.263407650541179</v>
      </c>
      <c r="Q72" s="97">
        <v>763.59752920026369</v>
      </c>
      <c r="R72" s="97">
        <v>4.7849496522717425</v>
      </c>
      <c r="S72" s="97">
        <v>356.00025412901761</v>
      </c>
      <c r="T72" s="97">
        <v>5.6212743580676925</v>
      </c>
      <c r="U72" s="97">
        <v>418.22281224023629</v>
      </c>
      <c r="V72" s="97">
        <v>0</v>
      </c>
      <c r="W72" s="97">
        <v>0</v>
      </c>
      <c r="X72" s="97">
        <v>13.644125015752531</v>
      </c>
      <c r="Y72" s="97">
        <v>1015.1229011719881</v>
      </c>
      <c r="Z72" s="97">
        <v>9.7025258797141407E-16</v>
      </c>
      <c r="AA72" s="97">
        <v>7.2186792545073202E-14</v>
      </c>
      <c r="AB72" s="97">
        <v>10.978992151283466</v>
      </c>
      <c r="AC72" s="97">
        <v>816.8370160554897</v>
      </c>
      <c r="AD72" s="97">
        <v>5.7926050665023192</v>
      </c>
      <c r="AE72" s="97">
        <v>430.96981694777247</v>
      </c>
      <c r="AF72" s="97">
        <v>5.6124576202946601</v>
      </c>
      <c r="AG72" s="97">
        <v>417.56684694992265</v>
      </c>
      <c r="AH72" s="97">
        <v>6.47448799609041</v>
      </c>
      <c r="AI72" s="97">
        <v>481.70190690912648</v>
      </c>
      <c r="AJ72" s="97">
        <v>3.899314747465934</v>
      </c>
      <c r="AK72" s="97">
        <v>290.10901721146547</v>
      </c>
      <c r="AL72" s="97">
        <v>4.1657189994995578</v>
      </c>
      <c r="AM72" s="97">
        <v>309.92949356276705</v>
      </c>
      <c r="AN72" s="97">
        <v>4.7803473266866803</v>
      </c>
      <c r="AO72" s="97">
        <v>355.65784110548896</v>
      </c>
      <c r="AP72" s="97">
        <v>0.41379310344827586</v>
      </c>
      <c r="AQ72" s="97">
        <v>30.786206896551722</v>
      </c>
      <c r="AR72" s="97">
        <v>9.9277153421839479</v>
      </c>
      <c r="AS72" s="97">
        <v>738.62202145848562</v>
      </c>
      <c r="AT72" s="97">
        <v>6.0627954327960145</v>
      </c>
      <c r="AU72" s="97">
        <v>451.0719802000234</v>
      </c>
      <c r="AV72" s="97">
        <v>4.7619047619047619</v>
      </c>
      <c r="AW72" s="97">
        <v>354.28571428571422</v>
      </c>
      <c r="AX72" s="97">
        <v>6.2800727115934336</v>
      </c>
      <c r="AY72" s="97">
        <v>467.23740974255139</v>
      </c>
      <c r="AZ72" s="97">
        <v>5.2029471871075055</v>
      </c>
      <c r="BA72" s="97">
        <v>387.09927072079836</v>
      </c>
      <c r="BB72" s="97">
        <v>0.54030874785591776</v>
      </c>
      <c r="BC72" s="97">
        <v>40.198970840480278</v>
      </c>
      <c r="BD72" s="97">
        <v>9.5337617870003086</v>
      </c>
      <c r="BE72" s="97">
        <v>709.3118769528229</v>
      </c>
      <c r="BF72" s="97">
        <v>5.5679154890079277</v>
      </c>
      <c r="BG72" s="97">
        <v>414.25291238218978</v>
      </c>
      <c r="BH72" s="97">
        <v>6.7573672038517083</v>
      </c>
      <c r="BI72" s="97">
        <v>502.74811996656706</v>
      </c>
      <c r="BJ72" s="97">
        <v>5.6508888112429476</v>
      </c>
      <c r="BK72" s="97">
        <v>420.42612755647525</v>
      </c>
      <c r="BL72" s="97">
        <v>4.8529065917622383</v>
      </c>
      <c r="BM72" s="97">
        <v>361.05625042711051</v>
      </c>
      <c r="BN72" s="97">
        <v>0.43193717277486909</v>
      </c>
      <c r="BO72" s="97">
        <v>32.136125654450254</v>
      </c>
      <c r="BP72" s="97">
        <v>5.2668327457795581</v>
      </c>
      <c r="BQ72" s="97">
        <v>391.85235628599906</v>
      </c>
      <c r="BR72" s="97">
        <v>6.4675957657969789</v>
      </c>
      <c r="BS72" s="97">
        <v>481.18912497529516</v>
      </c>
      <c r="BT72" s="97">
        <v>10.876393957151103</v>
      </c>
      <c r="BU72" s="97">
        <v>809.20371041204203</v>
      </c>
      <c r="BV72" s="97">
        <v>0.5855855855855856</v>
      </c>
      <c r="BW72" s="97">
        <v>43.567567567567565</v>
      </c>
      <c r="BX72" s="97">
        <v>7</v>
      </c>
      <c r="BY72" s="97">
        <v>520.79999999999995</v>
      </c>
      <c r="BZ72" s="97">
        <v>3.9514542005444304</v>
      </c>
      <c r="CA72" s="97">
        <v>293.98819252050561</v>
      </c>
      <c r="CB72" s="97">
        <v>4.6052010581187286</v>
      </c>
      <c r="CC72" s="97">
        <v>342.62695872403339</v>
      </c>
      <c r="CD72" s="97">
        <v>6.0906040268456376</v>
      </c>
      <c r="CE72" s="97">
        <v>453.14093959731537</v>
      </c>
      <c r="CF72" s="97">
        <v>5.1655149734939458</v>
      </c>
      <c r="CG72" s="97">
        <v>384.31431402794954</v>
      </c>
      <c r="CH72" s="97">
        <v>0.23601398601398604</v>
      </c>
      <c r="CI72" s="97">
        <v>17.55944055944056</v>
      </c>
      <c r="CJ72" s="97">
        <v>4.8139534883720927</v>
      </c>
      <c r="CK72" s="97">
        <v>358.15813953488367</v>
      </c>
      <c r="CL72" s="97">
        <v>4.5372723968442372</v>
      </c>
      <c r="CM72" s="97">
        <v>337.57306632521119</v>
      </c>
      <c r="CN72" s="97">
        <v>5.1793721973094167</v>
      </c>
      <c r="CO72" s="97">
        <v>385.34529147982056</v>
      </c>
      <c r="CP72" s="97">
        <v>3.2573730190476866E-2</v>
      </c>
      <c r="CQ72" s="97">
        <v>2.4234855261714787</v>
      </c>
      <c r="CR72" s="97">
        <v>5</v>
      </c>
      <c r="CS72" s="97">
        <v>371.99999999999994</v>
      </c>
      <c r="CT72" s="97">
        <v>6</v>
      </c>
      <c r="CU72" s="97">
        <v>446.4</v>
      </c>
    </row>
    <row r="73" spans="2:99" x14ac:dyDescent="0.15">
      <c r="C73" s="96" t="s">
        <v>238</v>
      </c>
      <c r="D73" s="97">
        <v>0</v>
      </c>
      <c r="E73" s="97">
        <v>0</v>
      </c>
      <c r="F73" s="97">
        <v>0</v>
      </c>
      <c r="G73" s="97">
        <v>0</v>
      </c>
      <c r="H73" s="97">
        <v>5.8335917327354956</v>
      </c>
      <c r="I73" s="97">
        <v>3262.1444969456888</v>
      </c>
      <c r="J73" s="97">
        <v>5.9285755639654845</v>
      </c>
      <c r="K73" s="97">
        <v>3315.2594553694985</v>
      </c>
      <c r="L73" s="97">
        <v>5.1963484764832977</v>
      </c>
      <c r="M73" s="97">
        <v>2905.7980680494597</v>
      </c>
      <c r="N73" s="97">
        <v>0</v>
      </c>
      <c r="O73" s="97">
        <v>0</v>
      </c>
      <c r="P73" s="97">
        <v>10.107901474017828</v>
      </c>
      <c r="Q73" s="97">
        <v>5652.3385042707687</v>
      </c>
      <c r="R73" s="97">
        <v>4.3499542293379481</v>
      </c>
      <c r="S73" s="97">
        <v>2432.4944050457802</v>
      </c>
      <c r="T73" s="97">
        <v>5.0683621261266083</v>
      </c>
      <c r="U73" s="97">
        <v>2834.2281009299991</v>
      </c>
      <c r="V73" s="97">
        <v>0</v>
      </c>
      <c r="W73" s="97">
        <v>0</v>
      </c>
      <c r="X73" s="97">
        <v>13.446384073495246</v>
      </c>
      <c r="Y73" s="97">
        <v>7519.2179738985405</v>
      </c>
      <c r="Z73" s="97">
        <v>9.3679560217929625E-16</v>
      </c>
      <c r="AA73" s="97">
        <v>5.2385610073866241E-13</v>
      </c>
      <c r="AB73" s="97">
        <v>8.9363889603470064</v>
      </c>
      <c r="AC73" s="97">
        <v>4997.2287066260451</v>
      </c>
      <c r="AD73" s="97">
        <v>5.9450420419365901</v>
      </c>
      <c r="AE73" s="97">
        <v>3324.4675098509406</v>
      </c>
      <c r="AF73" s="97">
        <v>5.1693688607977126</v>
      </c>
      <c r="AG73" s="97">
        <v>2890.7110669580807</v>
      </c>
      <c r="AH73" s="97">
        <v>6.1733490195280645</v>
      </c>
      <c r="AI73" s="97">
        <v>3452.1367717200933</v>
      </c>
      <c r="AJ73" s="97">
        <v>4.3580576589325144</v>
      </c>
      <c r="AK73" s="97">
        <v>2437.0258428750617</v>
      </c>
      <c r="AL73" s="97">
        <v>4.3740049494745366</v>
      </c>
      <c r="AM73" s="97">
        <v>2445.9435677461606</v>
      </c>
      <c r="AN73" s="97">
        <v>4.7803473266866803</v>
      </c>
      <c r="AO73" s="97">
        <v>2673.1702250831913</v>
      </c>
      <c r="AP73" s="97">
        <v>0.41379310344827586</v>
      </c>
      <c r="AQ73" s="97">
        <v>231.39310344827584</v>
      </c>
      <c r="AR73" s="97">
        <v>8.9349438079655528</v>
      </c>
      <c r="AS73" s="97">
        <v>4996.4205774143365</v>
      </c>
      <c r="AT73" s="97">
        <v>5.7740908883771569</v>
      </c>
      <c r="AU73" s="97">
        <v>3228.871624780506</v>
      </c>
      <c r="AV73" s="97">
        <v>4.329004329004329</v>
      </c>
      <c r="AW73" s="97">
        <v>2420.7792207792204</v>
      </c>
      <c r="AX73" s="97">
        <v>5.1382413094855366</v>
      </c>
      <c r="AY73" s="97">
        <v>2873.3045402643115</v>
      </c>
      <c r="AZ73" s="97">
        <v>4.2847800364414752</v>
      </c>
      <c r="BA73" s="97">
        <v>2396.0489963780728</v>
      </c>
      <c r="BB73" s="97">
        <v>0.48885077186963977</v>
      </c>
      <c r="BC73" s="97">
        <v>273.36535162950253</v>
      </c>
      <c r="BD73" s="97">
        <v>10.593068652222566</v>
      </c>
      <c r="BE73" s="97">
        <v>5923.6439903228584</v>
      </c>
      <c r="BF73" s="97">
        <v>5.5679154890079277</v>
      </c>
      <c r="BG73" s="97">
        <v>3113.578341453233</v>
      </c>
      <c r="BH73" s="97">
        <v>6.7573672038517083</v>
      </c>
      <c r="BI73" s="97">
        <v>3778.7197403938749</v>
      </c>
      <c r="BJ73" s="97">
        <v>5.0230122766603982</v>
      </c>
      <c r="BK73" s="97">
        <v>2808.8684651084941</v>
      </c>
      <c r="BL73" s="97">
        <v>5.1995427768881122</v>
      </c>
      <c r="BM73" s="97">
        <v>2907.5843208358319</v>
      </c>
      <c r="BN73" s="97">
        <v>0.39267015706806285</v>
      </c>
      <c r="BO73" s="97">
        <v>219.58115183246073</v>
      </c>
      <c r="BP73" s="97">
        <v>5.8520363841995096</v>
      </c>
      <c r="BQ73" s="97">
        <v>3272.4587460443654</v>
      </c>
      <c r="BR73" s="97">
        <v>5.1740766126375828</v>
      </c>
      <c r="BS73" s="97">
        <v>2893.3436417869361</v>
      </c>
      <c r="BT73" s="97">
        <v>10.099508674497454</v>
      </c>
      <c r="BU73" s="97">
        <v>5647.6452507789754</v>
      </c>
      <c r="BV73" s="97">
        <v>0.54054054054054057</v>
      </c>
      <c r="BW73" s="97">
        <v>302.27027027027026</v>
      </c>
      <c r="BX73" s="97">
        <v>7</v>
      </c>
      <c r="BY73" s="97">
        <v>3914.3999999999996</v>
      </c>
      <c r="BZ73" s="97">
        <v>4.3106773096848334</v>
      </c>
      <c r="CA73" s="97">
        <v>2410.5307515757586</v>
      </c>
      <c r="CB73" s="97">
        <v>4.0295509258538873</v>
      </c>
      <c r="CC73" s="97">
        <v>2253.3248777374934</v>
      </c>
      <c r="CD73" s="97">
        <v>6.0906040268456376</v>
      </c>
      <c r="CE73" s="97">
        <v>3405.8657718120803</v>
      </c>
      <c r="CF73" s="97">
        <v>5.1655149734939458</v>
      </c>
      <c r="CG73" s="97">
        <v>2888.5559731778139</v>
      </c>
      <c r="CH73" s="97">
        <v>0.26223776223776224</v>
      </c>
      <c r="CI73" s="97">
        <v>146.64335664335664</v>
      </c>
      <c r="CJ73" s="97">
        <v>4.8139534883720927</v>
      </c>
      <c r="CK73" s="97">
        <v>2691.9627906976739</v>
      </c>
      <c r="CL73" s="97">
        <v>4.5372723968442372</v>
      </c>
      <c r="CM73" s="97">
        <v>2537.242724315297</v>
      </c>
      <c r="CN73" s="97">
        <v>5.1793721973094167</v>
      </c>
      <c r="CO73" s="97">
        <v>2896.3049327354256</v>
      </c>
      <c r="CP73" s="97">
        <v>3.2573730190476866E-2</v>
      </c>
      <c r="CQ73" s="97">
        <v>18.215229922514663</v>
      </c>
      <c r="CR73" s="97">
        <v>5</v>
      </c>
      <c r="CS73" s="97">
        <v>2795.9999999999995</v>
      </c>
      <c r="CT73" s="97">
        <v>6</v>
      </c>
      <c r="CU73" s="97">
        <v>3355.2</v>
      </c>
    </row>
    <row r="74" spans="2:99" x14ac:dyDescent="0.15">
      <c r="C74" s="96" t="s">
        <v>239</v>
      </c>
      <c r="D74" s="97">
        <v>0</v>
      </c>
      <c r="E74" s="97">
        <v>0</v>
      </c>
      <c r="F74" s="97">
        <v>0</v>
      </c>
      <c r="G74" s="97">
        <v>0</v>
      </c>
      <c r="H74" s="97">
        <v>6.0596999394306694</v>
      </c>
      <c r="I74" s="97">
        <v>2443.2710155784457</v>
      </c>
      <c r="J74" s="97">
        <v>6.4158557473051134</v>
      </c>
      <c r="K74" s="97">
        <v>2586.8730373134217</v>
      </c>
      <c r="L74" s="97">
        <v>5.4159124966163938</v>
      </c>
      <c r="M74" s="97">
        <v>2183.6959186357299</v>
      </c>
      <c r="N74" s="97">
        <v>0</v>
      </c>
      <c r="O74" s="97">
        <v>0</v>
      </c>
      <c r="P74" s="97">
        <v>9.9523952974944763</v>
      </c>
      <c r="Q74" s="97">
        <v>4012.8057839497728</v>
      </c>
      <c r="R74" s="97">
        <v>4.6109514830982246</v>
      </c>
      <c r="S74" s="97">
        <v>1859.1356379852041</v>
      </c>
      <c r="T74" s="97">
        <v>5.4369702807539984</v>
      </c>
      <c r="U74" s="97">
        <v>2192.1864172000119</v>
      </c>
      <c r="V74" s="97">
        <v>0</v>
      </c>
      <c r="W74" s="97">
        <v>0</v>
      </c>
      <c r="X74" s="97">
        <v>11.864456535436982</v>
      </c>
      <c r="Y74" s="97">
        <v>4783.7488750881912</v>
      </c>
      <c r="Z74" s="97">
        <v>1.0204380666595906E-15</v>
      </c>
      <c r="AA74" s="97">
        <v>4.1144062847714692E-13</v>
      </c>
      <c r="AB74" s="97">
        <v>9.7023651569481792</v>
      </c>
      <c r="AC74" s="97">
        <v>3911.9936312815057</v>
      </c>
      <c r="AD74" s="97">
        <v>5.6401680910680474</v>
      </c>
      <c r="AE74" s="97">
        <v>2274.1157743186368</v>
      </c>
      <c r="AF74" s="97">
        <v>5.7601538734603075</v>
      </c>
      <c r="AG74" s="97">
        <v>2322.4940417791959</v>
      </c>
      <c r="AH74" s="97">
        <v>5.7216405546845488</v>
      </c>
      <c r="AI74" s="97">
        <v>2306.9654716488099</v>
      </c>
      <c r="AJ74" s="97">
        <v>3.899314747465934</v>
      </c>
      <c r="AK74" s="97">
        <v>1572.2037061782646</v>
      </c>
      <c r="AL74" s="97">
        <v>4.3740049494745366</v>
      </c>
      <c r="AM74" s="97">
        <v>1763.5987956281331</v>
      </c>
      <c r="AN74" s="97">
        <v>4.7803473266866803</v>
      </c>
      <c r="AO74" s="97">
        <v>1927.4360421200695</v>
      </c>
      <c r="AP74" s="97">
        <v>0.41379310344827586</v>
      </c>
      <c r="AQ74" s="97">
        <v>166.84137931034482</v>
      </c>
      <c r="AR74" s="97">
        <v>9.9277153421839479</v>
      </c>
      <c r="AS74" s="97">
        <v>4002.8548259685676</v>
      </c>
      <c r="AT74" s="97">
        <v>6.0627954327960145</v>
      </c>
      <c r="AU74" s="97">
        <v>2444.5191185033532</v>
      </c>
      <c r="AV74" s="97">
        <v>5.1948051948051948</v>
      </c>
      <c r="AW74" s="97">
        <v>2094.5454545454545</v>
      </c>
      <c r="AX74" s="97">
        <v>5.9946148610664585</v>
      </c>
      <c r="AY74" s="97">
        <v>2417.0287119819959</v>
      </c>
      <c r="AZ74" s="97">
        <v>4.8968914702188293</v>
      </c>
      <c r="BA74" s="97">
        <v>1974.4266407922319</v>
      </c>
      <c r="BB74" s="97">
        <v>0.48885077186963977</v>
      </c>
      <c r="BC74" s="97">
        <v>197.10463121783874</v>
      </c>
      <c r="BD74" s="97">
        <v>9.5337617870003086</v>
      </c>
      <c r="BE74" s="97">
        <v>3844.0127525185244</v>
      </c>
      <c r="BF74" s="97">
        <v>5.5679154890079277</v>
      </c>
      <c r="BG74" s="97">
        <v>2244.9835251679965</v>
      </c>
      <c r="BH74" s="97">
        <v>7.1548593923135737</v>
      </c>
      <c r="BI74" s="97">
        <v>2884.839306980833</v>
      </c>
      <c r="BJ74" s="97">
        <v>4.7090740093691235</v>
      </c>
      <c r="BK74" s="97">
        <v>1898.6986405776306</v>
      </c>
      <c r="BL74" s="97">
        <v>5.1995427768881122</v>
      </c>
      <c r="BM74" s="97">
        <v>2096.4556476412868</v>
      </c>
      <c r="BN74" s="97">
        <v>0.39267015706806285</v>
      </c>
      <c r="BO74" s="97">
        <v>158.32460732984293</v>
      </c>
      <c r="BP74" s="97">
        <v>5.8520363841995096</v>
      </c>
      <c r="BQ74" s="97">
        <v>2359.5410701092424</v>
      </c>
      <c r="BR74" s="97">
        <v>6.0364227147438472</v>
      </c>
      <c r="BS74" s="97">
        <v>2433.8856385847189</v>
      </c>
      <c r="BT74" s="97">
        <v>10.099508674497454</v>
      </c>
      <c r="BU74" s="97">
        <v>4072.1218975573734</v>
      </c>
      <c r="BV74" s="97">
        <v>0.54054054054054057</v>
      </c>
      <c r="BW74" s="97">
        <v>217.94594594594597</v>
      </c>
      <c r="BX74" s="97">
        <v>6</v>
      </c>
      <c r="BY74" s="97">
        <v>2419.1999999999998</v>
      </c>
      <c r="BZ74" s="97">
        <v>3.9514542005444304</v>
      </c>
      <c r="CA74" s="97">
        <v>1593.2263336595142</v>
      </c>
      <c r="CB74" s="97">
        <v>4.0295509258538873</v>
      </c>
      <c r="CC74" s="97">
        <v>1624.7149333042873</v>
      </c>
      <c r="CD74" s="97">
        <v>6.0906040268456376</v>
      </c>
      <c r="CE74" s="97">
        <v>2455.7315436241611</v>
      </c>
      <c r="CF74" s="97">
        <v>4.5198256018072023</v>
      </c>
      <c r="CG74" s="97">
        <v>1822.3936826486638</v>
      </c>
      <c r="CH74" s="97">
        <v>0.23601398601398604</v>
      </c>
      <c r="CI74" s="97">
        <v>95.160839160839174</v>
      </c>
      <c r="CJ74" s="97">
        <v>4.8139534883720927</v>
      </c>
      <c r="CK74" s="97">
        <v>1940.9860465116278</v>
      </c>
      <c r="CL74" s="97">
        <v>4.5372723968442372</v>
      </c>
      <c r="CM74" s="97">
        <v>1829.4282304075964</v>
      </c>
      <c r="CN74" s="97">
        <v>5.9192825112107625</v>
      </c>
      <c r="CO74" s="97">
        <v>2386.6547085201796</v>
      </c>
      <c r="CP74" s="97">
        <v>2.6058984152381493E-2</v>
      </c>
      <c r="CQ74" s="97">
        <v>10.506982410240218</v>
      </c>
      <c r="CR74" s="97">
        <v>4</v>
      </c>
      <c r="CS74" s="97">
        <v>1612.8</v>
      </c>
      <c r="CT74" s="97">
        <v>5</v>
      </c>
      <c r="CU74" s="97">
        <v>2016</v>
      </c>
    </row>
    <row r="75" spans="2:99" x14ac:dyDescent="0.15">
      <c r="C75" s="96" t="s">
        <v>240</v>
      </c>
      <c r="D75" s="97">
        <v>0</v>
      </c>
      <c r="E75" s="97">
        <v>0</v>
      </c>
      <c r="F75" s="97">
        <v>0</v>
      </c>
      <c r="G75" s="97">
        <v>0</v>
      </c>
      <c r="H75" s="97">
        <v>5.426596960684182</v>
      </c>
      <c r="I75" s="97">
        <v>3490.3871651120653</v>
      </c>
      <c r="J75" s="97">
        <v>5.1570486070110721</v>
      </c>
      <c r="K75" s="97">
        <v>3317.0136640295214</v>
      </c>
      <c r="L75" s="97">
        <v>5.1963484764832977</v>
      </c>
      <c r="M75" s="97">
        <v>3342.2913400740567</v>
      </c>
      <c r="N75" s="97">
        <v>0</v>
      </c>
      <c r="O75" s="97">
        <v>0</v>
      </c>
      <c r="P75" s="97">
        <v>9.174864414877721</v>
      </c>
      <c r="Q75" s="97">
        <v>5901.2727916493495</v>
      </c>
      <c r="R75" s="97">
        <v>4.7849496522717425</v>
      </c>
      <c r="S75" s="97">
        <v>3077.6796163411846</v>
      </c>
      <c r="T75" s="97">
        <v>5.5291223194108454</v>
      </c>
      <c r="U75" s="97">
        <v>3556.3314758450556</v>
      </c>
      <c r="V75" s="97">
        <v>0</v>
      </c>
      <c r="W75" s="97">
        <v>0</v>
      </c>
      <c r="X75" s="97">
        <v>12.655420304466114</v>
      </c>
      <c r="Y75" s="97">
        <v>8139.9663398326038</v>
      </c>
      <c r="Z75" s="97">
        <v>9.7025258797141407E-16</v>
      </c>
      <c r="AA75" s="97">
        <v>6.2406646458321344E-13</v>
      </c>
      <c r="AB75" s="97">
        <v>10.213015954682293</v>
      </c>
      <c r="AC75" s="97">
        <v>6569.0118620516496</v>
      </c>
      <c r="AD75" s="97">
        <v>5.030420189330961</v>
      </c>
      <c r="AE75" s="97">
        <v>3235.5662657776738</v>
      </c>
      <c r="AF75" s="97">
        <v>5.3170651139633618</v>
      </c>
      <c r="AG75" s="97">
        <v>3419.936281301234</v>
      </c>
      <c r="AH75" s="97">
        <v>6.0227795312468926</v>
      </c>
      <c r="AI75" s="97">
        <v>3873.8517944980008</v>
      </c>
      <c r="AJ75" s="97">
        <v>4.1286862031992237</v>
      </c>
      <c r="AK75" s="97">
        <v>2655.5709658977403</v>
      </c>
      <c r="AL75" s="97">
        <v>4.3740049494745366</v>
      </c>
      <c r="AM75" s="97">
        <v>2813.3599835020218</v>
      </c>
      <c r="AN75" s="97">
        <v>4.7803473266866803</v>
      </c>
      <c r="AO75" s="97">
        <v>3074.7194005248725</v>
      </c>
      <c r="AP75" s="97">
        <v>0.37931034482758619</v>
      </c>
      <c r="AQ75" s="97">
        <v>243.97241379310341</v>
      </c>
      <c r="AR75" s="97">
        <v>8.9349438079655528</v>
      </c>
      <c r="AS75" s="97">
        <v>5746.955857283443</v>
      </c>
      <c r="AT75" s="97">
        <v>5.4853863439582984</v>
      </c>
      <c r="AU75" s="97">
        <v>3528.2004964339772</v>
      </c>
      <c r="AV75" s="97">
        <v>4.7619047619047619</v>
      </c>
      <c r="AW75" s="97">
        <v>3062.8571428571427</v>
      </c>
      <c r="AX75" s="97">
        <v>5.7091570105394851</v>
      </c>
      <c r="AY75" s="97">
        <v>3672.1297891789964</v>
      </c>
      <c r="AZ75" s="97">
        <v>4.5908357533301523</v>
      </c>
      <c r="BA75" s="97">
        <v>2952.8255565419536</v>
      </c>
      <c r="BB75" s="97">
        <v>0.43739279588336194</v>
      </c>
      <c r="BC75" s="97">
        <v>281.33104631217839</v>
      </c>
      <c r="BD75" s="97">
        <v>9.5337617870003086</v>
      </c>
      <c r="BE75" s="97">
        <v>6132.1155813985979</v>
      </c>
      <c r="BF75" s="97">
        <v>4.9128666079481711</v>
      </c>
      <c r="BG75" s="97">
        <v>3159.9558022322635</v>
      </c>
      <c r="BH75" s="97">
        <v>5.9623828269279775</v>
      </c>
      <c r="BI75" s="97">
        <v>3835.0046342800747</v>
      </c>
      <c r="BJ75" s="97">
        <v>4.7090740093691235</v>
      </c>
      <c r="BK75" s="97">
        <v>3028.8764028262199</v>
      </c>
      <c r="BL75" s="97">
        <v>4.8529065917622383</v>
      </c>
      <c r="BM75" s="97">
        <v>3121.3895198214714</v>
      </c>
      <c r="BN75" s="97">
        <v>0.35340314136125656</v>
      </c>
      <c r="BO75" s="97">
        <v>227.3089005235602</v>
      </c>
      <c r="BP75" s="97">
        <v>5.8520363841995096</v>
      </c>
      <c r="BQ75" s="97">
        <v>3764.029802317124</v>
      </c>
      <c r="BR75" s="97">
        <v>5.6052496636907145</v>
      </c>
      <c r="BS75" s="97">
        <v>3605.2965836858671</v>
      </c>
      <c r="BT75" s="97">
        <v>10.099508674497454</v>
      </c>
      <c r="BU75" s="97">
        <v>6496.0039794367613</v>
      </c>
      <c r="BV75" s="97">
        <v>0.5855855855855856</v>
      </c>
      <c r="BW75" s="97">
        <v>376.64864864864865</v>
      </c>
      <c r="BX75" s="97">
        <v>7</v>
      </c>
      <c r="BY75" s="97">
        <v>4502.3999999999996</v>
      </c>
      <c r="BZ75" s="97">
        <v>4.669900418825236</v>
      </c>
      <c r="CA75" s="97">
        <v>3003.6799493883914</v>
      </c>
      <c r="CB75" s="97">
        <v>4.6052010581187286</v>
      </c>
      <c r="CC75" s="97">
        <v>2962.0653205819658</v>
      </c>
      <c r="CD75" s="97">
        <v>5.5369127516778525</v>
      </c>
      <c r="CE75" s="97">
        <v>3561.3422818791942</v>
      </c>
      <c r="CF75" s="97">
        <v>5.1655149734939458</v>
      </c>
      <c r="CG75" s="97">
        <v>3322.4592309513055</v>
      </c>
      <c r="CH75" s="97">
        <v>0.26223776223776224</v>
      </c>
      <c r="CI75" s="97">
        <v>168.67132867132867</v>
      </c>
      <c r="CJ75" s="97">
        <v>4.8139534883720927</v>
      </c>
      <c r="CK75" s="97">
        <v>3096.3348837209296</v>
      </c>
      <c r="CL75" s="97">
        <v>3.7810603307035309</v>
      </c>
      <c r="CM75" s="97">
        <v>2431.978004708511</v>
      </c>
      <c r="CN75" s="97">
        <v>5.9192825112107625</v>
      </c>
      <c r="CO75" s="97">
        <v>3807.2825112107621</v>
      </c>
      <c r="CP75" s="97">
        <v>3.2573730190476866E-2</v>
      </c>
      <c r="CQ75" s="97">
        <v>20.951423258514719</v>
      </c>
      <c r="CR75" s="97">
        <v>5</v>
      </c>
      <c r="CS75" s="97">
        <v>3215.9999999999995</v>
      </c>
      <c r="CT75" s="97">
        <v>5</v>
      </c>
      <c r="CU75" s="97">
        <v>3215.9999999999995</v>
      </c>
    </row>
    <row r="76" spans="2:99" x14ac:dyDescent="0.15">
      <c r="C76" s="96" t="s">
        <v>241</v>
      </c>
      <c r="D76" s="97">
        <v>0</v>
      </c>
      <c r="E76" s="97">
        <v>0</v>
      </c>
      <c r="F76" s="97">
        <v>0</v>
      </c>
      <c r="G76" s="97">
        <v>0</v>
      </c>
      <c r="H76" s="97">
        <v>4.7934939819376945</v>
      </c>
      <c r="I76" s="97">
        <v>3733.1731131330762</v>
      </c>
      <c r="J76" s="97">
        <v>5.4412953806258564</v>
      </c>
      <c r="K76" s="97">
        <v>4237.6808424314167</v>
      </c>
      <c r="L76" s="97">
        <v>4.8304084429281353</v>
      </c>
      <c r="M76" s="97">
        <v>3761.9220953524314</v>
      </c>
      <c r="N76" s="97">
        <v>0</v>
      </c>
      <c r="O76" s="97">
        <v>0</v>
      </c>
      <c r="P76" s="97">
        <v>9.7968891209711266</v>
      </c>
      <c r="Q76" s="97">
        <v>7629.817247412313</v>
      </c>
      <c r="R76" s="97">
        <v>4.4369533139247066</v>
      </c>
      <c r="S76" s="97">
        <v>3455.4992408845615</v>
      </c>
      <c r="T76" s="97">
        <v>4.8840580488129133</v>
      </c>
      <c r="U76" s="97">
        <v>3803.7044084154968</v>
      </c>
      <c r="V76" s="97">
        <v>0</v>
      </c>
      <c r="W76" s="97">
        <v>0</v>
      </c>
      <c r="X76" s="97">
        <v>13.050902188980681</v>
      </c>
      <c r="Y76" s="97">
        <v>10164.042624778154</v>
      </c>
      <c r="Z76" s="97">
        <v>1.0037095737635317E-15</v>
      </c>
      <c r="AA76" s="97">
        <v>7.8168901604703843E-13</v>
      </c>
      <c r="AB76" s="97">
        <v>10.213015954682293</v>
      </c>
      <c r="AC76" s="97">
        <v>7953.8968255065693</v>
      </c>
      <c r="AD76" s="97">
        <v>5.1828571647652328</v>
      </c>
      <c r="AE76" s="97">
        <v>4036.4091599191629</v>
      </c>
      <c r="AF76" s="97">
        <v>4.8739763544664152</v>
      </c>
      <c r="AG76" s="97">
        <v>3795.852784858444</v>
      </c>
      <c r="AH76" s="97">
        <v>5.7216405546845488</v>
      </c>
      <c r="AI76" s="97">
        <v>4456.0136639883267</v>
      </c>
      <c r="AJ76" s="97">
        <v>3.440571835999354</v>
      </c>
      <c r="AK76" s="97">
        <v>2679.5173458762965</v>
      </c>
      <c r="AL76" s="97">
        <v>3.95743304952458</v>
      </c>
      <c r="AM76" s="97">
        <v>3082.0488589697429</v>
      </c>
      <c r="AN76" s="97">
        <v>4.4388939462090597</v>
      </c>
      <c r="AO76" s="97">
        <v>3457.0106053076156</v>
      </c>
      <c r="AP76" s="97">
        <v>0.43103448275862066</v>
      </c>
      <c r="AQ76" s="97">
        <v>335.68965517241378</v>
      </c>
      <c r="AR76" s="97">
        <v>8.4385580408563552</v>
      </c>
      <c r="AS76" s="97">
        <v>6571.9490022189293</v>
      </c>
      <c r="AT76" s="97">
        <v>5.7740908883771569</v>
      </c>
      <c r="AU76" s="97">
        <v>4496.8619838681298</v>
      </c>
      <c r="AV76" s="97">
        <v>4.329004329004329</v>
      </c>
      <c r="AW76" s="97">
        <v>3371.4285714285711</v>
      </c>
      <c r="AX76" s="97">
        <v>4.8527834589585623</v>
      </c>
      <c r="AY76" s="97">
        <v>3779.3477578369279</v>
      </c>
      <c r="AZ76" s="97">
        <v>4.5908357533301523</v>
      </c>
      <c r="BA76" s="97">
        <v>3575.3428846935226</v>
      </c>
      <c r="BB76" s="97">
        <v>0.51457975986277871</v>
      </c>
      <c r="BC76" s="97">
        <v>400.75471698113205</v>
      </c>
      <c r="BD76" s="97">
        <v>9.0041083543891816</v>
      </c>
      <c r="BE76" s="97">
        <v>7012.3995863982946</v>
      </c>
      <c r="BF76" s="97">
        <v>5.2403910484780489</v>
      </c>
      <c r="BG76" s="97">
        <v>4081.2165485547043</v>
      </c>
      <c r="BH76" s="97">
        <v>6.3598750153898438</v>
      </c>
      <c r="BI76" s="97">
        <v>4953.0706619856101</v>
      </c>
      <c r="BJ76" s="97">
        <v>4.7090740093691235</v>
      </c>
      <c r="BK76" s="97">
        <v>3667.4268384966731</v>
      </c>
      <c r="BL76" s="97">
        <v>4.5062704066363635</v>
      </c>
      <c r="BM76" s="97">
        <v>3509.4833926883998</v>
      </c>
      <c r="BN76" s="97">
        <v>0.39267015706806285</v>
      </c>
      <c r="BO76" s="97">
        <v>305.81151832460733</v>
      </c>
      <c r="BP76" s="97">
        <v>5.8520363841995096</v>
      </c>
      <c r="BQ76" s="97">
        <v>4557.5659360145773</v>
      </c>
      <c r="BR76" s="97">
        <v>6.0364227147438472</v>
      </c>
      <c r="BS76" s="97">
        <v>4701.1660102425076</v>
      </c>
      <c r="BT76" s="97">
        <v>10.876393957151103</v>
      </c>
      <c r="BU76" s="97">
        <v>8470.5356138292791</v>
      </c>
      <c r="BV76" s="97">
        <v>0.54054054054054057</v>
      </c>
      <c r="BW76" s="97">
        <v>420.97297297297297</v>
      </c>
      <c r="BX76" s="97">
        <v>6</v>
      </c>
      <c r="BY76" s="97">
        <v>4672.7999999999993</v>
      </c>
      <c r="BZ76" s="97">
        <v>3.9514542005444304</v>
      </c>
      <c r="CA76" s="97">
        <v>3077.3925313840023</v>
      </c>
      <c r="CB76" s="97">
        <v>4.6052010581187286</v>
      </c>
      <c r="CC76" s="97">
        <v>3586.5305840628657</v>
      </c>
      <c r="CD76" s="97">
        <v>5.5369127516778525</v>
      </c>
      <c r="CE76" s="97">
        <v>4312.1476510067114</v>
      </c>
      <c r="CF76" s="97">
        <v>5.1655149734939458</v>
      </c>
      <c r="CG76" s="97">
        <v>4022.9030613570849</v>
      </c>
      <c r="CH76" s="97">
        <v>0.23601398601398604</v>
      </c>
      <c r="CI76" s="97">
        <v>183.80769230769232</v>
      </c>
      <c r="CJ76" s="97">
        <v>4.8139534883720927</v>
      </c>
      <c r="CK76" s="97">
        <v>3749.1069767441854</v>
      </c>
      <c r="CL76" s="97">
        <v>4.5372723968442372</v>
      </c>
      <c r="CM76" s="97">
        <v>3533.6277426622919</v>
      </c>
      <c r="CN76" s="97">
        <v>5.9192825112107625</v>
      </c>
      <c r="CO76" s="97">
        <v>4609.9372197309413</v>
      </c>
      <c r="CP76" s="97">
        <v>2.6058984152381493E-2</v>
      </c>
      <c r="CQ76" s="97">
        <v>20.294736857874707</v>
      </c>
      <c r="CR76" s="97">
        <v>5</v>
      </c>
      <c r="CS76" s="97">
        <v>3894</v>
      </c>
      <c r="CT76" s="97">
        <v>6</v>
      </c>
      <c r="CU76" s="97">
        <v>4672.7999999999993</v>
      </c>
    </row>
    <row r="77" spans="2:99" x14ac:dyDescent="0.15">
      <c r="C77" s="96" t="s">
        <v>242</v>
      </c>
      <c r="D77" s="97">
        <v>0</v>
      </c>
      <c r="E77" s="97">
        <v>0</v>
      </c>
      <c r="F77" s="97">
        <v>0</v>
      </c>
      <c r="G77" s="97">
        <v>0</v>
      </c>
      <c r="H77" s="97">
        <v>6.0596999394306694</v>
      </c>
      <c r="I77" s="97">
        <v>1687.0204631374982</v>
      </c>
      <c r="J77" s="97">
        <v>6.375249065360145</v>
      </c>
      <c r="K77" s="97">
        <v>1774.8693397962643</v>
      </c>
      <c r="L77" s="97">
        <v>5.4891005033274265</v>
      </c>
      <c r="M77" s="97">
        <v>1528.1655801263555</v>
      </c>
      <c r="N77" s="97">
        <v>0</v>
      </c>
      <c r="O77" s="97">
        <v>0</v>
      </c>
      <c r="P77" s="97">
        <v>10.107901474017828</v>
      </c>
      <c r="Q77" s="97">
        <v>2814.0397703665631</v>
      </c>
      <c r="R77" s="97">
        <v>4.7849496522717425</v>
      </c>
      <c r="S77" s="97">
        <v>1332.129983192453</v>
      </c>
      <c r="T77" s="97">
        <v>5.4369702807539984</v>
      </c>
      <c r="U77" s="97">
        <v>1513.6525261619131</v>
      </c>
      <c r="V77" s="97">
        <v>0</v>
      </c>
      <c r="W77" s="97">
        <v>0</v>
      </c>
      <c r="X77" s="97">
        <v>12.062197477694266</v>
      </c>
      <c r="Y77" s="97">
        <v>3358.1157777900835</v>
      </c>
      <c r="Z77" s="97">
        <v>1.0037095737635317E-15</v>
      </c>
      <c r="AA77" s="97">
        <v>2.794327453357672E-13</v>
      </c>
      <c r="AB77" s="97">
        <v>10.213015954682293</v>
      </c>
      <c r="AC77" s="97">
        <v>2843.3036417835501</v>
      </c>
      <c r="AD77" s="97">
        <v>5.6401680910680474</v>
      </c>
      <c r="AE77" s="97">
        <v>1570.2227965533443</v>
      </c>
      <c r="AF77" s="97">
        <v>5.1693688607977126</v>
      </c>
      <c r="AG77" s="97">
        <v>1439.1522908460831</v>
      </c>
      <c r="AH77" s="97">
        <v>6.47448799609041</v>
      </c>
      <c r="AI77" s="97">
        <v>1802.49745811157</v>
      </c>
      <c r="AJ77" s="97">
        <v>3.899314747465934</v>
      </c>
      <c r="AK77" s="97">
        <v>1085.569225694516</v>
      </c>
      <c r="AL77" s="97">
        <v>4.3740049494745366</v>
      </c>
      <c r="AM77" s="97">
        <v>1217.7229779337108</v>
      </c>
      <c r="AN77" s="97">
        <v>4.4388939462090597</v>
      </c>
      <c r="AO77" s="97">
        <v>1235.7880746246021</v>
      </c>
      <c r="AP77" s="97">
        <v>0.44827586206896552</v>
      </c>
      <c r="AQ77" s="97">
        <v>124.8</v>
      </c>
      <c r="AR77" s="97">
        <v>8.9349438079655528</v>
      </c>
      <c r="AS77" s="97">
        <v>2487.4883561376096</v>
      </c>
      <c r="AT77" s="97">
        <v>5.7740908883771569</v>
      </c>
      <c r="AU77" s="97">
        <v>1607.5069033242003</v>
      </c>
      <c r="AV77" s="97">
        <v>4.5454545454545459</v>
      </c>
      <c r="AW77" s="97">
        <v>1265.4545454545455</v>
      </c>
      <c r="AX77" s="97">
        <v>6.2800727115934336</v>
      </c>
      <c r="AY77" s="97">
        <v>1748.3722429076117</v>
      </c>
      <c r="AZ77" s="97">
        <v>4.2847800364414752</v>
      </c>
      <c r="BA77" s="97">
        <v>1192.8827621453065</v>
      </c>
      <c r="BB77" s="97">
        <v>0.46312178387650088</v>
      </c>
      <c r="BC77" s="97">
        <v>128.93310463121784</v>
      </c>
      <c r="BD77" s="97">
        <v>10.063415219611437</v>
      </c>
      <c r="BE77" s="97">
        <v>2801.654797139824</v>
      </c>
      <c r="BF77" s="97">
        <v>5.2403910484780489</v>
      </c>
      <c r="BG77" s="97">
        <v>1458.9248678962888</v>
      </c>
      <c r="BH77" s="97">
        <v>6.7573672038517083</v>
      </c>
      <c r="BI77" s="97">
        <v>1881.2510295523155</v>
      </c>
      <c r="BJ77" s="97">
        <v>5.6508888112429476</v>
      </c>
      <c r="BK77" s="97">
        <v>1573.2074450500365</v>
      </c>
      <c r="BL77" s="97">
        <v>5.1995427768881122</v>
      </c>
      <c r="BM77" s="97">
        <v>1447.5527090856503</v>
      </c>
      <c r="BN77" s="97">
        <v>0.39267015706806285</v>
      </c>
      <c r="BO77" s="97">
        <v>109.31937172774869</v>
      </c>
      <c r="BP77" s="97">
        <v>5.8520363841995096</v>
      </c>
      <c r="BQ77" s="97">
        <v>1629.2069293611432</v>
      </c>
      <c r="BR77" s="97">
        <v>6.0364227147438472</v>
      </c>
      <c r="BS77" s="97">
        <v>1680.5400837846869</v>
      </c>
      <c r="BT77" s="97">
        <v>10.099508674497454</v>
      </c>
      <c r="BU77" s="97">
        <v>2811.7032149800907</v>
      </c>
      <c r="BV77" s="97">
        <v>0.54054054054054057</v>
      </c>
      <c r="BW77" s="97">
        <v>150.48648648648648</v>
      </c>
      <c r="BX77" s="97">
        <v>7</v>
      </c>
      <c r="BY77" s="97">
        <v>1948.7999999999997</v>
      </c>
      <c r="BZ77" s="97">
        <v>4.3106773096848334</v>
      </c>
      <c r="CA77" s="97">
        <v>1200.0925630162576</v>
      </c>
      <c r="CB77" s="97">
        <v>4.6052010581187286</v>
      </c>
      <c r="CC77" s="97">
        <v>1282.087974580254</v>
      </c>
      <c r="CD77" s="97">
        <v>6.6442953020134228</v>
      </c>
      <c r="CE77" s="97">
        <v>1849.7718120805368</v>
      </c>
      <c r="CF77" s="97">
        <v>5.1655149734939458</v>
      </c>
      <c r="CG77" s="97">
        <v>1438.0793686207144</v>
      </c>
      <c r="CH77" s="97">
        <v>0.26223776223776224</v>
      </c>
      <c r="CI77" s="97">
        <v>73.006993006993</v>
      </c>
      <c r="CJ77" s="97">
        <v>4.8139534883720927</v>
      </c>
      <c r="CK77" s="97">
        <v>1340.2046511627905</v>
      </c>
      <c r="CL77" s="97">
        <v>4.5372723968442372</v>
      </c>
      <c r="CM77" s="97">
        <v>1263.1766352814354</v>
      </c>
      <c r="CN77" s="97">
        <v>5.1793721973094167</v>
      </c>
      <c r="CO77" s="97">
        <v>1441.9372197309415</v>
      </c>
      <c r="CP77" s="97">
        <v>3.2573730190476866E-2</v>
      </c>
      <c r="CQ77" s="97">
        <v>9.0685264850287588</v>
      </c>
      <c r="CR77" s="97">
        <v>5</v>
      </c>
      <c r="CS77" s="97">
        <v>1392</v>
      </c>
      <c r="CT77" s="97">
        <v>6</v>
      </c>
      <c r="CU77" s="97">
        <v>1670.3999999999999</v>
      </c>
    </row>
    <row r="78" spans="2:99" x14ac:dyDescent="0.15">
      <c r="C78" s="96" t="s">
        <v>243</v>
      </c>
      <c r="D78" s="97">
        <v>0</v>
      </c>
      <c r="E78" s="97">
        <v>0</v>
      </c>
      <c r="F78" s="97">
        <v>0</v>
      </c>
      <c r="G78" s="97">
        <v>0</v>
      </c>
      <c r="H78" s="97">
        <v>5.381375319345147</v>
      </c>
      <c r="I78" s="97">
        <v>2970.5191762785212</v>
      </c>
      <c r="J78" s="97">
        <v>6.2534290195252371</v>
      </c>
      <c r="K78" s="97">
        <v>3451.8928187779311</v>
      </c>
      <c r="L78" s="97">
        <v>5.1231604697722641</v>
      </c>
      <c r="M78" s="97">
        <v>2827.9845793142899</v>
      </c>
      <c r="N78" s="97">
        <v>0</v>
      </c>
      <c r="O78" s="97">
        <v>0</v>
      </c>
      <c r="P78" s="97">
        <v>9.174864414877721</v>
      </c>
      <c r="Q78" s="97">
        <v>5064.5251570125019</v>
      </c>
      <c r="R78" s="97">
        <v>4.3499542293379481</v>
      </c>
      <c r="S78" s="97">
        <v>2401.1747345945473</v>
      </c>
      <c r="T78" s="97">
        <v>5.1605141647834554</v>
      </c>
      <c r="U78" s="97">
        <v>2848.6038189604674</v>
      </c>
      <c r="V78" s="97">
        <v>0</v>
      </c>
      <c r="W78" s="97">
        <v>0</v>
      </c>
      <c r="X78" s="97">
        <v>11.073492766407849</v>
      </c>
      <c r="Y78" s="97">
        <v>6112.5680070571325</v>
      </c>
      <c r="Z78" s="97">
        <v>1.0371665595556495E-15</v>
      </c>
      <c r="AA78" s="97">
        <v>5.7251594087471852E-13</v>
      </c>
      <c r="AB78" s="97">
        <v>9.9576905558152351</v>
      </c>
      <c r="AC78" s="97">
        <v>5496.6451868100094</v>
      </c>
      <c r="AD78" s="97">
        <v>5.1828571647652328</v>
      </c>
      <c r="AE78" s="97">
        <v>2860.9371549504085</v>
      </c>
      <c r="AF78" s="97">
        <v>5.3170651139633618</v>
      </c>
      <c r="AG78" s="97">
        <v>2935.0199429077757</v>
      </c>
      <c r="AH78" s="97">
        <v>5.571071066403376</v>
      </c>
      <c r="AI78" s="97">
        <v>3075.2312286546635</v>
      </c>
      <c r="AJ78" s="97">
        <v>4.1286862031992237</v>
      </c>
      <c r="AK78" s="97">
        <v>2279.0347841659714</v>
      </c>
      <c r="AL78" s="97">
        <v>4.3740049494745366</v>
      </c>
      <c r="AM78" s="97">
        <v>2414.4507321099441</v>
      </c>
      <c r="AN78" s="97">
        <v>5.1218007071642999</v>
      </c>
      <c r="AO78" s="97">
        <v>2827.2339903546936</v>
      </c>
      <c r="AP78" s="97">
        <v>0.43103448275862066</v>
      </c>
      <c r="AQ78" s="97">
        <v>237.93103448275861</v>
      </c>
      <c r="AR78" s="97">
        <v>9.9277153421839479</v>
      </c>
      <c r="AS78" s="97">
        <v>5480.0988688855396</v>
      </c>
      <c r="AT78" s="97">
        <v>6.0627954327960145</v>
      </c>
      <c r="AU78" s="97">
        <v>3346.6630789034002</v>
      </c>
      <c r="AV78" s="97">
        <v>4.329004329004329</v>
      </c>
      <c r="AW78" s="97">
        <v>2389.6103896103896</v>
      </c>
      <c r="AX78" s="97">
        <v>5.1382413094855366</v>
      </c>
      <c r="AY78" s="97">
        <v>2836.3092028360161</v>
      </c>
      <c r="AZ78" s="97">
        <v>4.8968914702188293</v>
      </c>
      <c r="BA78" s="97">
        <v>2703.0840915607937</v>
      </c>
      <c r="BB78" s="97">
        <v>0.46312178387650088</v>
      </c>
      <c r="BC78" s="97">
        <v>255.64322469982849</v>
      </c>
      <c r="BD78" s="97">
        <v>9.5337617870003086</v>
      </c>
      <c r="BE78" s="97">
        <v>5262.63650642417</v>
      </c>
      <c r="BF78" s="97">
        <v>5.2403910484780489</v>
      </c>
      <c r="BG78" s="97">
        <v>2892.6958587598829</v>
      </c>
      <c r="BH78" s="97">
        <v>5.9623828269279775</v>
      </c>
      <c r="BI78" s="97">
        <v>3291.2353204642436</v>
      </c>
      <c r="BJ78" s="97">
        <v>5.6508888112429476</v>
      </c>
      <c r="BK78" s="97">
        <v>3119.2906238061073</v>
      </c>
      <c r="BL78" s="97">
        <v>5.1995427768881122</v>
      </c>
      <c r="BM78" s="97">
        <v>2870.1476128422378</v>
      </c>
      <c r="BN78" s="97">
        <v>0.43193717277486909</v>
      </c>
      <c r="BO78" s="97">
        <v>238.42931937172773</v>
      </c>
      <c r="BP78" s="97">
        <v>6.4372400226194602</v>
      </c>
      <c r="BQ78" s="97">
        <v>3553.356492485942</v>
      </c>
      <c r="BR78" s="97">
        <v>6.0364227147438472</v>
      </c>
      <c r="BS78" s="97">
        <v>3332.1053385386035</v>
      </c>
      <c r="BT78" s="97">
        <v>10.876393957151103</v>
      </c>
      <c r="BU78" s="97">
        <v>6003.7694643474088</v>
      </c>
      <c r="BV78" s="97">
        <v>0.5855855855855856</v>
      </c>
      <c r="BW78" s="97">
        <v>323.24324324324323</v>
      </c>
      <c r="BX78" s="97">
        <v>6</v>
      </c>
      <c r="BY78" s="97">
        <v>3312</v>
      </c>
      <c r="BZ78" s="97">
        <v>4.669900418825236</v>
      </c>
      <c r="CA78" s="97">
        <v>2577.7850311915304</v>
      </c>
      <c r="CB78" s="97">
        <v>4.6052010581187286</v>
      </c>
      <c r="CC78" s="97">
        <v>2542.070984081538</v>
      </c>
      <c r="CD78" s="97">
        <v>6.6442953020134228</v>
      </c>
      <c r="CE78" s="97">
        <v>3667.6510067114095</v>
      </c>
      <c r="CF78" s="97">
        <v>4.5198256018072023</v>
      </c>
      <c r="CG78" s="97">
        <v>2494.9437321975756</v>
      </c>
      <c r="CH78" s="97">
        <v>0.26223776223776224</v>
      </c>
      <c r="CI78" s="97">
        <v>144.75524475524475</v>
      </c>
      <c r="CJ78" s="97">
        <v>4.8139534883720927</v>
      </c>
      <c r="CK78" s="97">
        <v>2657.3023255813951</v>
      </c>
      <c r="CL78" s="97">
        <v>4.5372723968442372</v>
      </c>
      <c r="CM78" s="97">
        <v>2504.5743630580191</v>
      </c>
      <c r="CN78" s="97">
        <v>5.1793721973094167</v>
      </c>
      <c r="CO78" s="97">
        <v>2859.0134529147981</v>
      </c>
      <c r="CP78" s="97">
        <v>3.2573730190476866E-2</v>
      </c>
      <c r="CQ78" s="97">
        <v>17.980699065143231</v>
      </c>
      <c r="CR78" s="97">
        <v>5</v>
      </c>
      <c r="CS78" s="97">
        <v>2760</v>
      </c>
      <c r="CT78" s="97">
        <v>5</v>
      </c>
      <c r="CU78" s="97">
        <v>2760</v>
      </c>
    </row>
    <row r="79" spans="2:99" x14ac:dyDescent="0.15">
      <c r="C79" s="96" t="s">
        <v>244</v>
      </c>
      <c r="D79" s="97">
        <v>0</v>
      </c>
      <c r="E79" s="97">
        <v>0</v>
      </c>
      <c r="F79" s="97">
        <v>0</v>
      </c>
      <c r="G79" s="97">
        <v>0</v>
      </c>
      <c r="H79" s="97">
        <v>5.0648238299719033</v>
      </c>
      <c r="I79" s="97">
        <v>3835.0846040547249</v>
      </c>
      <c r="J79" s="97">
        <v>5.6037221084057318</v>
      </c>
      <c r="K79" s="97">
        <v>4243.1383804848201</v>
      </c>
      <c r="L79" s="97">
        <v>5.6354765167494918</v>
      </c>
      <c r="M79" s="97">
        <v>4267.1828184827145</v>
      </c>
      <c r="N79" s="97">
        <v>0</v>
      </c>
      <c r="O79" s="97">
        <v>0</v>
      </c>
      <c r="P79" s="97">
        <v>8.3973335322609639</v>
      </c>
      <c r="Q79" s="97">
        <v>6358.4609506280012</v>
      </c>
      <c r="R79" s="97">
        <v>4.523952398511466</v>
      </c>
      <c r="S79" s="97">
        <v>3425.5367561528819</v>
      </c>
      <c r="T79" s="97">
        <v>4.9762100874697612</v>
      </c>
      <c r="U79" s="97">
        <v>3767.9862782321029</v>
      </c>
      <c r="V79" s="97">
        <v>0</v>
      </c>
      <c r="W79" s="97">
        <v>0</v>
      </c>
      <c r="X79" s="97">
        <v>11.864456535436982</v>
      </c>
      <c r="Y79" s="97">
        <v>8983.7664886328821</v>
      </c>
      <c r="Z79" s="97">
        <v>9.5352409507535516E-16</v>
      </c>
      <c r="AA79" s="97">
        <v>7.2200844479105888E-13</v>
      </c>
      <c r="AB79" s="97">
        <v>9.7023651569481792</v>
      </c>
      <c r="AC79" s="97">
        <v>7346.6308968411604</v>
      </c>
      <c r="AD79" s="97">
        <v>5.7926050665023192</v>
      </c>
      <c r="AE79" s="97">
        <v>4386.1605563555559</v>
      </c>
      <c r="AF79" s="97">
        <v>4.726280101300766</v>
      </c>
      <c r="AG79" s="97">
        <v>3578.7392927049395</v>
      </c>
      <c r="AH79" s="97">
        <v>5.1193626015598586</v>
      </c>
      <c r="AI79" s="97">
        <v>3876.3813619011244</v>
      </c>
      <c r="AJ79" s="97">
        <v>3.899314747465934</v>
      </c>
      <c r="AK79" s="97">
        <v>2952.5611267812051</v>
      </c>
      <c r="AL79" s="97">
        <v>3.95743304952458</v>
      </c>
      <c r="AM79" s="97">
        <v>2996.5683051000115</v>
      </c>
      <c r="AN79" s="97">
        <v>4.2681672559702504</v>
      </c>
      <c r="AO79" s="97">
        <v>3231.8562462206733</v>
      </c>
      <c r="AP79" s="97">
        <v>0.37931034482758619</v>
      </c>
      <c r="AQ79" s="97">
        <v>287.21379310344821</v>
      </c>
      <c r="AR79" s="97">
        <v>9.4313295750747503</v>
      </c>
      <c r="AS79" s="97">
        <v>7141.4027542466001</v>
      </c>
      <c r="AT79" s="97">
        <v>6.0627954327960145</v>
      </c>
      <c r="AU79" s="97">
        <v>4590.7487017131416</v>
      </c>
      <c r="AV79" s="97">
        <v>4.329004329004329</v>
      </c>
      <c r="AW79" s="97">
        <v>3277.9220779220777</v>
      </c>
      <c r="AX79" s="97">
        <v>5.1382413094855366</v>
      </c>
      <c r="AY79" s="97">
        <v>3890.6763195424478</v>
      </c>
      <c r="AZ79" s="97">
        <v>4.8968914702188293</v>
      </c>
      <c r="BA79" s="97">
        <v>3707.9262212496974</v>
      </c>
      <c r="BB79" s="97">
        <v>0.46312178387650088</v>
      </c>
      <c r="BC79" s="97">
        <v>350.67581475128645</v>
      </c>
      <c r="BD79" s="97">
        <v>9.5337617870003086</v>
      </c>
      <c r="BE79" s="97">
        <v>7218.9644251166328</v>
      </c>
      <c r="BF79" s="97">
        <v>5.2403910484780489</v>
      </c>
      <c r="BG79" s="97">
        <v>3968.0241019075784</v>
      </c>
      <c r="BH79" s="97">
        <v>5.9623828269279775</v>
      </c>
      <c r="BI79" s="97">
        <v>4514.7162765498642</v>
      </c>
      <c r="BJ79" s="97">
        <v>4.7090740093691235</v>
      </c>
      <c r="BK79" s="97">
        <v>3565.7108398943001</v>
      </c>
      <c r="BL79" s="97">
        <v>4.8529065917622383</v>
      </c>
      <c r="BM79" s="97">
        <v>3674.6208712823664</v>
      </c>
      <c r="BN79" s="97">
        <v>0.39267015706806285</v>
      </c>
      <c r="BO79" s="97">
        <v>297.32984293193715</v>
      </c>
      <c r="BP79" s="97">
        <v>5.2668327457795581</v>
      </c>
      <c r="BQ79" s="97">
        <v>3988.0457551042809</v>
      </c>
      <c r="BR79" s="97">
        <v>6.0364227147438472</v>
      </c>
      <c r="BS79" s="97">
        <v>4570.7792796040403</v>
      </c>
      <c r="BT79" s="97">
        <v>10.876393957151103</v>
      </c>
      <c r="BU79" s="97">
        <v>8235.6055043548149</v>
      </c>
      <c r="BV79" s="97">
        <v>0.54054054054054057</v>
      </c>
      <c r="BW79" s="97">
        <v>409.29729729729729</v>
      </c>
      <c r="BX79" s="97">
        <v>6</v>
      </c>
      <c r="BY79" s="97">
        <v>4543.2</v>
      </c>
      <c r="BZ79" s="97">
        <v>4.3106773096848334</v>
      </c>
      <c r="CA79" s="97">
        <v>3264.0448588933555</v>
      </c>
      <c r="CB79" s="97">
        <v>4.6052010581187286</v>
      </c>
      <c r="CC79" s="97">
        <v>3487.0582412075009</v>
      </c>
      <c r="CD79" s="97">
        <v>5.5369127516778525</v>
      </c>
      <c r="CE79" s="97">
        <v>4192.5503355704695</v>
      </c>
      <c r="CF79" s="97">
        <v>5.1655149734939458</v>
      </c>
      <c r="CG79" s="97">
        <v>3911.3279379296155</v>
      </c>
      <c r="CH79" s="97">
        <v>0.23601398601398604</v>
      </c>
      <c r="CI79" s="97">
        <v>178.70979020979021</v>
      </c>
      <c r="CJ79" s="97">
        <v>4.8139534883720927</v>
      </c>
      <c r="CK79" s="97">
        <v>3645.125581395348</v>
      </c>
      <c r="CL79" s="97">
        <v>4.5372723968442372</v>
      </c>
      <c r="CM79" s="97">
        <v>3435.622658890456</v>
      </c>
      <c r="CN79" s="97">
        <v>5.1793721973094167</v>
      </c>
      <c r="CO79" s="97">
        <v>3921.8206278026901</v>
      </c>
      <c r="CP79" s="97">
        <v>3.2573730190476866E-2</v>
      </c>
      <c r="CQ79" s="97">
        <v>24.664828500229081</v>
      </c>
      <c r="CR79" s="97">
        <v>4</v>
      </c>
      <c r="CS79" s="97">
        <v>3028.7999999999997</v>
      </c>
      <c r="CT79" s="97">
        <v>5</v>
      </c>
      <c r="CU79" s="97">
        <v>3785.9999999999995</v>
      </c>
    </row>
    <row r="80" spans="2:99" x14ac:dyDescent="0.15">
      <c r="C80" s="96" t="s">
        <v>245</v>
      </c>
      <c r="D80" s="97">
        <v>0</v>
      </c>
      <c r="E80" s="97">
        <v>0</v>
      </c>
      <c r="F80" s="97">
        <v>0</v>
      </c>
      <c r="G80" s="97">
        <v>0</v>
      </c>
      <c r="H80" s="97">
        <v>5.2457103953280422</v>
      </c>
      <c r="I80" s="97">
        <v>4223.8460103181396</v>
      </c>
      <c r="J80" s="97">
        <v>5.6037221084057318</v>
      </c>
      <c r="K80" s="97">
        <v>4512.1170416882951</v>
      </c>
      <c r="L80" s="97">
        <v>5.4891005033274265</v>
      </c>
      <c r="M80" s="97">
        <v>4419.8237252792433</v>
      </c>
      <c r="N80" s="97">
        <v>0</v>
      </c>
      <c r="O80" s="97">
        <v>0</v>
      </c>
      <c r="P80" s="97">
        <v>9.7968891209711266</v>
      </c>
      <c r="Q80" s="97">
        <v>7888.4551202059502</v>
      </c>
      <c r="R80" s="97">
        <v>4.8719487368585019</v>
      </c>
      <c r="S80" s="97">
        <v>3922.8931229184655</v>
      </c>
      <c r="T80" s="97">
        <v>4.6997539714992191</v>
      </c>
      <c r="U80" s="97">
        <v>3784.241897851171</v>
      </c>
      <c r="V80" s="97">
        <v>0</v>
      </c>
      <c r="W80" s="97">
        <v>0</v>
      </c>
      <c r="X80" s="97">
        <v>12.259938419951547</v>
      </c>
      <c r="Y80" s="97">
        <v>9871.702415744985</v>
      </c>
      <c r="Z80" s="97">
        <v>9.0333861638717863E-16</v>
      </c>
      <c r="AA80" s="97">
        <v>7.2736825391495613E-13</v>
      </c>
      <c r="AB80" s="97">
        <v>8.9363889603470064</v>
      </c>
      <c r="AC80" s="97">
        <v>7195.5803908714088</v>
      </c>
      <c r="AD80" s="97">
        <v>5.030420189330961</v>
      </c>
      <c r="AE80" s="97">
        <v>4050.4943364492897</v>
      </c>
      <c r="AF80" s="97">
        <v>5.1693688607977126</v>
      </c>
      <c r="AG80" s="97">
        <v>4162.3758067143181</v>
      </c>
      <c r="AH80" s="97">
        <v>5.8722100429657207</v>
      </c>
      <c r="AI80" s="97">
        <v>4728.3035265959979</v>
      </c>
      <c r="AJ80" s="97">
        <v>4.1286862031992237</v>
      </c>
      <c r="AK80" s="97">
        <v>3324.4181308160146</v>
      </c>
      <c r="AL80" s="97">
        <v>4.1657189994995578</v>
      </c>
      <c r="AM80" s="97">
        <v>3354.2369383970436</v>
      </c>
      <c r="AN80" s="97">
        <v>4.9510740169254905</v>
      </c>
      <c r="AO80" s="97">
        <v>3986.6047984284046</v>
      </c>
      <c r="AP80" s="97">
        <v>0.37931034482758619</v>
      </c>
      <c r="AQ80" s="97">
        <v>305.4206896551724</v>
      </c>
      <c r="AR80" s="97">
        <v>9.9277153421839479</v>
      </c>
      <c r="AS80" s="97">
        <v>7993.7963935265143</v>
      </c>
      <c r="AT80" s="97">
        <v>5.4853863439582984</v>
      </c>
      <c r="AU80" s="97">
        <v>4416.8330841552215</v>
      </c>
      <c r="AV80" s="97">
        <v>4.329004329004329</v>
      </c>
      <c r="AW80" s="97">
        <v>3485.7142857142853</v>
      </c>
      <c r="AX80" s="97">
        <v>5.4236991600125108</v>
      </c>
      <c r="AY80" s="97">
        <v>4367.1625636420731</v>
      </c>
      <c r="AZ80" s="97">
        <v>4.5908357533301523</v>
      </c>
      <c r="BA80" s="97">
        <v>3696.5409485814384</v>
      </c>
      <c r="BB80" s="97">
        <v>0.51457975986277871</v>
      </c>
      <c r="BC80" s="97">
        <v>414.33962264150938</v>
      </c>
      <c r="BD80" s="97">
        <v>10.063415219611437</v>
      </c>
      <c r="BE80" s="97">
        <v>8103.0619348311284</v>
      </c>
      <c r="BF80" s="97">
        <v>4.9128666079481711</v>
      </c>
      <c r="BG80" s="97">
        <v>3955.840192719867</v>
      </c>
      <c r="BH80" s="97">
        <v>5.9623828269279775</v>
      </c>
      <c r="BI80" s="97">
        <v>4800.9106522424072</v>
      </c>
      <c r="BJ80" s="97">
        <v>5.0230122766603982</v>
      </c>
      <c r="BK80" s="97">
        <v>4044.5294851669523</v>
      </c>
      <c r="BL80" s="97">
        <v>4.5062704066363635</v>
      </c>
      <c r="BM80" s="97">
        <v>3628.4489314235993</v>
      </c>
      <c r="BN80" s="97">
        <v>0.39267015706806285</v>
      </c>
      <c r="BO80" s="97">
        <v>316.17801047120417</v>
      </c>
      <c r="BP80" s="97">
        <v>5.8520363841995096</v>
      </c>
      <c r="BQ80" s="97">
        <v>4712.059696557445</v>
      </c>
      <c r="BR80" s="97">
        <v>6.0364227147438472</v>
      </c>
      <c r="BS80" s="97">
        <v>4860.5275699117456</v>
      </c>
      <c r="BT80" s="97">
        <v>9.3226233918438037</v>
      </c>
      <c r="BU80" s="97">
        <v>7506.5763551126302</v>
      </c>
      <c r="BV80" s="97">
        <v>0.54054054054054057</v>
      </c>
      <c r="BW80" s="97">
        <v>435.24324324324323</v>
      </c>
      <c r="BX80" s="97">
        <v>7</v>
      </c>
      <c r="BY80" s="97">
        <v>5636.4</v>
      </c>
      <c r="BZ80" s="97">
        <v>4.3106773096848334</v>
      </c>
      <c r="CA80" s="97">
        <v>3470.9573697582277</v>
      </c>
      <c r="CB80" s="97">
        <v>4.6052010581187286</v>
      </c>
      <c r="CC80" s="97">
        <v>3708.1078919972001</v>
      </c>
      <c r="CD80" s="97">
        <v>5.5369127516778525</v>
      </c>
      <c r="CE80" s="97">
        <v>4458.3221476510062</v>
      </c>
      <c r="CF80" s="97">
        <v>4.5198256018072023</v>
      </c>
      <c r="CG80" s="97">
        <v>3639.363574575159</v>
      </c>
      <c r="CH80" s="97">
        <v>0.23601398601398604</v>
      </c>
      <c r="CI80" s="97">
        <v>190.03846153846155</v>
      </c>
      <c r="CJ80" s="97">
        <v>4.8139534883720927</v>
      </c>
      <c r="CK80" s="97">
        <v>3876.1953488372087</v>
      </c>
      <c r="CL80" s="97">
        <v>3.7810603307035309</v>
      </c>
      <c r="CM80" s="97">
        <v>3044.5097782824828</v>
      </c>
      <c r="CN80" s="97">
        <v>5.1793721973094167</v>
      </c>
      <c r="CO80" s="97">
        <v>4170.4304932735422</v>
      </c>
      <c r="CP80" s="97">
        <v>3.2573730190476866E-2</v>
      </c>
      <c r="CQ80" s="97">
        <v>26.228367549371971</v>
      </c>
      <c r="CR80" s="97">
        <v>5</v>
      </c>
      <c r="CS80" s="97">
        <v>4025.9999999999995</v>
      </c>
      <c r="CT80" s="97">
        <v>5</v>
      </c>
      <c r="CU80" s="97">
        <v>4025.9999999999995</v>
      </c>
    </row>
    <row r="81" spans="2:99" x14ac:dyDescent="0.15">
      <c r="C81" s="96" t="s">
        <v>246</v>
      </c>
      <c r="D81" s="97">
        <v>0</v>
      </c>
      <c r="E81" s="97">
        <v>0</v>
      </c>
      <c r="F81" s="97">
        <v>0</v>
      </c>
      <c r="G81" s="97">
        <v>0</v>
      </c>
      <c r="H81" s="97">
        <v>5.0196021886328683</v>
      </c>
      <c r="I81" s="97">
        <v>3782.7722093537295</v>
      </c>
      <c r="J81" s="97">
        <v>5.3600820167359178</v>
      </c>
      <c r="K81" s="97">
        <v>4039.3578078121877</v>
      </c>
      <c r="L81" s="97">
        <v>5.0499724630612324</v>
      </c>
      <c r="M81" s="97">
        <v>3805.659248162945</v>
      </c>
      <c r="N81" s="97">
        <v>0</v>
      </c>
      <c r="O81" s="97">
        <v>0</v>
      </c>
      <c r="P81" s="97">
        <v>8.0863211792142629</v>
      </c>
      <c r="Q81" s="97">
        <v>6093.8516406558683</v>
      </c>
      <c r="R81" s="97">
        <v>4.0889569755776716</v>
      </c>
      <c r="S81" s="97">
        <v>3081.4379767953333</v>
      </c>
      <c r="T81" s="97">
        <v>5.0683621261266083</v>
      </c>
      <c r="U81" s="97">
        <v>3819.517698249012</v>
      </c>
      <c r="V81" s="97">
        <v>0</v>
      </c>
      <c r="W81" s="97">
        <v>0</v>
      </c>
      <c r="X81" s="97">
        <v>11.864456535436982</v>
      </c>
      <c r="Y81" s="97">
        <v>8941.0544451053102</v>
      </c>
      <c r="Z81" s="97">
        <v>1.0037095737635317E-15</v>
      </c>
      <c r="AA81" s="97">
        <v>7.5639553478819755E-13</v>
      </c>
      <c r="AB81" s="97">
        <v>9.4470397580811216</v>
      </c>
      <c r="AC81" s="97">
        <v>7119.2891616899333</v>
      </c>
      <c r="AD81" s="97">
        <v>4.8779832138966901</v>
      </c>
      <c r="AE81" s="97">
        <v>3676.0481499925459</v>
      </c>
      <c r="AF81" s="97">
        <v>5.0216726076320635</v>
      </c>
      <c r="AG81" s="97">
        <v>3784.3324771115231</v>
      </c>
      <c r="AH81" s="97">
        <v>5.1193626015598586</v>
      </c>
      <c r="AI81" s="97">
        <v>3857.9516565355093</v>
      </c>
      <c r="AJ81" s="97">
        <v>3.6699432917326438</v>
      </c>
      <c r="AK81" s="97">
        <v>2765.6692646497204</v>
      </c>
      <c r="AL81" s="97">
        <v>3.95743304952458</v>
      </c>
      <c r="AM81" s="97">
        <v>2982.3215461217237</v>
      </c>
      <c r="AN81" s="97">
        <v>4.60962063644787</v>
      </c>
      <c r="AO81" s="97">
        <v>3473.810111627115</v>
      </c>
      <c r="AP81" s="97">
        <v>0.36206896551724138</v>
      </c>
      <c r="AQ81" s="97">
        <v>272.85517241379313</v>
      </c>
      <c r="AR81" s="97">
        <v>9.9277153421839479</v>
      </c>
      <c r="AS81" s="97">
        <v>7481.5262818698229</v>
      </c>
      <c r="AT81" s="97">
        <v>5.7740908883771569</v>
      </c>
      <c r="AU81" s="97">
        <v>4351.354893481026</v>
      </c>
      <c r="AV81" s="97">
        <v>4.9783549783549788</v>
      </c>
      <c r="AW81" s="97">
        <v>3751.6883116883123</v>
      </c>
      <c r="AX81" s="97">
        <v>5.9946148610664585</v>
      </c>
      <c r="AY81" s="97">
        <v>4517.5417592996837</v>
      </c>
      <c r="AZ81" s="97">
        <v>4.5908357533301523</v>
      </c>
      <c r="BA81" s="97">
        <v>3459.6538237096029</v>
      </c>
      <c r="BB81" s="97">
        <v>0.48885077186963977</v>
      </c>
      <c r="BC81" s="97">
        <v>368.39794168096051</v>
      </c>
      <c r="BD81" s="97">
        <v>9.0041083543891816</v>
      </c>
      <c r="BE81" s="97">
        <v>6785.4960558676876</v>
      </c>
      <c r="BF81" s="97">
        <v>5.5679154890079277</v>
      </c>
      <c r="BG81" s="97">
        <v>4195.9811125163742</v>
      </c>
      <c r="BH81" s="97">
        <v>6.7573672038517083</v>
      </c>
      <c r="BI81" s="97">
        <v>5092.3519248226476</v>
      </c>
      <c r="BJ81" s="97">
        <v>5.0230122766603982</v>
      </c>
      <c r="BK81" s="97">
        <v>3785.3420516912761</v>
      </c>
      <c r="BL81" s="97">
        <v>5.1995427768881122</v>
      </c>
      <c r="BM81" s="97">
        <v>3918.3754366628814</v>
      </c>
      <c r="BN81" s="97">
        <v>0.39267015706806285</v>
      </c>
      <c r="BO81" s="97">
        <v>295.91623036649219</v>
      </c>
      <c r="BP81" s="97">
        <v>5.8520363841995096</v>
      </c>
      <c r="BQ81" s="97">
        <v>4410.0946191327503</v>
      </c>
      <c r="BR81" s="97">
        <v>5.1740766126375828</v>
      </c>
      <c r="BS81" s="97">
        <v>3899.1841352836823</v>
      </c>
      <c r="BT81" s="97">
        <v>10.876393957151103</v>
      </c>
      <c r="BU81" s="97">
        <v>8196.4504861090718</v>
      </c>
      <c r="BV81" s="97">
        <v>0.54054054054054057</v>
      </c>
      <c r="BW81" s="97">
        <v>407.35135135135141</v>
      </c>
      <c r="BX81" s="97">
        <v>7</v>
      </c>
      <c r="BY81" s="97">
        <v>5275.2</v>
      </c>
      <c r="BZ81" s="97">
        <v>4.3106773096848334</v>
      </c>
      <c r="CA81" s="97">
        <v>3248.5264205784906</v>
      </c>
      <c r="CB81" s="97">
        <v>4.6052010581187286</v>
      </c>
      <c r="CC81" s="97">
        <v>3470.4795173982739</v>
      </c>
      <c r="CD81" s="97">
        <v>6.6442953020134228</v>
      </c>
      <c r="CE81" s="97">
        <v>5007.140939597316</v>
      </c>
      <c r="CF81" s="97">
        <v>5.1655149734939458</v>
      </c>
      <c r="CG81" s="97">
        <v>3892.7320840250377</v>
      </c>
      <c r="CH81" s="97">
        <v>0.26223776223776224</v>
      </c>
      <c r="CI81" s="97">
        <v>197.62237762237763</v>
      </c>
      <c r="CJ81" s="97">
        <v>4.8139534883720927</v>
      </c>
      <c r="CK81" s="97">
        <v>3627.7953488372091</v>
      </c>
      <c r="CL81" s="97">
        <v>3.7810603307035309</v>
      </c>
      <c r="CM81" s="97">
        <v>2849.4070652181808</v>
      </c>
      <c r="CN81" s="97">
        <v>5.9192825112107625</v>
      </c>
      <c r="CO81" s="97">
        <v>4460.7713004484303</v>
      </c>
      <c r="CP81" s="97">
        <v>3.2573730190476866E-2</v>
      </c>
      <c r="CQ81" s="97">
        <v>24.547563071543365</v>
      </c>
      <c r="CR81" s="97">
        <v>5</v>
      </c>
      <c r="CS81" s="97">
        <v>3768</v>
      </c>
      <c r="CT81" s="97">
        <v>5</v>
      </c>
      <c r="CU81" s="97">
        <v>3768</v>
      </c>
    </row>
    <row r="82" spans="2:99" x14ac:dyDescent="0.15">
      <c r="C82" s="96" t="s">
        <v>247</v>
      </c>
      <c r="D82" s="97">
        <v>0</v>
      </c>
      <c r="E82" s="97">
        <v>0</v>
      </c>
      <c r="F82" s="97">
        <v>0</v>
      </c>
      <c r="G82" s="97">
        <v>0</v>
      </c>
      <c r="H82" s="97">
        <v>5.426596960684182</v>
      </c>
      <c r="I82" s="97">
        <v>2761.0525335961111</v>
      </c>
      <c r="J82" s="97">
        <v>6.2128223375802678</v>
      </c>
      <c r="K82" s="97">
        <v>3161.0840053608395</v>
      </c>
      <c r="L82" s="97">
        <v>5.7086645234605244</v>
      </c>
      <c r="M82" s="97">
        <v>2904.5685095367144</v>
      </c>
      <c r="N82" s="97">
        <v>0</v>
      </c>
      <c r="O82" s="97">
        <v>0</v>
      </c>
      <c r="P82" s="97">
        <v>9.6413829444477752</v>
      </c>
      <c r="Q82" s="97">
        <v>4905.535642135027</v>
      </c>
      <c r="R82" s="97">
        <v>5.1329459906187784</v>
      </c>
      <c r="S82" s="97">
        <v>2611.642920026834</v>
      </c>
      <c r="T82" s="97">
        <v>5.3448182420971504</v>
      </c>
      <c r="U82" s="97">
        <v>2719.4435215790295</v>
      </c>
      <c r="V82" s="97">
        <v>0</v>
      </c>
      <c r="W82" s="97">
        <v>0</v>
      </c>
      <c r="X82" s="97">
        <v>12.062197477694266</v>
      </c>
      <c r="Y82" s="97">
        <v>6137.2460766508411</v>
      </c>
      <c r="Z82" s="97">
        <v>9.0333861638717863E-16</v>
      </c>
      <c r="AA82" s="97">
        <v>4.5961868801779635E-13</v>
      </c>
      <c r="AB82" s="97">
        <v>9.9576905558152351</v>
      </c>
      <c r="AC82" s="97">
        <v>5066.4729547987909</v>
      </c>
      <c r="AD82" s="97">
        <v>5.7926050665023192</v>
      </c>
      <c r="AE82" s="97">
        <v>2947.2774578363792</v>
      </c>
      <c r="AF82" s="97">
        <v>5.7601538734603075</v>
      </c>
      <c r="AG82" s="97">
        <v>2930.7662908166039</v>
      </c>
      <c r="AH82" s="97">
        <v>6.0227795312468926</v>
      </c>
      <c r="AI82" s="97">
        <v>3064.3902254984182</v>
      </c>
      <c r="AJ82" s="97">
        <v>3.6699432917326438</v>
      </c>
      <c r="AK82" s="97">
        <v>1867.2671468335689</v>
      </c>
      <c r="AL82" s="97">
        <v>4.1657189994995578</v>
      </c>
      <c r="AM82" s="97">
        <v>2119.5178269453745</v>
      </c>
      <c r="AN82" s="97">
        <v>4.9510740169254905</v>
      </c>
      <c r="AO82" s="97">
        <v>2519.1064598116891</v>
      </c>
      <c r="AP82" s="97">
        <v>0.43103448275862066</v>
      </c>
      <c r="AQ82" s="97">
        <v>219.31034482758614</v>
      </c>
      <c r="AR82" s="97">
        <v>9.9277153421839479</v>
      </c>
      <c r="AS82" s="97">
        <v>5051.2215661031914</v>
      </c>
      <c r="AT82" s="97">
        <v>5.1966817995394416</v>
      </c>
      <c r="AU82" s="97">
        <v>2644.0716996056672</v>
      </c>
      <c r="AV82" s="97">
        <v>4.5454545454545459</v>
      </c>
      <c r="AW82" s="97">
        <v>2312.7272727272725</v>
      </c>
      <c r="AX82" s="97">
        <v>5.1382413094855366</v>
      </c>
      <c r="AY82" s="97">
        <v>2614.3371782662407</v>
      </c>
      <c r="AZ82" s="97">
        <v>4.5908357533301523</v>
      </c>
      <c r="BA82" s="97">
        <v>2335.8172312943811</v>
      </c>
      <c r="BB82" s="97">
        <v>0.48885077186963977</v>
      </c>
      <c r="BC82" s="97">
        <v>248.72727272727266</v>
      </c>
      <c r="BD82" s="97">
        <v>10.063415219611437</v>
      </c>
      <c r="BE82" s="97">
        <v>5120.2656637382979</v>
      </c>
      <c r="BF82" s="97">
        <v>5.5679154890079277</v>
      </c>
      <c r="BG82" s="97">
        <v>2832.9554008072332</v>
      </c>
      <c r="BH82" s="97">
        <v>6.3598750153898438</v>
      </c>
      <c r="BI82" s="97">
        <v>3235.9044078303518</v>
      </c>
      <c r="BJ82" s="97">
        <v>5.6508888112429476</v>
      </c>
      <c r="BK82" s="97">
        <v>2875.1722271604112</v>
      </c>
      <c r="BL82" s="97">
        <v>4.5062704066363635</v>
      </c>
      <c r="BM82" s="97">
        <v>2292.7903828965814</v>
      </c>
      <c r="BN82" s="97">
        <v>0.43193717277486909</v>
      </c>
      <c r="BO82" s="97">
        <v>219.76963350785334</v>
      </c>
      <c r="BP82" s="97">
        <v>5.8520363841995096</v>
      </c>
      <c r="BQ82" s="97">
        <v>2977.5161122807099</v>
      </c>
      <c r="BR82" s="97">
        <v>5.1740766126375828</v>
      </c>
      <c r="BS82" s="97">
        <v>2632.5701805100016</v>
      </c>
      <c r="BT82" s="97">
        <v>10.099508674497454</v>
      </c>
      <c r="BU82" s="97">
        <v>5138.630013584303</v>
      </c>
      <c r="BV82" s="97">
        <v>0.54054054054054057</v>
      </c>
      <c r="BW82" s="97">
        <v>275.02702702702697</v>
      </c>
      <c r="BX82" s="97">
        <v>7</v>
      </c>
      <c r="BY82" s="97">
        <v>3561.5999999999995</v>
      </c>
      <c r="BZ82" s="97">
        <v>4.3106773096848334</v>
      </c>
      <c r="CA82" s="97">
        <v>2193.2726151676429</v>
      </c>
      <c r="CB82" s="97">
        <v>4.6052010581187286</v>
      </c>
      <c r="CC82" s="97">
        <v>2343.1262983708089</v>
      </c>
      <c r="CD82" s="97">
        <v>6.6442953020134228</v>
      </c>
      <c r="CE82" s="97">
        <v>3380.6174496644289</v>
      </c>
      <c r="CF82" s="97">
        <v>5.1655149734939458</v>
      </c>
      <c r="CG82" s="97">
        <v>2628.2140185137191</v>
      </c>
      <c r="CH82" s="97">
        <v>0.26223776223776224</v>
      </c>
      <c r="CI82" s="97">
        <v>133.42657342657341</v>
      </c>
      <c r="CJ82" s="97">
        <v>5.6162790697674421</v>
      </c>
      <c r="CK82" s="97">
        <v>2857.5627906976738</v>
      </c>
      <c r="CL82" s="97">
        <v>4.5372723968442372</v>
      </c>
      <c r="CM82" s="97">
        <v>2308.5641955143474</v>
      </c>
      <c r="CN82" s="97">
        <v>5.1793721973094167</v>
      </c>
      <c r="CO82" s="97">
        <v>2635.2645739910308</v>
      </c>
      <c r="CP82" s="97">
        <v>2.6058984152381493E-2</v>
      </c>
      <c r="CQ82" s="97">
        <v>13.258811136731701</v>
      </c>
      <c r="CR82" s="97">
        <v>5</v>
      </c>
      <c r="CS82" s="97">
        <v>2543.9999999999995</v>
      </c>
      <c r="CT82" s="97">
        <v>6</v>
      </c>
      <c r="CU82" s="97">
        <v>3052.7999999999993</v>
      </c>
    </row>
    <row r="83" spans="2:99" x14ac:dyDescent="0.15">
      <c r="C83" s="96" t="s">
        <v>248</v>
      </c>
      <c r="D83" s="97">
        <v>0</v>
      </c>
      <c r="E83" s="97">
        <v>0</v>
      </c>
      <c r="F83" s="97">
        <v>0</v>
      </c>
      <c r="G83" s="97">
        <v>0</v>
      </c>
      <c r="H83" s="97">
        <v>5.2457103953280422</v>
      </c>
      <c r="I83" s="97">
        <v>4513.4092241402477</v>
      </c>
      <c r="J83" s="97">
        <v>5.5225087445157941</v>
      </c>
      <c r="K83" s="97">
        <v>4751.5665237813892</v>
      </c>
      <c r="L83" s="97">
        <v>5.2695364831943285</v>
      </c>
      <c r="M83" s="97">
        <v>4533.9091901403999</v>
      </c>
      <c r="N83" s="97">
        <v>0</v>
      </c>
      <c r="O83" s="97">
        <v>0</v>
      </c>
      <c r="P83" s="97">
        <v>8.3973335322609639</v>
      </c>
      <c r="Q83" s="97">
        <v>7225.0657711573331</v>
      </c>
      <c r="R83" s="97">
        <v>4.697950567684984</v>
      </c>
      <c r="S83" s="97">
        <v>4042.1166684361601</v>
      </c>
      <c r="T83" s="97">
        <v>5.3448182420971504</v>
      </c>
      <c r="U83" s="97">
        <v>4598.681615500388</v>
      </c>
      <c r="V83" s="97">
        <v>0</v>
      </c>
      <c r="W83" s="97">
        <v>0</v>
      </c>
      <c r="X83" s="97">
        <v>11.864456535436982</v>
      </c>
      <c r="Y83" s="97">
        <v>10208.17840308998</v>
      </c>
      <c r="Z83" s="97">
        <v>9.3679560217929625E-16</v>
      </c>
      <c r="AA83" s="97">
        <v>8.0601893611506643E-13</v>
      </c>
      <c r="AB83" s="97">
        <v>10.46834135354935</v>
      </c>
      <c r="AC83" s="97">
        <v>9006.9609005938601</v>
      </c>
      <c r="AD83" s="97">
        <v>5.4877311156337756</v>
      </c>
      <c r="AE83" s="97">
        <v>4721.6438518913001</v>
      </c>
      <c r="AF83" s="97">
        <v>5.1693688607977126</v>
      </c>
      <c r="AG83" s="97">
        <v>4447.7249678303515</v>
      </c>
      <c r="AH83" s="97">
        <v>4.9687931132786867</v>
      </c>
      <c r="AI83" s="97">
        <v>4275.149594664982</v>
      </c>
      <c r="AJ83" s="97">
        <v>3.6699432917326438</v>
      </c>
      <c r="AK83" s="97">
        <v>3157.6192082067664</v>
      </c>
      <c r="AL83" s="97">
        <v>4.3740049494745366</v>
      </c>
      <c r="AM83" s="97">
        <v>3763.3938585278911</v>
      </c>
      <c r="AN83" s="97">
        <v>4.2681672559702504</v>
      </c>
      <c r="AO83" s="97">
        <v>3672.3311070368031</v>
      </c>
      <c r="AP83" s="97">
        <v>0.39655172413793105</v>
      </c>
      <c r="AQ83" s="97">
        <v>341.19310344827585</v>
      </c>
      <c r="AR83" s="97">
        <v>8.4385580408563552</v>
      </c>
      <c r="AS83" s="97">
        <v>7260.5353383528081</v>
      </c>
      <c r="AT83" s="97">
        <v>5.1966817995394416</v>
      </c>
      <c r="AU83" s="97">
        <v>4471.2250203237354</v>
      </c>
      <c r="AV83" s="97">
        <v>4.9783549783549788</v>
      </c>
      <c r="AW83" s="97">
        <v>4283.3766233766237</v>
      </c>
      <c r="AX83" s="97">
        <v>5.7091570105394851</v>
      </c>
      <c r="AY83" s="97">
        <v>4912.1586918681733</v>
      </c>
      <c r="AZ83" s="97">
        <v>4.2847800364414752</v>
      </c>
      <c r="BA83" s="97">
        <v>3686.6247433542453</v>
      </c>
      <c r="BB83" s="97">
        <v>0.51457975986277871</v>
      </c>
      <c r="BC83" s="97">
        <v>442.74442538593479</v>
      </c>
      <c r="BD83" s="97">
        <v>10.063415219611437</v>
      </c>
      <c r="BE83" s="97">
        <v>8658.5624549536806</v>
      </c>
      <c r="BF83" s="97">
        <v>5.2403910484780489</v>
      </c>
      <c r="BG83" s="97">
        <v>4508.8324581105135</v>
      </c>
      <c r="BH83" s="97">
        <v>6.3598750153898438</v>
      </c>
      <c r="BI83" s="97">
        <v>5472.0364632414212</v>
      </c>
      <c r="BJ83" s="97">
        <v>4.7090740093691235</v>
      </c>
      <c r="BK83" s="97">
        <v>4051.6872776611935</v>
      </c>
      <c r="BL83" s="97">
        <v>4.8529065917622383</v>
      </c>
      <c r="BM83" s="97">
        <v>4175.4408315522296</v>
      </c>
      <c r="BN83" s="97">
        <v>0.43193717277486909</v>
      </c>
      <c r="BO83" s="97">
        <v>371.63874345549738</v>
      </c>
      <c r="BP83" s="97">
        <v>5.2668327457795581</v>
      </c>
      <c r="BQ83" s="97">
        <v>4531.5828944687319</v>
      </c>
      <c r="BR83" s="97">
        <v>5.6052496636907145</v>
      </c>
      <c r="BS83" s="97">
        <v>4822.7568106394911</v>
      </c>
      <c r="BT83" s="97">
        <v>10.876393957151103</v>
      </c>
      <c r="BU83" s="97">
        <v>9358.0493607328099</v>
      </c>
      <c r="BV83" s="97">
        <v>0.5855855855855856</v>
      </c>
      <c r="BW83" s="97">
        <v>503.83783783783781</v>
      </c>
      <c r="BX83" s="97">
        <v>6</v>
      </c>
      <c r="BY83" s="97">
        <v>5162.3999999999996</v>
      </c>
      <c r="BZ83" s="97">
        <v>3.9514542005444304</v>
      </c>
      <c r="CA83" s="97">
        <v>3399.831194148428</v>
      </c>
      <c r="CB83" s="97">
        <v>4.0295509258538873</v>
      </c>
      <c r="CC83" s="97">
        <v>3467.0256166046847</v>
      </c>
      <c r="CD83" s="97">
        <v>6.0906040268456376</v>
      </c>
      <c r="CE83" s="97">
        <v>5240.3557046979868</v>
      </c>
      <c r="CF83" s="97">
        <v>4.5198256018072023</v>
      </c>
      <c r="CG83" s="97">
        <v>3888.8579477949165</v>
      </c>
      <c r="CH83" s="97">
        <v>0.23601398601398604</v>
      </c>
      <c r="CI83" s="97">
        <v>203.06643356643357</v>
      </c>
      <c r="CJ83" s="97">
        <v>4.0116279069767442</v>
      </c>
      <c r="CK83" s="97">
        <v>3451.6046511627906</v>
      </c>
      <c r="CL83" s="97">
        <v>3.7810603307035309</v>
      </c>
      <c r="CM83" s="97">
        <v>3253.2243085373179</v>
      </c>
      <c r="CN83" s="97">
        <v>5.1793721973094167</v>
      </c>
      <c r="CO83" s="97">
        <v>4456.3318385650218</v>
      </c>
      <c r="CP83" s="97">
        <v>3.2573730190476866E-2</v>
      </c>
      <c r="CQ83" s="97">
        <v>28.026437455886295</v>
      </c>
      <c r="CR83" s="97">
        <v>5</v>
      </c>
      <c r="CS83" s="97">
        <v>4302</v>
      </c>
      <c r="CT83" s="97">
        <v>5</v>
      </c>
      <c r="CU83" s="97">
        <v>4302</v>
      </c>
    </row>
    <row r="84" spans="2:99" x14ac:dyDescent="0.15">
      <c r="C84" s="96" t="s">
        <v>249</v>
      </c>
      <c r="D84" s="97">
        <v>0</v>
      </c>
      <c r="E84" s="97">
        <v>0</v>
      </c>
      <c r="F84" s="97">
        <v>0</v>
      </c>
      <c r="G84" s="97">
        <v>0</v>
      </c>
      <c r="H84" s="97">
        <v>4.8387156232767286</v>
      </c>
      <c r="I84" s="97">
        <v>3780.00464490378</v>
      </c>
      <c r="J84" s="97">
        <v>5.1164419250661028</v>
      </c>
      <c r="K84" s="97">
        <v>3996.9644318616392</v>
      </c>
      <c r="L84" s="97">
        <v>5.4891005033274265</v>
      </c>
      <c r="M84" s="97">
        <v>4288.0853131993854</v>
      </c>
      <c r="N84" s="97">
        <v>0</v>
      </c>
      <c r="O84" s="97">
        <v>0</v>
      </c>
      <c r="P84" s="97">
        <v>9.3303705914010724</v>
      </c>
      <c r="Q84" s="97">
        <v>7288.8855060025171</v>
      </c>
      <c r="R84" s="97">
        <v>4.523952398511466</v>
      </c>
      <c r="S84" s="97">
        <v>3534.1116137171571</v>
      </c>
      <c r="T84" s="97">
        <v>4.8840580488129133</v>
      </c>
      <c r="U84" s="97">
        <v>3815.4261477326477</v>
      </c>
      <c r="V84" s="97">
        <v>0</v>
      </c>
      <c r="W84" s="97">
        <v>0</v>
      </c>
      <c r="X84" s="97">
        <v>13.050902188980681</v>
      </c>
      <c r="Y84" s="97">
        <v>10195.364790031706</v>
      </c>
      <c r="Z84" s="97">
        <v>8.8661012349111972E-16</v>
      </c>
      <c r="AA84" s="97">
        <v>6.9261982847126266E-13</v>
      </c>
      <c r="AB84" s="97">
        <v>10.213015954682293</v>
      </c>
      <c r="AC84" s="97">
        <v>7978.4080637978068</v>
      </c>
      <c r="AD84" s="97">
        <v>5.1828571647652328</v>
      </c>
      <c r="AE84" s="97">
        <v>4048.8480171145993</v>
      </c>
      <c r="AF84" s="97">
        <v>5.6124576202946601</v>
      </c>
      <c r="AG84" s="97">
        <v>4384.451892974188</v>
      </c>
      <c r="AH84" s="97">
        <v>5.2699320898410313</v>
      </c>
      <c r="AI84" s="97">
        <v>4116.8709485838135</v>
      </c>
      <c r="AJ84" s="97">
        <v>3.899314747465934</v>
      </c>
      <c r="AK84" s="97">
        <v>3046.1446807203874</v>
      </c>
      <c r="AL84" s="97">
        <v>4.5822908994495135</v>
      </c>
      <c r="AM84" s="97">
        <v>3579.6856506499598</v>
      </c>
      <c r="AN84" s="97">
        <v>4.7803473266866803</v>
      </c>
      <c r="AO84" s="97">
        <v>3734.4073316076342</v>
      </c>
      <c r="AP84" s="97">
        <v>0.41379310344827586</v>
      </c>
      <c r="AQ84" s="97">
        <v>323.25517241379305</v>
      </c>
      <c r="AR84" s="97">
        <v>8.4385580408563552</v>
      </c>
      <c r="AS84" s="97">
        <v>6592.2015415169844</v>
      </c>
      <c r="AT84" s="97">
        <v>4.9079772551205831</v>
      </c>
      <c r="AU84" s="97">
        <v>3834.1118317001992</v>
      </c>
      <c r="AV84" s="97">
        <v>4.7619047619047619</v>
      </c>
      <c r="AW84" s="97">
        <v>3719.9999999999995</v>
      </c>
      <c r="AX84" s="97">
        <v>5.1382413094855366</v>
      </c>
      <c r="AY84" s="97">
        <v>4013.9941109701008</v>
      </c>
      <c r="AZ84" s="97">
        <v>4.8968914702188293</v>
      </c>
      <c r="BA84" s="97">
        <v>3825.4516165349492</v>
      </c>
      <c r="BB84" s="97">
        <v>0.43739279588336194</v>
      </c>
      <c r="BC84" s="97">
        <v>341.69125214408234</v>
      </c>
      <c r="BD84" s="97">
        <v>10.063415219611437</v>
      </c>
      <c r="BE84" s="97">
        <v>7861.5399695604547</v>
      </c>
      <c r="BF84" s="97">
        <v>4.9128666079481711</v>
      </c>
      <c r="BG84" s="97">
        <v>3837.9313941291111</v>
      </c>
      <c r="BH84" s="97">
        <v>6.7573672038517083</v>
      </c>
      <c r="BI84" s="97">
        <v>5278.8552596489544</v>
      </c>
      <c r="BJ84" s="97">
        <v>5.3369505439516729</v>
      </c>
      <c r="BK84" s="97">
        <v>4169.2257649350468</v>
      </c>
      <c r="BL84" s="97">
        <v>4.5062704066363635</v>
      </c>
      <c r="BM84" s="97">
        <v>3520.2984416643267</v>
      </c>
      <c r="BN84" s="97">
        <v>0.39267015706806285</v>
      </c>
      <c r="BO84" s="97">
        <v>306.75392670157066</v>
      </c>
      <c r="BP84" s="97">
        <v>5.8520363841995096</v>
      </c>
      <c r="BQ84" s="97">
        <v>4571.6108233366567</v>
      </c>
      <c r="BR84" s="97">
        <v>6.0364227147438472</v>
      </c>
      <c r="BS84" s="97">
        <v>4715.6534247578929</v>
      </c>
      <c r="BT84" s="97">
        <v>10.876393957151103</v>
      </c>
      <c r="BU84" s="97">
        <v>8496.6389593264412</v>
      </c>
      <c r="BV84" s="97">
        <v>0.54054054054054057</v>
      </c>
      <c r="BW84" s="97">
        <v>422.27027027027026</v>
      </c>
      <c r="BX84" s="97">
        <v>7</v>
      </c>
      <c r="BY84" s="97">
        <v>5468.4</v>
      </c>
      <c r="BZ84" s="97">
        <v>3.9514542005444304</v>
      </c>
      <c r="CA84" s="97">
        <v>3086.8760214653089</v>
      </c>
      <c r="CB84" s="97">
        <v>4.6052010581187286</v>
      </c>
      <c r="CC84" s="97">
        <v>3597.5830666023503</v>
      </c>
      <c r="CD84" s="97">
        <v>5.5369127516778525</v>
      </c>
      <c r="CE84" s="97">
        <v>4325.4362416107379</v>
      </c>
      <c r="CF84" s="97">
        <v>5.1655149734939458</v>
      </c>
      <c r="CG84" s="97">
        <v>4035.3002972934701</v>
      </c>
      <c r="CH84" s="97">
        <v>0.23601398601398604</v>
      </c>
      <c r="CI84" s="97">
        <v>184.37412587412589</v>
      </c>
      <c r="CJ84" s="97">
        <v>4.8139534883720927</v>
      </c>
      <c r="CK84" s="97">
        <v>3760.6604651162784</v>
      </c>
      <c r="CL84" s="97">
        <v>3.7810603307035309</v>
      </c>
      <c r="CM84" s="97">
        <v>2953.764330345598</v>
      </c>
      <c r="CN84" s="97">
        <v>5.1793721973094167</v>
      </c>
      <c r="CO84" s="97">
        <v>4046.1255605381161</v>
      </c>
      <c r="CP84" s="97">
        <v>3.2573730190476866E-2</v>
      </c>
      <c r="CQ84" s="97">
        <v>25.446598024800526</v>
      </c>
      <c r="CR84" s="97">
        <v>5</v>
      </c>
      <c r="CS84" s="97">
        <v>3905.9999999999995</v>
      </c>
      <c r="CT84" s="97">
        <v>5</v>
      </c>
      <c r="CU84" s="97">
        <v>3905.9999999999995</v>
      </c>
    </row>
    <row r="85" spans="2:99" x14ac:dyDescent="0.15">
      <c r="C85" s="96" t="s">
        <v>250</v>
      </c>
      <c r="D85" s="97">
        <v>0</v>
      </c>
      <c r="E85" s="97">
        <v>0</v>
      </c>
      <c r="F85" s="97">
        <v>0</v>
      </c>
      <c r="G85" s="97">
        <v>0</v>
      </c>
      <c r="H85" s="97">
        <v>5.6527051673793558</v>
      </c>
      <c r="I85" s="97">
        <v>847.90577510690332</v>
      </c>
      <c r="J85" s="97">
        <v>5.6849354722956695</v>
      </c>
      <c r="K85" s="97">
        <v>852.74032084435044</v>
      </c>
      <c r="L85" s="97">
        <v>5.6354765167494918</v>
      </c>
      <c r="M85" s="97">
        <v>845.32147751242383</v>
      </c>
      <c r="N85" s="97">
        <v>0</v>
      </c>
      <c r="O85" s="97">
        <v>0</v>
      </c>
      <c r="P85" s="97">
        <v>10.729926180111233</v>
      </c>
      <c r="Q85" s="97">
        <v>1609.488927016685</v>
      </c>
      <c r="R85" s="97">
        <v>5.4809423289658143</v>
      </c>
      <c r="S85" s="97">
        <v>822.1413493448722</v>
      </c>
      <c r="T85" s="97">
        <v>5.6212743580676925</v>
      </c>
      <c r="U85" s="97">
        <v>843.19115371015391</v>
      </c>
      <c r="V85" s="97">
        <v>0</v>
      </c>
      <c r="W85" s="97">
        <v>0</v>
      </c>
      <c r="X85" s="97">
        <v>12.853161246723397</v>
      </c>
      <c r="Y85" s="97">
        <v>1927.9741870085095</v>
      </c>
      <c r="Z85" s="97">
        <v>9.5352409507535516E-16</v>
      </c>
      <c r="AA85" s="97">
        <v>1.4302861426130328E-13</v>
      </c>
      <c r="AB85" s="97">
        <v>10.723666752416408</v>
      </c>
      <c r="AC85" s="97">
        <v>1608.5500128624612</v>
      </c>
      <c r="AD85" s="97">
        <v>5.4877311156337756</v>
      </c>
      <c r="AE85" s="97">
        <v>823.15966734506628</v>
      </c>
      <c r="AF85" s="97">
        <v>5.4647613671290109</v>
      </c>
      <c r="AG85" s="97">
        <v>819.71420506935169</v>
      </c>
      <c r="AH85" s="97">
        <v>6.3239185078092381</v>
      </c>
      <c r="AI85" s="97">
        <v>948.58777617138571</v>
      </c>
      <c r="AJ85" s="97">
        <v>3.899314747465934</v>
      </c>
      <c r="AK85" s="97">
        <v>584.89721211989013</v>
      </c>
      <c r="AL85" s="97">
        <v>4.7905768494244922</v>
      </c>
      <c r="AM85" s="97">
        <v>718.58652741367382</v>
      </c>
      <c r="AN85" s="97">
        <v>4.60962063644787</v>
      </c>
      <c r="AO85" s="97">
        <v>691.44309546718046</v>
      </c>
      <c r="AP85" s="97">
        <v>0.44827586206896552</v>
      </c>
      <c r="AQ85" s="97">
        <v>67.241379310344826</v>
      </c>
      <c r="AR85" s="97">
        <v>8.9349438079655528</v>
      </c>
      <c r="AS85" s="97">
        <v>1340.2415711948329</v>
      </c>
      <c r="AT85" s="97">
        <v>5.4853863439582984</v>
      </c>
      <c r="AU85" s="97">
        <v>822.80795159374475</v>
      </c>
      <c r="AV85" s="97">
        <v>5.1948051948051948</v>
      </c>
      <c r="AW85" s="97">
        <v>779.22077922077926</v>
      </c>
      <c r="AX85" s="97">
        <v>5.9946148610664585</v>
      </c>
      <c r="AY85" s="97">
        <v>899.19222915996875</v>
      </c>
      <c r="AZ85" s="97">
        <v>4.5908357533301523</v>
      </c>
      <c r="BA85" s="97">
        <v>688.62536299952285</v>
      </c>
      <c r="BB85" s="97">
        <v>0.54030874785591776</v>
      </c>
      <c r="BC85" s="97">
        <v>81.046312178387666</v>
      </c>
      <c r="BD85" s="97">
        <v>10.593068652222566</v>
      </c>
      <c r="BE85" s="97">
        <v>1588.9602978333849</v>
      </c>
      <c r="BF85" s="97">
        <v>4.9128666079481711</v>
      </c>
      <c r="BG85" s="97">
        <v>736.92999119222566</v>
      </c>
      <c r="BH85" s="97">
        <v>6.7573672038517083</v>
      </c>
      <c r="BI85" s="97">
        <v>1013.6050805777562</v>
      </c>
      <c r="BJ85" s="97">
        <v>5.3369505439516729</v>
      </c>
      <c r="BK85" s="97">
        <v>800.54258159275093</v>
      </c>
      <c r="BL85" s="97">
        <v>5.1995427768881122</v>
      </c>
      <c r="BM85" s="97">
        <v>779.93141653321686</v>
      </c>
      <c r="BN85" s="97">
        <v>0.39267015706806285</v>
      </c>
      <c r="BO85" s="97">
        <v>58.900523560209429</v>
      </c>
      <c r="BP85" s="97">
        <v>6.4372400226194602</v>
      </c>
      <c r="BQ85" s="97">
        <v>965.586003392919</v>
      </c>
      <c r="BR85" s="97">
        <v>5.6052496636907145</v>
      </c>
      <c r="BS85" s="97">
        <v>840.78744955360719</v>
      </c>
      <c r="BT85" s="97">
        <v>10.876393957151103</v>
      </c>
      <c r="BU85" s="97">
        <v>1631.4590935726656</v>
      </c>
      <c r="BV85" s="97">
        <v>0.49549549549549549</v>
      </c>
      <c r="BW85" s="97">
        <v>74.324324324324323</v>
      </c>
      <c r="BX85" s="97">
        <v>7</v>
      </c>
      <c r="BY85" s="97">
        <v>1050</v>
      </c>
      <c r="BZ85" s="97">
        <v>4.3106773096848334</v>
      </c>
      <c r="CA85" s="97">
        <v>646.60159645272506</v>
      </c>
      <c r="CB85" s="97">
        <v>4.6052010581187286</v>
      </c>
      <c r="CC85" s="97">
        <v>690.78015871780929</v>
      </c>
      <c r="CD85" s="97">
        <v>6.0906040268456376</v>
      </c>
      <c r="CE85" s="97">
        <v>913.59060402684565</v>
      </c>
      <c r="CF85" s="97">
        <v>5.8112043451806885</v>
      </c>
      <c r="CG85" s="97">
        <v>871.68065177710332</v>
      </c>
      <c r="CH85" s="97">
        <v>0.26223776223776224</v>
      </c>
      <c r="CI85" s="97">
        <v>39.335664335664333</v>
      </c>
      <c r="CJ85" s="97">
        <v>4.8139534883720927</v>
      </c>
      <c r="CK85" s="97">
        <v>722.09302325581393</v>
      </c>
      <c r="CL85" s="97">
        <v>4.5372723968442372</v>
      </c>
      <c r="CM85" s="97">
        <v>680.59085952663554</v>
      </c>
      <c r="CN85" s="97">
        <v>5.9192825112107625</v>
      </c>
      <c r="CO85" s="97">
        <v>887.89237668161434</v>
      </c>
      <c r="CP85" s="97">
        <v>2.6058984152381493E-2</v>
      </c>
      <c r="CQ85" s="97">
        <v>3.9088476228572238</v>
      </c>
      <c r="CR85" s="97">
        <v>5</v>
      </c>
      <c r="CS85" s="97">
        <v>750</v>
      </c>
      <c r="CT85" s="97">
        <v>5</v>
      </c>
      <c r="CU85" s="97">
        <v>750</v>
      </c>
    </row>
    <row r="86" spans="2:99" x14ac:dyDescent="0.15">
      <c r="C86" s="96" t="s">
        <v>251</v>
      </c>
      <c r="D86" s="97">
        <v>0</v>
      </c>
      <c r="E86" s="97">
        <v>0</v>
      </c>
      <c r="F86" s="97">
        <v>0</v>
      </c>
      <c r="G86" s="97">
        <v>0</v>
      </c>
      <c r="H86" s="97">
        <v>5.471818602023216</v>
      </c>
      <c r="I86" s="97">
        <v>2954.7820450925365</v>
      </c>
      <c r="J86" s="97">
        <v>5.4412953806258564</v>
      </c>
      <c r="K86" s="97">
        <v>2938.2995055379624</v>
      </c>
      <c r="L86" s="97">
        <v>5.3427244899053612</v>
      </c>
      <c r="M86" s="97">
        <v>2885.0712245488949</v>
      </c>
      <c r="N86" s="97">
        <v>0</v>
      </c>
      <c r="O86" s="97">
        <v>0</v>
      </c>
      <c r="P86" s="97">
        <v>9.0193582383543696</v>
      </c>
      <c r="Q86" s="97">
        <v>4870.4534487113597</v>
      </c>
      <c r="R86" s="97">
        <v>4.697950567684984</v>
      </c>
      <c r="S86" s="97">
        <v>2536.8933065498913</v>
      </c>
      <c r="T86" s="97">
        <v>5.3448182420971504</v>
      </c>
      <c r="U86" s="97">
        <v>2886.201850732461</v>
      </c>
      <c r="V86" s="97">
        <v>0</v>
      </c>
      <c r="W86" s="97">
        <v>0</v>
      </c>
      <c r="X86" s="97">
        <v>12.457679362208832</v>
      </c>
      <c r="Y86" s="97">
        <v>6727.1468555927695</v>
      </c>
      <c r="Z86" s="97">
        <v>1.0204380666595906E-15</v>
      </c>
      <c r="AA86" s="97">
        <v>5.5103655599617892E-13</v>
      </c>
      <c r="AB86" s="97">
        <v>10.723666752416408</v>
      </c>
      <c r="AC86" s="97">
        <v>5790.7800463048607</v>
      </c>
      <c r="AD86" s="97">
        <v>5.9450420419365901</v>
      </c>
      <c r="AE86" s="97">
        <v>3210.3227026457585</v>
      </c>
      <c r="AF86" s="97">
        <v>5.0216726076320635</v>
      </c>
      <c r="AG86" s="97">
        <v>2711.7032081213142</v>
      </c>
      <c r="AH86" s="97">
        <v>6.1733490195280645</v>
      </c>
      <c r="AI86" s="97">
        <v>3333.6084705451549</v>
      </c>
      <c r="AJ86" s="97">
        <v>4.1286862031992237</v>
      </c>
      <c r="AK86" s="97">
        <v>2229.4905497275809</v>
      </c>
      <c r="AL86" s="97">
        <v>4.5822908994495135</v>
      </c>
      <c r="AM86" s="97">
        <v>2474.4370857027375</v>
      </c>
      <c r="AN86" s="97">
        <v>4.4388939462090597</v>
      </c>
      <c r="AO86" s="97">
        <v>2397.0027309528923</v>
      </c>
      <c r="AP86" s="97">
        <v>0.39655172413793105</v>
      </c>
      <c r="AQ86" s="97">
        <v>214.13793103448276</v>
      </c>
      <c r="AR86" s="97">
        <v>9.4313295750747503</v>
      </c>
      <c r="AS86" s="97">
        <v>5092.9179705403649</v>
      </c>
      <c r="AT86" s="97">
        <v>5.1966817995394416</v>
      </c>
      <c r="AU86" s="97">
        <v>2806.2081717512983</v>
      </c>
      <c r="AV86" s="97">
        <v>5.1948051948051948</v>
      </c>
      <c r="AW86" s="97">
        <v>2805.1948051948052</v>
      </c>
      <c r="AX86" s="97">
        <v>5.7091570105394851</v>
      </c>
      <c r="AY86" s="97">
        <v>3082.9447856913221</v>
      </c>
      <c r="AZ86" s="97">
        <v>4.5908357533301523</v>
      </c>
      <c r="BA86" s="97">
        <v>2479.0513067982824</v>
      </c>
      <c r="BB86" s="97">
        <v>0.43739279588336194</v>
      </c>
      <c r="BC86" s="97">
        <v>236.19210977701545</v>
      </c>
      <c r="BD86" s="97">
        <v>10.063415219611437</v>
      </c>
      <c r="BE86" s="97">
        <v>5434.2442185901764</v>
      </c>
      <c r="BF86" s="97">
        <v>5.5679154890079277</v>
      </c>
      <c r="BG86" s="97">
        <v>3006.6743640642808</v>
      </c>
      <c r="BH86" s="97">
        <v>7.1548593923135737</v>
      </c>
      <c r="BI86" s="97">
        <v>3863.62407184933</v>
      </c>
      <c r="BJ86" s="97">
        <v>5.3369505439516729</v>
      </c>
      <c r="BK86" s="97">
        <v>2881.9532937339036</v>
      </c>
      <c r="BL86" s="97">
        <v>4.8529065917622383</v>
      </c>
      <c r="BM86" s="97">
        <v>2620.5695595516086</v>
      </c>
      <c r="BN86" s="97">
        <v>0.43193717277486909</v>
      </c>
      <c r="BO86" s="97">
        <v>233.24607329842931</v>
      </c>
      <c r="BP86" s="97">
        <v>5.8520363841995096</v>
      </c>
      <c r="BQ86" s="97">
        <v>3160.0996474677349</v>
      </c>
      <c r="BR86" s="97">
        <v>5.6052496636907145</v>
      </c>
      <c r="BS86" s="97">
        <v>3026.8348183929857</v>
      </c>
      <c r="BT86" s="97">
        <v>9.3226233918438037</v>
      </c>
      <c r="BU86" s="97">
        <v>5034.2166315956538</v>
      </c>
      <c r="BV86" s="97">
        <v>0.49549549549549549</v>
      </c>
      <c r="BW86" s="97">
        <v>267.56756756756755</v>
      </c>
      <c r="BX86" s="97">
        <v>6</v>
      </c>
      <c r="BY86" s="97">
        <v>3240</v>
      </c>
      <c r="BZ86" s="97">
        <v>4.3106773096848334</v>
      </c>
      <c r="CA86" s="97">
        <v>2327.7657472298101</v>
      </c>
      <c r="CB86" s="97">
        <v>4.0295509258538873</v>
      </c>
      <c r="CC86" s="97">
        <v>2175.9574999610991</v>
      </c>
      <c r="CD86" s="97">
        <v>6.6442953020134228</v>
      </c>
      <c r="CE86" s="97">
        <v>3587.9194630872485</v>
      </c>
      <c r="CF86" s="97">
        <v>5.1655149734939458</v>
      </c>
      <c r="CG86" s="97">
        <v>2789.3780856867306</v>
      </c>
      <c r="CH86" s="97">
        <v>0.26223776223776224</v>
      </c>
      <c r="CI86" s="97">
        <v>141.6083916083916</v>
      </c>
      <c r="CJ86" s="97">
        <v>5.6162790697674421</v>
      </c>
      <c r="CK86" s="97">
        <v>3032.7906976744189</v>
      </c>
      <c r="CL86" s="97">
        <v>4.5372723968442372</v>
      </c>
      <c r="CM86" s="97">
        <v>2450.1270942958881</v>
      </c>
      <c r="CN86" s="97">
        <v>5.9192825112107625</v>
      </c>
      <c r="CO86" s="97">
        <v>3196.4125560538118</v>
      </c>
      <c r="CP86" s="97">
        <v>3.2573730190476866E-2</v>
      </c>
      <c r="CQ86" s="97">
        <v>17.589814302857508</v>
      </c>
      <c r="CR86" s="97">
        <v>5</v>
      </c>
      <c r="CS86" s="97">
        <v>2700</v>
      </c>
      <c r="CT86" s="97">
        <v>5</v>
      </c>
      <c r="CU86" s="97">
        <v>2700</v>
      </c>
    </row>
    <row r="87" spans="2:99" x14ac:dyDescent="0.15">
      <c r="B87" s="96" t="s">
        <v>131</v>
      </c>
      <c r="C87" s="96" t="s">
        <v>252</v>
      </c>
      <c r="D87" s="97">
        <v>0</v>
      </c>
      <c r="E87" s="97">
        <v>0</v>
      </c>
      <c r="F87" s="97">
        <v>0</v>
      </c>
      <c r="G87" s="97">
        <v>0</v>
      </c>
      <c r="H87" s="97">
        <v>1.9445305775784985</v>
      </c>
      <c r="I87" s="97">
        <v>3801.1683730504487</v>
      </c>
      <c r="J87" s="97">
        <v>2.6800410083679589</v>
      </c>
      <c r="K87" s="97">
        <v>5238.9441631576856</v>
      </c>
      <c r="L87" s="97">
        <v>2.4883922281750999</v>
      </c>
      <c r="M87" s="97">
        <v>4864.3091276366849</v>
      </c>
      <c r="N87" s="97">
        <v>0</v>
      </c>
      <c r="O87" s="97">
        <v>0</v>
      </c>
      <c r="P87" s="97">
        <v>6.5312594139807505</v>
      </c>
      <c r="Q87" s="97">
        <v>12767.305902449571</v>
      </c>
      <c r="R87" s="97">
        <v>2.5229734530160099</v>
      </c>
      <c r="S87" s="97">
        <v>4931.9085059556965</v>
      </c>
      <c r="T87" s="97">
        <v>2.9488652370191173</v>
      </c>
      <c r="U87" s="97">
        <v>5764.4417653249702</v>
      </c>
      <c r="V87" s="97">
        <v>0</v>
      </c>
      <c r="W87" s="97">
        <v>0</v>
      </c>
      <c r="X87" s="97">
        <v>4.3503007296602263</v>
      </c>
      <c r="Y87" s="97">
        <v>8503.9678663398099</v>
      </c>
      <c r="Z87" s="97">
        <v>5.0185478688176585E-16</v>
      </c>
      <c r="AA87" s="97">
        <v>9.8102573739647588E-13</v>
      </c>
      <c r="AB87" s="97">
        <v>5.1065079773411464</v>
      </c>
      <c r="AC87" s="97">
        <v>9982.2017941064732</v>
      </c>
      <c r="AD87" s="97">
        <v>2.2865546315140732</v>
      </c>
      <c r="AE87" s="97">
        <v>4469.7569936837099</v>
      </c>
      <c r="AF87" s="97">
        <v>3.3970138228099254</v>
      </c>
      <c r="AG87" s="97">
        <v>6640.4826208288423</v>
      </c>
      <c r="AH87" s="97">
        <v>2.5596813007799293</v>
      </c>
      <c r="AI87" s="97">
        <v>5003.665006764606</v>
      </c>
      <c r="AJ87" s="97">
        <v>2.9818289245327736</v>
      </c>
      <c r="AK87" s="97">
        <v>5828.8791816766661</v>
      </c>
      <c r="AL87" s="97">
        <v>3.7491470995496026</v>
      </c>
      <c r="AM87" s="97">
        <v>7328.8327501995627</v>
      </c>
      <c r="AN87" s="97">
        <v>2.3901736633433401</v>
      </c>
      <c r="AO87" s="97">
        <v>4672.3114771035616</v>
      </c>
      <c r="AP87" s="97">
        <v>0.36206896551724138</v>
      </c>
      <c r="AQ87" s="97">
        <v>707.7724137931034</v>
      </c>
      <c r="AR87" s="97">
        <v>4.963857671091974</v>
      </c>
      <c r="AS87" s="97">
        <v>9703.3489754505899</v>
      </c>
      <c r="AT87" s="97">
        <v>2.8870454441885784</v>
      </c>
      <c r="AU87" s="97">
        <v>5643.5964342998332</v>
      </c>
      <c r="AV87" s="97">
        <v>3.0303030303030307</v>
      </c>
      <c r="AW87" s="97">
        <v>5923.636363636364</v>
      </c>
      <c r="AX87" s="97">
        <v>3.1400363557967168</v>
      </c>
      <c r="AY87" s="97">
        <v>6138.1430683114222</v>
      </c>
      <c r="AZ87" s="97">
        <v>3.3666128857754454</v>
      </c>
      <c r="BA87" s="97">
        <v>6581.0548691138401</v>
      </c>
      <c r="BB87" s="97">
        <v>0.33447684391080618</v>
      </c>
      <c r="BC87" s="97">
        <v>653.83533447684385</v>
      </c>
      <c r="BD87" s="97">
        <v>7.4151480565557959</v>
      </c>
      <c r="BE87" s="97">
        <v>14495.131420955269</v>
      </c>
      <c r="BF87" s="97">
        <v>3.6027688458286584</v>
      </c>
      <c r="BG87" s="97">
        <v>7042.6925398258609</v>
      </c>
      <c r="BH87" s="97">
        <v>2.782445319233056</v>
      </c>
      <c r="BI87" s="97">
        <v>5439.1241100367779</v>
      </c>
      <c r="BJ87" s="97">
        <v>2.8254444056214738</v>
      </c>
      <c r="BK87" s="97">
        <v>5523.1787241088568</v>
      </c>
      <c r="BL87" s="97">
        <v>3.1197256661328669</v>
      </c>
      <c r="BM87" s="97">
        <v>6098.4397321565284</v>
      </c>
      <c r="BN87" s="97">
        <v>0.27486910994764396</v>
      </c>
      <c r="BO87" s="97">
        <v>537.31413612565439</v>
      </c>
      <c r="BP87" s="97">
        <v>3.5112218305197058</v>
      </c>
      <c r="BQ87" s="97">
        <v>6863.7364342999208</v>
      </c>
      <c r="BR87" s="97">
        <v>2.1558652552656596</v>
      </c>
      <c r="BS87" s="97">
        <v>4214.2854009933117</v>
      </c>
      <c r="BT87" s="97">
        <v>3.8844264132682511</v>
      </c>
      <c r="BU87" s="97">
        <v>7593.2767526567768</v>
      </c>
      <c r="BV87" s="97">
        <v>0.36036036036036034</v>
      </c>
      <c r="BW87" s="97">
        <v>704.43243243243239</v>
      </c>
      <c r="BX87" s="97">
        <v>4</v>
      </c>
      <c r="BY87" s="97">
        <v>7819.2</v>
      </c>
      <c r="BZ87" s="97">
        <v>1.7961155457020137</v>
      </c>
      <c r="CA87" s="97">
        <v>3511.0466687382964</v>
      </c>
      <c r="CB87" s="97">
        <v>4.6052010581187286</v>
      </c>
      <c r="CC87" s="97">
        <v>9002.2470284104911</v>
      </c>
      <c r="CD87" s="97">
        <v>2.7684563758389262</v>
      </c>
      <c r="CE87" s="97">
        <v>5411.7785234899329</v>
      </c>
      <c r="CF87" s="97">
        <v>3.8741362301204592</v>
      </c>
      <c r="CG87" s="97">
        <v>7573.1615026394738</v>
      </c>
      <c r="CH87" s="97">
        <v>0.15734265734265734</v>
      </c>
      <c r="CI87" s="97">
        <v>307.57342657342656</v>
      </c>
      <c r="CJ87" s="97">
        <v>5.6162790697674421</v>
      </c>
      <c r="CK87" s="97">
        <v>10978.702325581395</v>
      </c>
      <c r="CL87" s="97">
        <v>5.2934844629849431</v>
      </c>
      <c r="CM87" s="97">
        <v>10347.703428242967</v>
      </c>
      <c r="CN87" s="97">
        <v>3.6995515695067263</v>
      </c>
      <c r="CO87" s="97">
        <v>7231.8834080717479</v>
      </c>
      <c r="CP87" s="97">
        <v>1.9544238114286121E-2</v>
      </c>
      <c r="CQ87" s="97">
        <v>38.205076665806509</v>
      </c>
      <c r="CR87" s="97">
        <v>6</v>
      </c>
      <c r="CS87" s="97">
        <v>11728.8</v>
      </c>
      <c r="CT87" s="97">
        <v>5</v>
      </c>
      <c r="CU87" s="97">
        <v>9774</v>
      </c>
    </row>
    <row r="88" spans="2:99" x14ac:dyDescent="0.15">
      <c r="C88" s="96" t="s">
        <v>253</v>
      </c>
      <c r="D88" s="97">
        <v>0</v>
      </c>
      <c r="E88" s="97">
        <v>0</v>
      </c>
      <c r="F88" s="97">
        <v>0</v>
      </c>
      <c r="G88" s="97">
        <v>0</v>
      </c>
      <c r="H88" s="97">
        <v>2.1706387842736725</v>
      </c>
      <c r="I88" s="97">
        <v>4107.716835359498</v>
      </c>
      <c r="J88" s="97">
        <v>2.5582209625330514</v>
      </c>
      <c r="K88" s="97">
        <v>4841.1773494975459</v>
      </c>
      <c r="L88" s="97">
        <v>2.7079562483081969</v>
      </c>
      <c r="M88" s="97">
        <v>5124.5364042984311</v>
      </c>
      <c r="N88" s="97">
        <v>0</v>
      </c>
      <c r="O88" s="97">
        <v>0</v>
      </c>
      <c r="P88" s="97">
        <v>6.5312594139807505</v>
      </c>
      <c r="Q88" s="97">
        <v>12359.755315017172</v>
      </c>
      <c r="R88" s="97">
        <v>2.6969716221895279</v>
      </c>
      <c r="S88" s="97">
        <v>5103.7490978314627</v>
      </c>
      <c r="T88" s="97">
        <v>2.5802570823917277</v>
      </c>
      <c r="U88" s="97">
        <v>4882.8785027181048</v>
      </c>
      <c r="V88" s="97">
        <v>0</v>
      </c>
      <c r="W88" s="97">
        <v>0</v>
      </c>
      <c r="X88" s="97">
        <v>4.3503007296602263</v>
      </c>
      <c r="Y88" s="97">
        <v>8232.5091008090112</v>
      </c>
      <c r="Z88" s="97">
        <v>5.1858327977782476E-16</v>
      </c>
      <c r="AA88" s="97">
        <v>9.8136699865155542E-13</v>
      </c>
      <c r="AB88" s="97">
        <v>5.1065079773411464</v>
      </c>
      <c r="AC88" s="97">
        <v>9663.5556963203853</v>
      </c>
      <c r="AD88" s="97">
        <v>2.5914285823826164</v>
      </c>
      <c r="AE88" s="97">
        <v>4904.019449300863</v>
      </c>
      <c r="AF88" s="97">
        <v>3.3970138228099254</v>
      </c>
      <c r="AG88" s="97">
        <v>6428.5089582855026</v>
      </c>
      <c r="AH88" s="97">
        <v>2.4091118124987569</v>
      </c>
      <c r="AI88" s="97">
        <v>4559.0031939726478</v>
      </c>
      <c r="AJ88" s="97">
        <v>3.2112003802660634</v>
      </c>
      <c r="AK88" s="97">
        <v>6076.8755996154978</v>
      </c>
      <c r="AL88" s="97">
        <v>3.3325751995996469</v>
      </c>
      <c r="AM88" s="97">
        <v>6306.5653077223715</v>
      </c>
      <c r="AN88" s="97">
        <v>2.56090035358215</v>
      </c>
      <c r="AO88" s="97">
        <v>4846.24782911886</v>
      </c>
      <c r="AP88" s="97">
        <v>0.36206896551724138</v>
      </c>
      <c r="AQ88" s="97">
        <v>685.17931034482751</v>
      </c>
      <c r="AR88" s="97">
        <v>4.4674719039827764</v>
      </c>
      <c r="AS88" s="97">
        <v>8454.2438310970047</v>
      </c>
      <c r="AT88" s="97">
        <v>2.8870454441885784</v>
      </c>
      <c r="AU88" s="97">
        <v>5463.4447985824654</v>
      </c>
      <c r="AV88" s="97">
        <v>2.5974025974025974</v>
      </c>
      <c r="AW88" s="97">
        <v>4915.3246753246749</v>
      </c>
      <c r="AX88" s="97">
        <v>2.8545785052697425</v>
      </c>
      <c r="AY88" s="97">
        <v>5402.0043633724608</v>
      </c>
      <c r="AZ88" s="97">
        <v>3.672668602664122</v>
      </c>
      <c r="BA88" s="97">
        <v>6950.1580636815843</v>
      </c>
      <c r="BB88" s="97">
        <v>0.36020583190394512</v>
      </c>
      <c r="BC88" s="97">
        <v>681.65351629502572</v>
      </c>
      <c r="BD88" s="97">
        <v>6.8854946239446679</v>
      </c>
      <c r="BE88" s="97">
        <v>13030.110026352888</v>
      </c>
      <c r="BF88" s="97">
        <v>3.6027688458286584</v>
      </c>
      <c r="BG88" s="97">
        <v>6817.8797638461529</v>
      </c>
      <c r="BH88" s="97">
        <v>2.782445319233056</v>
      </c>
      <c r="BI88" s="97">
        <v>5265.4995221166346</v>
      </c>
      <c r="BJ88" s="97">
        <v>2.8254444056214738</v>
      </c>
      <c r="BK88" s="97">
        <v>5346.8709931980766</v>
      </c>
      <c r="BL88" s="97">
        <v>3.1197256661328669</v>
      </c>
      <c r="BM88" s="97">
        <v>5903.7688505898368</v>
      </c>
      <c r="BN88" s="97">
        <v>0.2356020942408377</v>
      </c>
      <c r="BO88" s="97">
        <v>445.85340314136124</v>
      </c>
      <c r="BP88" s="97">
        <v>3.5112218305197058</v>
      </c>
      <c r="BQ88" s="97">
        <v>6644.6361920754907</v>
      </c>
      <c r="BR88" s="97">
        <v>2.5870383063187914</v>
      </c>
      <c r="BS88" s="97">
        <v>4895.7112908776808</v>
      </c>
      <c r="BT88" s="97">
        <v>3.8844264132682511</v>
      </c>
      <c r="BU88" s="97">
        <v>7350.8885444688376</v>
      </c>
      <c r="BV88" s="97">
        <v>0.31531531531531531</v>
      </c>
      <c r="BW88" s="97">
        <v>596.70270270270271</v>
      </c>
      <c r="BX88" s="97">
        <v>4</v>
      </c>
      <c r="BY88" s="97">
        <v>7569.5999999999995</v>
      </c>
      <c r="BZ88" s="97">
        <v>1.7961155457020137</v>
      </c>
      <c r="CA88" s="97">
        <v>3398.9690586864904</v>
      </c>
      <c r="CB88" s="97">
        <v>4.0295509258538873</v>
      </c>
      <c r="CC88" s="97">
        <v>7625.5221720858954</v>
      </c>
      <c r="CD88" s="97">
        <v>3.3221476510067114</v>
      </c>
      <c r="CE88" s="97">
        <v>6286.8322147651006</v>
      </c>
      <c r="CF88" s="97">
        <v>3.8741362301204592</v>
      </c>
      <c r="CG88" s="97">
        <v>7331.4154018799563</v>
      </c>
      <c r="CH88" s="97">
        <v>0.13111888111888112</v>
      </c>
      <c r="CI88" s="97">
        <v>248.12937062937061</v>
      </c>
      <c r="CJ88" s="97">
        <v>5.6162790697674421</v>
      </c>
      <c r="CK88" s="97">
        <v>10628.246511627907</v>
      </c>
      <c r="CL88" s="97">
        <v>5.2934844629849431</v>
      </c>
      <c r="CM88" s="97">
        <v>10017.389997752705</v>
      </c>
      <c r="CN88" s="97">
        <v>3.6995515695067263</v>
      </c>
      <c r="CO88" s="97">
        <v>7001.031390134528</v>
      </c>
      <c r="CP88" s="97">
        <v>1.9544238114286121E-2</v>
      </c>
      <c r="CQ88" s="97">
        <v>36.985516207475051</v>
      </c>
      <c r="CR88" s="97">
        <v>6</v>
      </c>
      <c r="CS88" s="97">
        <v>11354.4</v>
      </c>
      <c r="CT88" s="97">
        <v>6</v>
      </c>
      <c r="CU88" s="97">
        <v>11354.4</v>
      </c>
    </row>
    <row r="89" spans="2:99" x14ac:dyDescent="0.15">
      <c r="C89" s="96" t="s">
        <v>254</v>
      </c>
      <c r="D89" s="97">
        <v>0</v>
      </c>
      <c r="E89" s="97">
        <v>0</v>
      </c>
      <c r="F89" s="97">
        <v>0</v>
      </c>
      <c r="G89" s="97">
        <v>0</v>
      </c>
      <c r="H89" s="97">
        <v>1.6279790882052545</v>
      </c>
      <c r="I89" s="97">
        <v>3903.2426618809181</v>
      </c>
      <c r="J89" s="97">
        <v>2.3551875528082062</v>
      </c>
      <c r="K89" s="97">
        <v>5646.797676612955</v>
      </c>
      <c r="L89" s="97">
        <v>2.2688282080420028</v>
      </c>
      <c r="M89" s="97">
        <v>5439.7425116015056</v>
      </c>
      <c r="N89" s="97">
        <v>0</v>
      </c>
      <c r="O89" s="97">
        <v>0</v>
      </c>
      <c r="P89" s="97">
        <v>5.7537285313639952</v>
      </c>
      <c r="Q89" s="97">
        <v>13795.139526798315</v>
      </c>
      <c r="R89" s="97">
        <v>2.5229734530160099</v>
      </c>
      <c r="S89" s="97">
        <v>6049.081150951185</v>
      </c>
      <c r="T89" s="97">
        <v>2.8567131983622702</v>
      </c>
      <c r="U89" s="97">
        <v>6849.2555643933792</v>
      </c>
      <c r="V89" s="97">
        <v>0</v>
      </c>
      <c r="W89" s="97">
        <v>0</v>
      </c>
      <c r="X89" s="97">
        <v>3.7570779028883776</v>
      </c>
      <c r="Y89" s="97">
        <v>9007.9699799651735</v>
      </c>
      <c r="Z89" s="97">
        <v>4.6839780108964813E-16</v>
      </c>
      <c r="AA89" s="97">
        <v>1.1230305678925403E-12</v>
      </c>
      <c r="AB89" s="97">
        <v>5.1065079773411464</v>
      </c>
      <c r="AC89" s="97">
        <v>12243.363526473133</v>
      </c>
      <c r="AD89" s="97">
        <v>2.1341176560798014</v>
      </c>
      <c r="AE89" s="97">
        <v>5116.7604922169321</v>
      </c>
      <c r="AF89" s="97">
        <v>2.9539250633129783</v>
      </c>
      <c r="AG89" s="97">
        <v>7082.3307317991967</v>
      </c>
      <c r="AH89" s="97">
        <v>2.2585423242175846</v>
      </c>
      <c r="AI89" s="97">
        <v>5415.081076544081</v>
      </c>
      <c r="AJ89" s="97">
        <v>3.2112003802660634</v>
      </c>
      <c r="AK89" s="97">
        <v>7699.1740317259137</v>
      </c>
      <c r="AL89" s="97">
        <v>3.5408611495746243</v>
      </c>
      <c r="AM89" s="97">
        <v>8489.5686922201185</v>
      </c>
      <c r="AN89" s="97">
        <v>2.2194469731045299</v>
      </c>
      <c r="AO89" s="97">
        <v>5321.3460627154209</v>
      </c>
      <c r="AP89" s="97">
        <v>0.31034482758620691</v>
      </c>
      <c r="AQ89" s="97">
        <v>744.08275862068967</v>
      </c>
      <c r="AR89" s="97">
        <v>4.4674719039827764</v>
      </c>
      <c r="AS89" s="97">
        <v>10711.210636989104</v>
      </c>
      <c r="AT89" s="97">
        <v>3.1757499886074365</v>
      </c>
      <c r="AU89" s="97">
        <v>7614.1781726851896</v>
      </c>
      <c r="AV89" s="97">
        <v>2.5974025974025974</v>
      </c>
      <c r="AW89" s="97">
        <v>6227.5324675324673</v>
      </c>
      <c r="AX89" s="97">
        <v>3.1400363557967168</v>
      </c>
      <c r="AY89" s="97">
        <v>7528.5511666582079</v>
      </c>
      <c r="AZ89" s="97">
        <v>3.3666128857754454</v>
      </c>
      <c r="BA89" s="97">
        <v>8071.7910549352073</v>
      </c>
      <c r="BB89" s="97">
        <v>0.30874785591766724</v>
      </c>
      <c r="BC89" s="97">
        <v>740.25385934819894</v>
      </c>
      <c r="BD89" s="97">
        <v>7.4151480565557959</v>
      </c>
      <c r="BE89" s="97">
        <v>17778.558980398175</v>
      </c>
      <c r="BF89" s="97">
        <v>3.6027688458286584</v>
      </c>
      <c r="BG89" s="97">
        <v>8637.9985847587905</v>
      </c>
      <c r="BH89" s="97">
        <v>2.782445319233056</v>
      </c>
      <c r="BI89" s="97">
        <v>6671.190897393175</v>
      </c>
      <c r="BJ89" s="97">
        <v>2.8254444056214738</v>
      </c>
      <c r="BK89" s="97">
        <v>6774.285506918045</v>
      </c>
      <c r="BL89" s="97">
        <v>3.1197256661328669</v>
      </c>
      <c r="BM89" s="97">
        <v>7479.8542571201615</v>
      </c>
      <c r="BN89" s="97">
        <v>0.2356020942408377</v>
      </c>
      <c r="BO89" s="97">
        <v>564.87958115183244</v>
      </c>
      <c r="BP89" s="97">
        <v>2.9260181920997548</v>
      </c>
      <c r="BQ89" s="97">
        <v>7015.4212173783717</v>
      </c>
      <c r="BR89" s="97">
        <v>2.1558652552656596</v>
      </c>
      <c r="BS89" s="97">
        <v>5168.9025360249452</v>
      </c>
      <c r="BT89" s="97">
        <v>3.8844264132682511</v>
      </c>
      <c r="BU89" s="97">
        <v>9313.300768451958</v>
      </c>
      <c r="BV89" s="97">
        <v>0.31531531531531531</v>
      </c>
      <c r="BW89" s="97">
        <v>756</v>
      </c>
      <c r="BX89" s="97">
        <v>5</v>
      </c>
      <c r="BY89" s="97">
        <v>11988</v>
      </c>
      <c r="BZ89" s="97">
        <v>1.7961155457020137</v>
      </c>
      <c r="CA89" s="97">
        <v>4306.3666323751477</v>
      </c>
      <c r="CB89" s="97">
        <v>4.0295509258538873</v>
      </c>
      <c r="CC89" s="97">
        <v>9661.2512998272796</v>
      </c>
      <c r="CD89" s="97">
        <v>2.7684563758389262</v>
      </c>
      <c r="CE89" s="97">
        <v>6637.6510067114095</v>
      </c>
      <c r="CF89" s="97">
        <v>3.228446858433716</v>
      </c>
      <c r="CG89" s="97">
        <v>7740.5241877806775</v>
      </c>
      <c r="CH89" s="97">
        <v>0.15734265734265734</v>
      </c>
      <c r="CI89" s="97">
        <v>377.24475524475525</v>
      </c>
      <c r="CJ89" s="97">
        <v>5.6162790697674421</v>
      </c>
      <c r="CK89" s="97">
        <v>13465.590697674419</v>
      </c>
      <c r="CL89" s="97">
        <v>4.5372723968442372</v>
      </c>
      <c r="CM89" s="97">
        <v>10878.564298673742</v>
      </c>
      <c r="CN89" s="97">
        <v>3.6995515695067263</v>
      </c>
      <c r="CO89" s="97">
        <v>8870.044843049327</v>
      </c>
      <c r="CP89" s="97">
        <v>1.9544238114286121E-2</v>
      </c>
      <c r="CQ89" s="97">
        <v>46.859265302812403</v>
      </c>
      <c r="CR89" s="97">
        <v>5</v>
      </c>
      <c r="CS89" s="97">
        <v>11988</v>
      </c>
      <c r="CT89" s="97">
        <v>5</v>
      </c>
      <c r="CU89" s="97">
        <v>11988</v>
      </c>
    </row>
    <row r="90" spans="2:99" x14ac:dyDescent="0.15">
      <c r="C90" s="96" t="s">
        <v>255</v>
      </c>
      <c r="D90" s="97">
        <v>0</v>
      </c>
      <c r="E90" s="97">
        <v>0</v>
      </c>
      <c r="F90" s="97">
        <v>0</v>
      </c>
      <c r="G90" s="97">
        <v>0</v>
      </c>
      <c r="H90" s="97">
        <v>1.9445305775784985</v>
      </c>
      <c r="I90" s="97">
        <v>4272.5225850554762</v>
      </c>
      <c r="J90" s="97">
        <v>2.3145808708632374</v>
      </c>
      <c r="K90" s="97">
        <v>5085.5970894607044</v>
      </c>
      <c r="L90" s="97">
        <v>2.2688282080420028</v>
      </c>
      <c r="M90" s="97">
        <v>4985.0693387098881</v>
      </c>
      <c r="N90" s="97">
        <v>0</v>
      </c>
      <c r="O90" s="97">
        <v>0</v>
      </c>
      <c r="P90" s="97">
        <v>6.3757532374573991</v>
      </c>
      <c r="Q90" s="97">
        <v>14008.805013341396</v>
      </c>
      <c r="R90" s="97">
        <v>2.6969716221895279</v>
      </c>
      <c r="S90" s="97">
        <v>5925.7860482748301</v>
      </c>
      <c r="T90" s="97">
        <v>2.4881050437348806</v>
      </c>
      <c r="U90" s="97">
        <v>5466.8644020942793</v>
      </c>
      <c r="V90" s="97">
        <v>0</v>
      </c>
      <c r="W90" s="97">
        <v>0</v>
      </c>
      <c r="X90" s="97">
        <v>3.7570779028883776</v>
      </c>
      <c r="Y90" s="97">
        <v>8255.0515682263431</v>
      </c>
      <c r="Z90" s="97">
        <v>4.349408152975304E-16</v>
      </c>
      <c r="AA90" s="97">
        <v>9.5565195937173378E-13</v>
      </c>
      <c r="AB90" s="97">
        <v>5.1065079773411464</v>
      </c>
      <c r="AC90" s="97">
        <v>11220.019327813965</v>
      </c>
      <c r="AD90" s="97">
        <v>2.1341176560798014</v>
      </c>
      <c r="AE90" s="97">
        <v>4689.0833139385395</v>
      </c>
      <c r="AF90" s="97">
        <v>3.1016213164786279</v>
      </c>
      <c r="AG90" s="97">
        <v>6814.8823565668408</v>
      </c>
      <c r="AH90" s="97">
        <v>2.5596813007799293</v>
      </c>
      <c r="AI90" s="97">
        <v>5624.13175407366</v>
      </c>
      <c r="AJ90" s="97">
        <v>3.2112003802660634</v>
      </c>
      <c r="AK90" s="97">
        <v>7055.649475520594</v>
      </c>
      <c r="AL90" s="97">
        <v>3.1242892496246686</v>
      </c>
      <c r="AM90" s="97">
        <v>6864.6883392753216</v>
      </c>
      <c r="AN90" s="97">
        <v>2.56090035358215</v>
      </c>
      <c r="AO90" s="97">
        <v>5626.8102568906997</v>
      </c>
      <c r="AP90" s="97">
        <v>0.32758620689655171</v>
      </c>
      <c r="AQ90" s="97">
        <v>719.7724137931034</v>
      </c>
      <c r="AR90" s="97">
        <v>4.963857671091974</v>
      </c>
      <c r="AS90" s="97">
        <v>10906.588074923284</v>
      </c>
      <c r="AT90" s="97">
        <v>3.1757499886074365</v>
      </c>
      <c r="AU90" s="97">
        <v>6977.7578749682589</v>
      </c>
      <c r="AV90" s="97">
        <v>2.8138528138528138</v>
      </c>
      <c r="AW90" s="97">
        <v>6182.5974025974019</v>
      </c>
      <c r="AX90" s="97">
        <v>2.8545785052697425</v>
      </c>
      <c r="AY90" s="97">
        <v>6272.0798917786778</v>
      </c>
      <c r="AZ90" s="97">
        <v>3.3666128857754454</v>
      </c>
      <c r="BA90" s="97">
        <v>7397.1218326258077</v>
      </c>
      <c r="BB90" s="97">
        <v>0.36020583190394512</v>
      </c>
      <c r="BC90" s="97">
        <v>791.44425385934812</v>
      </c>
      <c r="BD90" s="97">
        <v>6.8854946239446679</v>
      </c>
      <c r="BE90" s="97">
        <v>15128.808787731223</v>
      </c>
      <c r="BF90" s="97">
        <v>4.2578177268884145</v>
      </c>
      <c r="BG90" s="97">
        <v>9355.2771095192238</v>
      </c>
      <c r="BH90" s="97">
        <v>2.782445319233056</v>
      </c>
      <c r="BI90" s="97">
        <v>6113.5888554188705</v>
      </c>
      <c r="BJ90" s="97">
        <v>3.139382672912749</v>
      </c>
      <c r="BK90" s="97">
        <v>6897.851608923891</v>
      </c>
      <c r="BL90" s="97">
        <v>3.1197256661328669</v>
      </c>
      <c r="BM90" s="97">
        <v>6854.6612336271346</v>
      </c>
      <c r="BN90" s="97">
        <v>0.2356020942408377</v>
      </c>
      <c r="BO90" s="97">
        <v>517.66492146596852</v>
      </c>
      <c r="BP90" s="97">
        <v>2.9260181920997548</v>
      </c>
      <c r="BQ90" s="97">
        <v>6429.0471716815809</v>
      </c>
      <c r="BR90" s="97">
        <v>2.1558652552656596</v>
      </c>
      <c r="BS90" s="97">
        <v>4736.8671388697067</v>
      </c>
      <c r="BT90" s="97">
        <v>3.8844264132682511</v>
      </c>
      <c r="BU90" s="97">
        <v>8534.8617152330007</v>
      </c>
      <c r="BV90" s="97">
        <v>0.31531531531531531</v>
      </c>
      <c r="BW90" s="97">
        <v>692.81081081081072</v>
      </c>
      <c r="BX90" s="97">
        <v>4</v>
      </c>
      <c r="BY90" s="97">
        <v>8788.7999999999993</v>
      </c>
      <c r="BZ90" s="97">
        <v>1.7961155457020137</v>
      </c>
      <c r="CA90" s="97">
        <v>3946.425077016464</v>
      </c>
      <c r="CB90" s="97">
        <v>4.0295509258538873</v>
      </c>
      <c r="CC90" s="97">
        <v>8853.7292942861604</v>
      </c>
      <c r="CD90" s="97">
        <v>2.7684563758389262</v>
      </c>
      <c r="CE90" s="97">
        <v>6082.8523489932886</v>
      </c>
      <c r="CF90" s="97">
        <v>3.8741362301204592</v>
      </c>
      <c r="CG90" s="97">
        <v>8512.2521248206722</v>
      </c>
      <c r="CH90" s="97">
        <v>0.13111888111888112</v>
      </c>
      <c r="CI90" s="97">
        <v>288.0944055944056</v>
      </c>
      <c r="CJ90" s="97">
        <v>5.6162790697674421</v>
      </c>
      <c r="CK90" s="97">
        <v>12340.088372093023</v>
      </c>
      <c r="CL90" s="97">
        <v>4.5372723968442372</v>
      </c>
      <c r="CM90" s="97">
        <v>9969.2949103461578</v>
      </c>
      <c r="CN90" s="97">
        <v>2.9596412556053813</v>
      </c>
      <c r="CO90" s="97">
        <v>6502.9237668161431</v>
      </c>
      <c r="CP90" s="97">
        <v>2.6058984152381493E-2</v>
      </c>
      <c r="CQ90" s="97">
        <v>57.256799979612609</v>
      </c>
      <c r="CR90" s="97">
        <v>6</v>
      </c>
      <c r="CS90" s="97">
        <v>13183.199999999999</v>
      </c>
      <c r="CT90" s="97">
        <v>5</v>
      </c>
      <c r="CU90" s="97">
        <v>10986</v>
      </c>
    </row>
    <row r="91" spans="2:99" x14ac:dyDescent="0.15">
      <c r="C91" s="96" t="s">
        <v>256</v>
      </c>
      <c r="D91" s="97">
        <v>0</v>
      </c>
      <c r="E91" s="97">
        <v>0</v>
      </c>
      <c r="F91" s="97">
        <v>0</v>
      </c>
      <c r="G91" s="97">
        <v>0</v>
      </c>
      <c r="H91" s="97">
        <v>1.7184223708833244</v>
      </c>
      <c r="I91" s="97">
        <v>3946.8725014448191</v>
      </c>
      <c r="J91" s="97">
        <v>2.3145808708632374</v>
      </c>
      <c r="K91" s="97">
        <v>5316.1293441986827</v>
      </c>
      <c r="L91" s="97">
        <v>2.4883922281750999</v>
      </c>
      <c r="M91" s="97">
        <v>5715.3392696725687</v>
      </c>
      <c r="N91" s="97">
        <v>0</v>
      </c>
      <c r="O91" s="97">
        <v>0</v>
      </c>
      <c r="P91" s="97">
        <v>6.8422717670274524</v>
      </c>
      <c r="Q91" s="97">
        <v>15715.329794508651</v>
      </c>
      <c r="R91" s="97">
        <v>2.261976199255733</v>
      </c>
      <c r="S91" s="97">
        <v>5195.3069344505666</v>
      </c>
      <c r="T91" s="97">
        <v>2.8567131983622702</v>
      </c>
      <c r="U91" s="97">
        <v>6561.2988739984612</v>
      </c>
      <c r="V91" s="97">
        <v>0</v>
      </c>
      <c r="W91" s="97">
        <v>0</v>
      </c>
      <c r="X91" s="97">
        <v>3.9548188451456605</v>
      </c>
      <c r="Y91" s="97">
        <v>9083.4279235305512</v>
      </c>
      <c r="Z91" s="97">
        <v>5.0185478688176585E-16</v>
      </c>
      <c r="AA91" s="97">
        <v>1.1526600745100396E-12</v>
      </c>
      <c r="AB91" s="97">
        <v>5.361833376208204</v>
      </c>
      <c r="AC91" s="97">
        <v>12315.058898475001</v>
      </c>
      <c r="AD91" s="97">
        <v>2.1341176560798014</v>
      </c>
      <c r="AE91" s="97">
        <v>4901.6414324840871</v>
      </c>
      <c r="AF91" s="97">
        <v>2.9539250633129783</v>
      </c>
      <c r="AG91" s="97">
        <v>6784.5750854172475</v>
      </c>
      <c r="AH91" s="97">
        <v>2.5596813007799293</v>
      </c>
      <c r="AI91" s="97">
        <v>5879.0760116313413</v>
      </c>
      <c r="AJ91" s="97">
        <v>3.440571835999354</v>
      </c>
      <c r="AK91" s="97">
        <v>7902.3053929233156</v>
      </c>
      <c r="AL91" s="97">
        <v>3.1242892496246686</v>
      </c>
      <c r="AM91" s="97">
        <v>7175.8675485379381</v>
      </c>
      <c r="AN91" s="97">
        <v>2.3901736633433401</v>
      </c>
      <c r="AO91" s="97">
        <v>5489.7508699669834</v>
      </c>
      <c r="AP91" s="97">
        <v>0.31034482758620691</v>
      </c>
      <c r="AQ91" s="97">
        <v>712.8</v>
      </c>
      <c r="AR91" s="97">
        <v>4.963857671091974</v>
      </c>
      <c r="AS91" s="97">
        <v>11400.988298964045</v>
      </c>
      <c r="AT91" s="97">
        <v>2.8870454441885784</v>
      </c>
      <c r="AU91" s="97">
        <v>6630.9659762123265</v>
      </c>
      <c r="AV91" s="97">
        <v>2.8138528138528138</v>
      </c>
      <c r="AW91" s="97">
        <v>6462.8571428571422</v>
      </c>
      <c r="AX91" s="97">
        <v>2.8545785052697425</v>
      </c>
      <c r="AY91" s="97">
        <v>6556.3959109035441</v>
      </c>
      <c r="AZ91" s="97">
        <v>3.672668602664122</v>
      </c>
      <c r="BA91" s="97">
        <v>8435.3852465989548</v>
      </c>
      <c r="BB91" s="97">
        <v>0.33447684391080618</v>
      </c>
      <c r="BC91" s="97">
        <v>768.22641509433959</v>
      </c>
      <c r="BD91" s="97">
        <v>6.8854946239446679</v>
      </c>
      <c r="BE91" s="97">
        <v>15814.604052276112</v>
      </c>
      <c r="BF91" s="97">
        <v>4.2578177268884145</v>
      </c>
      <c r="BG91" s="97">
        <v>9779.3557551173089</v>
      </c>
      <c r="BH91" s="97">
        <v>2.782445319233056</v>
      </c>
      <c r="BI91" s="97">
        <v>6390.7204092144821</v>
      </c>
      <c r="BJ91" s="97">
        <v>2.8254444056214738</v>
      </c>
      <c r="BK91" s="97">
        <v>6489.4807108313998</v>
      </c>
      <c r="BL91" s="97">
        <v>3.4663618512587409</v>
      </c>
      <c r="BM91" s="97">
        <v>7961.5398999710751</v>
      </c>
      <c r="BN91" s="97">
        <v>0.2356020942408377</v>
      </c>
      <c r="BO91" s="97">
        <v>541.13089005235599</v>
      </c>
      <c r="BP91" s="97">
        <v>2.9260181920997548</v>
      </c>
      <c r="BQ91" s="97">
        <v>6720.4785836147157</v>
      </c>
      <c r="BR91" s="97">
        <v>2.1558652552656596</v>
      </c>
      <c r="BS91" s="97">
        <v>4951.5913182941667</v>
      </c>
      <c r="BT91" s="97">
        <v>3.8844264132682511</v>
      </c>
      <c r="BU91" s="97">
        <v>8921.7505859945177</v>
      </c>
      <c r="BV91" s="97">
        <v>0.31531531531531531</v>
      </c>
      <c r="BW91" s="97">
        <v>724.21621621621614</v>
      </c>
      <c r="BX91" s="97">
        <v>5</v>
      </c>
      <c r="BY91" s="97">
        <v>11483.999999999998</v>
      </c>
      <c r="BZ91" s="97">
        <v>1.4368924365616109</v>
      </c>
      <c r="CA91" s="97">
        <v>3300.2545482947075</v>
      </c>
      <c r="CB91" s="97">
        <v>4.0295509258538873</v>
      </c>
      <c r="CC91" s="97">
        <v>9255.0725665012069</v>
      </c>
      <c r="CD91" s="97">
        <v>2.7684563758389262</v>
      </c>
      <c r="CE91" s="97">
        <v>6358.5906040268446</v>
      </c>
      <c r="CF91" s="97">
        <v>3.8741362301204592</v>
      </c>
      <c r="CG91" s="97">
        <v>8898.11609334067</v>
      </c>
      <c r="CH91" s="97">
        <v>0.13111888111888112</v>
      </c>
      <c r="CI91" s="97">
        <v>301.15384615384613</v>
      </c>
      <c r="CJ91" s="97">
        <v>5.6162790697674421</v>
      </c>
      <c r="CK91" s="97">
        <v>12899.46976744186</v>
      </c>
      <c r="CL91" s="97">
        <v>4.5372723968442372</v>
      </c>
      <c r="CM91" s="97">
        <v>10421.207241071843</v>
      </c>
      <c r="CN91" s="97">
        <v>2.9596412556053813</v>
      </c>
      <c r="CO91" s="97">
        <v>6797.7040358744389</v>
      </c>
      <c r="CP91" s="97">
        <v>2.6058984152381493E-2</v>
      </c>
      <c r="CQ91" s="97">
        <v>59.852274801189807</v>
      </c>
      <c r="CR91" s="97">
        <v>5</v>
      </c>
      <c r="CS91" s="97">
        <v>11483.999999999998</v>
      </c>
      <c r="CT91" s="97">
        <v>5</v>
      </c>
      <c r="CU91" s="97">
        <v>11483.999999999998</v>
      </c>
    </row>
    <row r="92" spans="2:99" x14ac:dyDescent="0.15">
      <c r="C92" s="96" t="s">
        <v>257</v>
      </c>
      <c r="D92" s="97">
        <v>0</v>
      </c>
      <c r="E92" s="97">
        <v>0</v>
      </c>
      <c r="F92" s="97">
        <v>0</v>
      </c>
      <c r="G92" s="97">
        <v>0</v>
      </c>
      <c r="H92" s="97">
        <v>2.2158604256127075</v>
      </c>
      <c r="I92" s="97">
        <v>3148.2944927105345</v>
      </c>
      <c r="J92" s="97">
        <v>2.63943432642299</v>
      </c>
      <c r="K92" s="97">
        <v>3750.1082909817842</v>
      </c>
      <c r="L92" s="97">
        <v>2.5615802348861321</v>
      </c>
      <c r="M92" s="97">
        <v>3639.4931977262163</v>
      </c>
      <c r="N92" s="97">
        <v>0</v>
      </c>
      <c r="O92" s="97">
        <v>0</v>
      </c>
      <c r="P92" s="97">
        <v>6.8422717670274524</v>
      </c>
      <c r="Q92" s="97">
        <v>9721.4997265926049</v>
      </c>
      <c r="R92" s="97">
        <v>2.8709697913630454</v>
      </c>
      <c r="S92" s="97">
        <v>4079.0738795686148</v>
      </c>
      <c r="T92" s="97">
        <v>3.1331693143328123</v>
      </c>
      <c r="U92" s="97">
        <v>4451.6069618040592</v>
      </c>
      <c r="V92" s="97">
        <v>0</v>
      </c>
      <c r="W92" s="97">
        <v>0</v>
      </c>
      <c r="X92" s="97">
        <v>3.9548188451456605</v>
      </c>
      <c r="Y92" s="97">
        <v>5619.0066151829542</v>
      </c>
      <c r="Z92" s="97">
        <v>5.5204026556994248E-16</v>
      </c>
      <c r="AA92" s="97">
        <v>7.8433880932177427E-13</v>
      </c>
      <c r="AB92" s="97">
        <v>5.1065079773411464</v>
      </c>
      <c r="AC92" s="97">
        <v>7255.3265342063005</v>
      </c>
      <c r="AD92" s="97">
        <v>2.5914285823826164</v>
      </c>
      <c r="AE92" s="97">
        <v>3681.9017298492213</v>
      </c>
      <c r="AF92" s="97">
        <v>3.2493175696442762</v>
      </c>
      <c r="AG92" s="97">
        <v>4616.6304029505873</v>
      </c>
      <c r="AH92" s="97">
        <v>2.7102507890611016</v>
      </c>
      <c r="AI92" s="97">
        <v>3850.7243210980132</v>
      </c>
      <c r="AJ92" s="97">
        <v>3.440571835999354</v>
      </c>
      <c r="AK92" s="97">
        <v>4888.3644645878821</v>
      </c>
      <c r="AL92" s="97">
        <v>3.5408611495746243</v>
      </c>
      <c r="AM92" s="97">
        <v>5030.855521315626</v>
      </c>
      <c r="AN92" s="97">
        <v>2.56090035358215</v>
      </c>
      <c r="AO92" s="97">
        <v>3638.5272223695188</v>
      </c>
      <c r="AP92" s="97">
        <v>0.39655172413793105</v>
      </c>
      <c r="AQ92" s="97">
        <v>563.4206896551724</v>
      </c>
      <c r="AR92" s="97">
        <v>5.4602434382011715</v>
      </c>
      <c r="AS92" s="97">
        <v>7757.9138769962246</v>
      </c>
      <c r="AT92" s="97">
        <v>3.1757499886074365</v>
      </c>
      <c r="AU92" s="97">
        <v>4512.1055838134453</v>
      </c>
      <c r="AV92" s="97">
        <v>2.8138528138528138</v>
      </c>
      <c r="AW92" s="97">
        <v>3997.9220779220777</v>
      </c>
      <c r="AX92" s="97">
        <v>2.8545785052697425</v>
      </c>
      <c r="AY92" s="97">
        <v>4055.7851402872502</v>
      </c>
      <c r="AZ92" s="97">
        <v>3.672668602664122</v>
      </c>
      <c r="BA92" s="97">
        <v>5218.1275506651846</v>
      </c>
      <c r="BB92" s="97">
        <v>0.36020583190394512</v>
      </c>
      <c r="BC92" s="97">
        <v>511.7804459691252</v>
      </c>
      <c r="BD92" s="97">
        <v>7.4151480565557959</v>
      </c>
      <c r="BE92" s="97">
        <v>10535.442358754475</v>
      </c>
      <c r="BF92" s="97">
        <v>3.9302932863585371</v>
      </c>
      <c r="BG92" s="97">
        <v>5584.160701258209</v>
      </c>
      <c r="BH92" s="97">
        <v>3.1799375076949219</v>
      </c>
      <c r="BI92" s="97">
        <v>4518.0552109329446</v>
      </c>
      <c r="BJ92" s="97">
        <v>3.139382672912749</v>
      </c>
      <c r="BK92" s="97">
        <v>4460.4349016744336</v>
      </c>
      <c r="BL92" s="97">
        <v>3.1197256661328669</v>
      </c>
      <c r="BM92" s="97">
        <v>4432.5062264415774</v>
      </c>
      <c r="BN92" s="97">
        <v>0.2356020942408377</v>
      </c>
      <c r="BO92" s="97">
        <v>334.74345549738217</v>
      </c>
      <c r="BP92" s="97">
        <v>3.5112218305197058</v>
      </c>
      <c r="BQ92" s="97">
        <v>4988.7439768023978</v>
      </c>
      <c r="BR92" s="97">
        <v>2.1558652552656596</v>
      </c>
      <c r="BS92" s="97">
        <v>3063.053354681449</v>
      </c>
      <c r="BT92" s="97">
        <v>4.6613116959219019</v>
      </c>
      <c r="BU92" s="97">
        <v>6622.7916575658382</v>
      </c>
      <c r="BV92" s="97">
        <v>0.36036036036036034</v>
      </c>
      <c r="BW92" s="97">
        <v>511.99999999999994</v>
      </c>
      <c r="BX92" s="97">
        <v>4</v>
      </c>
      <c r="BY92" s="97">
        <v>5683.2</v>
      </c>
      <c r="BZ92" s="97">
        <v>1.7961155457020137</v>
      </c>
      <c r="CA92" s="97">
        <v>2551.9209673334208</v>
      </c>
      <c r="CB92" s="97">
        <v>4.6052010581187286</v>
      </c>
      <c r="CC92" s="97">
        <v>6543.0696633750895</v>
      </c>
      <c r="CD92" s="97">
        <v>2.7684563758389262</v>
      </c>
      <c r="CE92" s="97">
        <v>3933.4228187919462</v>
      </c>
      <c r="CF92" s="97">
        <v>3.8741362301204592</v>
      </c>
      <c r="CG92" s="97">
        <v>5504.3727557551483</v>
      </c>
      <c r="CH92" s="97">
        <v>0.15734265734265734</v>
      </c>
      <c r="CI92" s="97">
        <v>223.55244755244755</v>
      </c>
      <c r="CJ92" s="97">
        <v>5.6162790697674421</v>
      </c>
      <c r="CK92" s="97">
        <v>7979.6093023255817</v>
      </c>
      <c r="CL92" s="97">
        <v>4.5372723968442372</v>
      </c>
      <c r="CM92" s="97">
        <v>6446.5566214362916</v>
      </c>
      <c r="CN92" s="97">
        <v>2.9596412556053813</v>
      </c>
      <c r="CO92" s="97">
        <v>4205.0582959641251</v>
      </c>
      <c r="CP92" s="97">
        <v>2.6058984152381493E-2</v>
      </c>
      <c r="CQ92" s="97">
        <v>37.024604683703622</v>
      </c>
      <c r="CR92" s="97">
        <v>6</v>
      </c>
      <c r="CS92" s="97">
        <v>8524.7999999999993</v>
      </c>
      <c r="CT92" s="97">
        <v>5</v>
      </c>
      <c r="CU92" s="97">
        <v>7104</v>
      </c>
    </row>
    <row r="93" spans="2:99" x14ac:dyDescent="0.15">
      <c r="C93" s="96" t="s">
        <v>258</v>
      </c>
      <c r="D93" s="97">
        <v>0</v>
      </c>
      <c r="E93" s="97">
        <v>0</v>
      </c>
      <c r="F93" s="97">
        <v>0</v>
      </c>
      <c r="G93" s="97">
        <v>0</v>
      </c>
      <c r="H93" s="97">
        <v>2.1706387842736725</v>
      </c>
      <c r="I93" s="97">
        <v>3847.2401812466569</v>
      </c>
      <c r="J93" s="97">
        <v>2.4770075986431133</v>
      </c>
      <c r="K93" s="97">
        <v>4390.2482678350534</v>
      </c>
      <c r="L93" s="97">
        <v>2.4152042214640677</v>
      </c>
      <c r="M93" s="97">
        <v>4280.7079621229132</v>
      </c>
      <c r="N93" s="97">
        <v>0</v>
      </c>
      <c r="O93" s="97">
        <v>0</v>
      </c>
      <c r="P93" s="97">
        <v>7.1532841200741553</v>
      </c>
      <c r="Q93" s="97">
        <v>12678.480774419431</v>
      </c>
      <c r="R93" s="97">
        <v>2.7839707067762864</v>
      </c>
      <c r="S93" s="97">
        <v>4934.3096806902895</v>
      </c>
      <c r="T93" s="97">
        <v>2.9488652370191173</v>
      </c>
      <c r="U93" s="97">
        <v>5226.5687460926829</v>
      </c>
      <c r="V93" s="97">
        <v>0</v>
      </c>
      <c r="W93" s="97">
        <v>0</v>
      </c>
      <c r="X93" s="97">
        <v>3.9548188451456605</v>
      </c>
      <c r="Y93" s="97">
        <v>7009.520921136168</v>
      </c>
      <c r="Z93" s="97">
        <v>4.8512629398570704E-16</v>
      </c>
      <c r="AA93" s="97">
        <v>8.5983784346026713E-13</v>
      </c>
      <c r="AB93" s="97">
        <v>4.8511825784740896</v>
      </c>
      <c r="AC93" s="97">
        <v>8598.2360020874767</v>
      </c>
      <c r="AD93" s="97">
        <v>2.5914285823826164</v>
      </c>
      <c r="AE93" s="97">
        <v>4593.0480194149486</v>
      </c>
      <c r="AF93" s="97">
        <v>3.1016213164786279</v>
      </c>
      <c r="AG93" s="97">
        <v>5497.3136213267198</v>
      </c>
      <c r="AH93" s="97">
        <v>2.5596813007799293</v>
      </c>
      <c r="AI93" s="97">
        <v>4536.7791375023462</v>
      </c>
      <c r="AJ93" s="97">
        <v>3.440571835999354</v>
      </c>
      <c r="AK93" s="97">
        <v>6098.0695221252545</v>
      </c>
      <c r="AL93" s="97">
        <v>3.5408611495746243</v>
      </c>
      <c r="AM93" s="97">
        <v>6275.8223015060639</v>
      </c>
      <c r="AN93" s="97">
        <v>2.3901736633433401</v>
      </c>
      <c r="AO93" s="97">
        <v>4236.3438009097354</v>
      </c>
      <c r="AP93" s="97">
        <v>0.34482758620689657</v>
      </c>
      <c r="AQ93" s="97">
        <v>611.17241379310349</v>
      </c>
      <c r="AR93" s="97">
        <v>4.4674719039827764</v>
      </c>
      <c r="AS93" s="97">
        <v>7918.1472026190722</v>
      </c>
      <c r="AT93" s="97">
        <v>2.8870454441885784</v>
      </c>
      <c r="AU93" s="97">
        <v>5116.9993452798362</v>
      </c>
      <c r="AV93" s="97">
        <v>3.0303030303030307</v>
      </c>
      <c r="AW93" s="97">
        <v>5370.909090909091</v>
      </c>
      <c r="AX93" s="97">
        <v>2.8545785052697425</v>
      </c>
      <c r="AY93" s="97">
        <v>5059.4549427400916</v>
      </c>
      <c r="AZ93" s="97">
        <v>3.9787243195527986</v>
      </c>
      <c r="BA93" s="97">
        <v>7051.8909839753796</v>
      </c>
      <c r="BB93" s="97">
        <v>0.36020583190394512</v>
      </c>
      <c r="BC93" s="97">
        <v>638.42881646655223</v>
      </c>
      <c r="BD93" s="97">
        <v>7.9448014891669247</v>
      </c>
      <c r="BE93" s="97">
        <v>14081.366159399457</v>
      </c>
      <c r="BF93" s="97">
        <v>3.9302932863585371</v>
      </c>
      <c r="BG93" s="97">
        <v>6966.0518207418709</v>
      </c>
      <c r="BH93" s="97">
        <v>2.782445319233056</v>
      </c>
      <c r="BI93" s="97">
        <v>4931.6060838086678</v>
      </c>
      <c r="BJ93" s="97">
        <v>2.8254444056214738</v>
      </c>
      <c r="BK93" s="97">
        <v>5007.8176645234998</v>
      </c>
      <c r="BL93" s="97">
        <v>3.4663618512587409</v>
      </c>
      <c r="BM93" s="97">
        <v>6143.7797451709921</v>
      </c>
      <c r="BN93" s="97">
        <v>0.27486910994764396</v>
      </c>
      <c r="BO93" s="97">
        <v>487.17801047120412</v>
      </c>
      <c r="BP93" s="97">
        <v>2.9260181920997548</v>
      </c>
      <c r="BQ93" s="97">
        <v>5186.0746436776053</v>
      </c>
      <c r="BR93" s="97">
        <v>2.1558652552656596</v>
      </c>
      <c r="BS93" s="97">
        <v>3821.0555784328549</v>
      </c>
      <c r="BT93" s="97">
        <v>4.6613116959219019</v>
      </c>
      <c r="BU93" s="97">
        <v>8261.7088498519788</v>
      </c>
      <c r="BV93" s="97">
        <v>0.36036036036036034</v>
      </c>
      <c r="BW93" s="97">
        <v>638.7027027027026</v>
      </c>
      <c r="BX93" s="97">
        <v>5</v>
      </c>
      <c r="BY93" s="97">
        <v>8862</v>
      </c>
      <c r="BZ93" s="97">
        <v>1.7961155457020137</v>
      </c>
      <c r="CA93" s="97">
        <v>3183.4351932022487</v>
      </c>
      <c r="CB93" s="97">
        <v>4.6052010581187286</v>
      </c>
      <c r="CC93" s="97">
        <v>8162.2583554096336</v>
      </c>
      <c r="CD93" s="97">
        <v>3.3221476510067114</v>
      </c>
      <c r="CE93" s="97">
        <v>5888.1744966442948</v>
      </c>
      <c r="CF93" s="97">
        <v>3.8741362301204592</v>
      </c>
      <c r="CG93" s="97">
        <v>6866.5190542655009</v>
      </c>
      <c r="CH93" s="97">
        <v>0.13111888111888112</v>
      </c>
      <c r="CI93" s="97">
        <v>232.39510489510488</v>
      </c>
      <c r="CJ93" s="97">
        <v>6.4186046511627906</v>
      </c>
      <c r="CK93" s="97">
        <v>11376.334883720929</v>
      </c>
      <c r="CL93" s="97">
        <v>4.5372723968442372</v>
      </c>
      <c r="CM93" s="97">
        <v>8041.8615961667256</v>
      </c>
      <c r="CN93" s="97">
        <v>3.6995515695067263</v>
      </c>
      <c r="CO93" s="97">
        <v>6557.0852017937214</v>
      </c>
      <c r="CP93" s="97">
        <v>1.9544238114286121E-2</v>
      </c>
      <c r="CQ93" s="97">
        <v>34.640207633760717</v>
      </c>
      <c r="CR93" s="97">
        <v>6</v>
      </c>
      <c r="CS93" s="97">
        <v>10634.4</v>
      </c>
      <c r="CT93" s="97">
        <v>6</v>
      </c>
      <c r="CU93" s="97">
        <v>10634.4</v>
      </c>
    </row>
    <row r="94" spans="2:99" x14ac:dyDescent="0.15">
      <c r="C94" s="96" t="s">
        <v>259</v>
      </c>
      <c r="D94" s="97">
        <v>0</v>
      </c>
      <c r="E94" s="97">
        <v>0</v>
      </c>
      <c r="F94" s="97">
        <v>0</v>
      </c>
      <c r="G94" s="97">
        <v>0</v>
      </c>
      <c r="H94" s="97">
        <v>1.9445305775784985</v>
      </c>
      <c r="I94" s="97">
        <v>4657.5396394160189</v>
      </c>
      <c r="J94" s="97">
        <v>2.5582209625330514</v>
      </c>
      <c r="K94" s="97">
        <v>6127.4508494591646</v>
      </c>
      <c r="L94" s="97">
        <v>2.5615802348861321</v>
      </c>
      <c r="M94" s="97">
        <v>6135.4969785992635</v>
      </c>
      <c r="N94" s="97">
        <v>0</v>
      </c>
      <c r="O94" s="97">
        <v>0</v>
      </c>
      <c r="P94" s="97">
        <v>6.3757532374573991</v>
      </c>
      <c r="Q94" s="97">
        <v>15271.204154357962</v>
      </c>
      <c r="R94" s="97">
        <v>2.348975283842492</v>
      </c>
      <c r="S94" s="97">
        <v>5626.2655998595365</v>
      </c>
      <c r="T94" s="97">
        <v>2.7645611597054227</v>
      </c>
      <c r="U94" s="97">
        <v>6621.6768897264283</v>
      </c>
      <c r="V94" s="97">
        <v>0</v>
      </c>
      <c r="W94" s="97">
        <v>0</v>
      </c>
      <c r="X94" s="97">
        <v>3.5593369606310947</v>
      </c>
      <c r="Y94" s="97">
        <v>8525.3238881035977</v>
      </c>
      <c r="Z94" s="97">
        <v>4.349408152975304E-16</v>
      </c>
      <c r="AA94" s="97">
        <v>1.0417702408006448E-12</v>
      </c>
      <c r="AB94" s="97">
        <v>5.361833376208204</v>
      </c>
      <c r="AC94" s="97">
        <v>12842.663302693889</v>
      </c>
      <c r="AD94" s="97">
        <v>2.1341176560798014</v>
      </c>
      <c r="AE94" s="97">
        <v>5111.63860984234</v>
      </c>
      <c r="AF94" s="97">
        <v>2.6585325569816809</v>
      </c>
      <c r="AG94" s="97">
        <v>6367.7171804825211</v>
      </c>
      <c r="AH94" s="97">
        <v>2.4091118124987569</v>
      </c>
      <c r="AI94" s="97">
        <v>5770.3046132970221</v>
      </c>
      <c r="AJ94" s="97">
        <v>2.7524574687994829</v>
      </c>
      <c r="AK94" s="97">
        <v>6592.6861292685207</v>
      </c>
      <c r="AL94" s="97">
        <v>2.9160032996496907</v>
      </c>
      <c r="AM94" s="97">
        <v>6984.4111033209383</v>
      </c>
      <c r="AN94" s="97">
        <v>2.56090035358215</v>
      </c>
      <c r="AO94" s="97">
        <v>6133.8685268999652</v>
      </c>
      <c r="AP94" s="97">
        <v>0.36206896551724138</v>
      </c>
      <c r="AQ94" s="97">
        <v>867.22758620689649</v>
      </c>
      <c r="AR94" s="97">
        <v>4.4674719039827764</v>
      </c>
      <c r="AS94" s="97">
        <v>10700.488704419546</v>
      </c>
      <c r="AT94" s="97">
        <v>2.8870454441885784</v>
      </c>
      <c r="AU94" s="97">
        <v>6915.0512479204826</v>
      </c>
      <c r="AV94" s="97">
        <v>2.5974025974025974</v>
      </c>
      <c r="AW94" s="97">
        <v>6221.2987012987005</v>
      </c>
      <c r="AX94" s="97">
        <v>2.8545785052697425</v>
      </c>
      <c r="AY94" s="97">
        <v>6837.2864358220868</v>
      </c>
      <c r="AZ94" s="97">
        <v>3.672668602664122</v>
      </c>
      <c r="BA94" s="97">
        <v>8796.7758371011041</v>
      </c>
      <c r="BB94" s="97">
        <v>0.33447684391080618</v>
      </c>
      <c r="BC94" s="97">
        <v>801.13893653516288</v>
      </c>
      <c r="BD94" s="97">
        <v>6.8854946239446679</v>
      </c>
      <c r="BE94" s="97">
        <v>16492.136723272266</v>
      </c>
      <c r="BF94" s="97">
        <v>3.6027688458286584</v>
      </c>
      <c r="BG94" s="97">
        <v>8629.3519395288022</v>
      </c>
      <c r="BH94" s="97">
        <v>2.782445319233056</v>
      </c>
      <c r="BI94" s="97">
        <v>6664.513028627015</v>
      </c>
      <c r="BJ94" s="97">
        <v>2.8254444056214738</v>
      </c>
      <c r="BK94" s="97">
        <v>6767.5044403445536</v>
      </c>
      <c r="BL94" s="97">
        <v>3.4663618512587409</v>
      </c>
      <c r="BM94" s="97">
        <v>8302.6299061349346</v>
      </c>
      <c r="BN94" s="97">
        <v>0.2356020942408377</v>
      </c>
      <c r="BO94" s="97">
        <v>564.31413612565439</v>
      </c>
      <c r="BP94" s="97">
        <v>2.9260181920997548</v>
      </c>
      <c r="BQ94" s="97">
        <v>7008.398773717332</v>
      </c>
      <c r="BR94" s="97">
        <v>2.1558652552656596</v>
      </c>
      <c r="BS94" s="97">
        <v>5163.7284594123075</v>
      </c>
      <c r="BT94" s="97">
        <v>3.8844264132682511</v>
      </c>
      <c r="BU94" s="97">
        <v>9303.9781450601149</v>
      </c>
      <c r="BV94" s="97">
        <v>0.31531531531531531</v>
      </c>
      <c r="BW94" s="97">
        <v>755.24324324324323</v>
      </c>
      <c r="BX94" s="97">
        <v>4</v>
      </c>
      <c r="BY94" s="97">
        <v>9580.7999999999993</v>
      </c>
      <c r="BZ94" s="97">
        <v>1.4368924365616109</v>
      </c>
      <c r="CA94" s="97">
        <v>3441.6447640523702</v>
      </c>
      <c r="CB94" s="97">
        <v>4.6052010581187286</v>
      </c>
      <c r="CC94" s="97">
        <v>11030.377574405979</v>
      </c>
      <c r="CD94" s="97">
        <v>2.7684563758389262</v>
      </c>
      <c r="CE94" s="97">
        <v>6631.0067114093954</v>
      </c>
      <c r="CF94" s="97">
        <v>3.8741362301204592</v>
      </c>
      <c r="CG94" s="97">
        <v>9279.3310983845222</v>
      </c>
      <c r="CH94" s="97">
        <v>0.13111888111888112</v>
      </c>
      <c r="CI94" s="97">
        <v>314.05594405594405</v>
      </c>
      <c r="CJ94" s="97">
        <v>6.4186046511627906</v>
      </c>
      <c r="CK94" s="97">
        <v>15373.841860465114</v>
      </c>
      <c r="CL94" s="97">
        <v>4.5372723968442372</v>
      </c>
      <c r="CM94" s="97">
        <v>10867.674844921316</v>
      </c>
      <c r="CN94" s="97">
        <v>3.6995515695067263</v>
      </c>
      <c r="CO94" s="97">
        <v>8861.16591928251</v>
      </c>
      <c r="CP94" s="97">
        <v>2.6058984152381493E-2</v>
      </c>
      <c r="CQ94" s="97">
        <v>62.416478841784148</v>
      </c>
      <c r="CR94" s="97">
        <v>6</v>
      </c>
      <c r="CS94" s="97">
        <v>14371.199999999999</v>
      </c>
      <c r="CT94" s="97">
        <v>5</v>
      </c>
      <c r="CU94" s="97">
        <v>11976</v>
      </c>
    </row>
    <row r="95" spans="2:99" x14ac:dyDescent="0.15">
      <c r="B95" s="96" t="s">
        <v>132</v>
      </c>
      <c r="C95" s="96" t="s">
        <v>260</v>
      </c>
      <c r="D95" s="97">
        <v>0</v>
      </c>
      <c r="E95" s="97">
        <v>0</v>
      </c>
      <c r="F95" s="97">
        <v>0</v>
      </c>
      <c r="G95" s="97">
        <v>0</v>
      </c>
      <c r="H95" s="97">
        <v>4.7934939819376945</v>
      </c>
      <c r="I95" s="97">
        <v>8306.166371901636</v>
      </c>
      <c r="J95" s="97">
        <v>4.2230949222767835</v>
      </c>
      <c r="K95" s="97">
        <v>7317.7788813212101</v>
      </c>
      <c r="L95" s="97">
        <v>4.3912804026619412</v>
      </c>
      <c r="M95" s="97">
        <v>7609.2106817326112</v>
      </c>
      <c r="N95" s="97">
        <v>0</v>
      </c>
      <c r="O95" s="97">
        <v>0</v>
      </c>
      <c r="P95" s="97">
        <v>10.418913827064531</v>
      </c>
      <c r="Q95" s="97">
        <v>18053.89387953742</v>
      </c>
      <c r="R95" s="97">
        <v>4.8719487368585019</v>
      </c>
      <c r="S95" s="97">
        <v>8442.1127712284124</v>
      </c>
      <c r="T95" s="97">
        <v>3.6860815462738969</v>
      </c>
      <c r="U95" s="97">
        <v>6387.2421033834089</v>
      </c>
      <c r="V95" s="97">
        <v>0</v>
      </c>
      <c r="W95" s="97">
        <v>0</v>
      </c>
      <c r="X95" s="97">
        <v>6.9209329790049061</v>
      </c>
      <c r="Y95" s="97">
        <v>11992.5926660197</v>
      </c>
      <c r="Z95" s="97">
        <v>6.5241122294629565E-16</v>
      </c>
      <c r="AA95" s="97">
        <v>1.130498167121341E-12</v>
      </c>
      <c r="AB95" s="97">
        <v>8.1704127637458352</v>
      </c>
      <c r="AC95" s="97">
        <v>14157.691237018784</v>
      </c>
      <c r="AD95" s="97">
        <v>4.1157983367253319</v>
      </c>
      <c r="AE95" s="97">
        <v>7131.8553578776546</v>
      </c>
      <c r="AF95" s="97">
        <v>4.2831913418038186</v>
      </c>
      <c r="AG95" s="97">
        <v>7421.913957077657</v>
      </c>
      <c r="AH95" s="97">
        <v>3.6136677187481356</v>
      </c>
      <c r="AI95" s="97">
        <v>6261.7634230467693</v>
      </c>
      <c r="AJ95" s="97">
        <v>5.5049149375989659</v>
      </c>
      <c r="AK95" s="97">
        <v>9538.9166038714884</v>
      </c>
      <c r="AL95" s="97">
        <v>5.6237206493244027</v>
      </c>
      <c r="AM95" s="97">
        <v>9744.7831411493244</v>
      </c>
      <c r="AN95" s="97">
        <v>3.4145338047762004</v>
      </c>
      <c r="AO95" s="97">
        <v>5916.7041769161997</v>
      </c>
      <c r="AP95" s="97">
        <v>0.46551724137931033</v>
      </c>
      <c r="AQ95" s="97">
        <v>806.64827586206889</v>
      </c>
      <c r="AR95" s="97">
        <v>5.9566292053103691</v>
      </c>
      <c r="AS95" s="97">
        <v>10321.647086961808</v>
      </c>
      <c r="AT95" s="97">
        <v>4.3305681662828679</v>
      </c>
      <c r="AU95" s="97">
        <v>7504.0085185349535</v>
      </c>
      <c r="AV95" s="97">
        <v>4.1125541125541121</v>
      </c>
      <c r="AW95" s="97">
        <v>7126.233766233765</v>
      </c>
      <c r="AX95" s="97">
        <v>4.8527834589585623</v>
      </c>
      <c r="AY95" s="97">
        <v>8408.9031776833963</v>
      </c>
      <c r="AZ95" s="97">
        <v>4.2847800364414752</v>
      </c>
      <c r="BA95" s="97">
        <v>7424.6668471457879</v>
      </c>
      <c r="BB95" s="97">
        <v>0.33447684391080618</v>
      </c>
      <c r="BC95" s="97">
        <v>579.58147512864491</v>
      </c>
      <c r="BD95" s="97">
        <v>5.8261877587224111</v>
      </c>
      <c r="BE95" s="97">
        <v>10095.618148314194</v>
      </c>
      <c r="BF95" s="97">
        <v>3.9302932863585371</v>
      </c>
      <c r="BG95" s="97">
        <v>6810.4122066020727</v>
      </c>
      <c r="BH95" s="97">
        <v>2.782445319233056</v>
      </c>
      <c r="BI95" s="97">
        <v>4821.4212491670396</v>
      </c>
      <c r="BJ95" s="97">
        <v>4.3951357420778487</v>
      </c>
      <c r="BK95" s="97">
        <v>7615.8912138724963</v>
      </c>
      <c r="BL95" s="97">
        <v>3.1197256661328669</v>
      </c>
      <c r="BM95" s="97">
        <v>5405.8606342750318</v>
      </c>
      <c r="BN95" s="97">
        <v>0.51047120418848169</v>
      </c>
      <c r="BO95" s="97">
        <v>884.54450261780107</v>
      </c>
      <c r="BP95" s="97">
        <v>3.5112218305197058</v>
      </c>
      <c r="BQ95" s="97">
        <v>6084.2451879245464</v>
      </c>
      <c r="BR95" s="97">
        <v>4.3117305105313193</v>
      </c>
      <c r="BS95" s="97">
        <v>7471.3666286486696</v>
      </c>
      <c r="BT95" s="97">
        <v>8.5457381091901539</v>
      </c>
      <c r="BU95" s="97">
        <v>14808.054995604698</v>
      </c>
      <c r="BV95" s="97">
        <v>0.27027027027027029</v>
      </c>
      <c r="BW95" s="97">
        <v>468.32432432432432</v>
      </c>
      <c r="BX95" s="97">
        <v>6</v>
      </c>
      <c r="BY95" s="97">
        <v>10396.799999999999</v>
      </c>
      <c r="BZ95" s="97">
        <v>3.2330079822636248</v>
      </c>
      <c r="CA95" s="97">
        <v>5602.1562316664094</v>
      </c>
      <c r="CB95" s="97">
        <v>3.4539007935890464</v>
      </c>
      <c r="CC95" s="97">
        <v>5984.9192951310997</v>
      </c>
      <c r="CD95" s="97">
        <v>3.3221476510067114</v>
      </c>
      <c r="CE95" s="97">
        <v>5756.6174496644289</v>
      </c>
      <c r="CF95" s="97">
        <v>4.5198256018072023</v>
      </c>
      <c r="CG95" s="97">
        <v>7831.9538028115203</v>
      </c>
      <c r="CH95" s="97">
        <v>0.18356643356643357</v>
      </c>
      <c r="CI95" s="97">
        <v>318.08391608391605</v>
      </c>
      <c r="CJ95" s="97">
        <v>4.0116279069767442</v>
      </c>
      <c r="CK95" s="97">
        <v>6951.3488372093025</v>
      </c>
      <c r="CL95" s="97">
        <v>3.7810603307035309</v>
      </c>
      <c r="CM95" s="97">
        <v>6551.8213410430781</v>
      </c>
      <c r="CN95" s="97">
        <v>2.9596412556053813</v>
      </c>
      <c r="CO95" s="97">
        <v>5128.4663677130047</v>
      </c>
      <c r="CP95" s="97">
        <v>3.2573730190476866E-2</v>
      </c>
      <c r="CQ95" s="97">
        <v>56.443759674058313</v>
      </c>
      <c r="CR95" s="97">
        <v>4</v>
      </c>
      <c r="CS95" s="97">
        <v>6931.2</v>
      </c>
      <c r="CT95" s="97">
        <v>5</v>
      </c>
      <c r="CU95" s="97">
        <v>8664</v>
      </c>
    </row>
    <row r="96" spans="2:99" x14ac:dyDescent="0.15">
      <c r="C96" s="96" t="s">
        <v>261</v>
      </c>
      <c r="D96" s="97">
        <v>0</v>
      </c>
      <c r="E96" s="97">
        <v>0</v>
      </c>
      <c r="F96" s="97">
        <v>0</v>
      </c>
      <c r="G96" s="97">
        <v>0</v>
      </c>
      <c r="H96" s="97">
        <v>5.9240350154135655</v>
      </c>
      <c r="I96" s="97">
        <v>4876.6656246884468</v>
      </c>
      <c r="J96" s="97">
        <v>4.8321951514513195</v>
      </c>
      <c r="K96" s="97">
        <v>3977.8630486747261</v>
      </c>
      <c r="L96" s="97">
        <v>4.9035964496391671</v>
      </c>
      <c r="M96" s="97">
        <v>4036.6405973429619</v>
      </c>
      <c r="N96" s="97">
        <v>0</v>
      </c>
      <c r="O96" s="97">
        <v>0</v>
      </c>
      <c r="P96" s="97">
        <v>11.196444709681288</v>
      </c>
      <c r="Q96" s="97">
        <v>9216.9132850096357</v>
      </c>
      <c r="R96" s="97">
        <v>6.2639340902466447</v>
      </c>
      <c r="S96" s="97">
        <v>5156.4705430910371</v>
      </c>
      <c r="T96" s="97">
        <v>4.6997539714992191</v>
      </c>
      <c r="U96" s="97">
        <v>3868.837469338157</v>
      </c>
      <c r="V96" s="97">
        <v>0</v>
      </c>
      <c r="W96" s="97">
        <v>0</v>
      </c>
      <c r="X96" s="97">
        <v>8.3051195748058877</v>
      </c>
      <c r="Y96" s="97">
        <v>6836.7744339802066</v>
      </c>
      <c r="Z96" s="97">
        <v>7.8623916611476655E-16</v>
      </c>
      <c r="AA96" s="97">
        <v>6.4723208154567572E-13</v>
      </c>
      <c r="AB96" s="97">
        <v>10.723666752416408</v>
      </c>
      <c r="AC96" s="97">
        <v>8827.7224705891858</v>
      </c>
      <c r="AD96" s="97">
        <v>5.030420189330961</v>
      </c>
      <c r="AE96" s="97">
        <v>4141.0418998572468</v>
      </c>
      <c r="AF96" s="97">
        <v>4.4308875949694677</v>
      </c>
      <c r="AG96" s="97">
        <v>3647.5066681788653</v>
      </c>
      <c r="AH96" s="97">
        <v>4.5170846484351692</v>
      </c>
      <c r="AI96" s="97">
        <v>3718.4640825918309</v>
      </c>
      <c r="AJ96" s="97">
        <v>6.4224007605321267</v>
      </c>
      <c r="AK96" s="97">
        <v>5286.9203060700465</v>
      </c>
      <c r="AL96" s="97">
        <v>6.2485784992493372</v>
      </c>
      <c r="AM96" s="97">
        <v>5143.8298205820538</v>
      </c>
      <c r="AN96" s="97">
        <v>3.5852604950150102</v>
      </c>
      <c r="AO96" s="97">
        <v>2951.3864394963562</v>
      </c>
      <c r="AP96" s="97">
        <v>0.43103448275862066</v>
      </c>
      <c r="AQ96" s="97">
        <v>354.82758620689651</v>
      </c>
      <c r="AR96" s="97">
        <v>6.9494007395287634</v>
      </c>
      <c r="AS96" s="97">
        <v>5720.7466887800774</v>
      </c>
      <c r="AT96" s="97">
        <v>4.0418636218640094</v>
      </c>
      <c r="AU96" s="97">
        <v>3327.2621335184522</v>
      </c>
      <c r="AV96" s="97">
        <v>4.329004329004329</v>
      </c>
      <c r="AW96" s="97">
        <v>3563.6363636363635</v>
      </c>
      <c r="AX96" s="97">
        <v>4.8527834589585623</v>
      </c>
      <c r="AY96" s="97">
        <v>3994.8113434146881</v>
      </c>
      <c r="AZ96" s="97">
        <v>4.5908357533301523</v>
      </c>
      <c r="BA96" s="97">
        <v>3779.1759921413809</v>
      </c>
      <c r="BB96" s="97">
        <v>0.36020583190394512</v>
      </c>
      <c r="BC96" s="97">
        <v>296.52144082332762</v>
      </c>
      <c r="BD96" s="97">
        <v>6.35584119133354</v>
      </c>
      <c r="BE96" s="97">
        <v>5232.1284687057696</v>
      </c>
      <c r="BF96" s="97">
        <v>3.9302932863585371</v>
      </c>
      <c r="BG96" s="97">
        <v>3235.4174333303476</v>
      </c>
      <c r="BH96" s="97">
        <v>2.782445319233056</v>
      </c>
      <c r="BI96" s="97">
        <v>2290.5089867926517</v>
      </c>
      <c r="BJ96" s="97">
        <v>4.0811974747865731</v>
      </c>
      <c r="BK96" s="97">
        <v>3359.6417612443065</v>
      </c>
      <c r="BL96" s="97">
        <v>2.773089481006993</v>
      </c>
      <c r="BM96" s="97">
        <v>2282.8072607649565</v>
      </c>
      <c r="BN96" s="97">
        <v>0.58900523560209428</v>
      </c>
      <c r="BO96" s="97">
        <v>484.86910994764395</v>
      </c>
      <c r="BP96" s="97">
        <v>3.5112218305197058</v>
      </c>
      <c r="BQ96" s="97">
        <v>2890.4378108838214</v>
      </c>
      <c r="BR96" s="97">
        <v>4.3117305105313193</v>
      </c>
      <c r="BS96" s="97">
        <v>3549.4165562693815</v>
      </c>
      <c r="BT96" s="97">
        <v>7.7688528265365022</v>
      </c>
      <c r="BU96" s="97">
        <v>6395.3196468048482</v>
      </c>
      <c r="BV96" s="97">
        <v>0.27027027027027029</v>
      </c>
      <c r="BW96" s="97">
        <v>222.48648648648648</v>
      </c>
      <c r="BX96" s="97">
        <v>6</v>
      </c>
      <c r="BY96" s="97">
        <v>4939.2</v>
      </c>
      <c r="BZ96" s="97">
        <v>3.2330079822636248</v>
      </c>
      <c r="CA96" s="97">
        <v>2661.4121709994156</v>
      </c>
      <c r="CB96" s="97">
        <v>3.4539007935890464</v>
      </c>
      <c r="CC96" s="97">
        <v>2843.2511332825029</v>
      </c>
      <c r="CD96" s="97">
        <v>3.3221476510067114</v>
      </c>
      <c r="CE96" s="97">
        <v>2734.7919463087246</v>
      </c>
      <c r="CF96" s="97">
        <v>3.8741362301204592</v>
      </c>
      <c r="CG96" s="97">
        <v>3189.1889446351615</v>
      </c>
      <c r="CH96" s="97">
        <v>0.18356643356643357</v>
      </c>
      <c r="CI96" s="97">
        <v>151.11188811188811</v>
      </c>
      <c r="CJ96" s="97">
        <v>4.0116279069767442</v>
      </c>
      <c r="CK96" s="97">
        <v>3302.3720930232557</v>
      </c>
      <c r="CL96" s="97">
        <v>3.7810603307035309</v>
      </c>
      <c r="CM96" s="97">
        <v>3112.5688642351465</v>
      </c>
      <c r="CN96" s="97">
        <v>3.6995515695067263</v>
      </c>
      <c r="CO96" s="97">
        <v>3045.470852017937</v>
      </c>
      <c r="CP96" s="97">
        <v>3.2573730190476866E-2</v>
      </c>
      <c r="CQ96" s="97">
        <v>26.814694692800554</v>
      </c>
      <c r="CR96" s="97">
        <v>4</v>
      </c>
      <c r="CS96" s="97">
        <v>3292.7999999999997</v>
      </c>
      <c r="CT96" s="97">
        <v>5</v>
      </c>
      <c r="CU96" s="97">
        <v>4116</v>
      </c>
    </row>
    <row r="97" spans="2:99" x14ac:dyDescent="0.15">
      <c r="C97" s="96" t="s">
        <v>262</v>
      </c>
      <c r="D97" s="97">
        <v>0</v>
      </c>
      <c r="E97" s="97">
        <v>0</v>
      </c>
      <c r="F97" s="97">
        <v>0</v>
      </c>
      <c r="G97" s="97">
        <v>0</v>
      </c>
      <c r="H97" s="97">
        <v>4.8387156232767286</v>
      </c>
      <c r="I97" s="97">
        <v>8849.0431318484807</v>
      </c>
      <c r="J97" s="97">
        <v>4.1418815583868458</v>
      </c>
      <c r="K97" s="97">
        <v>7574.6729939778634</v>
      </c>
      <c r="L97" s="97">
        <v>4.6108444227950383</v>
      </c>
      <c r="M97" s="97">
        <v>8432.3122804075665</v>
      </c>
      <c r="N97" s="97">
        <v>0</v>
      </c>
      <c r="O97" s="97">
        <v>0</v>
      </c>
      <c r="P97" s="97">
        <v>9.0193582383543696</v>
      </c>
      <c r="Q97" s="97">
        <v>16494.602346302472</v>
      </c>
      <c r="R97" s="97">
        <v>5.0459469060320199</v>
      </c>
      <c r="S97" s="97">
        <v>9228.0277017513581</v>
      </c>
      <c r="T97" s="97">
        <v>4.1468417395581341</v>
      </c>
      <c r="U97" s="97">
        <v>7583.744173303915</v>
      </c>
      <c r="V97" s="97">
        <v>0</v>
      </c>
      <c r="W97" s="97">
        <v>0</v>
      </c>
      <c r="X97" s="97">
        <v>6.7231920367476228</v>
      </c>
      <c r="Y97" s="97">
        <v>12295.373596804053</v>
      </c>
      <c r="Z97" s="97">
        <v>6.5241122294629565E-16</v>
      </c>
      <c r="AA97" s="97">
        <v>1.1931296445241855E-12</v>
      </c>
      <c r="AB97" s="97">
        <v>8.4257381626128929</v>
      </c>
      <c r="AC97" s="97">
        <v>15408.989951786458</v>
      </c>
      <c r="AD97" s="97">
        <v>4.2682353121596028</v>
      </c>
      <c r="AE97" s="97">
        <v>7805.7487388774816</v>
      </c>
      <c r="AF97" s="97">
        <v>3.8401025823068724</v>
      </c>
      <c r="AG97" s="97">
        <v>7022.7796025228081</v>
      </c>
      <c r="AH97" s="97">
        <v>3.4630982304669637</v>
      </c>
      <c r="AI97" s="97">
        <v>6333.3140438779828</v>
      </c>
      <c r="AJ97" s="97">
        <v>5.5049149375989659</v>
      </c>
      <c r="AK97" s="97">
        <v>10067.388437880989</v>
      </c>
      <c r="AL97" s="97">
        <v>5.6237206493244027</v>
      </c>
      <c r="AM97" s="97">
        <v>10284.660323484468</v>
      </c>
      <c r="AN97" s="97">
        <v>3.5852604950150102</v>
      </c>
      <c r="AO97" s="97">
        <v>6556.7243932834508</v>
      </c>
      <c r="AP97" s="97">
        <v>0.44827586206896552</v>
      </c>
      <c r="AQ97" s="97">
        <v>819.80689655172409</v>
      </c>
      <c r="AR97" s="97">
        <v>5.9566292053103691</v>
      </c>
      <c r="AS97" s="97">
        <v>10893.483490671602</v>
      </c>
      <c r="AT97" s="97">
        <v>3.7531590774451518</v>
      </c>
      <c r="AU97" s="97">
        <v>6863.777320831693</v>
      </c>
      <c r="AV97" s="97">
        <v>3.8961038961038965</v>
      </c>
      <c r="AW97" s="97">
        <v>7125.1948051948057</v>
      </c>
      <c r="AX97" s="97">
        <v>4.5673256084315881</v>
      </c>
      <c r="AY97" s="97">
        <v>8352.7250726996881</v>
      </c>
      <c r="AZ97" s="97">
        <v>4.5908357533301523</v>
      </c>
      <c r="BA97" s="97">
        <v>8395.7204256901823</v>
      </c>
      <c r="BB97" s="97">
        <v>0.36020583190394512</v>
      </c>
      <c r="BC97" s="97">
        <v>658.74442538593485</v>
      </c>
      <c r="BD97" s="97">
        <v>6.35584119133354</v>
      </c>
      <c r="BE97" s="97">
        <v>11623.562370710777</v>
      </c>
      <c r="BF97" s="97">
        <v>3.9302932863585371</v>
      </c>
      <c r="BG97" s="97">
        <v>7187.7203620924929</v>
      </c>
      <c r="BH97" s="97">
        <v>2.782445319233056</v>
      </c>
      <c r="BI97" s="97">
        <v>5088.5359998134127</v>
      </c>
      <c r="BJ97" s="97">
        <v>4.3951357420778487</v>
      </c>
      <c r="BK97" s="97">
        <v>8037.8242451119695</v>
      </c>
      <c r="BL97" s="97">
        <v>2.773089481006993</v>
      </c>
      <c r="BM97" s="97">
        <v>5071.4260428655889</v>
      </c>
      <c r="BN97" s="97">
        <v>0.47120418848167539</v>
      </c>
      <c r="BO97" s="97">
        <v>861.7382198952879</v>
      </c>
      <c r="BP97" s="97">
        <v>2.9260181920997548</v>
      </c>
      <c r="BQ97" s="97">
        <v>5351.1020697120312</v>
      </c>
      <c r="BR97" s="97">
        <v>3.8805574594781871</v>
      </c>
      <c r="BS97" s="97">
        <v>7096.7634818937086</v>
      </c>
      <c r="BT97" s="97">
        <v>8.5457381091901539</v>
      </c>
      <c r="BU97" s="97">
        <v>15628.445854086953</v>
      </c>
      <c r="BV97" s="97">
        <v>0.27027027027027029</v>
      </c>
      <c r="BW97" s="97">
        <v>494.27027027027026</v>
      </c>
      <c r="BX97" s="97">
        <v>5</v>
      </c>
      <c r="BY97" s="97">
        <v>9144</v>
      </c>
      <c r="BZ97" s="97">
        <v>3.2330079822636248</v>
      </c>
      <c r="CA97" s="97">
        <v>5912.5249979637174</v>
      </c>
      <c r="CB97" s="97">
        <v>3.4539007935890464</v>
      </c>
      <c r="CC97" s="97">
        <v>6316.4937713156478</v>
      </c>
      <c r="CD97" s="97">
        <v>2.7684563758389262</v>
      </c>
      <c r="CE97" s="97">
        <v>5062.9530201342286</v>
      </c>
      <c r="CF97" s="97">
        <v>3.8741362301204592</v>
      </c>
      <c r="CG97" s="97">
        <v>7085.020337644296</v>
      </c>
      <c r="CH97" s="97">
        <v>0.18356643356643357</v>
      </c>
      <c r="CI97" s="97">
        <v>335.70629370629371</v>
      </c>
      <c r="CJ97" s="97">
        <v>3.2093023255813953</v>
      </c>
      <c r="CK97" s="97">
        <v>5869.1720930232559</v>
      </c>
      <c r="CL97" s="97">
        <v>4.5372723968442372</v>
      </c>
      <c r="CM97" s="97">
        <v>8297.7637593487416</v>
      </c>
      <c r="CN97" s="97">
        <v>3.6995515695067263</v>
      </c>
      <c r="CO97" s="97">
        <v>6765.7399103139005</v>
      </c>
      <c r="CP97" s="97">
        <v>3.2573730190476866E-2</v>
      </c>
      <c r="CQ97" s="97">
        <v>59.570837772344092</v>
      </c>
      <c r="CR97" s="97">
        <v>4</v>
      </c>
      <c r="CS97" s="97">
        <v>7315.2</v>
      </c>
      <c r="CT97" s="97">
        <v>5</v>
      </c>
      <c r="CU97" s="97">
        <v>9144</v>
      </c>
    </row>
    <row r="98" spans="2:99" x14ac:dyDescent="0.15">
      <c r="C98" s="96" t="s">
        <v>263</v>
      </c>
      <c r="D98" s="97">
        <v>0</v>
      </c>
      <c r="E98" s="97">
        <v>0</v>
      </c>
      <c r="F98" s="97">
        <v>0</v>
      </c>
      <c r="G98" s="97">
        <v>0</v>
      </c>
      <c r="H98" s="97">
        <v>4.9291589059547984</v>
      </c>
      <c r="I98" s="97">
        <v>6228.4851935644829</v>
      </c>
      <c r="J98" s="97">
        <v>5.0352285611761651</v>
      </c>
      <c r="K98" s="97">
        <v>6362.5148099022017</v>
      </c>
      <c r="L98" s="97">
        <v>4.4644684093729738</v>
      </c>
      <c r="M98" s="97">
        <v>5641.3022820836895</v>
      </c>
      <c r="N98" s="97">
        <v>0</v>
      </c>
      <c r="O98" s="97">
        <v>0</v>
      </c>
      <c r="P98" s="97">
        <v>10.418913827064531</v>
      </c>
      <c r="Q98" s="97">
        <v>13165.339511878739</v>
      </c>
      <c r="R98" s="97">
        <v>6.0029368364863682</v>
      </c>
      <c r="S98" s="97">
        <v>7585.3109865841743</v>
      </c>
      <c r="T98" s="97">
        <v>4.0546897009012861</v>
      </c>
      <c r="U98" s="97">
        <v>5123.5059060588646</v>
      </c>
      <c r="V98" s="97">
        <v>0</v>
      </c>
      <c r="W98" s="97">
        <v>0</v>
      </c>
      <c r="X98" s="97">
        <v>6.5254510944903403</v>
      </c>
      <c r="Y98" s="97">
        <v>8245.5600029979942</v>
      </c>
      <c r="Z98" s="97">
        <v>6.6913971584235447E-16</v>
      </c>
      <c r="AA98" s="97">
        <v>8.4552494493839908E-13</v>
      </c>
      <c r="AB98" s="97">
        <v>9.7023651569481792</v>
      </c>
      <c r="AC98" s="97">
        <v>12259.908612319718</v>
      </c>
      <c r="AD98" s="97">
        <v>4.8779832138966901</v>
      </c>
      <c r="AE98" s="97">
        <v>6163.819589079857</v>
      </c>
      <c r="AF98" s="97">
        <v>4.2831913418038186</v>
      </c>
      <c r="AG98" s="97">
        <v>5412.2405795033046</v>
      </c>
      <c r="AH98" s="97">
        <v>3.9148066953104803</v>
      </c>
      <c r="AI98" s="97">
        <v>4946.7497401943228</v>
      </c>
      <c r="AJ98" s="97">
        <v>6.4224007605321267</v>
      </c>
      <c r="AK98" s="97">
        <v>8115.3456010083946</v>
      </c>
      <c r="AL98" s="97">
        <v>5.2071487493744479</v>
      </c>
      <c r="AM98" s="97">
        <v>6579.7531597095522</v>
      </c>
      <c r="AN98" s="97">
        <v>3.5852604950150102</v>
      </c>
      <c r="AO98" s="97">
        <v>4530.3351615009669</v>
      </c>
      <c r="AP98" s="97">
        <v>0.44827586206896552</v>
      </c>
      <c r="AQ98" s="97">
        <v>566.44137931034481</v>
      </c>
      <c r="AR98" s="97">
        <v>5.9566292053103691</v>
      </c>
      <c r="AS98" s="97">
        <v>7526.7966638301823</v>
      </c>
      <c r="AT98" s="97">
        <v>4.3305681662828679</v>
      </c>
      <c r="AU98" s="97">
        <v>5472.1059349150319</v>
      </c>
      <c r="AV98" s="97">
        <v>4.329004329004329</v>
      </c>
      <c r="AW98" s="97">
        <v>5470.1298701298701</v>
      </c>
      <c r="AX98" s="97">
        <v>5.1382413094855366</v>
      </c>
      <c r="AY98" s="97">
        <v>6492.6817186659237</v>
      </c>
      <c r="AZ98" s="97">
        <v>4.8968914702188293</v>
      </c>
      <c r="BA98" s="97">
        <v>6187.7120617685123</v>
      </c>
      <c r="BB98" s="97">
        <v>0.36020583190394512</v>
      </c>
      <c r="BC98" s="97">
        <v>455.15608919382504</v>
      </c>
      <c r="BD98" s="97">
        <v>6.8854946239446679</v>
      </c>
      <c r="BE98" s="97">
        <v>8700.5110068164813</v>
      </c>
      <c r="BF98" s="97">
        <v>3.9302932863585371</v>
      </c>
      <c r="BG98" s="97">
        <v>4966.3185966426472</v>
      </c>
      <c r="BH98" s="97">
        <v>2.782445319233056</v>
      </c>
      <c r="BI98" s="97">
        <v>3515.8979053828893</v>
      </c>
      <c r="BJ98" s="97">
        <v>4.3951357420778487</v>
      </c>
      <c r="BK98" s="97">
        <v>5553.6935236895697</v>
      </c>
      <c r="BL98" s="97">
        <v>2.773089481006993</v>
      </c>
      <c r="BM98" s="97">
        <v>3504.0758682004362</v>
      </c>
      <c r="BN98" s="97">
        <v>0.54973821989528793</v>
      </c>
      <c r="BO98" s="97">
        <v>694.64921465968575</v>
      </c>
      <c r="BP98" s="97">
        <v>3.5112218305197058</v>
      </c>
      <c r="BQ98" s="97">
        <v>4436.7799050447002</v>
      </c>
      <c r="BR98" s="97">
        <v>4.742903561584451</v>
      </c>
      <c r="BS98" s="97">
        <v>5993.1329404181115</v>
      </c>
      <c r="BT98" s="97">
        <v>8.5457381091901539</v>
      </c>
      <c r="BU98" s="97">
        <v>10798.394674772677</v>
      </c>
      <c r="BV98" s="97">
        <v>0.27027027027027029</v>
      </c>
      <c r="BW98" s="97">
        <v>341.51351351351349</v>
      </c>
      <c r="BX98" s="97">
        <v>6</v>
      </c>
      <c r="BY98" s="97">
        <v>7581.5999999999995</v>
      </c>
      <c r="BZ98" s="97">
        <v>2.8737848731232218</v>
      </c>
      <c r="CA98" s="97">
        <v>3631.3145656785027</v>
      </c>
      <c r="CB98" s="97">
        <v>3.4539007935890464</v>
      </c>
      <c r="CC98" s="97">
        <v>4364.3490427791185</v>
      </c>
      <c r="CD98" s="97">
        <v>3.3221476510067114</v>
      </c>
      <c r="CE98" s="97">
        <v>4197.8657718120803</v>
      </c>
      <c r="CF98" s="97">
        <v>4.5198256018072023</v>
      </c>
      <c r="CG98" s="97">
        <v>5711.2516304435803</v>
      </c>
      <c r="CH98" s="97">
        <v>0.18356643356643357</v>
      </c>
      <c r="CI98" s="97">
        <v>231.95454545454544</v>
      </c>
      <c r="CJ98" s="97">
        <v>4.0116279069767442</v>
      </c>
      <c r="CK98" s="97">
        <v>5069.0930232558139</v>
      </c>
      <c r="CL98" s="97">
        <v>3.7810603307035309</v>
      </c>
      <c r="CM98" s="97">
        <v>4777.7478338769815</v>
      </c>
      <c r="CN98" s="97">
        <v>3.6995515695067263</v>
      </c>
      <c r="CO98" s="97">
        <v>4674.7533632286986</v>
      </c>
      <c r="CP98" s="97">
        <v>3.2573730190476866E-2</v>
      </c>
      <c r="CQ98" s="97">
        <v>41.160165468686564</v>
      </c>
      <c r="CR98" s="97">
        <v>4</v>
      </c>
      <c r="CS98" s="97">
        <v>5054.3999999999996</v>
      </c>
      <c r="CT98" s="97">
        <v>6</v>
      </c>
      <c r="CU98" s="97">
        <v>7581.5999999999995</v>
      </c>
    </row>
    <row r="99" spans="2:99" x14ac:dyDescent="0.15">
      <c r="C99" s="96" t="s">
        <v>264</v>
      </c>
      <c r="D99" s="97">
        <v>0</v>
      </c>
      <c r="E99" s="97">
        <v>0</v>
      </c>
      <c r="F99" s="97">
        <v>0</v>
      </c>
      <c r="G99" s="97">
        <v>0</v>
      </c>
      <c r="H99" s="97">
        <v>2.2610820669517424</v>
      </c>
      <c r="I99" s="97">
        <v>12394.34745820267</v>
      </c>
      <c r="J99" s="97">
        <v>2.1927608250283299</v>
      </c>
      <c r="K99" s="97">
        <v>12019.837738475291</v>
      </c>
      <c r="L99" s="97">
        <v>2.6347682415971643</v>
      </c>
      <c r="M99" s="97">
        <v>14442.745593139014</v>
      </c>
      <c r="N99" s="97">
        <v>0</v>
      </c>
      <c r="O99" s="97">
        <v>0</v>
      </c>
      <c r="P99" s="97">
        <v>5.9092347078873466</v>
      </c>
      <c r="Q99" s="97">
        <v>32392.060974755277</v>
      </c>
      <c r="R99" s="97">
        <v>3.2189661297100813</v>
      </c>
      <c r="S99" s="97">
        <v>17645.084736618781</v>
      </c>
      <c r="T99" s="97">
        <v>2.5802570823917277</v>
      </c>
      <c r="U99" s="97">
        <v>14143.937222838493</v>
      </c>
      <c r="V99" s="97">
        <v>0</v>
      </c>
      <c r="W99" s="97">
        <v>0</v>
      </c>
      <c r="X99" s="97">
        <v>3.9548188451456605</v>
      </c>
      <c r="Y99" s="97">
        <v>21678.734981550449</v>
      </c>
      <c r="Z99" s="97">
        <v>3.8475533660935382E-16</v>
      </c>
      <c r="AA99" s="97">
        <v>2.1090748531578339E-12</v>
      </c>
      <c r="AB99" s="97">
        <v>5.8724841739423193</v>
      </c>
      <c r="AC99" s="97">
        <v>32190.609247882214</v>
      </c>
      <c r="AD99" s="97">
        <v>2.8963025332511596</v>
      </c>
      <c r="AE99" s="97">
        <v>15876.371966269555</v>
      </c>
      <c r="AF99" s="97">
        <v>2.6585325569816809</v>
      </c>
      <c r="AG99" s="97">
        <v>14573.01206435078</v>
      </c>
      <c r="AH99" s="97">
        <v>2.4091118124987569</v>
      </c>
      <c r="AI99" s="97">
        <v>13205.787311393186</v>
      </c>
      <c r="AJ99" s="97">
        <v>3.899314747465934</v>
      </c>
      <c r="AK99" s="97">
        <v>21374.48371970926</v>
      </c>
      <c r="AL99" s="97">
        <v>3.5408611495746243</v>
      </c>
      <c r="AM99" s="97">
        <v>19409.584477508259</v>
      </c>
      <c r="AN99" s="97">
        <v>2.2194469731045299</v>
      </c>
      <c r="AO99" s="97">
        <v>12166.12052776979</v>
      </c>
      <c r="AP99" s="97">
        <v>0.31034482758620691</v>
      </c>
      <c r="AQ99" s="97">
        <v>1701.1862068965515</v>
      </c>
      <c r="AR99" s="97">
        <v>4.4674719039827764</v>
      </c>
      <c r="AS99" s="97">
        <v>24488.893988871983</v>
      </c>
      <c r="AT99" s="97">
        <v>2.5983408997697208</v>
      </c>
      <c r="AU99" s="97">
        <v>14243.0654761777</v>
      </c>
      <c r="AV99" s="97">
        <v>3.2467532467532467</v>
      </c>
      <c r="AW99" s="97">
        <v>17797.402597402597</v>
      </c>
      <c r="AX99" s="97">
        <v>3.4254942063236911</v>
      </c>
      <c r="AY99" s="97">
        <v>18777.189041383943</v>
      </c>
      <c r="AZ99" s="97">
        <v>3.3666128857754454</v>
      </c>
      <c r="BA99" s="97">
        <v>18454.425194666681</v>
      </c>
      <c r="BB99" s="97">
        <v>0.23156089193825044</v>
      </c>
      <c r="BC99" s="97">
        <v>1269.3241852487135</v>
      </c>
      <c r="BD99" s="97">
        <v>4.7668808935001543</v>
      </c>
      <c r="BE99" s="97">
        <v>26130.134305810443</v>
      </c>
      <c r="BF99" s="97">
        <v>2.6201955242390245</v>
      </c>
      <c r="BG99" s="97">
        <v>14362.863785668635</v>
      </c>
      <c r="BH99" s="97">
        <v>1.9874609423093261</v>
      </c>
      <c r="BI99" s="97">
        <v>10894.465901362801</v>
      </c>
      <c r="BJ99" s="97">
        <v>3.4533209402040237</v>
      </c>
      <c r="BK99" s="97">
        <v>18929.724065822375</v>
      </c>
      <c r="BL99" s="97">
        <v>2.0798171107552448</v>
      </c>
      <c r="BM99" s="97">
        <v>11400.725474315948</v>
      </c>
      <c r="BN99" s="97">
        <v>0.43193717277486909</v>
      </c>
      <c r="BO99" s="97">
        <v>2367.706806282722</v>
      </c>
      <c r="BP99" s="97">
        <v>2.9260181920997548</v>
      </c>
      <c r="BQ99" s="97">
        <v>16039.261321814014</v>
      </c>
      <c r="BR99" s="97">
        <v>3.4493844084250549</v>
      </c>
      <c r="BS99" s="97">
        <v>18908.145573222781</v>
      </c>
      <c r="BT99" s="97">
        <v>5.4381969785755517</v>
      </c>
      <c r="BU99" s="97">
        <v>29810.020557759741</v>
      </c>
      <c r="BV99" s="97">
        <v>0.22522522522522523</v>
      </c>
      <c r="BW99" s="97">
        <v>1234.5945945945946</v>
      </c>
      <c r="BX99" s="97">
        <v>4</v>
      </c>
      <c r="BY99" s="97">
        <v>21926.399999999998</v>
      </c>
      <c r="BZ99" s="97">
        <v>2.5145617639828193</v>
      </c>
      <c r="CA99" s="97">
        <v>13783.821765448221</v>
      </c>
      <c r="CB99" s="97">
        <v>2.8782506613242056</v>
      </c>
      <c r="CC99" s="97">
        <v>15777.418825114764</v>
      </c>
      <c r="CD99" s="97">
        <v>2.7684563758389262</v>
      </c>
      <c r="CE99" s="97">
        <v>15175.570469798657</v>
      </c>
      <c r="CF99" s="97">
        <v>3.228446858433716</v>
      </c>
      <c r="CG99" s="97">
        <v>17697.054299190255</v>
      </c>
      <c r="CH99" s="97">
        <v>0.15734265734265734</v>
      </c>
      <c r="CI99" s="97">
        <v>862.48951048951039</v>
      </c>
      <c r="CJ99" s="97">
        <v>3.2093023255813953</v>
      </c>
      <c r="CK99" s="97">
        <v>17592.111627906976</v>
      </c>
      <c r="CL99" s="97">
        <v>3.0248482645628245</v>
      </c>
      <c r="CM99" s="97">
        <v>16581.008247027577</v>
      </c>
      <c r="CN99" s="97">
        <v>2.9596412556053813</v>
      </c>
      <c r="CO99" s="97">
        <v>16223.569506726457</v>
      </c>
      <c r="CP99" s="97">
        <v>2.6058984152381493E-2</v>
      </c>
      <c r="CQ99" s="97">
        <v>142.84492752969439</v>
      </c>
      <c r="CR99" s="97">
        <v>3</v>
      </c>
      <c r="CS99" s="97">
        <v>16444.8</v>
      </c>
      <c r="CT99" s="97">
        <v>4</v>
      </c>
      <c r="CU99" s="97">
        <v>21926.399999999998</v>
      </c>
    </row>
    <row r="100" spans="2:99" x14ac:dyDescent="0.15">
      <c r="C100" s="96" t="s">
        <v>265</v>
      </c>
      <c r="D100" s="97">
        <v>0</v>
      </c>
      <c r="E100" s="97">
        <v>0</v>
      </c>
      <c r="F100" s="97">
        <v>0</v>
      </c>
      <c r="G100" s="97">
        <v>0</v>
      </c>
      <c r="H100" s="97">
        <v>4.2056126445302411</v>
      </c>
      <c r="I100" s="97">
        <v>6823.1859544858626</v>
      </c>
      <c r="J100" s="97">
        <v>4.2230949222767835</v>
      </c>
      <c r="K100" s="97">
        <v>6851.5492019018529</v>
      </c>
      <c r="L100" s="97">
        <v>4.7572204362171027</v>
      </c>
      <c r="M100" s="97">
        <v>7718.1144357186267</v>
      </c>
      <c r="N100" s="97">
        <v>0</v>
      </c>
      <c r="O100" s="97">
        <v>0</v>
      </c>
      <c r="P100" s="97">
        <v>9.9523952974944763</v>
      </c>
      <c r="Q100" s="97">
        <v>16146.766130655036</v>
      </c>
      <c r="R100" s="97">
        <v>4.8719487368585019</v>
      </c>
      <c r="S100" s="97">
        <v>7904.2496306792327</v>
      </c>
      <c r="T100" s="97">
        <v>3.6860815462738969</v>
      </c>
      <c r="U100" s="97">
        <v>5980.2987006747699</v>
      </c>
      <c r="V100" s="97">
        <v>0</v>
      </c>
      <c r="W100" s="97">
        <v>0</v>
      </c>
      <c r="X100" s="97">
        <v>6.7231920367476228</v>
      </c>
      <c r="Y100" s="97">
        <v>10907.706760419342</v>
      </c>
      <c r="Z100" s="97">
        <v>6.1895423715417793E-16</v>
      </c>
      <c r="AA100" s="97">
        <v>1.0041913543589383E-12</v>
      </c>
      <c r="AB100" s="97">
        <v>9.191714359214064</v>
      </c>
      <c r="AC100" s="97">
        <v>14912.637376388897</v>
      </c>
      <c r="AD100" s="97">
        <v>5.030420189330961</v>
      </c>
      <c r="AE100" s="97">
        <v>8161.3537151705505</v>
      </c>
      <c r="AF100" s="97">
        <v>3.8401025823068724</v>
      </c>
      <c r="AG100" s="97">
        <v>6230.1824295346696</v>
      </c>
      <c r="AH100" s="97">
        <v>3.764237207029308</v>
      </c>
      <c r="AI100" s="97">
        <v>6107.0984446843486</v>
      </c>
      <c r="AJ100" s="97">
        <v>5.7342863933322556</v>
      </c>
      <c r="AK100" s="97">
        <v>9303.3062445422511</v>
      </c>
      <c r="AL100" s="97">
        <v>5.4154346993494258</v>
      </c>
      <c r="AM100" s="97">
        <v>8786.0012562245083</v>
      </c>
      <c r="AN100" s="97">
        <v>3.4145338047762004</v>
      </c>
      <c r="AO100" s="97">
        <v>5539.7396448689069</v>
      </c>
      <c r="AP100" s="97">
        <v>0.41379310344827586</v>
      </c>
      <c r="AQ100" s="97">
        <v>671.33793103448272</v>
      </c>
      <c r="AR100" s="97">
        <v>6.4530149724195658</v>
      </c>
      <c r="AS100" s="97">
        <v>10469.371491253503</v>
      </c>
      <c r="AT100" s="97">
        <v>4.0418636218640094</v>
      </c>
      <c r="AU100" s="97">
        <v>6557.5195401121682</v>
      </c>
      <c r="AV100" s="97">
        <v>4.329004329004329</v>
      </c>
      <c r="AW100" s="97">
        <v>7023.3766233766228</v>
      </c>
      <c r="AX100" s="97">
        <v>4.8527834589585623</v>
      </c>
      <c r="AY100" s="97">
        <v>7873.155883814371</v>
      </c>
      <c r="AZ100" s="97">
        <v>4.8968914702188293</v>
      </c>
      <c r="BA100" s="97">
        <v>7944.7167212830282</v>
      </c>
      <c r="BB100" s="97">
        <v>0.30874785591766724</v>
      </c>
      <c r="BC100" s="97">
        <v>500.9125214408233</v>
      </c>
      <c r="BD100" s="97">
        <v>5.8261877587224111</v>
      </c>
      <c r="BE100" s="97">
        <v>9452.4070197512392</v>
      </c>
      <c r="BF100" s="97">
        <v>3.6027688458286584</v>
      </c>
      <c r="BG100" s="97">
        <v>5845.1321754724149</v>
      </c>
      <c r="BH100" s="97">
        <v>2.782445319233056</v>
      </c>
      <c r="BI100" s="97">
        <v>4514.2392859237098</v>
      </c>
      <c r="BJ100" s="97">
        <v>4.7090740093691235</v>
      </c>
      <c r="BK100" s="97">
        <v>7640.0016728004648</v>
      </c>
      <c r="BL100" s="97">
        <v>2.773089481006993</v>
      </c>
      <c r="BM100" s="97">
        <v>4499.0603739857452</v>
      </c>
      <c r="BN100" s="97">
        <v>0.54973821989528793</v>
      </c>
      <c r="BO100" s="97">
        <v>891.89528795811509</v>
      </c>
      <c r="BP100" s="97">
        <v>3.5112218305197058</v>
      </c>
      <c r="BQ100" s="97">
        <v>5696.6062978351702</v>
      </c>
      <c r="BR100" s="97">
        <v>3.8805574594781871</v>
      </c>
      <c r="BS100" s="97">
        <v>6295.8164222574105</v>
      </c>
      <c r="BT100" s="97">
        <v>7.7688528265365022</v>
      </c>
      <c r="BU100" s="97">
        <v>12604.18682577282</v>
      </c>
      <c r="BV100" s="97">
        <v>0.27027027027027029</v>
      </c>
      <c r="BW100" s="97">
        <v>438.48648648648646</v>
      </c>
      <c r="BX100" s="97">
        <v>6</v>
      </c>
      <c r="BY100" s="97">
        <v>9734.4</v>
      </c>
      <c r="BZ100" s="97">
        <v>3.2330079822636248</v>
      </c>
      <c r="CA100" s="97">
        <v>5245.2321504245047</v>
      </c>
      <c r="CB100" s="97">
        <v>3.4539007935890464</v>
      </c>
      <c r="CC100" s="97">
        <v>5603.6086475188686</v>
      </c>
      <c r="CD100" s="97">
        <v>2.7684563758389262</v>
      </c>
      <c r="CE100" s="97">
        <v>4491.5436241610732</v>
      </c>
      <c r="CF100" s="97">
        <v>3.8741362301204592</v>
      </c>
      <c r="CG100" s="97">
        <v>6285.3986197474323</v>
      </c>
      <c r="CH100" s="97">
        <v>0.15734265734265734</v>
      </c>
      <c r="CI100" s="97">
        <v>255.27272727272725</v>
      </c>
      <c r="CJ100" s="97">
        <v>3.2093023255813953</v>
      </c>
      <c r="CK100" s="97">
        <v>5206.7720930232554</v>
      </c>
      <c r="CL100" s="97">
        <v>4.5372723968442372</v>
      </c>
      <c r="CM100" s="97">
        <v>7361.27073664009</v>
      </c>
      <c r="CN100" s="97">
        <v>2.9596412556053813</v>
      </c>
      <c r="CO100" s="97">
        <v>4801.7219730941706</v>
      </c>
      <c r="CP100" s="97">
        <v>3.2573730190476866E-2</v>
      </c>
      <c r="CQ100" s="97">
        <v>52.847619861029663</v>
      </c>
      <c r="CR100" s="97">
        <v>4</v>
      </c>
      <c r="CS100" s="97">
        <v>6489.5999999999995</v>
      </c>
      <c r="CT100" s="97">
        <v>5</v>
      </c>
      <c r="CU100" s="97">
        <v>8111.9999999999991</v>
      </c>
    </row>
    <row r="101" spans="2:99" x14ac:dyDescent="0.15">
      <c r="C101" s="96" t="s">
        <v>266</v>
      </c>
      <c r="D101" s="97">
        <v>0</v>
      </c>
      <c r="E101" s="97">
        <v>0</v>
      </c>
      <c r="F101" s="97">
        <v>0</v>
      </c>
      <c r="G101" s="97">
        <v>0</v>
      </c>
      <c r="H101" s="97">
        <v>4.7934939819376945</v>
      </c>
      <c r="I101" s="97">
        <v>5706.1752360986311</v>
      </c>
      <c r="J101" s="97">
        <v>5.1164419250661028</v>
      </c>
      <c r="K101" s="97">
        <v>6090.6124675986885</v>
      </c>
      <c r="L101" s="97">
        <v>5.0499724630612324</v>
      </c>
      <c r="M101" s="97">
        <v>6011.4872200280906</v>
      </c>
      <c r="N101" s="97">
        <v>0</v>
      </c>
      <c r="O101" s="97">
        <v>0</v>
      </c>
      <c r="P101" s="97">
        <v>10.107901474017828</v>
      </c>
      <c r="Q101" s="97">
        <v>12032.445914670821</v>
      </c>
      <c r="R101" s="97">
        <v>5.6549404981393323</v>
      </c>
      <c r="S101" s="97">
        <v>6731.6411689850602</v>
      </c>
      <c r="T101" s="97">
        <v>4.0546897009012861</v>
      </c>
      <c r="U101" s="97">
        <v>4826.70261995289</v>
      </c>
      <c r="V101" s="97">
        <v>0</v>
      </c>
      <c r="W101" s="97">
        <v>0</v>
      </c>
      <c r="X101" s="97">
        <v>7.5141558057767552</v>
      </c>
      <c r="Y101" s="97">
        <v>8944.8510711966483</v>
      </c>
      <c r="Z101" s="97">
        <v>7.193251945305311E-16</v>
      </c>
      <c r="AA101" s="97">
        <v>8.5628471156914409E-13</v>
      </c>
      <c r="AB101" s="97">
        <v>9.9576905558152351</v>
      </c>
      <c r="AC101" s="97">
        <v>11853.634837642454</v>
      </c>
      <c r="AD101" s="97">
        <v>5.030420189330961</v>
      </c>
      <c r="AE101" s="97">
        <v>5988.2121933795752</v>
      </c>
      <c r="AF101" s="97">
        <v>4.726280101300766</v>
      </c>
      <c r="AG101" s="97">
        <v>5626.1638325884314</v>
      </c>
      <c r="AH101" s="97">
        <v>3.764237207029308</v>
      </c>
      <c r="AI101" s="97">
        <v>4480.9479712476877</v>
      </c>
      <c r="AJ101" s="97">
        <v>6.6517722162654165</v>
      </c>
      <c r="AK101" s="97">
        <v>7918.269646242351</v>
      </c>
      <c r="AL101" s="97">
        <v>5.8320065992993815</v>
      </c>
      <c r="AM101" s="97">
        <v>6942.4206558059832</v>
      </c>
      <c r="AN101" s="97">
        <v>3.75598718525382</v>
      </c>
      <c r="AO101" s="97">
        <v>4471.127145326147</v>
      </c>
      <c r="AP101" s="97">
        <v>0.43103448275862066</v>
      </c>
      <c r="AQ101" s="97">
        <v>513.10344827586198</v>
      </c>
      <c r="AR101" s="97">
        <v>6.4530149724195658</v>
      </c>
      <c r="AS101" s="97">
        <v>7681.6690231682505</v>
      </c>
      <c r="AT101" s="97">
        <v>4.3305681662828679</v>
      </c>
      <c r="AU101" s="97">
        <v>5155.108345143125</v>
      </c>
      <c r="AV101" s="97">
        <v>4.329004329004329</v>
      </c>
      <c r="AW101" s="97">
        <v>5153.2467532467526</v>
      </c>
      <c r="AX101" s="97">
        <v>4.8527834589585623</v>
      </c>
      <c r="AY101" s="97">
        <v>5776.753429544272</v>
      </c>
      <c r="AZ101" s="97">
        <v>4.5908357533301523</v>
      </c>
      <c r="BA101" s="97">
        <v>5464.9308807642128</v>
      </c>
      <c r="BB101" s="97">
        <v>0.33447684391080618</v>
      </c>
      <c r="BC101" s="97">
        <v>398.16123499142361</v>
      </c>
      <c r="BD101" s="97">
        <v>6.35584119133354</v>
      </c>
      <c r="BE101" s="97">
        <v>7565.9933541634455</v>
      </c>
      <c r="BF101" s="97">
        <v>4.2578177268884145</v>
      </c>
      <c r="BG101" s="97">
        <v>5068.5062220879681</v>
      </c>
      <c r="BH101" s="97">
        <v>3.1799375076949219</v>
      </c>
      <c r="BI101" s="97">
        <v>3785.3976091600348</v>
      </c>
      <c r="BJ101" s="97">
        <v>4.7090740093691235</v>
      </c>
      <c r="BK101" s="97">
        <v>5605.6817007530035</v>
      </c>
      <c r="BL101" s="97">
        <v>3.1197256661328669</v>
      </c>
      <c r="BM101" s="97">
        <v>3713.7214329645644</v>
      </c>
      <c r="BN101" s="97">
        <v>0.51047120418848169</v>
      </c>
      <c r="BO101" s="97">
        <v>607.66492146596852</v>
      </c>
      <c r="BP101" s="97">
        <v>3.5112218305197058</v>
      </c>
      <c r="BQ101" s="97">
        <v>4179.7584670506576</v>
      </c>
      <c r="BR101" s="97">
        <v>4.742903561584451</v>
      </c>
      <c r="BS101" s="97">
        <v>5645.9523997101296</v>
      </c>
      <c r="BT101" s="97">
        <v>7.7688528265365022</v>
      </c>
      <c r="BU101" s="97">
        <v>9248.042404709051</v>
      </c>
      <c r="BV101" s="97">
        <v>0.27027027027027029</v>
      </c>
      <c r="BW101" s="97">
        <v>321.72972972972968</v>
      </c>
      <c r="BX101" s="97">
        <v>6</v>
      </c>
      <c r="BY101" s="97">
        <v>7142.4</v>
      </c>
      <c r="BZ101" s="97">
        <v>3.5922310914040274</v>
      </c>
      <c r="CA101" s="97">
        <v>4276.1918912073534</v>
      </c>
      <c r="CB101" s="97">
        <v>3.4539007935890464</v>
      </c>
      <c r="CC101" s="97">
        <v>4111.5235046884009</v>
      </c>
      <c r="CD101" s="97">
        <v>3.3221476510067114</v>
      </c>
      <c r="CE101" s="97">
        <v>3954.6845637583888</v>
      </c>
      <c r="CF101" s="97">
        <v>3.8741362301204592</v>
      </c>
      <c r="CG101" s="97">
        <v>4611.771768335394</v>
      </c>
      <c r="CH101" s="97">
        <v>0.15734265734265734</v>
      </c>
      <c r="CI101" s="97">
        <v>187.30069930069928</v>
      </c>
      <c r="CJ101" s="97">
        <v>3.2093023255813953</v>
      </c>
      <c r="CK101" s="97">
        <v>3820.3534883720927</v>
      </c>
      <c r="CL101" s="97">
        <v>3.7810603307035309</v>
      </c>
      <c r="CM101" s="97">
        <v>4500.9742176694826</v>
      </c>
      <c r="CN101" s="97">
        <v>3.6995515695067263</v>
      </c>
      <c r="CO101" s="97">
        <v>4403.9461883408067</v>
      </c>
      <c r="CP101" s="97">
        <v>3.9088476228572241E-2</v>
      </c>
      <c r="CQ101" s="97">
        <v>46.53092210249239</v>
      </c>
      <c r="CR101" s="97">
        <v>4</v>
      </c>
      <c r="CS101" s="97">
        <v>4761.5999999999995</v>
      </c>
      <c r="CT101" s="97">
        <v>5</v>
      </c>
      <c r="CU101" s="97">
        <v>5951.9999999999991</v>
      </c>
    </row>
    <row r="102" spans="2:99" x14ac:dyDescent="0.15">
      <c r="C102" s="96" t="s">
        <v>267</v>
      </c>
      <c r="D102" s="97">
        <v>0</v>
      </c>
      <c r="E102" s="97">
        <v>0</v>
      </c>
      <c r="F102" s="97">
        <v>0</v>
      </c>
      <c r="G102" s="97">
        <v>0</v>
      </c>
      <c r="H102" s="97">
        <v>3.9342827964960323</v>
      </c>
      <c r="I102" s="97">
        <v>7629.3611989651054</v>
      </c>
      <c r="J102" s="97">
        <v>4.1012748764418765</v>
      </c>
      <c r="K102" s="97">
        <v>7953.1922403960862</v>
      </c>
      <c r="L102" s="97">
        <v>4.0985283758178124</v>
      </c>
      <c r="M102" s="97">
        <v>7947.8662263859014</v>
      </c>
      <c r="N102" s="97">
        <v>0</v>
      </c>
      <c r="O102" s="97">
        <v>0</v>
      </c>
      <c r="P102" s="97">
        <v>10.263407650541179</v>
      </c>
      <c r="Q102" s="97">
        <v>19902.800115929451</v>
      </c>
      <c r="R102" s="97">
        <v>5.4809423289658143</v>
      </c>
      <c r="S102" s="97">
        <v>10628.643364330506</v>
      </c>
      <c r="T102" s="97">
        <v>4.1468417395581341</v>
      </c>
      <c r="U102" s="97">
        <v>8041.555501351133</v>
      </c>
      <c r="V102" s="97">
        <v>0</v>
      </c>
      <c r="W102" s="97">
        <v>0</v>
      </c>
      <c r="X102" s="97">
        <v>6.7231920367476228</v>
      </c>
      <c r="Y102" s="97">
        <v>13037.613997660988</v>
      </c>
      <c r="Z102" s="97">
        <v>6.6913971584235447E-16</v>
      </c>
      <c r="AA102" s="97">
        <v>1.2975957369614937E-12</v>
      </c>
      <c r="AB102" s="97">
        <v>8.1704127637458352</v>
      </c>
      <c r="AC102" s="97">
        <v>15844.064431455923</v>
      </c>
      <c r="AD102" s="97">
        <v>4.7255462384624183</v>
      </c>
      <c r="AE102" s="97">
        <v>9163.7792656263209</v>
      </c>
      <c r="AF102" s="97">
        <v>4.4308875949694677</v>
      </c>
      <c r="AG102" s="97">
        <v>8592.3772241647912</v>
      </c>
      <c r="AH102" s="97">
        <v>4.0653761835916526</v>
      </c>
      <c r="AI102" s="97">
        <v>7883.5774952209322</v>
      </c>
      <c r="AJ102" s="97">
        <v>5.2755434818656761</v>
      </c>
      <c r="AK102" s="97">
        <v>10230.333920033918</v>
      </c>
      <c r="AL102" s="97">
        <v>4.9988627993994701</v>
      </c>
      <c r="AM102" s="97">
        <v>9693.794740595451</v>
      </c>
      <c r="AN102" s="97">
        <v>3.0730804242985803</v>
      </c>
      <c r="AO102" s="97">
        <v>5959.3175587998066</v>
      </c>
      <c r="AP102" s="97">
        <v>0.46551724137931033</v>
      </c>
      <c r="AQ102" s="97">
        <v>902.73103448275856</v>
      </c>
      <c r="AR102" s="97">
        <v>5.4602434382011715</v>
      </c>
      <c r="AS102" s="97">
        <v>10588.504075359711</v>
      </c>
      <c r="AT102" s="97">
        <v>4.3305681662828679</v>
      </c>
      <c r="AU102" s="97">
        <v>8397.8377880557364</v>
      </c>
      <c r="AV102" s="97">
        <v>3.8961038961038965</v>
      </c>
      <c r="AW102" s="97">
        <v>7555.3246753246758</v>
      </c>
      <c r="AX102" s="97">
        <v>4.5673256084315881</v>
      </c>
      <c r="AY102" s="97">
        <v>8856.9578198705349</v>
      </c>
      <c r="AZ102" s="97">
        <v>4.2847800364414752</v>
      </c>
      <c r="BA102" s="97">
        <v>8309.0454466673073</v>
      </c>
      <c r="BB102" s="97">
        <v>0.36020583190394512</v>
      </c>
      <c r="BC102" s="97">
        <v>698.51114922813031</v>
      </c>
      <c r="BD102" s="97">
        <v>5.8261877587224111</v>
      </c>
      <c r="BE102" s="97">
        <v>11298.143301714499</v>
      </c>
      <c r="BF102" s="97">
        <v>3.9302932863585371</v>
      </c>
      <c r="BG102" s="97">
        <v>7621.6247409064745</v>
      </c>
      <c r="BH102" s="97">
        <v>2.3849531307711915</v>
      </c>
      <c r="BI102" s="97">
        <v>4624.9011111914942</v>
      </c>
      <c r="BJ102" s="97">
        <v>3.7672592074952989</v>
      </c>
      <c r="BK102" s="97">
        <v>7305.4690551748827</v>
      </c>
      <c r="BL102" s="97">
        <v>3.1197256661328669</v>
      </c>
      <c r="BM102" s="97">
        <v>6049.7720117648551</v>
      </c>
      <c r="BN102" s="97">
        <v>0.47120418848167539</v>
      </c>
      <c r="BO102" s="97">
        <v>913.75916230366488</v>
      </c>
      <c r="BP102" s="97">
        <v>2.9260181920997548</v>
      </c>
      <c r="BQ102" s="97">
        <v>5674.1344781198441</v>
      </c>
      <c r="BR102" s="97">
        <v>4.3117305105313193</v>
      </c>
      <c r="BS102" s="97">
        <v>8361.3078060223343</v>
      </c>
      <c r="BT102" s="97">
        <v>6.9919675438828524</v>
      </c>
      <c r="BU102" s="97">
        <v>13558.823461097625</v>
      </c>
      <c r="BV102" s="97">
        <v>0.27027027027027029</v>
      </c>
      <c r="BW102" s="97">
        <v>524.10810810810813</v>
      </c>
      <c r="BX102" s="97">
        <v>6</v>
      </c>
      <c r="BY102" s="97">
        <v>11635.199999999999</v>
      </c>
      <c r="BZ102" s="97">
        <v>3.5922310914040274</v>
      </c>
      <c r="CA102" s="97">
        <v>6966.0545324506893</v>
      </c>
      <c r="CB102" s="97">
        <v>3.4539007935890464</v>
      </c>
      <c r="CC102" s="97">
        <v>6697.804418927878</v>
      </c>
      <c r="CD102" s="97">
        <v>3.3221476510067114</v>
      </c>
      <c r="CE102" s="97">
        <v>6442.3087248322145</v>
      </c>
      <c r="CF102" s="97">
        <v>3.8741362301204592</v>
      </c>
      <c r="CG102" s="97">
        <v>7512.724977449594</v>
      </c>
      <c r="CH102" s="97">
        <v>0.18356643356643357</v>
      </c>
      <c r="CI102" s="97">
        <v>355.97202797202794</v>
      </c>
      <c r="CJ102" s="97">
        <v>3.2093023255813953</v>
      </c>
      <c r="CK102" s="97">
        <v>6223.4790697674407</v>
      </c>
      <c r="CL102" s="97">
        <v>3.7810603307035309</v>
      </c>
      <c r="CM102" s="97">
        <v>7332.2321933002868</v>
      </c>
      <c r="CN102" s="97">
        <v>3.6995515695067263</v>
      </c>
      <c r="CO102" s="97">
        <v>7174.1704035874427</v>
      </c>
      <c r="CP102" s="97">
        <v>2.6058984152381493E-2</v>
      </c>
      <c r="CQ102" s="97">
        <v>50.533582068298188</v>
      </c>
      <c r="CR102" s="97">
        <v>4</v>
      </c>
      <c r="CS102" s="97">
        <v>7756.7999999999993</v>
      </c>
      <c r="CT102" s="97">
        <v>6</v>
      </c>
      <c r="CU102" s="97">
        <v>11635.199999999999</v>
      </c>
    </row>
    <row r="103" spans="2:99" x14ac:dyDescent="0.15">
      <c r="C103" s="96" t="s">
        <v>268</v>
      </c>
      <c r="D103" s="97">
        <v>0</v>
      </c>
      <c r="E103" s="97">
        <v>0</v>
      </c>
      <c r="F103" s="97">
        <v>0</v>
      </c>
      <c r="G103" s="97">
        <v>0</v>
      </c>
      <c r="H103" s="97">
        <v>4.4317208512254149</v>
      </c>
      <c r="I103" s="97">
        <v>8987.5298862851414</v>
      </c>
      <c r="J103" s="97">
        <v>3.6952080569921857</v>
      </c>
      <c r="K103" s="97">
        <v>7493.8819395801529</v>
      </c>
      <c r="L103" s="97">
        <v>4.3180923959509094</v>
      </c>
      <c r="M103" s="97">
        <v>8757.0913789884435</v>
      </c>
      <c r="N103" s="97">
        <v>0</v>
      </c>
      <c r="O103" s="97">
        <v>0</v>
      </c>
      <c r="P103" s="97">
        <v>8.8638520618310181</v>
      </c>
      <c r="Q103" s="97">
        <v>17975.891981393306</v>
      </c>
      <c r="R103" s="97">
        <v>5.1329459906187784</v>
      </c>
      <c r="S103" s="97">
        <v>10409.614468974883</v>
      </c>
      <c r="T103" s="97">
        <v>3.962537662244439</v>
      </c>
      <c r="U103" s="97">
        <v>8036.0263790317222</v>
      </c>
      <c r="V103" s="97">
        <v>0</v>
      </c>
      <c r="W103" s="97">
        <v>0</v>
      </c>
      <c r="X103" s="97">
        <v>6.5254510944903403</v>
      </c>
      <c r="Y103" s="97">
        <v>13233.614819626409</v>
      </c>
      <c r="Z103" s="97">
        <v>6.1895423715417793E-16</v>
      </c>
      <c r="AA103" s="97">
        <v>1.2552391929486728E-12</v>
      </c>
      <c r="AB103" s="97">
        <v>9.191714359214064</v>
      </c>
      <c r="AC103" s="97">
        <v>18640.796720486123</v>
      </c>
      <c r="AD103" s="97">
        <v>4.5731092630281465</v>
      </c>
      <c r="AE103" s="97">
        <v>9274.2655854210807</v>
      </c>
      <c r="AF103" s="97">
        <v>4.1354950886381703</v>
      </c>
      <c r="AG103" s="97">
        <v>8386.7840397582095</v>
      </c>
      <c r="AH103" s="97">
        <v>3.764237207029308</v>
      </c>
      <c r="AI103" s="97">
        <v>7633.8730558554362</v>
      </c>
      <c r="AJ103" s="97">
        <v>5.5049149375989659</v>
      </c>
      <c r="AK103" s="97">
        <v>11163.967493450702</v>
      </c>
      <c r="AL103" s="97">
        <v>5.6237206493244027</v>
      </c>
      <c r="AM103" s="97">
        <v>11404.905476829888</v>
      </c>
      <c r="AN103" s="97">
        <v>3.4145338047762004</v>
      </c>
      <c r="AO103" s="97">
        <v>6924.6745560861345</v>
      </c>
      <c r="AP103" s="97">
        <v>0.44827586206896552</v>
      </c>
      <c r="AQ103" s="97">
        <v>909.10344827586209</v>
      </c>
      <c r="AR103" s="97">
        <v>5.9566292053103691</v>
      </c>
      <c r="AS103" s="97">
        <v>12080.044028369428</v>
      </c>
      <c r="AT103" s="97">
        <v>4.0418636218640094</v>
      </c>
      <c r="AU103" s="97">
        <v>8196.899425140211</v>
      </c>
      <c r="AV103" s="97">
        <v>4.329004329004329</v>
      </c>
      <c r="AW103" s="97">
        <v>8779.2207792207791</v>
      </c>
      <c r="AX103" s="97">
        <v>4.2818677579046138</v>
      </c>
      <c r="AY103" s="97">
        <v>8683.6278130305564</v>
      </c>
      <c r="AZ103" s="97">
        <v>4.2847800364414752</v>
      </c>
      <c r="BA103" s="97">
        <v>8689.5339139033113</v>
      </c>
      <c r="BB103" s="97">
        <v>0.30874785591766724</v>
      </c>
      <c r="BC103" s="97">
        <v>626.14065180102921</v>
      </c>
      <c r="BD103" s="97">
        <v>6.35584119133354</v>
      </c>
      <c r="BE103" s="97">
        <v>12889.645936024419</v>
      </c>
      <c r="BF103" s="97">
        <v>3.9302932863585371</v>
      </c>
      <c r="BG103" s="97">
        <v>7970.6347847351135</v>
      </c>
      <c r="BH103" s="97">
        <v>2.782445319233056</v>
      </c>
      <c r="BI103" s="97">
        <v>5642.7991074046377</v>
      </c>
      <c r="BJ103" s="97">
        <v>3.7672592074952989</v>
      </c>
      <c r="BK103" s="97">
        <v>7640.0016728004657</v>
      </c>
      <c r="BL103" s="97">
        <v>3.1197256661328669</v>
      </c>
      <c r="BM103" s="97">
        <v>6326.8036509174544</v>
      </c>
      <c r="BN103" s="97">
        <v>0.47120418848167539</v>
      </c>
      <c r="BO103" s="97">
        <v>955.60209424083769</v>
      </c>
      <c r="BP103" s="97">
        <v>2.9260181920997548</v>
      </c>
      <c r="BQ103" s="97">
        <v>5933.9648935783025</v>
      </c>
      <c r="BR103" s="97">
        <v>4.3117305105313193</v>
      </c>
      <c r="BS103" s="97">
        <v>8744.1894753575161</v>
      </c>
      <c r="BT103" s="97">
        <v>6.9919675438828524</v>
      </c>
      <c r="BU103" s="97">
        <v>14179.710178994424</v>
      </c>
      <c r="BV103" s="97">
        <v>0.27027027027027029</v>
      </c>
      <c r="BW103" s="97">
        <v>548.10810810810813</v>
      </c>
      <c r="BX103" s="97">
        <v>5</v>
      </c>
      <c r="BY103" s="97">
        <v>10140</v>
      </c>
      <c r="BZ103" s="97">
        <v>2.8737848731232218</v>
      </c>
      <c r="CA103" s="97">
        <v>5828.0357226938941</v>
      </c>
      <c r="CB103" s="97">
        <v>3.4539007935890464</v>
      </c>
      <c r="CC103" s="97">
        <v>7004.5108093985864</v>
      </c>
      <c r="CD103" s="97">
        <v>3.3221476510067114</v>
      </c>
      <c r="CE103" s="97">
        <v>6737.3154362416108</v>
      </c>
      <c r="CF103" s="97">
        <v>3.8741362301204592</v>
      </c>
      <c r="CG103" s="97">
        <v>7856.7482746842916</v>
      </c>
      <c r="CH103" s="97">
        <v>0.15734265734265734</v>
      </c>
      <c r="CI103" s="97">
        <v>319.09090909090907</v>
      </c>
      <c r="CJ103" s="97">
        <v>3.2093023255813953</v>
      </c>
      <c r="CK103" s="97">
        <v>6508.4651162790697</v>
      </c>
      <c r="CL103" s="97">
        <v>3.7810603307035309</v>
      </c>
      <c r="CM103" s="97">
        <v>7667.9903506667606</v>
      </c>
      <c r="CN103" s="97">
        <v>3.6995515695067263</v>
      </c>
      <c r="CO103" s="97">
        <v>7502.6905829596408</v>
      </c>
      <c r="CP103" s="97">
        <v>3.2573730190476866E-2</v>
      </c>
      <c r="CQ103" s="97">
        <v>66.059524826287088</v>
      </c>
      <c r="CR103" s="97">
        <v>4</v>
      </c>
      <c r="CS103" s="97">
        <v>8112</v>
      </c>
      <c r="CT103" s="97">
        <v>5</v>
      </c>
      <c r="CU103" s="97">
        <v>10140</v>
      </c>
    </row>
    <row r="104" spans="2:99" x14ac:dyDescent="0.15">
      <c r="C104" s="96" t="s">
        <v>269</v>
      </c>
      <c r="D104" s="97">
        <v>0</v>
      </c>
      <c r="E104" s="97">
        <v>0</v>
      </c>
      <c r="F104" s="97">
        <v>0</v>
      </c>
      <c r="G104" s="97">
        <v>0</v>
      </c>
      <c r="H104" s="97">
        <v>4.2056126445302411</v>
      </c>
      <c r="I104" s="97">
        <v>8715.7116445244719</v>
      </c>
      <c r="J104" s="97">
        <v>3.8982414667170309</v>
      </c>
      <c r="K104" s="97">
        <v>8078.7156156243755</v>
      </c>
      <c r="L104" s="97">
        <v>4.3180923959509094</v>
      </c>
      <c r="M104" s="97">
        <v>8948.8146813686653</v>
      </c>
      <c r="N104" s="97">
        <v>0</v>
      </c>
      <c r="O104" s="97">
        <v>0</v>
      </c>
      <c r="P104" s="97">
        <v>9.3303705914010724</v>
      </c>
      <c r="Q104" s="97">
        <v>19336.260013619583</v>
      </c>
      <c r="R104" s="97">
        <v>5.1329459906187784</v>
      </c>
      <c r="S104" s="97">
        <v>10637.517270958357</v>
      </c>
      <c r="T104" s="97">
        <v>3.7782335849307445</v>
      </c>
      <c r="U104" s="97">
        <v>7830.011281410475</v>
      </c>
      <c r="V104" s="97">
        <v>0</v>
      </c>
      <c r="W104" s="97">
        <v>0</v>
      </c>
      <c r="X104" s="97">
        <v>6.9209329790049061</v>
      </c>
      <c r="Y104" s="97">
        <v>14342.941505689769</v>
      </c>
      <c r="Z104" s="97">
        <v>6.1895423715417793E-16</v>
      </c>
      <c r="AA104" s="97">
        <v>1.2827207610783183E-12</v>
      </c>
      <c r="AB104" s="97">
        <v>8.9363889603470064</v>
      </c>
      <c r="AC104" s="97">
        <v>18519.772481423137</v>
      </c>
      <c r="AD104" s="97">
        <v>4.1157983367253319</v>
      </c>
      <c r="AE104" s="97">
        <v>8529.5804730295786</v>
      </c>
      <c r="AF104" s="97">
        <v>3.9877988354725211</v>
      </c>
      <c r="AG104" s="97">
        <v>8264.3143066332523</v>
      </c>
      <c r="AH104" s="97">
        <v>3.9148066953104803</v>
      </c>
      <c r="AI104" s="97">
        <v>8113.0453953614397</v>
      </c>
      <c r="AJ104" s="97">
        <v>5.0461720261323855</v>
      </c>
      <c r="AK104" s="97">
        <v>10457.686906956757</v>
      </c>
      <c r="AL104" s="97">
        <v>5.2071487493744479</v>
      </c>
      <c r="AM104" s="97">
        <v>10791.295068203606</v>
      </c>
      <c r="AN104" s="97">
        <v>3.0730804242985803</v>
      </c>
      <c r="AO104" s="97">
        <v>6368.6518713163778</v>
      </c>
      <c r="AP104" s="97">
        <v>0.41379310344827586</v>
      </c>
      <c r="AQ104" s="97">
        <v>857.54482758620691</v>
      </c>
      <c r="AR104" s="97">
        <v>6.4530149724195658</v>
      </c>
      <c r="AS104" s="97">
        <v>13373.228228842308</v>
      </c>
      <c r="AT104" s="97">
        <v>4.0418636218640094</v>
      </c>
      <c r="AU104" s="97">
        <v>8376.3581699509741</v>
      </c>
      <c r="AV104" s="97">
        <v>3.6796536796536796</v>
      </c>
      <c r="AW104" s="97">
        <v>7625.7142857142862</v>
      </c>
      <c r="AX104" s="97">
        <v>4.8527834589585623</v>
      </c>
      <c r="AY104" s="97">
        <v>10056.908440345725</v>
      </c>
      <c r="AZ104" s="97">
        <v>4.5908357533301523</v>
      </c>
      <c r="BA104" s="97">
        <v>9514.0480152014079</v>
      </c>
      <c r="BB104" s="97">
        <v>0.36020583190394512</v>
      </c>
      <c r="BC104" s="97">
        <v>746.4905660377359</v>
      </c>
      <c r="BD104" s="97">
        <v>6.35584119133354</v>
      </c>
      <c r="BE104" s="97">
        <v>13171.845284919629</v>
      </c>
      <c r="BF104" s="97">
        <v>3.6027688458286584</v>
      </c>
      <c r="BG104" s="97">
        <v>7466.3781560953121</v>
      </c>
      <c r="BH104" s="97">
        <v>2.782445319233056</v>
      </c>
      <c r="BI104" s="97">
        <v>5766.3396795785857</v>
      </c>
      <c r="BJ104" s="97">
        <v>4.0811974747865731</v>
      </c>
      <c r="BK104" s="97">
        <v>8457.8736467476938</v>
      </c>
      <c r="BL104" s="97">
        <v>2.773089481006993</v>
      </c>
      <c r="BM104" s="97">
        <v>5746.9506404388931</v>
      </c>
      <c r="BN104" s="97">
        <v>0.54973821989528793</v>
      </c>
      <c r="BO104" s="97">
        <v>1139.2774869109946</v>
      </c>
      <c r="BP104" s="97">
        <v>2.9260181920997548</v>
      </c>
      <c r="BQ104" s="97">
        <v>6063.8801013075317</v>
      </c>
      <c r="BR104" s="97">
        <v>4.3117305105313193</v>
      </c>
      <c r="BS104" s="97">
        <v>8935.6303100251062</v>
      </c>
      <c r="BT104" s="97">
        <v>7.7688528265365022</v>
      </c>
      <c r="BU104" s="97">
        <v>16100.170597714248</v>
      </c>
      <c r="BV104" s="97">
        <v>0.22522522522522523</v>
      </c>
      <c r="BW104" s="97">
        <v>466.75675675675677</v>
      </c>
      <c r="BX104" s="97">
        <v>6</v>
      </c>
      <c r="BY104" s="97">
        <v>12434.400000000001</v>
      </c>
      <c r="BZ104" s="97">
        <v>3.2330079822636248</v>
      </c>
      <c r="CA104" s="97">
        <v>6700.085742443136</v>
      </c>
      <c r="CB104" s="97">
        <v>2.8782506613242056</v>
      </c>
      <c r="CC104" s="97">
        <v>5964.8866705282835</v>
      </c>
      <c r="CD104" s="97">
        <v>3.3221476510067114</v>
      </c>
      <c r="CE104" s="97">
        <v>6884.8187919463089</v>
      </c>
      <c r="CF104" s="97">
        <v>3.8741362301204592</v>
      </c>
      <c r="CG104" s="97">
        <v>8028.7599233016399</v>
      </c>
      <c r="CH104" s="97">
        <v>0.15734265734265734</v>
      </c>
      <c r="CI104" s="97">
        <v>326.07692307692309</v>
      </c>
      <c r="CJ104" s="97">
        <v>3.2093023255813953</v>
      </c>
      <c r="CK104" s="97">
        <v>6650.9581395348841</v>
      </c>
      <c r="CL104" s="97">
        <v>3.7810603307035309</v>
      </c>
      <c r="CM104" s="97">
        <v>7835.8694293499975</v>
      </c>
      <c r="CN104" s="97">
        <v>3.6995515695067263</v>
      </c>
      <c r="CO104" s="97">
        <v>7666.9506726457403</v>
      </c>
      <c r="CP104" s="97">
        <v>3.2573730190476866E-2</v>
      </c>
      <c r="CQ104" s="97">
        <v>67.505798446744265</v>
      </c>
      <c r="CR104" s="97">
        <v>4</v>
      </c>
      <c r="CS104" s="97">
        <v>8289.6</v>
      </c>
      <c r="CT104" s="97">
        <v>5</v>
      </c>
      <c r="CU104" s="97">
        <v>10362</v>
      </c>
    </row>
    <row r="105" spans="2:99" x14ac:dyDescent="0.15">
      <c r="C105" s="96" t="s">
        <v>270</v>
      </c>
      <c r="D105" s="97">
        <v>0</v>
      </c>
      <c r="E105" s="97">
        <v>0</v>
      </c>
      <c r="F105" s="97">
        <v>0</v>
      </c>
      <c r="G105" s="97">
        <v>0</v>
      </c>
      <c r="H105" s="97">
        <v>4.5221641339034848</v>
      </c>
      <c r="I105" s="97">
        <v>9035.283939539162</v>
      </c>
      <c r="J105" s="97">
        <v>4.3449149681116905</v>
      </c>
      <c r="K105" s="97">
        <v>8681.1401062871573</v>
      </c>
      <c r="L105" s="97">
        <v>4.0253403691067797</v>
      </c>
      <c r="M105" s="97">
        <v>8042.6300574753459</v>
      </c>
      <c r="N105" s="97">
        <v>0</v>
      </c>
      <c r="O105" s="97">
        <v>0</v>
      </c>
      <c r="P105" s="97">
        <v>8.8638520618310181</v>
      </c>
      <c r="Q105" s="97">
        <v>17709.976419538376</v>
      </c>
      <c r="R105" s="97">
        <v>4.7849496522717425</v>
      </c>
      <c r="S105" s="97">
        <v>9560.329405238941</v>
      </c>
      <c r="T105" s="97">
        <v>4.2389937782149811</v>
      </c>
      <c r="U105" s="97">
        <v>8469.5095688735328</v>
      </c>
      <c r="V105" s="97">
        <v>0</v>
      </c>
      <c r="W105" s="97">
        <v>0</v>
      </c>
      <c r="X105" s="97">
        <v>6.327710152233057</v>
      </c>
      <c r="Y105" s="97">
        <v>12642.764884161648</v>
      </c>
      <c r="Z105" s="97">
        <v>5.687687584660013E-16</v>
      </c>
      <c r="AA105" s="97">
        <v>1.1363999794150705E-12</v>
      </c>
      <c r="AB105" s="97">
        <v>8.4257381626128929</v>
      </c>
      <c r="AC105" s="97">
        <v>16834.624848900559</v>
      </c>
      <c r="AD105" s="97">
        <v>4.4206722875938746</v>
      </c>
      <c r="AE105" s="97">
        <v>8832.5032306125613</v>
      </c>
      <c r="AF105" s="97">
        <v>3.9877988354725211</v>
      </c>
      <c r="AG105" s="97">
        <v>7967.6220732740976</v>
      </c>
      <c r="AH105" s="97">
        <v>3.4630982304669637</v>
      </c>
      <c r="AI105" s="97">
        <v>6919.2702644729934</v>
      </c>
      <c r="AJ105" s="97">
        <v>5.9636578490655472</v>
      </c>
      <c r="AK105" s="97">
        <v>11915.388382432964</v>
      </c>
      <c r="AL105" s="97">
        <v>4.7905768494244922</v>
      </c>
      <c r="AM105" s="97">
        <v>9571.5725451501348</v>
      </c>
      <c r="AN105" s="97">
        <v>2.9023537340597705</v>
      </c>
      <c r="AO105" s="97">
        <v>5798.902760651421</v>
      </c>
      <c r="AP105" s="97">
        <v>0.44827586206896552</v>
      </c>
      <c r="AQ105" s="97">
        <v>895.65517241379314</v>
      </c>
      <c r="AR105" s="97">
        <v>5.4602434382011715</v>
      </c>
      <c r="AS105" s="97">
        <v>10909.56638952594</v>
      </c>
      <c r="AT105" s="97">
        <v>3.4644545330262941</v>
      </c>
      <c r="AU105" s="97">
        <v>6921.9801569865358</v>
      </c>
      <c r="AV105" s="97">
        <v>3.8961038961038965</v>
      </c>
      <c r="AW105" s="97">
        <v>7784.4155844155848</v>
      </c>
      <c r="AX105" s="97">
        <v>4.8527834589585623</v>
      </c>
      <c r="AY105" s="97">
        <v>9695.8613509992083</v>
      </c>
      <c r="AZ105" s="97">
        <v>4.2847800364414752</v>
      </c>
      <c r="BA105" s="97">
        <v>8560.9905128100672</v>
      </c>
      <c r="BB105" s="97">
        <v>0.33447684391080618</v>
      </c>
      <c r="BC105" s="97">
        <v>668.28473413379072</v>
      </c>
      <c r="BD105" s="97">
        <v>6.35584119133354</v>
      </c>
      <c r="BE105" s="97">
        <v>12698.970700284413</v>
      </c>
      <c r="BF105" s="97">
        <v>3.9302932863585371</v>
      </c>
      <c r="BG105" s="97">
        <v>7852.7259861443572</v>
      </c>
      <c r="BH105" s="97">
        <v>2.782445319233056</v>
      </c>
      <c r="BI105" s="97">
        <v>5559.3257478276464</v>
      </c>
      <c r="BJ105" s="97">
        <v>4.3951357420778487</v>
      </c>
      <c r="BK105" s="97">
        <v>8781.4812126715424</v>
      </c>
      <c r="BL105" s="97">
        <v>3.1197256661328669</v>
      </c>
      <c r="BM105" s="97">
        <v>6233.2118809334679</v>
      </c>
      <c r="BN105" s="97">
        <v>0.47120418848167539</v>
      </c>
      <c r="BO105" s="97">
        <v>941.46596858638748</v>
      </c>
      <c r="BP105" s="97">
        <v>3.5112218305197058</v>
      </c>
      <c r="BQ105" s="97">
        <v>7015.4212173783726</v>
      </c>
      <c r="BR105" s="97">
        <v>4.3117305105313193</v>
      </c>
      <c r="BS105" s="97">
        <v>8614.8375600415766</v>
      </c>
      <c r="BT105" s="97">
        <v>7.7688528265365022</v>
      </c>
      <c r="BU105" s="97">
        <v>15522.167947419932</v>
      </c>
      <c r="BV105" s="97">
        <v>0.27027027027027029</v>
      </c>
      <c r="BW105" s="97">
        <v>540</v>
      </c>
      <c r="BX105" s="97">
        <v>6</v>
      </c>
      <c r="BY105" s="97">
        <v>11988</v>
      </c>
      <c r="BZ105" s="97">
        <v>3.5922310914040274</v>
      </c>
      <c r="CA105" s="97">
        <v>7177.2777206252467</v>
      </c>
      <c r="CB105" s="97">
        <v>2.8782506613242056</v>
      </c>
      <c r="CC105" s="97">
        <v>5750.744821325763</v>
      </c>
      <c r="CD105" s="97">
        <v>2.7684563758389262</v>
      </c>
      <c r="CE105" s="97">
        <v>5531.3758389261748</v>
      </c>
      <c r="CF105" s="97">
        <v>3.8741362301204592</v>
      </c>
      <c r="CG105" s="97">
        <v>7740.5241877806775</v>
      </c>
      <c r="CH105" s="97">
        <v>0.15734265734265734</v>
      </c>
      <c r="CI105" s="97">
        <v>314.37062937062939</v>
      </c>
      <c r="CJ105" s="97">
        <v>4.0116279069767442</v>
      </c>
      <c r="CK105" s="97">
        <v>8015.2325581395353</v>
      </c>
      <c r="CL105" s="97">
        <v>4.5372723968442372</v>
      </c>
      <c r="CM105" s="97">
        <v>9065.470248894786</v>
      </c>
      <c r="CN105" s="97">
        <v>3.6995515695067263</v>
      </c>
      <c r="CO105" s="97">
        <v>7391.7040358744389</v>
      </c>
      <c r="CP105" s="97">
        <v>3.2573730190476866E-2</v>
      </c>
      <c r="CQ105" s="97">
        <v>65.082312920572775</v>
      </c>
      <c r="CR105" s="97">
        <v>3</v>
      </c>
      <c r="CS105" s="97">
        <v>5994</v>
      </c>
      <c r="CT105" s="97">
        <v>6</v>
      </c>
      <c r="CU105" s="97">
        <v>11988</v>
      </c>
    </row>
    <row r="107" spans="2:99" x14ac:dyDescent="0.15">
      <c r="B107" s="101" t="s">
        <v>275</v>
      </c>
    </row>
    <row r="108" spans="2:99" x14ac:dyDescent="0.15">
      <c r="C108" s="96" t="s">
        <v>276</v>
      </c>
      <c r="D108" s="96" t="s">
        <v>92</v>
      </c>
      <c r="E108" s="96" t="s">
        <v>93</v>
      </c>
      <c r="F108" s="96" t="s">
        <v>94</v>
      </c>
      <c r="G108" s="96" t="s">
        <v>95</v>
      </c>
      <c r="H108" s="96" t="s">
        <v>96</v>
      </c>
      <c r="I108" s="96" t="s">
        <v>97</v>
      </c>
      <c r="J108" s="96" t="s">
        <v>98</v>
      </c>
      <c r="K108" s="96" t="s">
        <v>99</v>
      </c>
      <c r="L108" s="96" t="s">
        <v>100</v>
      </c>
      <c r="M108" s="96" t="s">
        <v>101</v>
      </c>
      <c r="N108" s="96" t="s">
        <v>102</v>
      </c>
      <c r="O108" s="96" t="s">
        <v>103</v>
      </c>
    </row>
    <row r="109" spans="2:99" x14ac:dyDescent="0.15">
      <c r="C109" s="96" t="s">
        <v>126</v>
      </c>
      <c r="D109" s="97">
        <f>SUM(D$6:D$19)+SUM(F$6:F$19)+SUM(H$6:H$19)+SUM(J$6:J$19)</f>
        <v>353.93861242651394</v>
      </c>
      <c r="E109" s="97">
        <f>SUM(L$6:L$19)+SUM(N$6:N$19)+SUM(P$6:P$19)+SUM(R$6:R$19)</f>
        <v>1530.1872120118123</v>
      </c>
      <c r="F109" s="97">
        <f>SUM(T$6:T$19)+SUM(V$6:V$19)+SUM(X$6:X$19)+SUM(Z$6:Z$19)</f>
        <v>1206.135238408262</v>
      </c>
      <c r="G109" s="97">
        <f>SUM(AB$6:AB$19)+SUM(AD$6:AD$19)+SUM(AF$6:AF$19)+SUM(AH$6:AH$19)</f>
        <v>1214.1188912605653</v>
      </c>
      <c r="H109" s="97">
        <f>SUM(AJ$6:AJ$19)+SUM(AL$6:AL$19)+SUM(AN$6:AN$19)+SUM(AP$6:AP$19)</f>
        <v>1152</v>
      </c>
      <c r="I109" s="97">
        <f>SUM(AR$6:AR$19)+SUM(AT$6:AT$19)+SUM(AV$6:AV$19)+SUM(AX$6:AX$19)</f>
        <v>873</v>
      </c>
      <c r="J109" s="97">
        <f>SUM(AZ$6:AZ$19)+SUM(BB$6:BB$19)+SUM(BD$6:BD$19)+SUM(BF$6:BF$19)</f>
        <v>692</v>
      </c>
      <c r="K109" s="97">
        <f>SUM(BH$6:BH$19)+SUM(BJ$6:BJ$19)+SUM(BL$6:BL$19)+SUM(BN$6:BN$19)</f>
        <v>611</v>
      </c>
      <c r="L109" s="97">
        <f>SUM(BP$6:BP$19)+SUM(BR$6:BR$19)+SUM(BT$6:BT$19)+SUM(BV$6:BV$19)</f>
        <v>521</v>
      </c>
      <c r="M109" s="97">
        <f>SUM(BX$6:BX$19)+SUM(BZ$6:BZ$19)+SUM(CB$6:CB$19)+SUM(CD$6:CD$19)</f>
        <v>376</v>
      </c>
      <c r="N109" s="97">
        <f>SUM(CF$6:CF$19)+SUM(CH$6:CH$19)+SUM(CJ$6:CJ$19)+SUM(CL$6:CL$19)</f>
        <v>338</v>
      </c>
      <c r="O109" s="97">
        <f>SUM(CN$6:CN$19)+SUM(CP$6:CP$19)+SUM(CR$6:CR$19)+SUM(CT$6:CT$19)</f>
        <v>339</v>
      </c>
    </row>
    <row r="110" spans="2:99" x14ac:dyDescent="0.15">
      <c r="C110" s="96" t="s">
        <v>127</v>
      </c>
      <c r="D110" s="97">
        <f>SUM(D$20:D$36)+SUM(F$20:F$36)+SUM(H$20:H$36)+SUM(J$20:J$36)</f>
        <v>868.20583310345796</v>
      </c>
      <c r="E110" s="97">
        <f>SUM(L$20:L$36)+SUM(N$20:N$36)+SUM(P$20:P$36)+SUM(R$20:R$36)</f>
        <v>3750.7428366486274</v>
      </c>
      <c r="F110" s="97">
        <f>SUM(T$20:T$36)+SUM(V$20:V$36)+SUM(X$20:X$36)+SUM(Z$20:Z$36)</f>
        <v>3103.2393574332796</v>
      </c>
      <c r="G110" s="97">
        <f>SUM(AB$20:AB$36)+SUM(AD$20:AD$36)+SUM(AF$20:AF$36)+SUM(AH$20:AH$36)</f>
        <v>2949.0796532469731</v>
      </c>
      <c r="H110" s="97">
        <f>SUM(AJ$20:AJ$36)+SUM(AL$20:AL$36)+SUM(AN$20:AN$36)+SUM(AP$20:AP$36)</f>
        <v>2651</v>
      </c>
      <c r="I110" s="97">
        <f>SUM(AR$20:AR$36)+SUM(AT$20:AT$36)+SUM(AV$20:AV$36)+SUM(AX$20:AX$36)</f>
        <v>1951</v>
      </c>
      <c r="J110" s="97">
        <f>SUM(AZ$20:AZ$36)+SUM(BB$20:BB$36)+SUM(BD$20:BD$36)+SUM(BF$20:BF$36)</f>
        <v>1460</v>
      </c>
      <c r="K110" s="97">
        <f>SUM(BH$20:BH$36)+SUM(BJ$20:BJ$36)+SUM(BL$20:BL$36)+SUM(BN$20:BN$36)</f>
        <v>1504</v>
      </c>
      <c r="L110" s="97">
        <f>SUM(BP$20:BP$36)+SUM(BR$20:BR$36)+SUM(BT$20:BT$36)+SUM(BV$20:BV$36)</f>
        <v>1099</v>
      </c>
      <c r="M110" s="97">
        <f>SUM(BX$20:BX$36)+SUM(BZ$20:BZ$36)+SUM(CB$20:CB$36)+SUM(CD$20:CD$36)</f>
        <v>1001</v>
      </c>
      <c r="N110" s="97">
        <f>SUM(CF$20:CF$36)+SUM(CH$20:CH$36)+SUM(CJ$20:CJ$36)+SUM(CL$20:CL$36)</f>
        <v>797</v>
      </c>
      <c r="O110" s="97">
        <f>SUM(CN$20:CN$36)+SUM(CP$20:CP$36)+SUM(CR$20:CR$36)+SUM(CT$20:CT$36)</f>
        <v>704</v>
      </c>
    </row>
    <row r="111" spans="2:99" x14ac:dyDescent="0.15">
      <c r="C111" s="96" t="s">
        <v>128</v>
      </c>
      <c r="D111" s="97">
        <f>SUM(D$37:D$48)+SUM(F$37:F$48)+SUM(H$37:H$48)+SUM(J$37:J$48)</f>
        <v>328.23809734222613</v>
      </c>
      <c r="E111" s="97">
        <f>SUM(L$37:L$48)+SUM(N$37:N$48)+SUM(P$37:P$48)+SUM(R$37:R$48)</f>
        <v>1895.0253132989487</v>
      </c>
      <c r="F111" s="97">
        <f>SUM(T$37:T$48)+SUM(V$37:V$48)+SUM(X$37:X$48)+SUM(Z$37:Z$48)</f>
        <v>1424.4409636694161</v>
      </c>
      <c r="G111" s="97">
        <f>SUM(AB$37:AB$48)+SUM(AD$37:AD$48)+SUM(AF$37:AF$48)+SUM(AH$37:AH$48)</f>
        <v>1545.8250029816559</v>
      </c>
      <c r="H111" s="97">
        <f>SUM(AJ$37:AJ$48)+SUM(AL$37:AL$48)+SUM(AN$37:AN$48)+SUM(AP$37:AP$48)</f>
        <v>1170</v>
      </c>
      <c r="I111" s="97">
        <f>SUM(AR$37:AR$48)+SUM(AT$37:AT$48)+SUM(AV$37:AV$48)+SUM(AX$37:AX$48)</f>
        <v>742</v>
      </c>
      <c r="J111" s="97">
        <f>SUM(AZ$37:AZ$48)+SUM(BB$37:BB$48)+SUM(BD$37:BD$48)+SUM(BF$37:BF$48)</f>
        <v>725</v>
      </c>
      <c r="K111" s="97">
        <f>SUM(BH$37:BH$48)+SUM(BJ$37:BJ$48)+SUM(BL$37:BL$48)+SUM(BN$37:BN$48)</f>
        <v>542</v>
      </c>
      <c r="L111" s="97">
        <f>SUM(BP$37:BP$48)+SUM(BR$37:BR$48)+SUM(BT$37:BT$48)+SUM(BV$37:BV$48)</f>
        <v>434</v>
      </c>
      <c r="M111" s="97">
        <f>SUM(BX$37:BX$48)+SUM(BZ$37:BZ$48)+SUM(CB$37:CB$48)+SUM(CD$37:CD$48)</f>
        <v>412</v>
      </c>
      <c r="N111" s="97">
        <f>SUM(CF$37:CF$48)+SUM(CH$37:CH$48)+SUM(CJ$37:CJ$48)+SUM(CL$37:CL$48)</f>
        <v>332</v>
      </c>
      <c r="O111" s="97">
        <f>SUM(CN$37:CN$48)+SUM(CP$37:CP$48)+SUM(CR$37:CR$48)+SUM(CT$37:CT$48)</f>
        <v>323</v>
      </c>
    </row>
    <row r="112" spans="2:99" x14ac:dyDescent="0.15">
      <c r="C112" s="96" t="s">
        <v>129</v>
      </c>
      <c r="D112" s="97">
        <f>SUM(D$49:D$70)+SUM(F$49:F$70)+SUM(H$49:H$70)+SUM(J$49:J$70)</f>
        <v>506.92515426379748</v>
      </c>
      <c r="E112" s="97">
        <f>SUM(L$49:L$70)+SUM(N$49:N$70)+SUM(P$49:P$70)+SUM(R$49:R$70)</f>
        <v>2116.5117983402174</v>
      </c>
      <c r="F112" s="97">
        <f>SUM(T$49:T$70)+SUM(V$49:V$70)+SUM(X$49:X$70)+SUM(Z$49:Z$70)</f>
        <v>1960.0261786995818</v>
      </c>
      <c r="G112" s="97">
        <f>SUM(AB$49:AB$70)+SUM(AD$49:AD$70)+SUM(AF$49:AF$70)+SUM(AH$49:AH$70)</f>
        <v>1654.5302004452162</v>
      </c>
      <c r="H112" s="97">
        <f>SUM(AJ$49:AJ$70)+SUM(AL$49:AL$70)+SUM(AN$49:AN$70)+SUM(AP$49:AP$70)</f>
        <v>1593.9349677988757</v>
      </c>
      <c r="I112" s="97">
        <f>SUM(AR$49:AR$70)+SUM(AT$49:AT$70)+SUM(AV$49:AV$70)+SUM(AX$49:AX$70)</f>
        <v>1185.0368690334883</v>
      </c>
      <c r="J112" s="97">
        <f>SUM(AZ$49:AZ$70)+SUM(BB$49:BB$70)+SUM(BD$49:BD$70)+SUM(BF$49:BF$70)</f>
        <v>910.48184661655569</v>
      </c>
      <c r="K112" s="97">
        <f>SUM(BH$49:BH$70)+SUM(BJ$49:BJ$70)+SUM(BL$49:BL$70)+SUM(BN$49:BN$70)</f>
        <v>765.41641926713487</v>
      </c>
      <c r="L112" s="97">
        <f>SUM(BP$49:BP$70)+SUM(BR$49:BR$70)+SUM(BT$49:BT$70)+SUM(BV$49:BV$70)</f>
        <v>575.14105103439624</v>
      </c>
      <c r="M112" s="97">
        <f>SUM(BX$49:BX$70)+SUM(BZ$49:BZ$70)+SUM(CB$49:CB$70)+SUM(CD$49:CD$70)</f>
        <v>537.55577541809305</v>
      </c>
      <c r="N112" s="97">
        <f>SUM(CF$49:CF$70)+SUM(CH$49:CH$70)+SUM(CJ$49:CJ$70)+SUM(CL$49:CL$70)</f>
        <v>472.03229775380055</v>
      </c>
      <c r="O112" s="97">
        <f>SUM(CN$49:CN$70)+SUM(CP$49:CP$70)+SUM(CR$49:CR$70)+SUM(CT$49:CT$70)</f>
        <v>405.17031691493924</v>
      </c>
    </row>
    <row r="113" spans="2:15" x14ac:dyDescent="0.15">
      <c r="C113" s="96" t="s">
        <v>130</v>
      </c>
      <c r="D113" s="97">
        <f>SUM(D$71:D$86)+SUM(F$71:F$86)+SUM(H$71:H$86)+SUM(J$71:J$86)</f>
        <v>178.23395148326307</v>
      </c>
      <c r="E113" s="97">
        <f>SUM(L$71:L$86)+SUM(N$71:N$86)+SUM(P$71:P$86)+SUM(R$71:R$86)</f>
        <v>312.95945323420159</v>
      </c>
      <c r="F113" s="97">
        <f>SUM(T$71:T$86)+SUM(V$71:V$86)+SUM(X$71:X$86)+SUM(Z$71:Z$86)</f>
        <v>282.82605368338864</v>
      </c>
      <c r="G113" s="97">
        <f>SUM(AB$71:AB$86)+SUM(AD$71:AD$86)+SUM(AF$71:AF$86)+SUM(AH$71:AH$86)</f>
        <v>424.58072543312335</v>
      </c>
      <c r="H113" s="97">
        <f>SUM(AJ$71:AJ$86)+SUM(AL$71:AL$86)+SUM(AN$71:AN$86)+SUM(AP$71:AP$86)</f>
        <v>212.69618262232314</v>
      </c>
      <c r="I113" s="97">
        <f>SUM(AR$71:AR$86)+SUM(AT$71:AT$86)+SUM(AV$71:AV$86)+SUM(AX$71:AX$86)</f>
        <v>404.29634319289198</v>
      </c>
      <c r="J113" s="97">
        <f>SUM(AZ$71:AZ$86)+SUM(BB$71:BB$86)+SUM(BD$71:BD$86)+SUM(BF$71:BF$86)</f>
        <v>324.28185342497193</v>
      </c>
      <c r="K113" s="97">
        <f>SUM(BH$71:BH$86)+SUM(BJ$71:BJ$86)+SUM(BL$71:BL$86)+SUM(BN$71:BN$86)</f>
        <v>271.92504529314641</v>
      </c>
      <c r="L113" s="97">
        <f>SUM(BP$71:BP$86)+SUM(BR$71:BR$86)+SUM(BT$71:BT$86)+SUM(BV$71:BV$86)</f>
        <v>358.51733868863556</v>
      </c>
      <c r="M113" s="97">
        <f>SUM(BX$71:BX$86)+SUM(BZ$71:BZ$86)+SUM(CB$71:CB$86)+SUM(CD$71:CD$86)</f>
        <v>340.23488394133363</v>
      </c>
      <c r="N113" s="97">
        <f>SUM(CF$71:CF$86)+SUM(CH$71:CH$86)+SUM(CJ$71:CJ$86)+SUM(CL$71:CL$86)</f>
        <v>230.69237548932324</v>
      </c>
      <c r="O113" s="97">
        <f>SUM(CN$71:CN$86)+SUM(CP$71:CP$86)+SUM(CR$71:CR$86)+SUM(CT$71:CT$86)</f>
        <v>252.54444805315535</v>
      </c>
    </row>
    <row r="114" spans="2:15" x14ac:dyDescent="0.15">
      <c r="C114" s="96" t="s">
        <v>131</v>
      </c>
      <c r="D114" s="97">
        <f>SUM(D$87:D$94)+SUM(F$87:F$94)+SUM(H$87:H$94)+SUM(J$87:J$94)</f>
        <v>35.634405339018969</v>
      </c>
      <c r="E114" s="97">
        <f>SUM(L$87:L$94)+SUM(N$87:N$94)+SUM(P$87:P$94)+SUM(R$87:R$94)</f>
        <v>92.872125431996722</v>
      </c>
      <c r="F114" s="97">
        <f>SUM(T$87:T$94)+SUM(V$87:V$94)+SUM(X$87:X$94)+SUM(Z$87:Z$94)</f>
        <v>54.21580023209291</v>
      </c>
      <c r="G114" s="97">
        <f>SUM(AB$87:AB$94)+SUM(AD$87:AD$94)+SUM(AF$87:AF$94)+SUM(AH$87:AH$94)</f>
        <v>104.5434126938023</v>
      </c>
      <c r="H114" s="97">
        <f>SUM(AJ$87:AJ$94)+SUM(AL$87:AL$94)+SUM(AN$87:AN$94)+SUM(AP$87:AP$94)</f>
        <v>74.967922035329337</v>
      </c>
      <c r="I114" s="97">
        <f>SUM(AR$87:AR$94)+SUM(AT$87:AT$94)+SUM(AV$87:AV$94)+SUM(AX$87:AX$94)</f>
        <v>107.88609729175759</v>
      </c>
      <c r="J114" s="97">
        <f>SUM(AZ$87:AZ$94)+SUM(BB$87:BB$94)+SUM(BD$87:BD$94)+SUM(BF$87:BF$94)</f>
        <v>120.04176066722302</v>
      </c>
      <c r="K114" s="97">
        <f>SUM(BH$87:BH$94)+SUM(BJ$87:BJ$94)+SUM(BL$87:BL$94)+SUM(BN$87:BN$94)</f>
        <v>73.849551191661519</v>
      </c>
      <c r="L114" s="97">
        <f>SUM(BP$87:BP$94)+SUM(BR$87:BR$94)+SUM(BT$87:BT$94)+SUM(BV$87:BV$94)</f>
        <v>78.128691074347259</v>
      </c>
      <c r="M114" s="97">
        <f>SUM(BX$87:BX$94)+SUM(BZ$87:BZ$94)+SUM(CB$87:CB$94)+SUM(CD$87:CD$94)</f>
        <v>106.44451964027276</v>
      </c>
      <c r="N114" s="97">
        <f>SUM(CF$87:CF$94)+SUM(CH$87:CH$94)+SUM(CJ$87:CJ$94)+SUM(CL$87:CL$94)</f>
        <v>115.82050987486485</v>
      </c>
      <c r="O114" s="97">
        <f>SUM(CN$87:CN$94)+SUM(CP$87:CP$94)+SUM(CR$87:CR$94)+SUM(CT$87:CT$94)</f>
        <v>115.55909450341645</v>
      </c>
    </row>
    <row r="115" spans="2:15" x14ac:dyDescent="0.15">
      <c r="C115" s="96" t="s">
        <v>132</v>
      </c>
      <c r="D115" s="97">
        <f>SUM(D$95:D$105)+SUM(F$95:F$105)+SUM(H$95:H$105)+SUM(J$95:J$105)</f>
        <v>94.643709880082753</v>
      </c>
      <c r="E115" s="97">
        <f>SUM(L$95:L$105)+SUM(N$95:N$105)+SUM(P$95:P$105)+SUM(R$95:R$105)</f>
        <v>208.3792547061463</v>
      </c>
      <c r="F115" s="97">
        <f>SUM(T$95:T$105)+SUM(V$95:V$105)+SUM(X$95:X$105)+SUM(Z$95:Z$105)</f>
        <v>116.19915068794248</v>
      </c>
      <c r="G115" s="97">
        <f>SUM(AB$95:AB$105)+SUM(AD$95:AD$105)+SUM(AF$95:AF$105)+SUM(AH$95:AH$105)</f>
        <v>231.11106255239267</v>
      </c>
      <c r="H115" s="97">
        <f>SUM(AJ$95:AJ$105)+SUM(AL$95:AL$105)+SUM(AN$95:AN$105)+SUM(AP$95:AP$105)</f>
        <v>160.78954266243059</v>
      </c>
      <c r="I115" s="97">
        <f>SUM(AR$95:AR$105)+SUM(AT$95:AT$105)+SUM(AV$95:AV$105)+SUM(AX$95:AX$105)</f>
        <v>204.29785253786551</v>
      </c>
      <c r="J115" s="97">
        <f>SUM(AZ$95:AZ$105)+SUM(BB$95:BB$105)+SUM(BD$95:BD$105)+SUM(BF$95:BF$105)</f>
        <v>161.17796516923315</v>
      </c>
      <c r="K115" s="97">
        <f>SUM(BH$95:BH$105)+SUM(BJ$95:BJ$105)+SUM(BL$95:BL$105)+SUM(BN$95:BN$105)</f>
        <v>113.08064850327831</v>
      </c>
      <c r="L115" s="97">
        <f>SUM(BP$95:BP$105)+SUM(BR$95:BR$105)+SUM(BT$95:BT$105)+SUM(BV$95:BV$105)</f>
        <v>169.05060486683237</v>
      </c>
      <c r="M115" s="97">
        <f>SUM(BX$95:BX$105)+SUM(BZ$95:BZ$105)+SUM(CB$95:CB$105)+SUM(CD$95:CD$105)</f>
        <v>167.79868208884716</v>
      </c>
      <c r="N115" s="97">
        <f>SUM(CF$95:CF$105)+SUM(CH$95:CH$105)+SUM(CJ$95:CJ$105)+SUM(CL$95:CL$105)</f>
        <v>126.73879169189689</v>
      </c>
      <c r="O115" s="97">
        <f>SUM(CN$95:CN$105)+SUM(CP$95:CP$105)+SUM(CR$95:CR$105)+SUM(CT$95:CT$105)</f>
        <v>137.82713260892712</v>
      </c>
    </row>
    <row r="116" spans="2:15" x14ac:dyDescent="0.15">
      <c r="C116" s="96" t="s">
        <v>277</v>
      </c>
      <c r="D116" s="97">
        <f t="shared" ref="D116:O116" si="0">SUM(D$109:D$115)</f>
        <v>2365.8197638383604</v>
      </c>
      <c r="E116" s="97">
        <f t="shared" si="0"/>
        <v>9906.6779936719504</v>
      </c>
      <c r="F116" s="97">
        <f t="shared" si="0"/>
        <v>8147.0827428139637</v>
      </c>
      <c r="G116" s="97">
        <f t="shared" si="0"/>
        <v>8123.7889486137283</v>
      </c>
      <c r="H116" s="97">
        <f t="shared" si="0"/>
        <v>7015.388615118959</v>
      </c>
      <c r="I116" s="97">
        <f t="shared" si="0"/>
        <v>5467.5171620560031</v>
      </c>
      <c r="J116" s="97">
        <f t="shared" si="0"/>
        <v>4392.9834258779838</v>
      </c>
      <c r="K116" s="97">
        <f t="shared" si="0"/>
        <v>3881.2716642552214</v>
      </c>
      <c r="L116" s="97">
        <f t="shared" si="0"/>
        <v>3234.8376856642117</v>
      </c>
      <c r="M116" s="97">
        <f t="shared" si="0"/>
        <v>2941.0338610885465</v>
      </c>
      <c r="N116" s="97">
        <f t="shared" si="0"/>
        <v>2412.2839748098859</v>
      </c>
      <c r="O116" s="97">
        <f t="shared" si="0"/>
        <v>2277.1009920804381</v>
      </c>
    </row>
    <row r="118" spans="2:15" x14ac:dyDescent="0.15">
      <c r="B118" s="100" t="s">
        <v>278</v>
      </c>
    </row>
    <row r="119" spans="2:15" x14ac:dyDescent="0.15">
      <c r="C119" s="96" t="s">
        <v>276</v>
      </c>
      <c r="D119" s="96" t="s">
        <v>92</v>
      </c>
      <c r="E119" s="96" t="s">
        <v>93</v>
      </c>
      <c r="F119" s="96" t="s">
        <v>94</v>
      </c>
      <c r="G119" s="96" t="s">
        <v>95</v>
      </c>
      <c r="H119" s="96" t="s">
        <v>96</v>
      </c>
      <c r="I119" s="96" t="s">
        <v>97</v>
      </c>
      <c r="J119" s="96" t="s">
        <v>98</v>
      </c>
      <c r="K119" s="96" t="s">
        <v>99</v>
      </c>
      <c r="L119" s="96" t="s">
        <v>100</v>
      </c>
      <c r="M119" s="96" t="s">
        <v>101</v>
      </c>
      <c r="N119" s="96" t="s">
        <v>102</v>
      </c>
      <c r="O119" s="96" t="s">
        <v>103</v>
      </c>
    </row>
    <row r="120" spans="2:15" x14ac:dyDescent="0.15">
      <c r="C120" s="96" t="s">
        <v>126</v>
      </c>
      <c r="D120" s="97">
        <f>D109*pricing!D15*2000</f>
        <v>707877.22485302784</v>
      </c>
      <c r="E120" s="97">
        <f>E109*pricing!E15*2000</f>
        <v>3895021.9942118861</v>
      </c>
      <c r="F120" s="97">
        <f>F109*pricing!F15*2000</f>
        <v>3728054.3732619006</v>
      </c>
      <c r="G120" s="97">
        <f>G109*pricing!G15*2000</f>
        <v>4414977.7864020551</v>
      </c>
      <c r="H120" s="97">
        <f>H109*pricing!H15*2000</f>
        <v>4817454.5454545449</v>
      </c>
      <c r="I120" s="97">
        <f>I109*pricing!I15*2000</f>
        <v>4126909.0909090899</v>
      </c>
      <c r="J120" s="97">
        <f>J109*pricing!J15*2000</f>
        <v>3648727.272727272</v>
      </c>
      <c r="K120" s="97">
        <f>K109*pricing!K15*2000</f>
        <v>3554909.0909090899</v>
      </c>
      <c r="L120" s="97">
        <f>L109*pricing!L15*2000</f>
        <v>3315454.5454545445</v>
      </c>
      <c r="M120" s="97">
        <f>M109*pricing!M15*2000</f>
        <v>2597818.1818181812</v>
      </c>
      <c r="N120" s="97">
        <f>N109*pricing!N15*2000</f>
        <v>2519636.3636363628</v>
      </c>
      <c r="O120" s="97">
        <f>O109*pricing!O15*2000</f>
        <v>2711999.9999999986</v>
      </c>
    </row>
    <row r="121" spans="2:15" x14ac:dyDescent="0.15">
      <c r="C121" s="96" t="s">
        <v>127</v>
      </c>
      <c r="D121" s="97">
        <f>D110*pricing!D16*2000</f>
        <v>1736411.6662069159</v>
      </c>
      <c r="E121" s="97">
        <f>E110*pricing!E16*2000</f>
        <v>9547345.4023783226</v>
      </c>
      <c r="F121" s="97">
        <f>F110*pricing!F16*2000</f>
        <v>9591830.7411574088</v>
      </c>
      <c r="G121" s="97">
        <f>G110*pricing!G16*2000</f>
        <v>10723926.011807173</v>
      </c>
      <c r="H121" s="97">
        <f>H110*pricing!H16*2000</f>
        <v>11086000</v>
      </c>
      <c r="I121" s="97">
        <f>I110*pricing!I16*2000</f>
        <v>9222909.0909090899</v>
      </c>
      <c r="J121" s="97">
        <f>J110*pricing!J16*2000</f>
        <v>7698181.8181818165</v>
      </c>
      <c r="K121" s="97">
        <f>K110*pricing!K16*2000</f>
        <v>8750545.4545454513</v>
      </c>
      <c r="L121" s="97">
        <f>L110*pricing!L16*2000</f>
        <v>6993636.3636363614</v>
      </c>
      <c r="M121" s="97">
        <f>M110*pricing!M16*2000</f>
        <v>6915999.9999999972</v>
      </c>
      <c r="N121" s="97">
        <f>N110*pricing!N16*2000</f>
        <v>5941272.7272727257</v>
      </c>
      <c r="O121" s="97">
        <f>O110*pricing!O16*2000</f>
        <v>5631999.9999999972</v>
      </c>
    </row>
    <row r="122" spans="2:15" x14ac:dyDescent="0.15">
      <c r="C122" s="96" t="s">
        <v>128</v>
      </c>
      <c r="D122" s="97">
        <f>D111*pricing!D17*2000</f>
        <v>656476.19468445226</v>
      </c>
      <c r="E122" s="97">
        <f>E111*pricing!E17*2000</f>
        <v>4823700.7974882331</v>
      </c>
      <c r="F122" s="97">
        <f>F111*pricing!F17*2000</f>
        <v>4402817.5240691043</v>
      </c>
      <c r="G122" s="97">
        <f>G111*pricing!G17*2000</f>
        <v>5621181.8290242031</v>
      </c>
      <c r="H122" s="97">
        <f>H111*pricing!H17*2000</f>
        <v>4892727.2727272734</v>
      </c>
      <c r="I122" s="97">
        <f>I111*pricing!I17*2000</f>
        <v>3507636.3636363628</v>
      </c>
      <c r="J122" s="97">
        <f>J111*pricing!J17*2000</f>
        <v>3822727.272727272</v>
      </c>
      <c r="K122" s="97">
        <f>K111*pricing!K17*2000</f>
        <v>3153454.5454545445</v>
      </c>
      <c r="L122" s="97">
        <f>L111*pricing!L17*2000</f>
        <v>2761818.1818181812</v>
      </c>
      <c r="M122" s="97">
        <f>M111*pricing!M17*2000</f>
        <v>2846545.4545454537</v>
      </c>
      <c r="N122" s="97">
        <f>N111*pricing!N17*2000</f>
        <v>2474909.0909090899</v>
      </c>
      <c r="O122" s="97">
        <f>O111*pricing!O17*2000</f>
        <v>2583999.9999999986</v>
      </c>
    </row>
    <row r="123" spans="2:15" x14ac:dyDescent="0.15">
      <c r="C123" s="96" t="s">
        <v>129</v>
      </c>
      <c r="D123" s="97">
        <f>D112*pricing!D18*2000</f>
        <v>1013850.308527595</v>
      </c>
      <c r="E123" s="97">
        <f>E112*pricing!E18*2000</f>
        <v>5387484.5775932809</v>
      </c>
      <c r="F123" s="97">
        <f>F112*pricing!F18*2000</f>
        <v>6058262.7341623437</v>
      </c>
      <c r="G123" s="97">
        <f>G112*pricing!G18*2000</f>
        <v>6016473.4561644224</v>
      </c>
      <c r="H123" s="97">
        <f>H112*pricing!H18*2000</f>
        <v>6665546.2289771168</v>
      </c>
      <c r="I123" s="97">
        <f>I112*pricing!I18*2000</f>
        <v>5601992.4717946714</v>
      </c>
      <c r="J123" s="97">
        <f>J112*pricing!J18*2000</f>
        <v>4800722.4639782021</v>
      </c>
      <c r="K123" s="97">
        <f>K112*pricing!K18*2000</f>
        <v>4453331.8939178744</v>
      </c>
      <c r="L123" s="97">
        <f>L112*pricing!L18*2000</f>
        <v>3659988.50658252</v>
      </c>
      <c r="M123" s="97">
        <f>M112*pricing!M18*2000</f>
        <v>3714021.7210704596</v>
      </c>
      <c r="N123" s="97">
        <f>N112*pricing!N18*2000</f>
        <v>3518786.2196192392</v>
      </c>
      <c r="O123" s="97">
        <f>O112*pricing!O18*2000</f>
        <v>3241362.5353195127</v>
      </c>
    </row>
    <row r="124" spans="2:15" x14ac:dyDescent="0.15">
      <c r="C124" s="96" t="s">
        <v>130</v>
      </c>
      <c r="D124" s="97">
        <f>D113*pricing!D19*2000</f>
        <v>356467.90296652616</v>
      </c>
      <c r="E124" s="97">
        <f>E113*pricing!E19*2000</f>
        <v>796624.06277796766</v>
      </c>
      <c r="F124" s="97">
        <f>F113*pricing!F19*2000</f>
        <v>874189.62047592842</v>
      </c>
      <c r="G124" s="97">
        <f>G113*pricing!G19*2000</f>
        <v>1543929.910665903</v>
      </c>
      <c r="H124" s="97">
        <f>H113*pricing!H19*2000</f>
        <v>889456.7636933513</v>
      </c>
      <c r="I124" s="97">
        <f>I113*pricing!I19*2000</f>
        <v>1911219.0769118527</v>
      </c>
      <c r="J124" s="97">
        <f>J113*pricing!J19*2000</f>
        <v>1709849.772604397</v>
      </c>
      <c r="K124" s="97">
        <f>K113*pricing!K19*2000</f>
        <v>1582109.3544328515</v>
      </c>
      <c r="L124" s="97">
        <f>L113*pricing!L19*2000</f>
        <v>2281473.9734731349</v>
      </c>
      <c r="M124" s="97">
        <f>M113*pricing!M19*2000</f>
        <v>2350713.7435946679</v>
      </c>
      <c r="N124" s="97">
        <f>N113*pricing!N19*2000</f>
        <v>1719706.799102227</v>
      </c>
      <c r="O124" s="97">
        <f>O113*pricing!O19*2000</f>
        <v>2020355.5844252419</v>
      </c>
    </row>
    <row r="125" spans="2:15" x14ac:dyDescent="0.15">
      <c r="C125" s="96" t="s">
        <v>131</v>
      </c>
      <c r="D125" s="97">
        <f>D114*pricing!D20*2000</f>
        <v>71268.810678037931</v>
      </c>
      <c r="E125" s="97">
        <f>E114*pricing!E20*2000</f>
        <v>236401.77382690075</v>
      </c>
      <c r="F125" s="97">
        <f>F114*pricing!F20*2000</f>
        <v>167576.10980828718</v>
      </c>
      <c r="G125" s="97">
        <f>G114*pricing!G20*2000</f>
        <v>380157.86434109922</v>
      </c>
      <c r="H125" s="97">
        <f>H114*pricing!H20*2000</f>
        <v>313502.21942046814</v>
      </c>
      <c r="I125" s="97">
        <f>I114*pricing!I20*2000</f>
        <v>510007.00537921768</v>
      </c>
      <c r="J125" s="97">
        <f>J114*pricing!J20*2000</f>
        <v>632947.46533626667</v>
      </c>
      <c r="K125" s="97">
        <f>K114*pricing!K20*2000</f>
        <v>429670.11602421233</v>
      </c>
      <c r="L125" s="97">
        <f>L114*pricing!L20*2000</f>
        <v>497182.57956402784</v>
      </c>
      <c r="M125" s="97">
        <f>M114*pricing!M20*2000</f>
        <v>735434.86296915694</v>
      </c>
      <c r="N125" s="97">
        <f>N114*pricing!N20*2000</f>
        <v>863389.25543081039</v>
      </c>
      <c r="O125" s="97">
        <f>O114*pricing!O20*2000</f>
        <v>924472.75602733111</v>
      </c>
    </row>
    <row r="126" spans="2:15" x14ac:dyDescent="0.15">
      <c r="C126" s="96" t="s">
        <v>132</v>
      </c>
      <c r="D126" s="97">
        <f>D115*pricing!D21*2000</f>
        <v>189287.4197601655</v>
      </c>
      <c r="E126" s="97">
        <f>E115*pricing!E21*2000</f>
        <v>530419.9210701905</v>
      </c>
      <c r="F126" s="97">
        <f>F115*pricing!F21*2000</f>
        <v>359161.01121727674</v>
      </c>
      <c r="G126" s="97">
        <f>G115*pricing!G21*2000</f>
        <v>840403.86382688233</v>
      </c>
      <c r="H126" s="97">
        <f>H115*pricing!H21*2000</f>
        <v>672392.63295198244</v>
      </c>
      <c r="I126" s="97">
        <f>I115*pricing!I21*2000</f>
        <v>965771.66654263681</v>
      </c>
      <c r="J126" s="97">
        <f>J115*pricing!J21*2000</f>
        <v>849847.45271050185</v>
      </c>
      <c r="K126" s="97">
        <f>K115*pricing!K21*2000</f>
        <v>657923.77310998272</v>
      </c>
      <c r="L126" s="97">
        <f>L115*pricing!L21*2000</f>
        <v>1075776.5764252965</v>
      </c>
      <c r="M126" s="97">
        <f>M115*pricing!M21*2000</f>
        <v>1159336.3489774889</v>
      </c>
      <c r="N126" s="97">
        <f>N115*pricing!N21*2000</f>
        <v>944780.0835214128</v>
      </c>
      <c r="O126" s="97">
        <f>O115*pricing!O21*2000</f>
        <v>1102617.0608714165</v>
      </c>
    </row>
    <row r="127" spans="2:15" x14ac:dyDescent="0.15">
      <c r="C127" s="96" t="s">
        <v>277</v>
      </c>
      <c r="D127" s="97">
        <f t="shared" ref="D127:O127" si="1">SUM(D$120:D$126)</f>
        <v>4731639.5276767202</v>
      </c>
      <c r="E127" s="97">
        <f t="shared" si="1"/>
        <v>25216998.529346783</v>
      </c>
      <c r="F127" s="97">
        <f t="shared" si="1"/>
        <v>25181892.114152253</v>
      </c>
      <c r="G127" s="97">
        <f t="shared" si="1"/>
        <v>29541050.722231738</v>
      </c>
      <c r="H127" s="97">
        <f t="shared" si="1"/>
        <v>29337079.663224738</v>
      </c>
      <c r="I127" s="97">
        <f t="shared" si="1"/>
        <v>25846444.766082924</v>
      </c>
      <c r="J127" s="97">
        <f t="shared" si="1"/>
        <v>23163003.518265728</v>
      </c>
      <c r="K127" s="97">
        <f t="shared" si="1"/>
        <v>22581944.228394005</v>
      </c>
      <c r="L127" s="97">
        <f t="shared" si="1"/>
        <v>20585330.726954065</v>
      </c>
      <c r="M127" s="97">
        <f t="shared" si="1"/>
        <v>20319870.312975403</v>
      </c>
      <c r="N127" s="97">
        <f t="shared" si="1"/>
        <v>17982480.53949187</v>
      </c>
      <c r="O127" s="97">
        <f t="shared" si="1"/>
        <v>18216807.936643496</v>
      </c>
    </row>
    <row r="129" spans="2:15" x14ac:dyDescent="0.15">
      <c r="B129" s="100" t="s">
        <v>279</v>
      </c>
    </row>
    <row r="130" spans="2:15" x14ac:dyDescent="0.15">
      <c r="C130" s="102" t="s">
        <v>276</v>
      </c>
      <c r="D130" s="102" t="s">
        <v>92</v>
      </c>
      <c r="E130" s="102" t="s">
        <v>93</v>
      </c>
      <c r="F130" s="102" t="s">
        <v>94</v>
      </c>
      <c r="G130" s="102" t="s">
        <v>95</v>
      </c>
      <c r="H130" s="102" t="s">
        <v>96</v>
      </c>
      <c r="I130" s="102" t="s">
        <v>97</v>
      </c>
      <c r="J130" s="102" t="s">
        <v>98</v>
      </c>
      <c r="K130" s="102" t="s">
        <v>99</v>
      </c>
      <c r="L130" s="102" t="s">
        <v>100</v>
      </c>
      <c r="M130" s="102" t="s">
        <v>101</v>
      </c>
      <c r="N130" s="102" t="s">
        <v>102</v>
      </c>
      <c r="O130" s="102" t="s">
        <v>103</v>
      </c>
    </row>
    <row r="131" spans="2:15" x14ac:dyDescent="0.15">
      <c r="C131" s="102" t="s">
        <v>126</v>
      </c>
      <c r="D131" s="103">
        <f>SUM(E$6:E$19)+SUM(G$6:G$19)+SUM(I$6:I$19)+SUM(K$6:K$19)</f>
        <v>177862.25319105654</v>
      </c>
      <c r="E131" s="103">
        <f>SUM(M$6:M$19)+SUM(O$6:O$19)+SUM(Q$6:Q$19)+SUM(S$6:S$19)</f>
        <v>763563.39840902912</v>
      </c>
      <c r="F131" s="103">
        <f>SUM(U$6:U$19)+SUM(W$6:W$19)+SUM(Y$6:Y$19)+SUM(AA$6:AA$19)</f>
        <v>609134.71497671842</v>
      </c>
      <c r="G131" s="103">
        <f>SUM(AC$6:AC$19)+SUM(AE$6:AE$19)+SUM(AG$6:AG$19)+SUM(AI$6:AI$19)</f>
        <v>610421.75870134728</v>
      </c>
      <c r="H131" s="103">
        <f>SUM(AK$6:AK$19)+SUM(AM$6:AM$19)+SUM(AO$6:AO$19)+SUM(AQ$6:AQ$19)</f>
        <v>579865.19999999995</v>
      </c>
      <c r="I131" s="103">
        <f>SUM(AS$6:AS$19)+SUM(AU$6:AU$19)+SUM(AW$6:AW$19)+SUM(AY$6:AY$19)</f>
        <v>438819.6</v>
      </c>
      <c r="J131" s="103">
        <f>SUM(BA$6:BA$19)+SUM(BC$6:BC$19)+SUM(BE$6:BE$19)+SUM(BG$6:BG$19)</f>
        <v>351102</v>
      </c>
      <c r="K131" s="103">
        <f>SUM(BI$6:BI$19)+SUM(BK$6:BK$19)+SUM(BM$6:BM$19)+SUM(BO$6:BO$19)</f>
        <v>307858.80000000005</v>
      </c>
      <c r="L131" s="103">
        <f>SUM(BQ$6:BQ$19)+SUM(BS$6:BS$19)+SUM(BU$6:BU$19)+SUM(BW$6:BW$19)</f>
        <v>263079.59999999998</v>
      </c>
      <c r="M131" s="103">
        <f>SUM(BY$6:BY$19)+SUM(CA$6:CA$19)+SUM(CC$6:CC$19)+SUM(CE$6:CE$19)</f>
        <v>190633.19999999998</v>
      </c>
      <c r="N131" s="103">
        <f>SUM(CG$6:CG$19)+SUM(CI$6:CI$19)+SUM(CK$6:CK$19)+SUM(CM$6:CM$19)</f>
        <v>170418</v>
      </c>
      <c r="O131" s="103">
        <f>SUM(CO$6:CO$19)+SUM(CQ$6:CQ$19)+SUM(CS$6:CS$19)+SUM(CU$6:CU$19)</f>
        <v>171592.8</v>
      </c>
    </row>
    <row r="132" spans="2:15" x14ac:dyDescent="0.15">
      <c r="C132" s="102" t="s">
        <v>127</v>
      </c>
      <c r="D132" s="103">
        <f>SUM(E$20:E$36)+SUM(G$20:G$36)+SUM(I$20:I$36)+SUM(K$20:K$36)</f>
        <v>369046.10802768037</v>
      </c>
      <c r="E132" s="103">
        <f>SUM(M$20:M$36)+SUM(O$20:O$36)+SUM(Q$20:Q$36)+SUM(S$20:S$36)</f>
        <v>1599102.1336832023</v>
      </c>
      <c r="F132" s="103">
        <f>SUM(U$20:U$36)+SUM(W$20:W$36)+SUM(Y$20:Y$36)+SUM(AA$20:AA$36)</f>
        <v>1315626.2702011091</v>
      </c>
      <c r="G132" s="103">
        <f>SUM(AC$20:AC$36)+SUM(AE$20:AE$36)+SUM(AG$20:AG$36)+SUM(AI$20:AI$36)</f>
        <v>1262431.8269830777</v>
      </c>
      <c r="H132" s="103">
        <f>SUM(AK$20:AK$36)+SUM(AM$20:AM$36)+SUM(AO$20:AO$36)+SUM(AQ$20:AQ$36)</f>
        <v>1131344.4000000001</v>
      </c>
      <c r="I132" s="103">
        <f>SUM(AS$20:AS$36)+SUM(AU$20:AU$36)+SUM(AW$20:AW$36)+SUM(AY$20:AY$36)</f>
        <v>835189.2</v>
      </c>
      <c r="J132" s="103">
        <f>SUM(BA$20:BA$36)+SUM(BC$20:BC$36)+SUM(BE$20:BE$36)+SUM(BG$20:BG$36)</f>
        <v>621409.19999999995</v>
      </c>
      <c r="K132" s="103">
        <f>SUM(BI$20:BI$36)+SUM(BK$20:BK$36)+SUM(BM$20:BM$36)+SUM(BO$20:BO$36)</f>
        <v>642993.6</v>
      </c>
      <c r="L132" s="103">
        <f>SUM(BQ$20:BQ$36)+SUM(BS$20:BS$36)+SUM(BU$20:BU$36)+SUM(BW$20:BW$36)</f>
        <v>467551.2</v>
      </c>
      <c r="M132" s="103">
        <f>SUM(BY$20:BY$36)+SUM(CA$20:CA$36)+SUM(CC$20:CC$36)+SUM(CE$20:CE$36)</f>
        <v>427242</v>
      </c>
      <c r="N132" s="103">
        <f>SUM(CG$20:CG$36)+SUM(CI$20:CI$36)+SUM(CK$20:CK$36)+SUM(CM$20:CM$36)</f>
        <v>343373.99999999994</v>
      </c>
      <c r="O132" s="103">
        <f>SUM(CO$20:CO$36)+SUM(CQ$20:CQ$36)+SUM(CS$20:CS$36)+SUM(CU$20:CU$36)</f>
        <v>302372.39999999997</v>
      </c>
    </row>
    <row r="133" spans="2:15" x14ac:dyDescent="0.15">
      <c r="C133" s="102" t="s">
        <v>128</v>
      </c>
      <c r="D133" s="103">
        <f>SUM(E$37:E$48)+SUM(G$37:G$48)+SUM(I$37:I$48)+SUM(K$37:K$48)</f>
        <v>342512.28597264632</v>
      </c>
      <c r="E133" s="103">
        <f>SUM(M$37:M$48)+SUM(O$37:O$48)+SUM(Q$37:Q$48)+SUM(S$37:S$48)</f>
        <v>1975826.5872197617</v>
      </c>
      <c r="F133" s="103">
        <f>SUM(U$37:U$48)+SUM(W$37:W$48)+SUM(Y$37:Y$48)+SUM(AA$37:AA$48)</f>
        <v>1488815.9322591331</v>
      </c>
      <c r="G133" s="103">
        <f>SUM(AC$37:AC$48)+SUM(AE$37:AE$48)+SUM(AG$37:AG$48)+SUM(AI$37:AI$48)</f>
        <v>1616918.5734146391</v>
      </c>
      <c r="H133" s="103">
        <f>SUM(AK$37:AK$48)+SUM(AM$37:AM$48)+SUM(AO$37:AO$48)+SUM(AQ$37:AQ$48)</f>
        <v>1226889.6000000001</v>
      </c>
      <c r="I133" s="103">
        <f>SUM(AS$37:AS$48)+SUM(AU$37:AU$48)+SUM(AW$37:AW$48)+SUM(AY$37:AY$48)</f>
        <v>777531.60000000009</v>
      </c>
      <c r="J133" s="103">
        <f>SUM(BA$37:BA$48)+SUM(BC$37:BC$48)+SUM(BE$37:BE$48)+SUM(BG$37:BG$48)</f>
        <v>761360.4</v>
      </c>
      <c r="K133" s="103">
        <f>SUM(BI$37:BI$48)+SUM(BK$37:BK$48)+SUM(BM$37:BM$48)+SUM(BO$37:BO$48)</f>
        <v>567607.19999999995</v>
      </c>
      <c r="L133" s="103">
        <f>SUM(BQ$37:BQ$48)+SUM(BS$37:BS$48)+SUM(BU$37:BU$48)+SUM(BW$37:BW$48)</f>
        <v>456387.6</v>
      </c>
      <c r="M133" s="103">
        <f>SUM(BY$37:BY$48)+SUM(CA$37:CA$48)+SUM(CC$37:CC$48)+SUM(CE$37:CE$48)</f>
        <v>431578.79999999993</v>
      </c>
      <c r="N133" s="103">
        <f>SUM(CG$37:CG$48)+SUM(CI$37:CI$48)+SUM(CK$37:CK$48)+SUM(CM$37:CM$48)</f>
        <v>349251.60000000003</v>
      </c>
      <c r="O133" s="103">
        <f>SUM(CO$37:CO$48)+SUM(CQ$37:CQ$48)+SUM(CS$37:CS$48)+SUM(CU$37:CU$48)</f>
        <v>339118.80000000005</v>
      </c>
    </row>
    <row r="134" spans="2:15" x14ac:dyDescent="0.15">
      <c r="C134" s="102" t="s">
        <v>129</v>
      </c>
      <c r="D134" s="103">
        <f>SUM(E$49:E$70)+SUM(G$49:G$70)+SUM(I$49:I$70)+SUM(K$49:K$70)</f>
        <v>407730.82343615033</v>
      </c>
      <c r="E134" s="103">
        <f>SUM(M$49:M$70)+SUM(O$49:O$70)+SUM(Q$49:Q$70)+SUM(S$49:S$70)</f>
        <v>1710959.0933206689</v>
      </c>
      <c r="F134" s="103">
        <f>SUM(U$49:U$70)+SUM(W$49:W$70)+SUM(Y$49:Y$70)+SUM(AA$49:AA$70)</f>
        <v>1581500.673423938</v>
      </c>
      <c r="G134" s="103">
        <f>SUM(AC$49:AC$70)+SUM(AE$49:AE$70)+SUM(AG$49:AG$70)+SUM(AI$49:AI$70)</f>
        <v>1333517.4494872838</v>
      </c>
      <c r="H134" s="103">
        <f>SUM(AK$49:AK$70)+SUM(AM$49:AM$70)+SUM(AO$49:AO$70)+SUM(AQ$49:AQ$70)</f>
        <v>1296394.7388587636</v>
      </c>
      <c r="I134" s="103">
        <f>SUM(AS$49:AS$70)+SUM(AU$49:AU$70)+SUM(AW$49:AW$70)+SUM(AY$49:AY$70)</f>
        <v>969091.01198252686</v>
      </c>
      <c r="J134" s="103">
        <f>SUM(BA$49:BA$70)+SUM(BC$49:BC$70)+SUM(BE$49:BE$70)+SUM(BG$49:BG$70)</f>
        <v>750371.63933570695</v>
      </c>
      <c r="K134" s="103">
        <f>SUM(BI$49:BI$70)+SUM(BK$49:BK$70)+SUM(BM$49:BM$70)+SUM(BO$49:BO$70)</f>
        <v>629008.09922138788</v>
      </c>
      <c r="L134" s="103">
        <f>SUM(BQ$49:BQ$70)+SUM(BS$49:BS$70)+SUM(BU$49:BU$70)+SUM(BW$49:BW$70)</f>
        <v>477325.91130777658</v>
      </c>
      <c r="M134" s="103">
        <f>SUM(BY$49:BY$70)+SUM(CA$49:CA$70)+SUM(CC$49:CC$70)+SUM(CE$49:CE$70)</f>
        <v>450036.93231832131</v>
      </c>
      <c r="N134" s="103">
        <f>SUM(CG$49:CG$70)+SUM(CI$49:CI$70)+SUM(CK$49:CK$70)+SUM(CM$49:CM$70)</f>
        <v>394864.79437528312</v>
      </c>
      <c r="O134" s="103">
        <f>SUM(CO$49:CO$70)+SUM(CQ$49:CQ$70)+SUM(CS$49:CS$70)+SUM(CU$49:CU$70)</f>
        <v>341188.99571664265</v>
      </c>
    </row>
    <row r="135" spans="2:15" x14ac:dyDescent="0.15">
      <c r="C135" s="102" t="s">
        <v>130</v>
      </c>
      <c r="D135" s="103">
        <f>SUM(E$71:E$86)+SUM(G$71:G$86)+SUM(I$71:I$86)+SUM(K$71:K$86)</f>
        <v>98267.089028292117</v>
      </c>
      <c r="E135" s="103">
        <f>SUM(M$71:M$86)+SUM(O$71:O$86)+SUM(Q$71:Q$86)+SUM(S$71:S$86)</f>
        <v>172973.87249206263</v>
      </c>
      <c r="F135" s="103">
        <f>SUM(U$71:U$86)+SUM(W$71:W$86)+SUM(Y$71:Y$86)+SUM(AA$71:AA$86)</f>
        <v>157825.20524179563</v>
      </c>
      <c r="G135" s="103">
        <f>SUM(AC$71:AC$86)+SUM(AE$71:AE$86)+SUM(AG$71:AG$86)+SUM(AI$71:AI$86)</f>
        <v>235645.99564031823</v>
      </c>
      <c r="H135" s="103">
        <f>SUM(AK$71:AK$86)+SUM(AM$71:AM$86)+SUM(AO$71:AO$86)+SUM(AQ$71:AQ$86)</f>
        <v>119108.25008214764</v>
      </c>
      <c r="I135" s="103">
        <f>SUM(AS$71:AS$86)+SUM(AU$71:AU$86)+SUM(AW$71:AW$86)+SUM(AY$71:AY$86)</f>
        <v>225323.71027736733</v>
      </c>
      <c r="J135" s="103">
        <f>SUM(BA$71:BA$86)+SUM(BC$71:BC$86)+SUM(BE$71:BE$86)+SUM(BG$71:BG$86)</f>
        <v>181671.6107474622</v>
      </c>
      <c r="K135" s="103">
        <f>SUM(BI$71:BI$86)+SUM(BK$71:BK$86)+SUM(BM$71:BM$86)+SUM(BO$71:BO$86)</f>
        <v>151206.46741257017</v>
      </c>
      <c r="L135" s="103">
        <f>SUM(BQ$71:BQ$86)+SUM(BS$71:BS$86)+SUM(BU$71:BU$86)+SUM(BW$71:BW$86)</f>
        <v>201331.3879004081</v>
      </c>
      <c r="M135" s="103">
        <f>SUM(BY$71:BY$86)+SUM(CA$71:CA$86)+SUM(CC$71:CC$86)+SUM(CE$71:CE$86)</f>
        <v>190375.40067621454</v>
      </c>
      <c r="N135" s="103">
        <f>SUM(CG$71:CG$86)+SUM(CI$71:CI$86)+SUM(CK$71:CK$86)+SUM(CM$71:CM$86)</f>
        <v>128305.97037895623</v>
      </c>
      <c r="O135" s="103">
        <f>SUM(CO$71:CO$86)+SUM(CQ$71:CQ$86)+SUM(CS$71:CS$86)+SUM(CU$71:CU$86)</f>
        <v>141480.68393501721</v>
      </c>
    </row>
    <row r="136" spans="2:15" x14ac:dyDescent="0.15">
      <c r="C136" s="102" t="s">
        <v>131</v>
      </c>
      <c r="D136" s="103">
        <f>SUM(E$87:E$94)+SUM(G$87:G$94)+SUM(I$87:I$94)+SUM(K$87:K$94)</f>
        <v>72081.050301367941</v>
      </c>
      <c r="E136" s="103">
        <f>SUM(M$87:M$94)+SUM(O$87:O$94)+SUM(Q$87:Q$94)+SUM(S$87:S$94)</f>
        <v>188347.69589543476</v>
      </c>
      <c r="F136" s="103">
        <f>SUM(U$87:U$94)+SUM(W$87:W$94)+SUM(Y$87:Y$94)+SUM(AA$87:AA$94)</f>
        <v>110061.36956944599</v>
      </c>
      <c r="G136" s="103">
        <f>SUM(AC$87:AC$94)+SUM(AE$87:AE$94)+SUM(AG$87:AG$94)+SUM(AI$87:AI$94)</f>
        <v>212459.48119544846</v>
      </c>
      <c r="H136" s="103">
        <f>SUM(AK$87:AK$94)+SUM(AM$87:AM$94)+SUM(AO$87:AO$94)+SUM(AQ$87:AQ$94)</f>
        <v>152175.24899372325</v>
      </c>
      <c r="I136" s="103">
        <f>SUM(AS$87:AS$94)+SUM(AU$87:AU$94)+SUM(AW$87:AW$94)+SUM(AY$87:AY$94)</f>
        <v>219578.80787717237</v>
      </c>
      <c r="J136" s="103">
        <f>SUM(BA$87:BA$94)+SUM(BC$87:BC$94)+SUM(BE$87:BE$94)+SUM(BG$87:BG$94)</f>
        <v>244257.99374047777</v>
      </c>
      <c r="K136" s="103">
        <f>SUM(BI$87:BI$94)+SUM(BK$87:BK$94)+SUM(BM$87:BM$94)+SUM(BO$87:BO$94)</f>
        <v>150431.98105331499</v>
      </c>
      <c r="L136" s="103">
        <f>SUM(BQ$87:BQ$94)+SUM(BS$87:BS$94)+SUM(BU$87:BU$94)+SUM(BW$87:BW$94)</f>
        <v>158154.39719822496</v>
      </c>
      <c r="M136" s="103">
        <f>SUM(BY$87:BY$94)+SUM(CA$87:CA$94)+SUM(CC$87:CC$94)+SUM(CE$87:CE$94)</f>
        <v>216779.49958883307</v>
      </c>
      <c r="N136" s="103">
        <f>SUM(CG$87:CG$94)+SUM(CI$87:CI$94)+SUM(CK$87:CK$94)+SUM(CM$87:CM$94)</f>
        <v>236030.0281791079</v>
      </c>
      <c r="O136" s="103">
        <f>SUM(CO$87:CO$94)+SUM(CQ$87:CQ$94)+SUM(CS$87:CS$94)+SUM(CU$87:CU$94)</f>
        <v>234969.73708510265</v>
      </c>
    </row>
    <row r="137" spans="2:15" x14ac:dyDescent="0.15">
      <c r="C137" s="102" t="s">
        <v>132</v>
      </c>
      <c r="D137" s="103">
        <f>SUM(E$95:E$105)+SUM(G$95:G$105)+SUM(I$95:I$105)+SUM(K$95:K$105)</f>
        <v>169953.71468384369</v>
      </c>
      <c r="E137" s="103">
        <f>SUM(M$95:M$105)+SUM(O$95:O$105)+SUM(Q$95:Q$105)+SUM(S$95:S$105)</f>
        <v>383944.16805640177</v>
      </c>
      <c r="F137" s="103">
        <f>SUM(U$95:U$105)+SUM(W$95:W$105)+SUM(Y$95:Y$105)+SUM(AA$95:AA$105)</f>
        <v>214449.89964632457</v>
      </c>
      <c r="G137" s="103">
        <f>SUM(AC$95:AC$105)+SUM(AE$95:AE$105)+SUM(AG$95:AG$105)+SUM(AI$95:AI$105)</f>
        <v>429267.77223662875</v>
      </c>
      <c r="H137" s="103">
        <f>SUM(AK$95:AK$105)+SUM(AM$95:AM$105)+SUM(AO$95:AO$105)+SUM(AQ$95:AQ$105)</f>
        <v>299906.67837035446</v>
      </c>
      <c r="I137" s="103">
        <f>SUM(AS$95:AS$105)+SUM(AU$95:AU$105)+SUM(AW$95:AW$105)+SUM(AY$95:AY$105)</f>
        <v>387043.34516034985</v>
      </c>
      <c r="J137" s="103">
        <f>SUM(BA$95:BA$105)+SUM(BC$95:BC$105)+SUM(BE$95:BE$105)+SUM(BG$95:BG$105)</f>
        <v>306869.48883244838</v>
      </c>
      <c r="K137" s="103">
        <f>SUM(BI$95:BI$105)+SUM(BK$95:BK$105)+SUM(BM$95:BM$105)+SUM(BO$95:BO$105)</f>
        <v>216408.70440058972</v>
      </c>
      <c r="L137" s="103">
        <f>SUM(BQ$95:BQ$105)+SUM(BS$95:BS$105)+SUM(BU$95:BU$105)+SUM(BW$95:BW$105)</f>
        <v>323235.86642763106</v>
      </c>
      <c r="M137" s="103">
        <f>SUM(BY$95:BY$105)+SUM(CA$95:CA$105)+SUM(CC$95:CC$105)+SUM(CE$95:CE$105)</f>
        <v>322235.86406919587</v>
      </c>
      <c r="N137" s="103">
        <f>SUM(CG$95:CG$105)+SUM(CI$95:CI$105)+SUM(CK$95:CK$105)+SUM(CM$95:CM$105)</f>
        <v>245501.90219754173</v>
      </c>
      <c r="O137" s="103">
        <f>SUM(CO$95:CO$105)+SUM(CQ$95:CQ$105)+SUM(CS$95:CS$105)+SUM(CU$95:CU$105)</f>
        <v>265517.77800186526</v>
      </c>
    </row>
    <row r="138" spans="2:15" x14ac:dyDescent="0.15">
      <c r="C138" s="102" t="s">
        <v>277</v>
      </c>
      <c r="D138" s="97">
        <f t="shared" ref="D138:O138" si="2">SUM(D$131:D$137)</f>
        <v>1637453.3246410375</v>
      </c>
      <c r="E138" s="97">
        <f t="shared" si="2"/>
        <v>6794716.9490765603</v>
      </c>
      <c r="F138" s="97">
        <f t="shared" si="2"/>
        <v>5477414.0653184652</v>
      </c>
      <c r="G138" s="97">
        <f t="shared" si="2"/>
        <v>5700662.8576587429</v>
      </c>
      <c r="H138" s="97">
        <f t="shared" si="2"/>
        <v>4805684.1163049899</v>
      </c>
      <c r="I138" s="97">
        <f t="shared" si="2"/>
        <v>3852577.2752974164</v>
      </c>
      <c r="J138" s="97">
        <f t="shared" si="2"/>
        <v>3217042.3326560948</v>
      </c>
      <c r="K138" s="97">
        <f t="shared" si="2"/>
        <v>2665514.8520878628</v>
      </c>
      <c r="L138" s="97">
        <f t="shared" si="2"/>
        <v>2347065.9628340406</v>
      </c>
      <c r="M138" s="97">
        <f t="shared" si="2"/>
        <v>2228881.6966525652</v>
      </c>
      <c r="N138" s="97">
        <f t="shared" si="2"/>
        <v>1867746.2951308889</v>
      </c>
      <c r="O138" s="97">
        <f t="shared" si="2"/>
        <v>1796241.1947386279</v>
      </c>
    </row>
  </sheetData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baseColWidth="10" defaultColWidth="8.83203125" defaultRowHeight="13" x14ac:dyDescent="0.15"/>
  <cols>
    <col min="1" max="16384" width="8.83203125" style="97"/>
  </cols>
  <sheetData>
    <row r="2" spans="1:99" x14ac:dyDescent="0.15">
      <c r="B2" s="99" t="s">
        <v>271</v>
      </c>
    </row>
    <row r="3" spans="1:99" x14ac:dyDescent="0.15">
      <c r="B3" s="100" t="s">
        <v>280</v>
      </c>
    </row>
    <row r="4" spans="1:99" x14ac:dyDescent="0.15">
      <c r="A4" s="98"/>
      <c r="B4" s="98"/>
      <c r="C4" s="96" t="s">
        <v>273</v>
      </c>
      <c r="D4" s="96" t="s">
        <v>92</v>
      </c>
      <c r="E4" s="98"/>
      <c r="F4" s="98"/>
      <c r="G4" s="98"/>
      <c r="H4" s="98"/>
      <c r="I4" s="98"/>
      <c r="J4" s="98"/>
      <c r="K4" s="98"/>
      <c r="L4" s="96" t="s">
        <v>93</v>
      </c>
      <c r="M4" s="98"/>
      <c r="N4" s="98"/>
      <c r="O4" s="98"/>
      <c r="P4" s="98"/>
      <c r="Q4" s="98"/>
      <c r="R4" s="98"/>
      <c r="S4" s="98"/>
      <c r="T4" s="96" t="s">
        <v>94</v>
      </c>
      <c r="U4" s="98"/>
      <c r="V4" s="98"/>
      <c r="W4" s="98"/>
      <c r="X4" s="98"/>
      <c r="Y4" s="98"/>
      <c r="Z4" s="98"/>
      <c r="AA4" s="98"/>
      <c r="AB4" s="96" t="s">
        <v>95</v>
      </c>
      <c r="AC4" s="98"/>
      <c r="AD4" s="98"/>
      <c r="AE4" s="98"/>
      <c r="AF4" s="98"/>
      <c r="AG4" s="98"/>
      <c r="AH4" s="98"/>
      <c r="AI4" s="98"/>
      <c r="AJ4" s="96" t="s">
        <v>96</v>
      </c>
      <c r="AK4" s="98"/>
      <c r="AL4" s="98"/>
      <c r="AM4" s="98"/>
      <c r="AN4" s="98"/>
      <c r="AO4" s="98"/>
      <c r="AP4" s="98"/>
      <c r="AQ4" s="98"/>
      <c r="AR4" s="96" t="s">
        <v>97</v>
      </c>
      <c r="AS4" s="98"/>
      <c r="AT4" s="98"/>
      <c r="AU4" s="98"/>
      <c r="AV4" s="98"/>
      <c r="AW4" s="98"/>
      <c r="AX4" s="98"/>
      <c r="AY4" s="98"/>
      <c r="AZ4" s="96" t="s">
        <v>98</v>
      </c>
      <c r="BA4" s="98"/>
      <c r="BB4" s="98"/>
      <c r="BC4" s="98"/>
      <c r="BD4" s="98"/>
      <c r="BE4" s="98"/>
      <c r="BF4" s="98"/>
      <c r="BG4" s="98"/>
      <c r="BH4" s="96" t="s">
        <v>99</v>
      </c>
      <c r="BI4" s="98"/>
      <c r="BJ4" s="98"/>
      <c r="BK4" s="98"/>
      <c r="BL4" s="98"/>
      <c r="BM4" s="98"/>
      <c r="BN4" s="98"/>
      <c r="BO4" s="98"/>
      <c r="BP4" s="96" t="s">
        <v>100</v>
      </c>
      <c r="BQ4" s="98"/>
      <c r="BR4" s="98"/>
      <c r="BS4" s="98"/>
      <c r="BT4" s="98"/>
      <c r="BU4" s="98"/>
      <c r="BV4" s="98"/>
      <c r="BW4" s="98"/>
      <c r="BX4" s="96" t="s">
        <v>101</v>
      </c>
      <c r="BY4" s="98"/>
      <c r="BZ4" s="98"/>
      <c r="CA4" s="98"/>
      <c r="CB4" s="98"/>
      <c r="CC4" s="98"/>
      <c r="CD4" s="98"/>
      <c r="CE4" s="98"/>
      <c r="CF4" s="96" t="s">
        <v>102</v>
      </c>
      <c r="CG4" s="98"/>
      <c r="CH4" s="98"/>
      <c r="CI4" s="98"/>
      <c r="CJ4" s="98"/>
      <c r="CK4" s="98"/>
      <c r="CL4" s="98"/>
      <c r="CM4" s="98"/>
      <c r="CN4" s="96" t="s">
        <v>103</v>
      </c>
      <c r="CO4" s="98"/>
      <c r="CP4" s="98"/>
      <c r="CQ4" s="98"/>
      <c r="CR4" s="98"/>
      <c r="CS4" s="98"/>
      <c r="CT4" s="98"/>
      <c r="CU4" s="98"/>
    </row>
    <row r="5" spans="1:99" x14ac:dyDescent="0.15">
      <c r="B5" s="96" t="s">
        <v>166</v>
      </c>
      <c r="C5" s="96" t="s">
        <v>274</v>
      </c>
      <c r="D5" s="96">
        <v>1</v>
      </c>
      <c r="E5" s="96"/>
      <c r="F5" s="96">
        <v>2</v>
      </c>
      <c r="G5" s="96"/>
      <c r="H5" s="96">
        <v>3</v>
      </c>
      <c r="I5" s="96"/>
      <c r="J5" s="96">
        <v>4</v>
      </c>
      <c r="K5" s="96"/>
      <c r="L5" s="96">
        <v>1</v>
      </c>
      <c r="M5" s="96"/>
      <c r="N5" s="96">
        <v>2</v>
      </c>
      <c r="O5" s="96"/>
      <c r="P5" s="96">
        <v>3</v>
      </c>
      <c r="Q5" s="96"/>
      <c r="R5" s="96">
        <v>4</v>
      </c>
      <c r="S5" s="96"/>
      <c r="T5" s="96">
        <v>1</v>
      </c>
      <c r="U5" s="96"/>
      <c r="V5" s="96">
        <v>2</v>
      </c>
      <c r="W5" s="96"/>
      <c r="X5" s="96">
        <v>3</v>
      </c>
      <c r="Y5" s="96"/>
      <c r="Z5" s="96">
        <v>4</v>
      </c>
      <c r="AA5" s="96"/>
      <c r="AB5" s="96">
        <v>1</v>
      </c>
      <c r="AC5" s="96"/>
      <c r="AD5" s="96">
        <v>2</v>
      </c>
      <c r="AE5" s="96"/>
      <c r="AF5" s="96">
        <v>3</v>
      </c>
      <c r="AG5" s="96"/>
      <c r="AH5" s="96">
        <v>4</v>
      </c>
      <c r="AI5" s="96"/>
      <c r="AJ5" s="96">
        <v>1</v>
      </c>
      <c r="AK5" s="96"/>
      <c r="AL5" s="96">
        <v>2</v>
      </c>
      <c r="AM5" s="96"/>
      <c r="AN5" s="96">
        <v>3</v>
      </c>
      <c r="AO5" s="96"/>
      <c r="AP5" s="96">
        <v>4</v>
      </c>
      <c r="AQ5" s="96"/>
      <c r="AR5" s="96">
        <v>1</v>
      </c>
      <c r="AS5" s="96"/>
      <c r="AT5" s="96">
        <v>2</v>
      </c>
      <c r="AU5" s="96"/>
      <c r="AV5" s="96">
        <v>3</v>
      </c>
      <c r="AW5" s="96"/>
      <c r="AX5" s="96">
        <v>4</v>
      </c>
      <c r="AY5" s="96"/>
      <c r="AZ5" s="96">
        <v>1</v>
      </c>
      <c r="BA5" s="96"/>
      <c r="BB5" s="96">
        <v>2</v>
      </c>
      <c r="BC5" s="96"/>
      <c r="BD5" s="96">
        <v>3</v>
      </c>
      <c r="BE5" s="96"/>
      <c r="BF5" s="96">
        <v>4</v>
      </c>
      <c r="BG5" s="96"/>
      <c r="BH5" s="96">
        <v>1</v>
      </c>
      <c r="BI5" s="96"/>
      <c r="BJ5" s="96">
        <v>2</v>
      </c>
      <c r="BK5" s="96"/>
      <c r="BL5" s="96">
        <v>3</v>
      </c>
      <c r="BM5" s="96"/>
      <c r="BN5" s="96">
        <v>4</v>
      </c>
      <c r="BO5" s="96"/>
      <c r="BP5" s="96">
        <v>1</v>
      </c>
      <c r="BQ5" s="96"/>
      <c r="BR5" s="96">
        <v>2</v>
      </c>
      <c r="BS5" s="96"/>
      <c r="BT5" s="96">
        <v>3</v>
      </c>
      <c r="BU5" s="96"/>
      <c r="BV5" s="96">
        <v>4</v>
      </c>
      <c r="BW5" s="96"/>
      <c r="BX5" s="96">
        <v>1</v>
      </c>
      <c r="BY5" s="96"/>
      <c r="BZ5" s="96">
        <v>2</v>
      </c>
      <c r="CA5" s="96"/>
      <c r="CB5" s="96">
        <v>3</v>
      </c>
      <c r="CC5" s="96"/>
      <c r="CD5" s="96">
        <v>4</v>
      </c>
      <c r="CE5" s="96"/>
      <c r="CF5" s="96">
        <v>1</v>
      </c>
      <c r="CG5" s="96"/>
      <c r="CH5" s="96">
        <v>2</v>
      </c>
      <c r="CI5" s="96"/>
      <c r="CJ5" s="96">
        <v>3</v>
      </c>
      <c r="CK5" s="96"/>
      <c r="CL5" s="96">
        <v>4</v>
      </c>
      <c r="CM5" s="96"/>
      <c r="CN5" s="96">
        <v>1</v>
      </c>
      <c r="CO5" s="96"/>
      <c r="CP5" s="96">
        <v>2</v>
      </c>
      <c r="CQ5" s="96"/>
      <c r="CR5" s="96">
        <v>3</v>
      </c>
      <c r="CS5" s="96"/>
      <c r="CT5" s="96">
        <v>4</v>
      </c>
      <c r="CU5" s="96"/>
    </row>
    <row r="6" spans="1:99" x14ac:dyDescent="0.15">
      <c r="B6" s="96" t="s">
        <v>126</v>
      </c>
      <c r="C6" s="96" t="s">
        <v>171</v>
      </c>
      <c r="D6" s="97">
        <v>0</v>
      </c>
      <c r="E6" s="97">
        <v>0</v>
      </c>
      <c r="F6" s="97">
        <v>0</v>
      </c>
      <c r="G6" s="97">
        <v>0</v>
      </c>
      <c r="H6" s="97">
        <v>0</v>
      </c>
      <c r="I6" s="97">
        <v>0</v>
      </c>
      <c r="J6" s="97">
        <v>0</v>
      </c>
      <c r="K6" s="97">
        <v>0</v>
      </c>
      <c r="L6" s="97">
        <v>0</v>
      </c>
      <c r="M6" s="97">
        <v>0</v>
      </c>
      <c r="N6" s="97">
        <v>0</v>
      </c>
      <c r="O6" s="97">
        <v>0</v>
      </c>
      <c r="P6" s="97">
        <v>0</v>
      </c>
      <c r="Q6" s="97">
        <v>0</v>
      </c>
      <c r="R6" s="97">
        <v>0</v>
      </c>
      <c r="S6" s="97">
        <v>0</v>
      </c>
      <c r="T6" s="97">
        <v>0</v>
      </c>
      <c r="U6" s="97">
        <v>0</v>
      </c>
      <c r="V6" s="97">
        <v>0</v>
      </c>
      <c r="W6" s="97">
        <v>0</v>
      </c>
      <c r="X6" s="97">
        <v>0</v>
      </c>
      <c r="Y6" s="97">
        <v>0</v>
      </c>
      <c r="Z6" s="97">
        <v>0</v>
      </c>
      <c r="AA6" s="97">
        <v>0</v>
      </c>
      <c r="AB6" s="97">
        <v>0</v>
      </c>
      <c r="AC6" s="97">
        <v>0</v>
      </c>
      <c r="AD6" s="97">
        <v>0</v>
      </c>
      <c r="AE6" s="97">
        <v>0</v>
      </c>
      <c r="AF6" s="97">
        <v>0</v>
      </c>
      <c r="AG6" s="97">
        <v>0</v>
      </c>
      <c r="AH6" s="97">
        <v>0</v>
      </c>
      <c r="AI6" s="97">
        <v>0</v>
      </c>
      <c r="AJ6" s="97">
        <v>0</v>
      </c>
      <c r="AK6" s="97">
        <v>0</v>
      </c>
      <c r="AL6" s="97">
        <v>0</v>
      </c>
      <c r="AM6" s="97">
        <v>0</v>
      </c>
      <c r="AN6" s="97">
        <v>0</v>
      </c>
      <c r="AO6" s="97">
        <v>0</v>
      </c>
      <c r="AP6" s="97">
        <v>0</v>
      </c>
      <c r="AQ6" s="97">
        <v>0</v>
      </c>
      <c r="AR6" s="97">
        <v>0</v>
      </c>
      <c r="AS6" s="97">
        <v>0</v>
      </c>
      <c r="AT6" s="97">
        <v>0</v>
      </c>
      <c r="AU6" s="97">
        <v>0</v>
      </c>
      <c r="AV6" s="97">
        <v>0</v>
      </c>
      <c r="AW6" s="97">
        <v>0</v>
      </c>
      <c r="AX6" s="97">
        <v>0</v>
      </c>
      <c r="AY6" s="97">
        <v>0</v>
      </c>
      <c r="AZ6" s="97">
        <v>0</v>
      </c>
      <c r="BA6" s="97">
        <v>0</v>
      </c>
      <c r="BB6" s="97">
        <v>0</v>
      </c>
      <c r="BC6" s="97">
        <v>0</v>
      </c>
      <c r="BD6" s="97">
        <v>0</v>
      </c>
      <c r="BE6" s="97">
        <v>0</v>
      </c>
      <c r="BF6" s="97">
        <v>0</v>
      </c>
      <c r="BG6" s="97">
        <v>0</v>
      </c>
      <c r="BH6" s="97">
        <v>0</v>
      </c>
      <c r="BI6" s="97">
        <v>0</v>
      </c>
      <c r="BJ6" s="97">
        <v>0</v>
      </c>
      <c r="BK6" s="97">
        <v>0</v>
      </c>
      <c r="BL6" s="97">
        <v>0</v>
      </c>
      <c r="BM6" s="97">
        <v>0</v>
      </c>
      <c r="BN6" s="97">
        <v>0</v>
      </c>
      <c r="BO6" s="97">
        <v>0</v>
      </c>
      <c r="BP6" s="97">
        <v>0</v>
      </c>
      <c r="BQ6" s="97">
        <v>0</v>
      </c>
      <c r="BR6" s="97">
        <v>0</v>
      </c>
      <c r="BS6" s="97">
        <v>0</v>
      </c>
      <c r="BT6" s="97">
        <v>0</v>
      </c>
      <c r="BU6" s="97">
        <v>0</v>
      </c>
      <c r="BV6" s="97">
        <v>0</v>
      </c>
      <c r="BW6" s="97">
        <v>0</v>
      </c>
      <c r="BX6" s="97">
        <v>0</v>
      </c>
      <c r="BY6" s="97">
        <v>0</v>
      </c>
      <c r="BZ6" s="97">
        <v>0</v>
      </c>
      <c r="CA6" s="97">
        <v>0</v>
      </c>
      <c r="CB6" s="97">
        <v>0</v>
      </c>
      <c r="CC6" s="97">
        <v>0</v>
      </c>
      <c r="CD6" s="97">
        <v>0</v>
      </c>
      <c r="CE6" s="97">
        <v>0</v>
      </c>
      <c r="CF6" s="97">
        <v>0</v>
      </c>
      <c r="CG6" s="97">
        <v>0</v>
      </c>
      <c r="CH6" s="97">
        <v>0</v>
      </c>
      <c r="CI6" s="97">
        <v>0</v>
      </c>
      <c r="CJ6" s="97">
        <v>0</v>
      </c>
      <c r="CK6" s="97">
        <v>0</v>
      </c>
      <c r="CL6" s="97">
        <v>0</v>
      </c>
      <c r="CM6" s="97">
        <v>0</v>
      </c>
      <c r="CN6" s="97">
        <v>0</v>
      </c>
      <c r="CO6" s="97">
        <v>0</v>
      </c>
      <c r="CP6" s="97">
        <v>0</v>
      </c>
      <c r="CQ6" s="97">
        <v>0</v>
      </c>
      <c r="CR6" s="97">
        <v>0</v>
      </c>
      <c r="CS6" s="97">
        <v>0</v>
      </c>
      <c r="CT6" s="97">
        <v>0</v>
      </c>
      <c r="CU6" s="97">
        <v>0</v>
      </c>
    </row>
    <row r="7" spans="1:99" x14ac:dyDescent="0.15">
      <c r="C7" s="96" t="s">
        <v>172</v>
      </c>
      <c r="D7" s="97">
        <v>0</v>
      </c>
      <c r="E7" s="97">
        <v>0</v>
      </c>
      <c r="F7" s="97">
        <v>0</v>
      </c>
      <c r="G7" s="97">
        <v>0</v>
      </c>
      <c r="H7" s="97">
        <v>0</v>
      </c>
      <c r="I7" s="97">
        <v>0</v>
      </c>
      <c r="J7" s="97">
        <v>0</v>
      </c>
      <c r="K7" s="97">
        <v>0</v>
      </c>
      <c r="L7" s="97">
        <v>0</v>
      </c>
      <c r="M7" s="97">
        <v>0</v>
      </c>
      <c r="N7" s="97">
        <v>0</v>
      </c>
      <c r="O7" s="97">
        <v>0</v>
      </c>
      <c r="P7" s="97">
        <v>0</v>
      </c>
      <c r="Q7" s="97">
        <v>0</v>
      </c>
      <c r="R7" s="97">
        <v>0</v>
      </c>
      <c r="S7" s="97">
        <v>0</v>
      </c>
      <c r="T7" s="97">
        <v>0</v>
      </c>
      <c r="U7" s="97">
        <v>0</v>
      </c>
      <c r="V7" s="97">
        <v>0</v>
      </c>
      <c r="W7" s="97">
        <v>0</v>
      </c>
      <c r="X7" s="97">
        <v>0</v>
      </c>
      <c r="Y7" s="97">
        <v>0</v>
      </c>
      <c r="Z7" s="97">
        <v>0</v>
      </c>
      <c r="AA7" s="97">
        <v>0</v>
      </c>
      <c r="AB7" s="97">
        <v>0</v>
      </c>
      <c r="AC7" s="97">
        <v>0</v>
      </c>
      <c r="AD7" s="97">
        <v>0</v>
      </c>
      <c r="AE7" s="97">
        <v>0</v>
      </c>
      <c r="AF7" s="97">
        <v>0</v>
      </c>
      <c r="AG7" s="97">
        <v>0</v>
      </c>
      <c r="AH7" s="97">
        <v>0</v>
      </c>
      <c r="AI7" s="97">
        <v>0</v>
      </c>
      <c r="AJ7" s="97">
        <v>0</v>
      </c>
      <c r="AK7" s="97">
        <v>0</v>
      </c>
      <c r="AL7" s="97">
        <v>0</v>
      </c>
      <c r="AM7" s="97">
        <v>0</v>
      </c>
      <c r="AN7" s="97">
        <v>0</v>
      </c>
      <c r="AO7" s="97">
        <v>0</v>
      </c>
      <c r="AP7" s="97">
        <v>0</v>
      </c>
      <c r="AQ7" s="97">
        <v>0</v>
      </c>
      <c r="AR7" s="97">
        <v>0</v>
      </c>
      <c r="AS7" s="97">
        <v>0</v>
      </c>
      <c r="AT7" s="97">
        <v>0</v>
      </c>
      <c r="AU7" s="97">
        <v>0</v>
      </c>
      <c r="AV7" s="97">
        <v>0</v>
      </c>
      <c r="AW7" s="97">
        <v>0</v>
      </c>
      <c r="AX7" s="97">
        <v>0</v>
      </c>
      <c r="AY7" s="97">
        <v>0</v>
      </c>
      <c r="AZ7" s="97">
        <v>0</v>
      </c>
      <c r="BA7" s="97">
        <v>0</v>
      </c>
      <c r="BB7" s="97">
        <v>0</v>
      </c>
      <c r="BC7" s="97">
        <v>0</v>
      </c>
      <c r="BD7" s="97">
        <v>0</v>
      </c>
      <c r="BE7" s="97">
        <v>0</v>
      </c>
      <c r="BF7" s="97">
        <v>0</v>
      </c>
      <c r="BG7" s="97">
        <v>0</v>
      </c>
      <c r="BH7" s="97">
        <v>0</v>
      </c>
      <c r="BI7" s="97">
        <v>0</v>
      </c>
      <c r="BJ7" s="97">
        <v>0</v>
      </c>
      <c r="BK7" s="97">
        <v>0</v>
      </c>
      <c r="BL7" s="97">
        <v>0</v>
      </c>
      <c r="BM7" s="97">
        <v>0</v>
      </c>
      <c r="BN7" s="97">
        <v>0</v>
      </c>
      <c r="BO7" s="97">
        <v>0</v>
      </c>
      <c r="BP7" s="97">
        <v>0</v>
      </c>
      <c r="BQ7" s="97">
        <v>0</v>
      </c>
      <c r="BR7" s="97">
        <v>0</v>
      </c>
      <c r="BS7" s="97">
        <v>0</v>
      </c>
      <c r="BT7" s="97">
        <v>0</v>
      </c>
      <c r="BU7" s="97">
        <v>0</v>
      </c>
      <c r="BV7" s="97">
        <v>0</v>
      </c>
      <c r="BW7" s="97">
        <v>0</v>
      </c>
      <c r="BX7" s="97">
        <v>0</v>
      </c>
      <c r="BY7" s="97">
        <v>0</v>
      </c>
      <c r="BZ7" s="97">
        <v>0</v>
      </c>
      <c r="CA7" s="97">
        <v>0</v>
      </c>
      <c r="CB7" s="97">
        <v>0</v>
      </c>
      <c r="CC7" s="97">
        <v>0</v>
      </c>
      <c r="CD7" s="97">
        <v>0</v>
      </c>
      <c r="CE7" s="97">
        <v>0</v>
      </c>
      <c r="CF7" s="97">
        <v>0</v>
      </c>
      <c r="CG7" s="97">
        <v>0</v>
      </c>
      <c r="CH7" s="97">
        <v>0</v>
      </c>
      <c r="CI7" s="97">
        <v>0</v>
      </c>
      <c r="CJ7" s="97">
        <v>0</v>
      </c>
      <c r="CK7" s="97">
        <v>0</v>
      </c>
      <c r="CL7" s="97">
        <v>0</v>
      </c>
      <c r="CM7" s="97">
        <v>0</v>
      </c>
      <c r="CN7" s="97">
        <v>0</v>
      </c>
      <c r="CO7" s="97">
        <v>0</v>
      </c>
      <c r="CP7" s="97">
        <v>0</v>
      </c>
      <c r="CQ7" s="97">
        <v>0</v>
      </c>
      <c r="CR7" s="97">
        <v>0</v>
      </c>
      <c r="CS7" s="97">
        <v>0</v>
      </c>
      <c r="CT7" s="97">
        <v>0</v>
      </c>
      <c r="CU7" s="97">
        <v>0</v>
      </c>
    </row>
    <row r="8" spans="1:99" x14ac:dyDescent="0.15">
      <c r="C8" s="96" t="s">
        <v>173</v>
      </c>
      <c r="D8" s="97">
        <v>0</v>
      </c>
      <c r="E8" s="97">
        <v>0</v>
      </c>
      <c r="F8" s="97">
        <v>0</v>
      </c>
      <c r="G8" s="97">
        <v>0</v>
      </c>
      <c r="H8" s="97">
        <v>0</v>
      </c>
      <c r="I8" s="97">
        <v>0</v>
      </c>
      <c r="J8" s="97">
        <v>0</v>
      </c>
      <c r="K8" s="97">
        <v>0</v>
      </c>
      <c r="L8" s="97">
        <v>0</v>
      </c>
      <c r="M8" s="97">
        <v>0</v>
      </c>
      <c r="N8" s="97">
        <v>0</v>
      </c>
      <c r="O8" s="97">
        <v>0</v>
      </c>
      <c r="P8" s="97">
        <v>0</v>
      </c>
      <c r="Q8" s="97">
        <v>0</v>
      </c>
      <c r="R8" s="97">
        <v>0</v>
      </c>
      <c r="S8" s="97">
        <v>0</v>
      </c>
      <c r="T8" s="97">
        <v>0</v>
      </c>
      <c r="U8" s="97">
        <v>0</v>
      </c>
      <c r="V8" s="97">
        <v>0</v>
      </c>
      <c r="W8" s="97">
        <v>0</v>
      </c>
      <c r="X8" s="97">
        <v>0</v>
      </c>
      <c r="Y8" s="97">
        <v>0</v>
      </c>
      <c r="Z8" s="97">
        <v>0</v>
      </c>
      <c r="AA8" s="97">
        <v>0</v>
      </c>
      <c r="AB8" s="97">
        <v>0</v>
      </c>
      <c r="AC8" s="97">
        <v>0</v>
      </c>
      <c r="AD8" s="97">
        <v>0</v>
      </c>
      <c r="AE8" s="97">
        <v>0</v>
      </c>
      <c r="AF8" s="97">
        <v>0</v>
      </c>
      <c r="AG8" s="97">
        <v>0</v>
      </c>
      <c r="AH8" s="97">
        <v>0</v>
      </c>
      <c r="AI8" s="97">
        <v>0</v>
      </c>
      <c r="AJ8" s="97">
        <v>0</v>
      </c>
      <c r="AK8" s="97">
        <v>0</v>
      </c>
      <c r="AL8" s="97">
        <v>0</v>
      </c>
      <c r="AM8" s="97">
        <v>0</v>
      </c>
      <c r="AN8" s="97">
        <v>0</v>
      </c>
      <c r="AO8" s="97">
        <v>0</v>
      </c>
      <c r="AP8" s="97">
        <v>0</v>
      </c>
      <c r="AQ8" s="97">
        <v>0</v>
      </c>
      <c r="AR8" s="97">
        <v>0</v>
      </c>
      <c r="AS8" s="97">
        <v>0</v>
      </c>
      <c r="AT8" s="97">
        <v>0</v>
      </c>
      <c r="AU8" s="97">
        <v>0</v>
      </c>
      <c r="AV8" s="97">
        <v>0</v>
      </c>
      <c r="AW8" s="97">
        <v>0</v>
      </c>
      <c r="AX8" s="97">
        <v>0</v>
      </c>
      <c r="AY8" s="97">
        <v>0</v>
      </c>
      <c r="AZ8" s="97">
        <v>0</v>
      </c>
      <c r="BA8" s="97">
        <v>0</v>
      </c>
      <c r="BB8" s="97">
        <v>0</v>
      </c>
      <c r="BC8" s="97">
        <v>0</v>
      </c>
      <c r="BD8" s="97">
        <v>0</v>
      </c>
      <c r="BE8" s="97">
        <v>0</v>
      </c>
      <c r="BF8" s="97">
        <v>0</v>
      </c>
      <c r="BG8" s="97">
        <v>0</v>
      </c>
      <c r="BH8" s="97">
        <v>0</v>
      </c>
      <c r="BI8" s="97">
        <v>0</v>
      </c>
      <c r="BJ8" s="97">
        <v>0</v>
      </c>
      <c r="BK8" s="97">
        <v>0</v>
      </c>
      <c r="BL8" s="97">
        <v>0</v>
      </c>
      <c r="BM8" s="97">
        <v>0</v>
      </c>
      <c r="BN8" s="97">
        <v>0</v>
      </c>
      <c r="BO8" s="97">
        <v>0</v>
      </c>
      <c r="BP8" s="97">
        <v>0</v>
      </c>
      <c r="BQ8" s="97">
        <v>0</v>
      </c>
      <c r="BR8" s="97">
        <v>0</v>
      </c>
      <c r="BS8" s="97">
        <v>0</v>
      </c>
      <c r="BT8" s="97">
        <v>0</v>
      </c>
      <c r="BU8" s="97">
        <v>0</v>
      </c>
      <c r="BV8" s="97">
        <v>0</v>
      </c>
      <c r="BW8" s="97">
        <v>0</v>
      </c>
      <c r="BX8" s="97">
        <v>0</v>
      </c>
      <c r="BY8" s="97">
        <v>0</v>
      </c>
      <c r="BZ8" s="97">
        <v>0</v>
      </c>
      <c r="CA8" s="97">
        <v>0</v>
      </c>
      <c r="CB8" s="97">
        <v>0</v>
      </c>
      <c r="CC8" s="97">
        <v>0</v>
      </c>
      <c r="CD8" s="97">
        <v>0</v>
      </c>
      <c r="CE8" s="97">
        <v>0</v>
      </c>
      <c r="CF8" s="97">
        <v>0</v>
      </c>
      <c r="CG8" s="97">
        <v>0</v>
      </c>
      <c r="CH8" s="97">
        <v>0</v>
      </c>
      <c r="CI8" s="97">
        <v>0</v>
      </c>
      <c r="CJ8" s="97">
        <v>0</v>
      </c>
      <c r="CK8" s="97">
        <v>0</v>
      </c>
      <c r="CL8" s="97">
        <v>0</v>
      </c>
      <c r="CM8" s="97">
        <v>0</v>
      </c>
      <c r="CN8" s="97">
        <v>0</v>
      </c>
      <c r="CO8" s="97">
        <v>0</v>
      </c>
      <c r="CP8" s="97">
        <v>0</v>
      </c>
      <c r="CQ8" s="97">
        <v>0</v>
      </c>
      <c r="CR8" s="97">
        <v>0</v>
      </c>
      <c r="CS8" s="97">
        <v>0</v>
      </c>
      <c r="CT8" s="97">
        <v>0</v>
      </c>
      <c r="CU8" s="97">
        <v>0</v>
      </c>
    </row>
    <row r="9" spans="1:99" x14ac:dyDescent="0.15">
      <c r="C9" s="96" t="s">
        <v>174</v>
      </c>
      <c r="D9" s="97">
        <v>0</v>
      </c>
      <c r="E9" s="97">
        <v>0</v>
      </c>
      <c r="F9" s="97">
        <v>0</v>
      </c>
      <c r="G9" s="97">
        <v>0</v>
      </c>
      <c r="H9" s="97">
        <v>0</v>
      </c>
      <c r="I9" s="97">
        <v>0</v>
      </c>
      <c r="J9" s="97">
        <v>0</v>
      </c>
      <c r="K9" s="97">
        <v>0</v>
      </c>
      <c r="L9" s="97">
        <v>0</v>
      </c>
      <c r="M9" s="97">
        <v>0</v>
      </c>
      <c r="N9" s="97">
        <v>0</v>
      </c>
      <c r="O9" s="97">
        <v>0</v>
      </c>
      <c r="P9" s="97">
        <v>0</v>
      </c>
      <c r="Q9" s="97">
        <v>0</v>
      </c>
      <c r="R9" s="97">
        <v>0</v>
      </c>
      <c r="S9" s="97">
        <v>0</v>
      </c>
      <c r="T9" s="97">
        <v>0</v>
      </c>
      <c r="U9" s="97">
        <v>0</v>
      </c>
      <c r="V9" s="97">
        <v>0</v>
      </c>
      <c r="W9" s="97">
        <v>0</v>
      </c>
      <c r="X9" s="97">
        <v>0</v>
      </c>
      <c r="Y9" s="97">
        <v>0</v>
      </c>
      <c r="Z9" s="97">
        <v>0</v>
      </c>
      <c r="AA9" s="97">
        <v>0</v>
      </c>
      <c r="AB9" s="97">
        <v>0</v>
      </c>
      <c r="AC9" s="97">
        <v>0</v>
      </c>
      <c r="AD9" s="97">
        <v>0</v>
      </c>
      <c r="AE9" s="97">
        <v>0</v>
      </c>
      <c r="AF9" s="97">
        <v>0</v>
      </c>
      <c r="AG9" s="97">
        <v>0</v>
      </c>
      <c r="AH9" s="97">
        <v>0</v>
      </c>
      <c r="AI9" s="97">
        <v>0</v>
      </c>
      <c r="AJ9" s="97">
        <v>0</v>
      </c>
      <c r="AK9" s="97">
        <v>0</v>
      </c>
      <c r="AL9" s="97">
        <v>0</v>
      </c>
      <c r="AM9" s="97">
        <v>0</v>
      </c>
      <c r="AN9" s="97">
        <v>0</v>
      </c>
      <c r="AO9" s="97">
        <v>0</v>
      </c>
      <c r="AP9" s="97">
        <v>0</v>
      </c>
      <c r="AQ9" s="97">
        <v>0</v>
      </c>
      <c r="AR9" s="97">
        <v>0</v>
      </c>
      <c r="AS9" s="97">
        <v>0</v>
      </c>
      <c r="AT9" s="97">
        <v>0</v>
      </c>
      <c r="AU9" s="97">
        <v>0</v>
      </c>
      <c r="AV9" s="97">
        <v>0</v>
      </c>
      <c r="AW9" s="97">
        <v>0</v>
      </c>
      <c r="AX9" s="97">
        <v>0</v>
      </c>
      <c r="AY9" s="97">
        <v>0</v>
      </c>
      <c r="AZ9" s="97">
        <v>0</v>
      </c>
      <c r="BA9" s="97">
        <v>0</v>
      </c>
      <c r="BB9" s="97">
        <v>0</v>
      </c>
      <c r="BC9" s="97">
        <v>0</v>
      </c>
      <c r="BD9" s="97">
        <v>0</v>
      </c>
      <c r="BE9" s="97">
        <v>0</v>
      </c>
      <c r="BF9" s="97">
        <v>0</v>
      </c>
      <c r="BG9" s="97">
        <v>0</v>
      </c>
      <c r="BH9" s="97">
        <v>0</v>
      </c>
      <c r="BI9" s="97">
        <v>0</v>
      </c>
      <c r="BJ9" s="97">
        <v>0</v>
      </c>
      <c r="BK9" s="97">
        <v>0</v>
      </c>
      <c r="BL9" s="97">
        <v>0</v>
      </c>
      <c r="BM9" s="97">
        <v>0</v>
      </c>
      <c r="BN9" s="97">
        <v>0</v>
      </c>
      <c r="BO9" s="97">
        <v>0</v>
      </c>
      <c r="BP9" s="97">
        <v>0</v>
      </c>
      <c r="BQ9" s="97">
        <v>0</v>
      </c>
      <c r="BR9" s="97">
        <v>0</v>
      </c>
      <c r="BS9" s="97">
        <v>0</v>
      </c>
      <c r="BT9" s="97">
        <v>0</v>
      </c>
      <c r="BU9" s="97">
        <v>0</v>
      </c>
      <c r="BV9" s="97">
        <v>0</v>
      </c>
      <c r="BW9" s="97">
        <v>0</v>
      </c>
      <c r="BX9" s="97">
        <v>0</v>
      </c>
      <c r="BY9" s="97">
        <v>0</v>
      </c>
      <c r="BZ9" s="97">
        <v>0</v>
      </c>
      <c r="CA9" s="97">
        <v>0</v>
      </c>
      <c r="CB9" s="97">
        <v>0</v>
      </c>
      <c r="CC9" s="97">
        <v>0</v>
      </c>
      <c r="CD9" s="97">
        <v>0</v>
      </c>
      <c r="CE9" s="97">
        <v>0</v>
      </c>
      <c r="CF9" s="97">
        <v>0</v>
      </c>
      <c r="CG9" s="97">
        <v>0</v>
      </c>
      <c r="CH9" s="97">
        <v>0</v>
      </c>
      <c r="CI9" s="97">
        <v>0</v>
      </c>
      <c r="CJ9" s="97">
        <v>0</v>
      </c>
      <c r="CK9" s="97">
        <v>0</v>
      </c>
      <c r="CL9" s="97">
        <v>0</v>
      </c>
      <c r="CM9" s="97">
        <v>0</v>
      </c>
      <c r="CN9" s="97">
        <v>0</v>
      </c>
      <c r="CO9" s="97">
        <v>0</v>
      </c>
      <c r="CP9" s="97">
        <v>0</v>
      </c>
      <c r="CQ9" s="97">
        <v>0</v>
      </c>
      <c r="CR9" s="97">
        <v>0</v>
      </c>
      <c r="CS9" s="97">
        <v>0</v>
      </c>
      <c r="CT9" s="97">
        <v>0</v>
      </c>
      <c r="CU9" s="97">
        <v>0</v>
      </c>
    </row>
    <row r="10" spans="1:99" x14ac:dyDescent="0.15">
      <c r="C10" s="96" t="s">
        <v>175</v>
      </c>
      <c r="D10" s="97">
        <v>0</v>
      </c>
      <c r="E10" s="97">
        <v>0</v>
      </c>
      <c r="F10" s="97">
        <v>0</v>
      </c>
      <c r="G10" s="97">
        <v>0</v>
      </c>
      <c r="H10" s="97">
        <v>0</v>
      </c>
      <c r="I10" s="97">
        <v>0</v>
      </c>
      <c r="J10" s="97">
        <v>0</v>
      </c>
      <c r="K10" s="97">
        <v>0</v>
      </c>
      <c r="L10" s="97">
        <v>0</v>
      </c>
      <c r="M10" s="97">
        <v>0</v>
      </c>
      <c r="N10" s="97">
        <v>0</v>
      </c>
      <c r="O10" s="97">
        <v>0</v>
      </c>
      <c r="P10" s="97">
        <v>0</v>
      </c>
      <c r="Q10" s="97">
        <v>0</v>
      </c>
      <c r="R10" s="97">
        <v>0</v>
      </c>
      <c r="S10" s="97">
        <v>0</v>
      </c>
      <c r="T10" s="97">
        <v>0</v>
      </c>
      <c r="U10" s="97">
        <v>0</v>
      </c>
      <c r="V10" s="97">
        <v>0</v>
      </c>
      <c r="W10" s="97">
        <v>0</v>
      </c>
      <c r="X10" s="97">
        <v>0</v>
      </c>
      <c r="Y10" s="97">
        <v>0</v>
      </c>
      <c r="Z10" s="97">
        <v>0</v>
      </c>
      <c r="AA10" s="97">
        <v>0</v>
      </c>
      <c r="AB10" s="97">
        <v>0</v>
      </c>
      <c r="AC10" s="97">
        <v>0</v>
      </c>
      <c r="AD10" s="97">
        <v>0</v>
      </c>
      <c r="AE10" s="97">
        <v>0</v>
      </c>
      <c r="AF10" s="97">
        <v>0</v>
      </c>
      <c r="AG10" s="97">
        <v>0</v>
      </c>
      <c r="AH10" s="97">
        <v>0</v>
      </c>
      <c r="AI10" s="97">
        <v>0</v>
      </c>
      <c r="AJ10" s="97">
        <v>0</v>
      </c>
      <c r="AK10" s="97">
        <v>0</v>
      </c>
      <c r="AL10" s="97">
        <v>0</v>
      </c>
      <c r="AM10" s="97">
        <v>0</v>
      </c>
      <c r="AN10" s="97">
        <v>0</v>
      </c>
      <c r="AO10" s="97">
        <v>0</v>
      </c>
      <c r="AP10" s="97">
        <v>0</v>
      </c>
      <c r="AQ10" s="97">
        <v>0</v>
      </c>
      <c r="AR10" s="97">
        <v>0</v>
      </c>
      <c r="AS10" s="97">
        <v>0</v>
      </c>
      <c r="AT10" s="97">
        <v>0</v>
      </c>
      <c r="AU10" s="97">
        <v>0</v>
      </c>
      <c r="AV10" s="97">
        <v>0</v>
      </c>
      <c r="AW10" s="97">
        <v>0</v>
      </c>
      <c r="AX10" s="97">
        <v>0</v>
      </c>
      <c r="AY10" s="97">
        <v>0</v>
      </c>
      <c r="AZ10" s="97">
        <v>0</v>
      </c>
      <c r="BA10" s="97">
        <v>0</v>
      </c>
      <c r="BB10" s="97">
        <v>0</v>
      </c>
      <c r="BC10" s="97">
        <v>0</v>
      </c>
      <c r="BD10" s="97">
        <v>0</v>
      </c>
      <c r="BE10" s="97">
        <v>0</v>
      </c>
      <c r="BF10" s="97">
        <v>0</v>
      </c>
      <c r="BG10" s="97">
        <v>0</v>
      </c>
      <c r="BH10" s="97">
        <v>0</v>
      </c>
      <c r="BI10" s="97">
        <v>0</v>
      </c>
      <c r="BJ10" s="97">
        <v>0</v>
      </c>
      <c r="BK10" s="97">
        <v>0</v>
      </c>
      <c r="BL10" s="97">
        <v>0</v>
      </c>
      <c r="BM10" s="97">
        <v>0</v>
      </c>
      <c r="BN10" s="97">
        <v>0</v>
      </c>
      <c r="BO10" s="97">
        <v>0</v>
      </c>
      <c r="BP10" s="97">
        <v>0</v>
      </c>
      <c r="BQ10" s="97">
        <v>0</v>
      </c>
      <c r="BR10" s="97">
        <v>0</v>
      </c>
      <c r="BS10" s="97">
        <v>0</v>
      </c>
      <c r="BT10" s="97">
        <v>0</v>
      </c>
      <c r="BU10" s="97">
        <v>0</v>
      </c>
      <c r="BV10" s="97">
        <v>0</v>
      </c>
      <c r="BW10" s="97">
        <v>0</v>
      </c>
      <c r="BX10" s="97">
        <v>0</v>
      </c>
      <c r="BY10" s="97">
        <v>0</v>
      </c>
      <c r="BZ10" s="97">
        <v>0</v>
      </c>
      <c r="CA10" s="97">
        <v>0</v>
      </c>
      <c r="CB10" s="97">
        <v>0</v>
      </c>
      <c r="CC10" s="97">
        <v>0</v>
      </c>
      <c r="CD10" s="97">
        <v>0</v>
      </c>
      <c r="CE10" s="97">
        <v>0</v>
      </c>
      <c r="CF10" s="97">
        <v>0</v>
      </c>
      <c r="CG10" s="97">
        <v>0</v>
      </c>
      <c r="CH10" s="97">
        <v>0</v>
      </c>
      <c r="CI10" s="97">
        <v>0</v>
      </c>
      <c r="CJ10" s="97">
        <v>0</v>
      </c>
      <c r="CK10" s="97">
        <v>0</v>
      </c>
      <c r="CL10" s="97">
        <v>0</v>
      </c>
      <c r="CM10" s="97">
        <v>0</v>
      </c>
      <c r="CN10" s="97">
        <v>0</v>
      </c>
      <c r="CO10" s="97">
        <v>0</v>
      </c>
      <c r="CP10" s="97">
        <v>0</v>
      </c>
      <c r="CQ10" s="97">
        <v>0</v>
      </c>
      <c r="CR10" s="97">
        <v>0</v>
      </c>
      <c r="CS10" s="97">
        <v>0</v>
      </c>
      <c r="CT10" s="97">
        <v>0</v>
      </c>
      <c r="CU10" s="97">
        <v>0</v>
      </c>
    </row>
    <row r="11" spans="1:99" x14ac:dyDescent="0.15">
      <c r="C11" s="96" t="s">
        <v>176</v>
      </c>
      <c r="D11" s="97">
        <v>0</v>
      </c>
      <c r="E11" s="97">
        <v>0</v>
      </c>
      <c r="F11" s="97">
        <v>0</v>
      </c>
      <c r="G11" s="97">
        <v>0</v>
      </c>
      <c r="H11" s="97">
        <v>0</v>
      </c>
      <c r="I11" s="97">
        <v>0</v>
      </c>
      <c r="J11" s="97">
        <v>0</v>
      </c>
      <c r="K11" s="97">
        <v>0</v>
      </c>
      <c r="L11" s="97">
        <v>0</v>
      </c>
      <c r="M11" s="97">
        <v>0</v>
      </c>
      <c r="N11" s="97">
        <v>0</v>
      </c>
      <c r="O11" s="97">
        <v>0</v>
      </c>
      <c r="P11" s="97">
        <v>0</v>
      </c>
      <c r="Q11" s="97">
        <v>0</v>
      </c>
      <c r="R11" s="97">
        <v>0</v>
      </c>
      <c r="S11" s="97">
        <v>0</v>
      </c>
      <c r="T11" s="97">
        <v>0</v>
      </c>
      <c r="U11" s="97">
        <v>0</v>
      </c>
      <c r="V11" s="97">
        <v>0</v>
      </c>
      <c r="W11" s="97">
        <v>0</v>
      </c>
      <c r="X11" s="97">
        <v>0</v>
      </c>
      <c r="Y11" s="97">
        <v>0</v>
      </c>
      <c r="Z11" s="97">
        <v>0</v>
      </c>
      <c r="AA11" s="97">
        <v>0</v>
      </c>
      <c r="AB11" s="97">
        <v>0</v>
      </c>
      <c r="AC11" s="97">
        <v>0</v>
      </c>
      <c r="AD11" s="97">
        <v>0</v>
      </c>
      <c r="AE11" s="97">
        <v>0</v>
      </c>
      <c r="AF11" s="97">
        <v>0</v>
      </c>
      <c r="AG11" s="97">
        <v>0</v>
      </c>
      <c r="AH11" s="97">
        <v>0</v>
      </c>
      <c r="AI11" s="97">
        <v>0</v>
      </c>
      <c r="AJ11" s="97">
        <v>0</v>
      </c>
      <c r="AK11" s="97">
        <v>0</v>
      </c>
      <c r="AL11" s="97">
        <v>0</v>
      </c>
      <c r="AM11" s="97">
        <v>0</v>
      </c>
      <c r="AN11" s="97">
        <v>0</v>
      </c>
      <c r="AO11" s="97">
        <v>0</v>
      </c>
      <c r="AP11" s="97">
        <v>0</v>
      </c>
      <c r="AQ11" s="97">
        <v>0</v>
      </c>
      <c r="AR11" s="97">
        <v>0</v>
      </c>
      <c r="AS11" s="97">
        <v>0</v>
      </c>
      <c r="AT11" s="97">
        <v>0</v>
      </c>
      <c r="AU11" s="97">
        <v>0</v>
      </c>
      <c r="AV11" s="97">
        <v>0</v>
      </c>
      <c r="AW11" s="97">
        <v>0</v>
      </c>
      <c r="AX11" s="97">
        <v>0</v>
      </c>
      <c r="AY11" s="97">
        <v>0</v>
      </c>
      <c r="AZ11" s="97">
        <v>0</v>
      </c>
      <c r="BA11" s="97">
        <v>0</v>
      </c>
      <c r="BB11" s="97">
        <v>0</v>
      </c>
      <c r="BC11" s="97">
        <v>0</v>
      </c>
      <c r="BD11" s="97">
        <v>0</v>
      </c>
      <c r="BE11" s="97">
        <v>0</v>
      </c>
      <c r="BF11" s="97">
        <v>0</v>
      </c>
      <c r="BG11" s="97">
        <v>0</v>
      </c>
      <c r="BH11" s="97">
        <v>0</v>
      </c>
      <c r="BI11" s="97">
        <v>0</v>
      </c>
      <c r="BJ11" s="97">
        <v>0</v>
      </c>
      <c r="BK11" s="97">
        <v>0</v>
      </c>
      <c r="BL11" s="97">
        <v>0</v>
      </c>
      <c r="BM11" s="97">
        <v>0</v>
      </c>
      <c r="BN11" s="97">
        <v>0</v>
      </c>
      <c r="BO11" s="97">
        <v>0</v>
      </c>
      <c r="BP11" s="97">
        <v>0</v>
      </c>
      <c r="BQ11" s="97">
        <v>0</v>
      </c>
      <c r="BR11" s="97">
        <v>0</v>
      </c>
      <c r="BS11" s="97">
        <v>0</v>
      </c>
      <c r="BT11" s="97">
        <v>0</v>
      </c>
      <c r="BU11" s="97">
        <v>0</v>
      </c>
      <c r="BV11" s="97">
        <v>0</v>
      </c>
      <c r="BW11" s="97">
        <v>0</v>
      </c>
      <c r="BX11" s="97">
        <v>0</v>
      </c>
      <c r="BY11" s="97">
        <v>0</v>
      </c>
      <c r="BZ11" s="97">
        <v>0</v>
      </c>
      <c r="CA11" s="97">
        <v>0</v>
      </c>
      <c r="CB11" s="97">
        <v>0</v>
      </c>
      <c r="CC11" s="97">
        <v>0</v>
      </c>
      <c r="CD11" s="97">
        <v>0</v>
      </c>
      <c r="CE11" s="97">
        <v>0</v>
      </c>
      <c r="CF11" s="97">
        <v>0</v>
      </c>
      <c r="CG11" s="97">
        <v>0</v>
      </c>
      <c r="CH11" s="97">
        <v>0</v>
      </c>
      <c r="CI11" s="97">
        <v>0</v>
      </c>
      <c r="CJ11" s="97">
        <v>0</v>
      </c>
      <c r="CK11" s="97">
        <v>0</v>
      </c>
      <c r="CL11" s="97">
        <v>0</v>
      </c>
      <c r="CM11" s="97">
        <v>0</v>
      </c>
      <c r="CN11" s="97">
        <v>0</v>
      </c>
      <c r="CO11" s="97">
        <v>0</v>
      </c>
      <c r="CP11" s="97">
        <v>0</v>
      </c>
      <c r="CQ11" s="97">
        <v>0</v>
      </c>
      <c r="CR11" s="97">
        <v>0</v>
      </c>
      <c r="CS11" s="97">
        <v>0</v>
      </c>
      <c r="CT11" s="97">
        <v>0</v>
      </c>
      <c r="CU11" s="97">
        <v>0</v>
      </c>
    </row>
    <row r="12" spans="1:99" x14ac:dyDescent="0.15">
      <c r="C12" s="96" t="s">
        <v>177</v>
      </c>
      <c r="D12" s="97">
        <v>0</v>
      </c>
      <c r="E12" s="97">
        <v>0</v>
      </c>
      <c r="F12" s="97">
        <v>0</v>
      </c>
      <c r="G12" s="97">
        <v>0</v>
      </c>
      <c r="H12" s="97">
        <v>0</v>
      </c>
      <c r="I12" s="97">
        <v>0</v>
      </c>
      <c r="J12" s="97">
        <v>0</v>
      </c>
      <c r="K12" s="97">
        <v>0</v>
      </c>
      <c r="L12" s="97">
        <v>0</v>
      </c>
      <c r="M12" s="97">
        <v>0</v>
      </c>
      <c r="N12" s="97">
        <v>0</v>
      </c>
      <c r="O12" s="97">
        <v>0</v>
      </c>
      <c r="P12" s="97">
        <v>0</v>
      </c>
      <c r="Q12" s="97">
        <v>0</v>
      </c>
      <c r="R12" s="97">
        <v>0</v>
      </c>
      <c r="S12" s="97">
        <v>0</v>
      </c>
      <c r="T12" s="97">
        <v>0</v>
      </c>
      <c r="U12" s="97">
        <v>0</v>
      </c>
      <c r="V12" s="97">
        <v>0</v>
      </c>
      <c r="W12" s="97">
        <v>0</v>
      </c>
      <c r="X12" s="97">
        <v>0</v>
      </c>
      <c r="Y12" s="97">
        <v>0</v>
      </c>
      <c r="Z12" s="97">
        <v>0</v>
      </c>
      <c r="AA12" s="97">
        <v>0</v>
      </c>
      <c r="AB12" s="97">
        <v>0</v>
      </c>
      <c r="AC12" s="97">
        <v>0</v>
      </c>
      <c r="AD12" s="97">
        <v>0</v>
      </c>
      <c r="AE12" s="97">
        <v>0</v>
      </c>
      <c r="AF12" s="97">
        <v>0</v>
      </c>
      <c r="AG12" s="97">
        <v>0</v>
      </c>
      <c r="AH12" s="97">
        <v>0</v>
      </c>
      <c r="AI12" s="97">
        <v>0</v>
      </c>
      <c r="AJ12" s="97">
        <v>0</v>
      </c>
      <c r="AK12" s="97">
        <v>0</v>
      </c>
      <c r="AL12" s="97">
        <v>0</v>
      </c>
      <c r="AM12" s="97">
        <v>0</v>
      </c>
      <c r="AN12" s="97">
        <v>0</v>
      </c>
      <c r="AO12" s="97">
        <v>0</v>
      </c>
      <c r="AP12" s="97">
        <v>0</v>
      </c>
      <c r="AQ12" s="97">
        <v>0</v>
      </c>
      <c r="AR12" s="97">
        <v>0</v>
      </c>
      <c r="AS12" s="97">
        <v>0</v>
      </c>
      <c r="AT12" s="97">
        <v>0</v>
      </c>
      <c r="AU12" s="97">
        <v>0</v>
      </c>
      <c r="AV12" s="97">
        <v>0</v>
      </c>
      <c r="AW12" s="97">
        <v>0</v>
      </c>
      <c r="AX12" s="97">
        <v>0</v>
      </c>
      <c r="AY12" s="97">
        <v>0</v>
      </c>
      <c r="AZ12" s="97">
        <v>0</v>
      </c>
      <c r="BA12" s="97">
        <v>0</v>
      </c>
      <c r="BB12" s="97">
        <v>0</v>
      </c>
      <c r="BC12" s="97">
        <v>0</v>
      </c>
      <c r="BD12" s="97">
        <v>0</v>
      </c>
      <c r="BE12" s="97">
        <v>0</v>
      </c>
      <c r="BF12" s="97">
        <v>0</v>
      </c>
      <c r="BG12" s="97">
        <v>0</v>
      </c>
      <c r="BH12" s="97">
        <v>0</v>
      </c>
      <c r="BI12" s="97">
        <v>0</v>
      </c>
      <c r="BJ12" s="97">
        <v>0</v>
      </c>
      <c r="BK12" s="97">
        <v>0</v>
      </c>
      <c r="BL12" s="97">
        <v>0</v>
      </c>
      <c r="BM12" s="97">
        <v>0</v>
      </c>
      <c r="BN12" s="97">
        <v>0</v>
      </c>
      <c r="BO12" s="97">
        <v>0</v>
      </c>
      <c r="BP12" s="97">
        <v>0</v>
      </c>
      <c r="BQ12" s="97">
        <v>0</v>
      </c>
      <c r="BR12" s="97">
        <v>0</v>
      </c>
      <c r="BS12" s="97">
        <v>0</v>
      </c>
      <c r="BT12" s="97">
        <v>0</v>
      </c>
      <c r="BU12" s="97">
        <v>0</v>
      </c>
      <c r="BV12" s="97">
        <v>0</v>
      </c>
      <c r="BW12" s="97">
        <v>0</v>
      </c>
      <c r="BX12" s="97">
        <v>0</v>
      </c>
      <c r="BY12" s="97">
        <v>0</v>
      </c>
      <c r="BZ12" s="97">
        <v>0</v>
      </c>
      <c r="CA12" s="97">
        <v>0</v>
      </c>
      <c r="CB12" s="97">
        <v>0</v>
      </c>
      <c r="CC12" s="97">
        <v>0</v>
      </c>
      <c r="CD12" s="97">
        <v>0</v>
      </c>
      <c r="CE12" s="97">
        <v>0</v>
      </c>
      <c r="CF12" s="97">
        <v>0</v>
      </c>
      <c r="CG12" s="97">
        <v>0</v>
      </c>
      <c r="CH12" s="97">
        <v>0</v>
      </c>
      <c r="CI12" s="97">
        <v>0</v>
      </c>
      <c r="CJ12" s="97">
        <v>0</v>
      </c>
      <c r="CK12" s="97">
        <v>0</v>
      </c>
      <c r="CL12" s="97">
        <v>0</v>
      </c>
      <c r="CM12" s="97">
        <v>0</v>
      </c>
      <c r="CN12" s="97">
        <v>0</v>
      </c>
      <c r="CO12" s="97">
        <v>0</v>
      </c>
      <c r="CP12" s="97">
        <v>0</v>
      </c>
      <c r="CQ12" s="97">
        <v>0</v>
      </c>
      <c r="CR12" s="97">
        <v>0</v>
      </c>
      <c r="CS12" s="97">
        <v>0</v>
      </c>
      <c r="CT12" s="97">
        <v>0</v>
      </c>
      <c r="CU12" s="97">
        <v>0</v>
      </c>
    </row>
    <row r="13" spans="1:99" x14ac:dyDescent="0.15">
      <c r="C13" s="96" t="s">
        <v>178</v>
      </c>
      <c r="D13" s="97">
        <v>0</v>
      </c>
      <c r="E13" s="97">
        <v>0</v>
      </c>
      <c r="F13" s="97">
        <v>0</v>
      </c>
      <c r="G13" s="97">
        <v>0</v>
      </c>
      <c r="H13" s="97">
        <v>0</v>
      </c>
      <c r="I13" s="97">
        <v>0</v>
      </c>
      <c r="J13" s="97">
        <v>0</v>
      </c>
      <c r="K13" s="97">
        <v>0</v>
      </c>
      <c r="L13" s="97">
        <v>0</v>
      </c>
      <c r="M13" s="97">
        <v>0</v>
      </c>
      <c r="N13" s="97">
        <v>0</v>
      </c>
      <c r="O13" s="97">
        <v>0</v>
      </c>
      <c r="P13" s="97">
        <v>0</v>
      </c>
      <c r="Q13" s="97">
        <v>0</v>
      </c>
      <c r="R13" s="97">
        <v>0</v>
      </c>
      <c r="S13" s="97">
        <v>0</v>
      </c>
      <c r="T13" s="97">
        <v>0</v>
      </c>
      <c r="U13" s="97">
        <v>0</v>
      </c>
      <c r="V13" s="97">
        <v>0</v>
      </c>
      <c r="W13" s="97">
        <v>0</v>
      </c>
      <c r="X13" s="97">
        <v>0</v>
      </c>
      <c r="Y13" s="97">
        <v>0</v>
      </c>
      <c r="Z13" s="97">
        <v>0</v>
      </c>
      <c r="AA13" s="97">
        <v>0</v>
      </c>
      <c r="AB13" s="97">
        <v>0</v>
      </c>
      <c r="AC13" s="97">
        <v>0</v>
      </c>
      <c r="AD13" s="97">
        <v>0</v>
      </c>
      <c r="AE13" s="97">
        <v>0</v>
      </c>
      <c r="AF13" s="97">
        <v>0</v>
      </c>
      <c r="AG13" s="97">
        <v>0</v>
      </c>
      <c r="AH13" s="97">
        <v>0</v>
      </c>
      <c r="AI13" s="97">
        <v>0</v>
      </c>
      <c r="AJ13" s="97">
        <v>0</v>
      </c>
      <c r="AK13" s="97">
        <v>0</v>
      </c>
      <c r="AL13" s="97">
        <v>0</v>
      </c>
      <c r="AM13" s="97">
        <v>0</v>
      </c>
      <c r="AN13" s="97">
        <v>0</v>
      </c>
      <c r="AO13" s="97">
        <v>0</v>
      </c>
      <c r="AP13" s="97">
        <v>0</v>
      </c>
      <c r="AQ13" s="97">
        <v>0</v>
      </c>
      <c r="AR13" s="97">
        <v>0</v>
      </c>
      <c r="AS13" s="97">
        <v>0</v>
      </c>
      <c r="AT13" s="97">
        <v>0</v>
      </c>
      <c r="AU13" s="97">
        <v>0</v>
      </c>
      <c r="AV13" s="97">
        <v>0</v>
      </c>
      <c r="AW13" s="97">
        <v>0</v>
      </c>
      <c r="AX13" s="97">
        <v>0</v>
      </c>
      <c r="AY13" s="97">
        <v>0</v>
      </c>
      <c r="AZ13" s="97">
        <v>0</v>
      </c>
      <c r="BA13" s="97">
        <v>0</v>
      </c>
      <c r="BB13" s="97">
        <v>0</v>
      </c>
      <c r="BC13" s="97">
        <v>0</v>
      </c>
      <c r="BD13" s="97">
        <v>0</v>
      </c>
      <c r="BE13" s="97">
        <v>0</v>
      </c>
      <c r="BF13" s="97">
        <v>0</v>
      </c>
      <c r="BG13" s="97">
        <v>0</v>
      </c>
      <c r="BH13" s="97">
        <v>0</v>
      </c>
      <c r="BI13" s="97">
        <v>0</v>
      </c>
      <c r="BJ13" s="97">
        <v>0</v>
      </c>
      <c r="BK13" s="97">
        <v>0</v>
      </c>
      <c r="BL13" s="97">
        <v>0</v>
      </c>
      <c r="BM13" s="97">
        <v>0</v>
      </c>
      <c r="BN13" s="97">
        <v>0</v>
      </c>
      <c r="BO13" s="97">
        <v>0</v>
      </c>
      <c r="BP13" s="97">
        <v>0</v>
      </c>
      <c r="BQ13" s="97">
        <v>0</v>
      </c>
      <c r="BR13" s="97">
        <v>0</v>
      </c>
      <c r="BS13" s="97">
        <v>0</v>
      </c>
      <c r="BT13" s="97">
        <v>0</v>
      </c>
      <c r="BU13" s="97">
        <v>0</v>
      </c>
      <c r="BV13" s="97">
        <v>0</v>
      </c>
      <c r="BW13" s="97">
        <v>0</v>
      </c>
      <c r="BX13" s="97">
        <v>0</v>
      </c>
      <c r="BY13" s="97">
        <v>0</v>
      </c>
      <c r="BZ13" s="97">
        <v>0</v>
      </c>
      <c r="CA13" s="97">
        <v>0</v>
      </c>
      <c r="CB13" s="97">
        <v>0</v>
      </c>
      <c r="CC13" s="97">
        <v>0</v>
      </c>
      <c r="CD13" s="97">
        <v>0</v>
      </c>
      <c r="CE13" s="97">
        <v>0</v>
      </c>
      <c r="CF13" s="97">
        <v>0</v>
      </c>
      <c r="CG13" s="97">
        <v>0</v>
      </c>
      <c r="CH13" s="97">
        <v>0</v>
      </c>
      <c r="CI13" s="97">
        <v>0</v>
      </c>
      <c r="CJ13" s="97">
        <v>0</v>
      </c>
      <c r="CK13" s="97">
        <v>0</v>
      </c>
      <c r="CL13" s="97">
        <v>0</v>
      </c>
      <c r="CM13" s="97">
        <v>0</v>
      </c>
      <c r="CN13" s="97">
        <v>0</v>
      </c>
      <c r="CO13" s="97">
        <v>0</v>
      </c>
      <c r="CP13" s="97">
        <v>0</v>
      </c>
      <c r="CQ13" s="97">
        <v>0</v>
      </c>
      <c r="CR13" s="97">
        <v>0</v>
      </c>
      <c r="CS13" s="97">
        <v>0</v>
      </c>
      <c r="CT13" s="97">
        <v>0</v>
      </c>
      <c r="CU13" s="97">
        <v>0</v>
      </c>
    </row>
    <row r="14" spans="1:99" x14ac:dyDescent="0.15">
      <c r="C14" s="96" t="s">
        <v>179</v>
      </c>
      <c r="D14" s="97">
        <v>0</v>
      </c>
      <c r="E14" s="97">
        <v>0</v>
      </c>
      <c r="F14" s="97">
        <v>0</v>
      </c>
      <c r="G14" s="97">
        <v>0</v>
      </c>
      <c r="H14" s="97">
        <v>0</v>
      </c>
      <c r="I14" s="97">
        <v>0</v>
      </c>
      <c r="J14" s="97">
        <v>0</v>
      </c>
      <c r="K14" s="97">
        <v>0</v>
      </c>
      <c r="L14" s="97">
        <v>0</v>
      </c>
      <c r="M14" s="97">
        <v>0</v>
      </c>
      <c r="N14" s="97">
        <v>0</v>
      </c>
      <c r="O14" s="97">
        <v>0</v>
      </c>
      <c r="P14" s="97">
        <v>0</v>
      </c>
      <c r="Q14" s="97">
        <v>0</v>
      </c>
      <c r="R14" s="97">
        <v>0</v>
      </c>
      <c r="S14" s="97">
        <v>0</v>
      </c>
      <c r="T14" s="97">
        <v>0</v>
      </c>
      <c r="U14" s="97">
        <v>0</v>
      </c>
      <c r="V14" s="97">
        <v>0</v>
      </c>
      <c r="W14" s="97">
        <v>0</v>
      </c>
      <c r="X14" s="97">
        <v>0</v>
      </c>
      <c r="Y14" s="97">
        <v>0</v>
      </c>
      <c r="Z14" s="97">
        <v>0</v>
      </c>
      <c r="AA14" s="97">
        <v>0</v>
      </c>
      <c r="AB14" s="97">
        <v>0</v>
      </c>
      <c r="AC14" s="97">
        <v>0</v>
      </c>
      <c r="AD14" s="97">
        <v>0</v>
      </c>
      <c r="AE14" s="97">
        <v>0</v>
      </c>
      <c r="AF14" s="97">
        <v>0</v>
      </c>
      <c r="AG14" s="97">
        <v>0</v>
      </c>
      <c r="AH14" s="97">
        <v>0</v>
      </c>
      <c r="AI14" s="97">
        <v>0</v>
      </c>
      <c r="AJ14" s="97">
        <v>0</v>
      </c>
      <c r="AK14" s="97">
        <v>0</v>
      </c>
      <c r="AL14" s="97">
        <v>0</v>
      </c>
      <c r="AM14" s="97">
        <v>0</v>
      </c>
      <c r="AN14" s="97">
        <v>0</v>
      </c>
      <c r="AO14" s="97">
        <v>0</v>
      </c>
      <c r="AP14" s="97">
        <v>0</v>
      </c>
      <c r="AQ14" s="97">
        <v>0</v>
      </c>
      <c r="AR14" s="97">
        <v>0</v>
      </c>
      <c r="AS14" s="97">
        <v>0</v>
      </c>
      <c r="AT14" s="97">
        <v>0</v>
      </c>
      <c r="AU14" s="97">
        <v>0</v>
      </c>
      <c r="AV14" s="97">
        <v>0</v>
      </c>
      <c r="AW14" s="97">
        <v>0</v>
      </c>
      <c r="AX14" s="97">
        <v>0</v>
      </c>
      <c r="AY14" s="97">
        <v>0</v>
      </c>
      <c r="AZ14" s="97">
        <v>0</v>
      </c>
      <c r="BA14" s="97">
        <v>0</v>
      </c>
      <c r="BB14" s="97">
        <v>0</v>
      </c>
      <c r="BC14" s="97">
        <v>0</v>
      </c>
      <c r="BD14" s="97">
        <v>0</v>
      </c>
      <c r="BE14" s="97">
        <v>0</v>
      </c>
      <c r="BF14" s="97">
        <v>0</v>
      </c>
      <c r="BG14" s="97">
        <v>0</v>
      </c>
      <c r="BH14" s="97">
        <v>0</v>
      </c>
      <c r="BI14" s="97">
        <v>0</v>
      </c>
      <c r="BJ14" s="97">
        <v>0</v>
      </c>
      <c r="BK14" s="97">
        <v>0</v>
      </c>
      <c r="BL14" s="97">
        <v>0</v>
      </c>
      <c r="BM14" s="97">
        <v>0</v>
      </c>
      <c r="BN14" s="97">
        <v>0</v>
      </c>
      <c r="BO14" s="97">
        <v>0</v>
      </c>
      <c r="BP14" s="97">
        <v>0</v>
      </c>
      <c r="BQ14" s="97">
        <v>0</v>
      </c>
      <c r="BR14" s="97">
        <v>0</v>
      </c>
      <c r="BS14" s="97">
        <v>0</v>
      </c>
      <c r="BT14" s="97">
        <v>0</v>
      </c>
      <c r="BU14" s="97">
        <v>0</v>
      </c>
      <c r="BV14" s="97">
        <v>0</v>
      </c>
      <c r="BW14" s="97">
        <v>0</v>
      </c>
      <c r="BX14" s="97">
        <v>0</v>
      </c>
      <c r="BY14" s="97">
        <v>0</v>
      </c>
      <c r="BZ14" s="97">
        <v>0</v>
      </c>
      <c r="CA14" s="97">
        <v>0</v>
      </c>
      <c r="CB14" s="97">
        <v>0</v>
      </c>
      <c r="CC14" s="97">
        <v>0</v>
      </c>
      <c r="CD14" s="97">
        <v>0</v>
      </c>
      <c r="CE14" s="97">
        <v>0</v>
      </c>
      <c r="CF14" s="97">
        <v>0</v>
      </c>
      <c r="CG14" s="97">
        <v>0</v>
      </c>
      <c r="CH14" s="97">
        <v>0</v>
      </c>
      <c r="CI14" s="97">
        <v>0</v>
      </c>
      <c r="CJ14" s="97">
        <v>0</v>
      </c>
      <c r="CK14" s="97">
        <v>0</v>
      </c>
      <c r="CL14" s="97">
        <v>0</v>
      </c>
      <c r="CM14" s="97">
        <v>0</v>
      </c>
      <c r="CN14" s="97">
        <v>0</v>
      </c>
      <c r="CO14" s="97">
        <v>0</v>
      </c>
      <c r="CP14" s="97">
        <v>0</v>
      </c>
      <c r="CQ14" s="97">
        <v>0</v>
      </c>
      <c r="CR14" s="97">
        <v>0</v>
      </c>
      <c r="CS14" s="97">
        <v>0</v>
      </c>
      <c r="CT14" s="97">
        <v>0</v>
      </c>
      <c r="CU14" s="97">
        <v>0</v>
      </c>
    </row>
    <row r="15" spans="1:99" x14ac:dyDescent="0.15">
      <c r="C15" s="96" t="s">
        <v>180</v>
      </c>
      <c r="D15" s="97">
        <v>0</v>
      </c>
      <c r="E15" s="97">
        <v>0</v>
      </c>
      <c r="F15" s="97">
        <v>0</v>
      </c>
      <c r="G15" s="97">
        <v>0</v>
      </c>
      <c r="H15" s="97">
        <v>0</v>
      </c>
      <c r="I15" s="97">
        <v>0</v>
      </c>
      <c r="J15" s="97">
        <v>0</v>
      </c>
      <c r="K15" s="97">
        <v>0</v>
      </c>
      <c r="L15" s="97">
        <v>0</v>
      </c>
      <c r="M15" s="97">
        <v>0</v>
      </c>
      <c r="N15" s="97">
        <v>0</v>
      </c>
      <c r="O15" s="97">
        <v>0</v>
      </c>
      <c r="P15" s="97">
        <v>0</v>
      </c>
      <c r="Q15" s="97">
        <v>0</v>
      </c>
      <c r="R15" s="97">
        <v>0</v>
      </c>
      <c r="S15" s="97">
        <v>0</v>
      </c>
      <c r="T15" s="97">
        <v>0</v>
      </c>
      <c r="U15" s="97">
        <v>0</v>
      </c>
      <c r="V15" s="97">
        <v>0</v>
      </c>
      <c r="W15" s="97">
        <v>0</v>
      </c>
      <c r="X15" s="97">
        <v>0</v>
      </c>
      <c r="Y15" s="97">
        <v>0</v>
      </c>
      <c r="Z15" s="97">
        <v>0</v>
      </c>
      <c r="AA15" s="97">
        <v>0</v>
      </c>
      <c r="AB15" s="97">
        <v>0</v>
      </c>
      <c r="AC15" s="97">
        <v>0</v>
      </c>
      <c r="AD15" s="97">
        <v>0</v>
      </c>
      <c r="AE15" s="97">
        <v>0</v>
      </c>
      <c r="AF15" s="97">
        <v>0</v>
      </c>
      <c r="AG15" s="97">
        <v>0</v>
      </c>
      <c r="AH15" s="97">
        <v>0</v>
      </c>
      <c r="AI15" s="97">
        <v>0</v>
      </c>
      <c r="AJ15" s="97">
        <v>0</v>
      </c>
      <c r="AK15" s="97">
        <v>0</v>
      </c>
      <c r="AL15" s="97">
        <v>0</v>
      </c>
      <c r="AM15" s="97">
        <v>0</v>
      </c>
      <c r="AN15" s="97">
        <v>0</v>
      </c>
      <c r="AO15" s="97">
        <v>0</v>
      </c>
      <c r="AP15" s="97">
        <v>0</v>
      </c>
      <c r="AQ15" s="97">
        <v>0</v>
      </c>
      <c r="AR15" s="97">
        <v>0</v>
      </c>
      <c r="AS15" s="97">
        <v>0</v>
      </c>
      <c r="AT15" s="97">
        <v>0</v>
      </c>
      <c r="AU15" s="97">
        <v>0</v>
      </c>
      <c r="AV15" s="97">
        <v>0</v>
      </c>
      <c r="AW15" s="97">
        <v>0</v>
      </c>
      <c r="AX15" s="97">
        <v>0</v>
      </c>
      <c r="AY15" s="97">
        <v>0</v>
      </c>
      <c r="AZ15" s="97">
        <v>0</v>
      </c>
      <c r="BA15" s="97">
        <v>0</v>
      </c>
      <c r="BB15" s="97">
        <v>0</v>
      </c>
      <c r="BC15" s="97">
        <v>0</v>
      </c>
      <c r="BD15" s="97">
        <v>0</v>
      </c>
      <c r="BE15" s="97">
        <v>0</v>
      </c>
      <c r="BF15" s="97">
        <v>0</v>
      </c>
      <c r="BG15" s="97">
        <v>0</v>
      </c>
      <c r="BH15" s="97">
        <v>0</v>
      </c>
      <c r="BI15" s="97">
        <v>0</v>
      </c>
      <c r="BJ15" s="97">
        <v>0</v>
      </c>
      <c r="BK15" s="97">
        <v>0</v>
      </c>
      <c r="BL15" s="97">
        <v>0</v>
      </c>
      <c r="BM15" s="97">
        <v>0</v>
      </c>
      <c r="BN15" s="97">
        <v>0</v>
      </c>
      <c r="BO15" s="97">
        <v>0</v>
      </c>
      <c r="BP15" s="97">
        <v>0</v>
      </c>
      <c r="BQ15" s="97">
        <v>0</v>
      </c>
      <c r="BR15" s="97">
        <v>0</v>
      </c>
      <c r="BS15" s="97">
        <v>0</v>
      </c>
      <c r="BT15" s="97">
        <v>0</v>
      </c>
      <c r="BU15" s="97">
        <v>0</v>
      </c>
      <c r="BV15" s="97">
        <v>0</v>
      </c>
      <c r="BW15" s="97">
        <v>0</v>
      </c>
      <c r="BX15" s="97">
        <v>0</v>
      </c>
      <c r="BY15" s="97">
        <v>0</v>
      </c>
      <c r="BZ15" s="97">
        <v>0</v>
      </c>
      <c r="CA15" s="97">
        <v>0</v>
      </c>
      <c r="CB15" s="97">
        <v>0</v>
      </c>
      <c r="CC15" s="97">
        <v>0</v>
      </c>
      <c r="CD15" s="97">
        <v>0</v>
      </c>
      <c r="CE15" s="97">
        <v>0</v>
      </c>
      <c r="CF15" s="97">
        <v>0</v>
      </c>
      <c r="CG15" s="97">
        <v>0</v>
      </c>
      <c r="CH15" s="97">
        <v>0</v>
      </c>
      <c r="CI15" s="97">
        <v>0</v>
      </c>
      <c r="CJ15" s="97">
        <v>0</v>
      </c>
      <c r="CK15" s="97">
        <v>0</v>
      </c>
      <c r="CL15" s="97">
        <v>0</v>
      </c>
      <c r="CM15" s="97">
        <v>0</v>
      </c>
      <c r="CN15" s="97">
        <v>0</v>
      </c>
      <c r="CO15" s="97">
        <v>0</v>
      </c>
      <c r="CP15" s="97">
        <v>0</v>
      </c>
      <c r="CQ15" s="97">
        <v>0</v>
      </c>
      <c r="CR15" s="97">
        <v>0</v>
      </c>
      <c r="CS15" s="97">
        <v>0</v>
      </c>
      <c r="CT15" s="97">
        <v>0</v>
      </c>
      <c r="CU15" s="97">
        <v>0</v>
      </c>
    </row>
    <row r="16" spans="1:99" x14ac:dyDescent="0.15">
      <c r="C16" s="96" t="s">
        <v>181</v>
      </c>
      <c r="D16" s="97">
        <v>0</v>
      </c>
      <c r="E16" s="97">
        <v>0</v>
      </c>
      <c r="F16" s="97">
        <v>0</v>
      </c>
      <c r="G16" s="97">
        <v>0</v>
      </c>
      <c r="H16" s="97">
        <v>0</v>
      </c>
      <c r="I16" s="97">
        <v>0</v>
      </c>
      <c r="J16" s="97">
        <v>0</v>
      </c>
      <c r="K16" s="97">
        <v>0</v>
      </c>
      <c r="L16" s="97">
        <v>0</v>
      </c>
      <c r="M16" s="97">
        <v>0</v>
      </c>
      <c r="N16" s="97">
        <v>0</v>
      </c>
      <c r="O16" s="97">
        <v>0</v>
      </c>
      <c r="P16" s="97">
        <v>0</v>
      </c>
      <c r="Q16" s="97">
        <v>0</v>
      </c>
      <c r="R16" s="97">
        <v>0</v>
      </c>
      <c r="S16" s="97">
        <v>0</v>
      </c>
      <c r="T16" s="97">
        <v>0</v>
      </c>
      <c r="U16" s="97">
        <v>0</v>
      </c>
      <c r="V16" s="97">
        <v>0</v>
      </c>
      <c r="W16" s="97">
        <v>0</v>
      </c>
      <c r="X16" s="97">
        <v>0</v>
      </c>
      <c r="Y16" s="97">
        <v>0</v>
      </c>
      <c r="Z16" s="97">
        <v>0</v>
      </c>
      <c r="AA16" s="97">
        <v>0</v>
      </c>
      <c r="AB16" s="97">
        <v>0</v>
      </c>
      <c r="AC16" s="97">
        <v>0</v>
      </c>
      <c r="AD16" s="97">
        <v>0</v>
      </c>
      <c r="AE16" s="97">
        <v>0</v>
      </c>
      <c r="AF16" s="97">
        <v>0</v>
      </c>
      <c r="AG16" s="97">
        <v>0</v>
      </c>
      <c r="AH16" s="97">
        <v>0</v>
      </c>
      <c r="AI16" s="97">
        <v>0</v>
      </c>
      <c r="AJ16" s="97">
        <v>0</v>
      </c>
      <c r="AK16" s="97">
        <v>0</v>
      </c>
      <c r="AL16" s="97">
        <v>0</v>
      </c>
      <c r="AM16" s="97">
        <v>0</v>
      </c>
      <c r="AN16" s="97">
        <v>0</v>
      </c>
      <c r="AO16" s="97">
        <v>0</v>
      </c>
      <c r="AP16" s="97">
        <v>0</v>
      </c>
      <c r="AQ16" s="97">
        <v>0</v>
      </c>
      <c r="AR16" s="97">
        <v>0</v>
      </c>
      <c r="AS16" s="97">
        <v>0</v>
      </c>
      <c r="AT16" s="97">
        <v>0</v>
      </c>
      <c r="AU16" s="97">
        <v>0</v>
      </c>
      <c r="AV16" s="97">
        <v>0</v>
      </c>
      <c r="AW16" s="97">
        <v>0</v>
      </c>
      <c r="AX16" s="97">
        <v>0</v>
      </c>
      <c r="AY16" s="97">
        <v>0</v>
      </c>
      <c r="AZ16" s="97">
        <v>0</v>
      </c>
      <c r="BA16" s="97">
        <v>0</v>
      </c>
      <c r="BB16" s="97">
        <v>0</v>
      </c>
      <c r="BC16" s="97">
        <v>0</v>
      </c>
      <c r="BD16" s="97">
        <v>0</v>
      </c>
      <c r="BE16" s="97">
        <v>0</v>
      </c>
      <c r="BF16" s="97">
        <v>0</v>
      </c>
      <c r="BG16" s="97">
        <v>0</v>
      </c>
      <c r="BH16" s="97">
        <v>0</v>
      </c>
      <c r="BI16" s="97">
        <v>0</v>
      </c>
      <c r="BJ16" s="97">
        <v>0</v>
      </c>
      <c r="BK16" s="97">
        <v>0</v>
      </c>
      <c r="BL16" s="97">
        <v>0</v>
      </c>
      <c r="BM16" s="97">
        <v>0</v>
      </c>
      <c r="BN16" s="97">
        <v>0</v>
      </c>
      <c r="BO16" s="97">
        <v>0</v>
      </c>
      <c r="BP16" s="97">
        <v>0</v>
      </c>
      <c r="BQ16" s="97">
        <v>0</v>
      </c>
      <c r="BR16" s="97">
        <v>0</v>
      </c>
      <c r="BS16" s="97">
        <v>0</v>
      </c>
      <c r="BT16" s="97">
        <v>0</v>
      </c>
      <c r="BU16" s="97">
        <v>0</v>
      </c>
      <c r="BV16" s="97">
        <v>0</v>
      </c>
      <c r="BW16" s="97">
        <v>0</v>
      </c>
      <c r="BX16" s="97">
        <v>0</v>
      </c>
      <c r="BY16" s="97">
        <v>0</v>
      </c>
      <c r="BZ16" s="97">
        <v>0</v>
      </c>
      <c r="CA16" s="97">
        <v>0</v>
      </c>
      <c r="CB16" s="97">
        <v>0</v>
      </c>
      <c r="CC16" s="97">
        <v>0</v>
      </c>
      <c r="CD16" s="97">
        <v>0</v>
      </c>
      <c r="CE16" s="97">
        <v>0</v>
      </c>
      <c r="CF16" s="97">
        <v>0</v>
      </c>
      <c r="CG16" s="97">
        <v>0</v>
      </c>
      <c r="CH16" s="97">
        <v>0</v>
      </c>
      <c r="CI16" s="97">
        <v>0</v>
      </c>
      <c r="CJ16" s="97">
        <v>0</v>
      </c>
      <c r="CK16" s="97">
        <v>0</v>
      </c>
      <c r="CL16" s="97">
        <v>0</v>
      </c>
      <c r="CM16" s="97">
        <v>0</v>
      </c>
      <c r="CN16" s="97">
        <v>0</v>
      </c>
      <c r="CO16" s="97">
        <v>0</v>
      </c>
      <c r="CP16" s="97">
        <v>0</v>
      </c>
      <c r="CQ16" s="97">
        <v>0</v>
      </c>
      <c r="CR16" s="97">
        <v>0</v>
      </c>
      <c r="CS16" s="97">
        <v>0</v>
      </c>
      <c r="CT16" s="97">
        <v>0</v>
      </c>
      <c r="CU16" s="97">
        <v>0</v>
      </c>
    </row>
    <row r="17" spans="2:99" x14ac:dyDescent="0.15">
      <c r="C17" s="96" t="s">
        <v>182</v>
      </c>
      <c r="D17" s="97">
        <v>0</v>
      </c>
      <c r="E17" s="97">
        <v>0</v>
      </c>
      <c r="F17" s="97">
        <v>0</v>
      </c>
      <c r="G17" s="97">
        <v>0</v>
      </c>
      <c r="H17" s="97">
        <v>0</v>
      </c>
      <c r="I17" s="97">
        <v>0</v>
      </c>
      <c r="J17" s="97">
        <v>0</v>
      </c>
      <c r="K17" s="97">
        <v>0</v>
      </c>
      <c r="L17" s="97">
        <v>0</v>
      </c>
      <c r="M17" s="97">
        <v>0</v>
      </c>
      <c r="N17" s="97">
        <v>0</v>
      </c>
      <c r="O17" s="97">
        <v>0</v>
      </c>
      <c r="P17" s="97">
        <v>0</v>
      </c>
      <c r="Q17" s="97">
        <v>0</v>
      </c>
      <c r="R17" s="97">
        <v>0</v>
      </c>
      <c r="S17" s="97">
        <v>0</v>
      </c>
      <c r="T17" s="97">
        <v>0</v>
      </c>
      <c r="U17" s="97">
        <v>0</v>
      </c>
      <c r="V17" s="97">
        <v>0</v>
      </c>
      <c r="W17" s="97">
        <v>0</v>
      </c>
      <c r="X17" s="97">
        <v>0</v>
      </c>
      <c r="Y17" s="97">
        <v>0</v>
      </c>
      <c r="Z17" s="97">
        <v>0</v>
      </c>
      <c r="AA17" s="97">
        <v>0</v>
      </c>
      <c r="AB17" s="97">
        <v>0</v>
      </c>
      <c r="AC17" s="97">
        <v>0</v>
      </c>
      <c r="AD17" s="97">
        <v>0</v>
      </c>
      <c r="AE17" s="97">
        <v>0</v>
      </c>
      <c r="AF17" s="97">
        <v>0</v>
      </c>
      <c r="AG17" s="97">
        <v>0</v>
      </c>
      <c r="AH17" s="97">
        <v>0</v>
      </c>
      <c r="AI17" s="97">
        <v>0</v>
      </c>
      <c r="AJ17" s="97">
        <v>0</v>
      </c>
      <c r="AK17" s="97">
        <v>0</v>
      </c>
      <c r="AL17" s="97">
        <v>0</v>
      </c>
      <c r="AM17" s="97">
        <v>0</v>
      </c>
      <c r="AN17" s="97">
        <v>0</v>
      </c>
      <c r="AO17" s="97">
        <v>0</v>
      </c>
      <c r="AP17" s="97">
        <v>0</v>
      </c>
      <c r="AQ17" s="97">
        <v>0</v>
      </c>
      <c r="AR17" s="97">
        <v>0</v>
      </c>
      <c r="AS17" s="97">
        <v>0</v>
      </c>
      <c r="AT17" s="97">
        <v>0</v>
      </c>
      <c r="AU17" s="97">
        <v>0</v>
      </c>
      <c r="AV17" s="97">
        <v>0</v>
      </c>
      <c r="AW17" s="97">
        <v>0</v>
      </c>
      <c r="AX17" s="97">
        <v>0</v>
      </c>
      <c r="AY17" s="97">
        <v>0</v>
      </c>
      <c r="AZ17" s="97">
        <v>0</v>
      </c>
      <c r="BA17" s="97">
        <v>0</v>
      </c>
      <c r="BB17" s="97">
        <v>0</v>
      </c>
      <c r="BC17" s="97">
        <v>0</v>
      </c>
      <c r="BD17" s="97">
        <v>0</v>
      </c>
      <c r="BE17" s="97">
        <v>0</v>
      </c>
      <c r="BF17" s="97">
        <v>0</v>
      </c>
      <c r="BG17" s="97">
        <v>0</v>
      </c>
      <c r="BH17" s="97">
        <v>0</v>
      </c>
      <c r="BI17" s="97">
        <v>0</v>
      </c>
      <c r="BJ17" s="97">
        <v>0</v>
      </c>
      <c r="BK17" s="97">
        <v>0</v>
      </c>
      <c r="BL17" s="97">
        <v>0</v>
      </c>
      <c r="BM17" s="97">
        <v>0</v>
      </c>
      <c r="BN17" s="97">
        <v>0</v>
      </c>
      <c r="BO17" s="97">
        <v>0</v>
      </c>
      <c r="BP17" s="97">
        <v>0</v>
      </c>
      <c r="BQ17" s="97">
        <v>0</v>
      </c>
      <c r="BR17" s="97">
        <v>0</v>
      </c>
      <c r="BS17" s="97">
        <v>0</v>
      </c>
      <c r="BT17" s="97">
        <v>0</v>
      </c>
      <c r="BU17" s="97">
        <v>0</v>
      </c>
      <c r="BV17" s="97">
        <v>0</v>
      </c>
      <c r="BW17" s="97">
        <v>0</v>
      </c>
      <c r="BX17" s="97">
        <v>0</v>
      </c>
      <c r="BY17" s="97">
        <v>0</v>
      </c>
      <c r="BZ17" s="97">
        <v>0</v>
      </c>
      <c r="CA17" s="97">
        <v>0</v>
      </c>
      <c r="CB17" s="97">
        <v>0</v>
      </c>
      <c r="CC17" s="97">
        <v>0</v>
      </c>
      <c r="CD17" s="97">
        <v>0</v>
      </c>
      <c r="CE17" s="97">
        <v>0</v>
      </c>
      <c r="CF17" s="97">
        <v>0</v>
      </c>
      <c r="CG17" s="97">
        <v>0</v>
      </c>
      <c r="CH17" s="97">
        <v>0</v>
      </c>
      <c r="CI17" s="97">
        <v>0</v>
      </c>
      <c r="CJ17" s="97">
        <v>0</v>
      </c>
      <c r="CK17" s="97">
        <v>0</v>
      </c>
      <c r="CL17" s="97">
        <v>0</v>
      </c>
      <c r="CM17" s="97">
        <v>0</v>
      </c>
      <c r="CN17" s="97">
        <v>0</v>
      </c>
      <c r="CO17" s="97">
        <v>0</v>
      </c>
      <c r="CP17" s="97">
        <v>0</v>
      </c>
      <c r="CQ17" s="97">
        <v>0</v>
      </c>
      <c r="CR17" s="97">
        <v>0</v>
      </c>
      <c r="CS17" s="97">
        <v>0</v>
      </c>
      <c r="CT17" s="97">
        <v>0</v>
      </c>
      <c r="CU17" s="97">
        <v>0</v>
      </c>
    </row>
    <row r="18" spans="2:99" x14ac:dyDescent="0.15">
      <c r="C18" s="96" t="s">
        <v>183</v>
      </c>
      <c r="D18" s="97">
        <v>0</v>
      </c>
      <c r="E18" s="97">
        <v>0</v>
      </c>
      <c r="F18" s="97">
        <v>0</v>
      </c>
      <c r="G18" s="97">
        <v>0</v>
      </c>
      <c r="H18" s="97">
        <v>0</v>
      </c>
      <c r="I18" s="97">
        <v>0</v>
      </c>
      <c r="J18" s="97">
        <v>0</v>
      </c>
      <c r="K18" s="97">
        <v>0</v>
      </c>
      <c r="L18" s="97">
        <v>0</v>
      </c>
      <c r="M18" s="97">
        <v>0</v>
      </c>
      <c r="N18" s="97">
        <v>0</v>
      </c>
      <c r="O18" s="97">
        <v>0</v>
      </c>
      <c r="P18" s="97">
        <v>0</v>
      </c>
      <c r="Q18" s="97">
        <v>0</v>
      </c>
      <c r="R18" s="97">
        <v>0</v>
      </c>
      <c r="S18" s="97">
        <v>0</v>
      </c>
      <c r="T18" s="97">
        <v>0</v>
      </c>
      <c r="U18" s="97">
        <v>0</v>
      </c>
      <c r="V18" s="97">
        <v>0</v>
      </c>
      <c r="W18" s="97">
        <v>0</v>
      </c>
      <c r="X18" s="97">
        <v>0</v>
      </c>
      <c r="Y18" s="97">
        <v>0</v>
      </c>
      <c r="Z18" s="97">
        <v>0</v>
      </c>
      <c r="AA18" s="97">
        <v>0</v>
      </c>
      <c r="AB18" s="97">
        <v>0</v>
      </c>
      <c r="AC18" s="97">
        <v>0</v>
      </c>
      <c r="AD18" s="97">
        <v>0</v>
      </c>
      <c r="AE18" s="97">
        <v>0</v>
      </c>
      <c r="AF18" s="97">
        <v>0</v>
      </c>
      <c r="AG18" s="97">
        <v>0</v>
      </c>
      <c r="AH18" s="97">
        <v>0</v>
      </c>
      <c r="AI18" s="97">
        <v>0</v>
      </c>
      <c r="AJ18" s="97">
        <v>0</v>
      </c>
      <c r="AK18" s="97">
        <v>0</v>
      </c>
      <c r="AL18" s="97">
        <v>0</v>
      </c>
      <c r="AM18" s="97">
        <v>0</v>
      </c>
      <c r="AN18" s="97">
        <v>0</v>
      </c>
      <c r="AO18" s="97">
        <v>0</v>
      </c>
      <c r="AP18" s="97">
        <v>0</v>
      </c>
      <c r="AQ18" s="97">
        <v>0</v>
      </c>
      <c r="AR18" s="97">
        <v>0</v>
      </c>
      <c r="AS18" s="97">
        <v>0</v>
      </c>
      <c r="AT18" s="97">
        <v>0</v>
      </c>
      <c r="AU18" s="97">
        <v>0</v>
      </c>
      <c r="AV18" s="97">
        <v>0</v>
      </c>
      <c r="AW18" s="97">
        <v>0</v>
      </c>
      <c r="AX18" s="97">
        <v>0</v>
      </c>
      <c r="AY18" s="97">
        <v>0</v>
      </c>
      <c r="AZ18" s="97">
        <v>0</v>
      </c>
      <c r="BA18" s="97">
        <v>0</v>
      </c>
      <c r="BB18" s="97">
        <v>0</v>
      </c>
      <c r="BC18" s="97">
        <v>0</v>
      </c>
      <c r="BD18" s="97">
        <v>0</v>
      </c>
      <c r="BE18" s="97">
        <v>0</v>
      </c>
      <c r="BF18" s="97">
        <v>0</v>
      </c>
      <c r="BG18" s="97">
        <v>0</v>
      </c>
      <c r="BH18" s="97">
        <v>0</v>
      </c>
      <c r="BI18" s="97">
        <v>0</v>
      </c>
      <c r="BJ18" s="97">
        <v>0</v>
      </c>
      <c r="BK18" s="97">
        <v>0</v>
      </c>
      <c r="BL18" s="97">
        <v>0</v>
      </c>
      <c r="BM18" s="97">
        <v>0</v>
      </c>
      <c r="BN18" s="97">
        <v>0</v>
      </c>
      <c r="BO18" s="97">
        <v>0</v>
      </c>
      <c r="BP18" s="97">
        <v>0</v>
      </c>
      <c r="BQ18" s="97">
        <v>0</v>
      </c>
      <c r="BR18" s="97">
        <v>0</v>
      </c>
      <c r="BS18" s="97">
        <v>0</v>
      </c>
      <c r="BT18" s="97">
        <v>0</v>
      </c>
      <c r="BU18" s="97">
        <v>0</v>
      </c>
      <c r="BV18" s="97">
        <v>0</v>
      </c>
      <c r="BW18" s="97">
        <v>0</v>
      </c>
      <c r="BX18" s="97">
        <v>0</v>
      </c>
      <c r="BY18" s="97">
        <v>0</v>
      </c>
      <c r="BZ18" s="97">
        <v>0</v>
      </c>
      <c r="CA18" s="97">
        <v>0</v>
      </c>
      <c r="CB18" s="97">
        <v>0</v>
      </c>
      <c r="CC18" s="97">
        <v>0</v>
      </c>
      <c r="CD18" s="97">
        <v>0</v>
      </c>
      <c r="CE18" s="97">
        <v>0</v>
      </c>
      <c r="CF18" s="97">
        <v>0</v>
      </c>
      <c r="CG18" s="97">
        <v>0</v>
      </c>
      <c r="CH18" s="97">
        <v>0</v>
      </c>
      <c r="CI18" s="97">
        <v>0</v>
      </c>
      <c r="CJ18" s="97">
        <v>0</v>
      </c>
      <c r="CK18" s="97">
        <v>0</v>
      </c>
      <c r="CL18" s="97">
        <v>0</v>
      </c>
      <c r="CM18" s="97">
        <v>0</v>
      </c>
      <c r="CN18" s="97">
        <v>0</v>
      </c>
      <c r="CO18" s="97">
        <v>0</v>
      </c>
      <c r="CP18" s="97">
        <v>0</v>
      </c>
      <c r="CQ18" s="97">
        <v>0</v>
      </c>
      <c r="CR18" s="97">
        <v>0</v>
      </c>
      <c r="CS18" s="97">
        <v>0</v>
      </c>
      <c r="CT18" s="97">
        <v>0</v>
      </c>
      <c r="CU18" s="97">
        <v>0</v>
      </c>
    </row>
    <row r="19" spans="2:99" x14ac:dyDescent="0.15">
      <c r="C19" s="96" t="s">
        <v>184</v>
      </c>
      <c r="D19" s="97">
        <v>0</v>
      </c>
      <c r="E19" s="97">
        <v>0</v>
      </c>
      <c r="F19" s="97">
        <v>0</v>
      </c>
      <c r="G19" s="97">
        <v>0</v>
      </c>
      <c r="H19" s="97">
        <v>0</v>
      </c>
      <c r="I19" s="97">
        <v>0</v>
      </c>
      <c r="J19" s="97">
        <v>0</v>
      </c>
      <c r="K19" s="97">
        <v>0</v>
      </c>
      <c r="L19" s="97">
        <v>0</v>
      </c>
      <c r="M19" s="97">
        <v>0</v>
      </c>
      <c r="N19" s="97">
        <v>0</v>
      </c>
      <c r="O19" s="97">
        <v>0</v>
      </c>
      <c r="P19" s="97">
        <v>0</v>
      </c>
      <c r="Q19" s="97">
        <v>0</v>
      </c>
      <c r="R19" s="97">
        <v>0</v>
      </c>
      <c r="S19" s="97">
        <v>0</v>
      </c>
      <c r="T19" s="97">
        <v>0</v>
      </c>
      <c r="U19" s="97">
        <v>0</v>
      </c>
      <c r="V19" s="97">
        <v>0</v>
      </c>
      <c r="W19" s="97">
        <v>0</v>
      </c>
      <c r="X19" s="97">
        <v>0</v>
      </c>
      <c r="Y19" s="97">
        <v>0</v>
      </c>
      <c r="Z19" s="97">
        <v>0</v>
      </c>
      <c r="AA19" s="97">
        <v>0</v>
      </c>
      <c r="AB19" s="97">
        <v>0</v>
      </c>
      <c r="AC19" s="97">
        <v>0</v>
      </c>
      <c r="AD19" s="97">
        <v>0</v>
      </c>
      <c r="AE19" s="97">
        <v>0</v>
      </c>
      <c r="AF19" s="97">
        <v>0</v>
      </c>
      <c r="AG19" s="97">
        <v>0</v>
      </c>
      <c r="AH19" s="97">
        <v>0</v>
      </c>
      <c r="AI19" s="97">
        <v>0</v>
      </c>
      <c r="AJ19" s="97">
        <v>0</v>
      </c>
      <c r="AK19" s="97">
        <v>0</v>
      </c>
      <c r="AL19" s="97">
        <v>0</v>
      </c>
      <c r="AM19" s="97">
        <v>0</v>
      </c>
      <c r="AN19" s="97">
        <v>0</v>
      </c>
      <c r="AO19" s="97">
        <v>0</v>
      </c>
      <c r="AP19" s="97">
        <v>0</v>
      </c>
      <c r="AQ19" s="97">
        <v>0</v>
      </c>
      <c r="AR19" s="97">
        <v>0</v>
      </c>
      <c r="AS19" s="97">
        <v>0</v>
      </c>
      <c r="AT19" s="97">
        <v>0</v>
      </c>
      <c r="AU19" s="97">
        <v>0</v>
      </c>
      <c r="AV19" s="97">
        <v>0</v>
      </c>
      <c r="AW19" s="97">
        <v>0</v>
      </c>
      <c r="AX19" s="97">
        <v>0</v>
      </c>
      <c r="AY19" s="97">
        <v>0</v>
      </c>
      <c r="AZ19" s="97">
        <v>0</v>
      </c>
      <c r="BA19" s="97">
        <v>0</v>
      </c>
      <c r="BB19" s="97">
        <v>0</v>
      </c>
      <c r="BC19" s="97">
        <v>0</v>
      </c>
      <c r="BD19" s="97">
        <v>0</v>
      </c>
      <c r="BE19" s="97">
        <v>0</v>
      </c>
      <c r="BF19" s="97">
        <v>0</v>
      </c>
      <c r="BG19" s="97">
        <v>0</v>
      </c>
      <c r="BH19" s="97">
        <v>0</v>
      </c>
      <c r="BI19" s="97">
        <v>0</v>
      </c>
      <c r="BJ19" s="97">
        <v>0</v>
      </c>
      <c r="BK19" s="97">
        <v>0</v>
      </c>
      <c r="BL19" s="97">
        <v>0</v>
      </c>
      <c r="BM19" s="97">
        <v>0</v>
      </c>
      <c r="BN19" s="97">
        <v>0</v>
      </c>
      <c r="BO19" s="97">
        <v>0</v>
      </c>
      <c r="BP19" s="97">
        <v>0</v>
      </c>
      <c r="BQ19" s="97">
        <v>0</v>
      </c>
      <c r="BR19" s="97">
        <v>0</v>
      </c>
      <c r="BS19" s="97">
        <v>0</v>
      </c>
      <c r="BT19" s="97">
        <v>0</v>
      </c>
      <c r="BU19" s="97">
        <v>0</v>
      </c>
      <c r="BV19" s="97">
        <v>0</v>
      </c>
      <c r="BW19" s="97">
        <v>0</v>
      </c>
      <c r="BX19" s="97">
        <v>0</v>
      </c>
      <c r="BY19" s="97">
        <v>0</v>
      </c>
      <c r="BZ19" s="97">
        <v>0</v>
      </c>
      <c r="CA19" s="97">
        <v>0</v>
      </c>
      <c r="CB19" s="97">
        <v>0</v>
      </c>
      <c r="CC19" s="97">
        <v>0</v>
      </c>
      <c r="CD19" s="97">
        <v>0</v>
      </c>
      <c r="CE19" s="97">
        <v>0</v>
      </c>
      <c r="CF19" s="97">
        <v>0</v>
      </c>
      <c r="CG19" s="97">
        <v>0</v>
      </c>
      <c r="CH19" s="97">
        <v>0</v>
      </c>
      <c r="CI19" s="97">
        <v>0</v>
      </c>
      <c r="CJ19" s="97">
        <v>0</v>
      </c>
      <c r="CK19" s="97">
        <v>0</v>
      </c>
      <c r="CL19" s="97">
        <v>0</v>
      </c>
      <c r="CM19" s="97">
        <v>0</v>
      </c>
      <c r="CN19" s="97">
        <v>0</v>
      </c>
      <c r="CO19" s="97">
        <v>0</v>
      </c>
      <c r="CP19" s="97">
        <v>0</v>
      </c>
      <c r="CQ19" s="97">
        <v>0</v>
      </c>
      <c r="CR19" s="97">
        <v>0</v>
      </c>
      <c r="CS19" s="97">
        <v>0</v>
      </c>
      <c r="CT19" s="97">
        <v>0</v>
      </c>
      <c r="CU19" s="97">
        <v>0</v>
      </c>
    </row>
    <row r="20" spans="2:99" x14ac:dyDescent="0.15">
      <c r="B20" s="96" t="s">
        <v>127</v>
      </c>
      <c r="C20" s="96" t="s">
        <v>185</v>
      </c>
      <c r="D20" s="97">
        <v>0</v>
      </c>
      <c r="E20" s="97">
        <v>0</v>
      </c>
      <c r="F20" s="97">
        <v>0</v>
      </c>
      <c r="G20" s="97">
        <v>0</v>
      </c>
      <c r="H20" s="97">
        <v>0</v>
      </c>
      <c r="I20" s="97">
        <v>0</v>
      </c>
      <c r="J20" s="97">
        <v>0</v>
      </c>
      <c r="K20" s="97">
        <v>0</v>
      </c>
      <c r="L20" s="97">
        <v>0</v>
      </c>
      <c r="M20" s="97">
        <v>0</v>
      </c>
      <c r="N20" s="97">
        <v>0</v>
      </c>
      <c r="O20" s="97">
        <v>0</v>
      </c>
      <c r="P20" s="97">
        <v>0</v>
      </c>
      <c r="Q20" s="97">
        <v>0</v>
      </c>
      <c r="R20" s="97">
        <v>0</v>
      </c>
      <c r="S20" s="97">
        <v>0</v>
      </c>
      <c r="T20" s="97">
        <v>0</v>
      </c>
      <c r="U20" s="97">
        <v>0</v>
      </c>
      <c r="V20" s="97">
        <v>0</v>
      </c>
      <c r="W20" s="97">
        <v>0</v>
      </c>
      <c r="X20" s="97">
        <v>0</v>
      </c>
      <c r="Y20" s="97">
        <v>0</v>
      </c>
      <c r="Z20" s="97">
        <v>0</v>
      </c>
      <c r="AA20" s="97">
        <v>0</v>
      </c>
      <c r="AB20" s="97">
        <v>0</v>
      </c>
      <c r="AC20" s="97">
        <v>0</v>
      </c>
      <c r="AD20" s="97">
        <v>0</v>
      </c>
      <c r="AE20" s="97">
        <v>0</v>
      </c>
      <c r="AF20" s="97">
        <v>0</v>
      </c>
      <c r="AG20" s="97">
        <v>0</v>
      </c>
      <c r="AH20" s="97">
        <v>0</v>
      </c>
      <c r="AI20" s="97">
        <v>0</v>
      </c>
      <c r="AJ20" s="97">
        <v>0</v>
      </c>
      <c r="AK20" s="97">
        <v>0</v>
      </c>
      <c r="AL20" s="97">
        <v>0</v>
      </c>
      <c r="AM20" s="97">
        <v>0</v>
      </c>
      <c r="AN20" s="97">
        <v>0</v>
      </c>
      <c r="AO20" s="97">
        <v>0</v>
      </c>
      <c r="AP20" s="97">
        <v>0</v>
      </c>
      <c r="AQ20" s="97">
        <v>0</v>
      </c>
      <c r="AR20" s="97">
        <v>0</v>
      </c>
      <c r="AS20" s="97">
        <v>0</v>
      </c>
      <c r="AT20" s="97">
        <v>0</v>
      </c>
      <c r="AU20" s="97">
        <v>0</v>
      </c>
      <c r="AV20" s="97">
        <v>0</v>
      </c>
      <c r="AW20" s="97">
        <v>0</v>
      </c>
      <c r="AX20" s="97">
        <v>0</v>
      </c>
      <c r="AY20" s="97">
        <v>0</v>
      </c>
      <c r="AZ20" s="97">
        <v>0</v>
      </c>
      <c r="BA20" s="97">
        <v>0</v>
      </c>
      <c r="BB20" s="97">
        <v>0</v>
      </c>
      <c r="BC20" s="97">
        <v>0</v>
      </c>
      <c r="BD20" s="97">
        <v>0</v>
      </c>
      <c r="BE20" s="97">
        <v>0</v>
      </c>
      <c r="BF20" s="97">
        <v>0</v>
      </c>
      <c r="BG20" s="97">
        <v>0</v>
      </c>
      <c r="BH20" s="97">
        <v>0</v>
      </c>
      <c r="BI20" s="97">
        <v>0</v>
      </c>
      <c r="BJ20" s="97">
        <v>0</v>
      </c>
      <c r="BK20" s="97">
        <v>0</v>
      </c>
      <c r="BL20" s="97">
        <v>0</v>
      </c>
      <c r="BM20" s="97">
        <v>0</v>
      </c>
      <c r="BN20" s="97">
        <v>0</v>
      </c>
      <c r="BO20" s="97">
        <v>0</v>
      </c>
      <c r="BP20" s="97">
        <v>0</v>
      </c>
      <c r="BQ20" s="97">
        <v>0</v>
      </c>
      <c r="BR20" s="97">
        <v>0</v>
      </c>
      <c r="BS20" s="97">
        <v>0</v>
      </c>
      <c r="BT20" s="97">
        <v>0</v>
      </c>
      <c r="BU20" s="97">
        <v>0</v>
      </c>
      <c r="BV20" s="97">
        <v>0</v>
      </c>
      <c r="BW20" s="97">
        <v>0</v>
      </c>
      <c r="BX20" s="97">
        <v>0</v>
      </c>
      <c r="BY20" s="97">
        <v>0</v>
      </c>
      <c r="BZ20" s="97">
        <v>0</v>
      </c>
      <c r="CA20" s="97">
        <v>0</v>
      </c>
      <c r="CB20" s="97">
        <v>0</v>
      </c>
      <c r="CC20" s="97">
        <v>0</v>
      </c>
      <c r="CD20" s="97">
        <v>0</v>
      </c>
      <c r="CE20" s="97">
        <v>0</v>
      </c>
      <c r="CF20" s="97">
        <v>0</v>
      </c>
      <c r="CG20" s="97">
        <v>0</v>
      </c>
      <c r="CH20" s="97">
        <v>0</v>
      </c>
      <c r="CI20" s="97">
        <v>0</v>
      </c>
      <c r="CJ20" s="97">
        <v>0</v>
      </c>
      <c r="CK20" s="97">
        <v>0</v>
      </c>
      <c r="CL20" s="97">
        <v>0</v>
      </c>
      <c r="CM20" s="97">
        <v>0</v>
      </c>
      <c r="CN20" s="97">
        <v>0</v>
      </c>
      <c r="CO20" s="97">
        <v>0</v>
      </c>
      <c r="CP20" s="97">
        <v>0</v>
      </c>
      <c r="CQ20" s="97">
        <v>0</v>
      </c>
      <c r="CR20" s="97">
        <v>0</v>
      </c>
      <c r="CS20" s="97">
        <v>0</v>
      </c>
      <c r="CT20" s="97">
        <v>0</v>
      </c>
      <c r="CU20" s="97">
        <v>0</v>
      </c>
    </row>
    <row r="21" spans="2:99" x14ac:dyDescent="0.15">
      <c r="C21" s="96" t="s">
        <v>186</v>
      </c>
      <c r="D21" s="97">
        <v>0</v>
      </c>
      <c r="E21" s="97">
        <v>0</v>
      </c>
      <c r="F21" s="97">
        <v>0</v>
      </c>
      <c r="G21" s="97">
        <v>0</v>
      </c>
      <c r="H21" s="97">
        <v>0</v>
      </c>
      <c r="I21" s="97">
        <v>0</v>
      </c>
      <c r="J21" s="97">
        <v>0</v>
      </c>
      <c r="K21" s="97">
        <v>0</v>
      </c>
      <c r="L21" s="97">
        <v>0</v>
      </c>
      <c r="M21" s="97">
        <v>0</v>
      </c>
      <c r="N21" s="97">
        <v>0</v>
      </c>
      <c r="O21" s="97">
        <v>0</v>
      </c>
      <c r="P21" s="97">
        <v>0</v>
      </c>
      <c r="Q21" s="97">
        <v>0</v>
      </c>
      <c r="R21" s="97">
        <v>0</v>
      </c>
      <c r="S21" s="97">
        <v>0</v>
      </c>
      <c r="T21" s="97">
        <v>0</v>
      </c>
      <c r="U21" s="97">
        <v>0</v>
      </c>
      <c r="V21" s="97">
        <v>0</v>
      </c>
      <c r="W21" s="97">
        <v>0</v>
      </c>
      <c r="X21" s="97">
        <v>0</v>
      </c>
      <c r="Y21" s="97">
        <v>0</v>
      </c>
      <c r="Z21" s="97">
        <v>0</v>
      </c>
      <c r="AA21" s="97">
        <v>0</v>
      </c>
      <c r="AB21" s="97">
        <v>0</v>
      </c>
      <c r="AC21" s="97">
        <v>0</v>
      </c>
      <c r="AD21" s="97">
        <v>0</v>
      </c>
      <c r="AE21" s="97">
        <v>0</v>
      </c>
      <c r="AF21" s="97">
        <v>0</v>
      </c>
      <c r="AG21" s="97">
        <v>0</v>
      </c>
      <c r="AH21" s="97">
        <v>0</v>
      </c>
      <c r="AI21" s="97">
        <v>0</v>
      </c>
      <c r="AJ21" s="97">
        <v>0</v>
      </c>
      <c r="AK21" s="97">
        <v>0</v>
      </c>
      <c r="AL21" s="97">
        <v>0</v>
      </c>
      <c r="AM21" s="97">
        <v>0</v>
      </c>
      <c r="AN21" s="97">
        <v>0</v>
      </c>
      <c r="AO21" s="97">
        <v>0</v>
      </c>
      <c r="AP21" s="97">
        <v>0</v>
      </c>
      <c r="AQ21" s="97">
        <v>0</v>
      </c>
      <c r="AR21" s="97">
        <v>0</v>
      </c>
      <c r="AS21" s="97">
        <v>0</v>
      </c>
      <c r="AT21" s="97">
        <v>0</v>
      </c>
      <c r="AU21" s="97">
        <v>0</v>
      </c>
      <c r="AV21" s="97">
        <v>0</v>
      </c>
      <c r="AW21" s="97">
        <v>0</v>
      </c>
      <c r="AX21" s="97">
        <v>0</v>
      </c>
      <c r="AY21" s="97">
        <v>0</v>
      </c>
      <c r="AZ21" s="97">
        <v>0</v>
      </c>
      <c r="BA21" s="97">
        <v>0</v>
      </c>
      <c r="BB21" s="97">
        <v>0</v>
      </c>
      <c r="BC21" s="97">
        <v>0</v>
      </c>
      <c r="BD21" s="97">
        <v>0</v>
      </c>
      <c r="BE21" s="97">
        <v>0</v>
      </c>
      <c r="BF21" s="97">
        <v>0</v>
      </c>
      <c r="BG21" s="97">
        <v>0</v>
      </c>
      <c r="BH21" s="97">
        <v>0</v>
      </c>
      <c r="BI21" s="97">
        <v>0</v>
      </c>
      <c r="BJ21" s="97">
        <v>0</v>
      </c>
      <c r="BK21" s="97">
        <v>0</v>
      </c>
      <c r="BL21" s="97">
        <v>0</v>
      </c>
      <c r="BM21" s="97">
        <v>0</v>
      </c>
      <c r="BN21" s="97">
        <v>0</v>
      </c>
      <c r="BO21" s="97">
        <v>0</v>
      </c>
      <c r="BP21" s="97">
        <v>0</v>
      </c>
      <c r="BQ21" s="97">
        <v>0</v>
      </c>
      <c r="BR21" s="97">
        <v>0</v>
      </c>
      <c r="BS21" s="97">
        <v>0</v>
      </c>
      <c r="BT21" s="97">
        <v>0</v>
      </c>
      <c r="BU21" s="97">
        <v>0</v>
      </c>
      <c r="BV21" s="97">
        <v>0</v>
      </c>
      <c r="BW21" s="97">
        <v>0</v>
      </c>
      <c r="BX21" s="97">
        <v>0</v>
      </c>
      <c r="BY21" s="97">
        <v>0</v>
      </c>
      <c r="BZ21" s="97">
        <v>0</v>
      </c>
      <c r="CA21" s="97">
        <v>0</v>
      </c>
      <c r="CB21" s="97">
        <v>0</v>
      </c>
      <c r="CC21" s="97">
        <v>0</v>
      </c>
      <c r="CD21" s="97">
        <v>0</v>
      </c>
      <c r="CE21" s="97">
        <v>0</v>
      </c>
      <c r="CF21" s="97">
        <v>0</v>
      </c>
      <c r="CG21" s="97">
        <v>0</v>
      </c>
      <c r="CH21" s="97">
        <v>0</v>
      </c>
      <c r="CI21" s="97">
        <v>0</v>
      </c>
      <c r="CJ21" s="97">
        <v>0</v>
      </c>
      <c r="CK21" s="97">
        <v>0</v>
      </c>
      <c r="CL21" s="97">
        <v>0</v>
      </c>
      <c r="CM21" s="97">
        <v>0</v>
      </c>
      <c r="CN21" s="97">
        <v>0</v>
      </c>
      <c r="CO21" s="97">
        <v>0</v>
      </c>
      <c r="CP21" s="97">
        <v>0</v>
      </c>
      <c r="CQ21" s="97">
        <v>0</v>
      </c>
      <c r="CR21" s="97">
        <v>0</v>
      </c>
      <c r="CS21" s="97">
        <v>0</v>
      </c>
      <c r="CT21" s="97">
        <v>0</v>
      </c>
      <c r="CU21" s="97">
        <v>0</v>
      </c>
    </row>
    <row r="22" spans="2:99" x14ac:dyDescent="0.15">
      <c r="C22" s="96" t="s">
        <v>187</v>
      </c>
      <c r="D22" s="97">
        <v>0</v>
      </c>
      <c r="E22" s="97">
        <v>0</v>
      </c>
      <c r="F22" s="97">
        <v>0</v>
      </c>
      <c r="G22" s="97">
        <v>0</v>
      </c>
      <c r="H22" s="97">
        <v>0</v>
      </c>
      <c r="I22" s="97">
        <v>0</v>
      </c>
      <c r="J22" s="97">
        <v>0</v>
      </c>
      <c r="K22" s="97">
        <v>0</v>
      </c>
      <c r="L22" s="97">
        <v>0</v>
      </c>
      <c r="M22" s="97">
        <v>0</v>
      </c>
      <c r="N22" s="97">
        <v>0</v>
      </c>
      <c r="O22" s="97">
        <v>0</v>
      </c>
      <c r="P22" s="97">
        <v>0</v>
      </c>
      <c r="Q22" s="97">
        <v>0</v>
      </c>
      <c r="R22" s="97">
        <v>0</v>
      </c>
      <c r="S22" s="97">
        <v>0</v>
      </c>
      <c r="T22" s="97">
        <v>0</v>
      </c>
      <c r="U22" s="97">
        <v>0</v>
      </c>
      <c r="V22" s="97">
        <v>0</v>
      </c>
      <c r="W22" s="97">
        <v>0</v>
      </c>
      <c r="X22" s="97">
        <v>0</v>
      </c>
      <c r="Y22" s="97">
        <v>0</v>
      </c>
      <c r="Z22" s="97">
        <v>0</v>
      </c>
      <c r="AA22" s="97">
        <v>0</v>
      </c>
      <c r="AB22" s="97">
        <v>0</v>
      </c>
      <c r="AC22" s="97">
        <v>0</v>
      </c>
      <c r="AD22" s="97">
        <v>0</v>
      </c>
      <c r="AE22" s="97">
        <v>0</v>
      </c>
      <c r="AF22" s="97">
        <v>0</v>
      </c>
      <c r="AG22" s="97">
        <v>0</v>
      </c>
      <c r="AH22" s="97">
        <v>0</v>
      </c>
      <c r="AI22" s="97">
        <v>0</v>
      </c>
      <c r="AJ22" s="97">
        <v>0</v>
      </c>
      <c r="AK22" s="97">
        <v>0</v>
      </c>
      <c r="AL22" s="97">
        <v>0</v>
      </c>
      <c r="AM22" s="97">
        <v>0</v>
      </c>
      <c r="AN22" s="97">
        <v>0</v>
      </c>
      <c r="AO22" s="97">
        <v>0</v>
      </c>
      <c r="AP22" s="97">
        <v>0</v>
      </c>
      <c r="AQ22" s="97">
        <v>0</v>
      </c>
      <c r="AR22" s="97">
        <v>0</v>
      </c>
      <c r="AS22" s="97">
        <v>0</v>
      </c>
      <c r="AT22" s="97">
        <v>0</v>
      </c>
      <c r="AU22" s="97">
        <v>0</v>
      </c>
      <c r="AV22" s="97">
        <v>0</v>
      </c>
      <c r="AW22" s="97">
        <v>0</v>
      </c>
      <c r="AX22" s="97">
        <v>0</v>
      </c>
      <c r="AY22" s="97">
        <v>0</v>
      </c>
      <c r="AZ22" s="97">
        <v>0</v>
      </c>
      <c r="BA22" s="97">
        <v>0</v>
      </c>
      <c r="BB22" s="97">
        <v>0</v>
      </c>
      <c r="BC22" s="97">
        <v>0</v>
      </c>
      <c r="BD22" s="97">
        <v>0</v>
      </c>
      <c r="BE22" s="97">
        <v>0</v>
      </c>
      <c r="BF22" s="97">
        <v>0</v>
      </c>
      <c r="BG22" s="97">
        <v>0</v>
      </c>
      <c r="BH22" s="97">
        <v>0</v>
      </c>
      <c r="BI22" s="97">
        <v>0</v>
      </c>
      <c r="BJ22" s="97">
        <v>0</v>
      </c>
      <c r="BK22" s="97">
        <v>0</v>
      </c>
      <c r="BL22" s="97">
        <v>0</v>
      </c>
      <c r="BM22" s="97">
        <v>0</v>
      </c>
      <c r="BN22" s="97">
        <v>0</v>
      </c>
      <c r="BO22" s="97">
        <v>0</v>
      </c>
      <c r="BP22" s="97">
        <v>0</v>
      </c>
      <c r="BQ22" s="97">
        <v>0</v>
      </c>
      <c r="BR22" s="97">
        <v>0</v>
      </c>
      <c r="BS22" s="97">
        <v>0</v>
      </c>
      <c r="BT22" s="97">
        <v>0</v>
      </c>
      <c r="BU22" s="97">
        <v>0</v>
      </c>
      <c r="BV22" s="97">
        <v>0</v>
      </c>
      <c r="BW22" s="97">
        <v>0</v>
      </c>
      <c r="BX22" s="97">
        <v>0</v>
      </c>
      <c r="BY22" s="97">
        <v>0</v>
      </c>
      <c r="BZ22" s="97">
        <v>0</v>
      </c>
      <c r="CA22" s="97">
        <v>0</v>
      </c>
      <c r="CB22" s="97">
        <v>0</v>
      </c>
      <c r="CC22" s="97">
        <v>0</v>
      </c>
      <c r="CD22" s="97">
        <v>0</v>
      </c>
      <c r="CE22" s="97">
        <v>0</v>
      </c>
      <c r="CF22" s="97">
        <v>0</v>
      </c>
      <c r="CG22" s="97">
        <v>0</v>
      </c>
      <c r="CH22" s="97">
        <v>0</v>
      </c>
      <c r="CI22" s="97">
        <v>0</v>
      </c>
      <c r="CJ22" s="97">
        <v>0</v>
      </c>
      <c r="CK22" s="97">
        <v>0</v>
      </c>
      <c r="CL22" s="97">
        <v>0</v>
      </c>
      <c r="CM22" s="97">
        <v>0</v>
      </c>
      <c r="CN22" s="97">
        <v>0</v>
      </c>
      <c r="CO22" s="97">
        <v>0</v>
      </c>
      <c r="CP22" s="97">
        <v>0</v>
      </c>
      <c r="CQ22" s="97">
        <v>0</v>
      </c>
      <c r="CR22" s="97">
        <v>0</v>
      </c>
      <c r="CS22" s="97">
        <v>0</v>
      </c>
      <c r="CT22" s="97">
        <v>0</v>
      </c>
      <c r="CU22" s="97">
        <v>0</v>
      </c>
    </row>
    <row r="23" spans="2:99" x14ac:dyDescent="0.15">
      <c r="C23" s="96" t="s">
        <v>188</v>
      </c>
      <c r="D23" s="97">
        <v>0</v>
      </c>
      <c r="E23" s="97">
        <v>0</v>
      </c>
      <c r="F23" s="97">
        <v>0</v>
      </c>
      <c r="G23" s="97">
        <v>0</v>
      </c>
      <c r="H23" s="97">
        <v>0</v>
      </c>
      <c r="I23" s="97">
        <v>0</v>
      </c>
      <c r="J23" s="97">
        <v>0</v>
      </c>
      <c r="K23" s="97">
        <v>0</v>
      </c>
      <c r="L23" s="97">
        <v>0</v>
      </c>
      <c r="M23" s="97">
        <v>0</v>
      </c>
      <c r="N23" s="97">
        <v>0</v>
      </c>
      <c r="O23" s="97">
        <v>0</v>
      </c>
      <c r="P23" s="97">
        <v>0</v>
      </c>
      <c r="Q23" s="97">
        <v>0</v>
      </c>
      <c r="R23" s="97">
        <v>0</v>
      </c>
      <c r="S23" s="97">
        <v>0</v>
      </c>
      <c r="T23" s="97">
        <v>0</v>
      </c>
      <c r="U23" s="97">
        <v>0</v>
      </c>
      <c r="V23" s="97">
        <v>0</v>
      </c>
      <c r="W23" s="97">
        <v>0</v>
      </c>
      <c r="X23" s="97">
        <v>0</v>
      </c>
      <c r="Y23" s="97">
        <v>0</v>
      </c>
      <c r="Z23" s="97">
        <v>0</v>
      </c>
      <c r="AA23" s="97">
        <v>0</v>
      </c>
      <c r="AB23" s="97">
        <v>0</v>
      </c>
      <c r="AC23" s="97">
        <v>0</v>
      </c>
      <c r="AD23" s="97">
        <v>0</v>
      </c>
      <c r="AE23" s="97">
        <v>0</v>
      </c>
      <c r="AF23" s="97">
        <v>0</v>
      </c>
      <c r="AG23" s="97">
        <v>0</v>
      </c>
      <c r="AH23" s="97">
        <v>0</v>
      </c>
      <c r="AI23" s="97">
        <v>0</v>
      </c>
      <c r="AJ23" s="97">
        <v>0</v>
      </c>
      <c r="AK23" s="97">
        <v>0</v>
      </c>
      <c r="AL23" s="97">
        <v>0</v>
      </c>
      <c r="AM23" s="97">
        <v>0</v>
      </c>
      <c r="AN23" s="97">
        <v>0</v>
      </c>
      <c r="AO23" s="97">
        <v>0</v>
      </c>
      <c r="AP23" s="97">
        <v>0</v>
      </c>
      <c r="AQ23" s="97">
        <v>0</v>
      </c>
      <c r="AR23" s="97">
        <v>0</v>
      </c>
      <c r="AS23" s="97">
        <v>0</v>
      </c>
      <c r="AT23" s="97">
        <v>0</v>
      </c>
      <c r="AU23" s="97">
        <v>0</v>
      </c>
      <c r="AV23" s="97">
        <v>0</v>
      </c>
      <c r="AW23" s="97">
        <v>0</v>
      </c>
      <c r="AX23" s="97">
        <v>0</v>
      </c>
      <c r="AY23" s="97">
        <v>0</v>
      </c>
      <c r="AZ23" s="97">
        <v>0</v>
      </c>
      <c r="BA23" s="97">
        <v>0</v>
      </c>
      <c r="BB23" s="97">
        <v>0</v>
      </c>
      <c r="BC23" s="97">
        <v>0</v>
      </c>
      <c r="BD23" s="97">
        <v>0</v>
      </c>
      <c r="BE23" s="97">
        <v>0</v>
      </c>
      <c r="BF23" s="97">
        <v>0</v>
      </c>
      <c r="BG23" s="97">
        <v>0</v>
      </c>
      <c r="BH23" s="97">
        <v>0</v>
      </c>
      <c r="BI23" s="97">
        <v>0</v>
      </c>
      <c r="BJ23" s="97">
        <v>0</v>
      </c>
      <c r="BK23" s="97">
        <v>0</v>
      </c>
      <c r="BL23" s="97">
        <v>0</v>
      </c>
      <c r="BM23" s="97">
        <v>0</v>
      </c>
      <c r="BN23" s="97">
        <v>0</v>
      </c>
      <c r="BO23" s="97">
        <v>0</v>
      </c>
      <c r="BP23" s="97">
        <v>0</v>
      </c>
      <c r="BQ23" s="97">
        <v>0</v>
      </c>
      <c r="BR23" s="97">
        <v>0</v>
      </c>
      <c r="BS23" s="97">
        <v>0</v>
      </c>
      <c r="BT23" s="97">
        <v>0</v>
      </c>
      <c r="BU23" s="97">
        <v>0</v>
      </c>
      <c r="BV23" s="97">
        <v>0</v>
      </c>
      <c r="BW23" s="97">
        <v>0</v>
      </c>
      <c r="BX23" s="97">
        <v>0</v>
      </c>
      <c r="BY23" s="97">
        <v>0</v>
      </c>
      <c r="BZ23" s="97">
        <v>0</v>
      </c>
      <c r="CA23" s="97">
        <v>0</v>
      </c>
      <c r="CB23" s="97">
        <v>0</v>
      </c>
      <c r="CC23" s="97">
        <v>0</v>
      </c>
      <c r="CD23" s="97">
        <v>0</v>
      </c>
      <c r="CE23" s="97">
        <v>0</v>
      </c>
      <c r="CF23" s="97">
        <v>0</v>
      </c>
      <c r="CG23" s="97">
        <v>0</v>
      </c>
      <c r="CH23" s="97">
        <v>0</v>
      </c>
      <c r="CI23" s="97">
        <v>0</v>
      </c>
      <c r="CJ23" s="97">
        <v>0</v>
      </c>
      <c r="CK23" s="97">
        <v>0</v>
      </c>
      <c r="CL23" s="97">
        <v>0</v>
      </c>
      <c r="CM23" s="97">
        <v>0</v>
      </c>
      <c r="CN23" s="97">
        <v>0</v>
      </c>
      <c r="CO23" s="97">
        <v>0</v>
      </c>
      <c r="CP23" s="97">
        <v>0</v>
      </c>
      <c r="CQ23" s="97">
        <v>0</v>
      </c>
      <c r="CR23" s="97">
        <v>0</v>
      </c>
      <c r="CS23" s="97">
        <v>0</v>
      </c>
      <c r="CT23" s="97">
        <v>0</v>
      </c>
      <c r="CU23" s="97">
        <v>0</v>
      </c>
    </row>
    <row r="24" spans="2:99" x14ac:dyDescent="0.15">
      <c r="C24" s="96" t="s">
        <v>189</v>
      </c>
      <c r="D24" s="97">
        <v>0</v>
      </c>
      <c r="E24" s="97">
        <v>0</v>
      </c>
      <c r="F24" s="97">
        <v>0</v>
      </c>
      <c r="G24" s="97">
        <v>0</v>
      </c>
      <c r="H24" s="97">
        <v>0</v>
      </c>
      <c r="I24" s="97">
        <v>0</v>
      </c>
      <c r="J24" s="97">
        <v>0</v>
      </c>
      <c r="K24" s="97">
        <v>0</v>
      </c>
      <c r="L24" s="97">
        <v>0</v>
      </c>
      <c r="M24" s="97">
        <v>0</v>
      </c>
      <c r="N24" s="97">
        <v>0</v>
      </c>
      <c r="O24" s="97">
        <v>0</v>
      </c>
      <c r="P24" s="97">
        <v>0</v>
      </c>
      <c r="Q24" s="97">
        <v>0</v>
      </c>
      <c r="R24" s="97">
        <v>0</v>
      </c>
      <c r="S24" s="97">
        <v>0</v>
      </c>
      <c r="T24" s="97">
        <v>0</v>
      </c>
      <c r="U24" s="97">
        <v>0</v>
      </c>
      <c r="V24" s="97">
        <v>0</v>
      </c>
      <c r="W24" s="97">
        <v>0</v>
      </c>
      <c r="X24" s="97">
        <v>0</v>
      </c>
      <c r="Y24" s="97">
        <v>0</v>
      </c>
      <c r="Z24" s="97">
        <v>0</v>
      </c>
      <c r="AA24" s="97">
        <v>0</v>
      </c>
      <c r="AB24" s="97">
        <v>0</v>
      </c>
      <c r="AC24" s="97">
        <v>0</v>
      </c>
      <c r="AD24" s="97">
        <v>0</v>
      </c>
      <c r="AE24" s="97">
        <v>0</v>
      </c>
      <c r="AF24" s="97">
        <v>0</v>
      </c>
      <c r="AG24" s="97">
        <v>0</v>
      </c>
      <c r="AH24" s="97">
        <v>0</v>
      </c>
      <c r="AI24" s="97">
        <v>0</v>
      </c>
      <c r="AJ24" s="97">
        <v>0</v>
      </c>
      <c r="AK24" s="97">
        <v>0</v>
      </c>
      <c r="AL24" s="97">
        <v>0</v>
      </c>
      <c r="AM24" s="97">
        <v>0</v>
      </c>
      <c r="AN24" s="97">
        <v>0</v>
      </c>
      <c r="AO24" s="97">
        <v>0</v>
      </c>
      <c r="AP24" s="97">
        <v>0</v>
      </c>
      <c r="AQ24" s="97">
        <v>0</v>
      </c>
      <c r="AR24" s="97">
        <v>0</v>
      </c>
      <c r="AS24" s="97">
        <v>0</v>
      </c>
      <c r="AT24" s="97">
        <v>0</v>
      </c>
      <c r="AU24" s="97">
        <v>0</v>
      </c>
      <c r="AV24" s="97">
        <v>0</v>
      </c>
      <c r="AW24" s="97">
        <v>0</v>
      </c>
      <c r="AX24" s="97">
        <v>0</v>
      </c>
      <c r="AY24" s="97">
        <v>0</v>
      </c>
      <c r="AZ24" s="97">
        <v>0</v>
      </c>
      <c r="BA24" s="97">
        <v>0</v>
      </c>
      <c r="BB24" s="97">
        <v>0</v>
      </c>
      <c r="BC24" s="97">
        <v>0</v>
      </c>
      <c r="BD24" s="97">
        <v>0</v>
      </c>
      <c r="BE24" s="97">
        <v>0</v>
      </c>
      <c r="BF24" s="97">
        <v>0</v>
      </c>
      <c r="BG24" s="97">
        <v>0</v>
      </c>
      <c r="BH24" s="97">
        <v>0</v>
      </c>
      <c r="BI24" s="97">
        <v>0</v>
      </c>
      <c r="BJ24" s="97">
        <v>0</v>
      </c>
      <c r="BK24" s="97">
        <v>0</v>
      </c>
      <c r="BL24" s="97">
        <v>0</v>
      </c>
      <c r="BM24" s="97">
        <v>0</v>
      </c>
      <c r="BN24" s="97">
        <v>0</v>
      </c>
      <c r="BO24" s="97">
        <v>0</v>
      </c>
      <c r="BP24" s="97">
        <v>0</v>
      </c>
      <c r="BQ24" s="97">
        <v>0</v>
      </c>
      <c r="BR24" s="97">
        <v>0</v>
      </c>
      <c r="BS24" s="97">
        <v>0</v>
      </c>
      <c r="BT24" s="97">
        <v>0</v>
      </c>
      <c r="BU24" s="97">
        <v>0</v>
      </c>
      <c r="BV24" s="97">
        <v>0</v>
      </c>
      <c r="BW24" s="97">
        <v>0</v>
      </c>
      <c r="BX24" s="97">
        <v>0</v>
      </c>
      <c r="BY24" s="97">
        <v>0</v>
      </c>
      <c r="BZ24" s="97">
        <v>0</v>
      </c>
      <c r="CA24" s="97">
        <v>0</v>
      </c>
      <c r="CB24" s="97">
        <v>0</v>
      </c>
      <c r="CC24" s="97">
        <v>0</v>
      </c>
      <c r="CD24" s="97">
        <v>0</v>
      </c>
      <c r="CE24" s="97">
        <v>0</v>
      </c>
      <c r="CF24" s="97">
        <v>0</v>
      </c>
      <c r="CG24" s="97">
        <v>0</v>
      </c>
      <c r="CH24" s="97">
        <v>0</v>
      </c>
      <c r="CI24" s="97">
        <v>0</v>
      </c>
      <c r="CJ24" s="97">
        <v>0</v>
      </c>
      <c r="CK24" s="97">
        <v>0</v>
      </c>
      <c r="CL24" s="97">
        <v>0</v>
      </c>
      <c r="CM24" s="97">
        <v>0</v>
      </c>
      <c r="CN24" s="97">
        <v>0</v>
      </c>
      <c r="CO24" s="97">
        <v>0</v>
      </c>
      <c r="CP24" s="97">
        <v>0</v>
      </c>
      <c r="CQ24" s="97">
        <v>0</v>
      </c>
      <c r="CR24" s="97">
        <v>0</v>
      </c>
      <c r="CS24" s="97">
        <v>0</v>
      </c>
      <c r="CT24" s="97">
        <v>0</v>
      </c>
      <c r="CU24" s="97">
        <v>0</v>
      </c>
    </row>
    <row r="25" spans="2:99" x14ac:dyDescent="0.15">
      <c r="C25" s="96" t="s">
        <v>190</v>
      </c>
      <c r="D25" s="97">
        <v>0</v>
      </c>
      <c r="E25" s="97">
        <v>0</v>
      </c>
      <c r="F25" s="97">
        <v>0</v>
      </c>
      <c r="G25" s="97">
        <v>0</v>
      </c>
      <c r="H25" s="97">
        <v>0</v>
      </c>
      <c r="I25" s="97">
        <v>0</v>
      </c>
      <c r="J25" s="97">
        <v>0</v>
      </c>
      <c r="K25" s="97">
        <v>0</v>
      </c>
      <c r="L25" s="97">
        <v>0</v>
      </c>
      <c r="M25" s="97">
        <v>0</v>
      </c>
      <c r="N25" s="97">
        <v>0</v>
      </c>
      <c r="O25" s="97">
        <v>0</v>
      </c>
      <c r="P25" s="97">
        <v>0</v>
      </c>
      <c r="Q25" s="97">
        <v>0</v>
      </c>
      <c r="R25" s="97">
        <v>0</v>
      </c>
      <c r="S25" s="97">
        <v>0</v>
      </c>
      <c r="T25" s="97">
        <v>0</v>
      </c>
      <c r="U25" s="97">
        <v>0</v>
      </c>
      <c r="V25" s="97">
        <v>0</v>
      </c>
      <c r="W25" s="97">
        <v>0</v>
      </c>
      <c r="X25" s="97">
        <v>0</v>
      </c>
      <c r="Y25" s="97">
        <v>0</v>
      </c>
      <c r="Z25" s="97">
        <v>0</v>
      </c>
      <c r="AA25" s="97">
        <v>0</v>
      </c>
      <c r="AB25" s="97">
        <v>0</v>
      </c>
      <c r="AC25" s="97">
        <v>0</v>
      </c>
      <c r="AD25" s="97">
        <v>0</v>
      </c>
      <c r="AE25" s="97">
        <v>0</v>
      </c>
      <c r="AF25" s="97">
        <v>0</v>
      </c>
      <c r="AG25" s="97">
        <v>0</v>
      </c>
      <c r="AH25" s="97">
        <v>0</v>
      </c>
      <c r="AI25" s="97">
        <v>0</v>
      </c>
      <c r="AJ25" s="97">
        <v>0</v>
      </c>
      <c r="AK25" s="97">
        <v>0</v>
      </c>
      <c r="AL25" s="97">
        <v>0</v>
      </c>
      <c r="AM25" s="97">
        <v>0</v>
      </c>
      <c r="AN25" s="97">
        <v>0</v>
      </c>
      <c r="AO25" s="97">
        <v>0</v>
      </c>
      <c r="AP25" s="97">
        <v>0</v>
      </c>
      <c r="AQ25" s="97">
        <v>0</v>
      </c>
      <c r="AR25" s="97">
        <v>0</v>
      </c>
      <c r="AS25" s="97">
        <v>0</v>
      </c>
      <c r="AT25" s="97">
        <v>0</v>
      </c>
      <c r="AU25" s="97">
        <v>0</v>
      </c>
      <c r="AV25" s="97">
        <v>0</v>
      </c>
      <c r="AW25" s="97">
        <v>0</v>
      </c>
      <c r="AX25" s="97">
        <v>0</v>
      </c>
      <c r="AY25" s="97">
        <v>0</v>
      </c>
      <c r="AZ25" s="97">
        <v>0</v>
      </c>
      <c r="BA25" s="97">
        <v>0</v>
      </c>
      <c r="BB25" s="97">
        <v>0</v>
      </c>
      <c r="BC25" s="97">
        <v>0</v>
      </c>
      <c r="BD25" s="97">
        <v>0</v>
      </c>
      <c r="BE25" s="97">
        <v>0</v>
      </c>
      <c r="BF25" s="97">
        <v>0</v>
      </c>
      <c r="BG25" s="97">
        <v>0</v>
      </c>
      <c r="BH25" s="97">
        <v>0</v>
      </c>
      <c r="BI25" s="97">
        <v>0</v>
      </c>
      <c r="BJ25" s="97">
        <v>0</v>
      </c>
      <c r="BK25" s="97">
        <v>0</v>
      </c>
      <c r="BL25" s="97">
        <v>0</v>
      </c>
      <c r="BM25" s="97">
        <v>0</v>
      </c>
      <c r="BN25" s="97">
        <v>0</v>
      </c>
      <c r="BO25" s="97">
        <v>0</v>
      </c>
      <c r="BP25" s="97">
        <v>0</v>
      </c>
      <c r="BQ25" s="97">
        <v>0</v>
      </c>
      <c r="BR25" s="97">
        <v>0</v>
      </c>
      <c r="BS25" s="97">
        <v>0</v>
      </c>
      <c r="BT25" s="97">
        <v>0</v>
      </c>
      <c r="BU25" s="97">
        <v>0</v>
      </c>
      <c r="BV25" s="97">
        <v>0</v>
      </c>
      <c r="BW25" s="97">
        <v>0</v>
      </c>
      <c r="BX25" s="97">
        <v>0</v>
      </c>
      <c r="BY25" s="97">
        <v>0</v>
      </c>
      <c r="BZ25" s="97">
        <v>0</v>
      </c>
      <c r="CA25" s="97">
        <v>0</v>
      </c>
      <c r="CB25" s="97">
        <v>0</v>
      </c>
      <c r="CC25" s="97">
        <v>0</v>
      </c>
      <c r="CD25" s="97">
        <v>0</v>
      </c>
      <c r="CE25" s="97">
        <v>0</v>
      </c>
      <c r="CF25" s="97">
        <v>0</v>
      </c>
      <c r="CG25" s="97">
        <v>0</v>
      </c>
      <c r="CH25" s="97">
        <v>0</v>
      </c>
      <c r="CI25" s="97">
        <v>0</v>
      </c>
      <c r="CJ25" s="97">
        <v>0</v>
      </c>
      <c r="CK25" s="97">
        <v>0</v>
      </c>
      <c r="CL25" s="97">
        <v>0</v>
      </c>
      <c r="CM25" s="97">
        <v>0</v>
      </c>
      <c r="CN25" s="97">
        <v>0</v>
      </c>
      <c r="CO25" s="97">
        <v>0</v>
      </c>
      <c r="CP25" s="97">
        <v>0</v>
      </c>
      <c r="CQ25" s="97">
        <v>0</v>
      </c>
      <c r="CR25" s="97">
        <v>0</v>
      </c>
      <c r="CS25" s="97">
        <v>0</v>
      </c>
      <c r="CT25" s="97">
        <v>0</v>
      </c>
      <c r="CU25" s="97">
        <v>0</v>
      </c>
    </row>
    <row r="26" spans="2:99" x14ac:dyDescent="0.15">
      <c r="C26" s="96" t="s">
        <v>191</v>
      </c>
      <c r="D26" s="97">
        <v>0</v>
      </c>
      <c r="E26" s="97">
        <v>0</v>
      </c>
      <c r="F26" s="97">
        <v>0</v>
      </c>
      <c r="G26" s="97">
        <v>0</v>
      </c>
      <c r="H26" s="97">
        <v>0</v>
      </c>
      <c r="I26" s="97">
        <v>0</v>
      </c>
      <c r="J26" s="97">
        <v>0</v>
      </c>
      <c r="K26" s="97">
        <v>0</v>
      </c>
      <c r="L26" s="97">
        <v>0</v>
      </c>
      <c r="M26" s="97">
        <v>0</v>
      </c>
      <c r="N26" s="97">
        <v>0</v>
      </c>
      <c r="O26" s="97">
        <v>0</v>
      </c>
      <c r="P26" s="97">
        <v>0</v>
      </c>
      <c r="Q26" s="97">
        <v>0</v>
      </c>
      <c r="R26" s="97">
        <v>0</v>
      </c>
      <c r="S26" s="97">
        <v>0</v>
      </c>
      <c r="T26" s="97">
        <v>0</v>
      </c>
      <c r="U26" s="97">
        <v>0</v>
      </c>
      <c r="V26" s="97">
        <v>0</v>
      </c>
      <c r="W26" s="97">
        <v>0</v>
      </c>
      <c r="X26" s="97">
        <v>0</v>
      </c>
      <c r="Y26" s="97">
        <v>0</v>
      </c>
      <c r="Z26" s="97">
        <v>0</v>
      </c>
      <c r="AA26" s="97">
        <v>0</v>
      </c>
      <c r="AB26" s="97">
        <v>0</v>
      </c>
      <c r="AC26" s="97">
        <v>0</v>
      </c>
      <c r="AD26" s="97">
        <v>0</v>
      </c>
      <c r="AE26" s="97">
        <v>0</v>
      </c>
      <c r="AF26" s="97">
        <v>0</v>
      </c>
      <c r="AG26" s="97">
        <v>0</v>
      </c>
      <c r="AH26" s="97">
        <v>0</v>
      </c>
      <c r="AI26" s="97">
        <v>0</v>
      </c>
      <c r="AJ26" s="97">
        <v>0</v>
      </c>
      <c r="AK26" s="97">
        <v>0</v>
      </c>
      <c r="AL26" s="97">
        <v>0</v>
      </c>
      <c r="AM26" s="97">
        <v>0</v>
      </c>
      <c r="AN26" s="97">
        <v>0</v>
      </c>
      <c r="AO26" s="97">
        <v>0</v>
      </c>
      <c r="AP26" s="97">
        <v>0</v>
      </c>
      <c r="AQ26" s="97">
        <v>0</v>
      </c>
      <c r="AR26" s="97">
        <v>0</v>
      </c>
      <c r="AS26" s="97">
        <v>0</v>
      </c>
      <c r="AT26" s="97">
        <v>0</v>
      </c>
      <c r="AU26" s="97">
        <v>0</v>
      </c>
      <c r="AV26" s="97">
        <v>0</v>
      </c>
      <c r="AW26" s="97">
        <v>0</v>
      </c>
      <c r="AX26" s="97">
        <v>0</v>
      </c>
      <c r="AY26" s="97">
        <v>0</v>
      </c>
      <c r="AZ26" s="97">
        <v>0</v>
      </c>
      <c r="BA26" s="97">
        <v>0</v>
      </c>
      <c r="BB26" s="97">
        <v>0</v>
      </c>
      <c r="BC26" s="97">
        <v>0</v>
      </c>
      <c r="BD26" s="97">
        <v>0</v>
      </c>
      <c r="BE26" s="97">
        <v>0</v>
      </c>
      <c r="BF26" s="97">
        <v>0</v>
      </c>
      <c r="BG26" s="97">
        <v>0</v>
      </c>
      <c r="BH26" s="97">
        <v>0</v>
      </c>
      <c r="BI26" s="97">
        <v>0</v>
      </c>
      <c r="BJ26" s="97">
        <v>0</v>
      </c>
      <c r="BK26" s="97">
        <v>0</v>
      </c>
      <c r="BL26" s="97">
        <v>0</v>
      </c>
      <c r="BM26" s="97">
        <v>0</v>
      </c>
      <c r="BN26" s="97">
        <v>0</v>
      </c>
      <c r="BO26" s="97">
        <v>0</v>
      </c>
      <c r="BP26" s="97">
        <v>0</v>
      </c>
      <c r="BQ26" s="97">
        <v>0</v>
      </c>
      <c r="BR26" s="97">
        <v>0</v>
      </c>
      <c r="BS26" s="97">
        <v>0</v>
      </c>
      <c r="BT26" s="97">
        <v>0</v>
      </c>
      <c r="BU26" s="97">
        <v>0</v>
      </c>
      <c r="BV26" s="97">
        <v>0</v>
      </c>
      <c r="BW26" s="97">
        <v>0</v>
      </c>
      <c r="BX26" s="97">
        <v>0</v>
      </c>
      <c r="BY26" s="97">
        <v>0</v>
      </c>
      <c r="BZ26" s="97">
        <v>0</v>
      </c>
      <c r="CA26" s="97">
        <v>0</v>
      </c>
      <c r="CB26" s="97">
        <v>0</v>
      </c>
      <c r="CC26" s="97">
        <v>0</v>
      </c>
      <c r="CD26" s="97">
        <v>0</v>
      </c>
      <c r="CE26" s="97">
        <v>0</v>
      </c>
      <c r="CF26" s="97">
        <v>0</v>
      </c>
      <c r="CG26" s="97">
        <v>0</v>
      </c>
      <c r="CH26" s="97">
        <v>0</v>
      </c>
      <c r="CI26" s="97">
        <v>0</v>
      </c>
      <c r="CJ26" s="97">
        <v>0</v>
      </c>
      <c r="CK26" s="97">
        <v>0</v>
      </c>
      <c r="CL26" s="97">
        <v>0</v>
      </c>
      <c r="CM26" s="97">
        <v>0</v>
      </c>
      <c r="CN26" s="97">
        <v>0</v>
      </c>
      <c r="CO26" s="97">
        <v>0</v>
      </c>
      <c r="CP26" s="97">
        <v>0</v>
      </c>
      <c r="CQ26" s="97">
        <v>0</v>
      </c>
      <c r="CR26" s="97">
        <v>0</v>
      </c>
      <c r="CS26" s="97">
        <v>0</v>
      </c>
      <c r="CT26" s="97">
        <v>0</v>
      </c>
      <c r="CU26" s="97">
        <v>0</v>
      </c>
    </row>
    <row r="27" spans="2:99" x14ac:dyDescent="0.15">
      <c r="C27" s="96" t="s">
        <v>192</v>
      </c>
      <c r="D27" s="97">
        <v>0</v>
      </c>
      <c r="E27" s="97">
        <v>0</v>
      </c>
      <c r="F27" s="97">
        <v>0</v>
      </c>
      <c r="G27" s="97">
        <v>0</v>
      </c>
      <c r="H27" s="97">
        <v>0</v>
      </c>
      <c r="I27" s="97">
        <v>0</v>
      </c>
      <c r="J27" s="97">
        <v>0</v>
      </c>
      <c r="K27" s="97">
        <v>0</v>
      </c>
      <c r="L27" s="97">
        <v>0</v>
      </c>
      <c r="M27" s="97">
        <v>0</v>
      </c>
      <c r="N27" s="97">
        <v>0</v>
      </c>
      <c r="O27" s="97">
        <v>0</v>
      </c>
      <c r="P27" s="97">
        <v>0</v>
      </c>
      <c r="Q27" s="97">
        <v>0</v>
      </c>
      <c r="R27" s="97">
        <v>0</v>
      </c>
      <c r="S27" s="97">
        <v>0</v>
      </c>
      <c r="T27" s="97">
        <v>0</v>
      </c>
      <c r="U27" s="97">
        <v>0</v>
      </c>
      <c r="V27" s="97">
        <v>0</v>
      </c>
      <c r="W27" s="97">
        <v>0</v>
      </c>
      <c r="X27" s="97">
        <v>0</v>
      </c>
      <c r="Y27" s="97">
        <v>0</v>
      </c>
      <c r="Z27" s="97">
        <v>0</v>
      </c>
      <c r="AA27" s="97">
        <v>0</v>
      </c>
      <c r="AB27" s="97">
        <v>0</v>
      </c>
      <c r="AC27" s="97">
        <v>0</v>
      </c>
      <c r="AD27" s="97">
        <v>0</v>
      </c>
      <c r="AE27" s="97">
        <v>0</v>
      </c>
      <c r="AF27" s="97">
        <v>0</v>
      </c>
      <c r="AG27" s="97">
        <v>0</v>
      </c>
      <c r="AH27" s="97">
        <v>0</v>
      </c>
      <c r="AI27" s="97">
        <v>0</v>
      </c>
      <c r="AJ27" s="97">
        <v>0</v>
      </c>
      <c r="AK27" s="97">
        <v>0</v>
      </c>
      <c r="AL27" s="97">
        <v>0</v>
      </c>
      <c r="AM27" s="97">
        <v>0</v>
      </c>
      <c r="AN27" s="97">
        <v>0</v>
      </c>
      <c r="AO27" s="97">
        <v>0</v>
      </c>
      <c r="AP27" s="97">
        <v>0</v>
      </c>
      <c r="AQ27" s="97">
        <v>0</v>
      </c>
      <c r="AR27" s="97">
        <v>0</v>
      </c>
      <c r="AS27" s="97">
        <v>0</v>
      </c>
      <c r="AT27" s="97">
        <v>0</v>
      </c>
      <c r="AU27" s="97">
        <v>0</v>
      </c>
      <c r="AV27" s="97">
        <v>0</v>
      </c>
      <c r="AW27" s="97">
        <v>0</v>
      </c>
      <c r="AX27" s="97">
        <v>0</v>
      </c>
      <c r="AY27" s="97">
        <v>0</v>
      </c>
      <c r="AZ27" s="97">
        <v>0</v>
      </c>
      <c r="BA27" s="97">
        <v>0</v>
      </c>
      <c r="BB27" s="97">
        <v>0</v>
      </c>
      <c r="BC27" s="97">
        <v>0</v>
      </c>
      <c r="BD27" s="97">
        <v>0</v>
      </c>
      <c r="BE27" s="97">
        <v>0</v>
      </c>
      <c r="BF27" s="97">
        <v>0</v>
      </c>
      <c r="BG27" s="97">
        <v>0</v>
      </c>
      <c r="BH27" s="97">
        <v>0</v>
      </c>
      <c r="BI27" s="97">
        <v>0</v>
      </c>
      <c r="BJ27" s="97">
        <v>0</v>
      </c>
      <c r="BK27" s="97">
        <v>0</v>
      </c>
      <c r="BL27" s="97">
        <v>0</v>
      </c>
      <c r="BM27" s="97">
        <v>0</v>
      </c>
      <c r="BN27" s="97">
        <v>0</v>
      </c>
      <c r="BO27" s="97">
        <v>0</v>
      </c>
      <c r="BP27" s="97">
        <v>0</v>
      </c>
      <c r="BQ27" s="97">
        <v>0</v>
      </c>
      <c r="BR27" s="97">
        <v>0</v>
      </c>
      <c r="BS27" s="97">
        <v>0</v>
      </c>
      <c r="BT27" s="97">
        <v>0</v>
      </c>
      <c r="BU27" s="97">
        <v>0</v>
      </c>
      <c r="BV27" s="97">
        <v>0</v>
      </c>
      <c r="BW27" s="97">
        <v>0</v>
      </c>
      <c r="BX27" s="97">
        <v>0</v>
      </c>
      <c r="BY27" s="97">
        <v>0</v>
      </c>
      <c r="BZ27" s="97">
        <v>0</v>
      </c>
      <c r="CA27" s="97">
        <v>0</v>
      </c>
      <c r="CB27" s="97">
        <v>0</v>
      </c>
      <c r="CC27" s="97">
        <v>0</v>
      </c>
      <c r="CD27" s="97">
        <v>0</v>
      </c>
      <c r="CE27" s="97">
        <v>0</v>
      </c>
      <c r="CF27" s="97">
        <v>0</v>
      </c>
      <c r="CG27" s="97">
        <v>0</v>
      </c>
      <c r="CH27" s="97">
        <v>0</v>
      </c>
      <c r="CI27" s="97">
        <v>0</v>
      </c>
      <c r="CJ27" s="97">
        <v>0</v>
      </c>
      <c r="CK27" s="97">
        <v>0</v>
      </c>
      <c r="CL27" s="97">
        <v>0</v>
      </c>
      <c r="CM27" s="97">
        <v>0</v>
      </c>
      <c r="CN27" s="97">
        <v>0</v>
      </c>
      <c r="CO27" s="97">
        <v>0</v>
      </c>
      <c r="CP27" s="97">
        <v>0</v>
      </c>
      <c r="CQ27" s="97">
        <v>0</v>
      </c>
      <c r="CR27" s="97">
        <v>0</v>
      </c>
      <c r="CS27" s="97">
        <v>0</v>
      </c>
      <c r="CT27" s="97">
        <v>0</v>
      </c>
      <c r="CU27" s="97">
        <v>0</v>
      </c>
    </row>
    <row r="28" spans="2:99" x14ac:dyDescent="0.15">
      <c r="C28" s="96" t="s">
        <v>193</v>
      </c>
      <c r="D28" s="97">
        <v>0</v>
      </c>
      <c r="E28" s="97">
        <v>0</v>
      </c>
      <c r="F28" s="97">
        <v>0</v>
      </c>
      <c r="G28" s="97">
        <v>0</v>
      </c>
      <c r="H28" s="97">
        <v>0</v>
      </c>
      <c r="I28" s="97">
        <v>0</v>
      </c>
      <c r="J28" s="97">
        <v>0</v>
      </c>
      <c r="K28" s="97">
        <v>0</v>
      </c>
      <c r="L28" s="97">
        <v>0</v>
      </c>
      <c r="M28" s="97">
        <v>0</v>
      </c>
      <c r="N28" s="97">
        <v>0</v>
      </c>
      <c r="O28" s="97">
        <v>0</v>
      </c>
      <c r="P28" s="97">
        <v>0</v>
      </c>
      <c r="Q28" s="97">
        <v>0</v>
      </c>
      <c r="R28" s="97">
        <v>0</v>
      </c>
      <c r="S28" s="97">
        <v>0</v>
      </c>
      <c r="T28" s="97">
        <v>0</v>
      </c>
      <c r="U28" s="97">
        <v>0</v>
      </c>
      <c r="V28" s="97">
        <v>0</v>
      </c>
      <c r="W28" s="97">
        <v>0</v>
      </c>
      <c r="X28" s="97">
        <v>0</v>
      </c>
      <c r="Y28" s="97">
        <v>0</v>
      </c>
      <c r="Z28" s="97">
        <v>0</v>
      </c>
      <c r="AA28" s="97">
        <v>0</v>
      </c>
      <c r="AB28" s="97">
        <v>0</v>
      </c>
      <c r="AC28" s="97">
        <v>0</v>
      </c>
      <c r="AD28" s="97">
        <v>0</v>
      </c>
      <c r="AE28" s="97">
        <v>0</v>
      </c>
      <c r="AF28" s="97">
        <v>0</v>
      </c>
      <c r="AG28" s="97">
        <v>0</v>
      </c>
      <c r="AH28" s="97">
        <v>0</v>
      </c>
      <c r="AI28" s="97">
        <v>0</v>
      </c>
      <c r="AJ28" s="97">
        <v>0</v>
      </c>
      <c r="AK28" s="97">
        <v>0</v>
      </c>
      <c r="AL28" s="97">
        <v>0</v>
      </c>
      <c r="AM28" s="97">
        <v>0</v>
      </c>
      <c r="AN28" s="97">
        <v>0</v>
      </c>
      <c r="AO28" s="97">
        <v>0</v>
      </c>
      <c r="AP28" s="97">
        <v>0</v>
      </c>
      <c r="AQ28" s="97">
        <v>0</v>
      </c>
      <c r="AR28" s="97">
        <v>0</v>
      </c>
      <c r="AS28" s="97">
        <v>0</v>
      </c>
      <c r="AT28" s="97">
        <v>0</v>
      </c>
      <c r="AU28" s="97">
        <v>0</v>
      </c>
      <c r="AV28" s="97">
        <v>0</v>
      </c>
      <c r="AW28" s="97">
        <v>0</v>
      </c>
      <c r="AX28" s="97">
        <v>0</v>
      </c>
      <c r="AY28" s="97">
        <v>0</v>
      </c>
      <c r="AZ28" s="97">
        <v>0</v>
      </c>
      <c r="BA28" s="97">
        <v>0</v>
      </c>
      <c r="BB28" s="97">
        <v>0</v>
      </c>
      <c r="BC28" s="97">
        <v>0</v>
      </c>
      <c r="BD28" s="97">
        <v>0</v>
      </c>
      <c r="BE28" s="97">
        <v>0</v>
      </c>
      <c r="BF28" s="97">
        <v>0</v>
      </c>
      <c r="BG28" s="97">
        <v>0</v>
      </c>
      <c r="BH28" s="97">
        <v>0</v>
      </c>
      <c r="BI28" s="97">
        <v>0</v>
      </c>
      <c r="BJ28" s="97">
        <v>0</v>
      </c>
      <c r="BK28" s="97">
        <v>0</v>
      </c>
      <c r="BL28" s="97">
        <v>0</v>
      </c>
      <c r="BM28" s="97">
        <v>0</v>
      </c>
      <c r="BN28" s="97">
        <v>0</v>
      </c>
      <c r="BO28" s="97">
        <v>0</v>
      </c>
      <c r="BP28" s="97">
        <v>0</v>
      </c>
      <c r="BQ28" s="97">
        <v>0</v>
      </c>
      <c r="BR28" s="97">
        <v>0</v>
      </c>
      <c r="BS28" s="97">
        <v>0</v>
      </c>
      <c r="BT28" s="97">
        <v>0</v>
      </c>
      <c r="BU28" s="97">
        <v>0</v>
      </c>
      <c r="BV28" s="97">
        <v>0</v>
      </c>
      <c r="BW28" s="97">
        <v>0</v>
      </c>
      <c r="BX28" s="97">
        <v>0</v>
      </c>
      <c r="BY28" s="97">
        <v>0</v>
      </c>
      <c r="BZ28" s="97">
        <v>0</v>
      </c>
      <c r="CA28" s="97">
        <v>0</v>
      </c>
      <c r="CB28" s="97">
        <v>0</v>
      </c>
      <c r="CC28" s="97">
        <v>0</v>
      </c>
      <c r="CD28" s="97">
        <v>0</v>
      </c>
      <c r="CE28" s="97">
        <v>0</v>
      </c>
      <c r="CF28" s="97">
        <v>0</v>
      </c>
      <c r="CG28" s="97">
        <v>0</v>
      </c>
      <c r="CH28" s="97">
        <v>0</v>
      </c>
      <c r="CI28" s="97">
        <v>0</v>
      </c>
      <c r="CJ28" s="97">
        <v>0</v>
      </c>
      <c r="CK28" s="97">
        <v>0</v>
      </c>
      <c r="CL28" s="97">
        <v>0</v>
      </c>
      <c r="CM28" s="97">
        <v>0</v>
      </c>
      <c r="CN28" s="97">
        <v>0</v>
      </c>
      <c r="CO28" s="97">
        <v>0</v>
      </c>
      <c r="CP28" s="97">
        <v>0</v>
      </c>
      <c r="CQ28" s="97">
        <v>0</v>
      </c>
      <c r="CR28" s="97">
        <v>0</v>
      </c>
      <c r="CS28" s="97">
        <v>0</v>
      </c>
      <c r="CT28" s="97">
        <v>0</v>
      </c>
      <c r="CU28" s="97">
        <v>0</v>
      </c>
    </row>
    <row r="29" spans="2:99" x14ac:dyDescent="0.15">
      <c r="C29" s="96" t="s">
        <v>194</v>
      </c>
      <c r="D29" s="97">
        <v>0</v>
      </c>
      <c r="E29" s="97">
        <v>0</v>
      </c>
      <c r="F29" s="97">
        <v>0</v>
      </c>
      <c r="G29" s="97">
        <v>0</v>
      </c>
      <c r="H29" s="97">
        <v>0</v>
      </c>
      <c r="I29" s="97">
        <v>0</v>
      </c>
      <c r="J29" s="97">
        <v>0</v>
      </c>
      <c r="K29" s="97">
        <v>0</v>
      </c>
      <c r="L29" s="97">
        <v>0</v>
      </c>
      <c r="M29" s="97">
        <v>0</v>
      </c>
      <c r="N29" s="97">
        <v>0</v>
      </c>
      <c r="O29" s="97">
        <v>0</v>
      </c>
      <c r="P29" s="97">
        <v>0</v>
      </c>
      <c r="Q29" s="97">
        <v>0</v>
      </c>
      <c r="R29" s="97">
        <v>0</v>
      </c>
      <c r="S29" s="97">
        <v>0</v>
      </c>
      <c r="T29" s="97">
        <v>0</v>
      </c>
      <c r="U29" s="97">
        <v>0</v>
      </c>
      <c r="V29" s="97">
        <v>0</v>
      </c>
      <c r="W29" s="97">
        <v>0</v>
      </c>
      <c r="X29" s="97">
        <v>0</v>
      </c>
      <c r="Y29" s="97">
        <v>0</v>
      </c>
      <c r="Z29" s="97">
        <v>0</v>
      </c>
      <c r="AA29" s="97">
        <v>0</v>
      </c>
      <c r="AB29" s="97">
        <v>0</v>
      </c>
      <c r="AC29" s="97">
        <v>0</v>
      </c>
      <c r="AD29" s="97">
        <v>0</v>
      </c>
      <c r="AE29" s="97">
        <v>0</v>
      </c>
      <c r="AF29" s="97">
        <v>0</v>
      </c>
      <c r="AG29" s="97">
        <v>0</v>
      </c>
      <c r="AH29" s="97">
        <v>0</v>
      </c>
      <c r="AI29" s="97">
        <v>0</v>
      </c>
      <c r="AJ29" s="97">
        <v>0</v>
      </c>
      <c r="AK29" s="97">
        <v>0</v>
      </c>
      <c r="AL29" s="97">
        <v>0</v>
      </c>
      <c r="AM29" s="97">
        <v>0</v>
      </c>
      <c r="AN29" s="97">
        <v>0</v>
      </c>
      <c r="AO29" s="97">
        <v>0</v>
      </c>
      <c r="AP29" s="97">
        <v>0</v>
      </c>
      <c r="AQ29" s="97">
        <v>0</v>
      </c>
      <c r="AR29" s="97">
        <v>0</v>
      </c>
      <c r="AS29" s="97">
        <v>0</v>
      </c>
      <c r="AT29" s="97">
        <v>0</v>
      </c>
      <c r="AU29" s="97">
        <v>0</v>
      </c>
      <c r="AV29" s="97">
        <v>0</v>
      </c>
      <c r="AW29" s="97">
        <v>0</v>
      </c>
      <c r="AX29" s="97">
        <v>0</v>
      </c>
      <c r="AY29" s="97">
        <v>0</v>
      </c>
      <c r="AZ29" s="97">
        <v>0</v>
      </c>
      <c r="BA29" s="97">
        <v>0</v>
      </c>
      <c r="BB29" s="97">
        <v>0</v>
      </c>
      <c r="BC29" s="97">
        <v>0</v>
      </c>
      <c r="BD29" s="97">
        <v>0</v>
      </c>
      <c r="BE29" s="97">
        <v>0</v>
      </c>
      <c r="BF29" s="97">
        <v>0</v>
      </c>
      <c r="BG29" s="97">
        <v>0</v>
      </c>
      <c r="BH29" s="97">
        <v>0</v>
      </c>
      <c r="BI29" s="97">
        <v>0</v>
      </c>
      <c r="BJ29" s="97">
        <v>0</v>
      </c>
      <c r="BK29" s="97">
        <v>0</v>
      </c>
      <c r="BL29" s="97">
        <v>0</v>
      </c>
      <c r="BM29" s="97">
        <v>0</v>
      </c>
      <c r="BN29" s="97">
        <v>0</v>
      </c>
      <c r="BO29" s="97">
        <v>0</v>
      </c>
      <c r="BP29" s="97">
        <v>0</v>
      </c>
      <c r="BQ29" s="97">
        <v>0</v>
      </c>
      <c r="BR29" s="97">
        <v>0</v>
      </c>
      <c r="BS29" s="97">
        <v>0</v>
      </c>
      <c r="BT29" s="97">
        <v>0</v>
      </c>
      <c r="BU29" s="97">
        <v>0</v>
      </c>
      <c r="BV29" s="97">
        <v>0</v>
      </c>
      <c r="BW29" s="97">
        <v>0</v>
      </c>
      <c r="BX29" s="97">
        <v>0</v>
      </c>
      <c r="BY29" s="97">
        <v>0</v>
      </c>
      <c r="BZ29" s="97">
        <v>0</v>
      </c>
      <c r="CA29" s="97">
        <v>0</v>
      </c>
      <c r="CB29" s="97">
        <v>0</v>
      </c>
      <c r="CC29" s="97">
        <v>0</v>
      </c>
      <c r="CD29" s="97">
        <v>0</v>
      </c>
      <c r="CE29" s="97">
        <v>0</v>
      </c>
      <c r="CF29" s="97">
        <v>0</v>
      </c>
      <c r="CG29" s="97">
        <v>0</v>
      </c>
      <c r="CH29" s="97">
        <v>0</v>
      </c>
      <c r="CI29" s="97">
        <v>0</v>
      </c>
      <c r="CJ29" s="97">
        <v>0</v>
      </c>
      <c r="CK29" s="97">
        <v>0</v>
      </c>
      <c r="CL29" s="97">
        <v>0</v>
      </c>
      <c r="CM29" s="97">
        <v>0</v>
      </c>
      <c r="CN29" s="97">
        <v>0</v>
      </c>
      <c r="CO29" s="97">
        <v>0</v>
      </c>
      <c r="CP29" s="97">
        <v>0</v>
      </c>
      <c r="CQ29" s="97">
        <v>0</v>
      </c>
      <c r="CR29" s="97">
        <v>0</v>
      </c>
      <c r="CS29" s="97">
        <v>0</v>
      </c>
      <c r="CT29" s="97">
        <v>0</v>
      </c>
      <c r="CU29" s="97">
        <v>0</v>
      </c>
    </row>
    <row r="30" spans="2:99" x14ac:dyDescent="0.15">
      <c r="C30" s="96" t="s">
        <v>195</v>
      </c>
      <c r="D30" s="97">
        <v>0</v>
      </c>
      <c r="E30" s="97">
        <v>0</v>
      </c>
      <c r="F30" s="97">
        <v>0</v>
      </c>
      <c r="G30" s="97">
        <v>0</v>
      </c>
      <c r="H30" s="97">
        <v>0</v>
      </c>
      <c r="I30" s="97">
        <v>0</v>
      </c>
      <c r="J30" s="97">
        <v>0</v>
      </c>
      <c r="K30" s="97">
        <v>0</v>
      </c>
      <c r="L30" s="97">
        <v>0</v>
      </c>
      <c r="M30" s="97">
        <v>0</v>
      </c>
      <c r="N30" s="97">
        <v>0</v>
      </c>
      <c r="O30" s="97">
        <v>0</v>
      </c>
      <c r="P30" s="97">
        <v>0</v>
      </c>
      <c r="Q30" s="97">
        <v>0</v>
      </c>
      <c r="R30" s="97">
        <v>0</v>
      </c>
      <c r="S30" s="97">
        <v>0</v>
      </c>
      <c r="T30" s="97">
        <v>0</v>
      </c>
      <c r="U30" s="97">
        <v>0</v>
      </c>
      <c r="V30" s="97">
        <v>0</v>
      </c>
      <c r="W30" s="97">
        <v>0</v>
      </c>
      <c r="X30" s="97">
        <v>0</v>
      </c>
      <c r="Y30" s="97">
        <v>0</v>
      </c>
      <c r="Z30" s="97">
        <v>0</v>
      </c>
      <c r="AA30" s="97">
        <v>0</v>
      </c>
      <c r="AB30" s="97">
        <v>0</v>
      </c>
      <c r="AC30" s="97">
        <v>0</v>
      </c>
      <c r="AD30" s="97">
        <v>0</v>
      </c>
      <c r="AE30" s="97">
        <v>0</v>
      </c>
      <c r="AF30" s="97">
        <v>0</v>
      </c>
      <c r="AG30" s="97">
        <v>0</v>
      </c>
      <c r="AH30" s="97">
        <v>0</v>
      </c>
      <c r="AI30" s="97">
        <v>0</v>
      </c>
      <c r="AJ30" s="97">
        <v>0</v>
      </c>
      <c r="AK30" s="97">
        <v>0</v>
      </c>
      <c r="AL30" s="97">
        <v>0</v>
      </c>
      <c r="AM30" s="97">
        <v>0</v>
      </c>
      <c r="AN30" s="97">
        <v>0</v>
      </c>
      <c r="AO30" s="97">
        <v>0</v>
      </c>
      <c r="AP30" s="97">
        <v>0</v>
      </c>
      <c r="AQ30" s="97">
        <v>0</v>
      </c>
      <c r="AR30" s="97">
        <v>0</v>
      </c>
      <c r="AS30" s="97">
        <v>0</v>
      </c>
      <c r="AT30" s="97">
        <v>0</v>
      </c>
      <c r="AU30" s="97">
        <v>0</v>
      </c>
      <c r="AV30" s="97">
        <v>0</v>
      </c>
      <c r="AW30" s="97">
        <v>0</v>
      </c>
      <c r="AX30" s="97">
        <v>0</v>
      </c>
      <c r="AY30" s="97">
        <v>0</v>
      </c>
      <c r="AZ30" s="97">
        <v>0</v>
      </c>
      <c r="BA30" s="97">
        <v>0</v>
      </c>
      <c r="BB30" s="97">
        <v>0</v>
      </c>
      <c r="BC30" s="97">
        <v>0</v>
      </c>
      <c r="BD30" s="97">
        <v>0</v>
      </c>
      <c r="BE30" s="97">
        <v>0</v>
      </c>
      <c r="BF30" s="97">
        <v>0</v>
      </c>
      <c r="BG30" s="97">
        <v>0</v>
      </c>
      <c r="BH30" s="97">
        <v>0</v>
      </c>
      <c r="BI30" s="97">
        <v>0</v>
      </c>
      <c r="BJ30" s="97">
        <v>0</v>
      </c>
      <c r="BK30" s="97">
        <v>0</v>
      </c>
      <c r="BL30" s="97">
        <v>0</v>
      </c>
      <c r="BM30" s="97">
        <v>0</v>
      </c>
      <c r="BN30" s="97">
        <v>0</v>
      </c>
      <c r="BO30" s="97">
        <v>0</v>
      </c>
      <c r="BP30" s="97">
        <v>0</v>
      </c>
      <c r="BQ30" s="97">
        <v>0</v>
      </c>
      <c r="BR30" s="97">
        <v>0</v>
      </c>
      <c r="BS30" s="97">
        <v>0</v>
      </c>
      <c r="BT30" s="97">
        <v>0</v>
      </c>
      <c r="BU30" s="97">
        <v>0</v>
      </c>
      <c r="BV30" s="97">
        <v>0</v>
      </c>
      <c r="BW30" s="97">
        <v>0</v>
      </c>
      <c r="BX30" s="97">
        <v>0</v>
      </c>
      <c r="BY30" s="97">
        <v>0</v>
      </c>
      <c r="BZ30" s="97">
        <v>0</v>
      </c>
      <c r="CA30" s="97">
        <v>0</v>
      </c>
      <c r="CB30" s="97">
        <v>0</v>
      </c>
      <c r="CC30" s="97">
        <v>0</v>
      </c>
      <c r="CD30" s="97">
        <v>0</v>
      </c>
      <c r="CE30" s="97">
        <v>0</v>
      </c>
      <c r="CF30" s="97">
        <v>0</v>
      </c>
      <c r="CG30" s="97">
        <v>0</v>
      </c>
      <c r="CH30" s="97">
        <v>0</v>
      </c>
      <c r="CI30" s="97">
        <v>0</v>
      </c>
      <c r="CJ30" s="97">
        <v>0</v>
      </c>
      <c r="CK30" s="97">
        <v>0</v>
      </c>
      <c r="CL30" s="97">
        <v>0</v>
      </c>
      <c r="CM30" s="97">
        <v>0</v>
      </c>
      <c r="CN30" s="97">
        <v>0</v>
      </c>
      <c r="CO30" s="97">
        <v>0</v>
      </c>
      <c r="CP30" s="97">
        <v>0</v>
      </c>
      <c r="CQ30" s="97">
        <v>0</v>
      </c>
      <c r="CR30" s="97">
        <v>0</v>
      </c>
      <c r="CS30" s="97">
        <v>0</v>
      </c>
      <c r="CT30" s="97">
        <v>0</v>
      </c>
      <c r="CU30" s="97">
        <v>0</v>
      </c>
    </row>
    <row r="31" spans="2:99" x14ac:dyDescent="0.15">
      <c r="C31" s="96" t="s">
        <v>196</v>
      </c>
      <c r="D31" s="97">
        <v>0</v>
      </c>
      <c r="E31" s="97">
        <v>0</v>
      </c>
      <c r="F31" s="97">
        <v>0</v>
      </c>
      <c r="G31" s="97">
        <v>0</v>
      </c>
      <c r="H31" s="97">
        <v>0</v>
      </c>
      <c r="I31" s="97">
        <v>0</v>
      </c>
      <c r="J31" s="97">
        <v>0</v>
      </c>
      <c r="K31" s="97">
        <v>0</v>
      </c>
      <c r="L31" s="97">
        <v>0</v>
      </c>
      <c r="M31" s="97">
        <v>0</v>
      </c>
      <c r="N31" s="97">
        <v>0</v>
      </c>
      <c r="O31" s="97">
        <v>0</v>
      </c>
      <c r="P31" s="97">
        <v>0</v>
      </c>
      <c r="Q31" s="97">
        <v>0</v>
      </c>
      <c r="R31" s="97">
        <v>0</v>
      </c>
      <c r="S31" s="97">
        <v>0</v>
      </c>
      <c r="T31" s="97">
        <v>0</v>
      </c>
      <c r="U31" s="97">
        <v>0</v>
      </c>
      <c r="V31" s="97">
        <v>0</v>
      </c>
      <c r="W31" s="97">
        <v>0</v>
      </c>
      <c r="X31" s="97">
        <v>0</v>
      </c>
      <c r="Y31" s="97">
        <v>0</v>
      </c>
      <c r="Z31" s="97">
        <v>0</v>
      </c>
      <c r="AA31" s="97">
        <v>0</v>
      </c>
      <c r="AB31" s="97">
        <v>0</v>
      </c>
      <c r="AC31" s="97">
        <v>0</v>
      </c>
      <c r="AD31" s="97">
        <v>0</v>
      </c>
      <c r="AE31" s="97">
        <v>0</v>
      </c>
      <c r="AF31" s="97">
        <v>0</v>
      </c>
      <c r="AG31" s="97">
        <v>0</v>
      </c>
      <c r="AH31" s="97">
        <v>0</v>
      </c>
      <c r="AI31" s="97">
        <v>0</v>
      </c>
      <c r="AJ31" s="97">
        <v>0</v>
      </c>
      <c r="AK31" s="97">
        <v>0</v>
      </c>
      <c r="AL31" s="97">
        <v>0</v>
      </c>
      <c r="AM31" s="97">
        <v>0</v>
      </c>
      <c r="AN31" s="97">
        <v>0</v>
      </c>
      <c r="AO31" s="97">
        <v>0</v>
      </c>
      <c r="AP31" s="97">
        <v>0</v>
      </c>
      <c r="AQ31" s="97">
        <v>0</v>
      </c>
      <c r="AR31" s="97">
        <v>0</v>
      </c>
      <c r="AS31" s="97">
        <v>0</v>
      </c>
      <c r="AT31" s="97">
        <v>0</v>
      </c>
      <c r="AU31" s="97">
        <v>0</v>
      </c>
      <c r="AV31" s="97">
        <v>0</v>
      </c>
      <c r="AW31" s="97">
        <v>0</v>
      </c>
      <c r="AX31" s="97">
        <v>0</v>
      </c>
      <c r="AY31" s="97">
        <v>0</v>
      </c>
      <c r="AZ31" s="97">
        <v>0</v>
      </c>
      <c r="BA31" s="97">
        <v>0</v>
      </c>
      <c r="BB31" s="97">
        <v>0</v>
      </c>
      <c r="BC31" s="97">
        <v>0</v>
      </c>
      <c r="BD31" s="97">
        <v>0</v>
      </c>
      <c r="BE31" s="97">
        <v>0</v>
      </c>
      <c r="BF31" s="97">
        <v>0</v>
      </c>
      <c r="BG31" s="97">
        <v>0</v>
      </c>
      <c r="BH31" s="97">
        <v>0</v>
      </c>
      <c r="BI31" s="97">
        <v>0</v>
      </c>
      <c r="BJ31" s="97">
        <v>0</v>
      </c>
      <c r="BK31" s="97">
        <v>0</v>
      </c>
      <c r="BL31" s="97">
        <v>0</v>
      </c>
      <c r="BM31" s="97">
        <v>0</v>
      </c>
      <c r="BN31" s="97">
        <v>0</v>
      </c>
      <c r="BO31" s="97">
        <v>0</v>
      </c>
      <c r="BP31" s="97">
        <v>0</v>
      </c>
      <c r="BQ31" s="97">
        <v>0</v>
      </c>
      <c r="BR31" s="97">
        <v>0</v>
      </c>
      <c r="BS31" s="97">
        <v>0</v>
      </c>
      <c r="BT31" s="97">
        <v>0</v>
      </c>
      <c r="BU31" s="97">
        <v>0</v>
      </c>
      <c r="BV31" s="97">
        <v>0</v>
      </c>
      <c r="BW31" s="97">
        <v>0</v>
      </c>
      <c r="BX31" s="97">
        <v>0</v>
      </c>
      <c r="BY31" s="97">
        <v>0</v>
      </c>
      <c r="BZ31" s="97">
        <v>0</v>
      </c>
      <c r="CA31" s="97">
        <v>0</v>
      </c>
      <c r="CB31" s="97">
        <v>0</v>
      </c>
      <c r="CC31" s="97">
        <v>0</v>
      </c>
      <c r="CD31" s="97">
        <v>0</v>
      </c>
      <c r="CE31" s="97">
        <v>0</v>
      </c>
      <c r="CF31" s="97">
        <v>0</v>
      </c>
      <c r="CG31" s="97">
        <v>0</v>
      </c>
      <c r="CH31" s="97">
        <v>0</v>
      </c>
      <c r="CI31" s="97">
        <v>0</v>
      </c>
      <c r="CJ31" s="97">
        <v>0</v>
      </c>
      <c r="CK31" s="97">
        <v>0</v>
      </c>
      <c r="CL31" s="97">
        <v>0</v>
      </c>
      <c r="CM31" s="97">
        <v>0</v>
      </c>
      <c r="CN31" s="97">
        <v>0</v>
      </c>
      <c r="CO31" s="97">
        <v>0</v>
      </c>
      <c r="CP31" s="97">
        <v>0</v>
      </c>
      <c r="CQ31" s="97">
        <v>0</v>
      </c>
      <c r="CR31" s="97">
        <v>0</v>
      </c>
      <c r="CS31" s="97">
        <v>0</v>
      </c>
      <c r="CT31" s="97">
        <v>0</v>
      </c>
      <c r="CU31" s="97">
        <v>0</v>
      </c>
    </row>
    <row r="32" spans="2:99" x14ac:dyDescent="0.15">
      <c r="C32" s="96" t="s">
        <v>197</v>
      </c>
      <c r="D32" s="97">
        <v>0</v>
      </c>
      <c r="E32" s="97">
        <v>0</v>
      </c>
      <c r="F32" s="97">
        <v>0</v>
      </c>
      <c r="G32" s="97">
        <v>0</v>
      </c>
      <c r="H32" s="97">
        <v>0</v>
      </c>
      <c r="I32" s="97">
        <v>0</v>
      </c>
      <c r="J32" s="97">
        <v>0</v>
      </c>
      <c r="K32" s="97">
        <v>0</v>
      </c>
      <c r="L32" s="97">
        <v>0</v>
      </c>
      <c r="M32" s="97">
        <v>0</v>
      </c>
      <c r="N32" s="97">
        <v>0</v>
      </c>
      <c r="O32" s="97">
        <v>0</v>
      </c>
      <c r="P32" s="97">
        <v>0</v>
      </c>
      <c r="Q32" s="97">
        <v>0</v>
      </c>
      <c r="R32" s="97">
        <v>0</v>
      </c>
      <c r="S32" s="97">
        <v>0</v>
      </c>
      <c r="T32" s="97">
        <v>0</v>
      </c>
      <c r="U32" s="97">
        <v>0</v>
      </c>
      <c r="V32" s="97">
        <v>0</v>
      </c>
      <c r="W32" s="97">
        <v>0</v>
      </c>
      <c r="X32" s="97">
        <v>0</v>
      </c>
      <c r="Y32" s="97">
        <v>0</v>
      </c>
      <c r="Z32" s="97">
        <v>0</v>
      </c>
      <c r="AA32" s="97">
        <v>0</v>
      </c>
      <c r="AB32" s="97">
        <v>0</v>
      </c>
      <c r="AC32" s="97">
        <v>0</v>
      </c>
      <c r="AD32" s="97">
        <v>0</v>
      </c>
      <c r="AE32" s="97">
        <v>0</v>
      </c>
      <c r="AF32" s="97">
        <v>0</v>
      </c>
      <c r="AG32" s="97">
        <v>0</v>
      </c>
      <c r="AH32" s="97">
        <v>0</v>
      </c>
      <c r="AI32" s="97">
        <v>0</v>
      </c>
      <c r="AJ32" s="97">
        <v>0</v>
      </c>
      <c r="AK32" s="97">
        <v>0</v>
      </c>
      <c r="AL32" s="97">
        <v>0</v>
      </c>
      <c r="AM32" s="97">
        <v>0</v>
      </c>
      <c r="AN32" s="97">
        <v>0</v>
      </c>
      <c r="AO32" s="97">
        <v>0</v>
      </c>
      <c r="AP32" s="97">
        <v>0</v>
      </c>
      <c r="AQ32" s="97">
        <v>0</v>
      </c>
      <c r="AR32" s="97">
        <v>0</v>
      </c>
      <c r="AS32" s="97">
        <v>0</v>
      </c>
      <c r="AT32" s="97">
        <v>0</v>
      </c>
      <c r="AU32" s="97">
        <v>0</v>
      </c>
      <c r="AV32" s="97">
        <v>0</v>
      </c>
      <c r="AW32" s="97">
        <v>0</v>
      </c>
      <c r="AX32" s="97">
        <v>0</v>
      </c>
      <c r="AY32" s="97">
        <v>0</v>
      </c>
      <c r="AZ32" s="97">
        <v>0</v>
      </c>
      <c r="BA32" s="97">
        <v>0</v>
      </c>
      <c r="BB32" s="97">
        <v>0</v>
      </c>
      <c r="BC32" s="97">
        <v>0</v>
      </c>
      <c r="BD32" s="97">
        <v>0</v>
      </c>
      <c r="BE32" s="97">
        <v>0</v>
      </c>
      <c r="BF32" s="97">
        <v>0</v>
      </c>
      <c r="BG32" s="97">
        <v>0</v>
      </c>
      <c r="BH32" s="97">
        <v>0</v>
      </c>
      <c r="BI32" s="97">
        <v>0</v>
      </c>
      <c r="BJ32" s="97">
        <v>0</v>
      </c>
      <c r="BK32" s="97">
        <v>0</v>
      </c>
      <c r="BL32" s="97">
        <v>0</v>
      </c>
      <c r="BM32" s="97">
        <v>0</v>
      </c>
      <c r="BN32" s="97">
        <v>0</v>
      </c>
      <c r="BO32" s="97">
        <v>0</v>
      </c>
      <c r="BP32" s="97">
        <v>0</v>
      </c>
      <c r="BQ32" s="97">
        <v>0</v>
      </c>
      <c r="BR32" s="97">
        <v>0</v>
      </c>
      <c r="BS32" s="97">
        <v>0</v>
      </c>
      <c r="BT32" s="97">
        <v>0</v>
      </c>
      <c r="BU32" s="97">
        <v>0</v>
      </c>
      <c r="BV32" s="97">
        <v>0</v>
      </c>
      <c r="BW32" s="97">
        <v>0</v>
      </c>
      <c r="BX32" s="97">
        <v>0</v>
      </c>
      <c r="BY32" s="97">
        <v>0</v>
      </c>
      <c r="BZ32" s="97">
        <v>0</v>
      </c>
      <c r="CA32" s="97">
        <v>0</v>
      </c>
      <c r="CB32" s="97">
        <v>0</v>
      </c>
      <c r="CC32" s="97">
        <v>0</v>
      </c>
      <c r="CD32" s="97">
        <v>0</v>
      </c>
      <c r="CE32" s="97">
        <v>0</v>
      </c>
      <c r="CF32" s="97">
        <v>0</v>
      </c>
      <c r="CG32" s="97">
        <v>0</v>
      </c>
      <c r="CH32" s="97">
        <v>0</v>
      </c>
      <c r="CI32" s="97">
        <v>0</v>
      </c>
      <c r="CJ32" s="97">
        <v>0</v>
      </c>
      <c r="CK32" s="97">
        <v>0</v>
      </c>
      <c r="CL32" s="97">
        <v>0</v>
      </c>
      <c r="CM32" s="97">
        <v>0</v>
      </c>
      <c r="CN32" s="97">
        <v>0</v>
      </c>
      <c r="CO32" s="97">
        <v>0</v>
      </c>
      <c r="CP32" s="97">
        <v>0</v>
      </c>
      <c r="CQ32" s="97">
        <v>0</v>
      </c>
      <c r="CR32" s="97">
        <v>0</v>
      </c>
      <c r="CS32" s="97">
        <v>0</v>
      </c>
      <c r="CT32" s="97">
        <v>0</v>
      </c>
      <c r="CU32" s="97">
        <v>0</v>
      </c>
    </row>
    <row r="33" spans="2:99" x14ac:dyDescent="0.15">
      <c r="C33" s="96" t="s">
        <v>198</v>
      </c>
      <c r="D33" s="97">
        <v>0</v>
      </c>
      <c r="E33" s="97">
        <v>0</v>
      </c>
      <c r="F33" s="97">
        <v>0</v>
      </c>
      <c r="G33" s="97">
        <v>0</v>
      </c>
      <c r="H33" s="97">
        <v>0</v>
      </c>
      <c r="I33" s="97">
        <v>0</v>
      </c>
      <c r="J33" s="97">
        <v>0</v>
      </c>
      <c r="K33" s="97">
        <v>0</v>
      </c>
      <c r="L33" s="97">
        <v>0</v>
      </c>
      <c r="M33" s="97">
        <v>0</v>
      </c>
      <c r="N33" s="97">
        <v>0</v>
      </c>
      <c r="O33" s="97">
        <v>0</v>
      </c>
      <c r="P33" s="97">
        <v>0</v>
      </c>
      <c r="Q33" s="97">
        <v>0</v>
      </c>
      <c r="R33" s="97">
        <v>0</v>
      </c>
      <c r="S33" s="97">
        <v>0</v>
      </c>
      <c r="T33" s="97">
        <v>0</v>
      </c>
      <c r="U33" s="97">
        <v>0</v>
      </c>
      <c r="V33" s="97">
        <v>0</v>
      </c>
      <c r="W33" s="97">
        <v>0</v>
      </c>
      <c r="X33" s="97">
        <v>0</v>
      </c>
      <c r="Y33" s="97">
        <v>0</v>
      </c>
      <c r="Z33" s="97">
        <v>0</v>
      </c>
      <c r="AA33" s="97">
        <v>0</v>
      </c>
      <c r="AB33" s="97">
        <v>0</v>
      </c>
      <c r="AC33" s="97">
        <v>0</v>
      </c>
      <c r="AD33" s="97">
        <v>0</v>
      </c>
      <c r="AE33" s="97">
        <v>0</v>
      </c>
      <c r="AF33" s="97">
        <v>0</v>
      </c>
      <c r="AG33" s="97">
        <v>0</v>
      </c>
      <c r="AH33" s="97">
        <v>0</v>
      </c>
      <c r="AI33" s="97">
        <v>0</v>
      </c>
      <c r="AJ33" s="97">
        <v>0</v>
      </c>
      <c r="AK33" s="97">
        <v>0</v>
      </c>
      <c r="AL33" s="97">
        <v>0</v>
      </c>
      <c r="AM33" s="97">
        <v>0</v>
      </c>
      <c r="AN33" s="97">
        <v>0</v>
      </c>
      <c r="AO33" s="97">
        <v>0</v>
      </c>
      <c r="AP33" s="97">
        <v>0</v>
      </c>
      <c r="AQ33" s="97">
        <v>0</v>
      </c>
      <c r="AR33" s="97">
        <v>0</v>
      </c>
      <c r="AS33" s="97">
        <v>0</v>
      </c>
      <c r="AT33" s="97">
        <v>0</v>
      </c>
      <c r="AU33" s="97">
        <v>0</v>
      </c>
      <c r="AV33" s="97">
        <v>0</v>
      </c>
      <c r="AW33" s="97">
        <v>0</v>
      </c>
      <c r="AX33" s="97">
        <v>0</v>
      </c>
      <c r="AY33" s="97">
        <v>0</v>
      </c>
      <c r="AZ33" s="97">
        <v>0</v>
      </c>
      <c r="BA33" s="97">
        <v>0</v>
      </c>
      <c r="BB33" s="97">
        <v>0</v>
      </c>
      <c r="BC33" s="97">
        <v>0</v>
      </c>
      <c r="BD33" s="97">
        <v>0</v>
      </c>
      <c r="BE33" s="97">
        <v>0</v>
      </c>
      <c r="BF33" s="97">
        <v>0</v>
      </c>
      <c r="BG33" s="97">
        <v>0</v>
      </c>
      <c r="BH33" s="97">
        <v>0</v>
      </c>
      <c r="BI33" s="97">
        <v>0</v>
      </c>
      <c r="BJ33" s="97">
        <v>0</v>
      </c>
      <c r="BK33" s="97">
        <v>0</v>
      </c>
      <c r="BL33" s="97">
        <v>0</v>
      </c>
      <c r="BM33" s="97">
        <v>0</v>
      </c>
      <c r="BN33" s="97">
        <v>0</v>
      </c>
      <c r="BO33" s="97">
        <v>0</v>
      </c>
      <c r="BP33" s="97">
        <v>0</v>
      </c>
      <c r="BQ33" s="97">
        <v>0</v>
      </c>
      <c r="BR33" s="97">
        <v>0</v>
      </c>
      <c r="BS33" s="97">
        <v>0</v>
      </c>
      <c r="BT33" s="97">
        <v>0</v>
      </c>
      <c r="BU33" s="97">
        <v>0</v>
      </c>
      <c r="BV33" s="97">
        <v>0</v>
      </c>
      <c r="BW33" s="97">
        <v>0</v>
      </c>
      <c r="BX33" s="97">
        <v>0</v>
      </c>
      <c r="BY33" s="97">
        <v>0</v>
      </c>
      <c r="BZ33" s="97">
        <v>0</v>
      </c>
      <c r="CA33" s="97">
        <v>0</v>
      </c>
      <c r="CB33" s="97">
        <v>0</v>
      </c>
      <c r="CC33" s="97">
        <v>0</v>
      </c>
      <c r="CD33" s="97">
        <v>0</v>
      </c>
      <c r="CE33" s="97">
        <v>0</v>
      </c>
      <c r="CF33" s="97">
        <v>0</v>
      </c>
      <c r="CG33" s="97">
        <v>0</v>
      </c>
      <c r="CH33" s="97">
        <v>0</v>
      </c>
      <c r="CI33" s="97">
        <v>0</v>
      </c>
      <c r="CJ33" s="97">
        <v>0</v>
      </c>
      <c r="CK33" s="97">
        <v>0</v>
      </c>
      <c r="CL33" s="97">
        <v>0</v>
      </c>
      <c r="CM33" s="97">
        <v>0</v>
      </c>
      <c r="CN33" s="97">
        <v>0</v>
      </c>
      <c r="CO33" s="97">
        <v>0</v>
      </c>
      <c r="CP33" s="97">
        <v>0</v>
      </c>
      <c r="CQ33" s="97">
        <v>0</v>
      </c>
      <c r="CR33" s="97">
        <v>0</v>
      </c>
      <c r="CS33" s="97">
        <v>0</v>
      </c>
      <c r="CT33" s="97">
        <v>0</v>
      </c>
      <c r="CU33" s="97">
        <v>0</v>
      </c>
    </row>
    <row r="34" spans="2:99" x14ac:dyDescent="0.15">
      <c r="C34" s="96" t="s">
        <v>199</v>
      </c>
      <c r="D34" s="97">
        <v>0</v>
      </c>
      <c r="E34" s="97">
        <v>0</v>
      </c>
      <c r="F34" s="97">
        <v>0</v>
      </c>
      <c r="G34" s="97">
        <v>0</v>
      </c>
      <c r="H34" s="97">
        <v>0</v>
      </c>
      <c r="I34" s="97">
        <v>0</v>
      </c>
      <c r="J34" s="97">
        <v>0</v>
      </c>
      <c r="K34" s="97">
        <v>0</v>
      </c>
      <c r="L34" s="97">
        <v>0</v>
      </c>
      <c r="M34" s="97">
        <v>0</v>
      </c>
      <c r="N34" s="97">
        <v>0</v>
      </c>
      <c r="O34" s="97">
        <v>0</v>
      </c>
      <c r="P34" s="97">
        <v>0</v>
      </c>
      <c r="Q34" s="97">
        <v>0</v>
      </c>
      <c r="R34" s="97">
        <v>0</v>
      </c>
      <c r="S34" s="97">
        <v>0</v>
      </c>
      <c r="T34" s="97">
        <v>0</v>
      </c>
      <c r="U34" s="97">
        <v>0</v>
      </c>
      <c r="V34" s="97">
        <v>0</v>
      </c>
      <c r="W34" s="97">
        <v>0</v>
      </c>
      <c r="X34" s="97">
        <v>0</v>
      </c>
      <c r="Y34" s="97">
        <v>0</v>
      </c>
      <c r="Z34" s="97">
        <v>0</v>
      </c>
      <c r="AA34" s="97">
        <v>0</v>
      </c>
      <c r="AB34" s="97">
        <v>0</v>
      </c>
      <c r="AC34" s="97">
        <v>0</v>
      </c>
      <c r="AD34" s="97">
        <v>0</v>
      </c>
      <c r="AE34" s="97">
        <v>0</v>
      </c>
      <c r="AF34" s="97">
        <v>0</v>
      </c>
      <c r="AG34" s="97">
        <v>0</v>
      </c>
      <c r="AH34" s="97">
        <v>0</v>
      </c>
      <c r="AI34" s="97">
        <v>0</v>
      </c>
      <c r="AJ34" s="97">
        <v>0</v>
      </c>
      <c r="AK34" s="97">
        <v>0</v>
      </c>
      <c r="AL34" s="97">
        <v>0</v>
      </c>
      <c r="AM34" s="97">
        <v>0</v>
      </c>
      <c r="AN34" s="97">
        <v>0</v>
      </c>
      <c r="AO34" s="97">
        <v>0</v>
      </c>
      <c r="AP34" s="97">
        <v>0</v>
      </c>
      <c r="AQ34" s="97">
        <v>0</v>
      </c>
      <c r="AR34" s="97">
        <v>0</v>
      </c>
      <c r="AS34" s="97">
        <v>0</v>
      </c>
      <c r="AT34" s="97">
        <v>0</v>
      </c>
      <c r="AU34" s="97">
        <v>0</v>
      </c>
      <c r="AV34" s="97">
        <v>0</v>
      </c>
      <c r="AW34" s="97">
        <v>0</v>
      </c>
      <c r="AX34" s="97">
        <v>0</v>
      </c>
      <c r="AY34" s="97">
        <v>0</v>
      </c>
      <c r="AZ34" s="97">
        <v>0</v>
      </c>
      <c r="BA34" s="97">
        <v>0</v>
      </c>
      <c r="BB34" s="97">
        <v>0</v>
      </c>
      <c r="BC34" s="97">
        <v>0</v>
      </c>
      <c r="BD34" s="97">
        <v>0</v>
      </c>
      <c r="BE34" s="97">
        <v>0</v>
      </c>
      <c r="BF34" s="97">
        <v>0</v>
      </c>
      <c r="BG34" s="97">
        <v>0</v>
      </c>
      <c r="BH34" s="97">
        <v>0</v>
      </c>
      <c r="BI34" s="97">
        <v>0</v>
      </c>
      <c r="BJ34" s="97">
        <v>0</v>
      </c>
      <c r="BK34" s="97">
        <v>0</v>
      </c>
      <c r="BL34" s="97">
        <v>0</v>
      </c>
      <c r="BM34" s="97">
        <v>0</v>
      </c>
      <c r="BN34" s="97">
        <v>0</v>
      </c>
      <c r="BO34" s="97">
        <v>0</v>
      </c>
      <c r="BP34" s="97">
        <v>0</v>
      </c>
      <c r="BQ34" s="97">
        <v>0</v>
      </c>
      <c r="BR34" s="97">
        <v>0</v>
      </c>
      <c r="BS34" s="97">
        <v>0</v>
      </c>
      <c r="BT34" s="97">
        <v>0</v>
      </c>
      <c r="BU34" s="97">
        <v>0</v>
      </c>
      <c r="BV34" s="97">
        <v>0</v>
      </c>
      <c r="BW34" s="97">
        <v>0</v>
      </c>
      <c r="BX34" s="97">
        <v>0</v>
      </c>
      <c r="BY34" s="97">
        <v>0</v>
      </c>
      <c r="BZ34" s="97">
        <v>0</v>
      </c>
      <c r="CA34" s="97">
        <v>0</v>
      </c>
      <c r="CB34" s="97">
        <v>0</v>
      </c>
      <c r="CC34" s="97">
        <v>0</v>
      </c>
      <c r="CD34" s="97">
        <v>0</v>
      </c>
      <c r="CE34" s="97">
        <v>0</v>
      </c>
      <c r="CF34" s="97">
        <v>0</v>
      </c>
      <c r="CG34" s="97">
        <v>0</v>
      </c>
      <c r="CH34" s="97">
        <v>0</v>
      </c>
      <c r="CI34" s="97">
        <v>0</v>
      </c>
      <c r="CJ34" s="97">
        <v>0</v>
      </c>
      <c r="CK34" s="97">
        <v>0</v>
      </c>
      <c r="CL34" s="97">
        <v>0</v>
      </c>
      <c r="CM34" s="97">
        <v>0</v>
      </c>
      <c r="CN34" s="97">
        <v>0</v>
      </c>
      <c r="CO34" s="97">
        <v>0</v>
      </c>
      <c r="CP34" s="97">
        <v>0</v>
      </c>
      <c r="CQ34" s="97">
        <v>0</v>
      </c>
      <c r="CR34" s="97">
        <v>0</v>
      </c>
      <c r="CS34" s="97">
        <v>0</v>
      </c>
      <c r="CT34" s="97">
        <v>0</v>
      </c>
      <c r="CU34" s="97">
        <v>0</v>
      </c>
    </row>
    <row r="35" spans="2:99" x14ac:dyDescent="0.15">
      <c r="C35" s="96" t="s">
        <v>200</v>
      </c>
      <c r="D35" s="97">
        <v>0</v>
      </c>
      <c r="E35" s="97">
        <v>0</v>
      </c>
      <c r="F35" s="97">
        <v>0</v>
      </c>
      <c r="G35" s="97">
        <v>0</v>
      </c>
      <c r="H35" s="97">
        <v>0</v>
      </c>
      <c r="I35" s="97">
        <v>0</v>
      </c>
      <c r="J35" s="97">
        <v>0</v>
      </c>
      <c r="K35" s="97">
        <v>0</v>
      </c>
      <c r="L35" s="97">
        <v>0</v>
      </c>
      <c r="M35" s="97">
        <v>0</v>
      </c>
      <c r="N35" s="97">
        <v>0</v>
      </c>
      <c r="O35" s="97">
        <v>0</v>
      </c>
      <c r="P35" s="97">
        <v>0</v>
      </c>
      <c r="Q35" s="97">
        <v>0</v>
      </c>
      <c r="R35" s="97">
        <v>0</v>
      </c>
      <c r="S35" s="97">
        <v>0</v>
      </c>
      <c r="T35" s="97">
        <v>0</v>
      </c>
      <c r="U35" s="97">
        <v>0</v>
      </c>
      <c r="V35" s="97">
        <v>0</v>
      </c>
      <c r="W35" s="97">
        <v>0</v>
      </c>
      <c r="X35" s="97">
        <v>0</v>
      </c>
      <c r="Y35" s="97">
        <v>0</v>
      </c>
      <c r="Z35" s="97">
        <v>0</v>
      </c>
      <c r="AA35" s="97">
        <v>0</v>
      </c>
      <c r="AB35" s="97">
        <v>0</v>
      </c>
      <c r="AC35" s="97">
        <v>0</v>
      </c>
      <c r="AD35" s="97">
        <v>0</v>
      </c>
      <c r="AE35" s="97">
        <v>0</v>
      </c>
      <c r="AF35" s="97">
        <v>0</v>
      </c>
      <c r="AG35" s="97">
        <v>0</v>
      </c>
      <c r="AH35" s="97">
        <v>0</v>
      </c>
      <c r="AI35" s="97">
        <v>0</v>
      </c>
      <c r="AJ35" s="97">
        <v>0</v>
      </c>
      <c r="AK35" s="97">
        <v>0</v>
      </c>
      <c r="AL35" s="97">
        <v>0</v>
      </c>
      <c r="AM35" s="97">
        <v>0</v>
      </c>
      <c r="AN35" s="97">
        <v>0</v>
      </c>
      <c r="AO35" s="97">
        <v>0</v>
      </c>
      <c r="AP35" s="97">
        <v>0</v>
      </c>
      <c r="AQ35" s="97">
        <v>0</v>
      </c>
      <c r="AR35" s="97">
        <v>0</v>
      </c>
      <c r="AS35" s="97">
        <v>0</v>
      </c>
      <c r="AT35" s="97">
        <v>0</v>
      </c>
      <c r="AU35" s="97">
        <v>0</v>
      </c>
      <c r="AV35" s="97">
        <v>0</v>
      </c>
      <c r="AW35" s="97">
        <v>0</v>
      </c>
      <c r="AX35" s="97">
        <v>0</v>
      </c>
      <c r="AY35" s="97">
        <v>0</v>
      </c>
      <c r="AZ35" s="97">
        <v>0</v>
      </c>
      <c r="BA35" s="97">
        <v>0</v>
      </c>
      <c r="BB35" s="97">
        <v>0</v>
      </c>
      <c r="BC35" s="97">
        <v>0</v>
      </c>
      <c r="BD35" s="97">
        <v>0</v>
      </c>
      <c r="BE35" s="97">
        <v>0</v>
      </c>
      <c r="BF35" s="97">
        <v>0</v>
      </c>
      <c r="BG35" s="97">
        <v>0</v>
      </c>
      <c r="BH35" s="97">
        <v>0</v>
      </c>
      <c r="BI35" s="97">
        <v>0</v>
      </c>
      <c r="BJ35" s="97">
        <v>0</v>
      </c>
      <c r="BK35" s="97">
        <v>0</v>
      </c>
      <c r="BL35" s="97">
        <v>0</v>
      </c>
      <c r="BM35" s="97">
        <v>0</v>
      </c>
      <c r="BN35" s="97">
        <v>0</v>
      </c>
      <c r="BO35" s="97">
        <v>0</v>
      </c>
      <c r="BP35" s="97">
        <v>0</v>
      </c>
      <c r="BQ35" s="97">
        <v>0</v>
      </c>
      <c r="BR35" s="97">
        <v>0</v>
      </c>
      <c r="BS35" s="97">
        <v>0</v>
      </c>
      <c r="BT35" s="97">
        <v>0</v>
      </c>
      <c r="BU35" s="97">
        <v>0</v>
      </c>
      <c r="BV35" s="97">
        <v>0</v>
      </c>
      <c r="BW35" s="97">
        <v>0</v>
      </c>
      <c r="BX35" s="97">
        <v>0</v>
      </c>
      <c r="BY35" s="97">
        <v>0</v>
      </c>
      <c r="BZ35" s="97">
        <v>0</v>
      </c>
      <c r="CA35" s="97">
        <v>0</v>
      </c>
      <c r="CB35" s="97">
        <v>0</v>
      </c>
      <c r="CC35" s="97">
        <v>0</v>
      </c>
      <c r="CD35" s="97">
        <v>0</v>
      </c>
      <c r="CE35" s="97">
        <v>0</v>
      </c>
      <c r="CF35" s="97">
        <v>0</v>
      </c>
      <c r="CG35" s="97">
        <v>0</v>
      </c>
      <c r="CH35" s="97">
        <v>0</v>
      </c>
      <c r="CI35" s="97">
        <v>0</v>
      </c>
      <c r="CJ35" s="97">
        <v>0</v>
      </c>
      <c r="CK35" s="97">
        <v>0</v>
      </c>
      <c r="CL35" s="97">
        <v>0</v>
      </c>
      <c r="CM35" s="97">
        <v>0</v>
      </c>
      <c r="CN35" s="97">
        <v>0</v>
      </c>
      <c r="CO35" s="97">
        <v>0</v>
      </c>
      <c r="CP35" s="97">
        <v>0</v>
      </c>
      <c r="CQ35" s="97">
        <v>0</v>
      </c>
      <c r="CR35" s="97">
        <v>0</v>
      </c>
      <c r="CS35" s="97">
        <v>0</v>
      </c>
      <c r="CT35" s="97">
        <v>0</v>
      </c>
      <c r="CU35" s="97">
        <v>0</v>
      </c>
    </row>
    <row r="36" spans="2:99" x14ac:dyDescent="0.15">
      <c r="C36" s="96" t="s">
        <v>201</v>
      </c>
      <c r="D36" s="97">
        <v>0</v>
      </c>
      <c r="E36" s="97">
        <v>0</v>
      </c>
      <c r="F36" s="97">
        <v>0</v>
      </c>
      <c r="G36" s="97">
        <v>0</v>
      </c>
      <c r="H36" s="97">
        <v>0</v>
      </c>
      <c r="I36" s="97">
        <v>0</v>
      </c>
      <c r="J36" s="97">
        <v>0</v>
      </c>
      <c r="K36" s="97">
        <v>0</v>
      </c>
      <c r="L36" s="97">
        <v>0</v>
      </c>
      <c r="M36" s="97">
        <v>0</v>
      </c>
      <c r="N36" s="97">
        <v>0</v>
      </c>
      <c r="O36" s="97">
        <v>0</v>
      </c>
      <c r="P36" s="97">
        <v>0</v>
      </c>
      <c r="Q36" s="97">
        <v>0</v>
      </c>
      <c r="R36" s="97">
        <v>0</v>
      </c>
      <c r="S36" s="97">
        <v>0</v>
      </c>
      <c r="T36" s="97">
        <v>0</v>
      </c>
      <c r="U36" s="97">
        <v>0</v>
      </c>
      <c r="V36" s="97">
        <v>0</v>
      </c>
      <c r="W36" s="97">
        <v>0</v>
      </c>
      <c r="X36" s="97">
        <v>0</v>
      </c>
      <c r="Y36" s="97">
        <v>0</v>
      </c>
      <c r="Z36" s="97">
        <v>0</v>
      </c>
      <c r="AA36" s="97">
        <v>0</v>
      </c>
      <c r="AB36" s="97">
        <v>0</v>
      </c>
      <c r="AC36" s="97">
        <v>0</v>
      </c>
      <c r="AD36" s="97">
        <v>0</v>
      </c>
      <c r="AE36" s="97">
        <v>0</v>
      </c>
      <c r="AF36" s="97">
        <v>0</v>
      </c>
      <c r="AG36" s="97">
        <v>0</v>
      </c>
      <c r="AH36" s="97">
        <v>0</v>
      </c>
      <c r="AI36" s="97">
        <v>0</v>
      </c>
      <c r="AJ36" s="97">
        <v>0</v>
      </c>
      <c r="AK36" s="97">
        <v>0</v>
      </c>
      <c r="AL36" s="97">
        <v>0</v>
      </c>
      <c r="AM36" s="97">
        <v>0</v>
      </c>
      <c r="AN36" s="97">
        <v>0</v>
      </c>
      <c r="AO36" s="97">
        <v>0</v>
      </c>
      <c r="AP36" s="97">
        <v>0</v>
      </c>
      <c r="AQ36" s="97">
        <v>0</v>
      </c>
      <c r="AR36" s="97">
        <v>0</v>
      </c>
      <c r="AS36" s="97">
        <v>0</v>
      </c>
      <c r="AT36" s="97">
        <v>0</v>
      </c>
      <c r="AU36" s="97">
        <v>0</v>
      </c>
      <c r="AV36" s="97">
        <v>0</v>
      </c>
      <c r="AW36" s="97">
        <v>0</v>
      </c>
      <c r="AX36" s="97">
        <v>0</v>
      </c>
      <c r="AY36" s="97">
        <v>0</v>
      </c>
      <c r="AZ36" s="97">
        <v>0</v>
      </c>
      <c r="BA36" s="97">
        <v>0</v>
      </c>
      <c r="BB36" s="97">
        <v>0</v>
      </c>
      <c r="BC36" s="97">
        <v>0</v>
      </c>
      <c r="BD36" s="97">
        <v>0</v>
      </c>
      <c r="BE36" s="97">
        <v>0</v>
      </c>
      <c r="BF36" s="97">
        <v>0</v>
      </c>
      <c r="BG36" s="97">
        <v>0</v>
      </c>
      <c r="BH36" s="97">
        <v>0</v>
      </c>
      <c r="BI36" s="97">
        <v>0</v>
      </c>
      <c r="BJ36" s="97">
        <v>0</v>
      </c>
      <c r="BK36" s="97">
        <v>0</v>
      </c>
      <c r="BL36" s="97">
        <v>0</v>
      </c>
      <c r="BM36" s="97">
        <v>0</v>
      </c>
      <c r="BN36" s="97">
        <v>0</v>
      </c>
      <c r="BO36" s="97">
        <v>0</v>
      </c>
      <c r="BP36" s="97">
        <v>0</v>
      </c>
      <c r="BQ36" s="97">
        <v>0</v>
      </c>
      <c r="BR36" s="97">
        <v>0</v>
      </c>
      <c r="BS36" s="97">
        <v>0</v>
      </c>
      <c r="BT36" s="97">
        <v>0</v>
      </c>
      <c r="BU36" s="97">
        <v>0</v>
      </c>
      <c r="BV36" s="97">
        <v>0</v>
      </c>
      <c r="BW36" s="97">
        <v>0</v>
      </c>
      <c r="BX36" s="97">
        <v>0</v>
      </c>
      <c r="BY36" s="97">
        <v>0</v>
      </c>
      <c r="BZ36" s="97">
        <v>0</v>
      </c>
      <c r="CA36" s="97">
        <v>0</v>
      </c>
      <c r="CB36" s="97">
        <v>0</v>
      </c>
      <c r="CC36" s="97">
        <v>0</v>
      </c>
      <c r="CD36" s="97">
        <v>0</v>
      </c>
      <c r="CE36" s="97">
        <v>0</v>
      </c>
      <c r="CF36" s="97">
        <v>0</v>
      </c>
      <c r="CG36" s="97">
        <v>0</v>
      </c>
      <c r="CH36" s="97">
        <v>0</v>
      </c>
      <c r="CI36" s="97">
        <v>0</v>
      </c>
      <c r="CJ36" s="97">
        <v>0</v>
      </c>
      <c r="CK36" s="97">
        <v>0</v>
      </c>
      <c r="CL36" s="97">
        <v>0</v>
      </c>
      <c r="CM36" s="97">
        <v>0</v>
      </c>
      <c r="CN36" s="97">
        <v>0</v>
      </c>
      <c r="CO36" s="97">
        <v>0</v>
      </c>
      <c r="CP36" s="97">
        <v>0</v>
      </c>
      <c r="CQ36" s="97">
        <v>0</v>
      </c>
      <c r="CR36" s="97">
        <v>0</v>
      </c>
      <c r="CS36" s="97">
        <v>0</v>
      </c>
      <c r="CT36" s="97">
        <v>0</v>
      </c>
      <c r="CU36" s="97">
        <v>0</v>
      </c>
    </row>
    <row r="37" spans="2:99" x14ac:dyDescent="0.15">
      <c r="B37" s="96" t="s">
        <v>128</v>
      </c>
      <c r="C37" s="96" t="s">
        <v>202</v>
      </c>
      <c r="D37" s="97">
        <v>0</v>
      </c>
      <c r="E37" s="97">
        <v>0</v>
      </c>
      <c r="F37" s="97">
        <v>0</v>
      </c>
      <c r="G37" s="97">
        <v>0</v>
      </c>
      <c r="H37" s="97">
        <v>0</v>
      </c>
      <c r="I37" s="97">
        <v>0</v>
      </c>
      <c r="J37" s="97">
        <v>0</v>
      </c>
      <c r="K37" s="97">
        <v>0</v>
      </c>
      <c r="L37" s="97">
        <v>0</v>
      </c>
      <c r="M37" s="97">
        <v>0</v>
      </c>
      <c r="N37" s="97">
        <v>0</v>
      </c>
      <c r="O37" s="97">
        <v>0</v>
      </c>
      <c r="P37" s="97">
        <v>0</v>
      </c>
      <c r="Q37" s="97">
        <v>0</v>
      </c>
      <c r="R37" s="97">
        <v>0</v>
      </c>
      <c r="S37" s="97">
        <v>0</v>
      </c>
      <c r="T37" s="97">
        <v>0</v>
      </c>
      <c r="U37" s="97">
        <v>0</v>
      </c>
      <c r="V37" s="97">
        <v>0</v>
      </c>
      <c r="W37" s="97">
        <v>0</v>
      </c>
      <c r="X37" s="97">
        <v>0</v>
      </c>
      <c r="Y37" s="97">
        <v>0</v>
      </c>
      <c r="Z37" s="97">
        <v>0</v>
      </c>
      <c r="AA37" s="97">
        <v>0</v>
      </c>
      <c r="AB37" s="97">
        <v>0</v>
      </c>
      <c r="AC37" s="97">
        <v>0</v>
      </c>
      <c r="AD37" s="97">
        <v>0</v>
      </c>
      <c r="AE37" s="97">
        <v>0</v>
      </c>
      <c r="AF37" s="97">
        <v>0</v>
      </c>
      <c r="AG37" s="97">
        <v>0</v>
      </c>
      <c r="AH37" s="97">
        <v>0</v>
      </c>
      <c r="AI37" s="97">
        <v>0</v>
      </c>
      <c r="AJ37" s="97">
        <v>0</v>
      </c>
      <c r="AK37" s="97">
        <v>0</v>
      </c>
      <c r="AL37" s="97">
        <v>0</v>
      </c>
      <c r="AM37" s="97">
        <v>0</v>
      </c>
      <c r="AN37" s="97">
        <v>0</v>
      </c>
      <c r="AO37" s="97">
        <v>0</v>
      </c>
      <c r="AP37" s="97">
        <v>0</v>
      </c>
      <c r="AQ37" s="97">
        <v>0</v>
      </c>
      <c r="AR37" s="97">
        <v>0</v>
      </c>
      <c r="AS37" s="97">
        <v>0</v>
      </c>
      <c r="AT37" s="97">
        <v>0</v>
      </c>
      <c r="AU37" s="97">
        <v>0</v>
      </c>
      <c r="AV37" s="97">
        <v>0</v>
      </c>
      <c r="AW37" s="97">
        <v>0</v>
      </c>
      <c r="AX37" s="97">
        <v>0</v>
      </c>
      <c r="AY37" s="97">
        <v>0</v>
      </c>
      <c r="AZ37" s="97">
        <v>0</v>
      </c>
      <c r="BA37" s="97">
        <v>0</v>
      </c>
      <c r="BB37" s="97">
        <v>0</v>
      </c>
      <c r="BC37" s="97">
        <v>0</v>
      </c>
      <c r="BD37" s="97">
        <v>0</v>
      </c>
      <c r="BE37" s="97">
        <v>0</v>
      </c>
      <c r="BF37" s="97">
        <v>0</v>
      </c>
      <c r="BG37" s="97">
        <v>0</v>
      </c>
      <c r="BH37" s="97">
        <v>0</v>
      </c>
      <c r="BI37" s="97">
        <v>0</v>
      </c>
      <c r="BJ37" s="97">
        <v>0</v>
      </c>
      <c r="BK37" s="97">
        <v>0</v>
      </c>
      <c r="BL37" s="97">
        <v>0</v>
      </c>
      <c r="BM37" s="97">
        <v>0</v>
      </c>
      <c r="BN37" s="97">
        <v>0</v>
      </c>
      <c r="BO37" s="97">
        <v>0</v>
      </c>
      <c r="BP37" s="97">
        <v>0</v>
      </c>
      <c r="BQ37" s="97">
        <v>0</v>
      </c>
      <c r="BR37" s="97">
        <v>0</v>
      </c>
      <c r="BS37" s="97">
        <v>0</v>
      </c>
      <c r="BT37" s="97">
        <v>0</v>
      </c>
      <c r="BU37" s="97">
        <v>0</v>
      </c>
      <c r="BV37" s="97">
        <v>0</v>
      </c>
      <c r="BW37" s="97">
        <v>0</v>
      </c>
      <c r="BX37" s="97">
        <v>0</v>
      </c>
      <c r="BY37" s="97">
        <v>0</v>
      </c>
      <c r="BZ37" s="97">
        <v>0</v>
      </c>
      <c r="CA37" s="97">
        <v>0</v>
      </c>
      <c r="CB37" s="97">
        <v>0</v>
      </c>
      <c r="CC37" s="97">
        <v>0</v>
      </c>
      <c r="CD37" s="97">
        <v>0</v>
      </c>
      <c r="CE37" s="97">
        <v>0</v>
      </c>
      <c r="CF37" s="97">
        <v>0</v>
      </c>
      <c r="CG37" s="97">
        <v>0</v>
      </c>
      <c r="CH37" s="97">
        <v>0</v>
      </c>
      <c r="CI37" s="97">
        <v>0</v>
      </c>
      <c r="CJ37" s="97">
        <v>0</v>
      </c>
      <c r="CK37" s="97">
        <v>0</v>
      </c>
      <c r="CL37" s="97">
        <v>0</v>
      </c>
      <c r="CM37" s="97">
        <v>0</v>
      </c>
      <c r="CN37" s="97">
        <v>0</v>
      </c>
      <c r="CO37" s="97">
        <v>0</v>
      </c>
      <c r="CP37" s="97">
        <v>0</v>
      </c>
      <c r="CQ37" s="97">
        <v>0</v>
      </c>
      <c r="CR37" s="97">
        <v>0</v>
      </c>
      <c r="CS37" s="97">
        <v>0</v>
      </c>
      <c r="CT37" s="97">
        <v>0</v>
      </c>
      <c r="CU37" s="97">
        <v>0</v>
      </c>
    </row>
    <row r="38" spans="2:99" x14ac:dyDescent="0.15">
      <c r="C38" s="96" t="s">
        <v>203</v>
      </c>
      <c r="D38" s="97">
        <v>0</v>
      </c>
      <c r="E38" s="97">
        <v>0</v>
      </c>
      <c r="F38" s="97">
        <v>0</v>
      </c>
      <c r="G38" s="97">
        <v>0</v>
      </c>
      <c r="H38" s="97">
        <v>0</v>
      </c>
      <c r="I38" s="97">
        <v>0</v>
      </c>
      <c r="J38" s="97">
        <v>0</v>
      </c>
      <c r="K38" s="97">
        <v>0</v>
      </c>
      <c r="L38" s="97">
        <v>0</v>
      </c>
      <c r="M38" s="97">
        <v>0</v>
      </c>
      <c r="N38" s="97">
        <v>0</v>
      </c>
      <c r="O38" s="97">
        <v>0</v>
      </c>
      <c r="P38" s="97">
        <v>0</v>
      </c>
      <c r="Q38" s="97">
        <v>0</v>
      </c>
      <c r="R38" s="97">
        <v>0</v>
      </c>
      <c r="S38" s="97">
        <v>0</v>
      </c>
      <c r="T38" s="97">
        <v>0</v>
      </c>
      <c r="U38" s="97">
        <v>0</v>
      </c>
      <c r="V38" s="97">
        <v>0</v>
      </c>
      <c r="W38" s="97">
        <v>0</v>
      </c>
      <c r="X38" s="97">
        <v>0</v>
      </c>
      <c r="Y38" s="97">
        <v>0</v>
      </c>
      <c r="Z38" s="97">
        <v>0</v>
      </c>
      <c r="AA38" s="97">
        <v>0</v>
      </c>
      <c r="AB38" s="97">
        <v>0</v>
      </c>
      <c r="AC38" s="97">
        <v>0</v>
      </c>
      <c r="AD38" s="97">
        <v>0</v>
      </c>
      <c r="AE38" s="97">
        <v>0</v>
      </c>
      <c r="AF38" s="97">
        <v>0</v>
      </c>
      <c r="AG38" s="97">
        <v>0</v>
      </c>
      <c r="AH38" s="97">
        <v>0</v>
      </c>
      <c r="AI38" s="97">
        <v>0</v>
      </c>
      <c r="AJ38" s="97">
        <v>0</v>
      </c>
      <c r="AK38" s="97">
        <v>0</v>
      </c>
      <c r="AL38" s="97">
        <v>0</v>
      </c>
      <c r="AM38" s="97">
        <v>0</v>
      </c>
      <c r="AN38" s="97">
        <v>0</v>
      </c>
      <c r="AO38" s="97">
        <v>0</v>
      </c>
      <c r="AP38" s="97">
        <v>0</v>
      </c>
      <c r="AQ38" s="97">
        <v>0</v>
      </c>
      <c r="AR38" s="97">
        <v>0</v>
      </c>
      <c r="AS38" s="97">
        <v>0</v>
      </c>
      <c r="AT38" s="97">
        <v>0</v>
      </c>
      <c r="AU38" s="97">
        <v>0</v>
      </c>
      <c r="AV38" s="97">
        <v>0</v>
      </c>
      <c r="AW38" s="97">
        <v>0</v>
      </c>
      <c r="AX38" s="97">
        <v>0</v>
      </c>
      <c r="AY38" s="97">
        <v>0</v>
      </c>
      <c r="AZ38" s="97">
        <v>0</v>
      </c>
      <c r="BA38" s="97">
        <v>0</v>
      </c>
      <c r="BB38" s="97">
        <v>0</v>
      </c>
      <c r="BC38" s="97">
        <v>0</v>
      </c>
      <c r="BD38" s="97">
        <v>0</v>
      </c>
      <c r="BE38" s="97">
        <v>0</v>
      </c>
      <c r="BF38" s="97">
        <v>0</v>
      </c>
      <c r="BG38" s="97">
        <v>0</v>
      </c>
      <c r="BH38" s="97">
        <v>0</v>
      </c>
      <c r="BI38" s="97">
        <v>0</v>
      </c>
      <c r="BJ38" s="97">
        <v>0</v>
      </c>
      <c r="BK38" s="97">
        <v>0</v>
      </c>
      <c r="BL38" s="97">
        <v>0</v>
      </c>
      <c r="BM38" s="97">
        <v>0</v>
      </c>
      <c r="BN38" s="97">
        <v>0</v>
      </c>
      <c r="BO38" s="97">
        <v>0</v>
      </c>
      <c r="BP38" s="97">
        <v>0</v>
      </c>
      <c r="BQ38" s="97">
        <v>0</v>
      </c>
      <c r="BR38" s="97">
        <v>0</v>
      </c>
      <c r="BS38" s="97">
        <v>0</v>
      </c>
      <c r="BT38" s="97">
        <v>0</v>
      </c>
      <c r="BU38" s="97">
        <v>0</v>
      </c>
      <c r="BV38" s="97">
        <v>0</v>
      </c>
      <c r="BW38" s="97">
        <v>0</v>
      </c>
      <c r="BX38" s="97">
        <v>0</v>
      </c>
      <c r="BY38" s="97">
        <v>0</v>
      </c>
      <c r="BZ38" s="97">
        <v>0</v>
      </c>
      <c r="CA38" s="97">
        <v>0</v>
      </c>
      <c r="CB38" s="97">
        <v>0</v>
      </c>
      <c r="CC38" s="97">
        <v>0</v>
      </c>
      <c r="CD38" s="97">
        <v>0</v>
      </c>
      <c r="CE38" s="97">
        <v>0</v>
      </c>
      <c r="CF38" s="97">
        <v>0</v>
      </c>
      <c r="CG38" s="97">
        <v>0</v>
      </c>
      <c r="CH38" s="97">
        <v>0</v>
      </c>
      <c r="CI38" s="97">
        <v>0</v>
      </c>
      <c r="CJ38" s="97">
        <v>0</v>
      </c>
      <c r="CK38" s="97">
        <v>0</v>
      </c>
      <c r="CL38" s="97">
        <v>0</v>
      </c>
      <c r="CM38" s="97">
        <v>0</v>
      </c>
      <c r="CN38" s="97">
        <v>0</v>
      </c>
      <c r="CO38" s="97">
        <v>0</v>
      </c>
      <c r="CP38" s="97">
        <v>0</v>
      </c>
      <c r="CQ38" s="97">
        <v>0</v>
      </c>
      <c r="CR38" s="97">
        <v>0</v>
      </c>
      <c r="CS38" s="97">
        <v>0</v>
      </c>
      <c r="CT38" s="97">
        <v>0</v>
      </c>
      <c r="CU38" s="97">
        <v>0</v>
      </c>
    </row>
    <row r="39" spans="2:99" x14ac:dyDescent="0.15">
      <c r="C39" s="96" t="s">
        <v>204</v>
      </c>
      <c r="D39" s="97">
        <v>0</v>
      </c>
      <c r="E39" s="97">
        <v>0</v>
      </c>
      <c r="F39" s="97">
        <v>0</v>
      </c>
      <c r="G39" s="97">
        <v>0</v>
      </c>
      <c r="H39" s="97">
        <v>0</v>
      </c>
      <c r="I39" s="97">
        <v>0</v>
      </c>
      <c r="J39" s="97">
        <v>0</v>
      </c>
      <c r="K39" s="97">
        <v>0</v>
      </c>
      <c r="L39" s="97">
        <v>0</v>
      </c>
      <c r="M39" s="97">
        <v>0</v>
      </c>
      <c r="N39" s="97">
        <v>0</v>
      </c>
      <c r="O39" s="97">
        <v>0</v>
      </c>
      <c r="P39" s="97">
        <v>0</v>
      </c>
      <c r="Q39" s="97">
        <v>0</v>
      </c>
      <c r="R39" s="97">
        <v>0</v>
      </c>
      <c r="S39" s="97">
        <v>0</v>
      </c>
      <c r="T39" s="97">
        <v>0</v>
      </c>
      <c r="U39" s="97">
        <v>0</v>
      </c>
      <c r="V39" s="97">
        <v>0</v>
      </c>
      <c r="W39" s="97">
        <v>0</v>
      </c>
      <c r="X39" s="97">
        <v>0</v>
      </c>
      <c r="Y39" s="97">
        <v>0</v>
      </c>
      <c r="Z39" s="97">
        <v>0</v>
      </c>
      <c r="AA39" s="97">
        <v>0</v>
      </c>
      <c r="AB39" s="97">
        <v>0</v>
      </c>
      <c r="AC39" s="97">
        <v>0</v>
      </c>
      <c r="AD39" s="97">
        <v>0</v>
      </c>
      <c r="AE39" s="97">
        <v>0</v>
      </c>
      <c r="AF39" s="97">
        <v>0</v>
      </c>
      <c r="AG39" s="97">
        <v>0</v>
      </c>
      <c r="AH39" s="97">
        <v>0</v>
      </c>
      <c r="AI39" s="97">
        <v>0</v>
      </c>
      <c r="AJ39" s="97">
        <v>0</v>
      </c>
      <c r="AK39" s="97">
        <v>0</v>
      </c>
      <c r="AL39" s="97">
        <v>0</v>
      </c>
      <c r="AM39" s="97">
        <v>0</v>
      </c>
      <c r="AN39" s="97">
        <v>0</v>
      </c>
      <c r="AO39" s="97">
        <v>0</v>
      </c>
      <c r="AP39" s="97">
        <v>0</v>
      </c>
      <c r="AQ39" s="97">
        <v>0</v>
      </c>
      <c r="AR39" s="97">
        <v>0</v>
      </c>
      <c r="AS39" s="97">
        <v>0</v>
      </c>
      <c r="AT39" s="97">
        <v>0</v>
      </c>
      <c r="AU39" s="97">
        <v>0</v>
      </c>
      <c r="AV39" s="97">
        <v>0</v>
      </c>
      <c r="AW39" s="97">
        <v>0</v>
      </c>
      <c r="AX39" s="97">
        <v>0</v>
      </c>
      <c r="AY39" s="97">
        <v>0</v>
      </c>
      <c r="AZ39" s="97">
        <v>0</v>
      </c>
      <c r="BA39" s="97">
        <v>0</v>
      </c>
      <c r="BB39" s="97">
        <v>0</v>
      </c>
      <c r="BC39" s="97">
        <v>0</v>
      </c>
      <c r="BD39" s="97">
        <v>0</v>
      </c>
      <c r="BE39" s="97">
        <v>0</v>
      </c>
      <c r="BF39" s="97">
        <v>0</v>
      </c>
      <c r="BG39" s="97">
        <v>0</v>
      </c>
      <c r="BH39" s="97">
        <v>0</v>
      </c>
      <c r="BI39" s="97">
        <v>0</v>
      </c>
      <c r="BJ39" s="97">
        <v>0</v>
      </c>
      <c r="BK39" s="97">
        <v>0</v>
      </c>
      <c r="BL39" s="97">
        <v>0</v>
      </c>
      <c r="BM39" s="97">
        <v>0</v>
      </c>
      <c r="BN39" s="97">
        <v>0</v>
      </c>
      <c r="BO39" s="97">
        <v>0</v>
      </c>
      <c r="BP39" s="97">
        <v>0</v>
      </c>
      <c r="BQ39" s="97">
        <v>0</v>
      </c>
      <c r="BR39" s="97">
        <v>0</v>
      </c>
      <c r="BS39" s="97">
        <v>0</v>
      </c>
      <c r="BT39" s="97">
        <v>0</v>
      </c>
      <c r="BU39" s="97">
        <v>0</v>
      </c>
      <c r="BV39" s="97">
        <v>0</v>
      </c>
      <c r="BW39" s="97">
        <v>0</v>
      </c>
      <c r="BX39" s="97">
        <v>0</v>
      </c>
      <c r="BY39" s="97">
        <v>0</v>
      </c>
      <c r="BZ39" s="97">
        <v>0</v>
      </c>
      <c r="CA39" s="97">
        <v>0</v>
      </c>
      <c r="CB39" s="97">
        <v>0</v>
      </c>
      <c r="CC39" s="97">
        <v>0</v>
      </c>
      <c r="CD39" s="97">
        <v>0</v>
      </c>
      <c r="CE39" s="97">
        <v>0</v>
      </c>
      <c r="CF39" s="97">
        <v>0</v>
      </c>
      <c r="CG39" s="97">
        <v>0</v>
      </c>
      <c r="CH39" s="97">
        <v>0</v>
      </c>
      <c r="CI39" s="97">
        <v>0</v>
      </c>
      <c r="CJ39" s="97">
        <v>0</v>
      </c>
      <c r="CK39" s="97">
        <v>0</v>
      </c>
      <c r="CL39" s="97">
        <v>0</v>
      </c>
      <c r="CM39" s="97">
        <v>0</v>
      </c>
      <c r="CN39" s="97">
        <v>0</v>
      </c>
      <c r="CO39" s="97">
        <v>0</v>
      </c>
      <c r="CP39" s="97">
        <v>0</v>
      </c>
      <c r="CQ39" s="97">
        <v>0</v>
      </c>
      <c r="CR39" s="97">
        <v>0</v>
      </c>
      <c r="CS39" s="97">
        <v>0</v>
      </c>
      <c r="CT39" s="97">
        <v>0</v>
      </c>
      <c r="CU39" s="97">
        <v>0</v>
      </c>
    </row>
    <row r="40" spans="2:99" x14ac:dyDescent="0.15">
      <c r="C40" s="96" t="s">
        <v>205</v>
      </c>
      <c r="D40" s="97">
        <v>0</v>
      </c>
      <c r="E40" s="97">
        <v>0</v>
      </c>
      <c r="F40" s="97">
        <v>0</v>
      </c>
      <c r="G40" s="97">
        <v>0</v>
      </c>
      <c r="H40" s="97">
        <v>0</v>
      </c>
      <c r="I40" s="97">
        <v>0</v>
      </c>
      <c r="J40" s="97">
        <v>0</v>
      </c>
      <c r="K40" s="97">
        <v>0</v>
      </c>
      <c r="L40" s="97">
        <v>0</v>
      </c>
      <c r="M40" s="97">
        <v>0</v>
      </c>
      <c r="N40" s="97">
        <v>0</v>
      </c>
      <c r="O40" s="97">
        <v>0</v>
      </c>
      <c r="P40" s="97">
        <v>0</v>
      </c>
      <c r="Q40" s="97">
        <v>0</v>
      </c>
      <c r="R40" s="97">
        <v>0</v>
      </c>
      <c r="S40" s="97">
        <v>0</v>
      </c>
      <c r="T40" s="97">
        <v>0</v>
      </c>
      <c r="U40" s="97">
        <v>0</v>
      </c>
      <c r="V40" s="97">
        <v>0</v>
      </c>
      <c r="W40" s="97">
        <v>0</v>
      </c>
      <c r="X40" s="97">
        <v>0</v>
      </c>
      <c r="Y40" s="97">
        <v>0</v>
      </c>
      <c r="Z40" s="97">
        <v>0</v>
      </c>
      <c r="AA40" s="97">
        <v>0</v>
      </c>
      <c r="AB40" s="97">
        <v>0</v>
      </c>
      <c r="AC40" s="97">
        <v>0</v>
      </c>
      <c r="AD40" s="97">
        <v>0</v>
      </c>
      <c r="AE40" s="97">
        <v>0</v>
      </c>
      <c r="AF40" s="97">
        <v>0</v>
      </c>
      <c r="AG40" s="97">
        <v>0</v>
      </c>
      <c r="AH40" s="97">
        <v>0</v>
      </c>
      <c r="AI40" s="97">
        <v>0</v>
      </c>
      <c r="AJ40" s="97">
        <v>0</v>
      </c>
      <c r="AK40" s="97">
        <v>0</v>
      </c>
      <c r="AL40" s="97">
        <v>0</v>
      </c>
      <c r="AM40" s="97">
        <v>0</v>
      </c>
      <c r="AN40" s="97">
        <v>0</v>
      </c>
      <c r="AO40" s="97">
        <v>0</v>
      </c>
      <c r="AP40" s="97">
        <v>0</v>
      </c>
      <c r="AQ40" s="97">
        <v>0</v>
      </c>
      <c r="AR40" s="97">
        <v>0</v>
      </c>
      <c r="AS40" s="97">
        <v>0</v>
      </c>
      <c r="AT40" s="97">
        <v>0</v>
      </c>
      <c r="AU40" s="97">
        <v>0</v>
      </c>
      <c r="AV40" s="97">
        <v>0</v>
      </c>
      <c r="AW40" s="97">
        <v>0</v>
      </c>
      <c r="AX40" s="97">
        <v>0</v>
      </c>
      <c r="AY40" s="97">
        <v>0</v>
      </c>
      <c r="AZ40" s="97">
        <v>0</v>
      </c>
      <c r="BA40" s="97">
        <v>0</v>
      </c>
      <c r="BB40" s="97">
        <v>0</v>
      </c>
      <c r="BC40" s="97">
        <v>0</v>
      </c>
      <c r="BD40" s="97">
        <v>0</v>
      </c>
      <c r="BE40" s="97">
        <v>0</v>
      </c>
      <c r="BF40" s="97">
        <v>0</v>
      </c>
      <c r="BG40" s="97">
        <v>0</v>
      </c>
      <c r="BH40" s="97">
        <v>0</v>
      </c>
      <c r="BI40" s="97">
        <v>0</v>
      </c>
      <c r="BJ40" s="97">
        <v>0</v>
      </c>
      <c r="BK40" s="97">
        <v>0</v>
      </c>
      <c r="BL40" s="97">
        <v>0</v>
      </c>
      <c r="BM40" s="97">
        <v>0</v>
      </c>
      <c r="BN40" s="97">
        <v>0</v>
      </c>
      <c r="BO40" s="97">
        <v>0</v>
      </c>
      <c r="BP40" s="97">
        <v>0</v>
      </c>
      <c r="BQ40" s="97">
        <v>0</v>
      </c>
      <c r="BR40" s="97">
        <v>0</v>
      </c>
      <c r="BS40" s="97">
        <v>0</v>
      </c>
      <c r="BT40" s="97">
        <v>0</v>
      </c>
      <c r="BU40" s="97">
        <v>0</v>
      </c>
      <c r="BV40" s="97">
        <v>0</v>
      </c>
      <c r="BW40" s="97">
        <v>0</v>
      </c>
      <c r="BX40" s="97">
        <v>0</v>
      </c>
      <c r="BY40" s="97">
        <v>0</v>
      </c>
      <c r="BZ40" s="97">
        <v>0</v>
      </c>
      <c r="CA40" s="97">
        <v>0</v>
      </c>
      <c r="CB40" s="97">
        <v>0</v>
      </c>
      <c r="CC40" s="97">
        <v>0</v>
      </c>
      <c r="CD40" s="97">
        <v>0</v>
      </c>
      <c r="CE40" s="97">
        <v>0</v>
      </c>
      <c r="CF40" s="97">
        <v>0</v>
      </c>
      <c r="CG40" s="97">
        <v>0</v>
      </c>
      <c r="CH40" s="97">
        <v>0</v>
      </c>
      <c r="CI40" s="97">
        <v>0</v>
      </c>
      <c r="CJ40" s="97">
        <v>0</v>
      </c>
      <c r="CK40" s="97">
        <v>0</v>
      </c>
      <c r="CL40" s="97">
        <v>0</v>
      </c>
      <c r="CM40" s="97">
        <v>0</v>
      </c>
      <c r="CN40" s="97">
        <v>0</v>
      </c>
      <c r="CO40" s="97">
        <v>0</v>
      </c>
      <c r="CP40" s="97">
        <v>0</v>
      </c>
      <c r="CQ40" s="97">
        <v>0</v>
      </c>
      <c r="CR40" s="97">
        <v>0</v>
      </c>
      <c r="CS40" s="97">
        <v>0</v>
      </c>
      <c r="CT40" s="97">
        <v>0</v>
      </c>
      <c r="CU40" s="97">
        <v>0</v>
      </c>
    </row>
    <row r="41" spans="2:99" x14ac:dyDescent="0.15">
      <c r="C41" s="96" t="s">
        <v>206</v>
      </c>
      <c r="D41" s="97">
        <v>0</v>
      </c>
      <c r="E41" s="97">
        <v>0</v>
      </c>
      <c r="F41" s="97">
        <v>0</v>
      </c>
      <c r="G41" s="97">
        <v>0</v>
      </c>
      <c r="H41" s="97">
        <v>0</v>
      </c>
      <c r="I41" s="97">
        <v>0</v>
      </c>
      <c r="J41" s="97">
        <v>0</v>
      </c>
      <c r="K41" s="97">
        <v>0</v>
      </c>
      <c r="L41" s="97">
        <v>0</v>
      </c>
      <c r="M41" s="97">
        <v>0</v>
      </c>
      <c r="N41" s="97">
        <v>0</v>
      </c>
      <c r="O41" s="97">
        <v>0</v>
      </c>
      <c r="P41" s="97">
        <v>0</v>
      </c>
      <c r="Q41" s="97">
        <v>0</v>
      </c>
      <c r="R41" s="97">
        <v>0</v>
      </c>
      <c r="S41" s="97">
        <v>0</v>
      </c>
      <c r="T41" s="97">
        <v>0</v>
      </c>
      <c r="U41" s="97">
        <v>0</v>
      </c>
      <c r="V41" s="97">
        <v>0</v>
      </c>
      <c r="W41" s="97">
        <v>0</v>
      </c>
      <c r="X41" s="97">
        <v>0</v>
      </c>
      <c r="Y41" s="97">
        <v>0</v>
      </c>
      <c r="Z41" s="97">
        <v>0</v>
      </c>
      <c r="AA41" s="97">
        <v>0</v>
      </c>
      <c r="AB41" s="97">
        <v>0</v>
      </c>
      <c r="AC41" s="97">
        <v>0</v>
      </c>
      <c r="AD41" s="97">
        <v>0</v>
      </c>
      <c r="AE41" s="97">
        <v>0</v>
      </c>
      <c r="AF41" s="97">
        <v>0</v>
      </c>
      <c r="AG41" s="97">
        <v>0</v>
      </c>
      <c r="AH41" s="97">
        <v>0</v>
      </c>
      <c r="AI41" s="97">
        <v>0</v>
      </c>
      <c r="AJ41" s="97">
        <v>0</v>
      </c>
      <c r="AK41" s="97">
        <v>0</v>
      </c>
      <c r="AL41" s="97">
        <v>0</v>
      </c>
      <c r="AM41" s="97">
        <v>0</v>
      </c>
      <c r="AN41" s="97">
        <v>0</v>
      </c>
      <c r="AO41" s="97">
        <v>0</v>
      </c>
      <c r="AP41" s="97">
        <v>0</v>
      </c>
      <c r="AQ41" s="97">
        <v>0</v>
      </c>
      <c r="AR41" s="97">
        <v>0</v>
      </c>
      <c r="AS41" s="97">
        <v>0</v>
      </c>
      <c r="AT41" s="97">
        <v>0</v>
      </c>
      <c r="AU41" s="97">
        <v>0</v>
      </c>
      <c r="AV41" s="97">
        <v>0</v>
      </c>
      <c r="AW41" s="97">
        <v>0</v>
      </c>
      <c r="AX41" s="97">
        <v>0</v>
      </c>
      <c r="AY41" s="97">
        <v>0</v>
      </c>
      <c r="AZ41" s="97">
        <v>0</v>
      </c>
      <c r="BA41" s="97">
        <v>0</v>
      </c>
      <c r="BB41" s="97">
        <v>0</v>
      </c>
      <c r="BC41" s="97">
        <v>0</v>
      </c>
      <c r="BD41" s="97">
        <v>0</v>
      </c>
      <c r="BE41" s="97">
        <v>0</v>
      </c>
      <c r="BF41" s="97">
        <v>0</v>
      </c>
      <c r="BG41" s="97">
        <v>0</v>
      </c>
      <c r="BH41" s="97">
        <v>0</v>
      </c>
      <c r="BI41" s="97">
        <v>0</v>
      </c>
      <c r="BJ41" s="97">
        <v>0</v>
      </c>
      <c r="BK41" s="97">
        <v>0</v>
      </c>
      <c r="BL41" s="97">
        <v>0</v>
      </c>
      <c r="BM41" s="97">
        <v>0</v>
      </c>
      <c r="BN41" s="97">
        <v>0</v>
      </c>
      <c r="BO41" s="97">
        <v>0</v>
      </c>
      <c r="BP41" s="97">
        <v>0</v>
      </c>
      <c r="BQ41" s="97">
        <v>0</v>
      </c>
      <c r="BR41" s="97">
        <v>0</v>
      </c>
      <c r="BS41" s="97">
        <v>0</v>
      </c>
      <c r="BT41" s="97">
        <v>0</v>
      </c>
      <c r="BU41" s="97">
        <v>0</v>
      </c>
      <c r="BV41" s="97">
        <v>0</v>
      </c>
      <c r="BW41" s="97">
        <v>0</v>
      </c>
      <c r="BX41" s="97">
        <v>0</v>
      </c>
      <c r="BY41" s="97">
        <v>0</v>
      </c>
      <c r="BZ41" s="97">
        <v>0</v>
      </c>
      <c r="CA41" s="97">
        <v>0</v>
      </c>
      <c r="CB41" s="97">
        <v>0</v>
      </c>
      <c r="CC41" s="97">
        <v>0</v>
      </c>
      <c r="CD41" s="97">
        <v>0</v>
      </c>
      <c r="CE41" s="97">
        <v>0</v>
      </c>
      <c r="CF41" s="97">
        <v>0</v>
      </c>
      <c r="CG41" s="97">
        <v>0</v>
      </c>
      <c r="CH41" s="97">
        <v>0</v>
      </c>
      <c r="CI41" s="97">
        <v>0</v>
      </c>
      <c r="CJ41" s="97">
        <v>0</v>
      </c>
      <c r="CK41" s="97">
        <v>0</v>
      </c>
      <c r="CL41" s="97">
        <v>0</v>
      </c>
      <c r="CM41" s="97">
        <v>0</v>
      </c>
      <c r="CN41" s="97">
        <v>0</v>
      </c>
      <c r="CO41" s="97">
        <v>0</v>
      </c>
      <c r="CP41" s="97">
        <v>0</v>
      </c>
      <c r="CQ41" s="97">
        <v>0</v>
      </c>
      <c r="CR41" s="97">
        <v>0</v>
      </c>
      <c r="CS41" s="97">
        <v>0</v>
      </c>
      <c r="CT41" s="97">
        <v>0</v>
      </c>
      <c r="CU41" s="97">
        <v>0</v>
      </c>
    </row>
    <row r="42" spans="2:99" x14ac:dyDescent="0.15">
      <c r="C42" s="96" t="s">
        <v>207</v>
      </c>
      <c r="D42" s="97">
        <v>0</v>
      </c>
      <c r="E42" s="97">
        <v>0</v>
      </c>
      <c r="F42" s="97">
        <v>0</v>
      </c>
      <c r="G42" s="97">
        <v>0</v>
      </c>
      <c r="H42" s="97">
        <v>0</v>
      </c>
      <c r="I42" s="97">
        <v>0</v>
      </c>
      <c r="J42" s="97">
        <v>0</v>
      </c>
      <c r="K42" s="97">
        <v>0</v>
      </c>
      <c r="L42" s="97">
        <v>0</v>
      </c>
      <c r="M42" s="97">
        <v>0</v>
      </c>
      <c r="N42" s="97">
        <v>0</v>
      </c>
      <c r="O42" s="97">
        <v>0</v>
      </c>
      <c r="P42" s="97">
        <v>0</v>
      </c>
      <c r="Q42" s="97">
        <v>0</v>
      </c>
      <c r="R42" s="97">
        <v>0</v>
      </c>
      <c r="S42" s="97">
        <v>0</v>
      </c>
      <c r="T42" s="97">
        <v>0</v>
      </c>
      <c r="U42" s="97">
        <v>0</v>
      </c>
      <c r="V42" s="97">
        <v>0</v>
      </c>
      <c r="W42" s="97">
        <v>0</v>
      </c>
      <c r="X42" s="97">
        <v>0</v>
      </c>
      <c r="Y42" s="97">
        <v>0</v>
      </c>
      <c r="Z42" s="97">
        <v>0</v>
      </c>
      <c r="AA42" s="97">
        <v>0</v>
      </c>
      <c r="AB42" s="97">
        <v>0</v>
      </c>
      <c r="AC42" s="97">
        <v>0</v>
      </c>
      <c r="AD42" s="97">
        <v>0</v>
      </c>
      <c r="AE42" s="97">
        <v>0</v>
      </c>
      <c r="AF42" s="97">
        <v>0</v>
      </c>
      <c r="AG42" s="97">
        <v>0</v>
      </c>
      <c r="AH42" s="97">
        <v>0</v>
      </c>
      <c r="AI42" s="97">
        <v>0</v>
      </c>
      <c r="AJ42" s="97">
        <v>0</v>
      </c>
      <c r="AK42" s="97">
        <v>0</v>
      </c>
      <c r="AL42" s="97">
        <v>0</v>
      </c>
      <c r="AM42" s="97">
        <v>0</v>
      </c>
      <c r="AN42" s="97">
        <v>0</v>
      </c>
      <c r="AO42" s="97">
        <v>0</v>
      </c>
      <c r="AP42" s="97">
        <v>0</v>
      </c>
      <c r="AQ42" s="97">
        <v>0</v>
      </c>
      <c r="AR42" s="97">
        <v>0</v>
      </c>
      <c r="AS42" s="97">
        <v>0</v>
      </c>
      <c r="AT42" s="97">
        <v>0</v>
      </c>
      <c r="AU42" s="97">
        <v>0</v>
      </c>
      <c r="AV42" s="97">
        <v>0</v>
      </c>
      <c r="AW42" s="97">
        <v>0</v>
      </c>
      <c r="AX42" s="97">
        <v>0</v>
      </c>
      <c r="AY42" s="97">
        <v>0</v>
      </c>
      <c r="AZ42" s="97">
        <v>0</v>
      </c>
      <c r="BA42" s="97">
        <v>0</v>
      </c>
      <c r="BB42" s="97">
        <v>0</v>
      </c>
      <c r="BC42" s="97">
        <v>0</v>
      </c>
      <c r="BD42" s="97">
        <v>0</v>
      </c>
      <c r="BE42" s="97">
        <v>0</v>
      </c>
      <c r="BF42" s="97">
        <v>0</v>
      </c>
      <c r="BG42" s="97">
        <v>0</v>
      </c>
      <c r="BH42" s="97">
        <v>0</v>
      </c>
      <c r="BI42" s="97">
        <v>0</v>
      </c>
      <c r="BJ42" s="97">
        <v>0</v>
      </c>
      <c r="BK42" s="97">
        <v>0</v>
      </c>
      <c r="BL42" s="97">
        <v>0</v>
      </c>
      <c r="BM42" s="97">
        <v>0</v>
      </c>
      <c r="BN42" s="97">
        <v>0</v>
      </c>
      <c r="BO42" s="97">
        <v>0</v>
      </c>
      <c r="BP42" s="97">
        <v>0</v>
      </c>
      <c r="BQ42" s="97">
        <v>0</v>
      </c>
      <c r="BR42" s="97">
        <v>0</v>
      </c>
      <c r="BS42" s="97">
        <v>0</v>
      </c>
      <c r="BT42" s="97">
        <v>0</v>
      </c>
      <c r="BU42" s="97">
        <v>0</v>
      </c>
      <c r="BV42" s="97">
        <v>0</v>
      </c>
      <c r="BW42" s="97">
        <v>0</v>
      </c>
      <c r="BX42" s="97">
        <v>0</v>
      </c>
      <c r="BY42" s="97">
        <v>0</v>
      </c>
      <c r="BZ42" s="97">
        <v>0</v>
      </c>
      <c r="CA42" s="97">
        <v>0</v>
      </c>
      <c r="CB42" s="97">
        <v>0</v>
      </c>
      <c r="CC42" s="97">
        <v>0</v>
      </c>
      <c r="CD42" s="97">
        <v>0</v>
      </c>
      <c r="CE42" s="97">
        <v>0</v>
      </c>
      <c r="CF42" s="97">
        <v>0</v>
      </c>
      <c r="CG42" s="97">
        <v>0</v>
      </c>
      <c r="CH42" s="97">
        <v>0</v>
      </c>
      <c r="CI42" s="97">
        <v>0</v>
      </c>
      <c r="CJ42" s="97">
        <v>0</v>
      </c>
      <c r="CK42" s="97">
        <v>0</v>
      </c>
      <c r="CL42" s="97">
        <v>0</v>
      </c>
      <c r="CM42" s="97">
        <v>0</v>
      </c>
      <c r="CN42" s="97">
        <v>0</v>
      </c>
      <c r="CO42" s="97">
        <v>0</v>
      </c>
      <c r="CP42" s="97">
        <v>0</v>
      </c>
      <c r="CQ42" s="97">
        <v>0</v>
      </c>
      <c r="CR42" s="97">
        <v>0</v>
      </c>
      <c r="CS42" s="97">
        <v>0</v>
      </c>
      <c r="CT42" s="97">
        <v>0</v>
      </c>
      <c r="CU42" s="97">
        <v>0</v>
      </c>
    </row>
    <row r="43" spans="2:99" x14ac:dyDescent="0.15">
      <c r="C43" s="96" t="s">
        <v>208</v>
      </c>
      <c r="D43" s="97">
        <v>0</v>
      </c>
      <c r="E43" s="97">
        <v>0</v>
      </c>
      <c r="F43" s="97">
        <v>0</v>
      </c>
      <c r="G43" s="97">
        <v>0</v>
      </c>
      <c r="H43" s="97">
        <v>0</v>
      </c>
      <c r="I43" s="97">
        <v>0</v>
      </c>
      <c r="J43" s="97">
        <v>0</v>
      </c>
      <c r="K43" s="97">
        <v>0</v>
      </c>
      <c r="L43" s="97">
        <v>0</v>
      </c>
      <c r="M43" s="97">
        <v>0</v>
      </c>
      <c r="N43" s="97">
        <v>0</v>
      </c>
      <c r="O43" s="97">
        <v>0</v>
      </c>
      <c r="P43" s="97">
        <v>0</v>
      </c>
      <c r="Q43" s="97">
        <v>0</v>
      </c>
      <c r="R43" s="97">
        <v>0</v>
      </c>
      <c r="S43" s="97">
        <v>0</v>
      </c>
      <c r="T43" s="97">
        <v>0</v>
      </c>
      <c r="U43" s="97">
        <v>0</v>
      </c>
      <c r="V43" s="97">
        <v>0</v>
      </c>
      <c r="W43" s="97">
        <v>0</v>
      </c>
      <c r="X43" s="97">
        <v>0</v>
      </c>
      <c r="Y43" s="97">
        <v>0</v>
      </c>
      <c r="Z43" s="97">
        <v>0</v>
      </c>
      <c r="AA43" s="97">
        <v>0</v>
      </c>
      <c r="AB43" s="97">
        <v>0</v>
      </c>
      <c r="AC43" s="97">
        <v>0</v>
      </c>
      <c r="AD43" s="97">
        <v>0</v>
      </c>
      <c r="AE43" s="97">
        <v>0</v>
      </c>
      <c r="AF43" s="97">
        <v>0</v>
      </c>
      <c r="AG43" s="97">
        <v>0</v>
      </c>
      <c r="AH43" s="97">
        <v>0</v>
      </c>
      <c r="AI43" s="97">
        <v>0</v>
      </c>
      <c r="AJ43" s="97">
        <v>0</v>
      </c>
      <c r="AK43" s="97">
        <v>0</v>
      </c>
      <c r="AL43" s="97">
        <v>0</v>
      </c>
      <c r="AM43" s="97">
        <v>0</v>
      </c>
      <c r="AN43" s="97">
        <v>0</v>
      </c>
      <c r="AO43" s="97">
        <v>0</v>
      </c>
      <c r="AP43" s="97">
        <v>0</v>
      </c>
      <c r="AQ43" s="97">
        <v>0</v>
      </c>
      <c r="AR43" s="97">
        <v>0</v>
      </c>
      <c r="AS43" s="97">
        <v>0</v>
      </c>
      <c r="AT43" s="97">
        <v>0</v>
      </c>
      <c r="AU43" s="97">
        <v>0</v>
      </c>
      <c r="AV43" s="97">
        <v>0</v>
      </c>
      <c r="AW43" s="97">
        <v>0</v>
      </c>
      <c r="AX43" s="97">
        <v>0</v>
      </c>
      <c r="AY43" s="97">
        <v>0</v>
      </c>
      <c r="AZ43" s="97">
        <v>0</v>
      </c>
      <c r="BA43" s="97">
        <v>0</v>
      </c>
      <c r="BB43" s="97">
        <v>0</v>
      </c>
      <c r="BC43" s="97">
        <v>0</v>
      </c>
      <c r="BD43" s="97">
        <v>0</v>
      </c>
      <c r="BE43" s="97">
        <v>0</v>
      </c>
      <c r="BF43" s="97">
        <v>0</v>
      </c>
      <c r="BG43" s="97">
        <v>0</v>
      </c>
      <c r="BH43" s="97">
        <v>0</v>
      </c>
      <c r="BI43" s="97">
        <v>0</v>
      </c>
      <c r="BJ43" s="97">
        <v>0</v>
      </c>
      <c r="BK43" s="97">
        <v>0</v>
      </c>
      <c r="BL43" s="97">
        <v>0</v>
      </c>
      <c r="BM43" s="97">
        <v>0</v>
      </c>
      <c r="BN43" s="97">
        <v>0</v>
      </c>
      <c r="BO43" s="97">
        <v>0</v>
      </c>
      <c r="BP43" s="97">
        <v>0</v>
      </c>
      <c r="BQ43" s="97">
        <v>0</v>
      </c>
      <c r="BR43" s="97">
        <v>0</v>
      </c>
      <c r="BS43" s="97">
        <v>0</v>
      </c>
      <c r="BT43" s="97">
        <v>0</v>
      </c>
      <c r="BU43" s="97">
        <v>0</v>
      </c>
      <c r="BV43" s="97">
        <v>0</v>
      </c>
      <c r="BW43" s="97">
        <v>0</v>
      </c>
      <c r="BX43" s="97">
        <v>0</v>
      </c>
      <c r="BY43" s="97">
        <v>0</v>
      </c>
      <c r="BZ43" s="97">
        <v>0</v>
      </c>
      <c r="CA43" s="97">
        <v>0</v>
      </c>
      <c r="CB43" s="97">
        <v>0</v>
      </c>
      <c r="CC43" s="97">
        <v>0</v>
      </c>
      <c r="CD43" s="97">
        <v>0</v>
      </c>
      <c r="CE43" s="97">
        <v>0</v>
      </c>
      <c r="CF43" s="97">
        <v>0</v>
      </c>
      <c r="CG43" s="97">
        <v>0</v>
      </c>
      <c r="CH43" s="97">
        <v>0</v>
      </c>
      <c r="CI43" s="97">
        <v>0</v>
      </c>
      <c r="CJ43" s="97">
        <v>0</v>
      </c>
      <c r="CK43" s="97">
        <v>0</v>
      </c>
      <c r="CL43" s="97">
        <v>0</v>
      </c>
      <c r="CM43" s="97">
        <v>0</v>
      </c>
      <c r="CN43" s="97">
        <v>0</v>
      </c>
      <c r="CO43" s="97">
        <v>0</v>
      </c>
      <c r="CP43" s="97">
        <v>0</v>
      </c>
      <c r="CQ43" s="97">
        <v>0</v>
      </c>
      <c r="CR43" s="97">
        <v>0</v>
      </c>
      <c r="CS43" s="97">
        <v>0</v>
      </c>
      <c r="CT43" s="97">
        <v>0</v>
      </c>
      <c r="CU43" s="97">
        <v>0</v>
      </c>
    </row>
    <row r="44" spans="2:99" x14ac:dyDescent="0.15">
      <c r="C44" s="96" t="s">
        <v>209</v>
      </c>
      <c r="D44" s="97">
        <v>0</v>
      </c>
      <c r="E44" s="97">
        <v>0</v>
      </c>
      <c r="F44" s="97">
        <v>0</v>
      </c>
      <c r="G44" s="97">
        <v>0</v>
      </c>
      <c r="H44" s="97">
        <v>0</v>
      </c>
      <c r="I44" s="97">
        <v>0</v>
      </c>
      <c r="J44" s="97">
        <v>0</v>
      </c>
      <c r="K44" s="97">
        <v>0</v>
      </c>
      <c r="L44" s="97">
        <v>0</v>
      </c>
      <c r="M44" s="97">
        <v>0</v>
      </c>
      <c r="N44" s="97">
        <v>0</v>
      </c>
      <c r="O44" s="97">
        <v>0</v>
      </c>
      <c r="P44" s="97">
        <v>0</v>
      </c>
      <c r="Q44" s="97">
        <v>0</v>
      </c>
      <c r="R44" s="97">
        <v>0</v>
      </c>
      <c r="S44" s="97">
        <v>0</v>
      </c>
      <c r="T44" s="97">
        <v>0</v>
      </c>
      <c r="U44" s="97">
        <v>0</v>
      </c>
      <c r="V44" s="97">
        <v>0</v>
      </c>
      <c r="W44" s="97">
        <v>0</v>
      </c>
      <c r="X44" s="97">
        <v>0</v>
      </c>
      <c r="Y44" s="97">
        <v>0</v>
      </c>
      <c r="Z44" s="97">
        <v>0</v>
      </c>
      <c r="AA44" s="97">
        <v>0</v>
      </c>
      <c r="AB44" s="97">
        <v>0</v>
      </c>
      <c r="AC44" s="97">
        <v>0</v>
      </c>
      <c r="AD44" s="97">
        <v>0</v>
      </c>
      <c r="AE44" s="97">
        <v>0</v>
      </c>
      <c r="AF44" s="97">
        <v>0</v>
      </c>
      <c r="AG44" s="97">
        <v>0</v>
      </c>
      <c r="AH44" s="97">
        <v>0</v>
      </c>
      <c r="AI44" s="97">
        <v>0</v>
      </c>
      <c r="AJ44" s="97">
        <v>0</v>
      </c>
      <c r="AK44" s="97">
        <v>0</v>
      </c>
      <c r="AL44" s="97">
        <v>0</v>
      </c>
      <c r="AM44" s="97">
        <v>0</v>
      </c>
      <c r="AN44" s="97">
        <v>0</v>
      </c>
      <c r="AO44" s="97">
        <v>0</v>
      </c>
      <c r="AP44" s="97">
        <v>0</v>
      </c>
      <c r="AQ44" s="97">
        <v>0</v>
      </c>
      <c r="AR44" s="97">
        <v>0</v>
      </c>
      <c r="AS44" s="97">
        <v>0</v>
      </c>
      <c r="AT44" s="97">
        <v>0</v>
      </c>
      <c r="AU44" s="97">
        <v>0</v>
      </c>
      <c r="AV44" s="97">
        <v>0</v>
      </c>
      <c r="AW44" s="97">
        <v>0</v>
      </c>
      <c r="AX44" s="97">
        <v>0</v>
      </c>
      <c r="AY44" s="97">
        <v>0</v>
      </c>
      <c r="AZ44" s="97">
        <v>0</v>
      </c>
      <c r="BA44" s="97">
        <v>0</v>
      </c>
      <c r="BB44" s="97">
        <v>0</v>
      </c>
      <c r="BC44" s="97">
        <v>0</v>
      </c>
      <c r="BD44" s="97">
        <v>0</v>
      </c>
      <c r="BE44" s="97">
        <v>0</v>
      </c>
      <c r="BF44" s="97">
        <v>0</v>
      </c>
      <c r="BG44" s="97">
        <v>0</v>
      </c>
      <c r="BH44" s="97">
        <v>0</v>
      </c>
      <c r="BI44" s="97">
        <v>0</v>
      </c>
      <c r="BJ44" s="97">
        <v>0</v>
      </c>
      <c r="BK44" s="97">
        <v>0</v>
      </c>
      <c r="BL44" s="97">
        <v>0</v>
      </c>
      <c r="BM44" s="97">
        <v>0</v>
      </c>
      <c r="BN44" s="97">
        <v>0</v>
      </c>
      <c r="BO44" s="97">
        <v>0</v>
      </c>
      <c r="BP44" s="97">
        <v>0</v>
      </c>
      <c r="BQ44" s="97">
        <v>0</v>
      </c>
      <c r="BR44" s="97">
        <v>0</v>
      </c>
      <c r="BS44" s="97">
        <v>0</v>
      </c>
      <c r="BT44" s="97">
        <v>0</v>
      </c>
      <c r="BU44" s="97">
        <v>0</v>
      </c>
      <c r="BV44" s="97">
        <v>0</v>
      </c>
      <c r="BW44" s="97">
        <v>0</v>
      </c>
      <c r="BX44" s="97">
        <v>0</v>
      </c>
      <c r="BY44" s="97">
        <v>0</v>
      </c>
      <c r="BZ44" s="97">
        <v>0</v>
      </c>
      <c r="CA44" s="97">
        <v>0</v>
      </c>
      <c r="CB44" s="97">
        <v>0</v>
      </c>
      <c r="CC44" s="97">
        <v>0</v>
      </c>
      <c r="CD44" s="97">
        <v>0</v>
      </c>
      <c r="CE44" s="97">
        <v>0</v>
      </c>
      <c r="CF44" s="97">
        <v>0</v>
      </c>
      <c r="CG44" s="97">
        <v>0</v>
      </c>
      <c r="CH44" s="97">
        <v>0</v>
      </c>
      <c r="CI44" s="97">
        <v>0</v>
      </c>
      <c r="CJ44" s="97">
        <v>0</v>
      </c>
      <c r="CK44" s="97">
        <v>0</v>
      </c>
      <c r="CL44" s="97">
        <v>0</v>
      </c>
      <c r="CM44" s="97">
        <v>0</v>
      </c>
      <c r="CN44" s="97">
        <v>0</v>
      </c>
      <c r="CO44" s="97">
        <v>0</v>
      </c>
      <c r="CP44" s="97">
        <v>0</v>
      </c>
      <c r="CQ44" s="97">
        <v>0</v>
      </c>
      <c r="CR44" s="97">
        <v>0</v>
      </c>
      <c r="CS44" s="97">
        <v>0</v>
      </c>
      <c r="CT44" s="97">
        <v>0</v>
      </c>
      <c r="CU44" s="97">
        <v>0</v>
      </c>
    </row>
    <row r="45" spans="2:99" x14ac:dyDescent="0.15">
      <c r="C45" s="96" t="s">
        <v>210</v>
      </c>
      <c r="D45" s="97">
        <v>0</v>
      </c>
      <c r="E45" s="97">
        <v>0</v>
      </c>
      <c r="F45" s="97">
        <v>0</v>
      </c>
      <c r="G45" s="97">
        <v>0</v>
      </c>
      <c r="H45" s="97">
        <v>0</v>
      </c>
      <c r="I45" s="97">
        <v>0</v>
      </c>
      <c r="J45" s="97">
        <v>0</v>
      </c>
      <c r="K45" s="97">
        <v>0</v>
      </c>
      <c r="L45" s="97">
        <v>0</v>
      </c>
      <c r="M45" s="97">
        <v>0</v>
      </c>
      <c r="N45" s="97">
        <v>0</v>
      </c>
      <c r="O45" s="97">
        <v>0</v>
      </c>
      <c r="P45" s="97">
        <v>0</v>
      </c>
      <c r="Q45" s="97">
        <v>0</v>
      </c>
      <c r="R45" s="97">
        <v>0</v>
      </c>
      <c r="S45" s="97">
        <v>0</v>
      </c>
      <c r="T45" s="97">
        <v>0</v>
      </c>
      <c r="U45" s="97">
        <v>0</v>
      </c>
      <c r="V45" s="97">
        <v>0</v>
      </c>
      <c r="W45" s="97">
        <v>0</v>
      </c>
      <c r="X45" s="97">
        <v>0</v>
      </c>
      <c r="Y45" s="97">
        <v>0</v>
      </c>
      <c r="Z45" s="97">
        <v>0</v>
      </c>
      <c r="AA45" s="97">
        <v>0</v>
      </c>
      <c r="AB45" s="97">
        <v>0</v>
      </c>
      <c r="AC45" s="97">
        <v>0</v>
      </c>
      <c r="AD45" s="97">
        <v>0</v>
      </c>
      <c r="AE45" s="97">
        <v>0</v>
      </c>
      <c r="AF45" s="97">
        <v>0</v>
      </c>
      <c r="AG45" s="97">
        <v>0</v>
      </c>
      <c r="AH45" s="97">
        <v>0</v>
      </c>
      <c r="AI45" s="97">
        <v>0</v>
      </c>
      <c r="AJ45" s="97">
        <v>0</v>
      </c>
      <c r="AK45" s="97">
        <v>0</v>
      </c>
      <c r="AL45" s="97">
        <v>0</v>
      </c>
      <c r="AM45" s="97">
        <v>0</v>
      </c>
      <c r="AN45" s="97">
        <v>0</v>
      </c>
      <c r="AO45" s="97">
        <v>0</v>
      </c>
      <c r="AP45" s="97">
        <v>0</v>
      </c>
      <c r="AQ45" s="97">
        <v>0</v>
      </c>
      <c r="AR45" s="97">
        <v>0</v>
      </c>
      <c r="AS45" s="97">
        <v>0</v>
      </c>
      <c r="AT45" s="97">
        <v>0</v>
      </c>
      <c r="AU45" s="97">
        <v>0</v>
      </c>
      <c r="AV45" s="97">
        <v>0</v>
      </c>
      <c r="AW45" s="97">
        <v>0</v>
      </c>
      <c r="AX45" s="97">
        <v>0</v>
      </c>
      <c r="AY45" s="97">
        <v>0</v>
      </c>
      <c r="AZ45" s="97">
        <v>0</v>
      </c>
      <c r="BA45" s="97">
        <v>0</v>
      </c>
      <c r="BB45" s="97">
        <v>0</v>
      </c>
      <c r="BC45" s="97">
        <v>0</v>
      </c>
      <c r="BD45" s="97">
        <v>0</v>
      </c>
      <c r="BE45" s="97">
        <v>0</v>
      </c>
      <c r="BF45" s="97">
        <v>0</v>
      </c>
      <c r="BG45" s="97">
        <v>0</v>
      </c>
      <c r="BH45" s="97">
        <v>0</v>
      </c>
      <c r="BI45" s="97">
        <v>0</v>
      </c>
      <c r="BJ45" s="97">
        <v>0</v>
      </c>
      <c r="BK45" s="97">
        <v>0</v>
      </c>
      <c r="BL45" s="97">
        <v>0</v>
      </c>
      <c r="BM45" s="97">
        <v>0</v>
      </c>
      <c r="BN45" s="97">
        <v>0</v>
      </c>
      <c r="BO45" s="97">
        <v>0</v>
      </c>
      <c r="BP45" s="97">
        <v>0</v>
      </c>
      <c r="BQ45" s="97">
        <v>0</v>
      </c>
      <c r="BR45" s="97">
        <v>0</v>
      </c>
      <c r="BS45" s="97">
        <v>0</v>
      </c>
      <c r="BT45" s="97">
        <v>0</v>
      </c>
      <c r="BU45" s="97">
        <v>0</v>
      </c>
      <c r="BV45" s="97">
        <v>0</v>
      </c>
      <c r="BW45" s="97">
        <v>0</v>
      </c>
      <c r="BX45" s="97">
        <v>0</v>
      </c>
      <c r="BY45" s="97">
        <v>0</v>
      </c>
      <c r="BZ45" s="97">
        <v>0</v>
      </c>
      <c r="CA45" s="97">
        <v>0</v>
      </c>
      <c r="CB45" s="97">
        <v>0</v>
      </c>
      <c r="CC45" s="97">
        <v>0</v>
      </c>
      <c r="CD45" s="97">
        <v>0</v>
      </c>
      <c r="CE45" s="97">
        <v>0</v>
      </c>
      <c r="CF45" s="97">
        <v>0</v>
      </c>
      <c r="CG45" s="97">
        <v>0</v>
      </c>
      <c r="CH45" s="97">
        <v>0</v>
      </c>
      <c r="CI45" s="97">
        <v>0</v>
      </c>
      <c r="CJ45" s="97">
        <v>0</v>
      </c>
      <c r="CK45" s="97">
        <v>0</v>
      </c>
      <c r="CL45" s="97">
        <v>0</v>
      </c>
      <c r="CM45" s="97">
        <v>0</v>
      </c>
      <c r="CN45" s="97">
        <v>0</v>
      </c>
      <c r="CO45" s="97">
        <v>0</v>
      </c>
      <c r="CP45" s="97">
        <v>0</v>
      </c>
      <c r="CQ45" s="97">
        <v>0</v>
      </c>
      <c r="CR45" s="97">
        <v>0</v>
      </c>
      <c r="CS45" s="97">
        <v>0</v>
      </c>
      <c r="CT45" s="97">
        <v>0</v>
      </c>
      <c r="CU45" s="97">
        <v>0</v>
      </c>
    </row>
    <row r="46" spans="2:99" x14ac:dyDescent="0.15">
      <c r="C46" s="96" t="s">
        <v>211</v>
      </c>
      <c r="D46" s="97">
        <v>0</v>
      </c>
      <c r="E46" s="97">
        <v>0</v>
      </c>
      <c r="F46" s="97">
        <v>0</v>
      </c>
      <c r="G46" s="97">
        <v>0</v>
      </c>
      <c r="H46" s="97">
        <v>0</v>
      </c>
      <c r="I46" s="97">
        <v>0</v>
      </c>
      <c r="J46" s="97">
        <v>0</v>
      </c>
      <c r="K46" s="97">
        <v>0</v>
      </c>
      <c r="L46" s="97">
        <v>0</v>
      </c>
      <c r="M46" s="97">
        <v>0</v>
      </c>
      <c r="N46" s="97">
        <v>0</v>
      </c>
      <c r="O46" s="97">
        <v>0</v>
      </c>
      <c r="P46" s="97">
        <v>0</v>
      </c>
      <c r="Q46" s="97">
        <v>0</v>
      </c>
      <c r="R46" s="97">
        <v>0</v>
      </c>
      <c r="S46" s="97">
        <v>0</v>
      </c>
      <c r="T46" s="97">
        <v>0</v>
      </c>
      <c r="U46" s="97">
        <v>0</v>
      </c>
      <c r="V46" s="97">
        <v>0</v>
      </c>
      <c r="W46" s="97">
        <v>0</v>
      </c>
      <c r="X46" s="97">
        <v>0</v>
      </c>
      <c r="Y46" s="97">
        <v>0</v>
      </c>
      <c r="Z46" s="97">
        <v>0</v>
      </c>
      <c r="AA46" s="97">
        <v>0</v>
      </c>
      <c r="AB46" s="97">
        <v>0</v>
      </c>
      <c r="AC46" s="97">
        <v>0</v>
      </c>
      <c r="AD46" s="97">
        <v>0</v>
      </c>
      <c r="AE46" s="97">
        <v>0</v>
      </c>
      <c r="AF46" s="97">
        <v>0</v>
      </c>
      <c r="AG46" s="97">
        <v>0</v>
      </c>
      <c r="AH46" s="97">
        <v>0</v>
      </c>
      <c r="AI46" s="97">
        <v>0</v>
      </c>
      <c r="AJ46" s="97">
        <v>0</v>
      </c>
      <c r="AK46" s="97">
        <v>0</v>
      </c>
      <c r="AL46" s="97">
        <v>0</v>
      </c>
      <c r="AM46" s="97">
        <v>0</v>
      </c>
      <c r="AN46" s="97">
        <v>0</v>
      </c>
      <c r="AO46" s="97">
        <v>0</v>
      </c>
      <c r="AP46" s="97">
        <v>0</v>
      </c>
      <c r="AQ46" s="97">
        <v>0</v>
      </c>
      <c r="AR46" s="97">
        <v>0</v>
      </c>
      <c r="AS46" s="97">
        <v>0</v>
      </c>
      <c r="AT46" s="97">
        <v>0</v>
      </c>
      <c r="AU46" s="97">
        <v>0</v>
      </c>
      <c r="AV46" s="97">
        <v>0</v>
      </c>
      <c r="AW46" s="97">
        <v>0</v>
      </c>
      <c r="AX46" s="97">
        <v>0</v>
      </c>
      <c r="AY46" s="97">
        <v>0</v>
      </c>
      <c r="AZ46" s="97">
        <v>0</v>
      </c>
      <c r="BA46" s="97">
        <v>0</v>
      </c>
      <c r="BB46" s="97">
        <v>0</v>
      </c>
      <c r="BC46" s="97">
        <v>0</v>
      </c>
      <c r="BD46" s="97">
        <v>0</v>
      </c>
      <c r="BE46" s="97">
        <v>0</v>
      </c>
      <c r="BF46" s="97">
        <v>0</v>
      </c>
      <c r="BG46" s="97">
        <v>0</v>
      </c>
      <c r="BH46" s="97">
        <v>0</v>
      </c>
      <c r="BI46" s="97">
        <v>0</v>
      </c>
      <c r="BJ46" s="97">
        <v>0</v>
      </c>
      <c r="BK46" s="97">
        <v>0</v>
      </c>
      <c r="BL46" s="97">
        <v>0</v>
      </c>
      <c r="BM46" s="97">
        <v>0</v>
      </c>
      <c r="BN46" s="97">
        <v>0</v>
      </c>
      <c r="BO46" s="97">
        <v>0</v>
      </c>
      <c r="BP46" s="97">
        <v>0</v>
      </c>
      <c r="BQ46" s="97">
        <v>0</v>
      </c>
      <c r="BR46" s="97">
        <v>0</v>
      </c>
      <c r="BS46" s="97">
        <v>0</v>
      </c>
      <c r="BT46" s="97">
        <v>0</v>
      </c>
      <c r="BU46" s="97">
        <v>0</v>
      </c>
      <c r="BV46" s="97">
        <v>0</v>
      </c>
      <c r="BW46" s="97">
        <v>0</v>
      </c>
      <c r="BX46" s="97">
        <v>0</v>
      </c>
      <c r="BY46" s="97">
        <v>0</v>
      </c>
      <c r="BZ46" s="97">
        <v>0</v>
      </c>
      <c r="CA46" s="97">
        <v>0</v>
      </c>
      <c r="CB46" s="97">
        <v>0</v>
      </c>
      <c r="CC46" s="97">
        <v>0</v>
      </c>
      <c r="CD46" s="97">
        <v>0</v>
      </c>
      <c r="CE46" s="97">
        <v>0</v>
      </c>
      <c r="CF46" s="97">
        <v>0</v>
      </c>
      <c r="CG46" s="97">
        <v>0</v>
      </c>
      <c r="CH46" s="97">
        <v>0</v>
      </c>
      <c r="CI46" s="97">
        <v>0</v>
      </c>
      <c r="CJ46" s="97">
        <v>0</v>
      </c>
      <c r="CK46" s="97">
        <v>0</v>
      </c>
      <c r="CL46" s="97">
        <v>0</v>
      </c>
      <c r="CM46" s="97">
        <v>0</v>
      </c>
      <c r="CN46" s="97">
        <v>0</v>
      </c>
      <c r="CO46" s="97">
        <v>0</v>
      </c>
      <c r="CP46" s="97">
        <v>0</v>
      </c>
      <c r="CQ46" s="97">
        <v>0</v>
      </c>
      <c r="CR46" s="97">
        <v>0</v>
      </c>
      <c r="CS46" s="97">
        <v>0</v>
      </c>
      <c r="CT46" s="97">
        <v>0</v>
      </c>
      <c r="CU46" s="97">
        <v>0</v>
      </c>
    </row>
    <row r="47" spans="2:99" x14ac:dyDescent="0.15">
      <c r="C47" s="96" t="s">
        <v>212</v>
      </c>
      <c r="D47" s="97">
        <v>0</v>
      </c>
      <c r="E47" s="97">
        <v>0</v>
      </c>
      <c r="F47" s="97">
        <v>0</v>
      </c>
      <c r="G47" s="97">
        <v>0</v>
      </c>
      <c r="H47" s="97">
        <v>0</v>
      </c>
      <c r="I47" s="97">
        <v>0</v>
      </c>
      <c r="J47" s="97">
        <v>0</v>
      </c>
      <c r="K47" s="97">
        <v>0</v>
      </c>
      <c r="L47" s="97">
        <v>0</v>
      </c>
      <c r="M47" s="97">
        <v>0</v>
      </c>
      <c r="N47" s="97">
        <v>0</v>
      </c>
      <c r="O47" s="97">
        <v>0</v>
      </c>
      <c r="P47" s="97">
        <v>0</v>
      </c>
      <c r="Q47" s="97">
        <v>0</v>
      </c>
      <c r="R47" s="97">
        <v>0</v>
      </c>
      <c r="S47" s="97">
        <v>0</v>
      </c>
      <c r="T47" s="97">
        <v>0</v>
      </c>
      <c r="U47" s="97">
        <v>0</v>
      </c>
      <c r="V47" s="97">
        <v>0</v>
      </c>
      <c r="W47" s="97">
        <v>0</v>
      </c>
      <c r="X47" s="97">
        <v>0</v>
      </c>
      <c r="Y47" s="97">
        <v>0</v>
      </c>
      <c r="Z47" s="97">
        <v>0</v>
      </c>
      <c r="AA47" s="97">
        <v>0</v>
      </c>
      <c r="AB47" s="97">
        <v>0</v>
      </c>
      <c r="AC47" s="97">
        <v>0</v>
      </c>
      <c r="AD47" s="97">
        <v>0</v>
      </c>
      <c r="AE47" s="97">
        <v>0</v>
      </c>
      <c r="AF47" s="97">
        <v>0</v>
      </c>
      <c r="AG47" s="97">
        <v>0</v>
      </c>
      <c r="AH47" s="97">
        <v>0</v>
      </c>
      <c r="AI47" s="97">
        <v>0</v>
      </c>
      <c r="AJ47" s="97">
        <v>0</v>
      </c>
      <c r="AK47" s="97">
        <v>0</v>
      </c>
      <c r="AL47" s="97">
        <v>0</v>
      </c>
      <c r="AM47" s="97">
        <v>0</v>
      </c>
      <c r="AN47" s="97">
        <v>0</v>
      </c>
      <c r="AO47" s="97">
        <v>0</v>
      </c>
      <c r="AP47" s="97">
        <v>0</v>
      </c>
      <c r="AQ47" s="97">
        <v>0</v>
      </c>
      <c r="AR47" s="97">
        <v>0</v>
      </c>
      <c r="AS47" s="97">
        <v>0</v>
      </c>
      <c r="AT47" s="97">
        <v>0</v>
      </c>
      <c r="AU47" s="97">
        <v>0</v>
      </c>
      <c r="AV47" s="97">
        <v>0</v>
      </c>
      <c r="AW47" s="97">
        <v>0</v>
      </c>
      <c r="AX47" s="97">
        <v>0</v>
      </c>
      <c r="AY47" s="97">
        <v>0</v>
      </c>
      <c r="AZ47" s="97">
        <v>0</v>
      </c>
      <c r="BA47" s="97">
        <v>0</v>
      </c>
      <c r="BB47" s="97">
        <v>0</v>
      </c>
      <c r="BC47" s="97">
        <v>0</v>
      </c>
      <c r="BD47" s="97">
        <v>0</v>
      </c>
      <c r="BE47" s="97">
        <v>0</v>
      </c>
      <c r="BF47" s="97">
        <v>0</v>
      </c>
      <c r="BG47" s="97">
        <v>0</v>
      </c>
      <c r="BH47" s="97">
        <v>0</v>
      </c>
      <c r="BI47" s="97">
        <v>0</v>
      </c>
      <c r="BJ47" s="97">
        <v>0</v>
      </c>
      <c r="BK47" s="97">
        <v>0</v>
      </c>
      <c r="BL47" s="97">
        <v>0</v>
      </c>
      <c r="BM47" s="97">
        <v>0</v>
      </c>
      <c r="BN47" s="97">
        <v>0</v>
      </c>
      <c r="BO47" s="97">
        <v>0</v>
      </c>
      <c r="BP47" s="97">
        <v>0</v>
      </c>
      <c r="BQ47" s="97">
        <v>0</v>
      </c>
      <c r="BR47" s="97">
        <v>0</v>
      </c>
      <c r="BS47" s="97">
        <v>0</v>
      </c>
      <c r="BT47" s="97">
        <v>0</v>
      </c>
      <c r="BU47" s="97">
        <v>0</v>
      </c>
      <c r="BV47" s="97">
        <v>0</v>
      </c>
      <c r="BW47" s="97">
        <v>0</v>
      </c>
      <c r="BX47" s="97">
        <v>0</v>
      </c>
      <c r="BY47" s="97">
        <v>0</v>
      </c>
      <c r="BZ47" s="97">
        <v>0</v>
      </c>
      <c r="CA47" s="97">
        <v>0</v>
      </c>
      <c r="CB47" s="97">
        <v>0</v>
      </c>
      <c r="CC47" s="97">
        <v>0</v>
      </c>
      <c r="CD47" s="97">
        <v>0</v>
      </c>
      <c r="CE47" s="97">
        <v>0</v>
      </c>
      <c r="CF47" s="97">
        <v>0</v>
      </c>
      <c r="CG47" s="97">
        <v>0</v>
      </c>
      <c r="CH47" s="97">
        <v>0</v>
      </c>
      <c r="CI47" s="97">
        <v>0</v>
      </c>
      <c r="CJ47" s="97">
        <v>0</v>
      </c>
      <c r="CK47" s="97">
        <v>0</v>
      </c>
      <c r="CL47" s="97">
        <v>0</v>
      </c>
      <c r="CM47" s="97">
        <v>0</v>
      </c>
      <c r="CN47" s="97">
        <v>0</v>
      </c>
      <c r="CO47" s="97">
        <v>0</v>
      </c>
      <c r="CP47" s="97">
        <v>0</v>
      </c>
      <c r="CQ47" s="97">
        <v>0</v>
      </c>
      <c r="CR47" s="97">
        <v>0</v>
      </c>
      <c r="CS47" s="97">
        <v>0</v>
      </c>
      <c r="CT47" s="97">
        <v>0</v>
      </c>
      <c r="CU47" s="97">
        <v>0</v>
      </c>
    </row>
    <row r="48" spans="2:99" x14ac:dyDescent="0.15">
      <c r="C48" s="96" t="s">
        <v>213</v>
      </c>
      <c r="D48" s="97">
        <v>0</v>
      </c>
      <c r="E48" s="97">
        <v>0</v>
      </c>
      <c r="F48" s="97">
        <v>0</v>
      </c>
      <c r="G48" s="97">
        <v>0</v>
      </c>
      <c r="H48" s="97">
        <v>0</v>
      </c>
      <c r="I48" s="97">
        <v>0</v>
      </c>
      <c r="J48" s="97">
        <v>0</v>
      </c>
      <c r="K48" s="97">
        <v>0</v>
      </c>
      <c r="L48" s="97">
        <v>0</v>
      </c>
      <c r="M48" s="97">
        <v>0</v>
      </c>
      <c r="N48" s="97">
        <v>0</v>
      </c>
      <c r="O48" s="97">
        <v>0</v>
      </c>
      <c r="P48" s="97">
        <v>0</v>
      </c>
      <c r="Q48" s="97">
        <v>0</v>
      </c>
      <c r="R48" s="97">
        <v>0</v>
      </c>
      <c r="S48" s="97">
        <v>0</v>
      </c>
      <c r="T48" s="97">
        <v>0</v>
      </c>
      <c r="U48" s="97">
        <v>0</v>
      </c>
      <c r="V48" s="97">
        <v>0</v>
      </c>
      <c r="W48" s="97">
        <v>0</v>
      </c>
      <c r="X48" s="97">
        <v>0</v>
      </c>
      <c r="Y48" s="97">
        <v>0</v>
      </c>
      <c r="Z48" s="97">
        <v>0</v>
      </c>
      <c r="AA48" s="97">
        <v>0</v>
      </c>
      <c r="AB48" s="97">
        <v>0</v>
      </c>
      <c r="AC48" s="97">
        <v>0</v>
      </c>
      <c r="AD48" s="97">
        <v>0</v>
      </c>
      <c r="AE48" s="97">
        <v>0</v>
      </c>
      <c r="AF48" s="97">
        <v>0</v>
      </c>
      <c r="AG48" s="97">
        <v>0</v>
      </c>
      <c r="AH48" s="97">
        <v>0</v>
      </c>
      <c r="AI48" s="97">
        <v>0</v>
      </c>
      <c r="AJ48" s="97">
        <v>0</v>
      </c>
      <c r="AK48" s="97">
        <v>0</v>
      </c>
      <c r="AL48" s="97">
        <v>0</v>
      </c>
      <c r="AM48" s="97">
        <v>0</v>
      </c>
      <c r="AN48" s="97">
        <v>0</v>
      </c>
      <c r="AO48" s="97">
        <v>0</v>
      </c>
      <c r="AP48" s="97">
        <v>0</v>
      </c>
      <c r="AQ48" s="97">
        <v>0</v>
      </c>
      <c r="AR48" s="97">
        <v>0</v>
      </c>
      <c r="AS48" s="97">
        <v>0</v>
      </c>
      <c r="AT48" s="97">
        <v>0</v>
      </c>
      <c r="AU48" s="97">
        <v>0</v>
      </c>
      <c r="AV48" s="97">
        <v>0</v>
      </c>
      <c r="AW48" s="97">
        <v>0</v>
      </c>
      <c r="AX48" s="97">
        <v>0</v>
      </c>
      <c r="AY48" s="97">
        <v>0</v>
      </c>
      <c r="AZ48" s="97">
        <v>0</v>
      </c>
      <c r="BA48" s="97">
        <v>0</v>
      </c>
      <c r="BB48" s="97">
        <v>0</v>
      </c>
      <c r="BC48" s="97">
        <v>0</v>
      </c>
      <c r="BD48" s="97">
        <v>0</v>
      </c>
      <c r="BE48" s="97">
        <v>0</v>
      </c>
      <c r="BF48" s="97">
        <v>0</v>
      </c>
      <c r="BG48" s="97">
        <v>0</v>
      </c>
      <c r="BH48" s="97">
        <v>0</v>
      </c>
      <c r="BI48" s="97">
        <v>0</v>
      </c>
      <c r="BJ48" s="97">
        <v>0</v>
      </c>
      <c r="BK48" s="97">
        <v>0</v>
      </c>
      <c r="BL48" s="97">
        <v>0</v>
      </c>
      <c r="BM48" s="97">
        <v>0</v>
      </c>
      <c r="BN48" s="97">
        <v>0</v>
      </c>
      <c r="BO48" s="97">
        <v>0</v>
      </c>
      <c r="BP48" s="97">
        <v>0</v>
      </c>
      <c r="BQ48" s="97">
        <v>0</v>
      </c>
      <c r="BR48" s="97">
        <v>0</v>
      </c>
      <c r="BS48" s="97">
        <v>0</v>
      </c>
      <c r="BT48" s="97">
        <v>0</v>
      </c>
      <c r="BU48" s="97">
        <v>0</v>
      </c>
      <c r="BV48" s="97">
        <v>0</v>
      </c>
      <c r="BW48" s="97">
        <v>0</v>
      </c>
      <c r="BX48" s="97">
        <v>0</v>
      </c>
      <c r="BY48" s="97">
        <v>0</v>
      </c>
      <c r="BZ48" s="97">
        <v>0</v>
      </c>
      <c r="CA48" s="97">
        <v>0</v>
      </c>
      <c r="CB48" s="97">
        <v>0</v>
      </c>
      <c r="CC48" s="97">
        <v>0</v>
      </c>
      <c r="CD48" s="97">
        <v>0</v>
      </c>
      <c r="CE48" s="97">
        <v>0</v>
      </c>
      <c r="CF48" s="97">
        <v>0</v>
      </c>
      <c r="CG48" s="97">
        <v>0</v>
      </c>
      <c r="CH48" s="97">
        <v>0</v>
      </c>
      <c r="CI48" s="97">
        <v>0</v>
      </c>
      <c r="CJ48" s="97">
        <v>0</v>
      </c>
      <c r="CK48" s="97">
        <v>0</v>
      </c>
      <c r="CL48" s="97">
        <v>0</v>
      </c>
      <c r="CM48" s="97">
        <v>0</v>
      </c>
      <c r="CN48" s="97">
        <v>0</v>
      </c>
      <c r="CO48" s="97">
        <v>0</v>
      </c>
      <c r="CP48" s="97">
        <v>0</v>
      </c>
      <c r="CQ48" s="97">
        <v>0</v>
      </c>
      <c r="CR48" s="97">
        <v>0</v>
      </c>
      <c r="CS48" s="97">
        <v>0</v>
      </c>
      <c r="CT48" s="97">
        <v>0</v>
      </c>
      <c r="CU48" s="97">
        <v>0</v>
      </c>
    </row>
    <row r="49" spans="2:99" x14ac:dyDescent="0.15">
      <c r="B49" s="96" t="s">
        <v>129</v>
      </c>
      <c r="C49" s="96" t="s">
        <v>214</v>
      </c>
      <c r="D49" s="97">
        <v>0</v>
      </c>
      <c r="E49" s="97">
        <v>0</v>
      </c>
      <c r="F49" s="97">
        <v>0</v>
      </c>
      <c r="G49" s="97">
        <v>0</v>
      </c>
      <c r="H49" s="97">
        <v>0</v>
      </c>
      <c r="I49" s="97">
        <v>0</v>
      </c>
      <c r="J49" s="97">
        <v>16.403841343288438</v>
      </c>
      <c r="K49" s="97">
        <v>16161.064491407767</v>
      </c>
      <c r="L49" s="97">
        <v>3.5089603972760255</v>
      </c>
      <c r="M49" s="97">
        <v>3457.0277833963401</v>
      </c>
      <c r="N49" s="97">
        <v>42</v>
      </c>
      <c r="O49" s="97">
        <v>41378.399999999994</v>
      </c>
      <c r="P49" s="97">
        <v>31.300963356891199</v>
      </c>
      <c r="Q49" s="97">
        <v>30837.709099209205</v>
      </c>
      <c r="R49" s="97">
        <v>18.908093279874855</v>
      </c>
      <c r="S49" s="97">
        <v>18628.253499332706</v>
      </c>
      <c r="T49" s="97">
        <v>18.013003718557119</v>
      </c>
      <c r="U49" s="97">
        <v>17746.411263522474</v>
      </c>
      <c r="V49" s="97">
        <v>28.252553311421543</v>
      </c>
      <c r="W49" s="97">
        <v>27834.415522412502</v>
      </c>
      <c r="X49" s="97">
        <v>26.541452203168564</v>
      </c>
      <c r="Y49" s="97">
        <v>26148.638710561667</v>
      </c>
      <c r="Z49" s="97">
        <v>32</v>
      </c>
      <c r="AA49" s="97">
        <v>31526.399999999998</v>
      </c>
      <c r="AB49" s="97">
        <v>24.705711952333065</v>
      </c>
      <c r="AC49" s="97">
        <v>24340.067415438534</v>
      </c>
      <c r="AD49" s="97">
        <v>16.516799775818892</v>
      </c>
      <c r="AE49" s="97">
        <v>16272.351139136772</v>
      </c>
      <c r="AF49" s="97">
        <v>19.679763177818977</v>
      </c>
      <c r="AG49" s="97">
        <v>19388.502682787253</v>
      </c>
      <c r="AH49" s="97">
        <v>21.63949158739959</v>
      </c>
      <c r="AI49" s="97">
        <v>21319.227111906075</v>
      </c>
      <c r="AJ49" s="97">
        <v>19.813096878729176</v>
      </c>
      <c r="AK49" s="97">
        <v>19519.863044923983</v>
      </c>
      <c r="AL49" s="97">
        <v>15.593650486864796</v>
      </c>
      <c r="AM49" s="97">
        <v>15362.864459659197</v>
      </c>
      <c r="AN49" s="97">
        <v>15.538000532419863</v>
      </c>
      <c r="AO49" s="97">
        <v>15308.038124540048</v>
      </c>
      <c r="AP49" s="97">
        <v>12.057609988109393</v>
      </c>
      <c r="AQ49" s="97">
        <v>11879.157360285373</v>
      </c>
      <c r="AR49" s="97">
        <v>12.8999529743542</v>
      </c>
      <c r="AS49" s="97">
        <v>12709.033670333756</v>
      </c>
      <c r="AT49" s="97">
        <v>10.410708460901516</v>
      </c>
      <c r="AU49" s="97">
        <v>10256.629975680173</v>
      </c>
      <c r="AV49" s="97">
        <v>11.373118944547516</v>
      </c>
      <c r="AW49" s="97">
        <v>11204.796784168211</v>
      </c>
      <c r="AX49" s="97">
        <v>14.815886664397976</v>
      </c>
      <c r="AY49" s="97">
        <v>14596.611541764885</v>
      </c>
      <c r="AZ49" s="97">
        <v>8.637156845145304</v>
      </c>
      <c r="BA49" s="97">
        <v>8509.3269238371522</v>
      </c>
      <c r="BB49" s="97">
        <v>7.0501340143399753</v>
      </c>
      <c r="BC49" s="97">
        <v>6945.7920309277433</v>
      </c>
      <c r="BD49" s="97">
        <v>7.5480654826556304</v>
      </c>
      <c r="BE49" s="97">
        <v>7436.3541135123269</v>
      </c>
      <c r="BF49" s="97">
        <v>6.3524034902167497</v>
      </c>
      <c r="BG49" s="97">
        <v>6258.3879185615415</v>
      </c>
      <c r="BH49" s="97">
        <v>7.3352890080031274</v>
      </c>
      <c r="BI49" s="97">
        <v>7226.7267306846807</v>
      </c>
      <c r="BJ49" s="97">
        <v>6.5169144758914248</v>
      </c>
      <c r="BK49" s="97">
        <v>6420.4641416482309</v>
      </c>
      <c r="BL49" s="97">
        <v>7.4982549886319605</v>
      </c>
      <c r="BM49" s="97">
        <v>7387.2808148002068</v>
      </c>
      <c r="BN49" s="97">
        <v>8.0603601874948598</v>
      </c>
      <c r="BO49" s="97">
        <v>7941.0668567199355</v>
      </c>
      <c r="BP49" s="97">
        <v>3.339836476000003</v>
      </c>
      <c r="BQ49" s="97">
        <v>3290.4068961552025</v>
      </c>
      <c r="BR49" s="97">
        <v>6.3433679915381314</v>
      </c>
      <c r="BS49" s="97">
        <v>6249.4861452633668</v>
      </c>
      <c r="BT49" s="97">
        <v>5</v>
      </c>
      <c r="BU49" s="97">
        <v>4926</v>
      </c>
      <c r="BV49" s="97">
        <v>5.043015988961935</v>
      </c>
      <c r="BW49" s="97">
        <v>4968.379352325298</v>
      </c>
      <c r="BX49" s="97">
        <v>3</v>
      </c>
      <c r="BY49" s="97">
        <v>2955.6</v>
      </c>
      <c r="BZ49" s="97">
        <v>4.2762182403998859</v>
      </c>
      <c r="CA49" s="97">
        <v>4212.9302104419676</v>
      </c>
      <c r="CB49" s="97">
        <v>4.2931324689859744</v>
      </c>
      <c r="CC49" s="97">
        <v>4229.5941084449814</v>
      </c>
      <c r="CD49" s="97">
        <v>3.3459641457592002</v>
      </c>
      <c r="CE49" s="97">
        <v>3296.4438764019637</v>
      </c>
      <c r="CF49" s="97">
        <v>4</v>
      </c>
      <c r="CG49" s="97">
        <v>3940.7999999999997</v>
      </c>
      <c r="CH49" s="97">
        <v>4.0357505256980781</v>
      </c>
      <c r="CI49" s="97">
        <v>3976.0214179177465</v>
      </c>
      <c r="CJ49" s="97">
        <v>5.1268793942671715</v>
      </c>
      <c r="CK49" s="97">
        <v>5051.0015792320173</v>
      </c>
      <c r="CL49" s="97">
        <v>3</v>
      </c>
      <c r="CM49" s="97">
        <v>2955.6</v>
      </c>
      <c r="CN49" s="97">
        <v>3</v>
      </c>
      <c r="CO49" s="97">
        <v>2955.6</v>
      </c>
      <c r="CP49" s="97">
        <v>3.0051778432977234</v>
      </c>
      <c r="CQ49" s="97">
        <v>2960.7012112169168</v>
      </c>
      <c r="CR49" s="97">
        <v>3</v>
      </c>
      <c r="CS49" s="97">
        <v>2955.6</v>
      </c>
      <c r="CT49" s="97">
        <v>2</v>
      </c>
      <c r="CU49" s="97">
        <v>1970.3999999999999</v>
      </c>
    </row>
    <row r="50" spans="2:99" x14ac:dyDescent="0.15">
      <c r="C50" s="96" t="s">
        <v>215</v>
      </c>
      <c r="D50" s="97">
        <v>0</v>
      </c>
      <c r="E50" s="97">
        <v>0</v>
      </c>
      <c r="F50" s="97">
        <v>0</v>
      </c>
      <c r="G50" s="97">
        <v>0</v>
      </c>
      <c r="H50" s="97">
        <v>0</v>
      </c>
      <c r="I50" s="97">
        <v>0</v>
      </c>
      <c r="J50" s="97">
        <v>0</v>
      </c>
      <c r="K50" s="97">
        <v>0</v>
      </c>
      <c r="L50" s="97">
        <v>0</v>
      </c>
      <c r="M50" s="97">
        <v>0</v>
      </c>
      <c r="N50" s="97">
        <v>0</v>
      </c>
      <c r="O50" s="97">
        <v>0</v>
      </c>
      <c r="P50" s="97">
        <v>0</v>
      </c>
      <c r="Q50" s="97">
        <v>0</v>
      </c>
      <c r="R50" s="97">
        <v>0</v>
      </c>
      <c r="S50" s="97">
        <v>0</v>
      </c>
      <c r="T50" s="97">
        <v>0</v>
      </c>
      <c r="U50" s="97">
        <v>0</v>
      </c>
      <c r="V50" s="97">
        <v>0</v>
      </c>
      <c r="W50" s="97">
        <v>0</v>
      </c>
      <c r="X50" s="97">
        <v>0</v>
      </c>
      <c r="Y50" s="97">
        <v>0</v>
      </c>
      <c r="Z50" s="97">
        <v>0</v>
      </c>
      <c r="AA50" s="97">
        <v>0</v>
      </c>
      <c r="AB50" s="97">
        <v>0</v>
      </c>
      <c r="AC50" s="97">
        <v>0</v>
      </c>
      <c r="AD50" s="97">
        <v>0</v>
      </c>
      <c r="AE50" s="97">
        <v>0</v>
      </c>
      <c r="AF50" s="97">
        <v>0</v>
      </c>
      <c r="AG50" s="97">
        <v>0</v>
      </c>
      <c r="AH50" s="97">
        <v>0</v>
      </c>
      <c r="AI50" s="97">
        <v>0</v>
      </c>
      <c r="AJ50" s="97">
        <v>0</v>
      </c>
      <c r="AK50" s="97">
        <v>0</v>
      </c>
      <c r="AL50" s="97">
        <v>0</v>
      </c>
      <c r="AM50" s="97">
        <v>0</v>
      </c>
      <c r="AN50" s="97">
        <v>0</v>
      </c>
      <c r="AO50" s="97">
        <v>0</v>
      </c>
      <c r="AP50" s="97">
        <v>0</v>
      </c>
      <c r="AQ50" s="97">
        <v>0</v>
      </c>
      <c r="AR50" s="97">
        <v>0</v>
      </c>
      <c r="AS50" s="97">
        <v>0</v>
      </c>
      <c r="AT50" s="97">
        <v>0</v>
      </c>
      <c r="AU50" s="97">
        <v>0</v>
      </c>
      <c r="AV50" s="97">
        <v>0</v>
      </c>
      <c r="AW50" s="97">
        <v>0</v>
      </c>
      <c r="AX50" s="97">
        <v>0</v>
      </c>
      <c r="AY50" s="97">
        <v>0</v>
      </c>
      <c r="AZ50" s="97">
        <v>0</v>
      </c>
      <c r="BA50" s="97">
        <v>0</v>
      </c>
      <c r="BB50" s="97">
        <v>0</v>
      </c>
      <c r="BC50" s="97">
        <v>0</v>
      </c>
      <c r="BD50" s="97">
        <v>0</v>
      </c>
      <c r="BE50" s="97">
        <v>0</v>
      </c>
      <c r="BF50" s="97">
        <v>0</v>
      </c>
      <c r="BG50" s="97">
        <v>0</v>
      </c>
      <c r="BH50" s="97">
        <v>0</v>
      </c>
      <c r="BI50" s="97">
        <v>0</v>
      </c>
      <c r="BJ50" s="97">
        <v>0</v>
      </c>
      <c r="BK50" s="97">
        <v>0</v>
      </c>
      <c r="BL50" s="97">
        <v>0</v>
      </c>
      <c r="BM50" s="97">
        <v>0</v>
      </c>
      <c r="BN50" s="97">
        <v>0</v>
      </c>
      <c r="BO50" s="97">
        <v>0</v>
      </c>
      <c r="BP50" s="97">
        <v>0</v>
      </c>
      <c r="BQ50" s="97">
        <v>0</v>
      </c>
      <c r="BR50" s="97">
        <v>0</v>
      </c>
      <c r="BS50" s="97">
        <v>0</v>
      </c>
      <c r="BT50" s="97">
        <v>0</v>
      </c>
      <c r="BU50" s="97">
        <v>0</v>
      </c>
      <c r="BV50" s="97">
        <v>0</v>
      </c>
      <c r="BW50" s="97">
        <v>0</v>
      </c>
      <c r="BX50" s="97">
        <v>0</v>
      </c>
      <c r="BY50" s="97">
        <v>0</v>
      </c>
      <c r="BZ50" s="97">
        <v>0</v>
      </c>
      <c r="CA50" s="97">
        <v>0</v>
      </c>
      <c r="CB50" s="97">
        <v>0</v>
      </c>
      <c r="CC50" s="97">
        <v>0</v>
      </c>
      <c r="CD50" s="97">
        <v>0</v>
      </c>
      <c r="CE50" s="97">
        <v>0</v>
      </c>
      <c r="CF50" s="97">
        <v>0</v>
      </c>
      <c r="CG50" s="97">
        <v>0</v>
      </c>
      <c r="CH50" s="97">
        <v>0</v>
      </c>
      <c r="CI50" s="97">
        <v>0</v>
      </c>
      <c r="CJ50" s="97">
        <v>0</v>
      </c>
      <c r="CK50" s="97">
        <v>0</v>
      </c>
      <c r="CL50" s="97">
        <v>0</v>
      </c>
      <c r="CM50" s="97">
        <v>0</v>
      </c>
      <c r="CN50" s="97">
        <v>0</v>
      </c>
      <c r="CO50" s="97">
        <v>0</v>
      </c>
      <c r="CP50" s="97">
        <v>0</v>
      </c>
      <c r="CQ50" s="97">
        <v>0</v>
      </c>
      <c r="CR50" s="97">
        <v>0</v>
      </c>
      <c r="CS50" s="97">
        <v>0</v>
      </c>
      <c r="CT50" s="97">
        <v>0</v>
      </c>
      <c r="CU50" s="97">
        <v>0</v>
      </c>
    </row>
    <row r="51" spans="2:99" x14ac:dyDescent="0.15">
      <c r="C51" s="96" t="s">
        <v>216</v>
      </c>
      <c r="D51" s="97">
        <v>0</v>
      </c>
      <c r="E51" s="97">
        <v>0</v>
      </c>
      <c r="F51" s="97">
        <v>0</v>
      </c>
      <c r="G51" s="97">
        <v>0</v>
      </c>
      <c r="H51" s="97">
        <v>0</v>
      </c>
      <c r="I51" s="97">
        <v>0</v>
      </c>
      <c r="J51" s="97">
        <v>0</v>
      </c>
      <c r="K51" s="97">
        <v>0</v>
      </c>
      <c r="L51" s="97">
        <v>0</v>
      </c>
      <c r="M51" s="97">
        <v>0</v>
      </c>
      <c r="N51" s="97">
        <v>0</v>
      </c>
      <c r="O51" s="97">
        <v>0</v>
      </c>
      <c r="P51" s="97">
        <v>0</v>
      </c>
      <c r="Q51" s="97">
        <v>0</v>
      </c>
      <c r="R51" s="97">
        <v>0</v>
      </c>
      <c r="S51" s="97">
        <v>0</v>
      </c>
      <c r="T51" s="97">
        <v>0</v>
      </c>
      <c r="U51" s="97">
        <v>0</v>
      </c>
      <c r="V51" s="97">
        <v>0</v>
      </c>
      <c r="W51" s="97">
        <v>0</v>
      </c>
      <c r="X51" s="97">
        <v>0</v>
      </c>
      <c r="Y51" s="97">
        <v>0</v>
      </c>
      <c r="Z51" s="97">
        <v>0</v>
      </c>
      <c r="AA51" s="97">
        <v>0</v>
      </c>
      <c r="AB51" s="97">
        <v>0</v>
      </c>
      <c r="AC51" s="97">
        <v>0</v>
      </c>
      <c r="AD51" s="97">
        <v>0</v>
      </c>
      <c r="AE51" s="97">
        <v>0</v>
      </c>
      <c r="AF51" s="97">
        <v>0</v>
      </c>
      <c r="AG51" s="97">
        <v>0</v>
      </c>
      <c r="AH51" s="97">
        <v>0</v>
      </c>
      <c r="AI51" s="97">
        <v>0</v>
      </c>
      <c r="AJ51" s="97">
        <v>0</v>
      </c>
      <c r="AK51" s="97">
        <v>0</v>
      </c>
      <c r="AL51" s="97">
        <v>0</v>
      </c>
      <c r="AM51" s="97">
        <v>0</v>
      </c>
      <c r="AN51" s="97">
        <v>0</v>
      </c>
      <c r="AO51" s="97">
        <v>0</v>
      </c>
      <c r="AP51" s="97">
        <v>0</v>
      </c>
      <c r="AQ51" s="97">
        <v>0</v>
      </c>
      <c r="AR51" s="97">
        <v>0</v>
      </c>
      <c r="AS51" s="97">
        <v>0</v>
      </c>
      <c r="AT51" s="97">
        <v>0</v>
      </c>
      <c r="AU51" s="97">
        <v>0</v>
      </c>
      <c r="AV51" s="97">
        <v>0</v>
      </c>
      <c r="AW51" s="97">
        <v>0</v>
      </c>
      <c r="AX51" s="97">
        <v>0</v>
      </c>
      <c r="AY51" s="97">
        <v>0</v>
      </c>
      <c r="AZ51" s="97">
        <v>0</v>
      </c>
      <c r="BA51" s="97">
        <v>0</v>
      </c>
      <c r="BB51" s="97">
        <v>0</v>
      </c>
      <c r="BC51" s="97">
        <v>0</v>
      </c>
      <c r="BD51" s="97">
        <v>0</v>
      </c>
      <c r="BE51" s="97">
        <v>0</v>
      </c>
      <c r="BF51" s="97">
        <v>0</v>
      </c>
      <c r="BG51" s="97">
        <v>0</v>
      </c>
      <c r="BH51" s="97">
        <v>0</v>
      </c>
      <c r="BI51" s="97">
        <v>0</v>
      </c>
      <c r="BJ51" s="97">
        <v>0</v>
      </c>
      <c r="BK51" s="97">
        <v>0</v>
      </c>
      <c r="BL51" s="97">
        <v>0</v>
      </c>
      <c r="BM51" s="97">
        <v>0</v>
      </c>
      <c r="BN51" s="97">
        <v>0</v>
      </c>
      <c r="BO51" s="97">
        <v>0</v>
      </c>
      <c r="BP51" s="97">
        <v>0</v>
      </c>
      <c r="BQ51" s="97">
        <v>0</v>
      </c>
      <c r="BR51" s="97">
        <v>0</v>
      </c>
      <c r="BS51" s="97">
        <v>0</v>
      </c>
      <c r="BT51" s="97">
        <v>0</v>
      </c>
      <c r="BU51" s="97">
        <v>0</v>
      </c>
      <c r="BV51" s="97">
        <v>0</v>
      </c>
      <c r="BW51" s="97">
        <v>0</v>
      </c>
      <c r="BX51" s="97">
        <v>0</v>
      </c>
      <c r="BY51" s="97">
        <v>0</v>
      </c>
      <c r="BZ51" s="97">
        <v>0</v>
      </c>
      <c r="CA51" s="97">
        <v>0</v>
      </c>
      <c r="CB51" s="97">
        <v>0</v>
      </c>
      <c r="CC51" s="97">
        <v>0</v>
      </c>
      <c r="CD51" s="97">
        <v>0</v>
      </c>
      <c r="CE51" s="97">
        <v>0</v>
      </c>
      <c r="CF51" s="97">
        <v>0</v>
      </c>
      <c r="CG51" s="97">
        <v>0</v>
      </c>
      <c r="CH51" s="97">
        <v>0</v>
      </c>
      <c r="CI51" s="97">
        <v>0</v>
      </c>
      <c r="CJ51" s="97">
        <v>0</v>
      </c>
      <c r="CK51" s="97">
        <v>0</v>
      </c>
      <c r="CL51" s="97">
        <v>0</v>
      </c>
      <c r="CM51" s="97">
        <v>0</v>
      </c>
      <c r="CN51" s="97">
        <v>0</v>
      </c>
      <c r="CO51" s="97">
        <v>0</v>
      </c>
      <c r="CP51" s="97">
        <v>0</v>
      </c>
      <c r="CQ51" s="97">
        <v>0</v>
      </c>
      <c r="CR51" s="97">
        <v>0</v>
      </c>
      <c r="CS51" s="97">
        <v>0</v>
      </c>
      <c r="CT51" s="97">
        <v>0</v>
      </c>
      <c r="CU51" s="97">
        <v>0</v>
      </c>
    </row>
    <row r="52" spans="2:99" x14ac:dyDescent="0.15">
      <c r="C52" s="96" t="s">
        <v>217</v>
      </c>
      <c r="D52" s="97">
        <v>0</v>
      </c>
      <c r="E52" s="97">
        <v>0</v>
      </c>
      <c r="F52" s="97">
        <v>0</v>
      </c>
      <c r="G52" s="97">
        <v>0</v>
      </c>
      <c r="H52" s="97">
        <v>0</v>
      </c>
      <c r="I52" s="97">
        <v>0</v>
      </c>
      <c r="J52" s="97">
        <v>0</v>
      </c>
      <c r="K52" s="97">
        <v>0</v>
      </c>
      <c r="L52" s="97">
        <v>0</v>
      </c>
      <c r="M52" s="97">
        <v>0</v>
      </c>
      <c r="N52" s="97">
        <v>0</v>
      </c>
      <c r="O52" s="97">
        <v>0</v>
      </c>
      <c r="P52" s="97">
        <v>0</v>
      </c>
      <c r="Q52" s="97">
        <v>0</v>
      </c>
      <c r="R52" s="97">
        <v>0</v>
      </c>
      <c r="S52" s="97">
        <v>0</v>
      </c>
      <c r="T52" s="97">
        <v>0</v>
      </c>
      <c r="U52" s="97">
        <v>0</v>
      </c>
      <c r="V52" s="97">
        <v>0</v>
      </c>
      <c r="W52" s="97">
        <v>0</v>
      </c>
      <c r="X52" s="97">
        <v>0</v>
      </c>
      <c r="Y52" s="97">
        <v>0</v>
      </c>
      <c r="Z52" s="97">
        <v>0</v>
      </c>
      <c r="AA52" s="97">
        <v>0</v>
      </c>
      <c r="AB52" s="97">
        <v>0</v>
      </c>
      <c r="AC52" s="97">
        <v>0</v>
      </c>
      <c r="AD52" s="97">
        <v>0</v>
      </c>
      <c r="AE52" s="97">
        <v>0</v>
      </c>
      <c r="AF52" s="97">
        <v>0</v>
      </c>
      <c r="AG52" s="97">
        <v>0</v>
      </c>
      <c r="AH52" s="97">
        <v>0</v>
      </c>
      <c r="AI52" s="97">
        <v>0</v>
      </c>
      <c r="AJ52" s="97">
        <v>0</v>
      </c>
      <c r="AK52" s="97">
        <v>0</v>
      </c>
      <c r="AL52" s="97">
        <v>0</v>
      </c>
      <c r="AM52" s="97">
        <v>0</v>
      </c>
      <c r="AN52" s="97">
        <v>0</v>
      </c>
      <c r="AO52" s="97">
        <v>0</v>
      </c>
      <c r="AP52" s="97">
        <v>0</v>
      </c>
      <c r="AQ52" s="97">
        <v>0</v>
      </c>
      <c r="AR52" s="97">
        <v>0</v>
      </c>
      <c r="AS52" s="97">
        <v>0</v>
      </c>
      <c r="AT52" s="97">
        <v>0</v>
      </c>
      <c r="AU52" s="97">
        <v>0</v>
      </c>
      <c r="AV52" s="97">
        <v>0</v>
      </c>
      <c r="AW52" s="97">
        <v>0</v>
      </c>
      <c r="AX52" s="97">
        <v>0</v>
      </c>
      <c r="AY52" s="97">
        <v>0</v>
      </c>
      <c r="AZ52" s="97">
        <v>0</v>
      </c>
      <c r="BA52" s="97">
        <v>0</v>
      </c>
      <c r="BB52" s="97">
        <v>0</v>
      </c>
      <c r="BC52" s="97">
        <v>0</v>
      </c>
      <c r="BD52" s="97">
        <v>0</v>
      </c>
      <c r="BE52" s="97">
        <v>0</v>
      </c>
      <c r="BF52" s="97">
        <v>0</v>
      </c>
      <c r="BG52" s="97">
        <v>0</v>
      </c>
      <c r="BH52" s="97">
        <v>0</v>
      </c>
      <c r="BI52" s="97">
        <v>0</v>
      </c>
      <c r="BJ52" s="97">
        <v>0</v>
      </c>
      <c r="BK52" s="97">
        <v>0</v>
      </c>
      <c r="BL52" s="97">
        <v>0</v>
      </c>
      <c r="BM52" s="97">
        <v>0</v>
      </c>
      <c r="BN52" s="97">
        <v>0</v>
      </c>
      <c r="BO52" s="97">
        <v>0</v>
      </c>
      <c r="BP52" s="97">
        <v>0</v>
      </c>
      <c r="BQ52" s="97">
        <v>0</v>
      </c>
      <c r="BR52" s="97">
        <v>0</v>
      </c>
      <c r="BS52" s="97">
        <v>0</v>
      </c>
      <c r="BT52" s="97">
        <v>0</v>
      </c>
      <c r="BU52" s="97">
        <v>0</v>
      </c>
      <c r="BV52" s="97">
        <v>0</v>
      </c>
      <c r="BW52" s="97">
        <v>0</v>
      </c>
      <c r="BX52" s="97">
        <v>0</v>
      </c>
      <c r="BY52" s="97">
        <v>0</v>
      </c>
      <c r="BZ52" s="97">
        <v>0</v>
      </c>
      <c r="CA52" s="97">
        <v>0</v>
      </c>
      <c r="CB52" s="97">
        <v>0</v>
      </c>
      <c r="CC52" s="97">
        <v>0</v>
      </c>
      <c r="CD52" s="97">
        <v>0</v>
      </c>
      <c r="CE52" s="97">
        <v>0</v>
      </c>
      <c r="CF52" s="97">
        <v>0</v>
      </c>
      <c r="CG52" s="97">
        <v>0</v>
      </c>
      <c r="CH52" s="97">
        <v>0</v>
      </c>
      <c r="CI52" s="97">
        <v>0</v>
      </c>
      <c r="CJ52" s="97">
        <v>0</v>
      </c>
      <c r="CK52" s="97">
        <v>0</v>
      </c>
      <c r="CL52" s="97">
        <v>0</v>
      </c>
      <c r="CM52" s="97">
        <v>0</v>
      </c>
      <c r="CN52" s="97">
        <v>0</v>
      </c>
      <c r="CO52" s="97">
        <v>0</v>
      </c>
      <c r="CP52" s="97">
        <v>0</v>
      </c>
      <c r="CQ52" s="97">
        <v>0</v>
      </c>
      <c r="CR52" s="97">
        <v>0</v>
      </c>
      <c r="CS52" s="97">
        <v>0</v>
      </c>
      <c r="CT52" s="97">
        <v>0</v>
      </c>
      <c r="CU52" s="97">
        <v>0</v>
      </c>
    </row>
    <row r="53" spans="2:99" x14ac:dyDescent="0.15">
      <c r="C53" s="96" t="s">
        <v>218</v>
      </c>
      <c r="D53" s="97">
        <v>0</v>
      </c>
      <c r="E53" s="97">
        <v>0</v>
      </c>
      <c r="F53" s="97">
        <v>0</v>
      </c>
      <c r="G53" s="97">
        <v>0</v>
      </c>
      <c r="H53" s="97">
        <v>0</v>
      </c>
      <c r="I53" s="97">
        <v>0</v>
      </c>
      <c r="J53" s="97">
        <v>0</v>
      </c>
      <c r="K53" s="97">
        <v>0</v>
      </c>
      <c r="L53" s="97">
        <v>0</v>
      </c>
      <c r="M53" s="97">
        <v>0</v>
      </c>
      <c r="N53" s="97">
        <v>0</v>
      </c>
      <c r="O53" s="97">
        <v>0</v>
      </c>
      <c r="P53" s="97">
        <v>0</v>
      </c>
      <c r="Q53" s="97">
        <v>0</v>
      </c>
      <c r="R53" s="97">
        <v>0</v>
      </c>
      <c r="S53" s="97">
        <v>0</v>
      </c>
      <c r="T53" s="97">
        <v>0</v>
      </c>
      <c r="U53" s="97">
        <v>0</v>
      </c>
      <c r="V53" s="97">
        <v>0</v>
      </c>
      <c r="W53" s="97">
        <v>0</v>
      </c>
      <c r="X53" s="97">
        <v>0</v>
      </c>
      <c r="Y53" s="97">
        <v>0</v>
      </c>
      <c r="Z53" s="97">
        <v>0</v>
      </c>
      <c r="AA53" s="97">
        <v>0</v>
      </c>
      <c r="AB53" s="97">
        <v>0</v>
      </c>
      <c r="AC53" s="97">
        <v>0</v>
      </c>
      <c r="AD53" s="97">
        <v>0</v>
      </c>
      <c r="AE53" s="97">
        <v>0</v>
      </c>
      <c r="AF53" s="97">
        <v>0</v>
      </c>
      <c r="AG53" s="97">
        <v>0</v>
      </c>
      <c r="AH53" s="97">
        <v>0</v>
      </c>
      <c r="AI53" s="97">
        <v>0</v>
      </c>
      <c r="AJ53" s="97">
        <v>0</v>
      </c>
      <c r="AK53" s="97">
        <v>0</v>
      </c>
      <c r="AL53" s="97">
        <v>0</v>
      </c>
      <c r="AM53" s="97">
        <v>0</v>
      </c>
      <c r="AN53" s="97">
        <v>0</v>
      </c>
      <c r="AO53" s="97">
        <v>0</v>
      </c>
      <c r="AP53" s="97">
        <v>0</v>
      </c>
      <c r="AQ53" s="97">
        <v>0</v>
      </c>
      <c r="AR53" s="97">
        <v>0</v>
      </c>
      <c r="AS53" s="97">
        <v>0</v>
      </c>
      <c r="AT53" s="97">
        <v>0</v>
      </c>
      <c r="AU53" s="97">
        <v>0</v>
      </c>
      <c r="AV53" s="97">
        <v>0</v>
      </c>
      <c r="AW53" s="97">
        <v>0</v>
      </c>
      <c r="AX53" s="97">
        <v>0</v>
      </c>
      <c r="AY53" s="97">
        <v>0</v>
      </c>
      <c r="AZ53" s="97">
        <v>0</v>
      </c>
      <c r="BA53" s="97">
        <v>0</v>
      </c>
      <c r="BB53" s="97">
        <v>0</v>
      </c>
      <c r="BC53" s="97">
        <v>0</v>
      </c>
      <c r="BD53" s="97">
        <v>0</v>
      </c>
      <c r="BE53" s="97">
        <v>0</v>
      </c>
      <c r="BF53" s="97">
        <v>0</v>
      </c>
      <c r="BG53" s="97">
        <v>0</v>
      </c>
      <c r="BH53" s="97">
        <v>0</v>
      </c>
      <c r="BI53" s="97">
        <v>0</v>
      </c>
      <c r="BJ53" s="97">
        <v>0</v>
      </c>
      <c r="BK53" s="97">
        <v>0</v>
      </c>
      <c r="BL53" s="97">
        <v>0</v>
      </c>
      <c r="BM53" s="97">
        <v>0</v>
      </c>
      <c r="BN53" s="97">
        <v>0</v>
      </c>
      <c r="BO53" s="97">
        <v>0</v>
      </c>
      <c r="BP53" s="97">
        <v>0</v>
      </c>
      <c r="BQ53" s="97">
        <v>0</v>
      </c>
      <c r="BR53" s="97">
        <v>0</v>
      </c>
      <c r="BS53" s="97">
        <v>0</v>
      </c>
      <c r="BT53" s="97">
        <v>0</v>
      </c>
      <c r="BU53" s="97">
        <v>0</v>
      </c>
      <c r="BV53" s="97">
        <v>0</v>
      </c>
      <c r="BW53" s="97">
        <v>0</v>
      </c>
      <c r="BX53" s="97">
        <v>0</v>
      </c>
      <c r="BY53" s="97">
        <v>0</v>
      </c>
      <c r="BZ53" s="97">
        <v>0</v>
      </c>
      <c r="CA53" s="97">
        <v>0</v>
      </c>
      <c r="CB53" s="97">
        <v>0</v>
      </c>
      <c r="CC53" s="97">
        <v>0</v>
      </c>
      <c r="CD53" s="97">
        <v>0</v>
      </c>
      <c r="CE53" s="97">
        <v>0</v>
      </c>
      <c r="CF53" s="97">
        <v>0</v>
      </c>
      <c r="CG53" s="97">
        <v>0</v>
      </c>
      <c r="CH53" s="97">
        <v>0</v>
      </c>
      <c r="CI53" s="97">
        <v>0</v>
      </c>
      <c r="CJ53" s="97">
        <v>0</v>
      </c>
      <c r="CK53" s="97">
        <v>0</v>
      </c>
      <c r="CL53" s="97">
        <v>0</v>
      </c>
      <c r="CM53" s="97">
        <v>0</v>
      </c>
      <c r="CN53" s="97">
        <v>0</v>
      </c>
      <c r="CO53" s="97">
        <v>0</v>
      </c>
      <c r="CP53" s="97">
        <v>0</v>
      </c>
      <c r="CQ53" s="97">
        <v>0</v>
      </c>
      <c r="CR53" s="97">
        <v>0</v>
      </c>
      <c r="CS53" s="97">
        <v>0</v>
      </c>
      <c r="CT53" s="97">
        <v>0</v>
      </c>
      <c r="CU53" s="97">
        <v>0</v>
      </c>
    </row>
    <row r="54" spans="2:99" x14ac:dyDescent="0.15">
      <c r="C54" s="96" t="s">
        <v>219</v>
      </c>
      <c r="D54" s="97">
        <v>0</v>
      </c>
      <c r="E54" s="97">
        <v>0</v>
      </c>
      <c r="F54" s="97">
        <v>0</v>
      </c>
      <c r="G54" s="97">
        <v>0</v>
      </c>
      <c r="H54" s="97">
        <v>0</v>
      </c>
      <c r="I54" s="97">
        <v>0</v>
      </c>
      <c r="J54" s="97">
        <v>0</v>
      </c>
      <c r="K54" s="97">
        <v>0</v>
      </c>
      <c r="L54" s="97">
        <v>0</v>
      </c>
      <c r="M54" s="97">
        <v>0</v>
      </c>
      <c r="N54" s="97">
        <v>0</v>
      </c>
      <c r="O54" s="97">
        <v>0</v>
      </c>
      <c r="P54" s="97">
        <v>0</v>
      </c>
      <c r="Q54" s="97">
        <v>0</v>
      </c>
      <c r="R54" s="97">
        <v>0</v>
      </c>
      <c r="S54" s="97">
        <v>0</v>
      </c>
      <c r="T54" s="97">
        <v>0</v>
      </c>
      <c r="U54" s="97">
        <v>0</v>
      </c>
      <c r="V54" s="97">
        <v>0</v>
      </c>
      <c r="W54" s="97">
        <v>0</v>
      </c>
      <c r="X54" s="97">
        <v>0</v>
      </c>
      <c r="Y54" s="97">
        <v>0</v>
      </c>
      <c r="Z54" s="97">
        <v>0</v>
      </c>
      <c r="AA54" s="97">
        <v>0</v>
      </c>
      <c r="AB54" s="97">
        <v>0</v>
      </c>
      <c r="AC54" s="97">
        <v>0</v>
      </c>
      <c r="AD54" s="97">
        <v>0</v>
      </c>
      <c r="AE54" s="97">
        <v>0</v>
      </c>
      <c r="AF54" s="97">
        <v>0</v>
      </c>
      <c r="AG54" s="97">
        <v>0</v>
      </c>
      <c r="AH54" s="97">
        <v>0</v>
      </c>
      <c r="AI54" s="97">
        <v>0</v>
      </c>
      <c r="AJ54" s="97">
        <v>0</v>
      </c>
      <c r="AK54" s="97">
        <v>0</v>
      </c>
      <c r="AL54" s="97">
        <v>0</v>
      </c>
      <c r="AM54" s="97">
        <v>0</v>
      </c>
      <c r="AN54" s="97">
        <v>0</v>
      </c>
      <c r="AO54" s="97">
        <v>0</v>
      </c>
      <c r="AP54" s="97">
        <v>0</v>
      </c>
      <c r="AQ54" s="97">
        <v>0</v>
      </c>
      <c r="AR54" s="97">
        <v>0</v>
      </c>
      <c r="AS54" s="97">
        <v>0</v>
      </c>
      <c r="AT54" s="97">
        <v>0</v>
      </c>
      <c r="AU54" s="97">
        <v>0</v>
      </c>
      <c r="AV54" s="97">
        <v>0</v>
      </c>
      <c r="AW54" s="97">
        <v>0</v>
      </c>
      <c r="AX54" s="97">
        <v>0</v>
      </c>
      <c r="AY54" s="97">
        <v>0</v>
      </c>
      <c r="AZ54" s="97">
        <v>0</v>
      </c>
      <c r="BA54" s="97">
        <v>0</v>
      </c>
      <c r="BB54" s="97">
        <v>0</v>
      </c>
      <c r="BC54" s="97">
        <v>0</v>
      </c>
      <c r="BD54" s="97">
        <v>0</v>
      </c>
      <c r="BE54" s="97">
        <v>0</v>
      </c>
      <c r="BF54" s="97">
        <v>0</v>
      </c>
      <c r="BG54" s="97">
        <v>0</v>
      </c>
      <c r="BH54" s="97">
        <v>0</v>
      </c>
      <c r="BI54" s="97">
        <v>0</v>
      </c>
      <c r="BJ54" s="97">
        <v>0</v>
      </c>
      <c r="BK54" s="97">
        <v>0</v>
      </c>
      <c r="BL54" s="97">
        <v>0</v>
      </c>
      <c r="BM54" s="97">
        <v>0</v>
      </c>
      <c r="BN54" s="97">
        <v>0</v>
      </c>
      <c r="BO54" s="97">
        <v>0</v>
      </c>
      <c r="BP54" s="97">
        <v>0</v>
      </c>
      <c r="BQ54" s="97">
        <v>0</v>
      </c>
      <c r="BR54" s="97">
        <v>0</v>
      </c>
      <c r="BS54" s="97">
        <v>0</v>
      </c>
      <c r="BT54" s="97">
        <v>0</v>
      </c>
      <c r="BU54" s="97">
        <v>0</v>
      </c>
      <c r="BV54" s="97">
        <v>0</v>
      </c>
      <c r="BW54" s="97">
        <v>0</v>
      </c>
      <c r="BX54" s="97">
        <v>0</v>
      </c>
      <c r="BY54" s="97">
        <v>0</v>
      </c>
      <c r="BZ54" s="97">
        <v>0</v>
      </c>
      <c r="CA54" s="97">
        <v>0</v>
      </c>
      <c r="CB54" s="97">
        <v>0</v>
      </c>
      <c r="CC54" s="97">
        <v>0</v>
      </c>
      <c r="CD54" s="97">
        <v>0</v>
      </c>
      <c r="CE54" s="97">
        <v>0</v>
      </c>
      <c r="CF54" s="97">
        <v>0</v>
      </c>
      <c r="CG54" s="97">
        <v>0</v>
      </c>
      <c r="CH54" s="97">
        <v>0</v>
      </c>
      <c r="CI54" s="97">
        <v>0</v>
      </c>
      <c r="CJ54" s="97">
        <v>0</v>
      </c>
      <c r="CK54" s="97">
        <v>0</v>
      </c>
      <c r="CL54" s="97">
        <v>0</v>
      </c>
      <c r="CM54" s="97">
        <v>0</v>
      </c>
      <c r="CN54" s="97">
        <v>0</v>
      </c>
      <c r="CO54" s="97">
        <v>0</v>
      </c>
      <c r="CP54" s="97">
        <v>0</v>
      </c>
      <c r="CQ54" s="97">
        <v>0</v>
      </c>
      <c r="CR54" s="97">
        <v>0</v>
      </c>
      <c r="CS54" s="97">
        <v>0</v>
      </c>
      <c r="CT54" s="97">
        <v>0</v>
      </c>
      <c r="CU54" s="97">
        <v>0</v>
      </c>
    </row>
    <row r="55" spans="2:99" x14ac:dyDescent="0.15">
      <c r="C55" s="96" t="s">
        <v>220</v>
      </c>
      <c r="D55" s="97">
        <v>0</v>
      </c>
      <c r="E55" s="97">
        <v>0</v>
      </c>
      <c r="F55" s="97">
        <v>0</v>
      </c>
      <c r="G55" s="97">
        <v>0</v>
      </c>
      <c r="H55" s="97">
        <v>0</v>
      </c>
      <c r="I55" s="97">
        <v>0</v>
      </c>
      <c r="J55" s="97">
        <v>0</v>
      </c>
      <c r="K55" s="97">
        <v>0</v>
      </c>
      <c r="L55" s="97">
        <v>0</v>
      </c>
      <c r="M55" s="97">
        <v>0</v>
      </c>
      <c r="N55" s="97">
        <v>0</v>
      </c>
      <c r="O55" s="97">
        <v>0</v>
      </c>
      <c r="P55" s="97">
        <v>0</v>
      </c>
      <c r="Q55" s="97">
        <v>0</v>
      </c>
      <c r="R55" s="97">
        <v>0</v>
      </c>
      <c r="S55" s="97">
        <v>0</v>
      </c>
      <c r="T55" s="97">
        <v>0</v>
      </c>
      <c r="U55" s="97">
        <v>0</v>
      </c>
      <c r="V55" s="97">
        <v>0</v>
      </c>
      <c r="W55" s="97">
        <v>0</v>
      </c>
      <c r="X55" s="97">
        <v>0</v>
      </c>
      <c r="Y55" s="97">
        <v>0</v>
      </c>
      <c r="Z55" s="97">
        <v>0</v>
      </c>
      <c r="AA55" s="97">
        <v>0</v>
      </c>
      <c r="AB55" s="97">
        <v>0</v>
      </c>
      <c r="AC55" s="97">
        <v>0</v>
      </c>
      <c r="AD55" s="97">
        <v>0</v>
      </c>
      <c r="AE55" s="97">
        <v>0</v>
      </c>
      <c r="AF55" s="97">
        <v>0</v>
      </c>
      <c r="AG55" s="97">
        <v>0</v>
      </c>
      <c r="AH55" s="97">
        <v>0</v>
      </c>
      <c r="AI55" s="97">
        <v>0</v>
      </c>
      <c r="AJ55" s="97">
        <v>0</v>
      </c>
      <c r="AK55" s="97">
        <v>0</v>
      </c>
      <c r="AL55" s="97">
        <v>0</v>
      </c>
      <c r="AM55" s="97">
        <v>0</v>
      </c>
      <c r="AN55" s="97">
        <v>0</v>
      </c>
      <c r="AO55" s="97">
        <v>0</v>
      </c>
      <c r="AP55" s="97">
        <v>0</v>
      </c>
      <c r="AQ55" s="97">
        <v>0</v>
      </c>
      <c r="AR55" s="97">
        <v>0</v>
      </c>
      <c r="AS55" s="97">
        <v>0</v>
      </c>
      <c r="AT55" s="97">
        <v>0</v>
      </c>
      <c r="AU55" s="97">
        <v>0</v>
      </c>
      <c r="AV55" s="97">
        <v>0</v>
      </c>
      <c r="AW55" s="97">
        <v>0</v>
      </c>
      <c r="AX55" s="97">
        <v>0</v>
      </c>
      <c r="AY55" s="97">
        <v>0</v>
      </c>
      <c r="AZ55" s="97">
        <v>0</v>
      </c>
      <c r="BA55" s="97">
        <v>0</v>
      </c>
      <c r="BB55" s="97">
        <v>0</v>
      </c>
      <c r="BC55" s="97">
        <v>0</v>
      </c>
      <c r="BD55" s="97">
        <v>0</v>
      </c>
      <c r="BE55" s="97">
        <v>0</v>
      </c>
      <c r="BF55" s="97">
        <v>0</v>
      </c>
      <c r="BG55" s="97">
        <v>0</v>
      </c>
      <c r="BH55" s="97">
        <v>0</v>
      </c>
      <c r="BI55" s="97">
        <v>0</v>
      </c>
      <c r="BJ55" s="97">
        <v>0</v>
      </c>
      <c r="BK55" s="97">
        <v>0</v>
      </c>
      <c r="BL55" s="97">
        <v>0</v>
      </c>
      <c r="BM55" s="97">
        <v>0</v>
      </c>
      <c r="BN55" s="97">
        <v>0</v>
      </c>
      <c r="BO55" s="97">
        <v>0</v>
      </c>
      <c r="BP55" s="97">
        <v>0</v>
      </c>
      <c r="BQ55" s="97">
        <v>0</v>
      </c>
      <c r="BR55" s="97">
        <v>0</v>
      </c>
      <c r="BS55" s="97">
        <v>0</v>
      </c>
      <c r="BT55" s="97">
        <v>0</v>
      </c>
      <c r="BU55" s="97">
        <v>0</v>
      </c>
      <c r="BV55" s="97">
        <v>0</v>
      </c>
      <c r="BW55" s="97">
        <v>0</v>
      </c>
      <c r="BX55" s="97">
        <v>0</v>
      </c>
      <c r="BY55" s="97">
        <v>0</v>
      </c>
      <c r="BZ55" s="97">
        <v>0</v>
      </c>
      <c r="CA55" s="97">
        <v>0</v>
      </c>
      <c r="CB55" s="97">
        <v>0</v>
      </c>
      <c r="CC55" s="97">
        <v>0</v>
      </c>
      <c r="CD55" s="97">
        <v>0</v>
      </c>
      <c r="CE55" s="97">
        <v>0</v>
      </c>
      <c r="CF55" s="97">
        <v>0</v>
      </c>
      <c r="CG55" s="97">
        <v>0</v>
      </c>
      <c r="CH55" s="97">
        <v>0</v>
      </c>
      <c r="CI55" s="97">
        <v>0</v>
      </c>
      <c r="CJ55" s="97">
        <v>0</v>
      </c>
      <c r="CK55" s="97">
        <v>0</v>
      </c>
      <c r="CL55" s="97">
        <v>0</v>
      </c>
      <c r="CM55" s="97">
        <v>0</v>
      </c>
      <c r="CN55" s="97">
        <v>0</v>
      </c>
      <c r="CO55" s="97">
        <v>0</v>
      </c>
      <c r="CP55" s="97">
        <v>0</v>
      </c>
      <c r="CQ55" s="97">
        <v>0</v>
      </c>
      <c r="CR55" s="97">
        <v>0</v>
      </c>
      <c r="CS55" s="97">
        <v>0</v>
      </c>
      <c r="CT55" s="97">
        <v>0</v>
      </c>
      <c r="CU55" s="97">
        <v>0</v>
      </c>
    </row>
    <row r="56" spans="2:99" x14ac:dyDescent="0.15">
      <c r="C56" s="96" t="s">
        <v>221</v>
      </c>
      <c r="D56" s="97">
        <v>0</v>
      </c>
      <c r="E56" s="97">
        <v>0</v>
      </c>
      <c r="F56" s="97">
        <v>0</v>
      </c>
      <c r="G56" s="97">
        <v>0</v>
      </c>
      <c r="H56" s="97">
        <v>0</v>
      </c>
      <c r="I56" s="97">
        <v>0</v>
      </c>
      <c r="J56" s="97">
        <v>15.281848538065685</v>
      </c>
      <c r="K56" s="97">
        <v>17586.35129760599</v>
      </c>
      <c r="L56" s="97">
        <v>3.2791361423720318</v>
      </c>
      <c r="M56" s="97">
        <v>3773.629872641734</v>
      </c>
      <c r="N56" s="97">
        <v>37</v>
      </c>
      <c r="O56" s="97">
        <v>42579.6</v>
      </c>
      <c r="P56" s="97">
        <v>26.069447625605836</v>
      </c>
      <c r="Q56" s="97">
        <v>30000.720327547195</v>
      </c>
      <c r="R56" s="97">
        <v>18.462789487822445</v>
      </c>
      <c r="S56" s="97">
        <v>21246.978142586067</v>
      </c>
      <c r="T56" s="97">
        <v>17.060029875069407</v>
      </c>
      <c r="U56" s="97">
        <v>19632.682380229871</v>
      </c>
      <c r="V56" s="97">
        <v>27.310801534374157</v>
      </c>
      <c r="W56" s="97">
        <v>31429.270405757779</v>
      </c>
      <c r="X56" s="97">
        <v>23.708901237242511</v>
      </c>
      <c r="Y56" s="97">
        <v>27284.203543818679</v>
      </c>
      <c r="Z56" s="97">
        <v>33</v>
      </c>
      <c r="AA56" s="97">
        <v>37976.400000000001</v>
      </c>
      <c r="AB56" s="97">
        <v>20.688963910036172</v>
      </c>
      <c r="AC56" s="97">
        <v>23808.859667669625</v>
      </c>
      <c r="AD56" s="97">
        <v>18.56847975340078</v>
      </c>
      <c r="AE56" s="97">
        <v>21368.606500213617</v>
      </c>
      <c r="AF56" s="97">
        <v>21.629410349832387</v>
      </c>
      <c r="AG56" s="97">
        <v>24891.125430587112</v>
      </c>
      <c r="AH56" s="97">
        <v>18.63949158739959</v>
      </c>
      <c r="AI56" s="97">
        <v>21450.326918779447</v>
      </c>
      <c r="AJ56" s="97">
        <v>18.742392802317944</v>
      </c>
      <c r="AK56" s="97">
        <v>21568.74563690749</v>
      </c>
      <c r="AL56" s="97">
        <v>14.593650486864796</v>
      </c>
      <c r="AM56" s="97">
        <v>16794.372980284006</v>
      </c>
      <c r="AN56" s="97">
        <v>16.566316349915645</v>
      </c>
      <c r="AO56" s="97">
        <v>19064.516855482925</v>
      </c>
      <c r="AP56" s="97">
        <v>12.060998810939358</v>
      </c>
      <c r="AQ56" s="97">
        <v>13879.797431629013</v>
      </c>
      <c r="AR56" s="97">
        <v>13</v>
      </c>
      <c r="AS56" s="97">
        <v>14960.4</v>
      </c>
      <c r="AT56" s="97">
        <v>9.4107084609015157</v>
      </c>
      <c r="AU56" s="97">
        <v>10829.843296805464</v>
      </c>
      <c r="AV56" s="97">
        <v>12.440958752647065</v>
      </c>
      <c r="AW56" s="97">
        <v>14317.055332546242</v>
      </c>
      <c r="AX56" s="97">
        <v>12.775092331178076</v>
      </c>
      <c r="AY56" s="97">
        <v>14701.57625471973</v>
      </c>
      <c r="AZ56" s="97">
        <v>8.5522025991259305</v>
      </c>
      <c r="BA56" s="97">
        <v>9841.8747510741196</v>
      </c>
      <c r="BB56" s="97">
        <v>7.0501340143399753</v>
      </c>
      <c r="BC56" s="97">
        <v>8113.2942237024436</v>
      </c>
      <c r="BD56" s="97">
        <v>6.5978896174425055</v>
      </c>
      <c r="BE56" s="97">
        <v>7592.8513717528349</v>
      </c>
      <c r="BF56" s="97">
        <v>7.3964539264938427</v>
      </c>
      <c r="BG56" s="97">
        <v>8511.8391786091142</v>
      </c>
      <c r="BH56" s="97">
        <v>7.3352890080031274</v>
      </c>
      <c r="BI56" s="97">
        <v>8441.4505904099988</v>
      </c>
      <c r="BJ56" s="97">
        <v>6.5599906822157097</v>
      </c>
      <c r="BK56" s="97">
        <v>7549.2372770938382</v>
      </c>
      <c r="BL56" s="97">
        <v>7.4982549886319605</v>
      </c>
      <c r="BM56" s="97">
        <v>8628.9918409176589</v>
      </c>
      <c r="BN56" s="97">
        <v>8.0603601874948598</v>
      </c>
      <c r="BO56" s="97">
        <v>9275.8625037690836</v>
      </c>
      <c r="BP56" s="97">
        <v>4.339836476000003</v>
      </c>
      <c r="BQ56" s="97">
        <v>4994.2838165808034</v>
      </c>
      <c r="BR56" s="97">
        <v>5.3924205617578647</v>
      </c>
      <c r="BS56" s="97">
        <v>6205.5975824709503</v>
      </c>
      <c r="BT56" s="97">
        <v>5.2773352643996931</v>
      </c>
      <c r="BU56" s="97">
        <v>6073.157422271167</v>
      </c>
      <c r="BV56" s="97">
        <v>5.0516191867543219</v>
      </c>
      <c r="BW56" s="97">
        <v>5813.403360116873</v>
      </c>
      <c r="BX56" s="97">
        <v>3</v>
      </c>
      <c r="BY56" s="97">
        <v>3452.3999999999996</v>
      </c>
      <c r="BZ56" s="97">
        <v>5.2762182403998859</v>
      </c>
      <c r="CA56" s="97">
        <v>6071.8719510521887</v>
      </c>
      <c r="CB56" s="97">
        <v>4.2442770574883122</v>
      </c>
      <c r="CC56" s="97">
        <v>4884.3140377575492</v>
      </c>
      <c r="CD56" s="97">
        <v>3.2965406963650286</v>
      </c>
      <c r="CE56" s="97">
        <v>3793.6590333768745</v>
      </c>
      <c r="CF56" s="97">
        <v>4</v>
      </c>
      <c r="CG56" s="97">
        <v>4603.2</v>
      </c>
      <c r="CH56" s="97">
        <v>4.0357505256980781</v>
      </c>
      <c r="CI56" s="97">
        <v>4644.341704973348</v>
      </c>
      <c r="CJ56" s="97">
        <v>4.1268793942671715</v>
      </c>
      <c r="CK56" s="97">
        <v>4749.212806922661</v>
      </c>
      <c r="CL56" s="97">
        <v>3.2212264525966923</v>
      </c>
      <c r="CM56" s="97">
        <v>3706.9874016482731</v>
      </c>
      <c r="CN56" s="97">
        <v>3</v>
      </c>
      <c r="CO56" s="97">
        <v>3452.3999999999996</v>
      </c>
      <c r="CP56" s="97">
        <v>3.0038833824732927</v>
      </c>
      <c r="CQ56" s="97">
        <v>3456.8689965502649</v>
      </c>
      <c r="CR56" s="97">
        <v>3</v>
      </c>
      <c r="CS56" s="97">
        <v>3452.3999999999996</v>
      </c>
      <c r="CT56" s="97">
        <v>3</v>
      </c>
      <c r="CU56" s="97">
        <v>3452.3999999999996</v>
      </c>
    </row>
    <row r="57" spans="2:99" x14ac:dyDescent="0.15">
      <c r="C57" s="96" t="s">
        <v>222</v>
      </c>
      <c r="D57" s="97">
        <v>0</v>
      </c>
      <c r="E57" s="97">
        <v>0</v>
      </c>
      <c r="F57" s="97">
        <v>0</v>
      </c>
      <c r="G57" s="97">
        <v>0</v>
      </c>
      <c r="H57" s="97">
        <v>0</v>
      </c>
      <c r="I57" s="97">
        <v>0</v>
      </c>
      <c r="J57" s="97">
        <v>0</v>
      </c>
      <c r="K57" s="97">
        <v>0</v>
      </c>
      <c r="L57" s="97">
        <v>0</v>
      </c>
      <c r="M57" s="97">
        <v>0</v>
      </c>
      <c r="N57" s="97">
        <v>0</v>
      </c>
      <c r="O57" s="97">
        <v>0</v>
      </c>
      <c r="P57" s="97">
        <v>0</v>
      </c>
      <c r="Q57" s="97">
        <v>0</v>
      </c>
      <c r="R57" s="97">
        <v>0</v>
      </c>
      <c r="S57" s="97">
        <v>0</v>
      </c>
      <c r="T57" s="97">
        <v>0</v>
      </c>
      <c r="U57" s="97">
        <v>0</v>
      </c>
      <c r="V57" s="97">
        <v>0</v>
      </c>
      <c r="W57" s="97">
        <v>0</v>
      </c>
      <c r="X57" s="97">
        <v>0</v>
      </c>
      <c r="Y57" s="97">
        <v>0</v>
      </c>
      <c r="Z57" s="97">
        <v>0</v>
      </c>
      <c r="AA57" s="97">
        <v>0</v>
      </c>
      <c r="AB57" s="97">
        <v>0</v>
      </c>
      <c r="AC57" s="97">
        <v>0</v>
      </c>
      <c r="AD57" s="97">
        <v>0</v>
      </c>
      <c r="AE57" s="97">
        <v>0</v>
      </c>
      <c r="AF57" s="97">
        <v>0</v>
      </c>
      <c r="AG57" s="97">
        <v>0</v>
      </c>
      <c r="AH57" s="97">
        <v>0</v>
      </c>
      <c r="AI57" s="97">
        <v>0</v>
      </c>
      <c r="AJ57" s="97">
        <v>0</v>
      </c>
      <c r="AK57" s="97">
        <v>0</v>
      </c>
      <c r="AL57" s="97">
        <v>0</v>
      </c>
      <c r="AM57" s="97">
        <v>0</v>
      </c>
      <c r="AN57" s="97">
        <v>0</v>
      </c>
      <c r="AO57" s="97">
        <v>0</v>
      </c>
      <c r="AP57" s="97">
        <v>0</v>
      </c>
      <c r="AQ57" s="97">
        <v>0</v>
      </c>
      <c r="AR57" s="97">
        <v>0</v>
      </c>
      <c r="AS57" s="97">
        <v>0</v>
      </c>
      <c r="AT57" s="97">
        <v>0</v>
      </c>
      <c r="AU57" s="97">
        <v>0</v>
      </c>
      <c r="AV57" s="97">
        <v>0</v>
      </c>
      <c r="AW57" s="97">
        <v>0</v>
      </c>
      <c r="AX57" s="97">
        <v>0</v>
      </c>
      <c r="AY57" s="97">
        <v>0</v>
      </c>
      <c r="AZ57" s="97">
        <v>0</v>
      </c>
      <c r="BA57" s="97">
        <v>0</v>
      </c>
      <c r="BB57" s="97">
        <v>0</v>
      </c>
      <c r="BC57" s="97">
        <v>0</v>
      </c>
      <c r="BD57" s="97">
        <v>0</v>
      </c>
      <c r="BE57" s="97">
        <v>0</v>
      </c>
      <c r="BF57" s="97">
        <v>0</v>
      </c>
      <c r="BG57" s="97">
        <v>0</v>
      </c>
      <c r="BH57" s="97">
        <v>0</v>
      </c>
      <c r="BI57" s="97">
        <v>0</v>
      </c>
      <c r="BJ57" s="97">
        <v>0</v>
      </c>
      <c r="BK57" s="97">
        <v>0</v>
      </c>
      <c r="BL57" s="97">
        <v>0</v>
      </c>
      <c r="BM57" s="97">
        <v>0</v>
      </c>
      <c r="BN57" s="97">
        <v>0</v>
      </c>
      <c r="BO57" s="97">
        <v>0</v>
      </c>
      <c r="BP57" s="97">
        <v>0</v>
      </c>
      <c r="BQ57" s="97">
        <v>0</v>
      </c>
      <c r="BR57" s="97">
        <v>0</v>
      </c>
      <c r="BS57" s="97">
        <v>0</v>
      </c>
      <c r="BT57" s="97">
        <v>0</v>
      </c>
      <c r="BU57" s="97">
        <v>0</v>
      </c>
      <c r="BV57" s="97">
        <v>0</v>
      </c>
      <c r="BW57" s="97">
        <v>0</v>
      </c>
      <c r="BX57" s="97">
        <v>0</v>
      </c>
      <c r="BY57" s="97">
        <v>0</v>
      </c>
      <c r="BZ57" s="97">
        <v>0</v>
      </c>
      <c r="CA57" s="97">
        <v>0</v>
      </c>
      <c r="CB57" s="97">
        <v>0</v>
      </c>
      <c r="CC57" s="97">
        <v>0</v>
      </c>
      <c r="CD57" s="97">
        <v>0</v>
      </c>
      <c r="CE57" s="97">
        <v>0</v>
      </c>
      <c r="CF57" s="97">
        <v>0</v>
      </c>
      <c r="CG57" s="97">
        <v>0</v>
      </c>
      <c r="CH57" s="97">
        <v>0</v>
      </c>
      <c r="CI57" s="97">
        <v>0</v>
      </c>
      <c r="CJ57" s="97">
        <v>0</v>
      </c>
      <c r="CK57" s="97">
        <v>0</v>
      </c>
      <c r="CL57" s="97">
        <v>0</v>
      </c>
      <c r="CM57" s="97">
        <v>0</v>
      </c>
      <c r="CN57" s="97">
        <v>0</v>
      </c>
      <c r="CO57" s="97">
        <v>0</v>
      </c>
      <c r="CP57" s="97">
        <v>0</v>
      </c>
      <c r="CQ57" s="97">
        <v>0</v>
      </c>
      <c r="CR57" s="97">
        <v>0</v>
      </c>
      <c r="CS57" s="97">
        <v>0</v>
      </c>
      <c r="CT57" s="97">
        <v>0</v>
      </c>
      <c r="CU57" s="97">
        <v>0</v>
      </c>
    </row>
    <row r="58" spans="2:99" x14ac:dyDescent="0.15">
      <c r="C58" s="96" t="s">
        <v>223</v>
      </c>
      <c r="D58" s="97">
        <v>0</v>
      </c>
      <c r="E58" s="97">
        <v>0</v>
      </c>
      <c r="F58" s="97">
        <v>0</v>
      </c>
      <c r="G58" s="97">
        <v>0</v>
      </c>
      <c r="H58" s="97">
        <v>0</v>
      </c>
      <c r="I58" s="97">
        <v>0</v>
      </c>
      <c r="J58" s="97">
        <v>15.267125467863139</v>
      </c>
      <c r="K58" s="97">
        <v>17972.460100768487</v>
      </c>
      <c r="L58" s="97">
        <v>3.5120924264480315</v>
      </c>
      <c r="M58" s="97">
        <v>4134.4352044146226</v>
      </c>
      <c r="N58" s="97">
        <v>35</v>
      </c>
      <c r="O58" s="97">
        <v>41202</v>
      </c>
      <c r="P58" s="97">
        <v>25.274642989026614</v>
      </c>
      <c r="Q58" s="97">
        <v>29753.309726682131</v>
      </c>
      <c r="R58" s="97">
        <v>15.859529529330512</v>
      </c>
      <c r="S58" s="97">
        <v>18669.838161927881</v>
      </c>
      <c r="T58" s="97">
        <v>18.917328060019646</v>
      </c>
      <c r="U58" s="97">
        <v>22269.478592255127</v>
      </c>
      <c r="V58" s="97">
        <v>28.252553311421543</v>
      </c>
      <c r="W58" s="97">
        <v>33258.905758205445</v>
      </c>
      <c r="X58" s="97">
        <v>26.511495245744737</v>
      </c>
      <c r="Y58" s="97">
        <v>31209.332203290705</v>
      </c>
      <c r="Z58" s="97">
        <v>32</v>
      </c>
      <c r="AA58" s="97">
        <v>37670.400000000001</v>
      </c>
      <c r="AB58" s="97">
        <v>23.635328599729746</v>
      </c>
      <c r="AC58" s="97">
        <v>27823.508827601858</v>
      </c>
      <c r="AD58" s="97">
        <v>16.594319742191725</v>
      </c>
      <c r="AE58" s="97">
        <v>19534.833200508099</v>
      </c>
      <c r="AF58" s="97">
        <v>19.60423393583909</v>
      </c>
      <c r="AG58" s="97">
        <v>23078.104189269779</v>
      </c>
      <c r="AH58" s="97">
        <v>19.690650914391558</v>
      </c>
      <c r="AI58" s="97">
        <v>23179.834256421742</v>
      </c>
      <c r="AJ58" s="97">
        <v>16.742392802317944</v>
      </c>
      <c r="AK58" s="97">
        <v>19709.144806888686</v>
      </c>
      <c r="AL58" s="97">
        <v>14.560669904261196</v>
      </c>
      <c r="AM58" s="97">
        <v>17140.82061129628</v>
      </c>
      <c r="AN58" s="97">
        <v>15.566316349915645</v>
      </c>
      <c r="AO58" s="97">
        <v>18324.6676071207</v>
      </c>
      <c r="AP58" s="97">
        <v>12.060998810939358</v>
      </c>
      <c r="AQ58" s="97">
        <v>14198.207800237813</v>
      </c>
      <c r="AR58" s="97">
        <v>13</v>
      </c>
      <c r="AS58" s="97">
        <v>15303.6</v>
      </c>
      <c r="AT58" s="97">
        <v>9.3696376148113636</v>
      </c>
      <c r="AU58" s="97">
        <v>11029.937400155937</v>
      </c>
      <c r="AV58" s="97">
        <v>12.40703884859729</v>
      </c>
      <c r="AW58" s="97">
        <v>14605.566132568731</v>
      </c>
      <c r="AX58" s="97">
        <v>12.775092331178076</v>
      </c>
      <c r="AY58" s="97">
        <v>15038.838692262832</v>
      </c>
      <c r="AZ58" s="97">
        <v>7.6371568451453049</v>
      </c>
      <c r="BA58" s="97">
        <v>8990.4610381050534</v>
      </c>
      <c r="BB58" s="97">
        <v>7.0551474157739733</v>
      </c>
      <c r="BC58" s="97">
        <v>8305.3195378491218</v>
      </c>
      <c r="BD58" s="97">
        <v>7.5480654826556304</v>
      </c>
      <c r="BE58" s="97">
        <v>8885.5826861822079</v>
      </c>
      <c r="BF58" s="97">
        <v>6.3964539264938427</v>
      </c>
      <c r="BG58" s="97">
        <v>7529.9055622685519</v>
      </c>
      <c r="BH58" s="97">
        <v>7.3352890080031274</v>
      </c>
      <c r="BI58" s="97">
        <v>8635.1022202212826</v>
      </c>
      <c r="BJ58" s="97">
        <v>7.473838269567139</v>
      </c>
      <c r="BK58" s="97">
        <v>8798.2024109344366</v>
      </c>
      <c r="BL58" s="97">
        <v>7.5435508966894114</v>
      </c>
      <c r="BM58" s="97">
        <v>8880.2681155827759</v>
      </c>
      <c r="BN58" s="97">
        <v>7.067905210931718</v>
      </c>
      <c r="BO58" s="97">
        <v>8320.3380143088179</v>
      </c>
      <c r="BP58" s="97">
        <v>4.339836476000003</v>
      </c>
      <c r="BQ58" s="97">
        <v>5108.8554995472041</v>
      </c>
      <c r="BR58" s="97">
        <v>5.3433679915381314</v>
      </c>
      <c r="BS58" s="97">
        <v>6290.2127996386889</v>
      </c>
      <c r="BT58" s="97">
        <v>5.2426683563497312</v>
      </c>
      <c r="BU58" s="97">
        <v>6171.6691890949041</v>
      </c>
      <c r="BV58" s="97">
        <v>5.043015988961935</v>
      </c>
      <c r="BW58" s="97">
        <v>5936.6384222059905</v>
      </c>
      <c r="BX58" s="97">
        <v>3</v>
      </c>
      <c r="BY58" s="97">
        <v>3531.6000000000004</v>
      </c>
      <c r="BZ58" s="97">
        <v>5.322254613799867</v>
      </c>
      <c r="CA58" s="97">
        <v>6265.3581313652039</v>
      </c>
      <c r="CB58" s="97">
        <v>4.2442770574883122</v>
      </c>
      <c r="CC58" s="97">
        <v>4996.3629520752411</v>
      </c>
      <c r="CD58" s="97">
        <v>3.2965406963650286</v>
      </c>
      <c r="CE58" s="97">
        <v>3880.687707760912</v>
      </c>
      <c r="CF58" s="97">
        <v>4</v>
      </c>
      <c r="CG58" s="97">
        <v>4708.8</v>
      </c>
      <c r="CH58" s="97">
        <v>4.0306433077412098</v>
      </c>
      <c r="CI58" s="97">
        <v>4744.8733018729527</v>
      </c>
      <c r="CJ58" s="97">
        <v>4.1268793942671715</v>
      </c>
      <c r="CK58" s="97">
        <v>4858.1624229313147</v>
      </c>
      <c r="CL58" s="97">
        <v>3.2212264525966923</v>
      </c>
      <c r="CM58" s="97">
        <v>3792.0277799968262</v>
      </c>
      <c r="CN58" s="97">
        <v>2</v>
      </c>
      <c r="CO58" s="97">
        <v>2354.4</v>
      </c>
      <c r="CP58" s="97">
        <v>3.0051778432977234</v>
      </c>
      <c r="CQ58" s="97">
        <v>3537.6953571300801</v>
      </c>
      <c r="CR58" s="97">
        <v>3</v>
      </c>
      <c r="CS58" s="97">
        <v>3531.6000000000004</v>
      </c>
      <c r="CT58" s="97">
        <v>3</v>
      </c>
      <c r="CU58" s="97">
        <v>3531.6000000000004</v>
      </c>
    </row>
    <row r="59" spans="2:99" x14ac:dyDescent="0.15">
      <c r="C59" s="96" t="s">
        <v>224</v>
      </c>
      <c r="D59" s="97">
        <v>0</v>
      </c>
      <c r="E59" s="97">
        <v>0</v>
      </c>
      <c r="F59" s="97">
        <v>0</v>
      </c>
      <c r="G59" s="97">
        <v>0</v>
      </c>
      <c r="H59" s="97">
        <v>0</v>
      </c>
      <c r="I59" s="97">
        <v>0</v>
      </c>
      <c r="J59" s="97">
        <v>0</v>
      </c>
      <c r="K59" s="97">
        <v>0</v>
      </c>
      <c r="L59" s="97">
        <v>0</v>
      </c>
      <c r="M59" s="97">
        <v>0</v>
      </c>
      <c r="N59" s="97">
        <v>0</v>
      </c>
      <c r="O59" s="97">
        <v>0</v>
      </c>
      <c r="P59" s="97">
        <v>0</v>
      </c>
      <c r="Q59" s="97">
        <v>0</v>
      </c>
      <c r="R59" s="97">
        <v>0</v>
      </c>
      <c r="S59" s="97">
        <v>0</v>
      </c>
      <c r="T59" s="97">
        <v>0</v>
      </c>
      <c r="U59" s="97">
        <v>0</v>
      </c>
      <c r="V59" s="97">
        <v>0</v>
      </c>
      <c r="W59" s="97">
        <v>0</v>
      </c>
      <c r="X59" s="97">
        <v>0</v>
      </c>
      <c r="Y59" s="97">
        <v>0</v>
      </c>
      <c r="Z59" s="97">
        <v>0</v>
      </c>
      <c r="AA59" s="97">
        <v>0</v>
      </c>
      <c r="AB59" s="97">
        <v>0</v>
      </c>
      <c r="AC59" s="97">
        <v>0</v>
      </c>
      <c r="AD59" s="97">
        <v>0</v>
      </c>
      <c r="AE59" s="97">
        <v>0</v>
      </c>
      <c r="AF59" s="97">
        <v>0</v>
      </c>
      <c r="AG59" s="97">
        <v>0</v>
      </c>
      <c r="AH59" s="97">
        <v>0</v>
      </c>
      <c r="AI59" s="97">
        <v>0</v>
      </c>
      <c r="AJ59" s="97">
        <v>0</v>
      </c>
      <c r="AK59" s="97">
        <v>0</v>
      </c>
      <c r="AL59" s="97">
        <v>0</v>
      </c>
      <c r="AM59" s="97">
        <v>0</v>
      </c>
      <c r="AN59" s="97">
        <v>0</v>
      </c>
      <c r="AO59" s="97">
        <v>0</v>
      </c>
      <c r="AP59" s="97">
        <v>0</v>
      </c>
      <c r="AQ59" s="97">
        <v>0</v>
      </c>
      <c r="AR59" s="97">
        <v>0</v>
      </c>
      <c r="AS59" s="97">
        <v>0</v>
      </c>
      <c r="AT59" s="97">
        <v>0</v>
      </c>
      <c r="AU59" s="97">
        <v>0</v>
      </c>
      <c r="AV59" s="97">
        <v>0</v>
      </c>
      <c r="AW59" s="97">
        <v>0</v>
      </c>
      <c r="AX59" s="97">
        <v>0</v>
      </c>
      <c r="AY59" s="97">
        <v>0</v>
      </c>
      <c r="AZ59" s="97">
        <v>0</v>
      </c>
      <c r="BA59" s="97">
        <v>0</v>
      </c>
      <c r="BB59" s="97">
        <v>0</v>
      </c>
      <c r="BC59" s="97">
        <v>0</v>
      </c>
      <c r="BD59" s="97">
        <v>0</v>
      </c>
      <c r="BE59" s="97">
        <v>0</v>
      </c>
      <c r="BF59" s="97">
        <v>0</v>
      </c>
      <c r="BG59" s="97">
        <v>0</v>
      </c>
      <c r="BH59" s="97">
        <v>0</v>
      </c>
      <c r="BI59" s="97">
        <v>0</v>
      </c>
      <c r="BJ59" s="97">
        <v>0</v>
      </c>
      <c r="BK59" s="97">
        <v>0</v>
      </c>
      <c r="BL59" s="97">
        <v>0</v>
      </c>
      <c r="BM59" s="97">
        <v>0</v>
      </c>
      <c r="BN59" s="97">
        <v>0</v>
      </c>
      <c r="BO59" s="97">
        <v>0</v>
      </c>
      <c r="BP59" s="97">
        <v>0</v>
      </c>
      <c r="BQ59" s="97">
        <v>0</v>
      </c>
      <c r="BR59" s="97">
        <v>0</v>
      </c>
      <c r="BS59" s="97">
        <v>0</v>
      </c>
      <c r="BT59" s="97">
        <v>0</v>
      </c>
      <c r="BU59" s="97">
        <v>0</v>
      </c>
      <c r="BV59" s="97">
        <v>0</v>
      </c>
      <c r="BW59" s="97">
        <v>0</v>
      </c>
      <c r="BX59" s="97">
        <v>0</v>
      </c>
      <c r="BY59" s="97">
        <v>0</v>
      </c>
      <c r="BZ59" s="97">
        <v>0</v>
      </c>
      <c r="CA59" s="97">
        <v>0</v>
      </c>
      <c r="CB59" s="97">
        <v>0</v>
      </c>
      <c r="CC59" s="97">
        <v>0</v>
      </c>
      <c r="CD59" s="97">
        <v>0</v>
      </c>
      <c r="CE59" s="97">
        <v>0</v>
      </c>
      <c r="CF59" s="97">
        <v>0</v>
      </c>
      <c r="CG59" s="97">
        <v>0</v>
      </c>
      <c r="CH59" s="97">
        <v>0</v>
      </c>
      <c r="CI59" s="97">
        <v>0</v>
      </c>
      <c r="CJ59" s="97">
        <v>0</v>
      </c>
      <c r="CK59" s="97">
        <v>0</v>
      </c>
      <c r="CL59" s="97">
        <v>0</v>
      </c>
      <c r="CM59" s="97">
        <v>0</v>
      </c>
      <c r="CN59" s="97">
        <v>0</v>
      </c>
      <c r="CO59" s="97">
        <v>0</v>
      </c>
      <c r="CP59" s="97">
        <v>0</v>
      </c>
      <c r="CQ59" s="97">
        <v>0</v>
      </c>
      <c r="CR59" s="97">
        <v>0</v>
      </c>
      <c r="CS59" s="97">
        <v>0</v>
      </c>
      <c r="CT59" s="97">
        <v>0</v>
      </c>
      <c r="CU59" s="97">
        <v>0</v>
      </c>
    </row>
    <row r="60" spans="2:99" x14ac:dyDescent="0.15">
      <c r="C60" s="96" t="s">
        <v>225</v>
      </c>
      <c r="D60" s="97">
        <v>0</v>
      </c>
      <c r="E60" s="97">
        <v>0</v>
      </c>
      <c r="F60" s="97">
        <v>0</v>
      </c>
      <c r="G60" s="97">
        <v>0</v>
      </c>
      <c r="H60" s="97">
        <v>0</v>
      </c>
      <c r="I60" s="97">
        <v>0</v>
      </c>
      <c r="J60" s="97">
        <v>0</v>
      </c>
      <c r="K60" s="97">
        <v>0</v>
      </c>
      <c r="L60" s="97">
        <v>0</v>
      </c>
      <c r="M60" s="97">
        <v>0</v>
      </c>
      <c r="N60" s="97">
        <v>0</v>
      </c>
      <c r="O60" s="97">
        <v>0</v>
      </c>
      <c r="P60" s="97">
        <v>0</v>
      </c>
      <c r="Q60" s="97">
        <v>0</v>
      </c>
      <c r="R60" s="97">
        <v>0</v>
      </c>
      <c r="S60" s="97">
        <v>0</v>
      </c>
      <c r="T60" s="97">
        <v>0</v>
      </c>
      <c r="U60" s="97">
        <v>0</v>
      </c>
      <c r="V60" s="97">
        <v>0</v>
      </c>
      <c r="W60" s="97">
        <v>0</v>
      </c>
      <c r="X60" s="97">
        <v>0</v>
      </c>
      <c r="Y60" s="97">
        <v>0</v>
      </c>
      <c r="Z60" s="97">
        <v>0</v>
      </c>
      <c r="AA60" s="97">
        <v>0</v>
      </c>
      <c r="AB60" s="97">
        <v>0</v>
      </c>
      <c r="AC60" s="97">
        <v>0</v>
      </c>
      <c r="AD60" s="97">
        <v>0</v>
      </c>
      <c r="AE60" s="97">
        <v>0</v>
      </c>
      <c r="AF60" s="97">
        <v>0</v>
      </c>
      <c r="AG60" s="97">
        <v>0</v>
      </c>
      <c r="AH60" s="97">
        <v>0</v>
      </c>
      <c r="AI60" s="97">
        <v>0</v>
      </c>
      <c r="AJ60" s="97">
        <v>0</v>
      </c>
      <c r="AK60" s="97">
        <v>0</v>
      </c>
      <c r="AL60" s="97">
        <v>0</v>
      </c>
      <c r="AM60" s="97">
        <v>0</v>
      </c>
      <c r="AN60" s="97">
        <v>0</v>
      </c>
      <c r="AO60" s="97">
        <v>0</v>
      </c>
      <c r="AP60" s="97">
        <v>0</v>
      </c>
      <c r="AQ60" s="97">
        <v>0</v>
      </c>
      <c r="AR60" s="97">
        <v>0</v>
      </c>
      <c r="AS60" s="97">
        <v>0</v>
      </c>
      <c r="AT60" s="97">
        <v>0</v>
      </c>
      <c r="AU60" s="97">
        <v>0</v>
      </c>
      <c r="AV60" s="97">
        <v>0</v>
      </c>
      <c r="AW60" s="97">
        <v>0</v>
      </c>
      <c r="AX60" s="97">
        <v>0</v>
      </c>
      <c r="AY60" s="97">
        <v>0</v>
      </c>
      <c r="AZ60" s="97">
        <v>0</v>
      </c>
      <c r="BA60" s="97">
        <v>0</v>
      </c>
      <c r="BB60" s="97">
        <v>0</v>
      </c>
      <c r="BC60" s="97">
        <v>0</v>
      </c>
      <c r="BD60" s="97">
        <v>0</v>
      </c>
      <c r="BE60" s="97">
        <v>0</v>
      </c>
      <c r="BF60" s="97">
        <v>0</v>
      </c>
      <c r="BG60" s="97">
        <v>0</v>
      </c>
      <c r="BH60" s="97">
        <v>0</v>
      </c>
      <c r="BI60" s="97">
        <v>0</v>
      </c>
      <c r="BJ60" s="97">
        <v>0</v>
      </c>
      <c r="BK60" s="97">
        <v>0</v>
      </c>
      <c r="BL60" s="97">
        <v>0</v>
      </c>
      <c r="BM60" s="97">
        <v>0</v>
      </c>
      <c r="BN60" s="97">
        <v>0</v>
      </c>
      <c r="BO60" s="97">
        <v>0</v>
      </c>
      <c r="BP60" s="97">
        <v>0</v>
      </c>
      <c r="BQ60" s="97">
        <v>0</v>
      </c>
      <c r="BR60" s="97">
        <v>0</v>
      </c>
      <c r="BS60" s="97">
        <v>0</v>
      </c>
      <c r="BT60" s="97">
        <v>0</v>
      </c>
      <c r="BU60" s="97">
        <v>0</v>
      </c>
      <c r="BV60" s="97">
        <v>0</v>
      </c>
      <c r="BW60" s="97">
        <v>0</v>
      </c>
      <c r="BX60" s="97">
        <v>0</v>
      </c>
      <c r="BY60" s="97">
        <v>0</v>
      </c>
      <c r="BZ60" s="97">
        <v>0</v>
      </c>
      <c r="CA60" s="97">
        <v>0</v>
      </c>
      <c r="CB60" s="97">
        <v>0</v>
      </c>
      <c r="CC60" s="97">
        <v>0</v>
      </c>
      <c r="CD60" s="97">
        <v>0</v>
      </c>
      <c r="CE60" s="97">
        <v>0</v>
      </c>
      <c r="CF60" s="97">
        <v>0</v>
      </c>
      <c r="CG60" s="97">
        <v>0</v>
      </c>
      <c r="CH60" s="97">
        <v>0</v>
      </c>
      <c r="CI60" s="97">
        <v>0</v>
      </c>
      <c r="CJ60" s="97">
        <v>0</v>
      </c>
      <c r="CK60" s="97">
        <v>0</v>
      </c>
      <c r="CL60" s="97">
        <v>0</v>
      </c>
      <c r="CM60" s="97">
        <v>0</v>
      </c>
      <c r="CN60" s="97">
        <v>0</v>
      </c>
      <c r="CO60" s="97">
        <v>0</v>
      </c>
      <c r="CP60" s="97">
        <v>0</v>
      </c>
      <c r="CQ60" s="97">
        <v>0</v>
      </c>
      <c r="CR60" s="97">
        <v>0</v>
      </c>
      <c r="CS60" s="97">
        <v>0</v>
      </c>
      <c r="CT60" s="97">
        <v>0</v>
      </c>
      <c r="CU60" s="97">
        <v>0</v>
      </c>
    </row>
    <row r="61" spans="2:99" x14ac:dyDescent="0.15">
      <c r="C61" s="96" t="s">
        <v>226</v>
      </c>
      <c r="D61" s="97">
        <v>0</v>
      </c>
      <c r="E61" s="97">
        <v>0</v>
      </c>
      <c r="F61" s="97">
        <v>0</v>
      </c>
      <c r="G61" s="97">
        <v>0</v>
      </c>
      <c r="H61" s="97">
        <v>0</v>
      </c>
      <c r="I61" s="97">
        <v>0</v>
      </c>
      <c r="J61" s="97">
        <v>0</v>
      </c>
      <c r="K61" s="97">
        <v>0</v>
      </c>
      <c r="L61" s="97">
        <v>0</v>
      </c>
      <c r="M61" s="97">
        <v>0</v>
      </c>
      <c r="N61" s="97">
        <v>0</v>
      </c>
      <c r="O61" s="97">
        <v>0</v>
      </c>
      <c r="P61" s="97">
        <v>0</v>
      </c>
      <c r="Q61" s="97">
        <v>0</v>
      </c>
      <c r="R61" s="97">
        <v>0</v>
      </c>
      <c r="S61" s="97">
        <v>0</v>
      </c>
      <c r="T61" s="97">
        <v>0</v>
      </c>
      <c r="U61" s="97">
        <v>0</v>
      </c>
      <c r="V61" s="97">
        <v>0</v>
      </c>
      <c r="W61" s="97">
        <v>0</v>
      </c>
      <c r="X61" s="97">
        <v>0</v>
      </c>
      <c r="Y61" s="97">
        <v>0</v>
      </c>
      <c r="Z61" s="97">
        <v>0</v>
      </c>
      <c r="AA61" s="97">
        <v>0</v>
      </c>
      <c r="AB61" s="97">
        <v>0</v>
      </c>
      <c r="AC61" s="97">
        <v>0</v>
      </c>
      <c r="AD61" s="97">
        <v>0</v>
      </c>
      <c r="AE61" s="97">
        <v>0</v>
      </c>
      <c r="AF61" s="97">
        <v>0</v>
      </c>
      <c r="AG61" s="97">
        <v>0</v>
      </c>
      <c r="AH61" s="97">
        <v>0</v>
      </c>
      <c r="AI61" s="97">
        <v>0</v>
      </c>
      <c r="AJ61" s="97">
        <v>0</v>
      </c>
      <c r="AK61" s="97">
        <v>0</v>
      </c>
      <c r="AL61" s="97">
        <v>0</v>
      </c>
      <c r="AM61" s="97">
        <v>0</v>
      </c>
      <c r="AN61" s="97">
        <v>0</v>
      </c>
      <c r="AO61" s="97">
        <v>0</v>
      </c>
      <c r="AP61" s="97">
        <v>0</v>
      </c>
      <c r="AQ61" s="97">
        <v>0</v>
      </c>
      <c r="AR61" s="97">
        <v>0</v>
      </c>
      <c r="AS61" s="97">
        <v>0</v>
      </c>
      <c r="AT61" s="97">
        <v>0</v>
      </c>
      <c r="AU61" s="97">
        <v>0</v>
      </c>
      <c r="AV61" s="97">
        <v>0</v>
      </c>
      <c r="AW61" s="97">
        <v>0</v>
      </c>
      <c r="AX61" s="97">
        <v>0</v>
      </c>
      <c r="AY61" s="97">
        <v>0</v>
      </c>
      <c r="AZ61" s="97">
        <v>0</v>
      </c>
      <c r="BA61" s="97">
        <v>0</v>
      </c>
      <c r="BB61" s="97">
        <v>0</v>
      </c>
      <c r="BC61" s="97">
        <v>0</v>
      </c>
      <c r="BD61" s="97">
        <v>0</v>
      </c>
      <c r="BE61" s="97">
        <v>0</v>
      </c>
      <c r="BF61" s="97">
        <v>0</v>
      </c>
      <c r="BG61" s="97">
        <v>0</v>
      </c>
      <c r="BH61" s="97">
        <v>0</v>
      </c>
      <c r="BI61" s="97">
        <v>0</v>
      </c>
      <c r="BJ61" s="97">
        <v>0</v>
      </c>
      <c r="BK61" s="97">
        <v>0</v>
      </c>
      <c r="BL61" s="97">
        <v>0</v>
      </c>
      <c r="BM61" s="97">
        <v>0</v>
      </c>
      <c r="BN61" s="97">
        <v>0</v>
      </c>
      <c r="BO61" s="97">
        <v>0</v>
      </c>
      <c r="BP61" s="97">
        <v>0</v>
      </c>
      <c r="BQ61" s="97">
        <v>0</v>
      </c>
      <c r="BR61" s="97">
        <v>0</v>
      </c>
      <c r="BS61" s="97">
        <v>0</v>
      </c>
      <c r="BT61" s="97">
        <v>0</v>
      </c>
      <c r="BU61" s="97">
        <v>0</v>
      </c>
      <c r="BV61" s="97">
        <v>0</v>
      </c>
      <c r="BW61" s="97">
        <v>0</v>
      </c>
      <c r="BX61" s="97">
        <v>0</v>
      </c>
      <c r="BY61" s="97">
        <v>0</v>
      </c>
      <c r="BZ61" s="97">
        <v>0</v>
      </c>
      <c r="CA61" s="97">
        <v>0</v>
      </c>
      <c r="CB61" s="97">
        <v>0</v>
      </c>
      <c r="CC61" s="97">
        <v>0</v>
      </c>
      <c r="CD61" s="97">
        <v>0</v>
      </c>
      <c r="CE61" s="97">
        <v>0</v>
      </c>
      <c r="CF61" s="97">
        <v>0</v>
      </c>
      <c r="CG61" s="97">
        <v>0</v>
      </c>
      <c r="CH61" s="97">
        <v>0</v>
      </c>
      <c r="CI61" s="97">
        <v>0</v>
      </c>
      <c r="CJ61" s="97">
        <v>0</v>
      </c>
      <c r="CK61" s="97">
        <v>0</v>
      </c>
      <c r="CL61" s="97">
        <v>0</v>
      </c>
      <c r="CM61" s="97">
        <v>0</v>
      </c>
      <c r="CN61" s="97">
        <v>0</v>
      </c>
      <c r="CO61" s="97">
        <v>0</v>
      </c>
      <c r="CP61" s="97">
        <v>0</v>
      </c>
      <c r="CQ61" s="97">
        <v>0</v>
      </c>
      <c r="CR61" s="97">
        <v>0</v>
      </c>
      <c r="CS61" s="97">
        <v>0</v>
      </c>
      <c r="CT61" s="97">
        <v>0</v>
      </c>
      <c r="CU61" s="97">
        <v>0</v>
      </c>
    </row>
    <row r="62" spans="2:99" x14ac:dyDescent="0.15">
      <c r="C62" s="96" t="s">
        <v>227</v>
      </c>
      <c r="D62" s="97">
        <v>0</v>
      </c>
      <c r="E62" s="97">
        <v>0</v>
      </c>
      <c r="F62" s="97">
        <v>0</v>
      </c>
      <c r="G62" s="97">
        <v>0</v>
      </c>
      <c r="H62" s="97">
        <v>0</v>
      </c>
      <c r="I62" s="97">
        <v>0</v>
      </c>
      <c r="J62" s="97">
        <v>0</v>
      </c>
      <c r="K62" s="97">
        <v>0</v>
      </c>
      <c r="L62" s="97">
        <v>0</v>
      </c>
      <c r="M62" s="97">
        <v>0</v>
      </c>
      <c r="N62" s="97">
        <v>0</v>
      </c>
      <c r="O62" s="97">
        <v>0</v>
      </c>
      <c r="P62" s="97">
        <v>0</v>
      </c>
      <c r="Q62" s="97">
        <v>0</v>
      </c>
      <c r="R62" s="97">
        <v>0</v>
      </c>
      <c r="S62" s="97">
        <v>0</v>
      </c>
      <c r="T62" s="97">
        <v>0</v>
      </c>
      <c r="U62" s="97">
        <v>0</v>
      </c>
      <c r="V62" s="97">
        <v>0</v>
      </c>
      <c r="W62" s="97">
        <v>0</v>
      </c>
      <c r="X62" s="97">
        <v>0</v>
      </c>
      <c r="Y62" s="97">
        <v>0</v>
      </c>
      <c r="Z62" s="97">
        <v>0</v>
      </c>
      <c r="AA62" s="97">
        <v>0</v>
      </c>
      <c r="AB62" s="97">
        <v>0</v>
      </c>
      <c r="AC62" s="97">
        <v>0</v>
      </c>
      <c r="AD62" s="97">
        <v>0</v>
      </c>
      <c r="AE62" s="97">
        <v>0</v>
      </c>
      <c r="AF62" s="97">
        <v>0</v>
      </c>
      <c r="AG62" s="97">
        <v>0</v>
      </c>
      <c r="AH62" s="97">
        <v>0</v>
      </c>
      <c r="AI62" s="97">
        <v>0</v>
      </c>
      <c r="AJ62" s="97">
        <v>0</v>
      </c>
      <c r="AK62" s="97">
        <v>0</v>
      </c>
      <c r="AL62" s="97">
        <v>0</v>
      </c>
      <c r="AM62" s="97">
        <v>0</v>
      </c>
      <c r="AN62" s="97">
        <v>0</v>
      </c>
      <c r="AO62" s="97">
        <v>0</v>
      </c>
      <c r="AP62" s="97">
        <v>0</v>
      </c>
      <c r="AQ62" s="97">
        <v>0</v>
      </c>
      <c r="AR62" s="97">
        <v>0</v>
      </c>
      <c r="AS62" s="97">
        <v>0</v>
      </c>
      <c r="AT62" s="97">
        <v>0</v>
      </c>
      <c r="AU62" s="97">
        <v>0</v>
      </c>
      <c r="AV62" s="97">
        <v>0</v>
      </c>
      <c r="AW62" s="97">
        <v>0</v>
      </c>
      <c r="AX62" s="97">
        <v>0</v>
      </c>
      <c r="AY62" s="97">
        <v>0</v>
      </c>
      <c r="AZ62" s="97">
        <v>0</v>
      </c>
      <c r="BA62" s="97">
        <v>0</v>
      </c>
      <c r="BB62" s="97">
        <v>0</v>
      </c>
      <c r="BC62" s="97">
        <v>0</v>
      </c>
      <c r="BD62" s="97">
        <v>0</v>
      </c>
      <c r="BE62" s="97">
        <v>0</v>
      </c>
      <c r="BF62" s="97">
        <v>0</v>
      </c>
      <c r="BG62" s="97">
        <v>0</v>
      </c>
      <c r="BH62" s="97">
        <v>0</v>
      </c>
      <c r="BI62" s="97">
        <v>0</v>
      </c>
      <c r="BJ62" s="97">
        <v>0</v>
      </c>
      <c r="BK62" s="97">
        <v>0</v>
      </c>
      <c r="BL62" s="97">
        <v>0</v>
      </c>
      <c r="BM62" s="97">
        <v>0</v>
      </c>
      <c r="BN62" s="97">
        <v>0</v>
      </c>
      <c r="BO62" s="97">
        <v>0</v>
      </c>
      <c r="BP62" s="97">
        <v>0</v>
      </c>
      <c r="BQ62" s="97">
        <v>0</v>
      </c>
      <c r="BR62" s="97">
        <v>0</v>
      </c>
      <c r="BS62" s="97">
        <v>0</v>
      </c>
      <c r="BT62" s="97">
        <v>0</v>
      </c>
      <c r="BU62" s="97">
        <v>0</v>
      </c>
      <c r="BV62" s="97">
        <v>0</v>
      </c>
      <c r="BW62" s="97">
        <v>0</v>
      </c>
      <c r="BX62" s="97">
        <v>0</v>
      </c>
      <c r="BY62" s="97">
        <v>0</v>
      </c>
      <c r="BZ62" s="97">
        <v>0</v>
      </c>
      <c r="CA62" s="97">
        <v>0</v>
      </c>
      <c r="CB62" s="97">
        <v>0</v>
      </c>
      <c r="CC62" s="97">
        <v>0</v>
      </c>
      <c r="CD62" s="97">
        <v>0</v>
      </c>
      <c r="CE62" s="97">
        <v>0</v>
      </c>
      <c r="CF62" s="97">
        <v>0</v>
      </c>
      <c r="CG62" s="97">
        <v>0</v>
      </c>
      <c r="CH62" s="97">
        <v>0</v>
      </c>
      <c r="CI62" s="97">
        <v>0</v>
      </c>
      <c r="CJ62" s="97">
        <v>0</v>
      </c>
      <c r="CK62" s="97">
        <v>0</v>
      </c>
      <c r="CL62" s="97">
        <v>0</v>
      </c>
      <c r="CM62" s="97">
        <v>0</v>
      </c>
      <c r="CN62" s="97">
        <v>0</v>
      </c>
      <c r="CO62" s="97">
        <v>0</v>
      </c>
      <c r="CP62" s="97">
        <v>0</v>
      </c>
      <c r="CQ62" s="97">
        <v>0</v>
      </c>
      <c r="CR62" s="97">
        <v>0</v>
      </c>
      <c r="CS62" s="97">
        <v>0</v>
      </c>
      <c r="CT62" s="97">
        <v>0</v>
      </c>
      <c r="CU62" s="97">
        <v>0</v>
      </c>
    </row>
    <row r="63" spans="2:99" x14ac:dyDescent="0.15">
      <c r="C63" s="96" t="s">
        <v>228</v>
      </c>
      <c r="D63" s="97">
        <v>0</v>
      </c>
      <c r="E63" s="97">
        <v>0</v>
      </c>
      <c r="F63" s="97">
        <v>0</v>
      </c>
      <c r="G63" s="97">
        <v>0</v>
      </c>
      <c r="H63" s="97">
        <v>0</v>
      </c>
      <c r="I63" s="97">
        <v>0</v>
      </c>
      <c r="J63" s="97">
        <v>0</v>
      </c>
      <c r="K63" s="97">
        <v>0</v>
      </c>
      <c r="L63" s="97">
        <v>0</v>
      </c>
      <c r="M63" s="97">
        <v>0</v>
      </c>
      <c r="N63" s="97">
        <v>0</v>
      </c>
      <c r="O63" s="97">
        <v>0</v>
      </c>
      <c r="P63" s="97">
        <v>0</v>
      </c>
      <c r="Q63" s="97">
        <v>0</v>
      </c>
      <c r="R63" s="97">
        <v>0</v>
      </c>
      <c r="S63" s="97">
        <v>0</v>
      </c>
      <c r="T63" s="97">
        <v>0</v>
      </c>
      <c r="U63" s="97">
        <v>0</v>
      </c>
      <c r="V63" s="97">
        <v>0</v>
      </c>
      <c r="W63" s="97">
        <v>0</v>
      </c>
      <c r="X63" s="97">
        <v>0</v>
      </c>
      <c r="Y63" s="97">
        <v>0</v>
      </c>
      <c r="Z63" s="97">
        <v>0</v>
      </c>
      <c r="AA63" s="97">
        <v>0</v>
      </c>
      <c r="AB63" s="97">
        <v>0</v>
      </c>
      <c r="AC63" s="97">
        <v>0</v>
      </c>
      <c r="AD63" s="97">
        <v>0</v>
      </c>
      <c r="AE63" s="97">
        <v>0</v>
      </c>
      <c r="AF63" s="97">
        <v>0</v>
      </c>
      <c r="AG63" s="97">
        <v>0</v>
      </c>
      <c r="AH63" s="97">
        <v>0</v>
      </c>
      <c r="AI63" s="97">
        <v>0</v>
      </c>
      <c r="AJ63" s="97">
        <v>0</v>
      </c>
      <c r="AK63" s="97">
        <v>0</v>
      </c>
      <c r="AL63" s="97">
        <v>0</v>
      </c>
      <c r="AM63" s="97">
        <v>0</v>
      </c>
      <c r="AN63" s="97">
        <v>0</v>
      </c>
      <c r="AO63" s="97">
        <v>0</v>
      </c>
      <c r="AP63" s="97">
        <v>0</v>
      </c>
      <c r="AQ63" s="97">
        <v>0</v>
      </c>
      <c r="AR63" s="97">
        <v>0</v>
      </c>
      <c r="AS63" s="97">
        <v>0</v>
      </c>
      <c r="AT63" s="97">
        <v>0</v>
      </c>
      <c r="AU63" s="97">
        <v>0</v>
      </c>
      <c r="AV63" s="97">
        <v>0</v>
      </c>
      <c r="AW63" s="97">
        <v>0</v>
      </c>
      <c r="AX63" s="97">
        <v>0</v>
      </c>
      <c r="AY63" s="97">
        <v>0</v>
      </c>
      <c r="AZ63" s="97">
        <v>0</v>
      </c>
      <c r="BA63" s="97">
        <v>0</v>
      </c>
      <c r="BB63" s="97">
        <v>0</v>
      </c>
      <c r="BC63" s="97">
        <v>0</v>
      </c>
      <c r="BD63" s="97">
        <v>0</v>
      </c>
      <c r="BE63" s="97">
        <v>0</v>
      </c>
      <c r="BF63" s="97">
        <v>0</v>
      </c>
      <c r="BG63" s="97">
        <v>0</v>
      </c>
      <c r="BH63" s="97">
        <v>0</v>
      </c>
      <c r="BI63" s="97">
        <v>0</v>
      </c>
      <c r="BJ63" s="97">
        <v>0</v>
      </c>
      <c r="BK63" s="97">
        <v>0</v>
      </c>
      <c r="BL63" s="97">
        <v>0</v>
      </c>
      <c r="BM63" s="97">
        <v>0</v>
      </c>
      <c r="BN63" s="97">
        <v>0</v>
      </c>
      <c r="BO63" s="97">
        <v>0</v>
      </c>
      <c r="BP63" s="97">
        <v>0</v>
      </c>
      <c r="BQ63" s="97">
        <v>0</v>
      </c>
      <c r="BR63" s="97">
        <v>0</v>
      </c>
      <c r="BS63" s="97">
        <v>0</v>
      </c>
      <c r="BT63" s="97">
        <v>0</v>
      </c>
      <c r="BU63" s="97">
        <v>0</v>
      </c>
      <c r="BV63" s="97">
        <v>0</v>
      </c>
      <c r="BW63" s="97">
        <v>0</v>
      </c>
      <c r="BX63" s="97">
        <v>0</v>
      </c>
      <c r="BY63" s="97">
        <v>0</v>
      </c>
      <c r="BZ63" s="97">
        <v>0</v>
      </c>
      <c r="CA63" s="97">
        <v>0</v>
      </c>
      <c r="CB63" s="97">
        <v>0</v>
      </c>
      <c r="CC63" s="97">
        <v>0</v>
      </c>
      <c r="CD63" s="97">
        <v>0</v>
      </c>
      <c r="CE63" s="97">
        <v>0</v>
      </c>
      <c r="CF63" s="97">
        <v>0</v>
      </c>
      <c r="CG63" s="97">
        <v>0</v>
      </c>
      <c r="CH63" s="97">
        <v>0</v>
      </c>
      <c r="CI63" s="97">
        <v>0</v>
      </c>
      <c r="CJ63" s="97">
        <v>0</v>
      </c>
      <c r="CK63" s="97">
        <v>0</v>
      </c>
      <c r="CL63" s="97">
        <v>0</v>
      </c>
      <c r="CM63" s="97">
        <v>0</v>
      </c>
      <c r="CN63" s="97">
        <v>0</v>
      </c>
      <c r="CO63" s="97">
        <v>0</v>
      </c>
      <c r="CP63" s="97">
        <v>0</v>
      </c>
      <c r="CQ63" s="97">
        <v>0</v>
      </c>
      <c r="CR63" s="97">
        <v>0</v>
      </c>
      <c r="CS63" s="97">
        <v>0</v>
      </c>
      <c r="CT63" s="97">
        <v>0</v>
      </c>
      <c r="CU63" s="97">
        <v>0</v>
      </c>
    </row>
    <row r="64" spans="2:99" x14ac:dyDescent="0.15">
      <c r="C64" s="96" t="s">
        <v>229</v>
      </c>
      <c r="D64" s="97">
        <v>0</v>
      </c>
      <c r="E64" s="97">
        <v>0</v>
      </c>
      <c r="F64" s="97">
        <v>0</v>
      </c>
      <c r="G64" s="97">
        <v>0</v>
      </c>
      <c r="H64" s="97">
        <v>0</v>
      </c>
      <c r="I64" s="97">
        <v>0</v>
      </c>
      <c r="J64" s="97">
        <v>0</v>
      </c>
      <c r="K64" s="97">
        <v>0</v>
      </c>
      <c r="L64" s="97">
        <v>0</v>
      </c>
      <c r="M64" s="97">
        <v>0</v>
      </c>
      <c r="N64" s="97">
        <v>0</v>
      </c>
      <c r="O64" s="97">
        <v>0</v>
      </c>
      <c r="P64" s="97">
        <v>0</v>
      </c>
      <c r="Q64" s="97">
        <v>0</v>
      </c>
      <c r="R64" s="97">
        <v>0</v>
      </c>
      <c r="S64" s="97">
        <v>0</v>
      </c>
      <c r="T64" s="97">
        <v>0</v>
      </c>
      <c r="U64" s="97">
        <v>0</v>
      </c>
      <c r="V64" s="97">
        <v>0</v>
      </c>
      <c r="W64" s="97">
        <v>0</v>
      </c>
      <c r="X64" s="97">
        <v>0</v>
      </c>
      <c r="Y64" s="97">
        <v>0</v>
      </c>
      <c r="Z64" s="97">
        <v>0</v>
      </c>
      <c r="AA64" s="97">
        <v>0</v>
      </c>
      <c r="AB64" s="97">
        <v>0</v>
      </c>
      <c r="AC64" s="97">
        <v>0</v>
      </c>
      <c r="AD64" s="97">
        <v>0</v>
      </c>
      <c r="AE64" s="97">
        <v>0</v>
      </c>
      <c r="AF64" s="97">
        <v>0</v>
      </c>
      <c r="AG64" s="97">
        <v>0</v>
      </c>
      <c r="AH64" s="97">
        <v>0</v>
      </c>
      <c r="AI64" s="97">
        <v>0</v>
      </c>
      <c r="AJ64" s="97">
        <v>0</v>
      </c>
      <c r="AK64" s="97">
        <v>0</v>
      </c>
      <c r="AL64" s="97">
        <v>0</v>
      </c>
      <c r="AM64" s="97">
        <v>0</v>
      </c>
      <c r="AN64" s="97">
        <v>0</v>
      </c>
      <c r="AO64" s="97">
        <v>0</v>
      </c>
      <c r="AP64" s="97">
        <v>0</v>
      </c>
      <c r="AQ64" s="97">
        <v>0</v>
      </c>
      <c r="AR64" s="97">
        <v>0</v>
      </c>
      <c r="AS64" s="97">
        <v>0</v>
      </c>
      <c r="AT64" s="97">
        <v>0</v>
      </c>
      <c r="AU64" s="97">
        <v>0</v>
      </c>
      <c r="AV64" s="97">
        <v>0</v>
      </c>
      <c r="AW64" s="97">
        <v>0</v>
      </c>
      <c r="AX64" s="97">
        <v>0</v>
      </c>
      <c r="AY64" s="97">
        <v>0</v>
      </c>
      <c r="AZ64" s="97">
        <v>0</v>
      </c>
      <c r="BA64" s="97">
        <v>0</v>
      </c>
      <c r="BB64" s="97">
        <v>0</v>
      </c>
      <c r="BC64" s="97">
        <v>0</v>
      </c>
      <c r="BD64" s="97">
        <v>0</v>
      </c>
      <c r="BE64" s="97">
        <v>0</v>
      </c>
      <c r="BF64" s="97">
        <v>0</v>
      </c>
      <c r="BG64" s="97">
        <v>0</v>
      </c>
      <c r="BH64" s="97">
        <v>0</v>
      </c>
      <c r="BI64" s="97">
        <v>0</v>
      </c>
      <c r="BJ64" s="97">
        <v>0</v>
      </c>
      <c r="BK64" s="97">
        <v>0</v>
      </c>
      <c r="BL64" s="97">
        <v>0</v>
      </c>
      <c r="BM64" s="97">
        <v>0</v>
      </c>
      <c r="BN64" s="97">
        <v>0</v>
      </c>
      <c r="BO64" s="97">
        <v>0</v>
      </c>
      <c r="BP64" s="97">
        <v>0</v>
      </c>
      <c r="BQ64" s="97">
        <v>0</v>
      </c>
      <c r="BR64" s="97">
        <v>0</v>
      </c>
      <c r="BS64" s="97">
        <v>0</v>
      </c>
      <c r="BT64" s="97">
        <v>0</v>
      </c>
      <c r="BU64" s="97">
        <v>0</v>
      </c>
      <c r="BV64" s="97">
        <v>0</v>
      </c>
      <c r="BW64" s="97">
        <v>0</v>
      </c>
      <c r="BX64" s="97">
        <v>0</v>
      </c>
      <c r="BY64" s="97">
        <v>0</v>
      </c>
      <c r="BZ64" s="97">
        <v>0</v>
      </c>
      <c r="CA64" s="97">
        <v>0</v>
      </c>
      <c r="CB64" s="97">
        <v>0</v>
      </c>
      <c r="CC64" s="97">
        <v>0</v>
      </c>
      <c r="CD64" s="97">
        <v>0</v>
      </c>
      <c r="CE64" s="97">
        <v>0</v>
      </c>
      <c r="CF64" s="97">
        <v>0</v>
      </c>
      <c r="CG64" s="97">
        <v>0</v>
      </c>
      <c r="CH64" s="97">
        <v>0</v>
      </c>
      <c r="CI64" s="97">
        <v>0</v>
      </c>
      <c r="CJ64" s="97">
        <v>0</v>
      </c>
      <c r="CK64" s="97">
        <v>0</v>
      </c>
      <c r="CL64" s="97">
        <v>0</v>
      </c>
      <c r="CM64" s="97">
        <v>0</v>
      </c>
      <c r="CN64" s="97">
        <v>0</v>
      </c>
      <c r="CO64" s="97">
        <v>0</v>
      </c>
      <c r="CP64" s="97">
        <v>0</v>
      </c>
      <c r="CQ64" s="97">
        <v>0</v>
      </c>
      <c r="CR64" s="97">
        <v>0</v>
      </c>
      <c r="CS64" s="97">
        <v>0</v>
      </c>
      <c r="CT64" s="97">
        <v>0</v>
      </c>
      <c r="CU64" s="97">
        <v>0</v>
      </c>
    </row>
    <row r="65" spans="2:99" x14ac:dyDescent="0.15">
      <c r="C65" s="96" t="s">
        <v>230</v>
      </c>
      <c r="D65" s="97">
        <v>0</v>
      </c>
      <c r="E65" s="97">
        <v>0</v>
      </c>
      <c r="F65" s="97">
        <v>0</v>
      </c>
      <c r="G65" s="97">
        <v>0</v>
      </c>
      <c r="H65" s="97">
        <v>0</v>
      </c>
      <c r="I65" s="97">
        <v>0</v>
      </c>
      <c r="J65" s="97">
        <v>0</v>
      </c>
      <c r="K65" s="97">
        <v>0</v>
      </c>
      <c r="L65" s="97">
        <v>0</v>
      </c>
      <c r="M65" s="97">
        <v>0</v>
      </c>
      <c r="N65" s="97">
        <v>0</v>
      </c>
      <c r="O65" s="97">
        <v>0</v>
      </c>
      <c r="P65" s="97">
        <v>0</v>
      </c>
      <c r="Q65" s="97">
        <v>0</v>
      </c>
      <c r="R65" s="97">
        <v>0</v>
      </c>
      <c r="S65" s="97">
        <v>0</v>
      </c>
      <c r="T65" s="97">
        <v>0</v>
      </c>
      <c r="U65" s="97">
        <v>0</v>
      </c>
      <c r="V65" s="97">
        <v>0</v>
      </c>
      <c r="W65" s="97">
        <v>0</v>
      </c>
      <c r="X65" s="97">
        <v>0</v>
      </c>
      <c r="Y65" s="97">
        <v>0</v>
      </c>
      <c r="Z65" s="97">
        <v>0</v>
      </c>
      <c r="AA65" s="97">
        <v>0</v>
      </c>
      <c r="AB65" s="97">
        <v>0</v>
      </c>
      <c r="AC65" s="97">
        <v>0</v>
      </c>
      <c r="AD65" s="97">
        <v>0</v>
      </c>
      <c r="AE65" s="97">
        <v>0</v>
      </c>
      <c r="AF65" s="97">
        <v>0</v>
      </c>
      <c r="AG65" s="97">
        <v>0</v>
      </c>
      <c r="AH65" s="97">
        <v>0</v>
      </c>
      <c r="AI65" s="97">
        <v>0</v>
      </c>
      <c r="AJ65" s="97">
        <v>0</v>
      </c>
      <c r="AK65" s="97">
        <v>0</v>
      </c>
      <c r="AL65" s="97">
        <v>0</v>
      </c>
      <c r="AM65" s="97">
        <v>0</v>
      </c>
      <c r="AN65" s="97">
        <v>0</v>
      </c>
      <c r="AO65" s="97">
        <v>0</v>
      </c>
      <c r="AP65" s="97">
        <v>0</v>
      </c>
      <c r="AQ65" s="97">
        <v>0</v>
      </c>
      <c r="AR65" s="97">
        <v>0</v>
      </c>
      <c r="AS65" s="97">
        <v>0</v>
      </c>
      <c r="AT65" s="97">
        <v>0</v>
      </c>
      <c r="AU65" s="97">
        <v>0</v>
      </c>
      <c r="AV65" s="97">
        <v>0</v>
      </c>
      <c r="AW65" s="97">
        <v>0</v>
      </c>
      <c r="AX65" s="97">
        <v>0</v>
      </c>
      <c r="AY65" s="97">
        <v>0</v>
      </c>
      <c r="AZ65" s="97">
        <v>0</v>
      </c>
      <c r="BA65" s="97">
        <v>0</v>
      </c>
      <c r="BB65" s="97">
        <v>0</v>
      </c>
      <c r="BC65" s="97">
        <v>0</v>
      </c>
      <c r="BD65" s="97">
        <v>0</v>
      </c>
      <c r="BE65" s="97">
        <v>0</v>
      </c>
      <c r="BF65" s="97">
        <v>0</v>
      </c>
      <c r="BG65" s="97">
        <v>0</v>
      </c>
      <c r="BH65" s="97">
        <v>0</v>
      </c>
      <c r="BI65" s="97">
        <v>0</v>
      </c>
      <c r="BJ65" s="97">
        <v>0</v>
      </c>
      <c r="BK65" s="97">
        <v>0</v>
      </c>
      <c r="BL65" s="97">
        <v>0</v>
      </c>
      <c r="BM65" s="97">
        <v>0</v>
      </c>
      <c r="BN65" s="97">
        <v>0</v>
      </c>
      <c r="BO65" s="97">
        <v>0</v>
      </c>
      <c r="BP65" s="97">
        <v>0</v>
      </c>
      <c r="BQ65" s="97">
        <v>0</v>
      </c>
      <c r="BR65" s="97">
        <v>0</v>
      </c>
      <c r="BS65" s="97">
        <v>0</v>
      </c>
      <c r="BT65" s="97">
        <v>0</v>
      </c>
      <c r="BU65" s="97">
        <v>0</v>
      </c>
      <c r="BV65" s="97">
        <v>0</v>
      </c>
      <c r="BW65" s="97">
        <v>0</v>
      </c>
      <c r="BX65" s="97">
        <v>0</v>
      </c>
      <c r="BY65" s="97">
        <v>0</v>
      </c>
      <c r="BZ65" s="97">
        <v>0</v>
      </c>
      <c r="CA65" s="97">
        <v>0</v>
      </c>
      <c r="CB65" s="97">
        <v>0</v>
      </c>
      <c r="CC65" s="97">
        <v>0</v>
      </c>
      <c r="CD65" s="97">
        <v>0</v>
      </c>
      <c r="CE65" s="97">
        <v>0</v>
      </c>
      <c r="CF65" s="97">
        <v>0</v>
      </c>
      <c r="CG65" s="97">
        <v>0</v>
      </c>
      <c r="CH65" s="97">
        <v>0</v>
      </c>
      <c r="CI65" s="97">
        <v>0</v>
      </c>
      <c r="CJ65" s="97">
        <v>0</v>
      </c>
      <c r="CK65" s="97">
        <v>0</v>
      </c>
      <c r="CL65" s="97">
        <v>0</v>
      </c>
      <c r="CM65" s="97">
        <v>0</v>
      </c>
      <c r="CN65" s="97">
        <v>0</v>
      </c>
      <c r="CO65" s="97">
        <v>0</v>
      </c>
      <c r="CP65" s="97">
        <v>0</v>
      </c>
      <c r="CQ65" s="97">
        <v>0</v>
      </c>
      <c r="CR65" s="97">
        <v>0</v>
      </c>
      <c r="CS65" s="97">
        <v>0</v>
      </c>
      <c r="CT65" s="97">
        <v>0</v>
      </c>
      <c r="CU65" s="97">
        <v>0</v>
      </c>
    </row>
    <row r="66" spans="2:99" x14ac:dyDescent="0.15">
      <c r="C66" s="96" t="s">
        <v>231</v>
      </c>
      <c r="D66" s="97">
        <v>0</v>
      </c>
      <c r="E66" s="97">
        <v>0</v>
      </c>
      <c r="F66" s="97">
        <v>0</v>
      </c>
      <c r="G66" s="97">
        <v>0</v>
      </c>
      <c r="H66" s="97">
        <v>0</v>
      </c>
      <c r="I66" s="97">
        <v>0</v>
      </c>
      <c r="J66" s="97">
        <v>0</v>
      </c>
      <c r="K66" s="97">
        <v>0</v>
      </c>
      <c r="L66" s="97">
        <v>0</v>
      </c>
      <c r="M66" s="97">
        <v>0</v>
      </c>
      <c r="N66" s="97">
        <v>0</v>
      </c>
      <c r="O66" s="97">
        <v>0</v>
      </c>
      <c r="P66" s="97">
        <v>0</v>
      </c>
      <c r="Q66" s="97">
        <v>0</v>
      </c>
      <c r="R66" s="97">
        <v>0</v>
      </c>
      <c r="S66" s="97">
        <v>0</v>
      </c>
      <c r="T66" s="97">
        <v>0</v>
      </c>
      <c r="U66" s="97">
        <v>0</v>
      </c>
      <c r="V66" s="97">
        <v>0</v>
      </c>
      <c r="W66" s="97">
        <v>0</v>
      </c>
      <c r="X66" s="97">
        <v>0</v>
      </c>
      <c r="Y66" s="97">
        <v>0</v>
      </c>
      <c r="Z66" s="97">
        <v>0</v>
      </c>
      <c r="AA66" s="97">
        <v>0</v>
      </c>
      <c r="AB66" s="97">
        <v>0</v>
      </c>
      <c r="AC66" s="97">
        <v>0</v>
      </c>
      <c r="AD66" s="97">
        <v>0</v>
      </c>
      <c r="AE66" s="97">
        <v>0</v>
      </c>
      <c r="AF66" s="97">
        <v>0</v>
      </c>
      <c r="AG66" s="97">
        <v>0</v>
      </c>
      <c r="AH66" s="97">
        <v>0</v>
      </c>
      <c r="AI66" s="97">
        <v>0</v>
      </c>
      <c r="AJ66" s="97">
        <v>0</v>
      </c>
      <c r="AK66" s="97">
        <v>0</v>
      </c>
      <c r="AL66" s="97">
        <v>0</v>
      </c>
      <c r="AM66" s="97">
        <v>0</v>
      </c>
      <c r="AN66" s="97">
        <v>0</v>
      </c>
      <c r="AO66" s="97">
        <v>0</v>
      </c>
      <c r="AP66" s="97">
        <v>0</v>
      </c>
      <c r="AQ66" s="97">
        <v>0</v>
      </c>
      <c r="AR66" s="97">
        <v>0</v>
      </c>
      <c r="AS66" s="97">
        <v>0</v>
      </c>
      <c r="AT66" s="97">
        <v>0</v>
      </c>
      <c r="AU66" s="97">
        <v>0</v>
      </c>
      <c r="AV66" s="97">
        <v>0</v>
      </c>
      <c r="AW66" s="97">
        <v>0</v>
      </c>
      <c r="AX66" s="97">
        <v>0</v>
      </c>
      <c r="AY66" s="97">
        <v>0</v>
      </c>
      <c r="AZ66" s="97">
        <v>0</v>
      </c>
      <c r="BA66" s="97">
        <v>0</v>
      </c>
      <c r="BB66" s="97">
        <v>0</v>
      </c>
      <c r="BC66" s="97">
        <v>0</v>
      </c>
      <c r="BD66" s="97">
        <v>0</v>
      </c>
      <c r="BE66" s="97">
        <v>0</v>
      </c>
      <c r="BF66" s="97">
        <v>0</v>
      </c>
      <c r="BG66" s="97">
        <v>0</v>
      </c>
      <c r="BH66" s="97">
        <v>0</v>
      </c>
      <c r="BI66" s="97">
        <v>0</v>
      </c>
      <c r="BJ66" s="97">
        <v>0</v>
      </c>
      <c r="BK66" s="97">
        <v>0</v>
      </c>
      <c r="BL66" s="97">
        <v>0</v>
      </c>
      <c r="BM66" s="97">
        <v>0</v>
      </c>
      <c r="BN66" s="97">
        <v>0</v>
      </c>
      <c r="BO66" s="97">
        <v>0</v>
      </c>
      <c r="BP66" s="97">
        <v>0</v>
      </c>
      <c r="BQ66" s="97">
        <v>0</v>
      </c>
      <c r="BR66" s="97">
        <v>0</v>
      </c>
      <c r="BS66" s="97">
        <v>0</v>
      </c>
      <c r="BT66" s="97">
        <v>0</v>
      </c>
      <c r="BU66" s="97">
        <v>0</v>
      </c>
      <c r="BV66" s="97">
        <v>0</v>
      </c>
      <c r="BW66" s="97">
        <v>0</v>
      </c>
      <c r="BX66" s="97">
        <v>0</v>
      </c>
      <c r="BY66" s="97">
        <v>0</v>
      </c>
      <c r="BZ66" s="97">
        <v>0</v>
      </c>
      <c r="CA66" s="97">
        <v>0</v>
      </c>
      <c r="CB66" s="97">
        <v>0</v>
      </c>
      <c r="CC66" s="97">
        <v>0</v>
      </c>
      <c r="CD66" s="97">
        <v>0</v>
      </c>
      <c r="CE66" s="97">
        <v>0</v>
      </c>
      <c r="CF66" s="97">
        <v>0</v>
      </c>
      <c r="CG66" s="97">
        <v>0</v>
      </c>
      <c r="CH66" s="97">
        <v>0</v>
      </c>
      <c r="CI66" s="97">
        <v>0</v>
      </c>
      <c r="CJ66" s="97">
        <v>0</v>
      </c>
      <c r="CK66" s="97">
        <v>0</v>
      </c>
      <c r="CL66" s="97">
        <v>0</v>
      </c>
      <c r="CM66" s="97">
        <v>0</v>
      </c>
      <c r="CN66" s="97">
        <v>0</v>
      </c>
      <c r="CO66" s="97">
        <v>0</v>
      </c>
      <c r="CP66" s="97">
        <v>0</v>
      </c>
      <c r="CQ66" s="97">
        <v>0</v>
      </c>
      <c r="CR66" s="97">
        <v>0</v>
      </c>
      <c r="CS66" s="97">
        <v>0</v>
      </c>
      <c r="CT66" s="97">
        <v>0</v>
      </c>
      <c r="CU66" s="97">
        <v>0</v>
      </c>
    </row>
    <row r="67" spans="2:99" x14ac:dyDescent="0.15">
      <c r="C67" s="96" t="s">
        <v>232</v>
      </c>
      <c r="D67" s="97">
        <v>0</v>
      </c>
      <c r="E67" s="97">
        <v>0</v>
      </c>
      <c r="F67" s="97">
        <v>0</v>
      </c>
      <c r="G67" s="97">
        <v>0</v>
      </c>
      <c r="H67" s="97">
        <v>0</v>
      </c>
      <c r="I67" s="97">
        <v>0</v>
      </c>
      <c r="J67" s="97">
        <v>0</v>
      </c>
      <c r="K67" s="97">
        <v>0</v>
      </c>
      <c r="L67" s="97">
        <v>0</v>
      </c>
      <c r="M67" s="97">
        <v>0</v>
      </c>
      <c r="N67" s="97">
        <v>0</v>
      </c>
      <c r="O67" s="97">
        <v>0</v>
      </c>
      <c r="P67" s="97">
        <v>0</v>
      </c>
      <c r="Q67" s="97">
        <v>0</v>
      </c>
      <c r="R67" s="97">
        <v>0</v>
      </c>
      <c r="S67" s="97">
        <v>0</v>
      </c>
      <c r="T67" s="97">
        <v>0</v>
      </c>
      <c r="U67" s="97">
        <v>0</v>
      </c>
      <c r="V67" s="97">
        <v>0</v>
      </c>
      <c r="W67" s="97">
        <v>0</v>
      </c>
      <c r="X67" s="97">
        <v>0</v>
      </c>
      <c r="Y67" s="97">
        <v>0</v>
      </c>
      <c r="Z67" s="97">
        <v>0</v>
      </c>
      <c r="AA67" s="97">
        <v>0</v>
      </c>
      <c r="AB67" s="97">
        <v>0</v>
      </c>
      <c r="AC67" s="97">
        <v>0</v>
      </c>
      <c r="AD67" s="97">
        <v>0</v>
      </c>
      <c r="AE67" s="97">
        <v>0</v>
      </c>
      <c r="AF67" s="97">
        <v>0</v>
      </c>
      <c r="AG67" s="97">
        <v>0</v>
      </c>
      <c r="AH67" s="97">
        <v>0</v>
      </c>
      <c r="AI67" s="97">
        <v>0</v>
      </c>
      <c r="AJ67" s="97">
        <v>0</v>
      </c>
      <c r="AK67" s="97">
        <v>0</v>
      </c>
      <c r="AL67" s="97">
        <v>0</v>
      </c>
      <c r="AM67" s="97">
        <v>0</v>
      </c>
      <c r="AN67" s="97">
        <v>0</v>
      </c>
      <c r="AO67" s="97">
        <v>0</v>
      </c>
      <c r="AP67" s="97">
        <v>0</v>
      </c>
      <c r="AQ67" s="97">
        <v>0</v>
      </c>
      <c r="AR67" s="97">
        <v>0</v>
      </c>
      <c r="AS67" s="97">
        <v>0</v>
      </c>
      <c r="AT67" s="97">
        <v>0</v>
      </c>
      <c r="AU67" s="97">
        <v>0</v>
      </c>
      <c r="AV67" s="97">
        <v>0</v>
      </c>
      <c r="AW67" s="97">
        <v>0</v>
      </c>
      <c r="AX67" s="97">
        <v>0</v>
      </c>
      <c r="AY67" s="97">
        <v>0</v>
      </c>
      <c r="AZ67" s="97">
        <v>0</v>
      </c>
      <c r="BA67" s="97">
        <v>0</v>
      </c>
      <c r="BB67" s="97">
        <v>0</v>
      </c>
      <c r="BC67" s="97">
        <v>0</v>
      </c>
      <c r="BD67" s="97">
        <v>0</v>
      </c>
      <c r="BE67" s="97">
        <v>0</v>
      </c>
      <c r="BF67" s="97">
        <v>0</v>
      </c>
      <c r="BG67" s="97">
        <v>0</v>
      </c>
      <c r="BH67" s="97">
        <v>0</v>
      </c>
      <c r="BI67" s="97">
        <v>0</v>
      </c>
      <c r="BJ67" s="97">
        <v>0</v>
      </c>
      <c r="BK67" s="97">
        <v>0</v>
      </c>
      <c r="BL67" s="97">
        <v>0</v>
      </c>
      <c r="BM67" s="97">
        <v>0</v>
      </c>
      <c r="BN67" s="97">
        <v>0</v>
      </c>
      <c r="BO67" s="97">
        <v>0</v>
      </c>
      <c r="BP67" s="97">
        <v>0</v>
      </c>
      <c r="BQ67" s="97">
        <v>0</v>
      </c>
      <c r="BR67" s="97">
        <v>0</v>
      </c>
      <c r="BS67" s="97">
        <v>0</v>
      </c>
      <c r="BT67" s="97">
        <v>0</v>
      </c>
      <c r="BU67" s="97">
        <v>0</v>
      </c>
      <c r="BV67" s="97">
        <v>0</v>
      </c>
      <c r="BW67" s="97">
        <v>0</v>
      </c>
      <c r="BX67" s="97">
        <v>0</v>
      </c>
      <c r="BY67" s="97">
        <v>0</v>
      </c>
      <c r="BZ67" s="97">
        <v>0</v>
      </c>
      <c r="CA67" s="97">
        <v>0</v>
      </c>
      <c r="CB67" s="97">
        <v>0</v>
      </c>
      <c r="CC67" s="97">
        <v>0</v>
      </c>
      <c r="CD67" s="97">
        <v>0</v>
      </c>
      <c r="CE67" s="97">
        <v>0</v>
      </c>
      <c r="CF67" s="97">
        <v>0</v>
      </c>
      <c r="CG67" s="97">
        <v>0</v>
      </c>
      <c r="CH67" s="97">
        <v>0</v>
      </c>
      <c r="CI67" s="97">
        <v>0</v>
      </c>
      <c r="CJ67" s="97">
        <v>0</v>
      </c>
      <c r="CK67" s="97">
        <v>0</v>
      </c>
      <c r="CL67" s="97">
        <v>0</v>
      </c>
      <c r="CM67" s="97">
        <v>0</v>
      </c>
      <c r="CN67" s="97">
        <v>0</v>
      </c>
      <c r="CO67" s="97">
        <v>0</v>
      </c>
      <c r="CP67" s="97">
        <v>0</v>
      </c>
      <c r="CQ67" s="97">
        <v>0</v>
      </c>
      <c r="CR67" s="97">
        <v>0</v>
      </c>
      <c r="CS67" s="97">
        <v>0</v>
      </c>
      <c r="CT67" s="97">
        <v>0</v>
      </c>
      <c r="CU67" s="97">
        <v>0</v>
      </c>
    </row>
    <row r="68" spans="2:99" x14ac:dyDescent="0.15">
      <c r="C68" s="96" t="s">
        <v>233</v>
      </c>
      <c r="D68" s="97">
        <v>0</v>
      </c>
      <c r="E68" s="97">
        <v>0</v>
      </c>
      <c r="F68" s="97">
        <v>0</v>
      </c>
      <c r="G68" s="97">
        <v>0</v>
      </c>
      <c r="H68" s="97">
        <v>0</v>
      </c>
      <c r="I68" s="97">
        <v>0</v>
      </c>
      <c r="J68" s="97">
        <v>0</v>
      </c>
      <c r="K68" s="97">
        <v>0</v>
      </c>
      <c r="L68" s="97">
        <v>0</v>
      </c>
      <c r="M68" s="97">
        <v>0</v>
      </c>
      <c r="N68" s="97">
        <v>0</v>
      </c>
      <c r="O68" s="97">
        <v>0</v>
      </c>
      <c r="P68" s="97">
        <v>0</v>
      </c>
      <c r="Q68" s="97">
        <v>0</v>
      </c>
      <c r="R68" s="97">
        <v>0</v>
      </c>
      <c r="S68" s="97">
        <v>0</v>
      </c>
      <c r="T68" s="97">
        <v>0</v>
      </c>
      <c r="U68" s="97">
        <v>0</v>
      </c>
      <c r="V68" s="97">
        <v>0</v>
      </c>
      <c r="W68" s="97">
        <v>0</v>
      </c>
      <c r="X68" s="97">
        <v>0</v>
      </c>
      <c r="Y68" s="97">
        <v>0</v>
      </c>
      <c r="Z68" s="97">
        <v>0</v>
      </c>
      <c r="AA68" s="97">
        <v>0</v>
      </c>
      <c r="AB68" s="97">
        <v>0</v>
      </c>
      <c r="AC68" s="97">
        <v>0</v>
      </c>
      <c r="AD68" s="97">
        <v>0</v>
      </c>
      <c r="AE68" s="97">
        <v>0</v>
      </c>
      <c r="AF68" s="97">
        <v>0</v>
      </c>
      <c r="AG68" s="97">
        <v>0</v>
      </c>
      <c r="AH68" s="97">
        <v>0</v>
      </c>
      <c r="AI68" s="97">
        <v>0</v>
      </c>
      <c r="AJ68" s="97">
        <v>0</v>
      </c>
      <c r="AK68" s="97">
        <v>0</v>
      </c>
      <c r="AL68" s="97">
        <v>0</v>
      </c>
      <c r="AM68" s="97">
        <v>0</v>
      </c>
      <c r="AN68" s="97">
        <v>0</v>
      </c>
      <c r="AO68" s="97">
        <v>0</v>
      </c>
      <c r="AP68" s="97">
        <v>0</v>
      </c>
      <c r="AQ68" s="97">
        <v>0</v>
      </c>
      <c r="AR68" s="97">
        <v>0</v>
      </c>
      <c r="AS68" s="97">
        <v>0</v>
      </c>
      <c r="AT68" s="97">
        <v>0</v>
      </c>
      <c r="AU68" s="97">
        <v>0</v>
      </c>
      <c r="AV68" s="97">
        <v>0</v>
      </c>
      <c r="AW68" s="97">
        <v>0</v>
      </c>
      <c r="AX68" s="97">
        <v>0</v>
      </c>
      <c r="AY68" s="97">
        <v>0</v>
      </c>
      <c r="AZ68" s="97">
        <v>0</v>
      </c>
      <c r="BA68" s="97">
        <v>0</v>
      </c>
      <c r="BB68" s="97">
        <v>0</v>
      </c>
      <c r="BC68" s="97">
        <v>0</v>
      </c>
      <c r="BD68" s="97">
        <v>0</v>
      </c>
      <c r="BE68" s="97">
        <v>0</v>
      </c>
      <c r="BF68" s="97">
        <v>0</v>
      </c>
      <c r="BG68" s="97">
        <v>0</v>
      </c>
      <c r="BH68" s="97">
        <v>0</v>
      </c>
      <c r="BI68" s="97">
        <v>0</v>
      </c>
      <c r="BJ68" s="97">
        <v>0</v>
      </c>
      <c r="BK68" s="97">
        <v>0</v>
      </c>
      <c r="BL68" s="97">
        <v>0</v>
      </c>
      <c r="BM68" s="97">
        <v>0</v>
      </c>
      <c r="BN68" s="97">
        <v>0</v>
      </c>
      <c r="BO68" s="97">
        <v>0</v>
      </c>
      <c r="BP68" s="97">
        <v>0</v>
      </c>
      <c r="BQ68" s="97">
        <v>0</v>
      </c>
      <c r="BR68" s="97">
        <v>0</v>
      </c>
      <c r="BS68" s="97">
        <v>0</v>
      </c>
      <c r="BT68" s="97">
        <v>0</v>
      </c>
      <c r="BU68" s="97">
        <v>0</v>
      </c>
      <c r="BV68" s="97">
        <v>0</v>
      </c>
      <c r="BW68" s="97">
        <v>0</v>
      </c>
      <c r="BX68" s="97">
        <v>0</v>
      </c>
      <c r="BY68" s="97">
        <v>0</v>
      </c>
      <c r="BZ68" s="97">
        <v>0</v>
      </c>
      <c r="CA68" s="97">
        <v>0</v>
      </c>
      <c r="CB68" s="97">
        <v>0</v>
      </c>
      <c r="CC68" s="97">
        <v>0</v>
      </c>
      <c r="CD68" s="97">
        <v>0</v>
      </c>
      <c r="CE68" s="97">
        <v>0</v>
      </c>
      <c r="CF68" s="97">
        <v>0</v>
      </c>
      <c r="CG68" s="97">
        <v>0</v>
      </c>
      <c r="CH68" s="97">
        <v>0</v>
      </c>
      <c r="CI68" s="97">
        <v>0</v>
      </c>
      <c r="CJ68" s="97">
        <v>0</v>
      </c>
      <c r="CK68" s="97">
        <v>0</v>
      </c>
      <c r="CL68" s="97">
        <v>0</v>
      </c>
      <c r="CM68" s="97">
        <v>0</v>
      </c>
      <c r="CN68" s="97">
        <v>0</v>
      </c>
      <c r="CO68" s="97">
        <v>0</v>
      </c>
      <c r="CP68" s="97">
        <v>0</v>
      </c>
      <c r="CQ68" s="97">
        <v>0</v>
      </c>
      <c r="CR68" s="97">
        <v>0</v>
      </c>
      <c r="CS68" s="97">
        <v>0</v>
      </c>
      <c r="CT68" s="97">
        <v>0</v>
      </c>
      <c r="CU68" s="97">
        <v>0</v>
      </c>
    </row>
    <row r="69" spans="2:99" x14ac:dyDescent="0.15">
      <c r="C69" s="96" t="s">
        <v>234</v>
      </c>
      <c r="D69" s="97">
        <v>0</v>
      </c>
      <c r="E69" s="97">
        <v>0</v>
      </c>
      <c r="F69" s="97">
        <v>0</v>
      </c>
      <c r="G69" s="97">
        <v>0</v>
      </c>
      <c r="H69" s="97">
        <v>0</v>
      </c>
      <c r="I69" s="97">
        <v>0</v>
      </c>
      <c r="J69" s="97">
        <v>0</v>
      </c>
      <c r="K69" s="97">
        <v>0</v>
      </c>
      <c r="L69" s="97">
        <v>0</v>
      </c>
      <c r="M69" s="97">
        <v>0</v>
      </c>
      <c r="N69" s="97">
        <v>0</v>
      </c>
      <c r="O69" s="97">
        <v>0</v>
      </c>
      <c r="P69" s="97">
        <v>0</v>
      </c>
      <c r="Q69" s="97">
        <v>0</v>
      </c>
      <c r="R69" s="97">
        <v>0</v>
      </c>
      <c r="S69" s="97">
        <v>0</v>
      </c>
      <c r="T69" s="97">
        <v>0</v>
      </c>
      <c r="U69" s="97">
        <v>0</v>
      </c>
      <c r="V69" s="97">
        <v>0</v>
      </c>
      <c r="W69" s="97">
        <v>0</v>
      </c>
      <c r="X69" s="97">
        <v>0</v>
      </c>
      <c r="Y69" s="97">
        <v>0</v>
      </c>
      <c r="Z69" s="97">
        <v>0</v>
      </c>
      <c r="AA69" s="97">
        <v>0</v>
      </c>
      <c r="AB69" s="97">
        <v>0</v>
      </c>
      <c r="AC69" s="97">
        <v>0</v>
      </c>
      <c r="AD69" s="97">
        <v>0</v>
      </c>
      <c r="AE69" s="97">
        <v>0</v>
      </c>
      <c r="AF69" s="97">
        <v>0</v>
      </c>
      <c r="AG69" s="97">
        <v>0</v>
      </c>
      <c r="AH69" s="97">
        <v>0</v>
      </c>
      <c r="AI69" s="97">
        <v>0</v>
      </c>
      <c r="AJ69" s="97">
        <v>0</v>
      </c>
      <c r="AK69" s="97">
        <v>0</v>
      </c>
      <c r="AL69" s="97">
        <v>0</v>
      </c>
      <c r="AM69" s="97">
        <v>0</v>
      </c>
      <c r="AN69" s="97">
        <v>0</v>
      </c>
      <c r="AO69" s="97">
        <v>0</v>
      </c>
      <c r="AP69" s="97">
        <v>0</v>
      </c>
      <c r="AQ69" s="97">
        <v>0</v>
      </c>
      <c r="AR69" s="97">
        <v>0</v>
      </c>
      <c r="AS69" s="97">
        <v>0</v>
      </c>
      <c r="AT69" s="97">
        <v>0</v>
      </c>
      <c r="AU69" s="97">
        <v>0</v>
      </c>
      <c r="AV69" s="97">
        <v>0</v>
      </c>
      <c r="AW69" s="97">
        <v>0</v>
      </c>
      <c r="AX69" s="97">
        <v>0</v>
      </c>
      <c r="AY69" s="97">
        <v>0</v>
      </c>
      <c r="AZ69" s="97">
        <v>0</v>
      </c>
      <c r="BA69" s="97">
        <v>0</v>
      </c>
      <c r="BB69" s="97">
        <v>0</v>
      </c>
      <c r="BC69" s="97">
        <v>0</v>
      </c>
      <c r="BD69" s="97">
        <v>0</v>
      </c>
      <c r="BE69" s="97">
        <v>0</v>
      </c>
      <c r="BF69" s="97">
        <v>0</v>
      </c>
      <c r="BG69" s="97">
        <v>0</v>
      </c>
      <c r="BH69" s="97">
        <v>0</v>
      </c>
      <c r="BI69" s="97">
        <v>0</v>
      </c>
      <c r="BJ69" s="97">
        <v>0</v>
      </c>
      <c r="BK69" s="97">
        <v>0</v>
      </c>
      <c r="BL69" s="97">
        <v>0</v>
      </c>
      <c r="BM69" s="97">
        <v>0</v>
      </c>
      <c r="BN69" s="97">
        <v>0</v>
      </c>
      <c r="BO69" s="97">
        <v>0</v>
      </c>
      <c r="BP69" s="97">
        <v>0</v>
      </c>
      <c r="BQ69" s="97">
        <v>0</v>
      </c>
      <c r="BR69" s="97">
        <v>0</v>
      </c>
      <c r="BS69" s="97">
        <v>0</v>
      </c>
      <c r="BT69" s="97">
        <v>0</v>
      </c>
      <c r="BU69" s="97">
        <v>0</v>
      </c>
      <c r="BV69" s="97">
        <v>0</v>
      </c>
      <c r="BW69" s="97">
        <v>0</v>
      </c>
      <c r="BX69" s="97">
        <v>0</v>
      </c>
      <c r="BY69" s="97">
        <v>0</v>
      </c>
      <c r="BZ69" s="97">
        <v>0</v>
      </c>
      <c r="CA69" s="97">
        <v>0</v>
      </c>
      <c r="CB69" s="97">
        <v>0</v>
      </c>
      <c r="CC69" s="97">
        <v>0</v>
      </c>
      <c r="CD69" s="97">
        <v>0</v>
      </c>
      <c r="CE69" s="97">
        <v>0</v>
      </c>
      <c r="CF69" s="97">
        <v>0</v>
      </c>
      <c r="CG69" s="97">
        <v>0</v>
      </c>
      <c r="CH69" s="97">
        <v>0</v>
      </c>
      <c r="CI69" s="97">
        <v>0</v>
      </c>
      <c r="CJ69" s="97">
        <v>0</v>
      </c>
      <c r="CK69" s="97">
        <v>0</v>
      </c>
      <c r="CL69" s="97">
        <v>0</v>
      </c>
      <c r="CM69" s="97">
        <v>0</v>
      </c>
      <c r="CN69" s="97">
        <v>0</v>
      </c>
      <c r="CO69" s="97">
        <v>0</v>
      </c>
      <c r="CP69" s="97">
        <v>0</v>
      </c>
      <c r="CQ69" s="97">
        <v>0</v>
      </c>
      <c r="CR69" s="97">
        <v>0</v>
      </c>
      <c r="CS69" s="97">
        <v>0</v>
      </c>
      <c r="CT69" s="97">
        <v>0</v>
      </c>
      <c r="CU69" s="97">
        <v>0</v>
      </c>
    </row>
    <row r="70" spans="2:99" x14ac:dyDescent="0.15">
      <c r="C70" s="96" t="s">
        <v>235</v>
      </c>
      <c r="D70" s="97">
        <v>0</v>
      </c>
      <c r="E70" s="97">
        <v>0</v>
      </c>
      <c r="F70" s="97">
        <v>0</v>
      </c>
      <c r="G70" s="97">
        <v>0</v>
      </c>
      <c r="H70" s="97">
        <v>0</v>
      </c>
      <c r="I70" s="97">
        <v>0</v>
      </c>
      <c r="J70" s="97">
        <v>0</v>
      </c>
      <c r="K70" s="97">
        <v>0</v>
      </c>
      <c r="L70" s="97">
        <v>0</v>
      </c>
      <c r="M70" s="97">
        <v>0</v>
      </c>
      <c r="N70" s="97">
        <v>0</v>
      </c>
      <c r="O70" s="97">
        <v>0</v>
      </c>
      <c r="P70" s="97">
        <v>0</v>
      </c>
      <c r="Q70" s="97">
        <v>0</v>
      </c>
      <c r="R70" s="97">
        <v>0</v>
      </c>
      <c r="S70" s="97">
        <v>0</v>
      </c>
      <c r="T70" s="97">
        <v>0</v>
      </c>
      <c r="U70" s="97">
        <v>0</v>
      </c>
      <c r="V70" s="97">
        <v>0</v>
      </c>
      <c r="W70" s="97">
        <v>0</v>
      </c>
      <c r="X70" s="97">
        <v>0</v>
      </c>
      <c r="Y70" s="97">
        <v>0</v>
      </c>
      <c r="Z70" s="97">
        <v>0</v>
      </c>
      <c r="AA70" s="97">
        <v>0</v>
      </c>
      <c r="AB70" s="97">
        <v>0</v>
      </c>
      <c r="AC70" s="97">
        <v>0</v>
      </c>
      <c r="AD70" s="97">
        <v>0</v>
      </c>
      <c r="AE70" s="97">
        <v>0</v>
      </c>
      <c r="AF70" s="97">
        <v>0</v>
      </c>
      <c r="AG70" s="97">
        <v>0</v>
      </c>
      <c r="AH70" s="97">
        <v>0</v>
      </c>
      <c r="AI70" s="97">
        <v>0</v>
      </c>
      <c r="AJ70" s="97">
        <v>0</v>
      </c>
      <c r="AK70" s="97">
        <v>0</v>
      </c>
      <c r="AL70" s="97">
        <v>0</v>
      </c>
      <c r="AM70" s="97">
        <v>0</v>
      </c>
      <c r="AN70" s="97">
        <v>0</v>
      </c>
      <c r="AO70" s="97">
        <v>0</v>
      </c>
      <c r="AP70" s="97">
        <v>0</v>
      </c>
      <c r="AQ70" s="97">
        <v>0</v>
      </c>
      <c r="AR70" s="97">
        <v>0</v>
      </c>
      <c r="AS70" s="97">
        <v>0</v>
      </c>
      <c r="AT70" s="97">
        <v>0</v>
      </c>
      <c r="AU70" s="97">
        <v>0</v>
      </c>
      <c r="AV70" s="97">
        <v>0</v>
      </c>
      <c r="AW70" s="97">
        <v>0</v>
      </c>
      <c r="AX70" s="97">
        <v>0</v>
      </c>
      <c r="AY70" s="97">
        <v>0</v>
      </c>
      <c r="AZ70" s="97">
        <v>0</v>
      </c>
      <c r="BA70" s="97">
        <v>0</v>
      </c>
      <c r="BB70" s="97">
        <v>0</v>
      </c>
      <c r="BC70" s="97">
        <v>0</v>
      </c>
      <c r="BD70" s="97">
        <v>0</v>
      </c>
      <c r="BE70" s="97">
        <v>0</v>
      </c>
      <c r="BF70" s="97">
        <v>0</v>
      </c>
      <c r="BG70" s="97">
        <v>0</v>
      </c>
      <c r="BH70" s="97">
        <v>0</v>
      </c>
      <c r="BI70" s="97">
        <v>0</v>
      </c>
      <c r="BJ70" s="97">
        <v>0</v>
      </c>
      <c r="BK70" s="97">
        <v>0</v>
      </c>
      <c r="BL70" s="97">
        <v>0</v>
      </c>
      <c r="BM70" s="97">
        <v>0</v>
      </c>
      <c r="BN70" s="97">
        <v>0</v>
      </c>
      <c r="BO70" s="97">
        <v>0</v>
      </c>
      <c r="BP70" s="97">
        <v>0</v>
      </c>
      <c r="BQ70" s="97">
        <v>0</v>
      </c>
      <c r="BR70" s="97">
        <v>0</v>
      </c>
      <c r="BS70" s="97">
        <v>0</v>
      </c>
      <c r="BT70" s="97">
        <v>0</v>
      </c>
      <c r="BU70" s="97">
        <v>0</v>
      </c>
      <c r="BV70" s="97">
        <v>0</v>
      </c>
      <c r="BW70" s="97">
        <v>0</v>
      </c>
      <c r="BX70" s="97">
        <v>0</v>
      </c>
      <c r="BY70" s="97">
        <v>0</v>
      </c>
      <c r="BZ70" s="97">
        <v>0</v>
      </c>
      <c r="CA70" s="97">
        <v>0</v>
      </c>
      <c r="CB70" s="97">
        <v>0</v>
      </c>
      <c r="CC70" s="97">
        <v>0</v>
      </c>
      <c r="CD70" s="97">
        <v>0</v>
      </c>
      <c r="CE70" s="97">
        <v>0</v>
      </c>
      <c r="CF70" s="97">
        <v>0</v>
      </c>
      <c r="CG70" s="97">
        <v>0</v>
      </c>
      <c r="CH70" s="97">
        <v>0</v>
      </c>
      <c r="CI70" s="97">
        <v>0</v>
      </c>
      <c r="CJ70" s="97">
        <v>0</v>
      </c>
      <c r="CK70" s="97">
        <v>0</v>
      </c>
      <c r="CL70" s="97">
        <v>0</v>
      </c>
      <c r="CM70" s="97">
        <v>0</v>
      </c>
      <c r="CN70" s="97">
        <v>0</v>
      </c>
      <c r="CO70" s="97">
        <v>0</v>
      </c>
      <c r="CP70" s="97">
        <v>0</v>
      </c>
      <c r="CQ70" s="97">
        <v>0</v>
      </c>
      <c r="CR70" s="97">
        <v>0</v>
      </c>
      <c r="CS70" s="97">
        <v>0</v>
      </c>
      <c r="CT70" s="97">
        <v>0</v>
      </c>
      <c r="CU70" s="97">
        <v>0</v>
      </c>
    </row>
    <row r="71" spans="2:99" x14ac:dyDescent="0.15">
      <c r="B71" s="96" t="s">
        <v>130</v>
      </c>
      <c r="C71" s="96" t="s">
        <v>236</v>
      </c>
      <c r="D71" s="97">
        <v>0</v>
      </c>
      <c r="E71" s="97">
        <v>0</v>
      </c>
      <c r="F71" s="97">
        <v>0</v>
      </c>
      <c r="G71" s="97">
        <v>0</v>
      </c>
      <c r="H71" s="97">
        <v>0</v>
      </c>
      <c r="I71" s="97">
        <v>0</v>
      </c>
      <c r="J71" s="97">
        <v>29.494707323637773</v>
      </c>
      <c r="K71" s="97">
        <v>16635.014930531703</v>
      </c>
      <c r="L71" s="97">
        <v>2.1602911498481214</v>
      </c>
      <c r="M71" s="97">
        <v>1218.4042085143406</v>
      </c>
      <c r="N71" s="97">
        <v>44</v>
      </c>
      <c r="O71" s="97">
        <v>24816</v>
      </c>
      <c r="P71" s="97">
        <v>27.326940173995077</v>
      </c>
      <c r="Q71" s="97">
        <v>15412.394258133223</v>
      </c>
      <c r="R71" s="97">
        <v>14.160589713707914</v>
      </c>
      <c r="S71" s="97">
        <v>7986.5725985312638</v>
      </c>
      <c r="T71" s="97">
        <v>27.996804172335985</v>
      </c>
      <c r="U71" s="97">
        <v>15790.197553197495</v>
      </c>
      <c r="V71" s="97">
        <v>24.485546203232005</v>
      </c>
      <c r="W71" s="97">
        <v>13809.848058622851</v>
      </c>
      <c r="X71" s="97">
        <v>32.250950074698395</v>
      </c>
      <c r="Y71" s="97">
        <v>18189.535842129895</v>
      </c>
      <c r="Z71" s="97">
        <v>31</v>
      </c>
      <c r="AA71" s="97">
        <v>17484</v>
      </c>
      <c r="AB71" s="97">
        <v>15.439284710360212</v>
      </c>
      <c r="AC71" s="97">
        <v>8707.7565766431599</v>
      </c>
      <c r="AD71" s="97">
        <v>15.878559618892115</v>
      </c>
      <c r="AE71" s="97">
        <v>8955.5076250551538</v>
      </c>
      <c r="AF71" s="97">
        <v>19.855998075772046</v>
      </c>
      <c r="AG71" s="97">
        <v>11198.782914735433</v>
      </c>
      <c r="AH71" s="97">
        <v>20.946447549351394</v>
      </c>
      <c r="AI71" s="97">
        <v>11813.796417834186</v>
      </c>
      <c r="AJ71" s="97">
        <v>8.5656326112898604</v>
      </c>
      <c r="AK71" s="97">
        <v>4831.0167927674811</v>
      </c>
      <c r="AL71" s="97">
        <v>9.6925922346755957</v>
      </c>
      <c r="AM71" s="97">
        <v>5466.6220203570356</v>
      </c>
      <c r="AN71" s="97">
        <v>16.792842889881904</v>
      </c>
      <c r="AO71" s="97">
        <v>9471.1633898933942</v>
      </c>
      <c r="AP71" s="97">
        <v>12.088109393579073</v>
      </c>
      <c r="AQ71" s="97">
        <v>6817.6936979785969</v>
      </c>
      <c r="AR71" s="97">
        <v>10</v>
      </c>
      <c r="AS71" s="97">
        <v>5640</v>
      </c>
      <c r="AT71" s="97">
        <v>6.7392752296227272</v>
      </c>
      <c r="AU71" s="97">
        <v>3800.9512295072182</v>
      </c>
      <c r="AV71" s="97">
        <v>8.7801577931448058</v>
      </c>
      <c r="AW71" s="97">
        <v>4952.0089953336701</v>
      </c>
      <c r="AX71" s="97">
        <v>10.815886664397976</v>
      </c>
      <c r="AY71" s="97">
        <v>6100.1600787204579</v>
      </c>
      <c r="AZ71" s="97">
        <v>8.6796339681549917</v>
      </c>
      <c r="BA71" s="97">
        <v>4895.3135580394155</v>
      </c>
      <c r="BB71" s="97">
        <v>10.100268028679951</v>
      </c>
      <c r="BC71" s="97">
        <v>5696.5511681754924</v>
      </c>
      <c r="BD71" s="97">
        <v>9</v>
      </c>
      <c r="BE71" s="97">
        <v>5076</v>
      </c>
      <c r="BF71" s="97">
        <v>7.7048069804334993</v>
      </c>
      <c r="BG71" s="97">
        <v>4345.5111369644937</v>
      </c>
      <c r="BH71" s="97">
        <v>4</v>
      </c>
      <c r="BI71" s="97">
        <v>2256</v>
      </c>
      <c r="BJ71" s="97">
        <v>6.7322955075128519</v>
      </c>
      <c r="BK71" s="97">
        <v>3797.0146662372485</v>
      </c>
      <c r="BL71" s="97">
        <v>4</v>
      </c>
      <c r="BM71" s="97">
        <v>2256</v>
      </c>
      <c r="BN71" s="97">
        <v>8.0829952578054325</v>
      </c>
      <c r="BO71" s="97">
        <v>4558.8093254022642</v>
      </c>
      <c r="BP71" s="97">
        <v>6</v>
      </c>
      <c r="BQ71" s="97">
        <v>3384</v>
      </c>
      <c r="BR71" s="97">
        <v>5</v>
      </c>
      <c r="BS71" s="97">
        <v>2820</v>
      </c>
      <c r="BT71" s="97">
        <v>4</v>
      </c>
      <c r="BU71" s="97">
        <v>2256</v>
      </c>
      <c r="BV71" s="97">
        <v>4.1032383735086437</v>
      </c>
      <c r="BW71" s="97">
        <v>2314.2264426588749</v>
      </c>
      <c r="BX71" s="97">
        <v>5</v>
      </c>
      <c r="BY71" s="97">
        <v>2820</v>
      </c>
      <c r="BZ71" s="97">
        <v>5</v>
      </c>
      <c r="CA71" s="97">
        <v>2820</v>
      </c>
      <c r="CB71" s="97">
        <v>3</v>
      </c>
      <c r="CC71" s="97">
        <v>1692</v>
      </c>
      <c r="CD71" s="97">
        <v>3</v>
      </c>
      <c r="CE71" s="97">
        <v>1692</v>
      </c>
      <c r="CF71" s="97">
        <v>3</v>
      </c>
      <c r="CG71" s="97">
        <v>1692</v>
      </c>
      <c r="CH71" s="97">
        <v>3.0459649616118147</v>
      </c>
      <c r="CI71" s="97">
        <v>1717.9242383490634</v>
      </c>
      <c r="CJ71" s="97">
        <v>4</v>
      </c>
      <c r="CK71" s="97">
        <v>2256</v>
      </c>
      <c r="CL71" s="97">
        <v>3</v>
      </c>
      <c r="CM71" s="97">
        <v>1692</v>
      </c>
      <c r="CN71" s="97">
        <v>3</v>
      </c>
      <c r="CO71" s="97">
        <v>1692</v>
      </c>
      <c r="CP71" s="97">
        <v>4.0064723041221546</v>
      </c>
      <c r="CQ71" s="97">
        <v>2259.650379524895</v>
      </c>
      <c r="CR71" s="97">
        <v>2</v>
      </c>
      <c r="CS71" s="97">
        <v>1128</v>
      </c>
      <c r="CT71" s="97">
        <v>3</v>
      </c>
      <c r="CU71" s="97">
        <v>1692</v>
      </c>
    </row>
    <row r="72" spans="2:99" x14ac:dyDescent="0.15">
      <c r="C72" s="96" t="s">
        <v>237</v>
      </c>
      <c r="D72" s="97">
        <v>0</v>
      </c>
      <c r="E72" s="97">
        <v>0</v>
      </c>
      <c r="F72" s="97">
        <v>0</v>
      </c>
      <c r="G72" s="97">
        <v>0</v>
      </c>
      <c r="H72" s="97">
        <v>0</v>
      </c>
      <c r="I72" s="97">
        <v>0</v>
      </c>
      <c r="J72" s="97">
        <v>31.091796145992241</v>
      </c>
      <c r="K72" s="97">
        <v>2313.2296332618225</v>
      </c>
      <c r="L72" s="97">
        <v>2.4775115902014675</v>
      </c>
      <c r="M72" s="97">
        <v>184.32686231098916</v>
      </c>
      <c r="N72" s="97">
        <v>48</v>
      </c>
      <c r="O72" s="97">
        <v>3571.2</v>
      </c>
      <c r="P72" s="97">
        <v>29.975747176195611</v>
      </c>
      <c r="Q72" s="97">
        <v>2230.195589908953</v>
      </c>
      <c r="R72" s="97">
        <v>14.188014831236936</v>
      </c>
      <c r="S72" s="97">
        <v>1055.5883034440278</v>
      </c>
      <c r="T72" s="97">
        <v>28.126536177736483</v>
      </c>
      <c r="U72" s="97">
        <v>2092.614291623594</v>
      </c>
      <c r="V72" s="97">
        <v>29.194305088468926</v>
      </c>
      <c r="W72" s="97">
        <v>2172.0562985820879</v>
      </c>
      <c r="X72" s="97">
        <v>34.169274342739598</v>
      </c>
      <c r="Y72" s="97">
        <v>2542.1940110998257</v>
      </c>
      <c r="Z72" s="97">
        <v>32</v>
      </c>
      <c r="AA72" s="97">
        <v>2380.7999999999997</v>
      </c>
      <c r="AB72" s="97">
        <v>15.552764153838661</v>
      </c>
      <c r="AC72" s="97">
        <v>1157.1256530455962</v>
      </c>
      <c r="AD72" s="97">
        <v>18.981919574055894</v>
      </c>
      <c r="AE72" s="97">
        <v>1412.2548163097583</v>
      </c>
      <c r="AF72" s="97">
        <v>24.956703731745229</v>
      </c>
      <c r="AG72" s="97">
        <v>1856.7787576418448</v>
      </c>
      <c r="AH72" s="97">
        <v>21.099925530327297</v>
      </c>
      <c r="AI72" s="97">
        <v>1569.8344594563507</v>
      </c>
      <c r="AJ72" s="97">
        <v>9.6009846494954765</v>
      </c>
      <c r="AK72" s="97">
        <v>714.31325792246332</v>
      </c>
      <c r="AL72" s="97">
        <v>9.6596116520719963</v>
      </c>
      <c r="AM72" s="97">
        <v>718.67510691415646</v>
      </c>
      <c r="AN72" s="97">
        <v>16.792842889881904</v>
      </c>
      <c r="AO72" s="97">
        <v>1249.3875110072136</v>
      </c>
      <c r="AP72" s="97">
        <v>13.081331747919144</v>
      </c>
      <c r="AQ72" s="97">
        <v>973.25108204518415</v>
      </c>
      <c r="AR72" s="97">
        <v>11</v>
      </c>
      <c r="AS72" s="97">
        <v>818.39999999999986</v>
      </c>
      <c r="AT72" s="97">
        <v>6</v>
      </c>
      <c r="AU72" s="97">
        <v>446.4</v>
      </c>
      <c r="AV72" s="97">
        <v>9.7462378890950312</v>
      </c>
      <c r="AW72" s="97">
        <v>725.12009894867026</v>
      </c>
      <c r="AX72" s="97">
        <v>11.897475330837773</v>
      </c>
      <c r="AY72" s="97">
        <v>885.1721646143302</v>
      </c>
      <c r="AZ72" s="97">
        <v>8.7221110911646793</v>
      </c>
      <c r="BA72" s="97">
        <v>648.92506518265202</v>
      </c>
      <c r="BB72" s="97">
        <v>11.10528143011395</v>
      </c>
      <c r="BC72" s="97">
        <v>826.23293840047779</v>
      </c>
      <c r="BD72" s="97">
        <v>8</v>
      </c>
      <c r="BE72" s="97">
        <v>595.19999999999993</v>
      </c>
      <c r="BF72" s="97">
        <v>6.7488574167105924</v>
      </c>
      <c r="BG72" s="97">
        <v>502.11499180326803</v>
      </c>
      <c r="BH72" s="97">
        <v>4</v>
      </c>
      <c r="BI72" s="97">
        <v>297.59999999999997</v>
      </c>
      <c r="BJ72" s="97">
        <v>6.7753717138371368</v>
      </c>
      <c r="BK72" s="97">
        <v>504.08765550948294</v>
      </c>
      <c r="BL72" s="97">
        <v>4</v>
      </c>
      <c r="BM72" s="97">
        <v>297.59999999999997</v>
      </c>
      <c r="BN72" s="97">
        <v>7.0829952578054334</v>
      </c>
      <c r="BO72" s="97">
        <v>526.97484718072417</v>
      </c>
      <c r="BP72" s="97">
        <v>6</v>
      </c>
      <c r="BQ72" s="97">
        <v>446.4</v>
      </c>
      <c r="BR72" s="97">
        <v>5</v>
      </c>
      <c r="BS72" s="97">
        <v>371.99999999999994</v>
      </c>
      <c r="BT72" s="97">
        <v>4</v>
      </c>
      <c r="BU72" s="97">
        <v>297.59999999999997</v>
      </c>
      <c r="BV72" s="97">
        <v>5.1118415713010306</v>
      </c>
      <c r="BW72" s="97">
        <v>380.32101290479665</v>
      </c>
      <c r="BX72" s="97">
        <v>6</v>
      </c>
      <c r="BY72" s="97">
        <v>446.4</v>
      </c>
      <c r="BZ72" s="97">
        <v>4.5064001073997915</v>
      </c>
      <c r="CA72" s="97">
        <v>335.27616799054442</v>
      </c>
      <c r="CB72" s="97">
        <v>3</v>
      </c>
      <c r="CC72" s="97">
        <v>223.2</v>
      </c>
      <c r="CD72" s="97">
        <v>3</v>
      </c>
      <c r="CE72" s="97">
        <v>223.2</v>
      </c>
      <c r="CF72" s="97">
        <v>3</v>
      </c>
      <c r="CG72" s="97">
        <v>223.2</v>
      </c>
      <c r="CH72" s="97">
        <v>3.0459649616118147</v>
      </c>
      <c r="CI72" s="97">
        <v>226.619793143919</v>
      </c>
      <c r="CJ72" s="97">
        <v>4</v>
      </c>
      <c r="CK72" s="97">
        <v>297.59999999999997</v>
      </c>
      <c r="CL72" s="97">
        <v>3</v>
      </c>
      <c r="CM72" s="97">
        <v>223.2</v>
      </c>
      <c r="CN72" s="97">
        <v>3</v>
      </c>
      <c r="CO72" s="97">
        <v>223.2</v>
      </c>
      <c r="CP72" s="97">
        <v>4.0064723041221546</v>
      </c>
      <c r="CQ72" s="97">
        <v>298.08153942668827</v>
      </c>
      <c r="CR72" s="97">
        <v>2</v>
      </c>
      <c r="CS72" s="97">
        <v>148.79999999999998</v>
      </c>
      <c r="CT72" s="97">
        <v>4</v>
      </c>
      <c r="CU72" s="97">
        <v>297.59999999999997</v>
      </c>
    </row>
    <row r="73" spans="2:99" x14ac:dyDescent="0.15">
      <c r="C73" s="96" t="s">
        <v>238</v>
      </c>
      <c r="D73" s="97">
        <v>0</v>
      </c>
      <c r="E73" s="97">
        <v>0</v>
      </c>
      <c r="F73" s="97">
        <v>0</v>
      </c>
      <c r="G73" s="97">
        <v>0</v>
      </c>
      <c r="H73" s="97">
        <v>0</v>
      </c>
      <c r="I73" s="97">
        <v>0</v>
      </c>
      <c r="J73" s="97">
        <v>31.419661461098524</v>
      </c>
      <c r="K73" s="97">
        <v>17569.874689046293</v>
      </c>
      <c r="L73" s="97">
        <v>2.3828073366841012</v>
      </c>
      <c r="M73" s="97">
        <v>1332.4658626737491</v>
      </c>
      <c r="N73" s="97">
        <v>37</v>
      </c>
      <c r="O73" s="97">
        <v>20690.399999999998</v>
      </c>
      <c r="P73" s="97">
        <v>27.437103962521263</v>
      </c>
      <c r="Q73" s="97">
        <v>15342.828535841889</v>
      </c>
      <c r="R73" s="97">
        <v>12.427368501174046</v>
      </c>
      <c r="S73" s="97">
        <v>6949.3844658565258</v>
      </c>
      <c r="T73" s="97">
        <v>25.121666141197785</v>
      </c>
      <c r="U73" s="97">
        <v>14048.0357061578</v>
      </c>
      <c r="V73" s="97">
        <v>27.310801534374157</v>
      </c>
      <c r="W73" s="97">
        <v>15272.200218022026</v>
      </c>
      <c r="X73" s="97">
        <v>34.139317385315763</v>
      </c>
      <c r="Y73" s="97">
        <v>19090.706281868574</v>
      </c>
      <c r="Z73" s="97">
        <v>30</v>
      </c>
      <c r="AA73" s="97">
        <v>16775.999999999996</v>
      </c>
      <c r="AB73" s="97">
        <v>15.250152304562803</v>
      </c>
      <c r="AC73" s="97">
        <v>8527.8851687115184</v>
      </c>
      <c r="AD73" s="97">
        <v>16.007759562846839</v>
      </c>
      <c r="AE73" s="97">
        <v>8951.5391475439519</v>
      </c>
      <c r="AF73" s="97">
        <v>21.881174489765343</v>
      </c>
      <c r="AG73" s="97">
        <v>12235.952774676778</v>
      </c>
      <c r="AH73" s="97">
        <v>21.04876620333533</v>
      </c>
      <c r="AI73" s="97">
        <v>11770.470060905114</v>
      </c>
      <c r="AJ73" s="97">
        <v>9.6716887259067104</v>
      </c>
      <c r="AK73" s="97">
        <v>5408.4083355270313</v>
      </c>
      <c r="AL73" s="97">
        <v>8.6925922346755957</v>
      </c>
      <c r="AM73" s="97">
        <v>4860.8975776305924</v>
      </c>
      <c r="AN73" s="97">
        <v>16.792842889881904</v>
      </c>
      <c r="AO73" s="97">
        <v>9390.5577440219586</v>
      </c>
      <c r="AP73" s="97">
        <v>11.081331747919144</v>
      </c>
      <c r="AQ73" s="97">
        <v>6196.6807134363844</v>
      </c>
      <c r="AR73" s="97">
        <v>10</v>
      </c>
      <c r="AS73" s="97">
        <v>5591.9999999999991</v>
      </c>
      <c r="AT73" s="97">
        <v>7.8214169218030305</v>
      </c>
      <c r="AU73" s="97">
        <v>4373.7363426722541</v>
      </c>
      <c r="AV73" s="97">
        <v>8.6783980809954837</v>
      </c>
      <c r="AW73" s="97">
        <v>4852.9602068926743</v>
      </c>
      <c r="AX73" s="97">
        <v>10.734297997958178</v>
      </c>
      <c r="AY73" s="97">
        <v>6002.619440458212</v>
      </c>
      <c r="AZ73" s="97">
        <v>8.5946797221356181</v>
      </c>
      <c r="BA73" s="97">
        <v>4806.1449006182374</v>
      </c>
      <c r="BB73" s="97">
        <v>9.0952546272459536</v>
      </c>
      <c r="BC73" s="97">
        <v>5086.0663875559367</v>
      </c>
      <c r="BD73" s="97">
        <v>8</v>
      </c>
      <c r="BE73" s="97">
        <v>4473.5999999999995</v>
      </c>
      <c r="BF73" s="97">
        <v>7.7488574167105924</v>
      </c>
      <c r="BG73" s="97">
        <v>4333.161067424563</v>
      </c>
      <c r="BH73" s="97">
        <v>4</v>
      </c>
      <c r="BI73" s="97">
        <v>2236.7999999999997</v>
      </c>
      <c r="BJ73" s="97">
        <v>5.6892193011885661</v>
      </c>
      <c r="BK73" s="97">
        <v>3181.4114332246459</v>
      </c>
      <c r="BL73" s="97">
        <v>5</v>
      </c>
      <c r="BM73" s="97">
        <v>2795.9999999999995</v>
      </c>
      <c r="BN73" s="97">
        <v>6.0754502343685752</v>
      </c>
      <c r="BO73" s="97">
        <v>3397.3917710589067</v>
      </c>
      <c r="BP73" s="97">
        <v>6</v>
      </c>
      <c r="BQ73" s="97">
        <v>3355.2</v>
      </c>
      <c r="BR73" s="97">
        <v>5</v>
      </c>
      <c r="BS73" s="97">
        <v>2795.9999999999995</v>
      </c>
      <c r="BT73" s="97">
        <v>4</v>
      </c>
      <c r="BU73" s="97">
        <v>2236.7999999999997</v>
      </c>
      <c r="BV73" s="97">
        <v>4.1032383735086437</v>
      </c>
      <c r="BW73" s="97">
        <v>2294.5308984660332</v>
      </c>
      <c r="BX73" s="97">
        <v>5</v>
      </c>
      <c r="BY73" s="97">
        <v>2795.9999999999995</v>
      </c>
      <c r="BZ73" s="97">
        <v>4.5524364807997717</v>
      </c>
      <c r="CA73" s="97">
        <v>2545.7224800632321</v>
      </c>
      <c r="CB73" s="97">
        <v>3</v>
      </c>
      <c r="CC73" s="97">
        <v>1677.6</v>
      </c>
      <c r="CD73" s="97">
        <v>4</v>
      </c>
      <c r="CE73" s="97">
        <v>2236.7999999999997</v>
      </c>
      <c r="CF73" s="97">
        <v>3</v>
      </c>
      <c r="CG73" s="97">
        <v>1677.6</v>
      </c>
      <c r="CH73" s="97">
        <v>3.051072179568683</v>
      </c>
      <c r="CI73" s="97">
        <v>1706.1595628148073</v>
      </c>
      <c r="CJ73" s="97">
        <v>4</v>
      </c>
      <c r="CK73" s="97">
        <v>2236.7999999999997</v>
      </c>
      <c r="CL73" s="97">
        <v>4</v>
      </c>
      <c r="CM73" s="97">
        <v>2236.7999999999997</v>
      </c>
      <c r="CN73" s="97">
        <v>2</v>
      </c>
      <c r="CO73" s="97">
        <v>1118.3999999999999</v>
      </c>
      <c r="CP73" s="97">
        <v>3.0064723041221546</v>
      </c>
      <c r="CQ73" s="97">
        <v>1681.2193124651087</v>
      </c>
      <c r="CR73" s="97">
        <v>2</v>
      </c>
      <c r="CS73" s="97">
        <v>1118.3999999999999</v>
      </c>
      <c r="CT73" s="97">
        <v>4</v>
      </c>
      <c r="CU73" s="97">
        <v>2236.7999999999997</v>
      </c>
    </row>
    <row r="74" spans="2:99" x14ac:dyDescent="0.15">
      <c r="C74" s="96" t="s">
        <v>239</v>
      </c>
      <c r="D74" s="97">
        <v>0</v>
      </c>
      <c r="E74" s="97">
        <v>0</v>
      </c>
      <c r="F74" s="97">
        <v>0</v>
      </c>
      <c r="G74" s="97">
        <v>0</v>
      </c>
      <c r="H74" s="97">
        <v>0</v>
      </c>
      <c r="I74" s="97">
        <v>0</v>
      </c>
      <c r="J74" s="97">
        <v>28.053683045430258</v>
      </c>
      <c r="K74" s="97">
        <v>11311.24500391748</v>
      </c>
      <c r="L74" s="97">
        <v>2.3089832776467754</v>
      </c>
      <c r="M74" s="97">
        <v>930.98205754717981</v>
      </c>
      <c r="N74" s="97">
        <v>38</v>
      </c>
      <c r="O74" s="97">
        <v>15321.6</v>
      </c>
      <c r="P74" s="97">
        <v>26.576201052826327</v>
      </c>
      <c r="Q74" s="97">
        <v>10715.524264499574</v>
      </c>
      <c r="R74" s="97">
        <v>15.469075972336137</v>
      </c>
      <c r="S74" s="97">
        <v>6237.1314320459305</v>
      </c>
      <c r="T74" s="97">
        <v>27.124912832223583</v>
      </c>
      <c r="U74" s="97">
        <v>10936.764853952549</v>
      </c>
      <c r="V74" s="97">
        <v>29.194305088468926</v>
      </c>
      <c r="W74" s="97">
        <v>11771.14381167067</v>
      </c>
      <c r="X74" s="97">
        <v>29.178743449381695</v>
      </c>
      <c r="Y74" s="97">
        <v>11764.8693587907</v>
      </c>
      <c r="Z74" s="97">
        <v>30</v>
      </c>
      <c r="AA74" s="97">
        <v>12096</v>
      </c>
      <c r="AB74" s="97">
        <v>14.368901357756899</v>
      </c>
      <c r="AC74" s="97">
        <v>5793.5410274475817</v>
      </c>
      <c r="AD74" s="97">
        <v>17.956079585264948</v>
      </c>
      <c r="AE74" s="97">
        <v>7239.8912887788274</v>
      </c>
      <c r="AF74" s="97">
        <v>22.981880145738526</v>
      </c>
      <c r="AG74" s="97">
        <v>9266.294074761774</v>
      </c>
      <c r="AH74" s="97">
        <v>20.972027212847379</v>
      </c>
      <c r="AI74" s="97">
        <v>8455.9213722200639</v>
      </c>
      <c r="AJ74" s="97">
        <v>9.6009846494954765</v>
      </c>
      <c r="AK74" s="97">
        <v>3871.1170106765762</v>
      </c>
      <c r="AL74" s="97">
        <v>10.692592234675596</v>
      </c>
      <c r="AM74" s="97">
        <v>4311.2531890212003</v>
      </c>
      <c r="AN74" s="97">
        <v>15.792842889881904</v>
      </c>
      <c r="AO74" s="97">
        <v>6367.6742532003836</v>
      </c>
      <c r="AP74" s="97">
        <v>12.081331747919144</v>
      </c>
      <c r="AQ74" s="97">
        <v>4871.1929607609991</v>
      </c>
      <c r="AR74" s="97">
        <v>10</v>
      </c>
      <c r="AS74" s="97">
        <v>4032</v>
      </c>
      <c r="AT74" s="97">
        <v>7.8624877678931817</v>
      </c>
      <c r="AU74" s="97">
        <v>3170.1550680145306</v>
      </c>
      <c r="AV74" s="97">
        <v>9.8140776971945805</v>
      </c>
      <c r="AW74" s="97">
        <v>3957.0361275088549</v>
      </c>
      <c r="AX74" s="97">
        <v>11.856680997617874</v>
      </c>
      <c r="AY74" s="97">
        <v>4780.6137782395263</v>
      </c>
      <c r="AZ74" s="97">
        <v>7.6796339681549917</v>
      </c>
      <c r="BA74" s="97">
        <v>3096.4284159600925</v>
      </c>
      <c r="BB74" s="97">
        <v>10.095254627245954</v>
      </c>
      <c r="BC74" s="97">
        <v>4070.4066657055682</v>
      </c>
      <c r="BD74" s="97">
        <v>10</v>
      </c>
      <c r="BE74" s="97">
        <v>4032</v>
      </c>
      <c r="BF74" s="97">
        <v>7</v>
      </c>
      <c r="BG74" s="97">
        <v>2822.4</v>
      </c>
      <c r="BH74" s="97">
        <v>4</v>
      </c>
      <c r="BI74" s="97">
        <v>1612.8</v>
      </c>
      <c r="BJ74" s="97">
        <v>6.6461430948642812</v>
      </c>
      <c r="BK74" s="97">
        <v>2679.7248958492783</v>
      </c>
      <c r="BL74" s="97">
        <v>4</v>
      </c>
      <c r="BM74" s="97">
        <v>1612.8</v>
      </c>
      <c r="BN74" s="97">
        <v>8.0754502343685761</v>
      </c>
      <c r="BO74" s="97">
        <v>3256.0215344974099</v>
      </c>
      <c r="BP74" s="97">
        <v>6</v>
      </c>
      <c r="BQ74" s="97">
        <v>2419.1999999999998</v>
      </c>
      <c r="BR74" s="97">
        <v>5</v>
      </c>
      <c r="BS74" s="97">
        <v>2016</v>
      </c>
      <c r="BT74" s="97">
        <v>4</v>
      </c>
      <c r="BU74" s="97">
        <v>1612.8</v>
      </c>
      <c r="BV74" s="97">
        <v>4.1032383735086437</v>
      </c>
      <c r="BW74" s="97">
        <v>1654.425712198685</v>
      </c>
      <c r="BX74" s="97">
        <v>5</v>
      </c>
      <c r="BY74" s="97">
        <v>2016</v>
      </c>
      <c r="BZ74" s="97">
        <v>5.5064001073997915</v>
      </c>
      <c r="CA74" s="97">
        <v>2220.1805233035957</v>
      </c>
      <c r="CB74" s="97">
        <v>3</v>
      </c>
      <c r="CC74" s="97">
        <v>1209.5999999999999</v>
      </c>
      <c r="CD74" s="97">
        <v>4</v>
      </c>
      <c r="CE74" s="97">
        <v>1612.8</v>
      </c>
      <c r="CF74" s="97">
        <v>2</v>
      </c>
      <c r="CG74" s="97">
        <v>806.4</v>
      </c>
      <c r="CH74" s="97">
        <v>3.0459649616118147</v>
      </c>
      <c r="CI74" s="97">
        <v>1228.1330725218836</v>
      </c>
      <c r="CJ74" s="97">
        <v>4</v>
      </c>
      <c r="CK74" s="97">
        <v>1612.8</v>
      </c>
      <c r="CL74" s="97">
        <v>3</v>
      </c>
      <c r="CM74" s="97">
        <v>1209.5999999999999</v>
      </c>
      <c r="CN74" s="97">
        <v>2</v>
      </c>
      <c r="CO74" s="97">
        <v>806.4</v>
      </c>
      <c r="CP74" s="97">
        <v>4.0051778432977239</v>
      </c>
      <c r="CQ74" s="97">
        <v>1614.8877064176422</v>
      </c>
      <c r="CR74" s="97">
        <v>2</v>
      </c>
      <c r="CS74" s="97">
        <v>806.4</v>
      </c>
      <c r="CT74" s="97">
        <v>4</v>
      </c>
      <c r="CU74" s="97">
        <v>1612.8</v>
      </c>
    </row>
    <row r="75" spans="2:99" x14ac:dyDescent="0.15">
      <c r="C75" s="96" t="s">
        <v>240</v>
      </c>
      <c r="D75" s="97">
        <v>0</v>
      </c>
      <c r="E75" s="97">
        <v>0</v>
      </c>
      <c r="F75" s="97">
        <v>0</v>
      </c>
      <c r="G75" s="97">
        <v>0</v>
      </c>
      <c r="H75" s="97">
        <v>0</v>
      </c>
      <c r="I75" s="97">
        <v>0</v>
      </c>
      <c r="J75" s="97">
        <v>30.985790040533931</v>
      </c>
      <c r="K75" s="97">
        <v>19930.060154071423</v>
      </c>
      <c r="L75" s="97">
        <v>2.1519390720561056</v>
      </c>
      <c r="M75" s="97">
        <v>1384.1272111464871</v>
      </c>
      <c r="N75" s="97">
        <v>39</v>
      </c>
      <c r="O75" s="97">
        <v>25084.799999999996</v>
      </c>
      <c r="P75" s="97">
        <v>26.466037264300134</v>
      </c>
      <c r="Q75" s="97">
        <v>17022.955168397842</v>
      </c>
      <c r="R75" s="97">
        <v>13.324832364661127</v>
      </c>
      <c r="S75" s="97">
        <v>8570.5321769500351</v>
      </c>
      <c r="T75" s="97">
        <v>23.26436795624755</v>
      </c>
      <c r="U75" s="97">
        <v>14963.641469458424</v>
      </c>
      <c r="V75" s="97">
        <v>26.369049757326771</v>
      </c>
      <c r="W75" s="97">
        <v>16960.572803912579</v>
      </c>
      <c r="X75" s="97">
        <v>31.186938589694389</v>
      </c>
      <c r="Y75" s="97">
        <v>20059.43890089143</v>
      </c>
      <c r="Z75" s="97">
        <v>30</v>
      </c>
      <c r="AA75" s="97">
        <v>19295.999999999996</v>
      </c>
      <c r="AB75" s="97">
        <v>14.444554320075861</v>
      </c>
      <c r="AC75" s="97">
        <v>9290.7373386727922</v>
      </c>
      <c r="AD75" s="97">
        <v>16.85271963010117</v>
      </c>
      <c r="AE75" s="97">
        <v>10839.669266081071</v>
      </c>
      <c r="AF75" s="97">
        <v>21.906350903758639</v>
      </c>
      <c r="AG75" s="97">
        <v>14090.164901297556</v>
      </c>
      <c r="AH75" s="97">
        <v>22.023186539839347</v>
      </c>
      <c r="AI75" s="97">
        <v>14165.313582424667</v>
      </c>
      <c r="AJ75" s="97">
        <v>8.6363366877010925</v>
      </c>
      <c r="AK75" s="97">
        <v>5554.8917575293417</v>
      </c>
      <c r="AL75" s="97">
        <v>9.6925922346755957</v>
      </c>
      <c r="AM75" s="97">
        <v>6234.275325343343</v>
      </c>
      <c r="AN75" s="97">
        <v>16.792842889881904</v>
      </c>
      <c r="AO75" s="97">
        <v>10801.156546772039</v>
      </c>
      <c r="AP75" s="97">
        <v>12.074554102259215</v>
      </c>
      <c r="AQ75" s="97">
        <v>7766.3531985731261</v>
      </c>
      <c r="AR75" s="97">
        <v>11</v>
      </c>
      <c r="AS75" s="97">
        <v>7075.1999999999989</v>
      </c>
      <c r="AT75" s="97">
        <v>7.7803460757128793</v>
      </c>
      <c r="AU75" s="97">
        <v>5004.3185958985232</v>
      </c>
      <c r="AV75" s="97">
        <v>9.7462378890950312</v>
      </c>
      <c r="AW75" s="97">
        <v>6268.7802102659234</v>
      </c>
      <c r="AX75" s="97">
        <v>10.815886664397976</v>
      </c>
      <c r="AY75" s="97">
        <v>6956.7783025407771</v>
      </c>
      <c r="AZ75" s="97">
        <v>7.6371568451453049</v>
      </c>
      <c r="BA75" s="97">
        <v>4912.2192827974595</v>
      </c>
      <c r="BB75" s="97">
        <v>9.0852278243779594</v>
      </c>
      <c r="BC75" s="97">
        <v>5843.6185366399031</v>
      </c>
      <c r="BD75" s="97">
        <v>9</v>
      </c>
      <c r="BE75" s="97">
        <v>5788.7999999999993</v>
      </c>
      <c r="BF75" s="97">
        <v>6.6607565441564054</v>
      </c>
      <c r="BG75" s="97">
        <v>4284.1986092013994</v>
      </c>
      <c r="BH75" s="97">
        <v>4</v>
      </c>
      <c r="BI75" s="97">
        <v>2572.7999999999997</v>
      </c>
      <c r="BJ75" s="97">
        <v>6.6461430948642812</v>
      </c>
      <c r="BK75" s="97">
        <v>4274.7992386167052</v>
      </c>
      <c r="BL75" s="97">
        <v>5.634142712804314</v>
      </c>
      <c r="BM75" s="97">
        <v>3623.8805928757342</v>
      </c>
      <c r="BN75" s="97">
        <v>7.067905210931718</v>
      </c>
      <c r="BO75" s="97">
        <v>4546.0766316712807</v>
      </c>
      <c r="BP75" s="97">
        <v>6</v>
      </c>
      <c r="BQ75" s="97">
        <v>3859.2</v>
      </c>
      <c r="BR75" s="97">
        <v>5</v>
      </c>
      <c r="BS75" s="97">
        <v>3215.9999999999995</v>
      </c>
      <c r="BT75" s="97">
        <v>4</v>
      </c>
      <c r="BU75" s="97">
        <v>2572.7999999999997</v>
      </c>
      <c r="BV75" s="97">
        <v>5.1118415713010306</v>
      </c>
      <c r="BW75" s="97">
        <v>3287.9364986608225</v>
      </c>
      <c r="BX75" s="97">
        <v>5</v>
      </c>
      <c r="BY75" s="97">
        <v>3215.9999999999995</v>
      </c>
      <c r="BZ75" s="97">
        <v>5</v>
      </c>
      <c r="CA75" s="97">
        <v>3215.9999999999995</v>
      </c>
      <c r="CB75" s="97">
        <v>3</v>
      </c>
      <c r="CC75" s="97">
        <v>1929.6</v>
      </c>
      <c r="CD75" s="97">
        <v>3</v>
      </c>
      <c r="CE75" s="97">
        <v>1929.6</v>
      </c>
      <c r="CF75" s="97">
        <v>3</v>
      </c>
      <c r="CG75" s="97">
        <v>1929.6</v>
      </c>
      <c r="CH75" s="97">
        <v>3.051072179568683</v>
      </c>
      <c r="CI75" s="97">
        <v>1962.4496258985766</v>
      </c>
      <c r="CJ75" s="97">
        <v>4</v>
      </c>
      <c r="CK75" s="97">
        <v>2572.7999999999997</v>
      </c>
      <c r="CL75" s="97">
        <v>4</v>
      </c>
      <c r="CM75" s="97">
        <v>2572.7999999999997</v>
      </c>
      <c r="CN75" s="97">
        <v>2</v>
      </c>
      <c r="CO75" s="97">
        <v>1286.3999999999999</v>
      </c>
      <c r="CP75" s="97">
        <v>4.0064723041221546</v>
      </c>
      <c r="CQ75" s="97">
        <v>2576.9629860113696</v>
      </c>
      <c r="CR75" s="97">
        <v>2</v>
      </c>
      <c r="CS75" s="97">
        <v>1286.3999999999999</v>
      </c>
      <c r="CT75" s="97">
        <v>4</v>
      </c>
      <c r="CU75" s="97">
        <v>2572.7999999999997</v>
      </c>
    </row>
    <row r="76" spans="2:99" x14ac:dyDescent="0.15">
      <c r="C76" s="96" t="s">
        <v>241</v>
      </c>
      <c r="D76" s="97">
        <v>0</v>
      </c>
      <c r="E76" s="97">
        <v>0</v>
      </c>
      <c r="F76" s="97">
        <v>0</v>
      </c>
      <c r="G76" s="97">
        <v>0</v>
      </c>
      <c r="H76" s="97">
        <v>0</v>
      </c>
      <c r="I76" s="97">
        <v>0</v>
      </c>
      <c r="J76" s="97">
        <v>28.73885981604791</v>
      </c>
      <c r="K76" s="97">
        <v>22381.824024738111</v>
      </c>
      <c r="L76" s="97">
        <v>2.1467190234360953</v>
      </c>
      <c r="M76" s="97">
        <v>1671.8647754520309</v>
      </c>
      <c r="N76" s="97">
        <v>36</v>
      </c>
      <c r="O76" s="97">
        <v>28036.799999999999</v>
      </c>
      <c r="P76" s="97">
        <v>24.037557839151983</v>
      </c>
      <c r="Q76" s="97">
        <v>18720.450045131562</v>
      </c>
      <c r="R76" s="97">
        <v>12.434224780556301</v>
      </c>
      <c r="S76" s="97">
        <v>9683.7742590972466</v>
      </c>
      <c r="T76" s="97">
        <v>26.058423484010433</v>
      </c>
      <c r="U76" s="97">
        <v>20294.300209347322</v>
      </c>
      <c r="V76" s="97">
        <v>23.543794426184618</v>
      </c>
      <c r="W76" s="97">
        <v>18335.907099112581</v>
      </c>
      <c r="X76" s="97">
        <v>29.358485193924675</v>
      </c>
      <c r="Y76" s="97">
        <v>22864.388269028535</v>
      </c>
      <c r="Z76" s="97">
        <v>27</v>
      </c>
      <c r="AA76" s="97">
        <v>21027.599999999999</v>
      </c>
      <c r="AB76" s="97">
        <v>14.444554320075861</v>
      </c>
      <c r="AC76" s="97">
        <v>11249.41890447508</v>
      </c>
      <c r="AD76" s="97">
        <v>16.878559618892115</v>
      </c>
      <c r="AE76" s="97">
        <v>13145.022231193179</v>
      </c>
      <c r="AF76" s="97">
        <v>21.830821661778753</v>
      </c>
      <c r="AG76" s="97">
        <v>17001.843910193293</v>
      </c>
      <c r="AH76" s="97">
        <v>17.972027212847379</v>
      </c>
      <c r="AI76" s="97">
        <v>13996.614793365537</v>
      </c>
      <c r="AJ76" s="97">
        <v>9.5302805730842444</v>
      </c>
      <c r="AK76" s="97">
        <v>7422.182510318009</v>
      </c>
      <c r="AL76" s="97">
        <v>8.6266310694683952</v>
      </c>
      <c r="AM76" s="97">
        <v>6718.4202769019857</v>
      </c>
      <c r="AN76" s="97">
        <v>15.736211254890339</v>
      </c>
      <c r="AO76" s="97">
        <v>12255.361325308595</v>
      </c>
      <c r="AP76" s="97">
        <v>13.084720570749107</v>
      </c>
      <c r="AQ76" s="97">
        <v>10190.380380499404</v>
      </c>
      <c r="AR76" s="97">
        <v>11</v>
      </c>
      <c r="AS76" s="97">
        <v>8566.7999999999993</v>
      </c>
      <c r="AT76" s="97">
        <v>7</v>
      </c>
      <c r="AU76" s="97">
        <v>5451.5999999999995</v>
      </c>
      <c r="AV76" s="97">
        <v>8.6783980809954837</v>
      </c>
      <c r="AW76" s="97">
        <v>6758.7364254792819</v>
      </c>
      <c r="AX76" s="97">
        <v>9.6935036647382802</v>
      </c>
      <c r="AY76" s="97">
        <v>7549.3006540981723</v>
      </c>
      <c r="AZ76" s="97">
        <v>7.6371568451453049</v>
      </c>
      <c r="BA76" s="97">
        <v>5947.8177509991629</v>
      </c>
      <c r="BB76" s="97">
        <v>11.100268028679951</v>
      </c>
      <c r="BC76" s="97">
        <v>8644.8887407359452</v>
      </c>
      <c r="BD76" s="97">
        <v>8</v>
      </c>
      <c r="BE76" s="97">
        <v>6230.4</v>
      </c>
      <c r="BF76" s="97">
        <v>7.7048069804334993</v>
      </c>
      <c r="BG76" s="97">
        <v>6000.503676361609</v>
      </c>
      <c r="BH76" s="97">
        <v>4</v>
      </c>
      <c r="BI76" s="97">
        <v>3115.2</v>
      </c>
      <c r="BJ76" s="97">
        <v>5.6461430948642812</v>
      </c>
      <c r="BK76" s="97">
        <v>4397.2162422803021</v>
      </c>
      <c r="BL76" s="97">
        <v>5</v>
      </c>
      <c r="BM76" s="97">
        <v>3894</v>
      </c>
      <c r="BN76" s="97">
        <v>7.0754502343685752</v>
      </c>
      <c r="BO76" s="97">
        <v>5510.360642526246</v>
      </c>
      <c r="BP76" s="97">
        <v>6</v>
      </c>
      <c r="BQ76" s="97">
        <v>4672.7999999999993</v>
      </c>
      <c r="BR76" s="97">
        <v>5</v>
      </c>
      <c r="BS76" s="97">
        <v>3894</v>
      </c>
      <c r="BT76" s="97">
        <v>4</v>
      </c>
      <c r="BU76" s="97">
        <v>3115.2</v>
      </c>
      <c r="BV76" s="97">
        <v>4.1032383735086437</v>
      </c>
      <c r="BW76" s="97">
        <v>3195.6020452885314</v>
      </c>
      <c r="BX76" s="97">
        <v>6</v>
      </c>
      <c r="BY76" s="97">
        <v>4672.7999999999993</v>
      </c>
      <c r="BZ76" s="97">
        <v>4.5064001073997915</v>
      </c>
      <c r="CA76" s="97">
        <v>3509.5844036429576</v>
      </c>
      <c r="CB76" s="97">
        <v>3</v>
      </c>
      <c r="CC76" s="97">
        <v>2336.3999999999996</v>
      </c>
      <c r="CD76" s="97">
        <v>3</v>
      </c>
      <c r="CE76" s="97">
        <v>2336.3999999999996</v>
      </c>
      <c r="CF76" s="97">
        <v>3</v>
      </c>
      <c r="CG76" s="97">
        <v>2336.3999999999996</v>
      </c>
      <c r="CH76" s="97">
        <v>3.0459649616118147</v>
      </c>
      <c r="CI76" s="97">
        <v>2372.197512103281</v>
      </c>
      <c r="CJ76" s="97">
        <v>4</v>
      </c>
      <c r="CK76" s="97">
        <v>3115.2</v>
      </c>
      <c r="CL76" s="97">
        <v>3</v>
      </c>
      <c r="CM76" s="97">
        <v>2336.3999999999996</v>
      </c>
      <c r="CN76" s="97">
        <v>3</v>
      </c>
      <c r="CO76" s="97">
        <v>2336.3999999999996</v>
      </c>
      <c r="CP76" s="97">
        <v>4.0051778432977239</v>
      </c>
      <c r="CQ76" s="97">
        <v>3119.2325043602673</v>
      </c>
      <c r="CR76" s="97">
        <v>2</v>
      </c>
      <c r="CS76" s="97">
        <v>1557.6</v>
      </c>
      <c r="CT76" s="97">
        <v>4</v>
      </c>
      <c r="CU76" s="97">
        <v>3115.2</v>
      </c>
    </row>
    <row r="77" spans="2:99" x14ac:dyDescent="0.15">
      <c r="C77" s="96" t="s">
        <v>242</v>
      </c>
      <c r="D77" s="97">
        <v>0</v>
      </c>
      <c r="E77" s="97">
        <v>0</v>
      </c>
      <c r="F77" s="97">
        <v>0</v>
      </c>
      <c r="G77" s="97">
        <v>0</v>
      </c>
      <c r="H77" s="97">
        <v>0</v>
      </c>
      <c r="I77" s="97">
        <v>0</v>
      </c>
      <c r="J77" s="97">
        <v>29.940357200364399</v>
      </c>
      <c r="K77" s="97">
        <v>8335.3954445814488</v>
      </c>
      <c r="L77" s="97">
        <v>2.3100272873707772</v>
      </c>
      <c r="M77" s="97">
        <v>643.11159680402432</v>
      </c>
      <c r="N77" s="97">
        <v>44</v>
      </c>
      <c r="O77" s="97">
        <v>12249.599999999999</v>
      </c>
      <c r="P77" s="97">
        <v>27.437103962521263</v>
      </c>
      <c r="Q77" s="97">
        <v>7638.4897431659192</v>
      </c>
      <c r="R77" s="97">
        <v>15.051197297812744</v>
      </c>
      <c r="S77" s="97">
        <v>4190.2533277110679</v>
      </c>
      <c r="T77" s="97">
        <v>25.186532143898038</v>
      </c>
      <c r="U77" s="97">
        <v>7011.9305488612135</v>
      </c>
      <c r="V77" s="97">
        <v>27.310801534374157</v>
      </c>
      <c r="W77" s="97">
        <v>7603.3271471697644</v>
      </c>
      <c r="X77" s="97">
        <v>31.097067717422902</v>
      </c>
      <c r="Y77" s="97">
        <v>8657.423652530535</v>
      </c>
      <c r="Z77" s="97">
        <v>31</v>
      </c>
      <c r="AA77" s="97">
        <v>8630.4</v>
      </c>
      <c r="AB77" s="97">
        <v>13.449823929791506</v>
      </c>
      <c r="AC77" s="97">
        <v>3744.4309820539552</v>
      </c>
      <c r="AD77" s="97">
        <v>16.956079585264948</v>
      </c>
      <c r="AE77" s="97">
        <v>4720.5725565377616</v>
      </c>
      <c r="AF77" s="97">
        <v>21.881174489765343</v>
      </c>
      <c r="AG77" s="97">
        <v>6091.7189779506707</v>
      </c>
      <c r="AH77" s="97">
        <v>20.099925530327297</v>
      </c>
      <c r="AI77" s="97">
        <v>5595.819267643119</v>
      </c>
      <c r="AJ77" s="97">
        <v>9.6009846494954765</v>
      </c>
      <c r="AK77" s="97">
        <v>2672.9141264195405</v>
      </c>
      <c r="AL77" s="97">
        <v>10.692592234675596</v>
      </c>
      <c r="AM77" s="97">
        <v>2976.8176781336856</v>
      </c>
      <c r="AN77" s="97">
        <v>15.736211254890339</v>
      </c>
      <c r="AO77" s="97">
        <v>4380.9612133614701</v>
      </c>
      <c r="AP77" s="97">
        <v>13.088109393579073</v>
      </c>
      <c r="AQ77" s="97">
        <v>3643.7296551724135</v>
      </c>
      <c r="AR77" s="97">
        <v>10</v>
      </c>
      <c r="AS77" s="97">
        <v>2784</v>
      </c>
      <c r="AT77" s="97">
        <v>6.8214169218030305</v>
      </c>
      <c r="AU77" s="97">
        <v>1899.0824710299635</v>
      </c>
      <c r="AV77" s="97">
        <v>8.7123179850452583</v>
      </c>
      <c r="AW77" s="97">
        <v>2425.5093270365996</v>
      </c>
      <c r="AX77" s="97">
        <v>10.897475330837773</v>
      </c>
      <c r="AY77" s="97">
        <v>3033.8571321052359</v>
      </c>
      <c r="AZ77" s="97">
        <v>8.5946797221356181</v>
      </c>
      <c r="BA77" s="97">
        <v>2392.7588346425559</v>
      </c>
      <c r="BB77" s="97">
        <v>10.090241225811956</v>
      </c>
      <c r="BC77" s="97">
        <v>2809.1231572660486</v>
      </c>
      <c r="BD77" s="97">
        <v>10</v>
      </c>
      <c r="BE77" s="97">
        <v>2784</v>
      </c>
      <c r="BF77" s="97">
        <v>8.7048069804334993</v>
      </c>
      <c r="BG77" s="97">
        <v>2423.4182633526862</v>
      </c>
      <c r="BH77" s="97">
        <v>5</v>
      </c>
      <c r="BI77" s="97">
        <v>1392</v>
      </c>
      <c r="BJ77" s="97">
        <v>6</v>
      </c>
      <c r="BK77" s="97">
        <v>1670.3999999999999</v>
      </c>
      <c r="BL77" s="97">
        <v>4.6794386208617649</v>
      </c>
      <c r="BM77" s="97">
        <v>1302.7557120479153</v>
      </c>
      <c r="BN77" s="97">
        <v>8.0754502343685761</v>
      </c>
      <c r="BO77" s="97">
        <v>2248.2053452482114</v>
      </c>
      <c r="BP77" s="97">
        <v>6</v>
      </c>
      <c r="BQ77" s="97">
        <v>1670.3999999999999</v>
      </c>
      <c r="BR77" s="97">
        <v>5</v>
      </c>
      <c r="BS77" s="97">
        <v>1392</v>
      </c>
      <c r="BT77" s="97">
        <v>4</v>
      </c>
      <c r="BU77" s="97">
        <v>1113.5999999999999</v>
      </c>
      <c r="BV77" s="97">
        <v>4.1032383735086437</v>
      </c>
      <c r="BW77" s="97">
        <v>1142.3415631848063</v>
      </c>
      <c r="BX77" s="97">
        <v>5</v>
      </c>
      <c r="BY77" s="97">
        <v>1392</v>
      </c>
      <c r="BZ77" s="97">
        <v>4</v>
      </c>
      <c r="CA77" s="97">
        <v>1113.5999999999999</v>
      </c>
      <c r="CB77" s="97">
        <v>3</v>
      </c>
      <c r="CC77" s="97">
        <v>835.19999999999993</v>
      </c>
      <c r="CD77" s="97">
        <v>4</v>
      </c>
      <c r="CE77" s="97">
        <v>1113.5999999999999</v>
      </c>
      <c r="CF77" s="97">
        <v>3</v>
      </c>
      <c r="CG77" s="97">
        <v>835.19999999999993</v>
      </c>
      <c r="CH77" s="97">
        <v>3.051072179568683</v>
      </c>
      <c r="CI77" s="97">
        <v>849.41849479192126</v>
      </c>
      <c r="CJ77" s="97">
        <v>4</v>
      </c>
      <c r="CK77" s="97">
        <v>1113.5999999999999</v>
      </c>
      <c r="CL77" s="97">
        <v>3</v>
      </c>
      <c r="CM77" s="97">
        <v>835.19999999999993</v>
      </c>
      <c r="CN77" s="97">
        <v>3</v>
      </c>
      <c r="CO77" s="97">
        <v>835.19999999999993</v>
      </c>
      <c r="CP77" s="97">
        <v>4.0064723041221546</v>
      </c>
      <c r="CQ77" s="97">
        <v>1115.4018894676078</v>
      </c>
      <c r="CR77" s="97">
        <v>2</v>
      </c>
      <c r="CS77" s="97">
        <v>556.79999999999995</v>
      </c>
      <c r="CT77" s="97">
        <v>4</v>
      </c>
      <c r="CU77" s="97">
        <v>1113.5999999999999</v>
      </c>
    </row>
    <row r="78" spans="2:99" x14ac:dyDescent="0.15">
      <c r="C78" s="96" t="s">
        <v>243</v>
      </c>
      <c r="D78" s="97">
        <v>0</v>
      </c>
      <c r="E78" s="97">
        <v>0</v>
      </c>
      <c r="F78" s="97">
        <v>0</v>
      </c>
      <c r="G78" s="97">
        <v>0</v>
      </c>
      <c r="H78" s="97">
        <v>0</v>
      </c>
      <c r="I78" s="97">
        <v>0</v>
      </c>
      <c r="J78" s="97">
        <v>29.553599604447943</v>
      </c>
      <c r="K78" s="97">
        <v>16313.586981655264</v>
      </c>
      <c r="L78" s="97">
        <v>2.3817633269600993</v>
      </c>
      <c r="M78" s="97">
        <v>1314.7333564819749</v>
      </c>
      <c r="N78" s="97">
        <v>39</v>
      </c>
      <c r="O78" s="97">
        <v>21528</v>
      </c>
      <c r="P78" s="97">
        <v>28.982647720269238</v>
      </c>
      <c r="Q78" s="97">
        <v>15998.421541588619</v>
      </c>
      <c r="R78" s="97">
        <v>14.153733434325661</v>
      </c>
      <c r="S78" s="97">
        <v>7812.8608557477646</v>
      </c>
      <c r="T78" s="97">
        <v>24.168692297710074</v>
      </c>
      <c r="U78" s="97">
        <v>13341.118148335961</v>
      </c>
      <c r="V78" s="97">
        <v>26.369049757326771</v>
      </c>
      <c r="W78" s="97">
        <v>14555.715466044378</v>
      </c>
      <c r="X78" s="97">
        <v>32.835650240921112</v>
      </c>
      <c r="Y78" s="97">
        <v>18125.278932988454</v>
      </c>
      <c r="Z78" s="97">
        <v>28</v>
      </c>
      <c r="AA78" s="97">
        <v>15456</v>
      </c>
      <c r="AB78" s="97">
        <v>15.401458229200729</v>
      </c>
      <c r="AC78" s="97">
        <v>8501.604942518803</v>
      </c>
      <c r="AD78" s="97">
        <v>17.878559618892115</v>
      </c>
      <c r="AE78" s="97">
        <v>9868.9649096284484</v>
      </c>
      <c r="AF78" s="97">
        <v>22.906350903758639</v>
      </c>
      <c r="AG78" s="97">
        <v>12644.305698874768</v>
      </c>
      <c r="AH78" s="97">
        <v>19.946447549351394</v>
      </c>
      <c r="AI78" s="97">
        <v>11010.439047241969</v>
      </c>
      <c r="AJ78" s="97">
        <v>9.6363366877010925</v>
      </c>
      <c r="AK78" s="97">
        <v>5319.2578516110034</v>
      </c>
      <c r="AL78" s="97">
        <v>10.692592234675596</v>
      </c>
      <c r="AM78" s="97">
        <v>5902.3109135409286</v>
      </c>
      <c r="AN78" s="97">
        <v>15.849474524873468</v>
      </c>
      <c r="AO78" s="97">
        <v>8748.9099377301536</v>
      </c>
      <c r="AP78" s="97">
        <v>13.084720570749107</v>
      </c>
      <c r="AQ78" s="97">
        <v>7222.7657550535077</v>
      </c>
      <c r="AR78" s="97">
        <v>12</v>
      </c>
      <c r="AS78" s="97">
        <v>6624</v>
      </c>
      <c r="AT78" s="97">
        <v>6.8624877678931817</v>
      </c>
      <c r="AU78" s="97">
        <v>3788.0932478770364</v>
      </c>
      <c r="AV78" s="97">
        <v>8.6783980809954837</v>
      </c>
      <c r="AW78" s="97">
        <v>4790.4757407095067</v>
      </c>
      <c r="AX78" s="97">
        <v>10.734297997958178</v>
      </c>
      <c r="AY78" s="97">
        <v>5925.3324948729141</v>
      </c>
      <c r="AZ78" s="97">
        <v>7.6796339681549917</v>
      </c>
      <c r="BA78" s="97">
        <v>4239.1579504215551</v>
      </c>
      <c r="BB78" s="97">
        <v>10.090241225811956</v>
      </c>
      <c r="BC78" s="97">
        <v>5569.8131566481998</v>
      </c>
      <c r="BD78" s="97">
        <v>9</v>
      </c>
      <c r="BE78" s="97">
        <v>4968</v>
      </c>
      <c r="BF78" s="97">
        <v>6.7048069804334993</v>
      </c>
      <c r="BG78" s="97">
        <v>3701.0534531992917</v>
      </c>
      <c r="BH78" s="97">
        <v>5</v>
      </c>
      <c r="BI78" s="97">
        <v>2760</v>
      </c>
      <c r="BJ78" s="97">
        <v>6</v>
      </c>
      <c r="BK78" s="97">
        <v>3312</v>
      </c>
      <c r="BL78" s="97">
        <v>4</v>
      </c>
      <c r="BM78" s="97">
        <v>2208</v>
      </c>
      <c r="BN78" s="97">
        <v>7.0829952578054334</v>
      </c>
      <c r="BO78" s="97">
        <v>3909.8133823085991</v>
      </c>
      <c r="BP78" s="97">
        <v>6</v>
      </c>
      <c r="BQ78" s="97">
        <v>3312</v>
      </c>
      <c r="BR78" s="97">
        <v>5</v>
      </c>
      <c r="BS78" s="97">
        <v>2760</v>
      </c>
      <c r="BT78" s="97">
        <v>4</v>
      </c>
      <c r="BU78" s="97">
        <v>2208</v>
      </c>
      <c r="BV78" s="97">
        <v>4.1118415713010306</v>
      </c>
      <c r="BW78" s="97">
        <v>2269.736547358169</v>
      </c>
      <c r="BX78" s="97">
        <v>6</v>
      </c>
      <c r="BY78" s="97">
        <v>3312</v>
      </c>
      <c r="BZ78" s="97">
        <v>4</v>
      </c>
      <c r="CA78" s="97">
        <v>2208</v>
      </c>
      <c r="CB78" s="97">
        <v>3</v>
      </c>
      <c r="CC78" s="97">
        <v>1656</v>
      </c>
      <c r="CD78" s="97">
        <v>4</v>
      </c>
      <c r="CE78" s="97">
        <v>2208</v>
      </c>
      <c r="CF78" s="97">
        <v>3</v>
      </c>
      <c r="CG78" s="97">
        <v>1656</v>
      </c>
      <c r="CH78" s="97">
        <v>3.051072179568683</v>
      </c>
      <c r="CI78" s="97">
        <v>1684.1918431219131</v>
      </c>
      <c r="CJ78" s="97">
        <v>4</v>
      </c>
      <c r="CK78" s="97">
        <v>2208</v>
      </c>
      <c r="CL78" s="97">
        <v>4</v>
      </c>
      <c r="CM78" s="97">
        <v>2208</v>
      </c>
      <c r="CN78" s="97">
        <v>2</v>
      </c>
      <c r="CO78" s="97">
        <v>1104</v>
      </c>
      <c r="CP78" s="97">
        <v>3.0064723041221546</v>
      </c>
      <c r="CQ78" s="97">
        <v>1659.5727118754294</v>
      </c>
      <c r="CR78" s="97">
        <v>2</v>
      </c>
      <c r="CS78" s="97">
        <v>1104</v>
      </c>
      <c r="CT78" s="97">
        <v>4</v>
      </c>
      <c r="CU78" s="97">
        <v>2208</v>
      </c>
    </row>
    <row r="79" spans="2:99" x14ac:dyDescent="0.15">
      <c r="C79" s="96" t="s">
        <v>244</v>
      </c>
      <c r="D79" s="97">
        <v>0</v>
      </c>
      <c r="E79" s="97">
        <v>0</v>
      </c>
      <c r="F79" s="97">
        <v>0</v>
      </c>
      <c r="G79" s="97">
        <v>0</v>
      </c>
      <c r="H79" s="97">
        <v>0</v>
      </c>
      <c r="I79" s="97">
        <v>0</v>
      </c>
      <c r="J79" s="97">
        <v>27.616867010825153</v>
      </c>
      <c r="K79" s="97">
        <v>20911.491700596805</v>
      </c>
      <c r="L79" s="97">
        <v>2.23515921860945</v>
      </c>
      <c r="M79" s="97">
        <v>1692.4625603310753</v>
      </c>
      <c r="N79" s="97">
        <v>42</v>
      </c>
      <c r="O79" s="97">
        <v>31802.399999999998</v>
      </c>
      <c r="P79" s="97">
        <v>25.517003323784238</v>
      </c>
      <c r="Q79" s="97">
        <v>19321.474916769424</v>
      </c>
      <c r="R79" s="97">
        <v>13.735854759802267</v>
      </c>
      <c r="S79" s="97">
        <v>10400.789224122276</v>
      </c>
      <c r="T79" s="97">
        <v>26.074639984685497</v>
      </c>
      <c r="U79" s="97">
        <v>19743.717396403856</v>
      </c>
      <c r="V79" s="97">
        <v>23.543794426184618</v>
      </c>
      <c r="W79" s="97">
        <v>17827.361139506993</v>
      </c>
      <c r="X79" s="97">
        <v>30.12292710469038</v>
      </c>
      <c r="Y79" s="97">
        <v>22809.080403671553</v>
      </c>
      <c r="Z79" s="97">
        <v>29</v>
      </c>
      <c r="AA79" s="97">
        <v>21958.799999999999</v>
      </c>
      <c r="AB79" s="97">
        <v>13.374170967472544</v>
      </c>
      <c r="AC79" s="97">
        <v>10126.922256570209</v>
      </c>
      <c r="AD79" s="97">
        <v>15.981919574055894</v>
      </c>
      <c r="AE79" s="97">
        <v>12101.509501475122</v>
      </c>
      <c r="AF79" s="97">
        <v>18.805645247785456</v>
      </c>
      <c r="AG79" s="97">
        <v>14239.634581623146</v>
      </c>
      <c r="AH79" s="97">
        <v>20.869708558863444</v>
      </c>
      <c r="AI79" s="97">
        <v>15802.543320771398</v>
      </c>
      <c r="AJ79" s="97">
        <v>7.6009846494954774</v>
      </c>
      <c r="AK79" s="97">
        <v>5755.4655765979751</v>
      </c>
      <c r="AL79" s="97">
        <v>8.6266310694683952</v>
      </c>
      <c r="AM79" s="97">
        <v>6532.0850458014684</v>
      </c>
      <c r="AN79" s="97">
        <v>16.707895437394559</v>
      </c>
      <c r="AO79" s="97">
        <v>12651.218425195158</v>
      </c>
      <c r="AP79" s="97">
        <v>12.074554102259215</v>
      </c>
      <c r="AQ79" s="97">
        <v>9142.8523662306761</v>
      </c>
      <c r="AR79" s="97">
        <v>11</v>
      </c>
      <c r="AS79" s="97">
        <v>8329.1999999999989</v>
      </c>
      <c r="AT79" s="97">
        <v>6.8624877678931817</v>
      </c>
      <c r="AU79" s="97">
        <v>5196.2757378487167</v>
      </c>
      <c r="AV79" s="97">
        <v>8.6783980809954837</v>
      </c>
      <c r="AW79" s="97">
        <v>6571.2830269297792</v>
      </c>
      <c r="AX79" s="97">
        <v>10.734297997958178</v>
      </c>
      <c r="AY79" s="97">
        <v>8128.0104440539317</v>
      </c>
      <c r="AZ79" s="97">
        <v>7.6796339681549917</v>
      </c>
      <c r="BA79" s="97">
        <v>5815.0188406869593</v>
      </c>
      <c r="BB79" s="97">
        <v>9.0902412258119565</v>
      </c>
      <c r="BC79" s="97">
        <v>6883.1306561848132</v>
      </c>
      <c r="BD79" s="97">
        <v>8</v>
      </c>
      <c r="BE79" s="97">
        <v>6057.5999999999995</v>
      </c>
      <c r="BF79" s="97">
        <v>6.7048069804334993</v>
      </c>
      <c r="BG79" s="97">
        <v>5076.8798455842452</v>
      </c>
      <c r="BH79" s="97">
        <v>4</v>
      </c>
      <c r="BI79" s="97">
        <v>3028.7999999999997</v>
      </c>
      <c r="BJ79" s="97">
        <v>5.6461430948642812</v>
      </c>
      <c r="BK79" s="97">
        <v>4275.2595514312334</v>
      </c>
      <c r="BL79" s="97">
        <v>4</v>
      </c>
      <c r="BM79" s="97">
        <v>3028.7999999999997</v>
      </c>
      <c r="BN79" s="97">
        <v>7.0754502343685752</v>
      </c>
      <c r="BO79" s="97">
        <v>5357.5309174638851</v>
      </c>
      <c r="BP79" s="97">
        <v>5</v>
      </c>
      <c r="BQ79" s="97">
        <v>3785.9999999999995</v>
      </c>
      <c r="BR79" s="97">
        <v>5</v>
      </c>
      <c r="BS79" s="97">
        <v>3785.9999999999995</v>
      </c>
      <c r="BT79" s="97">
        <v>4</v>
      </c>
      <c r="BU79" s="97">
        <v>3028.7999999999997</v>
      </c>
      <c r="BV79" s="97">
        <v>5.1032383735086437</v>
      </c>
      <c r="BW79" s="97">
        <v>3864.1720964207448</v>
      </c>
      <c r="BX79" s="97">
        <v>5</v>
      </c>
      <c r="BY79" s="97">
        <v>3785.9999999999995</v>
      </c>
      <c r="BZ79" s="97">
        <v>4</v>
      </c>
      <c r="CA79" s="97">
        <v>3028.7999999999997</v>
      </c>
      <c r="CB79" s="97">
        <v>3</v>
      </c>
      <c r="CC79" s="97">
        <v>2271.6</v>
      </c>
      <c r="CD79" s="97">
        <v>3</v>
      </c>
      <c r="CE79" s="97">
        <v>2271.6</v>
      </c>
      <c r="CF79" s="97">
        <v>3</v>
      </c>
      <c r="CG79" s="97">
        <v>2271.6</v>
      </c>
      <c r="CH79" s="97">
        <v>3.0459649616118147</v>
      </c>
      <c r="CI79" s="97">
        <v>2306.4046689324659</v>
      </c>
      <c r="CJ79" s="97">
        <v>4</v>
      </c>
      <c r="CK79" s="97">
        <v>3028.7999999999997</v>
      </c>
      <c r="CL79" s="97">
        <v>3</v>
      </c>
      <c r="CM79" s="97">
        <v>2271.6</v>
      </c>
      <c r="CN79" s="97">
        <v>2</v>
      </c>
      <c r="CO79" s="97">
        <v>1514.3999999999999</v>
      </c>
      <c r="CP79" s="97">
        <v>3.0064723041221546</v>
      </c>
      <c r="CQ79" s="97">
        <v>2276.5008286812954</v>
      </c>
      <c r="CR79" s="97">
        <v>2</v>
      </c>
      <c r="CS79" s="97">
        <v>1514.3999999999999</v>
      </c>
      <c r="CT79" s="97">
        <v>4</v>
      </c>
      <c r="CU79" s="97">
        <v>3028.7999999999997</v>
      </c>
    </row>
    <row r="80" spans="2:99" x14ac:dyDescent="0.15">
      <c r="C80" s="96" t="s">
        <v>245</v>
      </c>
      <c r="D80" s="97">
        <v>0</v>
      </c>
      <c r="E80" s="97">
        <v>0</v>
      </c>
      <c r="F80" s="97">
        <v>0</v>
      </c>
      <c r="G80" s="97">
        <v>0</v>
      </c>
      <c r="H80" s="97">
        <v>0</v>
      </c>
      <c r="I80" s="97">
        <v>0</v>
      </c>
      <c r="J80" s="97">
        <v>29.506485779799803</v>
      </c>
      <c r="K80" s="97">
        <v>23758.622349894798</v>
      </c>
      <c r="L80" s="97">
        <v>2.2330711991614454</v>
      </c>
      <c r="M80" s="97">
        <v>1798.0689295647956</v>
      </c>
      <c r="N80" s="97">
        <v>36</v>
      </c>
      <c r="O80" s="97">
        <v>28987.199999999997</v>
      </c>
      <c r="P80" s="97">
        <v>27.39303844711079</v>
      </c>
      <c r="Q80" s="97">
        <v>22056.874557613606</v>
      </c>
      <c r="R80" s="97">
        <v>13.763279877331287</v>
      </c>
      <c r="S80" s="97">
        <v>11082.192957227151</v>
      </c>
      <c r="T80" s="97">
        <v>23.118419450171984</v>
      </c>
      <c r="U80" s="97">
        <v>18614.95134127848</v>
      </c>
      <c r="V80" s="97">
        <v>24.485546203232005</v>
      </c>
      <c r="W80" s="97">
        <v>19715.761802842408</v>
      </c>
      <c r="X80" s="97">
        <v>30.182841019538042</v>
      </c>
      <c r="Y80" s="97">
        <v>24303.223588932029</v>
      </c>
      <c r="Z80" s="97">
        <v>28</v>
      </c>
      <c r="AA80" s="97">
        <v>22545.599999999999</v>
      </c>
      <c r="AB80" s="97">
        <v>14.25542191427845</v>
      </c>
      <c r="AC80" s="97">
        <v>11478.465725377007</v>
      </c>
      <c r="AD80" s="97">
        <v>14.85271963010117</v>
      </c>
      <c r="AE80" s="97">
        <v>11959.409846157461</v>
      </c>
      <c r="AF80" s="97">
        <v>19.881174489765343</v>
      </c>
      <c r="AG80" s="97">
        <v>16008.321699159053</v>
      </c>
      <c r="AH80" s="97">
        <v>18.997606876343362</v>
      </c>
      <c r="AI80" s="97">
        <v>15296.873056831673</v>
      </c>
      <c r="AJ80" s="97">
        <v>8.6363366877010925</v>
      </c>
      <c r="AK80" s="97">
        <v>6953.9783009369194</v>
      </c>
      <c r="AL80" s="97">
        <v>9.6596116520719963</v>
      </c>
      <c r="AM80" s="97">
        <v>7777.9193022483705</v>
      </c>
      <c r="AN80" s="97">
        <v>14.821158707377686</v>
      </c>
      <c r="AO80" s="97">
        <v>11933.996991180511</v>
      </c>
      <c r="AP80" s="97">
        <v>11.074554102259215</v>
      </c>
      <c r="AQ80" s="97">
        <v>8917.2309631391199</v>
      </c>
      <c r="AR80" s="97">
        <v>11</v>
      </c>
      <c r="AS80" s="97">
        <v>8857.1999999999989</v>
      </c>
      <c r="AT80" s="97">
        <v>6</v>
      </c>
      <c r="AU80" s="97">
        <v>4831.2</v>
      </c>
      <c r="AV80" s="97">
        <v>8.6783980809954837</v>
      </c>
      <c r="AW80" s="97">
        <v>6987.8461348175633</v>
      </c>
      <c r="AX80" s="97">
        <v>9.775092331178076</v>
      </c>
      <c r="AY80" s="97">
        <v>7870.9043450645859</v>
      </c>
      <c r="AZ80" s="97">
        <v>8.637156845145304</v>
      </c>
      <c r="BA80" s="97">
        <v>6954.6386917109985</v>
      </c>
      <c r="BB80" s="97">
        <v>10.100268028679951</v>
      </c>
      <c r="BC80" s="97">
        <v>8132.7358166930953</v>
      </c>
      <c r="BD80" s="97">
        <v>8</v>
      </c>
      <c r="BE80" s="97">
        <v>6441.5999999999995</v>
      </c>
      <c r="BF80" s="97">
        <v>7.6607565441564054</v>
      </c>
      <c r="BG80" s="97">
        <v>6168.4411693547372</v>
      </c>
      <c r="BH80" s="97">
        <v>4</v>
      </c>
      <c r="BI80" s="97">
        <v>3220.7999999999997</v>
      </c>
      <c r="BJ80" s="97">
        <v>6.6892193011885661</v>
      </c>
      <c r="BK80" s="97">
        <v>5386.159381317033</v>
      </c>
      <c r="BL80" s="97">
        <v>4</v>
      </c>
      <c r="BM80" s="97">
        <v>3220.7999999999997</v>
      </c>
      <c r="BN80" s="97">
        <v>7.0754502343685752</v>
      </c>
      <c r="BO80" s="97">
        <v>5697.1525287135764</v>
      </c>
      <c r="BP80" s="97">
        <v>6</v>
      </c>
      <c r="BQ80" s="97">
        <v>4831.2</v>
      </c>
      <c r="BR80" s="97">
        <v>5</v>
      </c>
      <c r="BS80" s="97">
        <v>4025.9999999999995</v>
      </c>
      <c r="BT80" s="97">
        <v>4</v>
      </c>
      <c r="BU80" s="97">
        <v>3220.7999999999997</v>
      </c>
      <c r="BV80" s="97">
        <v>5.1032383735086437</v>
      </c>
      <c r="BW80" s="97">
        <v>4109.1275383491593</v>
      </c>
      <c r="BX80" s="97">
        <v>5</v>
      </c>
      <c r="BY80" s="97">
        <v>4025.9999999999995</v>
      </c>
      <c r="BZ80" s="97">
        <v>4</v>
      </c>
      <c r="CA80" s="97">
        <v>3220.7999999999997</v>
      </c>
      <c r="CB80" s="97">
        <v>3</v>
      </c>
      <c r="CC80" s="97">
        <v>2415.6</v>
      </c>
      <c r="CD80" s="97">
        <v>3</v>
      </c>
      <c r="CE80" s="97">
        <v>2415.6</v>
      </c>
      <c r="CF80" s="97">
        <v>3</v>
      </c>
      <c r="CG80" s="97">
        <v>2415.6</v>
      </c>
      <c r="CH80" s="97">
        <v>3.0459649616118147</v>
      </c>
      <c r="CI80" s="97">
        <v>2452.6109870898331</v>
      </c>
      <c r="CJ80" s="97">
        <v>4</v>
      </c>
      <c r="CK80" s="97">
        <v>3220.7999999999997</v>
      </c>
      <c r="CL80" s="97">
        <v>3</v>
      </c>
      <c r="CM80" s="97">
        <v>2415.6</v>
      </c>
      <c r="CN80" s="97">
        <v>3</v>
      </c>
      <c r="CO80" s="97">
        <v>2415.6</v>
      </c>
      <c r="CP80" s="97">
        <v>4.0064723041221546</v>
      </c>
      <c r="CQ80" s="97">
        <v>3226.0114992791587</v>
      </c>
      <c r="CR80" s="97">
        <v>2</v>
      </c>
      <c r="CS80" s="97">
        <v>1610.3999999999999</v>
      </c>
      <c r="CT80" s="97">
        <v>4</v>
      </c>
      <c r="CU80" s="97">
        <v>3220.7999999999997</v>
      </c>
    </row>
    <row r="81" spans="2:99" x14ac:dyDescent="0.15">
      <c r="C81" s="96" t="s">
        <v>246</v>
      </c>
      <c r="D81" s="97">
        <v>0</v>
      </c>
      <c r="E81" s="97">
        <v>0</v>
      </c>
      <c r="F81" s="97">
        <v>0</v>
      </c>
      <c r="G81" s="97">
        <v>0</v>
      </c>
      <c r="H81" s="97">
        <v>0</v>
      </c>
      <c r="I81" s="97">
        <v>0</v>
      </c>
      <c r="J81" s="97">
        <v>26.84335181899224</v>
      </c>
      <c r="K81" s="97">
        <v>20229.149930792551</v>
      </c>
      <c r="L81" s="97">
        <v>1.9959388761894377</v>
      </c>
      <c r="M81" s="97">
        <v>1504.1395370963603</v>
      </c>
      <c r="N81" s="97">
        <v>37</v>
      </c>
      <c r="O81" s="97">
        <v>27883.200000000001</v>
      </c>
      <c r="P81" s="97">
        <v>26.31180796036346</v>
      </c>
      <c r="Q81" s="97">
        <v>19828.578478929903</v>
      </c>
      <c r="R81" s="97">
        <v>13.269982129603088</v>
      </c>
      <c r="S81" s="97">
        <v>10000.258532868887</v>
      </c>
      <c r="T81" s="97">
        <v>27.060046829523333</v>
      </c>
      <c r="U81" s="97">
        <v>20392.451290728786</v>
      </c>
      <c r="V81" s="97">
        <v>27.310801534374157</v>
      </c>
      <c r="W81" s="97">
        <v>20581.420036304364</v>
      </c>
      <c r="X81" s="97">
        <v>30.12292710469038</v>
      </c>
      <c r="Y81" s="97">
        <v>22700.637866094672</v>
      </c>
      <c r="Z81" s="97">
        <v>29</v>
      </c>
      <c r="AA81" s="97">
        <v>21854.400000000001</v>
      </c>
      <c r="AB81" s="97">
        <v>13.336344486313061</v>
      </c>
      <c r="AC81" s="97">
        <v>10050.269204885524</v>
      </c>
      <c r="AD81" s="97">
        <v>17.826879641310228</v>
      </c>
      <c r="AE81" s="97">
        <v>13434.336497691389</v>
      </c>
      <c r="AF81" s="97">
        <v>19.855998075772046</v>
      </c>
      <c r="AG81" s="97">
        <v>14963.480149901814</v>
      </c>
      <c r="AH81" s="97">
        <v>19.869708558863444</v>
      </c>
      <c r="AI81" s="97">
        <v>14973.812369959491</v>
      </c>
      <c r="AJ81" s="97">
        <v>9.5656326112898604</v>
      </c>
      <c r="AK81" s="97">
        <v>7208.6607358680394</v>
      </c>
      <c r="AL81" s="97">
        <v>8.6266310694683952</v>
      </c>
      <c r="AM81" s="97">
        <v>6501.0291739513832</v>
      </c>
      <c r="AN81" s="97">
        <v>16.764527072386123</v>
      </c>
      <c r="AO81" s="97">
        <v>12633.747601750183</v>
      </c>
      <c r="AP81" s="97">
        <v>12.07116527942925</v>
      </c>
      <c r="AQ81" s="97">
        <v>9096.8301545778831</v>
      </c>
      <c r="AR81" s="97">
        <v>11</v>
      </c>
      <c r="AS81" s="97">
        <v>8289.6</v>
      </c>
      <c r="AT81" s="97">
        <v>6</v>
      </c>
      <c r="AU81" s="97">
        <v>4521.6000000000004</v>
      </c>
      <c r="AV81" s="97">
        <v>9.7801577931448058</v>
      </c>
      <c r="AW81" s="97">
        <v>7370.3269129139262</v>
      </c>
      <c r="AX81" s="97">
        <v>10.856680997617874</v>
      </c>
      <c r="AY81" s="97">
        <v>8181.5947998048296</v>
      </c>
      <c r="AZ81" s="97">
        <v>7.6371568451453049</v>
      </c>
      <c r="BA81" s="97">
        <v>5755.3613985015018</v>
      </c>
      <c r="BB81" s="97">
        <v>11.095254627245954</v>
      </c>
      <c r="BC81" s="97">
        <v>8361.3838870925501</v>
      </c>
      <c r="BD81" s="97">
        <v>8</v>
      </c>
      <c r="BE81" s="97">
        <v>6028.8</v>
      </c>
      <c r="BF81" s="97">
        <v>6</v>
      </c>
      <c r="BG81" s="97">
        <v>4521.6000000000004</v>
      </c>
      <c r="BH81" s="97">
        <v>4</v>
      </c>
      <c r="BI81" s="97">
        <v>3014.4</v>
      </c>
      <c r="BJ81" s="97">
        <v>6.6892193011885661</v>
      </c>
      <c r="BK81" s="97">
        <v>5040.9956653757035</v>
      </c>
      <c r="BL81" s="97">
        <v>4</v>
      </c>
      <c r="BM81" s="97">
        <v>3014.4</v>
      </c>
      <c r="BN81" s="97">
        <v>7.0754502343685752</v>
      </c>
      <c r="BO81" s="97">
        <v>5332.0592966201584</v>
      </c>
      <c r="BP81" s="97">
        <v>5</v>
      </c>
      <c r="BQ81" s="97">
        <v>3768</v>
      </c>
      <c r="BR81" s="97">
        <v>5</v>
      </c>
      <c r="BS81" s="97">
        <v>3768</v>
      </c>
      <c r="BT81" s="97">
        <v>4</v>
      </c>
      <c r="BU81" s="97">
        <v>3014.4</v>
      </c>
      <c r="BV81" s="97">
        <v>5.1032383735086437</v>
      </c>
      <c r="BW81" s="97">
        <v>3845.8004382761142</v>
      </c>
      <c r="BX81" s="97">
        <v>5</v>
      </c>
      <c r="BY81" s="97">
        <v>3768</v>
      </c>
      <c r="BZ81" s="97">
        <v>5.5524364807997717</v>
      </c>
      <c r="CA81" s="97">
        <v>4184.3161319307083</v>
      </c>
      <c r="CB81" s="97">
        <v>3</v>
      </c>
      <c r="CC81" s="97">
        <v>2260.8000000000002</v>
      </c>
      <c r="CD81" s="97">
        <v>3</v>
      </c>
      <c r="CE81" s="97">
        <v>2260.8000000000002</v>
      </c>
      <c r="CF81" s="97">
        <v>3</v>
      </c>
      <c r="CG81" s="97">
        <v>2260.8000000000002</v>
      </c>
      <c r="CH81" s="97">
        <v>3.051072179568683</v>
      </c>
      <c r="CI81" s="97">
        <v>2299.2879945229597</v>
      </c>
      <c r="CJ81" s="97">
        <v>4</v>
      </c>
      <c r="CK81" s="97">
        <v>3014.4</v>
      </c>
      <c r="CL81" s="97">
        <v>3</v>
      </c>
      <c r="CM81" s="97">
        <v>2260.8000000000002</v>
      </c>
      <c r="CN81" s="97">
        <v>3</v>
      </c>
      <c r="CO81" s="97">
        <v>2260.8000000000002</v>
      </c>
      <c r="CP81" s="97">
        <v>4.0064723041221546</v>
      </c>
      <c r="CQ81" s="97">
        <v>3019.2775283864557</v>
      </c>
      <c r="CR81" s="97">
        <v>2</v>
      </c>
      <c r="CS81" s="97">
        <v>1507.2</v>
      </c>
      <c r="CT81" s="97">
        <v>4</v>
      </c>
      <c r="CU81" s="97">
        <v>3014.4</v>
      </c>
    </row>
    <row r="82" spans="2:99" x14ac:dyDescent="0.15">
      <c r="C82" s="96" t="s">
        <v>247</v>
      </c>
      <c r="D82" s="97">
        <v>0</v>
      </c>
      <c r="E82" s="97">
        <v>0</v>
      </c>
      <c r="F82" s="97">
        <v>0</v>
      </c>
      <c r="G82" s="97">
        <v>0</v>
      </c>
      <c r="H82" s="97">
        <v>0</v>
      </c>
      <c r="I82" s="97">
        <v>0</v>
      </c>
      <c r="J82" s="97">
        <v>28.794807482817575</v>
      </c>
      <c r="K82" s="97">
        <v>14650.79804725758</v>
      </c>
      <c r="L82" s="97">
        <v>2.3901154047521156</v>
      </c>
      <c r="M82" s="97">
        <v>1216.0907179378762</v>
      </c>
      <c r="N82" s="97">
        <v>44</v>
      </c>
      <c r="O82" s="97">
        <v>22387.199999999997</v>
      </c>
      <c r="P82" s="97">
        <v>29.887616145374651</v>
      </c>
      <c r="Q82" s="97">
        <v>15206.819094766619</v>
      </c>
      <c r="R82" s="97">
        <v>12.489075015614338</v>
      </c>
      <c r="S82" s="97">
        <v>6354.4413679445743</v>
      </c>
      <c r="T82" s="97">
        <v>24.201125299060198</v>
      </c>
      <c r="U82" s="97">
        <v>12313.532552161827</v>
      </c>
      <c r="V82" s="97">
        <v>27.310801534374157</v>
      </c>
      <c r="W82" s="97">
        <v>13895.735820689568</v>
      </c>
      <c r="X82" s="97">
        <v>31.097067717422902</v>
      </c>
      <c r="Y82" s="97">
        <v>15822.18805462477</v>
      </c>
      <c r="Z82" s="97">
        <v>28</v>
      </c>
      <c r="AA82" s="97">
        <v>14246.399999999998</v>
      </c>
      <c r="AB82" s="97">
        <v>13.411997448632027</v>
      </c>
      <c r="AC82" s="97">
        <v>6824.024301863974</v>
      </c>
      <c r="AD82" s="97">
        <v>16.981919574055894</v>
      </c>
      <c r="AE82" s="97">
        <v>8640.4006792796372</v>
      </c>
      <c r="AF82" s="97">
        <v>21.981880145738526</v>
      </c>
      <c r="AG82" s="97">
        <v>11184.380618151759</v>
      </c>
      <c r="AH82" s="97">
        <v>21.023186539839347</v>
      </c>
      <c r="AI82" s="97">
        <v>10696.597311470257</v>
      </c>
      <c r="AJ82" s="97">
        <v>9.5656326112898604</v>
      </c>
      <c r="AK82" s="97">
        <v>4866.9938726242799</v>
      </c>
      <c r="AL82" s="97">
        <v>9.6596116520719963</v>
      </c>
      <c r="AM82" s="97">
        <v>4914.8104085742307</v>
      </c>
      <c r="AN82" s="97">
        <v>16.821158707377688</v>
      </c>
      <c r="AO82" s="97">
        <v>8558.605550313765</v>
      </c>
      <c r="AP82" s="97">
        <v>13.084720570749107</v>
      </c>
      <c r="AQ82" s="97">
        <v>6657.5058263971441</v>
      </c>
      <c r="AR82" s="97">
        <v>12</v>
      </c>
      <c r="AS82" s="97">
        <v>6105.5999999999985</v>
      </c>
      <c r="AT82" s="97">
        <v>6.7392752296227272</v>
      </c>
      <c r="AU82" s="97">
        <v>3428.9432368320431</v>
      </c>
      <c r="AV82" s="97">
        <v>9.7123179850452583</v>
      </c>
      <c r="AW82" s="97">
        <v>4941.6273907910263</v>
      </c>
      <c r="AX82" s="97">
        <v>11.734297997958178</v>
      </c>
      <c r="AY82" s="97">
        <v>5970.4108213611198</v>
      </c>
      <c r="AZ82" s="97">
        <v>7.6371568451453049</v>
      </c>
      <c r="BA82" s="97">
        <v>3885.7854028099305</v>
      </c>
      <c r="BB82" s="97">
        <v>9.0952546272459536</v>
      </c>
      <c r="BC82" s="97">
        <v>4627.6655543427405</v>
      </c>
      <c r="BD82" s="97">
        <v>8</v>
      </c>
      <c r="BE82" s="97">
        <v>4070.3999999999992</v>
      </c>
      <c r="BF82" s="97">
        <v>7</v>
      </c>
      <c r="BG82" s="97">
        <v>3561.5999999999995</v>
      </c>
      <c r="BH82" s="97">
        <v>4</v>
      </c>
      <c r="BI82" s="97">
        <v>2035.1999999999996</v>
      </c>
      <c r="BJ82" s="97">
        <v>6</v>
      </c>
      <c r="BK82" s="97">
        <v>3052.7999999999993</v>
      </c>
      <c r="BL82" s="97">
        <v>4</v>
      </c>
      <c r="BM82" s="97">
        <v>2035.1999999999996</v>
      </c>
      <c r="BN82" s="97">
        <v>8.0829952578054325</v>
      </c>
      <c r="BO82" s="97">
        <v>4112.6279871714032</v>
      </c>
      <c r="BP82" s="97">
        <v>6</v>
      </c>
      <c r="BQ82" s="97">
        <v>3052.7999999999993</v>
      </c>
      <c r="BR82" s="97">
        <v>4</v>
      </c>
      <c r="BS82" s="97">
        <v>2035.1999999999996</v>
      </c>
      <c r="BT82" s="97">
        <v>4</v>
      </c>
      <c r="BU82" s="97">
        <v>2035.1999999999996</v>
      </c>
      <c r="BV82" s="97">
        <v>5.1032383735086437</v>
      </c>
      <c r="BW82" s="97">
        <v>2596.5276844411974</v>
      </c>
      <c r="BX82" s="97">
        <v>5</v>
      </c>
      <c r="BY82" s="97">
        <v>2543.9999999999995</v>
      </c>
      <c r="BZ82" s="97">
        <v>4</v>
      </c>
      <c r="CA82" s="97">
        <v>2035.1999999999996</v>
      </c>
      <c r="CB82" s="97">
        <v>3</v>
      </c>
      <c r="CC82" s="97">
        <v>1526.3999999999996</v>
      </c>
      <c r="CD82" s="97">
        <v>3</v>
      </c>
      <c r="CE82" s="97">
        <v>1526.3999999999996</v>
      </c>
      <c r="CF82" s="97">
        <v>3</v>
      </c>
      <c r="CG82" s="97">
        <v>1526.3999999999996</v>
      </c>
      <c r="CH82" s="97">
        <v>3.051072179568683</v>
      </c>
      <c r="CI82" s="97">
        <v>1552.3855249645455</v>
      </c>
      <c r="CJ82" s="97">
        <v>4</v>
      </c>
      <c r="CK82" s="97">
        <v>2035.1999999999996</v>
      </c>
      <c r="CL82" s="97">
        <v>3</v>
      </c>
      <c r="CM82" s="97">
        <v>1526.3999999999996</v>
      </c>
      <c r="CN82" s="97">
        <v>2</v>
      </c>
      <c r="CO82" s="97">
        <v>1017.5999999999998</v>
      </c>
      <c r="CP82" s="97">
        <v>3.0051778432977234</v>
      </c>
      <c r="CQ82" s="97">
        <v>1529.0344866698813</v>
      </c>
      <c r="CR82" s="97">
        <v>2</v>
      </c>
      <c r="CS82" s="97">
        <v>1017.5999999999998</v>
      </c>
      <c r="CT82" s="97">
        <v>4</v>
      </c>
      <c r="CU82" s="97">
        <v>2035.1999999999996</v>
      </c>
    </row>
    <row r="83" spans="2:99" x14ac:dyDescent="0.15">
      <c r="C83" s="96" t="s">
        <v>248</v>
      </c>
      <c r="D83" s="97">
        <v>0</v>
      </c>
      <c r="E83" s="97">
        <v>0</v>
      </c>
      <c r="F83" s="97">
        <v>0</v>
      </c>
      <c r="G83" s="97">
        <v>0</v>
      </c>
      <c r="H83" s="97">
        <v>0</v>
      </c>
      <c r="I83" s="97">
        <v>0</v>
      </c>
      <c r="J83" s="97">
        <v>26.099282767564418</v>
      </c>
      <c r="K83" s="97">
        <v>22455.822893212426</v>
      </c>
      <c r="L83" s="97">
        <v>2.1529830817801074</v>
      </c>
      <c r="M83" s="97">
        <v>1852.4266435636043</v>
      </c>
      <c r="N83" s="97">
        <v>39</v>
      </c>
      <c r="O83" s="97">
        <v>33555.599999999999</v>
      </c>
      <c r="P83" s="97">
        <v>25.517003323784238</v>
      </c>
      <c r="Q83" s="97">
        <v>21954.829659783958</v>
      </c>
      <c r="R83" s="97">
        <v>12.886384851990968</v>
      </c>
      <c r="S83" s="97">
        <v>11087.445526653029</v>
      </c>
      <c r="T83" s="97">
        <v>27.108696331548522</v>
      </c>
      <c r="U83" s="97">
        <v>23324.322323664346</v>
      </c>
      <c r="V83" s="97">
        <v>25.427297980279384</v>
      </c>
      <c r="W83" s="97">
        <v>21877.64718223238</v>
      </c>
      <c r="X83" s="97">
        <v>32.011294415307752</v>
      </c>
      <c r="Y83" s="97">
        <v>27542.517714930789</v>
      </c>
      <c r="Z83" s="97">
        <v>28</v>
      </c>
      <c r="AA83" s="97">
        <v>24091.200000000001</v>
      </c>
      <c r="AB83" s="97">
        <v>13.487650410950989</v>
      </c>
      <c r="AC83" s="97">
        <v>11604.77441358223</v>
      </c>
      <c r="AD83" s="97">
        <v>16.930239596474003</v>
      </c>
      <c r="AE83" s="97">
        <v>14566.778148806232</v>
      </c>
      <c r="AF83" s="97">
        <v>20.881174489765343</v>
      </c>
      <c r="AG83" s="97">
        <v>17966.162530994101</v>
      </c>
      <c r="AH83" s="97">
        <v>18.844128895367461</v>
      </c>
      <c r="AI83" s="97">
        <v>16213.488501574164</v>
      </c>
      <c r="AJ83" s="97">
        <v>8.5656326112898604</v>
      </c>
      <c r="AK83" s="97">
        <v>7369.8702987537954</v>
      </c>
      <c r="AL83" s="97">
        <v>8.6925922346755957</v>
      </c>
      <c r="AM83" s="97">
        <v>7479.1063587148819</v>
      </c>
      <c r="AN83" s="97">
        <v>16.707895437394559</v>
      </c>
      <c r="AO83" s="97">
        <v>14375.473234334278</v>
      </c>
      <c r="AP83" s="97">
        <v>13.077942925089179</v>
      </c>
      <c r="AQ83" s="97">
        <v>11252.262092746729</v>
      </c>
      <c r="AR83" s="97">
        <v>10</v>
      </c>
      <c r="AS83" s="97">
        <v>8604</v>
      </c>
      <c r="AT83" s="97">
        <v>6.7392752296227272</v>
      </c>
      <c r="AU83" s="97">
        <v>5798.4724075673939</v>
      </c>
      <c r="AV83" s="97">
        <v>7.7801577931448058</v>
      </c>
      <c r="AW83" s="97">
        <v>6694.0477652217905</v>
      </c>
      <c r="AX83" s="97">
        <v>11.815886664397976</v>
      </c>
      <c r="AY83" s="97">
        <v>10166.388886048018</v>
      </c>
      <c r="AZ83" s="97">
        <v>7.5946797221356181</v>
      </c>
      <c r="BA83" s="97">
        <v>6534.4624329254857</v>
      </c>
      <c r="BB83" s="97">
        <v>10.100268028679951</v>
      </c>
      <c r="BC83" s="97">
        <v>8690.2706118762289</v>
      </c>
      <c r="BD83" s="97">
        <v>9</v>
      </c>
      <c r="BE83" s="97">
        <v>7743.5999999999995</v>
      </c>
      <c r="BF83" s="97">
        <v>6.7048069804334993</v>
      </c>
      <c r="BG83" s="97">
        <v>5768.8159259649829</v>
      </c>
      <c r="BH83" s="97">
        <v>4</v>
      </c>
      <c r="BI83" s="97">
        <v>3441.6</v>
      </c>
      <c r="BJ83" s="97">
        <v>5.6461430948642812</v>
      </c>
      <c r="BK83" s="97">
        <v>4857.9415188212279</v>
      </c>
      <c r="BL83" s="97">
        <v>4.634142712804314</v>
      </c>
      <c r="BM83" s="97">
        <v>3987.2163900968317</v>
      </c>
      <c r="BN83" s="97">
        <v>7.0829952578054334</v>
      </c>
      <c r="BO83" s="97">
        <v>6094.209119815795</v>
      </c>
      <c r="BP83" s="97">
        <v>5</v>
      </c>
      <c r="BQ83" s="97">
        <v>4302</v>
      </c>
      <c r="BR83" s="97">
        <v>5</v>
      </c>
      <c r="BS83" s="97">
        <v>4302</v>
      </c>
      <c r="BT83" s="97">
        <v>4</v>
      </c>
      <c r="BU83" s="97">
        <v>3441.6</v>
      </c>
      <c r="BV83" s="97">
        <v>5.1118415713010306</v>
      </c>
      <c r="BW83" s="97">
        <v>4398.2284879474064</v>
      </c>
      <c r="BX83" s="97">
        <v>5</v>
      </c>
      <c r="BY83" s="97">
        <v>4302</v>
      </c>
      <c r="BZ83" s="97">
        <v>4.5064001073997915</v>
      </c>
      <c r="CA83" s="97">
        <v>3877.3066524067804</v>
      </c>
      <c r="CB83" s="97">
        <v>3</v>
      </c>
      <c r="CC83" s="97">
        <v>2581.1999999999998</v>
      </c>
      <c r="CD83" s="97">
        <v>3</v>
      </c>
      <c r="CE83" s="97">
        <v>2581.1999999999998</v>
      </c>
      <c r="CF83" s="97">
        <v>3</v>
      </c>
      <c r="CG83" s="97">
        <v>2581.1999999999998</v>
      </c>
      <c r="CH83" s="97">
        <v>3.0459649616118147</v>
      </c>
      <c r="CI83" s="97">
        <v>2620.7482529708054</v>
      </c>
      <c r="CJ83" s="97">
        <v>4</v>
      </c>
      <c r="CK83" s="97">
        <v>3441.6</v>
      </c>
      <c r="CL83" s="97">
        <v>4</v>
      </c>
      <c r="CM83" s="97">
        <v>3441.6</v>
      </c>
      <c r="CN83" s="97">
        <v>2</v>
      </c>
      <c r="CO83" s="97">
        <v>1720.8</v>
      </c>
      <c r="CP83" s="97">
        <v>4.0064723041221546</v>
      </c>
      <c r="CQ83" s="97">
        <v>3447.1687704667015</v>
      </c>
      <c r="CR83" s="97">
        <v>2</v>
      </c>
      <c r="CS83" s="97">
        <v>1720.8</v>
      </c>
      <c r="CT83" s="97">
        <v>4</v>
      </c>
      <c r="CU83" s="97">
        <v>3441.6</v>
      </c>
    </row>
    <row r="84" spans="2:99" x14ac:dyDescent="0.15">
      <c r="C84" s="96" t="s">
        <v>249</v>
      </c>
      <c r="D84" s="97">
        <v>0</v>
      </c>
      <c r="E84" s="97">
        <v>0</v>
      </c>
      <c r="F84" s="97">
        <v>0</v>
      </c>
      <c r="G84" s="97">
        <v>0</v>
      </c>
      <c r="H84" s="97">
        <v>0</v>
      </c>
      <c r="I84" s="97">
        <v>0</v>
      </c>
      <c r="J84" s="97">
        <v>27.20360788854412</v>
      </c>
      <c r="K84" s="97">
        <v>21251.458482530663</v>
      </c>
      <c r="L84" s="97">
        <v>2.2330711991614454</v>
      </c>
      <c r="M84" s="97">
        <v>1744.475220784921</v>
      </c>
      <c r="N84" s="97">
        <v>41</v>
      </c>
      <c r="O84" s="97">
        <v>32029.199999999997</v>
      </c>
      <c r="P84" s="97">
        <v>28.165810325984776</v>
      </c>
      <c r="Q84" s="97">
        <v>22003.131026659306</v>
      </c>
      <c r="R84" s="97">
        <v>13.735854759802267</v>
      </c>
      <c r="S84" s="97">
        <v>10730.449738357531</v>
      </c>
      <c r="T84" s="97">
        <v>23.150852451522113</v>
      </c>
      <c r="U84" s="97">
        <v>18085.445935129072</v>
      </c>
      <c r="V84" s="97">
        <v>26.369049757326771</v>
      </c>
      <c r="W84" s="97">
        <v>20599.50167042367</v>
      </c>
      <c r="X84" s="97">
        <v>29.358485193924675</v>
      </c>
      <c r="Y84" s="97">
        <v>22934.848633493955</v>
      </c>
      <c r="Z84" s="97">
        <v>28</v>
      </c>
      <c r="AA84" s="97">
        <v>21873.599999999999</v>
      </c>
      <c r="AB84" s="97">
        <v>12.455093539507155</v>
      </c>
      <c r="AC84" s="97">
        <v>9729.9190730629889</v>
      </c>
      <c r="AD84" s="97">
        <v>17.878559618892115</v>
      </c>
      <c r="AE84" s="97">
        <v>13966.73077427852</v>
      </c>
      <c r="AF84" s="97">
        <v>21.956703731745229</v>
      </c>
      <c r="AG84" s="97">
        <v>17152.576955239372</v>
      </c>
      <c r="AH84" s="97">
        <v>17.895288222359426</v>
      </c>
      <c r="AI84" s="97">
        <v>13979.799159307182</v>
      </c>
      <c r="AJ84" s="97">
        <v>9.6009846494954765</v>
      </c>
      <c r="AK84" s="97">
        <v>7500.2892081858654</v>
      </c>
      <c r="AL84" s="97">
        <v>9.7255728172791951</v>
      </c>
      <c r="AM84" s="97">
        <v>7597.6174848585069</v>
      </c>
      <c r="AN84" s="97">
        <v>14.792842889881904</v>
      </c>
      <c r="AO84" s="97">
        <v>11556.168865575743</v>
      </c>
      <c r="AP84" s="97">
        <v>12.081331747919144</v>
      </c>
      <c r="AQ84" s="97">
        <v>9437.9363614744343</v>
      </c>
      <c r="AR84" s="97">
        <v>10</v>
      </c>
      <c r="AS84" s="97">
        <v>7811.9999999999991</v>
      </c>
      <c r="AT84" s="97">
        <v>6.698204383532576</v>
      </c>
      <c r="AU84" s="97">
        <v>5232.6372644156481</v>
      </c>
      <c r="AV84" s="97">
        <v>8.7462378890950312</v>
      </c>
      <c r="AW84" s="97">
        <v>6832.5610389610374</v>
      </c>
      <c r="AX84" s="97">
        <v>9.7342979979581781</v>
      </c>
      <c r="AY84" s="97">
        <v>7604.4335960049284</v>
      </c>
      <c r="AZ84" s="97">
        <v>7.6796339681549917</v>
      </c>
      <c r="BA84" s="97">
        <v>5999.3300559226791</v>
      </c>
      <c r="BB84" s="97">
        <v>9.0852278243779594</v>
      </c>
      <c r="BC84" s="97">
        <v>7097.3799764040614</v>
      </c>
      <c r="BD84" s="97">
        <v>8</v>
      </c>
      <c r="BE84" s="97">
        <v>6249.5999999999995</v>
      </c>
      <c r="BF84" s="97">
        <v>6.6607565441564054</v>
      </c>
      <c r="BG84" s="97">
        <v>5203.383012294983</v>
      </c>
      <c r="BH84" s="97">
        <v>4</v>
      </c>
      <c r="BI84" s="97">
        <v>3124.7999999999997</v>
      </c>
      <c r="BJ84" s="97">
        <v>6.7322955075128519</v>
      </c>
      <c r="BK84" s="97">
        <v>5259.2692504690394</v>
      </c>
      <c r="BL84" s="97">
        <v>4</v>
      </c>
      <c r="BM84" s="97">
        <v>3124.7999999999997</v>
      </c>
      <c r="BN84" s="97">
        <v>6.0754502343685752</v>
      </c>
      <c r="BO84" s="97">
        <v>4746.1417230887309</v>
      </c>
      <c r="BP84" s="97">
        <v>6</v>
      </c>
      <c r="BQ84" s="97">
        <v>4687.2</v>
      </c>
      <c r="BR84" s="97">
        <v>5</v>
      </c>
      <c r="BS84" s="97">
        <v>3905.9999999999995</v>
      </c>
      <c r="BT84" s="97">
        <v>4</v>
      </c>
      <c r="BU84" s="97">
        <v>3124.7999999999997</v>
      </c>
      <c r="BV84" s="97">
        <v>4.1032383735086437</v>
      </c>
      <c r="BW84" s="97">
        <v>3205.449817384952</v>
      </c>
      <c r="BX84" s="97">
        <v>5</v>
      </c>
      <c r="BY84" s="97">
        <v>3905.9999999999995</v>
      </c>
      <c r="BZ84" s="97">
        <v>5</v>
      </c>
      <c r="CA84" s="97">
        <v>3905.9999999999995</v>
      </c>
      <c r="CB84" s="97">
        <v>3</v>
      </c>
      <c r="CC84" s="97">
        <v>2343.6</v>
      </c>
      <c r="CD84" s="97">
        <v>3</v>
      </c>
      <c r="CE84" s="97">
        <v>2343.6</v>
      </c>
      <c r="CF84" s="97">
        <v>3</v>
      </c>
      <c r="CG84" s="97">
        <v>2343.6</v>
      </c>
      <c r="CH84" s="97">
        <v>3.0459649616118147</v>
      </c>
      <c r="CI84" s="97">
        <v>2379.5078280111493</v>
      </c>
      <c r="CJ84" s="97">
        <v>4</v>
      </c>
      <c r="CK84" s="97">
        <v>3124.7999999999997</v>
      </c>
      <c r="CL84" s="97">
        <v>3</v>
      </c>
      <c r="CM84" s="97">
        <v>2343.6</v>
      </c>
      <c r="CN84" s="97">
        <v>2</v>
      </c>
      <c r="CO84" s="97">
        <v>1562.3999999999999</v>
      </c>
      <c r="CP84" s="97">
        <v>4.0064723041221546</v>
      </c>
      <c r="CQ84" s="97">
        <v>3129.8561639802269</v>
      </c>
      <c r="CR84" s="97">
        <v>2</v>
      </c>
      <c r="CS84" s="97">
        <v>1562.3999999999999</v>
      </c>
      <c r="CT84" s="97">
        <v>3</v>
      </c>
      <c r="CU84" s="97">
        <v>2343.6</v>
      </c>
    </row>
    <row r="85" spans="2:99" x14ac:dyDescent="0.15">
      <c r="C85" s="96" t="s">
        <v>250</v>
      </c>
      <c r="D85" s="97">
        <v>0</v>
      </c>
      <c r="E85" s="97">
        <v>0</v>
      </c>
      <c r="F85" s="97">
        <v>0</v>
      </c>
      <c r="G85" s="97">
        <v>0</v>
      </c>
      <c r="H85" s="97">
        <v>0</v>
      </c>
      <c r="I85" s="97">
        <v>0</v>
      </c>
      <c r="J85" s="97">
        <v>31.779917530650401</v>
      </c>
      <c r="K85" s="97">
        <v>4766.98762959756</v>
      </c>
      <c r="L85" s="97">
        <v>2.4660274832374456</v>
      </c>
      <c r="M85" s="97">
        <v>369.90412248561682</v>
      </c>
      <c r="N85" s="97">
        <v>45</v>
      </c>
      <c r="O85" s="97">
        <v>6750</v>
      </c>
      <c r="P85" s="97">
        <v>28.364105145331923</v>
      </c>
      <c r="Q85" s="97">
        <v>4254.6157717997885</v>
      </c>
      <c r="R85" s="97">
        <v>15.969229999446588</v>
      </c>
      <c r="S85" s="97">
        <v>2395.3844999169883</v>
      </c>
      <c r="T85" s="97">
        <v>30.064916866062031</v>
      </c>
      <c r="U85" s="97">
        <v>4509.7375299093046</v>
      </c>
      <c r="V85" s="97">
        <v>26.369049757326771</v>
      </c>
      <c r="W85" s="97">
        <v>3955.3574635990158</v>
      </c>
      <c r="X85" s="97">
        <v>32.161079202426905</v>
      </c>
      <c r="Y85" s="97">
        <v>4824.1618803640358</v>
      </c>
      <c r="Z85" s="97">
        <v>33</v>
      </c>
      <c r="AA85" s="97">
        <v>4950</v>
      </c>
      <c r="AB85" s="97">
        <v>15.514937672679178</v>
      </c>
      <c r="AC85" s="97">
        <v>2327.2406509018765</v>
      </c>
      <c r="AD85" s="97">
        <v>17.930239596474003</v>
      </c>
      <c r="AE85" s="97">
        <v>2689.5359394711004</v>
      </c>
      <c r="AF85" s="97">
        <v>20.931527317751932</v>
      </c>
      <c r="AG85" s="97">
        <v>3139.7290976627896</v>
      </c>
      <c r="AH85" s="97">
        <v>20.074345866831312</v>
      </c>
      <c r="AI85" s="97">
        <v>3011.1518800246968</v>
      </c>
      <c r="AJ85" s="97">
        <v>8.6009846494954765</v>
      </c>
      <c r="AK85" s="97">
        <v>1290.1476974243214</v>
      </c>
      <c r="AL85" s="97">
        <v>10.758553399882794</v>
      </c>
      <c r="AM85" s="97">
        <v>1613.7830099824191</v>
      </c>
      <c r="AN85" s="97">
        <v>16.764527072386123</v>
      </c>
      <c r="AO85" s="97">
        <v>2514.6790608579186</v>
      </c>
      <c r="AP85" s="97">
        <v>14.088109393579073</v>
      </c>
      <c r="AQ85" s="97">
        <v>2113.216409036861</v>
      </c>
      <c r="AR85" s="97">
        <v>10</v>
      </c>
      <c r="AS85" s="97">
        <v>1500</v>
      </c>
      <c r="AT85" s="97">
        <v>6.7803460757128793</v>
      </c>
      <c r="AU85" s="97">
        <v>1017.0519113569319</v>
      </c>
      <c r="AV85" s="97">
        <v>9.8140776971945805</v>
      </c>
      <c r="AW85" s="97">
        <v>1472.111654579187</v>
      </c>
      <c r="AX85" s="97">
        <v>11.856680997617874</v>
      </c>
      <c r="AY85" s="97">
        <v>1778.5021496426809</v>
      </c>
      <c r="AZ85" s="97">
        <v>8.637156845145304</v>
      </c>
      <c r="BA85" s="97">
        <v>1295.5735267717955</v>
      </c>
      <c r="BB85" s="97">
        <v>10.10528143011395</v>
      </c>
      <c r="BC85" s="97">
        <v>1515.7922145170924</v>
      </c>
      <c r="BD85" s="97">
        <v>10</v>
      </c>
      <c r="BE85" s="97">
        <v>1500</v>
      </c>
      <c r="BF85" s="97">
        <v>7.6607565441564054</v>
      </c>
      <c r="BG85" s="97">
        <v>1149.1134816234608</v>
      </c>
      <c r="BH85" s="97">
        <v>4</v>
      </c>
      <c r="BI85" s="97">
        <v>600</v>
      </c>
      <c r="BJ85" s="97">
        <v>6.7322955075128519</v>
      </c>
      <c r="BK85" s="97">
        <v>1009.8443261269277</v>
      </c>
      <c r="BL85" s="97">
        <v>4.6794386208617649</v>
      </c>
      <c r="BM85" s="97">
        <v>701.91579312926478</v>
      </c>
      <c r="BN85" s="97">
        <v>7.0754502343685752</v>
      </c>
      <c r="BO85" s="97">
        <v>1061.3175351552864</v>
      </c>
      <c r="BP85" s="97">
        <v>7</v>
      </c>
      <c r="BQ85" s="97">
        <v>1050</v>
      </c>
      <c r="BR85" s="97">
        <v>5</v>
      </c>
      <c r="BS85" s="97">
        <v>750</v>
      </c>
      <c r="BT85" s="97">
        <v>4</v>
      </c>
      <c r="BU85" s="97">
        <v>600</v>
      </c>
      <c r="BV85" s="97">
        <v>5.0946351757162569</v>
      </c>
      <c r="BW85" s="97">
        <v>764.1952763574385</v>
      </c>
      <c r="BX85" s="97">
        <v>5</v>
      </c>
      <c r="BY85" s="97">
        <v>750</v>
      </c>
      <c r="BZ85" s="97">
        <v>5.5524364807997717</v>
      </c>
      <c r="CA85" s="97">
        <v>832.86547211996572</v>
      </c>
      <c r="CB85" s="97">
        <v>3</v>
      </c>
      <c r="CC85" s="97">
        <v>450</v>
      </c>
      <c r="CD85" s="97">
        <v>3</v>
      </c>
      <c r="CE85" s="97">
        <v>450</v>
      </c>
      <c r="CF85" s="97">
        <v>3</v>
      </c>
      <c r="CG85" s="97">
        <v>450</v>
      </c>
      <c r="CH85" s="97">
        <v>3.051072179568683</v>
      </c>
      <c r="CI85" s="97">
        <v>457.66082693530245</v>
      </c>
      <c r="CJ85" s="97">
        <v>5</v>
      </c>
      <c r="CK85" s="97">
        <v>750</v>
      </c>
      <c r="CL85" s="97">
        <v>4</v>
      </c>
      <c r="CM85" s="97">
        <v>600</v>
      </c>
      <c r="CN85" s="97">
        <v>3</v>
      </c>
      <c r="CO85" s="97">
        <v>450</v>
      </c>
      <c r="CP85" s="97">
        <v>4.0051778432977239</v>
      </c>
      <c r="CQ85" s="97">
        <v>600.77667649465855</v>
      </c>
      <c r="CR85" s="97">
        <v>2</v>
      </c>
      <c r="CS85" s="97">
        <v>300</v>
      </c>
      <c r="CT85" s="97">
        <v>4</v>
      </c>
      <c r="CU85" s="97">
        <v>600</v>
      </c>
    </row>
    <row r="86" spans="2:99" x14ac:dyDescent="0.15">
      <c r="C86" s="96" t="s">
        <v>251</v>
      </c>
      <c r="D86" s="97">
        <v>0</v>
      </c>
      <c r="E86" s="97">
        <v>0</v>
      </c>
      <c r="F86" s="97">
        <v>0</v>
      </c>
      <c r="G86" s="97">
        <v>0</v>
      </c>
      <c r="H86" s="97">
        <v>0</v>
      </c>
      <c r="I86" s="97">
        <v>0</v>
      </c>
      <c r="J86" s="97">
        <v>27.983012308458051</v>
      </c>
      <c r="K86" s="97">
        <v>15110.826646567348</v>
      </c>
      <c r="L86" s="97">
        <v>2.4618514443414372</v>
      </c>
      <c r="M86" s="97">
        <v>1329.3997799443762</v>
      </c>
      <c r="N86" s="97">
        <v>44</v>
      </c>
      <c r="O86" s="97">
        <v>23760</v>
      </c>
      <c r="P86" s="97">
        <v>28.960614962563998</v>
      </c>
      <c r="Q86" s="97">
        <v>15638.732079784559</v>
      </c>
      <c r="R86" s="97">
        <v>14.612749785142583</v>
      </c>
      <c r="S86" s="97">
        <v>7890.8848839769944</v>
      </c>
      <c r="T86" s="97">
        <v>28.077886675711294</v>
      </c>
      <c r="U86" s="97">
        <v>15162.058804884098</v>
      </c>
      <c r="V86" s="97">
        <v>27.310801534374157</v>
      </c>
      <c r="W86" s="97">
        <v>14747.832828562045</v>
      </c>
      <c r="X86" s="97">
        <v>29.268614321653185</v>
      </c>
      <c r="Y86" s="97">
        <v>15805.051733692721</v>
      </c>
      <c r="Z86" s="97">
        <v>31</v>
      </c>
      <c r="AA86" s="97">
        <v>16740</v>
      </c>
      <c r="AB86" s="97">
        <v>13.525476892110472</v>
      </c>
      <c r="AC86" s="97">
        <v>7303.7575217396552</v>
      </c>
      <c r="AD86" s="97">
        <v>16.007759562846839</v>
      </c>
      <c r="AE86" s="97">
        <v>8644.1901639372936</v>
      </c>
      <c r="AF86" s="97">
        <v>19.855998075772046</v>
      </c>
      <c r="AG86" s="97">
        <v>10722.238960916904</v>
      </c>
      <c r="AH86" s="97">
        <v>19.04876620333533</v>
      </c>
      <c r="AI86" s="97">
        <v>10286.333749801079</v>
      </c>
      <c r="AJ86" s="97">
        <v>8.6363366877010925</v>
      </c>
      <c r="AK86" s="97">
        <v>4663.6218113585901</v>
      </c>
      <c r="AL86" s="97">
        <v>9.7255728172791951</v>
      </c>
      <c r="AM86" s="97">
        <v>5251.8093213307657</v>
      </c>
      <c r="AN86" s="97">
        <v>16.736211254890339</v>
      </c>
      <c r="AO86" s="97">
        <v>9037.5540776407834</v>
      </c>
      <c r="AP86" s="97">
        <v>12.077942925089179</v>
      </c>
      <c r="AQ86" s="97">
        <v>6522.0891795481566</v>
      </c>
      <c r="AR86" s="97">
        <v>10</v>
      </c>
      <c r="AS86" s="97">
        <v>5400</v>
      </c>
      <c r="AT86" s="97">
        <v>6.7392752296227272</v>
      </c>
      <c r="AU86" s="97">
        <v>3639.2086239962728</v>
      </c>
      <c r="AV86" s="97">
        <v>8.8140776971945805</v>
      </c>
      <c r="AW86" s="97">
        <v>4759.6019564850731</v>
      </c>
      <c r="AX86" s="97">
        <v>9.8158866643979756</v>
      </c>
      <c r="AY86" s="97">
        <v>5300.5787987749072</v>
      </c>
      <c r="AZ86" s="97">
        <v>7.6371568451453049</v>
      </c>
      <c r="BA86" s="97">
        <v>4124.0646963784648</v>
      </c>
      <c r="BB86" s="97">
        <v>10.085227824377959</v>
      </c>
      <c r="BC86" s="97">
        <v>5446.0230251640978</v>
      </c>
      <c r="BD86" s="97">
        <v>9</v>
      </c>
      <c r="BE86" s="97">
        <v>4860</v>
      </c>
      <c r="BF86" s="97">
        <v>6</v>
      </c>
      <c r="BG86" s="97">
        <v>3240</v>
      </c>
      <c r="BH86" s="97">
        <v>4</v>
      </c>
      <c r="BI86" s="97">
        <v>2160</v>
      </c>
      <c r="BJ86" s="97">
        <v>5.7322955075128519</v>
      </c>
      <c r="BK86" s="97">
        <v>3095.4395740569398</v>
      </c>
      <c r="BL86" s="97">
        <v>4</v>
      </c>
      <c r="BM86" s="97">
        <v>2160</v>
      </c>
      <c r="BN86" s="97">
        <v>7.0829952578054334</v>
      </c>
      <c r="BO86" s="97">
        <v>3824.817439214934</v>
      </c>
      <c r="BP86" s="97">
        <v>5</v>
      </c>
      <c r="BQ86" s="97">
        <v>2700</v>
      </c>
      <c r="BR86" s="97">
        <v>5</v>
      </c>
      <c r="BS86" s="97">
        <v>2700</v>
      </c>
      <c r="BT86" s="97">
        <v>4</v>
      </c>
      <c r="BU86" s="97">
        <v>2160</v>
      </c>
      <c r="BV86" s="97">
        <v>4.0946351757162569</v>
      </c>
      <c r="BW86" s="97">
        <v>2211.1029948867786</v>
      </c>
      <c r="BX86" s="97">
        <v>5</v>
      </c>
      <c r="BY86" s="97">
        <v>2700</v>
      </c>
      <c r="BZ86" s="97">
        <v>4.5524364807997717</v>
      </c>
      <c r="CA86" s="97">
        <v>2458.3156996318767</v>
      </c>
      <c r="CB86" s="97">
        <v>3</v>
      </c>
      <c r="CC86" s="97">
        <v>1620</v>
      </c>
      <c r="CD86" s="97">
        <v>3</v>
      </c>
      <c r="CE86" s="97">
        <v>1620</v>
      </c>
      <c r="CF86" s="97">
        <v>2</v>
      </c>
      <c r="CG86" s="97">
        <v>1080</v>
      </c>
      <c r="CH86" s="97">
        <v>3.051072179568683</v>
      </c>
      <c r="CI86" s="97">
        <v>1647.5789769670889</v>
      </c>
      <c r="CJ86" s="97">
        <v>4</v>
      </c>
      <c r="CK86" s="97">
        <v>2160</v>
      </c>
      <c r="CL86" s="97">
        <v>3</v>
      </c>
      <c r="CM86" s="97">
        <v>1620</v>
      </c>
      <c r="CN86" s="97">
        <v>2</v>
      </c>
      <c r="CO86" s="97">
        <v>1080</v>
      </c>
      <c r="CP86" s="97">
        <v>4.0064723041221546</v>
      </c>
      <c r="CQ86" s="97">
        <v>2163.4950442259633</v>
      </c>
      <c r="CR86" s="97">
        <v>2</v>
      </c>
      <c r="CS86" s="97">
        <v>1080</v>
      </c>
      <c r="CT86" s="97">
        <v>4</v>
      </c>
      <c r="CU86" s="97">
        <v>2160</v>
      </c>
    </row>
    <row r="87" spans="2:99" x14ac:dyDescent="0.15">
      <c r="B87" s="96" t="s">
        <v>131</v>
      </c>
      <c r="C87" s="96" t="s">
        <v>252</v>
      </c>
      <c r="D87" s="97">
        <v>0</v>
      </c>
      <c r="E87" s="97">
        <v>0</v>
      </c>
      <c r="F87" s="97">
        <v>0</v>
      </c>
      <c r="G87" s="97">
        <v>0</v>
      </c>
      <c r="H87" s="97">
        <v>0</v>
      </c>
      <c r="I87" s="97">
        <v>0</v>
      </c>
      <c r="J87" s="97">
        <v>19.468455970214997</v>
      </c>
      <c r="K87" s="97">
        <v>38056.937730576275</v>
      </c>
      <c r="L87" s="97">
        <v>2.6520033297333541</v>
      </c>
      <c r="M87" s="97">
        <v>5184.1361089627608</v>
      </c>
      <c r="N87" s="97">
        <v>34</v>
      </c>
      <c r="O87" s="97">
        <v>66463.199999999997</v>
      </c>
      <c r="P87" s="97">
        <v>24.413740079331671</v>
      </c>
      <c r="Q87" s="97">
        <v>47723.979107077546</v>
      </c>
      <c r="R87" s="97">
        <v>15.304525267162024</v>
      </c>
      <c r="S87" s="97">
        <v>29917.285992248322</v>
      </c>
      <c r="T87" s="97">
        <v>15.056783184043608</v>
      </c>
      <c r="U87" s="97">
        <v>29432.999768168444</v>
      </c>
      <c r="V87" s="97">
        <v>19.77678731799508</v>
      </c>
      <c r="W87" s="97">
        <v>38659.663849216784</v>
      </c>
      <c r="X87" s="97">
        <v>13.877624237645865</v>
      </c>
      <c r="Y87" s="97">
        <v>27127.979859750136</v>
      </c>
      <c r="Z87" s="97">
        <v>21</v>
      </c>
      <c r="AA87" s="97">
        <v>41050.799999999996</v>
      </c>
      <c r="AB87" s="97">
        <v>17.666946258023636</v>
      </c>
      <c r="AC87" s="97">
        <v>34535.346545184599</v>
      </c>
      <c r="AD87" s="97">
        <v>18.387599831864168</v>
      </c>
      <c r="AE87" s="97">
        <v>35944.080151328075</v>
      </c>
      <c r="AF87" s="97">
        <v>14.579057521845796</v>
      </c>
      <c r="AG87" s="97">
        <v>28499.141643704159</v>
      </c>
      <c r="AH87" s="97">
        <v>19.434854279431722</v>
      </c>
      <c r="AI87" s="97">
        <v>37991.253145433126</v>
      </c>
      <c r="AJ87" s="97">
        <v>9.4595764966730123</v>
      </c>
      <c r="AK87" s="97">
        <v>18491.580135696404</v>
      </c>
      <c r="AL87" s="97">
        <v>12.593650486864796</v>
      </c>
      <c r="AM87" s="97">
        <v>24618.067971723303</v>
      </c>
      <c r="AN87" s="97">
        <v>11.396421444940952</v>
      </c>
      <c r="AO87" s="97">
        <v>22277.724640570574</v>
      </c>
      <c r="AP87" s="97">
        <v>14.07116527942925</v>
      </c>
      <c r="AQ87" s="97">
        <v>27506.313888228298</v>
      </c>
      <c r="AR87" s="97">
        <v>9.4999738746412223</v>
      </c>
      <c r="AS87" s="97">
        <v>18570.54893014866</v>
      </c>
      <c r="AT87" s="97">
        <v>11.410708460901516</v>
      </c>
      <c r="AU87" s="97">
        <v>22305.652899370281</v>
      </c>
      <c r="AV87" s="97">
        <v>10.474878656696838</v>
      </c>
      <c r="AW87" s="97">
        <v>20476.292798110979</v>
      </c>
      <c r="AX87" s="97">
        <v>13.448737665418886</v>
      </c>
      <c r="AY87" s="97">
        <v>26289.592388360838</v>
      </c>
      <c r="AZ87" s="97">
        <v>8.467248353106557</v>
      </c>
      <c r="BA87" s="97">
        <v>16551.777080652697</v>
      </c>
      <c r="BB87" s="97">
        <v>9.0651742186419693</v>
      </c>
      <c r="BC87" s="97">
        <v>17720.602562601322</v>
      </c>
      <c r="BD87" s="97">
        <v>8</v>
      </c>
      <c r="BE87" s="97">
        <v>15638.4</v>
      </c>
      <c r="BF87" s="97">
        <v>6.4845547990480306</v>
      </c>
      <c r="BG87" s="97">
        <v>12676.00772117909</v>
      </c>
      <c r="BH87" s="97">
        <v>6.3352890080031274</v>
      </c>
      <c r="BI87" s="97">
        <v>12384.222952844513</v>
      </c>
      <c r="BJ87" s="97">
        <v>9.3876858569185693</v>
      </c>
      <c r="BK87" s="97">
        <v>18351.04831310442</v>
      </c>
      <c r="BL87" s="97">
        <v>5.4076631725170587</v>
      </c>
      <c r="BM87" s="97">
        <v>10570.899969636346</v>
      </c>
      <c r="BN87" s="97">
        <v>4.0528151640580026</v>
      </c>
      <c r="BO87" s="97">
        <v>7922.4430827005835</v>
      </c>
      <c r="BP87" s="97">
        <v>6.2912884080000024</v>
      </c>
      <c r="BQ87" s="97">
        <v>12298.210579958404</v>
      </c>
      <c r="BR87" s="97">
        <v>4.2452628510986656</v>
      </c>
      <c r="BS87" s="97">
        <v>8298.6398213276716</v>
      </c>
      <c r="BT87" s="97">
        <v>6.1733345402498081</v>
      </c>
      <c r="BU87" s="97">
        <v>12067.634359280324</v>
      </c>
      <c r="BV87" s="97">
        <v>5.0688255823390955</v>
      </c>
      <c r="BW87" s="97">
        <v>9908.5402483564631</v>
      </c>
      <c r="BX87" s="97">
        <v>5</v>
      </c>
      <c r="BY87" s="97">
        <v>9774</v>
      </c>
      <c r="BZ87" s="97">
        <v>5.2301818669999047</v>
      </c>
      <c r="CA87" s="97">
        <v>10223.959513611413</v>
      </c>
      <c r="CB87" s="97">
        <v>3</v>
      </c>
      <c r="CC87" s="97">
        <v>5864.4</v>
      </c>
      <c r="CD87" s="97">
        <v>5.2471172469708574</v>
      </c>
      <c r="CE87" s="97">
        <v>10257.064794378632</v>
      </c>
      <c r="CF87" s="97">
        <v>3</v>
      </c>
      <c r="CG87" s="97">
        <v>5864.4</v>
      </c>
      <c r="CH87" s="97">
        <v>4.0306433077412098</v>
      </c>
      <c r="CI87" s="97">
        <v>7879.1015379725168</v>
      </c>
      <c r="CJ87" s="97">
        <v>5</v>
      </c>
      <c r="CK87" s="97">
        <v>9774</v>
      </c>
      <c r="CL87" s="97">
        <v>4</v>
      </c>
      <c r="CM87" s="97">
        <v>7819.2</v>
      </c>
      <c r="CN87" s="97">
        <v>3</v>
      </c>
      <c r="CO87" s="97">
        <v>5864.4</v>
      </c>
      <c r="CP87" s="97">
        <v>4.0038833824732931</v>
      </c>
      <c r="CQ87" s="97">
        <v>7826.7912360587934</v>
      </c>
      <c r="CR87" s="97">
        <v>3</v>
      </c>
      <c r="CS87" s="97">
        <v>5864.4</v>
      </c>
      <c r="CT87" s="97">
        <v>3</v>
      </c>
      <c r="CU87" s="97">
        <v>5864.4</v>
      </c>
    </row>
    <row r="88" spans="2:99" x14ac:dyDescent="0.15">
      <c r="C88" s="96" t="s">
        <v>253</v>
      </c>
      <c r="D88" s="97">
        <v>0</v>
      </c>
      <c r="E88" s="97">
        <v>0</v>
      </c>
      <c r="F88" s="97">
        <v>0</v>
      </c>
      <c r="G88" s="97">
        <v>0</v>
      </c>
      <c r="H88" s="97">
        <v>0</v>
      </c>
      <c r="I88" s="97">
        <v>0</v>
      </c>
      <c r="J88" s="97">
        <v>19.837545881888403</v>
      </c>
      <c r="K88" s="97">
        <v>37540.571826885607</v>
      </c>
      <c r="L88" s="97">
        <v>2.5012231824866964</v>
      </c>
      <c r="M88" s="97">
        <v>4733.3147505378238</v>
      </c>
      <c r="N88" s="97">
        <v>39</v>
      </c>
      <c r="O88" s="97">
        <v>73803.599999999991</v>
      </c>
      <c r="P88" s="97">
        <v>26.091480383311076</v>
      </c>
      <c r="Q88" s="97">
        <v>49375.517477377878</v>
      </c>
      <c r="R88" s="97">
        <v>16.181420292502342</v>
      </c>
      <c r="S88" s="97">
        <v>30621.719761531429</v>
      </c>
      <c r="T88" s="97">
        <v>16.930297869668909</v>
      </c>
      <c r="U88" s="97">
        <v>32038.895688561443</v>
      </c>
      <c r="V88" s="97">
        <v>17.893283763900307</v>
      </c>
      <c r="W88" s="97">
        <v>33861.250194804939</v>
      </c>
      <c r="X88" s="97">
        <v>14.821807892954549</v>
      </c>
      <c r="Y88" s="97">
        <v>28048.789256627188</v>
      </c>
      <c r="Z88" s="97">
        <v>20</v>
      </c>
      <c r="AA88" s="97">
        <v>37848</v>
      </c>
      <c r="AB88" s="97">
        <v>16.672215867739279</v>
      </c>
      <c r="AC88" s="97">
        <v>31550.501308109808</v>
      </c>
      <c r="AD88" s="97">
        <v>16.439279809446056</v>
      </c>
      <c r="AE88" s="97">
        <v>31109.693111395714</v>
      </c>
      <c r="AF88" s="97">
        <v>14.579057521845796</v>
      </c>
      <c r="AG88" s="97">
        <v>27589.408454340981</v>
      </c>
      <c r="AH88" s="97">
        <v>22.40927461593574</v>
      </c>
      <c r="AI88" s="97">
        <v>42407.311283196788</v>
      </c>
      <c r="AJ88" s="97">
        <v>8.4949285348786283</v>
      </c>
      <c r="AK88" s="97">
        <v>16075.802759404314</v>
      </c>
      <c r="AL88" s="97">
        <v>14.527689321657597</v>
      </c>
      <c r="AM88" s="97">
        <v>27492.199272304835</v>
      </c>
      <c r="AN88" s="97">
        <v>11.424737262436734</v>
      </c>
      <c r="AO88" s="97">
        <v>21620.172795435275</v>
      </c>
      <c r="AP88" s="97">
        <v>15.07116527942925</v>
      </c>
      <c r="AQ88" s="97">
        <v>28520.673174791911</v>
      </c>
      <c r="AR88" s="97">
        <v>9.4499764871770999</v>
      </c>
      <c r="AS88" s="97">
        <v>17883.135504333943</v>
      </c>
      <c r="AT88" s="97">
        <v>10.410708460901516</v>
      </c>
      <c r="AU88" s="97">
        <v>19701.224691410025</v>
      </c>
      <c r="AV88" s="97">
        <v>10.40703884859729</v>
      </c>
      <c r="AW88" s="97">
        <v>19694.280317085511</v>
      </c>
      <c r="AX88" s="97">
        <v>13.407943332198988</v>
      </c>
      <c r="AY88" s="97">
        <v>25373.191961853361</v>
      </c>
      <c r="AZ88" s="97">
        <v>9.5097254761162446</v>
      </c>
      <c r="BA88" s="97">
        <v>17996.20449100238</v>
      </c>
      <c r="BB88" s="97">
        <v>10.070187620075966</v>
      </c>
      <c r="BC88" s="97">
        <v>19056.823052231757</v>
      </c>
      <c r="BD88" s="97">
        <v>7.6477137522293805</v>
      </c>
      <c r="BE88" s="97">
        <v>14472.533504718878</v>
      </c>
      <c r="BF88" s="97">
        <v>6.4845547990480306</v>
      </c>
      <c r="BG88" s="97">
        <v>12271.371501718491</v>
      </c>
      <c r="BH88" s="97">
        <v>6.3352890080031274</v>
      </c>
      <c r="BI88" s="97">
        <v>11988.900918745117</v>
      </c>
      <c r="BJ88" s="97">
        <v>8.3876858569185693</v>
      </c>
      <c r="BK88" s="97">
        <v>15872.856715632699</v>
      </c>
      <c r="BL88" s="97">
        <v>5.4076631725170587</v>
      </c>
      <c r="BM88" s="97">
        <v>10233.461787671282</v>
      </c>
      <c r="BN88" s="97">
        <v>5.0452701406211453</v>
      </c>
      <c r="BO88" s="97">
        <v>9547.6692141114545</v>
      </c>
      <c r="BP88" s="97">
        <v>6.2912884080000024</v>
      </c>
      <c r="BQ88" s="97">
        <v>11905.634183299204</v>
      </c>
      <c r="BR88" s="97">
        <v>5.2943154213183981</v>
      </c>
      <c r="BS88" s="97">
        <v>10018.962503302935</v>
      </c>
      <c r="BT88" s="97">
        <v>6.1733345402498081</v>
      </c>
      <c r="BU88" s="97">
        <v>11682.418283968736</v>
      </c>
      <c r="BV88" s="97">
        <v>5.0602223845467087</v>
      </c>
      <c r="BW88" s="97">
        <v>9575.9648405161915</v>
      </c>
      <c r="BX88" s="97">
        <v>6</v>
      </c>
      <c r="BY88" s="97">
        <v>11354.4</v>
      </c>
      <c r="BZ88" s="97">
        <v>5.2301818669999047</v>
      </c>
      <c r="CA88" s="97">
        <v>9897.596165110619</v>
      </c>
      <c r="CB88" s="97">
        <v>3</v>
      </c>
      <c r="CC88" s="97">
        <v>5677.2</v>
      </c>
      <c r="CD88" s="97">
        <v>5.296540696365029</v>
      </c>
      <c r="CE88" s="97">
        <v>10023.17361380118</v>
      </c>
      <c r="CF88" s="97">
        <v>3</v>
      </c>
      <c r="CG88" s="97">
        <v>5677.2</v>
      </c>
      <c r="CH88" s="97">
        <v>5.0255360897843415</v>
      </c>
      <c r="CI88" s="97">
        <v>9510.3244963078869</v>
      </c>
      <c r="CJ88" s="97">
        <v>5</v>
      </c>
      <c r="CK88" s="97">
        <v>9462</v>
      </c>
      <c r="CL88" s="97">
        <v>5</v>
      </c>
      <c r="CM88" s="97">
        <v>9462</v>
      </c>
      <c r="CN88" s="97">
        <v>3</v>
      </c>
      <c r="CO88" s="97">
        <v>5677.2</v>
      </c>
      <c r="CP88" s="97">
        <v>4.0038833824732931</v>
      </c>
      <c r="CQ88" s="97">
        <v>7576.9489129924596</v>
      </c>
      <c r="CR88" s="97">
        <v>3</v>
      </c>
      <c r="CS88" s="97">
        <v>5677.2</v>
      </c>
      <c r="CT88" s="97">
        <v>3</v>
      </c>
      <c r="CU88" s="97">
        <v>5677.2</v>
      </c>
    </row>
    <row r="89" spans="2:99" x14ac:dyDescent="0.15">
      <c r="C89" s="96" t="s">
        <v>254</v>
      </c>
      <c r="D89" s="97">
        <v>0</v>
      </c>
      <c r="E89" s="97">
        <v>0</v>
      </c>
      <c r="F89" s="97">
        <v>0</v>
      </c>
      <c r="G89" s="97">
        <v>0</v>
      </c>
      <c r="H89" s="97">
        <v>0</v>
      </c>
      <c r="I89" s="97">
        <v>0</v>
      </c>
      <c r="J89" s="97">
        <v>16.421509027531492</v>
      </c>
      <c r="K89" s="97">
        <v>39372.210044409505</v>
      </c>
      <c r="L89" s="97">
        <v>2.3410469477240201</v>
      </c>
      <c r="M89" s="97">
        <v>5612.8941618631106</v>
      </c>
      <c r="N89" s="97">
        <v>32</v>
      </c>
      <c r="O89" s="97">
        <v>76723.199999999997</v>
      </c>
      <c r="P89" s="97">
        <v>25.14244644279518</v>
      </c>
      <c r="Q89" s="97">
        <v>60281.529591245722</v>
      </c>
      <c r="R89" s="97">
        <v>15.304525267162024</v>
      </c>
      <c r="S89" s="97">
        <v>36694.129780547664</v>
      </c>
      <c r="T89" s="97">
        <v>15.040566683368548</v>
      </c>
      <c r="U89" s="97">
        <v>36061.262680044427</v>
      </c>
      <c r="V89" s="97">
        <v>16.009780209805541</v>
      </c>
      <c r="W89" s="97">
        <v>38385.049031029761</v>
      </c>
      <c r="X89" s="97">
        <v>13.787753365374371</v>
      </c>
      <c r="Y89" s="97">
        <v>33057.517468821592</v>
      </c>
      <c r="Z89" s="97">
        <v>20</v>
      </c>
      <c r="AA89" s="97">
        <v>47952</v>
      </c>
      <c r="AB89" s="97">
        <v>17.666946258023636</v>
      </c>
      <c r="AC89" s="97">
        <v>42358.270348237464</v>
      </c>
      <c r="AD89" s="97">
        <v>17.361759843073223</v>
      </c>
      <c r="AE89" s="97">
        <v>41626.55539975236</v>
      </c>
      <c r="AF89" s="97">
        <v>14.503528279865909</v>
      </c>
      <c r="AG89" s="97">
        <v>34773.659403806501</v>
      </c>
      <c r="AH89" s="97">
        <v>20.383694952439754</v>
      </c>
      <c r="AI89" s="97">
        <v>48871.947017969549</v>
      </c>
      <c r="AJ89" s="97">
        <v>9.4949285348786283</v>
      </c>
      <c r="AK89" s="97">
        <v>22765.040655224999</v>
      </c>
      <c r="AL89" s="97">
        <v>14.560669904261196</v>
      </c>
      <c r="AM89" s="97">
        <v>34910.662162456647</v>
      </c>
      <c r="AN89" s="97">
        <v>11.36810562744517</v>
      </c>
      <c r="AO89" s="97">
        <v>27256.170052362537</v>
      </c>
      <c r="AP89" s="97">
        <v>15.060998810939358</v>
      </c>
      <c r="AQ89" s="97">
        <v>36110.250749108207</v>
      </c>
      <c r="AR89" s="97">
        <v>8.4499764871770999</v>
      </c>
      <c r="AS89" s="97">
        <v>20259.663625655812</v>
      </c>
      <c r="AT89" s="97">
        <v>10.451779306991666</v>
      </c>
      <c r="AU89" s="97">
        <v>25059.186066443217</v>
      </c>
      <c r="AV89" s="97">
        <v>10.40703884859729</v>
      </c>
      <c r="AW89" s="97">
        <v>24951.916343396861</v>
      </c>
      <c r="AX89" s="97">
        <v>11.448737665418886</v>
      </c>
      <c r="AY89" s="97">
        <v>27449.493426608318</v>
      </c>
      <c r="AZ89" s="97">
        <v>9.467248353106557</v>
      </c>
      <c r="BA89" s="97">
        <v>22698.674651408281</v>
      </c>
      <c r="BB89" s="97">
        <v>9.0601608172079704</v>
      </c>
      <c r="BC89" s="97">
        <v>21722.641575337828</v>
      </c>
      <c r="BD89" s="97">
        <v>8</v>
      </c>
      <c r="BE89" s="97">
        <v>19180.8</v>
      </c>
      <c r="BF89" s="97">
        <v>7.4845547990480306</v>
      </c>
      <c r="BG89" s="97">
        <v>17944.968586197556</v>
      </c>
      <c r="BH89" s="97">
        <v>6.3352890080031274</v>
      </c>
      <c r="BI89" s="97">
        <v>15189.488925588297</v>
      </c>
      <c r="BJ89" s="97">
        <v>8.3876858569185693</v>
      </c>
      <c r="BK89" s="97">
        <v>20110.315610547961</v>
      </c>
      <c r="BL89" s="97">
        <v>5.4076631725170587</v>
      </c>
      <c r="BM89" s="97">
        <v>12965.4132224269</v>
      </c>
      <c r="BN89" s="97">
        <v>5.0452701406211453</v>
      </c>
      <c r="BO89" s="97">
        <v>12096.539689153258</v>
      </c>
      <c r="BP89" s="97">
        <v>6.2427403400000019</v>
      </c>
      <c r="BQ89" s="97">
        <v>14967.594239184004</v>
      </c>
      <c r="BR89" s="97">
        <v>5.2452628510986656</v>
      </c>
      <c r="BS89" s="97">
        <v>12576.04221179416</v>
      </c>
      <c r="BT89" s="97">
        <v>6.1733345402498081</v>
      </c>
      <c r="BU89" s="97">
        <v>14801.186893702939</v>
      </c>
      <c r="BV89" s="97">
        <v>5.0602223845467087</v>
      </c>
      <c r="BW89" s="97">
        <v>12132.389189189189</v>
      </c>
      <c r="BX89" s="97">
        <v>6</v>
      </c>
      <c r="BY89" s="97">
        <v>14385.599999999999</v>
      </c>
      <c r="BZ89" s="97">
        <v>5.2301818669999047</v>
      </c>
      <c r="CA89" s="97">
        <v>12539.884044318971</v>
      </c>
      <c r="CB89" s="97">
        <v>3</v>
      </c>
      <c r="CC89" s="97">
        <v>7192.7999999999993</v>
      </c>
      <c r="CD89" s="97">
        <v>5.2471172469708574</v>
      </c>
      <c r="CE89" s="97">
        <v>12580.488311337327</v>
      </c>
      <c r="CF89" s="97">
        <v>3</v>
      </c>
      <c r="CG89" s="97">
        <v>7192.7999999999993</v>
      </c>
      <c r="CH89" s="97">
        <v>4.0306433077412098</v>
      </c>
      <c r="CI89" s="97">
        <v>9663.8703946403239</v>
      </c>
      <c r="CJ89" s="97">
        <v>4</v>
      </c>
      <c r="CK89" s="97">
        <v>9590.4</v>
      </c>
      <c r="CL89" s="97">
        <v>4</v>
      </c>
      <c r="CM89" s="97">
        <v>9590.4</v>
      </c>
      <c r="CN89" s="97">
        <v>3</v>
      </c>
      <c r="CO89" s="97">
        <v>7192.7999999999993</v>
      </c>
      <c r="CP89" s="97">
        <v>4.0038833824732931</v>
      </c>
      <c r="CQ89" s="97">
        <v>9599.7107978179665</v>
      </c>
      <c r="CR89" s="97">
        <v>3</v>
      </c>
      <c r="CS89" s="97">
        <v>7192.7999999999993</v>
      </c>
      <c r="CT89" s="97">
        <v>4</v>
      </c>
      <c r="CU89" s="97">
        <v>9590.4</v>
      </c>
    </row>
    <row r="90" spans="2:99" x14ac:dyDescent="0.15">
      <c r="C90" s="96" t="s">
        <v>255</v>
      </c>
      <c r="D90" s="97">
        <v>0</v>
      </c>
      <c r="E90" s="97">
        <v>0</v>
      </c>
      <c r="F90" s="97">
        <v>0</v>
      </c>
      <c r="G90" s="97">
        <v>0</v>
      </c>
      <c r="H90" s="97">
        <v>0</v>
      </c>
      <c r="I90" s="97">
        <v>0</v>
      </c>
      <c r="J90" s="97">
        <v>19.064030690055489</v>
      </c>
      <c r="K90" s="97">
        <v>41887.48823218992</v>
      </c>
      <c r="L90" s="97">
        <v>2.4180030359333524</v>
      </c>
      <c r="M90" s="97">
        <v>5312.8362705527616</v>
      </c>
      <c r="N90" s="97">
        <v>31</v>
      </c>
      <c r="O90" s="97">
        <v>68113.2</v>
      </c>
      <c r="P90" s="97">
        <v>23.552837169636732</v>
      </c>
      <c r="Q90" s="97">
        <v>51750.293829125825</v>
      </c>
      <c r="R90" s="97">
        <v>13.591872892774918</v>
      </c>
      <c r="S90" s="97">
        <v>29864.063120005045</v>
      </c>
      <c r="T90" s="97">
        <v>15.944891024831072</v>
      </c>
      <c r="U90" s="97">
        <v>35034.114559758833</v>
      </c>
      <c r="V90" s="97">
        <v>18.835035540947693</v>
      </c>
      <c r="W90" s="97">
        <v>41384.340090570266</v>
      </c>
      <c r="X90" s="97">
        <v>15.676120675991745</v>
      </c>
      <c r="Y90" s="97">
        <v>34443.572349289061</v>
      </c>
      <c r="Z90" s="97">
        <v>20</v>
      </c>
      <c r="AA90" s="97">
        <v>43944</v>
      </c>
      <c r="AB90" s="97">
        <v>16.672215867739279</v>
      </c>
      <c r="AC90" s="97">
        <v>36632.192704596739</v>
      </c>
      <c r="AD90" s="97">
        <v>17.361759843073223</v>
      </c>
      <c r="AE90" s="97">
        <v>38147.258727200482</v>
      </c>
      <c r="AF90" s="97">
        <v>12.528704693859206</v>
      </c>
      <c r="AG90" s="97">
        <v>27528.069953347444</v>
      </c>
      <c r="AH90" s="97">
        <v>21.434854279431722</v>
      </c>
      <c r="AI90" s="97">
        <v>47096.661822767375</v>
      </c>
      <c r="AJ90" s="97">
        <v>9.4949285348786283</v>
      </c>
      <c r="AK90" s="97">
        <v>20862.256976835321</v>
      </c>
      <c r="AL90" s="97">
        <v>14.494708739053996</v>
      </c>
      <c r="AM90" s="97">
        <v>31847.774041449436</v>
      </c>
      <c r="AN90" s="97">
        <v>13.424737262436734</v>
      </c>
      <c r="AO90" s="97">
        <v>29496.83271302599</v>
      </c>
      <c r="AP90" s="97">
        <v>16.064387633769321</v>
      </c>
      <c r="AQ90" s="97">
        <v>35296.672508917953</v>
      </c>
      <c r="AR90" s="97">
        <v>10.499973874641222</v>
      </c>
      <c r="AS90" s="97">
        <v>23070.542597361691</v>
      </c>
      <c r="AT90" s="97">
        <v>10.451779306991666</v>
      </c>
      <c r="AU90" s="97">
        <v>22964.649493322086</v>
      </c>
      <c r="AV90" s="97">
        <v>10.440958752647065</v>
      </c>
      <c r="AW90" s="97">
        <v>22940.87457131613</v>
      </c>
      <c r="AX90" s="97">
        <v>13.407943332198988</v>
      </c>
      <c r="AY90" s="97">
        <v>29459.933089507613</v>
      </c>
      <c r="AZ90" s="97">
        <v>10.467248353106557</v>
      </c>
      <c r="BA90" s="97">
        <v>22998.638081445726</v>
      </c>
      <c r="BB90" s="97">
        <v>8.0701876200759664</v>
      </c>
      <c r="BC90" s="97">
        <v>17731.81623883091</v>
      </c>
      <c r="BD90" s="97">
        <v>7.6477137522293805</v>
      </c>
      <c r="BE90" s="97">
        <v>16803.556656398392</v>
      </c>
      <c r="BF90" s="97">
        <v>7.5726556716022175</v>
      </c>
      <c r="BG90" s="97">
        <v>16638.63904164439</v>
      </c>
      <c r="BH90" s="97">
        <v>6.3352890080031274</v>
      </c>
      <c r="BI90" s="97">
        <v>13919.897008384471</v>
      </c>
      <c r="BJ90" s="97">
        <v>9.4307620632428542</v>
      </c>
      <c r="BK90" s="97">
        <v>20721.270405357198</v>
      </c>
      <c r="BL90" s="97">
        <v>5.4076631725170587</v>
      </c>
      <c r="BM90" s="97">
        <v>11881.71752265448</v>
      </c>
      <c r="BN90" s="97">
        <v>5.0452701406211453</v>
      </c>
      <c r="BO90" s="97">
        <v>11085.467552972779</v>
      </c>
      <c r="BP90" s="97">
        <v>7.2427403400000019</v>
      </c>
      <c r="BQ90" s="97">
        <v>15913.749075048003</v>
      </c>
      <c r="BR90" s="97">
        <v>5.2452628510986656</v>
      </c>
      <c r="BS90" s="97">
        <v>11524.891536433986</v>
      </c>
      <c r="BT90" s="97">
        <v>6.1733345402498081</v>
      </c>
      <c r="BU90" s="97">
        <v>13564.050651836877</v>
      </c>
      <c r="BV90" s="97">
        <v>5.0602223845467087</v>
      </c>
      <c r="BW90" s="97">
        <v>11118.320623326028</v>
      </c>
      <c r="BX90" s="97">
        <v>5</v>
      </c>
      <c r="BY90" s="97">
        <v>10986</v>
      </c>
      <c r="BZ90" s="97">
        <v>5.2301818669999047</v>
      </c>
      <c r="CA90" s="97">
        <v>11491.755598172189</v>
      </c>
      <c r="CB90" s="97">
        <v>3</v>
      </c>
      <c r="CC90" s="97">
        <v>6591.5999999999995</v>
      </c>
      <c r="CD90" s="97">
        <v>6.2471172469708574</v>
      </c>
      <c r="CE90" s="97">
        <v>13726.166015044366</v>
      </c>
      <c r="CF90" s="97">
        <v>3</v>
      </c>
      <c r="CG90" s="97">
        <v>6591.5999999999995</v>
      </c>
      <c r="CH90" s="97">
        <v>4.0255360897843415</v>
      </c>
      <c r="CI90" s="97">
        <v>8844.9078964741548</v>
      </c>
      <c r="CJ90" s="97">
        <v>5</v>
      </c>
      <c r="CK90" s="97">
        <v>10986</v>
      </c>
      <c r="CL90" s="97">
        <v>4</v>
      </c>
      <c r="CM90" s="97">
        <v>8788.7999999999993</v>
      </c>
      <c r="CN90" s="97">
        <v>3</v>
      </c>
      <c r="CO90" s="97">
        <v>6591.5999999999995</v>
      </c>
      <c r="CP90" s="97">
        <v>4.0051778432977239</v>
      </c>
      <c r="CQ90" s="97">
        <v>8800.1767572937588</v>
      </c>
      <c r="CR90" s="97">
        <v>3</v>
      </c>
      <c r="CS90" s="97">
        <v>6591.5999999999995</v>
      </c>
      <c r="CT90" s="97">
        <v>4</v>
      </c>
      <c r="CU90" s="97">
        <v>8788.7999999999993</v>
      </c>
    </row>
    <row r="91" spans="2:99" x14ac:dyDescent="0.15">
      <c r="C91" s="96" t="s">
        <v>256</v>
      </c>
      <c r="D91" s="97">
        <v>0</v>
      </c>
      <c r="E91" s="97">
        <v>0</v>
      </c>
      <c r="F91" s="97">
        <v>0</v>
      </c>
      <c r="G91" s="97">
        <v>0</v>
      </c>
      <c r="H91" s="97">
        <v>0</v>
      </c>
      <c r="I91" s="97">
        <v>0</v>
      </c>
      <c r="J91" s="97">
        <v>16.796488167285911</v>
      </c>
      <c r="K91" s="97">
        <v>38578.174022622276</v>
      </c>
      <c r="L91" s="97">
        <v>2.5750472415240222</v>
      </c>
      <c r="M91" s="97">
        <v>5914.368504332373</v>
      </c>
      <c r="N91" s="97">
        <v>34</v>
      </c>
      <c r="O91" s="97">
        <v>78091.199999999997</v>
      </c>
      <c r="P91" s="97">
        <v>26.135545898721556</v>
      </c>
      <c r="Q91" s="97">
        <v>60028.12182018366</v>
      </c>
      <c r="R91" s="97">
        <v>13.12600026257574</v>
      </c>
      <c r="S91" s="97">
        <v>30147.797403083958</v>
      </c>
      <c r="T91" s="97">
        <v>15.040566683368548</v>
      </c>
      <c r="U91" s="97">
        <v>34545.173558360875</v>
      </c>
      <c r="V91" s="97">
        <v>16.951531986852924</v>
      </c>
      <c r="W91" s="97">
        <v>38934.278667403792</v>
      </c>
      <c r="X91" s="97">
        <v>14.761893978106887</v>
      </c>
      <c r="Y91" s="97">
        <v>33905.118088915893</v>
      </c>
      <c r="Z91" s="97">
        <v>18</v>
      </c>
      <c r="AA91" s="97">
        <v>41342.399999999994</v>
      </c>
      <c r="AB91" s="97">
        <v>15.715311958614411</v>
      </c>
      <c r="AC91" s="97">
        <v>36094.928506545577</v>
      </c>
      <c r="AD91" s="97">
        <v>15.361759843073225</v>
      </c>
      <c r="AE91" s="97">
        <v>35282.890007570575</v>
      </c>
      <c r="AF91" s="97">
        <v>14.503528279865909</v>
      </c>
      <c r="AG91" s="97">
        <v>33311.703753196016</v>
      </c>
      <c r="AH91" s="97">
        <v>21.434854279431722</v>
      </c>
      <c r="AI91" s="97">
        <v>49231.57330899877</v>
      </c>
      <c r="AJ91" s="97">
        <v>8.5302805730842444</v>
      </c>
      <c r="AK91" s="97">
        <v>19592.348420259888</v>
      </c>
      <c r="AL91" s="97">
        <v>12.494708739053996</v>
      </c>
      <c r="AM91" s="97">
        <v>28697.847031859215</v>
      </c>
      <c r="AN91" s="97">
        <v>13.396421444940952</v>
      </c>
      <c r="AO91" s="97">
        <v>30768.900774740374</v>
      </c>
      <c r="AP91" s="97">
        <v>14.060998810939358</v>
      </c>
      <c r="AQ91" s="97">
        <v>32295.302068965513</v>
      </c>
      <c r="AR91" s="97">
        <v>9.4999738746412223</v>
      </c>
      <c r="AS91" s="97">
        <v>21819.539995275958</v>
      </c>
      <c r="AT91" s="97">
        <v>9.4107084609015157</v>
      </c>
      <c r="AU91" s="97">
        <v>21614.515192998599</v>
      </c>
      <c r="AV91" s="97">
        <v>11.440958752647065</v>
      </c>
      <c r="AW91" s="97">
        <v>26277.594063079774</v>
      </c>
      <c r="AX91" s="97">
        <v>12.407943332198988</v>
      </c>
      <c r="AY91" s="97">
        <v>28498.564245394631</v>
      </c>
      <c r="AZ91" s="97">
        <v>9.5097254761162446</v>
      </c>
      <c r="BA91" s="97">
        <v>21841.937473543789</v>
      </c>
      <c r="BB91" s="97">
        <v>9.0651742186419693</v>
      </c>
      <c r="BC91" s="97">
        <v>20820.892145376871</v>
      </c>
      <c r="BD91" s="97">
        <v>7.6477137522293805</v>
      </c>
      <c r="BE91" s="97">
        <v>17565.268946120439</v>
      </c>
      <c r="BF91" s="97">
        <v>6.5726556716022175</v>
      </c>
      <c r="BG91" s="97">
        <v>15096.075546535971</v>
      </c>
      <c r="BH91" s="97">
        <v>6.3352890080031274</v>
      </c>
      <c r="BI91" s="97">
        <v>14550.891793581581</v>
      </c>
      <c r="BJ91" s="97">
        <v>8.3876858569185693</v>
      </c>
      <c r="BK91" s="97">
        <v>19264.836876170568</v>
      </c>
      <c r="BL91" s="97">
        <v>5.4529590805745096</v>
      </c>
      <c r="BM91" s="97">
        <v>12524.356416263532</v>
      </c>
      <c r="BN91" s="97">
        <v>5.0452701406211453</v>
      </c>
      <c r="BO91" s="97">
        <v>11587.976458978645</v>
      </c>
      <c r="BP91" s="97">
        <v>7.2427403400000019</v>
      </c>
      <c r="BQ91" s="97">
        <v>16635.126012912002</v>
      </c>
      <c r="BR91" s="97">
        <v>4.2452628510986656</v>
      </c>
      <c r="BS91" s="97">
        <v>9750.5197164034143</v>
      </c>
      <c r="BT91" s="97">
        <v>6.1733345402498081</v>
      </c>
      <c r="BU91" s="97">
        <v>14178.914772045757</v>
      </c>
      <c r="BV91" s="97">
        <v>5.0602223845467087</v>
      </c>
      <c r="BW91" s="97">
        <v>11622.318772826879</v>
      </c>
      <c r="BX91" s="97">
        <v>6</v>
      </c>
      <c r="BY91" s="97">
        <v>13780.8</v>
      </c>
      <c r="BZ91" s="97">
        <v>5.1841454935999245</v>
      </c>
      <c r="CA91" s="97">
        <v>11906.945369700305</v>
      </c>
      <c r="CB91" s="97">
        <v>3.3419878804836367</v>
      </c>
      <c r="CC91" s="97">
        <v>7675.8777638948159</v>
      </c>
      <c r="CD91" s="97">
        <v>5.2471172469708574</v>
      </c>
      <c r="CE91" s="97">
        <v>12051.578892842665</v>
      </c>
      <c r="CF91" s="97">
        <v>3</v>
      </c>
      <c r="CG91" s="97">
        <v>6890.4</v>
      </c>
      <c r="CH91" s="97">
        <v>4.0255360897843415</v>
      </c>
      <c r="CI91" s="97">
        <v>9245.8512910166737</v>
      </c>
      <c r="CJ91" s="97">
        <v>5</v>
      </c>
      <c r="CK91" s="97">
        <v>11483.999999999998</v>
      </c>
      <c r="CL91" s="97">
        <v>5</v>
      </c>
      <c r="CM91" s="97">
        <v>11483.999999999998</v>
      </c>
      <c r="CN91" s="97">
        <v>4.1539544330270068</v>
      </c>
      <c r="CO91" s="97">
        <v>9540.8025417764275</v>
      </c>
      <c r="CP91" s="97">
        <v>4.0051778432977239</v>
      </c>
      <c r="CQ91" s="97">
        <v>9199.0924704862118</v>
      </c>
      <c r="CR91" s="97">
        <v>3</v>
      </c>
      <c r="CS91" s="97">
        <v>6890.4</v>
      </c>
      <c r="CT91" s="97">
        <v>4</v>
      </c>
      <c r="CU91" s="97">
        <v>9187.1999999999989</v>
      </c>
    </row>
    <row r="92" spans="2:99" x14ac:dyDescent="0.15">
      <c r="C92" s="96" t="s">
        <v>257</v>
      </c>
      <c r="D92" s="97">
        <v>0</v>
      </c>
      <c r="E92" s="97">
        <v>0</v>
      </c>
      <c r="F92" s="97">
        <v>0</v>
      </c>
      <c r="G92" s="97">
        <v>0</v>
      </c>
      <c r="H92" s="97">
        <v>0</v>
      </c>
      <c r="I92" s="97">
        <v>0</v>
      </c>
      <c r="J92" s="97">
        <v>20.97720637135421</v>
      </c>
      <c r="K92" s="97">
        <v>29804.414812420062</v>
      </c>
      <c r="L92" s="97">
        <v>3.1147838687133476</v>
      </c>
      <c r="M92" s="97">
        <v>4425.4849206679237</v>
      </c>
      <c r="N92" s="97">
        <v>39</v>
      </c>
      <c r="O92" s="97">
        <v>55411.199999999997</v>
      </c>
      <c r="P92" s="97">
        <v>27.813286202700958</v>
      </c>
      <c r="Q92" s="97">
        <v>39517.117036797521</v>
      </c>
      <c r="R92" s="97">
        <v>17.058315317842663</v>
      </c>
      <c r="S92" s="97">
        <v>24236.454403590855</v>
      </c>
      <c r="T92" s="97">
        <v>17.027596873719283</v>
      </c>
      <c r="U92" s="97">
        <v>24192.809638180355</v>
      </c>
      <c r="V92" s="97">
        <v>20.718539095042466</v>
      </c>
      <c r="W92" s="97">
        <v>29436.900346236336</v>
      </c>
      <c r="X92" s="97">
        <v>14.761893978106887</v>
      </c>
      <c r="Y92" s="97">
        <v>20973.698964094263</v>
      </c>
      <c r="Z92" s="97">
        <v>21</v>
      </c>
      <c r="AA92" s="97">
        <v>29836.799999999999</v>
      </c>
      <c r="AB92" s="97">
        <v>17.666946258023636</v>
      </c>
      <c r="AC92" s="97">
        <v>25101.19724339998</v>
      </c>
      <c r="AD92" s="97">
        <v>16.439279809446056</v>
      </c>
      <c r="AE92" s="97">
        <v>23356.928753260956</v>
      </c>
      <c r="AF92" s="97">
        <v>13.553881107852501</v>
      </c>
      <c r="AG92" s="97">
        <v>19257.354278036833</v>
      </c>
      <c r="AH92" s="97">
        <v>24.460433942927704</v>
      </c>
      <c r="AI92" s="97">
        <v>34753.38454611168</v>
      </c>
      <c r="AJ92" s="97">
        <v>10.530280573084244</v>
      </c>
      <c r="AK92" s="97">
        <v>14961.422638238095</v>
      </c>
      <c r="AL92" s="97">
        <v>15.560669904261196</v>
      </c>
      <c r="AM92" s="97">
        <v>22108.599799974309</v>
      </c>
      <c r="AN92" s="97">
        <v>12.424737262436734</v>
      </c>
      <c r="AO92" s="97">
        <v>17653.066702470111</v>
      </c>
      <c r="AP92" s="97">
        <v>15.077942925089179</v>
      </c>
      <c r="AQ92" s="97">
        <v>21422.741307966706</v>
      </c>
      <c r="AR92" s="97">
        <v>10.549971262105345</v>
      </c>
      <c r="AS92" s="97">
        <v>14989.399169199274</v>
      </c>
      <c r="AT92" s="97">
        <v>10.451779306991666</v>
      </c>
      <c r="AU92" s="97">
        <v>14849.888039373758</v>
      </c>
      <c r="AV92" s="97">
        <v>11.440958752647065</v>
      </c>
      <c r="AW92" s="97">
        <v>16255.31419576095</v>
      </c>
      <c r="AX92" s="97">
        <v>12.407943332198988</v>
      </c>
      <c r="AY92" s="97">
        <v>17629.205886388321</v>
      </c>
      <c r="AZ92" s="97">
        <v>10.509725476116245</v>
      </c>
      <c r="BA92" s="97">
        <v>14932.21795646596</v>
      </c>
      <c r="BB92" s="97">
        <v>11.070187620075966</v>
      </c>
      <c r="BC92" s="97">
        <v>15728.522570603933</v>
      </c>
      <c r="BD92" s="97">
        <v>7.6975378870162565</v>
      </c>
      <c r="BE92" s="97">
        <v>10936.661829872697</v>
      </c>
      <c r="BF92" s="97">
        <v>7.5286052353251245</v>
      </c>
      <c r="BG92" s="97">
        <v>10696.642318349937</v>
      </c>
      <c r="BH92" s="97">
        <v>7.3831874377178597</v>
      </c>
      <c r="BI92" s="97">
        <v>10490.032711509535</v>
      </c>
      <c r="BJ92" s="97">
        <v>9.4307620632428542</v>
      </c>
      <c r="BK92" s="97">
        <v>13399.226739455447</v>
      </c>
      <c r="BL92" s="97">
        <v>5.4076631725170587</v>
      </c>
      <c r="BM92" s="97">
        <v>7683.2078355122367</v>
      </c>
      <c r="BN92" s="97">
        <v>5.0452701406211453</v>
      </c>
      <c r="BO92" s="97">
        <v>7168.3198157945226</v>
      </c>
      <c r="BP92" s="97">
        <v>7.2912884080000024</v>
      </c>
      <c r="BQ92" s="97">
        <v>10359.462570086404</v>
      </c>
      <c r="BR92" s="97">
        <v>5.2452628510986656</v>
      </c>
      <c r="BS92" s="97">
        <v>7452.4694588409839</v>
      </c>
      <c r="BT92" s="97">
        <v>7.2080014482997701</v>
      </c>
      <c r="BU92" s="97">
        <v>10241.128457744313</v>
      </c>
      <c r="BV92" s="97">
        <v>5.0688255823390955</v>
      </c>
      <c r="BW92" s="97">
        <v>7201.7873873873868</v>
      </c>
      <c r="BX92" s="97">
        <v>5</v>
      </c>
      <c r="BY92" s="97">
        <v>7104</v>
      </c>
      <c r="BZ92" s="97">
        <v>5.2301818669999047</v>
      </c>
      <c r="CA92" s="97">
        <v>7431.0423966334647</v>
      </c>
      <c r="CB92" s="97">
        <v>3</v>
      </c>
      <c r="CC92" s="97">
        <v>4262.3999999999996</v>
      </c>
      <c r="CD92" s="97">
        <v>5.2471172469708574</v>
      </c>
      <c r="CE92" s="97">
        <v>7455.1041844961937</v>
      </c>
      <c r="CF92" s="97">
        <v>3</v>
      </c>
      <c r="CG92" s="97">
        <v>4262.3999999999996</v>
      </c>
      <c r="CH92" s="97">
        <v>4.0306433077412098</v>
      </c>
      <c r="CI92" s="97">
        <v>5726.7380116387103</v>
      </c>
      <c r="CJ92" s="97">
        <v>4</v>
      </c>
      <c r="CK92" s="97">
        <v>5683.2</v>
      </c>
      <c r="CL92" s="97">
        <v>5.2212264525966923</v>
      </c>
      <c r="CM92" s="97">
        <v>7418.3185438493801</v>
      </c>
      <c r="CN92" s="97">
        <v>4</v>
      </c>
      <c r="CO92" s="97">
        <v>5683.2</v>
      </c>
      <c r="CP92" s="97">
        <v>4.0051778432977239</v>
      </c>
      <c r="CQ92" s="97">
        <v>5690.5566797574056</v>
      </c>
      <c r="CR92" s="97">
        <v>3</v>
      </c>
      <c r="CS92" s="97">
        <v>4262.3999999999996</v>
      </c>
      <c r="CT92" s="97">
        <v>3</v>
      </c>
      <c r="CU92" s="97">
        <v>4262.3999999999996</v>
      </c>
    </row>
    <row r="93" spans="2:99" x14ac:dyDescent="0.15">
      <c r="C93" s="96" t="s">
        <v>258</v>
      </c>
      <c r="D93" s="97">
        <v>0</v>
      </c>
      <c r="E93" s="97">
        <v>0</v>
      </c>
      <c r="F93" s="97">
        <v>0</v>
      </c>
      <c r="G93" s="97">
        <v>0</v>
      </c>
      <c r="H93" s="97">
        <v>0</v>
      </c>
      <c r="I93" s="97">
        <v>0</v>
      </c>
      <c r="J93" s="97">
        <v>18.319961638627664</v>
      </c>
      <c r="K93" s="97">
        <v>32470.300008303668</v>
      </c>
      <c r="L93" s="97">
        <v>2.8818275846373478</v>
      </c>
      <c r="M93" s="97">
        <v>5107.7512110112348</v>
      </c>
      <c r="N93" s="97">
        <v>39</v>
      </c>
      <c r="O93" s="97">
        <v>69123.599999999991</v>
      </c>
      <c r="P93" s="97">
        <v>29.535092022090836</v>
      </c>
      <c r="Q93" s="97">
        <v>52347.997099953791</v>
      </c>
      <c r="R93" s="97">
        <v>16.188276571884597</v>
      </c>
      <c r="S93" s="97">
        <v>28692.101396008256</v>
      </c>
      <c r="T93" s="97">
        <v>16.995163872369158</v>
      </c>
      <c r="U93" s="97">
        <v>30122.228447387093</v>
      </c>
      <c r="V93" s="97">
        <v>17.893283763900307</v>
      </c>
      <c r="W93" s="97">
        <v>31714.056143136902</v>
      </c>
      <c r="X93" s="97">
        <v>14.761893978106887</v>
      </c>
      <c r="Y93" s="97">
        <v>26163.980886796646</v>
      </c>
      <c r="Z93" s="97">
        <v>21</v>
      </c>
      <c r="AA93" s="97">
        <v>37220.399999999994</v>
      </c>
      <c r="AB93" s="97">
        <v>17.629119776864151</v>
      </c>
      <c r="AC93" s="97">
        <v>31245.85189251402</v>
      </c>
      <c r="AD93" s="97">
        <v>17.439279809446056</v>
      </c>
      <c r="AE93" s="97">
        <v>30909.379534262189</v>
      </c>
      <c r="AF93" s="97">
        <v>15.528704693859206</v>
      </c>
      <c r="AG93" s="97">
        <v>27523.076199396055</v>
      </c>
      <c r="AH93" s="97">
        <v>23.434854279431722</v>
      </c>
      <c r="AI93" s="97">
        <v>41535.935724864779</v>
      </c>
      <c r="AJ93" s="97">
        <v>8.5302805730842444</v>
      </c>
      <c r="AK93" s="97">
        <v>15119.069287734514</v>
      </c>
      <c r="AL93" s="97">
        <v>12.560669904261196</v>
      </c>
      <c r="AM93" s="97">
        <v>22262.531338312543</v>
      </c>
      <c r="AN93" s="97">
        <v>13.396421444940952</v>
      </c>
      <c r="AO93" s="97">
        <v>23743.817369013341</v>
      </c>
      <c r="AP93" s="97">
        <v>14.067776456599287</v>
      </c>
      <c r="AQ93" s="97">
        <v>24933.726991676573</v>
      </c>
      <c r="AR93" s="97">
        <v>10.4499764871771</v>
      </c>
      <c r="AS93" s="97">
        <v>18521.538325872691</v>
      </c>
      <c r="AT93" s="97">
        <v>11.410708460901516</v>
      </c>
      <c r="AU93" s="97">
        <v>20224.339676101845</v>
      </c>
      <c r="AV93" s="97">
        <v>12.474878656696838</v>
      </c>
      <c r="AW93" s="97">
        <v>22110.474931129473</v>
      </c>
      <c r="AX93" s="97">
        <v>11.407943332198988</v>
      </c>
      <c r="AY93" s="97">
        <v>20219.438761989484</v>
      </c>
      <c r="AZ93" s="97">
        <v>8.5522025991259305</v>
      </c>
      <c r="BA93" s="97">
        <v>15157.923886690798</v>
      </c>
      <c r="BB93" s="97">
        <v>10.070187620075966</v>
      </c>
      <c r="BC93" s="97">
        <v>17848.400537822643</v>
      </c>
      <c r="BD93" s="97">
        <v>7</v>
      </c>
      <c r="BE93" s="97">
        <v>12406.8</v>
      </c>
      <c r="BF93" s="97">
        <v>7.5286052353251245</v>
      </c>
      <c r="BG93" s="97">
        <v>13343.69991909025</v>
      </c>
      <c r="BH93" s="97">
        <v>6.3352890080031274</v>
      </c>
      <c r="BI93" s="97">
        <v>11228.666237784742</v>
      </c>
      <c r="BJ93" s="97">
        <v>9.3876858569185693</v>
      </c>
      <c r="BK93" s="97">
        <v>16638.734412802471</v>
      </c>
      <c r="BL93" s="97">
        <v>5.4529590805745096</v>
      </c>
      <c r="BM93" s="97">
        <v>9664.8246744102598</v>
      </c>
      <c r="BN93" s="97">
        <v>5.0528151640580026</v>
      </c>
      <c r="BO93" s="97">
        <v>8955.6095967764031</v>
      </c>
      <c r="BP93" s="97">
        <v>7.2427403400000019</v>
      </c>
      <c r="BQ93" s="97">
        <v>12837.032978616002</v>
      </c>
      <c r="BR93" s="97">
        <v>5.2452628510986656</v>
      </c>
      <c r="BS93" s="97">
        <v>9296.7038772872747</v>
      </c>
      <c r="BT93" s="97">
        <v>7</v>
      </c>
      <c r="BU93" s="97">
        <v>12406.8</v>
      </c>
      <c r="BV93" s="97">
        <v>5.0688255823390955</v>
      </c>
      <c r="BW93" s="97">
        <v>8983.9864621378129</v>
      </c>
      <c r="BX93" s="97">
        <v>6</v>
      </c>
      <c r="BY93" s="97">
        <v>10634.4</v>
      </c>
      <c r="BZ93" s="97">
        <v>5.2301818669999047</v>
      </c>
      <c r="CA93" s="97">
        <v>9269.9743410706305</v>
      </c>
      <c r="CB93" s="97">
        <v>3</v>
      </c>
      <c r="CC93" s="97">
        <v>5317.2</v>
      </c>
      <c r="CD93" s="97">
        <v>5.296540696365029</v>
      </c>
      <c r="CE93" s="97">
        <v>9387.5887302373758</v>
      </c>
      <c r="CF93" s="97">
        <v>3</v>
      </c>
      <c r="CG93" s="97">
        <v>5317.2</v>
      </c>
      <c r="CH93" s="97">
        <v>4.0255360897843415</v>
      </c>
      <c r="CI93" s="97">
        <v>7134.8601655337661</v>
      </c>
      <c r="CJ93" s="97">
        <v>5</v>
      </c>
      <c r="CK93" s="97">
        <v>8862</v>
      </c>
      <c r="CL93" s="97">
        <v>5</v>
      </c>
      <c r="CM93" s="97">
        <v>8862</v>
      </c>
      <c r="CN93" s="97">
        <v>3</v>
      </c>
      <c r="CO93" s="97">
        <v>5317.2</v>
      </c>
      <c r="CP93" s="97">
        <v>4.0038833824732931</v>
      </c>
      <c r="CQ93" s="97">
        <v>7096.4829070956639</v>
      </c>
      <c r="CR93" s="97">
        <v>3</v>
      </c>
      <c r="CS93" s="97">
        <v>5317.2</v>
      </c>
      <c r="CT93" s="97">
        <v>4</v>
      </c>
      <c r="CU93" s="97">
        <v>7089.5999999999995</v>
      </c>
    </row>
    <row r="94" spans="2:99" x14ac:dyDescent="0.15">
      <c r="C94" s="96" t="s">
        <v>259</v>
      </c>
      <c r="D94" s="97">
        <v>0</v>
      </c>
      <c r="E94" s="97">
        <v>0</v>
      </c>
      <c r="F94" s="97">
        <v>0</v>
      </c>
      <c r="G94" s="97">
        <v>0</v>
      </c>
      <c r="H94" s="97">
        <v>0</v>
      </c>
      <c r="I94" s="97">
        <v>0</v>
      </c>
      <c r="J94" s="97">
        <v>16.058308343939103</v>
      </c>
      <c r="K94" s="97">
        <v>38462.860145402934</v>
      </c>
      <c r="L94" s="97">
        <v>2.4991351630386918</v>
      </c>
      <c r="M94" s="97">
        <v>5985.9285425102744</v>
      </c>
      <c r="N94" s="97">
        <v>32</v>
      </c>
      <c r="O94" s="97">
        <v>76646.399999999994</v>
      </c>
      <c r="P94" s="97">
        <v>23.552837169636732</v>
      </c>
      <c r="Q94" s="97">
        <v>56413.755588713895</v>
      </c>
      <c r="R94" s="97">
        <v>15.290812708397516</v>
      </c>
      <c r="S94" s="97">
        <v>36624.554599153729</v>
      </c>
      <c r="T94" s="97">
        <v>15.993540526856259</v>
      </c>
      <c r="U94" s="97">
        <v>38307.728269926112</v>
      </c>
      <c r="V94" s="97">
        <v>16.009780209805541</v>
      </c>
      <c r="W94" s="97">
        <v>38346.625558526226</v>
      </c>
      <c r="X94" s="97">
        <v>13.75779640795054</v>
      </c>
      <c r="Y94" s="97">
        <v>32952.673956323131</v>
      </c>
      <c r="Z94" s="97">
        <v>19</v>
      </c>
      <c r="AA94" s="97">
        <v>45508.799999999996</v>
      </c>
      <c r="AB94" s="97">
        <v>16.71004234889876</v>
      </c>
      <c r="AC94" s="97">
        <v>40023.893434082311</v>
      </c>
      <c r="AD94" s="97">
        <v>14.361759843073225</v>
      </c>
      <c r="AE94" s="97">
        <v>34399.287176128986</v>
      </c>
      <c r="AF94" s="97">
        <v>13.45317545187932</v>
      </c>
      <c r="AG94" s="97">
        <v>32223.045842341344</v>
      </c>
      <c r="AH94" s="97">
        <v>22.40927461593574</v>
      </c>
      <c r="AI94" s="97">
        <v>53674.69456008928</v>
      </c>
      <c r="AJ94" s="97">
        <v>9.4242244584673962</v>
      </c>
      <c r="AK94" s="97">
        <v>22572.902422921106</v>
      </c>
      <c r="AL94" s="97">
        <v>13.461728156450397</v>
      </c>
      <c r="AM94" s="97">
        <v>32243.531280329986</v>
      </c>
      <c r="AN94" s="97">
        <v>11.424737262436734</v>
      </c>
      <c r="AO94" s="97">
        <v>27364.530690988464</v>
      </c>
      <c r="AP94" s="97">
        <v>15.07116527942925</v>
      </c>
      <c r="AQ94" s="97">
        <v>36098.455077288934</v>
      </c>
      <c r="AR94" s="97">
        <v>9.4499764871770999</v>
      </c>
      <c r="AS94" s="97">
        <v>22634.583682086588</v>
      </c>
      <c r="AT94" s="97">
        <v>10.410708460901516</v>
      </c>
      <c r="AU94" s="97">
        <v>24935.72890555131</v>
      </c>
      <c r="AV94" s="97">
        <v>11.40703884859729</v>
      </c>
      <c r="AW94" s="97">
        <v>27322.139450160226</v>
      </c>
      <c r="AX94" s="97">
        <v>11.407943332198988</v>
      </c>
      <c r="AY94" s="97">
        <v>27324.305869283013</v>
      </c>
      <c r="AZ94" s="97">
        <v>9.5097254761162446</v>
      </c>
      <c r="BA94" s="97">
        <v>22777.694460393628</v>
      </c>
      <c r="BB94" s="97">
        <v>9.0651742186419693</v>
      </c>
      <c r="BC94" s="97">
        <v>21712.905288491242</v>
      </c>
      <c r="BD94" s="97">
        <v>8.6477137522293805</v>
      </c>
      <c r="BE94" s="97">
        <v>20713.00397933981</v>
      </c>
      <c r="BF94" s="97">
        <v>6.4845547990480306</v>
      </c>
      <c r="BG94" s="97">
        <v>15531.805654679842</v>
      </c>
      <c r="BH94" s="97">
        <v>6.3352890080031274</v>
      </c>
      <c r="BI94" s="97">
        <v>15174.28423196909</v>
      </c>
      <c r="BJ94" s="97">
        <v>7.3876858569185684</v>
      </c>
      <c r="BK94" s="97">
        <v>17694.985164491354</v>
      </c>
      <c r="BL94" s="97">
        <v>5.4529590805745096</v>
      </c>
      <c r="BM94" s="97">
        <v>13060.927589792065</v>
      </c>
      <c r="BN94" s="97">
        <v>5.0452701406211453</v>
      </c>
      <c r="BO94" s="97">
        <v>12084.431040815767</v>
      </c>
      <c r="BP94" s="97">
        <v>7.2427403400000019</v>
      </c>
      <c r="BQ94" s="97">
        <v>17347.811662368003</v>
      </c>
      <c r="BR94" s="97">
        <v>5.2452628510986656</v>
      </c>
      <c r="BS94" s="97">
        <v>12563.453580951524</v>
      </c>
      <c r="BT94" s="97">
        <v>6.1733345402498081</v>
      </c>
      <c r="BU94" s="97">
        <v>14786.37089080634</v>
      </c>
      <c r="BV94" s="97">
        <v>5.0602223845467087</v>
      </c>
      <c r="BW94" s="97">
        <v>12120.244655466277</v>
      </c>
      <c r="BX94" s="97">
        <v>5</v>
      </c>
      <c r="BY94" s="97">
        <v>11976</v>
      </c>
      <c r="BZ94" s="97">
        <v>5.1841454935999245</v>
      </c>
      <c r="CA94" s="97">
        <v>12417.065286270537</v>
      </c>
      <c r="CB94" s="97">
        <v>3</v>
      </c>
      <c r="CC94" s="97">
        <v>7185.5999999999995</v>
      </c>
      <c r="CD94" s="97">
        <v>6.2471172469708574</v>
      </c>
      <c r="CE94" s="97">
        <v>14963.095229944596</v>
      </c>
      <c r="CF94" s="97">
        <v>3</v>
      </c>
      <c r="CG94" s="97">
        <v>7185.5999999999995</v>
      </c>
      <c r="CH94" s="97">
        <v>4.0255360897843415</v>
      </c>
      <c r="CI94" s="97">
        <v>9641.9640422514549</v>
      </c>
      <c r="CJ94" s="97">
        <v>5</v>
      </c>
      <c r="CK94" s="97">
        <v>11976</v>
      </c>
      <c r="CL94" s="97">
        <v>5</v>
      </c>
      <c r="CM94" s="97">
        <v>11976</v>
      </c>
      <c r="CN94" s="97">
        <v>3</v>
      </c>
      <c r="CO94" s="97">
        <v>7185.5999999999995</v>
      </c>
      <c r="CP94" s="97">
        <v>4.0051778432977239</v>
      </c>
      <c r="CQ94" s="97">
        <v>9593.2019702667076</v>
      </c>
      <c r="CR94" s="97">
        <v>3</v>
      </c>
      <c r="CS94" s="97">
        <v>7185.5999999999995</v>
      </c>
      <c r="CT94" s="97">
        <v>4</v>
      </c>
      <c r="CU94" s="97">
        <v>9580.7999999999993</v>
      </c>
    </row>
    <row r="95" spans="2:99" x14ac:dyDescent="0.15">
      <c r="B95" s="96" t="s">
        <v>132</v>
      </c>
      <c r="C95" s="96" t="s">
        <v>260</v>
      </c>
      <c r="D95" s="97">
        <v>0</v>
      </c>
      <c r="E95" s="97">
        <v>0</v>
      </c>
      <c r="F95" s="97">
        <v>0</v>
      </c>
      <c r="G95" s="97">
        <v>0</v>
      </c>
      <c r="H95" s="97">
        <v>0</v>
      </c>
      <c r="I95" s="97">
        <v>0</v>
      </c>
      <c r="J95" s="97">
        <v>38.854462747295756</v>
      </c>
      <c r="K95" s="97">
        <v>67327.013048514083</v>
      </c>
      <c r="L95" s="97">
        <v>5.9113032873493481</v>
      </c>
      <c r="M95" s="97">
        <v>10243.10633631895</v>
      </c>
      <c r="N95" s="97">
        <v>49</v>
      </c>
      <c r="O95" s="97">
        <v>84907.199999999997</v>
      </c>
      <c r="P95" s="97">
        <v>61.874845709509522</v>
      </c>
      <c r="Q95" s="97">
        <v>107216.7326454381</v>
      </c>
      <c r="R95" s="97">
        <v>29.732155508983734</v>
      </c>
      <c r="S95" s="97">
        <v>51519.879065967012</v>
      </c>
      <c r="T95" s="97">
        <v>36.508702761025141</v>
      </c>
      <c r="U95" s="97">
        <v>63262.280144304365</v>
      </c>
      <c r="V95" s="97">
        <v>43.320581744179691</v>
      </c>
      <c r="W95" s="97">
        <v>75065.904046314565</v>
      </c>
      <c r="X95" s="97">
        <v>28.42981951378594</v>
      </c>
      <c r="Y95" s="97">
        <v>49263.191253488279</v>
      </c>
      <c r="Z95" s="97">
        <v>35</v>
      </c>
      <c r="AA95" s="97">
        <v>60648</v>
      </c>
      <c r="AB95" s="97">
        <v>29.062898325065298</v>
      </c>
      <c r="AC95" s="97">
        <v>50360.190217673146</v>
      </c>
      <c r="AD95" s="97">
        <v>33.697679697355504</v>
      </c>
      <c r="AE95" s="97">
        <v>58391.339379577614</v>
      </c>
      <c r="AF95" s="97">
        <v>27.73011600580557</v>
      </c>
      <c r="AG95" s="97">
        <v>48050.745014859887</v>
      </c>
      <c r="AH95" s="97">
        <v>30.613911923903608</v>
      </c>
      <c r="AI95" s="97">
        <v>53047.786581740169</v>
      </c>
      <c r="AJ95" s="97">
        <v>21.848448916934792</v>
      </c>
      <c r="AK95" s="97">
        <v>37858.992283264604</v>
      </c>
      <c r="AL95" s="97">
        <v>26.890475730297194</v>
      </c>
      <c r="AM95" s="97">
        <v>46595.816345458974</v>
      </c>
      <c r="AN95" s="97">
        <v>17.566316349915645</v>
      </c>
      <c r="AO95" s="97">
        <v>30438.912971133828</v>
      </c>
      <c r="AP95" s="97">
        <v>19.091498216409036</v>
      </c>
      <c r="AQ95" s="97">
        <v>33081.748109393578</v>
      </c>
      <c r="AR95" s="97">
        <v>10.599968649569467</v>
      </c>
      <c r="AS95" s="97">
        <v>18367.625675973974</v>
      </c>
      <c r="AT95" s="97">
        <v>18.616062691352273</v>
      </c>
      <c r="AU95" s="97">
        <v>32257.913431575216</v>
      </c>
      <c r="AV95" s="97">
        <v>12.644478176945709</v>
      </c>
      <c r="AW95" s="97">
        <v>21910.351785011524</v>
      </c>
      <c r="AX95" s="97">
        <v>12.69350366473828</v>
      </c>
      <c r="AY95" s="97">
        <v>21995.303150258493</v>
      </c>
      <c r="AZ95" s="97">
        <v>11.594679722135618</v>
      </c>
      <c r="BA95" s="97">
        <v>20091.261022516599</v>
      </c>
      <c r="BB95" s="97">
        <v>17.065174218641967</v>
      </c>
      <c r="BC95" s="97">
        <v>29570.5338860628</v>
      </c>
      <c r="BD95" s="97">
        <v>14.54806548265563</v>
      </c>
      <c r="BE95" s="97">
        <v>25208.887868345675</v>
      </c>
      <c r="BF95" s="97">
        <v>10.528605235325124</v>
      </c>
      <c r="BG95" s="97">
        <v>18243.967151771372</v>
      </c>
      <c r="BH95" s="97">
        <v>9.3352890080031266</v>
      </c>
      <c r="BI95" s="97">
        <v>16176.188793067817</v>
      </c>
      <c r="BJ95" s="97">
        <v>11.603066888539995</v>
      </c>
      <c r="BK95" s="97">
        <v>20105.794304462102</v>
      </c>
      <c r="BL95" s="97">
        <v>12.407663172517058</v>
      </c>
      <c r="BM95" s="97">
        <v>21499.998745337558</v>
      </c>
      <c r="BN95" s="97">
        <v>8.0980853046791488</v>
      </c>
      <c r="BO95" s="97">
        <v>14032.362215948029</v>
      </c>
      <c r="BP95" s="97">
        <v>7.2912884080000024</v>
      </c>
      <c r="BQ95" s="97">
        <v>12634.344553382403</v>
      </c>
      <c r="BR95" s="97">
        <v>6.4905257021973304</v>
      </c>
      <c r="BS95" s="97">
        <v>11246.782936767533</v>
      </c>
      <c r="BT95" s="97">
        <v>9</v>
      </c>
      <c r="BU95" s="97">
        <v>15595.199999999999</v>
      </c>
      <c r="BV95" s="97">
        <v>7.0516191867543219</v>
      </c>
      <c r="BW95" s="97">
        <v>12219.045726807888</v>
      </c>
      <c r="BX95" s="97">
        <v>10</v>
      </c>
      <c r="BY95" s="97">
        <v>17328</v>
      </c>
      <c r="BZ95" s="97">
        <v>7.4143273605998292</v>
      </c>
      <c r="CA95" s="97">
        <v>12847.546450447384</v>
      </c>
      <c r="CB95" s="97">
        <v>6.2931324689859744</v>
      </c>
      <c r="CC95" s="97">
        <v>10904.739942258897</v>
      </c>
      <c r="CD95" s="97">
        <v>6.296540696365029</v>
      </c>
      <c r="CE95" s="97">
        <v>10910.645718661322</v>
      </c>
      <c r="CF95" s="97">
        <v>4</v>
      </c>
      <c r="CG95" s="97">
        <v>6931.2</v>
      </c>
      <c r="CH95" s="97">
        <v>4.0357505256980781</v>
      </c>
      <c r="CI95" s="97">
        <v>6993.14851092963</v>
      </c>
      <c r="CJ95" s="97">
        <v>6</v>
      </c>
      <c r="CK95" s="97">
        <v>10396.799999999999</v>
      </c>
      <c r="CL95" s="97">
        <v>4</v>
      </c>
      <c r="CM95" s="97">
        <v>6931.2</v>
      </c>
      <c r="CN95" s="97">
        <v>5.1539544330270068</v>
      </c>
      <c r="CO95" s="97">
        <v>8930.7722415491971</v>
      </c>
      <c r="CP95" s="97">
        <v>6.0064723041221546</v>
      </c>
      <c r="CQ95" s="97">
        <v>10408.015208582869</v>
      </c>
      <c r="CR95" s="97">
        <v>6</v>
      </c>
      <c r="CS95" s="97">
        <v>10396.799999999999</v>
      </c>
      <c r="CT95" s="97">
        <v>4</v>
      </c>
      <c r="CU95" s="97">
        <v>6931.2</v>
      </c>
    </row>
    <row r="96" spans="2:99" x14ac:dyDescent="0.15">
      <c r="C96" s="96" t="s">
        <v>261</v>
      </c>
      <c r="D96" s="97">
        <v>0</v>
      </c>
      <c r="E96" s="97">
        <v>0</v>
      </c>
      <c r="F96" s="97">
        <v>0</v>
      </c>
      <c r="G96" s="97">
        <v>0</v>
      </c>
      <c r="H96" s="97">
        <v>0</v>
      </c>
      <c r="I96" s="97">
        <v>0</v>
      </c>
      <c r="J96" s="97">
        <v>45.323335772417188</v>
      </c>
      <c r="K96" s="97">
        <v>37310.170007853827</v>
      </c>
      <c r="L96" s="97">
        <v>6.7651283257200125</v>
      </c>
      <c r="M96" s="97">
        <v>5569.0536377327135</v>
      </c>
      <c r="N96" s="97">
        <v>54</v>
      </c>
      <c r="O96" s="97">
        <v>44452.799999999996</v>
      </c>
      <c r="P96" s="97">
        <v>62.823879650025404</v>
      </c>
      <c r="Q96" s="97">
        <v>51716.617727900906</v>
      </c>
      <c r="R96" s="97">
        <v>31.568220912251423</v>
      </c>
      <c r="S96" s="97">
        <v>25986.95945496537</v>
      </c>
      <c r="T96" s="97">
        <v>39.594655300939145</v>
      </c>
      <c r="U96" s="97">
        <v>32594.320243733102</v>
      </c>
      <c r="V96" s="97">
        <v>53.679851291700928</v>
      </c>
      <c r="W96" s="97">
        <v>44189.253583328202</v>
      </c>
      <c r="X96" s="97">
        <v>30.527885526370124</v>
      </c>
      <c r="Y96" s="97">
        <v>25130.555365307882</v>
      </c>
      <c r="Z96" s="97">
        <v>41</v>
      </c>
      <c r="AA96" s="97">
        <v>33751.199999999997</v>
      </c>
      <c r="AB96" s="97">
        <v>36.404275868650586</v>
      </c>
      <c r="AC96" s="97">
        <v>29967.999895073161</v>
      </c>
      <c r="AD96" s="97">
        <v>30.85271963010117</v>
      </c>
      <c r="AE96" s="97">
        <v>25397.95879949928</v>
      </c>
      <c r="AF96" s="97">
        <v>34.755292419798863</v>
      </c>
      <c r="AG96" s="97">
        <v>28610.55671997842</v>
      </c>
      <c r="AH96" s="97">
        <v>33.767389904879508</v>
      </c>
      <c r="AI96" s="97">
        <v>27797.315369696807</v>
      </c>
      <c r="AJ96" s="97">
        <v>21.989857069757257</v>
      </c>
      <c r="AK96" s="97">
        <v>18102.050339824171</v>
      </c>
      <c r="AL96" s="97">
        <v>27.989417478107992</v>
      </c>
      <c r="AM96" s="97">
        <v>23040.888467978497</v>
      </c>
      <c r="AN96" s="97">
        <v>17.594632167411429</v>
      </c>
      <c r="AO96" s="97">
        <v>14483.901200213088</v>
      </c>
      <c r="AP96" s="97">
        <v>21.084720570749109</v>
      </c>
      <c r="AQ96" s="97">
        <v>17356.941973840665</v>
      </c>
      <c r="AR96" s="97">
        <v>10.69996342449771</v>
      </c>
      <c r="AS96" s="97">
        <v>8808.2098910465138</v>
      </c>
      <c r="AT96" s="97">
        <v>19.574991845262122</v>
      </c>
      <c r="AU96" s="97">
        <v>16114.133287019778</v>
      </c>
      <c r="AV96" s="97">
        <v>11.678398080995484</v>
      </c>
      <c r="AW96" s="97">
        <v>9613.6573002754812</v>
      </c>
      <c r="AX96" s="97">
        <v>12.69350366473828</v>
      </c>
      <c r="AY96" s="97">
        <v>10449.292216812551</v>
      </c>
      <c r="AZ96" s="97">
        <v>12.637156845145304</v>
      </c>
      <c r="BA96" s="97">
        <v>10402.907514923614</v>
      </c>
      <c r="BB96" s="97">
        <v>16.070187620075966</v>
      </c>
      <c r="BC96" s="97">
        <v>13228.978448846534</v>
      </c>
      <c r="BD96" s="97">
        <v>13</v>
      </c>
      <c r="BE96" s="97">
        <v>10701.599999999999</v>
      </c>
      <c r="BF96" s="97">
        <v>10.528605235325124</v>
      </c>
      <c r="BG96" s="97">
        <v>8667.1478297196409</v>
      </c>
      <c r="BH96" s="97">
        <v>10.335289008003127</v>
      </c>
      <c r="BI96" s="97">
        <v>8508.0099113881734</v>
      </c>
      <c r="BJ96" s="97">
        <v>13.559990682215711</v>
      </c>
      <c r="BK96" s="97">
        <v>11162.584329599971</v>
      </c>
      <c r="BL96" s="97">
        <v>14.362367264459607</v>
      </c>
      <c r="BM96" s="97">
        <v>11823.100732103147</v>
      </c>
      <c r="BN96" s="97">
        <v>8.1131753515528633</v>
      </c>
      <c r="BO96" s="97">
        <v>6678.7659493983165</v>
      </c>
      <c r="BP96" s="97">
        <v>9.2912884080000033</v>
      </c>
      <c r="BQ96" s="97">
        <v>7648.5886174656025</v>
      </c>
      <c r="BR96" s="97">
        <v>7.4905257021973304</v>
      </c>
      <c r="BS96" s="97">
        <v>6166.2007580488416</v>
      </c>
      <c r="BT96" s="97">
        <v>11</v>
      </c>
      <c r="BU96" s="97">
        <v>9055.1999999999989</v>
      </c>
      <c r="BV96" s="97">
        <v>7.0516191867543219</v>
      </c>
      <c r="BW96" s="97">
        <v>5804.8929145361571</v>
      </c>
      <c r="BX96" s="97">
        <v>9</v>
      </c>
      <c r="BY96" s="97">
        <v>7408.7999999999993</v>
      </c>
      <c r="BZ96" s="97">
        <v>8.4143273605998292</v>
      </c>
      <c r="CA96" s="97">
        <v>6926.6742832457785</v>
      </c>
      <c r="CB96" s="97">
        <v>7.2931324689859744</v>
      </c>
      <c r="CC96" s="97">
        <v>6003.7066484692541</v>
      </c>
      <c r="CD96" s="97">
        <v>5.296540696365029</v>
      </c>
      <c r="CE96" s="97">
        <v>4360.1123012476919</v>
      </c>
      <c r="CF96" s="97">
        <v>5</v>
      </c>
      <c r="CG96" s="97">
        <v>4116</v>
      </c>
      <c r="CH96" s="97">
        <v>5.0357505256980781</v>
      </c>
      <c r="CI96" s="97">
        <v>4145.4298327546576</v>
      </c>
      <c r="CJ96" s="97">
        <v>7</v>
      </c>
      <c r="CK96" s="97">
        <v>5762.4</v>
      </c>
      <c r="CL96" s="97">
        <v>4.1843553771639108</v>
      </c>
      <c r="CM96" s="97">
        <v>3444.5613464813309</v>
      </c>
      <c r="CN96" s="97">
        <v>5</v>
      </c>
      <c r="CO96" s="97">
        <v>4116</v>
      </c>
      <c r="CP96" s="97">
        <v>6.0064723041221546</v>
      </c>
      <c r="CQ96" s="97">
        <v>4944.5280007533574</v>
      </c>
      <c r="CR96" s="97">
        <v>7</v>
      </c>
      <c r="CS96" s="97">
        <v>5762.4</v>
      </c>
      <c r="CT96" s="97">
        <v>4</v>
      </c>
      <c r="CU96" s="97">
        <v>3292.7999999999997</v>
      </c>
    </row>
    <row r="97" spans="2:99" x14ac:dyDescent="0.15">
      <c r="C97" s="96" t="s">
        <v>262</v>
      </c>
      <c r="D97" s="97">
        <v>0</v>
      </c>
      <c r="E97" s="97">
        <v>0</v>
      </c>
      <c r="F97" s="97">
        <v>0</v>
      </c>
      <c r="G97" s="97">
        <v>0</v>
      </c>
      <c r="H97" s="97">
        <v>0</v>
      </c>
      <c r="I97" s="97">
        <v>0</v>
      </c>
      <c r="J97" s="97">
        <v>35.825183488855295</v>
      </c>
      <c r="K97" s="97">
        <v>65517.09556441856</v>
      </c>
      <c r="L97" s="97">
        <v>5.0679183462187023</v>
      </c>
      <c r="M97" s="97">
        <v>9268.2090715647628</v>
      </c>
      <c r="N97" s="97">
        <v>47</v>
      </c>
      <c r="O97" s="97">
        <v>85953.599999999991</v>
      </c>
      <c r="P97" s="97">
        <v>60.837680738172665</v>
      </c>
      <c r="Q97" s="97">
        <v>111259.95053397017</v>
      </c>
      <c r="R97" s="97">
        <v>27.587911901308722</v>
      </c>
      <c r="S97" s="97">
        <v>50452.773285113391</v>
      </c>
      <c r="T97" s="97">
        <v>32.713023887749351</v>
      </c>
      <c r="U97" s="97">
        <v>59825.578085916015</v>
      </c>
      <c r="V97" s="97">
        <v>45.204085298274464</v>
      </c>
      <c r="W97" s="97">
        <v>82669.231193484331</v>
      </c>
      <c r="X97" s="97">
        <v>25.567311590436049</v>
      </c>
      <c r="Y97" s="97">
        <v>46757.499436589445</v>
      </c>
      <c r="Z97" s="97">
        <v>36</v>
      </c>
      <c r="AA97" s="97">
        <v>65836.800000000003</v>
      </c>
      <c r="AB97" s="97">
        <v>28.105994415940426</v>
      </c>
      <c r="AC97" s="97">
        <v>51400.24258787185</v>
      </c>
      <c r="AD97" s="97">
        <v>30.723519686146449</v>
      </c>
      <c r="AE97" s="97">
        <v>56187.172802024623</v>
      </c>
      <c r="AF97" s="97">
        <v>30.654586763825684</v>
      </c>
      <c r="AG97" s="97">
        <v>56061.108273684411</v>
      </c>
      <c r="AH97" s="97">
        <v>26.588332260407626</v>
      </c>
      <c r="AI97" s="97">
        <v>48624.742037833465</v>
      </c>
      <c r="AJ97" s="97">
        <v>19.848448916934792</v>
      </c>
      <c r="AK97" s="97">
        <v>36298.843379290345</v>
      </c>
      <c r="AL97" s="97">
        <v>23.890475730297194</v>
      </c>
      <c r="AM97" s="97">
        <v>43690.90201556751</v>
      </c>
      <c r="AN97" s="97">
        <v>17.594632167411429</v>
      </c>
      <c r="AO97" s="97">
        <v>32177.063307762022</v>
      </c>
      <c r="AP97" s="97">
        <v>19.088109393579071</v>
      </c>
      <c r="AQ97" s="97">
        <v>34908.334458977406</v>
      </c>
      <c r="AR97" s="97">
        <v>11.599968649569467</v>
      </c>
      <c r="AS97" s="97">
        <v>21214.022666332639</v>
      </c>
      <c r="AT97" s="97">
        <v>19.533920999171968</v>
      </c>
      <c r="AU97" s="97">
        <v>35723.634723285693</v>
      </c>
      <c r="AV97" s="97">
        <v>12.610558272895936</v>
      </c>
      <c r="AW97" s="97">
        <v>23062.188969472089</v>
      </c>
      <c r="AX97" s="97">
        <v>13.652709331518381</v>
      </c>
      <c r="AY97" s="97">
        <v>24968.074825480813</v>
      </c>
      <c r="AZ97" s="97">
        <v>9.637156845145304</v>
      </c>
      <c r="BA97" s="97">
        <v>17624.432438401731</v>
      </c>
      <c r="BB97" s="97">
        <v>15.070187620075966</v>
      </c>
      <c r="BC97" s="97">
        <v>27560.359119594927</v>
      </c>
      <c r="BD97" s="97">
        <v>14</v>
      </c>
      <c r="BE97" s="97">
        <v>25603.200000000001</v>
      </c>
      <c r="BF97" s="97">
        <v>9.5286052353251236</v>
      </c>
      <c r="BG97" s="97">
        <v>17425.913254362586</v>
      </c>
      <c r="BH97" s="97">
        <v>9.3352890080031266</v>
      </c>
      <c r="BI97" s="97">
        <v>17072.376537836117</v>
      </c>
      <c r="BJ97" s="97">
        <v>11.603066888539995</v>
      </c>
      <c r="BK97" s="97">
        <v>21219.688725761942</v>
      </c>
      <c r="BL97" s="97">
        <v>12.362367264459607</v>
      </c>
      <c r="BM97" s="97">
        <v>22608.297253243727</v>
      </c>
      <c r="BN97" s="97">
        <v>8.0905402812422906</v>
      </c>
      <c r="BO97" s="97">
        <v>14795.9800663359</v>
      </c>
      <c r="BP97" s="97">
        <v>8.2427403400000028</v>
      </c>
      <c r="BQ97" s="97">
        <v>15074.323533792005</v>
      </c>
      <c r="BR97" s="97">
        <v>6.4414731319775971</v>
      </c>
      <c r="BS97" s="97">
        <v>11780.166063760629</v>
      </c>
      <c r="BT97" s="97">
        <v>10</v>
      </c>
      <c r="BU97" s="97">
        <v>18288</v>
      </c>
      <c r="BV97" s="97">
        <v>6.0516191867543219</v>
      </c>
      <c r="BW97" s="97">
        <v>11067.201168736303</v>
      </c>
      <c r="BX97" s="97">
        <v>10</v>
      </c>
      <c r="BY97" s="97">
        <v>18288</v>
      </c>
      <c r="BZ97" s="97">
        <v>9.4143273605998292</v>
      </c>
      <c r="CA97" s="97">
        <v>17216.921877064968</v>
      </c>
      <c r="CB97" s="97">
        <v>7.2931324689859744</v>
      </c>
      <c r="CC97" s="97">
        <v>13337.68065928155</v>
      </c>
      <c r="CD97" s="97">
        <v>6.2471172469708574</v>
      </c>
      <c r="CE97" s="97">
        <v>11424.728021260304</v>
      </c>
      <c r="CF97" s="97">
        <v>5</v>
      </c>
      <c r="CG97" s="97">
        <v>9144</v>
      </c>
      <c r="CH97" s="97">
        <v>4.0357505256980781</v>
      </c>
      <c r="CI97" s="97">
        <v>7380.580561396645</v>
      </c>
      <c r="CJ97" s="97">
        <v>7</v>
      </c>
      <c r="CK97" s="97">
        <v>12801.6</v>
      </c>
      <c r="CL97" s="97">
        <v>4</v>
      </c>
      <c r="CM97" s="97">
        <v>7315.2</v>
      </c>
      <c r="CN97" s="97">
        <v>5</v>
      </c>
      <c r="CO97" s="97">
        <v>9144</v>
      </c>
      <c r="CP97" s="97">
        <v>6.0064723041221546</v>
      </c>
      <c r="CQ97" s="97">
        <v>10984.636549778596</v>
      </c>
      <c r="CR97" s="97">
        <v>6</v>
      </c>
      <c r="CS97" s="97">
        <v>10972.8</v>
      </c>
      <c r="CT97" s="97">
        <v>4</v>
      </c>
      <c r="CU97" s="97">
        <v>7315.2</v>
      </c>
    </row>
    <row r="98" spans="2:99" x14ac:dyDescent="0.15">
      <c r="C98" s="96" t="s">
        <v>263</v>
      </c>
      <c r="D98" s="97">
        <v>0</v>
      </c>
      <c r="E98" s="97">
        <v>0</v>
      </c>
      <c r="F98" s="97">
        <v>0</v>
      </c>
      <c r="G98" s="97">
        <v>0</v>
      </c>
      <c r="H98" s="97">
        <v>0</v>
      </c>
      <c r="I98" s="97">
        <v>0</v>
      </c>
      <c r="J98" s="97">
        <v>42.314668812260294</v>
      </c>
      <c r="K98" s="97">
        <v>53468.815511172106</v>
      </c>
      <c r="L98" s="97">
        <v>5.373654679608026</v>
      </c>
      <c r="M98" s="97">
        <v>6790.1500531527008</v>
      </c>
      <c r="N98" s="97">
        <v>56</v>
      </c>
      <c r="O98" s="97">
        <v>70761.599999999991</v>
      </c>
      <c r="P98" s="97">
        <v>56.002754645581604</v>
      </c>
      <c r="Q98" s="97">
        <v>70765.080770156914</v>
      </c>
      <c r="R98" s="97">
        <v>31.116060840816754</v>
      </c>
      <c r="S98" s="97">
        <v>39318.254478456045</v>
      </c>
      <c r="T98" s="97">
        <v>36.573568763725383</v>
      </c>
      <c r="U98" s="97">
        <v>46214.361489843388</v>
      </c>
      <c r="V98" s="97">
        <v>47.087588852369237</v>
      </c>
      <c r="W98" s="97">
        <v>59499.877273853766</v>
      </c>
      <c r="X98" s="97">
        <v>30.25827290955565</v>
      </c>
      <c r="Y98" s="97">
        <v>38234.353648514516</v>
      </c>
      <c r="Z98" s="97">
        <v>40</v>
      </c>
      <c r="AA98" s="97">
        <v>50544</v>
      </c>
      <c r="AB98" s="97">
        <v>34.263509163443949</v>
      </c>
      <c r="AC98" s="97">
        <v>43295.370178927769</v>
      </c>
      <c r="AD98" s="97">
        <v>30.826879641310228</v>
      </c>
      <c r="AE98" s="97">
        <v>38952.845114759599</v>
      </c>
      <c r="AF98" s="97">
        <v>29.73011600580557</v>
      </c>
      <c r="AG98" s="97">
        <v>37566.974584935917</v>
      </c>
      <c r="AH98" s="97">
        <v>30.665071250895576</v>
      </c>
      <c r="AI98" s="97">
        <v>38748.384032631649</v>
      </c>
      <c r="AJ98" s="97">
        <v>20.989857069757257</v>
      </c>
      <c r="AK98" s="97">
        <v>26522.783393345268</v>
      </c>
      <c r="AL98" s="97">
        <v>29.824514565089995</v>
      </c>
      <c r="AM98" s="97">
        <v>37686.256604447713</v>
      </c>
      <c r="AN98" s="97">
        <v>18.594632167411429</v>
      </c>
      <c r="AO98" s="97">
        <v>23496.177206741082</v>
      </c>
      <c r="AP98" s="97">
        <v>21.088109393579071</v>
      </c>
      <c r="AQ98" s="97">
        <v>26646.935029726512</v>
      </c>
      <c r="AR98" s="97">
        <v>10.599968649569467</v>
      </c>
      <c r="AS98" s="97">
        <v>13394.120385595977</v>
      </c>
      <c r="AT98" s="97">
        <v>20.616062691352273</v>
      </c>
      <c r="AU98" s="97">
        <v>26050.456816792728</v>
      </c>
      <c r="AV98" s="97">
        <v>11.678398080995484</v>
      </c>
      <c r="AW98" s="97">
        <v>14756.823815145892</v>
      </c>
      <c r="AX98" s="97">
        <v>12.734297997958178</v>
      </c>
      <c r="AY98" s="97">
        <v>16091.058950219953</v>
      </c>
      <c r="AZ98" s="97">
        <v>11.679633968154992</v>
      </c>
      <c r="BA98" s="97">
        <v>14758.385482160646</v>
      </c>
      <c r="BB98" s="97">
        <v>17.070187620075966</v>
      </c>
      <c r="BC98" s="97">
        <v>21569.889076727988</v>
      </c>
      <c r="BD98" s="97">
        <v>14.647713752229381</v>
      </c>
      <c r="BE98" s="97">
        <v>18508.851097317045</v>
      </c>
      <c r="BF98" s="97">
        <v>11.528605235325124</v>
      </c>
      <c r="BG98" s="97">
        <v>14567.545575356826</v>
      </c>
      <c r="BH98" s="97">
        <v>8.3352890080031266</v>
      </c>
      <c r="BI98" s="97">
        <v>10532.47119051275</v>
      </c>
      <c r="BJ98" s="97">
        <v>13.603066888539995</v>
      </c>
      <c r="BK98" s="97">
        <v>17188.835320359136</v>
      </c>
      <c r="BL98" s="97">
        <v>14.362367264459607</v>
      </c>
      <c r="BM98" s="97">
        <v>18148.287275371156</v>
      </c>
      <c r="BN98" s="97">
        <v>9.1056303281160051</v>
      </c>
      <c r="BO98" s="97">
        <v>11505.874482607383</v>
      </c>
      <c r="BP98" s="97">
        <v>9.2912884080000033</v>
      </c>
      <c r="BQ98" s="97">
        <v>11740.472032348804</v>
      </c>
      <c r="BR98" s="97">
        <v>6.5395782724170637</v>
      </c>
      <c r="BS98" s="97">
        <v>8263.4111050262018</v>
      </c>
      <c r="BT98" s="97">
        <v>10</v>
      </c>
      <c r="BU98" s="97">
        <v>12636</v>
      </c>
      <c r="BV98" s="97">
        <v>7.0516191867543219</v>
      </c>
      <c r="BW98" s="97">
        <v>8910.4260043827599</v>
      </c>
      <c r="BX98" s="97">
        <v>9</v>
      </c>
      <c r="BY98" s="97">
        <v>11372.4</v>
      </c>
      <c r="BZ98" s="97">
        <v>9.368290987199849</v>
      </c>
      <c r="CA98" s="97">
        <v>11837.772491425729</v>
      </c>
      <c r="CB98" s="97">
        <v>6.2931324689859744</v>
      </c>
      <c r="CC98" s="97">
        <v>7952.0021878106763</v>
      </c>
      <c r="CD98" s="97">
        <v>5.296540696365029</v>
      </c>
      <c r="CE98" s="97">
        <v>6692.7088239268505</v>
      </c>
      <c r="CF98" s="97">
        <v>5</v>
      </c>
      <c r="CG98" s="97">
        <v>6318</v>
      </c>
      <c r="CH98" s="97">
        <v>5.0357505256980781</v>
      </c>
      <c r="CI98" s="97">
        <v>6363.1743642720912</v>
      </c>
      <c r="CJ98" s="97">
        <v>7</v>
      </c>
      <c r="CK98" s="97">
        <v>8845.1999999999989</v>
      </c>
      <c r="CL98" s="97">
        <v>5.1843553771639108</v>
      </c>
      <c r="CM98" s="97">
        <v>6550.9514545843176</v>
      </c>
      <c r="CN98" s="97">
        <v>4</v>
      </c>
      <c r="CO98" s="97">
        <v>5054.3999999999996</v>
      </c>
      <c r="CP98" s="97">
        <v>6.0064723041221546</v>
      </c>
      <c r="CQ98" s="97">
        <v>7589.7784034887536</v>
      </c>
      <c r="CR98" s="97">
        <v>7</v>
      </c>
      <c r="CS98" s="97">
        <v>8845.1999999999989</v>
      </c>
      <c r="CT98" s="97">
        <v>4</v>
      </c>
      <c r="CU98" s="97">
        <v>5054.3999999999996</v>
      </c>
    </row>
    <row r="99" spans="2:99" x14ac:dyDescent="0.15">
      <c r="C99" s="96" t="s">
        <v>264</v>
      </c>
      <c r="D99" s="97">
        <v>0</v>
      </c>
      <c r="E99" s="97">
        <v>0</v>
      </c>
      <c r="F99" s="97">
        <v>0</v>
      </c>
      <c r="G99" s="97">
        <v>0</v>
      </c>
      <c r="H99" s="97">
        <v>0</v>
      </c>
      <c r="I99" s="97">
        <v>0</v>
      </c>
      <c r="J99" s="97">
        <v>18.299349340344104</v>
      </c>
      <c r="K99" s="97">
        <v>100309.71334403023</v>
      </c>
      <c r="L99" s="97">
        <v>2.9619157020186861</v>
      </c>
      <c r="M99" s="97">
        <v>16236.037112185628</v>
      </c>
      <c r="N99" s="97">
        <v>32</v>
      </c>
      <c r="O99" s="97">
        <v>175411.19999999998</v>
      </c>
      <c r="P99" s="97">
        <v>32.71431056840774</v>
      </c>
      <c r="Q99" s="97">
        <v>179326.76481178385</v>
      </c>
      <c r="R99" s="97">
        <v>15.359375502220063</v>
      </c>
      <c r="S99" s="97">
        <v>84193.95275296949</v>
      </c>
      <c r="T99" s="97">
        <v>22.745439934645553</v>
      </c>
      <c r="U99" s="97">
        <v>124681.40354575306</v>
      </c>
      <c r="V99" s="97">
        <v>28.252553311421543</v>
      </c>
      <c r="W99" s="97">
        <v>154869.19623188832</v>
      </c>
      <c r="X99" s="97">
        <v>17.594444944032947</v>
      </c>
      <c r="Y99" s="97">
        <v>96445.70940521099</v>
      </c>
      <c r="Z99" s="97">
        <v>23</v>
      </c>
      <c r="AA99" s="97">
        <v>126076.79999999999</v>
      </c>
      <c r="AB99" s="97">
        <v>19.769886482070785</v>
      </c>
      <c r="AC99" s="97">
        <v>108370.60974011921</v>
      </c>
      <c r="AD99" s="97">
        <v>22.490959787027947</v>
      </c>
      <c r="AE99" s="97">
        <v>123286.44516857238</v>
      </c>
      <c r="AF99" s="97">
        <v>18.453175451879318</v>
      </c>
      <c r="AG99" s="97">
        <v>101152.92655702165</v>
      </c>
      <c r="AH99" s="97">
        <v>17.40927461593574</v>
      </c>
      <c r="AI99" s="97">
        <v>95430.67973471334</v>
      </c>
      <c r="AJ99" s="97">
        <v>13.600984649495476</v>
      </c>
      <c r="AK99" s="97">
        <v>74555.157454674394</v>
      </c>
      <c r="AL99" s="97">
        <v>19.560669904261196</v>
      </c>
      <c r="AM99" s="97">
        <v>107223.76814719816</v>
      </c>
      <c r="AN99" s="97">
        <v>13.36810562744517</v>
      </c>
      <c r="AO99" s="97">
        <v>73278.60780740343</v>
      </c>
      <c r="AP99" s="97">
        <v>14.060998810939358</v>
      </c>
      <c r="AQ99" s="97">
        <v>77076.771082045176</v>
      </c>
      <c r="AR99" s="97">
        <v>7.4499764871770999</v>
      </c>
      <c r="AS99" s="97">
        <v>40837.79111210999</v>
      </c>
      <c r="AT99" s="97">
        <v>14.369637614811364</v>
      </c>
      <c r="AU99" s="97">
        <v>78768.605549349959</v>
      </c>
      <c r="AV99" s="97">
        <v>8.5087985607466123</v>
      </c>
      <c r="AW99" s="97">
        <v>46641.830190588626</v>
      </c>
      <c r="AX99" s="97">
        <v>9.4895319986387854</v>
      </c>
      <c r="AY99" s="97">
        <v>52017.818603738364</v>
      </c>
      <c r="AZ99" s="97">
        <v>8.467248353106557</v>
      </c>
      <c r="BA99" s="97">
        <v>46414.068572388896</v>
      </c>
      <c r="BB99" s="97">
        <v>13.045120612905977</v>
      </c>
      <c r="BC99" s="97">
        <v>71508.133151705391</v>
      </c>
      <c r="BD99" s="97">
        <v>9</v>
      </c>
      <c r="BE99" s="97">
        <v>49334.399999999994</v>
      </c>
      <c r="BF99" s="97">
        <v>7.3524034902167497</v>
      </c>
      <c r="BG99" s="97">
        <v>40302.934971972129</v>
      </c>
      <c r="BH99" s="97">
        <v>6.2394921485736621</v>
      </c>
      <c r="BI99" s="97">
        <v>34202.400161621379</v>
      </c>
      <c r="BJ99" s="97">
        <v>9.473838269567139</v>
      </c>
      <c r="BK99" s="97">
        <v>51931.791858459226</v>
      </c>
      <c r="BL99" s="97">
        <v>9.2717754483447052</v>
      </c>
      <c r="BM99" s="97">
        <v>50824.164297646334</v>
      </c>
      <c r="BN99" s="97">
        <v>6.0829952578054334</v>
      </c>
      <c r="BO99" s="97">
        <v>33344.546805186263</v>
      </c>
      <c r="BP99" s="97">
        <v>6.2427403400000019</v>
      </c>
      <c r="BQ99" s="97">
        <v>34220.205447744003</v>
      </c>
      <c r="BR99" s="97">
        <v>5.3924205617578647</v>
      </c>
      <c r="BS99" s="97">
        <v>29559.092551331909</v>
      </c>
      <c r="BT99" s="97">
        <v>7</v>
      </c>
      <c r="BU99" s="97">
        <v>38371.199999999997</v>
      </c>
      <c r="BV99" s="97">
        <v>5.043015988961935</v>
      </c>
      <c r="BW99" s="97">
        <v>27643.79644509374</v>
      </c>
      <c r="BX99" s="97">
        <v>7</v>
      </c>
      <c r="BY99" s="97">
        <v>38371.199999999997</v>
      </c>
      <c r="BZ99" s="97">
        <v>7.322254613799867</v>
      </c>
      <c r="CA99" s="97">
        <v>40137.670891005349</v>
      </c>
      <c r="CB99" s="97">
        <v>5</v>
      </c>
      <c r="CC99" s="97">
        <v>27407.999999999996</v>
      </c>
      <c r="CD99" s="97">
        <v>4</v>
      </c>
      <c r="CE99" s="97">
        <v>21926.399999999998</v>
      </c>
      <c r="CF99" s="97">
        <v>4</v>
      </c>
      <c r="CG99" s="97">
        <v>21926.399999999998</v>
      </c>
      <c r="CH99" s="97">
        <v>4.0306433077412098</v>
      </c>
      <c r="CI99" s="97">
        <v>22094.374355714215</v>
      </c>
      <c r="CJ99" s="97">
        <v>6</v>
      </c>
      <c r="CK99" s="97">
        <v>32889.599999999999</v>
      </c>
      <c r="CL99" s="97">
        <v>4</v>
      </c>
      <c r="CM99" s="97">
        <v>21926.399999999998</v>
      </c>
      <c r="CN99" s="97">
        <v>4</v>
      </c>
      <c r="CO99" s="97">
        <v>21926.399999999998</v>
      </c>
      <c r="CP99" s="97">
        <v>4.0051778432977239</v>
      </c>
      <c r="CQ99" s="97">
        <v>21954.782865820802</v>
      </c>
      <c r="CR99" s="97">
        <v>5</v>
      </c>
      <c r="CS99" s="97">
        <v>27407.999999999996</v>
      </c>
      <c r="CT99" s="97">
        <v>3</v>
      </c>
      <c r="CU99" s="97">
        <v>16444.8</v>
      </c>
    </row>
    <row r="100" spans="2:99" x14ac:dyDescent="0.15">
      <c r="C100" s="96" t="s">
        <v>265</v>
      </c>
      <c r="D100" s="97">
        <v>0</v>
      </c>
      <c r="E100" s="97">
        <v>0</v>
      </c>
      <c r="F100" s="97">
        <v>0</v>
      </c>
      <c r="G100" s="97">
        <v>0</v>
      </c>
      <c r="H100" s="97">
        <v>0</v>
      </c>
      <c r="I100" s="97">
        <v>0</v>
      </c>
      <c r="J100" s="97">
        <v>40.366157762475474</v>
      </c>
      <c r="K100" s="97">
        <v>65490.054353840205</v>
      </c>
      <c r="L100" s="97">
        <v>5.8395672477600256</v>
      </c>
      <c r="M100" s="97">
        <v>9474.1139027658646</v>
      </c>
      <c r="N100" s="97">
        <v>48</v>
      </c>
      <c r="O100" s="97">
        <v>77875.199999999997</v>
      </c>
      <c r="P100" s="97">
        <v>62.647617588383497</v>
      </c>
      <c r="Q100" s="97">
        <v>101639.49477539338</v>
      </c>
      <c r="R100" s="97">
        <v>27.142608109256308</v>
      </c>
      <c r="S100" s="97">
        <v>44036.167396457429</v>
      </c>
      <c r="T100" s="97">
        <v>37.477893105187917</v>
      </c>
      <c r="U100" s="97">
        <v>60804.133773856869</v>
      </c>
      <c r="V100" s="97">
        <v>44.262333521227077</v>
      </c>
      <c r="W100" s="97">
        <v>71811.209904838805</v>
      </c>
      <c r="X100" s="97">
        <v>23.67894427981868</v>
      </c>
      <c r="Y100" s="97">
        <v>38416.719199577819</v>
      </c>
      <c r="Z100" s="97">
        <v>39</v>
      </c>
      <c r="AA100" s="97">
        <v>63273.599999999991</v>
      </c>
      <c r="AB100" s="97">
        <v>32.198395420556274</v>
      </c>
      <c r="AC100" s="97">
        <v>52238.676730310493</v>
      </c>
      <c r="AD100" s="97">
        <v>28.85271963010117</v>
      </c>
      <c r="AE100" s="97">
        <v>46810.652327876131</v>
      </c>
      <c r="AF100" s="97">
        <v>30.654586763825684</v>
      </c>
      <c r="AG100" s="97">
        <v>49734.001565630788</v>
      </c>
      <c r="AH100" s="97">
        <v>26.63949158739959</v>
      </c>
      <c r="AI100" s="97">
        <v>43219.911151397093</v>
      </c>
      <c r="AJ100" s="97">
        <v>19.883800955140408</v>
      </c>
      <c r="AK100" s="97">
        <v>32259.478669619795</v>
      </c>
      <c r="AL100" s="97">
        <v>24.857495147693594</v>
      </c>
      <c r="AM100" s="97">
        <v>40328.800127618088</v>
      </c>
      <c r="AN100" s="97">
        <v>19.566316349915645</v>
      </c>
      <c r="AO100" s="97">
        <v>31744.39164610314</v>
      </c>
      <c r="AP100" s="97">
        <v>19.081331747919144</v>
      </c>
      <c r="AQ100" s="97">
        <v>30957.552627824018</v>
      </c>
      <c r="AR100" s="97">
        <v>11.64996603703359</v>
      </c>
      <c r="AS100" s="97">
        <v>18900.904898483295</v>
      </c>
      <c r="AT100" s="97">
        <v>18.574991845262122</v>
      </c>
      <c r="AU100" s="97">
        <v>30136.066769753266</v>
      </c>
      <c r="AV100" s="97">
        <v>12.678398080995484</v>
      </c>
      <c r="AW100" s="97">
        <v>20569.433046607071</v>
      </c>
      <c r="AX100" s="97">
        <v>12.69350366473828</v>
      </c>
      <c r="AY100" s="97">
        <v>20593.940345671384</v>
      </c>
      <c r="AZ100" s="97">
        <v>11.679633968154992</v>
      </c>
      <c r="BA100" s="97">
        <v>18949.038149934659</v>
      </c>
      <c r="BB100" s="97">
        <v>15.06016081720797</v>
      </c>
      <c r="BC100" s="97">
        <v>24433.60490983821</v>
      </c>
      <c r="BD100" s="97">
        <v>13.54806548265563</v>
      </c>
      <c r="BE100" s="97">
        <v>21980.381439060493</v>
      </c>
      <c r="BF100" s="97">
        <v>10.484554799048031</v>
      </c>
      <c r="BG100" s="97">
        <v>17010.141705975522</v>
      </c>
      <c r="BH100" s="97">
        <v>9.3352890080031266</v>
      </c>
      <c r="BI100" s="97">
        <v>15145.572886584272</v>
      </c>
      <c r="BJ100" s="97">
        <v>13.64614309486428</v>
      </c>
      <c r="BK100" s="97">
        <v>22139.502557107808</v>
      </c>
      <c r="BL100" s="97">
        <v>12.362367264459607</v>
      </c>
      <c r="BM100" s="97">
        <v>20056.704649859264</v>
      </c>
      <c r="BN100" s="97">
        <v>9.1056303281160051</v>
      </c>
      <c r="BO100" s="97">
        <v>14772.974644335405</v>
      </c>
      <c r="BP100" s="97">
        <v>9.2912884080000033</v>
      </c>
      <c r="BQ100" s="97">
        <v>15074.186313139204</v>
      </c>
      <c r="BR100" s="97">
        <v>6.4414731319775971</v>
      </c>
      <c r="BS100" s="97">
        <v>10450.646009320453</v>
      </c>
      <c r="BT100" s="97">
        <v>9</v>
      </c>
      <c r="BU100" s="97">
        <v>14601.599999999999</v>
      </c>
      <c r="BV100" s="97">
        <v>6.0516191867543219</v>
      </c>
      <c r="BW100" s="97">
        <v>9818.1469685902102</v>
      </c>
      <c r="BX100" s="97">
        <v>8</v>
      </c>
      <c r="BY100" s="97">
        <v>12979.199999999999</v>
      </c>
      <c r="BZ100" s="97">
        <v>8.4143273605998292</v>
      </c>
      <c r="CA100" s="97">
        <v>13651.404709837161</v>
      </c>
      <c r="CB100" s="97">
        <v>7.2931324689859744</v>
      </c>
      <c r="CC100" s="97">
        <v>11832.378117682843</v>
      </c>
      <c r="CD100" s="97">
        <v>5.2471172469708574</v>
      </c>
      <c r="CE100" s="97">
        <v>8512.9230214855179</v>
      </c>
      <c r="CF100" s="97">
        <v>5</v>
      </c>
      <c r="CG100" s="97">
        <v>8111.9999999999991</v>
      </c>
      <c r="CH100" s="97">
        <v>4.0306433077412098</v>
      </c>
      <c r="CI100" s="97">
        <v>6539.3157024793381</v>
      </c>
      <c r="CJ100" s="97">
        <v>7.1268793942671715</v>
      </c>
      <c r="CK100" s="97">
        <v>11562.649129259058</v>
      </c>
      <c r="CL100" s="97">
        <v>4</v>
      </c>
      <c r="CM100" s="97">
        <v>6489.5999999999995</v>
      </c>
      <c r="CN100" s="97">
        <v>5.1539544330270068</v>
      </c>
      <c r="CO100" s="97">
        <v>8361.775672143016</v>
      </c>
      <c r="CP100" s="97">
        <v>6.0064723041221546</v>
      </c>
      <c r="CQ100" s="97">
        <v>9744.9006662077827</v>
      </c>
      <c r="CR100" s="97">
        <v>6</v>
      </c>
      <c r="CS100" s="97">
        <v>9734.4</v>
      </c>
      <c r="CT100" s="97">
        <v>4</v>
      </c>
      <c r="CU100" s="97">
        <v>6489.5999999999995</v>
      </c>
    </row>
    <row r="101" spans="2:99" x14ac:dyDescent="0.15">
      <c r="C101" s="96" t="s">
        <v>266</v>
      </c>
      <c r="D101" s="97">
        <v>0</v>
      </c>
      <c r="E101" s="97">
        <v>0</v>
      </c>
      <c r="F101" s="97">
        <v>0</v>
      </c>
      <c r="G101" s="97">
        <v>0</v>
      </c>
      <c r="H101" s="97">
        <v>0</v>
      </c>
      <c r="I101" s="97">
        <v>0</v>
      </c>
      <c r="J101" s="97">
        <v>39.297168009981874</v>
      </c>
      <c r="K101" s="97">
        <v>46779.348799082414</v>
      </c>
      <c r="L101" s="97">
        <v>6.2285237277026937</v>
      </c>
      <c r="M101" s="97">
        <v>7414.434645457286</v>
      </c>
      <c r="N101" s="97">
        <v>57</v>
      </c>
      <c r="O101" s="97">
        <v>67852.799999999988</v>
      </c>
      <c r="P101" s="97">
        <v>63.508520498078447</v>
      </c>
      <c r="Q101" s="97">
        <v>75600.542800912575</v>
      </c>
      <c r="R101" s="97">
        <v>31.088635723287734</v>
      </c>
      <c r="S101" s="97">
        <v>37007.911965001716</v>
      </c>
      <c r="T101" s="97">
        <v>34.635188075399839</v>
      </c>
      <c r="U101" s="97">
        <v>41229.727884955966</v>
      </c>
      <c r="V101" s="97">
        <v>52.738099514653541</v>
      </c>
      <c r="W101" s="97">
        <v>62779.433662243566</v>
      </c>
      <c r="X101" s="97">
        <v>25.687139420131373</v>
      </c>
      <c r="Y101" s="97">
        <v>30577.970765724382</v>
      </c>
      <c r="Z101" s="97">
        <v>44</v>
      </c>
      <c r="AA101" s="97">
        <v>52377.599999999991</v>
      </c>
      <c r="AB101" s="97">
        <v>33.306605254319081</v>
      </c>
      <c r="AC101" s="97">
        <v>39648.182894741432</v>
      </c>
      <c r="AD101" s="97">
        <v>30.85271963010117</v>
      </c>
      <c r="AE101" s="97">
        <v>36727.077447672425</v>
      </c>
      <c r="AF101" s="97">
        <v>30.805645247785456</v>
      </c>
      <c r="AG101" s="97">
        <v>36671.040102963801</v>
      </c>
      <c r="AH101" s="97">
        <v>30.63949158739959</v>
      </c>
      <c r="AI101" s="97">
        <v>36473.25078564047</v>
      </c>
      <c r="AJ101" s="97">
        <v>22.025209107962873</v>
      </c>
      <c r="AK101" s="97">
        <v>26218.808922119002</v>
      </c>
      <c r="AL101" s="97">
        <v>26.923456312900793</v>
      </c>
      <c r="AM101" s="97">
        <v>32049.682394877102</v>
      </c>
      <c r="AN101" s="97">
        <v>19.62294798490721</v>
      </c>
      <c r="AO101" s="97">
        <v>23359.15728123354</v>
      </c>
      <c r="AP101" s="97">
        <v>20.084720570749109</v>
      </c>
      <c r="AQ101" s="97">
        <v>23908.851367419738</v>
      </c>
      <c r="AR101" s="97">
        <v>11.64996603703359</v>
      </c>
      <c r="AS101" s="97">
        <v>13868.119570484783</v>
      </c>
      <c r="AT101" s="97">
        <v>19.616062691352273</v>
      </c>
      <c r="AU101" s="97">
        <v>23350.961027785743</v>
      </c>
      <c r="AV101" s="97">
        <v>12.678398080995484</v>
      </c>
      <c r="AW101" s="97">
        <v>15092.365075617023</v>
      </c>
      <c r="AX101" s="97">
        <v>12.69350366473828</v>
      </c>
      <c r="AY101" s="97">
        <v>15110.346762504447</v>
      </c>
      <c r="AZ101" s="97">
        <v>12.637156845145304</v>
      </c>
      <c r="BA101" s="97">
        <v>15043.271508460968</v>
      </c>
      <c r="BB101" s="97">
        <v>17.065174218641967</v>
      </c>
      <c r="BC101" s="97">
        <v>20314.383389871397</v>
      </c>
      <c r="BD101" s="97">
        <v>12</v>
      </c>
      <c r="BE101" s="97">
        <v>14284.8</v>
      </c>
      <c r="BF101" s="97">
        <v>10.572655671602218</v>
      </c>
      <c r="BG101" s="97">
        <v>12585.68931147528</v>
      </c>
      <c r="BH101" s="97">
        <v>9.3831874377178597</v>
      </c>
      <c r="BI101" s="97">
        <v>11169.74632585934</v>
      </c>
      <c r="BJ101" s="97">
        <v>13.64614309486428</v>
      </c>
      <c r="BK101" s="97">
        <v>16244.368740126438</v>
      </c>
      <c r="BL101" s="97">
        <v>14.407663172517058</v>
      </c>
      <c r="BM101" s="97">
        <v>17150.882240564304</v>
      </c>
      <c r="BN101" s="97">
        <v>8.0980853046791488</v>
      </c>
      <c r="BO101" s="97">
        <v>9639.9607466900579</v>
      </c>
      <c r="BP101" s="97">
        <v>9.2912884080000033</v>
      </c>
      <c r="BQ101" s="97">
        <v>11060.349720883203</v>
      </c>
      <c r="BR101" s="97">
        <v>6.5395782724170637</v>
      </c>
      <c r="BS101" s="97">
        <v>7784.7139754852715</v>
      </c>
      <c r="BT101" s="97">
        <v>10</v>
      </c>
      <c r="BU101" s="97">
        <v>11903.999999999998</v>
      </c>
      <c r="BV101" s="97">
        <v>7.0516191867543219</v>
      </c>
      <c r="BW101" s="97">
        <v>8394.2474799123429</v>
      </c>
      <c r="BX101" s="97">
        <v>9</v>
      </c>
      <c r="BY101" s="97">
        <v>10713.599999999999</v>
      </c>
      <c r="BZ101" s="97">
        <v>9.4603637339998095</v>
      </c>
      <c r="CA101" s="97">
        <v>11261.616988953372</v>
      </c>
      <c r="CB101" s="97">
        <v>7.2931324689859744</v>
      </c>
      <c r="CC101" s="97">
        <v>8681.7448910809035</v>
      </c>
      <c r="CD101" s="97">
        <v>5.296540696365029</v>
      </c>
      <c r="CE101" s="97">
        <v>6305.0020449529302</v>
      </c>
      <c r="CF101" s="97">
        <v>5</v>
      </c>
      <c r="CG101" s="97">
        <v>5951.9999999999991</v>
      </c>
      <c r="CH101" s="97">
        <v>4.0306433077412098</v>
      </c>
      <c r="CI101" s="97">
        <v>4798.0777935351352</v>
      </c>
      <c r="CJ101" s="97">
        <v>8.1268793942671707</v>
      </c>
      <c r="CK101" s="97">
        <v>9674.2372309356397</v>
      </c>
      <c r="CL101" s="97">
        <v>5.1843553771639108</v>
      </c>
      <c r="CM101" s="97">
        <v>6171.4566409759191</v>
      </c>
      <c r="CN101" s="97">
        <v>5</v>
      </c>
      <c r="CO101" s="97">
        <v>5951.9999999999991</v>
      </c>
      <c r="CP101" s="97">
        <v>6.0077667649465853</v>
      </c>
      <c r="CQ101" s="97">
        <v>7151.6455569924146</v>
      </c>
      <c r="CR101" s="97">
        <v>6</v>
      </c>
      <c r="CS101" s="97">
        <v>7142.4</v>
      </c>
      <c r="CT101" s="97">
        <v>4</v>
      </c>
      <c r="CU101" s="97">
        <v>4761.5999999999995</v>
      </c>
    </row>
    <row r="102" spans="2:99" x14ac:dyDescent="0.15">
      <c r="C102" s="96" t="s">
        <v>267</v>
      </c>
      <c r="D102" s="97">
        <v>0</v>
      </c>
      <c r="E102" s="97">
        <v>0</v>
      </c>
      <c r="F102" s="97">
        <v>0</v>
      </c>
      <c r="G102" s="97">
        <v>0</v>
      </c>
      <c r="H102" s="97">
        <v>0</v>
      </c>
      <c r="I102" s="97">
        <v>0</v>
      </c>
      <c r="J102" s="97">
        <v>38.089781397584375</v>
      </c>
      <c r="K102" s="97">
        <v>73863.704086195619</v>
      </c>
      <c r="L102" s="97">
        <v>4.9066981017320241</v>
      </c>
      <c r="M102" s="97">
        <v>9515.0689588787409</v>
      </c>
      <c r="N102" s="97">
        <v>50</v>
      </c>
      <c r="O102" s="97">
        <v>96959.999999999985</v>
      </c>
      <c r="P102" s="97">
        <v>55.141851735886654</v>
      </c>
      <c r="Q102" s="97">
        <v>106931.07888623139</v>
      </c>
      <c r="R102" s="97">
        <v>25.464237131780475</v>
      </c>
      <c r="S102" s="97">
        <v>49380.24864594869</v>
      </c>
      <c r="T102" s="97">
        <v>35.620594920237671</v>
      </c>
      <c r="U102" s="97">
        <v>69075.457669324882</v>
      </c>
      <c r="V102" s="97">
        <v>40.495326413037546</v>
      </c>
      <c r="W102" s="97">
        <v>78528.536980162404</v>
      </c>
      <c r="X102" s="97">
        <v>25.567311590436049</v>
      </c>
      <c r="Y102" s="97">
        <v>49580.130636173584</v>
      </c>
      <c r="Z102" s="97">
        <v>40</v>
      </c>
      <c r="AA102" s="97">
        <v>77568</v>
      </c>
      <c r="AB102" s="97">
        <v>29.062898325065298</v>
      </c>
      <c r="AC102" s="97">
        <v>56358.772431966623</v>
      </c>
      <c r="AD102" s="97">
        <v>30.801039652519282</v>
      </c>
      <c r="AE102" s="97">
        <v>59729.376094165389</v>
      </c>
      <c r="AF102" s="97">
        <v>26.755292419798863</v>
      </c>
      <c r="AG102" s="97">
        <v>51883.863060473952</v>
      </c>
      <c r="AH102" s="97">
        <v>26.690650914391558</v>
      </c>
      <c r="AI102" s="97">
        <v>51758.510253188106</v>
      </c>
      <c r="AJ102" s="97">
        <v>21.813096878729176</v>
      </c>
      <c r="AK102" s="97">
        <v>42299.957467231616</v>
      </c>
      <c r="AL102" s="97">
        <v>25.791533982486396</v>
      </c>
      <c r="AM102" s="97">
        <v>50014.942698837614</v>
      </c>
      <c r="AN102" s="97">
        <v>18.509684714924081</v>
      </c>
      <c r="AO102" s="97">
        <v>35893.980599180773</v>
      </c>
      <c r="AP102" s="97">
        <v>20.091498216409036</v>
      </c>
      <c r="AQ102" s="97">
        <v>38961.433341260396</v>
      </c>
      <c r="AR102" s="97">
        <v>9.5499712621053447</v>
      </c>
      <c r="AS102" s="97">
        <v>18519.304271474684</v>
      </c>
      <c r="AT102" s="97">
        <v>18.616062691352273</v>
      </c>
      <c r="AU102" s="97">
        <v>36100.268771070325</v>
      </c>
      <c r="AV102" s="97">
        <v>10.610558272895936</v>
      </c>
      <c r="AW102" s="97">
        <v>20575.994602799798</v>
      </c>
      <c r="AX102" s="97">
        <v>13.652709331518381</v>
      </c>
      <c r="AY102" s="97">
        <v>26475.333935680443</v>
      </c>
      <c r="AZ102" s="97">
        <v>10.594679722135618</v>
      </c>
      <c r="BA102" s="97">
        <v>20545.202917165388</v>
      </c>
      <c r="BB102" s="97">
        <v>17.070187620075966</v>
      </c>
      <c r="BC102" s="97">
        <v>33102.507832851312</v>
      </c>
      <c r="BD102" s="97">
        <v>12.54806548265563</v>
      </c>
      <c r="BE102" s="97">
        <v>24333.208583965796</v>
      </c>
      <c r="BF102" s="97">
        <v>9.5286052353251236</v>
      </c>
      <c r="BG102" s="97">
        <v>18477.87127234248</v>
      </c>
      <c r="BH102" s="97">
        <v>8.2873905782883952</v>
      </c>
      <c r="BI102" s="97">
        <v>16070.907809416854</v>
      </c>
      <c r="BJ102" s="97">
        <v>13.516914475891424</v>
      </c>
      <c r="BK102" s="97">
        <v>26212.000551648645</v>
      </c>
      <c r="BL102" s="97">
        <v>13.407663172517058</v>
      </c>
      <c r="BM102" s="97">
        <v>26000.140424145076</v>
      </c>
      <c r="BN102" s="97">
        <v>7.0905402812422906</v>
      </c>
      <c r="BO102" s="97">
        <v>13749.975713385049</v>
      </c>
      <c r="BP102" s="97">
        <v>8.2427403400000028</v>
      </c>
      <c r="BQ102" s="97">
        <v>15984.322067328005</v>
      </c>
      <c r="BR102" s="97">
        <v>7.4905257021973304</v>
      </c>
      <c r="BS102" s="97">
        <v>14525.627441701061</v>
      </c>
      <c r="BT102" s="97">
        <v>9.3120021724496542</v>
      </c>
      <c r="BU102" s="97">
        <v>18057.834612814368</v>
      </c>
      <c r="BV102" s="97">
        <v>6.0516191867543219</v>
      </c>
      <c r="BW102" s="97">
        <v>11735.29992695398</v>
      </c>
      <c r="BX102" s="97">
        <v>9</v>
      </c>
      <c r="BY102" s="97">
        <v>17452.8</v>
      </c>
      <c r="BZ102" s="97">
        <v>8.4603637339998095</v>
      </c>
      <c r="CA102" s="97">
        <v>16406.33735297243</v>
      </c>
      <c r="CB102" s="97">
        <v>6.2931324689859744</v>
      </c>
      <c r="CC102" s="97">
        <v>12203.6424838576</v>
      </c>
      <c r="CD102" s="97">
        <v>5.296540696365029</v>
      </c>
      <c r="CE102" s="97">
        <v>10271.051718391063</v>
      </c>
      <c r="CF102" s="97">
        <v>4</v>
      </c>
      <c r="CG102" s="97">
        <v>7756.7999999999993</v>
      </c>
      <c r="CH102" s="97">
        <v>4.0357505256980781</v>
      </c>
      <c r="CI102" s="97">
        <v>7826.127419433712</v>
      </c>
      <c r="CJ102" s="97">
        <v>6.1268793942671715</v>
      </c>
      <c r="CK102" s="97">
        <v>11881.244521362898</v>
      </c>
      <c r="CL102" s="97">
        <v>4</v>
      </c>
      <c r="CM102" s="97">
        <v>7756.7999999999993</v>
      </c>
      <c r="CN102" s="97">
        <v>5</v>
      </c>
      <c r="CO102" s="97">
        <v>9696</v>
      </c>
      <c r="CP102" s="97">
        <v>6.0051778432977239</v>
      </c>
      <c r="CQ102" s="97">
        <v>11645.240873722945</v>
      </c>
      <c r="CR102" s="97">
        <v>6</v>
      </c>
      <c r="CS102" s="97">
        <v>11635.199999999999</v>
      </c>
      <c r="CT102" s="97">
        <v>4</v>
      </c>
      <c r="CU102" s="97">
        <v>7756.7999999999993</v>
      </c>
    </row>
    <row r="103" spans="2:99" x14ac:dyDescent="0.15">
      <c r="C103" s="96" t="s">
        <v>268</v>
      </c>
      <c r="D103" s="97">
        <v>0</v>
      </c>
      <c r="E103" s="97">
        <v>0</v>
      </c>
      <c r="F103" s="97">
        <v>0</v>
      </c>
      <c r="G103" s="97">
        <v>0</v>
      </c>
      <c r="H103" s="97">
        <v>0</v>
      </c>
      <c r="I103" s="97">
        <v>0</v>
      </c>
      <c r="J103" s="97">
        <v>33.525250211640127</v>
      </c>
      <c r="K103" s="97">
        <v>67989.207429206173</v>
      </c>
      <c r="L103" s="97">
        <v>5.525478836578686</v>
      </c>
      <c r="M103" s="97">
        <v>11205.671080581575</v>
      </c>
      <c r="N103" s="97">
        <v>51</v>
      </c>
      <c r="O103" s="97">
        <v>103428</v>
      </c>
      <c r="P103" s="97">
        <v>53.265816612560116</v>
      </c>
      <c r="Q103" s="97">
        <v>108023.07609027192</v>
      </c>
      <c r="R103" s="97">
        <v>25.868403247539359</v>
      </c>
      <c r="S103" s="97">
        <v>52461.121786009819</v>
      </c>
      <c r="T103" s="97">
        <v>29.773019853910903</v>
      </c>
      <c r="U103" s="97">
        <v>60379.684263731309</v>
      </c>
      <c r="V103" s="97">
        <v>47.087588852369237</v>
      </c>
      <c r="W103" s="97">
        <v>95493.630192604818</v>
      </c>
      <c r="X103" s="97">
        <v>23.648987322394849</v>
      </c>
      <c r="Y103" s="97">
        <v>47960.146289816752</v>
      </c>
      <c r="Z103" s="97">
        <v>39</v>
      </c>
      <c r="AA103" s="97">
        <v>79092</v>
      </c>
      <c r="AB103" s="97">
        <v>27.224743469134516</v>
      </c>
      <c r="AC103" s="97">
        <v>55211.779755404801</v>
      </c>
      <c r="AD103" s="97">
        <v>30.775199663728337</v>
      </c>
      <c r="AE103" s="97">
        <v>62412.10491804107</v>
      </c>
      <c r="AF103" s="97">
        <v>27.704939591812273</v>
      </c>
      <c r="AG103" s="97">
        <v>56185.617492195292</v>
      </c>
      <c r="AH103" s="97">
        <v>26.63949158739959</v>
      </c>
      <c r="AI103" s="97">
        <v>54024.888939246368</v>
      </c>
      <c r="AJ103" s="97">
        <v>18.848448916934792</v>
      </c>
      <c r="AK103" s="97">
        <v>38224.654403543762</v>
      </c>
      <c r="AL103" s="97">
        <v>23.890475730297194</v>
      </c>
      <c r="AM103" s="97">
        <v>48449.884781042711</v>
      </c>
      <c r="AN103" s="97">
        <v>18.566316349915645</v>
      </c>
      <c r="AO103" s="97">
        <v>37652.489557628927</v>
      </c>
      <c r="AP103" s="97">
        <v>20.088109393579071</v>
      </c>
      <c r="AQ103" s="97">
        <v>40738.685850178357</v>
      </c>
      <c r="AR103" s="97">
        <v>10.599968649569467</v>
      </c>
      <c r="AS103" s="97">
        <v>21496.736421326881</v>
      </c>
      <c r="AT103" s="97">
        <v>17.574991845262122</v>
      </c>
      <c r="AU103" s="97">
        <v>35642.083462191586</v>
      </c>
      <c r="AV103" s="97">
        <v>10.678398080995484</v>
      </c>
      <c r="AW103" s="97">
        <v>21655.791308258842</v>
      </c>
      <c r="AX103" s="97">
        <v>11.611914998298481</v>
      </c>
      <c r="AY103" s="97">
        <v>23548.963616549318</v>
      </c>
      <c r="AZ103" s="97">
        <v>11.594679722135618</v>
      </c>
      <c r="BA103" s="97">
        <v>23514.010476491032</v>
      </c>
      <c r="BB103" s="97">
        <v>15.06016081720797</v>
      </c>
      <c r="BC103" s="97">
        <v>30542.006137297765</v>
      </c>
      <c r="BD103" s="97">
        <v>13</v>
      </c>
      <c r="BE103" s="97">
        <v>26364</v>
      </c>
      <c r="BF103" s="97">
        <v>10.528605235325124</v>
      </c>
      <c r="BG103" s="97">
        <v>21352.011417239351</v>
      </c>
      <c r="BH103" s="97">
        <v>8.3352890080031266</v>
      </c>
      <c r="BI103" s="97">
        <v>16903.966108230339</v>
      </c>
      <c r="BJ103" s="97">
        <v>13.516914475891424</v>
      </c>
      <c r="BK103" s="97">
        <v>27412.302557107807</v>
      </c>
      <c r="BL103" s="97">
        <v>11.407663172517058</v>
      </c>
      <c r="BM103" s="97">
        <v>23134.740913864593</v>
      </c>
      <c r="BN103" s="97">
        <v>7.0905402812422906</v>
      </c>
      <c r="BO103" s="97">
        <v>14379.615690359366</v>
      </c>
      <c r="BP103" s="97">
        <v>8.2427403400000028</v>
      </c>
      <c r="BQ103" s="97">
        <v>16716.277409520004</v>
      </c>
      <c r="BR103" s="97">
        <v>6.4905257021973304</v>
      </c>
      <c r="BS103" s="97">
        <v>13162.786124056185</v>
      </c>
      <c r="BT103" s="97">
        <v>8.3120021724496542</v>
      </c>
      <c r="BU103" s="97">
        <v>16856.740405727898</v>
      </c>
      <c r="BV103" s="97">
        <v>6.0516191867543219</v>
      </c>
      <c r="BW103" s="97">
        <v>12272.683710737765</v>
      </c>
      <c r="BX103" s="97">
        <v>9</v>
      </c>
      <c r="BY103" s="97">
        <v>18252</v>
      </c>
      <c r="BZ103" s="97">
        <v>8.368290987199849</v>
      </c>
      <c r="CA103" s="97">
        <v>16970.894122041293</v>
      </c>
      <c r="CB103" s="97">
        <v>6.2931324689859744</v>
      </c>
      <c r="CC103" s="97">
        <v>12762.472647103556</v>
      </c>
      <c r="CD103" s="97">
        <v>5.296540696365029</v>
      </c>
      <c r="CE103" s="97">
        <v>10741.38453222828</v>
      </c>
      <c r="CF103" s="97">
        <v>4</v>
      </c>
      <c r="CG103" s="97">
        <v>8112</v>
      </c>
      <c r="CH103" s="97">
        <v>4.0306433077412098</v>
      </c>
      <c r="CI103" s="97">
        <v>8174.1446280991731</v>
      </c>
      <c r="CJ103" s="97">
        <v>7.1268793942671715</v>
      </c>
      <c r="CK103" s="97">
        <v>14453.311411573824</v>
      </c>
      <c r="CL103" s="97">
        <v>4</v>
      </c>
      <c r="CM103" s="97">
        <v>8112</v>
      </c>
      <c r="CN103" s="97">
        <v>4</v>
      </c>
      <c r="CO103" s="97">
        <v>8112</v>
      </c>
      <c r="CP103" s="97">
        <v>5.0064723041221546</v>
      </c>
      <c r="CQ103" s="97">
        <v>10153.12583275973</v>
      </c>
      <c r="CR103" s="97">
        <v>6</v>
      </c>
      <c r="CS103" s="97">
        <v>12168</v>
      </c>
      <c r="CT103" s="97">
        <v>4</v>
      </c>
      <c r="CU103" s="97">
        <v>8112</v>
      </c>
    </row>
    <row r="104" spans="2:99" x14ac:dyDescent="0.15">
      <c r="C104" s="96" t="s">
        <v>269</v>
      </c>
      <c r="D104" s="97">
        <v>0</v>
      </c>
      <c r="E104" s="97">
        <v>0</v>
      </c>
      <c r="F104" s="97">
        <v>0</v>
      </c>
      <c r="G104" s="97">
        <v>0</v>
      </c>
      <c r="H104" s="97">
        <v>0</v>
      </c>
      <c r="I104" s="97">
        <v>0</v>
      </c>
      <c r="J104" s="97">
        <v>32.784125774252807</v>
      </c>
      <c r="K104" s="97">
        <v>67941.822254561514</v>
      </c>
      <c r="L104" s="97">
        <v>5.6024349247880183</v>
      </c>
      <c r="M104" s="97">
        <v>11610.486138130689</v>
      </c>
      <c r="N104" s="97">
        <v>44</v>
      </c>
      <c r="O104" s="97">
        <v>91185.600000000006</v>
      </c>
      <c r="P104" s="97">
        <v>50.815304429706721</v>
      </c>
      <c r="Q104" s="97">
        <v>105309.63690012421</v>
      </c>
      <c r="R104" s="97">
        <v>25.868403247539359</v>
      </c>
      <c r="S104" s="97">
        <v>53609.678890200572</v>
      </c>
      <c r="T104" s="97">
        <v>32.648157885049102</v>
      </c>
      <c r="U104" s="97">
        <v>67660.042400975755</v>
      </c>
      <c r="V104" s="97">
        <v>39.553574635990159</v>
      </c>
      <c r="W104" s="97">
        <v>81970.828075626006</v>
      </c>
      <c r="X104" s="97">
        <v>25.59726854785988</v>
      </c>
      <c r="Y104" s="97">
        <v>53047.77933858482</v>
      </c>
      <c r="Z104" s="97">
        <v>40</v>
      </c>
      <c r="AA104" s="97">
        <v>82896</v>
      </c>
      <c r="AB104" s="97">
        <v>29.176377768543741</v>
      </c>
      <c r="AC104" s="97">
        <v>60465.125287530049</v>
      </c>
      <c r="AD104" s="97">
        <v>27.697679697355504</v>
      </c>
      <c r="AE104" s="97">
        <v>57400.671404799548</v>
      </c>
      <c r="AF104" s="97">
        <v>30.679763177818977</v>
      </c>
      <c r="AG104" s="97">
        <v>63580.741209712047</v>
      </c>
      <c r="AH104" s="97">
        <v>29.665071250895576</v>
      </c>
      <c r="AI104" s="97">
        <v>61477.893660355992</v>
      </c>
      <c r="AJ104" s="97">
        <v>18.77774484052356</v>
      </c>
      <c r="AK104" s="97">
        <v>38914.998407501029</v>
      </c>
      <c r="AL104" s="97">
        <v>23.824514565089995</v>
      </c>
      <c r="AM104" s="97">
        <v>49373.923984692505</v>
      </c>
      <c r="AN104" s="97">
        <v>15.509684714924081</v>
      </c>
      <c r="AO104" s="97">
        <v>32142.270603208668</v>
      </c>
      <c r="AP104" s="97">
        <v>19.081331747919144</v>
      </c>
      <c r="AQ104" s="97">
        <v>39544.151914387636</v>
      </c>
      <c r="AR104" s="97">
        <v>11.64996603703359</v>
      </c>
      <c r="AS104" s="97">
        <v>24143.389615148411</v>
      </c>
      <c r="AT104" s="97">
        <v>18.574991845262122</v>
      </c>
      <c r="AU104" s="97">
        <v>38494.813100121224</v>
      </c>
      <c r="AV104" s="97">
        <v>10.576638368846162</v>
      </c>
      <c r="AW104" s="97">
        <v>21919.025355596787</v>
      </c>
      <c r="AX104" s="97">
        <v>13.69350366473828</v>
      </c>
      <c r="AY104" s="97">
        <v>28378.416994803614</v>
      </c>
      <c r="AZ104" s="97">
        <v>10.637156845145304</v>
      </c>
      <c r="BA104" s="97">
        <v>22044.44384587913</v>
      </c>
      <c r="BB104" s="97">
        <v>14.070187620075966</v>
      </c>
      <c r="BC104" s="97">
        <v>29159.056823845433</v>
      </c>
      <c r="BD104" s="97">
        <v>13.597889617442505</v>
      </c>
      <c r="BE104" s="97">
        <v>28180.266443187847</v>
      </c>
      <c r="BF104" s="97">
        <v>10.484554799048031</v>
      </c>
      <c r="BG104" s="97">
        <v>21728.19136554714</v>
      </c>
      <c r="BH104" s="97">
        <v>8.3352890080031266</v>
      </c>
      <c r="BI104" s="97">
        <v>17274.05294018568</v>
      </c>
      <c r="BJ104" s="97">
        <v>12.559990682215711</v>
      </c>
      <c r="BK104" s="97">
        <v>26029.324689823839</v>
      </c>
      <c r="BL104" s="97">
        <v>13.362367264459607</v>
      </c>
      <c r="BM104" s="97">
        <v>27692.16991886609</v>
      </c>
      <c r="BN104" s="97">
        <v>8.1056303281160051</v>
      </c>
      <c r="BO104" s="97">
        <v>16798.10829198761</v>
      </c>
      <c r="BP104" s="97">
        <v>7.2427403400000019</v>
      </c>
      <c r="BQ104" s="97">
        <v>15009.855080616004</v>
      </c>
      <c r="BR104" s="97">
        <v>6.4905257021973304</v>
      </c>
      <c r="BS104" s="97">
        <v>13450.965465233749</v>
      </c>
      <c r="BT104" s="97">
        <v>8</v>
      </c>
      <c r="BU104" s="97">
        <v>16579.2</v>
      </c>
      <c r="BV104" s="97">
        <v>6.043015988961935</v>
      </c>
      <c r="BW104" s="97">
        <v>12523.546335524714</v>
      </c>
      <c r="BX104" s="97">
        <v>8</v>
      </c>
      <c r="BY104" s="97">
        <v>16579.2</v>
      </c>
      <c r="BZ104" s="97">
        <v>7.4143273605998292</v>
      </c>
      <c r="CA104" s="97">
        <v>15365.452022107087</v>
      </c>
      <c r="CB104" s="97">
        <v>6.2442770574883122</v>
      </c>
      <c r="CC104" s="97">
        <v>12940.639773938779</v>
      </c>
      <c r="CD104" s="97">
        <v>5.296540696365029</v>
      </c>
      <c r="CE104" s="97">
        <v>10976.550939146886</v>
      </c>
      <c r="CF104" s="97">
        <v>5</v>
      </c>
      <c r="CG104" s="97">
        <v>10362</v>
      </c>
      <c r="CH104" s="97">
        <v>4.0306433077412098</v>
      </c>
      <c r="CI104" s="97">
        <v>8353.1051909628841</v>
      </c>
      <c r="CJ104" s="97">
        <v>7</v>
      </c>
      <c r="CK104" s="97">
        <v>14506.800000000001</v>
      </c>
      <c r="CL104" s="97">
        <v>4.1843553771639108</v>
      </c>
      <c r="CM104" s="97">
        <v>8671.6580836344892</v>
      </c>
      <c r="CN104" s="97">
        <v>4</v>
      </c>
      <c r="CO104" s="97">
        <v>8289.6</v>
      </c>
      <c r="CP104" s="97">
        <v>5.0064723041221546</v>
      </c>
      <c r="CQ104" s="97">
        <v>10375.413203062753</v>
      </c>
      <c r="CR104" s="97">
        <v>6</v>
      </c>
      <c r="CS104" s="97">
        <v>12434.400000000001</v>
      </c>
      <c r="CT104" s="97">
        <v>4</v>
      </c>
      <c r="CU104" s="97">
        <v>8289.6</v>
      </c>
    </row>
    <row r="105" spans="2:99" x14ac:dyDescent="0.15">
      <c r="C105" s="96" t="s">
        <v>270</v>
      </c>
      <c r="D105" s="97">
        <v>0</v>
      </c>
      <c r="E105" s="97">
        <v>0</v>
      </c>
      <c r="F105" s="97">
        <v>0</v>
      </c>
      <c r="G105" s="97">
        <v>0</v>
      </c>
      <c r="H105" s="97">
        <v>0</v>
      </c>
      <c r="I105" s="97">
        <v>0</v>
      </c>
      <c r="J105" s="97">
        <v>32.060669021108538</v>
      </c>
      <c r="K105" s="97">
        <v>64057.216704174862</v>
      </c>
      <c r="L105" s="97">
        <v>5.2134784448453511</v>
      </c>
      <c r="M105" s="97">
        <v>10416.529932801011</v>
      </c>
      <c r="N105" s="97">
        <v>46</v>
      </c>
      <c r="O105" s="97">
        <v>91908</v>
      </c>
      <c r="P105" s="97">
        <v>49.910336004601312</v>
      </c>
      <c r="Q105" s="97">
        <v>99720.851337193424</v>
      </c>
      <c r="R105" s="97">
        <v>26.704160596586149</v>
      </c>
      <c r="S105" s="97">
        <v>53354.912871979126</v>
      </c>
      <c r="T105" s="97">
        <v>31.760050044261639</v>
      </c>
      <c r="U105" s="97">
        <v>63456.579988434758</v>
      </c>
      <c r="V105" s="97">
        <v>47.087588852369237</v>
      </c>
      <c r="W105" s="97">
        <v>94081.002527033736</v>
      </c>
      <c r="X105" s="97">
        <v>27.395764986205762</v>
      </c>
      <c r="Y105" s="97">
        <v>54736.738442439113</v>
      </c>
      <c r="Z105" s="97">
        <v>37</v>
      </c>
      <c r="AA105" s="97">
        <v>73926</v>
      </c>
      <c r="AB105" s="97">
        <v>30.095455196509128</v>
      </c>
      <c r="AC105" s="97">
        <v>60130.719482625238</v>
      </c>
      <c r="AD105" s="97">
        <v>31.749359674937391</v>
      </c>
      <c r="AE105" s="97">
        <v>63435.220630524906</v>
      </c>
      <c r="AF105" s="97">
        <v>27.679763177818977</v>
      </c>
      <c r="AG105" s="97">
        <v>55304.166829282316</v>
      </c>
      <c r="AH105" s="97">
        <v>27.588332260407626</v>
      </c>
      <c r="AI105" s="97">
        <v>55121.487856294436</v>
      </c>
      <c r="AJ105" s="97">
        <v>20.919152993346025</v>
      </c>
      <c r="AK105" s="97">
        <v>41796.467680705355</v>
      </c>
      <c r="AL105" s="97">
        <v>23.758553399882796</v>
      </c>
      <c r="AM105" s="97">
        <v>47469.589692965827</v>
      </c>
      <c r="AN105" s="97">
        <v>17.4813688974283</v>
      </c>
      <c r="AO105" s="97">
        <v>34927.775057061743</v>
      </c>
      <c r="AP105" s="97">
        <v>17.088109393579071</v>
      </c>
      <c r="AQ105" s="97">
        <v>34142.042568370984</v>
      </c>
      <c r="AR105" s="97">
        <v>9.5499712621053447</v>
      </c>
      <c r="AS105" s="97">
        <v>19080.84258168648</v>
      </c>
      <c r="AT105" s="97">
        <v>18.492850153081818</v>
      </c>
      <c r="AU105" s="97">
        <v>36948.714605857473</v>
      </c>
      <c r="AV105" s="97">
        <v>10.610558272895936</v>
      </c>
      <c r="AW105" s="97">
        <v>21199.89542924608</v>
      </c>
      <c r="AX105" s="97">
        <v>12.69350366473828</v>
      </c>
      <c r="AY105" s="97">
        <v>25361.620322147082</v>
      </c>
      <c r="AZ105" s="97">
        <v>11.594679722135618</v>
      </c>
      <c r="BA105" s="97">
        <v>23166.170084826965</v>
      </c>
      <c r="BB105" s="97">
        <v>17.065174218641967</v>
      </c>
      <c r="BC105" s="97">
        <v>34096.218088846654</v>
      </c>
      <c r="BD105" s="97">
        <v>12</v>
      </c>
      <c r="BE105" s="97">
        <v>23976</v>
      </c>
      <c r="BF105" s="97">
        <v>9.5286052353251236</v>
      </c>
      <c r="BG105" s="97">
        <v>19038.153260179595</v>
      </c>
      <c r="BH105" s="97">
        <v>8.3352890080031266</v>
      </c>
      <c r="BI105" s="97">
        <v>16653.907437990249</v>
      </c>
      <c r="BJ105" s="97">
        <v>10.603066888539995</v>
      </c>
      <c r="BK105" s="97">
        <v>21184.927643302912</v>
      </c>
      <c r="BL105" s="97">
        <v>13.407663172517058</v>
      </c>
      <c r="BM105" s="97">
        <v>26788.511018689082</v>
      </c>
      <c r="BN105" s="97">
        <v>7.0905402812422906</v>
      </c>
      <c r="BO105" s="97">
        <v>14166.899481922097</v>
      </c>
      <c r="BP105" s="97">
        <v>8.2912884080000033</v>
      </c>
      <c r="BQ105" s="97">
        <v>16565.994239184005</v>
      </c>
      <c r="BR105" s="97">
        <v>6.4905257021973304</v>
      </c>
      <c r="BS105" s="97">
        <v>12968.070352990266</v>
      </c>
      <c r="BT105" s="97">
        <v>8</v>
      </c>
      <c r="BU105" s="97">
        <v>15984</v>
      </c>
      <c r="BV105" s="97">
        <v>6.0516191867543219</v>
      </c>
      <c r="BW105" s="97">
        <v>12091.135135135135</v>
      </c>
      <c r="BX105" s="97">
        <v>8</v>
      </c>
      <c r="BY105" s="97">
        <v>15984</v>
      </c>
      <c r="BZ105" s="97">
        <v>8.4603637339998095</v>
      </c>
      <c r="CA105" s="97">
        <v>16903.806740531618</v>
      </c>
      <c r="CB105" s="97">
        <v>7.2442770574883122</v>
      </c>
      <c r="CC105" s="97">
        <v>14474.065560861647</v>
      </c>
      <c r="CD105" s="97">
        <v>5.2471172469708574</v>
      </c>
      <c r="CE105" s="97">
        <v>10483.740259447773</v>
      </c>
      <c r="CF105" s="97">
        <v>4</v>
      </c>
      <c r="CG105" s="97">
        <v>7992</v>
      </c>
      <c r="CH105" s="97">
        <v>4.0306433077412098</v>
      </c>
      <c r="CI105" s="97">
        <v>8053.2253288669372</v>
      </c>
      <c r="CJ105" s="97">
        <v>6</v>
      </c>
      <c r="CK105" s="97">
        <v>11988</v>
      </c>
      <c r="CL105" s="97">
        <v>4</v>
      </c>
      <c r="CM105" s="97">
        <v>7992</v>
      </c>
      <c r="CN105" s="97">
        <v>5</v>
      </c>
      <c r="CO105" s="97">
        <v>9990</v>
      </c>
      <c r="CP105" s="97">
        <v>5.0064723041221546</v>
      </c>
      <c r="CQ105" s="97">
        <v>10002.931663636065</v>
      </c>
      <c r="CR105" s="97">
        <v>7</v>
      </c>
      <c r="CS105" s="97">
        <v>13986</v>
      </c>
      <c r="CT105" s="97">
        <v>4</v>
      </c>
      <c r="CU105" s="97">
        <v>7992</v>
      </c>
    </row>
    <row r="107" spans="2:99" x14ac:dyDescent="0.15">
      <c r="B107" s="101" t="s">
        <v>275</v>
      </c>
    </row>
    <row r="108" spans="2:99" x14ac:dyDescent="0.15">
      <c r="C108" s="96" t="s">
        <v>276</v>
      </c>
      <c r="D108" s="96" t="s">
        <v>92</v>
      </c>
      <c r="E108" s="96" t="s">
        <v>93</v>
      </c>
      <c r="F108" s="96" t="s">
        <v>94</v>
      </c>
      <c r="G108" s="96" t="s">
        <v>95</v>
      </c>
      <c r="H108" s="96" t="s">
        <v>96</v>
      </c>
      <c r="I108" s="96" t="s">
        <v>97</v>
      </c>
      <c r="J108" s="96" t="s">
        <v>98</v>
      </c>
      <c r="K108" s="96" t="s">
        <v>99</v>
      </c>
      <c r="L108" s="96" t="s">
        <v>100</v>
      </c>
      <c r="M108" s="96" t="s">
        <v>101</v>
      </c>
      <c r="N108" s="96" t="s">
        <v>102</v>
      </c>
      <c r="O108" s="96" t="s">
        <v>103</v>
      </c>
    </row>
    <row r="109" spans="2:99" x14ac:dyDescent="0.15">
      <c r="C109" s="96" t="s">
        <v>126</v>
      </c>
      <c r="D109" s="97">
        <f>SUM(D$6:D$19)+SUM(F$6:F$19)+SUM(H$6:H$19)+SUM(J$6:J$19)</f>
        <v>0</v>
      </c>
      <c r="E109" s="97">
        <f>SUM(L$6:L$19)+SUM(N$6:N$19)+SUM(P$6:P$19)+SUM(R$6:R$19)</f>
        <v>0</v>
      </c>
      <c r="F109" s="97">
        <f>SUM(T$6:T$19)+SUM(V$6:V$19)+SUM(X$6:X$19)+SUM(Z$6:Z$19)</f>
        <v>0</v>
      </c>
      <c r="G109" s="97">
        <f>SUM(AB$6:AB$19)+SUM(AD$6:AD$19)+SUM(AF$6:AF$19)+SUM(AH$6:AH$19)</f>
        <v>0</v>
      </c>
      <c r="H109" s="97">
        <f>SUM(AJ$6:AJ$19)+SUM(AL$6:AL$19)+SUM(AN$6:AN$19)+SUM(AP$6:AP$19)</f>
        <v>0</v>
      </c>
      <c r="I109" s="97">
        <f>SUM(AR$6:AR$19)+SUM(AT$6:AT$19)+SUM(AV$6:AV$19)+SUM(AX$6:AX$19)</f>
        <v>0</v>
      </c>
      <c r="J109" s="97">
        <f>SUM(AZ$6:AZ$19)+SUM(BB$6:BB$19)+SUM(BD$6:BD$19)+SUM(BF$6:BF$19)</f>
        <v>0</v>
      </c>
      <c r="K109" s="97">
        <f>SUM(BH$6:BH$19)+SUM(BJ$6:BJ$19)+SUM(BL$6:BL$19)+SUM(BN$6:BN$19)</f>
        <v>0</v>
      </c>
      <c r="L109" s="97">
        <f>SUM(BP$6:BP$19)+SUM(BR$6:BR$19)+SUM(BT$6:BT$19)+SUM(BV$6:BV$19)</f>
        <v>0</v>
      </c>
      <c r="M109" s="97">
        <f>SUM(BX$6:BX$19)+SUM(BZ$6:BZ$19)+SUM(CB$6:CB$19)+SUM(CD$6:CD$19)</f>
        <v>0</v>
      </c>
      <c r="N109" s="97">
        <f>SUM(CF$6:CF$19)+SUM(CH$6:CH$19)+SUM(CJ$6:CJ$19)+SUM(CL$6:CL$19)</f>
        <v>0</v>
      </c>
      <c r="O109" s="97">
        <f>SUM(CN$6:CN$19)+SUM(CP$6:CP$19)+SUM(CR$6:CR$19)+SUM(CT$6:CT$19)</f>
        <v>0</v>
      </c>
    </row>
    <row r="110" spans="2:99" x14ac:dyDescent="0.15">
      <c r="C110" s="96" t="s">
        <v>127</v>
      </c>
      <c r="D110" s="97">
        <f>SUM(D$20:D$36)+SUM(F$20:F$36)+SUM(H$20:H$36)+SUM(J$20:J$36)</f>
        <v>0</v>
      </c>
      <c r="E110" s="97">
        <f>SUM(L$20:L$36)+SUM(N$20:N$36)+SUM(P$20:P$36)+SUM(R$20:R$36)</f>
        <v>0</v>
      </c>
      <c r="F110" s="97">
        <f>SUM(T$20:T$36)+SUM(V$20:V$36)+SUM(X$20:X$36)+SUM(Z$20:Z$36)</f>
        <v>0</v>
      </c>
      <c r="G110" s="97">
        <f>SUM(AB$20:AB$36)+SUM(AD$20:AD$36)+SUM(AF$20:AF$36)+SUM(AH$20:AH$36)</f>
        <v>0</v>
      </c>
      <c r="H110" s="97">
        <f>SUM(AJ$20:AJ$36)+SUM(AL$20:AL$36)+SUM(AN$20:AN$36)+SUM(AP$20:AP$36)</f>
        <v>0</v>
      </c>
      <c r="I110" s="97">
        <f>SUM(AR$20:AR$36)+SUM(AT$20:AT$36)+SUM(AV$20:AV$36)+SUM(AX$20:AX$36)</f>
        <v>0</v>
      </c>
      <c r="J110" s="97">
        <f>SUM(AZ$20:AZ$36)+SUM(BB$20:BB$36)+SUM(BD$20:BD$36)+SUM(BF$20:BF$36)</f>
        <v>0</v>
      </c>
      <c r="K110" s="97">
        <f>SUM(BH$20:BH$36)+SUM(BJ$20:BJ$36)+SUM(BL$20:BL$36)+SUM(BN$20:BN$36)</f>
        <v>0</v>
      </c>
      <c r="L110" s="97">
        <f>SUM(BP$20:BP$36)+SUM(BR$20:BR$36)+SUM(BT$20:BT$36)+SUM(BV$20:BV$36)</f>
        <v>0</v>
      </c>
      <c r="M110" s="97">
        <f>SUM(BX$20:BX$36)+SUM(BZ$20:BZ$36)+SUM(CB$20:CB$36)+SUM(CD$20:CD$36)</f>
        <v>0</v>
      </c>
      <c r="N110" s="97">
        <f>SUM(CF$20:CF$36)+SUM(CH$20:CH$36)+SUM(CJ$20:CJ$36)+SUM(CL$20:CL$36)</f>
        <v>0</v>
      </c>
      <c r="O110" s="97">
        <f>SUM(CN$20:CN$36)+SUM(CP$20:CP$36)+SUM(CR$20:CR$36)+SUM(CT$20:CT$36)</f>
        <v>0</v>
      </c>
    </row>
    <row r="111" spans="2:99" x14ac:dyDescent="0.15">
      <c r="C111" s="96" t="s">
        <v>128</v>
      </c>
      <c r="D111" s="97">
        <f>SUM(D$37:D$48)+SUM(F$37:F$48)+SUM(H$37:H$48)+SUM(J$37:J$48)</f>
        <v>0</v>
      </c>
      <c r="E111" s="97">
        <f>SUM(L$37:L$48)+SUM(N$37:N$48)+SUM(P$37:P$48)+SUM(R$37:R$48)</f>
        <v>0</v>
      </c>
      <c r="F111" s="97">
        <f>SUM(T$37:T$48)+SUM(V$37:V$48)+SUM(X$37:X$48)+SUM(Z$37:Z$48)</f>
        <v>0</v>
      </c>
      <c r="G111" s="97">
        <f>SUM(AB$37:AB$48)+SUM(AD$37:AD$48)+SUM(AF$37:AF$48)+SUM(AH$37:AH$48)</f>
        <v>0</v>
      </c>
      <c r="H111" s="97">
        <f>SUM(AJ$37:AJ$48)+SUM(AL$37:AL$48)+SUM(AN$37:AN$48)+SUM(AP$37:AP$48)</f>
        <v>0</v>
      </c>
      <c r="I111" s="97">
        <f>SUM(AR$37:AR$48)+SUM(AT$37:AT$48)+SUM(AV$37:AV$48)+SUM(AX$37:AX$48)</f>
        <v>0</v>
      </c>
      <c r="J111" s="97">
        <f>SUM(AZ$37:AZ$48)+SUM(BB$37:BB$48)+SUM(BD$37:BD$48)+SUM(BF$37:BF$48)</f>
        <v>0</v>
      </c>
      <c r="K111" s="97">
        <f>SUM(BH$37:BH$48)+SUM(BJ$37:BJ$48)+SUM(BL$37:BL$48)+SUM(BN$37:BN$48)</f>
        <v>0</v>
      </c>
      <c r="L111" s="97">
        <f>SUM(BP$37:BP$48)+SUM(BR$37:BR$48)+SUM(BT$37:BT$48)+SUM(BV$37:BV$48)</f>
        <v>0</v>
      </c>
      <c r="M111" s="97">
        <f>SUM(BX$37:BX$48)+SUM(BZ$37:BZ$48)+SUM(CB$37:CB$48)+SUM(CD$37:CD$48)</f>
        <v>0</v>
      </c>
      <c r="N111" s="97">
        <f>SUM(CF$37:CF$48)+SUM(CH$37:CH$48)+SUM(CJ$37:CJ$48)+SUM(CL$37:CL$48)</f>
        <v>0</v>
      </c>
      <c r="O111" s="97">
        <f>SUM(CN$37:CN$48)+SUM(CP$37:CP$48)+SUM(CR$37:CR$48)+SUM(CT$37:CT$48)</f>
        <v>0</v>
      </c>
    </row>
    <row r="112" spans="2:99" x14ac:dyDescent="0.15">
      <c r="C112" s="96" t="s">
        <v>129</v>
      </c>
      <c r="D112" s="97">
        <f>SUM(D$49:D$70)+SUM(F$49:F$70)+SUM(H$49:H$70)+SUM(J$49:J$70)</f>
        <v>46.952815349217261</v>
      </c>
      <c r="E112" s="97">
        <f>SUM(L$49:L$70)+SUM(N$49:N$70)+SUM(P$49:P$70)+SUM(R$49:R$70)</f>
        <v>260.17565523464759</v>
      </c>
      <c r="F112" s="97">
        <f>SUM(T$49:T$70)+SUM(V$49:V$70)+SUM(X$49:X$70)+SUM(Z$49:Z$70)</f>
        <v>311.56811849701921</v>
      </c>
      <c r="G112" s="97">
        <f>SUM(AB$49:AB$70)+SUM(AD$49:AD$70)+SUM(AF$49:AF$70)+SUM(AH$49:AH$70)</f>
        <v>241.59264528619155</v>
      </c>
      <c r="H112" s="97">
        <f>SUM(AJ$49:AJ$70)+SUM(AL$49:AL$70)+SUM(AN$49:AN$70)+SUM(AP$49:AP$70)</f>
        <v>183.89609420359511</v>
      </c>
      <c r="I112" s="97">
        <f>SUM(AR$49:AR$70)+SUM(AT$49:AT$70)+SUM(AV$49:AV$70)+SUM(AX$49:AX$70)</f>
        <v>144.67819538351461</v>
      </c>
      <c r="J112" s="97">
        <f>SUM(AZ$49:AZ$70)+SUM(BB$49:BB$70)+SUM(BD$49:BD$70)+SUM(BF$49:BF$70)</f>
        <v>87.821263659828674</v>
      </c>
      <c r="K112" s="97">
        <f>SUM(BH$49:BH$70)+SUM(BJ$49:BJ$70)+SUM(BL$49:BL$70)+SUM(BN$49:BN$70)</f>
        <v>88.285296911558419</v>
      </c>
      <c r="L112" s="97">
        <f>SUM(BP$49:BP$70)+SUM(BR$49:BR$70)+SUM(BT$49:BT$70)+SUM(BV$49:BV$70)</f>
        <v>59.756320758261751</v>
      </c>
      <c r="M112" s="97">
        <f>SUM(BX$49:BX$70)+SUM(BZ$49:BZ$70)+SUM(CB$49:CB$70)+SUM(CD$49:CD$70)</f>
        <v>46.59542321705149</v>
      </c>
      <c r="N112" s="97">
        <f>SUM(CF$49:CF$70)+SUM(CH$49:CH$70)+SUM(CJ$49:CJ$70)+SUM(CL$49:CL$70)</f>
        <v>46.925235447132266</v>
      </c>
      <c r="O112" s="97">
        <f>SUM(CN$49:CN$70)+SUM(CP$49:CP$70)+SUM(CR$49:CR$70)+SUM(CT$49:CT$70)</f>
        <v>34.014239069068736</v>
      </c>
    </row>
    <row r="113" spans="2:15" x14ac:dyDescent="0.15">
      <c r="C113" s="96" t="s">
        <v>130</v>
      </c>
      <c r="D113" s="97">
        <f>SUM(D$71:D$86)+SUM(F$71:F$86)+SUM(H$71:H$86)+SUM(J$71:J$86)</f>
        <v>465.10578722520478</v>
      </c>
      <c r="E113" s="97">
        <f>SUM(L$71:L$86)+SUM(N$71:N$86)+SUM(P$71:P$86)+SUM(R$71:R$86)</f>
        <v>1349.5160468320596</v>
      </c>
      <c r="F113" s="97">
        <f>SUM(T$71:T$86)+SUM(V$71:V$86)+SUM(X$71:X$86)+SUM(Z$71:Z$86)</f>
        <v>1809.3509782846259</v>
      </c>
      <c r="G113" s="97">
        <f>SUM(AB$71:AB$86)+SUM(AD$71:AD$86)+SUM(AF$71:AF$86)+SUM(AH$71:AH$86)</f>
        <v>1162.5751092722348</v>
      </c>
      <c r="H113" s="97">
        <f>SUM(AJ$71:AJ$86)+SUM(AL$71:AL$86)+SUM(AN$71:AN$86)+SUM(AP$71:AP$86)</f>
        <v>759.22918561791823</v>
      </c>
      <c r="I113" s="97">
        <f>SUM(AR$71:AR$86)+SUM(AT$71:AT$86)+SUM(AV$71:AV$86)+SUM(AX$71:AX$86)</f>
        <v>598.05296741193433</v>
      </c>
      <c r="J113" s="97">
        <f>SUM(AZ$71:AZ$86)+SUM(BB$71:BB$86)+SUM(BD$71:BD$86)+SUM(BF$71:BF$86)</f>
        <v>540.25306154151269</v>
      </c>
      <c r="K113" s="97">
        <f>SUM(BH$71:BH$86)+SUM(BJ$71:BJ$86)+SUM(BL$71:BL$86)+SUM(BN$71:BN$86)</f>
        <v>350.8750186561893</v>
      </c>
      <c r="L113" s="97">
        <f>SUM(BP$71:BP$86)+SUM(BR$71:BR$86)+SUM(BT$71:BT$86)+SUM(BV$71:BV$86)</f>
        <v>309.66902037172309</v>
      </c>
      <c r="M113" s="97">
        <f>SUM(BX$71:BX$86)+SUM(BZ$71:BZ$86)+SUM(CB$71:CB$86)+SUM(CD$71:CD$86)</f>
        <v>257.23534635279827</v>
      </c>
      <c r="N113" s="97">
        <f>SUM(CF$71:CF$86)+SUM(CH$71:CH$86)+SUM(CJ$71:CJ$86)+SUM(CL$71:CL$86)</f>
        <v>212.776297129444</v>
      </c>
      <c r="O113" s="97">
        <f>SUM(CN$71:CN$86)+SUM(CP$71:CP$86)+SUM(CR$71:CR$86)+SUM(CT$71:CT$86)</f>
        <v>193.09837902265676</v>
      </c>
    </row>
    <row r="114" spans="2:15" x14ac:dyDescent="0.15">
      <c r="C114" s="96" t="s">
        <v>131</v>
      </c>
      <c r="D114" s="97">
        <f>SUM(D$87:D$94)+SUM(F$87:F$94)+SUM(H$87:H$94)+SUM(J$87:J$94)</f>
        <v>146.94350609089727</v>
      </c>
      <c r="E114" s="97">
        <f>SUM(L$87:L$94)+SUM(N$87:N$94)+SUM(P$87:P$94)+SUM(R$87:R$94)</f>
        <v>629.26608430231738</v>
      </c>
      <c r="F114" s="97">
        <f>SUM(T$87:T$94)+SUM(V$87:V$94)+SUM(X$87:X$94)+SUM(Z$87:Z$94)</f>
        <v>548.32421312071301</v>
      </c>
      <c r="G114" s="97">
        <f>SUM(AB$87:AB$94)+SUM(AD$87:AD$94)+SUM(AF$87:AF$94)+SUM(AH$87:AH$94)</f>
        <v>558.18395602226155</v>
      </c>
      <c r="H114" s="97">
        <f>SUM(AJ$87:AJ$94)+SUM(AL$87:AL$94)+SUM(AN$87:AN$94)+SUM(AP$87:AP$94)</f>
        <v>401.01584292253261</v>
      </c>
      <c r="I114" s="97">
        <f>SUM(AR$87:AR$94)+SUM(AT$87:AT$94)+SUM(AV$87:AV$94)+SUM(AX$87:AX$94)</f>
        <v>350.09756450137843</v>
      </c>
      <c r="J114" s="97">
        <f>SUM(AZ$87:AZ$94)+SUM(BB$87:BB$94)+SUM(BD$87:BD$94)+SUM(BF$87:BF$94)</f>
        <v>269.95841742232892</v>
      </c>
      <c r="K114" s="97">
        <f>SUM(BH$87:BH$94)+SUM(BJ$87:BJ$94)+SUM(BL$87:BL$94)+SUM(BN$87:BN$94)</f>
        <v>204.69229403788859</v>
      </c>
      <c r="L114" s="97">
        <f>SUM(BP$87:BP$94)+SUM(BR$87:BR$94)+SUM(BT$87:BT$94)+SUM(BV$87:BV$94)</f>
        <v>186.85431966255851</v>
      </c>
      <c r="M114" s="97">
        <f>SUM(BX$87:BX$94)+SUM(BZ$87:BZ$94)+SUM(CB$87:CB$94)+SUM(CD$87:CD$94)</f>
        <v>154.16715494423812</v>
      </c>
      <c r="N114" s="97">
        <f>SUM(CF$87:CF$94)+SUM(CH$87:CH$94)+SUM(CJ$87:CJ$94)+SUM(CL$87:CL$94)</f>
        <v>132.44083682474204</v>
      </c>
      <c r="O114" s="97">
        <f>SUM(CN$87:CN$94)+SUM(CP$87:CP$94)+SUM(CR$87:CR$94)+SUM(CT$87:CT$94)</f>
        <v>111.19019933611108</v>
      </c>
    </row>
    <row r="115" spans="2:15" x14ac:dyDescent="0.15">
      <c r="C115" s="96" t="s">
        <v>132</v>
      </c>
      <c r="D115" s="97">
        <f>SUM(D$95:D$105)+SUM(F$95:F$105)+SUM(H$95:H$105)+SUM(J$95:J$105)</f>
        <v>396.74015233821581</v>
      </c>
      <c r="E115" s="97">
        <f>SUM(L$95:L$105)+SUM(N$95:N$105)+SUM(P$95:P$105)+SUM(R$95:R$105)</f>
        <v>1500.4391925268051</v>
      </c>
      <c r="F115" s="97">
        <f>SUM(T$95:T$105)+SUM(V$95:V$105)+SUM(X$95:X$105)+SUM(Z$95:Z$105)</f>
        <v>1556.7726174507516</v>
      </c>
      <c r="G115" s="97">
        <f>SUM(AB$95:AB$105)+SUM(AD$95:AD$105)+SUM(AF$95:AF$105)+SUM(AH$95:AH$105)</f>
        <v>1280.5013022498742</v>
      </c>
      <c r="H115" s="97">
        <f>SUM(AJ$95:AJ$105)+SUM(AL$95:AL$105)+SUM(AN$95:AN$105)+SUM(AP$95:AP$105)</f>
        <v>901.64980780894098</v>
      </c>
      <c r="I115" s="97">
        <f>SUM(AR$95:AR$105)+SUM(AT$95:AT$105)+SUM(AV$95:AV$105)+SUM(AX$95:AX$105)</f>
        <v>583.01604803535247</v>
      </c>
      <c r="J115" s="97">
        <f>SUM(AZ$95:AZ$105)+SUM(BB$95:BB$105)+SUM(BD$95:BD$105)+SUM(BF$95:BF$105)</f>
        <v>548.9499707869976</v>
      </c>
      <c r="K115" s="97">
        <f>SUM(BH$95:BH$105)+SUM(BJ$95:BJ$105)+SUM(BL$95:BL$105)+SUM(BN$95:BN$105)</f>
        <v>460.11790551953675</v>
      </c>
      <c r="L115" s="97">
        <f>SUM(BP$95:BP$105)+SUM(BR$95:BR$105)+SUM(BT$95:BT$105)+SUM(BV$95:BV$105)</f>
        <v>332.43371873534323</v>
      </c>
      <c r="M115" s="97">
        <f>SUM(BX$95:BX$105)+SUM(BZ$95:BZ$105)+SUM(CB$95:CB$105)+SUM(CD$95:CD$105)</f>
        <v>320.16231507553039</v>
      </c>
      <c r="N115" s="97">
        <f>SUM(CF$95:CF$105)+SUM(CH$95:CH$105)+SUM(CJ$95:CJ$105)+SUM(CL$95:CL$105)</f>
        <v>217.60755156066196</v>
      </c>
      <c r="O115" s="97">
        <f>SUM(CN$95:CN$105)+SUM(CP$95:CP$105)+SUM(CR$95:CR$105)+SUM(CT$95:CT$105)</f>
        <v>223.37780975057328</v>
      </c>
    </row>
    <row r="116" spans="2:15" x14ac:dyDescent="0.15">
      <c r="C116" s="96" t="s">
        <v>277</v>
      </c>
      <c r="D116" s="97">
        <f t="shared" ref="D116:O116" si="0">SUM(D$109:D$115)</f>
        <v>1055.7422610035351</v>
      </c>
      <c r="E116" s="97">
        <f t="shared" si="0"/>
        <v>3739.3969788958298</v>
      </c>
      <c r="F116" s="97">
        <f t="shared" si="0"/>
        <v>4226.0159273531099</v>
      </c>
      <c r="G116" s="97">
        <f t="shared" si="0"/>
        <v>3242.853012830562</v>
      </c>
      <c r="H116" s="97">
        <f t="shared" si="0"/>
        <v>2245.790930552987</v>
      </c>
      <c r="I116" s="97">
        <f t="shared" si="0"/>
        <v>1675.8447753321798</v>
      </c>
      <c r="J116" s="97">
        <f t="shared" si="0"/>
        <v>1446.9827134106679</v>
      </c>
      <c r="K116" s="97">
        <f t="shared" si="0"/>
        <v>1103.9705151251731</v>
      </c>
      <c r="L116" s="97">
        <f t="shared" si="0"/>
        <v>888.71337952788667</v>
      </c>
      <c r="M116" s="97">
        <f t="shared" si="0"/>
        <v>778.16023958961819</v>
      </c>
      <c r="N116" s="97">
        <f t="shared" si="0"/>
        <v>609.74992096198025</v>
      </c>
      <c r="O116" s="97">
        <f t="shared" si="0"/>
        <v>561.68062717840985</v>
      </c>
    </row>
    <row r="118" spans="2:15" x14ac:dyDescent="0.15">
      <c r="B118" s="100" t="s">
        <v>278</v>
      </c>
    </row>
    <row r="119" spans="2:15" x14ac:dyDescent="0.15">
      <c r="C119" s="96" t="s">
        <v>276</v>
      </c>
      <c r="D119" s="96" t="s">
        <v>92</v>
      </c>
      <c r="E119" s="96" t="s">
        <v>93</v>
      </c>
      <c r="F119" s="96" t="s">
        <v>94</v>
      </c>
      <c r="G119" s="96" t="s">
        <v>95</v>
      </c>
      <c r="H119" s="96" t="s">
        <v>96</v>
      </c>
      <c r="I119" s="96" t="s">
        <v>97</v>
      </c>
      <c r="J119" s="96" t="s">
        <v>98</v>
      </c>
      <c r="K119" s="96" t="s">
        <v>99</v>
      </c>
      <c r="L119" s="96" t="s">
        <v>100</v>
      </c>
      <c r="M119" s="96" t="s">
        <v>101</v>
      </c>
      <c r="N119" s="96" t="s">
        <v>102</v>
      </c>
      <c r="O119" s="96" t="s">
        <v>103</v>
      </c>
    </row>
    <row r="120" spans="2:15" x14ac:dyDescent="0.15">
      <c r="C120" s="96" t="s">
        <v>126</v>
      </c>
      <c r="D120" s="97">
        <f>D109*pricing!D24*2000</f>
        <v>0</v>
      </c>
      <c r="E120" s="97">
        <f>E109*pricing!E24*2000</f>
        <v>0</v>
      </c>
      <c r="F120" s="97">
        <f>F109*pricing!F24*2000</f>
        <v>0</v>
      </c>
      <c r="G120" s="97">
        <f>G109*pricing!G24*2000</f>
        <v>0</v>
      </c>
      <c r="H120" s="97">
        <f>H109*pricing!H24*2000</f>
        <v>0</v>
      </c>
      <c r="I120" s="97">
        <f>I109*pricing!I24*2000</f>
        <v>0</v>
      </c>
      <c r="J120" s="97">
        <f>J109*pricing!J24*2000</f>
        <v>0</v>
      </c>
      <c r="K120" s="97">
        <f>K109*pricing!K24*2000</f>
        <v>0</v>
      </c>
      <c r="L120" s="97">
        <f>L109*pricing!L24*2000</f>
        <v>0</v>
      </c>
      <c r="M120" s="97">
        <f>M109*pricing!M24*2000</f>
        <v>0</v>
      </c>
      <c r="N120" s="97">
        <f>N109*pricing!N24*2000</f>
        <v>0</v>
      </c>
      <c r="O120" s="97">
        <f>O109*pricing!O24*2000</f>
        <v>0</v>
      </c>
    </row>
    <row r="121" spans="2:15" x14ac:dyDescent="0.15">
      <c r="C121" s="96" t="s">
        <v>127</v>
      </c>
      <c r="D121" s="97">
        <f>D110*pricing!D25*2000</f>
        <v>0</v>
      </c>
      <c r="E121" s="97">
        <f>E110*pricing!E25*2000</f>
        <v>0</v>
      </c>
      <c r="F121" s="97">
        <f>F110*pricing!F25*2000</f>
        <v>0</v>
      </c>
      <c r="G121" s="97">
        <f>G110*pricing!G25*2000</f>
        <v>0</v>
      </c>
      <c r="H121" s="97">
        <f>H110*pricing!H25*2000</f>
        <v>0</v>
      </c>
      <c r="I121" s="97">
        <f>I110*pricing!I25*2000</f>
        <v>0</v>
      </c>
      <c r="J121" s="97">
        <f>J110*pricing!J25*2000</f>
        <v>0</v>
      </c>
      <c r="K121" s="97">
        <f>K110*pricing!K25*2000</f>
        <v>0</v>
      </c>
      <c r="L121" s="97">
        <f>L110*pricing!L25*2000</f>
        <v>0</v>
      </c>
      <c r="M121" s="97">
        <f>M110*pricing!M25*2000</f>
        <v>0</v>
      </c>
      <c r="N121" s="97">
        <f>N110*pricing!N25*2000</f>
        <v>0</v>
      </c>
      <c r="O121" s="97">
        <f>O110*pricing!O25*2000</f>
        <v>0</v>
      </c>
    </row>
    <row r="122" spans="2:15" x14ac:dyDescent="0.15">
      <c r="C122" s="96" t="s">
        <v>128</v>
      </c>
      <c r="D122" s="97">
        <f>D111*pricing!D26*2000</f>
        <v>0</v>
      </c>
      <c r="E122" s="97">
        <f>E111*pricing!E26*2000</f>
        <v>0</v>
      </c>
      <c r="F122" s="97">
        <f>F111*pricing!F26*2000</f>
        <v>0</v>
      </c>
      <c r="G122" s="97">
        <f>G111*pricing!G26*2000</f>
        <v>0</v>
      </c>
      <c r="H122" s="97">
        <f>H111*pricing!H26*2000</f>
        <v>0</v>
      </c>
      <c r="I122" s="97">
        <f>I111*pricing!I26*2000</f>
        <v>0</v>
      </c>
      <c r="J122" s="97">
        <f>J111*pricing!J26*2000</f>
        <v>0</v>
      </c>
      <c r="K122" s="97">
        <f>K111*pricing!K26*2000</f>
        <v>0</v>
      </c>
      <c r="L122" s="97">
        <f>L111*pricing!L26*2000</f>
        <v>0</v>
      </c>
      <c r="M122" s="97">
        <f>M111*pricing!M26*2000</f>
        <v>0</v>
      </c>
      <c r="N122" s="97">
        <f>N111*pricing!N26*2000</f>
        <v>0</v>
      </c>
      <c r="O122" s="97">
        <f>O111*pricing!O26*2000</f>
        <v>0</v>
      </c>
    </row>
    <row r="123" spans="2:15" x14ac:dyDescent="0.15">
      <c r="C123" s="96" t="s">
        <v>129</v>
      </c>
      <c r="D123" s="97">
        <f>D112*pricing!D27*2000</f>
        <v>93905.630698434528</v>
      </c>
      <c r="E123" s="97">
        <f>E112*pricing!E27*2000</f>
        <v>662265.30423364847</v>
      </c>
      <c r="F123" s="97">
        <f>F112*pricing!F27*2000</f>
        <v>963028.72989987757</v>
      </c>
      <c r="G123" s="97">
        <f>G112*pricing!G27*2000</f>
        <v>878518.71013160562</v>
      </c>
      <c r="H123" s="97">
        <f>H112*pricing!H27*2000</f>
        <v>769020.0303059431</v>
      </c>
      <c r="I123" s="97">
        <f>I112*pricing!I27*2000</f>
        <v>683933.28726752347</v>
      </c>
      <c r="J123" s="97">
        <f>J112*pricing!J27*2000</f>
        <v>463057.57202455105</v>
      </c>
      <c r="K123" s="97">
        <f>K112*pricing!K27*2000</f>
        <v>513659.90930361248</v>
      </c>
      <c r="L123" s="97">
        <f>L112*pricing!L27*2000</f>
        <v>380267.49573439278</v>
      </c>
      <c r="M123" s="97">
        <f>M112*pricing!M27*2000</f>
        <v>321932.01495417382</v>
      </c>
      <c r="N123" s="97">
        <f>N112*pricing!N27*2000</f>
        <v>349806.30060589494</v>
      </c>
      <c r="O123" s="97">
        <f>O112*pricing!O27*2000</f>
        <v>272113.91255254979</v>
      </c>
    </row>
    <row r="124" spans="2:15" x14ac:dyDescent="0.15">
      <c r="C124" s="96" t="s">
        <v>130</v>
      </c>
      <c r="D124" s="97">
        <f>D113*pricing!D28*2000</f>
        <v>930211.57445040951</v>
      </c>
      <c r="E124" s="97">
        <f>E113*pricing!E28*2000</f>
        <v>3435131.7555725155</v>
      </c>
      <c r="F124" s="97">
        <f>F113*pricing!F28*2000</f>
        <v>5592539.3874252066</v>
      </c>
      <c r="G124" s="97">
        <f>G113*pricing!G28*2000</f>
        <v>4227545.8518990353</v>
      </c>
      <c r="H124" s="97">
        <f>H113*pricing!H28*2000</f>
        <v>3174958.4125840217</v>
      </c>
      <c r="I124" s="97">
        <f>I113*pricing!I28*2000</f>
        <v>2827159.4823109619</v>
      </c>
      <c r="J124" s="97">
        <f>J113*pricing!J28*2000</f>
        <v>2848607.0517643387</v>
      </c>
      <c r="K124" s="97">
        <f>K113*pricing!K28*2000</f>
        <v>2041454.6539996464</v>
      </c>
      <c r="L124" s="97">
        <f>L113*pricing!L28*2000</f>
        <v>1970621.0387291461</v>
      </c>
      <c r="M124" s="97">
        <f>M113*pricing!M28*2000</f>
        <v>1777262.3929829693</v>
      </c>
      <c r="N124" s="97">
        <f>N113*pricing!N28*2000</f>
        <v>1586150.5786013093</v>
      </c>
      <c r="O124" s="97">
        <f>O113*pricing!O28*2000</f>
        <v>1544787.0321812534</v>
      </c>
    </row>
    <row r="125" spans="2:15" x14ac:dyDescent="0.15">
      <c r="C125" s="96" t="s">
        <v>131</v>
      </c>
      <c r="D125" s="97">
        <f>D114*pricing!D29*2000</f>
        <v>293887.01218179456</v>
      </c>
      <c r="E125" s="97">
        <f>E114*pricing!E29*2000</f>
        <v>1601768.2145877171</v>
      </c>
      <c r="F125" s="97">
        <f>F114*pricing!F29*2000</f>
        <v>1694820.2951003858</v>
      </c>
      <c r="G125" s="97">
        <f>G114*pricing!G29*2000</f>
        <v>2029759.8400809511</v>
      </c>
      <c r="H125" s="97">
        <f>H114*pricing!H29*2000</f>
        <v>1676975.3431305909</v>
      </c>
      <c r="I125" s="97">
        <f>I114*pricing!I29*2000</f>
        <v>1655006.6685519705</v>
      </c>
      <c r="J125" s="97">
        <f>J114*pricing!J29*2000</f>
        <v>1423417.1100450067</v>
      </c>
      <c r="K125" s="97">
        <f>K114*pricing!K29*2000</f>
        <v>1190936.9834931698</v>
      </c>
      <c r="L125" s="97">
        <f>L114*pricing!L29*2000</f>
        <v>1189072.9433071902</v>
      </c>
      <c r="M125" s="97">
        <f>M114*pricing!M29*2000</f>
        <v>1065154.888705645</v>
      </c>
      <c r="N125" s="97">
        <f>N114*pricing!N29*2000</f>
        <v>987286.23814807658</v>
      </c>
      <c r="O125" s="97">
        <f>O114*pricing!O29*2000</f>
        <v>889521.59468888829</v>
      </c>
    </row>
    <row r="126" spans="2:15" x14ac:dyDescent="0.15">
      <c r="C126" s="96" t="s">
        <v>132</v>
      </c>
      <c r="D126" s="97">
        <f>D115*pricing!D30*2000</f>
        <v>793480.30467643158</v>
      </c>
      <c r="E126" s="97">
        <f>E115*pricing!E30*2000</f>
        <v>3819299.7627955037</v>
      </c>
      <c r="F126" s="97">
        <f>F115*pricing!F30*2000</f>
        <v>4811842.6357568689</v>
      </c>
      <c r="G126" s="97">
        <f>G115*pricing!G30*2000</f>
        <v>4656368.3718177248</v>
      </c>
      <c r="H126" s="97">
        <f>H115*pricing!H30*2000</f>
        <v>3770535.5599282985</v>
      </c>
      <c r="I126" s="97">
        <f>I115*pricing!I30*2000</f>
        <v>2756075.8634398477</v>
      </c>
      <c r="J126" s="97">
        <f>J115*pricing!J30*2000</f>
        <v>2894463.4823314412</v>
      </c>
      <c r="K126" s="97">
        <f>K115*pricing!K30*2000</f>
        <v>2677049.6321136677</v>
      </c>
      <c r="L126" s="97">
        <f>L115*pricing!L30*2000</f>
        <v>2115487.3010430923</v>
      </c>
      <c r="M126" s="97">
        <f>M115*pricing!M30*2000</f>
        <v>2212030.5405218457</v>
      </c>
      <c r="N126" s="97">
        <f>N115*pricing!N30*2000</f>
        <v>1622165.3843612976</v>
      </c>
      <c r="O126" s="97">
        <f>O115*pricing!O30*2000</f>
        <v>1787022.4780045855</v>
      </c>
    </row>
    <row r="127" spans="2:15" x14ac:dyDescent="0.15">
      <c r="C127" s="96" t="s">
        <v>277</v>
      </c>
      <c r="D127" s="97">
        <f t="shared" ref="D127:O127" si="1">SUM(D$120:D$126)</f>
        <v>2111484.52200707</v>
      </c>
      <c r="E127" s="97">
        <f t="shared" si="1"/>
        <v>9518465.0371893849</v>
      </c>
      <c r="F127" s="97">
        <f t="shared" si="1"/>
        <v>13062231.048182338</v>
      </c>
      <c r="G127" s="97">
        <f t="shared" si="1"/>
        <v>11792192.773929317</v>
      </c>
      <c r="H127" s="97">
        <f t="shared" si="1"/>
        <v>9391489.3459488545</v>
      </c>
      <c r="I127" s="97">
        <f t="shared" si="1"/>
        <v>7922175.3015703037</v>
      </c>
      <c r="J127" s="97">
        <f t="shared" si="1"/>
        <v>7629545.2161653377</v>
      </c>
      <c r="K127" s="97">
        <f t="shared" si="1"/>
        <v>6423101.1789100962</v>
      </c>
      <c r="L127" s="97">
        <f t="shared" si="1"/>
        <v>5655448.7788138213</v>
      </c>
      <c r="M127" s="97">
        <f t="shared" si="1"/>
        <v>5376379.837164633</v>
      </c>
      <c r="N127" s="97">
        <f t="shared" si="1"/>
        <v>4545408.5017165784</v>
      </c>
      <c r="O127" s="97">
        <f t="shared" si="1"/>
        <v>4493445.0174272768</v>
      </c>
    </row>
    <row r="129" spans="2:15" x14ac:dyDescent="0.15">
      <c r="B129" s="100" t="s">
        <v>279</v>
      </c>
    </row>
    <row r="130" spans="2:15" x14ac:dyDescent="0.15">
      <c r="C130" s="102" t="s">
        <v>276</v>
      </c>
      <c r="D130" s="102" t="s">
        <v>92</v>
      </c>
      <c r="E130" s="102" t="s">
        <v>93</v>
      </c>
      <c r="F130" s="102" t="s">
        <v>94</v>
      </c>
      <c r="G130" s="102" t="s">
        <v>95</v>
      </c>
      <c r="H130" s="102" t="s">
        <v>96</v>
      </c>
      <c r="I130" s="102" t="s">
        <v>97</v>
      </c>
      <c r="J130" s="102" t="s">
        <v>98</v>
      </c>
      <c r="K130" s="102" t="s">
        <v>99</v>
      </c>
      <c r="L130" s="102" t="s">
        <v>100</v>
      </c>
      <c r="M130" s="102" t="s">
        <v>101</v>
      </c>
      <c r="N130" s="102" t="s">
        <v>102</v>
      </c>
      <c r="O130" s="102" t="s">
        <v>103</v>
      </c>
    </row>
    <row r="131" spans="2:15" x14ac:dyDescent="0.15">
      <c r="C131" s="102" t="s">
        <v>126</v>
      </c>
      <c r="D131" s="103">
        <f>SUM(E$6:E$19)+SUM(G$6:G$19)+SUM(I$6:I$19)+SUM(K$6:K$19)</f>
        <v>0</v>
      </c>
      <c r="E131" s="103">
        <f>SUM(M$6:M$19)+SUM(O$6:O$19)+SUM(Q$6:Q$19)+SUM(S$6:S$19)</f>
        <v>0</v>
      </c>
      <c r="F131" s="103">
        <f>SUM(U$6:U$19)+SUM(W$6:W$19)+SUM(Y$6:Y$19)+SUM(AA$6:AA$19)</f>
        <v>0</v>
      </c>
      <c r="G131" s="103">
        <f>SUM(AC$6:AC$19)+SUM(AE$6:AE$19)+SUM(AG$6:AG$19)+SUM(AI$6:AI$19)</f>
        <v>0</v>
      </c>
      <c r="H131" s="103">
        <f>SUM(AK$6:AK$19)+SUM(AM$6:AM$19)+SUM(AO$6:AO$19)+SUM(AQ$6:AQ$19)</f>
        <v>0</v>
      </c>
      <c r="I131" s="103">
        <f>SUM(AS$6:AS$19)+SUM(AU$6:AU$19)+SUM(AW$6:AW$19)+SUM(AY$6:AY$19)</f>
        <v>0</v>
      </c>
      <c r="J131" s="103">
        <f>SUM(BA$6:BA$19)+SUM(BC$6:BC$19)+SUM(BE$6:BE$19)+SUM(BG$6:BG$19)</f>
        <v>0</v>
      </c>
      <c r="K131" s="103">
        <f>SUM(BI$6:BI$19)+SUM(BK$6:BK$19)+SUM(BM$6:BM$19)+SUM(BO$6:BO$19)</f>
        <v>0</v>
      </c>
      <c r="L131" s="103">
        <f>SUM(BQ$6:BQ$19)+SUM(BS$6:BS$19)+SUM(BU$6:BU$19)+SUM(BW$6:BW$19)</f>
        <v>0</v>
      </c>
      <c r="M131" s="103">
        <f>SUM(BY$6:BY$19)+SUM(CA$6:CA$19)+SUM(CC$6:CC$19)+SUM(CE$6:CE$19)</f>
        <v>0</v>
      </c>
      <c r="N131" s="103">
        <f>SUM(CG$6:CG$19)+SUM(CI$6:CI$19)+SUM(CK$6:CK$19)+SUM(CM$6:CM$19)</f>
        <v>0</v>
      </c>
      <c r="O131" s="103">
        <f>SUM(CO$6:CO$19)+SUM(CQ$6:CQ$19)+SUM(CS$6:CS$19)+SUM(CU$6:CU$19)</f>
        <v>0</v>
      </c>
    </row>
    <row r="132" spans="2:15" x14ac:dyDescent="0.15">
      <c r="C132" s="102" t="s">
        <v>127</v>
      </c>
      <c r="D132" s="103">
        <f>SUM(E$20:E$36)+SUM(G$20:G$36)+SUM(I$20:I$36)+SUM(K$20:K$36)</f>
        <v>0</v>
      </c>
      <c r="E132" s="103">
        <f>SUM(M$20:M$36)+SUM(O$20:O$36)+SUM(Q$20:Q$36)+SUM(S$20:S$36)</f>
        <v>0</v>
      </c>
      <c r="F132" s="103">
        <f>SUM(U$20:U$36)+SUM(W$20:W$36)+SUM(Y$20:Y$36)+SUM(AA$20:AA$36)</f>
        <v>0</v>
      </c>
      <c r="G132" s="103">
        <f>SUM(AC$20:AC$36)+SUM(AE$20:AE$36)+SUM(AG$20:AG$36)+SUM(AI$20:AI$36)</f>
        <v>0</v>
      </c>
      <c r="H132" s="103">
        <f>SUM(AK$20:AK$36)+SUM(AM$20:AM$36)+SUM(AO$20:AO$36)+SUM(AQ$20:AQ$36)</f>
        <v>0</v>
      </c>
      <c r="I132" s="103">
        <f>SUM(AS$20:AS$36)+SUM(AU$20:AU$36)+SUM(AW$20:AW$36)+SUM(AY$20:AY$36)</f>
        <v>0</v>
      </c>
      <c r="J132" s="103">
        <f>SUM(BA$20:BA$36)+SUM(BC$20:BC$36)+SUM(BE$20:BE$36)+SUM(BG$20:BG$36)</f>
        <v>0</v>
      </c>
      <c r="K132" s="103">
        <f>SUM(BI$20:BI$36)+SUM(BK$20:BK$36)+SUM(BM$20:BM$36)+SUM(BO$20:BO$36)</f>
        <v>0</v>
      </c>
      <c r="L132" s="103">
        <f>SUM(BQ$20:BQ$36)+SUM(BS$20:BS$36)+SUM(BU$20:BU$36)+SUM(BW$20:BW$36)</f>
        <v>0</v>
      </c>
      <c r="M132" s="103">
        <f>SUM(BY$20:BY$36)+SUM(CA$20:CA$36)+SUM(CC$20:CC$36)+SUM(CE$20:CE$36)</f>
        <v>0</v>
      </c>
      <c r="N132" s="103">
        <f>SUM(CG$20:CG$36)+SUM(CI$20:CI$36)+SUM(CK$20:CK$36)+SUM(CM$20:CM$36)</f>
        <v>0</v>
      </c>
      <c r="O132" s="103">
        <f>SUM(CO$20:CO$36)+SUM(CQ$20:CQ$36)+SUM(CS$20:CS$36)+SUM(CU$20:CU$36)</f>
        <v>0</v>
      </c>
    </row>
    <row r="133" spans="2:15" x14ac:dyDescent="0.15">
      <c r="C133" s="102" t="s">
        <v>128</v>
      </c>
      <c r="D133" s="103">
        <f>SUM(E$37:E$48)+SUM(G$37:G$48)+SUM(I$37:I$48)+SUM(K$37:K$48)</f>
        <v>0</v>
      </c>
      <c r="E133" s="103">
        <f>SUM(M$37:M$48)+SUM(O$37:O$48)+SUM(Q$37:Q$48)+SUM(S$37:S$48)</f>
        <v>0</v>
      </c>
      <c r="F133" s="103">
        <f>SUM(U$37:U$48)+SUM(W$37:W$48)+SUM(Y$37:Y$48)+SUM(AA$37:AA$48)</f>
        <v>0</v>
      </c>
      <c r="G133" s="103">
        <f>SUM(AC$37:AC$48)+SUM(AE$37:AE$48)+SUM(AG$37:AG$48)+SUM(AI$37:AI$48)</f>
        <v>0</v>
      </c>
      <c r="H133" s="103">
        <f>SUM(AK$37:AK$48)+SUM(AM$37:AM$48)+SUM(AO$37:AO$48)+SUM(AQ$37:AQ$48)</f>
        <v>0</v>
      </c>
      <c r="I133" s="103">
        <f>SUM(AS$37:AS$48)+SUM(AU$37:AU$48)+SUM(AW$37:AW$48)+SUM(AY$37:AY$48)</f>
        <v>0</v>
      </c>
      <c r="J133" s="103">
        <f>SUM(BA$37:BA$48)+SUM(BC$37:BC$48)+SUM(BE$37:BE$48)+SUM(BG$37:BG$48)</f>
        <v>0</v>
      </c>
      <c r="K133" s="103">
        <f>SUM(BI$37:BI$48)+SUM(BK$37:BK$48)+SUM(BM$37:BM$48)+SUM(BO$37:BO$48)</f>
        <v>0</v>
      </c>
      <c r="L133" s="103">
        <f>SUM(BQ$37:BQ$48)+SUM(BS$37:BS$48)+SUM(BU$37:BU$48)+SUM(BW$37:BW$48)</f>
        <v>0</v>
      </c>
      <c r="M133" s="103">
        <f>SUM(BY$37:BY$48)+SUM(CA$37:CA$48)+SUM(CC$37:CC$48)+SUM(CE$37:CE$48)</f>
        <v>0</v>
      </c>
      <c r="N133" s="103">
        <f>SUM(CG$37:CG$48)+SUM(CI$37:CI$48)+SUM(CK$37:CK$48)+SUM(CM$37:CM$48)</f>
        <v>0</v>
      </c>
      <c r="O133" s="103">
        <f>SUM(CO$37:CO$48)+SUM(CQ$37:CQ$48)+SUM(CS$37:CS$48)+SUM(CU$37:CU$48)</f>
        <v>0</v>
      </c>
    </row>
    <row r="134" spans="2:15" x14ac:dyDescent="0.15">
      <c r="C134" s="102" t="s">
        <v>129</v>
      </c>
      <c r="D134" s="103">
        <f>SUM(E$49:E$70)+SUM(G$49:G$70)+SUM(I$49:I$70)+SUM(K$49:K$70)</f>
        <v>51719.875889782241</v>
      </c>
      <c r="E134" s="103">
        <f>SUM(M$49:M$70)+SUM(O$49:O$70)+SUM(Q$49:Q$70)+SUM(S$49:S$70)</f>
        <v>285661.90181773785</v>
      </c>
      <c r="F134" s="103">
        <f>SUM(U$49:U$70)+SUM(W$49:W$70)+SUM(Y$49:Y$70)+SUM(AA$49:AA$70)</f>
        <v>343986.53838005429</v>
      </c>
      <c r="G134" s="103">
        <f>SUM(AC$49:AC$70)+SUM(AE$49:AE$70)+SUM(AG$49:AG$70)+SUM(AI$49:AI$70)</f>
        <v>266455.34734031989</v>
      </c>
      <c r="H134" s="103">
        <f>SUM(AK$49:AK$70)+SUM(AM$49:AM$70)+SUM(AO$49:AO$70)+SUM(AQ$49:AQ$70)</f>
        <v>202750.1967192555</v>
      </c>
      <c r="I134" s="103">
        <f>SUM(AS$49:AS$70)+SUM(AU$49:AU$70)+SUM(AW$49:AW$70)+SUM(AY$49:AY$70)</f>
        <v>159553.88908100597</v>
      </c>
      <c r="J134" s="103">
        <f>SUM(BA$49:BA$70)+SUM(BC$49:BC$70)+SUM(BE$49:BE$70)+SUM(BG$49:BG$70)</f>
        <v>96920.989336382219</v>
      </c>
      <c r="K134" s="103">
        <f>SUM(BI$49:BI$70)+SUM(BK$49:BK$70)+SUM(BM$49:BM$70)+SUM(BO$49:BO$70)</f>
        <v>97504.991517090952</v>
      </c>
      <c r="L134" s="103">
        <f>SUM(BQ$49:BQ$70)+SUM(BS$49:BS$70)+SUM(BU$49:BU$70)+SUM(BW$49:BW$70)</f>
        <v>66028.090485670444</v>
      </c>
      <c r="M134" s="103">
        <f>SUM(BY$49:BY$70)+SUM(CA$49:CA$70)+SUM(CC$49:CC$70)+SUM(CE$49:CE$70)</f>
        <v>51570.822008676885</v>
      </c>
      <c r="N134" s="103">
        <f>SUM(CG$49:CG$70)+SUM(CI$49:CI$70)+SUM(CK$49:CK$70)+SUM(CM$49:CM$70)</f>
        <v>51731.028415495137</v>
      </c>
      <c r="O134" s="103">
        <f>SUM(CO$49:CO$70)+SUM(CQ$49:CQ$70)+SUM(CS$49:CS$70)+SUM(CU$49:CU$70)</f>
        <v>37611.665564897259</v>
      </c>
    </row>
    <row r="135" spans="2:15" x14ac:dyDescent="0.15">
      <c r="C135" s="102" t="s">
        <v>130</v>
      </c>
      <c r="D135" s="103">
        <f>SUM(E$71:E$86)+SUM(G$71:G$86)+SUM(I$71:I$86)+SUM(K$71:K$86)</f>
        <v>257925.38854225332</v>
      </c>
      <c r="E135" s="103">
        <f>SUM(M$71:M$86)+SUM(O$71:O$86)+SUM(Q$71:Q$86)+SUM(S$71:S$86)</f>
        <v>744414.4423258655</v>
      </c>
      <c r="F135" s="103">
        <f>SUM(U$71:U$86)+SUM(W$71:W$86)+SUM(Y$71:Y$86)+SUM(AA$71:AA$86)</f>
        <v>1003748.553927524</v>
      </c>
      <c r="G135" s="103">
        <f>SUM(AC$71:AC$86)+SUM(AE$71:AE$86)+SUM(AG$71:AG$86)+SUM(AI$71:AI$86)</f>
        <v>645955.36208838888</v>
      </c>
      <c r="H135" s="103">
        <f>SUM(AK$71:AK$86)+SUM(AM$71:AM$86)+SUM(AO$71:AO$86)+SUM(AQ$71:AQ$86)</f>
        <v>423009.14786264033</v>
      </c>
      <c r="I135" s="103">
        <f>SUM(AS$71:AS$86)+SUM(AU$71:AU$86)+SUM(AW$71:AW$86)+SUM(AY$71:AY$86)</f>
        <v>334224.41703629569</v>
      </c>
      <c r="J135" s="103">
        <f>SUM(BA$71:BA$86)+SUM(BC$71:BC$86)+SUM(BE$71:BE$86)+SUM(BG$71:BG$86)</f>
        <v>300605.8779309009</v>
      </c>
      <c r="K135" s="103">
        <f>SUM(BI$71:BI$86)+SUM(BK$71:BK$86)+SUM(BM$71:BM$86)+SUM(BO$71:BO$86)</f>
        <v>196106.84191460293</v>
      </c>
      <c r="L135" s="103">
        <f>SUM(BQ$71:BQ$86)+SUM(BS$71:BS$86)+SUM(BU$71:BU$86)+SUM(BW$71:BW$86)</f>
        <v>173407.7250547845</v>
      </c>
      <c r="M135" s="103">
        <f>SUM(BY$71:BY$86)+SUM(CA$71:CA$86)+SUM(CC$71:CC$86)+SUM(CE$71:CE$86)</f>
        <v>143815.56753108965</v>
      </c>
      <c r="N135" s="103">
        <f>SUM(CG$71:CG$86)+SUM(CI$71:CI$86)+SUM(CK$71:CK$86)+SUM(CM$71:CM$86)</f>
        <v>119530.87920313951</v>
      </c>
      <c r="O135" s="103">
        <f>SUM(CO$71:CO$86)+SUM(CQ$71:CQ$86)+SUM(CS$71:CS$86)+SUM(CU$71:CU$86)</f>
        <v>107853.13002773334</v>
      </c>
    </row>
    <row r="136" spans="2:15" x14ac:dyDescent="0.15">
      <c r="C136" s="102" t="s">
        <v>131</v>
      </c>
      <c r="D136" s="103">
        <f>SUM(E$87:E$94)+SUM(G$87:G$94)+SUM(I$87:I$94)+SUM(K$87:K$94)</f>
        <v>296172.95682281023</v>
      </c>
      <c r="E136" s="103">
        <f>SUM(M$87:M$94)+SUM(O$87:O$94)+SUM(Q$87:Q$94)+SUM(S$87:S$94)</f>
        <v>1270888.7324770833</v>
      </c>
      <c r="F136" s="103">
        <f>SUM(U$87:U$94)+SUM(W$87:W$94)+SUM(Y$87:Y$94)+SUM(AA$87:AA$94)</f>
        <v>1111833.9073219304</v>
      </c>
      <c r="G136" s="103">
        <f>SUM(AC$87:AC$94)+SUM(AE$87:AE$94)+SUM(AG$87:AG$94)+SUM(AI$87:AI$94)</f>
        <v>1134586.4757811707</v>
      </c>
      <c r="H136" s="103">
        <f>SUM(AK$87:AK$94)+SUM(AM$87:AM$94)+SUM(AO$87:AO$94)+SUM(AQ$87:AQ$94)</f>
        <v>816986.98770027561</v>
      </c>
      <c r="I136" s="103">
        <f>SUM(AS$87:AS$94)+SUM(AU$87:AU$94)+SUM(AW$87:AW$94)+SUM(AY$87:AY$94)</f>
        <v>711676.74909393128</v>
      </c>
      <c r="J136" s="103">
        <f>SUM(BA$87:BA$94)+SUM(BC$87:BC$94)+SUM(BE$87:BE$94)+SUM(BG$87:BG$94)</f>
        <v>549213.90725874552</v>
      </c>
      <c r="K136" s="103">
        <f>SUM(BI$87:BI$94)+SUM(BK$87:BK$94)+SUM(BM$87:BM$94)+SUM(BO$87:BO$94)</f>
        <v>416012.92448763992</v>
      </c>
      <c r="L136" s="103">
        <f>SUM(BQ$87:BQ$94)+SUM(BS$87:BS$94)+SUM(BU$87:BU$94)+SUM(BW$87:BW$94)</f>
        <v>380138.36049640545</v>
      </c>
      <c r="M136" s="103">
        <f>SUM(BY$87:BY$94)+SUM(CA$87:CA$94)+SUM(CC$87:CC$94)+SUM(CE$87:CE$94)</f>
        <v>315384.76025086525</v>
      </c>
      <c r="N136" s="103">
        <f>SUM(CG$87:CG$94)+SUM(CI$87:CI$94)+SUM(CK$87:CK$94)+SUM(CM$87:CM$94)</f>
        <v>269847.53637968487</v>
      </c>
      <c r="O136" s="103">
        <f>SUM(CO$87:CO$94)+SUM(CQ$87:CQ$94)+SUM(CS$87:CS$94)+SUM(CU$87:CU$94)</f>
        <v>227458.16427354538</v>
      </c>
    </row>
    <row r="137" spans="2:15" x14ac:dyDescent="0.15">
      <c r="C137" s="102" t="s">
        <v>132</v>
      </c>
      <c r="D137" s="103">
        <f>SUM(E$95:E$105)+SUM(G$95:G$105)+SUM(I$95:I$105)+SUM(K$95:K$105)</f>
        <v>710054.16110304953</v>
      </c>
      <c r="E137" s="103">
        <f>SUM(M$95:M$105)+SUM(O$95:O$105)+SUM(Q$95:Q$105)+SUM(S$95:S$105)</f>
        <v>2757270.5487420149</v>
      </c>
      <c r="F137" s="103">
        <f>SUM(U$95:U$105)+SUM(W$95:W$105)+SUM(Y$95:Y$105)+SUM(AA$95:AA$105)</f>
        <v>2886282.4669436356</v>
      </c>
      <c r="G137" s="103">
        <f>SUM(AC$95:AC$105)+SUM(AE$95:AE$105)+SUM(AG$95:AG$105)+SUM(AI$95:AI$105)</f>
        <v>2386705.1251032329</v>
      </c>
      <c r="H137" s="103">
        <f>SUM(AK$95:AK$105)+SUM(AM$95:AM$105)+SUM(AO$95:AO$105)+SUM(AQ$95:AQ$105)</f>
        <v>1705894.8232228986</v>
      </c>
      <c r="I137" s="103">
        <f>SUM(AS$95:AS$105)+SUM(AU$95:AU$105)+SUM(AW$95:AW$105)+SUM(AY$95:AY$105)</f>
        <v>1110206.2452369523</v>
      </c>
      <c r="J137" s="103">
        <f>SUM(BA$95:BA$105)+SUM(BC$95:BC$105)+SUM(BE$95:BE$105)+SUM(BG$95:BG$105)</f>
        <v>1045514.0254264568</v>
      </c>
      <c r="K137" s="103">
        <f>SUM(BI$95:BI$105)+SUM(BK$95:BK$105)+SUM(BM$95:BM$105)+SUM(BO$95:BO$105)</f>
        <v>870132.78293829865</v>
      </c>
      <c r="L137" s="103">
        <f>SUM(BQ$95:BQ$105)+SUM(BS$95:BS$105)+SUM(BU$95:BU$105)+SUM(BW$95:BW$105)</f>
        <v>631496.77863407857</v>
      </c>
      <c r="M137" s="103">
        <f>SUM(BY$95:BY$105)+SUM(CA$95:CA$105)+SUM(CC$95:CC$105)+SUM(CE$95:CE$105)</f>
        <v>615361.61822272639</v>
      </c>
      <c r="N137" s="103">
        <f>SUM(CG$95:CG$105)+SUM(CI$95:CI$105)+SUM(CK$95:CK$105)+SUM(CM$95:CM$105)</f>
        <v>423566.77350725193</v>
      </c>
      <c r="O137" s="103">
        <f>SUM(CO$95:CO$105)+SUM(CQ$95:CQ$105)+SUM(CS$95:CS$105)+SUM(CU$95:CU$105)</f>
        <v>427453.54673849826</v>
      </c>
    </row>
    <row r="138" spans="2:15" x14ac:dyDescent="0.15">
      <c r="C138" s="102" t="s">
        <v>277</v>
      </c>
      <c r="D138" s="97">
        <f t="shared" ref="D138:O138" si="2">SUM(D$131:D$137)</f>
        <v>1315872.3823578954</v>
      </c>
      <c r="E138" s="97">
        <f t="shared" si="2"/>
        <v>5058235.6253627017</v>
      </c>
      <c r="F138" s="97">
        <f t="shared" si="2"/>
        <v>5345851.4665731443</v>
      </c>
      <c r="G138" s="97">
        <f t="shared" si="2"/>
        <v>4433702.3103131121</v>
      </c>
      <c r="H138" s="97">
        <f t="shared" si="2"/>
        <v>3148641.1555050705</v>
      </c>
      <c r="I138" s="97">
        <f t="shared" si="2"/>
        <v>2315661.3004481853</v>
      </c>
      <c r="J138" s="97">
        <f t="shared" si="2"/>
        <v>1992254.7999524856</v>
      </c>
      <c r="K138" s="97">
        <f t="shared" si="2"/>
        <v>1579757.5408576326</v>
      </c>
      <c r="L138" s="97">
        <f t="shared" si="2"/>
        <v>1251070.9546709389</v>
      </c>
      <c r="M138" s="97">
        <f t="shared" si="2"/>
        <v>1126132.7680133581</v>
      </c>
      <c r="N138" s="97">
        <f t="shared" si="2"/>
        <v>864676.21750557143</v>
      </c>
      <c r="O138" s="97">
        <f t="shared" si="2"/>
        <v>800376.50660467427</v>
      </c>
    </row>
  </sheetData>
  <pageMargins left="0.75" right="0.75" top="1" bottom="1" header="0.5" footer="0.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U138"/>
  <sheetViews>
    <sheetView workbookViewId="0"/>
  </sheetViews>
  <sheetFormatPr baseColWidth="10" defaultColWidth="8.83203125" defaultRowHeight="13" x14ac:dyDescent="0.15"/>
  <cols>
    <col min="1" max="16384" width="8.83203125" style="97"/>
  </cols>
  <sheetData>
    <row r="1" spans="1:99" x14ac:dyDescent="0.15">
      <c r="A1" s="98"/>
    </row>
    <row r="2" spans="1:99" x14ac:dyDescent="0.15">
      <c r="B2" s="99" t="s">
        <v>271</v>
      </c>
    </row>
    <row r="3" spans="1:99" x14ac:dyDescent="0.15">
      <c r="B3" s="100" t="s">
        <v>272</v>
      </c>
    </row>
    <row r="4" spans="1:99" x14ac:dyDescent="0.15">
      <c r="A4" s="98"/>
      <c r="B4" s="98"/>
      <c r="C4" s="96" t="s">
        <v>273</v>
      </c>
      <c r="D4" s="96" t="s">
        <v>92</v>
      </c>
      <c r="E4" s="98"/>
      <c r="F4" s="98"/>
      <c r="G4" s="98"/>
      <c r="H4" s="98"/>
      <c r="I4" s="98"/>
      <c r="J4" s="98"/>
      <c r="K4" s="98"/>
      <c r="L4" s="96" t="s">
        <v>93</v>
      </c>
      <c r="M4" s="98"/>
      <c r="N4" s="98"/>
      <c r="O4" s="98"/>
      <c r="P4" s="98"/>
      <c r="Q4" s="98"/>
      <c r="R4" s="98"/>
      <c r="S4" s="98"/>
      <c r="T4" s="96" t="s">
        <v>94</v>
      </c>
      <c r="U4" s="98"/>
      <c r="V4" s="98"/>
      <c r="W4" s="98"/>
      <c r="X4" s="98"/>
      <c r="Y4" s="98"/>
      <c r="Z4" s="98"/>
      <c r="AA4" s="98"/>
      <c r="AB4" s="96" t="s">
        <v>95</v>
      </c>
      <c r="AC4" s="98"/>
      <c r="AD4" s="98"/>
      <c r="AE4" s="98"/>
      <c r="AF4" s="98"/>
      <c r="AG4" s="98"/>
      <c r="AH4" s="98"/>
      <c r="AI4" s="98"/>
      <c r="AJ4" s="96" t="s">
        <v>96</v>
      </c>
      <c r="AK4" s="98"/>
      <c r="AL4" s="98"/>
      <c r="AM4" s="98"/>
      <c r="AN4" s="98"/>
      <c r="AO4" s="98"/>
      <c r="AP4" s="98"/>
      <c r="AQ4" s="98"/>
      <c r="AR4" s="96" t="s">
        <v>97</v>
      </c>
      <c r="AS4" s="98"/>
      <c r="AT4" s="98"/>
      <c r="AU4" s="98"/>
      <c r="AV4" s="98"/>
      <c r="AW4" s="98"/>
      <c r="AX4" s="98"/>
      <c r="AY4" s="98"/>
      <c r="AZ4" s="96" t="s">
        <v>98</v>
      </c>
      <c r="BA4" s="98"/>
      <c r="BB4" s="98"/>
      <c r="BC4" s="98"/>
      <c r="BD4" s="98"/>
      <c r="BE4" s="98"/>
      <c r="BF4" s="98"/>
      <c r="BG4" s="98"/>
      <c r="BH4" s="96" t="s">
        <v>99</v>
      </c>
      <c r="BI4" s="98"/>
      <c r="BJ4" s="98"/>
      <c r="BK4" s="98"/>
      <c r="BL4" s="98"/>
      <c r="BM4" s="98"/>
      <c r="BN4" s="98"/>
      <c r="BO4" s="98"/>
      <c r="BP4" s="96" t="s">
        <v>100</v>
      </c>
      <c r="BQ4" s="98"/>
      <c r="BR4" s="98"/>
      <c r="BS4" s="98"/>
      <c r="BT4" s="98"/>
      <c r="BU4" s="98"/>
      <c r="BV4" s="98"/>
      <c r="BW4" s="98"/>
      <c r="BX4" s="96" t="s">
        <v>101</v>
      </c>
      <c r="BY4" s="98"/>
      <c r="BZ4" s="98"/>
      <c r="CA4" s="98"/>
      <c r="CB4" s="98"/>
      <c r="CC4" s="98"/>
      <c r="CD4" s="98"/>
      <c r="CE4" s="98"/>
      <c r="CF4" s="96" t="s">
        <v>102</v>
      </c>
      <c r="CG4" s="98"/>
      <c r="CH4" s="98"/>
      <c r="CI4" s="98"/>
      <c r="CJ4" s="98"/>
      <c r="CK4" s="98"/>
      <c r="CL4" s="98"/>
      <c r="CM4" s="98"/>
      <c r="CN4" s="96" t="s">
        <v>103</v>
      </c>
      <c r="CO4" s="98"/>
      <c r="CP4" s="98"/>
      <c r="CQ4" s="98"/>
      <c r="CR4" s="98"/>
      <c r="CS4" s="98"/>
      <c r="CT4" s="98"/>
      <c r="CU4" s="98"/>
    </row>
    <row r="5" spans="1:99" x14ac:dyDescent="0.15">
      <c r="B5" s="96" t="s">
        <v>166</v>
      </c>
      <c r="C5" s="96" t="s">
        <v>274</v>
      </c>
      <c r="D5" s="96">
        <v>1</v>
      </c>
      <c r="E5" s="96"/>
      <c r="F5" s="96">
        <v>2</v>
      </c>
      <c r="G5" s="96"/>
      <c r="H5" s="96">
        <v>3</v>
      </c>
      <c r="I5" s="96"/>
      <c r="J5" s="96">
        <v>4</v>
      </c>
      <c r="K5" s="96"/>
      <c r="L5" s="96">
        <v>1</v>
      </c>
      <c r="M5" s="96"/>
      <c r="N5" s="96">
        <v>2</v>
      </c>
      <c r="O5" s="96"/>
      <c r="P5" s="96">
        <v>3</v>
      </c>
      <c r="Q5" s="96"/>
      <c r="R5" s="96">
        <v>4</v>
      </c>
      <c r="S5" s="96"/>
      <c r="T5" s="96">
        <v>1</v>
      </c>
      <c r="U5" s="96"/>
      <c r="V5" s="96">
        <v>2</v>
      </c>
      <c r="W5" s="96"/>
      <c r="X5" s="96">
        <v>3</v>
      </c>
      <c r="Y5" s="96"/>
      <c r="Z5" s="96">
        <v>4</v>
      </c>
      <c r="AA5" s="96"/>
      <c r="AB5" s="96">
        <v>1</v>
      </c>
      <c r="AC5" s="96"/>
      <c r="AD5" s="96">
        <v>2</v>
      </c>
      <c r="AE5" s="96"/>
      <c r="AF5" s="96">
        <v>3</v>
      </c>
      <c r="AG5" s="96"/>
      <c r="AH5" s="96">
        <v>4</v>
      </c>
      <c r="AI5" s="96"/>
      <c r="AJ5" s="96">
        <v>1</v>
      </c>
      <c r="AK5" s="96"/>
      <c r="AL5" s="96">
        <v>2</v>
      </c>
      <c r="AM5" s="96"/>
      <c r="AN5" s="96">
        <v>3</v>
      </c>
      <c r="AO5" s="96"/>
      <c r="AP5" s="96">
        <v>4</v>
      </c>
      <c r="AQ5" s="96"/>
      <c r="AR5" s="96">
        <v>1</v>
      </c>
      <c r="AS5" s="96"/>
      <c r="AT5" s="96">
        <v>2</v>
      </c>
      <c r="AU5" s="96"/>
      <c r="AV5" s="96">
        <v>3</v>
      </c>
      <c r="AW5" s="96"/>
      <c r="AX5" s="96">
        <v>4</v>
      </c>
      <c r="AY5" s="96"/>
      <c r="AZ5" s="96">
        <v>1</v>
      </c>
      <c r="BA5" s="96"/>
      <c r="BB5" s="96">
        <v>2</v>
      </c>
      <c r="BC5" s="96"/>
      <c r="BD5" s="96">
        <v>3</v>
      </c>
      <c r="BE5" s="96"/>
      <c r="BF5" s="96">
        <v>4</v>
      </c>
      <c r="BG5" s="96"/>
      <c r="BH5" s="96">
        <v>1</v>
      </c>
      <c r="BI5" s="96"/>
      <c r="BJ5" s="96">
        <v>2</v>
      </c>
      <c r="BK5" s="96"/>
      <c r="BL5" s="96">
        <v>3</v>
      </c>
      <c r="BM5" s="96"/>
      <c r="BN5" s="96">
        <v>4</v>
      </c>
      <c r="BO5" s="96"/>
      <c r="BP5" s="96">
        <v>1</v>
      </c>
      <c r="BQ5" s="96"/>
      <c r="BR5" s="96">
        <v>2</v>
      </c>
      <c r="BS5" s="96"/>
      <c r="BT5" s="96">
        <v>3</v>
      </c>
      <c r="BU5" s="96"/>
      <c r="BV5" s="96">
        <v>4</v>
      </c>
      <c r="BW5" s="96"/>
      <c r="BX5" s="96">
        <v>1</v>
      </c>
      <c r="BY5" s="96"/>
      <c r="BZ5" s="96">
        <v>2</v>
      </c>
      <c r="CA5" s="96"/>
      <c r="CB5" s="96">
        <v>3</v>
      </c>
      <c r="CC5" s="96"/>
      <c r="CD5" s="96">
        <v>4</v>
      </c>
      <c r="CE5" s="96"/>
      <c r="CF5" s="96">
        <v>1</v>
      </c>
      <c r="CG5" s="96"/>
      <c r="CH5" s="96">
        <v>2</v>
      </c>
      <c r="CI5" s="96"/>
      <c r="CJ5" s="96">
        <v>3</v>
      </c>
      <c r="CK5" s="96"/>
      <c r="CL5" s="96">
        <v>4</v>
      </c>
      <c r="CM5" s="96"/>
      <c r="CN5" s="96">
        <v>1</v>
      </c>
      <c r="CO5" s="96"/>
      <c r="CP5" s="96">
        <v>2</v>
      </c>
      <c r="CQ5" s="96"/>
      <c r="CR5" s="96">
        <v>3</v>
      </c>
      <c r="CS5" s="96"/>
      <c r="CT5" s="96">
        <v>4</v>
      </c>
      <c r="CU5" s="96"/>
    </row>
    <row r="6" spans="1:99" x14ac:dyDescent="0.15">
      <c r="B6" s="96" t="s">
        <v>126</v>
      </c>
      <c r="C6" s="96" t="s">
        <v>171</v>
      </c>
      <c r="D6" s="97">
        <v>0</v>
      </c>
      <c r="E6" s="97">
        <v>0</v>
      </c>
      <c r="F6" s="97">
        <v>0</v>
      </c>
      <c r="G6" s="97">
        <v>0</v>
      </c>
      <c r="H6" s="97">
        <v>0</v>
      </c>
      <c r="I6" s="97">
        <v>0</v>
      </c>
      <c r="J6" s="97">
        <v>0</v>
      </c>
      <c r="K6" s="97">
        <v>0</v>
      </c>
      <c r="L6" s="97">
        <v>0</v>
      </c>
      <c r="M6" s="97">
        <v>0</v>
      </c>
      <c r="N6" s="97">
        <v>0</v>
      </c>
      <c r="O6" s="97">
        <v>0</v>
      </c>
      <c r="P6" s="97">
        <v>0</v>
      </c>
      <c r="Q6" s="97">
        <v>0</v>
      </c>
      <c r="R6" s="97">
        <v>0</v>
      </c>
      <c r="S6" s="97">
        <v>0</v>
      </c>
      <c r="T6" s="97">
        <v>0</v>
      </c>
      <c r="U6" s="97">
        <v>0</v>
      </c>
      <c r="V6" s="97">
        <v>0</v>
      </c>
      <c r="W6" s="97">
        <v>0</v>
      </c>
      <c r="X6" s="97">
        <v>0</v>
      </c>
      <c r="Y6" s="97">
        <v>0</v>
      </c>
      <c r="Z6" s="97">
        <v>0</v>
      </c>
      <c r="AA6" s="97">
        <v>0</v>
      </c>
      <c r="AB6" s="97">
        <v>0</v>
      </c>
      <c r="AC6" s="97">
        <v>0</v>
      </c>
      <c r="AD6" s="97">
        <v>0</v>
      </c>
      <c r="AE6" s="97">
        <v>0</v>
      </c>
      <c r="AF6" s="97">
        <v>0</v>
      </c>
      <c r="AG6" s="97">
        <v>0</v>
      </c>
      <c r="AH6" s="97">
        <v>0</v>
      </c>
      <c r="AI6" s="97">
        <v>0</v>
      </c>
      <c r="AJ6" s="97">
        <v>0</v>
      </c>
      <c r="AK6" s="97">
        <v>0</v>
      </c>
      <c r="AL6" s="97">
        <v>0</v>
      </c>
      <c r="AM6" s="97">
        <v>0</v>
      </c>
      <c r="AN6" s="97">
        <v>0</v>
      </c>
      <c r="AO6" s="97">
        <v>0</v>
      </c>
      <c r="AP6" s="97">
        <v>0</v>
      </c>
      <c r="AQ6" s="97">
        <v>0</v>
      </c>
      <c r="AR6" s="97">
        <v>0</v>
      </c>
      <c r="AS6" s="97">
        <v>0</v>
      </c>
      <c r="AT6" s="97">
        <v>0</v>
      </c>
      <c r="AU6" s="97">
        <v>0</v>
      </c>
      <c r="AV6" s="97">
        <v>0</v>
      </c>
      <c r="AW6" s="97">
        <v>0</v>
      </c>
      <c r="AX6" s="97">
        <v>0</v>
      </c>
      <c r="AY6" s="97">
        <v>0</v>
      </c>
      <c r="AZ6" s="97">
        <v>0</v>
      </c>
      <c r="BA6" s="97">
        <v>0</v>
      </c>
      <c r="BB6" s="97">
        <v>0</v>
      </c>
      <c r="BC6" s="97">
        <v>0</v>
      </c>
      <c r="BD6" s="97">
        <v>0</v>
      </c>
      <c r="BE6" s="97">
        <v>0</v>
      </c>
      <c r="BF6" s="97">
        <v>0</v>
      </c>
      <c r="BG6" s="97">
        <v>0</v>
      </c>
      <c r="BH6" s="97">
        <v>0</v>
      </c>
      <c r="BI6" s="97">
        <v>0</v>
      </c>
      <c r="BJ6" s="97">
        <v>0</v>
      </c>
      <c r="BK6" s="97">
        <v>0</v>
      </c>
      <c r="BL6" s="97">
        <v>0</v>
      </c>
      <c r="BM6" s="97">
        <v>0</v>
      </c>
      <c r="BN6" s="97">
        <v>0</v>
      </c>
      <c r="BO6" s="97">
        <v>0</v>
      </c>
      <c r="BP6" s="97">
        <v>0</v>
      </c>
      <c r="BQ6" s="97">
        <v>0</v>
      </c>
      <c r="BR6" s="97">
        <v>0</v>
      </c>
      <c r="BS6" s="97">
        <v>0</v>
      </c>
      <c r="BT6" s="97">
        <v>0</v>
      </c>
      <c r="BU6" s="97">
        <v>0</v>
      </c>
      <c r="BV6" s="97">
        <v>0</v>
      </c>
      <c r="BW6" s="97">
        <v>0</v>
      </c>
      <c r="BX6" s="97">
        <v>0</v>
      </c>
      <c r="BY6" s="97">
        <v>0</v>
      </c>
      <c r="BZ6" s="97">
        <v>0</v>
      </c>
      <c r="CA6" s="97">
        <v>0</v>
      </c>
      <c r="CB6" s="97">
        <v>0</v>
      </c>
      <c r="CC6" s="97">
        <v>0</v>
      </c>
      <c r="CD6" s="97">
        <v>0</v>
      </c>
      <c r="CE6" s="97">
        <v>0</v>
      </c>
      <c r="CF6" s="97">
        <v>0</v>
      </c>
      <c r="CG6" s="97">
        <v>0</v>
      </c>
      <c r="CH6" s="97">
        <v>0</v>
      </c>
      <c r="CI6" s="97">
        <v>0</v>
      </c>
      <c r="CJ6" s="97">
        <v>0</v>
      </c>
      <c r="CK6" s="97">
        <v>0</v>
      </c>
      <c r="CL6" s="97">
        <v>0</v>
      </c>
      <c r="CM6" s="97">
        <v>0</v>
      </c>
      <c r="CN6" s="97">
        <v>0</v>
      </c>
      <c r="CO6" s="97">
        <v>0</v>
      </c>
      <c r="CP6" s="97">
        <v>0</v>
      </c>
      <c r="CQ6" s="97">
        <v>0</v>
      </c>
      <c r="CR6" s="97">
        <v>0</v>
      </c>
      <c r="CS6" s="97">
        <v>0</v>
      </c>
      <c r="CT6" s="97">
        <v>0</v>
      </c>
      <c r="CU6" s="97">
        <v>0</v>
      </c>
    </row>
    <row r="7" spans="1:99" x14ac:dyDescent="0.15">
      <c r="C7" s="96" t="s">
        <v>172</v>
      </c>
      <c r="D7" s="97">
        <v>0</v>
      </c>
      <c r="E7" s="97">
        <v>0</v>
      </c>
      <c r="F7" s="97">
        <v>0</v>
      </c>
      <c r="G7" s="97">
        <v>0</v>
      </c>
      <c r="H7" s="97">
        <v>0</v>
      </c>
      <c r="I7" s="97">
        <v>0</v>
      </c>
      <c r="J7" s="97">
        <v>0</v>
      </c>
      <c r="K7" s="97">
        <v>0</v>
      </c>
      <c r="L7" s="97">
        <v>0</v>
      </c>
      <c r="M7" s="97">
        <v>0</v>
      </c>
      <c r="N7" s="97">
        <v>0</v>
      </c>
      <c r="O7" s="97">
        <v>0</v>
      </c>
      <c r="P7" s="97">
        <v>0</v>
      </c>
      <c r="Q7" s="97">
        <v>0</v>
      </c>
      <c r="R7" s="97">
        <v>0</v>
      </c>
      <c r="S7" s="97">
        <v>0</v>
      </c>
      <c r="T7" s="97">
        <v>0</v>
      </c>
      <c r="U7" s="97">
        <v>0</v>
      </c>
      <c r="V7" s="97">
        <v>0</v>
      </c>
      <c r="W7" s="97">
        <v>0</v>
      </c>
      <c r="X7" s="97">
        <v>0</v>
      </c>
      <c r="Y7" s="97">
        <v>0</v>
      </c>
      <c r="Z7" s="97">
        <v>0</v>
      </c>
      <c r="AA7" s="97">
        <v>0</v>
      </c>
      <c r="AB7" s="97">
        <v>0</v>
      </c>
      <c r="AC7" s="97">
        <v>0</v>
      </c>
      <c r="AD7" s="97">
        <v>0</v>
      </c>
      <c r="AE7" s="97">
        <v>0</v>
      </c>
      <c r="AF7" s="97">
        <v>0</v>
      </c>
      <c r="AG7" s="97">
        <v>0</v>
      </c>
      <c r="AH7" s="97">
        <v>0</v>
      </c>
      <c r="AI7" s="97">
        <v>0</v>
      </c>
      <c r="AJ7" s="97">
        <v>0</v>
      </c>
      <c r="AK7" s="97">
        <v>0</v>
      </c>
      <c r="AL7" s="97">
        <v>0</v>
      </c>
      <c r="AM7" s="97">
        <v>0</v>
      </c>
      <c r="AN7" s="97">
        <v>0</v>
      </c>
      <c r="AO7" s="97">
        <v>0</v>
      </c>
      <c r="AP7" s="97">
        <v>0</v>
      </c>
      <c r="AQ7" s="97">
        <v>0</v>
      </c>
      <c r="AR7" s="97">
        <v>0</v>
      </c>
      <c r="AS7" s="97">
        <v>0</v>
      </c>
      <c r="AT7" s="97">
        <v>0</v>
      </c>
      <c r="AU7" s="97">
        <v>0</v>
      </c>
      <c r="AV7" s="97">
        <v>0</v>
      </c>
      <c r="AW7" s="97">
        <v>0</v>
      </c>
      <c r="AX7" s="97">
        <v>0</v>
      </c>
      <c r="AY7" s="97">
        <v>0</v>
      </c>
      <c r="AZ7" s="97">
        <v>0</v>
      </c>
      <c r="BA7" s="97">
        <v>0</v>
      </c>
      <c r="BB7" s="97">
        <v>0</v>
      </c>
      <c r="BC7" s="97">
        <v>0</v>
      </c>
      <c r="BD7" s="97">
        <v>0</v>
      </c>
      <c r="BE7" s="97">
        <v>0</v>
      </c>
      <c r="BF7" s="97">
        <v>0</v>
      </c>
      <c r="BG7" s="97">
        <v>0</v>
      </c>
      <c r="BH7" s="97">
        <v>0</v>
      </c>
      <c r="BI7" s="97">
        <v>0</v>
      </c>
      <c r="BJ7" s="97">
        <v>0</v>
      </c>
      <c r="BK7" s="97">
        <v>0</v>
      </c>
      <c r="BL7" s="97">
        <v>0</v>
      </c>
      <c r="BM7" s="97">
        <v>0</v>
      </c>
      <c r="BN7" s="97">
        <v>0</v>
      </c>
      <c r="BO7" s="97">
        <v>0</v>
      </c>
      <c r="BP7" s="97">
        <v>0</v>
      </c>
      <c r="BQ7" s="97">
        <v>0</v>
      </c>
      <c r="BR7" s="97">
        <v>0</v>
      </c>
      <c r="BS7" s="97">
        <v>0</v>
      </c>
      <c r="BT7" s="97">
        <v>0</v>
      </c>
      <c r="BU7" s="97">
        <v>0</v>
      </c>
      <c r="BV7" s="97">
        <v>0</v>
      </c>
      <c r="BW7" s="97">
        <v>0</v>
      </c>
      <c r="BX7" s="97">
        <v>0</v>
      </c>
      <c r="BY7" s="97">
        <v>0</v>
      </c>
      <c r="BZ7" s="97">
        <v>0</v>
      </c>
      <c r="CA7" s="97">
        <v>0</v>
      </c>
      <c r="CB7" s="97">
        <v>0</v>
      </c>
      <c r="CC7" s="97">
        <v>0</v>
      </c>
      <c r="CD7" s="97">
        <v>0</v>
      </c>
      <c r="CE7" s="97">
        <v>0</v>
      </c>
      <c r="CF7" s="97">
        <v>0</v>
      </c>
      <c r="CG7" s="97">
        <v>0</v>
      </c>
      <c r="CH7" s="97">
        <v>0</v>
      </c>
      <c r="CI7" s="97">
        <v>0</v>
      </c>
      <c r="CJ7" s="97">
        <v>0</v>
      </c>
      <c r="CK7" s="97">
        <v>0</v>
      </c>
      <c r="CL7" s="97">
        <v>0</v>
      </c>
      <c r="CM7" s="97">
        <v>0</v>
      </c>
      <c r="CN7" s="97">
        <v>0</v>
      </c>
      <c r="CO7" s="97">
        <v>0</v>
      </c>
      <c r="CP7" s="97">
        <v>0</v>
      </c>
      <c r="CQ7" s="97">
        <v>0</v>
      </c>
      <c r="CR7" s="97">
        <v>0</v>
      </c>
      <c r="CS7" s="97">
        <v>0</v>
      </c>
      <c r="CT7" s="97">
        <v>0</v>
      </c>
      <c r="CU7" s="97">
        <v>0</v>
      </c>
    </row>
    <row r="8" spans="1:99" x14ac:dyDescent="0.15">
      <c r="C8" s="96" t="s">
        <v>173</v>
      </c>
      <c r="D8" s="97">
        <v>0</v>
      </c>
      <c r="E8" s="97">
        <v>0</v>
      </c>
      <c r="F8" s="97">
        <v>0</v>
      </c>
      <c r="G8" s="97">
        <v>0</v>
      </c>
      <c r="H8" s="97">
        <v>0</v>
      </c>
      <c r="I8" s="97">
        <v>0</v>
      </c>
      <c r="J8" s="97">
        <v>0</v>
      </c>
      <c r="K8" s="97">
        <v>0</v>
      </c>
      <c r="L8" s="97">
        <v>0</v>
      </c>
      <c r="M8" s="97">
        <v>0</v>
      </c>
      <c r="N8" s="97">
        <v>0</v>
      </c>
      <c r="O8" s="97">
        <v>0</v>
      </c>
      <c r="P8" s="97">
        <v>0</v>
      </c>
      <c r="Q8" s="97">
        <v>0</v>
      </c>
      <c r="R8" s="97">
        <v>0</v>
      </c>
      <c r="S8" s="97">
        <v>0</v>
      </c>
      <c r="T8" s="97">
        <v>0</v>
      </c>
      <c r="U8" s="97">
        <v>0</v>
      </c>
      <c r="V8" s="97">
        <v>0</v>
      </c>
      <c r="W8" s="97">
        <v>0</v>
      </c>
      <c r="X8" s="97">
        <v>0</v>
      </c>
      <c r="Y8" s="97">
        <v>0</v>
      </c>
      <c r="Z8" s="97">
        <v>0</v>
      </c>
      <c r="AA8" s="97">
        <v>0</v>
      </c>
      <c r="AB8" s="97">
        <v>0</v>
      </c>
      <c r="AC8" s="97">
        <v>0</v>
      </c>
      <c r="AD8" s="97">
        <v>0</v>
      </c>
      <c r="AE8" s="97">
        <v>0</v>
      </c>
      <c r="AF8" s="97">
        <v>0</v>
      </c>
      <c r="AG8" s="97">
        <v>0</v>
      </c>
      <c r="AH8" s="97">
        <v>0</v>
      </c>
      <c r="AI8" s="97">
        <v>0</v>
      </c>
      <c r="AJ8" s="97">
        <v>0</v>
      </c>
      <c r="AK8" s="97">
        <v>0</v>
      </c>
      <c r="AL8" s="97">
        <v>0</v>
      </c>
      <c r="AM8" s="97">
        <v>0</v>
      </c>
      <c r="AN8" s="97">
        <v>0</v>
      </c>
      <c r="AO8" s="97">
        <v>0</v>
      </c>
      <c r="AP8" s="97">
        <v>0</v>
      </c>
      <c r="AQ8" s="97">
        <v>0</v>
      </c>
      <c r="AR8" s="97">
        <v>0</v>
      </c>
      <c r="AS8" s="97">
        <v>0</v>
      </c>
      <c r="AT8" s="97">
        <v>0</v>
      </c>
      <c r="AU8" s="97">
        <v>0</v>
      </c>
      <c r="AV8" s="97">
        <v>0</v>
      </c>
      <c r="AW8" s="97">
        <v>0</v>
      </c>
      <c r="AX8" s="97">
        <v>0</v>
      </c>
      <c r="AY8" s="97">
        <v>0</v>
      </c>
      <c r="AZ8" s="97">
        <v>0</v>
      </c>
      <c r="BA8" s="97">
        <v>0</v>
      </c>
      <c r="BB8" s="97">
        <v>0</v>
      </c>
      <c r="BC8" s="97">
        <v>0</v>
      </c>
      <c r="BD8" s="97">
        <v>0</v>
      </c>
      <c r="BE8" s="97">
        <v>0</v>
      </c>
      <c r="BF8" s="97">
        <v>0</v>
      </c>
      <c r="BG8" s="97">
        <v>0</v>
      </c>
      <c r="BH8" s="97">
        <v>0</v>
      </c>
      <c r="BI8" s="97">
        <v>0</v>
      </c>
      <c r="BJ8" s="97">
        <v>0</v>
      </c>
      <c r="BK8" s="97">
        <v>0</v>
      </c>
      <c r="BL8" s="97">
        <v>0</v>
      </c>
      <c r="BM8" s="97">
        <v>0</v>
      </c>
      <c r="BN8" s="97">
        <v>0</v>
      </c>
      <c r="BO8" s="97">
        <v>0</v>
      </c>
      <c r="BP8" s="97">
        <v>0</v>
      </c>
      <c r="BQ8" s="97">
        <v>0</v>
      </c>
      <c r="BR8" s="97">
        <v>0</v>
      </c>
      <c r="BS8" s="97">
        <v>0</v>
      </c>
      <c r="BT8" s="97">
        <v>0</v>
      </c>
      <c r="BU8" s="97">
        <v>0</v>
      </c>
      <c r="BV8" s="97">
        <v>0</v>
      </c>
      <c r="BW8" s="97">
        <v>0</v>
      </c>
      <c r="BX8" s="97">
        <v>0</v>
      </c>
      <c r="BY8" s="97">
        <v>0</v>
      </c>
      <c r="BZ8" s="97">
        <v>0</v>
      </c>
      <c r="CA8" s="97">
        <v>0</v>
      </c>
      <c r="CB8" s="97">
        <v>0</v>
      </c>
      <c r="CC8" s="97">
        <v>0</v>
      </c>
      <c r="CD8" s="97">
        <v>0</v>
      </c>
      <c r="CE8" s="97">
        <v>0</v>
      </c>
      <c r="CF8" s="97">
        <v>0</v>
      </c>
      <c r="CG8" s="97">
        <v>0</v>
      </c>
      <c r="CH8" s="97">
        <v>0</v>
      </c>
      <c r="CI8" s="97">
        <v>0</v>
      </c>
      <c r="CJ8" s="97">
        <v>0</v>
      </c>
      <c r="CK8" s="97">
        <v>0</v>
      </c>
      <c r="CL8" s="97">
        <v>0</v>
      </c>
      <c r="CM8" s="97">
        <v>0</v>
      </c>
      <c r="CN8" s="97">
        <v>0</v>
      </c>
      <c r="CO8" s="97">
        <v>0</v>
      </c>
      <c r="CP8" s="97">
        <v>0</v>
      </c>
      <c r="CQ8" s="97">
        <v>0</v>
      </c>
      <c r="CR8" s="97">
        <v>0</v>
      </c>
      <c r="CS8" s="97">
        <v>0</v>
      </c>
      <c r="CT8" s="97">
        <v>0</v>
      </c>
      <c r="CU8" s="97">
        <v>0</v>
      </c>
    </row>
    <row r="9" spans="1:99" x14ac:dyDescent="0.15">
      <c r="C9" s="96" t="s">
        <v>174</v>
      </c>
      <c r="D9" s="97">
        <v>0</v>
      </c>
      <c r="E9" s="97">
        <v>0</v>
      </c>
      <c r="F9" s="97">
        <v>0</v>
      </c>
      <c r="G9" s="97">
        <v>0</v>
      </c>
      <c r="H9" s="97">
        <v>0</v>
      </c>
      <c r="I9" s="97">
        <v>0</v>
      </c>
      <c r="J9" s="97">
        <v>0</v>
      </c>
      <c r="K9" s="97">
        <v>0</v>
      </c>
      <c r="L9" s="97">
        <v>0</v>
      </c>
      <c r="M9" s="97">
        <v>0</v>
      </c>
      <c r="N9" s="97">
        <v>0</v>
      </c>
      <c r="O9" s="97">
        <v>0</v>
      </c>
      <c r="P9" s="97">
        <v>0</v>
      </c>
      <c r="Q9" s="97">
        <v>0</v>
      </c>
      <c r="R9" s="97">
        <v>0</v>
      </c>
      <c r="S9" s="97">
        <v>0</v>
      </c>
      <c r="T9" s="97">
        <v>0</v>
      </c>
      <c r="U9" s="97">
        <v>0</v>
      </c>
      <c r="V9" s="97">
        <v>0</v>
      </c>
      <c r="W9" s="97">
        <v>0</v>
      </c>
      <c r="X9" s="97">
        <v>0</v>
      </c>
      <c r="Y9" s="97">
        <v>0</v>
      </c>
      <c r="Z9" s="97">
        <v>0</v>
      </c>
      <c r="AA9" s="97">
        <v>0</v>
      </c>
      <c r="AB9" s="97">
        <v>0</v>
      </c>
      <c r="AC9" s="97">
        <v>0</v>
      </c>
      <c r="AD9" s="97">
        <v>0</v>
      </c>
      <c r="AE9" s="97">
        <v>0</v>
      </c>
      <c r="AF9" s="97">
        <v>0</v>
      </c>
      <c r="AG9" s="97">
        <v>0</v>
      </c>
      <c r="AH9" s="97">
        <v>0</v>
      </c>
      <c r="AI9" s="97">
        <v>0</v>
      </c>
      <c r="AJ9" s="97">
        <v>0</v>
      </c>
      <c r="AK9" s="97">
        <v>0</v>
      </c>
      <c r="AL9" s="97">
        <v>0</v>
      </c>
      <c r="AM9" s="97">
        <v>0</v>
      </c>
      <c r="AN9" s="97">
        <v>0</v>
      </c>
      <c r="AO9" s="97">
        <v>0</v>
      </c>
      <c r="AP9" s="97">
        <v>0</v>
      </c>
      <c r="AQ9" s="97">
        <v>0</v>
      </c>
      <c r="AR9" s="97">
        <v>0</v>
      </c>
      <c r="AS9" s="97">
        <v>0</v>
      </c>
      <c r="AT9" s="97">
        <v>0</v>
      </c>
      <c r="AU9" s="97">
        <v>0</v>
      </c>
      <c r="AV9" s="97">
        <v>0</v>
      </c>
      <c r="AW9" s="97">
        <v>0</v>
      </c>
      <c r="AX9" s="97">
        <v>0</v>
      </c>
      <c r="AY9" s="97">
        <v>0</v>
      </c>
      <c r="AZ9" s="97">
        <v>0</v>
      </c>
      <c r="BA9" s="97">
        <v>0</v>
      </c>
      <c r="BB9" s="97">
        <v>0</v>
      </c>
      <c r="BC9" s="97">
        <v>0</v>
      </c>
      <c r="BD9" s="97">
        <v>0</v>
      </c>
      <c r="BE9" s="97">
        <v>0</v>
      </c>
      <c r="BF9" s="97">
        <v>0</v>
      </c>
      <c r="BG9" s="97">
        <v>0</v>
      </c>
      <c r="BH9" s="97">
        <v>0</v>
      </c>
      <c r="BI9" s="97">
        <v>0</v>
      </c>
      <c r="BJ9" s="97">
        <v>0</v>
      </c>
      <c r="BK9" s="97">
        <v>0</v>
      </c>
      <c r="BL9" s="97">
        <v>0</v>
      </c>
      <c r="BM9" s="97">
        <v>0</v>
      </c>
      <c r="BN9" s="97">
        <v>0</v>
      </c>
      <c r="BO9" s="97">
        <v>0</v>
      </c>
      <c r="BP9" s="97">
        <v>0</v>
      </c>
      <c r="BQ9" s="97">
        <v>0</v>
      </c>
      <c r="BR9" s="97">
        <v>0</v>
      </c>
      <c r="BS9" s="97">
        <v>0</v>
      </c>
      <c r="BT9" s="97">
        <v>0</v>
      </c>
      <c r="BU9" s="97">
        <v>0</v>
      </c>
      <c r="BV9" s="97">
        <v>0</v>
      </c>
      <c r="BW9" s="97">
        <v>0</v>
      </c>
      <c r="BX9" s="97">
        <v>0</v>
      </c>
      <c r="BY9" s="97">
        <v>0</v>
      </c>
      <c r="BZ9" s="97">
        <v>0</v>
      </c>
      <c r="CA9" s="97">
        <v>0</v>
      </c>
      <c r="CB9" s="97">
        <v>0</v>
      </c>
      <c r="CC9" s="97">
        <v>0</v>
      </c>
      <c r="CD9" s="97">
        <v>0</v>
      </c>
      <c r="CE9" s="97">
        <v>0</v>
      </c>
      <c r="CF9" s="97">
        <v>0</v>
      </c>
      <c r="CG9" s="97">
        <v>0</v>
      </c>
      <c r="CH9" s="97">
        <v>0</v>
      </c>
      <c r="CI9" s="97">
        <v>0</v>
      </c>
      <c r="CJ9" s="97">
        <v>0</v>
      </c>
      <c r="CK9" s="97">
        <v>0</v>
      </c>
      <c r="CL9" s="97">
        <v>0</v>
      </c>
      <c r="CM9" s="97">
        <v>0</v>
      </c>
      <c r="CN9" s="97">
        <v>0</v>
      </c>
      <c r="CO9" s="97">
        <v>0</v>
      </c>
      <c r="CP9" s="97">
        <v>0</v>
      </c>
      <c r="CQ9" s="97">
        <v>0</v>
      </c>
      <c r="CR9" s="97">
        <v>0</v>
      </c>
      <c r="CS9" s="97">
        <v>0</v>
      </c>
      <c r="CT9" s="97">
        <v>0</v>
      </c>
      <c r="CU9" s="97">
        <v>0</v>
      </c>
    </row>
    <row r="10" spans="1:99" x14ac:dyDescent="0.15">
      <c r="C10" s="96" t="s">
        <v>175</v>
      </c>
      <c r="D10" s="97">
        <v>0</v>
      </c>
      <c r="E10" s="97">
        <v>0</v>
      </c>
      <c r="F10" s="97">
        <v>0</v>
      </c>
      <c r="G10" s="97">
        <v>0</v>
      </c>
      <c r="H10" s="97">
        <v>0</v>
      </c>
      <c r="I10" s="97">
        <v>0</v>
      </c>
      <c r="J10" s="97">
        <v>0</v>
      </c>
      <c r="K10" s="97">
        <v>0</v>
      </c>
      <c r="L10" s="97">
        <v>0</v>
      </c>
      <c r="M10" s="97">
        <v>0</v>
      </c>
      <c r="N10" s="97">
        <v>0</v>
      </c>
      <c r="O10" s="97">
        <v>0</v>
      </c>
      <c r="P10" s="97">
        <v>0</v>
      </c>
      <c r="Q10" s="97">
        <v>0</v>
      </c>
      <c r="R10" s="97">
        <v>0</v>
      </c>
      <c r="S10" s="97">
        <v>0</v>
      </c>
      <c r="T10" s="97">
        <v>0</v>
      </c>
      <c r="U10" s="97">
        <v>0</v>
      </c>
      <c r="V10" s="97">
        <v>0</v>
      </c>
      <c r="W10" s="97">
        <v>0</v>
      </c>
      <c r="X10" s="97">
        <v>0</v>
      </c>
      <c r="Y10" s="97">
        <v>0</v>
      </c>
      <c r="Z10" s="97">
        <v>0</v>
      </c>
      <c r="AA10" s="97">
        <v>0</v>
      </c>
      <c r="AB10" s="97">
        <v>0</v>
      </c>
      <c r="AC10" s="97">
        <v>0</v>
      </c>
      <c r="AD10" s="97">
        <v>0</v>
      </c>
      <c r="AE10" s="97">
        <v>0</v>
      </c>
      <c r="AF10" s="97">
        <v>0</v>
      </c>
      <c r="AG10" s="97">
        <v>0</v>
      </c>
      <c r="AH10" s="97">
        <v>0</v>
      </c>
      <c r="AI10" s="97">
        <v>0</v>
      </c>
      <c r="AJ10" s="97">
        <v>0</v>
      </c>
      <c r="AK10" s="97">
        <v>0</v>
      </c>
      <c r="AL10" s="97">
        <v>0</v>
      </c>
      <c r="AM10" s="97">
        <v>0</v>
      </c>
      <c r="AN10" s="97">
        <v>0</v>
      </c>
      <c r="AO10" s="97">
        <v>0</v>
      </c>
      <c r="AP10" s="97">
        <v>0</v>
      </c>
      <c r="AQ10" s="97">
        <v>0</v>
      </c>
      <c r="AR10" s="97">
        <v>0</v>
      </c>
      <c r="AS10" s="97">
        <v>0</v>
      </c>
      <c r="AT10" s="97">
        <v>0</v>
      </c>
      <c r="AU10" s="97">
        <v>0</v>
      </c>
      <c r="AV10" s="97">
        <v>0</v>
      </c>
      <c r="AW10" s="97">
        <v>0</v>
      </c>
      <c r="AX10" s="97">
        <v>0</v>
      </c>
      <c r="AY10" s="97">
        <v>0</v>
      </c>
      <c r="AZ10" s="97">
        <v>0</v>
      </c>
      <c r="BA10" s="97">
        <v>0</v>
      </c>
      <c r="BB10" s="97">
        <v>0</v>
      </c>
      <c r="BC10" s="97">
        <v>0</v>
      </c>
      <c r="BD10" s="97">
        <v>0</v>
      </c>
      <c r="BE10" s="97">
        <v>0</v>
      </c>
      <c r="BF10" s="97">
        <v>0</v>
      </c>
      <c r="BG10" s="97">
        <v>0</v>
      </c>
      <c r="BH10" s="97">
        <v>0</v>
      </c>
      <c r="BI10" s="97">
        <v>0</v>
      </c>
      <c r="BJ10" s="97">
        <v>0</v>
      </c>
      <c r="BK10" s="97">
        <v>0</v>
      </c>
      <c r="BL10" s="97">
        <v>0</v>
      </c>
      <c r="BM10" s="97">
        <v>0</v>
      </c>
      <c r="BN10" s="97">
        <v>0</v>
      </c>
      <c r="BO10" s="97">
        <v>0</v>
      </c>
      <c r="BP10" s="97">
        <v>0</v>
      </c>
      <c r="BQ10" s="97">
        <v>0</v>
      </c>
      <c r="BR10" s="97">
        <v>0</v>
      </c>
      <c r="BS10" s="97">
        <v>0</v>
      </c>
      <c r="BT10" s="97">
        <v>0</v>
      </c>
      <c r="BU10" s="97">
        <v>0</v>
      </c>
      <c r="BV10" s="97">
        <v>0</v>
      </c>
      <c r="BW10" s="97">
        <v>0</v>
      </c>
      <c r="BX10" s="97">
        <v>0</v>
      </c>
      <c r="BY10" s="97">
        <v>0</v>
      </c>
      <c r="BZ10" s="97">
        <v>0</v>
      </c>
      <c r="CA10" s="97">
        <v>0</v>
      </c>
      <c r="CB10" s="97">
        <v>0</v>
      </c>
      <c r="CC10" s="97">
        <v>0</v>
      </c>
      <c r="CD10" s="97">
        <v>0</v>
      </c>
      <c r="CE10" s="97">
        <v>0</v>
      </c>
      <c r="CF10" s="97">
        <v>0</v>
      </c>
      <c r="CG10" s="97">
        <v>0</v>
      </c>
      <c r="CH10" s="97">
        <v>0</v>
      </c>
      <c r="CI10" s="97">
        <v>0</v>
      </c>
      <c r="CJ10" s="97">
        <v>0</v>
      </c>
      <c r="CK10" s="97">
        <v>0</v>
      </c>
      <c r="CL10" s="97">
        <v>0</v>
      </c>
      <c r="CM10" s="97">
        <v>0</v>
      </c>
      <c r="CN10" s="97">
        <v>0</v>
      </c>
      <c r="CO10" s="97">
        <v>0</v>
      </c>
      <c r="CP10" s="97">
        <v>0</v>
      </c>
      <c r="CQ10" s="97">
        <v>0</v>
      </c>
      <c r="CR10" s="97">
        <v>0</v>
      </c>
      <c r="CS10" s="97">
        <v>0</v>
      </c>
      <c r="CT10" s="97">
        <v>0</v>
      </c>
      <c r="CU10" s="97">
        <v>0</v>
      </c>
    </row>
    <row r="11" spans="1:99" x14ac:dyDescent="0.15">
      <c r="C11" s="96" t="s">
        <v>176</v>
      </c>
      <c r="D11" s="97">
        <v>0</v>
      </c>
      <c r="E11" s="97">
        <v>0</v>
      </c>
      <c r="F11" s="97">
        <v>0</v>
      </c>
      <c r="G11" s="97">
        <v>0</v>
      </c>
      <c r="H11" s="97">
        <v>0</v>
      </c>
      <c r="I11" s="97">
        <v>0</v>
      </c>
      <c r="J11" s="97">
        <v>0</v>
      </c>
      <c r="K11" s="97">
        <v>0</v>
      </c>
      <c r="L11" s="97">
        <v>0</v>
      </c>
      <c r="M11" s="97">
        <v>0</v>
      </c>
      <c r="N11" s="97">
        <v>0</v>
      </c>
      <c r="O11" s="97">
        <v>0</v>
      </c>
      <c r="P11" s="97">
        <v>0</v>
      </c>
      <c r="Q11" s="97">
        <v>0</v>
      </c>
      <c r="R11" s="97">
        <v>0</v>
      </c>
      <c r="S11" s="97">
        <v>0</v>
      </c>
      <c r="T11" s="97">
        <v>0</v>
      </c>
      <c r="U11" s="97">
        <v>0</v>
      </c>
      <c r="V11" s="97">
        <v>0</v>
      </c>
      <c r="W11" s="97">
        <v>0</v>
      </c>
      <c r="X11" s="97">
        <v>0</v>
      </c>
      <c r="Y11" s="97">
        <v>0</v>
      </c>
      <c r="Z11" s="97">
        <v>0</v>
      </c>
      <c r="AA11" s="97">
        <v>0</v>
      </c>
      <c r="AB11" s="97">
        <v>0</v>
      </c>
      <c r="AC11" s="97">
        <v>0</v>
      </c>
      <c r="AD11" s="97">
        <v>0</v>
      </c>
      <c r="AE11" s="97">
        <v>0</v>
      </c>
      <c r="AF11" s="97">
        <v>0</v>
      </c>
      <c r="AG11" s="97">
        <v>0</v>
      </c>
      <c r="AH11" s="97">
        <v>0</v>
      </c>
      <c r="AI11" s="97">
        <v>0</v>
      </c>
      <c r="AJ11" s="97">
        <v>0</v>
      </c>
      <c r="AK11" s="97">
        <v>0</v>
      </c>
      <c r="AL11" s="97">
        <v>0</v>
      </c>
      <c r="AM11" s="97">
        <v>0</v>
      </c>
      <c r="AN11" s="97">
        <v>0</v>
      </c>
      <c r="AO11" s="97">
        <v>0</v>
      </c>
      <c r="AP11" s="97">
        <v>0</v>
      </c>
      <c r="AQ11" s="97">
        <v>0</v>
      </c>
      <c r="AR11" s="97">
        <v>0</v>
      </c>
      <c r="AS11" s="97">
        <v>0</v>
      </c>
      <c r="AT11" s="97">
        <v>0</v>
      </c>
      <c r="AU11" s="97">
        <v>0</v>
      </c>
      <c r="AV11" s="97">
        <v>0</v>
      </c>
      <c r="AW11" s="97">
        <v>0</v>
      </c>
      <c r="AX11" s="97">
        <v>0</v>
      </c>
      <c r="AY11" s="97">
        <v>0</v>
      </c>
      <c r="AZ11" s="97">
        <v>0</v>
      </c>
      <c r="BA11" s="97">
        <v>0</v>
      </c>
      <c r="BB11" s="97">
        <v>0</v>
      </c>
      <c r="BC11" s="97">
        <v>0</v>
      </c>
      <c r="BD11" s="97">
        <v>0</v>
      </c>
      <c r="BE11" s="97">
        <v>0</v>
      </c>
      <c r="BF11" s="97">
        <v>0</v>
      </c>
      <c r="BG11" s="97">
        <v>0</v>
      </c>
      <c r="BH11" s="97">
        <v>0</v>
      </c>
      <c r="BI11" s="97">
        <v>0</v>
      </c>
      <c r="BJ11" s="97">
        <v>0</v>
      </c>
      <c r="BK11" s="97">
        <v>0</v>
      </c>
      <c r="BL11" s="97">
        <v>0</v>
      </c>
      <c r="BM11" s="97">
        <v>0</v>
      </c>
      <c r="BN11" s="97">
        <v>0</v>
      </c>
      <c r="BO11" s="97">
        <v>0</v>
      </c>
      <c r="BP11" s="97">
        <v>0</v>
      </c>
      <c r="BQ11" s="97">
        <v>0</v>
      </c>
      <c r="BR11" s="97">
        <v>0</v>
      </c>
      <c r="BS11" s="97">
        <v>0</v>
      </c>
      <c r="BT11" s="97">
        <v>0</v>
      </c>
      <c r="BU11" s="97">
        <v>0</v>
      </c>
      <c r="BV11" s="97">
        <v>0</v>
      </c>
      <c r="BW11" s="97">
        <v>0</v>
      </c>
      <c r="BX11" s="97">
        <v>0</v>
      </c>
      <c r="BY11" s="97">
        <v>0</v>
      </c>
      <c r="BZ11" s="97">
        <v>0</v>
      </c>
      <c r="CA11" s="97">
        <v>0</v>
      </c>
      <c r="CB11" s="97">
        <v>0</v>
      </c>
      <c r="CC11" s="97">
        <v>0</v>
      </c>
      <c r="CD11" s="97">
        <v>0</v>
      </c>
      <c r="CE11" s="97">
        <v>0</v>
      </c>
      <c r="CF11" s="97">
        <v>0</v>
      </c>
      <c r="CG11" s="97">
        <v>0</v>
      </c>
      <c r="CH11" s="97">
        <v>0</v>
      </c>
      <c r="CI11" s="97">
        <v>0</v>
      </c>
      <c r="CJ11" s="97">
        <v>0</v>
      </c>
      <c r="CK11" s="97">
        <v>0</v>
      </c>
      <c r="CL11" s="97">
        <v>0</v>
      </c>
      <c r="CM11" s="97">
        <v>0</v>
      </c>
      <c r="CN11" s="97">
        <v>0</v>
      </c>
      <c r="CO11" s="97">
        <v>0</v>
      </c>
      <c r="CP11" s="97">
        <v>0</v>
      </c>
      <c r="CQ11" s="97">
        <v>0</v>
      </c>
      <c r="CR11" s="97">
        <v>0</v>
      </c>
      <c r="CS11" s="97">
        <v>0</v>
      </c>
      <c r="CT11" s="97">
        <v>0</v>
      </c>
      <c r="CU11" s="97">
        <v>0</v>
      </c>
    </row>
    <row r="12" spans="1:99" x14ac:dyDescent="0.15">
      <c r="C12" s="96" t="s">
        <v>177</v>
      </c>
      <c r="D12" s="97">
        <v>0</v>
      </c>
      <c r="E12" s="97">
        <v>0</v>
      </c>
      <c r="F12" s="97">
        <v>0</v>
      </c>
      <c r="G12" s="97">
        <v>0</v>
      </c>
      <c r="H12" s="97">
        <v>0</v>
      </c>
      <c r="I12" s="97">
        <v>0</v>
      </c>
      <c r="J12" s="97">
        <v>0</v>
      </c>
      <c r="K12" s="97">
        <v>0</v>
      </c>
      <c r="L12" s="97">
        <v>0</v>
      </c>
      <c r="M12" s="97">
        <v>0</v>
      </c>
      <c r="N12" s="97">
        <v>0</v>
      </c>
      <c r="O12" s="97">
        <v>0</v>
      </c>
      <c r="P12" s="97">
        <v>0</v>
      </c>
      <c r="Q12" s="97">
        <v>0</v>
      </c>
      <c r="R12" s="97">
        <v>0</v>
      </c>
      <c r="S12" s="97">
        <v>0</v>
      </c>
      <c r="T12" s="97">
        <v>0</v>
      </c>
      <c r="U12" s="97">
        <v>0</v>
      </c>
      <c r="V12" s="97">
        <v>0</v>
      </c>
      <c r="W12" s="97">
        <v>0</v>
      </c>
      <c r="X12" s="97">
        <v>0</v>
      </c>
      <c r="Y12" s="97">
        <v>0</v>
      </c>
      <c r="Z12" s="97">
        <v>0</v>
      </c>
      <c r="AA12" s="97">
        <v>0</v>
      </c>
      <c r="AB12" s="97">
        <v>0</v>
      </c>
      <c r="AC12" s="97">
        <v>0</v>
      </c>
      <c r="AD12" s="97">
        <v>0</v>
      </c>
      <c r="AE12" s="97">
        <v>0</v>
      </c>
      <c r="AF12" s="97">
        <v>0</v>
      </c>
      <c r="AG12" s="97">
        <v>0</v>
      </c>
      <c r="AH12" s="97">
        <v>0</v>
      </c>
      <c r="AI12" s="97">
        <v>0</v>
      </c>
      <c r="AJ12" s="97">
        <v>0</v>
      </c>
      <c r="AK12" s="97">
        <v>0</v>
      </c>
      <c r="AL12" s="97">
        <v>0</v>
      </c>
      <c r="AM12" s="97">
        <v>0</v>
      </c>
      <c r="AN12" s="97">
        <v>0</v>
      </c>
      <c r="AO12" s="97">
        <v>0</v>
      </c>
      <c r="AP12" s="97">
        <v>0</v>
      </c>
      <c r="AQ12" s="97">
        <v>0</v>
      </c>
      <c r="AR12" s="97">
        <v>0</v>
      </c>
      <c r="AS12" s="97">
        <v>0</v>
      </c>
      <c r="AT12" s="97">
        <v>0</v>
      </c>
      <c r="AU12" s="97">
        <v>0</v>
      </c>
      <c r="AV12" s="97">
        <v>0</v>
      </c>
      <c r="AW12" s="97">
        <v>0</v>
      </c>
      <c r="AX12" s="97">
        <v>0</v>
      </c>
      <c r="AY12" s="97">
        <v>0</v>
      </c>
      <c r="AZ12" s="97">
        <v>0</v>
      </c>
      <c r="BA12" s="97">
        <v>0</v>
      </c>
      <c r="BB12" s="97">
        <v>0</v>
      </c>
      <c r="BC12" s="97">
        <v>0</v>
      </c>
      <c r="BD12" s="97">
        <v>0</v>
      </c>
      <c r="BE12" s="97">
        <v>0</v>
      </c>
      <c r="BF12" s="97">
        <v>0</v>
      </c>
      <c r="BG12" s="97">
        <v>0</v>
      </c>
      <c r="BH12" s="97">
        <v>0</v>
      </c>
      <c r="BI12" s="97">
        <v>0</v>
      </c>
      <c r="BJ12" s="97">
        <v>0</v>
      </c>
      <c r="BK12" s="97">
        <v>0</v>
      </c>
      <c r="BL12" s="97">
        <v>0</v>
      </c>
      <c r="BM12" s="97">
        <v>0</v>
      </c>
      <c r="BN12" s="97">
        <v>0</v>
      </c>
      <c r="BO12" s="97">
        <v>0</v>
      </c>
      <c r="BP12" s="97">
        <v>0</v>
      </c>
      <c r="BQ12" s="97">
        <v>0</v>
      </c>
      <c r="BR12" s="97">
        <v>0</v>
      </c>
      <c r="BS12" s="97">
        <v>0</v>
      </c>
      <c r="BT12" s="97">
        <v>0</v>
      </c>
      <c r="BU12" s="97">
        <v>0</v>
      </c>
      <c r="BV12" s="97">
        <v>0</v>
      </c>
      <c r="BW12" s="97">
        <v>0</v>
      </c>
      <c r="BX12" s="97">
        <v>0</v>
      </c>
      <c r="BY12" s="97">
        <v>0</v>
      </c>
      <c r="BZ12" s="97">
        <v>0</v>
      </c>
      <c r="CA12" s="97">
        <v>0</v>
      </c>
      <c r="CB12" s="97">
        <v>0</v>
      </c>
      <c r="CC12" s="97">
        <v>0</v>
      </c>
      <c r="CD12" s="97">
        <v>0</v>
      </c>
      <c r="CE12" s="97">
        <v>0</v>
      </c>
      <c r="CF12" s="97">
        <v>0</v>
      </c>
      <c r="CG12" s="97">
        <v>0</v>
      </c>
      <c r="CH12" s="97">
        <v>0</v>
      </c>
      <c r="CI12" s="97">
        <v>0</v>
      </c>
      <c r="CJ12" s="97">
        <v>0</v>
      </c>
      <c r="CK12" s="97">
        <v>0</v>
      </c>
      <c r="CL12" s="97">
        <v>0</v>
      </c>
      <c r="CM12" s="97">
        <v>0</v>
      </c>
      <c r="CN12" s="97">
        <v>0</v>
      </c>
      <c r="CO12" s="97">
        <v>0</v>
      </c>
      <c r="CP12" s="97">
        <v>0</v>
      </c>
      <c r="CQ12" s="97">
        <v>0</v>
      </c>
      <c r="CR12" s="97">
        <v>0</v>
      </c>
      <c r="CS12" s="97">
        <v>0</v>
      </c>
      <c r="CT12" s="97">
        <v>0</v>
      </c>
      <c r="CU12" s="97">
        <v>0</v>
      </c>
    </row>
    <row r="13" spans="1:99" x14ac:dyDescent="0.15">
      <c r="C13" s="96" t="s">
        <v>178</v>
      </c>
      <c r="D13" s="97">
        <v>0</v>
      </c>
      <c r="E13" s="97">
        <v>0</v>
      </c>
      <c r="F13" s="97">
        <v>0</v>
      </c>
      <c r="G13" s="97">
        <v>0</v>
      </c>
      <c r="H13" s="97">
        <v>0</v>
      </c>
      <c r="I13" s="97">
        <v>0</v>
      </c>
      <c r="J13" s="97">
        <v>0</v>
      </c>
      <c r="K13" s="97">
        <v>0</v>
      </c>
      <c r="L13" s="97">
        <v>0</v>
      </c>
      <c r="M13" s="97">
        <v>0</v>
      </c>
      <c r="N13" s="97">
        <v>0</v>
      </c>
      <c r="O13" s="97">
        <v>0</v>
      </c>
      <c r="P13" s="97">
        <v>0</v>
      </c>
      <c r="Q13" s="97">
        <v>0</v>
      </c>
      <c r="R13" s="97">
        <v>0</v>
      </c>
      <c r="S13" s="97">
        <v>0</v>
      </c>
      <c r="T13" s="97">
        <v>0</v>
      </c>
      <c r="U13" s="97">
        <v>0</v>
      </c>
      <c r="V13" s="97">
        <v>0</v>
      </c>
      <c r="W13" s="97">
        <v>0</v>
      </c>
      <c r="X13" s="97">
        <v>0</v>
      </c>
      <c r="Y13" s="97">
        <v>0</v>
      </c>
      <c r="Z13" s="97">
        <v>0</v>
      </c>
      <c r="AA13" s="97">
        <v>0</v>
      </c>
      <c r="AB13" s="97">
        <v>0</v>
      </c>
      <c r="AC13" s="97">
        <v>0</v>
      </c>
      <c r="AD13" s="97">
        <v>0</v>
      </c>
      <c r="AE13" s="97">
        <v>0</v>
      </c>
      <c r="AF13" s="97">
        <v>0</v>
      </c>
      <c r="AG13" s="97">
        <v>0</v>
      </c>
      <c r="AH13" s="97">
        <v>0</v>
      </c>
      <c r="AI13" s="97">
        <v>0</v>
      </c>
      <c r="AJ13" s="97">
        <v>0</v>
      </c>
      <c r="AK13" s="97">
        <v>0</v>
      </c>
      <c r="AL13" s="97">
        <v>0</v>
      </c>
      <c r="AM13" s="97">
        <v>0</v>
      </c>
      <c r="AN13" s="97">
        <v>0</v>
      </c>
      <c r="AO13" s="97">
        <v>0</v>
      </c>
      <c r="AP13" s="97">
        <v>0</v>
      </c>
      <c r="AQ13" s="97">
        <v>0</v>
      </c>
      <c r="AR13" s="97">
        <v>0</v>
      </c>
      <c r="AS13" s="97">
        <v>0</v>
      </c>
      <c r="AT13" s="97">
        <v>0</v>
      </c>
      <c r="AU13" s="97">
        <v>0</v>
      </c>
      <c r="AV13" s="97">
        <v>0</v>
      </c>
      <c r="AW13" s="97">
        <v>0</v>
      </c>
      <c r="AX13" s="97">
        <v>0</v>
      </c>
      <c r="AY13" s="97">
        <v>0</v>
      </c>
      <c r="AZ13" s="97">
        <v>0</v>
      </c>
      <c r="BA13" s="97">
        <v>0</v>
      </c>
      <c r="BB13" s="97">
        <v>0</v>
      </c>
      <c r="BC13" s="97">
        <v>0</v>
      </c>
      <c r="BD13" s="97">
        <v>0</v>
      </c>
      <c r="BE13" s="97">
        <v>0</v>
      </c>
      <c r="BF13" s="97">
        <v>0</v>
      </c>
      <c r="BG13" s="97">
        <v>0</v>
      </c>
      <c r="BH13" s="97">
        <v>0</v>
      </c>
      <c r="BI13" s="97">
        <v>0</v>
      </c>
      <c r="BJ13" s="97">
        <v>0</v>
      </c>
      <c r="BK13" s="97">
        <v>0</v>
      </c>
      <c r="BL13" s="97">
        <v>0</v>
      </c>
      <c r="BM13" s="97">
        <v>0</v>
      </c>
      <c r="BN13" s="97">
        <v>0</v>
      </c>
      <c r="BO13" s="97">
        <v>0</v>
      </c>
      <c r="BP13" s="97">
        <v>0</v>
      </c>
      <c r="BQ13" s="97">
        <v>0</v>
      </c>
      <c r="BR13" s="97">
        <v>0</v>
      </c>
      <c r="BS13" s="97">
        <v>0</v>
      </c>
      <c r="BT13" s="97">
        <v>0</v>
      </c>
      <c r="BU13" s="97">
        <v>0</v>
      </c>
      <c r="BV13" s="97">
        <v>0</v>
      </c>
      <c r="BW13" s="97">
        <v>0</v>
      </c>
      <c r="BX13" s="97">
        <v>0</v>
      </c>
      <c r="BY13" s="97">
        <v>0</v>
      </c>
      <c r="BZ13" s="97">
        <v>0</v>
      </c>
      <c r="CA13" s="97">
        <v>0</v>
      </c>
      <c r="CB13" s="97">
        <v>0</v>
      </c>
      <c r="CC13" s="97">
        <v>0</v>
      </c>
      <c r="CD13" s="97">
        <v>0</v>
      </c>
      <c r="CE13" s="97">
        <v>0</v>
      </c>
      <c r="CF13" s="97">
        <v>0</v>
      </c>
      <c r="CG13" s="97">
        <v>0</v>
      </c>
      <c r="CH13" s="97">
        <v>0</v>
      </c>
      <c r="CI13" s="97">
        <v>0</v>
      </c>
      <c r="CJ13" s="97">
        <v>0</v>
      </c>
      <c r="CK13" s="97">
        <v>0</v>
      </c>
      <c r="CL13" s="97">
        <v>0</v>
      </c>
      <c r="CM13" s="97">
        <v>0</v>
      </c>
      <c r="CN13" s="97">
        <v>0</v>
      </c>
      <c r="CO13" s="97">
        <v>0</v>
      </c>
      <c r="CP13" s="97">
        <v>0</v>
      </c>
      <c r="CQ13" s="97">
        <v>0</v>
      </c>
      <c r="CR13" s="97">
        <v>0</v>
      </c>
      <c r="CS13" s="97">
        <v>0</v>
      </c>
      <c r="CT13" s="97">
        <v>0</v>
      </c>
      <c r="CU13" s="97">
        <v>0</v>
      </c>
    </row>
    <row r="14" spans="1:99" x14ac:dyDescent="0.15">
      <c r="C14" s="96" t="s">
        <v>179</v>
      </c>
      <c r="D14" s="97">
        <v>0</v>
      </c>
      <c r="E14" s="97">
        <v>0</v>
      </c>
      <c r="F14" s="97">
        <v>0</v>
      </c>
      <c r="G14" s="97">
        <v>0</v>
      </c>
      <c r="H14" s="97">
        <v>0</v>
      </c>
      <c r="I14" s="97">
        <v>0</v>
      </c>
      <c r="J14" s="97">
        <v>0</v>
      </c>
      <c r="K14" s="97">
        <v>0</v>
      </c>
      <c r="L14" s="97">
        <v>0</v>
      </c>
      <c r="M14" s="97">
        <v>0</v>
      </c>
      <c r="N14" s="97">
        <v>0</v>
      </c>
      <c r="O14" s="97">
        <v>0</v>
      </c>
      <c r="P14" s="97">
        <v>0</v>
      </c>
      <c r="Q14" s="97">
        <v>0</v>
      </c>
      <c r="R14" s="97">
        <v>0</v>
      </c>
      <c r="S14" s="97">
        <v>0</v>
      </c>
      <c r="T14" s="97">
        <v>0</v>
      </c>
      <c r="U14" s="97">
        <v>0</v>
      </c>
      <c r="V14" s="97">
        <v>0</v>
      </c>
      <c r="W14" s="97">
        <v>0</v>
      </c>
      <c r="X14" s="97">
        <v>0</v>
      </c>
      <c r="Y14" s="97">
        <v>0</v>
      </c>
      <c r="Z14" s="97">
        <v>0</v>
      </c>
      <c r="AA14" s="97">
        <v>0</v>
      </c>
      <c r="AB14" s="97">
        <v>0</v>
      </c>
      <c r="AC14" s="97">
        <v>0</v>
      </c>
      <c r="AD14" s="97">
        <v>0</v>
      </c>
      <c r="AE14" s="97">
        <v>0</v>
      </c>
      <c r="AF14" s="97">
        <v>0</v>
      </c>
      <c r="AG14" s="97">
        <v>0</v>
      </c>
      <c r="AH14" s="97">
        <v>0</v>
      </c>
      <c r="AI14" s="97">
        <v>0</v>
      </c>
      <c r="AJ14" s="97">
        <v>0</v>
      </c>
      <c r="AK14" s="97">
        <v>0</v>
      </c>
      <c r="AL14" s="97">
        <v>0</v>
      </c>
      <c r="AM14" s="97">
        <v>0</v>
      </c>
      <c r="AN14" s="97">
        <v>0</v>
      </c>
      <c r="AO14" s="97">
        <v>0</v>
      </c>
      <c r="AP14" s="97">
        <v>0</v>
      </c>
      <c r="AQ14" s="97">
        <v>0</v>
      </c>
      <c r="AR14" s="97">
        <v>0</v>
      </c>
      <c r="AS14" s="97">
        <v>0</v>
      </c>
      <c r="AT14" s="97">
        <v>0</v>
      </c>
      <c r="AU14" s="97">
        <v>0</v>
      </c>
      <c r="AV14" s="97">
        <v>0</v>
      </c>
      <c r="AW14" s="97">
        <v>0</v>
      </c>
      <c r="AX14" s="97">
        <v>0</v>
      </c>
      <c r="AY14" s="97">
        <v>0</v>
      </c>
      <c r="AZ14" s="97">
        <v>0</v>
      </c>
      <c r="BA14" s="97">
        <v>0</v>
      </c>
      <c r="BB14" s="97">
        <v>0</v>
      </c>
      <c r="BC14" s="97">
        <v>0</v>
      </c>
      <c r="BD14" s="97">
        <v>0</v>
      </c>
      <c r="BE14" s="97">
        <v>0</v>
      </c>
      <c r="BF14" s="97">
        <v>0</v>
      </c>
      <c r="BG14" s="97">
        <v>0</v>
      </c>
      <c r="BH14" s="97">
        <v>0</v>
      </c>
      <c r="BI14" s="97">
        <v>0</v>
      </c>
      <c r="BJ14" s="97">
        <v>0</v>
      </c>
      <c r="BK14" s="97">
        <v>0</v>
      </c>
      <c r="BL14" s="97">
        <v>0</v>
      </c>
      <c r="BM14" s="97">
        <v>0</v>
      </c>
      <c r="BN14" s="97">
        <v>0</v>
      </c>
      <c r="BO14" s="97">
        <v>0</v>
      </c>
      <c r="BP14" s="97">
        <v>0</v>
      </c>
      <c r="BQ14" s="97">
        <v>0</v>
      </c>
      <c r="BR14" s="97">
        <v>0</v>
      </c>
      <c r="BS14" s="97">
        <v>0</v>
      </c>
      <c r="BT14" s="97">
        <v>0</v>
      </c>
      <c r="BU14" s="97">
        <v>0</v>
      </c>
      <c r="BV14" s="97">
        <v>0</v>
      </c>
      <c r="BW14" s="97">
        <v>0</v>
      </c>
      <c r="BX14" s="97">
        <v>0</v>
      </c>
      <c r="BY14" s="97">
        <v>0</v>
      </c>
      <c r="BZ14" s="97">
        <v>0</v>
      </c>
      <c r="CA14" s="97">
        <v>0</v>
      </c>
      <c r="CB14" s="97">
        <v>0</v>
      </c>
      <c r="CC14" s="97">
        <v>0</v>
      </c>
      <c r="CD14" s="97">
        <v>0</v>
      </c>
      <c r="CE14" s="97">
        <v>0</v>
      </c>
      <c r="CF14" s="97">
        <v>0</v>
      </c>
      <c r="CG14" s="97">
        <v>0</v>
      </c>
      <c r="CH14" s="97">
        <v>0</v>
      </c>
      <c r="CI14" s="97">
        <v>0</v>
      </c>
      <c r="CJ14" s="97">
        <v>0</v>
      </c>
      <c r="CK14" s="97">
        <v>0</v>
      </c>
      <c r="CL14" s="97">
        <v>0</v>
      </c>
      <c r="CM14" s="97">
        <v>0</v>
      </c>
      <c r="CN14" s="97">
        <v>0</v>
      </c>
      <c r="CO14" s="97">
        <v>0</v>
      </c>
      <c r="CP14" s="97">
        <v>0</v>
      </c>
      <c r="CQ14" s="97">
        <v>0</v>
      </c>
      <c r="CR14" s="97">
        <v>0</v>
      </c>
      <c r="CS14" s="97">
        <v>0</v>
      </c>
      <c r="CT14" s="97">
        <v>0</v>
      </c>
      <c r="CU14" s="97">
        <v>0</v>
      </c>
    </row>
    <row r="15" spans="1:99" x14ac:dyDescent="0.15">
      <c r="C15" s="96" t="s">
        <v>180</v>
      </c>
      <c r="D15" s="97">
        <v>0</v>
      </c>
      <c r="E15" s="97">
        <v>0</v>
      </c>
      <c r="F15" s="97">
        <v>0</v>
      </c>
      <c r="G15" s="97">
        <v>0</v>
      </c>
      <c r="H15" s="97">
        <v>0</v>
      </c>
      <c r="I15" s="97">
        <v>0</v>
      </c>
      <c r="J15" s="97">
        <v>0</v>
      </c>
      <c r="K15" s="97">
        <v>0</v>
      </c>
      <c r="L15" s="97">
        <v>0</v>
      </c>
      <c r="M15" s="97">
        <v>0</v>
      </c>
      <c r="N15" s="97">
        <v>0</v>
      </c>
      <c r="O15" s="97">
        <v>0</v>
      </c>
      <c r="P15" s="97">
        <v>0</v>
      </c>
      <c r="Q15" s="97">
        <v>0</v>
      </c>
      <c r="R15" s="97">
        <v>0</v>
      </c>
      <c r="S15" s="97">
        <v>0</v>
      </c>
      <c r="T15" s="97">
        <v>0</v>
      </c>
      <c r="U15" s="97">
        <v>0</v>
      </c>
      <c r="V15" s="97">
        <v>0</v>
      </c>
      <c r="W15" s="97">
        <v>0</v>
      </c>
      <c r="X15" s="97">
        <v>0</v>
      </c>
      <c r="Y15" s="97">
        <v>0</v>
      </c>
      <c r="Z15" s="97">
        <v>0</v>
      </c>
      <c r="AA15" s="97">
        <v>0</v>
      </c>
      <c r="AB15" s="97">
        <v>0</v>
      </c>
      <c r="AC15" s="97">
        <v>0</v>
      </c>
      <c r="AD15" s="97">
        <v>0</v>
      </c>
      <c r="AE15" s="97">
        <v>0</v>
      </c>
      <c r="AF15" s="97">
        <v>0</v>
      </c>
      <c r="AG15" s="97">
        <v>0</v>
      </c>
      <c r="AH15" s="97">
        <v>0</v>
      </c>
      <c r="AI15" s="97">
        <v>0</v>
      </c>
      <c r="AJ15" s="97">
        <v>0</v>
      </c>
      <c r="AK15" s="97">
        <v>0</v>
      </c>
      <c r="AL15" s="97">
        <v>0</v>
      </c>
      <c r="AM15" s="97">
        <v>0</v>
      </c>
      <c r="AN15" s="97">
        <v>0</v>
      </c>
      <c r="AO15" s="97">
        <v>0</v>
      </c>
      <c r="AP15" s="97">
        <v>0</v>
      </c>
      <c r="AQ15" s="97">
        <v>0</v>
      </c>
      <c r="AR15" s="97">
        <v>0</v>
      </c>
      <c r="AS15" s="97">
        <v>0</v>
      </c>
      <c r="AT15" s="97">
        <v>0</v>
      </c>
      <c r="AU15" s="97">
        <v>0</v>
      </c>
      <c r="AV15" s="97">
        <v>0</v>
      </c>
      <c r="AW15" s="97">
        <v>0</v>
      </c>
      <c r="AX15" s="97">
        <v>0</v>
      </c>
      <c r="AY15" s="97">
        <v>0</v>
      </c>
      <c r="AZ15" s="97">
        <v>0</v>
      </c>
      <c r="BA15" s="97">
        <v>0</v>
      </c>
      <c r="BB15" s="97">
        <v>0</v>
      </c>
      <c r="BC15" s="97">
        <v>0</v>
      </c>
      <c r="BD15" s="97">
        <v>0</v>
      </c>
      <c r="BE15" s="97">
        <v>0</v>
      </c>
      <c r="BF15" s="97">
        <v>0</v>
      </c>
      <c r="BG15" s="97">
        <v>0</v>
      </c>
      <c r="BH15" s="97">
        <v>0</v>
      </c>
      <c r="BI15" s="97">
        <v>0</v>
      </c>
      <c r="BJ15" s="97">
        <v>0</v>
      </c>
      <c r="BK15" s="97">
        <v>0</v>
      </c>
      <c r="BL15" s="97">
        <v>0</v>
      </c>
      <c r="BM15" s="97">
        <v>0</v>
      </c>
      <c r="BN15" s="97">
        <v>0</v>
      </c>
      <c r="BO15" s="97">
        <v>0</v>
      </c>
      <c r="BP15" s="97">
        <v>0</v>
      </c>
      <c r="BQ15" s="97">
        <v>0</v>
      </c>
      <c r="BR15" s="97">
        <v>0</v>
      </c>
      <c r="BS15" s="97">
        <v>0</v>
      </c>
      <c r="BT15" s="97">
        <v>0</v>
      </c>
      <c r="BU15" s="97">
        <v>0</v>
      </c>
      <c r="BV15" s="97">
        <v>0</v>
      </c>
      <c r="BW15" s="97">
        <v>0</v>
      </c>
      <c r="BX15" s="97">
        <v>0</v>
      </c>
      <c r="BY15" s="97">
        <v>0</v>
      </c>
      <c r="BZ15" s="97">
        <v>0</v>
      </c>
      <c r="CA15" s="97">
        <v>0</v>
      </c>
      <c r="CB15" s="97">
        <v>0</v>
      </c>
      <c r="CC15" s="97">
        <v>0</v>
      </c>
      <c r="CD15" s="97">
        <v>0</v>
      </c>
      <c r="CE15" s="97">
        <v>0</v>
      </c>
      <c r="CF15" s="97">
        <v>0</v>
      </c>
      <c r="CG15" s="97">
        <v>0</v>
      </c>
      <c r="CH15" s="97">
        <v>0</v>
      </c>
      <c r="CI15" s="97">
        <v>0</v>
      </c>
      <c r="CJ15" s="97">
        <v>0</v>
      </c>
      <c r="CK15" s="97">
        <v>0</v>
      </c>
      <c r="CL15" s="97">
        <v>0</v>
      </c>
      <c r="CM15" s="97">
        <v>0</v>
      </c>
      <c r="CN15" s="97">
        <v>0</v>
      </c>
      <c r="CO15" s="97">
        <v>0</v>
      </c>
      <c r="CP15" s="97">
        <v>0</v>
      </c>
      <c r="CQ15" s="97">
        <v>0</v>
      </c>
      <c r="CR15" s="97">
        <v>0</v>
      </c>
      <c r="CS15" s="97">
        <v>0</v>
      </c>
      <c r="CT15" s="97">
        <v>0</v>
      </c>
      <c r="CU15" s="97">
        <v>0</v>
      </c>
    </row>
    <row r="16" spans="1:99" x14ac:dyDescent="0.15">
      <c r="C16" s="96" t="s">
        <v>181</v>
      </c>
      <c r="D16" s="97">
        <v>0</v>
      </c>
      <c r="E16" s="97">
        <v>0</v>
      </c>
      <c r="F16" s="97">
        <v>0</v>
      </c>
      <c r="G16" s="97">
        <v>0</v>
      </c>
      <c r="H16" s="97">
        <v>0</v>
      </c>
      <c r="I16" s="97">
        <v>0</v>
      </c>
      <c r="J16" s="97">
        <v>0</v>
      </c>
      <c r="K16" s="97">
        <v>0</v>
      </c>
      <c r="L16" s="97">
        <v>0</v>
      </c>
      <c r="M16" s="97">
        <v>0</v>
      </c>
      <c r="N16" s="97">
        <v>0</v>
      </c>
      <c r="O16" s="97">
        <v>0</v>
      </c>
      <c r="P16" s="97">
        <v>0</v>
      </c>
      <c r="Q16" s="97">
        <v>0</v>
      </c>
      <c r="R16" s="97">
        <v>0</v>
      </c>
      <c r="S16" s="97">
        <v>0</v>
      </c>
      <c r="T16" s="97">
        <v>0</v>
      </c>
      <c r="U16" s="97">
        <v>0</v>
      </c>
      <c r="V16" s="97">
        <v>0</v>
      </c>
      <c r="W16" s="97">
        <v>0</v>
      </c>
      <c r="X16" s="97">
        <v>0</v>
      </c>
      <c r="Y16" s="97">
        <v>0</v>
      </c>
      <c r="Z16" s="97">
        <v>0</v>
      </c>
      <c r="AA16" s="97">
        <v>0</v>
      </c>
      <c r="AB16" s="97">
        <v>0</v>
      </c>
      <c r="AC16" s="97">
        <v>0</v>
      </c>
      <c r="AD16" s="97">
        <v>0</v>
      </c>
      <c r="AE16" s="97">
        <v>0</v>
      </c>
      <c r="AF16" s="97">
        <v>0</v>
      </c>
      <c r="AG16" s="97">
        <v>0</v>
      </c>
      <c r="AH16" s="97">
        <v>0</v>
      </c>
      <c r="AI16" s="97">
        <v>0</v>
      </c>
      <c r="AJ16" s="97">
        <v>0</v>
      </c>
      <c r="AK16" s="97">
        <v>0</v>
      </c>
      <c r="AL16" s="97">
        <v>0</v>
      </c>
      <c r="AM16" s="97">
        <v>0</v>
      </c>
      <c r="AN16" s="97">
        <v>0</v>
      </c>
      <c r="AO16" s="97">
        <v>0</v>
      </c>
      <c r="AP16" s="97">
        <v>0</v>
      </c>
      <c r="AQ16" s="97">
        <v>0</v>
      </c>
      <c r="AR16" s="97">
        <v>0</v>
      </c>
      <c r="AS16" s="97">
        <v>0</v>
      </c>
      <c r="AT16" s="97">
        <v>0</v>
      </c>
      <c r="AU16" s="97">
        <v>0</v>
      </c>
      <c r="AV16" s="97">
        <v>0</v>
      </c>
      <c r="AW16" s="97">
        <v>0</v>
      </c>
      <c r="AX16" s="97">
        <v>0</v>
      </c>
      <c r="AY16" s="97">
        <v>0</v>
      </c>
      <c r="AZ16" s="97">
        <v>0</v>
      </c>
      <c r="BA16" s="97">
        <v>0</v>
      </c>
      <c r="BB16" s="97">
        <v>0</v>
      </c>
      <c r="BC16" s="97">
        <v>0</v>
      </c>
      <c r="BD16" s="97">
        <v>0</v>
      </c>
      <c r="BE16" s="97">
        <v>0</v>
      </c>
      <c r="BF16" s="97">
        <v>0</v>
      </c>
      <c r="BG16" s="97">
        <v>0</v>
      </c>
      <c r="BH16" s="97">
        <v>0</v>
      </c>
      <c r="BI16" s="97">
        <v>0</v>
      </c>
      <c r="BJ16" s="97">
        <v>0</v>
      </c>
      <c r="BK16" s="97">
        <v>0</v>
      </c>
      <c r="BL16" s="97">
        <v>0</v>
      </c>
      <c r="BM16" s="97">
        <v>0</v>
      </c>
      <c r="BN16" s="97">
        <v>0</v>
      </c>
      <c r="BO16" s="97">
        <v>0</v>
      </c>
      <c r="BP16" s="97">
        <v>0</v>
      </c>
      <c r="BQ16" s="97">
        <v>0</v>
      </c>
      <c r="BR16" s="97">
        <v>0</v>
      </c>
      <c r="BS16" s="97">
        <v>0</v>
      </c>
      <c r="BT16" s="97">
        <v>0</v>
      </c>
      <c r="BU16" s="97">
        <v>0</v>
      </c>
      <c r="BV16" s="97">
        <v>0</v>
      </c>
      <c r="BW16" s="97">
        <v>0</v>
      </c>
      <c r="BX16" s="97">
        <v>0</v>
      </c>
      <c r="BY16" s="97">
        <v>0</v>
      </c>
      <c r="BZ16" s="97">
        <v>0</v>
      </c>
      <c r="CA16" s="97">
        <v>0</v>
      </c>
      <c r="CB16" s="97">
        <v>0</v>
      </c>
      <c r="CC16" s="97">
        <v>0</v>
      </c>
      <c r="CD16" s="97">
        <v>0</v>
      </c>
      <c r="CE16" s="97">
        <v>0</v>
      </c>
      <c r="CF16" s="97">
        <v>0</v>
      </c>
      <c r="CG16" s="97">
        <v>0</v>
      </c>
      <c r="CH16" s="97">
        <v>0</v>
      </c>
      <c r="CI16" s="97">
        <v>0</v>
      </c>
      <c r="CJ16" s="97">
        <v>0</v>
      </c>
      <c r="CK16" s="97">
        <v>0</v>
      </c>
      <c r="CL16" s="97">
        <v>0</v>
      </c>
      <c r="CM16" s="97">
        <v>0</v>
      </c>
      <c r="CN16" s="97">
        <v>0</v>
      </c>
      <c r="CO16" s="97">
        <v>0</v>
      </c>
      <c r="CP16" s="97">
        <v>0</v>
      </c>
      <c r="CQ16" s="97">
        <v>0</v>
      </c>
      <c r="CR16" s="97">
        <v>0</v>
      </c>
      <c r="CS16" s="97">
        <v>0</v>
      </c>
      <c r="CT16" s="97">
        <v>0</v>
      </c>
      <c r="CU16" s="97">
        <v>0</v>
      </c>
    </row>
    <row r="17" spans="2:99" x14ac:dyDescent="0.15">
      <c r="C17" s="96" t="s">
        <v>182</v>
      </c>
      <c r="D17" s="97">
        <v>0</v>
      </c>
      <c r="E17" s="97">
        <v>0</v>
      </c>
      <c r="F17" s="97">
        <v>0</v>
      </c>
      <c r="G17" s="97">
        <v>0</v>
      </c>
      <c r="H17" s="97">
        <v>0</v>
      </c>
      <c r="I17" s="97">
        <v>0</v>
      </c>
      <c r="J17" s="97">
        <v>0</v>
      </c>
      <c r="K17" s="97">
        <v>0</v>
      </c>
      <c r="L17" s="97">
        <v>0</v>
      </c>
      <c r="M17" s="97">
        <v>0</v>
      </c>
      <c r="N17" s="97">
        <v>0</v>
      </c>
      <c r="O17" s="97">
        <v>0</v>
      </c>
      <c r="P17" s="97">
        <v>0</v>
      </c>
      <c r="Q17" s="97">
        <v>0</v>
      </c>
      <c r="R17" s="97">
        <v>0</v>
      </c>
      <c r="S17" s="97">
        <v>0</v>
      </c>
      <c r="T17" s="97">
        <v>0</v>
      </c>
      <c r="U17" s="97">
        <v>0</v>
      </c>
      <c r="V17" s="97">
        <v>0</v>
      </c>
      <c r="W17" s="97">
        <v>0</v>
      </c>
      <c r="X17" s="97">
        <v>0</v>
      </c>
      <c r="Y17" s="97">
        <v>0</v>
      </c>
      <c r="Z17" s="97">
        <v>0</v>
      </c>
      <c r="AA17" s="97">
        <v>0</v>
      </c>
      <c r="AB17" s="97">
        <v>0</v>
      </c>
      <c r="AC17" s="97">
        <v>0</v>
      </c>
      <c r="AD17" s="97">
        <v>0</v>
      </c>
      <c r="AE17" s="97">
        <v>0</v>
      </c>
      <c r="AF17" s="97">
        <v>0</v>
      </c>
      <c r="AG17" s="97">
        <v>0</v>
      </c>
      <c r="AH17" s="97">
        <v>0</v>
      </c>
      <c r="AI17" s="97">
        <v>0</v>
      </c>
      <c r="AJ17" s="97">
        <v>0</v>
      </c>
      <c r="AK17" s="97">
        <v>0</v>
      </c>
      <c r="AL17" s="97">
        <v>0</v>
      </c>
      <c r="AM17" s="97">
        <v>0</v>
      </c>
      <c r="AN17" s="97">
        <v>0</v>
      </c>
      <c r="AO17" s="97">
        <v>0</v>
      </c>
      <c r="AP17" s="97">
        <v>0</v>
      </c>
      <c r="AQ17" s="97">
        <v>0</v>
      </c>
      <c r="AR17" s="97">
        <v>0</v>
      </c>
      <c r="AS17" s="97">
        <v>0</v>
      </c>
      <c r="AT17" s="97">
        <v>0</v>
      </c>
      <c r="AU17" s="97">
        <v>0</v>
      </c>
      <c r="AV17" s="97">
        <v>0</v>
      </c>
      <c r="AW17" s="97">
        <v>0</v>
      </c>
      <c r="AX17" s="97">
        <v>0</v>
      </c>
      <c r="AY17" s="97">
        <v>0</v>
      </c>
      <c r="AZ17" s="97">
        <v>0</v>
      </c>
      <c r="BA17" s="97">
        <v>0</v>
      </c>
      <c r="BB17" s="97">
        <v>0</v>
      </c>
      <c r="BC17" s="97">
        <v>0</v>
      </c>
      <c r="BD17" s="97">
        <v>0</v>
      </c>
      <c r="BE17" s="97">
        <v>0</v>
      </c>
      <c r="BF17" s="97">
        <v>0</v>
      </c>
      <c r="BG17" s="97">
        <v>0</v>
      </c>
      <c r="BH17" s="97">
        <v>0</v>
      </c>
      <c r="BI17" s="97">
        <v>0</v>
      </c>
      <c r="BJ17" s="97">
        <v>0</v>
      </c>
      <c r="BK17" s="97">
        <v>0</v>
      </c>
      <c r="BL17" s="97">
        <v>0</v>
      </c>
      <c r="BM17" s="97">
        <v>0</v>
      </c>
      <c r="BN17" s="97">
        <v>0</v>
      </c>
      <c r="BO17" s="97">
        <v>0</v>
      </c>
      <c r="BP17" s="97">
        <v>0</v>
      </c>
      <c r="BQ17" s="97">
        <v>0</v>
      </c>
      <c r="BR17" s="97">
        <v>0</v>
      </c>
      <c r="BS17" s="97">
        <v>0</v>
      </c>
      <c r="BT17" s="97">
        <v>0</v>
      </c>
      <c r="BU17" s="97">
        <v>0</v>
      </c>
      <c r="BV17" s="97">
        <v>0</v>
      </c>
      <c r="BW17" s="97">
        <v>0</v>
      </c>
      <c r="BX17" s="97">
        <v>0</v>
      </c>
      <c r="BY17" s="97">
        <v>0</v>
      </c>
      <c r="BZ17" s="97">
        <v>0</v>
      </c>
      <c r="CA17" s="97">
        <v>0</v>
      </c>
      <c r="CB17" s="97">
        <v>0</v>
      </c>
      <c r="CC17" s="97">
        <v>0</v>
      </c>
      <c r="CD17" s="97">
        <v>0</v>
      </c>
      <c r="CE17" s="97">
        <v>0</v>
      </c>
      <c r="CF17" s="97">
        <v>0</v>
      </c>
      <c r="CG17" s="97">
        <v>0</v>
      </c>
      <c r="CH17" s="97">
        <v>0</v>
      </c>
      <c r="CI17" s="97">
        <v>0</v>
      </c>
      <c r="CJ17" s="97">
        <v>0</v>
      </c>
      <c r="CK17" s="97">
        <v>0</v>
      </c>
      <c r="CL17" s="97">
        <v>0</v>
      </c>
      <c r="CM17" s="97">
        <v>0</v>
      </c>
      <c r="CN17" s="97">
        <v>0</v>
      </c>
      <c r="CO17" s="97">
        <v>0</v>
      </c>
      <c r="CP17" s="97">
        <v>0</v>
      </c>
      <c r="CQ17" s="97">
        <v>0</v>
      </c>
      <c r="CR17" s="97">
        <v>0</v>
      </c>
      <c r="CS17" s="97">
        <v>0</v>
      </c>
      <c r="CT17" s="97">
        <v>0</v>
      </c>
      <c r="CU17" s="97">
        <v>0</v>
      </c>
    </row>
    <row r="18" spans="2:99" x14ac:dyDescent="0.15">
      <c r="C18" s="96" t="s">
        <v>183</v>
      </c>
      <c r="D18" s="97">
        <v>0</v>
      </c>
      <c r="E18" s="97">
        <v>0</v>
      </c>
      <c r="F18" s="97">
        <v>0</v>
      </c>
      <c r="G18" s="97">
        <v>0</v>
      </c>
      <c r="H18" s="97">
        <v>0</v>
      </c>
      <c r="I18" s="97">
        <v>0</v>
      </c>
      <c r="J18" s="97">
        <v>0</v>
      </c>
      <c r="K18" s="97">
        <v>0</v>
      </c>
      <c r="L18" s="97">
        <v>0</v>
      </c>
      <c r="M18" s="97">
        <v>0</v>
      </c>
      <c r="N18" s="97">
        <v>0</v>
      </c>
      <c r="O18" s="97">
        <v>0</v>
      </c>
      <c r="P18" s="97">
        <v>0</v>
      </c>
      <c r="Q18" s="97">
        <v>0</v>
      </c>
      <c r="R18" s="97">
        <v>0</v>
      </c>
      <c r="S18" s="97">
        <v>0</v>
      </c>
      <c r="T18" s="97">
        <v>0</v>
      </c>
      <c r="U18" s="97">
        <v>0</v>
      </c>
      <c r="V18" s="97">
        <v>0</v>
      </c>
      <c r="W18" s="97">
        <v>0</v>
      </c>
      <c r="X18" s="97">
        <v>0</v>
      </c>
      <c r="Y18" s="97">
        <v>0</v>
      </c>
      <c r="Z18" s="97">
        <v>0</v>
      </c>
      <c r="AA18" s="97">
        <v>0</v>
      </c>
      <c r="AB18" s="97">
        <v>0</v>
      </c>
      <c r="AC18" s="97">
        <v>0</v>
      </c>
      <c r="AD18" s="97">
        <v>0</v>
      </c>
      <c r="AE18" s="97">
        <v>0</v>
      </c>
      <c r="AF18" s="97">
        <v>0</v>
      </c>
      <c r="AG18" s="97">
        <v>0</v>
      </c>
      <c r="AH18" s="97">
        <v>0</v>
      </c>
      <c r="AI18" s="97">
        <v>0</v>
      </c>
      <c r="AJ18" s="97">
        <v>0</v>
      </c>
      <c r="AK18" s="97">
        <v>0</v>
      </c>
      <c r="AL18" s="97">
        <v>0</v>
      </c>
      <c r="AM18" s="97">
        <v>0</v>
      </c>
      <c r="AN18" s="97">
        <v>0</v>
      </c>
      <c r="AO18" s="97">
        <v>0</v>
      </c>
      <c r="AP18" s="97">
        <v>0</v>
      </c>
      <c r="AQ18" s="97">
        <v>0</v>
      </c>
      <c r="AR18" s="97">
        <v>0</v>
      </c>
      <c r="AS18" s="97">
        <v>0</v>
      </c>
      <c r="AT18" s="97">
        <v>0</v>
      </c>
      <c r="AU18" s="97">
        <v>0</v>
      </c>
      <c r="AV18" s="97">
        <v>0</v>
      </c>
      <c r="AW18" s="97">
        <v>0</v>
      </c>
      <c r="AX18" s="97">
        <v>0</v>
      </c>
      <c r="AY18" s="97">
        <v>0</v>
      </c>
      <c r="AZ18" s="97">
        <v>0</v>
      </c>
      <c r="BA18" s="97">
        <v>0</v>
      </c>
      <c r="BB18" s="97">
        <v>0</v>
      </c>
      <c r="BC18" s="97">
        <v>0</v>
      </c>
      <c r="BD18" s="97">
        <v>0</v>
      </c>
      <c r="BE18" s="97">
        <v>0</v>
      </c>
      <c r="BF18" s="97">
        <v>0</v>
      </c>
      <c r="BG18" s="97">
        <v>0</v>
      </c>
      <c r="BH18" s="97">
        <v>0</v>
      </c>
      <c r="BI18" s="97">
        <v>0</v>
      </c>
      <c r="BJ18" s="97">
        <v>0</v>
      </c>
      <c r="BK18" s="97">
        <v>0</v>
      </c>
      <c r="BL18" s="97">
        <v>0</v>
      </c>
      <c r="BM18" s="97">
        <v>0</v>
      </c>
      <c r="BN18" s="97">
        <v>0</v>
      </c>
      <c r="BO18" s="97">
        <v>0</v>
      </c>
      <c r="BP18" s="97">
        <v>0</v>
      </c>
      <c r="BQ18" s="97">
        <v>0</v>
      </c>
      <c r="BR18" s="97">
        <v>0</v>
      </c>
      <c r="BS18" s="97">
        <v>0</v>
      </c>
      <c r="BT18" s="97">
        <v>0</v>
      </c>
      <c r="BU18" s="97">
        <v>0</v>
      </c>
      <c r="BV18" s="97">
        <v>0</v>
      </c>
      <c r="BW18" s="97">
        <v>0</v>
      </c>
      <c r="BX18" s="97">
        <v>0</v>
      </c>
      <c r="BY18" s="97">
        <v>0</v>
      </c>
      <c r="BZ18" s="97">
        <v>0</v>
      </c>
      <c r="CA18" s="97">
        <v>0</v>
      </c>
      <c r="CB18" s="97">
        <v>0</v>
      </c>
      <c r="CC18" s="97">
        <v>0</v>
      </c>
      <c r="CD18" s="97">
        <v>0</v>
      </c>
      <c r="CE18" s="97">
        <v>0</v>
      </c>
      <c r="CF18" s="97">
        <v>0</v>
      </c>
      <c r="CG18" s="97">
        <v>0</v>
      </c>
      <c r="CH18" s="97">
        <v>0</v>
      </c>
      <c r="CI18" s="97">
        <v>0</v>
      </c>
      <c r="CJ18" s="97">
        <v>0</v>
      </c>
      <c r="CK18" s="97">
        <v>0</v>
      </c>
      <c r="CL18" s="97">
        <v>0</v>
      </c>
      <c r="CM18" s="97">
        <v>0</v>
      </c>
      <c r="CN18" s="97">
        <v>0</v>
      </c>
      <c r="CO18" s="97">
        <v>0</v>
      </c>
      <c r="CP18" s="97">
        <v>0</v>
      </c>
      <c r="CQ18" s="97">
        <v>0</v>
      </c>
      <c r="CR18" s="97">
        <v>0</v>
      </c>
      <c r="CS18" s="97">
        <v>0</v>
      </c>
      <c r="CT18" s="97">
        <v>0</v>
      </c>
      <c r="CU18" s="97">
        <v>0</v>
      </c>
    </row>
    <row r="19" spans="2:99" x14ac:dyDescent="0.15">
      <c r="C19" s="96" t="s">
        <v>184</v>
      </c>
      <c r="D19" s="97">
        <v>0</v>
      </c>
      <c r="E19" s="97">
        <v>0</v>
      </c>
      <c r="F19" s="97">
        <v>0</v>
      </c>
      <c r="G19" s="97">
        <v>0</v>
      </c>
      <c r="H19" s="97">
        <v>0</v>
      </c>
      <c r="I19" s="97">
        <v>0</v>
      </c>
      <c r="J19" s="97">
        <v>0</v>
      </c>
      <c r="K19" s="97">
        <v>0</v>
      </c>
      <c r="L19" s="97">
        <v>0</v>
      </c>
      <c r="M19" s="97">
        <v>0</v>
      </c>
      <c r="N19" s="97">
        <v>0</v>
      </c>
      <c r="O19" s="97">
        <v>0</v>
      </c>
      <c r="P19" s="97">
        <v>0</v>
      </c>
      <c r="Q19" s="97">
        <v>0</v>
      </c>
      <c r="R19" s="97">
        <v>0</v>
      </c>
      <c r="S19" s="97">
        <v>0</v>
      </c>
      <c r="T19" s="97">
        <v>0</v>
      </c>
      <c r="U19" s="97">
        <v>0</v>
      </c>
      <c r="V19" s="97">
        <v>0</v>
      </c>
      <c r="W19" s="97">
        <v>0</v>
      </c>
      <c r="X19" s="97">
        <v>0</v>
      </c>
      <c r="Y19" s="97">
        <v>0</v>
      </c>
      <c r="Z19" s="97">
        <v>0</v>
      </c>
      <c r="AA19" s="97">
        <v>0</v>
      </c>
      <c r="AB19" s="97">
        <v>0</v>
      </c>
      <c r="AC19" s="97">
        <v>0</v>
      </c>
      <c r="AD19" s="97">
        <v>0</v>
      </c>
      <c r="AE19" s="97">
        <v>0</v>
      </c>
      <c r="AF19" s="97">
        <v>0</v>
      </c>
      <c r="AG19" s="97">
        <v>0</v>
      </c>
      <c r="AH19" s="97">
        <v>0</v>
      </c>
      <c r="AI19" s="97">
        <v>0</v>
      </c>
      <c r="AJ19" s="97">
        <v>0</v>
      </c>
      <c r="AK19" s="97">
        <v>0</v>
      </c>
      <c r="AL19" s="97">
        <v>0</v>
      </c>
      <c r="AM19" s="97">
        <v>0</v>
      </c>
      <c r="AN19" s="97">
        <v>0</v>
      </c>
      <c r="AO19" s="97">
        <v>0</v>
      </c>
      <c r="AP19" s="97">
        <v>0</v>
      </c>
      <c r="AQ19" s="97">
        <v>0</v>
      </c>
      <c r="AR19" s="97">
        <v>0</v>
      </c>
      <c r="AS19" s="97">
        <v>0</v>
      </c>
      <c r="AT19" s="97">
        <v>0</v>
      </c>
      <c r="AU19" s="97">
        <v>0</v>
      </c>
      <c r="AV19" s="97">
        <v>0</v>
      </c>
      <c r="AW19" s="97">
        <v>0</v>
      </c>
      <c r="AX19" s="97">
        <v>0</v>
      </c>
      <c r="AY19" s="97">
        <v>0</v>
      </c>
      <c r="AZ19" s="97">
        <v>0</v>
      </c>
      <c r="BA19" s="97">
        <v>0</v>
      </c>
      <c r="BB19" s="97">
        <v>0</v>
      </c>
      <c r="BC19" s="97">
        <v>0</v>
      </c>
      <c r="BD19" s="97">
        <v>0</v>
      </c>
      <c r="BE19" s="97">
        <v>0</v>
      </c>
      <c r="BF19" s="97">
        <v>0</v>
      </c>
      <c r="BG19" s="97">
        <v>0</v>
      </c>
      <c r="BH19" s="97">
        <v>0</v>
      </c>
      <c r="BI19" s="97">
        <v>0</v>
      </c>
      <c r="BJ19" s="97">
        <v>0</v>
      </c>
      <c r="BK19" s="97">
        <v>0</v>
      </c>
      <c r="BL19" s="97">
        <v>0</v>
      </c>
      <c r="BM19" s="97">
        <v>0</v>
      </c>
      <c r="BN19" s="97">
        <v>0</v>
      </c>
      <c r="BO19" s="97">
        <v>0</v>
      </c>
      <c r="BP19" s="97">
        <v>0</v>
      </c>
      <c r="BQ19" s="97">
        <v>0</v>
      </c>
      <c r="BR19" s="97">
        <v>0</v>
      </c>
      <c r="BS19" s="97">
        <v>0</v>
      </c>
      <c r="BT19" s="97">
        <v>0</v>
      </c>
      <c r="BU19" s="97">
        <v>0</v>
      </c>
      <c r="BV19" s="97">
        <v>0</v>
      </c>
      <c r="BW19" s="97">
        <v>0</v>
      </c>
      <c r="BX19" s="97">
        <v>0</v>
      </c>
      <c r="BY19" s="97">
        <v>0</v>
      </c>
      <c r="BZ19" s="97">
        <v>0</v>
      </c>
      <c r="CA19" s="97">
        <v>0</v>
      </c>
      <c r="CB19" s="97">
        <v>0</v>
      </c>
      <c r="CC19" s="97">
        <v>0</v>
      </c>
      <c r="CD19" s="97">
        <v>0</v>
      </c>
      <c r="CE19" s="97">
        <v>0</v>
      </c>
      <c r="CF19" s="97">
        <v>0</v>
      </c>
      <c r="CG19" s="97">
        <v>0</v>
      </c>
      <c r="CH19" s="97">
        <v>0</v>
      </c>
      <c r="CI19" s="97">
        <v>0</v>
      </c>
      <c r="CJ19" s="97">
        <v>0</v>
      </c>
      <c r="CK19" s="97">
        <v>0</v>
      </c>
      <c r="CL19" s="97">
        <v>0</v>
      </c>
      <c r="CM19" s="97">
        <v>0</v>
      </c>
      <c r="CN19" s="97">
        <v>0</v>
      </c>
      <c r="CO19" s="97">
        <v>0</v>
      </c>
      <c r="CP19" s="97">
        <v>0</v>
      </c>
      <c r="CQ19" s="97">
        <v>0</v>
      </c>
      <c r="CR19" s="97">
        <v>0</v>
      </c>
      <c r="CS19" s="97">
        <v>0</v>
      </c>
      <c r="CT19" s="97">
        <v>0</v>
      </c>
      <c r="CU19" s="97">
        <v>0</v>
      </c>
    </row>
    <row r="20" spans="2:99" x14ac:dyDescent="0.15">
      <c r="B20" s="96" t="s">
        <v>127</v>
      </c>
      <c r="C20" s="96" t="s">
        <v>185</v>
      </c>
      <c r="D20" s="97">
        <v>0</v>
      </c>
      <c r="E20" s="97">
        <v>0</v>
      </c>
      <c r="F20" s="97">
        <v>0</v>
      </c>
      <c r="G20" s="97">
        <v>0</v>
      </c>
      <c r="H20" s="97">
        <v>0</v>
      </c>
      <c r="I20" s="97">
        <v>0</v>
      </c>
      <c r="J20" s="97">
        <v>0</v>
      </c>
      <c r="K20" s="97">
        <v>0</v>
      </c>
      <c r="L20" s="97">
        <v>0</v>
      </c>
      <c r="M20" s="97">
        <v>0</v>
      </c>
      <c r="N20" s="97">
        <v>0</v>
      </c>
      <c r="O20" s="97">
        <v>0</v>
      </c>
      <c r="P20" s="97">
        <v>0</v>
      </c>
      <c r="Q20" s="97">
        <v>0</v>
      </c>
      <c r="R20" s="97">
        <v>0</v>
      </c>
      <c r="S20" s="97">
        <v>0</v>
      </c>
      <c r="T20" s="97">
        <v>0</v>
      </c>
      <c r="U20" s="97">
        <v>0</v>
      </c>
      <c r="V20" s="97">
        <v>0</v>
      </c>
      <c r="W20" s="97">
        <v>0</v>
      </c>
      <c r="X20" s="97">
        <v>0</v>
      </c>
      <c r="Y20" s="97">
        <v>0</v>
      </c>
      <c r="Z20" s="97">
        <v>0</v>
      </c>
      <c r="AA20" s="97">
        <v>0</v>
      </c>
      <c r="AB20" s="97">
        <v>0</v>
      </c>
      <c r="AC20" s="97">
        <v>0</v>
      </c>
      <c r="AD20" s="97">
        <v>0</v>
      </c>
      <c r="AE20" s="97">
        <v>0</v>
      </c>
      <c r="AF20" s="97">
        <v>0</v>
      </c>
      <c r="AG20" s="97">
        <v>0</v>
      </c>
      <c r="AH20" s="97">
        <v>0</v>
      </c>
      <c r="AI20" s="97">
        <v>0</v>
      </c>
      <c r="AJ20" s="97">
        <v>0</v>
      </c>
      <c r="AK20" s="97">
        <v>0</v>
      </c>
      <c r="AL20" s="97">
        <v>0</v>
      </c>
      <c r="AM20" s="97">
        <v>0</v>
      </c>
      <c r="AN20" s="97">
        <v>0</v>
      </c>
      <c r="AO20" s="97">
        <v>0</v>
      </c>
      <c r="AP20" s="97">
        <v>0</v>
      </c>
      <c r="AQ20" s="97">
        <v>0</v>
      </c>
      <c r="AR20" s="97">
        <v>0</v>
      </c>
      <c r="AS20" s="97">
        <v>0</v>
      </c>
      <c r="AT20" s="97">
        <v>0</v>
      </c>
      <c r="AU20" s="97">
        <v>0</v>
      </c>
      <c r="AV20" s="97">
        <v>0</v>
      </c>
      <c r="AW20" s="97">
        <v>0</v>
      </c>
      <c r="AX20" s="97">
        <v>0</v>
      </c>
      <c r="AY20" s="97">
        <v>0</v>
      </c>
      <c r="AZ20" s="97">
        <v>0</v>
      </c>
      <c r="BA20" s="97">
        <v>0</v>
      </c>
      <c r="BB20" s="97">
        <v>0</v>
      </c>
      <c r="BC20" s="97">
        <v>0</v>
      </c>
      <c r="BD20" s="97">
        <v>0</v>
      </c>
      <c r="BE20" s="97">
        <v>0</v>
      </c>
      <c r="BF20" s="97">
        <v>0</v>
      </c>
      <c r="BG20" s="97">
        <v>0</v>
      </c>
      <c r="BH20" s="97">
        <v>0</v>
      </c>
      <c r="BI20" s="97">
        <v>0</v>
      </c>
      <c r="BJ20" s="97">
        <v>0</v>
      </c>
      <c r="BK20" s="97">
        <v>0</v>
      </c>
      <c r="BL20" s="97">
        <v>0</v>
      </c>
      <c r="BM20" s="97">
        <v>0</v>
      </c>
      <c r="BN20" s="97">
        <v>0</v>
      </c>
      <c r="BO20" s="97">
        <v>0</v>
      </c>
      <c r="BP20" s="97">
        <v>0</v>
      </c>
      <c r="BQ20" s="97">
        <v>0</v>
      </c>
      <c r="BR20" s="97">
        <v>0</v>
      </c>
      <c r="BS20" s="97">
        <v>0</v>
      </c>
      <c r="BT20" s="97">
        <v>0</v>
      </c>
      <c r="BU20" s="97">
        <v>0</v>
      </c>
      <c r="BV20" s="97">
        <v>0</v>
      </c>
      <c r="BW20" s="97">
        <v>0</v>
      </c>
      <c r="BX20" s="97">
        <v>0</v>
      </c>
      <c r="BY20" s="97">
        <v>0</v>
      </c>
      <c r="BZ20" s="97">
        <v>0</v>
      </c>
      <c r="CA20" s="97">
        <v>0</v>
      </c>
      <c r="CB20" s="97">
        <v>0</v>
      </c>
      <c r="CC20" s="97">
        <v>0</v>
      </c>
      <c r="CD20" s="97">
        <v>0</v>
      </c>
      <c r="CE20" s="97">
        <v>0</v>
      </c>
      <c r="CF20" s="97">
        <v>0</v>
      </c>
      <c r="CG20" s="97">
        <v>0</v>
      </c>
      <c r="CH20" s="97">
        <v>0</v>
      </c>
      <c r="CI20" s="97">
        <v>0</v>
      </c>
      <c r="CJ20" s="97">
        <v>0</v>
      </c>
      <c r="CK20" s="97">
        <v>0</v>
      </c>
      <c r="CL20" s="97">
        <v>0</v>
      </c>
      <c r="CM20" s="97">
        <v>0</v>
      </c>
      <c r="CN20" s="97">
        <v>0</v>
      </c>
      <c r="CO20" s="97">
        <v>0</v>
      </c>
      <c r="CP20" s="97">
        <v>0</v>
      </c>
      <c r="CQ20" s="97">
        <v>0</v>
      </c>
      <c r="CR20" s="97">
        <v>0</v>
      </c>
      <c r="CS20" s="97">
        <v>0</v>
      </c>
      <c r="CT20" s="97">
        <v>0</v>
      </c>
      <c r="CU20" s="97">
        <v>0</v>
      </c>
    </row>
    <row r="21" spans="2:99" x14ac:dyDescent="0.15">
      <c r="C21" s="96" t="s">
        <v>186</v>
      </c>
      <c r="D21" s="97">
        <v>0</v>
      </c>
      <c r="E21" s="97">
        <v>0</v>
      </c>
      <c r="F21" s="97">
        <v>0</v>
      </c>
      <c r="G21" s="97">
        <v>0</v>
      </c>
      <c r="H21" s="97">
        <v>0</v>
      </c>
      <c r="I21" s="97">
        <v>0</v>
      </c>
      <c r="J21" s="97">
        <v>0</v>
      </c>
      <c r="K21" s="97">
        <v>0</v>
      </c>
      <c r="L21" s="97">
        <v>0</v>
      </c>
      <c r="M21" s="97">
        <v>0</v>
      </c>
      <c r="N21" s="97">
        <v>0</v>
      </c>
      <c r="O21" s="97">
        <v>0</v>
      </c>
      <c r="P21" s="97">
        <v>0</v>
      </c>
      <c r="Q21" s="97">
        <v>0</v>
      </c>
      <c r="R21" s="97">
        <v>0</v>
      </c>
      <c r="S21" s="97">
        <v>0</v>
      </c>
      <c r="T21" s="97">
        <v>0</v>
      </c>
      <c r="U21" s="97">
        <v>0</v>
      </c>
      <c r="V21" s="97">
        <v>0</v>
      </c>
      <c r="W21" s="97">
        <v>0</v>
      </c>
      <c r="X21" s="97">
        <v>0</v>
      </c>
      <c r="Y21" s="97">
        <v>0</v>
      </c>
      <c r="Z21" s="97">
        <v>0</v>
      </c>
      <c r="AA21" s="97">
        <v>0</v>
      </c>
      <c r="AB21" s="97">
        <v>0</v>
      </c>
      <c r="AC21" s="97">
        <v>0</v>
      </c>
      <c r="AD21" s="97">
        <v>0</v>
      </c>
      <c r="AE21" s="97">
        <v>0</v>
      </c>
      <c r="AF21" s="97">
        <v>0</v>
      </c>
      <c r="AG21" s="97">
        <v>0</v>
      </c>
      <c r="AH21" s="97">
        <v>0</v>
      </c>
      <c r="AI21" s="97">
        <v>0</v>
      </c>
      <c r="AJ21" s="97">
        <v>0</v>
      </c>
      <c r="AK21" s="97">
        <v>0</v>
      </c>
      <c r="AL21" s="97">
        <v>0</v>
      </c>
      <c r="AM21" s="97">
        <v>0</v>
      </c>
      <c r="AN21" s="97">
        <v>0</v>
      </c>
      <c r="AO21" s="97">
        <v>0</v>
      </c>
      <c r="AP21" s="97">
        <v>0</v>
      </c>
      <c r="AQ21" s="97">
        <v>0</v>
      </c>
      <c r="AR21" s="97">
        <v>0</v>
      </c>
      <c r="AS21" s="97">
        <v>0</v>
      </c>
      <c r="AT21" s="97">
        <v>0</v>
      </c>
      <c r="AU21" s="97">
        <v>0</v>
      </c>
      <c r="AV21" s="97">
        <v>0</v>
      </c>
      <c r="AW21" s="97">
        <v>0</v>
      </c>
      <c r="AX21" s="97">
        <v>0</v>
      </c>
      <c r="AY21" s="97">
        <v>0</v>
      </c>
      <c r="AZ21" s="97">
        <v>0</v>
      </c>
      <c r="BA21" s="97">
        <v>0</v>
      </c>
      <c r="BB21" s="97">
        <v>0</v>
      </c>
      <c r="BC21" s="97">
        <v>0</v>
      </c>
      <c r="BD21" s="97">
        <v>0</v>
      </c>
      <c r="BE21" s="97">
        <v>0</v>
      </c>
      <c r="BF21" s="97">
        <v>0</v>
      </c>
      <c r="BG21" s="97">
        <v>0</v>
      </c>
      <c r="BH21" s="97">
        <v>0</v>
      </c>
      <c r="BI21" s="97">
        <v>0</v>
      </c>
      <c r="BJ21" s="97">
        <v>0</v>
      </c>
      <c r="BK21" s="97">
        <v>0</v>
      </c>
      <c r="BL21" s="97">
        <v>0</v>
      </c>
      <c r="BM21" s="97">
        <v>0</v>
      </c>
      <c r="BN21" s="97">
        <v>0</v>
      </c>
      <c r="BO21" s="97">
        <v>0</v>
      </c>
      <c r="BP21" s="97">
        <v>0</v>
      </c>
      <c r="BQ21" s="97">
        <v>0</v>
      </c>
      <c r="BR21" s="97">
        <v>0</v>
      </c>
      <c r="BS21" s="97">
        <v>0</v>
      </c>
      <c r="BT21" s="97">
        <v>0</v>
      </c>
      <c r="BU21" s="97">
        <v>0</v>
      </c>
      <c r="BV21" s="97">
        <v>0</v>
      </c>
      <c r="BW21" s="97">
        <v>0</v>
      </c>
      <c r="BX21" s="97">
        <v>0</v>
      </c>
      <c r="BY21" s="97">
        <v>0</v>
      </c>
      <c r="BZ21" s="97">
        <v>0</v>
      </c>
      <c r="CA21" s="97">
        <v>0</v>
      </c>
      <c r="CB21" s="97">
        <v>0</v>
      </c>
      <c r="CC21" s="97">
        <v>0</v>
      </c>
      <c r="CD21" s="97">
        <v>0</v>
      </c>
      <c r="CE21" s="97">
        <v>0</v>
      </c>
      <c r="CF21" s="97">
        <v>0</v>
      </c>
      <c r="CG21" s="97">
        <v>0</v>
      </c>
      <c r="CH21" s="97">
        <v>0</v>
      </c>
      <c r="CI21" s="97">
        <v>0</v>
      </c>
      <c r="CJ21" s="97">
        <v>0</v>
      </c>
      <c r="CK21" s="97">
        <v>0</v>
      </c>
      <c r="CL21" s="97">
        <v>0</v>
      </c>
      <c r="CM21" s="97">
        <v>0</v>
      </c>
      <c r="CN21" s="97">
        <v>0</v>
      </c>
      <c r="CO21" s="97">
        <v>0</v>
      </c>
      <c r="CP21" s="97">
        <v>0</v>
      </c>
      <c r="CQ21" s="97">
        <v>0</v>
      </c>
      <c r="CR21" s="97">
        <v>0</v>
      </c>
      <c r="CS21" s="97">
        <v>0</v>
      </c>
      <c r="CT21" s="97">
        <v>0</v>
      </c>
      <c r="CU21" s="97">
        <v>0</v>
      </c>
    </row>
    <row r="22" spans="2:99" x14ac:dyDescent="0.15">
      <c r="C22" s="96" t="s">
        <v>187</v>
      </c>
      <c r="D22" s="97">
        <v>0</v>
      </c>
      <c r="E22" s="97">
        <v>0</v>
      </c>
      <c r="F22" s="97">
        <v>0</v>
      </c>
      <c r="G22" s="97">
        <v>0</v>
      </c>
      <c r="H22" s="97">
        <v>0</v>
      </c>
      <c r="I22" s="97">
        <v>0</v>
      </c>
      <c r="J22" s="97">
        <v>0</v>
      </c>
      <c r="K22" s="97">
        <v>0</v>
      </c>
      <c r="L22" s="97">
        <v>0</v>
      </c>
      <c r="M22" s="97">
        <v>0</v>
      </c>
      <c r="N22" s="97">
        <v>0</v>
      </c>
      <c r="O22" s="97">
        <v>0</v>
      </c>
      <c r="P22" s="97">
        <v>0</v>
      </c>
      <c r="Q22" s="97">
        <v>0</v>
      </c>
      <c r="R22" s="97">
        <v>0</v>
      </c>
      <c r="S22" s="97">
        <v>0</v>
      </c>
      <c r="T22" s="97">
        <v>0</v>
      </c>
      <c r="U22" s="97">
        <v>0</v>
      </c>
      <c r="V22" s="97">
        <v>0</v>
      </c>
      <c r="W22" s="97">
        <v>0</v>
      </c>
      <c r="X22" s="97">
        <v>0</v>
      </c>
      <c r="Y22" s="97">
        <v>0</v>
      </c>
      <c r="Z22" s="97">
        <v>0</v>
      </c>
      <c r="AA22" s="97">
        <v>0</v>
      </c>
      <c r="AB22" s="97">
        <v>0</v>
      </c>
      <c r="AC22" s="97">
        <v>0</v>
      </c>
      <c r="AD22" s="97">
        <v>0</v>
      </c>
      <c r="AE22" s="97">
        <v>0</v>
      </c>
      <c r="AF22" s="97">
        <v>0</v>
      </c>
      <c r="AG22" s="97">
        <v>0</v>
      </c>
      <c r="AH22" s="97">
        <v>0</v>
      </c>
      <c r="AI22" s="97">
        <v>0</v>
      </c>
      <c r="AJ22" s="97">
        <v>0</v>
      </c>
      <c r="AK22" s="97">
        <v>0</v>
      </c>
      <c r="AL22" s="97">
        <v>0</v>
      </c>
      <c r="AM22" s="97">
        <v>0</v>
      </c>
      <c r="AN22" s="97">
        <v>0</v>
      </c>
      <c r="AO22" s="97">
        <v>0</v>
      </c>
      <c r="AP22" s="97">
        <v>0</v>
      </c>
      <c r="AQ22" s="97">
        <v>0</v>
      </c>
      <c r="AR22" s="97">
        <v>0</v>
      </c>
      <c r="AS22" s="97">
        <v>0</v>
      </c>
      <c r="AT22" s="97">
        <v>0</v>
      </c>
      <c r="AU22" s="97">
        <v>0</v>
      </c>
      <c r="AV22" s="97">
        <v>0</v>
      </c>
      <c r="AW22" s="97">
        <v>0</v>
      </c>
      <c r="AX22" s="97">
        <v>0</v>
      </c>
      <c r="AY22" s="97">
        <v>0</v>
      </c>
      <c r="AZ22" s="97">
        <v>0</v>
      </c>
      <c r="BA22" s="97">
        <v>0</v>
      </c>
      <c r="BB22" s="97">
        <v>0</v>
      </c>
      <c r="BC22" s="97">
        <v>0</v>
      </c>
      <c r="BD22" s="97">
        <v>0</v>
      </c>
      <c r="BE22" s="97">
        <v>0</v>
      </c>
      <c r="BF22" s="97">
        <v>0</v>
      </c>
      <c r="BG22" s="97">
        <v>0</v>
      </c>
      <c r="BH22" s="97">
        <v>0</v>
      </c>
      <c r="BI22" s="97">
        <v>0</v>
      </c>
      <c r="BJ22" s="97">
        <v>0</v>
      </c>
      <c r="BK22" s="97">
        <v>0</v>
      </c>
      <c r="BL22" s="97">
        <v>0</v>
      </c>
      <c r="BM22" s="97">
        <v>0</v>
      </c>
      <c r="BN22" s="97">
        <v>0</v>
      </c>
      <c r="BO22" s="97">
        <v>0</v>
      </c>
      <c r="BP22" s="97">
        <v>0</v>
      </c>
      <c r="BQ22" s="97">
        <v>0</v>
      </c>
      <c r="BR22" s="97">
        <v>0</v>
      </c>
      <c r="BS22" s="97">
        <v>0</v>
      </c>
      <c r="BT22" s="97">
        <v>0</v>
      </c>
      <c r="BU22" s="97">
        <v>0</v>
      </c>
      <c r="BV22" s="97">
        <v>0</v>
      </c>
      <c r="BW22" s="97">
        <v>0</v>
      </c>
      <c r="BX22" s="97">
        <v>0</v>
      </c>
      <c r="BY22" s="97">
        <v>0</v>
      </c>
      <c r="BZ22" s="97">
        <v>0</v>
      </c>
      <c r="CA22" s="97">
        <v>0</v>
      </c>
      <c r="CB22" s="97">
        <v>0</v>
      </c>
      <c r="CC22" s="97">
        <v>0</v>
      </c>
      <c r="CD22" s="97">
        <v>0</v>
      </c>
      <c r="CE22" s="97">
        <v>0</v>
      </c>
      <c r="CF22" s="97">
        <v>0</v>
      </c>
      <c r="CG22" s="97">
        <v>0</v>
      </c>
      <c r="CH22" s="97">
        <v>0</v>
      </c>
      <c r="CI22" s="97">
        <v>0</v>
      </c>
      <c r="CJ22" s="97">
        <v>0</v>
      </c>
      <c r="CK22" s="97">
        <v>0</v>
      </c>
      <c r="CL22" s="97">
        <v>0</v>
      </c>
      <c r="CM22" s="97">
        <v>0</v>
      </c>
      <c r="CN22" s="97">
        <v>0</v>
      </c>
      <c r="CO22" s="97">
        <v>0</v>
      </c>
      <c r="CP22" s="97">
        <v>0</v>
      </c>
      <c r="CQ22" s="97">
        <v>0</v>
      </c>
      <c r="CR22" s="97">
        <v>0</v>
      </c>
      <c r="CS22" s="97">
        <v>0</v>
      </c>
      <c r="CT22" s="97">
        <v>0</v>
      </c>
      <c r="CU22" s="97">
        <v>0</v>
      </c>
    </row>
    <row r="23" spans="2:99" x14ac:dyDescent="0.15">
      <c r="C23" s="96" t="s">
        <v>188</v>
      </c>
      <c r="D23" s="97">
        <v>0</v>
      </c>
      <c r="E23" s="97">
        <v>0</v>
      </c>
      <c r="F23" s="97">
        <v>0</v>
      </c>
      <c r="G23" s="97">
        <v>0</v>
      </c>
      <c r="H23" s="97">
        <v>0</v>
      </c>
      <c r="I23" s="97">
        <v>0</v>
      </c>
      <c r="J23" s="97">
        <v>0</v>
      </c>
      <c r="K23" s="97">
        <v>0</v>
      </c>
      <c r="L23" s="97">
        <v>0</v>
      </c>
      <c r="M23" s="97">
        <v>0</v>
      </c>
      <c r="N23" s="97">
        <v>0</v>
      </c>
      <c r="O23" s="97">
        <v>0</v>
      </c>
      <c r="P23" s="97">
        <v>0</v>
      </c>
      <c r="Q23" s="97">
        <v>0</v>
      </c>
      <c r="R23" s="97">
        <v>0</v>
      </c>
      <c r="S23" s="97">
        <v>0</v>
      </c>
      <c r="T23" s="97">
        <v>0</v>
      </c>
      <c r="U23" s="97">
        <v>0</v>
      </c>
      <c r="V23" s="97">
        <v>0</v>
      </c>
      <c r="W23" s="97">
        <v>0</v>
      </c>
      <c r="X23" s="97">
        <v>0</v>
      </c>
      <c r="Y23" s="97">
        <v>0</v>
      </c>
      <c r="Z23" s="97">
        <v>0</v>
      </c>
      <c r="AA23" s="97">
        <v>0</v>
      </c>
      <c r="AB23" s="97">
        <v>0</v>
      </c>
      <c r="AC23" s="97">
        <v>0</v>
      </c>
      <c r="AD23" s="97">
        <v>0</v>
      </c>
      <c r="AE23" s="97">
        <v>0</v>
      </c>
      <c r="AF23" s="97">
        <v>0</v>
      </c>
      <c r="AG23" s="97">
        <v>0</v>
      </c>
      <c r="AH23" s="97">
        <v>0</v>
      </c>
      <c r="AI23" s="97">
        <v>0</v>
      </c>
      <c r="AJ23" s="97">
        <v>0</v>
      </c>
      <c r="AK23" s="97">
        <v>0</v>
      </c>
      <c r="AL23" s="97">
        <v>0</v>
      </c>
      <c r="AM23" s="97">
        <v>0</v>
      </c>
      <c r="AN23" s="97">
        <v>0</v>
      </c>
      <c r="AO23" s="97">
        <v>0</v>
      </c>
      <c r="AP23" s="97">
        <v>0</v>
      </c>
      <c r="AQ23" s="97">
        <v>0</v>
      </c>
      <c r="AR23" s="97">
        <v>0</v>
      </c>
      <c r="AS23" s="97">
        <v>0</v>
      </c>
      <c r="AT23" s="97">
        <v>0</v>
      </c>
      <c r="AU23" s="97">
        <v>0</v>
      </c>
      <c r="AV23" s="97">
        <v>0</v>
      </c>
      <c r="AW23" s="97">
        <v>0</v>
      </c>
      <c r="AX23" s="97">
        <v>0</v>
      </c>
      <c r="AY23" s="97">
        <v>0</v>
      </c>
      <c r="AZ23" s="97">
        <v>0</v>
      </c>
      <c r="BA23" s="97">
        <v>0</v>
      </c>
      <c r="BB23" s="97">
        <v>0</v>
      </c>
      <c r="BC23" s="97">
        <v>0</v>
      </c>
      <c r="BD23" s="97">
        <v>0</v>
      </c>
      <c r="BE23" s="97">
        <v>0</v>
      </c>
      <c r="BF23" s="97">
        <v>0</v>
      </c>
      <c r="BG23" s="97">
        <v>0</v>
      </c>
      <c r="BH23" s="97">
        <v>0</v>
      </c>
      <c r="BI23" s="97">
        <v>0</v>
      </c>
      <c r="BJ23" s="97">
        <v>0</v>
      </c>
      <c r="BK23" s="97">
        <v>0</v>
      </c>
      <c r="BL23" s="97">
        <v>0</v>
      </c>
      <c r="BM23" s="97">
        <v>0</v>
      </c>
      <c r="BN23" s="97">
        <v>0</v>
      </c>
      <c r="BO23" s="97">
        <v>0</v>
      </c>
      <c r="BP23" s="97">
        <v>0</v>
      </c>
      <c r="BQ23" s="97">
        <v>0</v>
      </c>
      <c r="BR23" s="97">
        <v>0</v>
      </c>
      <c r="BS23" s="97">
        <v>0</v>
      </c>
      <c r="BT23" s="97">
        <v>0</v>
      </c>
      <c r="BU23" s="97">
        <v>0</v>
      </c>
      <c r="BV23" s="97">
        <v>0</v>
      </c>
      <c r="BW23" s="97">
        <v>0</v>
      </c>
      <c r="BX23" s="97">
        <v>0</v>
      </c>
      <c r="BY23" s="97">
        <v>0</v>
      </c>
      <c r="BZ23" s="97">
        <v>0</v>
      </c>
      <c r="CA23" s="97">
        <v>0</v>
      </c>
      <c r="CB23" s="97">
        <v>0</v>
      </c>
      <c r="CC23" s="97">
        <v>0</v>
      </c>
      <c r="CD23" s="97">
        <v>0</v>
      </c>
      <c r="CE23" s="97">
        <v>0</v>
      </c>
      <c r="CF23" s="97">
        <v>0</v>
      </c>
      <c r="CG23" s="97">
        <v>0</v>
      </c>
      <c r="CH23" s="97">
        <v>0</v>
      </c>
      <c r="CI23" s="97">
        <v>0</v>
      </c>
      <c r="CJ23" s="97">
        <v>0</v>
      </c>
      <c r="CK23" s="97">
        <v>0</v>
      </c>
      <c r="CL23" s="97">
        <v>0</v>
      </c>
      <c r="CM23" s="97">
        <v>0</v>
      </c>
      <c r="CN23" s="97">
        <v>0</v>
      </c>
      <c r="CO23" s="97">
        <v>0</v>
      </c>
      <c r="CP23" s="97">
        <v>0</v>
      </c>
      <c r="CQ23" s="97">
        <v>0</v>
      </c>
      <c r="CR23" s="97">
        <v>0</v>
      </c>
      <c r="CS23" s="97">
        <v>0</v>
      </c>
      <c r="CT23" s="97">
        <v>0</v>
      </c>
      <c r="CU23" s="97">
        <v>0</v>
      </c>
    </row>
    <row r="24" spans="2:99" x14ac:dyDescent="0.15">
      <c r="C24" s="96" t="s">
        <v>189</v>
      </c>
      <c r="D24" s="97">
        <v>0</v>
      </c>
      <c r="E24" s="97">
        <v>0</v>
      </c>
      <c r="F24" s="97">
        <v>0</v>
      </c>
      <c r="G24" s="97">
        <v>0</v>
      </c>
      <c r="H24" s="97">
        <v>0</v>
      </c>
      <c r="I24" s="97">
        <v>0</v>
      </c>
      <c r="J24" s="97">
        <v>0</v>
      </c>
      <c r="K24" s="97">
        <v>0</v>
      </c>
      <c r="L24" s="97">
        <v>0</v>
      </c>
      <c r="M24" s="97">
        <v>0</v>
      </c>
      <c r="N24" s="97">
        <v>0</v>
      </c>
      <c r="O24" s="97">
        <v>0</v>
      </c>
      <c r="P24" s="97">
        <v>0</v>
      </c>
      <c r="Q24" s="97">
        <v>0</v>
      </c>
      <c r="R24" s="97">
        <v>0</v>
      </c>
      <c r="S24" s="97">
        <v>0</v>
      </c>
      <c r="T24" s="97">
        <v>0</v>
      </c>
      <c r="U24" s="97">
        <v>0</v>
      </c>
      <c r="V24" s="97">
        <v>0</v>
      </c>
      <c r="W24" s="97">
        <v>0</v>
      </c>
      <c r="X24" s="97">
        <v>0</v>
      </c>
      <c r="Y24" s="97">
        <v>0</v>
      </c>
      <c r="Z24" s="97">
        <v>0</v>
      </c>
      <c r="AA24" s="97">
        <v>0</v>
      </c>
      <c r="AB24" s="97">
        <v>0</v>
      </c>
      <c r="AC24" s="97">
        <v>0</v>
      </c>
      <c r="AD24" s="97">
        <v>0</v>
      </c>
      <c r="AE24" s="97">
        <v>0</v>
      </c>
      <c r="AF24" s="97">
        <v>0</v>
      </c>
      <c r="AG24" s="97">
        <v>0</v>
      </c>
      <c r="AH24" s="97">
        <v>0</v>
      </c>
      <c r="AI24" s="97">
        <v>0</v>
      </c>
      <c r="AJ24" s="97">
        <v>0</v>
      </c>
      <c r="AK24" s="97">
        <v>0</v>
      </c>
      <c r="AL24" s="97">
        <v>0</v>
      </c>
      <c r="AM24" s="97">
        <v>0</v>
      </c>
      <c r="AN24" s="97">
        <v>0</v>
      </c>
      <c r="AO24" s="97">
        <v>0</v>
      </c>
      <c r="AP24" s="97">
        <v>0</v>
      </c>
      <c r="AQ24" s="97">
        <v>0</v>
      </c>
      <c r="AR24" s="97">
        <v>0</v>
      </c>
      <c r="AS24" s="97">
        <v>0</v>
      </c>
      <c r="AT24" s="97">
        <v>0</v>
      </c>
      <c r="AU24" s="97">
        <v>0</v>
      </c>
      <c r="AV24" s="97">
        <v>0</v>
      </c>
      <c r="AW24" s="97">
        <v>0</v>
      </c>
      <c r="AX24" s="97">
        <v>0</v>
      </c>
      <c r="AY24" s="97">
        <v>0</v>
      </c>
      <c r="AZ24" s="97">
        <v>0</v>
      </c>
      <c r="BA24" s="97">
        <v>0</v>
      </c>
      <c r="BB24" s="97">
        <v>0</v>
      </c>
      <c r="BC24" s="97">
        <v>0</v>
      </c>
      <c r="BD24" s="97">
        <v>0</v>
      </c>
      <c r="BE24" s="97">
        <v>0</v>
      </c>
      <c r="BF24" s="97">
        <v>0</v>
      </c>
      <c r="BG24" s="97">
        <v>0</v>
      </c>
      <c r="BH24" s="97">
        <v>0</v>
      </c>
      <c r="BI24" s="97">
        <v>0</v>
      </c>
      <c r="BJ24" s="97">
        <v>0</v>
      </c>
      <c r="BK24" s="97">
        <v>0</v>
      </c>
      <c r="BL24" s="97">
        <v>0</v>
      </c>
      <c r="BM24" s="97">
        <v>0</v>
      </c>
      <c r="BN24" s="97">
        <v>0</v>
      </c>
      <c r="BO24" s="97">
        <v>0</v>
      </c>
      <c r="BP24" s="97">
        <v>0</v>
      </c>
      <c r="BQ24" s="97">
        <v>0</v>
      </c>
      <c r="BR24" s="97">
        <v>0</v>
      </c>
      <c r="BS24" s="97">
        <v>0</v>
      </c>
      <c r="BT24" s="97">
        <v>0</v>
      </c>
      <c r="BU24" s="97">
        <v>0</v>
      </c>
      <c r="BV24" s="97">
        <v>0</v>
      </c>
      <c r="BW24" s="97">
        <v>0</v>
      </c>
      <c r="BX24" s="97">
        <v>0</v>
      </c>
      <c r="BY24" s="97">
        <v>0</v>
      </c>
      <c r="BZ24" s="97">
        <v>0</v>
      </c>
      <c r="CA24" s="97">
        <v>0</v>
      </c>
      <c r="CB24" s="97">
        <v>0</v>
      </c>
      <c r="CC24" s="97">
        <v>0</v>
      </c>
      <c r="CD24" s="97">
        <v>0</v>
      </c>
      <c r="CE24" s="97">
        <v>0</v>
      </c>
      <c r="CF24" s="97">
        <v>0</v>
      </c>
      <c r="CG24" s="97">
        <v>0</v>
      </c>
      <c r="CH24" s="97">
        <v>0</v>
      </c>
      <c r="CI24" s="97">
        <v>0</v>
      </c>
      <c r="CJ24" s="97">
        <v>0</v>
      </c>
      <c r="CK24" s="97">
        <v>0</v>
      </c>
      <c r="CL24" s="97">
        <v>0</v>
      </c>
      <c r="CM24" s="97">
        <v>0</v>
      </c>
      <c r="CN24" s="97">
        <v>0</v>
      </c>
      <c r="CO24" s="97">
        <v>0</v>
      </c>
      <c r="CP24" s="97">
        <v>0</v>
      </c>
      <c r="CQ24" s="97">
        <v>0</v>
      </c>
      <c r="CR24" s="97">
        <v>0</v>
      </c>
      <c r="CS24" s="97">
        <v>0</v>
      </c>
      <c r="CT24" s="97">
        <v>0</v>
      </c>
      <c r="CU24" s="97">
        <v>0</v>
      </c>
    </row>
    <row r="25" spans="2:99" x14ac:dyDescent="0.15">
      <c r="C25" s="96" t="s">
        <v>190</v>
      </c>
      <c r="D25" s="97">
        <v>0</v>
      </c>
      <c r="E25" s="97">
        <v>0</v>
      </c>
      <c r="F25" s="97">
        <v>0</v>
      </c>
      <c r="G25" s="97">
        <v>0</v>
      </c>
      <c r="H25" s="97">
        <v>0</v>
      </c>
      <c r="I25" s="97">
        <v>0</v>
      </c>
      <c r="J25" s="97">
        <v>0</v>
      </c>
      <c r="K25" s="97">
        <v>0</v>
      </c>
      <c r="L25" s="97">
        <v>0</v>
      </c>
      <c r="M25" s="97">
        <v>0</v>
      </c>
      <c r="N25" s="97">
        <v>0</v>
      </c>
      <c r="O25" s="97">
        <v>0</v>
      </c>
      <c r="P25" s="97">
        <v>0</v>
      </c>
      <c r="Q25" s="97">
        <v>0</v>
      </c>
      <c r="R25" s="97">
        <v>0</v>
      </c>
      <c r="S25" s="97">
        <v>0</v>
      </c>
      <c r="T25" s="97">
        <v>0</v>
      </c>
      <c r="U25" s="97">
        <v>0</v>
      </c>
      <c r="V25" s="97">
        <v>0</v>
      </c>
      <c r="W25" s="97">
        <v>0</v>
      </c>
      <c r="X25" s="97">
        <v>0</v>
      </c>
      <c r="Y25" s="97">
        <v>0</v>
      </c>
      <c r="Z25" s="97">
        <v>0</v>
      </c>
      <c r="AA25" s="97">
        <v>0</v>
      </c>
      <c r="AB25" s="97">
        <v>0</v>
      </c>
      <c r="AC25" s="97">
        <v>0</v>
      </c>
      <c r="AD25" s="97">
        <v>0</v>
      </c>
      <c r="AE25" s="97">
        <v>0</v>
      </c>
      <c r="AF25" s="97">
        <v>0</v>
      </c>
      <c r="AG25" s="97">
        <v>0</v>
      </c>
      <c r="AH25" s="97">
        <v>0</v>
      </c>
      <c r="AI25" s="97">
        <v>0</v>
      </c>
      <c r="AJ25" s="97">
        <v>0</v>
      </c>
      <c r="AK25" s="97">
        <v>0</v>
      </c>
      <c r="AL25" s="97">
        <v>0</v>
      </c>
      <c r="AM25" s="97">
        <v>0</v>
      </c>
      <c r="AN25" s="97">
        <v>0</v>
      </c>
      <c r="AO25" s="97">
        <v>0</v>
      </c>
      <c r="AP25" s="97">
        <v>0</v>
      </c>
      <c r="AQ25" s="97">
        <v>0</v>
      </c>
      <c r="AR25" s="97">
        <v>0</v>
      </c>
      <c r="AS25" s="97">
        <v>0</v>
      </c>
      <c r="AT25" s="97">
        <v>0</v>
      </c>
      <c r="AU25" s="97">
        <v>0</v>
      </c>
      <c r="AV25" s="97">
        <v>0</v>
      </c>
      <c r="AW25" s="97">
        <v>0</v>
      </c>
      <c r="AX25" s="97">
        <v>0</v>
      </c>
      <c r="AY25" s="97">
        <v>0</v>
      </c>
      <c r="AZ25" s="97">
        <v>0</v>
      </c>
      <c r="BA25" s="97">
        <v>0</v>
      </c>
      <c r="BB25" s="97">
        <v>0</v>
      </c>
      <c r="BC25" s="97">
        <v>0</v>
      </c>
      <c r="BD25" s="97">
        <v>0</v>
      </c>
      <c r="BE25" s="97">
        <v>0</v>
      </c>
      <c r="BF25" s="97">
        <v>0</v>
      </c>
      <c r="BG25" s="97">
        <v>0</v>
      </c>
      <c r="BH25" s="97">
        <v>0</v>
      </c>
      <c r="BI25" s="97">
        <v>0</v>
      </c>
      <c r="BJ25" s="97">
        <v>0</v>
      </c>
      <c r="BK25" s="97">
        <v>0</v>
      </c>
      <c r="BL25" s="97">
        <v>0</v>
      </c>
      <c r="BM25" s="97">
        <v>0</v>
      </c>
      <c r="BN25" s="97">
        <v>0</v>
      </c>
      <c r="BO25" s="97">
        <v>0</v>
      </c>
      <c r="BP25" s="97">
        <v>0</v>
      </c>
      <c r="BQ25" s="97">
        <v>0</v>
      </c>
      <c r="BR25" s="97">
        <v>0</v>
      </c>
      <c r="BS25" s="97">
        <v>0</v>
      </c>
      <c r="BT25" s="97">
        <v>0</v>
      </c>
      <c r="BU25" s="97">
        <v>0</v>
      </c>
      <c r="BV25" s="97">
        <v>0</v>
      </c>
      <c r="BW25" s="97">
        <v>0</v>
      </c>
      <c r="BX25" s="97">
        <v>0</v>
      </c>
      <c r="BY25" s="97">
        <v>0</v>
      </c>
      <c r="BZ25" s="97">
        <v>0</v>
      </c>
      <c r="CA25" s="97">
        <v>0</v>
      </c>
      <c r="CB25" s="97">
        <v>0</v>
      </c>
      <c r="CC25" s="97">
        <v>0</v>
      </c>
      <c r="CD25" s="97">
        <v>0</v>
      </c>
      <c r="CE25" s="97">
        <v>0</v>
      </c>
      <c r="CF25" s="97">
        <v>0</v>
      </c>
      <c r="CG25" s="97">
        <v>0</v>
      </c>
      <c r="CH25" s="97">
        <v>0</v>
      </c>
      <c r="CI25" s="97">
        <v>0</v>
      </c>
      <c r="CJ25" s="97">
        <v>0</v>
      </c>
      <c r="CK25" s="97">
        <v>0</v>
      </c>
      <c r="CL25" s="97">
        <v>0</v>
      </c>
      <c r="CM25" s="97">
        <v>0</v>
      </c>
      <c r="CN25" s="97">
        <v>0</v>
      </c>
      <c r="CO25" s="97">
        <v>0</v>
      </c>
      <c r="CP25" s="97">
        <v>0</v>
      </c>
      <c r="CQ25" s="97">
        <v>0</v>
      </c>
      <c r="CR25" s="97">
        <v>0</v>
      </c>
      <c r="CS25" s="97">
        <v>0</v>
      </c>
      <c r="CT25" s="97">
        <v>0</v>
      </c>
      <c r="CU25" s="97">
        <v>0</v>
      </c>
    </row>
    <row r="26" spans="2:99" x14ac:dyDescent="0.15">
      <c r="C26" s="96" t="s">
        <v>191</v>
      </c>
      <c r="D26" s="97">
        <v>0</v>
      </c>
      <c r="E26" s="97">
        <v>0</v>
      </c>
      <c r="F26" s="97">
        <v>0</v>
      </c>
      <c r="G26" s="97">
        <v>0</v>
      </c>
      <c r="H26" s="97">
        <v>0</v>
      </c>
      <c r="I26" s="97">
        <v>0</v>
      </c>
      <c r="J26" s="97">
        <v>0</v>
      </c>
      <c r="K26" s="97">
        <v>0</v>
      </c>
      <c r="L26" s="97">
        <v>0</v>
      </c>
      <c r="M26" s="97">
        <v>0</v>
      </c>
      <c r="N26" s="97">
        <v>0</v>
      </c>
      <c r="O26" s="97">
        <v>0</v>
      </c>
      <c r="P26" s="97">
        <v>0</v>
      </c>
      <c r="Q26" s="97">
        <v>0</v>
      </c>
      <c r="R26" s="97">
        <v>0</v>
      </c>
      <c r="S26" s="97">
        <v>0</v>
      </c>
      <c r="T26" s="97">
        <v>0</v>
      </c>
      <c r="U26" s="97">
        <v>0</v>
      </c>
      <c r="V26" s="97">
        <v>0</v>
      </c>
      <c r="W26" s="97">
        <v>0</v>
      </c>
      <c r="X26" s="97">
        <v>0</v>
      </c>
      <c r="Y26" s="97">
        <v>0</v>
      </c>
      <c r="Z26" s="97">
        <v>0</v>
      </c>
      <c r="AA26" s="97">
        <v>0</v>
      </c>
      <c r="AB26" s="97">
        <v>0</v>
      </c>
      <c r="AC26" s="97">
        <v>0</v>
      </c>
      <c r="AD26" s="97">
        <v>0</v>
      </c>
      <c r="AE26" s="97">
        <v>0</v>
      </c>
      <c r="AF26" s="97">
        <v>0</v>
      </c>
      <c r="AG26" s="97">
        <v>0</v>
      </c>
      <c r="AH26" s="97">
        <v>0</v>
      </c>
      <c r="AI26" s="97">
        <v>0</v>
      </c>
      <c r="AJ26" s="97">
        <v>0</v>
      </c>
      <c r="AK26" s="97">
        <v>0</v>
      </c>
      <c r="AL26" s="97">
        <v>0</v>
      </c>
      <c r="AM26" s="97">
        <v>0</v>
      </c>
      <c r="AN26" s="97">
        <v>0</v>
      </c>
      <c r="AO26" s="97">
        <v>0</v>
      </c>
      <c r="AP26" s="97">
        <v>0</v>
      </c>
      <c r="AQ26" s="97">
        <v>0</v>
      </c>
      <c r="AR26" s="97">
        <v>0</v>
      </c>
      <c r="AS26" s="97">
        <v>0</v>
      </c>
      <c r="AT26" s="97">
        <v>0</v>
      </c>
      <c r="AU26" s="97">
        <v>0</v>
      </c>
      <c r="AV26" s="97">
        <v>0</v>
      </c>
      <c r="AW26" s="97">
        <v>0</v>
      </c>
      <c r="AX26" s="97">
        <v>0</v>
      </c>
      <c r="AY26" s="97">
        <v>0</v>
      </c>
      <c r="AZ26" s="97">
        <v>0</v>
      </c>
      <c r="BA26" s="97">
        <v>0</v>
      </c>
      <c r="BB26" s="97">
        <v>0</v>
      </c>
      <c r="BC26" s="97">
        <v>0</v>
      </c>
      <c r="BD26" s="97">
        <v>0</v>
      </c>
      <c r="BE26" s="97">
        <v>0</v>
      </c>
      <c r="BF26" s="97">
        <v>0</v>
      </c>
      <c r="BG26" s="97">
        <v>0</v>
      </c>
      <c r="BH26" s="97">
        <v>0</v>
      </c>
      <c r="BI26" s="97">
        <v>0</v>
      </c>
      <c r="BJ26" s="97">
        <v>0</v>
      </c>
      <c r="BK26" s="97">
        <v>0</v>
      </c>
      <c r="BL26" s="97">
        <v>0</v>
      </c>
      <c r="BM26" s="97">
        <v>0</v>
      </c>
      <c r="BN26" s="97">
        <v>0</v>
      </c>
      <c r="BO26" s="97">
        <v>0</v>
      </c>
      <c r="BP26" s="97">
        <v>0</v>
      </c>
      <c r="BQ26" s="97">
        <v>0</v>
      </c>
      <c r="BR26" s="97">
        <v>0</v>
      </c>
      <c r="BS26" s="97">
        <v>0</v>
      </c>
      <c r="BT26" s="97">
        <v>0</v>
      </c>
      <c r="BU26" s="97">
        <v>0</v>
      </c>
      <c r="BV26" s="97">
        <v>0</v>
      </c>
      <c r="BW26" s="97">
        <v>0</v>
      </c>
      <c r="BX26" s="97">
        <v>0</v>
      </c>
      <c r="BY26" s="97">
        <v>0</v>
      </c>
      <c r="BZ26" s="97">
        <v>0</v>
      </c>
      <c r="CA26" s="97">
        <v>0</v>
      </c>
      <c r="CB26" s="97">
        <v>0</v>
      </c>
      <c r="CC26" s="97">
        <v>0</v>
      </c>
      <c r="CD26" s="97">
        <v>0</v>
      </c>
      <c r="CE26" s="97">
        <v>0</v>
      </c>
      <c r="CF26" s="97">
        <v>0</v>
      </c>
      <c r="CG26" s="97">
        <v>0</v>
      </c>
      <c r="CH26" s="97">
        <v>0</v>
      </c>
      <c r="CI26" s="97">
        <v>0</v>
      </c>
      <c r="CJ26" s="97">
        <v>0</v>
      </c>
      <c r="CK26" s="97">
        <v>0</v>
      </c>
      <c r="CL26" s="97">
        <v>0</v>
      </c>
      <c r="CM26" s="97">
        <v>0</v>
      </c>
      <c r="CN26" s="97">
        <v>0</v>
      </c>
      <c r="CO26" s="97">
        <v>0</v>
      </c>
      <c r="CP26" s="97">
        <v>0</v>
      </c>
      <c r="CQ26" s="97">
        <v>0</v>
      </c>
      <c r="CR26" s="97">
        <v>0</v>
      </c>
      <c r="CS26" s="97">
        <v>0</v>
      </c>
      <c r="CT26" s="97">
        <v>0</v>
      </c>
      <c r="CU26" s="97">
        <v>0</v>
      </c>
    </row>
    <row r="27" spans="2:99" x14ac:dyDescent="0.15">
      <c r="C27" s="96" t="s">
        <v>192</v>
      </c>
      <c r="D27" s="97">
        <v>0</v>
      </c>
      <c r="E27" s="97">
        <v>0</v>
      </c>
      <c r="F27" s="97">
        <v>0</v>
      </c>
      <c r="G27" s="97">
        <v>0</v>
      </c>
      <c r="H27" s="97">
        <v>0</v>
      </c>
      <c r="I27" s="97">
        <v>0</v>
      </c>
      <c r="J27" s="97">
        <v>0</v>
      </c>
      <c r="K27" s="97">
        <v>0</v>
      </c>
      <c r="L27" s="97">
        <v>0</v>
      </c>
      <c r="M27" s="97">
        <v>0</v>
      </c>
      <c r="N27" s="97">
        <v>0</v>
      </c>
      <c r="O27" s="97">
        <v>0</v>
      </c>
      <c r="P27" s="97">
        <v>0</v>
      </c>
      <c r="Q27" s="97">
        <v>0</v>
      </c>
      <c r="R27" s="97">
        <v>0</v>
      </c>
      <c r="S27" s="97">
        <v>0</v>
      </c>
      <c r="T27" s="97">
        <v>0</v>
      </c>
      <c r="U27" s="97">
        <v>0</v>
      </c>
      <c r="V27" s="97">
        <v>0</v>
      </c>
      <c r="W27" s="97">
        <v>0</v>
      </c>
      <c r="X27" s="97">
        <v>0</v>
      </c>
      <c r="Y27" s="97">
        <v>0</v>
      </c>
      <c r="Z27" s="97">
        <v>0</v>
      </c>
      <c r="AA27" s="97">
        <v>0</v>
      </c>
      <c r="AB27" s="97">
        <v>0</v>
      </c>
      <c r="AC27" s="97">
        <v>0</v>
      </c>
      <c r="AD27" s="97">
        <v>0</v>
      </c>
      <c r="AE27" s="97">
        <v>0</v>
      </c>
      <c r="AF27" s="97">
        <v>0</v>
      </c>
      <c r="AG27" s="97">
        <v>0</v>
      </c>
      <c r="AH27" s="97">
        <v>0</v>
      </c>
      <c r="AI27" s="97">
        <v>0</v>
      </c>
      <c r="AJ27" s="97">
        <v>0</v>
      </c>
      <c r="AK27" s="97">
        <v>0</v>
      </c>
      <c r="AL27" s="97">
        <v>0</v>
      </c>
      <c r="AM27" s="97">
        <v>0</v>
      </c>
      <c r="AN27" s="97">
        <v>0</v>
      </c>
      <c r="AO27" s="97">
        <v>0</v>
      </c>
      <c r="AP27" s="97">
        <v>0</v>
      </c>
      <c r="AQ27" s="97">
        <v>0</v>
      </c>
      <c r="AR27" s="97">
        <v>0</v>
      </c>
      <c r="AS27" s="97">
        <v>0</v>
      </c>
      <c r="AT27" s="97">
        <v>0</v>
      </c>
      <c r="AU27" s="97">
        <v>0</v>
      </c>
      <c r="AV27" s="97">
        <v>0</v>
      </c>
      <c r="AW27" s="97">
        <v>0</v>
      </c>
      <c r="AX27" s="97">
        <v>0</v>
      </c>
      <c r="AY27" s="97">
        <v>0</v>
      </c>
      <c r="AZ27" s="97">
        <v>0</v>
      </c>
      <c r="BA27" s="97">
        <v>0</v>
      </c>
      <c r="BB27" s="97">
        <v>0</v>
      </c>
      <c r="BC27" s="97">
        <v>0</v>
      </c>
      <c r="BD27" s="97">
        <v>0</v>
      </c>
      <c r="BE27" s="97">
        <v>0</v>
      </c>
      <c r="BF27" s="97">
        <v>0</v>
      </c>
      <c r="BG27" s="97">
        <v>0</v>
      </c>
      <c r="BH27" s="97">
        <v>0</v>
      </c>
      <c r="BI27" s="97">
        <v>0</v>
      </c>
      <c r="BJ27" s="97">
        <v>0</v>
      </c>
      <c r="BK27" s="97">
        <v>0</v>
      </c>
      <c r="BL27" s="97">
        <v>0</v>
      </c>
      <c r="BM27" s="97">
        <v>0</v>
      </c>
      <c r="BN27" s="97">
        <v>0</v>
      </c>
      <c r="BO27" s="97">
        <v>0</v>
      </c>
      <c r="BP27" s="97">
        <v>0</v>
      </c>
      <c r="BQ27" s="97">
        <v>0</v>
      </c>
      <c r="BR27" s="97">
        <v>0</v>
      </c>
      <c r="BS27" s="97">
        <v>0</v>
      </c>
      <c r="BT27" s="97">
        <v>0</v>
      </c>
      <c r="BU27" s="97">
        <v>0</v>
      </c>
      <c r="BV27" s="97">
        <v>0</v>
      </c>
      <c r="BW27" s="97">
        <v>0</v>
      </c>
      <c r="BX27" s="97">
        <v>0</v>
      </c>
      <c r="BY27" s="97">
        <v>0</v>
      </c>
      <c r="BZ27" s="97">
        <v>0</v>
      </c>
      <c r="CA27" s="97">
        <v>0</v>
      </c>
      <c r="CB27" s="97">
        <v>0</v>
      </c>
      <c r="CC27" s="97">
        <v>0</v>
      </c>
      <c r="CD27" s="97">
        <v>0</v>
      </c>
      <c r="CE27" s="97">
        <v>0</v>
      </c>
      <c r="CF27" s="97">
        <v>0</v>
      </c>
      <c r="CG27" s="97">
        <v>0</v>
      </c>
      <c r="CH27" s="97">
        <v>0</v>
      </c>
      <c r="CI27" s="97">
        <v>0</v>
      </c>
      <c r="CJ27" s="97">
        <v>0</v>
      </c>
      <c r="CK27" s="97">
        <v>0</v>
      </c>
      <c r="CL27" s="97">
        <v>0</v>
      </c>
      <c r="CM27" s="97">
        <v>0</v>
      </c>
      <c r="CN27" s="97">
        <v>0</v>
      </c>
      <c r="CO27" s="97">
        <v>0</v>
      </c>
      <c r="CP27" s="97">
        <v>0</v>
      </c>
      <c r="CQ27" s="97">
        <v>0</v>
      </c>
      <c r="CR27" s="97">
        <v>0</v>
      </c>
      <c r="CS27" s="97">
        <v>0</v>
      </c>
      <c r="CT27" s="97">
        <v>0</v>
      </c>
      <c r="CU27" s="97">
        <v>0</v>
      </c>
    </row>
    <row r="28" spans="2:99" x14ac:dyDescent="0.15">
      <c r="C28" s="96" t="s">
        <v>193</v>
      </c>
      <c r="D28" s="97">
        <v>0</v>
      </c>
      <c r="E28" s="97">
        <v>0</v>
      </c>
      <c r="F28" s="97">
        <v>0</v>
      </c>
      <c r="G28" s="97">
        <v>0</v>
      </c>
      <c r="H28" s="97">
        <v>0</v>
      </c>
      <c r="I28" s="97">
        <v>0</v>
      </c>
      <c r="J28" s="97">
        <v>0</v>
      </c>
      <c r="K28" s="97">
        <v>0</v>
      </c>
      <c r="L28" s="97">
        <v>0</v>
      </c>
      <c r="M28" s="97">
        <v>0</v>
      </c>
      <c r="N28" s="97">
        <v>0</v>
      </c>
      <c r="O28" s="97">
        <v>0</v>
      </c>
      <c r="P28" s="97">
        <v>0</v>
      </c>
      <c r="Q28" s="97">
        <v>0</v>
      </c>
      <c r="R28" s="97">
        <v>0</v>
      </c>
      <c r="S28" s="97">
        <v>0</v>
      </c>
      <c r="T28" s="97">
        <v>0</v>
      </c>
      <c r="U28" s="97">
        <v>0</v>
      </c>
      <c r="V28" s="97">
        <v>0</v>
      </c>
      <c r="W28" s="97">
        <v>0</v>
      </c>
      <c r="X28" s="97">
        <v>0</v>
      </c>
      <c r="Y28" s="97">
        <v>0</v>
      </c>
      <c r="Z28" s="97">
        <v>0</v>
      </c>
      <c r="AA28" s="97">
        <v>0</v>
      </c>
      <c r="AB28" s="97">
        <v>0</v>
      </c>
      <c r="AC28" s="97">
        <v>0</v>
      </c>
      <c r="AD28" s="97">
        <v>0</v>
      </c>
      <c r="AE28" s="97">
        <v>0</v>
      </c>
      <c r="AF28" s="97">
        <v>0</v>
      </c>
      <c r="AG28" s="97">
        <v>0</v>
      </c>
      <c r="AH28" s="97">
        <v>0</v>
      </c>
      <c r="AI28" s="97">
        <v>0</v>
      </c>
      <c r="AJ28" s="97">
        <v>0</v>
      </c>
      <c r="AK28" s="97">
        <v>0</v>
      </c>
      <c r="AL28" s="97">
        <v>0</v>
      </c>
      <c r="AM28" s="97">
        <v>0</v>
      </c>
      <c r="AN28" s="97">
        <v>0</v>
      </c>
      <c r="AO28" s="97">
        <v>0</v>
      </c>
      <c r="AP28" s="97">
        <v>0</v>
      </c>
      <c r="AQ28" s="97">
        <v>0</v>
      </c>
      <c r="AR28" s="97">
        <v>0</v>
      </c>
      <c r="AS28" s="97">
        <v>0</v>
      </c>
      <c r="AT28" s="97">
        <v>0</v>
      </c>
      <c r="AU28" s="97">
        <v>0</v>
      </c>
      <c r="AV28" s="97">
        <v>0</v>
      </c>
      <c r="AW28" s="97">
        <v>0</v>
      </c>
      <c r="AX28" s="97">
        <v>0</v>
      </c>
      <c r="AY28" s="97">
        <v>0</v>
      </c>
      <c r="AZ28" s="97">
        <v>0</v>
      </c>
      <c r="BA28" s="97">
        <v>0</v>
      </c>
      <c r="BB28" s="97">
        <v>0</v>
      </c>
      <c r="BC28" s="97">
        <v>0</v>
      </c>
      <c r="BD28" s="97">
        <v>0</v>
      </c>
      <c r="BE28" s="97">
        <v>0</v>
      </c>
      <c r="BF28" s="97">
        <v>0</v>
      </c>
      <c r="BG28" s="97">
        <v>0</v>
      </c>
      <c r="BH28" s="97">
        <v>0</v>
      </c>
      <c r="BI28" s="97">
        <v>0</v>
      </c>
      <c r="BJ28" s="97">
        <v>0</v>
      </c>
      <c r="BK28" s="97">
        <v>0</v>
      </c>
      <c r="BL28" s="97">
        <v>0</v>
      </c>
      <c r="BM28" s="97">
        <v>0</v>
      </c>
      <c r="BN28" s="97">
        <v>0</v>
      </c>
      <c r="BO28" s="97">
        <v>0</v>
      </c>
      <c r="BP28" s="97">
        <v>0</v>
      </c>
      <c r="BQ28" s="97">
        <v>0</v>
      </c>
      <c r="BR28" s="97">
        <v>0</v>
      </c>
      <c r="BS28" s="97">
        <v>0</v>
      </c>
      <c r="BT28" s="97">
        <v>0</v>
      </c>
      <c r="BU28" s="97">
        <v>0</v>
      </c>
      <c r="BV28" s="97">
        <v>0</v>
      </c>
      <c r="BW28" s="97">
        <v>0</v>
      </c>
      <c r="BX28" s="97">
        <v>0</v>
      </c>
      <c r="BY28" s="97">
        <v>0</v>
      </c>
      <c r="BZ28" s="97">
        <v>0</v>
      </c>
      <c r="CA28" s="97">
        <v>0</v>
      </c>
      <c r="CB28" s="97">
        <v>0</v>
      </c>
      <c r="CC28" s="97">
        <v>0</v>
      </c>
      <c r="CD28" s="97">
        <v>0</v>
      </c>
      <c r="CE28" s="97">
        <v>0</v>
      </c>
      <c r="CF28" s="97">
        <v>0</v>
      </c>
      <c r="CG28" s="97">
        <v>0</v>
      </c>
      <c r="CH28" s="97">
        <v>0</v>
      </c>
      <c r="CI28" s="97">
        <v>0</v>
      </c>
      <c r="CJ28" s="97">
        <v>0</v>
      </c>
      <c r="CK28" s="97">
        <v>0</v>
      </c>
      <c r="CL28" s="97">
        <v>0</v>
      </c>
      <c r="CM28" s="97">
        <v>0</v>
      </c>
      <c r="CN28" s="97">
        <v>0</v>
      </c>
      <c r="CO28" s="97">
        <v>0</v>
      </c>
      <c r="CP28" s="97">
        <v>0</v>
      </c>
      <c r="CQ28" s="97">
        <v>0</v>
      </c>
      <c r="CR28" s="97">
        <v>0</v>
      </c>
      <c r="CS28" s="97">
        <v>0</v>
      </c>
      <c r="CT28" s="97">
        <v>0</v>
      </c>
      <c r="CU28" s="97">
        <v>0</v>
      </c>
    </row>
    <row r="29" spans="2:99" x14ac:dyDescent="0.15">
      <c r="C29" s="96" t="s">
        <v>194</v>
      </c>
      <c r="D29" s="97">
        <v>0</v>
      </c>
      <c r="E29" s="97">
        <v>0</v>
      </c>
      <c r="F29" s="97">
        <v>0</v>
      </c>
      <c r="G29" s="97">
        <v>0</v>
      </c>
      <c r="H29" s="97">
        <v>0</v>
      </c>
      <c r="I29" s="97">
        <v>0</v>
      </c>
      <c r="J29" s="97">
        <v>0</v>
      </c>
      <c r="K29" s="97">
        <v>0</v>
      </c>
      <c r="L29" s="97">
        <v>0</v>
      </c>
      <c r="M29" s="97">
        <v>0</v>
      </c>
      <c r="N29" s="97">
        <v>0</v>
      </c>
      <c r="O29" s="97">
        <v>0</v>
      </c>
      <c r="P29" s="97">
        <v>0</v>
      </c>
      <c r="Q29" s="97">
        <v>0</v>
      </c>
      <c r="R29" s="97">
        <v>0</v>
      </c>
      <c r="S29" s="97">
        <v>0</v>
      </c>
      <c r="T29" s="97">
        <v>0</v>
      </c>
      <c r="U29" s="97">
        <v>0</v>
      </c>
      <c r="V29" s="97">
        <v>0</v>
      </c>
      <c r="W29" s="97">
        <v>0</v>
      </c>
      <c r="X29" s="97">
        <v>0</v>
      </c>
      <c r="Y29" s="97">
        <v>0</v>
      </c>
      <c r="Z29" s="97">
        <v>0</v>
      </c>
      <c r="AA29" s="97">
        <v>0</v>
      </c>
      <c r="AB29" s="97">
        <v>0</v>
      </c>
      <c r="AC29" s="97">
        <v>0</v>
      </c>
      <c r="AD29" s="97">
        <v>0</v>
      </c>
      <c r="AE29" s="97">
        <v>0</v>
      </c>
      <c r="AF29" s="97">
        <v>0</v>
      </c>
      <c r="AG29" s="97">
        <v>0</v>
      </c>
      <c r="AH29" s="97">
        <v>0</v>
      </c>
      <c r="AI29" s="97">
        <v>0</v>
      </c>
      <c r="AJ29" s="97">
        <v>0</v>
      </c>
      <c r="AK29" s="97">
        <v>0</v>
      </c>
      <c r="AL29" s="97">
        <v>0</v>
      </c>
      <c r="AM29" s="97">
        <v>0</v>
      </c>
      <c r="AN29" s="97">
        <v>0</v>
      </c>
      <c r="AO29" s="97">
        <v>0</v>
      </c>
      <c r="AP29" s="97">
        <v>0</v>
      </c>
      <c r="AQ29" s="97">
        <v>0</v>
      </c>
      <c r="AR29" s="97">
        <v>0</v>
      </c>
      <c r="AS29" s="97">
        <v>0</v>
      </c>
      <c r="AT29" s="97">
        <v>0</v>
      </c>
      <c r="AU29" s="97">
        <v>0</v>
      </c>
      <c r="AV29" s="97">
        <v>0</v>
      </c>
      <c r="AW29" s="97">
        <v>0</v>
      </c>
      <c r="AX29" s="97">
        <v>0</v>
      </c>
      <c r="AY29" s="97">
        <v>0</v>
      </c>
      <c r="AZ29" s="97">
        <v>0</v>
      </c>
      <c r="BA29" s="97">
        <v>0</v>
      </c>
      <c r="BB29" s="97">
        <v>0</v>
      </c>
      <c r="BC29" s="97">
        <v>0</v>
      </c>
      <c r="BD29" s="97">
        <v>0</v>
      </c>
      <c r="BE29" s="97">
        <v>0</v>
      </c>
      <c r="BF29" s="97">
        <v>0</v>
      </c>
      <c r="BG29" s="97">
        <v>0</v>
      </c>
      <c r="BH29" s="97">
        <v>0</v>
      </c>
      <c r="BI29" s="97">
        <v>0</v>
      </c>
      <c r="BJ29" s="97">
        <v>0</v>
      </c>
      <c r="BK29" s="97">
        <v>0</v>
      </c>
      <c r="BL29" s="97">
        <v>0</v>
      </c>
      <c r="BM29" s="97">
        <v>0</v>
      </c>
      <c r="BN29" s="97">
        <v>0</v>
      </c>
      <c r="BO29" s="97">
        <v>0</v>
      </c>
      <c r="BP29" s="97">
        <v>0</v>
      </c>
      <c r="BQ29" s="97">
        <v>0</v>
      </c>
      <c r="BR29" s="97">
        <v>0</v>
      </c>
      <c r="BS29" s="97">
        <v>0</v>
      </c>
      <c r="BT29" s="97">
        <v>0</v>
      </c>
      <c r="BU29" s="97">
        <v>0</v>
      </c>
      <c r="BV29" s="97">
        <v>0</v>
      </c>
      <c r="BW29" s="97">
        <v>0</v>
      </c>
      <c r="BX29" s="97">
        <v>0</v>
      </c>
      <c r="BY29" s="97">
        <v>0</v>
      </c>
      <c r="BZ29" s="97">
        <v>0</v>
      </c>
      <c r="CA29" s="97">
        <v>0</v>
      </c>
      <c r="CB29" s="97">
        <v>0</v>
      </c>
      <c r="CC29" s="97">
        <v>0</v>
      </c>
      <c r="CD29" s="97">
        <v>0</v>
      </c>
      <c r="CE29" s="97">
        <v>0</v>
      </c>
      <c r="CF29" s="97">
        <v>0</v>
      </c>
      <c r="CG29" s="97">
        <v>0</v>
      </c>
      <c r="CH29" s="97">
        <v>0</v>
      </c>
      <c r="CI29" s="97">
        <v>0</v>
      </c>
      <c r="CJ29" s="97">
        <v>0</v>
      </c>
      <c r="CK29" s="97">
        <v>0</v>
      </c>
      <c r="CL29" s="97">
        <v>0</v>
      </c>
      <c r="CM29" s="97">
        <v>0</v>
      </c>
      <c r="CN29" s="97">
        <v>0</v>
      </c>
      <c r="CO29" s="97">
        <v>0</v>
      </c>
      <c r="CP29" s="97">
        <v>0</v>
      </c>
      <c r="CQ29" s="97">
        <v>0</v>
      </c>
      <c r="CR29" s="97">
        <v>0</v>
      </c>
      <c r="CS29" s="97">
        <v>0</v>
      </c>
      <c r="CT29" s="97">
        <v>0</v>
      </c>
      <c r="CU29" s="97">
        <v>0</v>
      </c>
    </row>
    <row r="30" spans="2:99" x14ac:dyDescent="0.15">
      <c r="C30" s="96" t="s">
        <v>195</v>
      </c>
      <c r="D30" s="97">
        <v>0</v>
      </c>
      <c r="E30" s="97">
        <v>0</v>
      </c>
      <c r="F30" s="97">
        <v>0</v>
      </c>
      <c r="G30" s="97">
        <v>0</v>
      </c>
      <c r="H30" s="97">
        <v>0</v>
      </c>
      <c r="I30" s="97">
        <v>0</v>
      </c>
      <c r="J30" s="97">
        <v>0</v>
      </c>
      <c r="K30" s="97">
        <v>0</v>
      </c>
      <c r="L30" s="97">
        <v>0</v>
      </c>
      <c r="M30" s="97">
        <v>0</v>
      </c>
      <c r="N30" s="97">
        <v>0</v>
      </c>
      <c r="O30" s="97">
        <v>0</v>
      </c>
      <c r="P30" s="97">
        <v>0</v>
      </c>
      <c r="Q30" s="97">
        <v>0</v>
      </c>
      <c r="R30" s="97">
        <v>0</v>
      </c>
      <c r="S30" s="97">
        <v>0</v>
      </c>
      <c r="T30" s="97">
        <v>0</v>
      </c>
      <c r="U30" s="97">
        <v>0</v>
      </c>
      <c r="V30" s="97">
        <v>0</v>
      </c>
      <c r="W30" s="97">
        <v>0</v>
      </c>
      <c r="X30" s="97">
        <v>0</v>
      </c>
      <c r="Y30" s="97">
        <v>0</v>
      </c>
      <c r="Z30" s="97">
        <v>0</v>
      </c>
      <c r="AA30" s="97">
        <v>0</v>
      </c>
      <c r="AB30" s="97">
        <v>0</v>
      </c>
      <c r="AC30" s="97">
        <v>0</v>
      </c>
      <c r="AD30" s="97">
        <v>0</v>
      </c>
      <c r="AE30" s="97">
        <v>0</v>
      </c>
      <c r="AF30" s="97">
        <v>0</v>
      </c>
      <c r="AG30" s="97">
        <v>0</v>
      </c>
      <c r="AH30" s="97">
        <v>0</v>
      </c>
      <c r="AI30" s="97">
        <v>0</v>
      </c>
      <c r="AJ30" s="97">
        <v>0</v>
      </c>
      <c r="AK30" s="97">
        <v>0</v>
      </c>
      <c r="AL30" s="97">
        <v>0</v>
      </c>
      <c r="AM30" s="97">
        <v>0</v>
      </c>
      <c r="AN30" s="97">
        <v>0</v>
      </c>
      <c r="AO30" s="97">
        <v>0</v>
      </c>
      <c r="AP30" s="97">
        <v>0</v>
      </c>
      <c r="AQ30" s="97">
        <v>0</v>
      </c>
      <c r="AR30" s="97">
        <v>0</v>
      </c>
      <c r="AS30" s="97">
        <v>0</v>
      </c>
      <c r="AT30" s="97">
        <v>0</v>
      </c>
      <c r="AU30" s="97">
        <v>0</v>
      </c>
      <c r="AV30" s="97">
        <v>0</v>
      </c>
      <c r="AW30" s="97">
        <v>0</v>
      </c>
      <c r="AX30" s="97">
        <v>0</v>
      </c>
      <c r="AY30" s="97">
        <v>0</v>
      </c>
      <c r="AZ30" s="97">
        <v>0</v>
      </c>
      <c r="BA30" s="97">
        <v>0</v>
      </c>
      <c r="BB30" s="97">
        <v>0</v>
      </c>
      <c r="BC30" s="97">
        <v>0</v>
      </c>
      <c r="BD30" s="97">
        <v>0</v>
      </c>
      <c r="BE30" s="97">
        <v>0</v>
      </c>
      <c r="BF30" s="97">
        <v>0</v>
      </c>
      <c r="BG30" s="97">
        <v>0</v>
      </c>
      <c r="BH30" s="97">
        <v>0</v>
      </c>
      <c r="BI30" s="97">
        <v>0</v>
      </c>
      <c r="BJ30" s="97">
        <v>0</v>
      </c>
      <c r="BK30" s="97">
        <v>0</v>
      </c>
      <c r="BL30" s="97">
        <v>0</v>
      </c>
      <c r="BM30" s="97">
        <v>0</v>
      </c>
      <c r="BN30" s="97">
        <v>0</v>
      </c>
      <c r="BO30" s="97">
        <v>0</v>
      </c>
      <c r="BP30" s="97">
        <v>0</v>
      </c>
      <c r="BQ30" s="97">
        <v>0</v>
      </c>
      <c r="BR30" s="97">
        <v>0</v>
      </c>
      <c r="BS30" s="97">
        <v>0</v>
      </c>
      <c r="BT30" s="97">
        <v>0</v>
      </c>
      <c r="BU30" s="97">
        <v>0</v>
      </c>
      <c r="BV30" s="97">
        <v>0</v>
      </c>
      <c r="BW30" s="97">
        <v>0</v>
      </c>
      <c r="BX30" s="97">
        <v>0</v>
      </c>
      <c r="BY30" s="97">
        <v>0</v>
      </c>
      <c r="BZ30" s="97">
        <v>0</v>
      </c>
      <c r="CA30" s="97">
        <v>0</v>
      </c>
      <c r="CB30" s="97">
        <v>0</v>
      </c>
      <c r="CC30" s="97">
        <v>0</v>
      </c>
      <c r="CD30" s="97">
        <v>0</v>
      </c>
      <c r="CE30" s="97">
        <v>0</v>
      </c>
      <c r="CF30" s="97">
        <v>0</v>
      </c>
      <c r="CG30" s="97">
        <v>0</v>
      </c>
      <c r="CH30" s="97">
        <v>0</v>
      </c>
      <c r="CI30" s="97">
        <v>0</v>
      </c>
      <c r="CJ30" s="97">
        <v>0</v>
      </c>
      <c r="CK30" s="97">
        <v>0</v>
      </c>
      <c r="CL30" s="97">
        <v>0</v>
      </c>
      <c r="CM30" s="97">
        <v>0</v>
      </c>
      <c r="CN30" s="97">
        <v>0</v>
      </c>
      <c r="CO30" s="97">
        <v>0</v>
      </c>
      <c r="CP30" s="97">
        <v>0</v>
      </c>
      <c r="CQ30" s="97">
        <v>0</v>
      </c>
      <c r="CR30" s="97">
        <v>0</v>
      </c>
      <c r="CS30" s="97">
        <v>0</v>
      </c>
      <c r="CT30" s="97">
        <v>0</v>
      </c>
      <c r="CU30" s="97">
        <v>0</v>
      </c>
    </row>
    <row r="31" spans="2:99" x14ac:dyDescent="0.15">
      <c r="C31" s="96" t="s">
        <v>196</v>
      </c>
      <c r="D31" s="97">
        <v>0</v>
      </c>
      <c r="E31" s="97">
        <v>0</v>
      </c>
      <c r="F31" s="97">
        <v>0</v>
      </c>
      <c r="G31" s="97">
        <v>0</v>
      </c>
      <c r="H31" s="97">
        <v>0</v>
      </c>
      <c r="I31" s="97">
        <v>0</v>
      </c>
      <c r="J31" s="97">
        <v>0</v>
      </c>
      <c r="K31" s="97">
        <v>0</v>
      </c>
      <c r="L31" s="97">
        <v>0</v>
      </c>
      <c r="M31" s="97">
        <v>0</v>
      </c>
      <c r="N31" s="97">
        <v>0</v>
      </c>
      <c r="O31" s="97">
        <v>0</v>
      </c>
      <c r="P31" s="97">
        <v>0</v>
      </c>
      <c r="Q31" s="97">
        <v>0</v>
      </c>
      <c r="R31" s="97">
        <v>0</v>
      </c>
      <c r="S31" s="97">
        <v>0</v>
      </c>
      <c r="T31" s="97">
        <v>0</v>
      </c>
      <c r="U31" s="97">
        <v>0</v>
      </c>
      <c r="V31" s="97">
        <v>0</v>
      </c>
      <c r="W31" s="97">
        <v>0</v>
      </c>
      <c r="X31" s="97">
        <v>0</v>
      </c>
      <c r="Y31" s="97">
        <v>0</v>
      </c>
      <c r="Z31" s="97">
        <v>0</v>
      </c>
      <c r="AA31" s="97">
        <v>0</v>
      </c>
      <c r="AB31" s="97">
        <v>0</v>
      </c>
      <c r="AC31" s="97">
        <v>0</v>
      </c>
      <c r="AD31" s="97">
        <v>0</v>
      </c>
      <c r="AE31" s="97">
        <v>0</v>
      </c>
      <c r="AF31" s="97">
        <v>0</v>
      </c>
      <c r="AG31" s="97">
        <v>0</v>
      </c>
      <c r="AH31" s="97">
        <v>0</v>
      </c>
      <c r="AI31" s="97">
        <v>0</v>
      </c>
      <c r="AJ31" s="97">
        <v>0</v>
      </c>
      <c r="AK31" s="97">
        <v>0</v>
      </c>
      <c r="AL31" s="97">
        <v>0</v>
      </c>
      <c r="AM31" s="97">
        <v>0</v>
      </c>
      <c r="AN31" s="97">
        <v>0</v>
      </c>
      <c r="AO31" s="97">
        <v>0</v>
      </c>
      <c r="AP31" s="97">
        <v>0</v>
      </c>
      <c r="AQ31" s="97">
        <v>0</v>
      </c>
      <c r="AR31" s="97">
        <v>0</v>
      </c>
      <c r="AS31" s="97">
        <v>0</v>
      </c>
      <c r="AT31" s="97">
        <v>0</v>
      </c>
      <c r="AU31" s="97">
        <v>0</v>
      </c>
      <c r="AV31" s="97">
        <v>0</v>
      </c>
      <c r="AW31" s="97">
        <v>0</v>
      </c>
      <c r="AX31" s="97">
        <v>0</v>
      </c>
      <c r="AY31" s="97">
        <v>0</v>
      </c>
      <c r="AZ31" s="97">
        <v>0</v>
      </c>
      <c r="BA31" s="97">
        <v>0</v>
      </c>
      <c r="BB31" s="97">
        <v>0</v>
      </c>
      <c r="BC31" s="97">
        <v>0</v>
      </c>
      <c r="BD31" s="97">
        <v>0</v>
      </c>
      <c r="BE31" s="97">
        <v>0</v>
      </c>
      <c r="BF31" s="97">
        <v>0</v>
      </c>
      <c r="BG31" s="97">
        <v>0</v>
      </c>
      <c r="BH31" s="97">
        <v>0</v>
      </c>
      <c r="BI31" s="97">
        <v>0</v>
      </c>
      <c r="BJ31" s="97">
        <v>0</v>
      </c>
      <c r="BK31" s="97">
        <v>0</v>
      </c>
      <c r="BL31" s="97">
        <v>0</v>
      </c>
      <c r="BM31" s="97">
        <v>0</v>
      </c>
      <c r="BN31" s="97">
        <v>0</v>
      </c>
      <c r="BO31" s="97">
        <v>0</v>
      </c>
      <c r="BP31" s="97">
        <v>0</v>
      </c>
      <c r="BQ31" s="97">
        <v>0</v>
      </c>
      <c r="BR31" s="97">
        <v>0</v>
      </c>
      <c r="BS31" s="97">
        <v>0</v>
      </c>
      <c r="BT31" s="97">
        <v>0</v>
      </c>
      <c r="BU31" s="97">
        <v>0</v>
      </c>
      <c r="BV31" s="97">
        <v>0</v>
      </c>
      <c r="BW31" s="97">
        <v>0</v>
      </c>
      <c r="BX31" s="97">
        <v>0</v>
      </c>
      <c r="BY31" s="97">
        <v>0</v>
      </c>
      <c r="BZ31" s="97">
        <v>0</v>
      </c>
      <c r="CA31" s="97">
        <v>0</v>
      </c>
      <c r="CB31" s="97">
        <v>0</v>
      </c>
      <c r="CC31" s="97">
        <v>0</v>
      </c>
      <c r="CD31" s="97">
        <v>0</v>
      </c>
      <c r="CE31" s="97">
        <v>0</v>
      </c>
      <c r="CF31" s="97">
        <v>0</v>
      </c>
      <c r="CG31" s="97">
        <v>0</v>
      </c>
      <c r="CH31" s="97">
        <v>0</v>
      </c>
      <c r="CI31" s="97">
        <v>0</v>
      </c>
      <c r="CJ31" s="97">
        <v>0</v>
      </c>
      <c r="CK31" s="97">
        <v>0</v>
      </c>
      <c r="CL31" s="97">
        <v>0</v>
      </c>
      <c r="CM31" s="97">
        <v>0</v>
      </c>
      <c r="CN31" s="97">
        <v>0</v>
      </c>
      <c r="CO31" s="97">
        <v>0</v>
      </c>
      <c r="CP31" s="97">
        <v>0</v>
      </c>
      <c r="CQ31" s="97">
        <v>0</v>
      </c>
      <c r="CR31" s="97">
        <v>0</v>
      </c>
      <c r="CS31" s="97">
        <v>0</v>
      </c>
      <c r="CT31" s="97">
        <v>0</v>
      </c>
      <c r="CU31" s="97">
        <v>0</v>
      </c>
    </row>
    <row r="32" spans="2:99" x14ac:dyDescent="0.15">
      <c r="C32" s="96" t="s">
        <v>197</v>
      </c>
      <c r="D32" s="97">
        <v>0</v>
      </c>
      <c r="E32" s="97">
        <v>0</v>
      </c>
      <c r="F32" s="97">
        <v>0</v>
      </c>
      <c r="G32" s="97">
        <v>0</v>
      </c>
      <c r="H32" s="97">
        <v>0</v>
      </c>
      <c r="I32" s="97">
        <v>0</v>
      </c>
      <c r="J32" s="97">
        <v>0</v>
      </c>
      <c r="K32" s="97">
        <v>0</v>
      </c>
      <c r="L32" s="97">
        <v>0</v>
      </c>
      <c r="M32" s="97">
        <v>0</v>
      </c>
      <c r="N32" s="97">
        <v>0</v>
      </c>
      <c r="O32" s="97">
        <v>0</v>
      </c>
      <c r="P32" s="97">
        <v>0</v>
      </c>
      <c r="Q32" s="97">
        <v>0</v>
      </c>
      <c r="R32" s="97">
        <v>0</v>
      </c>
      <c r="S32" s="97">
        <v>0</v>
      </c>
      <c r="T32" s="97">
        <v>0</v>
      </c>
      <c r="U32" s="97">
        <v>0</v>
      </c>
      <c r="V32" s="97">
        <v>0</v>
      </c>
      <c r="W32" s="97">
        <v>0</v>
      </c>
      <c r="X32" s="97">
        <v>0</v>
      </c>
      <c r="Y32" s="97">
        <v>0</v>
      </c>
      <c r="Z32" s="97">
        <v>0</v>
      </c>
      <c r="AA32" s="97">
        <v>0</v>
      </c>
      <c r="AB32" s="97">
        <v>0</v>
      </c>
      <c r="AC32" s="97">
        <v>0</v>
      </c>
      <c r="AD32" s="97">
        <v>0</v>
      </c>
      <c r="AE32" s="97">
        <v>0</v>
      </c>
      <c r="AF32" s="97">
        <v>0</v>
      </c>
      <c r="AG32" s="97">
        <v>0</v>
      </c>
      <c r="AH32" s="97">
        <v>0</v>
      </c>
      <c r="AI32" s="97">
        <v>0</v>
      </c>
      <c r="AJ32" s="97">
        <v>0</v>
      </c>
      <c r="AK32" s="97">
        <v>0</v>
      </c>
      <c r="AL32" s="97">
        <v>0</v>
      </c>
      <c r="AM32" s="97">
        <v>0</v>
      </c>
      <c r="AN32" s="97">
        <v>0</v>
      </c>
      <c r="AO32" s="97">
        <v>0</v>
      </c>
      <c r="AP32" s="97">
        <v>0</v>
      </c>
      <c r="AQ32" s="97">
        <v>0</v>
      </c>
      <c r="AR32" s="97">
        <v>0</v>
      </c>
      <c r="AS32" s="97">
        <v>0</v>
      </c>
      <c r="AT32" s="97">
        <v>0</v>
      </c>
      <c r="AU32" s="97">
        <v>0</v>
      </c>
      <c r="AV32" s="97">
        <v>0</v>
      </c>
      <c r="AW32" s="97">
        <v>0</v>
      </c>
      <c r="AX32" s="97">
        <v>0</v>
      </c>
      <c r="AY32" s="97">
        <v>0</v>
      </c>
      <c r="AZ32" s="97">
        <v>0</v>
      </c>
      <c r="BA32" s="97">
        <v>0</v>
      </c>
      <c r="BB32" s="97">
        <v>0</v>
      </c>
      <c r="BC32" s="97">
        <v>0</v>
      </c>
      <c r="BD32" s="97">
        <v>0</v>
      </c>
      <c r="BE32" s="97">
        <v>0</v>
      </c>
      <c r="BF32" s="97">
        <v>0</v>
      </c>
      <c r="BG32" s="97">
        <v>0</v>
      </c>
      <c r="BH32" s="97">
        <v>0</v>
      </c>
      <c r="BI32" s="97">
        <v>0</v>
      </c>
      <c r="BJ32" s="97">
        <v>0</v>
      </c>
      <c r="BK32" s="97">
        <v>0</v>
      </c>
      <c r="BL32" s="97">
        <v>0</v>
      </c>
      <c r="BM32" s="97">
        <v>0</v>
      </c>
      <c r="BN32" s="97">
        <v>0</v>
      </c>
      <c r="BO32" s="97">
        <v>0</v>
      </c>
      <c r="BP32" s="97">
        <v>0</v>
      </c>
      <c r="BQ32" s="97">
        <v>0</v>
      </c>
      <c r="BR32" s="97">
        <v>0</v>
      </c>
      <c r="BS32" s="97">
        <v>0</v>
      </c>
      <c r="BT32" s="97">
        <v>0</v>
      </c>
      <c r="BU32" s="97">
        <v>0</v>
      </c>
      <c r="BV32" s="97">
        <v>0</v>
      </c>
      <c r="BW32" s="97">
        <v>0</v>
      </c>
      <c r="BX32" s="97">
        <v>0</v>
      </c>
      <c r="BY32" s="97">
        <v>0</v>
      </c>
      <c r="BZ32" s="97">
        <v>0</v>
      </c>
      <c r="CA32" s="97">
        <v>0</v>
      </c>
      <c r="CB32" s="97">
        <v>0</v>
      </c>
      <c r="CC32" s="97">
        <v>0</v>
      </c>
      <c r="CD32" s="97">
        <v>0</v>
      </c>
      <c r="CE32" s="97">
        <v>0</v>
      </c>
      <c r="CF32" s="97">
        <v>0</v>
      </c>
      <c r="CG32" s="97">
        <v>0</v>
      </c>
      <c r="CH32" s="97">
        <v>0</v>
      </c>
      <c r="CI32" s="97">
        <v>0</v>
      </c>
      <c r="CJ32" s="97">
        <v>0</v>
      </c>
      <c r="CK32" s="97">
        <v>0</v>
      </c>
      <c r="CL32" s="97">
        <v>0</v>
      </c>
      <c r="CM32" s="97">
        <v>0</v>
      </c>
      <c r="CN32" s="97">
        <v>0</v>
      </c>
      <c r="CO32" s="97">
        <v>0</v>
      </c>
      <c r="CP32" s="97">
        <v>0</v>
      </c>
      <c r="CQ32" s="97">
        <v>0</v>
      </c>
      <c r="CR32" s="97">
        <v>0</v>
      </c>
      <c r="CS32" s="97">
        <v>0</v>
      </c>
      <c r="CT32" s="97">
        <v>0</v>
      </c>
      <c r="CU32" s="97">
        <v>0</v>
      </c>
    </row>
    <row r="33" spans="2:99" x14ac:dyDescent="0.15">
      <c r="C33" s="96" t="s">
        <v>198</v>
      </c>
      <c r="D33" s="97">
        <v>0</v>
      </c>
      <c r="E33" s="97">
        <v>0</v>
      </c>
      <c r="F33" s="97">
        <v>0</v>
      </c>
      <c r="G33" s="97">
        <v>0</v>
      </c>
      <c r="H33" s="97">
        <v>0</v>
      </c>
      <c r="I33" s="97">
        <v>0</v>
      </c>
      <c r="J33" s="97">
        <v>0</v>
      </c>
      <c r="K33" s="97">
        <v>0</v>
      </c>
      <c r="L33" s="97">
        <v>0</v>
      </c>
      <c r="M33" s="97">
        <v>0</v>
      </c>
      <c r="N33" s="97">
        <v>0</v>
      </c>
      <c r="O33" s="97">
        <v>0</v>
      </c>
      <c r="P33" s="97">
        <v>0</v>
      </c>
      <c r="Q33" s="97">
        <v>0</v>
      </c>
      <c r="R33" s="97">
        <v>0</v>
      </c>
      <c r="S33" s="97">
        <v>0</v>
      </c>
      <c r="T33" s="97">
        <v>0</v>
      </c>
      <c r="U33" s="97">
        <v>0</v>
      </c>
      <c r="V33" s="97">
        <v>0</v>
      </c>
      <c r="W33" s="97">
        <v>0</v>
      </c>
      <c r="X33" s="97">
        <v>0</v>
      </c>
      <c r="Y33" s="97">
        <v>0</v>
      </c>
      <c r="Z33" s="97">
        <v>0</v>
      </c>
      <c r="AA33" s="97">
        <v>0</v>
      </c>
      <c r="AB33" s="97">
        <v>0</v>
      </c>
      <c r="AC33" s="97">
        <v>0</v>
      </c>
      <c r="AD33" s="97">
        <v>0</v>
      </c>
      <c r="AE33" s="97">
        <v>0</v>
      </c>
      <c r="AF33" s="97">
        <v>0</v>
      </c>
      <c r="AG33" s="97">
        <v>0</v>
      </c>
      <c r="AH33" s="97">
        <v>0</v>
      </c>
      <c r="AI33" s="97">
        <v>0</v>
      </c>
      <c r="AJ33" s="97">
        <v>0</v>
      </c>
      <c r="AK33" s="97">
        <v>0</v>
      </c>
      <c r="AL33" s="97">
        <v>0</v>
      </c>
      <c r="AM33" s="97">
        <v>0</v>
      </c>
      <c r="AN33" s="97">
        <v>0</v>
      </c>
      <c r="AO33" s="97">
        <v>0</v>
      </c>
      <c r="AP33" s="97">
        <v>0</v>
      </c>
      <c r="AQ33" s="97">
        <v>0</v>
      </c>
      <c r="AR33" s="97">
        <v>0</v>
      </c>
      <c r="AS33" s="97">
        <v>0</v>
      </c>
      <c r="AT33" s="97">
        <v>0</v>
      </c>
      <c r="AU33" s="97">
        <v>0</v>
      </c>
      <c r="AV33" s="97">
        <v>0</v>
      </c>
      <c r="AW33" s="97">
        <v>0</v>
      </c>
      <c r="AX33" s="97">
        <v>0</v>
      </c>
      <c r="AY33" s="97">
        <v>0</v>
      </c>
      <c r="AZ33" s="97">
        <v>0</v>
      </c>
      <c r="BA33" s="97">
        <v>0</v>
      </c>
      <c r="BB33" s="97">
        <v>0</v>
      </c>
      <c r="BC33" s="97">
        <v>0</v>
      </c>
      <c r="BD33" s="97">
        <v>0</v>
      </c>
      <c r="BE33" s="97">
        <v>0</v>
      </c>
      <c r="BF33" s="97">
        <v>0</v>
      </c>
      <c r="BG33" s="97">
        <v>0</v>
      </c>
      <c r="BH33" s="97">
        <v>0</v>
      </c>
      <c r="BI33" s="97">
        <v>0</v>
      </c>
      <c r="BJ33" s="97">
        <v>0</v>
      </c>
      <c r="BK33" s="97">
        <v>0</v>
      </c>
      <c r="BL33" s="97">
        <v>0</v>
      </c>
      <c r="BM33" s="97">
        <v>0</v>
      </c>
      <c r="BN33" s="97">
        <v>0</v>
      </c>
      <c r="BO33" s="97">
        <v>0</v>
      </c>
      <c r="BP33" s="97">
        <v>0</v>
      </c>
      <c r="BQ33" s="97">
        <v>0</v>
      </c>
      <c r="BR33" s="97">
        <v>0</v>
      </c>
      <c r="BS33" s="97">
        <v>0</v>
      </c>
      <c r="BT33" s="97">
        <v>0</v>
      </c>
      <c r="BU33" s="97">
        <v>0</v>
      </c>
      <c r="BV33" s="97">
        <v>0</v>
      </c>
      <c r="BW33" s="97">
        <v>0</v>
      </c>
      <c r="BX33" s="97">
        <v>0</v>
      </c>
      <c r="BY33" s="97">
        <v>0</v>
      </c>
      <c r="BZ33" s="97">
        <v>0</v>
      </c>
      <c r="CA33" s="97">
        <v>0</v>
      </c>
      <c r="CB33" s="97">
        <v>0</v>
      </c>
      <c r="CC33" s="97">
        <v>0</v>
      </c>
      <c r="CD33" s="97">
        <v>0</v>
      </c>
      <c r="CE33" s="97">
        <v>0</v>
      </c>
      <c r="CF33" s="97">
        <v>0</v>
      </c>
      <c r="CG33" s="97">
        <v>0</v>
      </c>
      <c r="CH33" s="97">
        <v>0</v>
      </c>
      <c r="CI33" s="97">
        <v>0</v>
      </c>
      <c r="CJ33" s="97">
        <v>0</v>
      </c>
      <c r="CK33" s="97">
        <v>0</v>
      </c>
      <c r="CL33" s="97">
        <v>0</v>
      </c>
      <c r="CM33" s="97">
        <v>0</v>
      </c>
      <c r="CN33" s="97">
        <v>0</v>
      </c>
      <c r="CO33" s="97">
        <v>0</v>
      </c>
      <c r="CP33" s="97">
        <v>0</v>
      </c>
      <c r="CQ33" s="97">
        <v>0</v>
      </c>
      <c r="CR33" s="97">
        <v>0</v>
      </c>
      <c r="CS33" s="97">
        <v>0</v>
      </c>
      <c r="CT33" s="97">
        <v>0</v>
      </c>
      <c r="CU33" s="97">
        <v>0</v>
      </c>
    </row>
    <row r="34" spans="2:99" x14ac:dyDescent="0.15">
      <c r="C34" s="96" t="s">
        <v>199</v>
      </c>
      <c r="D34" s="97">
        <v>0</v>
      </c>
      <c r="E34" s="97">
        <v>0</v>
      </c>
      <c r="F34" s="97">
        <v>0</v>
      </c>
      <c r="G34" s="97">
        <v>0</v>
      </c>
      <c r="H34" s="97">
        <v>0</v>
      </c>
      <c r="I34" s="97">
        <v>0</v>
      </c>
      <c r="J34" s="97">
        <v>0</v>
      </c>
      <c r="K34" s="97">
        <v>0</v>
      </c>
      <c r="L34" s="97">
        <v>0</v>
      </c>
      <c r="M34" s="97">
        <v>0</v>
      </c>
      <c r="N34" s="97">
        <v>0</v>
      </c>
      <c r="O34" s="97">
        <v>0</v>
      </c>
      <c r="P34" s="97">
        <v>0</v>
      </c>
      <c r="Q34" s="97">
        <v>0</v>
      </c>
      <c r="R34" s="97">
        <v>0</v>
      </c>
      <c r="S34" s="97">
        <v>0</v>
      </c>
      <c r="T34" s="97">
        <v>0</v>
      </c>
      <c r="U34" s="97">
        <v>0</v>
      </c>
      <c r="V34" s="97">
        <v>0</v>
      </c>
      <c r="W34" s="97">
        <v>0</v>
      </c>
      <c r="X34" s="97">
        <v>0</v>
      </c>
      <c r="Y34" s="97">
        <v>0</v>
      </c>
      <c r="Z34" s="97">
        <v>0</v>
      </c>
      <c r="AA34" s="97">
        <v>0</v>
      </c>
      <c r="AB34" s="97">
        <v>0</v>
      </c>
      <c r="AC34" s="97">
        <v>0</v>
      </c>
      <c r="AD34" s="97">
        <v>0</v>
      </c>
      <c r="AE34" s="97">
        <v>0</v>
      </c>
      <c r="AF34" s="97">
        <v>0</v>
      </c>
      <c r="AG34" s="97">
        <v>0</v>
      </c>
      <c r="AH34" s="97">
        <v>0</v>
      </c>
      <c r="AI34" s="97">
        <v>0</v>
      </c>
      <c r="AJ34" s="97">
        <v>0</v>
      </c>
      <c r="AK34" s="97">
        <v>0</v>
      </c>
      <c r="AL34" s="97">
        <v>0</v>
      </c>
      <c r="AM34" s="97">
        <v>0</v>
      </c>
      <c r="AN34" s="97">
        <v>0</v>
      </c>
      <c r="AO34" s="97">
        <v>0</v>
      </c>
      <c r="AP34" s="97">
        <v>0</v>
      </c>
      <c r="AQ34" s="97">
        <v>0</v>
      </c>
      <c r="AR34" s="97">
        <v>0</v>
      </c>
      <c r="AS34" s="97">
        <v>0</v>
      </c>
      <c r="AT34" s="97">
        <v>0</v>
      </c>
      <c r="AU34" s="97">
        <v>0</v>
      </c>
      <c r="AV34" s="97">
        <v>0</v>
      </c>
      <c r="AW34" s="97">
        <v>0</v>
      </c>
      <c r="AX34" s="97">
        <v>0</v>
      </c>
      <c r="AY34" s="97">
        <v>0</v>
      </c>
      <c r="AZ34" s="97">
        <v>0</v>
      </c>
      <c r="BA34" s="97">
        <v>0</v>
      </c>
      <c r="BB34" s="97">
        <v>0</v>
      </c>
      <c r="BC34" s="97">
        <v>0</v>
      </c>
      <c r="BD34" s="97">
        <v>0</v>
      </c>
      <c r="BE34" s="97">
        <v>0</v>
      </c>
      <c r="BF34" s="97">
        <v>0</v>
      </c>
      <c r="BG34" s="97">
        <v>0</v>
      </c>
      <c r="BH34" s="97">
        <v>0</v>
      </c>
      <c r="BI34" s="97">
        <v>0</v>
      </c>
      <c r="BJ34" s="97">
        <v>0</v>
      </c>
      <c r="BK34" s="97">
        <v>0</v>
      </c>
      <c r="BL34" s="97">
        <v>0</v>
      </c>
      <c r="BM34" s="97">
        <v>0</v>
      </c>
      <c r="BN34" s="97">
        <v>0</v>
      </c>
      <c r="BO34" s="97">
        <v>0</v>
      </c>
      <c r="BP34" s="97">
        <v>0</v>
      </c>
      <c r="BQ34" s="97">
        <v>0</v>
      </c>
      <c r="BR34" s="97">
        <v>0</v>
      </c>
      <c r="BS34" s="97">
        <v>0</v>
      </c>
      <c r="BT34" s="97">
        <v>0</v>
      </c>
      <c r="BU34" s="97">
        <v>0</v>
      </c>
      <c r="BV34" s="97">
        <v>0</v>
      </c>
      <c r="BW34" s="97">
        <v>0</v>
      </c>
      <c r="BX34" s="97">
        <v>0</v>
      </c>
      <c r="BY34" s="97">
        <v>0</v>
      </c>
      <c r="BZ34" s="97">
        <v>0</v>
      </c>
      <c r="CA34" s="97">
        <v>0</v>
      </c>
      <c r="CB34" s="97">
        <v>0</v>
      </c>
      <c r="CC34" s="97">
        <v>0</v>
      </c>
      <c r="CD34" s="97">
        <v>0</v>
      </c>
      <c r="CE34" s="97">
        <v>0</v>
      </c>
      <c r="CF34" s="97">
        <v>0</v>
      </c>
      <c r="CG34" s="97">
        <v>0</v>
      </c>
      <c r="CH34" s="97">
        <v>0</v>
      </c>
      <c r="CI34" s="97">
        <v>0</v>
      </c>
      <c r="CJ34" s="97">
        <v>0</v>
      </c>
      <c r="CK34" s="97">
        <v>0</v>
      </c>
      <c r="CL34" s="97">
        <v>0</v>
      </c>
      <c r="CM34" s="97">
        <v>0</v>
      </c>
      <c r="CN34" s="97">
        <v>0</v>
      </c>
      <c r="CO34" s="97">
        <v>0</v>
      </c>
      <c r="CP34" s="97">
        <v>0</v>
      </c>
      <c r="CQ34" s="97">
        <v>0</v>
      </c>
      <c r="CR34" s="97">
        <v>0</v>
      </c>
      <c r="CS34" s="97">
        <v>0</v>
      </c>
      <c r="CT34" s="97">
        <v>0</v>
      </c>
      <c r="CU34" s="97">
        <v>0</v>
      </c>
    </row>
    <row r="35" spans="2:99" x14ac:dyDescent="0.15">
      <c r="C35" s="96" t="s">
        <v>200</v>
      </c>
      <c r="D35" s="97">
        <v>0</v>
      </c>
      <c r="E35" s="97">
        <v>0</v>
      </c>
      <c r="F35" s="97">
        <v>0</v>
      </c>
      <c r="G35" s="97">
        <v>0</v>
      </c>
      <c r="H35" s="97">
        <v>0</v>
      </c>
      <c r="I35" s="97">
        <v>0</v>
      </c>
      <c r="J35" s="97">
        <v>0</v>
      </c>
      <c r="K35" s="97">
        <v>0</v>
      </c>
      <c r="L35" s="97">
        <v>0</v>
      </c>
      <c r="M35" s="97">
        <v>0</v>
      </c>
      <c r="N35" s="97">
        <v>0</v>
      </c>
      <c r="O35" s="97">
        <v>0</v>
      </c>
      <c r="P35" s="97">
        <v>0</v>
      </c>
      <c r="Q35" s="97">
        <v>0</v>
      </c>
      <c r="R35" s="97">
        <v>0</v>
      </c>
      <c r="S35" s="97">
        <v>0</v>
      </c>
      <c r="T35" s="97">
        <v>0</v>
      </c>
      <c r="U35" s="97">
        <v>0</v>
      </c>
      <c r="V35" s="97">
        <v>0</v>
      </c>
      <c r="W35" s="97">
        <v>0</v>
      </c>
      <c r="X35" s="97">
        <v>0</v>
      </c>
      <c r="Y35" s="97">
        <v>0</v>
      </c>
      <c r="Z35" s="97">
        <v>0</v>
      </c>
      <c r="AA35" s="97">
        <v>0</v>
      </c>
      <c r="AB35" s="97">
        <v>0</v>
      </c>
      <c r="AC35" s="97">
        <v>0</v>
      </c>
      <c r="AD35" s="97">
        <v>0</v>
      </c>
      <c r="AE35" s="97">
        <v>0</v>
      </c>
      <c r="AF35" s="97">
        <v>0</v>
      </c>
      <c r="AG35" s="97">
        <v>0</v>
      </c>
      <c r="AH35" s="97">
        <v>0</v>
      </c>
      <c r="AI35" s="97">
        <v>0</v>
      </c>
      <c r="AJ35" s="97">
        <v>0</v>
      </c>
      <c r="AK35" s="97">
        <v>0</v>
      </c>
      <c r="AL35" s="97">
        <v>0</v>
      </c>
      <c r="AM35" s="97">
        <v>0</v>
      </c>
      <c r="AN35" s="97">
        <v>0</v>
      </c>
      <c r="AO35" s="97">
        <v>0</v>
      </c>
      <c r="AP35" s="97">
        <v>0</v>
      </c>
      <c r="AQ35" s="97">
        <v>0</v>
      </c>
      <c r="AR35" s="97">
        <v>0</v>
      </c>
      <c r="AS35" s="97">
        <v>0</v>
      </c>
      <c r="AT35" s="97">
        <v>0</v>
      </c>
      <c r="AU35" s="97">
        <v>0</v>
      </c>
      <c r="AV35" s="97">
        <v>0</v>
      </c>
      <c r="AW35" s="97">
        <v>0</v>
      </c>
      <c r="AX35" s="97">
        <v>0</v>
      </c>
      <c r="AY35" s="97">
        <v>0</v>
      </c>
      <c r="AZ35" s="97">
        <v>0</v>
      </c>
      <c r="BA35" s="97">
        <v>0</v>
      </c>
      <c r="BB35" s="97">
        <v>0</v>
      </c>
      <c r="BC35" s="97">
        <v>0</v>
      </c>
      <c r="BD35" s="97">
        <v>0</v>
      </c>
      <c r="BE35" s="97">
        <v>0</v>
      </c>
      <c r="BF35" s="97">
        <v>0</v>
      </c>
      <c r="BG35" s="97">
        <v>0</v>
      </c>
      <c r="BH35" s="97">
        <v>0</v>
      </c>
      <c r="BI35" s="97">
        <v>0</v>
      </c>
      <c r="BJ35" s="97">
        <v>0</v>
      </c>
      <c r="BK35" s="97">
        <v>0</v>
      </c>
      <c r="BL35" s="97">
        <v>0</v>
      </c>
      <c r="BM35" s="97">
        <v>0</v>
      </c>
      <c r="BN35" s="97">
        <v>0</v>
      </c>
      <c r="BO35" s="97">
        <v>0</v>
      </c>
      <c r="BP35" s="97">
        <v>0</v>
      </c>
      <c r="BQ35" s="97">
        <v>0</v>
      </c>
      <c r="BR35" s="97">
        <v>0</v>
      </c>
      <c r="BS35" s="97">
        <v>0</v>
      </c>
      <c r="BT35" s="97">
        <v>0</v>
      </c>
      <c r="BU35" s="97">
        <v>0</v>
      </c>
      <c r="BV35" s="97">
        <v>0</v>
      </c>
      <c r="BW35" s="97">
        <v>0</v>
      </c>
      <c r="BX35" s="97">
        <v>0</v>
      </c>
      <c r="BY35" s="97">
        <v>0</v>
      </c>
      <c r="BZ35" s="97">
        <v>0</v>
      </c>
      <c r="CA35" s="97">
        <v>0</v>
      </c>
      <c r="CB35" s="97">
        <v>0</v>
      </c>
      <c r="CC35" s="97">
        <v>0</v>
      </c>
      <c r="CD35" s="97">
        <v>0</v>
      </c>
      <c r="CE35" s="97">
        <v>0</v>
      </c>
      <c r="CF35" s="97">
        <v>0</v>
      </c>
      <c r="CG35" s="97">
        <v>0</v>
      </c>
      <c r="CH35" s="97">
        <v>0</v>
      </c>
      <c r="CI35" s="97">
        <v>0</v>
      </c>
      <c r="CJ35" s="97">
        <v>0</v>
      </c>
      <c r="CK35" s="97">
        <v>0</v>
      </c>
      <c r="CL35" s="97">
        <v>0</v>
      </c>
      <c r="CM35" s="97">
        <v>0</v>
      </c>
      <c r="CN35" s="97">
        <v>0</v>
      </c>
      <c r="CO35" s="97">
        <v>0</v>
      </c>
      <c r="CP35" s="97">
        <v>0</v>
      </c>
      <c r="CQ35" s="97">
        <v>0</v>
      </c>
      <c r="CR35" s="97">
        <v>0</v>
      </c>
      <c r="CS35" s="97">
        <v>0</v>
      </c>
      <c r="CT35" s="97">
        <v>0</v>
      </c>
      <c r="CU35" s="97">
        <v>0</v>
      </c>
    </row>
    <row r="36" spans="2:99" x14ac:dyDescent="0.15">
      <c r="C36" s="96" t="s">
        <v>201</v>
      </c>
      <c r="D36" s="97">
        <v>0</v>
      </c>
      <c r="E36" s="97">
        <v>0</v>
      </c>
      <c r="F36" s="97">
        <v>0</v>
      </c>
      <c r="G36" s="97">
        <v>0</v>
      </c>
      <c r="H36" s="97">
        <v>0</v>
      </c>
      <c r="I36" s="97">
        <v>0</v>
      </c>
      <c r="J36" s="97">
        <v>0</v>
      </c>
      <c r="K36" s="97">
        <v>0</v>
      </c>
      <c r="L36" s="97">
        <v>0</v>
      </c>
      <c r="M36" s="97">
        <v>0</v>
      </c>
      <c r="N36" s="97">
        <v>0</v>
      </c>
      <c r="O36" s="97">
        <v>0</v>
      </c>
      <c r="P36" s="97">
        <v>0</v>
      </c>
      <c r="Q36" s="97">
        <v>0</v>
      </c>
      <c r="R36" s="97">
        <v>0</v>
      </c>
      <c r="S36" s="97">
        <v>0</v>
      </c>
      <c r="T36" s="97">
        <v>0</v>
      </c>
      <c r="U36" s="97">
        <v>0</v>
      </c>
      <c r="V36" s="97">
        <v>0</v>
      </c>
      <c r="W36" s="97">
        <v>0</v>
      </c>
      <c r="X36" s="97">
        <v>0</v>
      </c>
      <c r="Y36" s="97">
        <v>0</v>
      </c>
      <c r="Z36" s="97">
        <v>0</v>
      </c>
      <c r="AA36" s="97">
        <v>0</v>
      </c>
      <c r="AB36" s="97">
        <v>0</v>
      </c>
      <c r="AC36" s="97">
        <v>0</v>
      </c>
      <c r="AD36" s="97">
        <v>0</v>
      </c>
      <c r="AE36" s="97">
        <v>0</v>
      </c>
      <c r="AF36" s="97">
        <v>0</v>
      </c>
      <c r="AG36" s="97">
        <v>0</v>
      </c>
      <c r="AH36" s="97">
        <v>0</v>
      </c>
      <c r="AI36" s="97">
        <v>0</v>
      </c>
      <c r="AJ36" s="97">
        <v>0</v>
      </c>
      <c r="AK36" s="97">
        <v>0</v>
      </c>
      <c r="AL36" s="97">
        <v>0</v>
      </c>
      <c r="AM36" s="97">
        <v>0</v>
      </c>
      <c r="AN36" s="97">
        <v>0</v>
      </c>
      <c r="AO36" s="97">
        <v>0</v>
      </c>
      <c r="AP36" s="97">
        <v>0</v>
      </c>
      <c r="AQ36" s="97">
        <v>0</v>
      </c>
      <c r="AR36" s="97">
        <v>0</v>
      </c>
      <c r="AS36" s="97">
        <v>0</v>
      </c>
      <c r="AT36" s="97">
        <v>0</v>
      </c>
      <c r="AU36" s="97">
        <v>0</v>
      </c>
      <c r="AV36" s="97">
        <v>0</v>
      </c>
      <c r="AW36" s="97">
        <v>0</v>
      </c>
      <c r="AX36" s="97">
        <v>0</v>
      </c>
      <c r="AY36" s="97">
        <v>0</v>
      </c>
      <c r="AZ36" s="97">
        <v>0</v>
      </c>
      <c r="BA36" s="97">
        <v>0</v>
      </c>
      <c r="BB36" s="97">
        <v>0</v>
      </c>
      <c r="BC36" s="97">
        <v>0</v>
      </c>
      <c r="BD36" s="97">
        <v>0</v>
      </c>
      <c r="BE36" s="97">
        <v>0</v>
      </c>
      <c r="BF36" s="97">
        <v>0</v>
      </c>
      <c r="BG36" s="97">
        <v>0</v>
      </c>
      <c r="BH36" s="97">
        <v>0</v>
      </c>
      <c r="BI36" s="97">
        <v>0</v>
      </c>
      <c r="BJ36" s="97">
        <v>0</v>
      </c>
      <c r="BK36" s="97">
        <v>0</v>
      </c>
      <c r="BL36" s="97">
        <v>0</v>
      </c>
      <c r="BM36" s="97">
        <v>0</v>
      </c>
      <c r="BN36" s="97">
        <v>0</v>
      </c>
      <c r="BO36" s="97">
        <v>0</v>
      </c>
      <c r="BP36" s="97">
        <v>0</v>
      </c>
      <c r="BQ36" s="97">
        <v>0</v>
      </c>
      <c r="BR36" s="97">
        <v>0</v>
      </c>
      <c r="BS36" s="97">
        <v>0</v>
      </c>
      <c r="BT36" s="97">
        <v>0</v>
      </c>
      <c r="BU36" s="97">
        <v>0</v>
      </c>
      <c r="BV36" s="97">
        <v>0</v>
      </c>
      <c r="BW36" s="97">
        <v>0</v>
      </c>
      <c r="BX36" s="97">
        <v>0</v>
      </c>
      <c r="BY36" s="97">
        <v>0</v>
      </c>
      <c r="BZ36" s="97">
        <v>0</v>
      </c>
      <c r="CA36" s="97">
        <v>0</v>
      </c>
      <c r="CB36" s="97">
        <v>0</v>
      </c>
      <c r="CC36" s="97">
        <v>0</v>
      </c>
      <c r="CD36" s="97">
        <v>0</v>
      </c>
      <c r="CE36" s="97">
        <v>0</v>
      </c>
      <c r="CF36" s="97">
        <v>0</v>
      </c>
      <c r="CG36" s="97">
        <v>0</v>
      </c>
      <c r="CH36" s="97">
        <v>0</v>
      </c>
      <c r="CI36" s="97">
        <v>0</v>
      </c>
      <c r="CJ36" s="97">
        <v>0</v>
      </c>
      <c r="CK36" s="97">
        <v>0</v>
      </c>
      <c r="CL36" s="97">
        <v>0</v>
      </c>
      <c r="CM36" s="97">
        <v>0</v>
      </c>
      <c r="CN36" s="97">
        <v>0</v>
      </c>
      <c r="CO36" s="97">
        <v>0</v>
      </c>
      <c r="CP36" s="97">
        <v>0</v>
      </c>
      <c r="CQ36" s="97">
        <v>0</v>
      </c>
      <c r="CR36" s="97">
        <v>0</v>
      </c>
      <c r="CS36" s="97">
        <v>0</v>
      </c>
      <c r="CT36" s="97">
        <v>0</v>
      </c>
      <c r="CU36" s="97">
        <v>0</v>
      </c>
    </row>
    <row r="37" spans="2:99" x14ac:dyDescent="0.15">
      <c r="B37" s="96" t="s">
        <v>128</v>
      </c>
      <c r="C37" s="96" t="s">
        <v>202</v>
      </c>
      <c r="D37" s="97">
        <v>0</v>
      </c>
      <c r="E37" s="97">
        <v>0</v>
      </c>
      <c r="F37" s="97">
        <v>0</v>
      </c>
      <c r="G37" s="97">
        <v>0</v>
      </c>
      <c r="H37" s="97">
        <v>0</v>
      </c>
      <c r="I37" s="97">
        <v>0</v>
      </c>
      <c r="J37" s="97">
        <v>0</v>
      </c>
      <c r="K37" s="97">
        <v>0</v>
      </c>
      <c r="L37" s="97">
        <v>0</v>
      </c>
      <c r="M37" s="97">
        <v>0</v>
      </c>
      <c r="N37" s="97">
        <v>0</v>
      </c>
      <c r="O37" s="97">
        <v>0</v>
      </c>
      <c r="P37" s="97">
        <v>0</v>
      </c>
      <c r="Q37" s="97">
        <v>0</v>
      </c>
      <c r="R37" s="97">
        <v>0</v>
      </c>
      <c r="S37" s="97">
        <v>0</v>
      </c>
      <c r="T37" s="97">
        <v>0</v>
      </c>
      <c r="U37" s="97">
        <v>0</v>
      </c>
      <c r="V37" s="97">
        <v>0</v>
      </c>
      <c r="W37" s="97">
        <v>0</v>
      </c>
      <c r="X37" s="97">
        <v>0</v>
      </c>
      <c r="Y37" s="97">
        <v>0</v>
      </c>
      <c r="Z37" s="97">
        <v>0</v>
      </c>
      <c r="AA37" s="97">
        <v>0</v>
      </c>
      <c r="AB37" s="97">
        <v>0</v>
      </c>
      <c r="AC37" s="97">
        <v>0</v>
      </c>
      <c r="AD37" s="97">
        <v>0</v>
      </c>
      <c r="AE37" s="97">
        <v>0</v>
      </c>
      <c r="AF37" s="97">
        <v>0</v>
      </c>
      <c r="AG37" s="97">
        <v>0</v>
      </c>
      <c r="AH37" s="97">
        <v>0</v>
      </c>
      <c r="AI37" s="97">
        <v>0</v>
      </c>
      <c r="AJ37" s="97">
        <v>0</v>
      </c>
      <c r="AK37" s="97">
        <v>0</v>
      </c>
      <c r="AL37" s="97">
        <v>0</v>
      </c>
      <c r="AM37" s="97">
        <v>0</v>
      </c>
      <c r="AN37" s="97">
        <v>0</v>
      </c>
      <c r="AO37" s="97">
        <v>0</v>
      </c>
      <c r="AP37" s="97">
        <v>0</v>
      </c>
      <c r="AQ37" s="97">
        <v>0</v>
      </c>
      <c r="AR37" s="97">
        <v>0</v>
      </c>
      <c r="AS37" s="97">
        <v>0</v>
      </c>
      <c r="AT37" s="97">
        <v>0</v>
      </c>
      <c r="AU37" s="97">
        <v>0</v>
      </c>
      <c r="AV37" s="97">
        <v>0</v>
      </c>
      <c r="AW37" s="97">
        <v>0</v>
      </c>
      <c r="AX37" s="97">
        <v>0</v>
      </c>
      <c r="AY37" s="97">
        <v>0</v>
      </c>
      <c r="AZ37" s="97">
        <v>0</v>
      </c>
      <c r="BA37" s="97">
        <v>0</v>
      </c>
      <c r="BB37" s="97">
        <v>0</v>
      </c>
      <c r="BC37" s="97">
        <v>0</v>
      </c>
      <c r="BD37" s="97">
        <v>0</v>
      </c>
      <c r="BE37" s="97">
        <v>0</v>
      </c>
      <c r="BF37" s="97">
        <v>0</v>
      </c>
      <c r="BG37" s="97">
        <v>0</v>
      </c>
      <c r="BH37" s="97">
        <v>0</v>
      </c>
      <c r="BI37" s="97">
        <v>0</v>
      </c>
      <c r="BJ37" s="97">
        <v>0</v>
      </c>
      <c r="BK37" s="97">
        <v>0</v>
      </c>
      <c r="BL37" s="97">
        <v>0</v>
      </c>
      <c r="BM37" s="97">
        <v>0</v>
      </c>
      <c r="BN37" s="97">
        <v>0</v>
      </c>
      <c r="BO37" s="97">
        <v>0</v>
      </c>
      <c r="BP37" s="97">
        <v>0</v>
      </c>
      <c r="BQ37" s="97">
        <v>0</v>
      </c>
      <c r="BR37" s="97">
        <v>0</v>
      </c>
      <c r="BS37" s="97">
        <v>0</v>
      </c>
      <c r="BT37" s="97">
        <v>0</v>
      </c>
      <c r="BU37" s="97">
        <v>0</v>
      </c>
      <c r="BV37" s="97">
        <v>0</v>
      </c>
      <c r="BW37" s="97">
        <v>0</v>
      </c>
      <c r="BX37" s="97">
        <v>0</v>
      </c>
      <c r="BY37" s="97">
        <v>0</v>
      </c>
      <c r="BZ37" s="97">
        <v>0</v>
      </c>
      <c r="CA37" s="97">
        <v>0</v>
      </c>
      <c r="CB37" s="97">
        <v>0</v>
      </c>
      <c r="CC37" s="97">
        <v>0</v>
      </c>
      <c r="CD37" s="97">
        <v>0</v>
      </c>
      <c r="CE37" s="97">
        <v>0</v>
      </c>
      <c r="CF37" s="97">
        <v>0</v>
      </c>
      <c r="CG37" s="97">
        <v>0</v>
      </c>
      <c r="CH37" s="97">
        <v>0</v>
      </c>
      <c r="CI37" s="97">
        <v>0</v>
      </c>
      <c r="CJ37" s="97">
        <v>0</v>
      </c>
      <c r="CK37" s="97">
        <v>0</v>
      </c>
      <c r="CL37" s="97">
        <v>0</v>
      </c>
      <c r="CM37" s="97">
        <v>0</v>
      </c>
      <c r="CN37" s="97">
        <v>0</v>
      </c>
      <c r="CO37" s="97">
        <v>0</v>
      </c>
      <c r="CP37" s="97">
        <v>0</v>
      </c>
      <c r="CQ37" s="97">
        <v>0</v>
      </c>
      <c r="CR37" s="97">
        <v>0</v>
      </c>
      <c r="CS37" s="97">
        <v>0</v>
      </c>
      <c r="CT37" s="97">
        <v>0</v>
      </c>
      <c r="CU37" s="97">
        <v>0</v>
      </c>
    </row>
    <row r="38" spans="2:99" x14ac:dyDescent="0.15">
      <c r="C38" s="96" t="s">
        <v>203</v>
      </c>
      <c r="D38" s="97">
        <v>0</v>
      </c>
      <c r="E38" s="97">
        <v>0</v>
      </c>
      <c r="F38" s="97">
        <v>0</v>
      </c>
      <c r="G38" s="97">
        <v>0</v>
      </c>
      <c r="H38" s="97">
        <v>0</v>
      </c>
      <c r="I38" s="97">
        <v>0</v>
      </c>
      <c r="J38" s="97">
        <v>0</v>
      </c>
      <c r="K38" s="97">
        <v>0</v>
      </c>
      <c r="L38" s="97">
        <v>0</v>
      </c>
      <c r="M38" s="97">
        <v>0</v>
      </c>
      <c r="N38" s="97">
        <v>0</v>
      </c>
      <c r="O38" s="97">
        <v>0</v>
      </c>
      <c r="P38" s="97">
        <v>0</v>
      </c>
      <c r="Q38" s="97">
        <v>0</v>
      </c>
      <c r="R38" s="97">
        <v>0</v>
      </c>
      <c r="S38" s="97">
        <v>0</v>
      </c>
      <c r="T38" s="97">
        <v>0</v>
      </c>
      <c r="U38" s="97">
        <v>0</v>
      </c>
      <c r="V38" s="97">
        <v>0</v>
      </c>
      <c r="W38" s="97">
        <v>0</v>
      </c>
      <c r="X38" s="97">
        <v>0</v>
      </c>
      <c r="Y38" s="97">
        <v>0</v>
      </c>
      <c r="Z38" s="97">
        <v>0</v>
      </c>
      <c r="AA38" s="97">
        <v>0</v>
      </c>
      <c r="AB38" s="97">
        <v>0</v>
      </c>
      <c r="AC38" s="97">
        <v>0</v>
      </c>
      <c r="AD38" s="97">
        <v>0</v>
      </c>
      <c r="AE38" s="97">
        <v>0</v>
      </c>
      <c r="AF38" s="97">
        <v>0</v>
      </c>
      <c r="AG38" s="97">
        <v>0</v>
      </c>
      <c r="AH38" s="97">
        <v>0</v>
      </c>
      <c r="AI38" s="97">
        <v>0</v>
      </c>
      <c r="AJ38" s="97">
        <v>0</v>
      </c>
      <c r="AK38" s="97">
        <v>0</v>
      </c>
      <c r="AL38" s="97">
        <v>0</v>
      </c>
      <c r="AM38" s="97">
        <v>0</v>
      </c>
      <c r="AN38" s="97">
        <v>0</v>
      </c>
      <c r="AO38" s="97">
        <v>0</v>
      </c>
      <c r="AP38" s="97">
        <v>0</v>
      </c>
      <c r="AQ38" s="97">
        <v>0</v>
      </c>
      <c r="AR38" s="97">
        <v>0</v>
      </c>
      <c r="AS38" s="97">
        <v>0</v>
      </c>
      <c r="AT38" s="97">
        <v>0</v>
      </c>
      <c r="AU38" s="97">
        <v>0</v>
      </c>
      <c r="AV38" s="97">
        <v>0</v>
      </c>
      <c r="AW38" s="97">
        <v>0</v>
      </c>
      <c r="AX38" s="97">
        <v>0</v>
      </c>
      <c r="AY38" s="97">
        <v>0</v>
      </c>
      <c r="AZ38" s="97">
        <v>0</v>
      </c>
      <c r="BA38" s="97">
        <v>0</v>
      </c>
      <c r="BB38" s="97">
        <v>0</v>
      </c>
      <c r="BC38" s="97">
        <v>0</v>
      </c>
      <c r="BD38" s="97">
        <v>0</v>
      </c>
      <c r="BE38" s="97">
        <v>0</v>
      </c>
      <c r="BF38" s="97">
        <v>0</v>
      </c>
      <c r="BG38" s="97">
        <v>0</v>
      </c>
      <c r="BH38" s="97">
        <v>0</v>
      </c>
      <c r="BI38" s="97">
        <v>0</v>
      </c>
      <c r="BJ38" s="97">
        <v>0</v>
      </c>
      <c r="BK38" s="97">
        <v>0</v>
      </c>
      <c r="BL38" s="97">
        <v>0</v>
      </c>
      <c r="BM38" s="97">
        <v>0</v>
      </c>
      <c r="BN38" s="97">
        <v>0</v>
      </c>
      <c r="BO38" s="97">
        <v>0</v>
      </c>
      <c r="BP38" s="97">
        <v>0</v>
      </c>
      <c r="BQ38" s="97">
        <v>0</v>
      </c>
      <c r="BR38" s="97">
        <v>0</v>
      </c>
      <c r="BS38" s="97">
        <v>0</v>
      </c>
      <c r="BT38" s="97">
        <v>0</v>
      </c>
      <c r="BU38" s="97">
        <v>0</v>
      </c>
      <c r="BV38" s="97">
        <v>0</v>
      </c>
      <c r="BW38" s="97">
        <v>0</v>
      </c>
      <c r="BX38" s="97">
        <v>0</v>
      </c>
      <c r="BY38" s="97">
        <v>0</v>
      </c>
      <c r="BZ38" s="97">
        <v>0</v>
      </c>
      <c r="CA38" s="97">
        <v>0</v>
      </c>
      <c r="CB38" s="97">
        <v>0</v>
      </c>
      <c r="CC38" s="97">
        <v>0</v>
      </c>
      <c r="CD38" s="97">
        <v>0</v>
      </c>
      <c r="CE38" s="97">
        <v>0</v>
      </c>
      <c r="CF38" s="97">
        <v>0</v>
      </c>
      <c r="CG38" s="97">
        <v>0</v>
      </c>
      <c r="CH38" s="97">
        <v>0</v>
      </c>
      <c r="CI38" s="97">
        <v>0</v>
      </c>
      <c r="CJ38" s="97">
        <v>0</v>
      </c>
      <c r="CK38" s="97">
        <v>0</v>
      </c>
      <c r="CL38" s="97">
        <v>0</v>
      </c>
      <c r="CM38" s="97">
        <v>0</v>
      </c>
      <c r="CN38" s="97">
        <v>0</v>
      </c>
      <c r="CO38" s="97">
        <v>0</v>
      </c>
      <c r="CP38" s="97">
        <v>0</v>
      </c>
      <c r="CQ38" s="97">
        <v>0</v>
      </c>
      <c r="CR38" s="97">
        <v>0</v>
      </c>
      <c r="CS38" s="97">
        <v>0</v>
      </c>
      <c r="CT38" s="97">
        <v>0</v>
      </c>
      <c r="CU38" s="97">
        <v>0</v>
      </c>
    </row>
    <row r="39" spans="2:99" x14ac:dyDescent="0.15">
      <c r="C39" s="96" t="s">
        <v>204</v>
      </c>
      <c r="D39" s="97">
        <v>0</v>
      </c>
      <c r="E39" s="97">
        <v>0</v>
      </c>
      <c r="F39" s="97">
        <v>0</v>
      </c>
      <c r="G39" s="97">
        <v>0</v>
      </c>
      <c r="H39" s="97">
        <v>0</v>
      </c>
      <c r="I39" s="97">
        <v>0</v>
      </c>
      <c r="J39" s="97">
        <v>0</v>
      </c>
      <c r="K39" s="97">
        <v>0</v>
      </c>
      <c r="L39" s="97">
        <v>0</v>
      </c>
      <c r="M39" s="97">
        <v>0</v>
      </c>
      <c r="N39" s="97">
        <v>0</v>
      </c>
      <c r="O39" s="97">
        <v>0</v>
      </c>
      <c r="P39" s="97">
        <v>0</v>
      </c>
      <c r="Q39" s="97">
        <v>0</v>
      </c>
      <c r="R39" s="97">
        <v>0</v>
      </c>
      <c r="S39" s="97">
        <v>0</v>
      </c>
      <c r="T39" s="97">
        <v>0</v>
      </c>
      <c r="U39" s="97">
        <v>0</v>
      </c>
      <c r="V39" s="97">
        <v>0</v>
      </c>
      <c r="W39" s="97">
        <v>0</v>
      </c>
      <c r="X39" s="97">
        <v>0</v>
      </c>
      <c r="Y39" s="97">
        <v>0</v>
      </c>
      <c r="Z39" s="97">
        <v>0</v>
      </c>
      <c r="AA39" s="97">
        <v>0</v>
      </c>
      <c r="AB39" s="97">
        <v>0</v>
      </c>
      <c r="AC39" s="97">
        <v>0</v>
      </c>
      <c r="AD39" s="97">
        <v>0</v>
      </c>
      <c r="AE39" s="97">
        <v>0</v>
      </c>
      <c r="AF39" s="97">
        <v>0</v>
      </c>
      <c r="AG39" s="97">
        <v>0</v>
      </c>
      <c r="AH39" s="97">
        <v>0</v>
      </c>
      <c r="AI39" s="97">
        <v>0</v>
      </c>
      <c r="AJ39" s="97">
        <v>0</v>
      </c>
      <c r="AK39" s="97">
        <v>0</v>
      </c>
      <c r="AL39" s="97">
        <v>0</v>
      </c>
      <c r="AM39" s="97">
        <v>0</v>
      </c>
      <c r="AN39" s="97">
        <v>0</v>
      </c>
      <c r="AO39" s="97">
        <v>0</v>
      </c>
      <c r="AP39" s="97">
        <v>0</v>
      </c>
      <c r="AQ39" s="97">
        <v>0</v>
      </c>
      <c r="AR39" s="97">
        <v>0</v>
      </c>
      <c r="AS39" s="97">
        <v>0</v>
      </c>
      <c r="AT39" s="97">
        <v>0</v>
      </c>
      <c r="AU39" s="97">
        <v>0</v>
      </c>
      <c r="AV39" s="97">
        <v>0</v>
      </c>
      <c r="AW39" s="97">
        <v>0</v>
      </c>
      <c r="AX39" s="97">
        <v>0</v>
      </c>
      <c r="AY39" s="97">
        <v>0</v>
      </c>
      <c r="AZ39" s="97">
        <v>0</v>
      </c>
      <c r="BA39" s="97">
        <v>0</v>
      </c>
      <c r="BB39" s="97">
        <v>0</v>
      </c>
      <c r="BC39" s="97">
        <v>0</v>
      </c>
      <c r="BD39" s="97">
        <v>0</v>
      </c>
      <c r="BE39" s="97">
        <v>0</v>
      </c>
      <c r="BF39" s="97">
        <v>0</v>
      </c>
      <c r="BG39" s="97">
        <v>0</v>
      </c>
      <c r="BH39" s="97">
        <v>0</v>
      </c>
      <c r="BI39" s="97">
        <v>0</v>
      </c>
      <c r="BJ39" s="97">
        <v>0</v>
      </c>
      <c r="BK39" s="97">
        <v>0</v>
      </c>
      <c r="BL39" s="97">
        <v>0</v>
      </c>
      <c r="BM39" s="97">
        <v>0</v>
      </c>
      <c r="BN39" s="97">
        <v>0</v>
      </c>
      <c r="BO39" s="97">
        <v>0</v>
      </c>
      <c r="BP39" s="97">
        <v>0</v>
      </c>
      <c r="BQ39" s="97">
        <v>0</v>
      </c>
      <c r="BR39" s="97">
        <v>0</v>
      </c>
      <c r="BS39" s="97">
        <v>0</v>
      </c>
      <c r="BT39" s="97">
        <v>0</v>
      </c>
      <c r="BU39" s="97">
        <v>0</v>
      </c>
      <c r="BV39" s="97">
        <v>0</v>
      </c>
      <c r="BW39" s="97">
        <v>0</v>
      </c>
      <c r="BX39" s="97">
        <v>0</v>
      </c>
      <c r="BY39" s="97">
        <v>0</v>
      </c>
      <c r="BZ39" s="97">
        <v>0</v>
      </c>
      <c r="CA39" s="97">
        <v>0</v>
      </c>
      <c r="CB39" s="97">
        <v>0</v>
      </c>
      <c r="CC39" s="97">
        <v>0</v>
      </c>
      <c r="CD39" s="97">
        <v>0</v>
      </c>
      <c r="CE39" s="97">
        <v>0</v>
      </c>
      <c r="CF39" s="97">
        <v>0</v>
      </c>
      <c r="CG39" s="97">
        <v>0</v>
      </c>
      <c r="CH39" s="97">
        <v>0</v>
      </c>
      <c r="CI39" s="97">
        <v>0</v>
      </c>
      <c r="CJ39" s="97">
        <v>0</v>
      </c>
      <c r="CK39" s="97">
        <v>0</v>
      </c>
      <c r="CL39" s="97">
        <v>0</v>
      </c>
      <c r="CM39" s="97">
        <v>0</v>
      </c>
      <c r="CN39" s="97">
        <v>0</v>
      </c>
      <c r="CO39" s="97">
        <v>0</v>
      </c>
      <c r="CP39" s="97">
        <v>0</v>
      </c>
      <c r="CQ39" s="97">
        <v>0</v>
      </c>
      <c r="CR39" s="97">
        <v>0</v>
      </c>
      <c r="CS39" s="97">
        <v>0</v>
      </c>
      <c r="CT39" s="97">
        <v>0</v>
      </c>
      <c r="CU39" s="97">
        <v>0</v>
      </c>
    </row>
    <row r="40" spans="2:99" x14ac:dyDescent="0.15">
      <c r="C40" s="96" t="s">
        <v>205</v>
      </c>
      <c r="D40" s="97">
        <v>0</v>
      </c>
      <c r="E40" s="97">
        <v>0</v>
      </c>
      <c r="F40" s="97">
        <v>0</v>
      </c>
      <c r="G40" s="97">
        <v>0</v>
      </c>
      <c r="H40" s="97">
        <v>0</v>
      </c>
      <c r="I40" s="97">
        <v>0</v>
      </c>
      <c r="J40" s="97">
        <v>0</v>
      </c>
      <c r="K40" s="97">
        <v>0</v>
      </c>
      <c r="L40" s="97">
        <v>0</v>
      </c>
      <c r="M40" s="97">
        <v>0</v>
      </c>
      <c r="N40" s="97">
        <v>0</v>
      </c>
      <c r="O40" s="97">
        <v>0</v>
      </c>
      <c r="P40" s="97">
        <v>0</v>
      </c>
      <c r="Q40" s="97">
        <v>0</v>
      </c>
      <c r="R40" s="97">
        <v>0</v>
      </c>
      <c r="S40" s="97">
        <v>0</v>
      </c>
      <c r="T40" s="97">
        <v>0</v>
      </c>
      <c r="U40" s="97">
        <v>0</v>
      </c>
      <c r="V40" s="97">
        <v>0</v>
      </c>
      <c r="W40" s="97">
        <v>0</v>
      </c>
      <c r="X40" s="97">
        <v>0</v>
      </c>
      <c r="Y40" s="97">
        <v>0</v>
      </c>
      <c r="Z40" s="97">
        <v>0</v>
      </c>
      <c r="AA40" s="97">
        <v>0</v>
      </c>
      <c r="AB40" s="97">
        <v>0</v>
      </c>
      <c r="AC40" s="97">
        <v>0</v>
      </c>
      <c r="AD40" s="97">
        <v>0</v>
      </c>
      <c r="AE40" s="97">
        <v>0</v>
      </c>
      <c r="AF40" s="97">
        <v>0</v>
      </c>
      <c r="AG40" s="97">
        <v>0</v>
      </c>
      <c r="AH40" s="97">
        <v>0</v>
      </c>
      <c r="AI40" s="97">
        <v>0</v>
      </c>
      <c r="AJ40" s="97">
        <v>0</v>
      </c>
      <c r="AK40" s="97">
        <v>0</v>
      </c>
      <c r="AL40" s="97">
        <v>0</v>
      </c>
      <c r="AM40" s="97">
        <v>0</v>
      </c>
      <c r="AN40" s="97">
        <v>0</v>
      </c>
      <c r="AO40" s="97">
        <v>0</v>
      </c>
      <c r="AP40" s="97">
        <v>0</v>
      </c>
      <c r="AQ40" s="97">
        <v>0</v>
      </c>
      <c r="AR40" s="97">
        <v>0</v>
      </c>
      <c r="AS40" s="97">
        <v>0</v>
      </c>
      <c r="AT40" s="97">
        <v>0</v>
      </c>
      <c r="AU40" s="97">
        <v>0</v>
      </c>
      <c r="AV40" s="97">
        <v>0</v>
      </c>
      <c r="AW40" s="97">
        <v>0</v>
      </c>
      <c r="AX40" s="97">
        <v>0</v>
      </c>
      <c r="AY40" s="97">
        <v>0</v>
      </c>
      <c r="AZ40" s="97">
        <v>0</v>
      </c>
      <c r="BA40" s="97">
        <v>0</v>
      </c>
      <c r="BB40" s="97">
        <v>0</v>
      </c>
      <c r="BC40" s="97">
        <v>0</v>
      </c>
      <c r="BD40" s="97">
        <v>0</v>
      </c>
      <c r="BE40" s="97">
        <v>0</v>
      </c>
      <c r="BF40" s="97">
        <v>0</v>
      </c>
      <c r="BG40" s="97">
        <v>0</v>
      </c>
      <c r="BH40" s="97">
        <v>0</v>
      </c>
      <c r="BI40" s="97">
        <v>0</v>
      </c>
      <c r="BJ40" s="97">
        <v>0</v>
      </c>
      <c r="BK40" s="97">
        <v>0</v>
      </c>
      <c r="BL40" s="97">
        <v>0</v>
      </c>
      <c r="BM40" s="97">
        <v>0</v>
      </c>
      <c r="BN40" s="97">
        <v>0</v>
      </c>
      <c r="BO40" s="97">
        <v>0</v>
      </c>
      <c r="BP40" s="97">
        <v>0</v>
      </c>
      <c r="BQ40" s="97">
        <v>0</v>
      </c>
      <c r="BR40" s="97">
        <v>0</v>
      </c>
      <c r="BS40" s="97">
        <v>0</v>
      </c>
      <c r="BT40" s="97">
        <v>0</v>
      </c>
      <c r="BU40" s="97">
        <v>0</v>
      </c>
      <c r="BV40" s="97">
        <v>0</v>
      </c>
      <c r="BW40" s="97">
        <v>0</v>
      </c>
      <c r="BX40" s="97">
        <v>0</v>
      </c>
      <c r="BY40" s="97">
        <v>0</v>
      </c>
      <c r="BZ40" s="97">
        <v>0</v>
      </c>
      <c r="CA40" s="97">
        <v>0</v>
      </c>
      <c r="CB40" s="97">
        <v>0</v>
      </c>
      <c r="CC40" s="97">
        <v>0</v>
      </c>
      <c r="CD40" s="97">
        <v>0</v>
      </c>
      <c r="CE40" s="97">
        <v>0</v>
      </c>
      <c r="CF40" s="97">
        <v>0</v>
      </c>
      <c r="CG40" s="97">
        <v>0</v>
      </c>
      <c r="CH40" s="97">
        <v>0</v>
      </c>
      <c r="CI40" s="97">
        <v>0</v>
      </c>
      <c r="CJ40" s="97">
        <v>0</v>
      </c>
      <c r="CK40" s="97">
        <v>0</v>
      </c>
      <c r="CL40" s="97">
        <v>0</v>
      </c>
      <c r="CM40" s="97">
        <v>0</v>
      </c>
      <c r="CN40" s="97">
        <v>0</v>
      </c>
      <c r="CO40" s="97">
        <v>0</v>
      </c>
      <c r="CP40" s="97">
        <v>0</v>
      </c>
      <c r="CQ40" s="97">
        <v>0</v>
      </c>
      <c r="CR40" s="97">
        <v>0</v>
      </c>
      <c r="CS40" s="97">
        <v>0</v>
      </c>
      <c r="CT40" s="97">
        <v>0</v>
      </c>
      <c r="CU40" s="97">
        <v>0</v>
      </c>
    </row>
    <row r="41" spans="2:99" x14ac:dyDescent="0.15">
      <c r="C41" s="96" t="s">
        <v>206</v>
      </c>
      <c r="D41" s="97">
        <v>0</v>
      </c>
      <c r="E41" s="97">
        <v>0</v>
      </c>
      <c r="F41" s="97">
        <v>0</v>
      </c>
      <c r="G41" s="97">
        <v>0</v>
      </c>
      <c r="H41" s="97">
        <v>0</v>
      </c>
      <c r="I41" s="97">
        <v>0</v>
      </c>
      <c r="J41" s="97">
        <v>0</v>
      </c>
      <c r="K41" s="97">
        <v>0</v>
      </c>
      <c r="L41" s="97">
        <v>0</v>
      </c>
      <c r="M41" s="97">
        <v>0</v>
      </c>
      <c r="N41" s="97">
        <v>0</v>
      </c>
      <c r="O41" s="97">
        <v>0</v>
      </c>
      <c r="P41" s="97">
        <v>0</v>
      </c>
      <c r="Q41" s="97">
        <v>0</v>
      </c>
      <c r="R41" s="97">
        <v>0</v>
      </c>
      <c r="S41" s="97">
        <v>0</v>
      </c>
      <c r="T41" s="97">
        <v>0</v>
      </c>
      <c r="U41" s="97">
        <v>0</v>
      </c>
      <c r="V41" s="97">
        <v>0</v>
      </c>
      <c r="W41" s="97">
        <v>0</v>
      </c>
      <c r="X41" s="97">
        <v>0</v>
      </c>
      <c r="Y41" s="97">
        <v>0</v>
      </c>
      <c r="Z41" s="97">
        <v>0</v>
      </c>
      <c r="AA41" s="97">
        <v>0</v>
      </c>
      <c r="AB41" s="97">
        <v>0</v>
      </c>
      <c r="AC41" s="97">
        <v>0</v>
      </c>
      <c r="AD41" s="97">
        <v>0</v>
      </c>
      <c r="AE41" s="97">
        <v>0</v>
      </c>
      <c r="AF41" s="97">
        <v>0</v>
      </c>
      <c r="AG41" s="97">
        <v>0</v>
      </c>
      <c r="AH41" s="97">
        <v>0</v>
      </c>
      <c r="AI41" s="97">
        <v>0</v>
      </c>
      <c r="AJ41" s="97">
        <v>0</v>
      </c>
      <c r="AK41" s="97">
        <v>0</v>
      </c>
      <c r="AL41" s="97">
        <v>0</v>
      </c>
      <c r="AM41" s="97">
        <v>0</v>
      </c>
      <c r="AN41" s="97">
        <v>0</v>
      </c>
      <c r="AO41" s="97">
        <v>0</v>
      </c>
      <c r="AP41" s="97">
        <v>0</v>
      </c>
      <c r="AQ41" s="97">
        <v>0</v>
      </c>
      <c r="AR41" s="97">
        <v>0</v>
      </c>
      <c r="AS41" s="97">
        <v>0</v>
      </c>
      <c r="AT41" s="97">
        <v>0</v>
      </c>
      <c r="AU41" s="97">
        <v>0</v>
      </c>
      <c r="AV41" s="97">
        <v>0</v>
      </c>
      <c r="AW41" s="97">
        <v>0</v>
      </c>
      <c r="AX41" s="97">
        <v>0</v>
      </c>
      <c r="AY41" s="97">
        <v>0</v>
      </c>
      <c r="AZ41" s="97">
        <v>0</v>
      </c>
      <c r="BA41" s="97">
        <v>0</v>
      </c>
      <c r="BB41" s="97">
        <v>0</v>
      </c>
      <c r="BC41" s="97">
        <v>0</v>
      </c>
      <c r="BD41" s="97">
        <v>0</v>
      </c>
      <c r="BE41" s="97">
        <v>0</v>
      </c>
      <c r="BF41" s="97">
        <v>0</v>
      </c>
      <c r="BG41" s="97">
        <v>0</v>
      </c>
      <c r="BH41" s="97">
        <v>0</v>
      </c>
      <c r="BI41" s="97">
        <v>0</v>
      </c>
      <c r="BJ41" s="97">
        <v>0</v>
      </c>
      <c r="BK41" s="97">
        <v>0</v>
      </c>
      <c r="BL41" s="97">
        <v>0</v>
      </c>
      <c r="BM41" s="97">
        <v>0</v>
      </c>
      <c r="BN41" s="97">
        <v>0</v>
      </c>
      <c r="BO41" s="97">
        <v>0</v>
      </c>
      <c r="BP41" s="97">
        <v>0</v>
      </c>
      <c r="BQ41" s="97">
        <v>0</v>
      </c>
      <c r="BR41" s="97">
        <v>0</v>
      </c>
      <c r="BS41" s="97">
        <v>0</v>
      </c>
      <c r="BT41" s="97">
        <v>0</v>
      </c>
      <c r="BU41" s="97">
        <v>0</v>
      </c>
      <c r="BV41" s="97">
        <v>0</v>
      </c>
      <c r="BW41" s="97">
        <v>0</v>
      </c>
      <c r="BX41" s="97">
        <v>0</v>
      </c>
      <c r="BY41" s="97">
        <v>0</v>
      </c>
      <c r="BZ41" s="97">
        <v>0</v>
      </c>
      <c r="CA41" s="97">
        <v>0</v>
      </c>
      <c r="CB41" s="97">
        <v>0</v>
      </c>
      <c r="CC41" s="97">
        <v>0</v>
      </c>
      <c r="CD41" s="97">
        <v>0</v>
      </c>
      <c r="CE41" s="97">
        <v>0</v>
      </c>
      <c r="CF41" s="97">
        <v>0</v>
      </c>
      <c r="CG41" s="97">
        <v>0</v>
      </c>
      <c r="CH41" s="97">
        <v>0</v>
      </c>
      <c r="CI41" s="97">
        <v>0</v>
      </c>
      <c r="CJ41" s="97">
        <v>0</v>
      </c>
      <c r="CK41" s="97">
        <v>0</v>
      </c>
      <c r="CL41" s="97">
        <v>0</v>
      </c>
      <c r="CM41" s="97">
        <v>0</v>
      </c>
      <c r="CN41" s="97">
        <v>0</v>
      </c>
      <c r="CO41" s="97">
        <v>0</v>
      </c>
      <c r="CP41" s="97">
        <v>0</v>
      </c>
      <c r="CQ41" s="97">
        <v>0</v>
      </c>
      <c r="CR41" s="97">
        <v>0</v>
      </c>
      <c r="CS41" s="97">
        <v>0</v>
      </c>
      <c r="CT41" s="97">
        <v>0</v>
      </c>
      <c r="CU41" s="97">
        <v>0</v>
      </c>
    </row>
    <row r="42" spans="2:99" x14ac:dyDescent="0.15">
      <c r="C42" s="96" t="s">
        <v>207</v>
      </c>
      <c r="D42" s="97">
        <v>0</v>
      </c>
      <c r="E42" s="97">
        <v>0</v>
      </c>
      <c r="F42" s="97">
        <v>0</v>
      </c>
      <c r="G42" s="97">
        <v>0</v>
      </c>
      <c r="H42" s="97">
        <v>0</v>
      </c>
      <c r="I42" s="97">
        <v>0</v>
      </c>
      <c r="J42" s="97">
        <v>0</v>
      </c>
      <c r="K42" s="97">
        <v>0</v>
      </c>
      <c r="L42" s="97">
        <v>0</v>
      </c>
      <c r="M42" s="97">
        <v>0</v>
      </c>
      <c r="N42" s="97">
        <v>0</v>
      </c>
      <c r="O42" s="97">
        <v>0</v>
      </c>
      <c r="P42" s="97">
        <v>0</v>
      </c>
      <c r="Q42" s="97">
        <v>0</v>
      </c>
      <c r="R42" s="97">
        <v>0</v>
      </c>
      <c r="S42" s="97">
        <v>0</v>
      </c>
      <c r="T42" s="97">
        <v>0</v>
      </c>
      <c r="U42" s="97">
        <v>0</v>
      </c>
      <c r="V42" s="97">
        <v>0</v>
      </c>
      <c r="W42" s="97">
        <v>0</v>
      </c>
      <c r="X42" s="97">
        <v>0</v>
      </c>
      <c r="Y42" s="97">
        <v>0</v>
      </c>
      <c r="Z42" s="97">
        <v>0</v>
      </c>
      <c r="AA42" s="97">
        <v>0</v>
      </c>
      <c r="AB42" s="97">
        <v>0</v>
      </c>
      <c r="AC42" s="97">
        <v>0</v>
      </c>
      <c r="AD42" s="97">
        <v>0</v>
      </c>
      <c r="AE42" s="97">
        <v>0</v>
      </c>
      <c r="AF42" s="97">
        <v>0</v>
      </c>
      <c r="AG42" s="97">
        <v>0</v>
      </c>
      <c r="AH42" s="97">
        <v>0</v>
      </c>
      <c r="AI42" s="97">
        <v>0</v>
      </c>
      <c r="AJ42" s="97">
        <v>0</v>
      </c>
      <c r="AK42" s="97">
        <v>0</v>
      </c>
      <c r="AL42" s="97">
        <v>0</v>
      </c>
      <c r="AM42" s="97">
        <v>0</v>
      </c>
      <c r="AN42" s="97">
        <v>0</v>
      </c>
      <c r="AO42" s="97">
        <v>0</v>
      </c>
      <c r="AP42" s="97">
        <v>0</v>
      </c>
      <c r="AQ42" s="97">
        <v>0</v>
      </c>
      <c r="AR42" s="97">
        <v>0</v>
      </c>
      <c r="AS42" s="97">
        <v>0</v>
      </c>
      <c r="AT42" s="97">
        <v>0</v>
      </c>
      <c r="AU42" s="97">
        <v>0</v>
      </c>
      <c r="AV42" s="97">
        <v>0</v>
      </c>
      <c r="AW42" s="97">
        <v>0</v>
      </c>
      <c r="AX42" s="97">
        <v>0</v>
      </c>
      <c r="AY42" s="97">
        <v>0</v>
      </c>
      <c r="AZ42" s="97">
        <v>0</v>
      </c>
      <c r="BA42" s="97">
        <v>0</v>
      </c>
      <c r="BB42" s="97">
        <v>0</v>
      </c>
      <c r="BC42" s="97">
        <v>0</v>
      </c>
      <c r="BD42" s="97">
        <v>0</v>
      </c>
      <c r="BE42" s="97">
        <v>0</v>
      </c>
      <c r="BF42" s="97">
        <v>0</v>
      </c>
      <c r="BG42" s="97">
        <v>0</v>
      </c>
      <c r="BH42" s="97">
        <v>0</v>
      </c>
      <c r="BI42" s="97">
        <v>0</v>
      </c>
      <c r="BJ42" s="97">
        <v>0</v>
      </c>
      <c r="BK42" s="97">
        <v>0</v>
      </c>
      <c r="BL42" s="97">
        <v>0</v>
      </c>
      <c r="BM42" s="97">
        <v>0</v>
      </c>
      <c r="BN42" s="97">
        <v>0</v>
      </c>
      <c r="BO42" s="97">
        <v>0</v>
      </c>
      <c r="BP42" s="97">
        <v>0</v>
      </c>
      <c r="BQ42" s="97">
        <v>0</v>
      </c>
      <c r="BR42" s="97">
        <v>0</v>
      </c>
      <c r="BS42" s="97">
        <v>0</v>
      </c>
      <c r="BT42" s="97">
        <v>0</v>
      </c>
      <c r="BU42" s="97">
        <v>0</v>
      </c>
      <c r="BV42" s="97">
        <v>0</v>
      </c>
      <c r="BW42" s="97">
        <v>0</v>
      </c>
      <c r="BX42" s="97">
        <v>0</v>
      </c>
      <c r="BY42" s="97">
        <v>0</v>
      </c>
      <c r="BZ42" s="97">
        <v>0</v>
      </c>
      <c r="CA42" s="97">
        <v>0</v>
      </c>
      <c r="CB42" s="97">
        <v>0</v>
      </c>
      <c r="CC42" s="97">
        <v>0</v>
      </c>
      <c r="CD42" s="97">
        <v>0</v>
      </c>
      <c r="CE42" s="97">
        <v>0</v>
      </c>
      <c r="CF42" s="97">
        <v>0</v>
      </c>
      <c r="CG42" s="97">
        <v>0</v>
      </c>
      <c r="CH42" s="97">
        <v>0</v>
      </c>
      <c r="CI42" s="97">
        <v>0</v>
      </c>
      <c r="CJ42" s="97">
        <v>0</v>
      </c>
      <c r="CK42" s="97">
        <v>0</v>
      </c>
      <c r="CL42" s="97">
        <v>0</v>
      </c>
      <c r="CM42" s="97">
        <v>0</v>
      </c>
      <c r="CN42" s="97">
        <v>0</v>
      </c>
      <c r="CO42" s="97">
        <v>0</v>
      </c>
      <c r="CP42" s="97">
        <v>0</v>
      </c>
      <c r="CQ42" s="97">
        <v>0</v>
      </c>
      <c r="CR42" s="97">
        <v>0</v>
      </c>
      <c r="CS42" s="97">
        <v>0</v>
      </c>
      <c r="CT42" s="97">
        <v>0</v>
      </c>
      <c r="CU42" s="97">
        <v>0</v>
      </c>
    </row>
    <row r="43" spans="2:99" x14ac:dyDescent="0.15">
      <c r="C43" s="96" t="s">
        <v>208</v>
      </c>
      <c r="D43" s="97">
        <v>0</v>
      </c>
      <c r="E43" s="97">
        <v>0</v>
      </c>
      <c r="F43" s="97">
        <v>0</v>
      </c>
      <c r="G43" s="97">
        <v>0</v>
      </c>
      <c r="H43" s="97">
        <v>0</v>
      </c>
      <c r="I43" s="97">
        <v>0</v>
      </c>
      <c r="J43" s="97">
        <v>0</v>
      </c>
      <c r="K43" s="97">
        <v>0</v>
      </c>
      <c r="L43" s="97">
        <v>0</v>
      </c>
      <c r="M43" s="97">
        <v>0</v>
      </c>
      <c r="N43" s="97">
        <v>0</v>
      </c>
      <c r="O43" s="97">
        <v>0</v>
      </c>
      <c r="P43" s="97">
        <v>0</v>
      </c>
      <c r="Q43" s="97">
        <v>0</v>
      </c>
      <c r="R43" s="97">
        <v>0</v>
      </c>
      <c r="S43" s="97">
        <v>0</v>
      </c>
      <c r="T43" s="97">
        <v>0</v>
      </c>
      <c r="U43" s="97">
        <v>0</v>
      </c>
      <c r="V43" s="97">
        <v>0</v>
      </c>
      <c r="W43" s="97">
        <v>0</v>
      </c>
      <c r="X43" s="97">
        <v>0</v>
      </c>
      <c r="Y43" s="97">
        <v>0</v>
      </c>
      <c r="Z43" s="97">
        <v>0</v>
      </c>
      <c r="AA43" s="97">
        <v>0</v>
      </c>
      <c r="AB43" s="97">
        <v>0</v>
      </c>
      <c r="AC43" s="97">
        <v>0</v>
      </c>
      <c r="AD43" s="97">
        <v>0</v>
      </c>
      <c r="AE43" s="97">
        <v>0</v>
      </c>
      <c r="AF43" s="97">
        <v>0</v>
      </c>
      <c r="AG43" s="97">
        <v>0</v>
      </c>
      <c r="AH43" s="97">
        <v>0</v>
      </c>
      <c r="AI43" s="97">
        <v>0</v>
      </c>
      <c r="AJ43" s="97">
        <v>0</v>
      </c>
      <c r="AK43" s="97">
        <v>0</v>
      </c>
      <c r="AL43" s="97">
        <v>0</v>
      </c>
      <c r="AM43" s="97">
        <v>0</v>
      </c>
      <c r="AN43" s="97">
        <v>0</v>
      </c>
      <c r="AO43" s="97">
        <v>0</v>
      </c>
      <c r="AP43" s="97">
        <v>0</v>
      </c>
      <c r="AQ43" s="97">
        <v>0</v>
      </c>
      <c r="AR43" s="97">
        <v>0</v>
      </c>
      <c r="AS43" s="97">
        <v>0</v>
      </c>
      <c r="AT43" s="97">
        <v>0</v>
      </c>
      <c r="AU43" s="97">
        <v>0</v>
      </c>
      <c r="AV43" s="97">
        <v>0</v>
      </c>
      <c r="AW43" s="97">
        <v>0</v>
      </c>
      <c r="AX43" s="97">
        <v>0</v>
      </c>
      <c r="AY43" s="97">
        <v>0</v>
      </c>
      <c r="AZ43" s="97">
        <v>0</v>
      </c>
      <c r="BA43" s="97">
        <v>0</v>
      </c>
      <c r="BB43" s="97">
        <v>0</v>
      </c>
      <c r="BC43" s="97">
        <v>0</v>
      </c>
      <c r="BD43" s="97">
        <v>0</v>
      </c>
      <c r="BE43" s="97">
        <v>0</v>
      </c>
      <c r="BF43" s="97">
        <v>0</v>
      </c>
      <c r="BG43" s="97">
        <v>0</v>
      </c>
      <c r="BH43" s="97">
        <v>0</v>
      </c>
      <c r="BI43" s="97">
        <v>0</v>
      </c>
      <c r="BJ43" s="97">
        <v>0</v>
      </c>
      <c r="BK43" s="97">
        <v>0</v>
      </c>
      <c r="BL43" s="97">
        <v>0</v>
      </c>
      <c r="BM43" s="97">
        <v>0</v>
      </c>
      <c r="BN43" s="97">
        <v>0</v>
      </c>
      <c r="BO43" s="97">
        <v>0</v>
      </c>
      <c r="BP43" s="97">
        <v>0</v>
      </c>
      <c r="BQ43" s="97">
        <v>0</v>
      </c>
      <c r="BR43" s="97">
        <v>0</v>
      </c>
      <c r="BS43" s="97">
        <v>0</v>
      </c>
      <c r="BT43" s="97">
        <v>0</v>
      </c>
      <c r="BU43" s="97">
        <v>0</v>
      </c>
      <c r="BV43" s="97">
        <v>0</v>
      </c>
      <c r="BW43" s="97">
        <v>0</v>
      </c>
      <c r="BX43" s="97">
        <v>0</v>
      </c>
      <c r="BY43" s="97">
        <v>0</v>
      </c>
      <c r="BZ43" s="97">
        <v>0</v>
      </c>
      <c r="CA43" s="97">
        <v>0</v>
      </c>
      <c r="CB43" s="97">
        <v>0</v>
      </c>
      <c r="CC43" s="97">
        <v>0</v>
      </c>
      <c r="CD43" s="97">
        <v>0</v>
      </c>
      <c r="CE43" s="97">
        <v>0</v>
      </c>
      <c r="CF43" s="97">
        <v>0</v>
      </c>
      <c r="CG43" s="97">
        <v>0</v>
      </c>
      <c r="CH43" s="97">
        <v>0</v>
      </c>
      <c r="CI43" s="97">
        <v>0</v>
      </c>
      <c r="CJ43" s="97">
        <v>0</v>
      </c>
      <c r="CK43" s="97">
        <v>0</v>
      </c>
      <c r="CL43" s="97">
        <v>0</v>
      </c>
      <c r="CM43" s="97">
        <v>0</v>
      </c>
      <c r="CN43" s="97">
        <v>0</v>
      </c>
      <c r="CO43" s="97">
        <v>0</v>
      </c>
      <c r="CP43" s="97">
        <v>0</v>
      </c>
      <c r="CQ43" s="97">
        <v>0</v>
      </c>
      <c r="CR43" s="97">
        <v>0</v>
      </c>
      <c r="CS43" s="97">
        <v>0</v>
      </c>
      <c r="CT43" s="97">
        <v>0</v>
      </c>
      <c r="CU43" s="97">
        <v>0</v>
      </c>
    </row>
    <row r="44" spans="2:99" x14ac:dyDescent="0.15">
      <c r="C44" s="96" t="s">
        <v>209</v>
      </c>
      <c r="D44" s="97">
        <v>0</v>
      </c>
      <c r="E44" s="97">
        <v>0</v>
      </c>
      <c r="F44" s="97">
        <v>0</v>
      </c>
      <c r="G44" s="97">
        <v>0</v>
      </c>
      <c r="H44" s="97">
        <v>0</v>
      </c>
      <c r="I44" s="97">
        <v>0</v>
      </c>
      <c r="J44" s="97">
        <v>0</v>
      </c>
      <c r="K44" s="97">
        <v>0</v>
      </c>
      <c r="L44" s="97">
        <v>0</v>
      </c>
      <c r="M44" s="97">
        <v>0</v>
      </c>
      <c r="N44" s="97">
        <v>0</v>
      </c>
      <c r="O44" s="97">
        <v>0</v>
      </c>
      <c r="P44" s="97">
        <v>0</v>
      </c>
      <c r="Q44" s="97">
        <v>0</v>
      </c>
      <c r="R44" s="97">
        <v>0</v>
      </c>
      <c r="S44" s="97">
        <v>0</v>
      </c>
      <c r="T44" s="97">
        <v>0</v>
      </c>
      <c r="U44" s="97">
        <v>0</v>
      </c>
      <c r="V44" s="97">
        <v>0</v>
      </c>
      <c r="W44" s="97">
        <v>0</v>
      </c>
      <c r="X44" s="97">
        <v>0</v>
      </c>
      <c r="Y44" s="97">
        <v>0</v>
      </c>
      <c r="Z44" s="97">
        <v>0</v>
      </c>
      <c r="AA44" s="97">
        <v>0</v>
      </c>
      <c r="AB44" s="97">
        <v>0</v>
      </c>
      <c r="AC44" s="97">
        <v>0</v>
      </c>
      <c r="AD44" s="97">
        <v>0</v>
      </c>
      <c r="AE44" s="97">
        <v>0</v>
      </c>
      <c r="AF44" s="97">
        <v>0</v>
      </c>
      <c r="AG44" s="97">
        <v>0</v>
      </c>
      <c r="AH44" s="97">
        <v>0</v>
      </c>
      <c r="AI44" s="97">
        <v>0</v>
      </c>
      <c r="AJ44" s="97">
        <v>0</v>
      </c>
      <c r="AK44" s="97">
        <v>0</v>
      </c>
      <c r="AL44" s="97">
        <v>0</v>
      </c>
      <c r="AM44" s="97">
        <v>0</v>
      </c>
      <c r="AN44" s="97">
        <v>0</v>
      </c>
      <c r="AO44" s="97">
        <v>0</v>
      </c>
      <c r="AP44" s="97">
        <v>0</v>
      </c>
      <c r="AQ44" s="97">
        <v>0</v>
      </c>
      <c r="AR44" s="97">
        <v>0</v>
      </c>
      <c r="AS44" s="97">
        <v>0</v>
      </c>
      <c r="AT44" s="97">
        <v>0</v>
      </c>
      <c r="AU44" s="97">
        <v>0</v>
      </c>
      <c r="AV44" s="97">
        <v>0</v>
      </c>
      <c r="AW44" s="97">
        <v>0</v>
      </c>
      <c r="AX44" s="97">
        <v>0</v>
      </c>
      <c r="AY44" s="97">
        <v>0</v>
      </c>
      <c r="AZ44" s="97">
        <v>0</v>
      </c>
      <c r="BA44" s="97">
        <v>0</v>
      </c>
      <c r="BB44" s="97">
        <v>0</v>
      </c>
      <c r="BC44" s="97">
        <v>0</v>
      </c>
      <c r="BD44" s="97">
        <v>0</v>
      </c>
      <c r="BE44" s="97">
        <v>0</v>
      </c>
      <c r="BF44" s="97">
        <v>0</v>
      </c>
      <c r="BG44" s="97">
        <v>0</v>
      </c>
      <c r="BH44" s="97">
        <v>0</v>
      </c>
      <c r="BI44" s="97">
        <v>0</v>
      </c>
      <c r="BJ44" s="97">
        <v>0</v>
      </c>
      <c r="BK44" s="97">
        <v>0</v>
      </c>
      <c r="BL44" s="97">
        <v>0</v>
      </c>
      <c r="BM44" s="97">
        <v>0</v>
      </c>
      <c r="BN44" s="97">
        <v>0</v>
      </c>
      <c r="BO44" s="97">
        <v>0</v>
      </c>
      <c r="BP44" s="97">
        <v>0</v>
      </c>
      <c r="BQ44" s="97">
        <v>0</v>
      </c>
      <c r="BR44" s="97">
        <v>0</v>
      </c>
      <c r="BS44" s="97">
        <v>0</v>
      </c>
      <c r="BT44" s="97">
        <v>0</v>
      </c>
      <c r="BU44" s="97">
        <v>0</v>
      </c>
      <c r="BV44" s="97">
        <v>0</v>
      </c>
      <c r="BW44" s="97">
        <v>0</v>
      </c>
      <c r="BX44" s="97">
        <v>0</v>
      </c>
      <c r="BY44" s="97">
        <v>0</v>
      </c>
      <c r="BZ44" s="97">
        <v>0</v>
      </c>
      <c r="CA44" s="97">
        <v>0</v>
      </c>
      <c r="CB44" s="97">
        <v>0</v>
      </c>
      <c r="CC44" s="97">
        <v>0</v>
      </c>
      <c r="CD44" s="97">
        <v>0</v>
      </c>
      <c r="CE44" s="97">
        <v>0</v>
      </c>
      <c r="CF44" s="97">
        <v>0</v>
      </c>
      <c r="CG44" s="97">
        <v>0</v>
      </c>
      <c r="CH44" s="97">
        <v>0</v>
      </c>
      <c r="CI44" s="97">
        <v>0</v>
      </c>
      <c r="CJ44" s="97">
        <v>0</v>
      </c>
      <c r="CK44" s="97">
        <v>0</v>
      </c>
      <c r="CL44" s="97">
        <v>0</v>
      </c>
      <c r="CM44" s="97">
        <v>0</v>
      </c>
      <c r="CN44" s="97">
        <v>0</v>
      </c>
      <c r="CO44" s="97">
        <v>0</v>
      </c>
      <c r="CP44" s="97">
        <v>0</v>
      </c>
      <c r="CQ44" s="97">
        <v>0</v>
      </c>
      <c r="CR44" s="97">
        <v>0</v>
      </c>
      <c r="CS44" s="97">
        <v>0</v>
      </c>
      <c r="CT44" s="97">
        <v>0</v>
      </c>
      <c r="CU44" s="97">
        <v>0</v>
      </c>
    </row>
    <row r="45" spans="2:99" x14ac:dyDescent="0.15">
      <c r="C45" s="96" t="s">
        <v>210</v>
      </c>
      <c r="D45" s="97">
        <v>0</v>
      </c>
      <c r="E45" s="97">
        <v>0</v>
      </c>
      <c r="F45" s="97">
        <v>0</v>
      </c>
      <c r="G45" s="97">
        <v>0</v>
      </c>
      <c r="H45" s="97">
        <v>0</v>
      </c>
      <c r="I45" s="97">
        <v>0</v>
      </c>
      <c r="J45" s="97">
        <v>0</v>
      </c>
      <c r="K45" s="97">
        <v>0</v>
      </c>
      <c r="L45" s="97">
        <v>0</v>
      </c>
      <c r="M45" s="97">
        <v>0</v>
      </c>
      <c r="N45" s="97">
        <v>0</v>
      </c>
      <c r="O45" s="97">
        <v>0</v>
      </c>
      <c r="P45" s="97">
        <v>0</v>
      </c>
      <c r="Q45" s="97">
        <v>0</v>
      </c>
      <c r="R45" s="97">
        <v>0</v>
      </c>
      <c r="S45" s="97">
        <v>0</v>
      </c>
      <c r="T45" s="97">
        <v>0</v>
      </c>
      <c r="U45" s="97">
        <v>0</v>
      </c>
      <c r="V45" s="97">
        <v>0</v>
      </c>
      <c r="W45" s="97">
        <v>0</v>
      </c>
      <c r="X45" s="97">
        <v>0</v>
      </c>
      <c r="Y45" s="97">
        <v>0</v>
      </c>
      <c r="Z45" s="97">
        <v>0</v>
      </c>
      <c r="AA45" s="97">
        <v>0</v>
      </c>
      <c r="AB45" s="97">
        <v>0</v>
      </c>
      <c r="AC45" s="97">
        <v>0</v>
      </c>
      <c r="AD45" s="97">
        <v>0</v>
      </c>
      <c r="AE45" s="97">
        <v>0</v>
      </c>
      <c r="AF45" s="97">
        <v>0</v>
      </c>
      <c r="AG45" s="97">
        <v>0</v>
      </c>
      <c r="AH45" s="97">
        <v>0</v>
      </c>
      <c r="AI45" s="97">
        <v>0</v>
      </c>
      <c r="AJ45" s="97">
        <v>0</v>
      </c>
      <c r="AK45" s="97">
        <v>0</v>
      </c>
      <c r="AL45" s="97">
        <v>0</v>
      </c>
      <c r="AM45" s="97">
        <v>0</v>
      </c>
      <c r="AN45" s="97">
        <v>0</v>
      </c>
      <c r="AO45" s="97">
        <v>0</v>
      </c>
      <c r="AP45" s="97">
        <v>0</v>
      </c>
      <c r="AQ45" s="97">
        <v>0</v>
      </c>
      <c r="AR45" s="97">
        <v>0</v>
      </c>
      <c r="AS45" s="97">
        <v>0</v>
      </c>
      <c r="AT45" s="97">
        <v>0</v>
      </c>
      <c r="AU45" s="97">
        <v>0</v>
      </c>
      <c r="AV45" s="97">
        <v>0</v>
      </c>
      <c r="AW45" s="97">
        <v>0</v>
      </c>
      <c r="AX45" s="97">
        <v>0</v>
      </c>
      <c r="AY45" s="97">
        <v>0</v>
      </c>
      <c r="AZ45" s="97">
        <v>0</v>
      </c>
      <c r="BA45" s="97">
        <v>0</v>
      </c>
      <c r="BB45" s="97">
        <v>0</v>
      </c>
      <c r="BC45" s="97">
        <v>0</v>
      </c>
      <c r="BD45" s="97">
        <v>0</v>
      </c>
      <c r="BE45" s="97">
        <v>0</v>
      </c>
      <c r="BF45" s="97">
        <v>0</v>
      </c>
      <c r="BG45" s="97">
        <v>0</v>
      </c>
      <c r="BH45" s="97">
        <v>0</v>
      </c>
      <c r="BI45" s="97">
        <v>0</v>
      </c>
      <c r="BJ45" s="97">
        <v>0</v>
      </c>
      <c r="BK45" s="97">
        <v>0</v>
      </c>
      <c r="BL45" s="97">
        <v>0</v>
      </c>
      <c r="BM45" s="97">
        <v>0</v>
      </c>
      <c r="BN45" s="97">
        <v>0</v>
      </c>
      <c r="BO45" s="97">
        <v>0</v>
      </c>
      <c r="BP45" s="97">
        <v>0</v>
      </c>
      <c r="BQ45" s="97">
        <v>0</v>
      </c>
      <c r="BR45" s="97">
        <v>0</v>
      </c>
      <c r="BS45" s="97">
        <v>0</v>
      </c>
      <c r="BT45" s="97">
        <v>0</v>
      </c>
      <c r="BU45" s="97">
        <v>0</v>
      </c>
      <c r="BV45" s="97">
        <v>0</v>
      </c>
      <c r="BW45" s="97">
        <v>0</v>
      </c>
      <c r="BX45" s="97">
        <v>0</v>
      </c>
      <c r="BY45" s="97">
        <v>0</v>
      </c>
      <c r="BZ45" s="97">
        <v>0</v>
      </c>
      <c r="CA45" s="97">
        <v>0</v>
      </c>
      <c r="CB45" s="97">
        <v>0</v>
      </c>
      <c r="CC45" s="97">
        <v>0</v>
      </c>
      <c r="CD45" s="97">
        <v>0</v>
      </c>
      <c r="CE45" s="97">
        <v>0</v>
      </c>
      <c r="CF45" s="97">
        <v>0</v>
      </c>
      <c r="CG45" s="97">
        <v>0</v>
      </c>
      <c r="CH45" s="97">
        <v>0</v>
      </c>
      <c r="CI45" s="97">
        <v>0</v>
      </c>
      <c r="CJ45" s="97">
        <v>0</v>
      </c>
      <c r="CK45" s="97">
        <v>0</v>
      </c>
      <c r="CL45" s="97">
        <v>0</v>
      </c>
      <c r="CM45" s="97">
        <v>0</v>
      </c>
      <c r="CN45" s="97">
        <v>0</v>
      </c>
      <c r="CO45" s="97">
        <v>0</v>
      </c>
      <c r="CP45" s="97">
        <v>0</v>
      </c>
      <c r="CQ45" s="97">
        <v>0</v>
      </c>
      <c r="CR45" s="97">
        <v>0</v>
      </c>
      <c r="CS45" s="97">
        <v>0</v>
      </c>
      <c r="CT45" s="97">
        <v>0</v>
      </c>
      <c r="CU45" s="97">
        <v>0</v>
      </c>
    </row>
    <row r="46" spans="2:99" x14ac:dyDescent="0.15">
      <c r="C46" s="96" t="s">
        <v>211</v>
      </c>
      <c r="D46" s="97">
        <v>0</v>
      </c>
      <c r="E46" s="97">
        <v>0</v>
      </c>
      <c r="F46" s="97">
        <v>0</v>
      </c>
      <c r="G46" s="97">
        <v>0</v>
      </c>
      <c r="H46" s="97">
        <v>0</v>
      </c>
      <c r="I46" s="97">
        <v>0</v>
      </c>
      <c r="J46" s="97">
        <v>0</v>
      </c>
      <c r="K46" s="97">
        <v>0</v>
      </c>
      <c r="L46" s="97">
        <v>0</v>
      </c>
      <c r="M46" s="97">
        <v>0</v>
      </c>
      <c r="N46" s="97">
        <v>0</v>
      </c>
      <c r="O46" s="97">
        <v>0</v>
      </c>
      <c r="P46" s="97">
        <v>0</v>
      </c>
      <c r="Q46" s="97">
        <v>0</v>
      </c>
      <c r="R46" s="97">
        <v>0</v>
      </c>
      <c r="S46" s="97">
        <v>0</v>
      </c>
      <c r="T46" s="97">
        <v>0</v>
      </c>
      <c r="U46" s="97">
        <v>0</v>
      </c>
      <c r="V46" s="97">
        <v>0</v>
      </c>
      <c r="W46" s="97">
        <v>0</v>
      </c>
      <c r="X46" s="97">
        <v>0</v>
      </c>
      <c r="Y46" s="97">
        <v>0</v>
      </c>
      <c r="Z46" s="97">
        <v>0</v>
      </c>
      <c r="AA46" s="97">
        <v>0</v>
      </c>
      <c r="AB46" s="97">
        <v>0</v>
      </c>
      <c r="AC46" s="97">
        <v>0</v>
      </c>
      <c r="AD46" s="97">
        <v>0</v>
      </c>
      <c r="AE46" s="97">
        <v>0</v>
      </c>
      <c r="AF46" s="97">
        <v>0</v>
      </c>
      <c r="AG46" s="97">
        <v>0</v>
      </c>
      <c r="AH46" s="97">
        <v>0</v>
      </c>
      <c r="AI46" s="97">
        <v>0</v>
      </c>
      <c r="AJ46" s="97">
        <v>0</v>
      </c>
      <c r="AK46" s="97">
        <v>0</v>
      </c>
      <c r="AL46" s="97">
        <v>0</v>
      </c>
      <c r="AM46" s="97">
        <v>0</v>
      </c>
      <c r="AN46" s="97">
        <v>0</v>
      </c>
      <c r="AO46" s="97">
        <v>0</v>
      </c>
      <c r="AP46" s="97">
        <v>0</v>
      </c>
      <c r="AQ46" s="97">
        <v>0</v>
      </c>
      <c r="AR46" s="97">
        <v>0</v>
      </c>
      <c r="AS46" s="97">
        <v>0</v>
      </c>
      <c r="AT46" s="97">
        <v>0</v>
      </c>
      <c r="AU46" s="97">
        <v>0</v>
      </c>
      <c r="AV46" s="97">
        <v>0</v>
      </c>
      <c r="AW46" s="97">
        <v>0</v>
      </c>
      <c r="AX46" s="97">
        <v>0</v>
      </c>
      <c r="AY46" s="97">
        <v>0</v>
      </c>
      <c r="AZ46" s="97">
        <v>0</v>
      </c>
      <c r="BA46" s="97">
        <v>0</v>
      </c>
      <c r="BB46" s="97">
        <v>0</v>
      </c>
      <c r="BC46" s="97">
        <v>0</v>
      </c>
      <c r="BD46" s="97">
        <v>0</v>
      </c>
      <c r="BE46" s="97">
        <v>0</v>
      </c>
      <c r="BF46" s="97">
        <v>0</v>
      </c>
      <c r="BG46" s="97">
        <v>0</v>
      </c>
      <c r="BH46" s="97">
        <v>0</v>
      </c>
      <c r="BI46" s="97">
        <v>0</v>
      </c>
      <c r="BJ46" s="97">
        <v>0</v>
      </c>
      <c r="BK46" s="97">
        <v>0</v>
      </c>
      <c r="BL46" s="97">
        <v>0</v>
      </c>
      <c r="BM46" s="97">
        <v>0</v>
      </c>
      <c r="BN46" s="97">
        <v>0</v>
      </c>
      <c r="BO46" s="97">
        <v>0</v>
      </c>
      <c r="BP46" s="97">
        <v>0</v>
      </c>
      <c r="BQ46" s="97">
        <v>0</v>
      </c>
      <c r="BR46" s="97">
        <v>0</v>
      </c>
      <c r="BS46" s="97">
        <v>0</v>
      </c>
      <c r="BT46" s="97">
        <v>0</v>
      </c>
      <c r="BU46" s="97">
        <v>0</v>
      </c>
      <c r="BV46" s="97">
        <v>0</v>
      </c>
      <c r="BW46" s="97">
        <v>0</v>
      </c>
      <c r="BX46" s="97">
        <v>0</v>
      </c>
      <c r="BY46" s="97">
        <v>0</v>
      </c>
      <c r="BZ46" s="97">
        <v>0</v>
      </c>
      <c r="CA46" s="97">
        <v>0</v>
      </c>
      <c r="CB46" s="97">
        <v>0</v>
      </c>
      <c r="CC46" s="97">
        <v>0</v>
      </c>
      <c r="CD46" s="97">
        <v>0</v>
      </c>
      <c r="CE46" s="97">
        <v>0</v>
      </c>
      <c r="CF46" s="97">
        <v>0</v>
      </c>
      <c r="CG46" s="97">
        <v>0</v>
      </c>
      <c r="CH46" s="97">
        <v>0</v>
      </c>
      <c r="CI46" s="97">
        <v>0</v>
      </c>
      <c r="CJ46" s="97">
        <v>0</v>
      </c>
      <c r="CK46" s="97">
        <v>0</v>
      </c>
      <c r="CL46" s="97">
        <v>0</v>
      </c>
      <c r="CM46" s="97">
        <v>0</v>
      </c>
      <c r="CN46" s="97">
        <v>0</v>
      </c>
      <c r="CO46" s="97">
        <v>0</v>
      </c>
      <c r="CP46" s="97">
        <v>0</v>
      </c>
      <c r="CQ46" s="97">
        <v>0</v>
      </c>
      <c r="CR46" s="97">
        <v>0</v>
      </c>
      <c r="CS46" s="97">
        <v>0</v>
      </c>
      <c r="CT46" s="97">
        <v>0</v>
      </c>
      <c r="CU46" s="97">
        <v>0</v>
      </c>
    </row>
    <row r="47" spans="2:99" x14ac:dyDescent="0.15">
      <c r="C47" s="96" t="s">
        <v>212</v>
      </c>
      <c r="D47" s="97">
        <v>0</v>
      </c>
      <c r="E47" s="97">
        <v>0</v>
      </c>
      <c r="F47" s="97">
        <v>0</v>
      </c>
      <c r="G47" s="97">
        <v>0</v>
      </c>
      <c r="H47" s="97">
        <v>0</v>
      </c>
      <c r="I47" s="97">
        <v>0</v>
      </c>
      <c r="J47" s="97">
        <v>0</v>
      </c>
      <c r="K47" s="97">
        <v>0</v>
      </c>
      <c r="L47" s="97">
        <v>0</v>
      </c>
      <c r="M47" s="97">
        <v>0</v>
      </c>
      <c r="N47" s="97">
        <v>0</v>
      </c>
      <c r="O47" s="97">
        <v>0</v>
      </c>
      <c r="P47" s="97">
        <v>0</v>
      </c>
      <c r="Q47" s="97">
        <v>0</v>
      </c>
      <c r="R47" s="97">
        <v>0</v>
      </c>
      <c r="S47" s="97">
        <v>0</v>
      </c>
      <c r="T47" s="97">
        <v>0</v>
      </c>
      <c r="U47" s="97">
        <v>0</v>
      </c>
      <c r="V47" s="97">
        <v>0</v>
      </c>
      <c r="W47" s="97">
        <v>0</v>
      </c>
      <c r="X47" s="97">
        <v>0</v>
      </c>
      <c r="Y47" s="97">
        <v>0</v>
      </c>
      <c r="Z47" s="97">
        <v>0</v>
      </c>
      <c r="AA47" s="97">
        <v>0</v>
      </c>
      <c r="AB47" s="97">
        <v>0</v>
      </c>
      <c r="AC47" s="97">
        <v>0</v>
      </c>
      <c r="AD47" s="97">
        <v>0</v>
      </c>
      <c r="AE47" s="97">
        <v>0</v>
      </c>
      <c r="AF47" s="97">
        <v>0</v>
      </c>
      <c r="AG47" s="97">
        <v>0</v>
      </c>
      <c r="AH47" s="97">
        <v>0</v>
      </c>
      <c r="AI47" s="97">
        <v>0</v>
      </c>
      <c r="AJ47" s="97">
        <v>0</v>
      </c>
      <c r="AK47" s="97">
        <v>0</v>
      </c>
      <c r="AL47" s="97">
        <v>0</v>
      </c>
      <c r="AM47" s="97">
        <v>0</v>
      </c>
      <c r="AN47" s="97">
        <v>0</v>
      </c>
      <c r="AO47" s="97">
        <v>0</v>
      </c>
      <c r="AP47" s="97">
        <v>0</v>
      </c>
      <c r="AQ47" s="97">
        <v>0</v>
      </c>
      <c r="AR47" s="97">
        <v>0</v>
      </c>
      <c r="AS47" s="97">
        <v>0</v>
      </c>
      <c r="AT47" s="97">
        <v>0</v>
      </c>
      <c r="AU47" s="97">
        <v>0</v>
      </c>
      <c r="AV47" s="97">
        <v>0</v>
      </c>
      <c r="AW47" s="97">
        <v>0</v>
      </c>
      <c r="AX47" s="97">
        <v>0</v>
      </c>
      <c r="AY47" s="97">
        <v>0</v>
      </c>
      <c r="AZ47" s="97">
        <v>0</v>
      </c>
      <c r="BA47" s="97">
        <v>0</v>
      </c>
      <c r="BB47" s="97">
        <v>0</v>
      </c>
      <c r="BC47" s="97">
        <v>0</v>
      </c>
      <c r="BD47" s="97">
        <v>0</v>
      </c>
      <c r="BE47" s="97">
        <v>0</v>
      </c>
      <c r="BF47" s="97">
        <v>0</v>
      </c>
      <c r="BG47" s="97">
        <v>0</v>
      </c>
      <c r="BH47" s="97">
        <v>0</v>
      </c>
      <c r="BI47" s="97">
        <v>0</v>
      </c>
      <c r="BJ47" s="97">
        <v>0</v>
      </c>
      <c r="BK47" s="97">
        <v>0</v>
      </c>
      <c r="BL47" s="97">
        <v>0</v>
      </c>
      <c r="BM47" s="97">
        <v>0</v>
      </c>
      <c r="BN47" s="97">
        <v>0</v>
      </c>
      <c r="BO47" s="97">
        <v>0</v>
      </c>
      <c r="BP47" s="97">
        <v>0</v>
      </c>
      <c r="BQ47" s="97">
        <v>0</v>
      </c>
      <c r="BR47" s="97">
        <v>0</v>
      </c>
      <c r="BS47" s="97">
        <v>0</v>
      </c>
      <c r="BT47" s="97">
        <v>0</v>
      </c>
      <c r="BU47" s="97">
        <v>0</v>
      </c>
      <c r="BV47" s="97">
        <v>0</v>
      </c>
      <c r="BW47" s="97">
        <v>0</v>
      </c>
      <c r="BX47" s="97">
        <v>0</v>
      </c>
      <c r="BY47" s="97">
        <v>0</v>
      </c>
      <c r="BZ47" s="97">
        <v>0</v>
      </c>
      <c r="CA47" s="97">
        <v>0</v>
      </c>
      <c r="CB47" s="97">
        <v>0</v>
      </c>
      <c r="CC47" s="97">
        <v>0</v>
      </c>
      <c r="CD47" s="97">
        <v>0</v>
      </c>
      <c r="CE47" s="97">
        <v>0</v>
      </c>
      <c r="CF47" s="97">
        <v>0</v>
      </c>
      <c r="CG47" s="97">
        <v>0</v>
      </c>
      <c r="CH47" s="97">
        <v>0</v>
      </c>
      <c r="CI47" s="97">
        <v>0</v>
      </c>
      <c r="CJ47" s="97">
        <v>0</v>
      </c>
      <c r="CK47" s="97">
        <v>0</v>
      </c>
      <c r="CL47" s="97">
        <v>0</v>
      </c>
      <c r="CM47" s="97">
        <v>0</v>
      </c>
      <c r="CN47" s="97">
        <v>0</v>
      </c>
      <c r="CO47" s="97">
        <v>0</v>
      </c>
      <c r="CP47" s="97">
        <v>0</v>
      </c>
      <c r="CQ47" s="97">
        <v>0</v>
      </c>
      <c r="CR47" s="97">
        <v>0</v>
      </c>
      <c r="CS47" s="97">
        <v>0</v>
      </c>
      <c r="CT47" s="97">
        <v>0</v>
      </c>
      <c r="CU47" s="97">
        <v>0</v>
      </c>
    </row>
    <row r="48" spans="2:99" x14ac:dyDescent="0.15">
      <c r="C48" s="96" t="s">
        <v>213</v>
      </c>
      <c r="D48" s="97">
        <v>0</v>
      </c>
      <c r="E48" s="97">
        <v>0</v>
      </c>
      <c r="F48" s="97">
        <v>0</v>
      </c>
      <c r="G48" s="97">
        <v>0</v>
      </c>
      <c r="H48" s="97">
        <v>0</v>
      </c>
      <c r="I48" s="97">
        <v>0</v>
      </c>
      <c r="J48" s="97">
        <v>0</v>
      </c>
      <c r="K48" s="97">
        <v>0</v>
      </c>
      <c r="L48" s="97">
        <v>0</v>
      </c>
      <c r="M48" s="97">
        <v>0</v>
      </c>
      <c r="N48" s="97">
        <v>0</v>
      </c>
      <c r="O48" s="97">
        <v>0</v>
      </c>
      <c r="P48" s="97">
        <v>0</v>
      </c>
      <c r="Q48" s="97">
        <v>0</v>
      </c>
      <c r="R48" s="97">
        <v>0</v>
      </c>
      <c r="S48" s="97">
        <v>0</v>
      </c>
      <c r="T48" s="97">
        <v>0</v>
      </c>
      <c r="U48" s="97">
        <v>0</v>
      </c>
      <c r="V48" s="97">
        <v>0</v>
      </c>
      <c r="W48" s="97">
        <v>0</v>
      </c>
      <c r="X48" s="97">
        <v>0</v>
      </c>
      <c r="Y48" s="97">
        <v>0</v>
      </c>
      <c r="Z48" s="97">
        <v>0</v>
      </c>
      <c r="AA48" s="97">
        <v>0</v>
      </c>
      <c r="AB48" s="97">
        <v>0</v>
      </c>
      <c r="AC48" s="97">
        <v>0</v>
      </c>
      <c r="AD48" s="97">
        <v>0</v>
      </c>
      <c r="AE48" s="97">
        <v>0</v>
      </c>
      <c r="AF48" s="97">
        <v>0</v>
      </c>
      <c r="AG48" s="97">
        <v>0</v>
      </c>
      <c r="AH48" s="97">
        <v>0</v>
      </c>
      <c r="AI48" s="97">
        <v>0</v>
      </c>
      <c r="AJ48" s="97">
        <v>0</v>
      </c>
      <c r="AK48" s="97">
        <v>0</v>
      </c>
      <c r="AL48" s="97">
        <v>0</v>
      </c>
      <c r="AM48" s="97">
        <v>0</v>
      </c>
      <c r="AN48" s="97">
        <v>0</v>
      </c>
      <c r="AO48" s="97">
        <v>0</v>
      </c>
      <c r="AP48" s="97">
        <v>0</v>
      </c>
      <c r="AQ48" s="97">
        <v>0</v>
      </c>
      <c r="AR48" s="97">
        <v>0</v>
      </c>
      <c r="AS48" s="97">
        <v>0</v>
      </c>
      <c r="AT48" s="97">
        <v>0</v>
      </c>
      <c r="AU48" s="97">
        <v>0</v>
      </c>
      <c r="AV48" s="97">
        <v>0</v>
      </c>
      <c r="AW48" s="97">
        <v>0</v>
      </c>
      <c r="AX48" s="97">
        <v>0</v>
      </c>
      <c r="AY48" s="97">
        <v>0</v>
      </c>
      <c r="AZ48" s="97">
        <v>0</v>
      </c>
      <c r="BA48" s="97">
        <v>0</v>
      </c>
      <c r="BB48" s="97">
        <v>0</v>
      </c>
      <c r="BC48" s="97">
        <v>0</v>
      </c>
      <c r="BD48" s="97">
        <v>0</v>
      </c>
      <c r="BE48" s="97">
        <v>0</v>
      </c>
      <c r="BF48" s="97">
        <v>0</v>
      </c>
      <c r="BG48" s="97">
        <v>0</v>
      </c>
      <c r="BH48" s="97">
        <v>0</v>
      </c>
      <c r="BI48" s="97">
        <v>0</v>
      </c>
      <c r="BJ48" s="97">
        <v>0</v>
      </c>
      <c r="BK48" s="97">
        <v>0</v>
      </c>
      <c r="BL48" s="97">
        <v>0</v>
      </c>
      <c r="BM48" s="97">
        <v>0</v>
      </c>
      <c r="BN48" s="97">
        <v>0</v>
      </c>
      <c r="BO48" s="97">
        <v>0</v>
      </c>
      <c r="BP48" s="97">
        <v>0</v>
      </c>
      <c r="BQ48" s="97">
        <v>0</v>
      </c>
      <c r="BR48" s="97">
        <v>0</v>
      </c>
      <c r="BS48" s="97">
        <v>0</v>
      </c>
      <c r="BT48" s="97">
        <v>0</v>
      </c>
      <c r="BU48" s="97">
        <v>0</v>
      </c>
      <c r="BV48" s="97">
        <v>0</v>
      </c>
      <c r="BW48" s="97">
        <v>0</v>
      </c>
      <c r="BX48" s="97">
        <v>0</v>
      </c>
      <c r="BY48" s="97">
        <v>0</v>
      </c>
      <c r="BZ48" s="97">
        <v>0</v>
      </c>
      <c r="CA48" s="97">
        <v>0</v>
      </c>
      <c r="CB48" s="97">
        <v>0</v>
      </c>
      <c r="CC48" s="97">
        <v>0</v>
      </c>
      <c r="CD48" s="97">
        <v>0</v>
      </c>
      <c r="CE48" s="97">
        <v>0</v>
      </c>
      <c r="CF48" s="97">
        <v>0</v>
      </c>
      <c r="CG48" s="97">
        <v>0</v>
      </c>
      <c r="CH48" s="97">
        <v>0</v>
      </c>
      <c r="CI48" s="97">
        <v>0</v>
      </c>
      <c r="CJ48" s="97">
        <v>0</v>
      </c>
      <c r="CK48" s="97">
        <v>0</v>
      </c>
      <c r="CL48" s="97">
        <v>0</v>
      </c>
      <c r="CM48" s="97">
        <v>0</v>
      </c>
      <c r="CN48" s="97">
        <v>0</v>
      </c>
      <c r="CO48" s="97">
        <v>0</v>
      </c>
      <c r="CP48" s="97">
        <v>0</v>
      </c>
      <c r="CQ48" s="97">
        <v>0</v>
      </c>
      <c r="CR48" s="97">
        <v>0</v>
      </c>
      <c r="CS48" s="97">
        <v>0</v>
      </c>
      <c r="CT48" s="97">
        <v>0</v>
      </c>
      <c r="CU48" s="97">
        <v>0</v>
      </c>
    </row>
    <row r="49" spans="2:99" x14ac:dyDescent="0.15">
      <c r="B49" s="96" t="s">
        <v>129</v>
      </c>
      <c r="C49" s="96" t="s">
        <v>214</v>
      </c>
      <c r="D49" s="97">
        <v>0</v>
      </c>
      <c r="E49" s="97">
        <v>0</v>
      </c>
      <c r="F49" s="97">
        <v>0</v>
      </c>
      <c r="G49" s="97">
        <v>0</v>
      </c>
      <c r="H49" s="97">
        <v>18.161231310592999</v>
      </c>
      <c r="I49" s="97">
        <v>17892.445087196222</v>
      </c>
      <c r="J49" s="97">
        <v>3.2996757799166088</v>
      </c>
      <c r="K49" s="97">
        <v>3250.8405783738426</v>
      </c>
      <c r="L49" s="97">
        <v>60.596917396985347</v>
      </c>
      <c r="M49" s="97">
        <v>59700.083019509962</v>
      </c>
      <c r="N49" s="97">
        <v>26.217580036278815</v>
      </c>
      <c r="O49" s="97">
        <v>25829.559851741888</v>
      </c>
      <c r="P49" s="97">
        <v>23.191151909491957</v>
      </c>
      <c r="Q49" s="97">
        <v>22847.922861231473</v>
      </c>
      <c r="R49" s="97">
        <v>30.128793262350563</v>
      </c>
      <c r="S49" s="97">
        <v>29682.887122067772</v>
      </c>
      <c r="T49" s="97">
        <v>33.201642181741811</v>
      </c>
      <c r="U49" s="97">
        <v>32710.25787745203</v>
      </c>
      <c r="V49" s="97">
        <v>26.630447994377846</v>
      </c>
      <c r="W49" s="97">
        <v>26236.317364061051</v>
      </c>
      <c r="X49" s="97">
        <v>26.110476234087393</v>
      </c>
      <c r="Y49" s="97">
        <v>25724.041185822898</v>
      </c>
      <c r="Z49" s="97">
        <v>9.6473270536576248</v>
      </c>
      <c r="AA49" s="97">
        <v>9504.546613263492</v>
      </c>
      <c r="AB49" s="97">
        <v>20.836591094065916</v>
      </c>
      <c r="AC49" s="97">
        <v>20528.209545873739</v>
      </c>
      <c r="AD49" s="97">
        <v>27.516799775818892</v>
      </c>
      <c r="AE49" s="97">
        <v>27109.551139136773</v>
      </c>
      <c r="AF49" s="97">
        <v>24.679763177818977</v>
      </c>
      <c r="AG49" s="97">
        <v>24314.502682787253</v>
      </c>
      <c r="AH49" s="97">
        <v>15.492427580341944</v>
      </c>
      <c r="AI49" s="97">
        <v>15263.139652152882</v>
      </c>
      <c r="AJ49" s="97">
        <v>11.813096878729175</v>
      </c>
      <c r="AK49" s="97">
        <v>11638.263044923982</v>
      </c>
      <c r="AL49" s="97">
        <v>17.593650486864796</v>
      </c>
      <c r="AM49" s="97">
        <v>17333.264459659196</v>
      </c>
      <c r="AN49" s="97">
        <v>11.538000532419863</v>
      </c>
      <c r="AO49" s="97">
        <v>11367.238124540048</v>
      </c>
      <c r="AP49" s="97">
        <v>19.057609988109395</v>
      </c>
      <c r="AQ49" s="97">
        <v>18775.557360285373</v>
      </c>
      <c r="AR49" s="97">
        <v>9.8999529743541999</v>
      </c>
      <c r="AS49" s="97">
        <v>9753.4336703337576</v>
      </c>
      <c r="AT49" s="97">
        <v>11.410708460901516</v>
      </c>
      <c r="AU49" s="97">
        <v>11241.829975680172</v>
      </c>
      <c r="AV49" s="97">
        <v>13.373118944547516</v>
      </c>
      <c r="AW49" s="97">
        <v>13175.196784168211</v>
      </c>
      <c r="AX49" s="97">
        <v>16.815886664397976</v>
      </c>
      <c r="AY49" s="97">
        <v>16567.011541764885</v>
      </c>
      <c r="AZ49" s="97">
        <v>9.637156845145304</v>
      </c>
      <c r="BA49" s="97">
        <v>9494.5269238371529</v>
      </c>
      <c r="BB49" s="97">
        <v>7.0501340143399753</v>
      </c>
      <c r="BC49" s="97">
        <v>6945.7920309277433</v>
      </c>
      <c r="BD49" s="97">
        <v>9.5480654826556304</v>
      </c>
      <c r="BE49" s="97">
        <v>9406.7541135123265</v>
      </c>
      <c r="BF49" s="97">
        <v>6.3524034902167497</v>
      </c>
      <c r="BG49" s="97">
        <v>6258.3879185615415</v>
      </c>
      <c r="BH49" s="97">
        <v>8.3352890080031266</v>
      </c>
      <c r="BI49" s="97">
        <v>8211.9267306846796</v>
      </c>
      <c r="BJ49" s="97">
        <v>5.5169144758914248</v>
      </c>
      <c r="BK49" s="97">
        <v>5435.2641416482311</v>
      </c>
      <c r="BL49" s="97">
        <v>9.4982549886319614</v>
      </c>
      <c r="BM49" s="97">
        <v>9357.6808148002074</v>
      </c>
      <c r="BN49" s="97">
        <v>6.0603601874948607</v>
      </c>
      <c r="BO49" s="97">
        <v>5970.6668567199367</v>
      </c>
      <c r="BP49" s="97">
        <v>6</v>
      </c>
      <c r="BQ49" s="97">
        <v>5911.2</v>
      </c>
      <c r="BR49" s="97">
        <v>5.3433679915381314</v>
      </c>
      <c r="BS49" s="97">
        <v>5264.286145263367</v>
      </c>
      <c r="BT49" s="97">
        <v>5</v>
      </c>
      <c r="BU49" s="97">
        <v>4926</v>
      </c>
      <c r="BV49" s="97">
        <v>6.043015988961935</v>
      </c>
      <c r="BW49" s="97">
        <v>5953.5793523252978</v>
      </c>
      <c r="BX49" s="97">
        <v>5</v>
      </c>
      <c r="BY49" s="97">
        <v>4926</v>
      </c>
      <c r="BZ49" s="97">
        <v>5.2762182403998859</v>
      </c>
      <c r="CA49" s="97">
        <v>5198.1302104419674</v>
      </c>
      <c r="CB49" s="97">
        <v>4.2931324689859744</v>
      </c>
      <c r="CC49" s="97">
        <v>4229.5941084449814</v>
      </c>
      <c r="CD49" s="97">
        <v>6</v>
      </c>
      <c r="CE49" s="97">
        <v>5911.2</v>
      </c>
      <c r="CF49" s="97">
        <v>3</v>
      </c>
      <c r="CG49" s="97">
        <v>2955.6</v>
      </c>
      <c r="CH49" s="97">
        <v>5.0357505256980781</v>
      </c>
      <c r="CI49" s="97">
        <v>4961.2214179177463</v>
      </c>
      <c r="CJ49" s="97">
        <v>4.1268793942671715</v>
      </c>
      <c r="CK49" s="97">
        <v>4065.801579232017</v>
      </c>
      <c r="CL49" s="97">
        <v>4</v>
      </c>
      <c r="CM49" s="97">
        <v>3940.7999999999997</v>
      </c>
      <c r="CN49" s="97">
        <v>3</v>
      </c>
      <c r="CO49" s="97">
        <v>2955.6</v>
      </c>
      <c r="CP49" s="97">
        <v>4.0051778432977239</v>
      </c>
      <c r="CQ49" s="97">
        <v>3945.9012112169171</v>
      </c>
      <c r="CR49" s="97">
        <v>3</v>
      </c>
      <c r="CS49" s="97">
        <v>2955.6</v>
      </c>
      <c r="CT49" s="97">
        <v>4</v>
      </c>
      <c r="CU49" s="97">
        <v>3940.7999999999997</v>
      </c>
    </row>
    <row r="50" spans="2:99" x14ac:dyDescent="0.15">
      <c r="C50" s="96" t="s">
        <v>215</v>
      </c>
      <c r="D50" s="97">
        <v>0</v>
      </c>
      <c r="E50" s="97">
        <v>0</v>
      </c>
      <c r="F50" s="97">
        <v>0</v>
      </c>
      <c r="G50" s="97">
        <v>0</v>
      </c>
      <c r="H50" s="97">
        <v>0</v>
      </c>
      <c r="I50" s="97">
        <v>0</v>
      </c>
      <c r="J50" s="97">
        <v>0</v>
      </c>
      <c r="K50" s="97">
        <v>0</v>
      </c>
      <c r="L50" s="97">
        <v>0</v>
      </c>
      <c r="M50" s="97">
        <v>0</v>
      </c>
      <c r="N50" s="97">
        <v>0</v>
      </c>
      <c r="O50" s="97">
        <v>0</v>
      </c>
      <c r="P50" s="97">
        <v>0</v>
      </c>
      <c r="Q50" s="97">
        <v>0</v>
      </c>
      <c r="R50" s="97">
        <v>0</v>
      </c>
      <c r="S50" s="97">
        <v>0</v>
      </c>
      <c r="T50" s="97">
        <v>0</v>
      </c>
      <c r="U50" s="97">
        <v>0</v>
      </c>
      <c r="V50" s="97">
        <v>0</v>
      </c>
      <c r="W50" s="97">
        <v>0</v>
      </c>
      <c r="X50" s="97">
        <v>0</v>
      </c>
      <c r="Y50" s="97">
        <v>0</v>
      </c>
      <c r="Z50" s="97">
        <v>0</v>
      </c>
      <c r="AA50" s="97">
        <v>0</v>
      </c>
      <c r="AB50" s="97">
        <v>0</v>
      </c>
      <c r="AC50" s="97">
        <v>0</v>
      </c>
      <c r="AD50" s="97">
        <v>0</v>
      </c>
      <c r="AE50" s="97">
        <v>0</v>
      </c>
      <c r="AF50" s="97">
        <v>0</v>
      </c>
      <c r="AG50" s="97">
        <v>0</v>
      </c>
      <c r="AH50" s="97">
        <v>0</v>
      </c>
      <c r="AI50" s="97">
        <v>0</v>
      </c>
      <c r="AJ50" s="97">
        <v>0</v>
      </c>
      <c r="AK50" s="97">
        <v>0</v>
      </c>
      <c r="AL50" s="97">
        <v>0</v>
      </c>
      <c r="AM50" s="97">
        <v>0</v>
      </c>
      <c r="AN50" s="97">
        <v>0</v>
      </c>
      <c r="AO50" s="97">
        <v>0</v>
      </c>
      <c r="AP50" s="97">
        <v>0</v>
      </c>
      <c r="AQ50" s="97">
        <v>0</v>
      </c>
      <c r="AR50" s="97">
        <v>0</v>
      </c>
      <c r="AS50" s="97">
        <v>0</v>
      </c>
      <c r="AT50" s="97">
        <v>0</v>
      </c>
      <c r="AU50" s="97">
        <v>0</v>
      </c>
      <c r="AV50" s="97">
        <v>0</v>
      </c>
      <c r="AW50" s="97">
        <v>0</v>
      </c>
      <c r="AX50" s="97">
        <v>0</v>
      </c>
      <c r="AY50" s="97">
        <v>0</v>
      </c>
      <c r="AZ50" s="97">
        <v>0</v>
      </c>
      <c r="BA50" s="97">
        <v>0</v>
      </c>
      <c r="BB50" s="97">
        <v>0</v>
      </c>
      <c r="BC50" s="97">
        <v>0</v>
      </c>
      <c r="BD50" s="97">
        <v>0</v>
      </c>
      <c r="BE50" s="97">
        <v>0</v>
      </c>
      <c r="BF50" s="97">
        <v>0</v>
      </c>
      <c r="BG50" s="97">
        <v>0</v>
      </c>
      <c r="BH50" s="97">
        <v>0</v>
      </c>
      <c r="BI50" s="97">
        <v>0</v>
      </c>
      <c r="BJ50" s="97">
        <v>0</v>
      </c>
      <c r="BK50" s="97">
        <v>0</v>
      </c>
      <c r="BL50" s="97">
        <v>0</v>
      </c>
      <c r="BM50" s="97">
        <v>0</v>
      </c>
      <c r="BN50" s="97">
        <v>0</v>
      </c>
      <c r="BO50" s="97">
        <v>0</v>
      </c>
      <c r="BP50" s="97">
        <v>0</v>
      </c>
      <c r="BQ50" s="97">
        <v>0</v>
      </c>
      <c r="BR50" s="97">
        <v>0</v>
      </c>
      <c r="BS50" s="97">
        <v>0</v>
      </c>
      <c r="BT50" s="97">
        <v>0</v>
      </c>
      <c r="BU50" s="97">
        <v>0</v>
      </c>
      <c r="BV50" s="97">
        <v>0</v>
      </c>
      <c r="BW50" s="97">
        <v>0</v>
      </c>
      <c r="BX50" s="97">
        <v>0</v>
      </c>
      <c r="BY50" s="97">
        <v>0</v>
      </c>
      <c r="BZ50" s="97">
        <v>0</v>
      </c>
      <c r="CA50" s="97">
        <v>0</v>
      </c>
      <c r="CB50" s="97">
        <v>0</v>
      </c>
      <c r="CC50" s="97">
        <v>0</v>
      </c>
      <c r="CD50" s="97">
        <v>0</v>
      </c>
      <c r="CE50" s="97">
        <v>0</v>
      </c>
      <c r="CF50" s="97">
        <v>0</v>
      </c>
      <c r="CG50" s="97">
        <v>0</v>
      </c>
      <c r="CH50" s="97">
        <v>0</v>
      </c>
      <c r="CI50" s="97">
        <v>0</v>
      </c>
      <c r="CJ50" s="97">
        <v>0</v>
      </c>
      <c r="CK50" s="97">
        <v>0</v>
      </c>
      <c r="CL50" s="97">
        <v>0</v>
      </c>
      <c r="CM50" s="97">
        <v>0</v>
      </c>
      <c r="CN50" s="97">
        <v>0</v>
      </c>
      <c r="CO50" s="97">
        <v>0</v>
      </c>
      <c r="CP50" s="97">
        <v>0</v>
      </c>
      <c r="CQ50" s="97">
        <v>0</v>
      </c>
      <c r="CR50" s="97">
        <v>0</v>
      </c>
      <c r="CS50" s="97">
        <v>0</v>
      </c>
      <c r="CT50" s="97">
        <v>0</v>
      </c>
      <c r="CU50" s="97">
        <v>0</v>
      </c>
    </row>
    <row r="51" spans="2:99" x14ac:dyDescent="0.15">
      <c r="C51" s="96" t="s">
        <v>216</v>
      </c>
      <c r="D51" s="97">
        <v>0</v>
      </c>
      <c r="E51" s="97">
        <v>0</v>
      </c>
      <c r="F51" s="97">
        <v>0</v>
      </c>
      <c r="G51" s="97">
        <v>0</v>
      </c>
      <c r="H51" s="97">
        <v>0</v>
      </c>
      <c r="I51" s="97">
        <v>0</v>
      </c>
      <c r="J51" s="97">
        <v>0</v>
      </c>
      <c r="K51" s="97">
        <v>0</v>
      </c>
      <c r="L51" s="97">
        <v>0</v>
      </c>
      <c r="M51" s="97">
        <v>0</v>
      </c>
      <c r="N51" s="97">
        <v>0</v>
      </c>
      <c r="O51" s="97">
        <v>0</v>
      </c>
      <c r="P51" s="97">
        <v>0</v>
      </c>
      <c r="Q51" s="97">
        <v>0</v>
      </c>
      <c r="R51" s="97">
        <v>0</v>
      </c>
      <c r="S51" s="97">
        <v>0</v>
      </c>
      <c r="T51" s="97">
        <v>0</v>
      </c>
      <c r="U51" s="97">
        <v>0</v>
      </c>
      <c r="V51" s="97">
        <v>0</v>
      </c>
      <c r="W51" s="97">
        <v>0</v>
      </c>
      <c r="X51" s="97">
        <v>0</v>
      </c>
      <c r="Y51" s="97">
        <v>0</v>
      </c>
      <c r="Z51" s="97">
        <v>0</v>
      </c>
      <c r="AA51" s="97">
        <v>0</v>
      </c>
      <c r="AB51" s="97">
        <v>0</v>
      </c>
      <c r="AC51" s="97">
        <v>0</v>
      </c>
      <c r="AD51" s="97">
        <v>0</v>
      </c>
      <c r="AE51" s="97">
        <v>0</v>
      </c>
      <c r="AF51" s="97">
        <v>0</v>
      </c>
      <c r="AG51" s="97">
        <v>0</v>
      </c>
      <c r="AH51" s="97">
        <v>0</v>
      </c>
      <c r="AI51" s="97">
        <v>0</v>
      </c>
      <c r="AJ51" s="97">
        <v>0</v>
      </c>
      <c r="AK51" s="97">
        <v>0</v>
      </c>
      <c r="AL51" s="97">
        <v>0</v>
      </c>
      <c r="AM51" s="97">
        <v>0</v>
      </c>
      <c r="AN51" s="97">
        <v>0</v>
      </c>
      <c r="AO51" s="97">
        <v>0</v>
      </c>
      <c r="AP51" s="97">
        <v>0</v>
      </c>
      <c r="AQ51" s="97">
        <v>0</v>
      </c>
      <c r="AR51" s="97">
        <v>0</v>
      </c>
      <c r="AS51" s="97">
        <v>0</v>
      </c>
      <c r="AT51" s="97">
        <v>0</v>
      </c>
      <c r="AU51" s="97">
        <v>0</v>
      </c>
      <c r="AV51" s="97">
        <v>0</v>
      </c>
      <c r="AW51" s="97">
        <v>0</v>
      </c>
      <c r="AX51" s="97">
        <v>0</v>
      </c>
      <c r="AY51" s="97">
        <v>0</v>
      </c>
      <c r="AZ51" s="97">
        <v>0</v>
      </c>
      <c r="BA51" s="97">
        <v>0</v>
      </c>
      <c r="BB51" s="97">
        <v>0</v>
      </c>
      <c r="BC51" s="97">
        <v>0</v>
      </c>
      <c r="BD51" s="97">
        <v>0</v>
      </c>
      <c r="BE51" s="97">
        <v>0</v>
      </c>
      <c r="BF51" s="97">
        <v>0</v>
      </c>
      <c r="BG51" s="97">
        <v>0</v>
      </c>
      <c r="BH51" s="97">
        <v>0</v>
      </c>
      <c r="BI51" s="97">
        <v>0</v>
      </c>
      <c r="BJ51" s="97">
        <v>0</v>
      </c>
      <c r="BK51" s="97">
        <v>0</v>
      </c>
      <c r="BL51" s="97">
        <v>0</v>
      </c>
      <c r="BM51" s="97">
        <v>0</v>
      </c>
      <c r="BN51" s="97">
        <v>0</v>
      </c>
      <c r="BO51" s="97">
        <v>0</v>
      </c>
      <c r="BP51" s="97">
        <v>0</v>
      </c>
      <c r="BQ51" s="97">
        <v>0</v>
      </c>
      <c r="BR51" s="97">
        <v>0</v>
      </c>
      <c r="BS51" s="97">
        <v>0</v>
      </c>
      <c r="BT51" s="97">
        <v>0</v>
      </c>
      <c r="BU51" s="97">
        <v>0</v>
      </c>
      <c r="BV51" s="97">
        <v>0</v>
      </c>
      <c r="BW51" s="97">
        <v>0</v>
      </c>
      <c r="BX51" s="97">
        <v>0</v>
      </c>
      <c r="BY51" s="97">
        <v>0</v>
      </c>
      <c r="BZ51" s="97">
        <v>0</v>
      </c>
      <c r="CA51" s="97">
        <v>0</v>
      </c>
      <c r="CB51" s="97">
        <v>0</v>
      </c>
      <c r="CC51" s="97">
        <v>0</v>
      </c>
      <c r="CD51" s="97">
        <v>0</v>
      </c>
      <c r="CE51" s="97">
        <v>0</v>
      </c>
      <c r="CF51" s="97">
        <v>0</v>
      </c>
      <c r="CG51" s="97">
        <v>0</v>
      </c>
      <c r="CH51" s="97">
        <v>0</v>
      </c>
      <c r="CI51" s="97">
        <v>0</v>
      </c>
      <c r="CJ51" s="97">
        <v>0</v>
      </c>
      <c r="CK51" s="97">
        <v>0</v>
      </c>
      <c r="CL51" s="97">
        <v>0</v>
      </c>
      <c r="CM51" s="97">
        <v>0</v>
      </c>
      <c r="CN51" s="97">
        <v>0</v>
      </c>
      <c r="CO51" s="97">
        <v>0</v>
      </c>
      <c r="CP51" s="97">
        <v>0</v>
      </c>
      <c r="CQ51" s="97">
        <v>0</v>
      </c>
      <c r="CR51" s="97">
        <v>0</v>
      </c>
      <c r="CS51" s="97">
        <v>0</v>
      </c>
      <c r="CT51" s="97">
        <v>0</v>
      </c>
      <c r="CU51" s="97">
        <v>0</v>
      </c>
    </row>
    <row r="52" spans="2:99" x14ac:dyDescent="0.15">
      <c r="C52" s="96" t="s">
        <v>217</v>
      </c>
      <c r="D52" s="97">
        <v>0</v>
      </c>
      <c r="E52" s="97">
        <v>0</v>
      </c>
      <c r="F52" s="97">
        <v>0</v>
      </c>
      <c r="G52" s="97">
        <v>0</v>
      </c>
      <c r="H52" s="97">
        <v>0</v>
      </c>
      <c r="I52" s="97">
        <v>0</v>
      </c>
      <c r="J52" s="97">
        <v>0</v>
      </c>
      <c r="K52" s="97">
        <v>0</v>
      </c>
      <c r="L52" s="97">
        <v>0</v>
      </c>
      <c r="M52" s="97">
        <v>0</v>
      </c>
      <c r="N52" s="97">
        <v>0</v>
      </c>
      <c r="O52" s="97">
        <v>0</v>
      </c>
      <c r="P52" s="97">
        <v>0</v>
      </c>
      <c r="Q52" s="97">
        <v>0</v>
      </c>
      <c r="R52" s="97">
        <v>0</v>
      </c>
      <c r="S52" s="97">
        <v>0</v>
      </c>
      <c r="T52" s="97">
        <v>0</v>
      </c>
      <c r="U52" s="97">
        <v>0</v>
      </c>
      <c r="V52" s="97">
        <v>0</v>
      </c>
      <c r="W52" s="97">
        <v>0</v>
      </c>
      <c r="X52" s="97">
        <v>0</v>
      </c>
      <c r="Y52" s="97">
        <v>0</v>
      </c>
      <c r="Z52" s="97">
        <v>0</v>
      </c>
      <c r="AA52" s="97">
        <v>0</v>
      </c>
      <c r="AB52" s="97">
        <v>0</v>
      </c>
      <c r="AC52" s="97">
        <v>0</v>
      </c>
      <c r="AD52" s="97">
        <v>0</v>
      </c>
      <c r="AE52" s="97">
        <v>0</v>
      </c>
      <c r="AF52" s="97">
        <v>0</v>
      </c>
      <c r="AG52" s="97">
        <v>0</v>
      </c>
      <c r="AH52" s="97">
        <v>0</v>
      </c>
      <c r="AI52" s="97">
        <v>0</v>
      </c>
      <c r="AJ52" s="97">
        <v>0</v>
      </c>
      <c r="AK52" s="97">
        <v>0</v>
      </c>
      <c r="AL52" s="97">
        <v>0</v>
      </c>
      <c r="AM52" s="97">
        <v>0</v>
      </c>
      <c r="AN52" s="97">
        <v>0</v>
      </c>
      <c r="AO52" s="97">
        <v>0</v>
      </c>
      <c r="AP52" s="97">
        <v>0</v>
      </c>
      <c r="AQ52" s="97">
        <v>0</v>
      </c>
      <c r="AR52" s="97">
        <v>0</v>
      </c>
      <c r="AS52" s="97">
        <v>0</v>
      </c>
      <c r="AT52" s="97">
        <v>0</v>
      </c>
      <c r="AU52" s="97">
        <v>0</v>
      </c>
      <c r="AV52" s="97">
        <v>0</v>
      </c>
      <c r="AW52" s="97">
        <v>0</v>
      </c>
      <c r="AX52" s="97">
        <v>0</v>
      </c>
      <c r="AY52" s="97">
        <v>0</v>
      </c>
      <c r="AZ52" s="97">
        <v>0</v>
      </c>
      <c r="BA52" s="97">
        <v>0</v>
      </c>
      <c r="BB52" s="97">
        <v>0</v>
      </c>
      <c r="BC52" s="97">
        <v>0</v>
      </c>
      <c r="BD52" s="97">
        <v>0</v>
      </c>
      <c r="BE52" s="97">
        <v>0</v>
      </c>
      <c r="BF52" s="97">
        <v>0</v>
      </c>
      <c r="BG52" s="97">
        <v>0</v>
      </c>
      <c r="BH52" s="97">
        <v>0</v>
      </c>
      <c r="BI52" s="97">
        <v>0</v>
      </c>
      <c r="BJ52" s="97">
        <v>0</v>
      </c>
      <c r="BK52" s="97">
        <v>0</v>
      </c>
      <c r="BL52" s="97">
        <v>0</v>
      </c>
      <c r="BM52" s="97">
        <v>0</v>
      </c>
      <c r="BN52" s="97">
        <v>0</v>
      </c>
      <c r="BO52" s="97">
        <v>0</v>
      </c>
      <c r="BP52" s="97">
        <v>0</v>
      </c>
      <c r="BQ52" s="97">
        <v>0</v>
      </c>
      <c r="BR52" s="97">
        <v>0</v>
      </c>
      <c r="BS52" s="97">
        <v>0</v>
      </c>
      <c r="BT52" s="97">
        <v>0</v>
      </c>
      <c r="BU52" s="97">
        <v>0</v>
      </c>
      <c r="BV52" s="97">
        <v>0</v>
      </c>
      <c r="BW52" s="97">
        <v>0</v>
      </c>
      <c r="BX52" s="97">
        <v>0</v>
      </c>
      <c r="BY52" s="97">
        <v>0</v>
      </c>
      <c r="BZ52" s="97">
        <v>0</v>
      </c>
      <c r="CA52" s="97">
        <v>0</v>
      </c>
      <c r="CB52" s="97">
        <v>0</v>
      </c>
      <c r="CC52" s="97">
        <v>0</v>
      </c>
      <c r="CD52" s="97">
        <v>0</v>
      </c>
      <c r="CE52" s="97">
        <v>0</v>
      </c>
      <c r="CF52" s="97">
        <v>0</v>
      </c>
      <c r="CG52" s="97">
        <v>0</v>
      </c>
      <c r="CH52" s="97">
        <v>0</v>
      </c>
      <c r="CI52" s="97">
        <v>0</v>
      </c>
      <c r="CJ52" s="97">
        <v>0</v>
      </c>
      <c r="CK52" s="97">
        <v>0</v>
      </c>
      <c r="CL52" s="97">
        <v>0</v>
      </c>
      <c r="CM52" s="97">
        <v>0</v>
      </c>
      <c r="CN52" s="97">
        <v>0</v>
      </c>
      <c r="CO52" s="97">
        <v>0</v>
      </c>
      <c r="CP52" s="97">
        <v>0</v>
      </c>
      <c r="CQ52" s="97">
        <v>0</v>
      </c>
      <c r="CR52" s="97">
        <v>0</v>
      </c>
      <c r="CS52" s="97">
        <v>0</v>
      </c>
      <c r="CT52" s="97">
        <v>0</v>
      </c>
      <c r="CU52" s="97">
        <v>0</v>
      </c>
    </row>
    <row r="53" spans="2:99" x14ac:dyDescent="0.15">
      <c r="C53" s="96" t="s">
        <v>218</v>
      </c>
      <c r="D53" s="97">
        <v>0</v>
      </c>
      <c r="E53" s="97">
        <v>0</v>
      </c>
      <c r="F53" s="97">
        <v>0</v>
      </c>
      <c r="G53" s="97">
        <v>0</v>
      </c>
      <c r="H53" s="97">
        <v>0</v>
      </c>
      <c r="I53" s="97">
        <v>0</v>
      </c>
      <c r="J53" s="97">
        <v>0</v>
      </c>
      <c r="K53" s="97">
        <v>0</v>
      </c>
      <c r="L53" s="97">
        <v>0</v>
      </c>
      <c r="M53" s="97">
        <v>0</v>
      </c>
      <c r="N53" s="97">
        <v>0</v>
      </c>
      <c r="O53" s="97">
        <v>0</v>
      </c>
      <c r="P53" s="97">
        <v>0</v>
      </c>
      <c r="Q53" s="97">
        <v>0</v>
      </c>
      <c r="R53" s="97">
        <v>0</v>
      </c>
      <c r="S53" s="97">
        <v>0</v>
      </c>
      <c r="T53" s="97">
        <v>0</v>
      </c>
      <c r="U53" s="97">
        <v>0</v>
      </c>
      <c r="V53" s="97">
        <v>0</v>
      </c>
      <c r="W53" s="97">
        <v>0</v>
      </c>
      <c r="X53" s="97">
        <v>0</v>
      </c>
      <c r="Y53" s="97">
        <v>0</v>
      </c>
      <c r="Z53" s="97">
        <v>0</v>
      </c>
      <c r="AA53" s="97">
        <v>0</v>
      </c>
      <c r="AB53" s="97">
        <v>0</v>
      </c>
      <c r="AC53" s="97">
        <v>0</v>
      </c>
      <c r="AD53" s="97">
        <v>0</v>
      </c>
      <c r="AE53" s="97">
        <v>0</v>
      </c>
      <c r="AF53" s="97">
        <v>0</v>
      </c>
      <c r="AG53" s="97">
        <v>0</v>
      </c>
      <c r="AH53" s="97">
        <v>0</v>
      </c>
      <c r="AI53" s="97">
        <v>0</v>
      </c>
      <c r="AJ53" s="97">
        <v>0</v>
      </c>
      <c r="AK53" s="97">
        <v>0</v>
      </c>
      <c r="AL53" s="97">
        <v>0</v>
      </c>
      <c r="AM53" s="97">
        <v>0</v>
      </c>
      <c r="AN53" s="97">
        <v>0</v>
      </c>
      <c r="AO53" s="97">
        <v>0</v>
      </c>
      <c r="AP53" s="97">
        <v>0</v>
      </c>
      <c r="AQ53" s="97">
        <v>0</v>
      </c>
      <c r="AR53" s="97">
        <v>0</v>
      </c>
      <c r="AS53" s="97">
        <v>0</v>
      </c>
      <c r="AT53" s="97">
        <v>0</v>
      </c>
      <c r="AU53" s="97">
        <v>0</v>
      </c>
      <c r="AV53" s="97">
        <v>0</v>
      </c>
      <c r="AW53" s="97">
        <v>0</v>
      </c>
      <c r="AX53" s="97">
        <v>0</v>
      </c>
      <c r="AY53" s="97">
        <v>0</v>
      </c>
      <c r="AZ53" s="97">
        <v>0</v>
      </c>
      <c r="BA53" s="97">
        <v>0</v>
      </c>
      <c r="BB53" s="97">
        <v>0</v>
      </c>
      <c r="BC53" s="97">
        <v>0</v>
      </c>
      <c r="BD53" s="97">
        <v>0</v>
      </c>
      <c r="BE53" s="97">
        <v>0</v>
      </c>
      <c r="BF53" s="97">
        <v>0</v>
      </c>
      <c r="BG53" s="97">
        <v>0</v>
      </c>
      <c r="BH53" s="97">
        <v>0</v>
      </c>
      <c r="BI53" s="97">
        <v>0</v>
      </c>
      <c r="BJ53" s="97">
        <v>0</v>
      </c>
      <c r="BK53" s="97">
        <v>0</v>
      </c>
      <c r="BL53" s="97">
        <v>0</v>
      </c>
      <c r="BM53" s="97">
        <v>0</v>
      </c>
      <c r="BN53" s="97">
        <v>0</v>
      </c>
      <c r="BO53" s="97">
        <v>0</v>
      </c>
      <c r="BP53" s="97">
        <v>0</v>
      </c>
      <c r="BQ53" s="97">
        <v>0</v>
      </c>
      <c r="BR53" s="97">
        <v>0</v>
      </c>
      <c r="BS53" s="97">
        <v>0</v>
      </c>
      <c r="BT53" s="97">
        <v>0</v>
      </c>
      <c r="BU53" s="97">
        <v>0</v>
      </c>
      <c r="BV53" s="97">
        <v>0</v>
      </c>
      <c r="BW53" s="97">
        <v>0</v>
      </c>
      <c r="BX53" s="97">
        <v>0</v>
      </c>
      <c r="BY53" s="97">
        <v>0</v>
      </c>
      <c r="BZ53" s="97">
        <v>0</v>
      </c>
      <c r="CA53" s="97">
        <v>0</v>
      </c>
      <c r="CB53" s="97">
        <v>0</v>
      </c>
      <c r="CC53" s="97">
        <v>0</v>
      </c>
      <c r="CD53" s="97">
        <v>0</v>
      </c>
      <c r="CE53" s="97">
        <v>0</v>
      </c>
      <c r="CF53" s="97">
        <v>0</v>
      </c>
      <c r="CG53" s="97">
        <v>0</v>
      </c>
      <c r="CH53" s="97">
        <v>0</v>
      </c>
      <c r="CI53" s="97">
        <v>0</v>
      </c>
      <c r="CJ53" s="97">
        <v>0</v>
      </c>
      <c r="CK53" s="97">
        <v>0</v>
      </c>
      <c r="CL53" s="97">
        <v>0</v>
      </c>
      <c r="CM53" s="97">
        <v>0</v>
      </c>
      <c r="CN53" s="97">
        <v>0</v>
      </c>
      <c r="CO53" s="97">
        <v>0</v>
      </c>
      <c r="CP53" s="97">
        <v>0</v>
      </c>
      <c r="CQ53" s="97">
        <v>0</v>
      </c>
      <c r="CR53" s="97">
        <v>0</v>
      </c>
      <c r="CS53" s="97">
        <v>0</v>
      </c>
      <c r="CT53" s="97">
        <v>0</v>
      </c>
      <c r="CU53" s="97">
        <v>0</v>
      </c>
    </row>
    <row r="54" spans="2:99" x14ac:dyDescent="0.15">
      <c r="C54" s="96" t="s">
        <v>219</v>
      </c>
      <c r="D54" s="97">
        <v>0</v>
      </c>
      <c r="E54" s="97">
        <v>0</v>
      </c>
      <c r="F54" s="97">
        <v>0</v>
      </c>
      <c r="G54" s="97">
        <v>0</v>
      </c>
      <c r="H54" s="97">
        <v>0</v>
      </c>
      <c r="I54" s="97">
        <v>0</v>
      </c>
      <c r="J54" s="97">
        <v>0</v>
      </c>
      <c r="K54" s="97">
        <v>0</v>
      </c>
      <c r="L54" s="97">
        <v>0</v>
      </c>
      <c r="M54" s="97">
        <v>0</v>
      </c>
      <c r="N54" s="97">
        <v>0</v>
      </c>
      <c r="O54" s="97">
        <v>0</v>
      </c>
      <c r="P54" s="97">
        <v>0</v>
      </c>
      <c r="Q54" s="97">
        <v>0</v>
      </c>
      <c r="R54" s="97">
        <v>0</v>
      </c>
      <c r="S54" s="97">
        <v>0</v>
      </c>
      <c r="T54" s="97">
        <v>0</v>
      </c>
      <c r="U54" s="97">
        <v>0</v>
      </c>
      <c r="V54" s="97">
        <v>0</v>
      </c>
      <c r="W54" s="97">
        <v>0</v>
      </c>
      <c r="X54" s="97">
        <v>0</v>
      </c>
      <c r="Y54" s="97">
        <v>0</v>
      </c>
      <c r="Z54" s="97">
        <v>0</v>
      </c>
      <c r="AA54" s="97">
        <v>0</v>
      </c>
      <c r="AB54" s="97">
        <v>0</v>
      </c>
      <c r="AC54" s="97">
        <v>0</v>
      </c>
      <c r="AD54" s="97">
        <v>0</v>
      </c>
      <c r="AE54" s="97">
        <v>0</v>
      </c>
      <c r="AF54" s="97">
        <v>0</v>
      </c>
      <c r="AG54" s="97">
        <v>0</v>
      </c>
      <c r="AH54" s="97">
        <v>0</v>
      </c>
      <c r="AI54" s="97">
        <v>0</v>
      </c>
      <c r="AJ54" s="97">
        <v>0</v>
      </c>
      <c r="AK54" s="97">
        <v>0</v>
      </c>
      <c r="AL54" s="97">
        <v>0</v>
      </c>
      <c r="AM54" s="97">
        <v>0</v>
      </c>
      <c r="AN54" s="97">
        <v>0</v>
      </c>
      <c r="AO54" s="97">
        <v>0</v>
      </c>
      <c r="AP54" s="97">
        <v>0</v>
      </c>
      <c r="AQ54" s="97">
        <v>0</v>
      </c>
      <c r="AR54" s="97">
        <v>0</v>
      </c>
      <c r="AS54" s="97">
        <v>0</v>
      </c>
      <c r="AT54" s="97">
        <v>0</v>
      </c>
      <c r="AU54" s="97">
        <v>0</v>
      </c>
      <c r="AV54" s="97">
        <v>0</v>
      </c>
      <c r="AW54" s="97">
        <v>0</v>
      </c>
      <c r="AX54" s="97">
        <v>0</v>
      </c>
      <c r="AY54" s="97">
        <v>0</v>
      </c>
      <c r="AZ54" s="97">
        <v>0</v>
      </c>
      <c r="BA54" s="97">
        <v>0</v>
      </c>
      <c r="BB54" s="97">
        <v>0</v>
      </c>
      <c r="BC54" s="97">
        <v>0</v>
      </c>
      <c r="BD54" s="97">
        <v>0</v>
      </c>
      <c r="BE54" s="97">
        <v>0</v>
      </c>
      <c r="BF54" s="97">
        <v>0</v>
      </c>
      <c r="BG54" s="97">
        <v>0</v>
      </c>
      <c r="BH54" s="97">
        <v>0</v>
      </c>
      <c r="BI54" s="97">
        <v>0</v>
      </c>
      <c r="BJ54" s="97">
        <v>0</v>
      </c>
      <c r="BK54" s="97">
        <v>0</v>
      </c>
      <c r="BL54" s="97">
        <v>0</v>
      </c>
      <c r="BM54" s="97">
        <v>0</v>
      </c>
      <c r="BN54" s="97">
        <v>0</v>
      </c>
      <c r="BO54" s="97">
        <v>0</v>
      </c>
      <c r="BP54" s="97">
        <v>0</v>
      </c>
      <c r="BQ54" s="97">
        <v>0</v>
      </c>
      <c r="BR54" s="97">
        <v>0</v>
      </c>
      <c r="BS54" s="97">
        <v>0</v>
      </c>
      <c r="BT54" s="97">
        <v>0</v>
      </c>
      <c r="BU54" s="97">
        <v>0</v>
      </c>
      <c r="BV54" s="97">
        <v>0</v>
      </c>
      <c r="BW54" s="97">
        <v>0</v>
      </c>
      <c r="BX54" s="97">
        <v>0</v>
      </c>
      <c r="BY54" s="97">
        <v>0</v>
      </c>
      <c r="BZ54" s="97">
        <v>0</v>
      </c>
      <c r="CA54" s="97">
        <v>0</v>
      </c>
      <c r="CB54" s="97">
        <v>0</v>
      </c>
      <c r="CC54" s="97">
        <v>0</v>
      </c>
      <c r="CD54" s="97">
        <v>0</v>
      </c>
      <c r="CE54" s="97">
        <v>0</v>
      </c>
      <c r="CF54" s="97">
        <v>0</v>
      </c>
      <c r="CG54" s="97">
        <v>0</v>
      </c>
      <c r="CH54" s="97">
        <v>0</v>
      </c>
      <c r="CI54" s="97">
        <v>0</v>
      </c>
      <c r="CJ54" s="97">
        <v>0</v>
      </c>
      <c r="CK54" s="97">
        <v>0</v>
      </c>
      <c r="CL54" s="97">
        <v>0</v>
      </c>
      <c r="CM54" s="97">
        <v>0</v>
      </c>
      <c r="CN54" s="97">
        <v>0</v>
      </c>
      <c r="CO54" s="97">
        <v>0</v>
      </c>
      <c r="CP54" s="97">
        <v>0</v>
      </c>
      <c r="CQ54" s="97">
        <v>0</v>
      </c>
      <c r="CR54" s="97">
        <v>0</v>
      </c>
      <c r="CS54" s="97">
        <v>0</v>
      </c>
      <c r="CT54" s="97">
        <v>0</v>
      </c>
      <c r="CU54" s="97">
        <v>0</v>
      </c>
    </row>
    <row r="55" spans="2:99" x14ac:dyDescent="0.15">
      <c r="C55" s="96" t="s">
        <v>220</v>
      </c>
      <c r="D55" s="97">
        <v>0</v>
      </c>
      <c r="E55" s="97">
        <v>0</v>
      </c>
      <c r="F55" s="97">
        <v>0</v>
      </c>
      <c r="G55" s="97">
        <v>0</v>
      </c>
      <c r="H55" s="97">
        <v>0</v>
      </c>
      <c r="I55" s="97">
        <v>0</v>
      </c>
      <c r="J55" s="97">
        <v>0</v>
      </c>
      <c r="K55" s="97">
        <v>0</v>
      </c>
      <c r="L55" s="97">
        <v>0</v>
      </c>
      <c r="M55" s="97">
        <v>0</v>
      </c>
      <c r="N55" s="97">
        <v>0</v>
      </c>
      <c r="O55" s="97">
        <v>0</v>
      </c>
      <c r="P55" s="97">
        <v>0</v>
      </c>
      <c r="Q55" s="97">
        <v>0</v>
      </c>
      <c r="R55" s="97">
        <v>0</v>
      </c>
      <c r="S55" s="97">
        <v>0</v>
      </c>
      <c r="T55" s="97">
        <v>0</v>
      </c>
      <c r="U55" s="97">
        <v>0</v>
      </c>
      <c r="V55" s="97">
        <v>0</v>
      </c>
      <c r="W55" s="97">
        <v>0</v>
      </c>
      <c r="X55" s="97">
        <v>0</v>
      </c>
      <c r="Y55" s="97">
        <v>0</v>
      </c>
      <c r="Z55" s="97">
        <v>0</v>
      </c>
      <c r="AA55" s="97">
        <v>0</v>
      </c>
      <c r="AB55" s="97">
        <v>0</v>
      </c>
      <c r="AC55" s="97">
        <v>0</v>
      </c>
      <c r="AD55" s="97">
        <v>0</v>
      </c>
      <c r="AE55" s="97">
        <v>0</v>
      </c>
      <c r="AF55" s="97">
        <v>0</v>
      </c>
      <c r="AG55" s="97">
        <v>0</v>
      </c>
      <c r="AH55" s="97">
        <v>0</v>
      </c>
      <c r="AI55" s="97">
        <v>0</v>
      </c>
      <c r="AJ55" s="97">
        <v>0</v>
      </c>
      <c r="AK55" s="97">
        <v>0</v>
      </c>
      <c r="AL55" s="97">
        <v>0</v>
      </c>
      <c r="AM55" s="97">
        <v>0</v>
      </c>
      <c r="AN55" s="97">
        <v>0</v>
      </c>
      <c r="AO55" s="97">
        <v>0</v>
      </c>
      <c r="AP55" s="97">
        <v>0</v>
      </c>
      <c r="AQ55" s="97">
        <v>0</v>
      </c>
      <c r="AR55" s="97">
        <v>0</v>
      </c>
      <c r="AS55" s="97">
        <v>0</v>
      </c>
      <c r="AT55" s="97">
        <v>0</v>
      </c>
      <c r="AU55" s="97">
        <v>0</v>
      </c>
      <c r="AV55" s="97">
        <v>0</v>
      </c>
      <c r="AW55" s="97">
        <v>0</v>
      </c>
      <c r="AX55" s="97">
        <v>0</v>
      </c>
      <c r="AY55" s="97">
        <v>0</v>
      </c>
      <c r="AZ55" s="97">
        <v>0</v>
      </c>
      <c r="BA55" s="97">
        <v>0</v>
      </c>
      <c r="BB55" s="97">
        <v>0</v>
      </c>
      <c r="BC55" s="97">
        <v>0</v>
      </c>
      <c r="BD55" s="97">
        <v>0</v>
      </c>
      <c r="BE55" s="97">
        <v>0</v>
      </c>
      <c r="BF55" s="97">
        <v>0</v>
      </c>
      <c r="BG55" s="97">
        <v>0</v>
      </c>
      <c r="BH55" s="97">
        <v>0</v>
      </c>
      <c r="BI55" s="97">
        <v>0</v>
      </c>
      <c r="BJ55" s="97">
        <v>0</v>
      </c>
      <c r="BK55" s="97">
        <v>0</v>
      </c>
      <c r="BL55" s="97">
        <v>0</v>
      </c>
      <c r="BM55" s="97">
        <v>0</v>
      </c>
      <c r="BN55" s="97">
        <v>0</v>
      </c>
      <c r="BO55" s="97">
        <v>0</v>
      </c>
      <c r="BP55" s="97">
        <v>0</v>
      </c>
      <c r="BQ55" s="97">
        <v>0</v>
      </c>
      <c r="BR55" s="97">
        <v>0</v>
      </c>
      <c r="BS55" s="97">
        <v>0</v>
      </c>
      <c r="BT55" s="97">
        <v>0</v>
      </c>
      <c r="BU55" s="97">
        <v>0</v>
      </c>
      <c r="BV55" s="97">
        <v>0</v>
      </c>
      <c r="BW55" s="97">
        <v>0</v>
      </c>
      <c r="BX55" s="97">
        <v>0</v>
      </c>
      <c r="BY55" s="97">
        <v>0</v>
      </c>
      <c r="BZ55" s="97">
        <v>0</v>
      </c>
      <c r="CA55" s="97">
        <v>0</v>
      </c>
      <c r="CB55" s="97">
        <v>0</v>
      </c>
      <c r="CC55" s="97">
        <v>0</v>
      </c>
      <c r="CD55" s="97">
        <v>0</v>
      </c>
      <c r="CE55" s="97">
        <v>0</v>
      </c>
      <c r="CF55" s="97">
        <v>0</v>
      </c>
      <c r="CG55" s="97">
        <v>0</v>
      </c>
      <c r="CH55" s="97">
        <v>0</v>
      </c>
      <c r="CI55" s="97">
        <v>0</v>
      </c>
      <c r="CJ55" s="97">
        <v>0</v>
      </c>
      <c r="CK55" s="97">
        <v>0</v>
      </c>
      <c r="CL55" s="97">
        <v>0</v>
      </c>
      <c r="CM55" s="97">
        <v>0</v>
      </c>
      <c r="CN55" s="97">
        <v>0</v>
      </c>
      <c r="CO55" s="97">
        <v>0</v>
      </c>
      <c r="CP55" s="97">
        <v>0</v>
      </c>
      <c r="CQ55" s="97">
        <v>0</v>
      </c>
      <c r="CR55" s="97">
        <v>0</v>
      </c>
      <c r="CS55" s="97">
        <v>0</v>
      </c>
      <c r="CT55" s="97">
        <v>0</v>
      </c>
      <c r="CU55" s="97">
        <v>0</v>
      </c>
    </row>
    <row r="56" spans="2:99" x14ac:dyDescent="0.15">
      <c r="C56" s="96" t="s">
        <v>221</v>
      </c>
      <c r="D56" s="97">
        <v>0</v>
      </c>
      <c r="E56" s="97">
        <v>0</v>
      </c>
      <c r="F56" s="97">
        <v>0</v>
      </c>
      <c r="G56" s="97">
        <v>0</v>
      </c>
      <c r="H56" s="97">
        <v>17.512615906643251</v>
      </c>
      <c r="I56" s="97">
        <v>20153.518385365052</v>
      </c>
      <c r="J56" s="97">
        <v>3.2123631117077154</v>
      </c>
      <c r="K56" s="97">
        <v>3696.7874689532387</v>
      </c>
      <c r="L56" s="97">
        <v>58.610483701462286</v>
      </c>
      <c r="M56" s="97">
        <v>67448.944643642797</v>
      </c>
      <c r="N56" s="97">
        <v>25.147474728675597</v>
      </c>
      <c r="O56" s="97">
        <v>28939.713917759876</v>
      </c>
      <c r="P56" s="97">
        <v>21.728460125071088</v>
      </c>
      <c r="Q56" s="97">
        <v>25005.111911931806</v>
      </c>
      <c r="R56" s="97">
        <v>33.259647084282904</v>
      </c>
      <c r="S56" s="97">
        <v>38275.201864592767</v>
      </c>
      <c r="T56" s="97">
        <v>32.229615708470845</v>
      </c>
      <c r="U56" s="97">
        <v>37089.841757308248</v>
      </c>
      <c r="V56" s="97">
        <v>24.657822217016523</v>
      </c>
      <c r="W56" s="97">
        <v>28376.221807342616</v>
      </c>
      <c r="X56" s="97">
        <v>27.110476234087393</v>
      </c>
      <c r="Y56" s="97">
        <v>31198.73605018777</v>
      </c>
      <c r="Z56" s="97">
        <v>8.4414111719504223</v>
      </c>
      <c r="AA56" s="97">
        <v>9714.3759766805451</v>
      </c>
      <c r="AB56" s="97">
        <v>19.798564226153829</v>
      </c>
      <c r="AC56" s="97">
        <v>22784.187711457824</v>
      </c>
      <c r="AD56" s="97">
        <v>25.56847975340078</v>
      </c>
      <c r="AE56" s="97">
        <v>29424.206500213615</v>
      </c>
      <c r="AF56" s="97">
        <v>23.629410349832387</v>
      </c>
      <c r="AG56" s="97">
        <v>27192.72543058711</v>
      </c>
      <c r="AH56" s="97">
        <v>16.483024205159584</v>
      </c>
      <c r="AI56" s="97">
        <v>18968.664255297648</v>
      </c>
      <c r="AJ56" s="97">
        <v>11.742392802317942</v>
      </c>
      <c r="AK56" s="97">
        <v>13513.145636907488</v>
      </c>
      <c r="AL56" s="97">
        <v>18.593650486864796</v>
      </c>
      <c r="AM56" s="97">
        <v>21397.572980284007</v>
      </c>
      <c r="AN56" s="97">
        <v>10.566316349915645</v>
      </c>
      <c r="AO56" s="97">
        <v>12159.716855482924</v>
      </c>
      <c r="AP56" s="97">
        <v>19.060998810939356</v>
      </c>
      <c r="AQ56" s="97">
        <v>21935.397431629011</v>
      </c>
      <c r="AR56" s="97">
        <v>9</v>
      </c>
      <c r="AS56" s="97">
        <v>10357.199999999999</v>
      </c>
      <c r="AT56" s="97">
        <v>13.410708460901516</v>
      </c>
      <c r="AU56" s="97">
        <v>15433.043296805463</v>
      </c>
      <c r="AV56" s="97">
        <v>14.440958752647065</v>
      </c>
      <c r="AW56" s="97">
        <v>16618.655332546241</v>
      </c>
      <c r="AX56" s="97">
        <v>13.775092331178076</v>
      </c>
      <c r="AY56" s="97">
        <v>15852.376254719729</v>
      </c>
      <c r="AZ56" s="97">
        <v>9.5522025991259305</v>
      </c>
      <c r="BA56" s="97">
        <v>10992.674751074121</v>
      </c>
      <c r="BB56" s="97">
        <v>6.0501340143399753</v>
      </c>
      <c r="BC56" s="97">
        <v>6962.4942237024434</v>
      </c>
      <c r="BD56" s="97">
        <v>10.597889617442505</v>
      </c>
      <c r="BE56" s="97">
        <v>12196.051371752834</v>
      </c>
      <c r="BF56" s="97">
        <v>7.3964539264938427</v>
      </c>
      <c r="BG56" s="97">
        <v>8511.8391786091142</v>
      </c>
      <c r="BH56" s="97">
        <v>7.3352890080031274</v>
      </c>
      <c r="BI56" s="97">
        <v>8441.4505904099988</v>
      </c>
      <c r="BJ56" s="97">
        <v>5.5599906822157097</v>
      </c>
      <c r="BK56" s="97">
        <v>6398.437277093838</v>
      </c>
      <c r="BL56" s="97">
        <v>8.4982549886319614</v>
      </c>
      <c r="BM56" s="97">
        <v>9779.79184091766</v>
      </c>
      <c r="BN56" s="97">
        <v>6.0603601874948607</v>
      </c>
      <c r="BO56" s="97">
        <v>6974.262503769085</v>
      </c>
      <c r="BP56" s="97">
        <v>6.339836476000003</v>
      </c>
      <c r="BQ56" s="97">
        <v>7295.8838165808029</v>
      </c>
      <c r="BR56" s="97">
        <v>5.3924205617578647</v>
      </c>
      <c r="BS56" s="97">
        <v>6205.5975824709503</v>
      </c>
      <c r="BT56" s="97">
        <v>5</v>
      </c>
      <c r="BU56" s="97">
        <v>5754</v>
      </c>
      <c r="BV56" s="97">
        <v>7.0516191867543219</v>
      </c>
      <c r="BW56" s="97">
        <v>8115.0033601168734</v>
      </c>
      <c r="BX56" s="97">
        <v>5</v>
      </c>
      <c r="BY56" s="97">
        <v>5754</v>
      </c>
      <c r="BZ56" s="97">
        <v>5.2762182403998859</v>
      </c>
      <c r="CA56" s="97">
        <v>6071.8719510521887</v>
      </c>
      <c r="CB56" s="97">
        <v>5.2442770574883122</v>
      </c>
      <c r="CC56" s="97">
        <v>6035.1140377575493</v>
      </c>
      <c r="CD56" s="97">
        <v>6.296540696365029</v>
      </c>
      <c r="CE56" s="97">
        <v>7246.059033376875</v>
      </c>
      <c r="CF56" s="97">
        <v>4</v>
      </c>
      <c r="CG56" s="97">
        <v>4603.2</v>
      </c>
      <c r="CH56" s="97">
        <v>4.0357505256980781</v>
      </c>
      <c r="CI56" s="97">
        <v>4644.341704973348</v>
      </c>
      <c r="CJ56" s="97">
        <v>4.1268793942671715</v>
      </c>
      <c r="CK56" s="97">
        <v>4749.212806922661</v>
      </c>
      <c r="CL56" s="97">
        <v>5</v>
      </c>
      <c r="CM56" s="97">
        <v>5754</v>
      </c>
      <c r="CN56" s="97">
        <v>3</v>
      </c>
      <c r="CO56" s="97">
        <v>3452.3999999999996</v>
      </c>
      <c r="CP56" s="97">
        <v>4.0038833824732931</v>
      </c>
      <c r="CQ56" s="97">
        <v>4607.6689965502655</v>
      </c>
      <c r="CR56" s="97">
        <v>3</v>
      </c>
      <c r="CS56" s="97">
        <v>3452.3999999999996</v>
      </c>
      <c r="CT56" s="97">
        <v>4</v>
      </c>
      <c r="CU56" s="97">
        <v>4603.2</v>
      </c>
    </row>
    <row r="57" spans="2:99" x14ac:dyDescent="0.15">
      <c r="C57" s="96" t="s">
        <v>222</v>
      </c>
      <c r="D57" s="97">
        <v>0</v>
      </c>
      <c r="E57" s="97">
        <v>0</v>
      </c>
      <c r="F57" s="97">
        <v>0</v>
      </c>
      <c r="G57" s="97">
        <v>0</v>
      </c>
      <c r="H57" s="97">
        <v>0</v>
      </c>
      <c r="I57" s="97">
        <v>0</v>
      </c>
      <c r="J57" s="97">
        <v>0</v>
      </c>
      <c r="K57" s="97">
        <v>0</v>
      </c>
      <c r="L57" s="97">
        <v>0</v>
      </c>
      <c r="M57" s="97">
        <v>0</v>
      </c>
      <c r="N57" s="97">
        <v>0</v>
      </c>
      <c r="O57" s="97">
        <v>0</v>
      </c>
      <c r="P57" s="97">
        <v>0</v>
      </c>
      <c r="Q57" s="97">
        <v>0</v>
      </c>
      <c r="R57" s="97">
        <v>0</v>
      </c>
      <c r="S57" s="97">
        <v>0</v>
      </c>
      <c r="T57" s="97">
        <v>0</v>
      </c>
      <c r="U57" s="97">
        <v>0</v>
      </c>
      <c r="V57" s="97">
        <v>0</v>
      </c>
      <c r="W57" s="97">
        <v>0</v>
      </c>
      <c r="X57" s="97">
        <v>0</v>
      </c>
      <c r="Y57" s="97">
        <v>0</v>
      </c>
      <c r="Z57" s="97">
        <v>0</v>
      </c>
      <c r="AA57" s="97">
        <v>0</v>
      </c>
      <c r="AB57" s="97">
        <v>0</v>
      </c>
      <c r="AC57" s="97">
        <v>0</v>
      </c>
      <c r="AD57" s="97">
        <v>0</v>
      </c>
      <c r="AE57" s="97">
        <v>0</v>
      </c>
      <c r="AF57" s="97">
        <v>0</v>
      </c>
      <c r="AG57" s="97">
        <v>0</v>
      </c>
      <c r="AH57" s="97">
        <v>0</v>
      </c>
      <c r="AI57" s="97">
        <v>0</v>
      </c>
      <c r="AJ57" s="97">
        <v>0</v>
      </c>
      <c r="AK57" s="97">
        <v>0</v>
      </c>
      <c r="AL57" s="97">
        <v>0</v>
      </c>
      <c r="AM57" s="97">
        <v>0</v>
      </c>
      <c r="AN57" s="97">
        <v>0</v>
      </c>
      <c r="AO57" s="97">
        <v>0</v>
      </c>
      <c r="AP57" s="97">
        <v>0</v>
      </c>
      <c r="AQ57" s="97">
        <v>0</v>
      </c>
      <c r="AR57" s="97">
        <v>0</v>
      </c>
      <c r="AS57" s="97">
        <v>0</v>
      </c>
      <c r="AT57" s="97">
        <v>0</v>
      </c>
      <c r="AU57" s="97">
        <v>0</v>
      </c>
      <c r="AV57" s="97">
        <v>0</v>
      </c>
      <c r="AW57" s="97">
        <v>0</v>
      </c>
      <c r="AX57" s="97">
        <v>0</v>
      </c>
      <c r="AY57" s="97">
        <v>0</v>
      </c>
      <c r="AZ57" s="97">
        <v>0</v>
      </c>
      <c r="BA57" s="97">
        <v>0</v>
      </c>
      <c r="BB57" s="97">
        <v>0</v>
      </c>
      <c r="BC57" s="97">
        <v>0</v>
      </c>
      <c r="BD57" s="97">
        <v>0</v>
      </c>
      <c r="BE57" s="97">
        <v>0</v>
      </c>
      <c r="BF57" s="97">
        <v>0</v>
      </c>
      <c r="BG57" s="97">
        <v>0</v>
      </c>
      <c r="BH57" s="97">
        <v>0</v>
      </c>
      <c r="BI57" s="97">
        <v>0</v>
      </c>
      <c r="BJ57" s="97">
        <v>0</v>
      </c>
      <c r="BK57" s="97">
        <v>0</v>
      </c>
      <c r="BL57" s="97">
        <v>0</v>
      </c>
      <c r="BM57" s="97">
        <v>0</v>
      </c>
      <c r="BN57" s="97">
        <v>0</v>
      </c>
      <c r="BO57" s="97">
        <v>0</v>
      </c>
      <c r="BP57" s="97">
        <v>0</v>
      </c>
      <c r="BQ57" s="97">
        <v>0</v>
      </c>
      <c r="BR57" s="97">
        <v>0</v>
      </c>
      <c r="BS57" s="97">
        <v>0</v>
      </c>
      <c r="BT57" s="97">
        <v>0</v>
      </c>
      <c r="BU57" s="97">
        <v>0</v>
      </c>
      <c r="BV57" s="97">
        <v>0</v>
      </c>
      <c r="BW57" s="97">
        <v>0</v>
      </c>
      <c r="BX57" s="97">
        <v>0</v>
      </c>
      <c r="BY57" s="97">
        <v>0</v>
      </c>
      <c r="BZ57" s="97">
        <v>0</v>
      </c>
      <c r="CA57" s="97">
        <v>0</v>
      </c>
      <c r="CB57" s="97">
        <v>0</v>
      </c>
      <c r="CC57" s="97">
        <v>0</v>
      </c>
      <c r="CD57" s="97">
        <v>0</v>
      </c>
      <c r="CE57" s="97">
        <v>0</v>
      </c>
      <c r="CF57" s="97">
        <v>0</v>
      </c>
      <c r="CG57" s="97">
        <v>0</v>
      </c>
      <c r="CH57" s="97">
        <v>0</v>
      </c>
      <c r="CI57" s="97">
        <v>0</v>
      </c>
      <c r="CJ57" s="97">
        <v>0</v>
      </c>
      <c r="CK57" s="97">
        <v>0</v>
      </c>
      <c r="CL57" s="97">
        <v>0</v>
      </c>
      <c r="CM57" s="97">
        <v>0</v>
      </c>
      <c r="CN57" s="97">
        <v>0</v>
      </c>
      <c r="CO57" s="97">
        <v>0</v>
      </c>
      <c r="CP57" s="97">
        <v>0</v>
      </c>
      <c r="CQ57" s="97">
        <v>0</v>
      </c>
      <c r="CR57" s="97">
        <v>0</v>
      </c>
      <c r="CS57" s="97">
        <v>0</v>
      </c>
      <c r="CT57" s="97">
        <v>0</v>
      </c>
      <c r="CU57" s="97">
        <v>0</v>
      </c>
    </row>
    <row r="58" spans="2:99" x14ac:dyDescent="0.15">
      <c r="C58" s="96" t="s">
        <v>223</v>
      </c>
      <c r="D58" s="97">
        <v>0</v>
      </c>
      <c r="E58" s="97">
        <v>0</v>
      </c>
      <c r="F58" s="97">
        <v>0</v>
      </c>
      <c r="G58" s="97">
        <v>0</v>
      </c>
      <c r="H58" s="97">
        <v>21.080000628366871</v>
      </c>
      <c r="I58" s="97">
        <v>24815.376739713483</v>
      </c>
      <c r="J58" s="97">
        <v>3.0332458166377374</v>
      </c>
      <c r="K58" s="97">
        <v>3570.7369753459448</v>
      </c>
      <c r="L58" s="97">
        <v>62.637616310416163</v>
      </c>
      <c r="M58" s="97">
        <v>73737.001920621915</v>
      </c>
      <c r="N58" s="97">
        <v>27.287685343882028</v>
      </c>
      <c r="O58" s="97">
        <v>32123.063186817926</v>
      </c>
      <c r="P58" s="97">
        <v>22.656106201450765</v>
      </c>
      <c r="Q58" s="97">
        <v>26670.76822034784</v>
      </c>
      <c r="R58" s="97">
        <v>33.239625097572684</v>
      </c>
      <c r="S58" s="97">
        <v>39129.686664862566</v>
      </c>
      <c r="T58" s="97">
        <v>33.135479325047704</v>
      </c>
      <c r="U58" s="97">
        <v>39007.086261446158</v>
      </c>
      <c r="V58" s="97">
        <v>24.657822217016523</v>
      </c>
      <c r="W58" s="97">
        <v>29027.188313871851</v>
      </c>
      <c r="X58" s="97">
        <v>26.078748341684896</v>
      </c>
      <c r="Y58" s="97">
        <v>30699.902547831462</v>
      </c>
      <c r="Z58" s="97">
        <v>9.2453550930885573</v>
      </c>
      <c r="AA58" s="97">
        <v>10883.632015583849</v>
      </c>
      <c r="AB58" s="97">
        <v>19.760537358241741</v>
      </c>
      <c r="AC58" s="97">
        <v>23262.10457812218</v>
      </c>
      <c r="AD58" s="97">
        <v>23.594319742191725</v>
      </c>
      <c r="AE58" s="97">
        <v>27775.233200508101</v>
      </c>
      <c r="AF58" s="97">
        <v>21.60423393583909</v>
      </c>
      <c r="AG58" s="97">
        <v>25432.504189269777</v>
      </c>
      <c r="AH58" s="97">
        <v>16.53370246180577</v>
      </c>
      <c r="AI58" s="97">
        <v>19463.474538037754</v>
      </c>
      <c r="AJ58" s="97">
        <v>11.742392802317942</v>
      </c>
      <c r="AK58" s="97">
        <v>13823.144806888682</v>
      </c>
      <c r="AL58" s="97">
        <v>17.560669904261196</v>
      </c>
      <c r="AM58" s="97">
        <v>20672.420611296282</v>
      </c>
      <c r="AN58" s="97">
        <v>9.5663163499156454</v>
      </c>
      <c r="AO58" s="97">
        <v>11261.467607120698</v>
      </c>
      <c r="AP58" s="97">
        <v>19.060998810939356</v>
      </c>
      <c r="AQ58" s="97">
        <v>22438.607800237813</v>
      </c>
      <c r="AR58" s="97">
        <v>9</v>
      </c>
      <c r="AS58" s="97">
        <v>10594.800000000001</v>
      </c>
      <c r="AT58" s="97">
        <v>11.369637614811364</v>
      </c>
      <c r="AU58" s="97">
        <v>13384.337400155937</v>
      </c>
      <c r="AV58" s="97">
        <v>13.40703884859729</v>
      </c>
      <c r="AW58" s="97">
        <v>15782.766132568731</v>
      </c>
      <c r="AX58" s="97">
        <v>15.775092331178076</v>
      </c>
      <c r="AY58" s="97">
        <v>18570.438692262833</v>
      </c>
      <c r="AZ58" s="97">
        <v>9.637156845145304</v>
      </c>
      <c r="BA58" s="97">
        <v>11344.861038105053</v>
      </c>
      <c r="BB58" s="97">
        <v>7.0551474157739733</v>
      </c>
      <c r="BC58" s="97">
        <v>8305.3195378491218</v>
      </c>
      <c r="BD58" s="97">
        <v>10.54806548265563</v>
      </c>
      <c r="BE58" s="97">
        <v>12417.182686182208</v>
      </c>
      <c r="BF58" s="97">
        <v>6.3964539264938427</v>
      </c>
      <c r="BG58" s="97">
        <v>7529.9055622685519</v>
      </c>
      <c r="BH58" s="97">
        <v>8.3352890080031266</v>
      </c>
      <c r="BI58" s="97">
        <v>9812.3022202212815</v>
      </c>
      <c r="BJ58" s="97">
        <v>5.473838269567139</v>
      </c>
      <c r="BK58" s="97">
        <v>6443.802410934436</v>
      </c>
      <c r="BL58" s="97">
        <v>8.5435508966894123</v>
      </c>
      <c r="BM58" s="97">
        <v>10057.468115582777</v>
      </c>
      <c r="BN58" s="97">
        <v>6.067905210931718</v>
      </c>
      <c r="BO58" s="97">
        <v>7143.138014308819</v>
      </c>
      <c r="BP58" s="97">
        <v>6.339836476000003</v>
      </c>
      <c r="BQ58" s="97">
        <v>7463.2554995472037</v>
      </c>
      <c r="BR58" s="97">
        <v>6.3433679915381314</v>
      </c>
      <c r="BS58" s="97">
        <v>7467.4127996386887</v>
      </c>
      <c r="BT58" s="97">
        <v>5.2426683563497312</v>
      </c>
      <c r="BU58" s="97">
        <v>6171.6691890949041</v>
      </c>
      <c r="BV58" s="97">
        <v>7.043015988961935</v>
      </c>
      <c r="BW58" s="97">
        <v>8291.0384222059911</v>
      </c>
      <c r="BX58" s="97">
        <v>5</v>
      </c>
      <c r="BY58" s="97">
        <v>5886</v>
      </c>
      <c r="BZ58" s="97">
        <v>5.322254613799867</v>
      </c>
      <c r="CA58" s="97">
        <v>6265.3581313652039</v>
      </c>
      <c r="CB58" s="97">
        <v>4.2442770574883122</v>
      </c>
      <c r="CC58" s="97">
        <v>4996.3629520752411</v>
      </c>
      <c r="CD58" s="97">
        <v>5.296540696365029</v>
      </c>
      <c r="CE58" s="97">
        <v>6235.0877077609121</v>
      </c>
      <c r="CF58" s="97">
        <v>3</v>
      </c>
      <c r="CG58" s="97">
        <v>3531.6000000000004</v>
      </c>
      <c r="CH58" s="97">
        <v>5.0306433077412098</v>
      </c>
      <c r="CI58" s="97">
        <v>5922.0733018729525</v>
      </c>
      <c r="CJ58" s="97">
        <v>3.1268793942671715</v>
      </c>
      <c r="CK58" s="97">
        <v>3680.9624229313144</v>
      </c>
      <c r="CL58" s="97">
        <v>4</v>
      </c>
      <c r="CM58" s="97">
        <v>4708.8</v>
      </c>
      <c r="CN58" s="97">
        <v>3</v>
      </c>
      <c r="CO58" s="97">
        <v>3531.6000000000004</v>
      </c>
      <c r="CP58" s="97">
        <v>3.0051778432977234</v>
      </c>
      <c r="CQ58" s="97">
        <v>3537.6953571300801</v>
      </c>
      <c r="CR58" s="97">
        <v>3</v>
      </c>
      <c r="CS58" s="97">
        <v>3531.6000000000004</v>
      </c>
      <c r="CT58" s="97">
        <v>3</v>
      </c>
      <c r="CU58" s="97">
        <v>3531.6000000000004</v>
      </c>
    </row>
    <row r="59" spans="2:99" x14ac:dyDescent="0.15">
      <c r="C59" s="96" t="s">
        <v>224</v>
      </c>
      <c r="D59" s="97">
        <v>0</v>
      </c>
      <c r="E59" s="97">
        <v>0</v>
      </c>
      <c r="F59" s="97">
        <v>0</v>
      </c>
      <c r="G59" s="97">
        <v>0</v>
      </c>
      <c r="H59" s="97">
        <v>0</v>
      </c>
      <c r="I59" s="97">
        <v>0</v>
      </c>
      <c r="J59" s="97">
        <v>0</v>
      </c>
      <c r="K59" s="97">
        <v>0</v>
      </c>
      <c r="L59" s="97">
        <v>0</v>
      </c>
      <c r="M59" s="97">
        <v>0</v>
      </c>
      <c r="N59" s="97">
        <v>0</v>
      </c>
      <c r="O59" s="97">
        <v>0</v>
      </c>
      <c r="P59" s="97">
        <v>0</v>
      </c>
      <c r="Q59" s="97">
        <v>0</v>
      </c>
      <c r="R59" s="97">
        <v>0</v>
      </c>
      <c r="S59" s="97">
        <v>0</v>
      </c>
      <c r="T59" s="97">
        <v>0</v>
      </c>
      <c r="U59" s="97">
        <v>0</v>
      </c>
      <c r="V59" s="97">
        <v>0</v>
      </c>
      <c r="W59" s="97">
        <v>0</v>
      </c>
      <c r="X59" s="97">
        <v>0</v>
      </c>
      <c r="Y59" s="97">
        <v>0</v>
      </c>
      <c r="Z59" s="97">
        <v>0</v>
      </c>
      <c r="AA59" s="97">
        <v>0</v>
      </c>
      <c r="AB59" s="97">
        <v>0</v>
      </c>
      <c r="AC59" s="97">
        <v>0</v>
      </c>
      <c r="AD59" s="97">
        <v>0</v>
      </c>
      <c r="AE59" s="97">
        <v>0</v>
      </c>
      <c r="AF59" s="97">
        <v>0</v>
      </c>
      <c r="AG59" s="97">
        <v>0</v>
      </c>
      <c r="AH59" s="97">
        <v>0</v>
      </c>
      <c r="AI59" s="97">
        <v>0</v>
      </c>
      <c r="AJ59" s="97">
        <v>0</v>
      </c>
      <c r="AK59" s="97">
        <v>0</v>
      </c>
      <c r="AL59" s="97">
        <v>0</v>
      </c>
      <c r="AM59" s="97">
        <v>0</v>
      </c>
      <c r="AN59" s="97">
        <v>0</v>
      </c>
      <c r="AO59" s="97">
        <v>0</v>
      </c>
      <c r="AP59" s="97">
        <v>0</v>
      </c>
      <c r="AQ59" s="97">
        <v>0</v>
      </c>
      <c r="AR59" s="97">
        <v>0</v>
      </c>
      <c r="AS59" s="97">
        <v>0</v>
      </c>
      <c r="AT59" s="97">
        <v>0</v>
      </c>
      <c r="AU59" s="97">
        <v>0</v>
      </c>
      <c r="AV59" s="97">
        <v>0</v>
      </c>
      <c r="AW59" s="97">
        <v>0</v>
      </c>
      <c r="AX59" s="97">
        <v>0</v>
      </c>
      <c r="AY59" s="97">
        <v>0</v>
      </c>
      <c r="AZ59" s="97">
        <v>0</v>
      </c>
      <c r="BA59" s="97">
        <v>0</v>
      </c>
      <c r="BB59" s="97">
        <v>0</v>
      </c>
      <c r="BC59" s="97">
        <v>0</v>
      </c>
      <c r="BD59" s="97">
        <v>0</v>
      </c>
      <c r="BE59" s="97">
        <v>0</v>
      </c>
      <c r="BF59" s="97">
        <v>0</v>
      </c>
      <c r="BG59" s="97">
        <v>0</v>
      </c>
      <c r="BH59" s="97">
        <v>0</v>
      </c>
      <c r="BI59" s="97">
        <v>0</v>
      </c>
      <c r="BJ59" s="97">
        <v>0</v>
      </c>
      <c r="BK59" s="97">
        <v>0</v>
      </c>
      <c r="BL59" s="97">
        <v>0</v>
      </c>
      <c r="BM59" s="97">
        <v>0</v>
      </c>
      <c r="BN59" s="97">
        <v>0</v>
      </c>
      <c r="BO59" s="97">
        <v>0</v>
      </c>
      <c r="BP59" s="97">
        <v>0</v>
      </c>
      <c r="BQ59" s="97">
        <v>0</v>
      </c>
      <c r="BR59" s="97">
        <v>0</v>
      </c>
      <c r="BS59" s="97">
        <v>0</v>
      </c>
      <c r="BT59" s="97">
        <v>0</v>
      </c>
      <c r="BU59" s="97">
        <v>0</v>
      </c>
      <c r="BV59" s="97">
        <v>0</v>
      </c>
      <c r="BW59" s="97">
        <v>0</v>
      </c>
      <c r="BX59" s="97">
        <v>0</v>
      </c>
      <c r="BY59" s="97">
        <v>0</v>
      </c>
      <c r="BZ59" s="97">
        <v>0</v>
      </c>
      <c r="CA59" s="97">
        <v>0</v>
      </c>
      <c r="CB59" s="97">
        <v>0</v>
      </c>
      <c r="CC59" s="97">
        <v>0</v>
      </c>
      <c r="CD59" s="97">
        <v>0</v>
      </c>
      <c r="CE59" s="97">
        <v>0</v>
      </c>
      <c r="CF59" s="97">
        <v>0</v>
      </c>
      <c r="CG59" s="97">
        <v>0</v>
      </c>
      <c r="CH59" s="97">
        <v>0</v>
      </c>
      <c r="CI59" s="97">
        <v>0</v>
      </c>
      <c r="CJ59" s="97">
        <v>0</v>
      </c>
      <c r="CK59" s="97">
        <v>0</v>
      </c>
      <c r="CL59" s="97">
        <v>0</v>
      </c>
      <c r="CM59" s="97">
        <v>0</v>
      </c>
      <c r="CN59" s="97">
        <v>0</v>
      </c>
      <c r="CO59" s="97">
        <v>0</v>
      </c>
      <c r="CP59" s="97">
        <v>0</v>
      </c>
      <c r="CQ59" s="97">
        <v>0</v>
      </c>
      <c r="CR59" s="97">
        <v>0</v>
      </c>
      <c r="CS59" s="97">
        <v>0</v>
      </c>
      <c r="CT59" s="97">
        <v>0</v>
      </c>
      <c r="CU59" s="97">
        <v>0</v>
      </c>
    </row>
    <row r="60" spans="2:99" x14ac:dyDescent="0.15">
      <c r="C60" s="96" t="s">
        <v>225</v>
      </c>
      <c r="D60" s="97">
        <v>0</v>
      </c>
      <c r="E60" s="97">
        <v>0</v>
      </c>
      <c r="F60" s="97">
        <v>0</v>
      </c>
      <c r="G60" s="97">
        <v>0</v>
      </c>
      <c r="H60" s="97">
        <v>0</v>
      </c>
      <c r="I60" s="97">
        <v>0</v>
      </c>
      <c r="J60" s="97">
        <v>0</v>
      </c>
      <c r="K60" s="97">
        <v>0</v>
      </c>
      <c r="L60" s="97">
        <v>0</v>
      </c>
      <c r="M60" s="97">
        <v>0</v>
      </c>
      <c r="N60" s="97">
        <v>0</v>
      </c>
      <c r="O60" s="97">
        <v>0</v>
      </c>
      <c r="P60" s="97">
        <v>0</v>
      </c>
      <c r="Q60" s="97">
        <v>0</v>
      </c>
      <c r="R60" s="97">
        <v>0</v>
      </c>
      <c r="S60" s="97">
        <v>0</v>
      </c>
      <c r="T60" s="97">
        <v>0</v>
      </c>
      <c r="U60" s="97">
        <v>0</v>
      </c>
      <c r="V60" s="97">
        <v>0</v>
      </c>
      <c r="W60" s="97">
        <v>0</v>
      </c>
      <c r="X60" s="97">
        <v>0</v>
      </c>
      <c r="Y60" s="97">
        <v>0</v>
      </c>
      <c r="Z60" s="97">
        <v>0</v>
      </c>
      <c r="AA60" s="97">
        <v>0</v>
      </c>
      <c r="AB60" s="97">
        <v>0</v>
      </c>
      <c r="AC60" s="97">
        <v>0</v>
      </c>
      <c r="AD60" s="97">
        <v>0</v>
      </c>
      <c r="AE60" s="97">
        <v>0</v>
      </c>
      <c r="AF60" s="97">
        <v>0</v>
      </c>
      <c r="AG60" s="97">
        <v>0</v>
      </c>
      <c r="AH60" s="97">
        <v>0</v>
      </c>
      <c r="AI60" s="97">
        <v>0</v>
      </c>
      <c r="AJ60" s="97">
        <v>0</v>
      </c>
      <c r="AK60" s="97">
        <v>0</v>
      </c>
      <c r="AL60" s="97">
        <v>0</v>
      </c>
      <c r="AM60" s="97">
        <v>0</v>
      </c>
      <c r="AN60" s="97">
        <v>0</v>
      </c>
      <c r="AO60" s="97">
        <v>0</v>
      </c>
      <c r="AP60" s="97">
        <v>0</v>
      </c>
      <c r="AQ60" s="97">
        <v>0</v>
      </c>
      <c r="AR60" s="97">
        <v>0</v>
      </c>
      <c r="AS60" s="97">
        <v>0</v>
      </c>
      <c r="AT60" s="97">
        <v>0</v>
      </c>
      <c r="AU60" s="97">
        <v>0</v>
      </c>
      <c r="AV60" s="97">
        <v>0</v>
      </c>
      <c r="AW60" s="97">
        <v>0</v>
      </c>
      <c r="AX60" s="97">
        <v>0</v>
      </c>
      <c r="AY60" s="97">
        <v>0</v>
      </c>
      <c r="AZ60" s="97">
        <v>0</v>
      </c>
      <c r="BA60" s="97">
        <v>0</v>
      </c>
      <c r="BB60" s="97">
        <v>0</v>
      </c>
      <c r="BC60" s="97">
        <v>0</v>
      </c>
      <c r="BD60" s="97">
        <v>0</v>
      </c>
      <c r="BE60" s="97">
        <v>0</v>
      </c>
      <c r="BF60" s="97">
        <v>0</v>
      </c>
      <c r="BG60" s="97">
        <v>0</v>
      </c>
      <c r="BH60" s="97">
        <v>0</v>
      </c>
      <c r="BI60" s="97">
        <v>0</v>
      </c>
      <c r="BJ60" s="97">
        <v>0</v>
      </c>
      <c r="BK60" s="97">
        <v>0</v>
      </c>
      <c r="BL60" s="97">
        <v>0</v>
      </c>
      <c r="BM60" s="97">
        <v>0</v>
      </c>
      <c r="BN60" s="97">
        <v>0</v>
      </c>
      <c r="BO60" s="97">
        <v>0</v>
      </c>
      <c r="BP60" s="97">
        <v>0</v>
      </c>
      <c r="BQ60" s="97">
        <v>0</v>
      </c>
      <c r="BR60" s="97">
        <v>0</v>
      </c>
      <c r="BS60" s="97">
        <v>0</v>
      </c>
      <c r="BT60" s="97">
        <v>0</v>
      </c>
      <c r="BU60" s="97">
        <v>0</v>
      </c>
      <c r="BV60" s="97">
        <v>0</v>
      </c>
      <c r="BW60" s="97">
        <v>0</v>
      </c>
      <c r="BX60" s="97">
        <v>0</v>
      </c>
      <c r="BY60" s="97">
        <v>0</v>
      </c>
      <c r="BZ60" s="97">
        <v>0</v>
      </c>
      <c r="CA60" s="97">
        <v>0</v>
      </c>
      <c r="CB60" s="97">
        <v>0</v>
      </c>
      <c r="CC60" s="97">
        <v>0</v>
      </c>
      <c r="CD60" s="97">
        <v>0</v>
      </c>
      <c r="CE60" s="97">
        <v>0</v>
      </c>
      <c r="CF60" s="97">
        <v>0</v>
      </c>
      <c r="CG60" s="97">
        <v>0</v>
      </c>
      <c r="CH60" s="97">
        <v>0</v>
      </c>
      <c r="CI60" s="97">
        <v>0</v>
      </c>
      <c r="CJ60" s="97">
        <v>0</v>
      </c>
      <c r="CK60" s="97">
        <v>0</v>
      </c>
      <c r="CL60" s="97">
        <v>0</v>
      </c>
      <c r="CM60" s="97">
        <v>0</v>
      </c>
      <c r="CN60" s="97">
        <v>0</v>
      </c>
      <c r="CO60" s="97">
        <v>0</v>
      </c>
      <c r="CP60" s="97">
        <v>0</v>
      </c>
      <c r="CQ60" s="97">
        <v>0</v>
      </c>
      <c r="CR60" s="97">
        <v>0</v>
      </c>
      <c r="CS60" s="97">
        <v>0</v>
      </c>
      <c r="CT60" s="97">
        <v>0</v>
      </c>
      <c r="CU60" s="97">
        <v>0</v>
      </c>
    </row>
    <row r="61" spans="2:99" x14ac:dyDescent="0.15">
      <c r="C61" s="96" t="s">
        <v>226</v>
      </c>
      <c r="D61" s="97">
        <v>0</v>
      </c>
      <c r="E61" s="97">
        <v>0</v>
      </c>
      <c r="F61" s="97">
        <v>0</v>
      </c>
      <c r="G61" s="97">
        <v>0</v>
      </c>
      <c r="H61" s="97">
        <v>0</v>
      </c>
      <c r="I61" s="97">
        <v>0</v>
      </c>
      <c r="J61" s="97">
        <v>0</v>
      </c>
      <c r="K61" s="97">
        <v>0</v>
      </c>
      <c r="L61" s="97">
        <v>0</v>
      </c>
      <c r="M61" s="97">
        <v>0</v>
      </c>
      <c r="N61" s="97">
        <v>0</v>
      </c>
      <c r="O61" s="97">
        <v>0</v>
      </c>
      <c r="P61" s="97">
        <v>0</v>
      </c>
      <c r="Q61" s="97">
        <v>0</v>
      </c>
      <c r="R61" s="97">
        <v>0</v>
      </c>
      <c r="S61" s="97">
        <v>0</v>
      </c>
      <c r="T61" s="97">
        <v>0</v>
      </c>
      <c r="U61" s="97">
        <v>0</v>
      </c>
      <c r="V61" s="97">
        <v>0</v>
      </c>
      <c r="W61" s="97">
        <v>0</v>
      </c>
      <c r="X61" s="97">
        <v>0</v>
      </c>
      <c r="Y61" s="97">
        <v>0</v>
      </c>
      <c r="Z61" s="97">
        <v>0</v>
      </c>
      <c r="AA61" s="97">
        <v>0</v>
      </c>
      <c r="AB61" s="97">
        <v>0</v>
      </c>
      <c r="AC61" s="97">
        <v>0</v>
      </c>
      <c r="AD61" s="97">
        <v>0</v>
      </c>
      <c r="AE61" s="97">
        <v>0</v>
      </c>
      <c r="AF61" s="97">
        <v>0</v>
      </c>
      <c r="AG61" s="97">
        <v>0</v>
      </c>
      <c r="AH61" s="97">
        <v>0</v>
      </c>
      <c r="AI61" s="97">
        <v>0</v>
      </c>
      <c r="AJ61" s="97">
        <v>0</v>
      </c>
      <c r="AK61" s="97">
        <v>0</v>
      </c>
      <c r="AL61" s="97">
        <v>0</v>
      </c>
      <c r="AM61" s="97">
        <v>0</v>
      </c>
      <c r="AN61" s="97">
        <v>0</v>
      </c>
      <c r="AO61" s="97">
        <v>0</v>
      </c>
      <c r="AP61" s="97">
        <v>0</v>
      </c>
      <c r="AQ61" s="97">
        <v>0</v>
      </c>
      <c r="AR61" s="97">
        <v>0</v>
      </c>
      <c r="AS61" s="97">
        <v>0</v>
      </c>
      <c r="AT61" s="97">
        <v>0</v>
      </c>
      <c r="AU61" s="97">
        <v>0</v>
      </c>
      <c r="AV61" s="97">
        <v>0</v>
      </c>
      <c r="AW61" s="97">
        <v>0</v>
      </c>
      <c r="AX61" s="97">
        <v>0</v>
      </c>
      <c r="AY61" s="97">
        <v>0</v>
      </c>
      <c r="AZ61" s="97">
        <v>0</v>
      </c>
      <c r="BA61" s="97">
        <v>0</v>
      </c>
      <c r="BB61" s="97">
        <v>0</v>
      </c>
      <c r="BC61" s="97">
        <v>0</v>
      </c>
      <c r="BD61" s="97">
        <v>0</v>
      </c>
      <c r="BE61" s="97">
        <v>0</v>
      </c>
      <c r="BF61" s="97">
        <v>0</v>
      </c>
      <c r="BG61" s="97">
        <v>0</v>
      </c>
      <c r="BH61" s="97">
        <v>0</v>
      </c>
      <c r="BI61" s="97">
        <v>0</v>
      </c>
      <c r="BJ61" s="97">
        <v>0</v>
      </c>
      <c r="BK61" s="97">
        <v>0</v>
      </c>
      <c r="BL61" s="97">
        <v>0</v>
      </c>
      <c r="BM61" s="97">
        <v>0</v>
      </c>
      <c r="BN61" s="97">
        <v>0</v>
      </c>
      <c r="BO61" s="97">
        <v>0</v>
      </c>
      <c r="BP61" s="97">
        <v>0</v>
      </c>
      <c r="BQ61" s="97">
        <v>0</v>
      </c>
      <c r="BR61" s="97">
        <v>0</v>
      </c>
      <c r="BS61" s="97">
        <v>0</v>
      </c>
      <c r="BT61" s="97">
        <v>0</v>
      </c>
      <c r="BU61" s="97">
        <v>0</v>
      </c>
      <c r="BV61" s="97">
        <v>0</v>
      </c>
      <c r="BW61" s="97">
        <v>0</v>
      </c>
      <c r="BX61" s="97">
        <v>0</v>
      </c>
      <c r="BY61" s="97">
        <v>0</v>
      </c>
      <c r="BZ61" s="97">
        <v>0</v>
      </c>
      <c r="CA61" s="97">
        <v>0</v>
      </c>
      <c r="CB61" s="97">
        <v>0</v>
      </c>
      <c r="CC61" s="97">
        <v>0</v>
      </c>
      <c r="CD61" s="97">
        <v>0</v>
      </c>
      <c r="CE61" s="97">
        <v>0</v>
      </c>
      <c r="CF61" s="97">
        <v>0</v>
      </c>
      <c r="CG61" s="97">
        <v>0</v>
      </c>
      <c r="CH61" s="97">
        <v>0</v>
      </c>
      <c r="CI61" s="97">
        <v>0</v>
      </c>
      <c r="CJ61" s="97">
        <v>0</v>
      </c>
      <c r="CK61" s="97">
        <v>0</v>
      </c>
      <c r="CL61" s="97">
        <v>0</v>
      </c>
      <c r="CM61" s="97">
        <v>0</v>
      </c>
      <c r="CN61" s="97">
        <v>0</v>
      </c>
      <c r="CO61" s="97">
        <v>0</v>
      </c>
      <c r="CP61" s="97">
        <v>0</v>
      </c>
      <c r="CQ61" s="97">
        <v>0</v>
      </c>
      <c r="CR61" s="97">
        <v>0</v>
      </c>
      <c r="CS61" s="97">
        <v>0</v>
      </c>
      <c r="CT61" s="97">
        <v>0</v>
      </c>
      <c r="CU61" s="97">
        <v>0</v>
      </c>
    </row>
    <row r="62" spans="2:99" x14ac:dyDescent="0.15">
      <c r="C62" s="96" t="s">
        <v>227</v>
      </c>
      <c r="D62" s="97">
        <v>0</v>
      </c>
      <c r="E62" s="97">
        <v>0</v>
      </c>
      <c r="F62" s="97">
        <v>0</v>
      </c>
      <c r="G62" s="97">
        <v>0</v>
      </c>
      <c r="H62" s="97">
        <v>0</v>
      </c>
      <c r="I62" s="97">
        <v>0</v>
      </c>
      <c r="J62" s="97">
        <v>0</v>
      </c>
      <c r="K62" s="97">
        <v>0</v>
      </c>
      <c r="L62" s="97">
        <v>0</v>
      </c>
      <c r="M62" s="97">
        <v>0</v>
      </c>
      <c r="N62" s="97">
        <v>0</v>
      </c>
      <c r="O62" s="97">
        <v>0</v>
      </c>
      <c r="P62" s="97">
        <v>0</v>
      </c>
      <c r="Q62" s="97">
        <v>0</v>
      </c>
      <c r="R62" s="97">
        <v>0</v>
      </c>
      <c r="S62" s="97">
        <v>0</v>
      </c>
      <c r="T62" s="97">
        <v>0</v>
      </c>
      <c r="U62" s="97">
        <v>0</v>
      </c>
      <c r="V62" s="97">
        <v>0</v>
      </c>
      <c r="W62" s="97">
        <v>0</v>
      </c>
      <c r="X62" s="97">
        <v>0</v>
      </c>
      <c r="Y62" s="97">
        <v>0</v>
      </c>
      <c r="Z62" s="97">
        <v>0</v>
      </c>
      <c r="AA62" s="97">
        <v>0</v>
      </c>
      <c r="AB62" s="97">
        <v>0</v>
      </c>
      <c r="AC62" s="97">
        <v>0</v>
      </c>
      <c r="AD62" s="97">
        <v>0</v>
      </c>
      <c r="AE62" s="97">
        <v>0</v>
      </c>
      <c r="AF62" s="97">
        <v>0</v>
      </c>
      <c r="AG62" s="97">
        <v>0</v>
      </c>
      <c r="AH62" s="97">
        <v>0</v>
      </c>
      <c r="AI62" s="97">
        <v>0</v>
      </c>
      <c r="AJ62" s="97">
        <v>0</v>
      </c>
      <c r="AK62" s="97">
        <v>0</v>
      </c>
      <c r="AL62" s="97">
        <v>0</v>
      </c>
      <c r="AM62" s="97">
        <v>0</v>
      </c>
      <c r="AN62" s="97">
        <v>0</v>
      </c>
      <c r="AO62" s="97">
        <v>0</v>
      </c>
      <c r="AP62" s="97">
        <v>0</v>
      </c>
      <c r="AQ62" s="97">
        <v>0</v>
      </c>
      <c r="AR62" s="97">
        <v>0</v>
      </c>
      <c r="AS62" s="97">
        <v>0</v>
      </c>
      <c r="AT62" s="97">
        <v>0</v>
      </c>
      <c r="AU62" s="97">
        <v>0</v>
      </c>
      <c r="AV62" s="97">
        <v>0</v>
      </c>
      <c r="AW62" s="97">
        <v>0</v>
      </c>
      <c r="AX62" s="97">
        <v>0</v>
      </c>
      <c r="AY62" s="97">
        <v>0</v>
      </c>
      <c r="AZ62" s="97">
        <v>0</v>
      </c>
      <c r="BA62" s="97">
        <v>0</v>
      </c>
      <c r="BB62" s="97">
        <v>0</v>
      </c>
      <c r="BC62" s="97">
        <v>0</v>
      </c>
      <c r="BD62" s="97">
        <v>0</v>
      </c>
      <c r="BE62" s="97">
        <v>0</v>
      </c>
      <c r="BF62" s="97">
        <v>0</v>
      </c>
      <c r="BG62" s="97">
        <v>0</v>
      </c>
      <c r="BH62" s="97">
        <v>0</v>
      </c>
      <c r="BI62" s="97">
        <v>0</v>
      </c>
      <c r="BJ62" s="97">
        <v>0</v>
      </c>
      <c r="BK62" s="97">
        <v>0</v>
      </c>
      <c r="BL62" s="97">
        <v>0</v>
      </c>
      <c r="BM62" s="97">
        <v>0</v>
      </c>
      <c r="BN62" s="97">
        <v>0</v>
      </c>
      <c r="BO62" s="97">
        <v>0</v>
      </c>
      <c r="BP62" s="97">
        <v>0</v>
      </c>
      <c r="BQ62" s="97">
        <v>0</v>
      </c>
      <c r="BR62" s="97">
        <v>0</v>
      </c>
      <c r="BS62" s="97">
        <v>0</v>
      </c>
      <c r="BT62" s="97">
        <v>0</v>
      </c>
      <c r="BU62" s="97">
        <v>0</v>
      </c>
      <c r="BV62" s="97">
        <v>0</v>
      </c>
      <c r="BW62" s="97">
        <v>0</v>
      </c>
      <c r="BX62" s="97">
        <v>0</v>
      </c>
      <c r="BY62" s="97">
        <v>0</v>
      </c>
      <c r="BZ62" s="97">
        <v>0</v>
      </c>
      <c r="CA62" s="97">
        <v>0</v>
      </c>
      <c r="CB62" s="97">
        <v>0</v>
      </c>
      <c r="CC62" s="97">
        <v>0</v>
      </c>
      <c r="CD62" s="97">
        <v>0</v>
      </c>
      <c r="CE62" s="97">
        <v>0</v>
      </c>
      <c r="CF62" s="97">
        <v>0</v>
      </c>
      <c r="CG62" s="97">
        <v>0</v>
      </c>
      <c r="CH62" s="97">
        <v>0</v>
      </c>
      <c r="CI62" s="97">
        <v>0</v>
      </c>
      <c r="CJ62" s="97">
        <v>0</v>
      </c>
      <c r="CK62" s="97">
        <v>0</v>
      </c>
      <c r="CL62" s="97">
        <v>0</v>
      </c>
      <c r="CM62" s="97">
        <v>0</v>
      </c>
      <c r="CN62" s="97">
        <v>0</v>
      </c>
      <c r="CO62" s="97">
        <v>0</v>
      </c>
      <c r="CP62" s="97">
        <v>0</v>
      </c>
      <c r="CQ62" s="97">
        <v>0</v>
      </c>
      <c r="CR62" s="97">
        <v>0</v>
      </c>
      <c r="CS62" s="97">
        <v>0</v>
      </c>
      <c r="CT62" s="97">
        <v>0</v>
      </c>
      <c r="CU62" s="97">
        <v>0</v>
      </c>
    </row>
    <row r="63" spans="2:99" x14ac:dyDescent="0.15">
      <c r="C63" s="96" t="s">
        <v>228</v>
      </c>
      <c r="D63" s="97">
        <v>0</v>
      </c>
      <c r="E63" s="97">
        <v>0</v>
      </c>
      <c r="F63" s="97">
        <v>0</v>
      </c>
      <c r="G63" s="97">
        <v>0</v>
      </c>
      <c r="H63" s="97">
        <v>0</v>
      </c>
      <c r="I63" s="97">
        <v>0</v>
      </c>
      <c r="J63" s="97">
        <v>0</v>
      </c>
      <c r="K63" s="97">
        <v>0</v>
      </c>
      <c r="L63" s="97">
        <v>0</v>
      </c>
      <c r="M63" s="97">
        <v>0</v>
      </c>
      <c r="N63" s="97">
        <v>0</v>
      </c>
      <c r="O63" s="97">
        <v>0</v>
      </c>
      <c r="P63" s="97">
        <v>0</v>
      </c>
      <c r="Q63" s="97">
        <v>0</v>
      </c>
      <c r="R63" s="97">
        <v>0</v>
      </c>
      <c r="S63" s="97">
        <v>0</v>
      </c>
      <c r="T63" s="97">
        <v>0</v>
      </c>
      <c r="U63" s="97">
        <v>0</v>
      </c>
      <c r="V63" s="97">
        <v>0</v>
      </c>
      <c r="W63" s="97">
        <v>0</v>
      </c>
      <c r="X63" s="97">
        <v>0</v>
      </c>
      <c r="Y63" s="97">
        <v>0</v>
      </c>
      <c r="Z63" s="97">
        <v>0</v>
      </c>
      <c r="AA63" s="97">
        <v>0</v>
      </c>
      <c r="AB63" s="97">
        <v>0</v>
      </c>
      <c r="AC63" s="97">
        <v>0</v>
      </c>
      <c r="AD63" s="97">
        <v>0</v>
      </c>
      <c r="AE63" s="97">
        <v>0</v>
      </c>
      <c r="AF63" s="97">
        <v>0</v>
      </c>
      <c r="AG63" s="97">
        <v>0</v>
      </c>
      <c r="AH63" s="97">
        <v>0</v>
      </c>
      <c r="AI63" s="97">
        <v>0</v>
      </c>
      <c r="AJ63" s="97">
        <v>0</v>
      </c>
      <c r="AK63" s="97">
        <v>0</v>
      </c>
      <c r="AL63" s="97">
        <v>0</v>
      </c>
      <c r="AM63" s="97">
        <v>0</v>
      </c>
      <c r="AN63" s="97">
        <v>0</v>
      </c>
      <c r="AO63" s="97">
        <v>0</v>
      </c>
      <c r="AP63" s="97">
        <v>0</v>
      </c>
      <c r="AQ63" s="97">
        <v>0</v>
      </c>
      <c r="AR63" s="97">
        <v>0</v>
      </c>
      <c r="AS63" s="97">
        <v>0</v>
      </c>
      <c r="AT63" s="97">
        <v>0</v>
      </c>
      <c r="AU63" s="97">
        <v>0</v>
      </c>
      <c r="AV63" s="97">
        <v>0</v>
      </c>
      <c r="AW63" s="97">
        <v>0</v>
      </c>
      <c r="AX63" s="97">
        <v>0</v>
      </c>
      <c r="AY63" s="97">
        <v>0</v>
      </c>
      <c r="AZ63" s="97">
        <v>0</v>
      </c>
      <c r="BA63" s="97">
        <v>0</v>
      </c>
      <c r="BB63" s="97">
        <v>0</v>
      </c>
      <c r="BC63" s="97">
        <v>0</v>
      </c>
      <c r="BD63" s="97">
        <v>0</v>
      </c>
      <c r="BE63" s="97">
        <v>0</v>
      </c>
      <c r="BF63" s="97">
        <v>0</v>
      </c>
      <c r="BG63" s="97">
        <v>0</v>
      </c>
      <c r="BH63" s="97">
        <v>0</v>
      </c>
      <c r="BI63" s="97">
        <v>0</v>
      </c>
      <c r="BJ63" s="97">
        <v>0</v>
      </c>
      <c r="BK63" s="97">
        <v>0</v>
      </c>
      <c r="BL63" s="97">
        <v>0</v>
      </c>
      <c r="BM63" s="97">
        <v>0</v>
      </c>
      <c r="BN63" s="97">
        <v>0</v>
      </c>
      <c r="BO63" s="97">
        <v>0</v>
      </c>
      <c r="BP63" s="97">
        <v>0</v>
      </c>
      <c r="BQ63" s="97">
        <v>0</v>
      </c>
      <c r="BR63" s="97">
        <v>0</v>
      </c>
      <c r="BS63" s="97">
        <v>0</v>
      </c>
      <c r="BT63" s="97">
        <v>0</v>
      </c>
      <c r="BU63" s="97">
        <v>0</v>
      </c>
      <c r="BV63" s="97">
        <v>0</v>
      </c>
      <c r="BW63" s="97">
        <v>0</v>
      </c>
      <c r="BX63" s="97">
        <v>0</v>
      </c>
      <c r="BY63" s="97">
        <v>0</v>
      </c>
      <c r="BZ63" s="97">
        <v>0</v>
      </c>
      <c r="CA63" s="97">
        <v>0</v>
      </c>
      <c r="CB63" s="97">
        <v>0</v>
      </c>
      <c r="CC63" s="97">
        <v>0</v>
      </c>
      <c r="CD63" s="97">
        <v>0</v>
      </c>
      <c r="CE63" s="97">
        <v>0</v>
      </c>
      <c r="CF63" s="97">
        <v>0</v>
      </c>
      <c r="CG63" s="97">
        <v>0</v>
      </c>
      <c r="CH63" s="97">
        <v>0</v>
      </c>
      <c r="CI63" s="97">
        <v>0</v>
      </c>
      <c r="CJ63" s="97">
        <v>0</v>
      </c>
      <c r="CK63" s="97">
        <v>0</v>
      </c>
      <c r="CL63" s="97">
        <v>0</v>
      </c>
      <c r="CM63" s="97">
        <v>0</v>
      </c>
      <c r="CN63" s="97">
        <v>0</v>
      </c>
      <c r="CO63" s="97">
        <v>0</v>
      </c>
      <c r="CP63" s="97">
        <v>0</v>
      </c>
      <c r="CQ63" s="97">
        <v>0</v>
      </c>
      <c r="CR63" s="97">
        <v>0</v>
      </c>
      <c r="CS63" s="97">
        <v>0</v>
      </c>
      <c r="CT63" s="97">
        <v>0</v>
      </c>
      <c r="CU63" s="97">
        <v>0</v>
      </c>
    </row>
    <row r="64" spans="2:99" x14ac:dyDescent="0.15">
      <c r="C64" s="96" t="s">
        <v>229</v>
      </c>
      <c r="D64" s="97">
        <v>0</v>
      </c>
      <c r="E64" s="97">
        <v>0</v>
      </c>
      <c r="F64" s="97">
        <v>0</v>
      </c>
      <c r="G64" s="97">
        <v>0</v>
      </c>
      <c r="H64" s="97">
        <v>0</v>
      </c>
      <c r="I64" s="97">
        <v>0</v>
      </c>
      <c r="J64" s="97">
        <v>0</v>
      </c>
      <c r="K64" s="97">
        <v>0</v>
      </c>
      <c r="L64" s="97">
        <v>0</v>
      </c>
      <c r="M64" s="97">
        <v>0</v>
      </c>
      <c r="N64" s="97">
        <v>0</v>
      </c>
      <c r="O64" s="97">
        <v>0</v>
      </c>
      <c r="P64" s="97">
        <v>0</v>
      </c>
      <c r="Q64" s="97">
        <v>0</v>
      </c>
      <c r="R64" s="97">
        <v>0</v>
      </c>
      <c r="S64" s="97">
        <v>0</v>
      </c>
      <c r="T64" s="97">
        <v>0</v>
      </c>
      <c r="U64" s="97">
        <v>0</v>
      </c>
      <c r="V64" s="97">
        <v>0</v>
      </c>
      <c r="W64" s="97">
        <v>0</v>
      </c>
      <c r="X64" s="97">
        <v>0</v>
      </c>
      <c r="Y64" s="97">
        <v>0</v>
      </c>
      <c r="Z64" s="97">
        <v>0</v>
      </c>
      <c r="AA64" s="97">
        <v>0</v>
      </c>
      <c r="AB64" s="97">
        <v>0</v>
      </c>
      <c r="AC64" s="97">
        <v>0</v>
      </c>
      <c r="AD64" s="97">
        <v>0</v>
      </c>
      <c r="AE64" s="97">
        <v>0</v>
      </c>
      <c r="AF64" s="97">
        <v>0</v>
      </c>
      <c r="AG64" s="97">
        <v>0</v>
      </c>
      <c r="AH64" s="97">
        <v>0</v>
      </c>
      <c r="AI64" s="97">
        <v>0</v>
      </c>
      <c r="AJ64" s="97">
        <v>0</v>
      </c>
      <c r="AK64" s="97">
        <v>0</v>
      </c>
      <c r="AL64" s="97">
        <v>0</v>
      </c>
      <c r="AM64" s="97">
        <v>0</v>
      </c>
      <c r="AN64" s="97">
        <v>0</v>
      </c>
      <c r="AO64" s="97">
        <v>0</v>
      </c>
      <c r="AP64" s="97">
        <v>0</v>
      </c>
      <c r="AQ64" s="97">
        <v>0</v>
      </c>
      <c r="AR64" s="97">
        <v>0</v>
      </c>
      <c r="AS64" s="97">
        <v>0</v>
      </c>
      <c r="AT64" s="97">
        <v>0</v>
      </c>
      <c r="AU64" s="97">
        <v>0</v>
      </c>
      <c r="AV64" s="97">
        <v>0</v>
      </c>
      <c r="AW64" s="97">
        <v>0</v>
      </c>
      <c r="AX64" s="97">
        <v>0</v>
      </c>
      <c r="AY64" s="97">
        <v>0</v>
      </c>
      <c r="AZ64" s="97">
        <v>0</v>
      </c>
      <c r="BA64" s="97">
        <v>0</v>
      </c>
      <c r="BB64" s="97">
        <v>0</v>
      </c>
      <c r="BC64" s="97">
        <v>0</v>
      </c>
      <c r="BD64" s="97">
        <v>0</v>
      </c>
      <c r="BE64" s="97">
        <v>0</v>
      </c>
      <c r="BF64" s="97">
        <v>0</v>
      </c>
      <c r="BG64" s="97">
        <v>0</v>
      </c>
      <c r="BH64" s="97">
        <v>0</v>
      </c>
      <c r="BI64" s="97">
        <v>0</v>
      </c>
      <c r="BJ64" s="97">
        <v>0</v>
      </c>
      <c r="BK64" s="97">
        <v>0</v>
      </c>
      <c r="BL64" s="97">
        <v>0</v>
      </c>
      <c r="BM64" s="97">
        <v>0</v>
      </c>
      <c r="BN64" s="97">
        <v>0</v>
      </c>
      <c r="BO64" s="97">
        <v>0</v>
      </c>
      <c r="BP64" s="97">
        <v>0</v>
      </c>
      <c r="BQ64" s="97">
        <v>0</v>
      </c>
      <c r="BR64" s="97">
        <v>0</v>
      </c>
      <c r="BS64" s="97">
        <v>0</v>
      </c>
      <c r="BT64" s="97">
        <v>0</v>
      </c>
      <c r="BU64" s="97">
        <v>0</v>
      </c>
      <c r="BV64" s="97">
        <v>0</v>
      </c>
      <c r="BW64" s="97">
        <v>0</v>
      </c>
      <c r="BX64" s="97">
        <v>0</v>
      </c>
      <c r="BY64" s="97">
        <v>0</v>
      </c>
      <c r="BZ64" s="97">
        <v>0</v>
      </c>
      <c r="CA64" s="97">
        <v>0</v>
      </c>
      <c r="CB64" s="97">
        <v>0</v>
      </c>
      <c r="CC64" s="97">
        <v>0</v>
      </c>
      <c r="CD64" s="97">
        <v>0</v>
      </c>
      <c r="CE64" s="97">
        <v>0</v>
      </c>
      <c r="CF64" s="97">
        <v>0</v>
      </c>
      <c r="CG64" s="97">
        <v>0</v>
      </c>
      <c r="CH64" s="97">
        <v>0</v>
      </c>
      <c r="CI64" s="97">
        <v>0</v>
      </c>
      <c r="CJ64" s="97">
        <v>0</v>
      </c>
      <c r="CK64" s="97">
        <v>0</v>
      </c>
      <c r="CL64" s="97">
        <v>0</v>
      </c>
      <c r="CM64" s="97">
        <v>0</v>
      </c>
      <c r="CN64" s="97">
        <v>0</v>
      </c>
      <c r="CO64" s="97">
        <v>0</v>
      </c>
      <c r="CP64" s="97">
        <v>0</v>
      </c>
      <c r="CQ64" s="97">
        <v>0</v>
      </c>
      <c r="CR64" s="97">
        <v>0</v>
      </c>
      <c r="CS64" s="97">
        <v>0</v>
      </c>
      <c r="CT64" s="97">
        <v>0</v>
      </c>
      <c r="CU64" s="97">
        <v>0</v>
      </c>
    </row>
    <row r="65" spans="2:99" x14ac:dyDescent="0.15">
      <c r="C65" s="96" t="s">
        <v>230</v>
      </c>
      <c r="D65" s="97">
        <v>0</v>
      </c>
      <c r="E65" s="97">
        <v>0</v>
      </c>
      <c r="F65" s="97">
        <v>0</v>
      </c>
      <c r="G65" s="97">
        <v>0</v>
      </c>
      <c r="H65" s="97">
        <v>0</v>
      </c>
      <c r="I65" s="97">
        <v>0</v>
      </c>
      <c r="J65" s="97">
        <v>0</v>
      </c>
      <c r="K65" s="97">
        <v>0</v>
      </c>
      <c r="L65" s="97">
        <v>0</v>
      </c>
      <c r="M65" s="97">
        <v>0</v>
      </c>
      <c r="N65" s="97">
        <v>0</v>
      </c>
      <c r="O65" s="97">
        <v>0</v>
      </c>
      <c r="P65" s="97">
        <v>0</v>
      </c>
      <c r="Q65" s="97">
        <v>0</v>
      </c>
      <c r="R65" s="97">
        <v>0</v>
      </c>
      <c r="S65" s="97">
        <v>0</v>
      </c>
      <c r="T65" s="97">
        <v>0</v>
      </c>
      <c r="U65" s="97">
        <v>0</v>
      </c>
      <c r="V65" s="97">
        <v>0</v>
      </c>
      <c r="W65" s="97">
        <v>0</v>
      </c>
      <c r="X65" s="97">
        <v>0</v>
      </c>
      <c r="Y65" s="97">
        <v>0</v>
      </c>
      <c r="Z65" s="97">
        <v>0</v>
      </c>
      <c r="AA65" s="97">
        <v>0</v>
      </c>
      <c r="AB65" s="97">
        <v>0</v>
      </c>
      <c r="AC65" s="97">
        <v>0</v>
      </c>
      <c r="AD65" s="97">
        <v>0</v>
      </c>
      <c r="AE65" s="97">
        <v>0</v>
      </c>
      <c r="AF65" s="97">
        <v>0</v>
      </c>
      <c r="AG65" s="97">
        <v>0</v>
      </c>
      <c r="AH65" s="97">
        <v>0</v>
      </c>
      <c r="AI65" s="97">
        <v>0</v>
      </c>
      <c r="AJ65" s="97">
        <v>0</v>
      </c>
      <c r="AK65" s="97">
        <v>0</v>
      </c>
      <c r="AL65" s="97">
        <v>0</v>
      </c>
      <c r="AM65" s="97">
        <v>0</v>
      </c>
      <c r="AN65" s="97">
        <v>0</v>
      </c>
      <c r="AO65" s="97">
        <v>0</v>
      </c>
      <c r="AP65" s="97">
        <v>0</v>
      </c>
      <c r="AQ65" s="97">
        <v>0</v>
      </c>
      <c r="AR65" s="97">
        <v>0</v>
      </c>
      <c r="AS65" s="97">
        <v>0</v>
      </c>
      <c r="AT65" s="97">
        <v>0</v>
      </c>
      <c r="AU65" s="97">
        <v>0</v>
      </c>
      <c r="AV65" s="97">
        <v>0</v>
      </c>
      <c r="AW65" s="97">
        <v>0</v>
      </c>
      <c r="AX65" s="97">
        <v>0</v>
      </c>
      <c r="AY65" s="97">
        <v>0</v>
      </c>
      <c r="AZ65" s="97">
        <v>0</v>
      </c>
      <c r="BA65" s="97">
        <v>0</v>
      </c>
      <c r="BB65" s="97">
        <v>0</v>
      </c>
      <c r="BC65" s="97">
        <v>0</v>
      </c>
      <c r="BD65" s="97">
        <v>0</v>
      </c>
      <c r="BE65" s="97">
        <v>0</v>
      </c>
      <c r="BF65" s="97">
        <v>0</v>
      </c>
      <c r="BG65" s="97">
        <v>0</v>
      </c>
      <c r="BH65" s="97">
        <v>0</v>
      </c>
      <c r="BI65" s="97">
        <v>0</v>
      </c>
      <c r="BJ65" s="97">
        <v>0</v>
      </c>
      <c r="BK65" s="97">
        <v>0</v>
      </c>
      <c r="BL65" s="97">
        <v>0</v>
      </c>
      <c r="BM65" s="97">
        <v>0</v>
      </c>
      <c r="BN65" s="97">
        <v>0</v>
      </c>
      <c r="BO65" s="97">
        <v>0</v>
      </c>
      <c r="BP65" s="97">
        <v>0</v>
      </c>
      <c r="BQ65" s="97">
        <v>0</v>
      </c>
      <c r="BR65" s="97">
        <v>0</v>
      </c>
      <c r="BS65" s="97">
        <v>0</v>
      </c>
      <c r="BT65" s="97">
        <v>0</v>
      </c>
      <c r="BU65" s="97">
        <v>0</v>
      </c>
      <c r="BV65" s="97">
        <v>0</v>
      </c>
      <c r="BW65" s="97">
        <v>0</v>
      </c>
      <c r="BX65" s="97">
        <v>0</v>
      </c>
      <c r="BY65" s="97">
        <v>0</v>
      </c>
      <c r="BZ65" s="97">
        <v>0</v>
      </c>
      <c r="CA65" s="97">
        <v>0</v>
      </c>
      <c r="CB65" s="97">
        <v>0</v>
      </c>
      <c r="CC65" s="97">
        <v>0</v>
      </c>
      <c r="CD65" s="97">
        <v>0</v>
      </c>
      <c r="CE65" s="97">
        <v>0</v>
      </c>
      <c r="CF65" s="97">
        <v>0</v>
      </c>
      <c r="CG65" s="97">
        <v>0</v>
      </c>
      <c r="CH65" s="97">
        <v>0</v>
      </c>
      <c r="CI65" s="97">
        <v>0</v>
      </c>
      <c r="CJ65" s="97">
        <v>0</v>
      </c>
      <c r="CK65" s="97">
        <v>0</v>
      </c>
      <c r="CL65" s="97">
        <v>0</v>
      </c>
      <c r="CM65" s="97">
        <v>0</v>
      </c>
      <c r="CN65" s="97">
        <v>0</v>
      </c>
      <c r="CO65" s="97">
        <v>0</v>
      </c>
      <c r="CP65" s="97">
        <v>0</v>
      </c>
      <c r="CQ65" s="97">
        <v>0</v>
      </c>
      <c r="CR65" s="97">
        <v>0</v>
      </c>
      <c r="CS65" s="97">
        <v>0</v>
      </c>
      <c r="CT65" s="97">
        <v>0</v>
      </c>
      <c r="CU65" s="97">
        <v>0</v>
      </c>
    </row>
    <row r="66" spans="2:99" x14ac:dyDescent="0.15">
      <c r="C66" s="96" t="s">
        <v>231</v>
      </c>
      <c r="D66" s="97">
        <v>0</v>
      </c>
      <c r="E66" s="97">
        <v>0</v>
      </c>
      <c r="F66" s="97">
        <v>0</v>
      </c>
      <c r="G66" s="97">
        <v>0</v>
      </c>
      <c r="H66" s="97">
        <v>0</v>
      </c>
      <c r="I66" s="97">
        <v>0</v>
      </c>
      <c r="J66" s="97">
        <v>0</v>
      </c>
      <c r="K66" s="97">
        <v>0</v>
      </c>
      <c r="L66" s="97">
        <v>0</v>
      </c>
      <c r="M66" s="97">
        <v>0</v>
      </c>
      <c r="N66" s="97">
        <v>0</v>
      </c>
      <c r="O66" s="97">
        <v>0</v>
      </c>
      <c r="P66" s="97">
        <v>0</v>
      </c>
      <c r="Q66" s="97">
        <v>0</v>
      </c>
      <c r="R66" s="97">
        <v>0</v>
      </c>
      <c r="S66" s="97">
        <v>0</v>
      </c>
      <c r="T66" s="97">
        <v>0</v>
      </c>
      <c r="U66" s="97">
        <v>0</v>
      </c>
      <c r="V66" s="97">
        <v>0</v>
      </c>
      <c r="W66" s="97">
        <v>0</v>
      </c>
      <c r="X66" s="97">
        <v>0</v>
      </c>
      <c r="Y66" s="97">
        <v>0</v>
      </c>
      <c r="Z66" s="97">
        <v>0</v>
      </c>
      <c r="AA66" s="97">
        <v>0</v>
      </c>
      <c r="AB66" s="97">
        <v>0</v>
      </c>
      <c r="AC66" s="97">
        <v>0</v>
      </c>
      <c r="AD66" s="97">
        <v>0</v>
      </c>
      <c r="AE66" s="97">
        <v>0</v>
      </c>
      <c r="AF66" s="97">
        <v>0</v>
      </c>
      <c r="AG66" s="97">
        <v>0</v>
      </c>
      <c r="AH66" s="97">
        <v>0</v>
      </c>
      <c r="AI66" s="97">
        <v>0</v>
      </c>
      <c r="AJ66" s="97">
        <v>0</v>
      </c>
      <c r="AK66" s="97">
        <v>0</v>
      </c>
      <c r="AL66" s="97">
        <v>0</v>
      </c>
      <c r="AM66" s="97">
        <v>0</v>
      </c>
      <c r="AN66" s="97">
        <v>0</v>
      </c>
      <c r="AO66" s="97">
        <v>0</v>
      </c>
      <c r="AP66" s="97">
        <v>0</v>
      </c>
      <c r="AQ66" s="97">
        <v>0</v>
      </c>
      <c r="AR66" s="97">
        <v>0</v>
      </c>
      <c r="AS66" s="97">
        <v>0</v>
      </c>
      <c r="AT66" s="97">
        <v>0</v>
      </c>
      <c r="AU66" s="97">
        <v>0</v>
      </c>
      <c r="AV66" s="97">
        <v>0</v>
      </c>
      <c r="AW66" s="97">
        <v>0</v>
      </c>
      <c r="AX66" s="97">
        <v>0</v>
      </c>
      <c r="AY66" s="97">
        <v>0</v>
      </c>
      <c r="AZ66" s="97">
        <v>0</v>
      </c>
      <c r="BA66" s="97">
        <v>0</v>
      </c>
      <c r="BB66" s="97">
        <v>0</v>
      </c>
      <c r="BC66" s="97">
        <v>0</v>
      </c>
      <c r="BD66" s="97">
        <v>0</v>
      </c>
      <c r="BE66" s="97">
        <v>0</v>
      </c>
      <c r="BF66" s="97">
        <v>0</v>
      </c>
      <c r="BG66" s="97">
        <v>0</v>
      </c>
      <c r="BH66" s="97">
        <v>0</v>
      </c>
      <c r="BI66" s="97">
        <v>0</v>
      </c>
      <c r="BJ66" s="97">
        <v>0</v>
      </c>
      <c r="BK66" s="97">
        <v>0</v>
      </c>
      <c r="BL66" s="97">
        <v>0</v>
      </c>
      <c r="BM66" s="97">
        <v>0</v>
      </c>
      <c r="BN66" s="97">
        <v>0</v>
      </c>
      <c r="BO66" s="97">
        <v>0</v>
      </c>
      <c r="BP66" s="97">
        <v>0</v>
      </c>
      <c r="BQ66" s="97">
        <v>0</v>
      </c>
      <c r="BR66" s="97">
        <v>0</v>
      </c>
      <c r="BS66" s="97">
        <v>0</v>
      </c>
      <c r="BT66" s="97">
        <v>0</v>
      </c>
      <c r="BU66" s="97">
        <v>0</v>
      </c>
      <c r="BV66" s="97">
        <v>0</v>
      </c>
      <c r="BW66" s="97">
        <v>0</v>
      </c>
      <c r="BX66" s="97">
        <v>0</v>
      </c>
      <c r="BY66" s="97">
        <v>0</v>
      </c>
      <c r="BZ66" s="97">
        <v>0</v>
      </c>
      <c r="CA66" s="97">
        <v>0</v>
      </c>
      <c r="CB66" s="97">
        <v>0</v>
      </c>
      <c r="CC66" s="97">
        <v>0</v>
      </c>
      <c r="CD66" s="97">
        <v>0</v>
      </c>
      <c r="CE66" s="97">
        <v>0</v>
      </c>
      <c r="CF66" s="97">
        <v>0</v>
      </c>
      <c r="CG66" s="97">
        <v>0</v>
      </c>
      <c r="CH66" s="97">
        <v>0</v>
      </c>
      <c r="CI66" s="97">
        <v>0</v>
      </c>
      <c r="CJ66" s="97">
        <v>0</v>
      </c>
      <c r="CK66" s="97">
        <v>0</v>
      </c>
      <c r="CL66" s="97">
        <v>0</v>
      </c>
      <c r="CM66" s="97">
        <v>0</v>
      </c>
      <c r="CN66" s="97">
        <v>0</v>
      </c>
      <c r="CO66" s="97">
        <v>0</v>
      </c>
      <c r="CP66" s="97">
        <v>0</v>
      </c>
      <c r="CQ66" s="97">
        <v>0</v>
      </c>
      <c r="CR66" s="97">
        <v>0</v>
      </c>
      <c r="CS66" s="97">
        <v>0</v>
      </c>
      <c r="CT66" s="97">
        <v>0</v>
      </c>
      <c r="CU66" s="97">
        <v>0</v>
      </c>
    </row>
    <row r="67" spans="2:99" x14ac:dyDescent="0.15">
      <c r="C67" s="96" t="s">
        <v>232</v>
      </c>
      <c r="D67" s="97">
        <v>0</v>
      </c>
      <c r="E67" s="97">
        <v>0</v>
      </c>
      <c r="F67" s="97">
        <v>0</v>
      </c>
      <c r="G67" s="97">
        <v>0</v>
      </c>
      <c r="H67" s="97">
        <v>0</v>
      </c>
      <c r="I67" s="97">
        <v>0</v>
      </c>
      <c r="J67" s="97">
        <v>0</v>
      </c>
      <c r="K67" s="97">
        <v>0</v>
      </c>
      <c r="L67" s="97">
        <v>0</v>
      </c>
      <c r="M67" s="97">
        <v>0</v>
      </c>
      <c r="N67" s="97">
        <v>0</v>
      </c>
      <c r="O67" s="97">
        <v>0</v>
      </c>
      <c r="P67" s="97">
        <v>0</v>
      </c>
      <c r="Q67" s="97">
        <v>0</v>
      </c>
      <c r="R67" s="97">
        <v>0</v>
      </c>
      <c r="S67" s="97">
        <v>0</v>
      </c>
      <c r="T67" s="97">
        <v>0</v>
      </c>
      <c r="U67" s="97">
        <v>0</v>
      </c>
      <c r="V67" s="97">
        <v>0</v>
      </c>
      <c r="W67" s="97">
        <v>0</v>
      </c>
      <c r="X67" s="97">
        <v>0</v>
      </c>
      <c r="Y67" s="97">
        <v>0</v>
      </c>
      <c r="Z67" s="97">
        <v>0</v>
      </c>
      <c r="AA67" s="97">
        <v>0</v>
      </c>
      <c r="AB67" s="97">
        <v>0</v>
      </c>
      <c r="AC67" s="97">
        <v>0</v>
      </c>
      <c r="AD67" s="97">
        <v>0</v>
      </c>
      <c r="AE67" s="97">
        <v>0</v>
      </c>
      <c r="AF67" s="97">
        <v>0</v>
      </c>
      <c r="AG67" s="97">
        <v>0</v>
      </c>
      <c r="AH67" s="97">
        <v>0</v>
      </c>
      <c r="AI67" s="97">
        <v>0</v>
      </c>
      <c r="AJ67" s="97">
        <v>0</v>
      </c>
      <c r="AK67" s="97">
        <v>0</v>
      </c>
      <c r="AL67" s="97">
        <v>0</v>
      </c>
      <c r="AM67" s="97">
        <v>0</v>
      </c>
      <c r="AN67" s="97">
        <v>0</v>
      </c>
      <c r="AO67" s="97">
        <v>0</v>
      </c>
      <c r="AP67" s="97">
        <v>0</v>
      </c>
      <c r="AQ67" s="97">
        <v>0</v>
      </c>
      <c r="AR67" s="97">
        <v>0</v>
      </c>
      <c r="AS67" s="97">
        <v>0</v>
      </c>
      <c r="AT67" s="97">
        <v>0</v>
      </c>
      <c r="AU67" s="97">
        <v>0</v>
      </c>
      <c r="AV67" s="97">
        <v>0</v>
      </c>
      <c r="AW67" s="97">
        <v>0</v>
      </c>
      <c r="AX67" s="97">
        <v>0</v>
      </c>
      <c r="AY67" s="97">
        <v>0</v>
      </c>
      <c r="AZ67" s="97">
        <v>0</v>
      </c>
      <c r="BA67" s="97">
        <v>0</v>
      </c>
      <c r="BB67" s="97">
        <v>0</v>
      </c>
      <c r="BC67" s="97">
        <v>0</v>
      </c>
      <c r="BD67" s="97">
        <v>0</v>
      </c>
      <c r="BE67" s="97">
        <v>0</v>
      </c>
      <c r="BF67" s="97">
        <v>0</v>
      </c>
      <c r="BG67" s="97">
        <v>0</v>
      </c>
      <c r="BH67" s="97">
        <v>0</v>
      </c>
      <c r="BI67" s="97">
        <v>0</v>
      </c>
      <c r="BJ67" s="97">
        <v>0</v>
      </c>
      <c r="BK67" s="97">
        <v>0</v>
      </c>
      <c r="BL67" s="97">
        <v>0</v>
      </c>
      <c r="BM67" s="97">
        <v>0</v>
      </c>
      <c r="BN67" s="97">
        <v>0</v>
      </c>
      <c r="BO67" s="97">
        <v>0</v>
      </c>
      <c r="BP67" s="97">
        <v>0</v>
      </c>
      <c r="BQ67" s="97">
        <v>0</v>
      </c>
      <c r="BR67" s="97">
        <v>0</v>
      </c>
      <c r="BS67" s="97">
        <v>0</v>
      </c>
      <c r="BT67" s="97">
        <v>0</v>
      </c>
      <c r="BU67" s="97">
        <v>0</v>
      </c>
      <c r="BV67" s="97">
        <v>0</v>
      </c>
      <c r="BW67" s="97">
        <v>0</v>
      </c>
      <c r="BX67" s="97">
        <v>0</v>
      </c>
      <c r="BY67" s="97">
        <v>0</v>
      </c>
      <c r="BZ67" s="97">
        <v>0</v>
      </c>
      <c r="CA67" s="97">
        <v>0</v>
      </c>
      <c r="CB67" s="97">
        <v>0</v>
      </c>
      <c r="CC67" s="97">
        <v>0</v>
      </c>
      <c r="CD67" s="97">
        <v>0</v>
      </c>
      <c r="CE67" s="97">
        <v>0</v>
      </c>
      <c r="CF67" s="97">
        <v>0</v>
      </c>
      <c r="CG67" s="97">
        <v>0</v>
      </c>
      <c r="CH67" s="97">
        <v>0</v>
      </c>
      <c r="CI67" s="97">
        <v>0</v>
      </c>
      <c r="CJ67" s="97">
        <v>0</v>
      </c>
      <c r="CK67" s="97">
        <v>0</v>
      </c>
      <c r="CL67" s="97">
        <v>0</v>
      </c>
      <c r="CM67" s="97">
        <v>0</v>
      </c>
      <c r="CN67" s="97">
        <v>0</v>
      </c>
      <c r="CO67" s="97">
        <v>0</v>
      </c>
      <c r="CP67" s="97">
        <v>0</v>
      </c>
      <c r="CQ67" s="97">
        <v>0</v>
      </c>
      <c r="CR67" s="97">
        <v>0</v>
      </c>
      <c r="CS67" s="97">
        <v>0</v>
      </c>
      <c r="CT67" s="97">
        <v>0</v>
      </c>
      <c r="CU67" s="97">
        <v>0</v>
      </c>
    </row>
    <row r="68" spans="2:99" x14ac:dyDescent="0.15">
      <c r="C68" s="96" t="s">
        <v>233</v>
      </c>
      <c r="D68" s="97">
        <v>0</v>
      </c>
      <c r="E68" s="97">
        <v>0</v>
      </c>
      <c r="F68" s="97">
        <v>0</v>
      </c>
      <c r="G68" s="97">
        <v>0</v>
      </c>
      <c r="H68" s="97">
        <v>0</v>
      </c>
      <c r="I68" s="97">
        <v>0</v>
      </c>
      <c r="J68" s="97">
        <v>0</v>
      </c>
      <c r="K68" s="97">
        <v>0</v>
      </c>
      <c r="L68" s="97">
        <v>0</v>
      </c>
      <c r="M68" s="97">
        <v>0</v>
      </c>
      <c r="N68" s="97">
        <v>0</v>
      </c>
      <c r="O68" s="97">
        <v>0</v>
      </c>
      <c r="P68" s="97">
        <v>0</v>
      </c>
      <c r="Q68" s="97">
        <v>0</v>
      </c>
      <c r="R68" s="97">
        <v>0</v>
      </c>
      <c r="S68" s="97">
        <v>0</v>
      </c>
      <c r="T68" s="97">
        <v>0</v>
      </c>
      <c r="U68" s="97">
        <v>0</v>
      </c>
      <c r="V68" s="97">
        <v>0</v>
      </c>
      <c r="W68" s="97">
        <v>0</v>
      </c>
      <c r="X68" s="97">
        <v>0</v>
      </c>
      <c r="Y68" s="97">
        <v>0</v>
      </c>
      <c r="Z68" s="97">
        <v>0</v>
      </c>
      <c r="AA68" s="97">
        <v>0</v>
      </c>
      <c r="AB68" s="97">
        <v>0</v>
      </c>
      <c r="AC68" s="97">
        <v>0</v>
      </c>
      <c r="AD68" s="97">
        <v>0</v>
      </c>
      <c r="AE68" s="97">
        <v>0</v>
      </c>
      <c r="AF68" s="97">
        <v>0</v>
      </c>
      <c r="AG68" s="97">
        <v>0</v>
      </c>
      <c r="AH68" s="97">
        <v>0</v>
      </c>
      <c r="AI68" s="97">
        <v>0</v>
      </c>
      <c r="AJ68" s="97">
        <v>0</v>
      </c>
      <c r="AK68" s="97">
        <v>0</v>
      </c>
      <c r="AL68" s="97">
        <v>0</v>
      </c>
      <c r="AM68" s="97">
        <v>0</v>
      </c>
      <c r="AN68" s="97">
        <v>0</v>
      </c>
      <c r="AO68" s="97">
        <v>0</v>
      </c>
      <c r="AP68" s="97">
        <v>0</v>
      </c>
      <c r="AQ68" s="97">
        <v>0</v>
      </c>
      <c r="AR68" s="97">
        <v>0</v>
      </c>
      <c r="AS68" s="97">
        <v>0</v>
      </c>
      <c r="AT68" s="97">
        <v>0</v>
      </c>
      <c r="AU68" s="97">
        <v>0</v>
      </c>
      <c r="AV68" s="97">
        <v>0</v>
      </c>
      <c r="AW68" s="97">
        <v>0</v>
      </c>
      <c r="AX68" s="97">
        <v>0</v>
      </c>
      <c r="AY68" s="97">
        <v>0</v>
      </c>
      <c r="AZ68" s="97">
        <v>0</v>
      </c>
      <c r="BA68" s="97">
        <v>0</v>
      </c>
      <c r="BB68" s="97">
        <v>0</v>
      </c>
      <c r="BC68" s="97">
        <v>0</v>
      </c>
      <c r="BD68" s="97">
        <v>0</v>
      </c>
      <c r="BE68" s="97">
        <v>0</v>
      </c>
      <c r="BF68" s="97">
        <v>0</v>
      </c>
      <c r="BG68" s="97">
        <v>0</v>
      </c>
      <c r="BH68" s="97">
        <v>0</v>
      </c>
      <c r="BI68" s="97">
        <v>0</v>
      </c>
      <c r="BJ68" s="97">
        <v>0</v>
      </c>
      <c r="BK68" s="97">
        <v>0</v>
      </c>
      <c r="BL68" s="97">
        <v>0</v>
      </c>
      <c r="BM68" s="97">
        <v>0</v>
      </c>
      <c r="BN68" s="97">
        <v>0</v>
      </c>
      <c r="BO68" s="97">
        <v>0</v>
      </c>
      <c r="BP68" s="97">
        <v>0</v>
      </c>
      <c r="BQ68" s="97">
        <v>0</v>
      </c>
      <c r="BR68" s="97">
        <v>0</v>
      </c>
      <c r="BS68" s="97">
        <v>0</v>
      </c>
      <c r="BT68" s="97">
        <v>0</v>
      </c>
      <c r="BU68" s="97">
        <v>0</v>
      </c>
      <c r="BV68" s="97">
        <v>0</v>
      </c>
      <c r="BW68" s="97">
        <v>0</v>
      </c>
      <c r="BX68" s="97">
        <v>0</v>
      </c>
      <c r="BY68" s="97">
        <v>0</v>
      </c>
      <c r="BZ68" s="97">
        <v>0</v>
      </c>
      <c r="CA68" s="97">
        <v>0</v>
      </c>
      <c r="CB68" s="97">
        <v>0</v>
      </c>
      <c r="CC68" s="97">
        <v>0</v>
      </c>
      <c r="CD68" s="97">
        <v>0</v>
      </c>
      <c r="CE68" s="97">
        <v>0</v>
      </c>
      <c r="CF68" s="97">
        <v>0</v>
      </c>
      <c r="CG68" s="97">
        <v>0</v>
      </c>
      <c r="CH68" s="97">
        <v>0</v>
      </c>
      <c r="CI68" s="97">
        <v>0</v>
      </c>
      <c r="CJ68" s="97">
        <v>0</v>
      </c>
      <c r="CK68" s="97">
        <v>0</v>
      </c>
      <c r="CL68" s="97">
        <v>0</v>
      </c>
      <c r="CM68" s="97">
        <v>0</v>
      </c>
      <c r="CN68" s="97">
        <v>0</v>
      </c>
      <c r="CO68" s="97">
        <v>0</v>
      </c>
      <c r="CP68" s="97">
        <v>0</v>
      </c>
      <c r="CQ68" s="97">
        <v>0</v>
      </c>
      <c r="CR68" s="97">
        <v>0</v>
      </c>
      <c r="CS68" s="97">
        <v>0</v>
      </c>
      <c r="CT68" s="97">
        <v>0</v>
      </c>
      <c r="CU68" s="97">
        <v>0</v>
      </c>
    </row>
    <row r="69" spans="2:99" x14ac:dyDescent="0.15">
      <c r="C69" s="96" t="s">
        <v>234</v>
      </c>
      <c r="D69" s="97">
        <v>0</v>
      </c>
      <c r="E69" s="97">
        <v>0</v>
      </c>
      <c r="F69" s="97">
        <v>0</v>
      </c>
      <c r="G69" s="97">
        <v>0</v>
      </c>
      <c r="H69" s="97">
        <v>0</v>
      </c>
      <c r="I69" s="97">
        <v>0</v>
      </c>
      <c r="J69" s="97">
        <v>0</v>
      </c>
      <c r="K69" s="97">
        <v>0</v>
      </c>
      <c r="L69" s="97">
        <v>0</v>
      </c>
      <c r="M69" s="97">
        <v>0</v>
      </c>
      <c r="N69" s="97">
        <v>0</v>
      </c>
      <c r="O69" s="97">
        <v>0</v>
      </c>
      <c r="P69" s="97">
        <v>0</v>
      </c>
      <c r="Q69" s="97">
        <v>0</v>
      </c>
      <c r="R69" s="97">
        <v>0</v>
      </c>
      <c r="S69" s="97">
        <v>0</v>
      </c>
      <c r="T69" s="97">
        <v>0</v>
      </c>
      <c r="U69" s="97">
        <v>0</v>
      </c>
      <c r="V69" s="97">
        <v>0</v>
      </c>
      <c r="W69" s="97">
        <v>0</v>
      </c>
      <c r="X69" s="97">
        <v>0</v>
      </c>
      <c r="Y69" s="97">
        <v>0</v>
      </c>
      <c r="Z69" s="97">
        <v>0</v>
      </c>
      <c r="AA69" s="97">
        <v>0</v>
      </c>
      <c r="AB69" s="97">
        <v>0</v>
      </c>
      <c r="AC69" s="97">
        <v>0</v>
      </c>
      <c r="AD69" s="97">
        <v>0</v>
      </c>
      <c r="AE69" s="97">
        <v>0</v>
      </c>
      <c r="AF69" s="97">
        <v>0</v>
      </c>
      <c r="AG69" s="97">
        <v>0</v>
      </c>
      <c r="AH69" s="97">
        <v>0</v>
      </c>
      <c r="AI69" s="97">
        <v>0</v>
      </c>
      <c r="AJ69" s="97">
        <v>0</v>
      </c>
      <c r="AK69" s="97">
        <v>0</v>
      </c>
      <c r="AL69" s="97">
        <v>0</v>
      </c>
      <c r="AM69" s="97">
        <v>0</v>
      </c>
      <c r="AN69" s="97">
        <v>0</v>
      </c>
      <c r="AO69" s="97">
        <v>0</v>
      </c>
      <c r="AP69" s="97">
        <v>0</v>
      </c>
      <c r="AQ69" s="97">
        <v>0</v>
      </c>
      <c r="AR69" s="97">
        <v>0</v>
      </c>
      <c r="AS69" s="97">
        <v>0</v>
      </c>
      <c r="AT69" s="97">
        <v>0</v>
      </c>
      <c r="AU69" s="97">
        <v>0</v>
      </c>
      <c r="AV69" s="97">
        <v>0</v>
      </c>
      <c r="AW69" s="97">
        <v>0</v>
      </c>
      <c r="AX69" s="97">
        <v>0</v>
      </c>
      <c r="AY69" s="97">
        <v>0</v>
      </c>
      <c r="AZ69" s="97">
        <v>0</v>
      </c>
      <c r="BA69" s="97">
        <v>0</v>
      </c>
      <c r="BB69" s="97">
        <v>0</v>
      </c>
      <c r="BC69" s="97">
        <v>0</v>
      </c>
      <c r="BD69" s="97">
        <v>0</v>
      </c>
      <c r="BE69" s="97">
        <v>0</v>
      </c>
      <c r="BF69" s="97">
        <v>0</v>
      </c>
      <c r="BG69" s="97">
        <v>0</v>
      </c>
      <c r="BH69" s="97">
        <v>0</v>
      </c>
      <c r="BI69" s="97">
        <v>0</v>
      </c>
      <c r="BJ69" s="97">
        <v>0</v>
      </c>
      <c r="BK69" s="97">
        <v>0</v>
      </c>
      <c r="BL69" s="97">
        <v>0</v>
      </c>
      <c r="BM69" s="97">
        <v>0</v>
      </c>
      <c r="BN69" s="97">
        <v>0</v>
      </c>
      <c r="BO69" s="97">
        <v>0</v>
      </c>
      <c r="BP69" s="97">
        <v>0</v>
      </c>
      <c r="BQ69" s="97">
        <v>0</v>
      </c>
      <c r="BR69" s="97">
        <v>0</v>
      </c>
      <c r="BS69" s="97">
        <v>0</v>
      </c>
      <c r="BT69" s="97">
        <v>0</v>
      </c>
      <c r="BU69" s="97">
        <v>0</v>
      </c>
      <c r="BV69" s="97">
        <v>0</v>
      </c>
      <c r="BW69" s="97">
        <v>0</v>
      </c>
      <c r="BX69" s="97">
        <v>0</v>
      </c>
      <c r="BY69" s="97">
        <v>0</v>
      </c>
      <c r="BZ69" s="97">
        <v>0</v>
      </c>
      <c r="CA69" s="97">
        <v>0</v>
      </c>
      <c r="CB69" s="97">
        <v>0</v>
      </c>
      <c r="CC69" s="97">
        <v>0</v>
      </c>
      <c r="CD69" s="97">
        <v>0</v>
      </c>
      <c r="CE69" s="97">
        <v>0</v>
      </c>
      <c r="CF69" s="97">
        <v>0</v>
      </c>
      <c r="CG69" s="97">
        <v>0</v>
      </c>
      <c r="CH69" s="97">
        <v>0</v>
      </c>
      <c r="CI69" s="97">
        <v>0</v>
      </c>
      <c r="CJ69" s="97">
        <v>0</v>
      </c>
      <c r="CK69" s="97">
        <v>0</v>
      </c>
      <c r="CL69" s="97">
        <v>0</v>
      </c>
      <c r="CM69" s="97">
        <v>0</v>
      </c>
      <c r="CN69" s="97">
        <v>0</v>
      </c>
      <c r="CO69" s="97">
        <v>0</v>
      </c>
      <c r="CP69" s="97">
        <v>0</v>
      </c>
      <c r="CQ69" s="97">
        <v>0</v>
      </c>
      <c r="CR69" s="97">
        <v>0</v>
      </c>
      <c r="CS69" s="97">
        <v>0</v>
      </c>
      <c r="CT69" s="97">
        <v>0</v>
      </c>
      <c r="CU69" s="97">
        <v>0</v>
      </c>
    </row>
    <row r="70" spans="2:99" x14ac:dyDescent="0.15">
      <c r="C70" s="96" t="s">
        <v>235</v>
      </c>
      <c r="D70" s="97">
        <v>0</v>
      </c>
      <c r="E70" s="97">
        <v>0</v>
      </c>
      <c r="F70" s="97">
        <v>0</v>
      </c>
      <c r="G70" s="97">
        <v>0</v>
      </c>
      <c r="H70" s="97">
        <v>0</v>
      </c>
      <c r="I70" s="97">
        <v>0</v>
      </c>
      <c r="J70" s="97">
        <v>0</v>
      </c>
      <c r="K70" s="97">
        <v>0</v>
      </c>
      <c r="L70" s="97">
        <v>0</v>
      </c>
      <c r="M70" s="97">
        <v>0</v>
      </c>
      <c r="N70" s="97">
        <v>0</v>
      </c>
      <c r="O70" s="97">
        <v>0</v>
      </c>
      <c r="P70" s="97">
        <v>0</v>
      </c>
      <c r="Q70" s="97">
        <v>0</v>
      </c>
      <c r="R70" s="97">
        <v>0</v>
      </c>
      <c r="S70" s="97">
        <v>0</v>
      </c>
      <c r="T70" s="97">
        <v>0</v>
      </c>
      <c r="U70" s="97">
        <v>0</v>
      </c>
      <c r="V70" s="97">
        <v>0</v>
      </c>
      <c r="W70" s="97">
        <v>0</v>
      </c>
      <c r="X70" s="97">
        <v>0</v>
      </c>
      <c r="Y70" s="97">
        <v>0</v>
      </c>
      <c r="Z70" s="97">
        <v>0</v>
      </c>
      <c r="AA70" s="97">
        <v>0</v>
      </c>
      <c r="AB70" s="97">
        <v>0</v>
      </c>
      <c r="AC70" s="97">
        <v>0</v>
      </c>
      <c r="AD70" s="97">
        <v>0</v>
      </c>
      <c r="AE70" s="97">
        <v>0</v>
      </c>
      <c r="AF70" s="97">
        <v>0</v>
      </c>
      <c r="AG70" s="97">
        <v>0</v>
      </c>
      <c r="AH70" s="97">
        <v>0</v>
      </c>
      <c r="AI70" s="97">
        <v>0</v>
      </c>
      <c r="AJ70" s="97">
        <v>0</v>
      </c>
      <c r="AK70" s="97">
        <v>0</v>
      </c>
      <c r="AL70" s="97">
        <v>0</v>
      </c>
      <c r="AM70" s="97">
        <v>0</v>
      </c>
      <c r="AN70" s="97">
        <v>0</v>
      </c>
      <c r="AO70" s="97">
        <v>0</v>
      </c>
      <c r="AP70" s="97">
        <v>0</v>
      </c>
      <c r="AQ70" s="97">
        <v>0</v>
      </c>
      <c r="AR70" s="97">
        <v>0</v>
      </c>
      <c r="AS70" s="97">
        <v>0</v>
      </c>
      <c r="AT70" s="97">
        <v>0</v>
      </c>
      <c r="AU70" s="97">
        <v>0</v>
      </c>
      <c r="AV70" s="97">
        <v>0</v>
      </c>
      <c r="AW70" s="97">
        <v>0</v>
      </c>
      <c r="AX70" s="97">
        <v>0</v>
      </c>
      <c r="AY70" s="97">
        <v>0</v>
      </c>
      <c r="AZ70" s="97">
        <v>0</v>
      </c>
      <c r="BA70" s="97">
        <v>0</v>
      </c>
      <c r="BB70" s="97">
        <v>0</v>
      </c>
      <c r="BC70" s="97">
        <v>0</v>
      </c>
      <c r="BD70" s="97">
        <v>0</v>
      </c>
      <c r="BE70" s="97">
        <v>0</v>
      </c>
      <c r="BF70" s="97">
        <v>0</v>
      </c>
      <c r="BG70" s="97">
        <v>0</v>
      </c>
      <c r="BH70" s="97">
        <v>0</v>
      </c>
      <c r="BI70" s="97">
        <v>0</v>
      </c>
      <c r="BJ70" s="97">
        <v>0</v>
      </c>
      <c r="BK70" s="97">
        <v>0</v>
      </c>
      <c r="BL70" s="97">
        <v>0</v>
      </c>
      <c r="BM70" s="97">
        <v>0</v>
      </c>
      <c r="BN70" s="97">
        <v>0</v>
      </c>
      <c r="BO70" s="97">
        <v>0</v>
      </c>
      <c r="BP70" s="97">
        <v>0</v>
      </c>
      <c r="BQ70" s="97">
        <v>0</v>
      </c>
      <c r="BR70" s="97">
        <v>0</v>
      </c>
      <c r="BS70" s="97">
        <v>0</v>
      </c>
      <c r="BT70" s="97">
        <v>0</v>
      </c>
      <c r="BU70" s="97">
        <v>0</v>
      </c>
      <c r="BV70" s="97">
        <v>0</v>
      </c>
      <c r="BW70" s="97">
        <v>0</v>
      </c>
      <c r="BX70" s="97">
        <v>0</v>
      </c>
      <c r="BY70" s="97">
        <v>0</v>
      </c>
      <c r="BZ70" s="97">
        <v>0</v>
      </c>
      <c r="CA70" s="97">
        <v>0</v>
      </c>
      <c r="CB70" s="97">
        <v>0</v>
      </c>
      <c r="CC70" s="97">
        <v>0</v>
      </c>
      <c r="CD70" s="97">
        <v>0</v>
      </c>
      <c r="CE70" s="97">
        <v>0</v>
      </c>
      <c r="CF70" s="97">
        <v>0</v>
      </c>
      <c r="CG70" s="97">
        <v>0</v>
      </c>
      <c r="CH70" s="97">
        <v>0</v>
      </c>
      <c r="CI70" s="97">
        <v>0</v>
      </c>
      <c r="CJ70" s="97">
        <v>0</v>
      </c>
      <c r="CK70" s="97">
        <v>0</v>
      </c>
      <c r="CL70" s="97">
        <v>0</v>
      </c>
      <c r="CM70" s="97">
        <v>0</v>
      </c>
      <c r="CN70" s="97">
        <v>0</v>
      </c>
      <c r="CO70" s="97">
        <v>0</v>
      </c>
      <c r="CP70" s="97">
        <v>0</v>
      </c>
      <c r="CQ70" s="97">
        <v>0</v>
      </c>
      <c r="CR70" s="97">
        <v>0</v>
      </c>
      <c r="CS70" s="97">
        <v>0</v>
      </c>
      <c r="CT70" s="97">
        <v>0</v>
      </c>
      <c r="CU70" s="97">
        <v>0</v>
      </c>
    </row>
    <row r="71" spans="2:99" x14ac:dyDescent="0.15">
      <c r="B71" s="96" t="s">
        <v>130</v>
      </c>
      <c r="C71" s="96" t="s">
        <v>236</v>
      </c>
      <c r="D71" s="97">
        <v>0</v>
      </c>
      <c r="E71" s="97">
        <v>0</v>
      </c>
      <c r="F71" s="97">
        <v>0</v>
      </c>
      <c r="G71" s="97">
        <v>0</v>
      </c>
      <c r="H71" s="97">
        <v>27.890462369839248</v>
      </c>
      <c r="I71" s="97">
        <v>15730.220776589336</v>
      </c>
      <c r="J71" s="97">
        <v>2.7071460076249911</v>
      </c>
      <c r="K71" s="97">
        <v>1526.830348300495</v>
      </c>
      <c r="L71" s="97">
        <v>39.422051750967626</v>
      </c>
      <c r="M71" s="97">
        <v>22234.037187545742</v>
      </c>
      <c r="N71" s="97">
        <v>22.472211459667555</v>
      </c>
      <c r="O71" s="97">
        <v>12674.3272632525</v>
      </c>
      <c r="P71" s="97">
        <v>17.886425240668821</v>
      </c>
      <c r="Q71" s="97">
        <v>10087.943835737215</v>
      </c>
      <c r="R71" s="97">
        <v>26.977917453708002</v>
      </c>
      <c r="S71" s="97">
        <v>15215.545443891313</v>
      </c>
      <c r="T71" s="97">
        <v>32.510807849420793</v>
      </c>
      <c r="U71" s="97">
        <v>18336.095627073326</v>
      </c>
      <c r="V71" s="97">
        <v>26.630447994377846</v>
      </c>
      <c r="W71" s="97">
        <v>15019.572668829105</v>
      </c>
      <c r="X71" s="97">
        <v>26.157496683369793</v>
      </c>
      <c r="Y71" s="97">
        <v>14752.828129420563</v>
      </c>
      <c r="Z71" s="97">
        <v>9.6473270536576248</v>
      </c>
      <c r="AA71" s="97">
        <v>5441.0924582629004</v>
      </c>
      <c r="AB71" s="97">
        <v>23.521074716483483</v>
      </c>
      <c r="AC71" s="97">
        <v>13265.886140096683</v>
      </c>
      <c r="AD71" s="97">
        <v>22.878559618892115</v>
      </c>
      <c r="AE71" s="97">
        <v>12903.507625055154</v>
      </c>
      <c r="AF71" s="97">
        <v>17.855998075772046</v>
      </c>
      <c r="AG71" s="97">
        <v>10070.782914735433</v>
      </c>
      <c r="AH71" s="97">
        <v>19.75888361948962</v>
      </c>
      <c r="AI71" s="97">
        <v>11144.010361392146</v>
      </c>
      <c r="AJ71" s="97">
        <v>15.56563261128986</v>
      </c>
      <c r="AK71" s="97">
        <v>8779.0167927674811</v>
      </c>
      <c r="AL71" s="97">
        <v>9.6925922346755957</v>
      </c>
      <c r="AM71" s="97">
        <v>5466.6220203570356</v>
      </c>
      <c r="AN71" s="97">
        <v>9.7928428898819035</v>
      </c>
      <c r="AO71" s="97">
        <v>5523.1633898933933</v>
      </c>
      <c r="AP71" s="97">
        <v>17.088109393579071</v>
      </c>
      <c r="AQ71" s="97">
        <v>9637.6936979785951</v>
      </c>
      <c r="AR71" s="97">
        <v>11</v>
      </c>
      <c r="AS71" s="97">
        <v>6204</v>
      </c>
      <c r="AT71" s="97">
        <v>11.739275229622727</v>
      </c>
      <c r="AU71" s="97">
        <v>6620.9512295072182</v>
      </c>
      <c r="AV71" s="97">
        <v>12.780157793144806</v>
      </c>
      <c r="AW71" s="97">
        <v>7208.0089953336701</v>
      </c>
      <c r="AX71" s="97">
        <v>12.815886664397976</v>
      </c>
      <c r="AY71" s="97">
        <v>7228.1600787204579</v>
      </c>
      <c r="AZ71" s="97">
        <v>7.6796339681549917</v>
      </c>
      <c r="BA71" s="97">
        <v>4331.3135580394155</v>
      </c>
      <c r="BB71" s="97">
        <v>6.1002680286799515</v>
      </c>
      <c r="BC71" s="97">
        <v>3440.5511681754929</v>
      </c>
      <c r="BD71" s="97">
        <v>11</v>
      </c>
      <c r="BE71" s="97">
        <v>6204</v>
      </c>
      <c r="BF71" s="97">
        <v>8.7048069804334993</v>
      </c>
      <c r="BG71" s="97">
        <v>4909.5111369644937</v>
      </c>
      <c r="BH71" s="97">
        <v>4</v>
      </c>
      <c r="BI71" s="97">
        <v>2256</v>
      </c>
      <c r="BJ71" s="97">
        <v>6.7322955075128519</v>
      </c>
      <c r="BK71" s="97">
        <v>3797.0146662372485</v>
      </c>
      <c r="BL71" s="97">
        <v>6</v>
      </c>
      <c r="BM71" s="97">
        <v>3384</v>
      </c>
      <c r="BN71" s="97">
        <v>4.0829952578054334</v>
      </c>
      <c r="BO71" s="97">
        <v>2302.8093254022642</v>
      </c>
      <c r="BP71" s="97">
        <v>7</v>
      </c>
      <c r="BQ71" s="97">
        <v>3948</v>
      </c>
      <c r="BR71" s="97">
        <v>5</v>
      </c>
      <c r="BS71" s="97">
        <v>2820</v>
      </c>
      <c r="BT71" s="97">
        <v>6</v>
      </c>
      <c r="BU71" s="97">
        <v>3384</v>
      </c>
      <c r="BV71" s="97">
        <v>4.1032383735086437</v>
      </c>
      <c r="BW71" s="97">
        <v>2314.2264426588749</v>
      </c>
      <c r="BX71" s="97">
        <v>5</v>
      </c>
      <c r="BY71" s="97">
        <v>2820</v>
      </c>
      <c r="BZ71" s="97">
        <v>4</v>
      </c>
      <c r="CA71" s="97">
        <v>2256</v>
      </c>
      <c r="CB71" s="97">
        <v>5</v>
      </c>
      <c r="CC71" s="97">
        <v>2820</v>
      </c>
      <c r="CD71" s="97">
        <v>4</v>
      </c>
      <c r="CE71" s="97">
        <v>2256</v>
      </c>
      <c r="CF71" s="97">
        <v>3</v>
      </c>
      <c r="CG71" s="97">
        <v>1692</v>
      </c>
      <c r="CH71" s="97">
        <v>3.0459649616118147</v>
      </c>
      <c r="CI71" s="97">
        <v>1717.9242383490634</v>
      </c>
      <c r="CJ71" s="97">
        <v>3</v>
      </c>
      <c r="CK71" s="97">
        <v>1692</v>
      </c>
      <c r="CL71" s="97">
        <v>3</v>
      </c>
      <c r="CM71" s="97">
        <v>1692</v>
      </c>
      <c r="CN71" s="97">
        <v>4</v>
      </c>
      <c r="CO71" s="97">
        <v>2256</v>
      </c>
      <c r="CP71" s="97">
        <v>3.0064723041221546</v>
      </c>
      <c r="CQ71" s="97">
        <v>1695.6503795248952</v>
      </c>
      <c r="CR71" s="97">
        <v>3</v>
      </c>
      <c r="CS71" s="97">
        <v>1692</v>
      </c>
      <c r="CT71" s="97">
        <v>2</v>
      </c>
      <c r="CU71" s="97">
        <v>1128</v>
      </c>
    </row>
    <row r="72" spans="2:99" x14ac:dyDescent="0.15">
      <c r="C72" s="96" t="s">
        <v>237</v>
      </c>
      <c r="D72" s="97">
        <v>0</v>
      </c>
      <c r="E72" s="97">
        <v>0</v>
      </c>
      <c r="F72" s="97">
        <v>0</v>
      </c>
      <c r="G72" s="97">
        <v>0</v>
      </c>
      <c r="H72" s="97">
        <v>34.052308707361874</v>
      </c>
      <c r="I72" s="97">
        <v>2533.4917678277229</v>
      </c>
      <c r="J72" s="97">
        <v>3.1162931727690859</v>
      </c>
      <c r="K72" s="97">
        <v>231.85221205401996</v>
      </c>
      <c r="L72" s="97">
        <v>39.630867994407275</v>
      </c>
      <c r="M72" s="97">
        <v>2948.5365787839009</v>
      </c>
      <c r="N72" s="97">
        <v>24.07736942107238</v>
      </c>
      <c r="O72" s="97">
        <v>1791.3562849277848</v>
      </c>
      <c r="P72" s="97">
        <v>21.573268656237087</v>
      </c>
      <c r="Q72" s="97">
        <v>1605.051188024039</v>
      </c>
      <c r="R72" s="97">
        <v>30.79901239749951</v>
      </c>
      <c r="S72" s="97">
        <v>2291.4465223739635</v>
      </c>
      <c r="T72" s="97">
        <v>36.597402312586993</v>
      </c>
      <c r="U72" s="97">
        <v>2722.8467320564719</v>
      </c>
      <c r="V72" s="97">
        <v>30.575699549100484</v>
      </c>
      <c r="W72" s="97">
        <v>2274.8320464530757</v>
      </c>
      <c r="X72" s="97">
        <v>28.189224575772293</v>
      </c>
      <c r="Y72" s="97">
        <v>2097.2783084374582</v>
      </c>
      <c r="Z72" s="97">
        <v>11.657186856502964</v>
      </c>
      <c r="AA72" s="97">
        <v>867.29470212382046</v>
      </c>
      <c r="AB72" s="97">
        <v>26.635155320219745</v>
      </c>
      <c r="AC72" s="97">
        <v>1981.6555558243488</v>
      </c>
      <c r="AD72" s="97">
        <v>23.981919574055894</v>
      </c>
      <c r="AE72" s="97">
        <v>1784.2548163097583</v>
      </c>
      <c r="AF72" s="97">
        <v>18.956703731745229</v>
      </c>
      <c r="AG72" s="97">
        <v>1410.3787576418449</v>
      </c>
      <c r="AH72" s="97">
        <v>21.892111639063462</v>
      </c>
      <c r="AI72" s="97">
        <v>1628.7731059463213</v>
      </c>
      <c r="AJ72" s="97">
        <v>16.600984649495476</v>
      </c>
      <c r="AK72" s="97">
        <v>1235.1132579224634</v>
      </c>
      <c r="AL72" s="97">
        <v>10.659611652071996</v>
      </c>
      <c r="AM72" s="97">
        <v>793.07510691415644</v>
      </c>
      <c r="AN72" s="97">
        <v>10.792842889881904</v>
      </c>
      <c r="AO72" s="97">
        <v>802.98751100721358</v>
      </c>
      <c r="AP72" s="97">
        <v>16.081331747919144</v>
      </c>
      <c r="AQ72" s="97">
        <v>1196.4510820451842</v>
      </c>
      <c r="AR72" s="97">
        <v>11</v>
      </c>
      <c r="AS72" s="97">
        <v>818.39999999999986</v>
      </c>
      <c r="AT72" s="97">
        <v>12</v>
      </c>
      <c r="AU72" s="97">
        <v>892.8</v>
      </c>
      <c r="AV72" s="97">
        <v>14.746237889095031</v>
      </c>
      <c r="AW72" s="97">
        <v>1097.1200989486701</v>
      </c>
      <c r="AX72" s="97">
        <v>13.897475330837773</v>
      </c>
      <c r="AY72" s="97">
        <v>1033.9721646143303</v>
      </c>
      <c r="AZ72" s="97">
        <v>7.7221110911646784</v>
      </c>
      <c r="BA72" s="97">
        <v>574.52506518265204</v>
      </c>
      <c r="BB72" s="97">
        <v>5.1052814301139486</v>
      </c>
      <c r="BC72" s="97">
        <v>379.83293840047776</v>
      </c>
      <c r="BD72" s="97">
        <v>9</v>
      </c>
      <c r="BE72" s="97">
        <v>669.59999999999991</v>
      </c>
      <c r="BF72" s="97">
        <v>8.7488574167105924</v>
      </c>
      <c r="BG72" s="97">
        <v>650.91499180326798</v>
      </c>
      <c r="BH72" s="97">
        <v>5</v>
      </c>
      <c r="BI72" s="97">
        <v>371.99999999999994</v>
      </c>
      <c r="BJ72" s="97">
        <v>7.7753717138371368</v>
      </c>
      <c r="BK72" s="97">
        <v>578.48765550948292</v>
      </c>
      <c r="BL72" s="97">
        <v>6</v>
      </c>
      <c r="BM72" s="97">
        <v>446.4</v>
      </c>
      <c r="BN72" s="97">
        <v>5.0829952578054334</v>
      </c>
      <c r="BO72" s="97">
        <v>378.17484718072421</v>
      </c>
      <c r="BP72" s="97">
        <v>7</v>
      </c>
      <c r="BQ72" s="97">
        <v>520.79999999999995</v>
      </c>
      <c r="BR72" s="97">
        <v>6</v>
      </c>
      <c r="BS72" s="97">
        <v>446.4</v>
      </c>
      <c r="BT72" s="97">
        <v>7</v>
      </c>
      <c r="BU72" s="97">
        <v>520.79999999999995</v>
      </c>
      <c r="BV72" s="97">
        <v>4.1118415713010306</v>
      </c>
      <c r="BW72" s="97">
        <v>305.92101290479661</v>
      </c>
      <c r="BX72" s="97">
        <v>5</v>
      </c>
      <c r="BY72" s="97">
        <v>371.99999999999994</v>
      </c>
      <c r="BZ72" s="97">
        <v>4.5064001073997915</v>
      </c>
      <c r="CA72" s="97">
        <v>335.27616799054442</v>
      </c>
      <c r="CB72" s="97">
        <v>6</v>
      </c>
      <c r="CC72" s="97">
        <v>446.4</v>
      </c>
      <c r="CD72" s="97">
        <v>5</v>
      </c>
      <c r="CE72" s="97">
        <v>371.99999999999994</v>
      </c>
      <c r="CF72" s="97">
        <v>3</v>
      </c>
      <c r="CG72" s="97">
        <v>223.2</v>
      </c>
      <c r="CH72" s="97">
        <v>3.0459649616118147</v>
      </c>
      <c r="CI72" s="97">
        <v>226.619793143919</v>
      </c>
      <c r="CJ72" s="97">
        <v>3</v>
      </c>
      <c r="CK72" s="97">
        <v>223.2</v>
      </c>
      <c r="CL72" s="97">
        <v>3</v>
      </c>
      <c r="CM72" s="97">
        <v>223.2</v>
      </c>
      <c r="CN72" s="97">
        <v>4</v>
      </c>
      <c r="CO72" s="97">
        <v>297.59999999999997</v>
      </c>
      <c r="CP72" s="97">
        <v>3.0064723041221546</v>
      </c>
      <c r="CQ72" s="97">
        <v>223.68153942668829</v>
      </c>
      <c r="CR72" s="97">
        <v>4</v>
      </c>
      <c r="CS72" s="97">
        <v>297.59999999999997</v>
      </c>
      <c r="CT72" s="97">
        <v>3</v>
      </c>
      <c r="CU72" s="97">
        <v>223.2</v>
      </c>
    </row>
    <row r="73" spans="2:99" x14ac:dyDescent="0.15">
      <c r="C73" s="96" t="s">
        <v>238</v>
      </c>
      <c r="D73" s="97">
        <v>0</v>
      </c>
      <c r="E73" s="97">
        <v>0</v>
      </c>
      <c r="F73" s="97">
        <v>0</v>
      </c>
      <c r="G73" s="97">
        <v>0</v>
      </c>
      <c r="H73" s="97">
        <v>31.78215479353775</v>
      </c>
      <c r="I73" s="97">
        <v>17772.580960546307</v>
      </c>
      <c r="J73" s="97">
        <v>3.1104190729931442</v>
      </c>
      <c r="K73" s="97">
        <v>1739.346345617766</v>
      </c>
      <c r="L73" s="97">
        <v>35.56852716153022</v>
      </c>
      <c r="M73" s="97">
        <v>19889.920388727696</v>
      </c>
      <c r="N73" s="97">
        <v>22.472211459667555</v>
      </c>
      <c r="O73" s="97">
        <v>12566.460648246095</v>
      </c>
      <c r="P73" s="97">
        <v>20.657493024832632</v>
      </c>
      <c r="Q73" s="97">
        <v>11551.670099486406</v>
      </c>
      <c r="R73" s="97">
        <v>27.598081622081409</v>
      </c>
      <c r="S73" s="97">
        <v>15432.847243067921</v>
      </c>
      <c r="T73" s="97">
        <v>32.543889277767846</v>
      </c>
      <c r="U73" s="97">
        <v>18198.542884127779</v>
      </c>
      <c r="V73" s="97">
        <v>29.589386660419827</v>
      </c>
      <c r="W73" s="97">
        <v>16546.385020506765</v>
      </c>
      <c r="X73" s="97">
        <v>27.157496683369793</v>
      </c>
      <c r="Y73" s="97">
        <v>15186.472145340385</v>
      </c>
      <c r="Z73" s="97">
        <v>10.45127097479576</v>
      </c>
      <c r="AA73" s="97">
        <v>5844.3507291057886</v>
      </c>
      <c r="AB73" s="97">
        <v>23.330940376923049</v>
      </c>
      <c r="AC73" s="97">
        <v>13046.661858775367</v>
      </c>
      <c r="AD73" s="97">
        <v>22.007759562846839</v>
      </c>
      <c r="AE73" s="97">
        <v>12306.739147543951</v>
      </c>
      <c r="AF73" s="97">
        <v>18.881174489765343</v>
      </c>
      <c r="AG73" s="97">
        <v>10558.352774676778</v>
      </c>
      <c r="AH73" s="97">
        <v>19.860240132781993</v>
      </c>
      <c r="AI73" s="97">
        <v>11105.846282251689</v>
      </c>
      <c r="AJ73" s="97">
        <v>15.67168872590671</v>
      </c>
      <c r="AK73" s="97">
        <v>8763.6083355270312</v>
      </c>
      <c r="AL73" s="97">
        <v>9.6925922346755957</v>
      </c>
      <c r="AM73" s="97">
        <v>5420.0975776305922</v>
      </c>
      <c r="AN73" s="97">
        <v>10.792842889881904</v>
      </c>
      <c r="AO73" s="97">
        <v>6035.3577440219597</v>
      </c>
      <c r="AP73" s="97">
        <v>17.081331747919144</v>
      </c>
      <c r="AQ73" s="97">
        <v>9551.8807134363833</v>
      </c>
      <c r="AR73" s="97">
        <v>12</v>
      </c>
      <c r="AS73" s="97">
        <v>6710.4</v>
      </c>
      <c r="AT73" s="97">
        <v>11.82141692180303</v>
      </c>
      <c r="AU73" s="97">
        <v>6610.5363426722533</v>
      </c>
      <c r="AV73" s="97">
        <v>13.678398080995484</v>
      </c>
      <c r="AW73" s="97">
        <v>7648.9602068926733</v>
      </c>
      <c r="AX73" s="97">
        <v>12.734297997958178</v>
      </c>
      <c r="AY73" s="97">
        <v>7121.0194404582126</v>
      </c>
      <c r="AZ73" s="97">
        <v>7.5946797221356181</v>
      </c>
      <c r="BA73" s="97">
        <v>4246.9449006182367</v>
      </c>
      <c r="BB73" s="97">
        <v>5.0952546272459536</v>
      </c>
      <c r="BC73" s="97">
        <v>2849.2663875559369</v>
      </c>
      <c r="BD73" s="97">
        <v>9</v>
      </c>
      <c r="BE73" s="97">
        <v>5032.7999999999993</v>
      </c>
      <c r="BF73" s="97">
        <v>8.7488574167105924</v>
      </c>
      <c r="BG73" s="97">
        <v>4892.3610674245629</v>
      </c>
      <c r="BH73" s="97">
        <v>5</v>
      </c>
      <c r="BI73" s="97">
        <v>2795.9999999999995</v>
      </c>
      <c r="BJ73" s="97">
        <v>6.6892193011885661</v>
      </c>
      <c r="BK73" s="97">
        <v>3740.6114332246457</v>
      </c>
      <c r="BL73" s="97">
        <v>6</v>
      </c>
      <c r="BM73" s="97">
        <v>3355.2</v>
      </c>
      <c r="BN73" s="97">
        <v>4.0754502343685752</v>
      </c>
      <c r="BO73" s="97">
        <v>2278.991771058907</v>
      </c>
      <c r="BP73" s="97">
        <v>6</v>
      </c>
      <c r="BQ73" s="97">
        <v>3355.2</v>
      </c>
      <c r="BR73" s="97">
        <v>6</v>
      </c>
      <c r="BS73" s="97">
        <v>3355.2</v>
      </c>
      <c r="BT73" s="97">
        <v>6</v>
      </c>
      <c r="BU73" s="97">
        <v>3355.2</v>
      </c>
      <c r="BV73" s="97">
        <v>4.1032383735086437</v>
      </c>
      <c r="BW73" s="97">
        <v>2294.5308984660332</v>
      </c>
      <c r="BX73" s="97">
        <v>5</v>
      </c>
      <c r="BY73" s="97">
        <v>2795.9999999999995</v>
      </c>
      <c r="BZ73" s="97">
        <v>4.5524364807997717</v>
      </c>
      <c r="CA73" s="97">
        <v>2545.7224800632321</v>
      </c>
      <c r="CB73" s="97">
        <v>6</v>
      </c>
      <c r="CC73" s="97">
        <v>3355.2</v>
      </c>
      <c r="CD73" s="97">
        <v>5</v>
      </c>
      <c r="CE73" s="97">
        <v>2795.9999999999995</v>
      </c>
      <c r="CF73" s="97">
        <v>2</v>
      </c>
      <c r="CG73" s="97">
        <v>1118.3999999999999</v>
      </c>
      <c r="CH73" s="97">
        <v>3.051072179568683</v>
      </c>
      <c r="CI73" s="97">
        <v>1706.1595628148073</v>
      </c>
      <c r="CJ73" s="97">
        <v>3</v>
      </c>
      <c r="CK73" s="97">
        <v>1677.6</v>
      </c>
      <c r="CL73" s="97">
        <v>3</v>
      </c>
      <c r="CM73" s="97">
        <v>1677.6</v>
      </c>
      <c r="CN73" s="97">
        <v>4</v>
      </c>
      <c r="CO73" s="97">
        <v>2236.7999999999997</v>
      </c>
      <c r="CP73" s="97">
        <v>3.0064723041221546</v>
      </c>
      <c r="CQ73" s="97">
        <v>1681.2193124651087</v>
      </c>
      <c r="CR73" s="97">
        <v>3</v>
      </c>
      <c r="CS73" s="97">
        <v>1677.6</v>
      </c>
      <c r="CT73" s="97">
        <v>3</v>
      </c>
      <c r="CU73" s="97">
        <v>1677.6</v>
      </c>
    </row>
    <row r="74" spans="2:99" x14ac:dyDescent="0.15">
      <c r="C74" s="96" t="s">
        <v>239</v>
      </c>
      <c r="D74" s="97">
        <v>0</v>
      </c>
      <c r="E74" s="97">
        <v>0</v>
      </c>
      <c r="F74" s="97">
        <v>0</v>
      </c>
      <c r="G74" s="97">
        <v>0</v>
      </c>
      <c r="H74" s="97">
        <v>29.836308581688499</v>
      </c>
      <c r="I74" s="97">
        <v>12029.999620136803</v>
      </c>
      <c r="J74" s="97">
        <v>3.1145654963643974</v>
      </c>
      <c r="K74" s="97">
        <v>1255.7928081341249</v>
      </c>
      <c r="L74" s="97">
        <v>38.519931104269631</v>
      </c>
      <c r="M74" s="97">
        <v>15531.236221241516</v>
      </c>
      <c r="N74" s="97">
        <v>19.261895536857907</v>
      </c>
      <c r="O74" s="97">
        <v>7766.3962804611074</v>
      </c>
      <c r="P74" s="97">
        <v>18.385859613784334</v>
      </c>
      <c r="Q74" s="97">
        <v>7413.1785962778431</v>
      </c>
      <c r="R74" s="97">
        <v>28.888464925603756</v>
      </c>
      <c r="S74" s="97">
        <v>11647.829058003434</v>
      </c>
      <c r="T74" s="97">
        <v>33.598619321906455</v>
      </c>
      <c r="U74" s="97">
        <v>13546.963310592682</v>
      </c>
      <c r="V74" s="97">
        <v>28.603073771739169</v>
      </c>
      <c r="W74" s="97">
        <v>11532.759344765233</v>
      </c>
      <c r="X74" s="97">
        <v>25.903673544149818</v>
      </c>
      <c r="Y74" s="97">
        <v>10444.361173001207</v>
      </c>
      <c r="Z74" s="97">
        <v>10.853242935364827</v>
      </c>
      <c r="AA74" s="97">
        <v>4376.0275515390986</v>
      </c>
      <c r="AB74" s="97">
        <v>23.445020980659308</v>
      </c>
      <c r="AC74" s="97">
        <v>9453.032459401833</v>
      </c>
      <c r="AD74" s="97">
        <v>24.956079585264948</v>
      </c>
      <c r="AE74" s="97">
        <v>10062.291288778826</v>
      </c>
      <c r="AF74" s="97">
        <v>19.981880145738526</v>
      </c>
      <c r="AG74" s="97">
        <v>8056.6940747617737</v>
      </c>
      <c r="AH74" s="97">
        <v>21.765415997447999</v>
      </c>
      <c r="AI74" s="97">
        <v>8775.8157301710326</v>
      </c>
      <c r="AJ74" s="97">
        <v>14.600984649495476</v>
      </c>
      <c r="AK74" s="97">
        <v>5887.1170106765758</v>
      </c>
      <c r="AL74" s="97">
        <v>10.692592234675596</v>
      </c>
      <c r="AM74" s="97">
        <v>4311.2531890212003</v>
      </c>
      <c r="AN74" s="97">
        <v>10.792842889881904</v>
      </c>
      <c r="AO74" s="97">
        <v>4351.6742532003836</v>
      </c>
      <c r="AP74" s="97">
        <v>17.081331747919144</v>
      </c>
      <c r="AQ74" s="97">
        <v>6887.1929607609991</v>
      </c>
      <c r="AR74" s="97">
        <v>11</v>
      </c>
      <c r="AS74" s="97">
        <v>4435.2</v>
      </c>
      <c r="AT74" s="97">
        <v>10.862487767893182</v>
      </c>
      <c r="AU74" s="97">
        <v>4379.7550680145305</v>
      </c>
      <c r="AV74" s="97">
        <v>14.81407769719458</v>
      </c>
      <c r="AW74" s="97">
        <v>5973.0361275088544</v>
      </c>
      <c r="AX74" s="97">
        <v>12.856680997617874</v>
      </c>
      <c r="AY74" s="97">
        <v>5183.8137782395261</v>
      </c>
      <c r="AZ74" s="97">
        <v>6.6796339681549917</v>
      </c>
      <c r="BA74" s="97">
        <v>2693.2284159600927</v>
      </c>
      <c r="BB74" s="97">
        <v>6.0952546272459536</v>
      </c>
      <c r="BC74" s="97">
        <v>2457.6066657055685</v>
      </c>
      <c r="BD74" s="97">
        <v>9</v>
      </c>
      <c r="BE74" s="97">
        <v>3628.7999999999997</v>
      </c>
      <c r="BF74" s="97">
        <v>8</v>
      </c>
      <c r="BG74" s="97">
        <v>3225.6</v>
      </c>
      <c r="BH74" s="97">
        <v>5</v>
      </c>
      <c r="BI74" s="97">
        <v>2016</v>
      </c>
      <c r="BJ74" s="97">
        <v>6.6461430948642812</v>
      </c>
      <c r="BK74" s="97">
        <v>2679.7248958492783</v>
      </c>
      <c r="BL74" s="97">
        <v>6</v>
      </c>
      <c r="BM74" s="97">
        <v>2419.1999999999998</v>
      </c>
      <c r="BN74" s="97">
        <v>4.0754502343685752</v>
      </c>
      <c r="BO74" s="97">
        <v>1643.2215344974095</v>
      </c>
      <c r="BP74" s="97">
        <v>6</v>
      </c>
      <c r="BQ74" s="97">
        <v>2419.1999999999998</v>
      </c>
      <c r="BR74" s="97">
        <v>6</v>
      </c>
      <c r="BS74" s="97">
        <v>2419.1999999999998</v>
      </c>
      <c r="BT74" s="97">
        <v>6</v>
      </c>
      <c r="BU74" s="97">
        <v>2419.1999999999998</v>
      </c>
      <c r="BV74" s="97">
        <v>4.1032383735086437</v>
      </c>
      <c r="BW74" s="97">
        <v>1654.425712198685</v>
      </c>
      <c r="BX74" s="97">
        <v>6</v>
      </c>
      <c r="BY74" s="97">
        <v>2419.1999999999998</v>
      </c>
      <c r="BZ74" s="97">
        <v>4.5064001073997915</v>
      </c>
      <c r="CA74" s="97">
        <v>1816.9805233035959</v>
      </c>
      <c r="CB74" s="97">
        <v>6</v>
      </c>
      <c r="CC74" s="97">
        <v>2419.1999999999998</v>
      </c>
      <c r="CD74" s="97">
        <v>4</v>
      </c>
      <c r="CE74" s="97">
        <v>1612.8</v>
      </c>
      <c r="CF74" s="97">
        <v>3</v>
      </c>
      <c r="CG74" s="97">
        <v>1209.5999999999999</v>
      </c>
      <c r="CH74" s="97">
        <v>3.0459649616118147</v>
      </c>
      <c r="CI74" s="97">
        <v>1228.1330725218836</v>
      </c>
      <c r="CJ74" s="97">
        <v>3</v>
      </c>
      <c r="CK74" s="97">
        <v>1209.5999999999999</v>
      </c>
      <c r="CL74" s="97">
        <v>3</v>
      </c>
      <c r="CM74" s="97">
        <v>1209.5999999999999</v>
      </c>
      <c r="CN74" s="97">
        <v>3</v>
      </c>
      <c r="CO74" s="97">
        <v>1209.5999999999999</v>
      </c>
      <c r="CP74" s="97">
        <v>3.0051778432977234</v>
      </c>
      <c r="CQ74" s="97">
        <v>1211.6877064176419</v>
      </c>
      <c r="CR74" s="97">
        <v>3</v>
      </c>
      <c r="CS74" s="97">
        <v>1209.5999999999999</v>
      </c>
      <c r="CT74" s="97">
        <v>3</v>
      </c>
      <c r="CU74" s="97">
        <v>1209.5999999999999</v>
      </c>
    </row>
    <row r="75" spans="2:99" x14ac:dyDescent="0.15">
      <c r="C75" s="96" t="s">
        <v>240</v>
      </c>
      <c r="D75" s="97">
        <v>0</v>
      </c>
      <c r="E75" s="97">
        <v>0</v>
      </c>
      <c r="F75" s="97">
        <v>0</v>
      </c>
      <c r="G75" s="97">
        <v>0</v>
      </c>
      <c r="H75" s="97">
        <v>31.78215479353775</v>
      </c>
      <c r="I75" s="97">
        <v>20442.281963203477</v>
      </c>
      <c r="J75" s="97">
        <v>2.7490746653247493</v>
      </c>
      <c r="K75" s="97">
        <v>1768.2048247368787</v>
      </c>
      <c r="L75" s="97">
        <v>38.416553840721043</v>
      </c>
      <c r="M75" s="97">
        <v>24709.527430351773</v>
      </c>
      <c r="N75" s="97">
        <v>18.726842883056296</v>
      </c>
      <c r="O75" s="97">
        <v>12045.105342381808</v>
      </c>
      <c r="P75" s="97">
        <v>17.874554795693598</v>
      </c>
      <c r="Q75" s="97">
        <v>11496.91364459012</v>
      </c>
      <c r="R75" s="97">
        <v>27.017961427128441</v>
      </c>
      <c r="S75" s="97">
        <v>17377.952789929011</v>
      </c>
      <c r="T75" s="97">
        <v>34.603727223524473</v>
      </c>
      <c r="U75" s="97">
        <v>22257.117350170938</v>
      </c>
      <c r="V75" s="97">
        <v>26.630447994377846</v>
      </c>
      <c r="W75" s="97">
        <v>17128.704149983831</v>
      </c>
      <c r="X75" s="97">
        <v>26.030585113759805</v>
      </c>
      <c r="Y75" s="97">
        <v>16742.872345170304</v>
      </c>
      <c r="Z75" s="97">
        <v>10.45127097479576</v>
      </c>
      <c r="AA75" s="97">
        <v>6722.2574909886316</v>
      </c>
      <c r="AB75" s="97">
        <v>22.521074716483483</v>
      </c>
      <c r="AC75" s="97">
        <v>14485.555257642174</v>
      </c>
      <c r="AD75" s="97">
        <v>21.85271963010117</v>
      </c>
      <c r="AE75" s="97">
        <v>14055.669266081071</v>
      </c>
      <c r="AF75" s="97">
        <v>20.906350903758639</v>
      </c>
      <c r="AG75" s="97">
        <v>13446.964901297555</v>
      </c>
      <c r="AH75" s="97">
        <v>19.834901004458903</v>
      </c>
      <c r="AI75" s="97">
        <v>12757.808326067965</v>
      </c>
      <c r="AJ75" s="97">
        <v>15.636336687701093</v>
      </c>
      <c r="AK75" s="97">
        <v>10057.291757529341</v>
      </c>
      <c r="AL75" s="97">
        <v>9.6925922346755957</v>
      </c>
      <c r="AM75" s="97">
        <v>6234.275325343343</v>
      </c>
      <c r="AN75" s="97">
        <v>9.7928428898819035</v>
      </c>
      <c r="AO75" s="97">
        <v>6298.7565467720397</v>
      </c>
      <c r="AP75" s="97">
        <v>15.074554102259215</v>
      </c>
      <c r="AQ75" s="97">
        <v>9695.9531985731264</v>
      </c>
      <c r="AR75" s="97">
        <v>11</v>
      </c>
      <c r="AS75" s="97">
        <v>7075.1999999999989</v>
      </c>
      <c r="AT75" s="97">
        <v>10.780346075712879</v>
      </c>
      <c r="AU75" s="97">
        <v>6933.9185958985236</v>
      </c>
      <c r="AV75" s="97">
        <v>13.746237889095031</v>
      </c>
      <c r="AW75" s="97">
        <v>8841.5802102659236</v>
      </c>
      <c r="AX75" s="97">
        <v>12.815886664397976</v>
      </c>
      <c r="AY75" s="97">
        <v>8243.1783025407767</v>
      </c>
      <c r="AZ75" s="97">
        <v>6.6371568451453049</v>
      </c>
      <c r="BA75" s="97">
        <v>4269.0192827974597</v>
      </c>
      <c r="BB75" s="97">
        <v>6.0852278243779585</v>
      </c>
      <c r="BC75" s="97">
        <v>3914.0185366399023</v>
      </c>
      <c r="BD75" s="97">
        <v>9</v>
      </c>
      <c r="BE75" s="97">
        <v>5788.7999999999993</v>
      </c>
      <c r="BF75" s="97">
        <v>8.6607565441564063</v>
      </c>
      <c r="BG75" s="97">
        <v>5570.5986092014</v>
      </c>
      <c r="BH75" s="97">
        <v>5</v>
      </c>
      <c r="BI75" s="97">
        <v>3215.9999999999995</v>
      </c>
      <c r="BJ75" s="97">
        <v>6.6461430948642812</v>
      </c>
      <c r="BK75" s="97">
        <v>4274.7992386167052</v>
      </c>
      <c r="BL75" s="97">
        <v>6.634142712804314</v>
      </c>
      <c r="BM75" s="97">
        <v>4267.0805928757345</v>
      </c>
      <c r="BN75" s="97">
        <v>4.067905210931718</v>
      </c>
      <c r="BO75" s="97">
        <v>2616.4766316712808</v>
      </c>
      <c r="BP75" s="97">
        <v>6</v>
      </c>
      <c r="BQ75" s="97">
        <v>3859.2</v>
      </c>
      <c r="BR75" s="97">
        <v>6</v>
      </c>
      <c r="BS75" s="97">
        <v>3859.2</v>
      </c>
      <c r="BT75" s="97">
        <v>7</v>
      </c>
      <c r="BU75" s="97">
        <v>4502.3999999999996</v>
      </c>
      <c r="BV75" s="97">
        <v>4.1118415713010306</v>
      </c>
      <c r="BW75" s="97">
        <v>2644.7364986608227</v>
      </c>
      <c r="BX75" s="97">
        <v>6</v>
      </c>
      <c r="BY75" s="97">
        <v>3859.2</v>
      </c>
      <c r="BZ75" s="97">
        <v>4</v>
      </c>
      <c r="CA75" s="97">
        <v>2572.7999999999997</v>
      </c>
      <c r="CB75" s="97">
        <v>6</v>
      </c>
      <c r="CC75" s="97">
        <v>3859.2</v>
      </c>
      <c r="CD75" s="97">
        <v>5</v>
      </c>
      <c r="CE75" s="97">
        <v>3215.9999999999995</v>
      </c>
      <c r="CF75" s="97">
        <v>3</v>
      </c>
      <c r="CG75" s="97">
        <v>1929.6</v>
      </c>
      <c r="CH75" s="97">
        <v>3.051072179568683</v>
      </c>
      <c r="CI75" s="97">
        <v>1962.4496258985766</v>
      </c>
      <c r="CJ75" s="97">
        <v>3</v>
      </c>
      <c r="CK75" s="97">
        <v>1929.6</v>
      </c>
      <c r="CL75" s="97">
        <v>3</v>
      </c>
      <c r="CM75" s="97">
        <v>1929.6</v>
      </c>
      <c r="CN75" s="97">
        <v>3</v>
      </c>
      <c r="CO75" s="97">
        <v>1929.6</v>
      </c>
      <c r="CP75" s="97">
        <v>3.0064723041221546</v>
      </c>
      <c r="CQ75" s="97">
        <v>1933.7629860113695</v>
      </c>
      <c r="CR75" s="97">
        <v>3</v>
      </c>
      <c r="CS75" s="97">
        <v>1929.6</v>
      </c>
      <c r="CT75" s="97">
        <v>3</v>
      </c>
      <c r="CU75" s="97">
        <v>1929.6</v>
      </c>
    </row>
    <row r="76" spans="2:99" x14ac:dyDescent="0.15">
      <c r="C76" s="96" t="s">
        <v>241</v>
      </c>
      <c r="D76" s="97">
        <v>0</v>
      </c>
      <c r="E76" s="97">
        <v>0</v>
      </c>
      <c r="F76" s="97">
        <v>0</v>
      </c>
      <c r="G76" s="97">
        <v>0</v>
      </c>
      <c r="H76" s="97">
        <v>28.214770071814122</v>
      </c>
      <c r="I76" s="97">
        <v>21973.662931928837</v>
      </c>
      <c r="J76" s="97">
        <v>2.6184511982923468</v>
      </c>
      <c r="K76" s="97">
        <v>2039.2497932300796</v>
      </c>
      <c r="L76" s="97">
        <v>38.413117646816929</v>
      </c>
      <c r="M76" s="97">
        <v>29916.136023341023</v>
      </c>
      <c r="N76" s="97">
        <v>20.332000844461124</v>
      </c>
      <c r="O76" s="97">
        <v>15834.562257666323</v>
      </c>
      <c r="P76" s="97">
        <v>18.825941762023724</v>
      </c>
      <c r="Q76" s="97">
        <v>14661.643444264075</v>
      </c>
      <c r="R76" s="97">
        <v>30.758968424079072</v>
      </c>
      <c r="S76" s="97">
        <v>23955.08460867278</v>
      </c>
      <c r="T76" s="97">
        <v>33.499375036865295</v>
      </c>
      <c r="U76" s="97">
        <v>26089.313278710692</v>
      </c>
      <c r="V76" s="97">
        <v>25.644135105697185</v>
      </c>
      <c r="W76" s="97">
        <v>19971.652420316965</v>
      </c>
      <c r="X76" s="97">
        <v>25.094040898564799</v>
      </c>
      <c r="Y76" s="97">
        <v>19543.239051802266</v>
      </c>
      <c r="Z76" s="97">
        <v>9.2453550930885573</v>
      </c>
      <c r="AA76" s="97">
        <v>7200.2825464973675</v>
      </c>
      <c r="AB76" s="97">
        <v>23.521074716483483</v>
      </c>
      <c r="AC76" s="97">
        <v>18318.212989197335</v>
      </c>
      <c r="AD76" s="97">
        <v>20.878559618892115</v>
      </c>
      <c r="AE76" s="97">
        <v>16260.222231193178</v>
      </c>
      <c r="AF76" s="97">
        <v>19.830821661778753</v>
      </c>
      <c r="AG76" s="97">
        <v>15444.243910193292</v>
      </c>
      <c r="AH76" s="97">
        <v>18.793626122995075</v>
      </c>
      <c r="AI76" s="97">
        <v>14636.476024588565</v>
      </c>
      <c r="AJ76" s="97">
        <v>14.530280573084244</v>
      </c>
      <c r="AK76" s="97">
        <v>11316.182510318009</v>
      </c>
      <c r="AL76" s="97">
        <v>10.626631069468395</v>
      </c>
      <c r="AM76" s="97">
        <v>8276.0202769019852</v>
      </c>
      <c r="AN76" s="97">
        <v>9.736211254890339</v>
      </c>
      <c r="AO76" s="97">
        <v>7582.5613253085958</v>
      </c>
      <c r="AP76" s="97">
        <v>14.084720570749107</v>
      </c>
      <c r="AQ76" s="97">
        <v>10969.180380499403</v>
      </c>
      <c r="AR76" s="97">
        <v>11</v>
      </c>
      <c r="AS76" s="97">
        <v>8566.7999999999993</v>
      </c>
      <c r="AT76" s="97">
        <v>10</v>
      </c>
      <c r="AU76" s="97">
        <v>7788</v>
      </c>
      <c r="AV76" s="97">
        <v>14.678398080995484</v>
      </c>
      <c r="AW76" s="97">
        <v>11431.536425479282</v>
      </c>
      <c r="AX76" s="97">
        <v>12.69350366473828</v>
      </c>
      <c r="AY76" s="97">
        <v>9885.7006540981729</v>
      </c>
      <c r="AZ76" s="97">
        <v>7.6371568451453049</v>
      </c>
      <c r="BA76" s="97">
        <v>5947.8177509991629</v>
      </c>
      <c r="BB76" s="97">
        <v>5.1002680286799515</v>
      </c>
      <c r="BC76" s="97">
        <v>3972.088740735946</v>
      </c>
      <c r="BD76" s="97">
        <v>9</v>
      </c>
      <c r="BE76" s="97">
        <v>7009.2</v>
      </c>
      <c r="BF76" s="97">
        <v>8.7048069804334993</v>
      </c>
      <c r="BG76" s="97">
        <v>6779.3036763616092</v>
      </c>
      <c r="BH76" s="97">
        <v>4</v>
      </c>
      <c r="BI76" s="97">
        <v>3115.2</v>
      </c>
      <c r="BJ76" s="97">
        <v>6.6461430948642812</v>
      </c>
      <c r="BK76" s="97">
        <v>5176.0162422803023</v>
      </c>
      <c r="BL76" s="97">
        <v>5</v>
      </c>
      <c r="BM76" s="97">
        <v>3894</v>
      </c>
      <c r="BN76" s="97">
        <v>4.0754502343685752</v>
      </c>
      <c r="BO76" s="97">
        <v>3173.9606425262464</v>
      </c>
      <c r="BP76" s="97">
        <v>7</v>
      </c>
      <c r="BQ76" s="97">
        <v>5451.5999999999995</v>
      </c>
      <c r="BR76" s="97">
        <v>6</v>
      </c>
      <c r="BS76" s="97">
        <v>4672.7999999999993</v>
      </c>
      <c r="BT76" s="97">
        <v>6</v>
      </c>
      <c r="BU76" s="97">
        <v>4672.7999999999993</v>
      </c>
      <c r="BV76" s="97">
        <v>4.1032383735086437</v>
      </c>
      <c r="BW76" s="97">
        <v>3195.6020452885314</v>
      </c>
      <c r="BX76" s="97">
        <v>5</v>
      </c>
      <c r="BY76" s="97">
        <v>3894</v>
      </c>
      <c r="BZ76" s="97">
        <v>4.5064001073997915</v>
      </c>
      <c r="CA76" s="97">
        <v>3509.5844036429576</v>
      </c>
      <c r="CB76" s="97">
        <v>6</v>
      </c>
      <c r="CC76" s="97">
        <v>4672.7999999999993</v>
      </c>
      <c r="CD76" s="97">
        <v>4</v>
      </c>
      <c r="CE76" s="97">
        <v>3115.2</v>
      </c>
      <c r="CF76" s="97">
        <v>3</v>
      </c>
      <c r="CG76" s="97">
        <v>2336.3999999999996</v>
      </c>
      <c r="CH76" s="97">
        <v>3.0459649616118147</v>
      </c>
      <c r="CI76" s="97">
        <v>2372.197512103281</v>
      </c>
      <c r="CJ76" s="97">
        <v>3</v>
      </c>
      <c r="CK76" s="97">
        <v>2336.3999999999996</v>
      </c>
      <c r="CL76" s="97">
        <v>3</v>
      </c>
      <c r="CM76" s="97">
        <v>2336.3999999999996</v>
      </c>
      <c r="CN76" s="97">
        <v>3</v>
      </c>
      <c r="CO76" s="97">
        <v>2336.3999999999996</v>
      </c>
      <c r="CP76" s="97">
        <v>3.0051778432977234</v>
      </c>
      <c r="CQ76" s="97">
        <v>2340.4325043602666</v>
      </c>
      <c r="CR76" s="97">
        <v>3</v>
      </c>
      <c r="CS76" s="97">
        <v>2336.3999999999996</v>
      </c>
      <c r="CT76" s="97">
        <v>3</v>
      </c>
      <c r="CU76" s="97">
        <v>2336.3999999999996</v>
      </c>
    </row>
    <row r="77" spans="2:99" x14ac:dyDescent="0.15">
      <c r="C77" s="96" t="s">
        <v>242</v>
      </c>
      <c r="D77" s="97">
        <v>0</v>
      </c>
      <c r="E77" s="97">
        <v>0</v>
      </c>
      <c r="F77" s="97">
        <v>0</v>
      </c>
      <c r="G77" s="97">
        <v>0</v>
      </c>
      <c r="H77" s="97">
        <v>33.403693303412119</v>
      </c>
      <c r="I77" s="97">
        <v>9299.5882156699336</v>
      </c>
      <c r="J77" s="97">
        <v>3.2472621750824264</v>
      </c>
      <c r="K77" s="97">
        <v>904.03778954294739</v>
      </c>
      <c r="L77" s="97">
        <v>40.520618343050451</v>
      </c>
      <c r="M77" s="97">
        <v>11280.940146705245</v>
      </c>
      <c r="N77" s="97">
        <v>19.796948190659514</v>
      </c>
      <c r="O77" s="97">
        <v>5511.470376279608</v>
      </c>
      <c r="P77" s="97">
        <v>21.56139821126186</v>
      </c>
      <c r="Q77" s="97">
        <v>6002.6932620153011</v>
      </c>
      <c r="R77" s="97">
        <v>34.580063367870579</v>
      </c>
      <c r="S77" s="97">
        <v>9627.0896416151681</v>
      </c>
      <c r="T77" s="97">
        <v>34.58718650935095</v>
      </c>
      <c r="U77" s="97">
        <v>9629.0727242033045</v>
      </c>
      <c r="V77" s="97">
        <v>27.616760883058507</v>
      </c>
      <c r="W77" s="97">
        <v>7688.5062298434877</v>
      </c>
      <c r="X77" s="97">
        <v>26.935401436552315</v>
      </c>
      <c r="Y77" s="97">
        <v>7498.8157599361639</v>
      </c>
      <c r="Z77" s="97">
        <v>11.657186856502964</v>
      </c>
      <c r="AA77" s="97">
        <v>3245.3608208504247</v>
      </c>
      <c r="AB77" s="97">
        <v>23.521074716483483</v>
      </c>
      <c r="AC77" s="97">
        <v>6548.2672010690012</v>
      </c>
      <c r="AD77" s="97">
        <v>21.956079585264948</v>
      </c>
      <c r="AE77" s="97">
        <v>6112.5725565377616</v>
      </c>
      <c r="AF77" s="97">
        <v>18.881174489765343</v>
      </c>
      <c r="AG77" s="97">
        <v>5256.5189779506709</v>
      </c>
      <c r="AH77" s="97">
        <v>19.910918389428176</v>
      </c>
      <c r="AI77" s="97">
        <v>5543.1996796168032</v>
      </c>
      <c r="AJ77" s="97">
        <v>15.600984649495476</v>
      </c>
      <c r="AK77" s="97">
        <v>4343.3141264195401</v>
      </c>
      <c r="AL77" s="97">
        <v>9.6925922346755957</v>
      </c>
      <c r="AM77" s="97">
        <v>2698.4176781336855</v>
      </c>
      <c r="AN77" s="97">
        <v>10.736211254890339</v>
      </c>
      <c r="AO77" s="97">
        <v>2988.9612133614701</v>
      </c>
      <c r="AP77" s="97">
        <v>16.088109393579071</v>
      </c>
      <c r="AQ77" s="97">
        <v>4478.9296551724128</v>
      </c>
      <c r="AR77" s="97">
        <v>10</v>
      </c>
      <c r="AS77" s="97">
        <v>2784</v>
      </c>
      <c r="AT77" s="97">
        <v>10.82141692180303</v>
      </c>
      <c r="AU77" s="97">
        <v>3012.6824710299634</v>
      </c>
      <c r="AV77" s="97">
        <v>13.712317985045258</v>
      </c>
      <c r="AW77" s="97">
        <v>3817.5093270365996</v>
      </c>
      <c r="AX77" s="97">
        <v>13.897475330837773</v>
      </c>
      <c r="AY77" s="97">
        <v>3869.0571321052357</v>
      </c>
      <c r="AZ77" s="97">
        <v>7.5946797221356181</v>
      </c>
      <c r="BA77" s="97">
        <v>2114.3588346425558</v>
      </c>
      <c r="BB77" s="97">
        <v>6.0902412258119565</v>
      </c>
      <c r="BC77" s="97">
        <v>1695.5231572660487</v>
      </c>
      <c r="BD77" s="97">
        <v>10</v>
      </c>
      <c r="BE77" s="97">
        <v>2784</v>
      </c>
      <c r="BF77" s="97">
        <v>7.7048069804334993</v>
      </c>
      <c r="BG77" s="97">
        <v>2145.0182633526861</v>
      </c>
      <c r="BH77" s="97">
        <v>5</v>
      </c>
      <c r="BI77" s="97">
        <v>1392</v>
      </c>
      <c r="BJ77" s="97">
        <v>7</v>
      </c>
      <c r="BK77" s="97">
        <v>1948.7999999999997</v>
      </c>
      <c r="BL77" s="97">
        <v>5.6794386208617649</v>
      </c>
      <c r="BM77" s="97">
        <v>1581.1557120479151</v>
      </c>
      <c r="BN77" s="97">
        <v>5.0754502343685752</v>
      </c>
      <c r="BO77" s="97">
        <v>1413.0053452482111</v>
      </c>
      <c r="BP77" s="97">
        <v>7</v>
      </c>
      <c r="BQ77" s="97">
        <v>1948.7999999999997</v>
      </c>
      <c r="BR77" s="97">
        <v>6</v>
      </c>
      <c r="BS77" s="97">
        <v>1670.3999999999999</v>
      </c>
      <c r="BT77" s="97">
        <v>6</v>
      </c>
      <c r="BU77" s="97">
        <v>1670.3999999999999</v>
      </c>
      <c r="BV77" s="97">
        <v>4.1032383735086437</v>
      </c>
      <c r="BW77" s="97">
        <v>1142.3415631848063</v>
      </c>
      <c r="BX77" s="97">
        <v>5</v>
      </c>
      <c r="BY77" s="97">
        <v>1392</v>
      </c>
      <c r="BZ77" s="97">
        <v>4</v>
      </c>
      <c r="CA77" s="97">
        <v>1113.5999999999999</v>
      </c>
      <c r="CB77" s="97">
        <v>5</v>
      </c>
      <c r="CC77" s="97">
        <v>1392</v>
      </c>
      <c r="CD77" s="97">
        <v>5</v>
      </c>
      <c r="CE77" s="97">
        <v>1392</v>
      </c>
      <c r="CF77" s="97">
        <v>3</v>
      </c>
      <c r="CG77" s="97">
        <v>835.19999999999993</v>
      </c>
      <c r="CH77" s="97">
        <v>3.051072179568683</v>
      </c>
      <c r="CI77" s="97">
        <v>849.41849479192126</v>
      </c>
      <c r="CJ77" s="97">
        <v>3</v>
      </c>
      <c r="CK77" s="97">
        <v>835.19999999999993</v>
      </c>
      <c r="CL77" s="97">
        <v>3</v>
      </c>
      <c r="CM77" s="97">
        <v>835.19999999999993</v>
      </c>
      <c r="CN77" s="97">
        <v>3</v>
      </c>
      <c r="CO77" s="97">
        <v>835.19999999999993</v>
      </c>
      <c r="CP77" s="97">
        <v>3.0064723041221546</v>
      </c>
      <c r="CQ77" s="97">
        <v>837.00188946760773</v>
      </c>
      <c r="CR77" s="97">
        <v>3</v>
      </c>
      <c r="CS77" s="97">
        <v>835.19999999999993</v>
      </c>
      <c r="CT77" s="97">
        <v>3</v>
      </c>
      <c r="CU77" s="97">
        <v>835.19999999999993</v>
      </c>
    </row>
    <row r="78" spans="2:99" x14ac:dyDescent="0.15">
      <c r="C78" s="96" t="s">
        <v>243</v>
      </c>
      <c r="D78" s="97">
        <v>0</v>
      </c>
      <c r="E78" s="97">
        <v>0</v>
      </c>
      <c r="F78" s="97">
        <v>0</v>
      </c>
      <c r="G78" s="97">
        <v>0</v>
      </c>
      <c r="H78" s="97">
        <v>31.457847091562872</v>
      </c>
      <c r="I78" s="97">
        <v>17364.731594542707</v>
      </c>
      <c r="J78" s="97">
        <v>2.8027515225763908</v>
      </c>
      <c r="K78" s="97">
        <v>1547.1188404621678</v>
      </c>
      <c r="L78" s="97">
        <v>39.5678399227494</v>
      </c>
      <c r="M78" s="97">
        <v>21841.447637357669</v>
      </c>
      <c r="N78" s="97">
        <v>22.472211459667555</v>
      </c>
      <c r="O78" s="97">
        <v>12404.66072573649</v>
      </c>
      <c r="P78" s="97">
        <v>18.778459982122829</v>
      </c>
      <c r="Q78" s="97">
        <v>10365.709910131802</v>
      </c>
      <c r="R78" s="97">
        <v>32.009307754180995</v>
      </c>
      <c r="S78" s="97">
        <v>17669.13788030791</v>
      </c>
      <c r="T78" s="97">
        <v>36.514698741719364</v>
      </c>
      <c r="U78" s="97">
        <v>20156.113705429088</v>
      </c>
      <c r="V78" s="97">
        <v>25.644135105697185</v>
      </c>
      <c r="W78" s="97">
        <v>14155.562578344847</v>
      </c>
      <c r="X78" s="97">
        <v>22.776761974539831</v>
      </c>
      <c r="Y78" s="97">
        <v>12572.772609945987</v>
      </c>
      <c r="Z78" s="97">
        <v>10.45127097479576</v>
      </c>
      <c r="AA78" s="97">
        <v>5769.1015780872594</v>
      </c>
      <c r="AB78" s="97">
        <v>24.483047848571395</v>
      </c>
      <c r="AC78" s="97">
        <v>13514.642412411411</v>
      </c>
      <c r="AD78" s="97">
        <v>22.878559618892115</v>
      </c>
      <c r="AE78" s="97">
        <v>12628.964909628448</v>
      </c>
      <c r="AF78" s="97">
        <v>18.906350903758639</v>
      </c>
      <c r="AG78" s="97">
        <v>10436.305698874768</v>
      </c>
      <c r="AH78" s="97">
        <v>21.740076869124902</v>
      </c>
      <c r="AI78" s="97">
        <v>12000.522431756946</v>
      </c>
      <c r="AJ78" s="97">
        <v>15.636336687701093</v>
      </c>
      <c r="AK78" s="97">
        <v>8631.2578516110025</v>
      </c>
      <c r="AL78" s="97">
        <v>10.692592234675596</v>
      </c>
      <c r="AM78" s="97">
        <v>5902.3109135409286</v>
      </c>
      <c r="AN78" s="97">
        <v>9.8494745248734681</v>
      </c>
      <c r="AO78" s="97">
        <v>5436.9099377301545</v>
      </c>
      <c r="AP78" s="97">
        <v>17.084720570749109</v>
      </c>
      <c r="AQ78" s="97">
        <v>9430.7657550535077</v>
      </c>
      <c r="AR78" s="97">
        <v>10</v>
      </c>
      <c r="AS78" s="97">
        <v>5520</v>
      </c>
      <c r="AT78" s="97">
        <v>11.862487767893182</v>
      </c>
      <c r="AU78" s="97">
        <v>6548.0932478770364</v>
      </c>
      <c r="AV78" s="97">
        <v>12.678398080995484</v>
      </c>
      <c r="AW78" s="97">
        <v>6998.4757407095067</v>
      </c>
      <c r="AX78" s="97">
        <v>12.734297997958178</v>
      </c>
      <c r="AY78" s="97">
        <v>7029.3324948729141</v>
      </c>
      <c r="AZ78" s="97">
        <v>7.6796339681549917</v>
      </c>
      <c r="BA78" s="97">
        <v>4239.1579504215551</v>
      </c>
      <c r="BB78" s="97">
        <v>5.0902412258119565</v>
      </c>
      <c r="BC78" s="97">
        <v>2809.8131566481998</v>
      </c>
      <c r="BD78" s="97">
        <v>9</v>
      </c>
      <c r="BE78" s="97">
        <v>4968</v>
      </c>
      <c r="BF78" s="97">
        <v>7.7048069804334993</v>
      </c>
      <c r="BG78" s="97">
        <v>4253.0534531992917</v>
      </c>
      <c r="BH78" s="97">
        <v>5</v>
      </c>
      <c r="BI78" s="97">
        <v>2760</v>
      </c>
      <c r="BJ78" s="97">
        <v>6</v>
      </c>
      <c r="BK78" s="97">
        <v>3312</v>
      </c>
      <c r="BL78" s="97">
        <v>5</v>
      </c>
      <c r="BM78" s="97">
        <v>2760</v>
      </c>
      <c r="BN78" s="97">
        <v>5.0829952578054334</v>
      </c>
      <c r="BO78" s="97">
        <v>2805.8133823085991</v>
      </c>
      <c r="BP78" s="97">
        <v>6</v>
      </c>
      <c r="BQ78" s="97">
        <v>3312</v>
      </c>
      <c r="BR78" s="97">
        <v>6</v>
      </c>
      <c r="BS78" s="97">
        <v>3312</v>
      </c>
      <c r="BT78" s="97">
        <v>6</v>
      </c>
      <c r="BU78" s="97">
        <v>3312</v>
      </c>
      <c r="BV78" s="97">
        <v>4.1118415713010306</v>
      </c>
      <c r="BW78" s="97">
        <v>2269.736547358169</v>
      </c>
      <c r="BX78" s="97">
        <v>5</v>
      </c>
      <c r="BY78" s="97">
        <v>2760</v>
      </c>
      <c r="BZ78" s="97">
        <v>4</v>
      </c>
      <c r="CA78" s="97">
        <v>2208</v>
      </c>
      <c r="CB78" s="97">
        <v>5</v>
      </c>
      <c r="CC78" s="97">
        <v>2760</v>
      </c>
      <c r="CD78" s="97">
        <v>4</v>
      </c>
      <c r="CE78" s="97">
        <v>2208</v>
      </c>
      <c r="CF78" s="97">
        <v>3</v>
      </c>
      <c r="CG78" s="97">
        <v>1656</v>
      </c>
      <c r="CH78" s="97">
        <v>3.051072179568683</v>
      </c>
      <c r="CI78" s="97">
        <v>1684.1918431219131</v>
      </c>
      <c r="CJ78" s="97">
        <v>3</v>
      </c>
      <c r="CK78" s="97">
        <v>1656</v>
      </c>
      <c r="CL78" s="97">
        <v>3</v>
      </c>
      <c r="CM78" s="97">
        <v>1656</v>
      </c>
      <c r="CN78" s="97">
        <v>3</v>
      </c>
      <c r="CO78" s="97">
        <v>1656</v>
      </c>
      <c r="CP78" s="97">
        <v>3.0064723041221546</v>
      </c>
      <c r="CQ78" s="97">
        <v>1659.5727118754294</v>
      </c>
      <c r="CR78" s="97">
        <v>4</v>
      </c>
      <c r="CS78" s="97">
        <v>2208</v>
      </c>
      <c r="CT78" s="97">
        <v>3</v>
      </c>
      <c r="CU78" s="97">
        <v>1656</v>
      </c>
    </row>
    <row r="79" spans="2:99" x14ac:dyDescent="0.15">
      <c r="C79" s="96" t="s">
        <v>244</v>
      </c>
      <c r="D79" s="97">
        <v>0</v>
      </c>
      <c r="E79" s="97">
        <v>0</v>
      </c>
      <c r="F79" s="97">
        <v>0</v>
      </c>
      <c r="G79" s="97">
        <v>0</v>
      </c>
      <c r="H79" s="97">
        <v>31.457847091562872</v>
      </c>
      <c r="I79" s="97">
        <v>23819.881817731406</v>
      </c>
      <c r="J79" s="97">
        <v>2.6198333394160978</v>
      </c>
      <c r="K79" s="97">
        <v>1983.7378046058691</v>
      </c>
      <c r="L79" s="97">
        <v>36.471335047009042</v>
      </c>
      <c r="M79" s="97">
        <v>27616.094897595245</v>
      </c>
      <c r="N79" s="97">
        <v>18.191790229254689</v>
      </c>
      <c r="O79" s="97">
        <v>13774.823561591649</v>
      </c>
      <c r="P79" s="97">
        <v>19.623012943675935</v>
      </c>
      <c r="Q79" s="97">
        <v>14858.545400951416</v>
      </c>
      <c r="R79" s="97">
        <v>28.248278770520137</v>
      </c>
      <c r="S79" s="97">
        <v>21389.596685037846</v>
      </c>
      <c r="T79" s="97">
        <v>32.527348563594323</v>
      </c>
      <c r="U79" s="97">
        <v>24629.708332353621</v>
      </c>
      <c r="V79" s="97">
        <v>23.671509328335862</v>
      </c>
      <c r="W79" s="97">
        <v>17924.066863415912</v>
      </c>
      <c r="X79" s="97">
        <v>25.903673544149818</v>
      </c>
      <c r="Y79" s="97">
        <v>19614.26160763024</v>
      </c>
      <c r="Z79" s="97">
        <v>8.8433831325194898</v>
      </c>
      <c r="AA79" s="97">
        <v>6696.2097079437572</v>
      </c>
      <c r="AB79" s="97">
        <v>24.445020980659308</v>
      </c>
      <c r="AC79" s="97">
        <v>18509.769886555227</v>
      </c>
      <c r="AD79" s="97">
        <v>22.981919574055894</v>
      </c>
      <c r="AE79" s="97">
        <v>17401.909501475122</v>
      </c>
      <c r="AF79" s="97">
        <v>20.805645247785456</v>
      </c>
      <c r="AG79" s="97">
        <v>15754.034581623146</v>
      </c>
      <c r="AH79" s="97">
        <v>20.673462859337988</v>
      </c>
      <c r="AI79" s="97">
        <v>15653.946077090723</v>
      </c>
      <c r="AJ79" s="97">
        <v>16.600984649495476</v>
      </c>
      <c r="AK79" s="97">
        <v>12570.265576597974</v>
      </c>
      <c r="AL79" s="97">
        <v>10.626631069468395</v>
      </c>
      <c r="AM79" s="97">
        <v>8046.485045801468</v>
      </c>
      <c r="AN79" s="97">
        <v>10.707895437394557</v>
      </c>
      <c r="AO79" s="97">
        <v>8108.0184251951578</v>
      </c>
      <c r="AP79" s="97">
        <v>16.074554102259214</v>
      </c>
      <c r="AQ79" s="97">
        <v>12171.652366230675</v>
      </c>
      <c r="AR79" s="97">
        <v>11</v>
      </c>
      <c r="AS79" s="97">
        <v>8329.1999999999989</v>
      </c>
      <c r="AT79" s="97">
        <v>11.862487767893182</v>
      </c>
      <c r="AU79" s="97">
        <v>8982.2757378487167</v>
      </c>
      <c r="AV79" s="97">
        <v>13.678398080995484</v>
      </c>
      <c r="AW79" s="97">
        <v>10357.283026929779</v>
      </c>
      <c r="AX79" s="97">
        <v>13.734297997958178</v>
      </c>
      <c r="AY79" s="97">
        <v>10399.610444053931</v>
      </c>
      <c r="AZ79" s="97">
        <v>6.6796339681549917</v>
      </c>
      <c r="BA79" s="97">
        <v>5057.8188406869594</v>
      </c>
      <c r="BB79" s="97">
        <v>5.0902412258119565</v>
      </c>
      <c r="BC79" s="97">
        <v>3854.3306561848131</v>
      </c>
      <c r="BD79" s="97">
        <v>10</v>
      </c>
      <c r="BE79" s="97">
        <v>7571.9999999999991</v>
      </c>
      <c r="BF79" s="97">
        <v>7.7048069804334993</v>
      </c>
      <c r="BG79" s="97">
        <v>5834.079845584245</v>
      </c>
      <c r="BH79" s="97">
        <v>4</v>
      </c>
      <c r="BI79" s="97">
        <v>3028.7999999999997</v>
      </c>
      <c r="BJ79" s="97">
        <v>5.6461430948642812</v>
      </c>
      <c r="BK79" s="97">
        <v>4275.2595514312334</v>
      </c>
      <c r="BL79" s="97">
        <v>5</v>
      </c>
      <c r="BM79" s="97">
        <v>3785.9999999999995</v>
      </c>
      <c r="BN79" s="97">
        <v>4.0754502343685752</v>
      </c>
      <c r="BO79" s="97">
        <v>3085.9309174638847</v>
      </c>
      <c r="BP79" s="97">
        <v>7</v>
      </c>
      <c r="BQ79" s="97">
        <v>5300.4</v>
      </c>
      <c r="BR79" s="97">
        <v>6</v>
      </c>
      <c r="BS79" s="97">
        <v>4543.2</v>
      </c>
      <c r="BT79" s="97">
        <v>6</v>
      </c>
      <c r="BU79" s="97">
        <v>4543.2</v>
      </c>
      <c r="BV79" s="97">
        <v>4.1032383735086437</v>
      </c>
      <c r="BW79" s="97">
        <v>3106.9720964207449</v>
      </c>
      <c r="BX79" s="97">
        <v>5</v>
      </c>
      <c r="BY79" s="97">
        <v>3785.9999999999995</v>
      </c>
      <c r="BZ79" s="97">
        <v>4</v>
      </c>
      <c r="CA79" s="97">
        <v>3028.7999999999997</v>
      </c>
      <c r="CB79" s="97">
        <v>5</v>
      </c>
      <c r="CC79" s="97">
        <v>3785.9999999999995</v>
      </c>
      <c r="CD79" s="97">
        <v>4</v>
      </c>
      <c r="CE79" s="97">
        <v>3028.7999999999997</v>
      </c>
      <c r="CF79" s="97">
        <v>3</v>
      </c>
      <c r="CG79" s="97">
        <v>2271.6</v>
      </c>
      <c r="CH79" s="97">
        <v>3.0459649616118147</v>
      </c>
      <c r="CI79" s="97">
        <v>2306.4046689324659</v>
      </c>
      <c r="CJ79" s="97">
        <v>3</v>
      </c>
      <c r="CK79" s="97">
        <v>2271.6</v>
      </c>
      <c r="CL79" s="97">
        <v>3</v>
      </c>
      <c r="CM79" s="97">
        <v>2271.6</v>
      </c>
      <c r="CN79" s="97">
        <v>4</v>
      </c>
      <c r="CO79" s="97">
        <v>3028.7999999999997</v>
      </c>
      <c r="CP79" s="97">
        <v>3.0064723041221546</v>
      </c>
      <c r="CQ79" s="97">
        <v>2276.5008286812954</v>
      </c>
      <c r="CR79" s="97">
        <v>3</v>
      </c>
      <c r="CS79" s="97">
        <v>2271.6</v>
      </c>
      <c r="CT79" s="97">
        <v>3</v>
      </c>
      <c r="CU79" s="97">
        <v>2271.6</v>
      </c>
    </row>
    <row r="80" spans="2:99" x14ac:dyDescent="0.15">
      <c r="C80" s="96" t="s">
        <v>245</v>
      </c>
      <c r="D80" s="97">
        <v>0</v>
      </c>
      <c r="E80" s="97">
        <v>0</v>
      </c>
      <c r="F80" s="97">
        <v>0</v>
      </c>
      <c r="G80" s="97">
        <v>0</v>
      </c>
      <c r="H80" s="97">
        <v>27.890462369839248</v>
      </c>
      <c r="I80" s="97">
        <v>22457.40030019456</v>
      </c>
      <c r="J80" s="97">
        <v>2.7972229580813868</v>
      </c>
      <c r="K80" s="97">
        <v>2252.3239258471326</v>
      </c>
      <c r="L80" s="97">
        <v>35.469960569447395</v>
      </c>
      <c r="M80" s="97">
        <v>28560.412250519039</v>
      </c>
      <c r="N80" s="97">
        <v>18.726842883056296</v>
      </c>
      <c r="O80" s="97">
        <v>15078.853889436929</v>
      </c>
      <c r="P80" s="97">
        <v>19.277894355238342</v>
      </c>
      <c r="Q80" s="97">
        <v>15522.560534837912</v>
      </c>
      <c r="R80" s="97">
        <v>26.397797258755034</v>
      </c>
      <c r="S80" s="97">
        <v>21255.506352749551</v>
      </c>
      <c r="T80" s="97">
        <v>35.443427983407233</v>
      </c>
      <c r="U80" s="97">
        <v>28539.048212239501</v>
      </c>
      <c r="V80" s="97">
        <v>24.657822217016523</v>
      </c>
      <c r="W80" s="97">
        <v>19854.478449141701</v>
      </c>
      <c r="X80" s="97">
        <v>24.967129328954812</v>
      </c>
      <c r="Y80" s="97">
        <v>20103.532535674414</v>
      </c>
      <c r="Z80" s="97">
        <v>10.45127097479576</v>
      </c>
      <c r="AA80" s="97">
        <v>8415.3633889055454</v>
      </c>
      <c r="AB80" s="97">
        <v>23.330940376923049</v>
      </c>
      <c r="AC80" s="97">
        <v>18786.073191498439</v>
      </c>
      <c r="AD80" s="97">
        <v>21.85271963010117</v>
      </c>
      <c r="AE80" s="97">
        <v>17595.809846157459</v>
      </c>
      <c r="AF80" s="97">
        <v>17.881174489765343</v>
      </c>
      <c r="AG80" s="97">
        <v>14397.921699159053</v>
      </c>
      <c r="AH80" s="97">
        <v>18.818965251318165</v>
      </c>
      <c r="AI80" s="97">
        <v>15153.030820361386</v>
      </c>
      <c r="AJ80" s="97">
        <v>13.636336687701093</v>
      </c>
      <c r="AK80" s="97">
        <v>10979.978300936918</v>
      </c>
      <c r="AL80" s="97">
        <v>10.659611652071996</v>
      </c>
      <c r="AM80" s="97">
        <v>8583.1193022483712</v>
      </c>
      <c r="AN80" s="97">
        <v>9.8211587073776858</v>
      </c>
      <c r="AO80" s="97">
        <v>7907.9969911805119</v>
      </c>
      <c r="AP80" s="97">
        <v>15.074554102259215</v>
      </c>
      <c r="AQ80" s="97">
        <v>12138.030963139119</v>
      </c>
      <c r="AR80" s="97">
        <v>11</v>
      </c>
      <c r="AS80" s="97">
        <v>8857.1999999999989</v>
      </c>
      <c r="AT80" s="97">
        <v>10</v>
      </c>
      <c r="AU80" s="97">
        <v>8051.9999999999991</v>
      </c>
      <c r="AV80" s="97">
        <v>13.678398080995484</v>
      </c>
      <c r="AW80" s="97">
        <v>11013.846134817562</v>
      </c>
      <c r="AX80" s="97">
        <v>12.775092331178076</v>
      </c>
      <c r="AY80" s="97">
        <v>10286.504345064586</v>
      </c>
      <c r="AZ80" s="97">
        <v>7.6371568451453049</v>
      </c>
      <c r="BA80" s="97">
        <v>6149.4386917109987</v>
      </c>
      <c r="BB80" s="97">
        <v>5.1002680286799515</v>
      </c>
      <c r="BC80" s="97">
        <v>4106.7358166930962</v>
      </c>
      <c r="BD80" s="97">
        <v>10</v>
      </c>
      <c r="BE80" s="97">
        <v>8051.9999999999991</v>
      </c>
      <c r="BF80" s="97">
        <v>8.6607565441564063</v>
      </c>
      <c r="BG80" s="97">
        <v>6973.6411693547379</v>
      </c>
      <c r="BH80" s="97">
        <v>4</v>
      </c>
      <c r="BI80" s="97">
        <v>3220.7999999999997</v>
      </c>
      <c r="BJ80" s="97">
        <v>6.6892193011885661</v>
      </c>
      <c r="BK80" s="97">
        <v>5386.159381317033</v>
      </c>
      <c r="BL80" s="97">
        <v>6</v>
      </c>
      <c r="BM80" s="97">
        <v>4831.2</v>
      </c>
      <c r="BN80" s="97">
        <v>4.0754502343685752</v>
      </c>
      <c r="BO80" s="97">
        <v>3281.5525287135765</v>
      </c>
      <c r="BP80" s="97">
        <v>6</v>
      </c>
      <c r="BQ80" s="97">
        <v>4831.2</v>
      </c>
      <c r="BR80" s="97">
        <v>6</v>
      </c>
      <c r="BS80" s="97">
        <v>4831.2</v>
      </c>
      <c r="BT80" s="97">
        <v>6</v>
      </c>
      <c r="BU80" s="97">
        <v>4831.2</v>
      </c>
      <c r="BV80" s="97">
        <v>4.1032383735086437</v>
      </c>
      <c r="BW80" s="97">
        <v>3303.9275383491595</v>
      </c>
      <c r="BX80" s="97">
        <v>5</v>
      </c>
      <c r="BY80" s="97">
        <v>4025.9999999999995</v>
      </c>
      <c r="BZ80" s="97">
        <v>4</v>
      </c>
      <c r="CA80" s="97">
        <v>3220.7999999999997</v>
      </c>
      <c r="CB80" s="97">
        <v>5</v>
      </c>
      <c r="CC80" s="97">
        <v>4025.9999999999995</v>
      </c>
      <c r="CD80" s="97">
        <v>4</v>
      </c>
      <c r="CE80" s="97">
        <v>3220.7999999999997</v>
      </c>
      <c r="CF80" s="97">
        <v>2</v>
      </c>
      <c r="CG80" s="97">
        <v>1610.3999999999999</v>
      </c>
      <c r="CH80" s="97">
        <v>3.0459649616118147</v>
      </c>
      <c r="CI80" s="97">
        <v>2452.6109870898331</v>
      </c>
      <c r="CJ80" s="97">
        <v>3</v>
      </c>
      <c r="CK80" s="97">
        <v>2415.6</v>
      </c>
      <c r="CL80" s="97">
        <v>3</v>
      </c>
      <c r="CM80" s="97">
        <v>2415.6</v>
      </c>
      <c r="CN80" s="97">
        <v>3</v>
      </c>
      <c r="CO80" s="97">
        <v>2415.6</v>
      </c>
      <c r="CP80" s="97">
        <v>3.0064723041221546</v>
      </c>
      <c r="CQ80" s="97">
        <v>2420.8114992791589</v>
      </c>
      <c r="CR80" s="97">
        <v>3</v>
      </c>
      <c r="CS80" s="97">
        <v>2415.6</v>
      </c>
      <c r="CT80" s="97">
        <v>3</v>
      </c>
      <c r="CU80" s="97">
        <v>2415.6</v>
      </c>
    </row>
    <row r="81" spans="2:99" x14ac:dyDescent="0.15">
      <c r="C81" s="96" t="s">
        <v>246</v>
      </c>
      <c r="D81" s="97">
        <v>0</v>
      </c>
      <c r="E81" s="97">
        <v>0</v>
      </c>
      <c r="F81" s="97">
        <v>0</v>
      </c>
      <c r="G81" s="97">
        <v>0</v>
      </c>
      <c r="H81" s="97">
        <v>30.484923985638247</v>
      </c>
      <c r="I81" s="97">
        <v>22973.438715576984</v>
      </c>
      <c r="J81" s="97">
        <v>2.8394971510620826</v>
      </c>
      <c r="K81" s="97">
        <v>2139.8450530403857</v>
      </c>
      <c r="L81" s="97">
        <v>38.313863815953276</v>
      </c>
      <c r="M81" s="97">
        <v>28873.327771702388</v>
      </c>
      <c r="N81" s="97">
        <v>21.402106152064338</v>
      </c>
      <c r="O81" s="97">
        <v>16128.627196195686</v>
      </c>
      <c r="P81" s="97">
        <v>18.243414274081641</v>
      </c>
      <c r="Q81" s="97">
        <v>13748.236996947924</v>
      </c>
      <c r="R81" s="97">
        <v>29.458574127201619</v>
      </c>
      <c r="S81" s="97">
        <v>22199.98146225914</v>
      </c>
      <c r="T81" s="97">
        <v>35.509590840101339</v>
      </c>
      <c r="U81" s="97">
        <v>26760.027657100371</v>
      </c>
      <c r="V81" s="97">
        <v>26.630447994377846</v>
      </c>
      <c r="W81" s="97">
        <v>20068.705608563145</v>
      </c>
      <c r="X81" s="97">
        <v>22.903673544149818</v>
      </c>
      <c r="Y81" s="97">
        <v>17260.208382871304</v>
      </c>
      <c r="Z81" s="97">
        <v>10.853242935364827</v>
      </c>
      <c r="AA81" s="97">
        <v>8179.0038760909338</v>
      </c>
      <c r="AB81" s="97">
        <v>24.406994112747221</v>
      </c>
      <c r="AC81" s="97">
        <v>18393.110763366305</v>
      </c>
      <c r="AD81" s="97">
        <v>23.826879641310228</v>
      </c>
      <c r="AE81" s="97">
        <v>17955.936497691389</v>
      </c>
      <c r="AF81" s="97">
        <v>20.855998075772046</v>
      </c>
      <c r="AG81" s="97">
        <v>15717.080149901814</v>
      </c>
      <c r="AH81" s="97">
        <v>21.664059484155629</v>
      </c>
      <c r="AI81" s="97">
        <v>16326.035227259683</v>
      </c>
      <c r="AJ81" s="97">
        <v>13.56563261128986</v>
      </c>
      <c r="AK81" s="97">
        <v>10223.060735868039</v>
      </c>
      <c r="AL81" s="97">
        <v>9.6266310694683952</v>
      </c>
      <c r="AM81" s="97">
        <v>7254.6291739513827</v>
      </c>
      <c r="AN81" s="97">
        <v>9.7645270723861213</v>
      </c>
      <c r="AO81" s="97">
        <v>7358.5476017501815</v>
      </c>
      <c r="AP81" s="97">
        <v>17.071165279429252</v>
      </c>
      <c r="AQ81" s="97">
        <v>12864.830154577885</v>
      </c>
      <c r="AR81" s="97">
        <v>11</v>
      </c>
      <c r="AS81" s="97">
        <v>8289.6</v>
      </c>
      <c r="AT81" s="97">
        <v>11</v>
      </c>
      <c r="AU81" s="97">
        <v>8289.6</v>
      </c>
      <c r="AV81" s="97">
        <v>14.780157793144806</v>
      </c>
      <c r="AW81" s="97">
        <v>11138.326912913926</v>
      </c>
      <c r="AX81" s="97">
        <v>12.856680997617874</v>
      </c>
      <c r="AY81" s="97">
        <v>9688.7947998048294</v>
      </c>
      <c r="AZ81" s="97">
        <v>7.6371568451453049</v>
      </c>
      <c r="BA81" s="97">
        <v>5755.3613985015018</v>
      </c>
      <c r="BB81" s="97">
        <v>5.0952546272459536</v>
      </c>
      <c r="BC81" s="97">
        <v>3839.7838870925507</v>
      </c>
      <c r="BD81" s="97">
        <v>9</v>
      </c>
      <c r="BE81" s="97">
        <v>6782.4000000000005</v>
      </c>
      <c r="BF81" s="97">
        <v>8</v>
      </c>
      <c r="BG81" s="97">
        <v>6028.8</v>
      </c>
      <c r="BH81" s="97">
        <v>4</v>
      </c>
      <c r="BI81" s="97">
        <v>3014.4</v>
      </c>
      <c r="BJ81" s="97">
        <v>6.6892193011885661</v>
      </c>
      <c r="BK81" s="97">
        <v>5040.9956653757035</v>
      </c>
      <c r="BL81" s="97">
        <v>6</v>
      </c>
      <c r="BM81" s="97">
        <v>4521.6000000000004</v>
      </c>
      <c r="BN81" s="97">
        <v>4.0754502343685752</v>
      </c>
      <c r="BO81" s="97">
        <v>3071.2592966201582</v>
      </c>
      <c r="BP81" s="97">
        <v>7</v>
      </c>
      <c r="BQ81" s="97">
        <v>5275.2</v>
      </c>
      <c r="BR81" s="97">
        <v>6</v>
      </c>
      <c r="BS81" s="97">
        <v>4521.6000000000004</v>
      </c>
      <c r="BT81" s="97">
        <v>6</v>
      </c>
      <c r="BU81" s="97">
        <v>4521.6000000000004</v>
      </c>
      <c r="BV81" s="97">
        <v>3.1032383735086437</v>
      </c>
      <c r="BW81" s="97">
        <v>2338.6004382761139</v>
      </c>
      <c r="BX81" s="97">
        <v>5</v>
      </c>
      <c r="BY81" s="97">
        <v>3768</v>
      </c>
      <c r="BZ81" s="97">
        <v>3.5524364807997721</v>
      </c>
      <c r="CA81" s="97">
        <v>2677.1161319307084</v>
      </c>
      <c r="CB81" s="97">
        <v>5</v>
      </c>
      <c r="CC81" s="97">
        <v>3768</v>
      </c>
      <c r="CD81" s="97">
        <v>5</v>
      </c>
      <c r="CE81" s="97">
        <v>3768</v>
      </c>
      <c r="CF81" s="97">
        <v>2</v>
      </c>
      <c r="CG81" s="97">
        <v>1507.2</v>
      </c>
      <c r="CH81" s="97">
        <v>3.051072179568683</v>
      </c>
      <c r="CI81" s="97">
        <v>2299.2879945229597</v>
      </c>
      <c r="CJ81" s="97">
        <v>3</v>
      </c>
      <c r="CK81" s="97">
        <v>2260.8000000000002</v>
      </c>
      <c r="CL81" s="97">
        <v>3</v>
      </c>
      <c r="CM81" s="97">
        <v>2260.8000000000002</v>
      </c>
      <c r="CN81" s="97">
        <v>3</v>
      </c>
      <c r="CO81" s="97">
        <v>2260.8000000000002</v>
      </c>
      <c r="CP81" s="97">
        <v>3.0064723041221546</v>
      </c>
      <c r="CQ81" s="97">
        <v>2265.6775283864558</v>
      </c>
      <c r="CR81" s="97">
        <v>3</v>
      </c>
      <c r="CS81" s="97">
        <v>2260.8000000000002</v>
      </c>
      <c r="CT81" s="97">
        <v>3</v>
      </c>
      <c r="CU81" s="97">
        <v>2260.8000000000002</v>
      </c>
    </row>
    <row r="82" spans="2:99" x14ac:dyDescent="0.15">
      <c r="C82" s="96" t="s">
        <v>247</v>
      </c>
      <c r="D82" s="97">
        <v>0</v>
      </c>
      <c r="E82" s="97">
        <v>0</v>
      </c>
      <c r="F82" s="97">
        <v>0</v>
      </c>
      <c r="G82" s="97">
        <v>0</v>
      </c>
      <c r="H82" s="97">
        <v>31.133539389587998</v>
      </c>
      <c r="I82" s="97">
        <v>15840.744841422371</v>
      </c>
      <c r="J82" s="97">
        <v>2.8024059872954532</v>
      </c>
      <c r="K82" s="97">
        <v>1425.8641663359263</v>
      </c>
      <c r="L82" s="97">
        <v>41.573337832995982</v>
      </c>
      <c r="M82" s="97">
        <v>21152.514289428353</v>
      </c>
      <c r="N82" s="97">
        <v>18.726842883056296</v>
      </c>
      <c r="O82" s="97">
        <v>9528.2176588990424</v>
      </c>
      <c r="P82" s="97">
        <v>21.07383428312157</v>
      </c>
      <c r="Q82" s="97">
        <v>10722.366883252253</v>
      </c>
      <c r="R82" s="97">
        <v>32.729581856105476</v>
      </c>
      <c r="S82" s="97">
        <v>16652.811248386464</v>
      </c>
      <c r="T82" s="97">
        <v>37.536347357510913</v>
      </c>
      <c r="U82" s="97">
        <v>19098.493535501548</v>
      </c>
      <c r="V82" s="97">
        <v>26.630447994377846</v>
      </c>
      <c r="W82" s="97">
        <v>13549.571939539446</v>
      </c>
      <c r="X82" s="97">
        <v>22.935401436552315</v>
      </c>
      <c r="Y82" s="97">
        <v>11669.532250917815</v>
      </c>
      <c r="Z82" s="97">
        <v>10.45127097479576</v>
      </c>
      <c r="AA82" s="97">
        <v>5317.6066719760811</v>
      </c>
      <c r="AB82" s="97">
        <v>22.483047848571395</v>
      </c>
      <c r="AC82" s="97">
        <v>11439.374745353123</v>
      </c>
      <c r="AD82" s="97">
        <v>23.981919574055894</v>
      </c>
      <c r="AE82" s="97">
        <v>12202.000679279636</v>
      </c>
      <c r="AF82" s="97">
        <v>21.981880145738526</v>
      </c>
      <c r="AG82" s="97">
        <v>11184.380618151759</v>
      </c>
      <c r="AH82" s="97">
        <v>19.834901004458903</v>
      </c>
      <c r="AI82" s="97">
        <v>10091.997631068687</v>
      </c>
      <c r="AJ82" s="97">
        <v>16.56563261128986</v>
      </c>
      <c r="AK82" s="97">
        <v>8428.5938726242784</v>
      </c>
      <c r="AL82" s="97">
        <v>11.659611652071996</v>
      </c>
      <c r="AM82" s="97">
        <v>5932.4104085742301</v>
      </c>
      <c r="AN82" s="97">
        <v>9.8211587073776858</v>
      </c>
      <c r="AO82" s="97">
        <v>4997.0055503137655</v>
      </c>
      <c r="AP82" s="97">
        <v>16.084720570749109</v>
      </c>
      <c r="AQ82" s="97">
        <v>8183.9058263971456</v>
      </c>
      <c r="AR82" s="97">
        <v>11</v>
      </c>
      <c r="AS82" s="97">
        <v>5596.7999999999993</v>
      </c>
      <c r="AT82" s="97">
        <v>11.739275229622727</v>
      </c>
      <c r="AU82" s="97">
        <v>5972.9432368320422</v>
      </c>
      <c r="AV82" s="97">
        <v>14.712317985045258</v>
      </c>
      <c r="AW82" s="97">
        <v>7485.6273907910263</v>
      </c>
      <c r="AX82" s="97">
        <v>13.734297997958178</v>
      </c>
      <c r="AY82" s="97">
        <v>6988.0108213611193</v>
      </c>
      <c r="AZ82" s="97">
        <v>7.6371568451453049</v>
      </c>
      <c r="BA82" s="97">
        <v>3885.7854028099305</v>
      </c>
      <c r="BB82" s="97">
        <v>5.0952546272459536</v>
      </c>
      <c r="BC82" s="97">
        <v>2592.4655543427407</v>
      </c>
      <c r="BD82" s="97">
        <v>9</v>
      </c>
      <c r="BE82" s="97">
        <v>4579.1999999999989</v>
      </c>
      <c r="BF82" s="97">
        <v>8</v>
      </c>
      <c r="BG82" s="97">
        <v>4070.3999999999992</v>
      </c>
      <c r="BH82" s="97">
        <v>4</v>
      </c>
      <c r="BI82" s="97">
        <v>2035.1999999999996</v>
      </c>
      <c r="BJ82" s="97">
        <v>6</v>
      </c>
      <c r="BK82" s="97">
        <v>3052.7999999999993</v>
      </c>
      <c r="BL82" s="97">
        <v>6</v>
      </c>
      <c r="BM82" s="97">
        <v>3052.7999999999993</v>
      </c>
      <c r="BN82" s="97">
        <v>4.0829952578054334</v>
      </c>
      <c r="BO82" s="97">
        <v>2077.4279871714043</v>
      </c>
      <c r="BP82" s="97">
        <v>7</v>
      </c>
      <c r="BQ82" s="97">
        <v>3561.5999999999995</v>
      </c>
      <c r="BR82" s="97">
        <v>6</v>
      </c>
      <c r="BS82" s="97">
        <v>3052.7999999999993</v>
      </c>
      <c r="BT82" s="97">
        <v>6</v>
      </c>
      <c r="BU82" s="97">
        <v>3052.7999999999993</v>
      </c>
      <c r="BV82" s="97">
        <v>4.1032383735086437</v>
      </c>
      <c r="BW82" s="97">
        <v>2087.7276844411977</v>
      </c>
      <c r="BX82" s="97">
        <v>5</v>
      </c>
      <c r="BY82" s="97">
        <v>2543.9999999999995</v>
      </c>
      <c r="BZ82" s="97">
        <v>4</v>
      </c>
      <c r="CA82" s="97">
        <v>2035.1999999999996</v>
      </c>
      <c r="CB82" s="97">
        <v>5</v>
      </c>
      <c r="CC82" s="97">
        <v>2543.9999999999995</v>
      </c>
      <c r="CD82" s="97">
        <v>5</v>
      </c>
      <c r="CE82" s="97">
        <v>2543.9999999999995</v>
      </c>
      <c r="CF82" s="97">
        <v>2</v>
      </c>
      <c r="CG82" s="97">
        <v>1017.5999999999998</v>
      </c>
      <c r="CH82" s="97">
        <v>3.051072179568683</v>
      </c>
      <c r="CI82" s="97">
        <v>1552.3855249645455</v>
      </c>
      <c r="CJ82" s="97">
        <v>3</v>
      </c>
      <c r="CK82" s="97">
        <v>1526.3999999999996</v>
      </c>
      <c r="CL82" s="97">
        <v>3</v>
      </c>
      <c r="CM82" s="97">
        <v>1526.3999999999996</v>
      </c>
      <c r="CN82" s="97">
        <v>3</v>
      </c>
      <c r="CO82" s="97">
        <v>1526.3999999999996</v>
      </c>
      <c r="CP82" s="97">
        <v>3.0051778432977234</v>
      </c>
      <c r="CQ82" s="97">
        <v>1529.0344866698813</v>
      </c>
      <c r="CR82" s="97">
        <v>3</v>
      </c>
      <c r="CS82" s="97">
        <v>1526.3999999999996</v>
      </c>
      <c r="CT82" s="97">
        <v>3</v>
      </c>
      <c r="CU82" s="97">
        <v>1526.3999999999996</v>
      </c>
    </row>
    <row r="83" spans="2:99" x14ac:dyDescent="0.15">
      <c r="C83" s="96" t="s">
        <v>248</v>
      </c>
      <c r="D83" s="97">
        <v>0</v>
      </c>
      <c r="E83" s="97">
        <v>0</v>
      </c>
      <c r="F83" s="97">
        <v>0</v>
      </c>
      <c r="G83" s="97">
        <v>0</v>
      </c>
      <c r="H83" s="97">
        <v>30.484923985638247</v>
      </c>
      <c r="I83" s="97">
        <v>26229.228597243145</v>
      </c>
      <c r="J83" s="97">
        <v>2.6191422688542225</v>
      </c>
      <c r="K83" s="97">
        <v>2253.5100081221731</v>
      </c>
      <c r="L83" s="97">
        <v>35.417241079501864</v>
      </c>
      <c r="M83" s="97">
        <v>30472.994224803402</v>
      </c>
      <c r="N83" s="97">
        <v>21.402106152064338</v>
      </c>
      <c r="O83" s="97">
        <v>18414.372133236157</v>
      </c>
      <c r="P83" s="97">
        <v>19.171060350461321</v>
      </c>
      <c r="Q83" s="97">
        <v>16494.780325536922</v>
      </c>
      <c r="R83" s="97">
        <v>28.268300757230357</v>
      </c>
      <c r="S83" s="97">
        <v>24322.045971520998</v>
      </c>
      <c r="T83" s="97">
        <v>32.593511420288429</v>
      </c>
      <c r="U83" s="97">
        <v>28043.457226016162</v>
      </c>
      <c r="V83" s="97">
        <v>26.630447994377846</v>
      </c>
      <c r="W83" s="97">
        <v>22912.8374543627</v>
      </c>
      <c r="X83" s="97">
        <v>23.903673544149818</v>
      </c>
      <c r="Y83" s="97">
        <v>20566.720717386503</v>
      </c>
      <c r="Z83" s="97">
        <v>9.2453550930885573</v>
      </c>
      <c r="AA83" s="97">
        <v>7954.7035220933949</v>
      </c>
      <c r="AB83" s="97">
        <v>22.55910158439557</v>
      </c>
      <c r="AC83" s="97">
        <v>19409.851003213949</v>
      </c>
      <c r="AD83" s="97">
        <v>23.930239596474003</v>
      </c>
      <c r="AE83" s="97">
        <v>20589.578148806231</v>
      </c>
      <c r="AF83" s="97">
        <v>20.881174489765343</v>
      </c>
      <c r="AG83" s="97">
        <v>17966.162530994101</v>
      </c>
      <c r="AH83" s="97">
        <v>19.657527106197254</v>
      </c>
      <c r="AI83" s="97">
        <v>16913.336322172116</v>
      </c>
      <c r="AJ83" s="97">
        <v>15.56563261128986</v>
      </c>
      <c r="AK83" s="97">
        <v>13392.670298753796</v>
      </c>
      <c r="AL83" s="97">
        <v>10.692592234675596</v>
      </c>
      <c r="AM83" s="97">
        <v>9199.906358714883</v>
      </c>
      <c r="AN83" s="97">
        <v>9.7078954373945567</v>
      </c>
      <c r="AO83" s="97">
        <v>8352.6732343342755</v>
      </c>
      <c r="AP83" s="97">
        <v>15.077942925089179</v>
      </c>
      <c r="AQ83" s="97">
        <v>12973.06209274673</v>
      </c>
      <c r="AR83" s="97">
        <v>11</v>
      </c>
      <c r="AS83" s="97">
        <v>9464.4</v>
      </c>
      <c r="AT83" s="97">
        <v>11.739275229622727</v>
      </c>
      <c r="AU83" s="97">
        <v>10100.472407567395</v>
      </c>
      <c r="AV83" s="97">
        <v>12.780157793144806</v>
      </c>
      <c r="AW83" s="97">
        <v>10996.047765221791</v>
      </c>
      <c r="AX83" s="97">
        <v>11.815886664397976</v>
      </c>
      <c r="AY83" s="97">
        <v>10166.388886048018</v>
      </c>
      <c r="AZ83" s="97">
        <v>7.5946797221356181</v>
      </c>
      <c r="BA83" s="97">
        <v>6534.4624329254857</v>
      </c>
      <c r="BB83" s="97">
        <v>5.1002680286799515</v>
      </c>
      <c r="BC83" s="97">
        <v>4388.2706118762299</v>
      </c>
      <c r="BD83" s="97">
        <v>9</v>
      </c>
      <c r="BE83" s="97">
        <v>7743.5999999999995</v>
      </c>
      <c r="BF83" s="97">
        <v>8.7048069804334993</v>
      </c>
      <c r="BG83" s="97">
        <v>7489.615925964983</v>
      </c>
      <c r="BH83" s="97">
        <v>4</v>
      </c>
      <c r="BI83" s="97">
        <v>3441.6</v>
      </c>
      <c r="BJ83" s="97">
        <v>6.6461430948642812</v>
      </c>
      <c r="BK83" s="97">
        <v>5718.3415188212275</v>
      </c>
      <c r="BL83" s="97">
        <v>5.634142712804314</v>
      </c>
      <c r="BM83" s="97">
        <v>4847.6163900968313</v>
      </c>
      <c r="BN83" s="97">
        <v>5.0829952578054334</v>
      </c>
      <c r="BO83" s="97">
        <v>4373.4091198157948</v>
      </c>
      <c r="BP83" s="97">
        <v>6</v>
      </c>
      <c r="BQ83" s="97">
        <v>5162.3999999999996</v>
      </c>
      <c r="BR83" s="97">
        <v>6</v>
      </c>
      <c r="BS83" s="97">
        <v>5162.3999999999996</v>
      </c>
      <c r="BT83" s="97">
        <v>6</v>
      </c>
      <c r="BU83" s="97">
        <v>5162.3999999999996</v>
      </c>
      <c r="BV83" s="97">
        <v>4.1118415713010306</v>
      </c>
      <c r="BW83" s="97">
        <v>3537.8284879474068</v>
      </c>
      <c r="BX83" s="97">
        <v>5</v>
      </c>
      <c r="BY83" s="97">
        <v>4302</v>
      </c>
      <c r="BZ83" s="97">
        <v>4.5064001073997915</v>
      </c>
      <c r="CA83" s="97">
        <v>3877.3066524067804</v>
      </c>
      <c r="CB83" s="97">
        <v>5</v>
      </c>
      <c r="CC83" s="97">
        <v>4302</v>
      </c>
      <c r="CD83" s="97">
        <v>4</v>
      </c>
      <c r="CE83" s="97">
        <v>3441.6</v>
      </c>
      <c r="CF83" s="97">
        <v>2</v>
      </c>
      <c r="CG83" s="97">
        <v>1720.8</v>
      </c>
      <c r="CH83" s="97">
        <v>3.0459649616118147</v>
      </c>
      <c r="CI83" s="97">
        <v>2620.7482529708054</v>
      </c>
      <c r="CJ83" s="97">
        <v>3</v>
      </c>
      <c r="CK83" s="97">
        <v>2581.1999999999998</v>
      </c>
      <c r="CL83" s="97">
        <v>3</v>
      </c>
      <c r="CM83" s="97">
        <v>2581.1999999999998</v>
      </c>
      <c r="CN83" s="97">
        <v>3</v>
      </c>
      <c r="CO83" s="97">
        <v>2581.1999999999998</v>
      </c>
      <c r="CP83" s="97">
        <v>3.0064723041221546</v>
      </c>
      <c r="CQ83" s="97">
        <v>2586.7687704667019</v>
      </c>
      <c r="CR83" s="97">
        <v>3</v>
      </c>
      <c r="CS83" s="97">
        <v>2581.1999999999998</v>
      </c>
      <c r="CT83" s="97">
        <v>2</v>
      </c>
      <c r="CU83" s="97">
        <v>1720.8</v>
      </c>
    </row>
    <row r="84" spans="2:99" x14ac:dyDescent="0.15">
      <c r="C84" s="96" t="s">
        <v>249</v>
      </c>
      <c r="D84" s="97">
        <v>0</v>
      </c>
      <c r="E84" s="97">
        <v>0</v>
      </c>
      <c r="F84" s="97">
        <v>0</v>
      </c>
      <c r="G84" s="97">
        <v>0</v>
      </c>
      <c r="H84" s="97">
        <v>29.836308581688499</v>
      </c>
      <c r="I84" s="97">
        <v>23308.124264015052</v>
      </c>
      <c r="J84" s="97">
        <v>2.8817713440427788</v>
      </c>
      <c r="K84" s="97">
        <v>2251.2397739662188</v>
      </c>
      <c r="L84" s="97">
        <v>38.469960569447395</v>
      </c>
      <c r="M84" s="97">
        <v>30052.733196852303</v>
      </c>
      <c r="N84" s="97">
        <v>19.796948190659514</v>
      </c>
      <c r="O84" s="97">
        <v>15465.375926543211</v>
      </c>
      <c r="P84" s="97">
        <v>16.53056746102498</v>
      </c>
      <c r="Q84" s="97">
        <v>12913.679300552712</v>
      </c>
      <c r="R84" s="97">
        <v>26.357753285334603</v>
      </c>
      <c r="S84" s="97">
        <v>20590.676866503389</v>
      </c>
      <c r="T84" s="97">
        <v>32.510807849420793</v>
      </c>
      <c r="U84" s="97">
        <v>25397.443091967521</v>
      </c>
      <c r="V84" s="97">
        <v>28.603073771739169</v>
      </c>
      <c r="W84" s="97">
        <v>22344.721230482635</v>
      </c>
      <c r="X84" s="97">
        <v>22.094040898564799</v>
      </c>
      <c r="Y84" s="97">
        <v>17259.864749958819</v>
      </c>
      <c r="Z84" s="97">
        <v>9.2453550930885573</v>
      </c>
      <c r="AA84" s="97">
        <v>7222.4713987207806</v>
      </c>
      <c r="AB84" s="97">
        <v>20.521074716483483</v>
      </c>
      <c r="AC84" s="97">
        <v>16031.063568516895</v>
      </c>
      <c r="AD84" s="97">
        <v>23.878559618892115</v>
      </c>
      <c r="AE84" s="97">
        <v>18653.93077427852</v>
      </c>
      <c r="AF84" s="97">
        <v>17.956703731745229</v>
      </c>
      <c r="AG84" s="97">
        <v>14027.776955239371</v>
      </c>
      <c r="AH84" s="97">
        <v>19.708205362843437</v>
      </c>
      <c r="AI84" s="97">
        <v>15396.050029453292</v>
      </c>
      <c r="AJ84" s="97">
        <v>15.600984649495476</v>
      </c>
      <c r="AK84" s="97">
        <v>12187.489208185865</v>
      </c>
      <c r="AL84" s="97">
        <v>9.7255728172791951</v>
      </c>
      <c r="AM84" s="97">
        <v>7597.6174848585069</v>
      </c>
      <c r="AN84" s="97">
        <v>10.792842889881904</v>
      </c>
      <c r="AO84" s="97">
        <v>8431.3688655757414</v>
      </c>
      <c r="AP84" s="97">
        <v>14.081331747919144</v>
      </c>
      <c r="AQ84" s="97">
        <v>11000.336361474434</v>
      </c>
      <c r="AR84" s="97">
        <v>10</v>
      </c>
      <c r="AS84" s="97">
        <v>7811.9999999999991</v>
      </c>
      <c r="AT84" s="97">
        <v>10.698204383532575</v>
      </c>
      <c r="AU84" s="97">
        <v>8357.4372644156465</v>
      </c>
      <c r="AV84" s="97">
        <v>12.746237889095031</v>
      </c>
      <c r="AW84" s="97">
        <v>9957.3610389610367</v>
      </c>
      <c r="AX84" s="97">
        <v>11.734297997958178</v>
      </c>
      <c r="AY84" s="97">
        <v>9166.833596004928</v>
      </c>
      <c r="AZ84" s="97">
        <v>7.6796339681549917</v>
      </c>
      <c r="BA84" s="97">
        <v>5999.3300559226791</v>
      </c>
      <c r="BB84" s="97">
        <v>5.0852278243779585</v>
      </c>
      <c r="BC84" s="97">
        <v>3972.5799764040607</v>
      </c>
      <c r="BD84" s="97">
        <v>10</v>
      </c>
      <c r="BE84" s="97">
        <v>7811.9999999999991</v>
      </c>
      <c r="BF84" s="97">
        <v>7.6607565441564054</v>
      </c>
      <c r="BG84" s="97">
        <v>5984.5830122949837</v>
      </c>
      <c r="BH84" s="97">
        <v>4</v>
      </c>
      <c r="BI84" s="97">
        <v>3124.7999999999997</v>
      </c>
      <c r="BJ84" s="97">
        <v>6.7322955075128519</v>
      </c>
      <c r="BK84" s="97">
        <v>5259.2692504690394</v>
      </c>
      <c r="BL84" s="97">
        <v>5</v>
      </c>
      <c r="BM84" s="97">
        <v>3905.9999999999995</v>
      </c>
      <c r="BN84" s="97">
        <v>4.0754502343685752</v>
      </c>
      <c r="BO84" s="97">
        <v>3183.7417230887309</v>
      </c>
      <c r="BP84" s="97">
        <v>6</v>
      </c>
      <c r="BQ84" s="97">
        <v>4687.2</v>
      </c>
      <c r="BR84" s="97">
        <v>6</v>
      </c>
      <c r="BS84" s="97">
        <v>4687.2</v>
      </c>
      <c r="BT84" s="97">
        <v>6</v>
      </c>
      <c r="BU84" s="97">
        <v>4687.2</v>
      </c>
      <c r="BV84" s="97">
        <v>4.1032383735086437</v>
      </c>
      <c r="BW84" s="97">
        <v>3205.449817384952</v>
      </c>
      <c r="BX84" s="97">
        <v>5</v>
      </c>
      <c r="BY84" s="97">
        <v>3905.9999999999995</v>
      </c>
      <c r="BZ84" s="97">
        <v>4</v>
      </c>
      <c r="CA84" s="97">
        <v>3124.7999999999997</v>
      </c>
      <c r="CB84" s="97">
        <v>5</v>
      </c>
      <c r="CC84" s="97">
        <v>3905.9999999999995</v>
      </c>
      <c r="CD84" s="97">
        <v>5</v>
      </c>
      <c r="CE84" s="97">
        <v>3905.9999999999995</v>
      </c>
      <c r="CF84" s="97">
        <v>3</v>
      </c>
      <c r="CG84" s="97">
        <v>2343.6</v>
      </c>
      <c r="CH84" s="97">
        <v>3.0459649616118147</v>
      </c>
      <c r="CI84" s="97">
        <v>2379.5078280111493</v>
      </c>
      <c r="CJ84" s="97">
        <v>3</v>
      </c>
      <c r="CK84" s="97">
        <v>2343.6</v>
      </c>
      <c r="CL84" s="97">
        <v>3</v>
      </c>
      <c r="CM84" s="97">
        <v>2343.6</v>
      </c>
      <c r="CN84" s="97">
        <v>3</v>
      </c>
      <c r="CO84" s="97">
        <v>2343.6</v>
      </c>
      <c r="CP84" s="97">
        <v>3.0064723041221546</v>
      </c>
      <c r="CQ84" s="97">
        <v>2348.6561639802271</v>
      </c>
      <c r="CR84" s="97">
        <v>3</v>
      </c>
      <c r="CS84" s="97">
        <v>2343.6</v>
      </c>
      <c r="CT84" s="97">
        <v>3</v>
      </c>
      <c r="CU84" s="97">
        <v>2343.6</v>
      </c>
    </row>
    <row r="85" spans="2:99" x14ac:dyDescent="0.15">
      <c r="C85" s="96" t="s">
        <v>250</v>
      </c>
      <c r="D85" s="97">
        <v>0</v>
      </c>
      <c r="E85" s="97">
        <v>0</v>
      </c>
      <c r="F85" s="97">
        <v>0</v>
      </c>
      <c r="G85" s="97">
        <v>0</v>
      </c>
      <c r="H85" s="97">
        <v>32.106462495512623</v>
      </c>
      <c r="I85" s="97">
        <v>4815.9693743268936</v>
      </c>
      <c r="J85" s="97">
        <v>3.3744302893054519</v>
      </c>
      <c r="K85" s="97">
        <v>506.16454339581776</v>
      </c>
      <c r="L85" s="97">
        <v>44.623308367818218</v>
      </c>
      <c r="M85" s="97">
        <v>6693.4962551727331</v>
      </c>
      <c r="N85" s="97">
        <v>21.937158805865945</v>
      </c>
      <c r="O85" s="97">
        <v>3290.5738208798916</v>
      </c>
      <c r="P85" s="97">
        <v>22.51278517759199</v>
      </c>
      <c r="Q85" s="97">
        <v>3376.9177766387984</v>
      </c>
      <c r="R85" s="97">
        <v>30.248925182611863</v>
      </c>
      <c r="S85" s="97">
        <v>4537.3387773917793</v>
      </c>
      <c r="T85" s="97">
        <v>35.608835125142498</v>
      </c>
      <c r="U85" s="97">
        <v>5341.3252687713748</v>
      </c>
      <c r="V85" s="97">
        <v>29.589386660419827</v>
      </c>
      <c r="W85" s="97">
        <v>4438.4079990629743</v>
      </c>
      <c r="X85" s="97">
        <v>27.062313006162302</v>
      </c>
      <c r="Y85" s="97">
        <v>4059.3469509243455</v>
      </c>
      <c r="Z85" s="97">
        <v>9.6473270536576248</v>
      </c>
      <c r="AA85" s="97">
        <v>1447.0990580486437</v>
      </c>
      <c r="AB85" s="97">
        <v>26.597128452307658</v>
      </c>
      <c r="AC85" s="97">
        <v>3989.5692678461487</v>
      </c>
      <c r="AD85" s="97">
        <v>22.930239596474003</v>
      </c>
      <c r="AE85" s="97">
        <v>3439.5359394711004</v>
      </c>
      <c r="AF85" s="97">
        <v>19.931527317751932</v>
      </c>
      <c r="AG85" s="97">
        <v>2989.7290976627896</v>
      </c>
      <c r="AH85" s="97">
        <v>23.847965760375651</v>
      </c>
      <c r="AI85" s="97">
        <v>3577.1948640563478</v>
      </c>
      <c r="AJ85" s="97">
        <v>16.600984649495476</v>
      </c>
      <c r="AK85" s="97">
        <v>2490.1476974243214</v>
      </c>
      <c r="AL85" s="97">
        <v>9.7585533998827945</v>
      </c>
      <c r="AM85" s="97">
        <v>1463.7830099824191</v>
      </c>
      <c r="AN85" s="97">
        <v>11.764527072386121</v>
      </c>
      <c r="AO85" s="97">
        <v>1764.6790608579181</v>
      </c>
      <c r="AP85" s="97">
        <v>16.088109393579071</v>
      </c>
      <c r="AQ85" s="97">
        <v>2413.2164090368606</v>
      </c>
      <c r="AR85" s="97">
        <v>12</v>
      </c>
      <c r="AS85" s="97">
        <v>1800</v>
      </c>
      <c r="AT85" s="97">
        <v>12.780346075712879</v>
      </c>
      <c r="AU85" s="97">
        <v>1917.0519113569319</v>
      </c>
      <c r="AV85" s="97">
        <v>15.81407769719458</v>
      </c>
      <c r="AW85" s="97">
        <v>2372.111654579187</v>
      </c>
      <c r="AX85" s="97">
        <v>13.856680997617874</v>
      </c>
      <c r="AY85" s="97">
        <v>2078.5021496426812</v>
      </c>
      <c r="AZ85" s="97">
        <v>7.6371568451453049</v>
      </c>
      <c r="BA85" s="97">
        <v>1145.5735267717957</v>
      </c>
      <c r="BB85" s="97">
        <v>5.1052814301139486</v>
      </c>
      <c r="BC85" s="97">
        <v>765.79221451709225</v>
      </c>
      <c r="BD85" s="97">
        <v>11</v>
      </c>
      <c r="BE85" s="97">
        <v>1650</v>
      </c>
      <c r="BF85" s="97">
        <v>7.6607565441564054</v>
      </c>
      <c r="BG85" s="97">
        <v>1149.1134816234608</v>
      </c>
      <c r="BH85" s="97">
        <v>4</v>
      </c>
      <c r="BI85" s="97">
        <v>600</v>
      </c>
      <c r="BJ85" s="97">
        <v>7.7322955075128519</v>
      </c>
      <c r="BK85" s="97">
        <v>1159.8443261269279</v>
      </c>
      <c r="BL85" s="97">
        <v>6.6794386208617649</v>
      </c>
      <c r="BM85" s="97">
        <v>1001.9157931292648</v>
      </c>
      <c r="BN85" s="97">
        <v>5.0754502343685752</v>
      </c>
      <c r="BO85" s="97">
        <v>761.31753515528624</v>
      </c>
      <c r="BP85" s="97">
        <v>6</v>
      </c>
      <c r="BQ85" s="97">
        <v>900</v>
      </c>
      <c r="BR85" s="97">
        <v>6</v>
      </c>
      <c r="BS85" s="97">
        <v>900</v>
      </c>
      <c r="BT85" s="97">
        <v>6</v>
      </c>
      <c r="BU85" s="97">
        <v>900</v>
      </c>
      <c r="BV85" s="97">
        <v>4.0946351757162569</v>
      </c>
      <c r="BW85" s="97">
        <v>614.1952763574385</v>
      </c>
      <c r="BX85" s="97">
        <v>6</v>
      </c>
      <c r="BY85" s="97">
        <v>900</v>
      </c>
      <c r="BZ85" s="97">
        <v>4.5524364807997717</v>
      </c>
      <c r="CA85" s="97">
        <v>682.86547211996572</v>
      </c>
      <c r="CB85" s="97">
        <v>6</v>
      </c>
      <c r="CC85" s="97">
        <v>900</v>
      </c>
      <c r="CD85" s="97">
        <v>5</v>
      </c>
      <c r="CE85" s="97">
        <v>750</v>
      </c>
      <c r="CF85" s="97">
        <v>3</v>
      </c>
      <c r="CG85" s="97">
        <v>450</v>
      </c>
      <c r="CH85" s="97">
        <v>3.051072179568683</v>
      </c>
      <c r="CI85" s="97">
        <v>457.66082693530245</v>
      </c>
      <c r="CJ85" s="97">
        <v>3</v>
      </c>
      <c r="CK85" s="97">
        <v>450</v>
      </c>
      <c r="CL85" s="97">
        <v>3</v>
      </c>
      <c r="CM85" s="97">
        <v>450</v>
      </c>
      <c r="CN85" s="97">
        <v>3</v>
      </c>
      <c r="CO85" s="97">
        <v>450</v>
      </c>
      <c r="CP85" s="97">
        <v>3.0051778432977234</v>
      </c>
      <c r="CQ85" s="97">
        <v>450.77667649465849</v>
      </c>
      <c r="CR85" s="97">
        <v>3</v>
      </c>
      <c r="CS85" s="97">
        <v>450</v>
      </c>
      <c r="CT85" s="97">
        <v>3</v>
      </c>
      <c r="CU85" s="97">
        <v>450</v>
      </c>
    </row>
    <row r="86" spans="2:99" x14ac:dyDescent="0.15">
      <c r="C86" s="96" t="s">
        <v>251</v>
      </c>
      <c r="D86" s="97">
        <v>0</v>
      </c>
      <c r="E86" s="97">
        <v>0</v>
      </c>
      <c r="F86" s="97">
        <v>0</v>
      </c>
      <c r="G86" s="97">
        <v>0</v>
      </c>
      <c r="H86" s="97">
        <v>32.430770197487497</v>
      </c>
      <c r="I86" s="97">
        <v>17512.615906643248</v>
      </c>
      <c r="J86" s="97">
        <v>2.7958408169576359</v>
      </c>
      <c r="K86" s="97">
        <v>1509.7540411571233</v>
      </c>
      <c r="L86" s="97">
        <v>40.620559412694931</v>
      </c>
      <c r="M86" s="97">
        <v>21935.102082855261</v>
      </c>
      <c r="N86" s="97">
        <v>19.796948190659514</v>
      </c>
      <c r="O86" s="97">
        <v>10690.352022956138</v>
      </c>
      <c r="P86" s="97">
        <v>18.766589537147599</v>
      </c>
      <c r="Q86" s="97">
        <v>10133.958350059704</v>
      </c>
      <c r="R86" s="97">
        <v>28.268300757230357</v>
      </c>
      <c r="S86" s="97">
        <v>15264.882408904392</v>
      </c>
      <c r="T86" s="97">
        <v>31.604944232843934</v>
      </c>
      <c r="U86" s="97">
        <v>17066.669885735726</v>
      </c>
      <c r="V86" s="97">
        <v>29.589386660419827</v>
      </c>
      <c r="W86" s="97">
        <v>15978.268796626706</v>
      </c>
      <c r="X86" s="97">
        <v>25.998857221357309</v>
      </c>
      <c r="Y86" s="97">
        <v>14039.382899532946</v>
      </c>
      <c r="Z86" s="97">
        <v>11.255214895933895</v>
      </c>
      <c r="AA86" s="97">
        <v>6077.8160438043033</v>
      </c>
      <c r="AB86" s="97">
        <v>25.597128452307658</v>
      </c>
      <c r="AC86" s="97">
        <v>13822.449364246135</v>
      </c>
      <c r="AD86" s="97">
        <v>23.007759562846839</v>
      </c>
      <c r="AE86" s="97">
        <v>12424.190163937294</v>
      </c>
      <c r="AF86" s="97">
        <v>19.855998075772046</v>
      </c>
      <c r="AG86" s="97">
        <v>10722.238960916904</v>
      </c>
      <c r="AH86" s="97">
        <v>21.841433382417275</v>
      </c>
      <c r="AI86" s="97">
        <v>11794.374026505329</v>
      </c>
      <c r="AJ86" s="97">
        <v>15.636336687701093</v>
      </c>
      <c r="AK86" s="97">
        <v>8443.6218113585892</v>
      </c>
      <c r="AL86" s="97">
        <v>10.725572817279195</v>
      </c>
      <c r="AM86" s="97">
        <v>5791.8093213307657</v>
      </c>
      <c r="AN86" s="97">
        <v>10.736211254890339</v>
      </c>
      <c r="AO86" s="97">
        <v>5797.5540776407834</v>
      </c>
      <c r="AP86" s="97">
        <v>17.077942925089179</v>
      </c>
      <c r="AQ86" s="97">
        <v>9222.0891795481566</v>
      </c>
      <c r="AR86" s="97">
        <v>12</v>
      </c>
      <c r="AS86" s="97">
        <v>6480</v>
      </c>
      <c r="AT86" s="97">
        <v>10.739275229622727</v>
      </c>
      <c r="AU86" s="97">
        <v>5799.2086239962728</v>
      </c>
      <c r="AV86" s="97">
        <v>12.81407769719458</v>
      </c>
      <c r="AW86" s="97">
        <v>6919.6019564850731</v>
      </c>
      <c r="AX86" s="97">
        <v>13.815886664397976</v>
      </c>
      <c r="AY86" s="97">
        <v>7460.5787987749072</v>
      </c>
      <c r="AZ86" s="97">
        <v>7.6371568451453049</v>
      </c>
      <c r="BA86" s="97">
        <v>4124.0646963784648</v>
      </c>
      <c r="BB86" s="97">
        <v>5.0852278243779585</v>
      </c>
      <c r="BC86" s="97">
        <v>2746.0230251640978</v>
      </c>
      <c r="BD86" s="97">
        <v>9</v>
      </c>
      <c r="BE86" s="97">
        <v>4860</v>
      </c>
      <c r="BF86" s="97">
        <v>9</v>
      </c>
      <c r="BG86" s="97">
        <v>4860</v>
      </c>
      <c r="BH86" s="97">
        <v>4</v>
      </c>
      <c r="BI86" s="97">
        <v>2160</v>
      </c>
      <c r="BJ86" s="97">
        <v>6.7322955075128519</v>
      </c>
      <c r="BK86" s="97">
        <v>3635.4395740569398</v>
      </c>
      <c r="BL86" s="97">
        <v>6</v>
      </c>
      <c r="BM86" s="97">
        <v>3240</v>
      </c>
      <c r="BN86" s="97">
        <v>5.0829952578054334</v>
      </c>
      <c r="BO86" s="97">
        <v>2744.817439214934</v>
      </c>
      <c r="BP86" s="97">
        <v>6</v>
      </c>
      <c r="BQ86" s="97">
        <v>3240</v>
      </c>
      <c r="BR86" s="97">
        <v>6</v>
      </c>
      <c r="BS86" s="97">
        <v>3240</v>
      </c>
      <c r="BT86" s="97">
        <v>6</v>
      </c>
      <c r="BU86" s="97">
        <v>3240</v>
      </c>
      <c r="BV86" s="97">
        <v>4.0946351757162569</v>
      </c>
      <c r="BW86" s="97">
        <v>2211.1029948867786</v>
      </c>
      <c r="BX86" s="97">
        <v>5</v>
      </c>
      <c r="BY86" s="97">
        <v>2700</v>
      </c>
      <c r="BZ86" s="97">
        <v>4.5524364807997717</v>
      </c>
      <c r="CA86" s="97">
        <v>2458.3156996318767</v>
      </c>
      <c r="CB86" s="97">
        <v>5</v>
      </c>
      <c r="CC86" s="97">
        <v>2700</v>
      </c>
      <c r="CD86" s="97">
        <v>5</v>
      </c>
      <c r="CE86" s="97">
        <v>2700</v>
      </c>
      <c r="CF86" s="97">
        <v>2</v>
      </c>
      <c r="CG86" s="97">
        <v>1080</v>
      </c>
      <c r="CH86" s="97">
        <v>3.051072179568683</v>
      </c>
      <c r="CI86" s="97">
        <v>1647.5789769670889</v>
      </c>
      <c r="CJ86" s="97">
        <v>3</v>
      </c>
      <c r="CK86" s="97">
        <v>1620</v>
      </c>
      <c r="CL86" s="97">
        <v>3</v>
      </c>
      <c r="CM86" s="97">
        <v>1620</v>
      </c>
      <c r="CN86" s="97">
        <v>3</v>
      </c>
      <c r="CO86" s="97">
        <v>1620</v>
      </c>
      <c r="CP86" s="97">
        <v>3.0064723041221546</v>
      </c>
      <c r="CQ86" s="97">
        <v>1623.4950442259635</v>
      </c>
      <c r="CR86" s="97">
        <v>3</v>
      </c>
      <c r="CS86" s="97">
        <v>1620</v>
      </c>
      <c r="CT86" s="97">
        <v>3</v>
      </c>
      <c r="CU86" s="97">
        <v>1620</v>
      </c>
    </row>
    <row r="87" spans="2:99" x14ac:dyDescent="0.15">
      <c r="B87" s="96" t="s">
        <v>131</v>
      </c>
      <c r="C87" s="96" t="s">
        <v>252</v>
      </c>
      <c r="D87" s="97">
        <v>0</v>
      </c>
      <c r="E87" s="97">
        <v>0</v>
      </c>
      <c r="F87" s="97">
        <v>0</v>
      </c>
      <c r="G87" s="97">
        <v>0</v>
      </c>
      <c r="H87" s="97">
        <v>19.782769820467376</v>
      </c>
      <c r="I87" s="97">
        <v>38671.358445049627</v>
      </c>
      <c r="J87" s="97">
        <v>2.816691822520192</v>
      </c>
      <c r="K87" s="97">
        <v>5506.0691746624716</v>
      </c>
      <c r="L87" s="97">
        <v>45.461254352215946</v>
      </c>
      <c r="M87" s="97">
        <v>88867.660007711733</v>
      </c>
      <c r="N87" s="97">
        <v>23.007264113469162</v>
      </c>
      <c r="O87" s="97">
        <v>44974.599889009514</v>
      </c>
      <c r="P87" s="97">
        <v>12.249326112539405</v>
      </c>
      <c r="Q87" s="97">
        <v>23944.98268479203</v>
      </c>
      <c r="R87" s="97">
        <v>24.867150114710086</v>
      </c>
      <c r="S87" s="97">
        <v>48610.305044235276</v>
      </c>
      <c r="T87" s="97">
        <v>23.266348164776272</v>
      </c>
      <c r="U87" s="97">
        <v>45481.057392504656</v>
      </c>
      <c r="V87" s="97">
        <v>23.671509328335862</v>
      </c>
      <c r="W87" s="97">
        <v>46273.066435030945</v>
      </c>
      <c r="X87" s="97">
        <v>27.698013632854934</v>
      </c>
      <c r="Y87" s="97">
        <v>54144.077049504827</v>
      </c>
      <c r="Z87" s="97">
        <v>7.6374672508122856</v>
      </c>
      <c r="AA87" s="97">
        <v>14929.720981887856</v>
      </c>
      <c r="AB87" s="97">
        <v>13.760537358241741</v>
      </c>
      <c r="AC87" s="97">
        <v>26899.098427890956</v>
      </c>
      <c r="AD87" s="97">
        <v>11.387599831864168</v>
      </c>
      <c r="AE87" s="97">
        <v>22260.480151328076</v>
      </c>
      <c r="AF87" s="97">
        <v>17.579057521845797</v>
      </c>
      <c r="AG87" s="97">
        <v>34363.541643704164</v>
      </c>
      <c r="AH87" s="97">
        <v>14.299117928939562</v>
      </c>
      <c r="AI87" s="97">
        <v>27951.915727491058</v>
      </c>
      <c r="AJ87" s="97">
        <v>9.4595764966730123</v>
      </c>
      <c r="AK87" s="97">
        <v>18491.580135696404</v>
      </c>
      <c r="AL87" s="97">
        <v>18.593650486864796</v>
      </c>
      <c r="AM87" s="97">
        <v>36346.867971723303</v>
      </c>
      <c r="AN87" s="97">
        <v>17.396421444940952</v>
      </c>
      <c r="AO87" s="97">
        <v>34006.524640570569</v>
      </c>
      <c r="AP87" s="97">
        <v>17.071165279429252</v>
      </c>
      <c r="AQ87" s="97">
        <v>33370.713888228303</v>
      </c>
      <c r="AR87" s="97">
        <v>9.4999738746412223</v>
      </c>
      <c r="AS87" s="97">
        <v>18570.54893014866</v>
      </c>
      <c r="AT87" s="97">
        <v>11.410708460901516</v>
      </c>
      <c r="AU87" s="97">
        <v>22305.652899370281</v>
      </c>
      <c r="AV87" s="97">
        <v>14.474878656696838</v>
      </c>
      <c r="AW87" s="97">
        <v>28295.492798110979</v>
      </c>
      <c r="AX87" s="97">
        <v>8.4487376654188857</v>
      </c>
      <c r="AY87" s="97">
        <v>16515.592388360838</v>
      </c>
      <c r="AZ87" s="97">
        <v>6.467248353106557</v>
      </c>
      <c r="BA87" s="97">
        <v>12642.177080652697</v>
      </c>
      <c r="BB87" s="97">
        <v>10.065174218641969</v>
      </c>
      <c r="BC87" s="97">
        <v>19675.402562601321</v>
      </c>
      <c r="BD87" s="97">
        <v>9</v>
      </c>
      <c r="BE87" s="97">
        <v>17593.2</v>
      </c>
      <c r="BF87" s="97">
        <v>6.4845547990480306</v>
      </c>
      <c r="BG87" s="97">
        <v>12676.00772117909</v>
      </c>
      <c r="BH87" s="97">
        <v>8.3352890080031266</v>
      </c>
      <c r="BI87" s="97">
        <v>16293.822952844512</v>
      </c>
      <c r="BJ87" s="97">
        <v>5.3876858569185684</v>
      </c>
      <c r="BK87" s="97">
        <v>10531.848313104418</v>
      </c>
      <c r="BL87" s="97">
        <v>6.4076631725170587</v>
      </c>
      <c r="BM87" s="97">
        <v>12525.699969636345</v>
      </c>
      <c r="BN87" s="97">
        <v>7.0528151640580026</v>
      </c>
      <c r="BO87" s="97">
        <v>13786.843082700583</v>
      </c>
      <c r="BP87" s="97">
        <v>5.2912884080000024</v>
      </c>
      <c r="BQ87" s="97">
        <v>10343.410579958405</v>
      </c>
      <c r="BR87" s="97">
        <v>8.2452628510986656</v>
      </c>
      <c r="BS87" s="97">
        <v>16117.839821327671</v>
      </c>
      <c r="BT87" s="97">
        <v>5.1733345402498081</v>
      </c>
      <c r="BU87" s="97">
        <v>10112.834359280325</v>
      </c>
      <c r="BV87" s="97">
        <v>4.0688255823390955</v>
      </c>
      <c r="BW87" s="97">
        <v>7953.7402483564638</v>
      </c>
      <c r="BX87" s="97">
        <v>6</v>
      </c>
      <c r="BY87" s="97">
        <v>11728.8</v>
      </c>
      <c r="BZ87" s="97">
        <v>4.2301818669999047</v>
      </c>
      <c r="CA87" s="97">
        <v>8269.1595136114138</v>
      </c>
      <c r="CB87" s="97">
        <v>5</v>
      </c>
      <c r="CC87" s="97">
        <v>9774</v>
      </c>
      <c r="CD87" s="97">
        <v>5.2471172469708574</v>
      </c>
      <c r="CE87" s="97">
        <v>10257.064794378632</v>
      </c>
      <c r="CF87" s="97">
        <v>5</v>
      </c>
      <c r="CG87" s="97">
        <v>9774</v>
      </c>
      <c r="CH87" s="97">
        <v>3.0306433077412098</v>
      </c>
      <c r="CI87" s="97">
        <v>5924.3015379725166</v>
      </c>
      <c r="CJ87" s="97">
        <v>3</v>
      </c>
      <c r="CK87" s="97">
        <v>5864.4</v>
      </c>
      <c r="CL87" s="97">
        <v>4</v>
      </c>
      <c r="CM87" s="97">
        <v>7819.2</v>
      </c>
      <c r="CN87" s="97">
        <v>4</v>
      </c>
      <c r="CO87" s="97">
        <v>7819.2</v>
      </c>
      <c r="CP87" s="97">
        <v>3.0038833824732927</v>
      </c>
      <c r="CQ87" s="97">
        <v>5871.9912360587923</v>
      </c>
      <c r="CR87" s="97">
        <v>4</v>
      </c>
      <c r="CS87" s="97">
        <v>7819.2</v>
      </c>
      <c r="CT87" s="97">
        <v>3</v>
      </c>
      <c r="CU87" s="97">
        <v>5864.4</v>
      </c>
    </row>
    <row r="88" spans="2:99" x14ac:dyDescent="0.15">
      <c r="C88" s="96" t="s">
        <v>253</v>
      </c>
      <c r="D88" s="97">
        <v>0</v>
      </c>
      <c r="E88" s="97">
        <v>0</v>
      </c>
      <c r="F88" s="97">
        <v>0</v>
      </c>
      <c r="G88" s="97">
        <v>0</v>
      </c>
      <c r="H88" s="97">
        <v>22.0529237342915</v>
      </c>
      <c r="I88" s="97">
        <v>41732.952874773233</v>
      </c>
      <c r="J88" s="97">
        <v>3.2591292633406019</v>
      </c>
      <c r="K88" s="97">
        <v>6167.5762179457543</v>
      </c>
      <c r="L88" s="97">
        <v>48.501953265646769</v>
      </c>
      <c r="M88" s="97">
        <v>91785.096359909934</v>
      </c>
      <c r="N88" s="97">
        <v>25.147474728675597</v>
      </c>
      <c r="O88" s="97">
        <v>47589.081176545697</v>
      </c>
      <c r="P88" s="97">
        <v>12.249326112539405</v>
      </c>
      <c r="Q88" s="97">
        <v>23180.624735369569</v>
      </c>
      <c r="R88" s="97">
        <v>23.626821777963283</v>
      </c>
      <c r="S88" s="97">
        <v>44711.39753261771</v>
      </c>
      <c r="T88" s="97">
        <v>23.200185308082162</v>
      </c>
      <c r="U88" s="97">
        <v>43904.030677014678</v>
      </c>
      <c r="V88" s="97">
        <v>22.685196439655201</v>
      </c>
      <c r="W88" s="97">
        <v>42929.465742403496</v>
      </c>
      <c r="X88" s="97">
        <v>31.698013632854934</v>
      </c>
      <c r="Y88" s="97">
        <v>59985.32099881467</v>
      </c>
      <c r="Z88" s="97">
        <v>7.6374672508122856</v>
      </c>
      <c r="AA88" s="97">
        <v>14453.143025437168</v>
      </c>
      <c r="AB88" s="97">
        <v>12.760537358241741</v>
      </c>
      <c r="AC88" s="97">
        <v>24148.040896736671</v>
      </c>
      <c r="AD88" s="97">
        <v>11.439279809446058</v>
      </c>
      <c r="AE88" s="97">
        <v>21647.693111395718</v>
      </c>
      <c r="AF88" s="97">
        <v>17.579057521845797</v>
      </c>
      <c r="AG88" s="97">
        <v>33266.608454340982</v>
      </c>
      <c r="AH88" s="97">
        <v>13.283182175798828</v>
      </c>
      <c r="AI88" s="97">
        <v>25137.093949481699</v>
      </c>
      <c r="AJ88" s="97">
        <v>10.494928534878628</v>
      </c>
      <c r="AK88" s="97">
        <v>19860.602759404315</v>
      </c>
      <c r="AL88" s="97">
        <v>19.527689321657597</v>
      </c>
      <c r="AM88" s="97">
        <v>36954.199272304832</v>
      </c>
      <c r="AN88" s="97">
        <v>14.424737262436734</v>
      </c>
      <c r="AO88" s="97">
        <v>27297.372795435273</v>
      </c>
      <c r="AP88" s="97">
        <v>18.071165279429252</v>
      </c>
      <c r="AQ88" s="97">
        <v>34197.873174791916</v>
      </c>
      <c r="AR88" s="97">
        <v>10.4499764871771</v>
      </c>
      <c r="AS88" s="97">
        <v>19775.535504333944</v>
      </c>
      <c r="AT88" s="97">
        <v>11.410708460901516</v>
      </c>
      <c r="AU88" s="97">
        <v>21593.624691410027</v>
      </c>
      <c r="AV88" s="97">
        <v>14.40703884859729</v>
      </c>
      <c r="AW88" s="97">
        <v>27263.88031708551</v>
      </c>
      <c r="AX88" s="97">
        <v>9.4079433321989878</v>
      </c>
      <c r="AY88" s="97">
        <v>17803.591961853363</v>
      </c>
      <c r="AZ88" s="97">
        <v>6.5097254761162437</v>
      </c>
      <c r="BA88" s="97">
        <v>12319.004491002379</v>
      </c>
      <c r="BB88" s="97">
        <v>9.0701876200759664</v>
      </c>
      <c r="BC88" s="97">
        <v>17164.423052231756</v>
      </c>
      <c r="BD88" s="97">
        <v>8.6477137522293805</v>
      </c>
      <c r="BE88" s="97">
        <v>16364.933504718878</v>
      </c>
      <c r="BF88" s="97">
        <v>6.4845547990480306</v>
      </c>
      <c r="BG88" s="97">
        <v>12271.371501718491</v>
      </c>
      <c r="BH88" s="97">
        <v>8.3352890080031266</v>
      </c>
      <c r="BI88" s="97">
        <v>15773.700918745115</v>
      </c>
      <c r="BJ88" s="97">
        <v>5.3876858569185684</v>
      </c>
      <c r="BK88" s="97">
        <v>10195.656715632698</v>
      </c>
      <c r="BL88" s="97">
        <v>6.4076631725170587</v>
      </c>
      <c r="BM88" s="97">
        <v>12125.861787671281</v>
      </c>
      <c r="BN88" s="97">
        <v>7.0452701406211453</v>
      </c>
      <c r="BO88" s="97">
        <v>13332.469214111454</v>
      </c>
      <c r="BP88" s="97">
        <v>6.2912884080000024</v>
      </c>
      <c r="BQ88" s="97">
        <v>11905.634183299204</v>
      </c>
      <c r="BR88" s="97">
        <v>7.2943154213183981</v>
      </c>
      <c r="BS88" s="97">
        <v>13803.762503302936</v>
      </c>
      <c r="BT88" s="97">
        <v>6.1733345402498081</v>
      </c>
      <c r="BU88" s="97">
        <v>11682.418283968736</v>
      </c>
      <c r="BV88" s="97">
        <v>4.0602223845467087</v>
      </c>
      <c r="BW88" s="97">
        <v>7683.564840516191</v>
      </c>
      <c r="BX88" s="97">
        <v>5</v>
      </c>
      <c r="BY88" s="97">
        <v>9462</v>
      </c>
      <c r="BZ88" s="97">
        <v>4.2301818669999047</v>
      </c>
      <c r="CA88" s="97">
        <v>8005.1961651106194</v>
      </c>
      <c r="CB88" s="97">
        <v>5</v>
      </c>
      <c r="CC88" s="97">
        <v>9462</v>
      </c>
      <c r="CD88" s="97">
        <v>5.296540696365029</v>
      </c>
      <c r="CE88" s="97">
        <v>10023.17361380118</v>
      </c>
      <c r="CF88" s="97">
        <v>5</v>
      </c>
      <c r="CG88" s="97">
        <v>9462</v>
      </c>
      <c r="CH88" s="97">
        <v>4.0255360897843415</v>
      </c>
      <c r="CI88" s="97">
        <v>7617.9244963078872</v>
      </c>
      <c r="CJ88" s="97">
        <v>3</v>
      </c>
      <c r="CK88" s="97">
        <v>5677.2</v>
      </c>
      <c r="CL88" s="97">
        <v>4</v>
      </c>
      <c r="CM88" s="97">
        <v>7569.5999999999995</v>
      </c>
      <c r="CN88" s="97">
        <v>3</v>
      </c>
      <c r="CO88" s="97">
        <v>5677.2</v>
      </c>
      <c r="CP88" s="97">
        <v>3.0038833824732927</v>
      </c>
      <c r="CQ88" s="97">
        <v>5684.548912992459</v>
      </c>
      <c r="CR88" s="97">
        <v>5</v>
      </c>
      <c r="CS88" s="97">
        <v>9462</v>
      </c>
      <c r="CT88" s="97">
        <v>3</v>
      </c>
      <c r="CU88" s="97">
        <v>5677.2</v>
      </c>
    </row>
    <row r="89" spans="2:99" x14ac:dyDescent="0.15">
      <c r="C89" s="96" t="s">
        <v>254</v>
      </c>
      <c r="D89" s="97">
        <v>0</v>
      </c>
      <c r="E89" s="97">
        <v>0</v>
      </c>
      <c r="F89" s="97">
        <v>0</v>
      </c>
      <c r="G89" s="97">
        <v>0</v>
      </c>
      <c r="H89" s="97">
        <v>17.836923608618122</v>
      </c>
      <c r="I89" s="97">
        <v>42765.808044022808</v>
      </c>
      <c r="J89" s="97">
        <v>3.0356645636043016</v>
      </c>
      <c r="K89" s="97">
        <v>7278.3093576976735</v>
      </c>
      <c r="L89" s="97">
        <v>45.420555438785129</v>
      </c>
      <c r="M89" s="97">
        <v>108900.32372003123</v>
      </c>
      <c r="N89" s="97">
        <v>21.937158805865945</v>
      </c>
      <c r="O89" s="97">
        <v>52596.531952944184</v>
      </c>
      <c r="P89" s="97">
        <v>10.83411610801944</v>
      </c>
      <c r="Q89" s="97">
        <v>25975.876780587409</v>
      </c>
      <c r="R89" s="97">
        <v>22.976624629524554</v>
      </c>
      <c r="S89" s="97">
        <v>55088.755211748066</v>
      </c>
      <c r="T89" s="97">
        <v>22.26124026315825</v>
      </c>
      <c r="U89" s="97">
        <v>53373.54965494822</v>
      </c>
      <c r="V89" s="97">
        <v>21.698883550974539</v>
      </c>
      <c r="W89" s="97">
        <v>52025.243201816556</v>
      </c>
      <c r="X89" s="97">
        <v>25.602829955647444</v>
      </c>
      <c r="Y89" s="97">
        <v>61385.345101660307</v>
      </c>
      <c r="Z89" s="97">
        <v>7.235495290243219</v>
      </c>
      <c r="AA89" s="97">
        <v>17347.82350788714</v>
      </c>
      <c r="AB89" s="97">
        <v>12.760537358241741</v>
      </c>
      <c r="AC89" s="97">
        <v>30594.664370120398</v>
      </c>
      <c r="AD89" s="97">
        <v>12.361759843073225</v>
      </c>
      <c r="AE89" s="97">
        <v>29638.555399752364</v>
      </c>
      <c r="AF89" s="97">
        <v>14.503528279865909</v>
      </c>
      <c r="AG89" s="97">
        <v>34773.659403806501</v>
      </c>
      <c r="AH89" s="97">
        <v>13.257843047475735</v>
      </c>
      <c r="AI89" s="97">
        <v>31787.00449062782</v>
      </c>
      <c r="AJ89" s="97">
        <v>9.4949285348786283</v>
      </c>
      <c r="AK89" s="97">
        <v>22765.040655224999</v>
      </c>
      <c r="AL89" s="97">
        <v>17.560669904261196</v>
      </c>
      <c r="AM89" s="97">
        <v>42103.462162456643</v>
      </c>
      <c r="AN89" s="97">
        <v>15.36810562744517</v>
      </c>
      <c r="AO89" s="97">
        <v>36846.570052362535</v>
      </c>
      <c r="AP89" s="97">
        <v>15.060998810939358</v>
      </c>
      <c r="AQ89" s="97">
        <v>36110.250749108207</v>
      </c>
      <c r="AR89" s="97">
        <v>8.4499764871770999</v>
      </c>
      <c r="AS89" s="97">
        <v>20259.663625655812</v>
      </c>
      <c r="AT89" s="97">
        <v>11.451779306991666</v>
      </c>
      <c r="AU89" s="97">
        <v>27456.786066443219</v>
      </c>
      <c r="AV89" s="97">
        <v>11.40703884859729</v>
      </c>
      <c r="AW89" s="97">
        <v>27349.516343396863</v>
      </c>
      <c r="AX89" s="97">
        <v>9.4487376654188857</v>
      </c>
      <c r="AY89" s="97">
        <v>22654.293426608321</v>
      </c>
      <c r="AZ89" s="97">
        <v>6.467248353106557</v>
      </c>
      <c r="BA89" s="97">
        <v>15505.874651408281</v>
      </c>
      <c r="BB89" s="97">
        <v>9.0601608172079704</v>
      </c>
      <c r="BC89" s="97">
        <v>21722.641575337828</v>
      </c>
      <c r="BD89" s="97">
        <v>7</v>
      </c>
      <c r="BE89" s="97">
        <v>16783.2</v>
      </c>
      <c r="BF89" s="97">
        <v>6.4845547990480306</v>
      </c>
      <c r="BG89" s="97">
        <v>15547.368586197557</v>
      </c>
      <c r="BH89" s="97">
        <v>8.3352890080031266</v>
      </c>
      <c r="BI89" s="97">
        <v>19984.688925588296</v>
      </c>
      <c r="BJ89" s="97">
        <v>4.3876858569185684</v>
      </c>
      <c r="BK89" s="97">
        <v>10519.91561054796</v>
      </c>
      <c r="BL89" s="97">
        <v>6.4076631725170587</v>
      </c>
      <c r="BM89" s="97">
        <v>15363.0132224269</v>
      </c>
      <c r="BN89" s="97">
        <v>6.0452701406211453</v>
      </c>
      <c r="BO89" s="97">
        <v>14494.139689153257</v>
      </c>
      <c r="BP89" s="97">
        <v>5.2427403400000019</v>
      </c>
      <c r="BQ89" s="97">
        <v>12569.994239184003</v>
      </c>
      <c r="BR89" s="97">
        <v>6.2452628510986656</v>
      </c>
      <c r="BS89" s="97">
        <v>14973.64221179416</v>
      </c>
      <c r="BT89" s="97">
        <v>5.1733345402498081</v>
      </c>
      <c r="BU89" s="97">
        <v>12403.586893702939</v>
      </c>
      <c r="BV89" s="97">
        <v>4.0602223845467087</v>
      </c>
      <c r="BW89" s="97">
        <v>9734.7891891891886</v>
      </c>
      <c r="BX89" s="97">
        <v>6</v>
      </c>
      <c r="BY89" s="97">
        <v>14385.599999999999</v>
      </c>
      <c r="BZ89" s="97">
        <v>4.2301818669999047</v>
      </c>
      <c r="CA89" s="97">
        <v>10142.284044318971</v>
      </c>
      <c r="CB89" s="97">
        <v>5</v>
      </c>
      <c r="CC89" s="97">
        <v>11988</v>
      </c>
      <c r="CD89" s="97">
        <v>5.2471172469708574</v>
      </c>
      <c r="CE89" s="97">
        <v>12580.488311337327</v>
      </c>
      <c r="CF89" s="97">
        <v>5</v>
      </c>
      <c r="CG89" s="97">
        <v>11988</v>
      </c>
      <c r="CH89" s="97">
        <v>4.0306433077412098</v>
      </c>
      <c r="CI89" s="97">
        <v>9663.8703946403239</v>
      </c>
      <c r="CJ89" s="97">
        <v>3</v>
      </c>
      <c r="CK89" s="97">
        <v>7192.7999999999993</v>
      </c>
      <c r="CL89" s="97">
        <v>4</v>
      </c>
      <c r="CM89" s="97">
        <v>9590.4</v>
      </c>
      <c r="CN89" s="97">
        <v>3</v>
      </c>
      <c r="CO89" s="97">
        <v>7192.7999999999993</v>
      </c>
      <c r="CP89" s="97">
        <v>3.0038833824732927</v>
      </c>
      <c r="CQ89" s="97">
        <v>7202.1107978179662</v>
      </c>
      <c r="CR89" s="97">
        <v>4</v>
      </c>
      <c r="CS89" s="97">
        <v>9590.4</v>
      </c>
      <c r="CT89" s="97">
        <v>2</v>
      </c>
      <c r="CU89" s="97">
        <v>4795.2</v>
      </c>
    </row>
    <row r="90" spans="2:99" x14ac:dyDescent="0.15">
      <c r="C90" s="96" t="s">
        <v>255</v>
      </c>
      <c r="D90" s="97">
        <v>0</v>
      </c>
      <c r="E90" s="97">
        <v>0</v>
      </c>
      <c r="F90" s="97">
        <v>0</v>
      </c>
      <c r="G90" s="97">
        <v>0</v>
      </c>
      <c r="H90" s="97">
        <v>20.431385224417127</v>
      </c>
      <c r="I90" s="97">
        <v>44891.83961508931</v>
      </c>
      <c r="J90" s="97">
        <v>3.0796664329896863</v>
      </c>
      <c r="K90" s="97">
        <v>6766.6430865649381</v>
      </c>
      <c r="L90" s="97">
        <v>48.420555438785129</v>
      </c>
      <c r="M90" s="97">
        <v>106389.64441009868</v>
      </c>
      <c r="N90" s="97">
        <v>25.147474728675597</v>
      </c>
      <c r="O90" s="97">
        <v>55254.031473846015</v>
      </c>
      <c r="P90" s="97">
        <v>12.237455667564182</v>
      </c>
      <c r="Q90" s="97">
        <v>26888.137592772018</v>
      </c>
      <c r="R90" s="97">
        <v>24.256996939691792</v>
      </c>
      <c r="S90" s="97">
        <v>53297.473675890804</v>
      </c>
      <c r="T90" s="97">
        <v>19.229375844130651</v>
      </c>
      <c r="U90" s="97">
        <v>42250.784604723864</v>
      </c>
      <c r="V90" s="97">
        <v>23.671509328335862</v>
      </c>
      <c r="W90" s="97">
        <v>52011.040296219551</v>
      </c>
      <c r="X90" s="97">
        <v>27.602829955647444</v>
      </c>
      <c r="Y90" s="97">
        <v>60648.937978548558</v>
      </c>
      <c r="Z90" s="97">
        <v>8.0394392113813531</v>
      </c>
      <c r="AA90" s="97">
        <v>17664.255835247106</v>
      </c>
      <c r="AB90" s="97">
        <v>12.760537358241741</v>
      </c>
      <c r="AC90" s="97">
        <v>28037.452683528751</v>
      </c>
      <c r="AD90" s="97">
        <v>11.361759843073225</v>
      </c>
      <c r="AE90" s="97">
        <v>24964.058727200489</v>
      </c>
      <c r="AF90" s="97">
        <v>14.528704693859206</v>
      </c>
      <c r="AG90" s="97">
        <v>31922.469953347445</v>
      </c>
      <c r="AH90" s="97">
        <v>13.308521304121919</v>
      </c>
      <c r="AI90" s="97">
        <v>29241.483009416679</v>
      </c>
      <c r="AJ90" s="97">
        <v>10.494928534878628</v>
      </c>
      <c r="AK90" s="97">
        <v>23059.456976835321</v>
      </c>
      <c r="AL90" s="97">
        <v>18.494708739053998</v>
      </c>
      <c r="AM90" s="97">
        <v>40636.574041449443</v>
      </c>
      <c r="AN90" s="97">
        <v>15.424737262436734</v>
      </c>
      <c r="AO90" s="97">
        <v>33891.232713025987</v>
      </c>
      <c r="AP90" s="97">
        <v>17.064387633769321</v>
      </c>
      <c r="AQ90" s="97">
        <v>37493.87250891795</v>
      </c>
      <c r="AR90" s="97">
        <v>9.4999738746412223</v>
      </c>
      <c r="AS90" s="97">
        <v>20873.34259736169</v>
      </c>
      <c r="AT90" s="97">
        <v>10.451779306991666</v>
      </c>
      <c r="AU90" s="97">
        <v>22964.649493322086</v>
      </c>
      <c r="AV90" s="97">
        <v>13.440958752647065</v>
      </c>
      <c r="AW90" s="97">
        <v>29532.474571316128</v>
      </c>
      <c r="AX90" s="97">
        <v>8.4079433321989878</v>
      </c>
      <c r="AY90" s="97">
        <v>18473.933089507613</v>
      </c>
      <c r="AZ90" s="97">
        <v>6.467248353106557</v>
      </c>
      <c r="BA90" s="97">
        <v>14209.838081445725</v>
      </c>
      <c r="BB90" s="97">
        <v>8.0701876200759664</v>
      </c>
      <c r="BC90" s="97">
        <v>17731.81623883091</v>
      </c>
      <c r="BD90" s="97">
        <v>7.6477137522293805</v>
      </c>
      <c r="BE90" s="97">
        <v>16803.556656398392</v>
      </c>
      <c r="BF90" s="97">
        <v>6.5726556716022175</v>
      </c>
      <c r="BG90" s="97">
        <v>14441.439041644391</v>
      </c>
      <c r="BH90" s="97">
        <v>8.3352890080031266</v>
      </c>
      <c r="BI90" s="97">
        <v>18314.297008384467</v>
      </c>
      <c r="BJ90" s="97">
        <v>5.4307620632428542</v>
      </c>
      <c r="BK90" s="97">
        <v>11932.470405357199</v>
      </c>
      <c r="BL90" s="97">
        <v>6.4076631725170587</v>
      </c>
      <c r="BM90" s="97">
        <v>14078.917522654481</v>
      </c>
      <c r="BN90" s="97">
        <v>7.0452701406211453</v>
      </c>
      <c r="BO90" s="97">
        <v>15479.867552972779</v>
      </c>
      <c r="BP90" s="97">
        <v>6.2427403400000019</v>
      </c>
      <c r="BQ90" s="97">
        <v>13716.549075048002</v>
      </c>
      <c r="BR90" s="97">
        <v>8.2452628510986656</v>
      </c>
      <c r="BS90" s="97">
        <v>18116.491536433987</v>
      </c>
      <c r="BT90" s="97">
        <v>5.1733345402498081</v>
      </c>
      <c r="BU90" s="97">
        <v>11366.850651836878</v>
      </c>
      <c r="BV90" s="97">
        <v>4.0602223845467087</v>
      </c>
      <c r="BW90" s="97">
        <v>8921.1206233260273</v>
      </c>
      <c r="BX90" s="97">
        <v>6</v>
      </c>
      <c r="BY90" s="97">
        <v>13183.199999999999</v>
      </c>
      <c r="BZ90" s="97">
        <v>4.2301818669999047</v>
      </c>
      <c r="CA90" s="97">
        <v>9294.55559817219</v>
      </c>
      <c r="CB90" s="97">
        <v>4</v>
      </c>
      <c r="CC90" s="97">
        <v>8788.7999999999993</v>
      </c>
      <c r="CD90" s="97">
        <v>5.2471172469708574</v>
      </c>
      <c r="CE90" s="97">
        <v>11528.966015044367</v>
      </c>
      <c r="CF90" s="97">
        <v>6</v>
      </c>
      <c r="CG90" s="97">
        <v>13183.199999999999</v>
      </c>
      <c r="CH90" s="97">
        <v>4.0255360897843415</v>
      </c>
      <c r="CI90" s="97">
        <v>8844.9078964741548</v>
      </c>
      <c r="CJ90" s="97">
        <v>3</v>
      </c>
      <c r="CK90" s="97">
        <v>6591.5999999999995</v>
      </c>
      <c r="CL90" s="97">
        <v>4</v>
      </c>
      <c r="CM90" s="97">
        <v>8788.7999999999993</v>
      </c>
      <c r="CN90" s="97">
        <v>4</v>
      </c>
      <c r="CO90" s="97">
        <v>8788.7999999999993</v>
      </c>
      <c r="CP90" s="97">
        <v>3.0051778432977234</v>
      </c>
      <c r="CQ90" s="97">
        <v>6602.9767572937571</v>
      </c>
      <c r="CR90" s="97">
        <v>4</v>
      </c>
      <c r="CS90" s="97">
        <v>8788.7999999999993</v>
      </c>
      <c r="CT90" s="97">
        <v>3</v>
      </c>
      <c r="CU90" s="97">
        <v>6591.5999999999995</v>
      </c>
    </row>
    <row r="91" spans="2:99" x14ac:dyDescent="0.15">
      <c r="C91" s="96" t="s">
        <v>256</v>
      </c>
      <c r="D91" s="97">
        <v>0</v>
      </c>
      <c r="E91" s="97">
        <v>0</v>
      </c>
      <c r="F91" s="97">
        <v>0</v>
      </c>
      <c r="G91" s="97">
        <v>0</v>
      </c>
      <c r="H91" s="97">
        <v>17.188308204668374</v>
      </c>
      <c r="I91" s="97">
        <v>39478.106284482317</v>
      </c>
      <c r="J91" s="97">
        <v>3.0353190283233644</v>
      </c>
      <c r="K91" s="97">
        <v>6971.5207442531027</v>
      </c>
      <c r="L91" s="97">
        <v>42.461254352215946</v>
      </c>
      <c r="M91" s="97">
        <v>97525.008996169578</v>
      </c>
      <c r="N91" s="97">
        <v>21.402106152064338</v>
      </c>
      <c r="O91" s="97">
        <v>49156.357410061362</v>
      </c>
      <c r="P91" s="97">
        <v>11.369161816060627</v>
      </c>
      <c r="Q91" s="97">
        <v>26112.690859128044</v>
      </c>
      <c r="R91" s="97">
        <v>21.686241326002207</v>
      </c>
      <c r="S91" s="97">
        <v>49808.959077561864</v>
      </c>
      <c r="T91" s="97">
        <v>21.272673075713751</v>
      </c>
      <c r="U91" s="97">
        <v>48859.075520299339</v>
      </c>
      <c r="V91" s="97">
        <v>25.644135105697185</v>
      </c>
      <c r="W91" s="97">
        <v>58899.449510765284</v>
      </c>
      <c r="X91" s="97">
        <v>28.634557848049941</v>
      </c>
      <c r="Y91" s="97">
        <v>65767.852465401098</v>
      </c>
      <c r="Z91" s="97">
        <v>8.0394392113813531</v>
      </c>
      <c r="AA91" s="97">
        <v>18464.98398070069</v>
      </c>
      <c r="AB91" s="97">
        <v>12.798564226153829</v>
      </c>
      <c r="AC91" s="97">
        <v>29395.742314630112</v>
      </c>
      <c r="AD91" s="97">
        <v>11.361759843073225</v>
      </c>
      <c r="AE91" s="97">
        <v>26095.690007570578</v>
      </c>
      <c r="AF91" s="97">
        <v>16.503528279865911</v>
      </c>
      <c r="AG91" s="97">
        <v>37905.303753196022</v>
      </c>
      <c r="AH91" s="97">
        <v>12.317924679304276</v>
      </c>
      <c r="AI91" s="97">
        <v>28291.809403426058</v>
      </c>
      <c r="AJ91" s="97">
        <v>9.5302805730842444</v>
      </c>
      <c r="AK91" s="97">
        <v>21889.148420259891</v>
      </c>
      <c r="AL91" s="97">
        <v>18.494708739053998</v>
      </c>
      <c r="AM91" s="97">
        <v>42478.647031859218</v>
      </c>
      <c r="AN91" s="97">
        <v>16.396421444940952</v>
      </c>
      <c r="AO91" s="97">
        <v>37659.300774740375</v>
      </c>
      <c r="AP91" s="97">
        <v>16.060998810939356</v>
      </c>
      <c r="AQ91" s="97">
        <v>36888.902068965508</v>
      </c>
      <c r="AR91" s="97">
        <v>9.4999738746412223</v>
      </c>
      <c r="AS91" s="97">
        <v>21819.539995275958</v>
      </c>
      <c r="AT91" s="97">
        <v>11.410708460901516</v>
      </c>
      <c r="AU91" s="97">
        <v>26208.115192998597</v>
      </c>
      <c r="AV91" s="97">
        <v>13.440958752647065</v>
      </c>
      <c r="AW91" s="97">
        <v>30871.194063079776</v>
      </c>
      <c r="AX91" s="97">
        <v>9.4079433321989878</v>
      </c>
      <c r="AY91" s="97">
        <v>21608.164245394633</v>
      </c>
      <c r="AZ91" s="97">
        <v>5.5097254761162437</v>
      </c>
      <c r="BA91" s="97">
        <v>12654.737473543788</v>
      </c>
      <c r="BB91" s="97">
        <v>9.0651742186419693</v>
      </c>
      <c r="BC91" s="97">
        <v>20820.892145376871</v>
      </c>
      <c r="BD91" s="97">
        <v>8.6477137522293805</v>
      </c>
      <c r="BE91" s="97">
        <v>19862.068946120438</v>
      </c>
      <c r="BF91" s="97">
        <v>6.5726556716022175</v>
      </c>
      <c r="BG91" s="97">
        <v>15096.075546535971</v>
      </c>
      <c r="BH91" s="97">
        <v>8.3352890080031266</v>
      </c>
      <c r="BI91" s="97">
        <v>19144.491793581579</v>
      </c>
      <c r="BJ91" s="97">
        <v>5.3876858569185684</v>
      </c>
      <c r="BK91" s="97">
        <v>12374.436876170566</v>
      </c>
      <c r="BL91" s="97">
        <v>6.4529590805745096</v>
      </c>
      <c r="BM91" s="97">
        <v>14821.156416263531</v>
      </c>
      <c r="BN91" s="97">
        <v>7.0452701406211453</v>
      </c>
      <c r="BO91" s="97">
        <v>16181.576458978645</v>
      </c>
      <c r="BP91" s="97">
        <v>5.2427403400000019</v>
      </c>
      <c r="BQ91" s="97">
        <v>12041.526012912003</v>
      </c>
      <c r="BR91" s="97">
        <v>7.2452628510986656</v>
      </c>
      <c r="BS91" s="97">
        <v>16640.919716403412</v>
      </c>
      <c r="BT91" s="97">
        <v>6.1733345402498081</v>
      </c>
      <c r="BU91" s="97">
        <v>14178.914772045757</v>
      </c>
      <c r="BV91" s="97">
        <v>4.0602223845467087</v>
      </c>
      <c r="BW91" s="97">
        <v>9325.5187728268793</v>
      </c>
      <c r="BX91" s="97">
        <v>6</v>
      </c>
      <c r="BY91" s="97">
        <v>13780.8</v>
      </c>
      <c r="BZ91" s="97">
        <v>4.1841454935999245</v>
      </c>
      <c r="CA91" s="97">
        <v>9610.1453697003053</v>
      </c>
      <c r="CB91" s="97">
        <v>5</v>
      </c>
      <c r="CC91" s="97">
        <v>11483.999999999998</v>
      </c>
      <c r="CD91" s="97">
        <v>5.2471172469708574</v>
      </c>
      <c r="CE91" s="97">
        <v>12051.578892842665</v>
      </c>
      <c r="CF91" s="97">
        <v>5</v>
      </c>
      <c r="CG91" s="97">
        <v>11483.999999999998</v>
      </c>
      <c r="CH91" s="97">
        <v>4.0255360897843415</v>
      </c>
      <c r="CI91" s="97">
        <v>9245.8512910166737</v>
      </c>
      <c r="CJ91" s="97">
        <v>3</v>
      </c>
      <c r="CK91" s="97">
        <v>6890.4</v>
      </c>
      <c r="CL91" s="97">
        <v>4</v>
      </c>
      <c r="CM91" s="97">
        <v>9187.1999999999989</v>
      </c>
      <c r="CN91" s="97">
        <v>4.1539544330270068</v>
      </c>
      <c r="CO91" s="97">
        <v>9540.8025417764275</v>
      </c>
      <c r="CP91" s="97">
        <v>3.0051778432977234</v>
      </c>
      <c r="CQ91" s="97">
        <v>6902.2924704862107</v>
      </c>
      <c r="CR91" s="97">
        <v>4</v>
      </c>
      <c r="CS91" s="97">
        <v>9187.1999999999989</v>
      </c>
      <c r="CT91" s="97">
        <v>3</v>
      </c>
      <c r="CU91" s="97">
        <v>6890.4</v>
      </c>
    </row>
    <row r="92" spans="2:99" x14ac:dyDescent="0.15">
      <c r="C92" s="96" t="s">
        <v>257</v>
      </c>
      <c r="D92" s="97">
        <v>0</v>
      </c>
      <c r="E92" s="97">
        <v>0</v>
      </c>
      <c r="F92" s="97">
        <v>0</v>
      </c>
      <c r="G92" s="97">
        <v>0</v>
      </c>
      <c r="H92" s="97">
        <v>22.701539138241248</v>
      </c>
      <c r="I92" s="97">
        <v>32254.346807613165</v>
      </c>
      <c r="J92" s="97">
        <v>3.4372099525677662</v>
      </c>
      <c r="K92" s="97">
        <v>4883.5879006082823</v>
      </c>
      <c r="L92" s="97">
        <v>50.474820656692884</v>
      </c>
      <c r="M92" s="97">
        <v>71714.625189029248</v>
      </c>
      <c r="N92" s="97">
        <v>28.357790651485246</v>
      </c>
      <c r="O92" s="97">
        <v>40290.748957630232</v>
      </c>
      <c r="P92" s="97">
        <v>12.72501959570447</v>
      </c>
      <c r="Q92" s="97">
        <v>18079.70784157691</v>
      </c>
      <c r="R92" s="97">
        <v>25.537369249859033</v>
      </c>
      <c r="S92" s="97">
        <v>36283.494230199714</v>
      </c>
      <c r="T92" s="97">
        <v>23.299429593123325</v>
      </c>
      <c r="U92" s="97">
        <v>33103.829565909618</v>
      </c>
      <c r="V92" s="97">
        <v>26.630447994377846</v>
      </c>
      <c r="W92" s="97">
        <v>37836.540510412044</v>
      </c>
      <c r="X92" s="97">
        <v>31.634557848049941</v>
      </c>
      <c r="Y92" s="97">
        <v>44946.379790509352</v>
      </c>
      <c r="Z92" s="97">
        <v>8.8433831325194898</v>
      </c>
      <c r="AA92" s="97">
        <v>12564.678754683691</v>
      </c>
      <c r="AB92" s="97">
        <v>13.760537358241741</v>
      </c>
      <c r="AC92" s="97">
        <v>19550.971478589865</v>
      </c>
      <c r="AD92" s="97">
        <v>13.439279809446058</v>
      </c>
      <c r="AE92" s="97">
        <v>19094.528753260958</v>
      </c>
      <c r="AF92" s="97">
        <v>17.553881107852501</v>
      </c>
      <c r="AG92" s="97">
        <v>24940.554278036831</v>
      </c>
      <c r="AH92" s="97">
        <v>15.315053682080297</v>
      </c>
      <c r="AI92" s="97">
        <v>21759.628271499685</v>
      </c>
      <c r="AJ92" s="97">
        <v>10.530280573084244</v>
      </c>
      <c r="AK92" s="97">
        <v>14961.422638238095</v>
      </c>
      <c r="AL92" s="97">
        <v>20.560669904261196</v>
      </c>
      <c r="AM92" s="97">
        <v>29212.599799974309</v>
      </c>
      <c r="AN92" s="97">
        <v>16.424737262436736</v>
      </c>
      <c r="AO92" s="97">
        <v>23336.266702470115</v>
      </c>
      <c r="AP92" s="97">
        <v>17.077942925089179</v>
      </c>
      <c r="AQ92" s="97">
        <v>24264.341307966704</v>
      </c>
      <c r="AR92" s="97">
        <v>9.5499712621053447</v>
      </c>
      <c r="AS92" s="97">
        <v>13568.599169199273</v>
      </c>
      <c r="AT92" s="97">
        <v>12.451779306991666</v>
      </c>
      <c r="AU92" s="97">
        <v>17691.488039373759</v>
      </c>
      <c r="AV92" s="97">
        <v>14.440958752647065</v>
      </c>
      <c r="AW92" s="97">
        <v>20517.714195760949</v>
      </c>
      <c r="AX92" s="97">
        <v>9.4079433321989878</v>
      </c>
      <c r="AY92" s="97">
        <v>13366.805886388322</v>
      </c>
      <c r="AZ92" s="97">
        <v>6.5097254761162437</v>
      </c>
      <c r="BA92" s="97">
        <v>9249.0179564659593</v>
      </c>
      <c r="BB92" s="97">
        <v>9.0701876200759664</v>
      </c>
      <c r="BC92" s="97">
        <v>12886.922570603932</v>
      </c>
      <c r="BD92" s="97">
        <v>9.6975378870162565</v>
      </c>
      <c r="BE92" s="97">
        <v>13778.261829872697</v>
      </c>
      <c r="BF92" s="97">
        <v>6.5286052353251245</v>
      </c>
      <c r="BG92" s="97">
        <v>9275.8423183499362</v>
      </c>
      <c r="BH92" s="97">
        <v>9.3831874377178597</v>
      </c>
      <c r="BI92" s="97">
        <v>13331.632711509536</v>
      </c>
      <c r="BJ92" s="97">
        <v>5.4307620632428542</v>
      </c>
      <c r="BK92" s="97">
        <v>7716.0267394554467</v>
      </c>
      <c r="BL92" s="97">
        <v>7.4076631725170587</v>
      </c>
      <c r="BM92" s="97">
        <v>10524.807835512236</v>
      </c>
      <c r="BN92" s="97">
        <v>7.0452701406211453</v>
      </c>
      <c r="BO92" s="97">
        <v>10009.919815794523</v>
      </c>
      <c r="BP92" s="97">
        <v>6.2912884080000024</v>
      </c>
      <c r="BQ92" s="97">
        <v>8938.6625700864024</v>
      </c>
      <c r="BR92" s="97">
        <v>7.2452628510986656</v>
      </c>
      <c r="BS92" s="97">
        <v>10294.069458840984</v>
      </c>
      <c r="BT92" s="97">
        <v>5.2080014482997701</v>
      </c>
      <c r="BU92" s="97">
        <v>7399.5284577443135</v>
      </c>
      <c r="BV92" s="97">
        <v>4.0688255823390955</v>
      </c>
      <c r="BW92" s="97">
        <v>5780.9873873873867</v>
      </c>
      <c r="BX92" s="97">
        <v>5</v>
      </c>
      <c r="BY92" s="97">
        <v>7104</v>
      </c>
      <c r="BZ92" s="97">
        <v>4.2301818669999047</v>
      </c>
      <c r="CA92" s="97">
        <v>6010.2423966334645</v>
      </c>
      <c r="CB92" s="97">
        <v>5</v>
      </c>
      <c r="CC92" s="97">
        <v>7104</v>
      </c>
      <c r="CD92" s="97">
        <v>5.2471172469708574</v>
      </c>
      <c r="CE92" s="97">
        <v>7455.1041844961937</v>
      </c>
      <c r="CF92" s="97">
        <v>5</v>
      </c>
      <c r="CG92" s="97">
        <v>7104</v>
      </c>
      <c r="CH92" s="97">
        <v>3.0306433077412098</v>
      </c>
      <c r="CI92" s="97">
        <v>4305.938011638711</v>
      </c>
      <c r="CJ92" s="97">
        <v>3</v>
      </c>
      <c r="CK92" s="97">
        <v>4262.3999999999996</v>
      </c>
      <c r="CL92" s="97">
        <v>4.2212264525966923</v>
      </c>
      <c r="CM92" s="97">
        <v>5997.51854384938</v>
      </c>
      <c r="CN92" s="97">
        <v>4</v>
      </c>
      <c r="CO92" s="97">
        <v>5683.2</v>
      </c>
      <c r="CP92" s="97">
        <v>3.0051778432977234</v>
      </c>
      <c r="CQ92" s="97">
        <v>4269.7566797574054</v>
      </c>
      <c r="CR92" s="97">
        <v>5</v>
      </c>
      <c r="CS92" s="97">
        <v>7104</v>
      </c>
      <c r="CT92" s="97">
        <v>3</v>
      </c>
      <c r="CU92" s="97">
        <v>4262.3999999999996</v>
      </c>
    </row>
    <row r="93" spans="2:99" x14ac:dyDescent="0.15">
      <c r="C93" s="96" t="s">
        <v>258</v>
      </c>
      <c r="D93" s="97">
        <v>0</v>
      </c>
      <c r="E93" s="97">
        <v>0</v>
      </c>
      <c r="F93" s="97">
        <v>0</v>
      </c>
      <c r="G93" s="97">
        <v>0</v>
      </c>
      <c r="H93" s="97">
        <v>20.431385224417127</v>
      </c>
      <c r="I93" s="97">
        <v>36212.587171756917</v>
      </c>
      <c r="J93" s="97">
        <v>3.169743383446082</v>
      </c>
      <c r="K93" s="97">
        <v>5618.0531728198357</v>
      </c>
      <c r="L93" s="97">
        <v>43.447688047739007</v>
      </c>
      <c r="M93" s="97">
        <v>77006.682295812614</v>
      </c>
      <c r="N93" s="97">
        <v>24.61242207487399</v>
      </c>
      <c r="O93" s="97">
        <v>43623.056885506659</v>
      </c>
      <c r="P93" s="97">
        <v>11.84485529922569</v>
      </c>
      <c r="Q93" s="97">
        <v>20993.821532347611</v>
      </c>
      <c r="R93" s="97">
        <v>23.00665760958988</v>
      </c>
      <c r="S93" s="97">
        <v>40776.999947237098</v>
      </c>
      <c r="T93" s="97">
        <v>20.300646602442779</v>
      </c>
      <c r="U93" s="97">
        <v>35980.866038169581</v>
      </c>
      <c r="V93" s="97">
        <v>24.657822217016523</v>
      </c>
      <c r="W93" s="97">
        <v>43703.52409744008</v>
      </c>
      <c r="X93" s="97">
        <v>29.634557848049941</v>
      </c>
      <c r="Y93" s="97">
        <v>52524.290329883712</v>
      </c>
      <c r="Z93" s="97">
        <v>8.0394392113813531</v>
      </c>
      <c r="AA93" s="97">
        <v>14249.102058252309</v>
      </c>
      <c r="AB93" s="97">
        <v>13.722510490329654</v>
      </c>
      <c r="AC93" s="97">
        <v>24321.777593060277</v>
      </c>
      <c r="AD93" s="97">
        <v>12.439279809446058</v>
      </c>
      <c r="AE93" s="97">
        <v>22047.379534262192</v>
      </c>
      <c r="AF93" s="97">
        <v>16.528704693859204</v>
      </c>
      <c r="AG93" s="97">
        <v>29295.476199396053</v>
      </c>
      <c r="AH93" s="97">
        <v>14.299117928939562</v>
      </c>
      <c r="AI93" s="97">
        <v>25343.756617252478</v>
      </c>
      <c r="AJ93" s="97">
        <v>9.5302805730842444</v>
      </c>
      <c r="AK93" s="97">
        <v>16891.469287734515</v>
      </c>
      <c r="AL93" s="97">
        <v>17.560669904261196</v>
      </c>
      <c r="AM93" s="97">
        <v>31124.531338312543</v>
      </c>
      <c r="AN93" s="97">
        <v>17.396421444940952</v>
      </c>
      <c r="AO93" s="97">
        <v>30833.417369013339</v>
      </c>
      <c r="AP93" s="97">
        <v>18.067776456599287</v>
      </c>
      <c r="AQ93" s="97">
        <v>32023.326991676575</v>
      </c>
      <c r="AR93" s="97">
        <v>9.4499764871770999</v>
      </c>
      <c r="AS93" s="97">
        <v>16749.138325872689</v>
      </c>
      <c r="AT93" s="97">
        <v>11.410708460901516</v>
      </c>
      <c r="AU93" s="97">
        <v>20224.339676101845</v>
      </c>
      <c r="AV93" s="97">
        <v>12.474878656696838</v>
      </c>
      <c r="AW93" s="97">
        <v>22110.474931129473</v>
      </c>
      <c r="AX93" s="97">
        <v>9.4079433321989878</v>
      </c>
      <c r="AY93" s="97">
        <v>16674.638761989485</v>
      </c>
      <c r="AZ93" s="97">
        <v>6.5522025991259305</v>
      </c>
      <c r="BA93" s="97">
        <v>11613.123886690799</v>
      </c>
      <c r="BB93" s="97">
        <v>9.0701876200759664</v>
      </c>
      <c r="BC93" s="97">
        <v>16076.000537822641</v>
      </c>
      <c r="BD93" s="97">
        <v>8</v>
      </c>
      <c r="BE93" s="97">
        <v>14179.199999999999</v>
      </c>
      <c r="BF93" s="97">
        <v>7.5286052353251245</v>
      </c>
      <c r="BG93" s="97">
        <v>13343.69991909025</v>
      </c>
      <c r="BH93" s="97">
        <v>8.3352890080031266</v>
      </c>
      <c r="BI93" s="97">
        <v>14773.46623778474</v>
      </c>
      <c r="BJ93" s="97">
        <v>5.3876858569185684</v>
      </c>
      <c r="BK93" s="97">
        <v>9549.1344128024703</v>
      </c>
      <c r="BL93" s="97">
        <v>6.4529590805745096</v>
      </c>
      <c r="BM93" s="97">
        <v>11437.224674410259</v>
      </c>
      <c r="BN93" s="97">
        <v>7.0528151640580026</v>
      </c>
      <c r="BO93" s="97">
        <v>12500.409596776402</v>
      </c>
      <c r="BP93" s="97">
        <v>5.2427403400000019</v>
      </c>
      <c r="BQ93" s="97">
        <v>9292.2329786160026</v>
      </c>
      <c r="BR93" s="97">
        <v>8.2452628510986656</v>
      </c>
      <c r="BS93" s="97">
        <v>14613.903877287274</v>
      </c>
      <c r="BT93" s="97">
        <v>5</v>
      </c>
      <c r="BU93" s="97">
        <v>8862</v>
      </c>
      <c r="BV93" s="97">
        <v>4.0688255823390955</v>
      </c>
      <c r="BW93" s="97">
        <v>7211.5864621378123</v>
      </c>
      <c r="BX93" s="97">
        <v>6</v>
      </c>
      <c r="BY93" s="97">
        <v>10634.4</v>
      </c>
      <c r="BZ93" s="97">
        <v>4.2301818669999047</v>
      </c>
      <c r="CA93" s="97">
        <v>7497.5743410706309</v>
      </c>
      <c r="CB93" s="97">
        <v>5</v>
      </c>
      <c r="CC93" s="97">
        <v>8862</v>
      </c>
      <c r="CD93" s="97">
        <v>6.296540696365029</v>
      </c>
      <c r="CE93" s="97">
        <v>11159.988730237377</v>
      </c>
      <c r="CF93" s="97">
        <v>5</v>
      </c>
      <c r="CG93" s="97">
        <v>8862</v>
      </c>
      <c r="CH93" s="97">
        <v>4.0255360897843415</v>
      </c>
      <c r="CI93" s="97">
        <v>7134.8601655337661</v>
      </c>
      <c r="CJ93" s="97">
        <v>3</v>
      </c>
      <c r="CK93" s="97">
        <v>5317.2</v>
      </c>
      <c r="CL93" s="97">
        <v>4</v>
      </c>
      <c r="CM93" s="97">
        <v>7089.5999999999995</v>
      </c>
      <c r="CN93" s="97">
        <v>4</v>
      </c>
      <c r="CO93" s="97">
        <v>7089.5999999999995</v>
      </c>
      <c r="CP93" s="97">
        <v>3.0038833824732927</v>
      </c>
      <c r="CQ93" s="97">
        <v>5324.0829070956634</v>
      </c>
      <c r="CR93" s="97">
        <v>4</v>
      </c>
      <c r="CS93" s="97">
        <v>7089.5999999999995</v>
      </c>
      <c r="CT93" s="97">
        <v>2</v>
      </c>
      <c r="CU93" s="97">
        <v>3544.7999999999997</v>
      </c>
    </row>
    <row r="94" spans="2:99" x14ac:dyDescent="0.15">
      <c r="C94" s="96" t="s">
        <v>259</v>
      </c>
      <c r="D94" s="97">
        <v>0</v>
      </c>
      <c r="E94" s="97">
        <v>0</v>
      </c>
      <c r="F94" s="97">
        <v>0</v>
      </c>
      <c r="G94" s="97">
        <v>0</v>
      </c>
      <c r="H94" s="97">
        <v>18.485539012567873</v>
      </c>
      <c r="I94" s="97">
        <v>44276.56304290257</v>
      </c>
      <c r="J94" s="97">
        <v>2.6382655980120902</v>
      </c>
      <c r="K94" s="97">
        <v>6319.173760358558</v>
      </c>
      <c r="L94" s="97">
        <v>40.474820656692884</v>
      </c>
      <c r="M94" s="97">
        <v>96945.290436910786</v>
      </c>
      <c r="N94" s="97">
        <v>25.682527382477208</v>
      </c>
      <c r="O94" s="97">
        <v>61514.789586509403</v>
      </c>
      <c r="P94" s="97">
        <v>10.881597887920337</v>
      </c>
      <c r="Q94" s="97">
        <v>26063.603261146789</v>
      </c>
      <c r="R94" s="97">
        <v>23.586777804542852</v>
      </c>
      <c r="S94" s="97">
        <v>56495.050197441036</v>
      </c>
      <c r="T94" s="97">
        <v>19.27899798665123</v>
      </c>
      <c r="U94" s="97">
        <v>46177.055977627024</v>
      </c>
      <c r="V94" s="97">
        <v>22.685196439655201</v>
      </c>
      <c r="W94" s="97">
        <v>54335.582512262132</v>
      </c>
      <c r="X94" s="97">
        <v>26.571102063244947</v>
      </c>
      <c r="Y94" s="97">
        <v>63643.103661884292</v>
      </c>
      <c r="Z94" s="97">
        <v>6.8335233296741507</v>
      </c>
      <c r="AA94" s="97">
        <v>16367.655079235525</v>
      </c>
      <c r="AB94" s="97">
        <v>13.798564226153829</v>
      </c>
      <c r="AC94" s="97">
        <v>33050.321034483648</v>
      </c>
      <c r="AD94" s="97">
        <v>11.361759843073225</v>
      </c>
      <c r="AE94" s="97">
        <v>27213.687176128984</v>
      </c>
      <c r="AF94" s="97">
        <v>15.45317545187932</v>
      </c>
      <c r="AG94" s="97">
        <v>37013.445842341345</v>
      </c>
      <c r="AH94" s="97">
        <v>11.301988926163542</v>
      </c>
      <c r="AI94" s="97">
        <v>27070.523875946914</v>
      </c>
      <c r="AJ94" s="97">
        <v>8.4242244584673962</v>
      </c>
      <c r="AK94" s="97">
        <v>20177.702422921106</v>
      </c>
      <c r="AL94" s="97">
        <v>16.461728156450398</v>
      </c>
      <c r="AM94" s="97">
        <v>39429.131280329988</v>
      </c>
      <c r="AN94" s="97">
        <v>14.424737262436734</v>
      </c>
      <c r="AO94" s="97">
        <v>34550.130690988466</v>
      </c>
      <c r="AP94" s="97">
        <v>17.071165279429252</v>
      </c>
      <c r="AQ94" s="97">
        <v>40888.855077288943</v>
      </c>
      <c r="AR94" s="97">
        <v>8.4499764871770999</v>
      </c>
      <c r="AS94" s="97">
        <v>20239.383682086587</v>
      </c>
      <c r="AT94" s="97">
        <v>11.410708460901516</v>
      </c>
      <c r="AU94" s="97">
        <v>27330.928905551307</v>
      </c>
      <c r="AV94" s="97">
        <v>13.40703884859729</v>
      </c>
      <c r="AW94" s="97">
        <v>32112.539450160228</v>
      </c>
      <c r="AX94" s="97">
        <v>9.4079433321989878</v>
      </c>
      <c r="AY94" s="97">
        <v>22533.905869283015</v>
      </c>
      <c r="AZ94" s="97">
        <v>5.5097254761162437</v>
      </c>
      <c r="BA94" s="97">
        <v>13196.894460393625</v>
      </c>
      <c r="BB94" s="97">
        <v>9.0651742186419693</v>
      </c>
      <c r="BC94" s="97">
        <v>21712.905288491242</v>
      </c>
      <c r="BD94" s="97">
        <v>7.6477137522293805</v>
      </c>
      <c r="BE94" s="97">
        <v>18317.803979339809</v>
      </c>
      <c r="BF94" s="97">
        <v>6.4845547990480306</v>
      </c>
      <c r="BG94" s="97">
        <v>15531.805654679842</v>
      </c>
      <c r="BH94" s="97">
        <v>7.3352890080031274</v>
      </c>
      <c r="BI94" s="97">
        <v>17569.484231969091</v>
      </c>
      <c r="BJ94" s="97">
        <v>5.3876858569185684</v>
      </c>
      <c r="BK94" s="97">
        <v>12904.585164491355</v>
      </c>
      <c r="BL94" s="97">
        <v>6.4529590805745096</v>
      </c>
      <c r="BM94" s="97">
        <v>15456.127589792064</v>
      </c>
      <c r="BN94" s="97">
        <v>6.0452701406211453</v>
      </c>
      <c r="BO94" s="97">
        <v>14479.631040815766</v>
      </c>
      <c r="BP94" s="97">
        <v>6.2427403400000019</v>
      </c>
      <c r="BQ94" s="97">
        <v>14952.611662368003</v>
      </c>
      <c r="BR94" s="97">
        <v>7.2452628510986656</v>
      </c>
      <c r="BS94" s="97">
        <v>17353.853580951523</v>
      </c>
      <c r="BT94" s="97">
        <v>5.1733345402498081</v>
      </c>
      <c r="BU94" s="97">
        <v>12391.170890806339</v>
      </c>
      <c r="BV94" s="97">
        <v>4.0602223845467087</v>
      </c>
      <c r="BW94" s="97">
        <v>9725.0446554662758</v>
      </c>
      <c r="BX94" s="97">
        <v>6</v>
      </c>
      <c r="BY94" s="97">
        <v>14371.199999999999</v>
      </c>
      <c r="BZ94" s="97">
        <v>4.1841454935999245</v>
      </c>
      <c r="CA94" s="97">
        <v>10021.865286270538</v>
      </c>
      <c r="CB94" s="97">
        <v>5</v>
      </c>
      <c r="CC94" s="97">
        <v>11976</v>
      </c>
      <c r="CD94" s="97">
        <v>5.2471172469708574</v>
      </c>
      <c r="CE94" s="97">
        <v>12567.895229944597</v>
      </c>
      <c r="CF94" s="97">
        <v>5</v>
      </c>
      <c r="CG94" s="97">
        <v>11976</v>
      </c>
      <c r="CH94" s="97">
        <v>4.0255360897843415</v>
      </c>
      <c r="CI94" s="97">
        <v>9641.9640422514549</v>
      </c>
      <c r="CJ94" s="97">
        <v>3</v>
      </c>
      <c r="CK94" s="97">
        <v>7185.5999999999995</v>
      </c>
      <c r="CL94" s="97">
        <v>4</v>
      </c>
      <c r="CM94" s="97">
        <v>9580.7999999999993</v>
      </c>
      <c r="CN94" s="97">
        <v>4</v>
      </c>
      <c r="CO94" s="97">
        <v>9580.7999999999993</v>
      </c>
      <c r="CP94" s="97">
        <v>3.0051778432977234</v>
      </c>
      <c r="CQ94" s="97">
        <v>7198.0019702667068</v>
      </c>
      <c r="CR94" s="97">
        <v>4</v>
      </c>
      <c r="CS94" s="97">
        <v>9580.7999999999993</v>
      </c>
      <c r="CT94" s="97">
        <v>2</v>
      </c>
      <c r="CU94" s="97">
        <v>4790.3999999999996</v>
      </c>
    </row>
    <row r="95" spans="2:99" x14ac:dyDescent="0.15">
      <c r="B95" s="96" t="s">
        <v>132</v>
      </c>
      <c r="C95" s="96" t="s">
        <v>260</v>
      </c>
      <c r="D95" s="97">
        <v>0</v>
      </c>
      <c r="E95" s="97">
        <v>0</v>
      </c>
      <c r="F95" s="97">
        <v>0</v>
      </c>
      <c r="G95" s="97">
        <v>0</v>
      </c>
      <c r="H95" s="97">
        <v>29.512000879713625</v>
      </c>
      <c r="I95" s="97">
        <v>51138.395124367766</v>
      </c>
      <c r="J95" s="97">
        <v>4.5593709451823941</v>
      </c>
      <c r="K95" s="97">
        <v>7900.4779738120524</v>
      </c>
      <c r="L95" s="97">
        <v>59.813978268616381</v>
      </c>
      <c r="M95" s="97">
        <v>103645.66154385846</v>
      </c>
      <c r="N95" s="97">
        <v>29.96294861289007</v>
      </c>
      <c r="O95" s="97">
        <v>51919.797356415911</v>
      </c>
      <c r="P95" s="97">
        <v>20.229281321568465</v>
      </c>
      <c r="Q95" s="97">
        <v>35053.298674013837</v>
      </c>
      <c r="R95" s="97">
        <v>18.835695318012899</v>
      </c>
      <c r="S95" s="97">
        <v>32638.492847052752</v>
      </c>
      <c r="T95" s="97">
        <v>30.318644190275958</v>
      </c>
      <c r="U95" s="97">
        <v>52536.146652910174</v>
      </c>
      <c r="V95" s="97">
        <v>24.657822217016523</v>
      </c>
      <c r="W95" s="97">
        <v>42727.074337646227</v>
      </c>
      <c r="X95" s="97">
        <v>28.110476234087393</v>
      </c>
      <c r="Y95" s="97">
        <v>48709.833218426633</v>
      </c>
      <c r="Z95" s="97">
        <v>10.853242935364827</v>
      </c>
      <c r="AA95" s="97">
        <v>18806.499358400171</v>
      </c>
      <c r="AB95" s="97">
        <v>23.216859773186787</v>
      </c>
      <c r="AC95" s="97">
        <v>40230.174614978067</v>
      </c>
      <c r="AD95" s="97">
        <v>25.697679697355504</v>
      </c>
      <c r="AE95" s="97">
        <v>44528.93937957762</v>
      </c>
      <c r="AF95" s="97">
        <v>16.73011600580557</v>
      </c>
      <c r="AG95" s="97">
        <v>28989.945014859892</v>
      </c>
      <c r="AH95" s="97">
        <v>27.354247949830562</v>
      </c>
      <c r="AI95" s="97">
        <v>47399.440847466394</v>
      </c>
      <c r="AJ95" s="97">
        <v>19.848448916934792</v>
      </c>
      <c r="AK95" s="97">
        <v>34393.392283264606</v>
      </c>
      <c r="AL95" s="97">
        <v>13.890475730297194</v>
      </c>
      <c r="AM95" s="97">
        <v>24069.416345458976</v>
      </c>
      <c r="AN95" s="97">
        <v>12.566316349915645</v>
      </c>
      <c r="AO95" s="97">
        <v>21774.912971133828</v>
      </c>
      <c r="AP95" s="97">
        <v>10.091498216409036</v>
      </c>
      <c r="AQ95" s="97">
        <v>17486.548109393578</v>
      </c>
      <c r="AR95" s="97">
        <v>16.599968649569465</v>
      </c>
      <c r="AS95" s="97">
        <v>28764.425675973969</v>
      </c>
      <c r="AT95" s="97">
        <v>11.616062691352273</v>
      </c>
      <c r="AU95" s="97">
        <v>20128.313431575218</v>
      </c>
      <c r="AV95" s="97">
        <v>10.644478176945709</v>
      </c>
      <c r="AW95" s="97">
        <v>18444.751785011525</v>
      </c>
      <c r="AX95" s="97">
        <v>17.69350366473828</v>
      </c>
      <c r="AY95" s="97">
        <v>30659.303150258493</v>
      </c>
      <c r="AZ95" s="97">
        <v>9.5946797221356181</v>
      </c>
      <c r="BA95" s="97">
        <v>16625.6610225166</v>
      </c>
      <c r="BB95" s="97">
        <v>9.0651742186419693</v>
      </c>
      <c r="BC95" s="97">
        <v>15708.133886062804</v>
      </c>
      <c r="BD95" s="97">
        <v>11.54806548265563</v>
      </c>
      <c r="BE95" s="97">
        <v>20010.487868345677</v>
      </c>
      <c r="BF95" s="97">
        <v>10.528605235325124</v>
      </c>
      <c r="BG95" s="97">
        <v>18243.967151771372</v>
      </c>
      <c r="BH95" s="97">
        <v>9.3352890080031266</v>
      </c>
      <c r="BI95" s="97">
        <v>16176.188793067817</v>
      </c>
      <c r="BJ95" s="97">
        <v>10.603066888539995</v>
      </c>
      <c r="BK95" s="97">
        <v>18372.994304462103</v>
      </c>
      <c r="BL95" s="97">
        <v>11.407663172517058</v>
      </c>
      <c r="BM95" s="97">
        <v>19767.198745337559</v>
      </c>
      <c r="BN95" s="97">
        <v>10.098085304679149</v>
      </c>
      <c r="BO95" s="97">
        <v>17497.962215948028</v>
      </c>
      <c r="BP95" s="97">
        <v>6.2912884080000024</v>
      </c>
      <c r="BQ95" s="97">
        <v>10901.544553382404</v>
      </c>
      <c r="BR95" s="97">
        <v>5.4905257021973304</v>
      </c>
      <c r="BS95" s="97">
        <v>9513.9829367675338</v>
      </c>
      <c r="BT95" s="97">
        <v>7</v>
      </c>
      <c r="BU95" s="97">
        <v>12129.6</v>
      </c>
      <c r="BV95" s="97">
        <v>5.0516191867543219</v>
      </c>
      <c r="BW95" s="97">
        <v>8753.4457268078895</v>
      </c>
      <c r="BX95" s="97">
        <v>4</v>
      </c>
      <c r="BY95" s="97">
        <v>6931.2</v>
      </c>
      <c r="BZ95" s="97">
        <v>4.4143273605998292</v>
      </c>
      <c r="CA95" s="97">
        <v>7649.1464504473843</v>
      </c>
      <c r="CB95" s="97">
        <v>4.2931324689859744</v>
      </c>
      <c r="CC95" s="97">
        <v>7439.1399422588966</v>
      </c>
      <c r="CD95" s="97">
        <v>6.296540696365029</v>
      </c>
      <c r="CE95" s="97">
        <v>10910.645718661322</v>
      </c>
      <c r="CF95" s="97">
        <v>5</v>
      </c>
      <c r="CG95" s="97">
        <v>8664</v>
      </c>
      <c r="CH95" s="97">
        <v>5.0357505256980781</v>
      </c>
      <c r="CI95" s="97">
        <v>8725.9485109296293</v>
      </c>
      <c r="CJ95" s="97">
        <v>5</v>
      </c>
      <c r="CK95" s="97">
        <v>8664</v>
      </c>
      <c r="CL95" s="97">
        <v>3</v>
      </c>
      <c r="CM95" s="97">
        <v>5198.3999999999996</v>
      </c>
      <c r="CN95" s="97">
        <v>5.1539544330270068</v>
      </c>
      <c r="CO95" s="97">
        <v>8930.7722415491971</v>
      </c>
      <c r="CP95" s="97">
        <v>4.0064723041221546</v>
      </c>
      <c r="CQ95" s="97">
        <v>6942.4152085828691</v>
      </c>
      <c r="CR95" s="97">
        <v>4</v>
      </c>
      <c r="CS95" s="97">
        <v>6931.2</v>
      </c>
      <c r="CT95" s="97">
        <v>5</v>
      </c>
      <c r="CU95" s="97">
        <v>8664</v>
      </c>
    </row>
    <row r="96" spans="2:99" x14ac:dyDescent="0.15">
      <c r="C96" s="96" t="s">
        <v>261</v>
      </c>
      <c r="D96" s="97">
        <v>0</v>
      </c>
      <c r="E96" s="97">
        <v>0</v>
      </c>
      <c r="F96" s="97">
        <v>0</v>
      </c>
      <c r="G96" s="97">
        <v>0</v>
      </c>
      <c r="H96" s="97">
        <v>38.916924236984997</v>
      </c>
      <c r="I96" s="97">
        <v>32036.412031886048</v>
      </c>
      <c r="J96" s="97">
        <v>5.4071546630565832</v>
      </c>
      <c r="K96" s="97">
        <v>4451.169718628179</v>
      </c>
      <c r="L96" s="97">
        <v>67.908942399954952</v>
      </c>
      <c r="M96" s="97">
        <v>55902.641383642913</v>
      </c>
      <c r="N96" s="97">
        <v>37.453685766112592</v>
      </c>
      <c r="O96" s="97">
        <v>30831.874122663885</v>
      </c>
      <c r="P96" s="97">
        <v>23.904254292161507</v>
      </c>
      <c r="Q96" s="97">
        <v>19677.982133307352</v>
      </c>
      <c r="R96" s="97">
        <v>25.92779799070826</v>
      </c>
      <c r="S96" s="97">
        <v>21343.763305951037</v>
      </c>
      <c r="T96" s="97">
        <v>36.431995170851728</v>
      </c>
      <c r="U96" s="97">
        <v>29990.818424645138</v>
      </c>
      <c r="V96" s="97">
        <v>28.603073771739169</v>
      </c>
      <c r="W96" s="97">
        <v>23546.050328895682</v>
      </c>
      <c r="X96" s="97">
        <v>31.332571480904875</v>
      </c>
      <c r="Y96" s="97">
        <v>25792.97284308089</v>
      </c>
      <c r="Z96" s="97">
        <v>12.05915881707203</v>
      </c>
      <c r="AA96" s="97">
        <v>9927.0995382136934</v>
      </c>
      <c r="AB96" s="97">
        <v>30.597128452307658</v>
      </c>
      <c r="AC96" s="97">
        <v>25187.556141939662</v>
      </c>
      <c r="AD96" s="97">
        <v>30.85271963010117</v>
      </c>
      <c r="AE96" s="97">
        <v>25397.95879949928</v>
      </c>
      <c r="AF96" s="97">
        <v>16.755292419798863</v>
      </c>
      <c r="AG96" s="97">
        <v>13792.956719978423</v>
      </c>
      <c r="AH96" s="97">
        <v>28.496879344586755</v>
      </c>
      <c r="AI96" s="97">
        <v>23458.631076463815</v>
      </c>
      <c r="AJ96" s="97">
        <v>22.989857069757257</v>
      </c>
      <c r="AK96" s="97">
        <v>18925.250339824172</v>
      </c>
      <c r="AL96" s="97">
        <v>14.989417478107994</v>
      </c>
      <c r="AM96" s="97">
        <v>12339.2884679785</v>
      </c>
      <c r="AN96" s="97">
        <v>14.594632167411428</v>
      </c>
      <c r="AO96" s="97">
        <v>12014.301200213085</v>
      </c>
      <c r="AP96" s="97">
        <v>13.084720570749107</v>
      </c>
      <c r="AQ96" s="97">
        <v>10771.341973840665</v>
      </c>
      <c r="AR96" s="97">
        <v>16.69996342449771</v>
      </c>
      <c r="AS96" s="97">
        <v>13747.409891046515</v>
      </c>
      <c r="AT96" s="97">
        <v>12.574991845262121</v>
      </c>
      <c r="AU96" s="97">
        <v>10351.733287019777</v>
      </c>
      <c r="AV96" s="97">
        <v>13.678398080995484</v>
      </c>
      <c r="AW96" s="97">
        <v>11260.057300275481</v>
      </c>
      <c r="AX96" s="97">
        <v>17.69350366473828</v>
      </c>
      <c r="AY96" s="97">
        <v>14565.292216812551</v>
      </c>
      <c r="AZ96" s="97">
        <v>10.637156845145304</v>
      </c>
      <c r="BA96" s="97">
        <v>8756.5075149236127</v>
      </c>
      <c r="BB96" s="97">
        <v>10.070187620075966</v>
      </c>
      <c r="BC96" s="97">
        <v>8289.778448846535</v>
      </c>
      <c r="BD96" s="97">
        <v>14</v>
      </c>
      <c r="BE96" s="97">
        <v>11524.8</v>
      </c>
      <c r="BF96" s="97">
        <v>11.528605235325124</v>
      </c>
      <c r="BG96" s="97">
        <v>9490.3478297196416</v>
      </c>
      <c r="BH96" s="97">
        <v>10.335289008003127</v>
      </c>
      <c r="BI96" s="97">
        <v>8508.0099113881734</v>
      </c>
      <c r="BJ96" s="97">
        <v>10.559990682215711</v>
      </c>
      <c r="BK96" s="97">
        <v>8692.9843295999726</v>
      </c>
      <c r="BL96" s="97">
        <v>12.362367264459607</v>
      </c>
      <c r="BM96" s="97">
        <v>10176.700732103147</v>
      </c>
      <c r="BN96" s="97">
        <v>11.113175351552863</v>
      </c>
      <c r="BO96" s="97">
        <v>9148.3659493983159</v>
      </c>
      <c r="BP96" s="97">
        <v>6.2912884080000024</v>
      </c>
      <c r="BQ96" s="97">
        <v>5178.9886174656012</v>
      </c>
      <c r="BR96" s="97">
        <v>5.4905257021973304</v>
      </c>
      <c r="BS96" s="97">
        <v>4519.800758048842</v>
      </c>
      <c r="BT96" s="97">
        <v>9</v>
      </c>
      <c r="BU96" s="97">
        <v>7408.7999999999993</v>
      </c>
      <c r="BV96" s="97">
        <v>6.0516191867543219</v>
      </c>
      <c r="BW96" s="97">
        <v>4981.6929145361573</v>
      </c>
      <c r="BX96" s="97">
        <v>5</v>
      </c>
      <c r="BY96" s="97">
        <v>4116</v>
      </c>
      <c r="BZ96" s="97">
        <v>5.4143273605998292</v>
      </c>
      <c r="CA96" s="97">
        <v>4457.074283245779</v>
      </c>
      <c r="CB96" s="97">
        <v>4.2931324689859744</v>
      </c>
      <c r="CC96" s="97">
        <v>3534.1066484692537</v>
      </c>
      <c r="CD96" s="97">
        <v>7.296540696365029</v>
      </c>
      <c r="CE96" s="97">
        <v>6006.5123012476915</v>
      </c>
      <c r="CF96" s="97">
        <v>6</v>
      </c>
      <c r="CG96" s="97">
        <v>4939.2</v>
      </c>
      <c r="CH96" s="97">
        <v>6.0357505256980781</v>
      </c>
      <c r="CI96" s="97">
        <v>4968.6298327546574</v>
      </c>
      <c r="CJ96" s="97">
        <v>6</v>
      </c>
      <c r="CK96" s="97">
        <v>4939.2</v>
      </c>
      <c r="CL96" s="97">
        <v>4.1843553771639108</v>
      </c>
      <c r="CM96" s="97">
        <v>3444.5613464813309</v>
      </c>
      <c r="CN96" s="97">
        <v>5</v>
      </c>
      <c r="CO96" s="97">
        <v>4116</v>
      </c>
      <c r="CP96" s="97">
        <v>4.0064723041221546</v>
      </c>
      <c r="CQ96" s="97">
        <v>3298.1280007533574</v>
      </c>
      <c r="CR96" s="97">
        <v>3</v>
      </c>
      <c r="CS96" s="97">
        <v>2469.6</v>
      </c>
      <c r="CT96" s="97">
        <v>5</v>
      </c>
      <c r="CU96" s="97">
        <v>4116</v>
      </c>
    </row>
    <row r="97" spans="2:99" x14ac:dyDescent="0.15">
      <c r="C97" s="96" t="s">
        <v>262</v>
      </c>
      <c r="D97" s="97">
        <v>0</v>
      </c>
      <c r="E97" s="97">
        <v>0</v>
      </c>
      <c r="F97" s="97">
        <v>0</v>
      </c>
      <c r="G97" s="97">
        <v>0</v>
      </c>
      <c r="H97" s="97">
        <v>31.133539389587998</v>
      </c>
      <c r="I97" s="97">
        <v>56937.016835678529</v>
      </c>
      <c r="J97" s="97">
        <v>4.514332469954196</v>
      </c>
      <c r="K97" s="97">
        <v>8255.811221052234</v>
      </c>
      <c r="L97" s="97">
        <v>62.854677182047197</v>
      </c>
      <c r="M97" s="97">
        <v>114948.63363052791</v>
      </c>
      <c r="N97" s="97">
        <v>31.568106574294898</v>
      </c>
      <c r="O97" s="97">
        <v>57731.753303070509</v>
      </c>
      <c r="P97" s="97">
        <v>19.67049472357683</v>
      </c>
      <c r="Q97" s="97">
        <v>35973.400750477304</v>
      </c>
      <c r="R97" s="97">
        <v>18.855717304723118</v>
      </c>
      <c r="S97" s="97">
        <v>34483.335806877636</v>
      </c>
      <c r="T97" s="97">
        <v>27.435646198810101</v>
      </c>
      <c r="U97" s="97">
        <v>50174.309768383915</v>
      </c>
      <c r="V97" s="97">
        <v>24.657822217016523</v>
      </c>
      <c r="W97" s="97">
        <v>45094.225270479816</v>
      </c>
      <c r="X97" s="97">
        <v>27.078748341684896</v>
      </c>
      <c r="Y97" s="97">
        <v>49521.614967273337</v>
      </c>
      <c r="Z97" s="97">
        <v>10.853242935364827</v>
      </c>
      <c r="AA97" s="97">
        <v>19848.410680195197</v>
      </c>
      <c r="AB97" s="97">
        <v>26.254886641098874</v>
      </c>
      <c r="AC97" s="97">
        <v>48014.936689241622</v>
      </c>
      <c r="AD97" s="97">
        <v>24.723519686146449</v>
      </c>
      <c r="AE97" s="97">
        <v>45214.372802024627</v>
      </c>
      <c r="AF97" s="97">
        <v>14.654586763825684</v>
      </c>
      <c r="AG97" s="97">
        <v>26800.308273684408</v>
      </c>
      <c r="AH97" s="97">
        <v>26.338312196689824</v>
      </c>
      <c r="AI97" s="97">
        <v>48167.505345306352</v>
      </c>
      <c r="AJ97" s="97">
        <v>23.848448916934792</v>
      </c>
      <c r="AK97" s="97">
        <v>43614.04337929035</v>
      </c>
      <c r="AL97" s="97">
        <v>12.890475730297194</v>
      </c>
      <c r="AM97" s="97">
        <v>23574.102015567507</v>
      </c>
      <c r="AN97" s="97">
        <v>13.594632167411428</v>
      </c>
      <c r="AO97" s="97">
        <v>24861.863307762018</v>
      </c>
      <c r="AP97" s="97">
        <v>12.088109393579073</v>
      </c>
      <c r="AQ97" s="97">
        <v>22106.734458977407</v>
      </c>
      <c r="AR97" s="97">
        <v>15.599968649569467</v>
      </c>
      <c r="AS97" s="97">
        <v>28529.22266633264</v>
      </c>
      <c r="AT97" s="97">
        <v>12.53392099917197</v>
      </c>
      <c r="AU97" s="97">
        <v>22922.034723285698</v>
      </c>
      <c r="AV97" s="97">
        <v>10.610558272895936</v>
      </c>
      <c r="AW97" s="97">
        <v>19404.588969472086</v>
      </c>
      <c r="AX97" s="97">
        <v>18.652709331518381</v>
      </c>
      <c r="AY97" s="97">
        <v>34112.074825480813</v>
      </c>
      <c r="AZ97" s="97">
        <v>9.637156845145304</v>
      </c>
      <c r="BA97" s="97">
        <v>17624.432438401731</v>
      </c>
      <c r="BB97" s="97">
        <v>9.0701876200759664</v>
      </c>
      <c r="BC97" s="97">
        <v>16587.559119594927</v>
      </c>
      <c r="BD97" s="97">
        <v>12</v>
      </c>
      <c r="BE97" s="97">
        <v>21945.599999999999</v>
      </c>
      <c r="BF97" s="97">
        <v>10.528605235325124</v>
      </c>
      <c r="BG97" s="97">
        <v>19254.713254362585</v>
      </c>
      <c r="BH97" s="97">
        <v>10.335289008003127</v>
      </c>
      <c r="BI97" s="97">
        <v>18901.176537836116</v>
      </c>
      <c r="BJ97" s="97">
        <v>9.6030668885399955</v>
      </c>
      <c r="BK97" s="97">
        <v>17562.088725761943</v>
      </c>
      <c r="BL97" s="97">
        <v>9.362367264459607</v>
      </c>
      <c r="BM97" s="97">
        <v>17121.897253243729</v>
      </c>
      <c r="BN97" s="97">
        <v>9.0905402812422906</v>
      </c>
      <c r="BO97" s="97">
        <v>16624.780066335901</v>
      </c>
      <c r="BP97" s="97">
        <v>6.2427403400000019</v>
      </c>
      <c r="BQ97" s="97">
        <v>11416.723533792003</v>
      </c>
      <c r="BR97" s="97">
        <v>5.4414731319775971</v>
      </c>
      <c r="BS97" s="97">
        <v>9951.3660637606299</v>
      </c>
      <c r="BT97" s="97">
        <v>8</v>
      </c>
      <c r="BU97" s="97">
        <v>14630.4</v>
      </c>
      <c r="BV97" s="97">
        <v>5.0516191867543219</v>
      </c>
      <c r="BW97" s="97">
        <v>9238.4011687363036</v>
      </c>
      <c r="BX97" s="97">
        <v>5</v>
      </c>
      <c r="BY97" s="97">
        <v>9144</v>
      </c>
      <c r="BZ97" s="97">
        <v>5.4143273605998292</v>
      </c>
      <c r="CA97" s="97">
        <v>9901.721877064967</v>
      </c>
      <c r="CB97" s="97">
        <v>4.2931324689859744</v>
      </c>
      <c r="CC97" s="97">
        <v>7851.2806592815496</v>
      </c>
      <c r="CD97" s="97">
        <v>6.2471172469708574</v>
      </c>
      <c r="CE97" s="97">
        <v>11424.728021260304</v>
      </c>
      <c r="CF97" s="97">
        <v>5</v>
      </c>
      <c r="CG97" s="97">
        <v>9144</v>
      </c>
      <c r="CH97" s="97">
        <v>6.0357505256980781</v>
      </c>
      <c r="CI97" s="97">
        <v>11038.180561396644</v>
      </c>
      <c r="CJ97" s="97">
        <v>5</v>
      </c>
      <c r="CK97" s="97">
        <v>9144</v>
      </c>
      <c r="CL97" s="97">
        <v>3</v>
      </c>
      <c r="CM97" s="97">
        <v>5486.4</v>
      </c>
      <c r="CN97" s="97">
        <v>4</v>
      </c>
      <c r="CO97" s="97">
        <v>7315.2</v>
      </c>
      <c r="CP97" s="97">
        <v>3.0064723041221546</v>
      </c>
      <c r="CQ97" s="97">
        <v>5498.2365497785959</v>
      </c>
      <c r="CR97" s="97">
        <v>4</v>
      </c>
      <c r="CS97" s="97">
        <v>7315.2</v>
      </c>
      <c r="CT97" s="97">
        <v>5</v>
      </c>
      <c r="CU97" s="97">
        <v>9144</v>
      </c>
    </row>
    <row r="98" spans="2:99" x14ac:dyDescent="0.15">
      <c r="C98" s="96" t="s">
        <v>263</v>
      </c>
      <c r="D98" s="97">
        <v>0</v>
      </c>
      <c r="E98" s="97">
        <v>0</v>
      </c>
      <c r="F98" s="97">
        <v>0</v>
      </c>
      <c r="G98" s="97">
        <v>0</v>
      </c>
      <c r="H98" s="97">
        <v>31.78215479353775</v>
      </c>
      <c r="I98" s="97">
        <v>40159.930797114299</v>
      </c>
      <c r="J98" s="97">
        <v>4.8767134834654051</v>
      </c>
      <c r="K98" s="97">
        <v>6162.2151577068853</v>
      </c>
      <c r="L98" s="97">
        <v>61.82754457309332</v>
      </c>
      <c r="M98" s="97">
        <v>78125.28532256071</v>
      </c>
      <c r="N98" s="97">
        <v>31.033053920493291</v>
      </c>
      <c r="O98" s="97">
        <v>39213.366933935322</v>
      </c>
      <c r="P98" s="97">
        <v>21.133186507997696</v>
      </c>
      <c r="Q98" s="97">
        <v>26703.894471505886</v>
      </c>
      <c r="R98" s="97">
        <v>20.85636371681484</v>
      </c>
      <c r="S98" s="97">
        <v>26354.101192567232</v>
      </c>
      <c r="T98" s="97">
        <v>31.373374234414559</v>
      </c>
      <c r="U98" s="97">
        <v>39643.395682606235</v>
      </c>
      <c r="V98" s="97">
        <v>26.630447994377846</v>
      </c>
      <c r="W98" s="97">
        <v>33650.234085695847</v>
      </c>
      <c r="X98" s="97">
        <v>32.0470204492824</v>
      </c>
      <c r="Y98" s="97">
        <v>40494.615039713237</v>
      </c>
      <c r="Z98" s="97">
        <v>11.255214895933895</v>
      </c>
      <c r="AA98" s="97">
        <v>14222.089542502068</v>
      </c>
      <c r="AB98" s="97">
        <v>28.445020980659308</v>
      </c>
      <c r="AC98" s="97">
        <v>35943.1285111611</v>
      </c>
      <c r="AD98" s="97">
        <v>26.826879641310228</v>
      </c>
      <c r="AE98" s="97">
        <v>33898.445114759605</v>
      </c>
      <c r="AF98" s="97">
        <v>18.73011600580557</v>
      </c>
      <c r="AG98" s="97">
        <v>23667.374584935915</v>
      </c>
      <c r="AH98" s="97">
        <v>32.357909330564951</v>
      </c>
      <c r="AI98" s="97">
        <v>40887.454230101866</v>
      </c>
      <c r="AJ98" s="97">
        <v>23.989857069757257</v>
      </c>
      <c r="AK98" s="97">
        <v>30313.583393345267</v>
      </c>
      <c r="AL98" s="97">
        <v>13.824514565089995</v>
      </c>
      <c r="AM98" s="97">
        <v>17468.656604447715</v>
      </c>
      <c r="AN98" s="97">
        <v>14.594632167411428</v>
      </c>
      <c r="AO98" s="97">
        <v>18441.777206741077</v>
      </c>
      <c r="AP98" s="97">
        <v>11.088109393579073</v>
      </c>
      <c r="AQ98" s="97">
        <v>14010.935029726515</v>
      </c>
      <c r="AR98" s="97">
        <v>17.599968649569465</v>
      </c>
      <c r="AS98" s="97">
        <v>22239.320385595976</v>
      </c>
      <c r="AT98" s="97">
        <v>14.616062691352273</v>
      </c>
      <c r="AU98" s="97">
        <v>18468.85681679273</v>
      </c>
      <c r="AV98" s="97">
        <v>12.678398080995484</v>
      </c>
      <c r="AW98" s="97">
        <v>16020.423815145892</v>
      </c>
      <c r="AX98" s="97">
        <v>17.73429799795818</v>
      </c>
      <c r="AY98" s="97">
        <v>22409.058950219955</v>
      </c>
      <c r="AZ98" s="97">
        <v>9.6796339681549917</v>
      </c>
      <c r="BA98" s="97">
        <v>12231.185482160647</v>
      </c>
      <c r="BB98" s="97">
        <v>9.0701876200759664</v>
      </c>
      <c r="BC98" s="97">
        <v>11461.089076727991</v>
      </c>
      <c r="BD98" s="97">
        <v>12.647713752229381</v>
      </c>
      <c r="BE98" s="97">
        <v>15981.651097317044</v>
      </c>
      <c r="BF98" s="97">
        <v>9.5286052353251236</v>
      </c>
      <c r="BG98" s="97">
        <v>12040.345575356825</v>
      </c>
      <c r="BH98" s="97">
        <v>9.3352890080031266</v>
      </c>
      <c r="BI98" s="97">
        <v>11796.07119051275</v>
      </c>
      <c r="BJ98" s="97">
        <v>9.6030668885399955</v>
      </c>
      <c r="BK98" s="97">
        <v>12134.435320359138</v>
      </c>
      <c r="BL98" s="97">
        <v>11.362367264459607</v>
      </c>
      <c r="BM98" s="97">
        <v>14357.487275371159</v>
      </c>
      <c r="BN98" s="97">
        <v>10.105630328116005</v>
      </c>
      <c r="BO98" s="97">
        <v>12769.474482607384</v>
      </c>
      <c r="BP98" s="97">
        <v>7.2912884080000024</v>
      </c>
      <c r="BQ98" s="97">
        <v>9213.2720323488029</v>
      </c>
      <c r="BR98" s="97">
        <v>4.5395782724170637</v>
      </c>
      <c r="BS98" s="97">
        <v>5736.211105026201</v>
      </c>
      <c r="BT98" s="97">
        <v>8</v>
      </c>
      <c r="BU98" s="97">
        <v>10108.799999999999</v>
      </c>
      <c r="BV98" s="97">
        <v>5.0516191867543219</v>
      </c>
      <c r="BW98" s="97">
        <v>6383.2260043827609</v>
      </c>
      <c r="BX98" s="97">
        <v>5</v>
      </c>
      <c r="BY98" s="97">
        <v>6318</v>
      </c>
      <c r="BZ98" s="97">
        <v>5.3682909871998481</v>
      </c>
      <c r="CA98" s="97">
        <v>6783.3724914257273</v>
      </c>
      <c r="CB98" s="97">
        <v>4.2931324689859744</v>
      </c>
      <c r="CC98" s="97">
        <v>5424.8021878106765</v>
      </c>
      <c r="CD98" s="97">
        <v>6.296540696365029</v>
      </c>
      <c r="CE98" s="97">
        <v>7956.30882392685</v>
      </c>
      <c r="CF98" s="97">
        <v>6</v>
      </c>
      <c r="CG98" s="97">
        <v>7581.5999999999995</v>
      </c>
      <c r="CH98" s="97">
        <v>6.0357505256980781</v>
      </c>
      <c r="CI98" s="97">
        <v>7626.7743642720907</v>
      </c>
      <c r="CJ98" s="97">
        <v>6</v>
      </c>
      <c r="CK98" s="97">
        <v>7581.5999999999995</v>
      </c>
      <c r="CL98" s="97">
        <v>3.1843553771639104</v>
      </c>
      <c r="CM98" s="97">
        <v>4023.7514545843169</v>
      </c>
      <c r="CN98" s="97">
        <v>5</v>
      </c>
      <c r="CO98" s="97">
        <v>6318</v>
      </c>
      <c r="CP98" s="97">
        <v>4.0064723041221546</v>
      </c>
      <c r="CQ98" s="97">
        <v>5062.5784034887538</v>
      </c>
      <c r="CR98" s="97">
        <v>3</v>
      </c>
      <c r="CS98" s="97">
        <v>3790.7999999999997</v>
      </c>
      <c r="CT98" s="97">
        <v>4</v>
      </c>
      <c r="CU98" s="97">
        <v>5054.3999999999996</v>
      </c>
    </row>
    <row r="99" spans="2:99" x14ac:dyDescent="0.15">
      <c r="C99" s="96" t="s">
        <v>264</v>
      </c>
      <c r="D99" s="97">
        <v>0</v>
      </c>
      <c r="E99" s="97">
        <v>0</v>
      </c>
      <c r="F99" s="97">
        <v>0</v>
      </c>
      <c r="G99" s="97">
        <v>0</v>
      </c>
      <c r="H99" s="97">
        <v>16.215385098743749</v>
      </c>
      <c r="I99" s="97">
        <v>88886.254957273719</v>
      </c>
      <c r="J99" s="97">
        <v>2.0586395198214613</v>
      </c>
      <c r="K99" s="97">
        <v>11284.638391853321</v>
      </c>
      <c r="L99" s="97">
        <v>35.48838696116983</v>
      </c>
      <c r="M99" s="97">
        <v>194533.14196634851</v>
      </c>
      <c r="N99" s="97">
        <v>19.796948190659514</v>
      </c>
      <c r="O99" s="97">
        <v>108518.95120191918</v>
      </c>
      <c r="P99" s="97">
        <v>13.105749519067739</v>
      </c>
      <c r="Q99" s="97">
        <v>71840.476563721706</v>
      </c>
      <c r="R99" s="97">
        <v>11.713559665252214</v>
      </c>
      <c r="S99" s="97">
        <v>64209.04866104653</v>
      </c>
      <c r="T99" s="97">
        <v>19.245916558304177</v>
      </c>
      <c r="U99" s="97">
        <v>105498.41620600017</v>
      </c>
      <c r="V99" s="97">
        <v>14.794693330209913</v>
      </c>
      <c r="W99" s="97">
        <v>81098.590958878645</v>
      </c>
      <c r="X99" s="97">
        <v>16.634557848049941</v>
      </c>
      <c r="Y99" s="97">
        <v>91183.992299870544</v>
      </c>
      <c r="Z99" s="97">
        <v>7.235495290243219</v>
      </c>
      <c r="AA99" s="97">
        <v>39662.090982997222</v>
      </c>
      <c r="AB99" s="97">
        <v>17.874617961978004</v>
      </c>
      <c r="AC99" s="97">
        <v>97981.505820378617</v>
      </c>
      <c r="AD99" s="97">
        <v>19.490959787027947</v>
      </c>
      <c r="AE99" s="97">
        <v>106841.64516857239</v>
      </c>
      <c r="AF99" s="97">
        <v>9.4531754518793196</v>
      </c>
      <c r="AG99" s="97">
        <v>51818.526557021672</v>
      </c>
      <c r="AH99" s="97">
        <v>17.245568675069396</v>
      </c>
      <c r="AI99" s="97">
        <v>94533.30924926039</v>
      </c>
      <c r="AJ99" s="97">
        <v>13.600984649495476</v>
      </c>
      <c r="AK99" s="97">
        <v>74555.157454674394</v>
      </c>
      <c r="AL99" s="97">
        <v>8.5606699042611965</v>
      </c>
      <c r="AM99" s="97">
        <v>46926.168147198172</v>
      </c>
      <c r="AN99" s="97">
        <v>9.3681056274451695</v>
      </c>
      <c r="AO99" s="97">
        <v>51352.207807403436</v>
      </c>
      <c r="AP99" s="97">
        <v>8.060998810939358</v>
      </c>
      <c r="AQ99" s="97">
        <v>44187.171082045177</v>
      </c>
      <c r="AR99" s="97">
        <v>12.4499764871771</v>
      </c>
      <c r="AS99" s="97">
        <v>68245.79111210999</v>
      </c>
      <c r="AT99" s="97">
        <v>9.3696376148113636</v>
      </c>
      <c r="AU99" s="97">
        <v>51360.605549349966</v>
      </c>
      <c r="AV99" s="97">
        <v>8.5087985607466123</v>
      </c>
      <c r="AW99" s="97">
        <v>46641.830190588626</v>
      </c>
      <c r="AX99" s="97">
        <v>13.489531998638785</v>
      </c>
      <c r="AY99" s="97">
        <v>73944.218603738365</v>
      </c>
      <c r="AZ99" s="97">
        <v>7.467248353106557</v>
      </c>
      <c r="BA99" s="97">
        <v>40932.468572388898</v>
      </c>
      <c r="BB99" s="97">
        <v>6.0451206129059782</v>
      </c>
      <c r="BC99" s="97">
        <v>33136.933151705409</v>
      </c>
      <c r="BD99" s="97">
        <v>10</v>
      </c>
      <c r="BE99" s="97">
        <v>54815.999999999993</v>
      </c>
      <c r="BF99" s="97">
        <v>7.3524034902167497</v>
      </c>
      <c r="BG99" s="97">
        <v>40302.934971972129</v>
      </c>
      <c r="BH99" s="97">
        <v>7.2394921485736621</v>
      </c>
      <c r="BI99" s="97">
        <v>39684.000161621385</v>
      </c>
      <c r="BJ99" s="97">
        <v>8.473838269567139</v>
      </c>
      <c r="BK99" s="97">
        <v>46450.191858459228</v>
      </c>
      <c r="BL99" s="97">
        <v>7.2717754483447061</v>
      </c>
      <c r="BM99" s="97">
        <v>39860.964297646336</v>
      </c>
      <c r="BN99" s="97">
        <v>7.0829952578054334</v>
      </c>
      <c r="BO99" s="97">
        <v>38826.146805186261</v>
      </c>
      <c r="BP99" s="97">
        <v>5.2427403400000019</v>
      </c>
      <c r="BQ99" s="97">
        <v>28738.605447744008</v>
      </c>
      <c r="BR99" s="97">
        <v>4.3924205617578647</v>
      </c>
      <c r="BS99" s="97">
        <v>24077.492551331907</v>
      </c>
      <c r="BT99" s="97">
        <v>7</v>
      </c>
      <c r="BU99" s="97">
        <v>38371.199999999997</v>
      </c>
      <c r="BV99" s="97">
        <v>4.043015988961935</v>
      </c>
      <c r="BW99" s="97">
        <v>22162.196445093741</v>
      </c>
      <c r="BX99" s="97">
        <v>4</v>
      </c>
      <c r="BY99" s="97">
        <v>21926.399999999998</v>
      </c>
      <c r="BZ99" s="97">
        <v>4.322254613799867</v>
      </c>
      <c r="CA99" s="97">
        <v>23692.87089100535</v>
      </c>
      <c r="CB99" s="97">
        <v>3</v>
      </c>
      <c r="CC99" s="97">
        <v>16444.8</v>
      </c>
      <c r="CD99" s="97">
        <v>5</v>
      </c>
      <c r="CE99" s="97">
        <v>27407.999999999996</v>
      </c>
      <c r="CF99" s="97">
        <v>4</v>
      </c>
      <c r="CG99" s="97">
        <v>21926.399999999998</v>
      </c>
      <c r="CH99" s="97">
        <v>5.0306433077412098</v>
      </c>
      <c r="CI99" s="97">
        <v>27575.974355714214</v>
      </c>
      <c r="CJ99" s="97">
        <v>4</v>
      </c>
      <c r="CK99" s="97">
        <v>21926.399999999998</v>
      </c>
      <c r="CL99" s="97">
        <v>3</v>
      </c>
      <c r="CM99" s="97">
        <v>16444.8</v>
      </c>
      <c r="CN99" s="97">
        <v>4</v>
      </c>
      <c r="CO99" s="97">
        <v>21926.399999999998</v>
      </c>
      <c r="CP99" s="97">
        <v>3.0051778432977234</v>
      </c>
      <c r="CQ99" s="97">
        <v>16473.1828658208</v>
      </c>
      <c r="CR99" s="97">
        <v>3</v>
      </c>
      <c r="CS99" s="97">
        <v>16444.8</v>
      </c>
      <c r="CT99" s="97">
        <v>4</v>
      </c>
      <c r="CU99" s="97">
        <v>21926.399999999998</v>
      </c>
    </row>
    <row r="100" spans="2:99" x14ac:dyDescent="0.15">
      <c r="C100" s="96" t="s">
        <v>265</v>
      </c>
      <c r="D100" s="97">
        <v>0</v>
      </c>
      <c r="E100" s="97">
        <v>0</v>
      </c>
      <c r="F100" s="97">
        <v>0</v>
      </c>
      <c r="G100" s="97">
        <v>0</v>
      </c>
      <c r="H100" s="97">
        <v>32.106462495512623</v>
      </c>
      <c r="I100" s="97">
        <v>52089.524752719677</v>
      </c>
      <c r="J100" s="97">
        <v>4.204591707851816</v>
      </c>
      <c r="K100" s="97">
        <v>6821.5295868187859</v>
      </c>
      <c r="L100" s="97">
        <v>64.881809791001075</v>
      </c>
      <c r="M100" s="97">
        <v>105264.24820492014</v>
      </c>
      <c r="N100" s="97">
        <v>29.427895959088463</v>
      </c>
      <c r="O100" s="97">
        <v>47743.818404025122</v>
      </c>
      <c r="P100" s="97">
        <v>20.193669986642792</v>
      </c>
      <c r="Q100" s="97">
        <v>32762.210186329263</v>
      </c>
      <c r="R100" s="97">
        <v>20.096045641469921</v>
      </c>
      <c r="S100" s="97">
        <v>32603.824448720796</v>
      </c>
      <c r="T100" s="97">
        <v>31.307211377720453</v>
      </c>
      <c r="U100" s="97">
        <v>50792.819739213657</v>
      </c>
      <c r="V100" s="97">
        <v>25.644135105697185</v>
      </c>
      <c r="W100" s="97">
        <v>41605.044795483111</v>
      </c>
      <c r="X100" s="97">
        <v>27.078748341684896</v>
      </c>
      <c r="Y100" s="97">
        <v>43932.561309549572</v>
      </c>
      <c r="Z100" s="97">
        <v>11.255214895933895</v>
      </c>
      <c r="AA100" s="97">
        <v>18260.460647163149</v>
      </c>
      <c r="AB100" s="97">
        <v>25.368967244835133</v>
      </c>
      <c r="AC100" s="97">
        <v>41158.612458020514</v>
      </c>
      <c r="AD100" s="97">
        <v>29.85271963010117</v>
      </c>
      <c r="AE100" s="97">
        <v>48433.052327876132</v>
      </c>
      <c r="AF100" s="97">
        <v>16.654586763825684</v>
      </c>
      <c r="AG100" s="97">
        <v>27020.401565630786</v>
      </c>
      <c r="AH100" s="97">
        <v>27.379587078153648</v>
      </c>
      <c r="AI100" s="97">
        <v>44420.642075596472</v>
      </c>
      <c r="AJ100" s="97">
        <v>23.883800955140408</v>
      </c>
      <c r="AK100" s="97">
        <v>38749.078669619797</v>
      </c>
      <c r="AL100" s="97">
        <v>13.857495147693594</v>
      </c>
      <c r="AM100" s="97">
        <v>22482.400127618086</v>
      </c>
      <c r="AN100" s="97">
        <v>12.566316349915645</v>
      </c>
      <c r="AO100" s="97">
        <v>20387.591646103141</v>
      </c>
      <c r="AP100" s="97">
        <v>12.081331747919144</v>
      </c>
      <c r="AQ100" s="97">
        <v>19600.752627824018</v>
      </c>
      <c r="AR100" s="97">
        <v>16.64996603703359</v>
      </c>
      <c r="AS100" s="97">
        <v>27012.904898483295</v>
      </c>
      <c r="AT100" s="97">
        <v>11.574991845262121</v>
      </c>
      <c r="AU100" s="97">
        <v>18779.266769753263</v>
      </c>
      <c r="AV100" s="97">
        <v>12.678398080995484</v>
      </c>
      <c r="AW100" s="97">
        <v>20569.433046607071</v>
      </c>
      <c r="AX100" s="97">
        <v>17.69350366473828</v>
      </c>
      <c r="AY100" s="97">
        <v>28705.940345671384</v>
      </c>
      <c r="AZ100" s="97">
        <v>9.6796339681549917</v>
      </c>
      <c r="BA100" s="97">
        <v>15704.238149934657</v>
      </c>
      <c r="BB100" s="97">
        <v>9.0601608172079704</v>
      </c>
      <c r="BC100" s="97">
        <v>14699.20490983821</v>
      </c>
      <c r="BD100" s="97">
        <v>12.54806548265563</v>
      </c>
      <c r="BE100" s="97">
        <v>20357.981439060492</v>
      </c>
      <c r="BF100" s="97">
        <v>9.4845547990480306</v>
      </c>
      <c r="BG100" s="97">
        <v>15387.741705975524</v>
      </c>
      <c r="BH100" s="97">
        <v>8.3352890080031266</v>
      </c>
      <c r="BI100" s="97">
        <v>13523.172886584271</v>
      </c>
      <c r="BJ100" s="97">
        <v>9.6461430948642803</v>
      </c>
      <c r="BK100" s="97">
        <v>15649.902557107807</v>
      </c>
      <c r="BL100" s="97">
        <v>11.362367264459607</v>
      </c>
      <c r="BM100" s="97">
        <v>18434.304649859263</v>
      </c>
      <c r="BN100" s="97">
        <v>9.1056303281160051</v>
      </c>
      <c r="BO100" s="97">
        <v>14772.974644335405</v>
      </c>
      <c r="BP100" s="97">
        <v>7.2912884080000024</v>
      </c>
      <c r="BQ100" s="97">
        <v>11829.386313139203</v>
      </c>
      <c r="BR100" s="97">
        <v>5.4414731319775971</v>
      </c>
      <c r="BS100" s="97">
        <v>8828.2460093204536</v>
      </c>
      <c r="BT100" s="97">
        <v>8</v>
      </c>
      <c r="BU100" s="97">
        <v>12979.199999999999</v>
      </c>
      <c r="BV100" s="97">
        <v>5.0516191867543219</v>
      </c>
      <c r="BW100" s="97">
        <v>8195.7469685902106</v>
      </c>
      <c r="BX100" s="97">
        <v>4</v>
      </c>
      <c r="BY100" s="97">
        <v>6489.5999999999995</v>
      </c>
      <c r="BZ100" s="97">
        <v>5.4143273605998292</v>
      </c>
      <c r="CA100" s="97">
        <v>8784.2047098371622</v>
      </c>
      <c r="CB100" s="97">
        <v>5.2931324689859744</v>
      </c>
      <c r="CC100" s="97">
        <v>8587.5781176828441</v>
      </c>
      <c r="CD100" s="97">
        <v>7.2471172469708574</v>
      </c>
      <c r="CE100" s="97">
        <v>11757.723021485517</v>
      </c>
      <c r="CF100" s="97">
        <v>6</v>
      </c>
      <c r="CG100" s="97">
        <v>9734.4</v>
      </c>
      <c r="CH100" s="97">
        <v>6.0306433077412098</v>
      </c>
      <c r="CI100" s="97">
        <v>9784.1157024793374</v>
      </c>
      <c r="CJ100" s="97">
        <v>5.1268793942671715</v>
      </c>
      <c r="CK100" s="97">
        <v>8317.8491292590588</v>
      </c>
      <c r="CL100" s="97">
        <v>4</v>
      </c>
      <c r="CM100" s="97">
        <v>6489.5999999999995</v>
      </c>
      <c r="CN100" s="97">
        <v>5.1539544330270068</v>
      </c>
      <c r="CO100" s="97">
        <v>8361.775672143016</v>
      </c>
      <c r="CP100" s="97">
        <v>4.0064723041221546</v>
      </c>
      <c r="CQ100" s="97">
        <v>6500.1006662077834</v>
      </c>
      <c r="CR100" s="97">
        <v>4</v>
      </c>
      <c r="CS100" s="97">
        <v>6489.5999999999995</v>
      </c>
      <c r="CT100" s="97">
        <v>5</v>
      </c>
      <c r="CU100" s="97">
        <v>8111.9999999999991</v>
      </c>
    </row>
    <row r="101" spans="2:99" x14ac:dyDescent="0.15">
      <c r="C101" s="96" t="s">
        <v>266</v>
      </c>
      <c r="D101" s="97">
        <v>0</v>
      </c>
      <c r="E101" s="97">
        <v>0</v>
      </c>
      <c r="F101" s="97">
        <v>0</v>
      </c>
      <c r="G101" s="97">
        <v>0</v>
      </c>
      <c r="H101" s="97">
        <v>34.376616409336748</v>
      </c>
      <c r="I101" s="97">
        <v>40921.924173674459</v>
      </c>
      <c r="J101" s="97">
        <v>4.655667530695669</v>
      </c>
      <c r="K101" s="97">
        <v>5542.1066285401239</v>
      </c>
      <c r="L101" s="97">
        <v>65.93607500890883</v>
      </c>
      <c r="M101" s="97">
        <v>78490.303690605069</v>
      </c>
      <c r="N101" s="97">
        <v>36.918633112310985</v>
      </c>
      <c r="O101" s="97">
        <v>43947.940856894995</v>
      </c>
      <c r="P101" s="97">
        <v>25.177018956978777</v>
      </c>
      <c r="Q101" s="97">
        <v>29970.723366387534</v>
      </c>
      <c r="R101" s="97">
        <v>22.076670066851431</v>
      </c>
      <c r="S101" s="97">
        <v>26280.068047579942</v>
      </c>
      <c r="T101" s="97">
        <v>30.38480704697006</v>
      </c>
      <c r="U101" s="97">
        <v>36170.074308713156</v>
      </c>
      <c r="V101" s="97">
        <v>26.630447994377846</v>
      </c>
      <c r="W101" s="97">
        <v>31700.885292507384</v>
      </c>
      <c r="X101" s="97">
        <v>28.205659911294884</v>
      </c>
      <c r="Y101" s="97">
        <v>33576.017558405423</v>
      </c>
      <c r="Z101" s="97">
        <v>12.863102738210166</v>
      </c>
      <c r="AA101" s="97">
        <v>15312.237499565381</v>
      </c>
      <c r="AB101" s="97">
        <v>25.483047848571395</v>
      </c>
      <c r="AC101" s="97">
        <v>30335.020158939387</v>
      </c>
      <c r="AD101" s="97">
        <v>26.85271963010117</v>
      </c>
      <c r="AE101" s="97">
        <v>31965.477447672431</v>
      </c>
      <c r="AF101" s="97">
        <v>17.805645247785456</v>
      </c>
      <c r="AG101" s="97">
        <v>21195.840102963804</v>
      </c>
      <c r="AH101" s="97">
        <v>31.341973577424216</v>
      </c>
      <c r="AI101" s="97">
        <v>37309.48534656578</v>
      </c>
      <c r="AJ101" s="97">
        <v>25.025209107962873</v>
      </c>
      <c r="AK101" s="97">
        <v>29790.008922118999</v>
      </c>
      <c r="AL101" s="97">
        <v>14.923456312900793</v>
      </c>
      <c r="AM101" s="97">
        <v>17764.882394877102</v>
      </c>
      <c r="AN101" s="97">
        <v>13.62294798490721</v>
      </c>
      <c r="AO101" s="97">
        <v>16216.75728123354</v>
      </c>
      <c r="AP101" s="97">
        <v>13.084720570749107</v>
      </c>
      <c r="AQ101" s="97">
        <v>15576.051367419735</v>
      </c>
      <c r="AR101" s="97">
        <v>16.64996603703359</v>
      </c>
      <c r="AS101" s="97">
        <v>19820.119570484781</v>
      </c>
      <c r="AT101" s="97">
        <v>13.616062691352273</v>
      </c>
      <c r="AU101" s="97">
        <v>16208.561027785743</v>
      </c>
      <c r="AV101" s="97">
        <v>12.678398080995484</v>
      </c>
      <c r="AW101" s="97">
        <v>15092.365075617023</v>
      </c>
      <c r="AX101" s="97">
        <v>16.69350366473828</v>
      </c>
      <c r="AY101" s="97">
        <v>19871.946762504445</v>
      </c>
      <c r="AZ101" s="97">
        <v>9.637156845145304</v>
      </c>
      <c r="BA101" s="97">
        <v>11472.071508460969</v>
      </c>
      <c r="BB101" s="97">
        <v>9.0651742186419693</v>
      </c>
      <c r="BC101" s="97">
        <v>10791.183389871399</v>
      </c>
      <c r="BD101" s="97">
        <v>12</v>
      </c>
      <c r="BE101" s="97">
        <v>14284.8</v>
      </c>
      <c r="BF101" s="97">
        <v>10.572655671602218</v>
      </c>
      <c r="BG101" s="97">
        <v>12585.68931147528</v>
      </c>
      <c r="BH101" s="97">
        <v>10.38318743771786</v>
      </c>
      <c r="BI101" s="97">
        <v>12360.146325859339</v>
      </c>
      <c r="BJ101" s="97">
        <v>10.64614309486428</v>
      </c>
      <c r="BK101" s="97">
        <v>12673.168740126437</v>
      </c>
      <c r="BL101" s="97">
        <v>11.407663172517058</v>
      </c>
      <c r="BM101" s="97">
        <v>13579.682240564303</v>
      </c>
      <c r="BN101" s="97">
        <v>11.098085304679149</v>
      </c>
      <c r="BO101" s="97">
        <v>13211.160746690057</v>
      </c>
      <c r="BP101" s="97">
        <v>7.2912884080000024</v>
      </c>
      <c r="BQ101" s="97">
        <v>8679.5497208832021</v>
      </c>
      <c r="BR101" s="97">
        <v>4.5395782724170637</v>
      </c>
      <c r="BS101" s="97">
        <v>5403.9139754852722</v>
      </c>
      <c r="BT101" s="97">
        <v>9</v>
      </c>
      <c r="BU101" s="97">
        <v>10713.599999999999</v>
      </c>
      <c r="BV101" s="97">
        <v>5.0516191867543219</v>
      </c>
      <c r="BW101" s="97">
        <v>6013.4474799123436</v>
      </c>
      <c r="BX101" s="97">
        <v>4</v>
      </c>
      <c r="BY101" s="97">
        <v>4761.5999999999995</v>
      </c>
      <c r="BZ101" s="97">
        <v>5.4603637339998103</v>
      </c>
      <c r="CA101" s="97">
        <v>6500.0169889533736</v>
      </c>
      <c r="CB101" s="97">
        <v>4.2931324689859744</v>
      </c>
      <c r="CC101" s="97">
        <v>5110.5448910809037</v>
      </c>
      <c r="CD101" s="97">
        <v>6.296540696365029</v>
      </c>
      <c r="CE101" s="97">
        <v>7495.4020449529298</v>
      </c>
      <c r="CF101" s="97">
        <v>5</v>
      </c>
      <c r="CG101" s="97">
        <v>5951.9999999999991</v>
      </c>
      <c r="CH101" s="97">
        <v>6.0306433077412098</v>
      </c>
      <c r="CI101" s="97">
        <v>7178.8777935351354</v>
      </c>
      <c r="CJ101" s="97">
        <v>5.1268793942671715</v>
      </c>
      <c r="CK101" s="97">
        <v>6103.0372309356399</v>
      </c>
      <c r="CL101" s="97">
        <v>4.1843553771639108</v>
      </c>
      <c r="CM101" s="97">
        <v>4981.0566409759185</v>
      </c>
      <c r="CN101" s="97">
        <v>4</v>
      </c>
      <c r="CO101" s="97">
        <v>4761.5999999999995</v>
      </c>
      <c r="CP101" s="97">
        <v>4.0077667649465853</v>
      </c>
      <c r="CQ101" s="97">
        <v>4770.8455569924145</v>
      </c>
      <c r="CR101" s="97">
        <v>3</v>
      </c>
      <c r="CS101" s="97">
        <v>3571.2</v>
      </c>
      <c r="CT101" s="97">
        <v>5</v>
      </c>
      <c r="CU101" s="97">
        <v>5951.9999999999991</v>
      </c>
    </row>
    <row r="102" spans="2:99" x14ac:dyDescent="0.15">
      <c r="C102" s="96" t="s">
        <v>267</v>
      </c>
      <c r="D102" s="97">
        <v>0</v>
      </c>
      <c r="E102" s="97">
        <v>0</v>
      </c>
      <c r="F102" s="97">
        <v>0</v>
      </c>
      <c r="G102" s="97">
        <v>0</v>
      </c>
      <c r="H102" s="97">
        <v>30.809231687613121</v>
      </c>
      <c r="I102" s="97">
        <v>59745.262088619354</v>
      </c>
      <c r="J102" s="97">
        <v>4.1592076973426808</v>
      </c>
      <c r="K102" s="97">
        <v>8065.5355666869254</v>
      </c>
      <c r="L102" s="97">
        <v>55.759713050708619</v>
      </c>
      <c r="M102" s="97">
        <v>108129.23554793415</v>
      </c>
      <c r="N102" s="97">
        <v>29.427895959088463</v>
      </c>
      <c r="O102" s="97">
        <v>57066.575843864346</v>
      </c>
      <c r="P102" s="97">
        <v>18.861553096949397</v>
      </c>
      <c r="Q102" s="97">
        <v>36576.323765604269</v>
      </c>
      <c r="R102" s="97">
        <v>19.535947433227172</v>
      </c>
      <c r="S102" s="97">
        <v>37884.109262514125</v>
      </c>
      <c r="T102" s="97">
        <v>29.412780573699095</v>
      </c>
      <c r="U102" s="97">
        <v>57037.26408851728</v>
      </c>
      <c r="V102" s="97">
        <v>26.630447994377846</v>
      </c>
      <c r="W102" s="97">
        <v>51641.764750697512</v>
      </c>
      <c r="X102" s="97">
        <v>25.078748341684896</v>
      </c>
      <c r="Y102" s="97">
        <v>48632.708784195347</v>
      </c>
      <c r="Z102" s="97">
        <v>10.45127097479576</v>
      </c>
      <c r="AA102" s="97">
        <v>20267.104674323935</v>
      </c>
      <c r="AB102" s="97">
        <v>26.216859773186787</v>
      </c>
      <c r="AC102" s="97">
        <v>50839.734472163815</v>
      </c>
      <c r="AD102" s="97">
        <v>27.801039652519282</v>
      </c>
      <c r="AE102" s="97">
        <v>53911.776094165391</v>
      </c>
      <c r="AF102" s="97">
        <v>15.755292419798865</v>
      </c>
      <c r="AG102" s="97">
        <v>30552.663060473955</v>
      </c>
      <c r="AH102" s="97">
        <v>28.420861959617476</v>
      </c>
      <c r="AI102" s="97">
        <v>55113.735512090207</v>
      </c>
      <c r="AJ102" s="97">
        <v>19.813096878729176</v>
      </c>
      <c r="AK102" s="97">
        <v>38421.557467231614</v>
      </c>
      <c r="AL102" s="97">
        <v>12.791533982486396</v>
      </c>
      <c r="AM102" s="97">
        <v>24805.342698837616</v>
      </c>
      <c r="AN102" s="97">
        <v>11.509684714924081</v>
      </c>
      <c r="AO102" s="97">
        <v>22319.580599180776</v>
      </c>
      <c r="AP102" s="97">
        <v>10.091498216409036</v>
      </c>
      <c r="AQ102" s="97">
        <v>19569.433341260399</v>
      </c>
      <c r="AR102" s="97">
        <v>15.549971262105345</v>
      </c>
      <c r="AS102" s="97">
        <v>30154.504271474681</v>
      </c>
      <c r="AT102" s="97">
        <v>11.616062691352273</v>
      </c>
      <c r="AU102" s="97">
        <v>22525.868771070323</v>
      </c>
      <c r="AV102" s="97">
        <v>10.610558272895936</v>
      </c>
      <c r="AW102" s="97">
        <v>20575.994602799798</v>
      </c>
      <c r="AX102" s="97">
        <v>17.652709331518381</v>
      </c>
      <c r="AY102" s="97">
        <v>34232.133935680438</v>
      </c>
      <c r="AZ102" s="97">
        <v>8.5946797221356181</v>
      </c>
      <c r="BA102" s="97">
        <v>16666.802917165391</v>
      </c>
      <c r="BB102" s="97">
        <v>9.0701876200759664</v>
      </c>
      <c r="BC102" s="97">
        <v>17588.907832851313</v>
      </c>
      <c r="BD102" s="97">
        <v>12.54806548265563</v>
      </c>
      <c r="BE102" s="97">
        <v>24333.208583965796</v>
      </c>
      <c r="BF102" s="97">
        <v>10.528605235325124</v>
      </c>
      <c r="BG102" s="97">
        <v>20417.071272342477</v>
      </c>
      <c r="BH102" s="97">
        <v>10.287390578288395</v>
      </c>
      <c r="BI102" s="97">
        <v>19949.307809416856</v>
      </c>
      <c r="BJ102" s="97">
        <v>9.5169144758914239</v>
      </c>
      <c r="BK102" s="97">
        <v>18455.200551648646</v>
      </c>
      <c r="BL102" s="97">
        <v>10.407663172517058</v>
      </c>
      <c r="BM102" s="97">
        <v>20182.540424145078</v>
      </c>
      <c r="BN102" s="97">
        <v>9.0905402812422906</v>
      </c>
      <c r="BO102" s="97">
        <v>17628.375713385049</v>
      </c>
      <c r="BP102" s="97">
        <v>6.2427403400000019</v>
      </c>
      <c r="BQ102" s="97">
        <v>12105.922067328003</v>
      </c>
      <c r="BR102" s="97">
        <v>4.4905257021973304</v>
      </c>
      <c r="BS102" s="97">
        <v>8708.0274417010623</v>
      </c>
      <c r="BT102" s="97">
        <v>8.3120021724496542</v>
      </c>
      <c r="BU102" s="97">
        <v>16118.634612814369</v>
      </c>
      <c r="BV102" s="97">
        <v>4.0516191867543219</v>
      </c>
      <c r="BW102" s="97">
        <v>7856.89992695398</v>
      </c>
      <c r="BX102" s="97">
        <v>5</v>
      </c>
      <c r="BY102" s="97">
        <v>9696</v>
      </c>
      <c r="BZ102" s="97">
        <v>4.4603637339998103</v>
      </c>
      <c r="CA102" s="97">
        <v>8649.5373529724311</v>
      </c>
      <c r="CB102" s="97">
        <v>4.2931324689859744</v>
      </c>
      <c r="CC102" s="97">
        <v>8325.2424838576007</v>
      </c>
      <c r="CD102" s="97">
        <v>7.296540696365029</v>
      </c>
      <c r="CE102" s="97">
        <v>14149.451718391063</v>
      </c>
      <c r="CF102" s="97">
        <v>5</v>
      </c>
      <c r="CG102" s="97">
        <v>9696</v>
      </c>
      <c r="CH102" s="97">
        <v>5.0357505256980781</v>
      </c>
      <c r="CI102" s="97">
        <v>9765.3274194337118</v>
      </c>
      <c r="CJ102" s="97">
        <v>4.1268793942671715</v>
      </c>
      <c r="CK102" s="97">
        <v>8002.8445213628984</v>
      </c>
      <c r="CL102" s="97">
        <v>4</v>
      </c>
      <c r="CM102" s="97">
        <v>7756.7999999999993</v>
      </c>
      <c r="CN102" s="97">
        <v>5</v>
      </c>
      <c r="CO102" s="97">
        <v>9696</v>
      </c>
      <c r="CP102" s="97">
        <v>3.0051778432977234</v>
      </c>
      <c r="CQ102" s="97">
        <v>5827.6408737229449</v>
      </c>
      <c r="CR102" s="97">
        <v>4</v>
      </c>
      <c r="CS102" s="97">
        <v>7756.7999999999993</v>
      </c>
      <c r="CT102" s="97">
        <v>4</v>
      </c>
      <c r="CU102" s="97">
        <v>7756.7999999999993</v>
      </c>
    </row>
    <row r="103" spans="2:99" x14ac:dyDescent="0.15">
      <c r="C103" s="96" t="s">
        <v>268</v>
      </c>
      <c r="D103" s="97">
        <v>0</v>
      </c>
      <c r="E103" s="97">
        <v>0</v>
      </c>
      <c r="F103" s="97">
        <v>0</v>
      </c>
      <c r="G103" s="97">
        <v>0</v>
      </c>
      <c r="H103" s="97">
        <v>29.836308581688499</v>
      </c>
      <c r="I103" s="97">
        <v>60508.033803664279</v>
      </c>
      <c r="J103" s="97">
        <v>4.3774893678649143</v>
      </c>
      <c r="K103" s="97">
        <v>8877.5484380300459</v>
      </c>
      <c r="L103" s="97">
        <v>59.800411964139442</v>
      </c>
      <c r="M103" s="97">
        <v>121275.23546327479</v>
      </c>
      <c r="N103" s="97">
        <v>26.752632690080425</v>
      </c>
      <c r="O103" s="97">
        <v>54254.339095483105</v>
      </c>
      <c r="P103" s="97">
        <v>19.658624278601607</v>
      </c>
      <c r="Q103" s="97">
        <v>39867.69003700406</v>
      </c>
      <c r="R103" s="97">
        <v>18.235553136349715</v>
      </c>
      <c r="S103" s="97">
        <v>36981.701760517222</v>
      </c>
      <c r="T103" s="97">
        <v>27.402564770463048</v>
      </c>
      <c r="U103" s="97">
        <v>55572.401354499059</v>
      </c>
      <c r="V103" s="97">
        <v>24.657822217016523</v>
      </c>
      <c r="W103" s="97">
        <v>50006.063456109507</v>
      </c>
      <c r="X103" s="97">
        <v>30.0470204492824</v>
      </c>
      <c r="Y103" s="97">
        <v>60935.357471144707</v>
      </c>
      <c r="Z103" s="97">
        <v>11.657186856502964</v>
      </c>
      <c r="AA103" s="97">
        <v>23640.77494498801</v>
      </c>
      <c r="AB103" s="97">
        <v>25.368967244835133</v>
      </c>
      <c r="AC103" s="97">
        <v>51448.265572525648</v>
      </c>
      <c r="AD103" s="97">
        <v>24.775199663728337</v>
      </c>
      <c r="AE103" s="97">
        <v>50244.10491804107</v>
      </c>
      <c r="AF103" s="97">
        <v>15.704939591812273</v>
      </c>
      <c r="AG103" s="97">
        <v>31849.617492195292</v>
      </c>
      <c r="AH103" s="97">
        <v>27.379587078153648</v>
      </c>
      <c r="AI103" s="97">
        <v>55525.802594495595</v>
      </c>
      <c r="AJ103" s="97">
        <v>21.848448916934792</v>
      </c>
      <c r="AK103" s="97">
        <v>44308.654403543762</v>
      </c>
      <c r="AL103" s="97">
        <v>13.890475730297194</v>
      </c>
      <c r="AM103" s="97">
        <v>28169.884781042711</v>
      </c>
      <c r="AN103" s="97">
        <v>12.566316349915645</v>
      </c>
      <c r="AO103" s="97">
        <v>25484.489557628927</v>
      </c>
      <c r="AP103" s="97">
        <v>11.088109393579073</v>
      </c>
      <c r="AQ103" s="97">
        <v>22486.685850178361</v>
      </c>
      <c r="AR103" s="97">
        <v>15.599968649569467</v>
      </c>
      <c r="AS103" s="97">
        <v>31636.736421326881</v>
      </c>
      <c r="AT103" s="97">
        <v>12.574991845262121</v>
      </c>
      <c r="AU103" s="97">
        <v>25502.083462191582</v>
      </c>
      <c r="AV103" s="97">
        <v>10.678398080995484</v>
      </c>
      <c r="AW103" s="97">
        <v>21655.791308258842</v>
      </c>
      <c r="AX103" s="97">
        <v>15.611914998298481</v>
      </c>
      <c r="AY103" s="97">
        <v>31660.963616549318</v>
      </c>
      <c r="AZ103" s="97">
        <v>8.5946797221356181</v>
      </c>
      <c r="BA103" s="97">
        <v>17430.010476491032</v>
      </c>
      <c r="BB103" s="97">
        <v>9.0601608172079704</v>
      </c>
      <c r="BC103" s="97">
        <v>18374.006137297765</v>
      </c>
      <c r="BD103" s="97">
        <v>12</v>
      </c>
      <c r="BE103" s="97">
        <v>24336</v>
      </c>
      <c r="BF103" s="97">
        <v>9.5286052353251236</v>
      </c>
      <c r="BG103" s="97">
        <v>19324.011417239351</v>
      </c>
      <c r="BH103" s="97">
        <v>9.3352890080031266</v>
      </c>
      <c r="BI103" s="97">
        <v>18931.966108230339</v>
      </c>
      <c r="BJ103" s="97">
        <v>10.516914475891424</v>
      </c>
      <c r="BK103" s="97">
        <v>21328.302557107807</v>
      </c>
      <c r="BL103" s="97">
        <v>11.407663172517058</v>
      </c>
      <c r="BM103" s="97">
        <v>23134.740913864593</v>
      </c>
      <c r="BN103" s="97">
        <v>9.0905402812422906</v>
      </c>
      <c r="BO103" s="97">
        <v>18435.615690359366</v>
      </c>
      <c r="BP103" s="97">
        <v>6.2427403400000019</v>
      </c>
      <c r="BQ103" s="97">
        <v>12660.277409520004</v>
      </c>
      <c r="BR103" s="97">
        <v>4.4905257021973304</v>
      </c>
      <c r="BS103" s="97">
        <v>9106.7861240561851</v>
      </c>
      <c r="BT103" s="97">
        <v>8.3120021724496542</v>
      </c>
      <c r="BU103" s="97">
        <v>16856.740405727898</v>
      </c>
      <c r="BV103" s="97">
        <v>5.0516191867543219</v>
      </c>
      <c r="BW103" s="97">
        <v>10244.683710737765</v>
      </c>
      <c r="BX103" s="97">
        <v>5</v>
      </c>
      <c r="BY103" s="97">
        <v>10140</v>
      </c>
      <c r="BZ103" s="97">
        <v>4.3682909871998481</v>
      </c>
      <c r="CA103" s="97">
        <v>8858.8941220412926</v>
      </c>
      <c r="CB103" s="97">
        <v>4.2931324689859744</v>
      </c>
      <c r="CC103" s="97">
        <v>8706.4726471035556</v>
      </c>
      <c r="CD103" s="97">
        <v>7.296540696365029</v>
      </c>
      <c r="CE103" s="97">
        <v>14797.38453222828</v>
      </c>
      <c r="CF103" s="97">
        <v>5</v>
      </c>
      <c r="CG103" s="97">
        <v>10140</v>
      </c>
      <c r="CH103" s="97">
        <v>5.0306433077412098</v>
      </c>
      <c r="CI103" s="97">
        <v>10202.144628099173</v>
      </c>
      <c r="CJ103" s="97">
        <v>5.1268793942671715</v>
      </c>
      <c r="CK103" s="97">
        <v>10397.311411573824</v>
      </c>
      <c r="CL103" s="97">
        <v>4</v>
      </c>
      <c r="CM103" s="97">
        <v>8112</v>
      </c>
      <c r="CN103" s="97">
        <v>5</v>
      </c>
      <c r="CO103" s="97">
        <v>10140</v>
      </c>
      <c r="CP103" s="97">
        <v>4.0064723041221546</v>
      </c>
      <c r="CQ103" s="97">
        <v>8125.1258327597297</v>
      </c>
      <c r="CR103" s="97">
        <v>3</v>
      </c>
      <c r="CS103" s="97">
        <v>6084</v>
      </c>
      <c r="CT103" s="97">
        <v>5</v>
      </c>
      <c r="CU103" s="97">
        <v>10140</v>
      </c>
    </row>
    <row r="104" spans="2:99" x14ac:dyDescent="0.15">
      <c r="C104" s="96" t="s">
        <v>269</v>
      </c>
      <c r="D104" s="97">
        <v>0</v>
      </c>
      <c r="E104" s="97">
        <v>0</v>
      </c>
      <c r="F104" s="97">
        <v>0</v>
      </c>
      <c r="G104" s="97">
        <v>0</v>
      </c>
      <c r="H104" s="97">
        <v>28.539077773789</v>
      </c>
      <c r="I104" s="97">
        <v>59144.384778400323</v>
      </c>
      <c r="J104" s="97">
        <v>3.71400597427477</v>
      </c>
      <c r="K104" s="97">
        <v>7696.905981087034</v>
      </c>
      <c r="L104" s="97">
        <v>52.800411964139442</v>
      </c>
      <c r="M104" s="97">
        <v>109423.57375448258</v>
      </c>
      <c r="N104" s="97">
        <v>27.822737997683639</v>
      </c>
      <c r="O104" s="97">
        <v>57659.842226399574</v>
      </c>
      <c r="P104" s="97">
        <v>21.050093393171124</v>
      </c>
      <c r="Q104" s="97">
        <v>43624.213548007843</v>
      </c>
      <c r="R104" s="97">
        <v>18.865728298078224</v>
      </c>
      <c r="S104" s="97">
        <v>39097.33532493731</v>
      </c>
      <c r="T104" s="97">
        <v>28.35805052956049</v>
      </c>
      <c r="U104" s="97">
        <v>58769.22391746116</v>
      </c>
      <c r="V104" s="97">
        <v>22.685196439655201</v>
      </c>
      <c r="W104" s="97">
        <v>47012.801101541438</v>
      </c>
      <c r="X104" s="97">
        <v>29.110476234087393</v>
      </c>
      <c r="Y104" s="97">
        <v>60328.550947522715</v>
      </c>
      <c r="Z104" s="97">
        <v>11.657186856502964</v>
      </c>
      <c r="AA104" s="97">
        <v>24158.354041416744</v>
      </c>
      <c r="AB104" s="97">
        <v>25.330940376923049</v>
      </c>
      <c r="AC104" s="97">
        <v>52495.840837135329</v>
      </c>
      <c r="AD104" s="97">
        <v>25.697679697355504</v>
      </c>
      <c r="AE104" s="97">
        <v>53255.871404799545</v>
      </c>
      <c r="AF104" s="97">
        <v>13.679763177818979</v>
      </c>
      <c r="AG104" s="97">
        <v>28349.941209712051</v>
      </c>
      <c r="AH104" s="97">
        <v>27.404926206476745</v>
      </c>
      <c r="AI104" s="97">
        <v>56793.96907030241</v>
      </c>
      <c r="AJ104" s="97">
        <v>19.77774484052356</v>
      </c>
      <c r="AK104" s="97">
        <v>40987.39840750103</v>
      </c>
      <c r="AL104" s="97">
        <v>11.824514565089995</v>
      </c>
      <c r="AM104" s="97">
        <v>24505.123984692505</v>
      </c>
      <c r="AN104" s="97">
        <v>11.509684714924081</v>
      </c>
      <c r="AO104" s="97">
        <v>23852.670603208666</v>
      </c>
      <c r="AP104" s="97">
        <v>11.081331747919144</v>
      </c>
      <c r="AQ104" s="97">
        <v>22964.951914387635</v>
      </c>
      <c r="AR104" s="97">
        <v>15.64996603703359</v>
      </c>
      <c r="AS104" s="97">
        <v>32432.989615148414</v>
      </c>
      <c r="AT104" s="97">
        <v>11.574991845262121</v>
      </c>
      <c r="AU104" s="97">
        <v>23988.013100121221</v>
      </c>
      <c r="AV104" s="97">
        <v>10.576638368846162</v>
      </c>
      <c r="AW104" s="97">
        <v>21919.025355596787</v>
      </c>
      <c r="AX104" s="97">
        <v>15.69350366473828</v>
      </c>
      <c r="AY104" s="97">
        <v>32523.216994803613</v>
      </c>
      <c r="AZ104" s="97">
        <v>9.637156845145304</v>
      </c>
      <c r="BA104" s="97">
        <v>19972.043845879129</v>
      </c>
      <c r="BB104" s="97">
        <v>8.0701876200759664</v>
      </c>
      <c r="BC104" s="97">
        <v>16724.656823845435</v>
      </c>
      <c r="BD104" s="97">
        <v>13.597889617442505</v>
      </c>
      <c r="BE104" s="97">
        <v>28180.266443187847</v>
      </c>
      <c r="BF104" s="97">
        <v>10.484554799048031</v>
      </c>
      <c r="BG104" s="97">
        <v>21728.19136554714</v>
      </c>
      <c r="BH104" s="97">
        <v>9.3352890080031266</v>
      </c>
      <c r="BI104" s="97">
        <v>19346.452940185682</v>
      </c>
      <c r="BJ104" s="97">
        <v>9.5599906822157106</v>
      </c>
      <c r="BK104" s="97">
        <v>19812.124689823839</v>
      </c>
      <c r="BL104" s="97">
        <v>10.362367264459607</v>
      </c>
      <c r="BM104" s="97">
        <v>21474.969918866089</v>
      </c>
      <c r="BN104" s="97">
        <v>9.1056303281160051</v>
      </c>
      <c r="BO104" s="97">
        <v>18870.508291987611</v>
      </c>
      <c r="BP104" s="97">
        <v>6.2427403400000019</v>
      </c>
      <c r="BQ104" s="97">
        <v>12937.455080616004</v>
      </c>
      <c r="BR104" s="97">
        <v>5.4905257021973304</v>
      </c>
      <c r="BS104" s="97">
        <v>11378.565465233747</v>
      </c>
      <c r="BT104" s="97">
        <v>7</v>
      </c>
      <c r="BU104" s="97">
        <v>14506.800000000001</v>
      </c>
      <c r="BV104" s="97">
        <v>5.043015988961935</v>
      </c>
      <c r="BW104" s="97">
        <v>10451.146335524714</v>
      </c>
      <c r="BX104" s="97">
        <v>4</v>
      </c>
      <c r="BY104" s="97">
        <v>8289.6</v>
      </c>
      <c r="BZ104" s="97">
        <v>4.4143273605998292</v>
      </c>
      <c r="CA104" s="97">
        <v>9148.2520221070863</v>
      </c>
      <c r="CB104" s="97">
        <v>4.2442770574883122</v>
      </c>
      <c r="CC104" s="97">
        <v>8795.8397739387783</v>
      </c>
      <c r="CD104" s="97">
        <v>6.296540696365029</v>
      </c>
      <c r="CE104" s="97">
        <v>13048.950939146887</v>
      </c>
      <c r="CF104" s="97">
        <v>6</v>
      </c>
      <c r="CG104" s="97">
        <v>12434.400000000001</v>
      </c>
      <c r="CH104" s="97">
        <v>5.0306433077412098</v>
      </c>
      <c r="CI104" s="97">
        <v>10425.505190962884</v>
      </c>
      <c r="CJ104" s="97">
        <v>5</v>
      </c>
      <c r="CK104" s="97">
        <v>10362</v>
      </c>
      <c r="CL104" s="97">
        <v>4.1843553771639108</v>
      </c>
      <c r="CM104" s="97">
        <v>8671.6580836344892</v>
      </c>
      <c r="CN104" s="97">
        <v>4</v>
      </c>
      <c r="CO104" s="97">
        <v>8289.6</v>
      </c>
      <c r="CP104" s="97">
        <v>3.0064723041221546</v>
      </c>
      <c r="CQ104" s="97">
        <v>6230.6132030627532</v>
      </c>
      <c r="CR104" s="97">
        <v>3</v>
      </c>
      <c r="CS104" s="97">
        <v>6217.2000000000007</v>
      </c>
      <c r="CT104" s="97">
        <v>4</v>
      </c>
      <c r="CU104" s="97">
        <v>8289.6</v>
      </c>
    </row>
    <row r="105" spans="2:99" x14ac:dyDescent="0.15">
      <c r="C105" s="96" t="s">
        <v>270</v>
      </c>
      <c r="D105" s="97">
        <v>0</v>
      </c>
      <c r="E105" s="97">
        <v>0</v>
      </c>
      <c r="F105" s="97">
        <v>0</v>
      </c>
      <c r="G105" s="97">
        <v>0</v>
      </c>
      <c r="H105" s="97">
        <v>32.430770197487497</v>
      </c>
      <c r="I105" s="97">
        <v>64796.678854580023</v>
      </c>
      <c r="J105" s="97">
        <v>4.4273653370262398</v>
      </c>
      <c r="K105" s="97">
        <v>8845.8759433784271</v>
      </c>
      <c r="L105" s="97">
        <v>59.74614674623168</v>
      </c>
      <c r="M105" s="97">
        <v>119372.80119897089</v>
      </c>
      <c r="N105" s="97">
        <v>28.892843305286856</v>
      </c>
      <c r="O105" s="97">
        <v>57727.900923963141</v>
      </c>
      <c r="P105" s="97">
        <v>18.75471909217238</v>
      </c>
      <c r="Q105" s="97">
        <v>37471.928746160418</v>
      </c>
      <c r="R105" s="97">
        <v>18.19550916292928</v>
      </c>
      <c r="S105" s="97">
        <v>36354.627307532704</v>
      </c>
      <c r="T105" s="97">
        <v>28.440754100428123</v>
      </c>
      <c r="U105" s="97">
        <v>56824.626692655387</v>
      </c>
      <c r="V105" s="97">
        <v>25.644135105697185</v>
      </c>
      <c r="W105" s="97">
        <v>51236.981941182974</v>
      </c>
      <c r="X105" s="97">
        <v>26.015292556879903</v>
      </c>
      <c r="Y105" s="97">
        <v>51978.554528646047</v>
      </c>
      <c r="Z105" s="97">
        <v>10.853242935364827</v>
      </c>
      <c r="AA105" s="97">
        <v>21684.779384858924</v>
      </c>
      <c r="AB105" s="97">
        <v>22.254886641098874</v>
      </c>
      <c r="AC105" s="97">
        <v>44465.263508915552</v>
      </c>
      <c r="AD105" s="97">
        <v>25.749359674937391</v>
      </c>
      <c r="AE105" s="97">
        <v>51447.220630524906</v>
      </c>
      <c r="AF105" s="97">
        <v>14.679763177818979</v>
      </c>
      <c r="AG105" s="97">
        <v>29330.16682928232</v>
      </c>
      <c r="AH105" s="97">
        <v>27.328908821507468</v>
      </c>
      <c r="AI105" s="97">
        <v>54603.15982537192</v>
      </c>
      <c r="AJ105" s="97">
        <v>19.919152993346025</v>
      </c>
      <c r="AK105" s="97">
        <v>39798.467680705355</v>
      </c>
      <c r="AL105" s="97">
        <v>12.758553399882794</v>
      </c>
      <c r="AM105" s="97">
        <v>25491.589692965823</v>
      </c>
      <c r="AN105" s="97">
        <v>13.481368897428299</v>
      </c>
      <c r="AO105" s="97">
        <v>26935.775057061739</v>
      </c>
      <c r="AP105" s="97">
        <v>12.088109393579073</v>
      </c>
      <c r="AQ105" s="97">
        <v>24152.042568370987</v>
      </c>
      <c r="AR105" s="97">
        <v>15.549971262105345</v>
      </c>
      <c r="AS105" s="97">
        <v>31068.84258168648</v>
      </c>
      <c r="AT105" s="97">
        <v>11.492850153081818</v>
      </c>
      <c r="AU105" s="97">
        <v>22962.714605857473</v>
      </c>
      <c r="AV105" s="97">
        <v>10.610558272895936</v>
      </c>
      <c r="AW105" s="97">
        <v>21199.89542924608</v>
      </c>
      <c r="AX105" s="97">
        <v>16.69350366473828</v>
      </c>
      <c r="AY105" s="97">
        <v>33353.620322147086</v>
      </c>
      <c r="AZ105" s="97">
        <v>9.5946797221356181</v>
      </c>
      <c r="BA105" s="97">
        <v>19170.170084826965</v>
      </c>
      <c r="BB105" s="97">
        <v>9.0651742186419693</v>
      </c>
      <c r="BC105" s="97">
        <v>18112.218088846654</v>
      </c>
      <c r="BD105" s="97">
        <v>12</v>
      </c>
      <c r="BE105" s="97">
        <v>23976</v>
      </c>
      <c r="BF105" s="97">
        <v>9.5286052353251236</v>
      </c>
      <c r="BG105" s="97">
        <v>19038.153260179595</v>
      </c>
      <c r="BH105" s="97">
        <v>8.3352890080031266</v>
      </c>
      <c r="BI105" s="97">
        <v>16653.907437990249</v>
      </c>
      <c r="BJ105" s="97">
        <v>9.6030668885399955</v>
      </c>
      <c r="BK105" s="97">
        <v>19186.927643302912</v>
      </c>
      <c r="BL105" s="97">
        <v>9.4076631725170579</v>
      </c>
      <c r="BM105" s="97">
        <v>18796.511018689082</v>
      </c>
      <c r="BN105" s="97">
        <v>9.0905402812422906</v>
      </c>
      <c r="BO105" s="97">
        <v>18162.899481922097</v>
      </c>
      <c r="BP105" s="97">
        <v>7.2912884080000024</v>
      </c>
      <c r="BQ105" s="97">
        <v>14567.994239184005</v>
      </c>
      <c r="BR105" s="97">
        <v>5.4905257021973304</v>
      </c>
      <c r="BS105" s="97">
        <v>10970.070352990266</v>
      </c>
      <c r="BT105" s="97">
        <v>8</v>
      </c>
      <c r="BU105" s="97">
        <v>15984</v>
      </c>
      <c r="BV105" s="97">
        <v>5.0516191867543219</v>
      </c>
      <c r="BW105" s="97">
        <v>10093.135135135135</v>
      </c>
      <c r="BX105" s="97">
        <v>4</v>
      </c>
      <c r="BY105" s="97">
        <v>7992</v>
      </c>
      <c r="BZ105" s="97">
        <v>5.4603637339998103</v>
      </c>
      <c r="CA105" s="97">
        <v>10909.806740531621</v>
      </c>
      <c r="CB105" s="97">
        <v>4.2442770574883122</v>
      </c>
      <c r="CC105" s="97">
        <v>8480.0655608616471</v>
      </c>
      <c r="CD105" s="97">
        <v>6.2471172469708574</v>
      </c>
      <c r="CE105" s="97">
        <v>12481.740259447773</v>
      </c>
      <c r="CF105" s="97">
        <v>5</v>
      </c>
      <c r="CG105" s="97">
        <v>9990</v>
      </c>
      <c r="CH105" s="97">
        <v>5.0306433077412098</v>
      </c>
      <c r="CI105" s="97">
        <v>10051.225328866938</v>
      </c>
      <c r="CJ105" s="97">
        <v>5</v>
      </c>
      <c r="CK105" s="97">
        <v>9990</v>
      </c>
      <c r="CL105" s="97">
        <v>4</v>
      </c>
      <c r="CM105" s="97">
        <v>7992</v>
      </c>
      <c r="CN105" s="97">
        <v>5</v>
      </c>
      <c r="CO105" s="97">
        <v>9990</v>
      </c>
      <c r="CP105" s="97">
        <v>4.0064723041221546</v>
      </c>
      <c r="CQ105" s="97">
        <v>8004.9316636360645</v>
      </c>
      <c r="CR105" s="97">
        <v>4</v>
      </c>
      <c r="CS105" s="97">
        <v>7992</v>
      </c>
      <c r="CT105" s="97">
        <v>4</v>
      </c>
      <c r="CU105" s="97">
        <v>7992</v>
      </c>
    </row>
    <row r="107" spans="2:99" x14ac:dyDescent="0.15">
      <c r="B107" s="101" t="s">
        <v>275</v>
      </c>
    </row>
    <row r="108" spans="2:99" x14ac:dyDescent="0.15">
      <c r="C108" s="96" t="s">
        <v>276</v>
      </c>
      <c r="D108" s="96" t="s">
        <v>92</v>
      </c>
      <c r="E108" s="96" t="s">
        <v>93</v>
      </c>
      <c r="F108" s="96" t="s">
        <v>94</v>
      </c>
      <c r="G108" s="96" t="s">
        <v>95</v>
      </c>
      <c r="H108" s="96" t="s">
        <v>96</v>
      </c>
      <c r="I108" s="96" t="s">
        <v>97</v>
      </c>
      <c r="J108" s="96" t="s">
        <v>98</v>
      </c>
      <c r="K108" s="96" t="s">
        <v>99</v>
      </c>
      <c r="L108" s="96" t="s">
        <v>100</v>
      </c>
      <c r="M108" s="96" t="s">
        <v>101</v>
      </c>
      <c r="N108" s="96" t="s">
        <v>102</v>
      </c>
      <c r="O108" s="96" t="s">
        <v>103</v>
      </c>
    </row>
    <row r="109" spans="2:99" x14ac:dyDescent="0.15">
      <c r="C109" s="96" t="s">
        <v>126</v>
      </c>
      <c r="D109" s="97">
        <f>SUM(D$6:D$19)+SUM(F$6:F$19)+SUM(H$6:H$19)+SUM(J$6:J$19)</f>
        <v>0</v>
      </c>
      <c r="E109" s="97">
        <f>SUM(L$6:L$19)+SUM(N$6:N$19)+SUM(P$6:P$19)+SUM(R$6:R$19)</f>
        <v>0</v>
      </c>
      <c r="F109" s="97">
        <f>SUM(T$6:T$19)+SUM(V$6:V$19)+SUM(X$6:X$19)+SUM(Z$6:Z$19)</f>
        <v>0</v>
      </c>
      <c r="G109" s="97">
        <f>SUM(AB$6:AB$19)+SUM(AD$6:AD$19)+SUM(AF$6:AF$19)+SUM(AH$6:AH$19)</f>
        <v>0</v>
      </c>
      <c r="H109" s="97">
        <f>SUM(AJ$6:AJ$19)+SUM(AL$6:AL$19)+SUM(AN$6:AN$19)+SUM(AP$6:AP$19)</f>
        <v>0</v>
      </c>
      <c r="I109" s="97">
        <f>SUM(AR$6:AR$19)+SUM(AT$6:AT$19)+SUM(AV$6:AV$19)+SUM(AX$6:AX$19)</f>
        <v>0</v>
      </c>
      <c r="J109" s="97">
        <f>SUM(AZ$6:AZ$19)+SUM(BB$6:BB$19)+SUM(BD$6:BD$19)+SUM(BF$6:BF$19)</f>
        <v>0</v>
      </c>
      <c r="K109" s="97">
        <f>SUM(BH$6:BH$19)+SUM(BJ$6:BJ$19)+SUM(BL$6:BL$19)+SUM(BN$6:BN$19)</f>
        <v>0</v>
      </c>
      <c r="L109" s="97">
        <f>SUM(BP$6:BP$19)+SUM(BR$6:BR$19)+SUM(BT$6:BT$19)+SUM(BV$6:BV$19)</f>
        <v>0</v>
      </c>
      <c r="M109" s="97">
        <f>SUM(BX$6:BX$19)+SUM(BZ$6:BZ$19)+SUM(CB$6:CB$19)+SUM(CD$6:CD$19)</f>
        <v>0</v>
      </c>
      <c r="N109" s="97">
        <f>SUM(CF$6:CF$19)+SUM(CH$6:CH$19)+SUM(CJ$6:CJ$19)+SUM(CL$6:CL$19)</f>
        <v>0</v>
      </c>
      <c r="O109" s="97">
        <f>SUM(CN$6:CN$19)+SUM(CP$6:CP$19)+SUM(CR$6:CR$19)+SUM(CT$6:CT$19)</f>
        <v>0</v>
      </c>
    </row>
    <row r="110" spans="2:99" x14ac:dyDescent="0.15">
      <c r="C110" s="96" t="s">
        <v>127</v>
      </c>
      <c r="D110" s="97">
        <f>SUM(D$20:D$36)+SUM(F$20:F$36)+SUM(H$20:H$36)+SUM(J$20:J$36)</f>
        <v>0</v>
      </c>
      <c r="E110" s="97">
        <f>SUM(L$20:L$36)+SUM(N$20:N$36)+SUM(P$20:P$36)+SUM(R$20:R$36)</f>
        <v>0</v>
      </c>
      <c r="F110" s="97">
        <f>SUM(T$20:T$36)+SUM(V$20:V$36)+SUM(X$20:X$36)+SUM(Z$20:Z$36)</f>
        <v>0</v>
      </c>
      <c r="G110" s="97">
        <f>SUM(AB$20:AB$36)+SUM(AD$20:AD$36)+SUM(AF$20:AF$36)+SUM(AH$20:AH$36)</f>
        <v>0</v>
      </c>
      <c r="H110" s="97">
        <f>SUM(AJ$20:AJ$36)+SUM(AL$20:AL$36)+SUM(AN$20:AN$36)+SUM(AP$20:AP$36)</f>
        <v>0</v>
      </c>
      <c r="I110" s="97">
        <f>SUM(AR$20:AR$36)+SUM(AT$20:AT$36)+SUM(AV$20:AV$36)+SUM(AX$20:AX$36)</f>
        <v>0</v>
      </c>
      <c r="J110" s="97">
        <f>SUM(AZ$20:AZ$36)+SUM(BB$20:BB$36)+SUM(BD$20:BD$36)+SUM(BF$20:BF$36)</f>
        <v>0</v>
      </c>
      <c r="K110" s="97">
        <f>SUM(BH$20:BH$36)+SUM(BJ$20:BJ$36)+SUM(BL$20:BL$36)+SUM(BN$20:BN$36)</f>
        <v>0</v>
      </c>
      <c r="L110" s="97">
        <f>SUM(BP$20:BP$36)+SUM(BR$20:BR$36)+SUM(BT$20:BT$36)+SUM(BV$20:BV$36)</f>
        <v>0</v>
      </c>
      <c r="M110" s="97">
        <f>SUM(BX$20:BX$36)+SUM(BZ$20:BZ$36)+SUM(CB$20:CB$36)+SUM(CD$20:CD$36)</f>
        <v>0</v>
      </c>
      <c r="N110" s="97">
        <f>SUM(CF$20:CF$36)+SUM(CH$20:CH$36)+SUM(CJ$20:CJ$36)+SUM(CL$20:CL$36)</f>
        <v>0</v>
      </c>
      <c r="O110" s="97">
        <f>SUM(CN$20:CN$36)+SUM(CP$20:CP$36)+SUM(CR$20:CR$36)+SUM(CT$20:CT$36)</f>
        <v>0</v>
      </c>
    </row>
    <row r="111" spans="2:99" x14ac:dyDescent="0.15">
      <c r="C111" s="96" t="s">
        <v>128</v>
      </c>
      <c r="D111" s="97">
        <f>SUM(D$37:D$48)+SUM(F$37:F$48)+SUM(H$37:H$48)+SUM(J$37:J$48)</f>
        <v>0</v>
      </c>
      <c r="E111" s="97">
        <f>SUM(L$37:L$48)+SUM(N$37:N$48)+SUM(P$37:P$48)+SUM(R$37:R$48)</f>
        <v>0</v>
      </c>
      <c r="F111" s="97">
        <f>SUM(T$37:T$48)+SUM(V$37:V$48)+SUM(X$37:X$48)+SUM(Z$37:Z$48)</f>
        <v>0</v>
      </c>
      <c r="G111" s="97">
        <f>SUM(AB$37:AB$48)+SUM(AD$37:AD$48)+SUM(AF$37:AF$48)+SUM(AH$37:AH$48)</f>
        <v>0</v>
      </c>
      <c r="H111" s="97">
        <f>SUM(AJ$37:AJ$48)+SUM(AL$37:AL$48)+SUM(AN$37:AN$48)+SUM(AP$37:AP$48)</f>
        <v>0</v>
      </c>
      <c r="I111" s="97">
        <f>SUM(AR$37:AR$48)+SUM(AT$37:AT$48)+SUM(AV$37:AV$48)+SUM(AX$37:AX$48)</f>
        <v>0</v>
      </c>
      <c r="J111" s="97">
        <f>SUM(AZ$37:AZ$48)+SUM(BB$37:BB$48)+SUM(BD$37:BD$48)+SUM(BF$37:BF$48)</f>
        <v>0</v>
      </c>
      <c r="K111" s="97">
        <f>SUM(BH$37:BH$48)+SUM(BJ$37:BJ$48)+SUM(BL$37:BL$48)+SUM(BN$37:BN$48)</f>
        <v>0</v>
      </c>
      <c r="L111" s="97">
        <f>SUM(BP$37:BP$48)+SUM(BR$37:BR$48)+SUM(BT$37:BT$48)+SUM(BV$37:BV$48)</f>
        <v>0</v>
      </c>
      <c r="M111" s="97">
        <f>SUM(BX$37:BX$48)+SUM(BZ$37:BZ$48)+SUM(CB$37:CB$48)+SUM(CD$37:CD$48)</f>
        <v>0</v>
      </c>
      <c r="N111" s="97">
        <f>SUM(CF$37:CF$48)+SUM(CH$37:CH$48)+SUM(CJ$37:CJ$48)+SUM(CL$37:CL$48)</f>
        <v>0</v>
      </c>
      <c r="O111" s="97">
        <f>SUM(CN$37:CN$48)+SUM(CP$37:CP$48)+SUM(CR$37:CR$48)+SUM(CT$37:CT$48)</f>
        <v>0</v>
      </c>
    </row>
    <row r="112" spans="2:99" x14ac:dyDescent="0.15">
      <c r="C112" s="96" t="s">
        <v>129</v>
      </c>
      <c r="D112" s="97">
        <f>SUM(D$49:D$70)+SUM(F$49:F$70)+SUM(H$49:H$70)+SUM(J$49:J$70)</f>
        <v>66.299132553865178</v>
      </c>
      <c r="E112" s="97">
        <f>SUM(L$49:L$70)+SUM(N$49:N$70)+SUM(P$49:P$70)+SUM(R$49:R$70)</f>
        <v>424.70154119792016</v>
      </c>
      <c r="F112" s="97">
        <f>SUM(T$49:T$70)+SUM(V$49:V$70)+SUM(X$49:X$70)+SUM(Z$49:Z$70)</f>
        <v>281.14662377222754</v>
      </c>
      <c r="G112" s="97">
        <f>SUM(AB$49:AB$70)+SUM(AD$49:AD$70)+SUM(AF$49:AF$70)+SUM(AH$49:AH$70)</f>
        <v>255.49785366067064</v>
      </c>
      <c r="H112" s="97">
        <f>SUM(AJ$49:AJ$70)+SUM(AL$49:AL$70)+SUM(AN$49:AN$70)+SUM(AP$49:AP$70)</f>
        <v>177.89609420359511</v>
      </c>
      <c r="I112" s="97">
        <f>SUM(AR$49:AR$70)+SUM(AT$49:AT$70)+SUM(AV$49:AV$70)+SUM(AX$49:AX$70)</f>
        <v>151.67819538351461</v>
      </c>
      <c r="J112" s="97">
        <f>SUM(AZ$49:AZ$70)+SUM(BB$49:BB$70)+SUM(BD$49:BD$70)+SUM(BF$49:BF$70)</f>
        <v>99.821263659828674</v>
      </c>
      <c r="K112" s="97">
        <f>SUM(BH$49:BH$70)+SUM(BJ$49:BJ$70)+SUM(BL$49:BL$70)+SUM(BN$49:BN$70)</f>
        <v>85.285296911558433</v>
      </c>
      <c r="L112" s="97">
        <f>SUM(BP$49:BP$70)+SUM(BR$49:BR$70)+SUM(BT$49:BT$70)+SUM(BV$49:BV$70)</f>
        <v>71.139149017862053</v>
      </c>
      <c r="M112" s="97">
        <f>SUM(BX$49:BX$70)+SUM(BZ$49:BZ$70)+SUM(CB$49:CB$70)+SUM(CD$49:CD$70)</f>
        <v>62.249459071292293</v>
      </c>
      <c r="N112" s="97">
        <f>SUM(CF$49:CF$70)+SUM(CH$49:CH$70)+SUM(CJ$49:CJ$70)+SUM(CL$49:CL$70)</f>
        <v>48.482782541938882</v>
      </c>
      <c r="O112" s="97">
        <f>SUM(CN$49:CN$70)+SUM(CP$49:CP$70)+SUM(CR$49:CR$70)+SUM(CT$49:CT$70)</f>
        <v>40.014239069068736</v>
      </c>
    </row>
    <row r="113" spans="2:15" x14ac:dyDescent="0.15">
      <c r="C113" s="96" t="s">
        <v>130</v>
      </c>
      <c r="D113" s="97">
        <f>SUM(D$71:D$86)+SUM(F$71:F$86)+SUM(H$71:H$86)+SUM(J$71:J$86)</f>
        <v>540.44104527575223</v>
      </c>
      <c r="E113" s="97">
        <f>SUM(L$71:L$86)+SUM(N$71:N$86)+SUM(P$71:P$86)+SUM(R$71:R$86)</f>
        <v>1729.9613582372808</v>
      </c>
      <c r="F113" s="97">
        <f>SUM(T$71:T$86)+SUM(V$71:V$86)+SUM(X$71:X$86)+SUM(Z$71:Z$86)</f>
        <v>1553.1471046378526</v>
      </c>
      <c r="G113" s="97">
        <f>SUM(AB$71:AB$86)+SUM(AD$71:AD$86)+SUM(AF$71:AF$86)+SUM(AH$71:AH$86)</f>
        <v>1392.652623467196</v>
      </c>
      <c r="H113" s="97">
        <f>SUM(AJ$71:AJ$86)+SUM(AL$71:AL$86)+SUM(AN$71:AN$86)+SUM(AP$71:AP$86)</f>
        <v>834.22918561791812</v>
      </c>
      <c r="I113" s="97">
        <f>SUM(AR$71:AR$86)+SUM(AT$71:AT$86)+SUM(AV$71:AV$86)+SUM(AX$71:AX$86)</f>
        <v>787.05296741193433</v>
      </c>
      <c r="J113" s="97">
        <f>SUM(AZ$71:AZ$86)+SUM(BB$71:BB$86)+SUM(BD$71:BD$86)+SUM(BF$71:BF$86)</f>
        <v>489.25306154151269</v>
      </c>
      <c r="K113" s="97">
        <f>SUM(BH$71:BH$86)+SUM(BJ$71:BJ$86)+SUM(BL$71:BL$86)+SUM(BN$71:BN$86)</f>
        <v>340.87501865618935</v>
      </c>
      <c r="L113" s="97">
        <f>SUM(BP$71:BP$86)+SUM(BR$71:BR$86)+SUM(BT$71:BT$86)+SUM(BV$71:BV$86)</f>
        <v>360.66902037172309</v>
      </c>
      <c r="M113" s="97">
        <f>SUM(BX$71:BX$86)+SUM(BZ$71:BZ$86)+SUM(CB$71:CB$86)+SUM(CD$71:CD$86)</f>
        <v>309.23534635279827</v>
      </c>
      <c r="N113" s="97">
        <f>SUM(CF$71:CF$86)+SUM(CH$71:CH$86)+SUM(CJ$71:CJ$86)+SUM(CL$71:CL$86)</f>
        <v>186.776297129444</v>
      </c>
      <c r="O113" s="97">
        <f>SUM(CN$71:CN$86)+SUM(CP$71:CP$86)+SUM(CR$71:CR$86)+SUM(CT$71:CT$86)</f>
        <v>196.09837902265676</v>
      </c>
    </row>
    <row r="114" spans="2:15" x14ac:dyDescent="0.15">
      <c r="C114" s="96" t="s">
        <v>131</v>
      </c>
      <c r="D114" s="97">
        <f>SUM(D$87:D$94)+SUM(F$87:F$94)+SUM(H$87:H$94)+SUM(J$87:J$94)</f>
        <v>183.38246401249282</v>
      </c>
      <c r="E114" s="97">
        <f>SUM(L$87:L$94)+SUM(N$87:N$94)+SUM(P$87:P$94)+SUM(R$87:R$94)</f>
        <v>843.89261889781801</v>
      </c>
      <c r="F114" s="97">
        <f>SUM(T$87:T$94)+SUM(V$87:V$94)+SUM(X$87:X$94)+SUM(Z$87:Z$94)</f>
        <v>654.83571391473163</v>
      </c>
      <c r="G114" s="97">
        <f>SUM(AB$87:AB$94)+SUM(AD$87:AD$94)+SUM(AF$87:AF$94)+SUM(AH$87:AH$94)</f>
        <v>438.88719159003858</v>
      </c>
      <c r="H114" s="97">
        <f>SUM(AJ$87:AJ$94)+SUM(AL$87:AL$94)+SUM(AN$87:AN$94)+SUM(AP$87:AP$94)</f>
        <v>488.01584292253261</v>
      </c>
      <c r="I114" s="97">
        <f>SUM(AR$87:AR$94)+SUM(AT$87:AT$94)+SUM(AV$87:AV$94)+SUM(AX$87:AX$94)</f>
        <v>347.09756450137843</v>
      </c>
      <c r="J114" s="97">
        <f>SUM(AZ$87:AZ$94)+SUM(BB$87:BB$94)+SUM(BD$87:BD$94)+SUM(BF$87:BF$94)</f>
        <v>241.95841742232889</v>
      </c>
      <c r="K114" s="97">
        <f>SUM(BH$87:BH$94)+SUM(BJ$87:BJ$94)+SUM(BL$87:BL$94)+SUM(BN$87:BN$94)</f>
        <v>215.69229403788859</v>
      </c>
      <c r="L114" s="97">
        <f>SUM(BP$87:BP$94)+SUM(BR$87:BR$94)+SUM(BT$87:BT$94)+SUM(BV$87:BV$94)</f>
        <v>181.85431966255851</v>
      </c>
      <c r="M114" s="97">
        <f>SUM(BX$87:BX$94)+SUM(BZ$87:BZ$94)+SUM(CB$87:CB$94)+SUM(CD$87:CD$94)</f>
        <v>161.82516706375449</v>
      </c>
      <c r="N114" s="97">
        <f>SUM(CF$87:CF$94)+SUM(CH$87:CH$94)+SUM(CJ$87:CJ$94)+SUM(CL$87:CL$94)</f>
        <v>127.44083682474204</v>
      </c>
      <c r="O114" s="97">
        <f>SUM(CN$87:CN$94)+SUM(CP$87:CP$94)+SUM(CR$87:CR$94)+SUM(CT$87:CT$94)</f>
        <v>109.19019933611108</v>
      </c>
    </row>
    <row r="115" spans="2:15" x14ac:dyDescent="0.15">
      <c r="C115" s="96" t="s">
        <v>132</v>
      </c>
      <c r="D115" s="97">
        <f>SUM(D$95:D$105)+SUM(F$95:F$105)+SUM(H$95:H$105)+SUM(J$95:J$105)</f>
        <v>382.61301024053176</v>
      </c>
      <c r="E115" s="97">
        <f>SUM(L$95:L$105)+SUM(N$95:N$105)+SUM(P$95:P$105)+SUM(R$95:R$105)</f>
        <v>1410.8087129013054</v>
      </c>
      <c r="F115" s="97">
        <f>SUM(T$95:T$105)+SUM(V$95:V$105)+SUM(X$95:X$105)+SUM(Z$95:Z$105)</f>
        <v>1013.0806694588929</v>
      </c>
      <c r="G115" s="97">
        <f>SUM(AB$95:AB$105)+SUM(AD$95:AD$105)+SUM(AF$95:AF$105)+SUM(AH$95:AH$105)</f>
        <v>1036.3846985734151</v>
      </c>
      <c r="H115" s="97">
        <f>SUM(AJ$95:AJ$105)+SUM(AL$95:AL$105)+SUM(AN$95:AN$105)+SUM(AP$95:AP$105)</f>
        <v>642.64980780894109</v>
      </c>
      <c r="I115" s="97">
        <f>SUM(AR$95:AR$105)+SUM(AT$95:AT$105)+SUM(AV$95:AV$105)+SUM(AX$95:AX$105)</f>
        <v>617.01604803535247</v>
      </c>
      <c r="J115" s="97">
        <f>SUM(AZ$95:AZ$105)+SUM(BB$95:BB$105)+SUM(BD$95:BD$105)+SUM(BF$95:BF$105)</f>
        <v>443.9499707869976</v>
      </c>
      <c r="K115" s="97">
        <f>SUM(BH$95:BH$105)+SUM(BJ$95:BJ$105)+SUM(BL$95:BL$105)+SUM(BN$95:BN$105)</f>
        <v>431.11790551953669</v>
      </c>
      <c r="L115" s="97">
        <f>SUM(BP$95:BP$105)+SUM(BR$95:BR$105)+SUM(BT$95:BT$105)+SUM(BV$95:BV$105)</f>
        <v>269.43371873534329</v>
      </c>
      <c r="M115" s="97">
        <f>SUM(BX$95:BX$105)+SUM(BZ$95:BZ$105)+SUM(CB$95:CB$105)+SUM(CD$95:CD$105)</f>
        <v>222.16231507553033</v>
      </c>
      <c r="N115" s="97">
        <f>SUM(CF$95:CF$105)+SUM(CH$95:CH$105)+SUM(CJ$95:CJ$105)+SUM(CL$95:CL$105)</f>
        <v>214.60755156066196</v>
      </c>
      <c r="O115" s="97">
        <f>SUM(CN$95:CN$105)+SUM(CP$95:CP$105)+SUM(CR$95:CR$105)+SUM(CT$95:CT$105)</f>
        <v>179.37780975057328</v>
      </c>
    </row>
    <row r="116" spans="2:15" x14ac:dyDescent="0.15">
      <c r="C116" s="96" t="s">
        <v>277</v>
      </c>
      <c r="D116" s="97">
        <f t="shared" ref="D116:O116" si="0">SUM(D$109:D$115)</f>
        <v>1172.735652082642</v>
      </c>
      <c r="E116" s="97">
        <f t="shared" si="0"/>
        <v>4409.3642312343245</v>
      </c>
      <c r="F116" s="97">
        <f t="shared" si="0"/>
        <v>3502.2101117837046</v>
      </c>
      <c r="G116" s="97">
        <f t="shared" si="0"/>
        <v>3123.4223672913204</v>
      </c>
      <c r="H116" s="97">
        <f t="shared" si="0"/>
        <v>2142.790930552987</v>
      </c>
      <c r="I116" s="97">
        <f t="shared" si="0"/>
        <v>1902.8447753321798</v>
      </c>
      <c r="J116" s="97">
        <f t="shared" si="0"/>
        <v>1274.9827134106679</v>
      </c>
      <c r="K116" s="97">
        <f t="shared" si="0"/>
        <v>1072.9705151251731</v>
      </c>
      <c r="L116" s="97">
        <f t="shared" si="0"/>
        <v>883.09620778748695</v>
      </c>
      <c r="M116" s="97">
        <f t="shared" si="0"/>
        <v>755.4722875633754</v>
      </c>
      <c r="N116" s="97">
        <f t="shared" si="0"/>
        <v>577.30746805678689</v>
      </c>
      <c r="O116" s="97">
        <f t="shared" si="0"/>
        <v>524.68062717840985</v>
      </c>
    </row>
    <row r="118" spans="2:15" x14ac:dyDescent="0.15">
      <c r="B118" s="100" t="s">
        <v>278</v>
      </c>
    </row>
    <row r="119" spans="2:15" x14ac:dyDescent="0.15">
      <c r="C119" s="96" t="s">
        <v>276</v>
      </c>
      <c r="D119" s="96" t="s">
        <v>92</v>
      </c>
      <c r="E119" s="96" t="s">
        <v>93</v>
      </c>
      <c r="F119" s="96" t="s">
        <v>94</v>
      </c>
      <c r="G119" s="96" t="s">
        <v>95</v>
      </c>
      <c r="H119" s="96" t="s">
        <v>96</v>
      </c>
      <c r="I119" s="96" t="s">
        <v>97</v>
      </c>
      <c r="J119" s="96" t="s">
        <v>98</v>
      </c>
      <c r="K119" s="96" t="s">
        <v>99</v>
      </c>
      <c r="L119" s="96" t="s">
        <v>100</v>
      </c>
      <c r="M119" s="96" t="s">
        <v>101</v>
      </c>
      <c r="N119" s="96" t="s">
        <v>102</v>
      </c>
      <c r="O119" s="96" t="s">
        <v>103</v>
      </c>
    </row>
    <row r="120" spans="2:15" x14ac:dyDescent="0.15">
      <c r="C120" s="96" t="s">
        <v>126</v>
      </c>
      <c r="D120" s="97">
        <f>D109*pricing!D33*2000</f>
        <v>0</v>
      </c>
      <c r="E120" s="97">
        <f>E109*pricing!E33*2000</f>
        <v>0</v>
      </c>
      <c r="F120" s="97">
        <f>F109*pricing!F33*2000</f>
        <v>0</v>
      </c>
      <c r="G120" s="97">
        <f>G109*pricing!G33*2000</f>
        <v>0</v>
      </c>
      <c r="H120" s="97">
        <f>H109*pricing!H33*2000</f>
        <v>0</v>
      </c>
      <c r="I120" s="97">
        <f>I109*pricing!I33*2000</f>
        <v>0</v>
      </c>
      <c r="J120" s="97">
        <f>J109*pricing!J33*2000</f>
        <v>0</v>
      </c>
      <c r="K120" s="97">
        <f>K109*pricing!K33*2000</f>
        <v>0</v>
      </c>
      <c r="L120" s="97">
        <f>L109*pricing!L33*2000</f>
        <v>0</v>
      </c>
      <c r="M120" s="97">
        <f>M109*pricing!M33*2000</f>
        <v>0</v>
      </c>
      <c r="N120" s="97">
        <f>N109*pricing!N33*2000</f>
        <v>0</v>
      </c>
      <c r="O120" s="97">
        <f>O109*pricing!O33*2000</f>
        <v>0</v>
      </c>
    </row>
    <row r="121" spans="2:15" x14ac:dyDescent="0.15">
      <c r="C121" s="96" t="s">
        <v>127</v>
      </c>
      <c r="D121" s="97">
        <f>D110*pricing!D34*2000</f>
        <v>0</v>
      </c>
      <c r="E121" s="97">
        <f>E110*pricing!E34*2000</f>
        <v>0</v>
      </c>
      <c r="F121" s="97">
        <f>F110*pricing!F34*2000</f>
        <v>0</v>
      </c>
      <c r="G121" s="97">
        <f>G110*pricing!G34*2000</f>
        <v>0</v>
      </c>
      <c r="H121" s="97">
        <f>H110*pricing!H34*2000</f>
        <v>0</v>
      </c>
      <c r="I121" s="97">
        <f>I110*pricing!I34*2000</f>
        <v>0</v>
      </c>
      <c r="J121" s="97">
        <f>J110*pricing!J34*2000</f>
        <v>0</v>
      </c>
      <c r="K121" s="97">
        <f>K110*pricing!K34*2000</f>
        <v>0</v>
      </c>
      <c r="L121" s="97">
        <f>L110*pricing!L34*2000</f>
        <v>0</v>
      </c>
      <c r="M121" s="97">
        <f>M110*pricing!M34*2000</f>
        <v>0</v>
      </c>
      <c r="N121" s="97">
        <f>N110*pricing!N34*2000</f>
        <v>0</v>
      </c>
      <c r="O121" s="97">
        <f>O110*pricing!O34*2000</f>
        <v>0</v>
      </c>
    </row>
    <row r="122" spans="2:15" x14ac:dyDescent="0.15">
      <c r="C122" s="96" t="s">
        <v>128</v>
      </c>
      <c r="D122" s="97">
        <f>D111*pricing!D35*2000</f>
        <v>0</v>
      </c>
      <c r="E122" s="97">
        <f>E111*pricing!E35*2000</f>
        <v>0</v>
      </c>
      <c r="F122" s="97">
        <f>F111*pricing!F35*2000</f>
        <v>0</v>
      </c>
      <c r="G122" s="97">
        <f>G111*pricing!G35*2000</f>
        <v>0</v>
      </c>
      <c r="H122" s="97">
        <f>H111*pricing!H35*2000</f>
        <v>0</v>
      </c>
      <c r="I122" s="97">
        <f>I111*pricing!I35*2000</f>
        <v>0</v>
      </c>
      <c r="J122" s="97">
        <f>J111*pricing!J35*2000</f>
        <v>0</v>
      </c>
      <c r="K122" s="97">
        <f>K111*pricing!K35*2000</f>
        <v>0</v>
      </c>
      <c r="L122" s="97">
        <f>L111*pricing!L35*2000</f>
        <v>0</v>
      </c>
      <c r="M122" s="97">
        <f>M111*pricing!M35*2000</f>
        <v>0</v>
      </c>
      <c r="N122" s="97">
        <f>N111*pricing!N35*2000</f>
        <v>0</v>
      </c>
      <c r="O122" s="97">
        <f>O111*pricing!O35*2000</f>
        <v>0</v>
      </c>
    </row>
    <row r="123" spans="2:15" x14ac:dyDescent="0.15">
      <c r="C123" s="96" t="s">
        <v>129</v>
      </c>
      <c r="D123" s="97">
        <f>D112*pricing!D36*2000</f>
        <v>132598.26510773035</v>
      </c>
      <c r="E123" s="97">
        <f>E112*pricing!E36*2000</f>
        <v>1081058.4685037967</v>
      </c>
      <c r="F123" s="97">
        <f>F112*pricing!F36*2000</f>
        <v>868998.65529597609</v>
      </c>
      <c r="G123" s="97">
        <f>G112*pricing!G36*2000</f>
        <v>929083.10422062047</v>
      </c>
      <c r="H123" s="97">
        <f>H112*pricing!H36*2000</f>
        <v>743929.12121503416</v>
      </c>
      <c r="I123" s="97">
        <f>I112*pricing!I36*2000</f>
        <v>717024.19635843264</v>
      </c>
      <c r="J123" s="97">
        <f>J112*pricing!J36*2000</f>
        <v>526330.29929727828</v>
      </c>
      <c r="K123" s="97">
        <f>K112*pricing!K36*2000</f>
        <v>496205.36384906713</v>
      </c>
      <c r="L123" s="97">
        <f>L112*pricing!L36*2000</f>
        <v>452703.67556821293</v>
      </c>
      <c r="M123" s="97">
        <f>M112*pricing!M36*2000</f>
        <v>430087.17176529206</v>
      </c>
      <c r="N123" s="97">
        <f>N112*pricing!N36*2000</f>
        <v>361417.10622172605</v>
      </c>
      <c r="O123" s="97">
        <f>O112*pricing!O36*2000</f>
        <v>320113.91255254974</v>
      </c>
    </row>
    <row r="124" spans="2:15" x14ac:dyDescent="0.15">
      <c r="C124" s="96" t="s">
        <v>130</v>
      </c>
      <c r="D124" s="97">
        <f>D113*pricing!D37*2000</f>
        <v>1080882.0905515044</v>
      </c>
      <c r="E124" s="97">
        <f>E113*pricing!E37*2000</f>
        <v>4403538.0027858056</v>
      </c>
      <c r="F124" s="97">
        <f>F113*pricing!F37*2000</f>
        <v>4800636.5052442718</v>
      </c>
      <c r="G124" s="97">
        <f>G113*pricing!G37*2000</f>
        <v>5064191.3580625309</v>
      </c>
      <c r="H124" s="97">
        <f>H113*pricing!H37*2000</f>
        <v>3488594.7762203845</v>
      </c>
      <c r="I124" s="97">
        <f>I113*pricing!I37*2000</f>
        <v>3720614.0277655073</v>
      </c>
      <c r="J124" s="97">
        <f>J113*pricing!J37*2000</f>
        <v>2579697.9608552484</v>
      </c>
      <c r="K124" s="97">
        <f>K113*pricing!K37*2000</f>
        <v>1983272.8358178283</v>
      </c>
      <c r="L124" s="97">
        <f>L113*pricing!L37*2000</f>
        <v>2295166.4932746007</v>
      </c>
      <c r="M124" s="97">
        <f>M113*pricing!M37*2000</f>
        <v>2136535.1202556961</v>
      </c>
      <c r="N124" s="97">
        <f>N113*pricing!N37*2000</f>
        <v>1392332.3967831274</v>
      </c>
      <c r="O124" s="97">
        <f>O113*pricing!O37*2000</f>
        <v>1568787.0321812534</v>
      </c>
    </row>
    <row r="125" spans="2:15" x14ac:dyDescent="0.15">
      <c r="C125" s="96" t="s">
        <v>131</v>
      </c>
      <c r="D125" s="97">
        <f>D114*pricing!D38*2000</f>
        <v>366764.92802498565</v>
      </c>
      <c r="E125" s="97">
        <f>E114*pricing!E38*2000</f>
        <v>2148090.3026489913</v>
      </c>
      <c r="F125" s="97">
        <f>F114*pricing!F38*2000</f>
        <v>2024037.6611909885</v>
      </c>
      <c r="G125" s="97">
        <f>G114*pricing!G38*2000</f>
        <v>1595953.4239637768</v>
      </c>
      <c r="H125" s="97">
        <f>H114*pricing!H38*2000</f>
        <v>2040793.5249487727</v>
      </c>
      <c r="I125" s="97">
        <f>I114*pricing!I38*2000</f>
        <v>1640824.8503701522</v>
      </c>
      <c r="J125" s="97">
        <f>J114*pricing!J38*2000</f>
        <v>1275780.746408643</v>
      </c>
      <c r="K125" s="97">
        <f>K114*pricing!K38*2000</f>
        <v>1254936.9834931698</v>
      </c>
      <c r="L125" s="97">
        <f>L114*pricing!L38*2000</f>
        <v>1157254.7614890083</v>
      </c>
      <c r="M125" s="97">
        <f>M114*pricing!M38*2000</f>
        <v>1118064.7906223033</v>
      </c>
      <c r="N125" s="97">
        <f>N114*pricing!N38*2000</f>
        <v>950013.51087534928</v>
      </c>
      <c r="O125" s="97">
        <f>O114*pricing!O38*2000</f>
        <v>873521.59468888829</v>
      </c>
    </row>
    <row r="126" spans="2:15" x14ac:dyDescent="0.15">
      <c r="C126" s="96" t="s">
        <v>132</v>
      </c>
      <c r="D126" s="97">
        <f>D115*pricing!D39*2000</f>
        <v>765226.02048106352</v>
      </c>
      <c r="E126" s="97">
        <f>E115*pricing!E39*2000</f>
        <v>3591149.4510215046</v>
      </c>
      <c r="F126" s="97">
        <f>F115*pricing!F39*2000</f>
        <v>3131340.2510547601</v>
      </c>
      <c r="G126" s="97">
        <f>G115*pricing!G39*2000</f>
        <v>3768671.6311760545</v>
      </c>
      <c r="H126" s="97">
        <f>H115*pricing!H39*2000</f>
        <v>2687444.6508373898</v>
      </c>
      <c r="I126" s="97">
        <f>I115*pricing!I39*2000</f>
        <v>2916803.1361671207</v>
      </c>
      <c r="J126" s="97">
        <f>J115*pricing!J39*2000</f>
        <v>2340827.118695078</v>
      </c>
      <c r="K126" s="97">
        <f>K115*pricing!K39*2000</f>
        <v>2508322.3593863947</v>
      </c>
      <c r="L126" s="97">
        <f>L115*pricing!L39*2000</f>
        <v>1714578.2101340021</v>
      </c>
      <c r="M126" s="97">
        <f>M115*pricing!M39*2000</f>
        <v>1534939.6314309363</v>
      </c>
      <c r="N126" s="97">
        <f>N115*pricing!N39*2000</f>
        <v>1599801.7479976614</v>
      </c>
      <c r="O126" s="97">
        <f>O115*pricing!O39*2000</f>
        <v>1435022.4780045855</v>
      </c>
    </row>
    <row r="127" spans="2:15" x14ac:dyDescent="0.15">
      <c r="C127" s="96" t="s">
        <v>277</v>
      </c>
      <c r="D127" s="97">
        <f>SUM(D$120:D$126)</f>
        <v>2345471.3041652841</v>
      </c>
      <c r="E127" s="97">
        <f t="shared" ref="E127:O127" si="1">SUM(E$120:E$126)</f>
        <v>11223836.224960098</v>
      </c>
      <c r="F127" s="97">
        <f t="shared" si="1"/>
        <v>10825013.072785996</v>
      </c>
      <c r="G127" s="97">
        <f t="shared" si="1"/>
        <v>11357899.517422982</v>
      </c>
      <c r="H127" s="97">
        <f t="shared" si="1"/>
        <v>8960762.0732215811</v>
      </c>
      <c r="I127" s="97">
        <f t="shared" si="1"/>
        <v>8995266.210661212</v>
      </c>
      <c r="J127" s="97">
        <f t="shared" si="1"/>
        <v>6722636.1252562478</v>
      </c>
      <c r="K127" s="97">
        <f t="shared" si="1"/>
        <v>6242737.5425464604</v>
      </c>
      <c r="L127" s="97">
        <f t="shared" si="1"/>
        <v>5619703.1404658239</v>
      </c>
      <c r="M127" s="97">
        <f t="shared" si="1"/>
        <v>5219626.714074228</v>
      </c>
      <c r="N127" s="97">
        <f t="shared" si="1"/>
        <v>4303564.7618778646</v>
      </c>
      <c r="O127" s="97">
        <f t="shared" si="1"/>
        <v>4197445.0174272768</v>
      </c>
    </row>
    <row r="129" spans="2:15" x14ac:dyDescent="0.15">
      <c r="B129" s="100" t="s">
        <v>279</v>
      </c>
    </row>
    <row r="130" spans="2:15" x14ac:dyDescent="0.15">
      <c r="C130" s="102" t="s">
        <v>276</v>
      </c>
      <c r="D130" s="102" t="s">
        <v>92</v>
      </c>
      <c r="E130" s="102" t="s">
        <v>93</v>
      </c>
      <c r="F130" s="102" t="s">
        <v>94</v>
      </c>
      <c r="G130" s="102" t="s">
        <v>95</v>
      </c>
      <c r="H130" s="102" t="s">
        <v>96</v>
      </c>
      <c r="I130" s="102" t="s">
        <v>97</v>
      </c>
      <c r="J130" s="102" t="s">
        <v>98</v>
      </c>
      <c r="K130" s="102" t="s">
        <v>99</v>
      </c>
      <c r="L130" s="102" t="s">
        <v>100</v>
      </c>
      <c r="M130" s="102" t="s">
        <v>101</v>
      </c>
      <c r="N130" s="102" t="s">
        <v>102</v>
      </c>
      <c r="O130" s="102" t="s">
        <v>103</v>
      </c>
    </row>
    <row r="131" spans="2:15" x14ac:dyDescent="0.15">
      <c r="C131" s="102" t="s">
        <v>126</v>
      </c>
      <c r="D131" s="103">
        <f>SUM(E$6:E$19)+SUM(G$6:G$19)+SUM(I$6:I$19)+SUM(K$6:K$19)</f>
        <v>0</v>
      </c>
      <c r="E131" s="103">
        <f>SUM(M$6:M$19)+SUM(O$6:O$19)+SUM(Q$6:Q$19)+SUM(S$6:S$19)</f>
        <v>0</v>
      </c>
      <c r="F131" s="103">
        <f>SUM(U$6:U$19)+SUM(W$6:W$19)+SUM(Y$6:Y$19)+SUM(AA$6:AA$19)</f>
        <v>0</v>
      </c>
      <c r="G131" s="103">
        <f>SUM(AC$6:AC$19)+SUM(AE$6:AE$19)+SUM(AG$6:AG$19)+SUM(AI$6:AI$19)</f>
        <v>0</v>
      </c>
      <c r="H131" s="103">
        <f>SUM(AK$6:AK$19)+SUM(AM$6:AM$19)+SUM(AO$6:AO$19)+SUM(AQ$6:AQ$19)</f>
        <v>0</v>
      </c>
      <c r="I131" s="103">
        <f>SUM(AS$6:AS$19)+SUM(AU$6:AU$19)+SUM(AW$6:AW$19)+SUM(AY$6:AY$19)</f>
        <v>0</v>
      </c>
      <c r="J131" s="103">
        <f>SUM(BA$6:BA$19)+SUM(BC$6:BC$19)+SUM(BE$6:BE$19)+SUM(BG$6:BG$19)</f>
        <v>0</v>
      </c>
      <c r="K131" s="103">
        <f>SUM(BI$6:BI$19)+SUM(BK$6:BK$19)+SUM(BM$6:BM$19)+SUM(BO$6:BO$19)</f>
        <v>0</v>
      </c>
      <c r="L131" s="103">
        <f>SUM(BQ$6:BQ$19)+SUM(BS$6:BS$19)+SUM(BU$6:BU$19)+SUM(BW$6:BW$19)</f>
        <v>0</v>
      </c>
      <c r="M131" s="103">
        <f>SUM(BY$6:BY$19)+SUM(CA$6:CA$19)+SUM(CC$6:CC$19)+SUM(CE$6:CE$19)</f>
        <v>0</v>
      </c>
      <c r="N131" s="103">
        <f>SUM(CG$6:CG$19)+SUM(CI$6:CI$19)+SUM(CK$6:CK$19)+SUM(CM$6:CM$19)</f>
        <v>0</v>
      </c>
      <c r="O131" s="103">
        <f>SUM(CO$6:CO$19)+SUM(CQ$6:CQ$19)+SUM(CS$6:CS$19)+SUM(CU$6:CU$19)</f>
        <v>0</v>
      </c>
    </row>
    <row r="132" spans="2:15" x14ac:dyDescent="0.15">
      <c r="C132" s="102" t="s">
        <v>127</v>
      </c>
      <c r="D132" s="103">
        <f>SUM(E$20:E$36)+SUM(G$20:G$36)+SUM(I$20:I$36)+SUM(K$20:K$36)</f>
        <v>0</v>
      </c>
      <c r="E132" s="103">
        <f>SUM(M$20:M$36)+SUM(O$20:O$36)+SUM(Q$20:Q$36)+SUM(S$20:S$36)</f>
        <v>0</v>
      </c>
      <c r="F132" s="103">
        <f>SUM(U$20:U$36)+SUM(W$20:W$36)+SUM(Y$20:Y$36)+SUM(AA$20:AA$36)</f>
        <v>0</v>
      </c>
      <c r="G132" s="103">
        <f>SUM(AC$20:AC$36)+SUM(AE$20:AE$36)+SUM(AG$20:AG$36)+SUM(AI$20:AI$36)</f>
        <v>0</v>
      </c>
      <c r="H132" s="103">
        <f>SUM(AK$20:AK$36)+SUM(AM$20:AM$36)+SUM(AO$20:AO$36)+SUM(AQ$20:AQ$36)</f>
        <v>0</v>
      </c>
      <c r="I132" s="103">
        <f>SUM(AS$20:AS$36)+SUM(AU$20:AU$36)+SUM(AW$20:AW$36)+SUM(AY$20:AY$36)</f>
        <v>0</v>
      </c>
      <c r="J132" s="103">
        <f>SUM(BA$20:BA$36)+SUM(BC$20:BC$36)+SUM(BE$20:BE$36)+SUM(BG$20:BG$36)</f>
        <v>0</v>
      </c>
      <c r="K132" s="103">
        <f>SUM(BI$20:BI$36)+SUM(BK$20:BK$36)+SUM(BM$20:BM$36)+SUM(BO$20:BO$36)</f>
        <v>0</v>
      </c>
      <c r="L132" s="103">
        <f>SUM(BQ$20:BQ$36)+SUM(BS$20:BS$36)+SUM(BU$20:BU$36)+SUM(BW$20:BW$36)</f>
        <v>0</v>
      </c>
      <c r="M132" s="103">
        <f>SUM(BY$20:BY$36)+SUM(CA$20:CA$36)+SUM(CC$20:CC$36)+SUM(CE$20:CE$36)</f>
        <v>0</v>
      </c>
      <c r="N132" s="103">
        <f>SUM(CG$20:CG$36)+SUM(CI$20:CI$36)+SUM(CK$20:CK$36)+SUM(CM$20:CM$36)</f>
        <v>0</v>
      </c>
      <c r="O132" s="103">
        <f>SUM(CO$20:CO$36)+SUM(CQ$20:CQ$36)+SUM(CS$20:CS$36)+SUM(CU$20:CU$36)</f>
        <v>0</v>
      </c>
    </row>
    <row r="133" spans="2:15" x14ac:dyDescent="0.15">
      <c r="C133" s="102" t="s">
        <v>128</v>
      </c>
      <c r="D133" s="103">
        <f>SUM(E$37:E$48)+SUM(G$37:G$48)+SUM(I$37:I$48)+SUM(K$37:K$48)</f>
        <v>0</v>
      </c>
      <c r="E133" s="103">
        <f>SUM(M$37:M$48)+SUM(O$37:O$48)+SUM(Q$37:Q$48)+SUM(S$37:S$48)</f>
        <v>0</v>
      </c>
      <c r="F133" s="103">
        <f>SUM(U$37:U$48)+SUM(W$37:W$48)+SUM(Y$37:Y$48)+SUM(AA$37:AA$48)</f>
        <v>0</v>
      </c>
      <c r="G133" s="103">
        <f>SUM(AC$37:AC$48)+SUM(AE$37:AE$48)+SUM(AG$37:AG$48)+SUM(AI$37:AI$48)</f>
        <v>0</v>
      </c>
      <c r="H133" s="103">
        <f>SUM(AK$37:AK$48)+SUM(AM$37:AM$48)+SUM(AO$37:AO$48)+SUM(AQ$37:AQ$48)</f>
        <v>0</v>
      </c>
      <c r="I133" s="103">
        <f>SUM(AS$37:AS$48)+SUM(AU$37:AU$48)+SUM(AW$37:AW$48)+SUM(AY$37:AY$48)</f>
        <v>0</v>
      </c>
      <c r="J133" s="103">
        <f>SUM(BA$37:BA$48)+SUM(BC$37:BC$48)+SUM(BE$37:BE$48)+SUM(BG$37:BG$48)</f>
        <v>0</v>
      </c>
      <c r="K133" s="103">
        <f>SUM(BI$37:BI$48)+SUM(BK$37:BK$48)+SUM(BM$37:BM$48)+SUM(BO$37:BO$48)</f>
        <v>0</v>
      </c>
      <c r="L133" s="103">
        <f>SUM(BQ$37:BQ$48)+SUM(BS$37:BS$48)+SUM(BU$37:BU$48)+SUM(BW$37:BW$48)</f>
        <v>0</v>
      </c>
      <c r="M133" s="103">
        <f>SUM(BY$37:BY$48)+SUM(CA$37:CA$48)+SUM(CC$37:CC$48)+SUM(CE$37:CE$48)</f>
        <v>0</v>
      </c>
      <c r="N133" s="103">
        <f>SUM(CG$37:CG$48)+SUM(CI$37:CI$48)+SUM(CK$37:CK$48)+SUM(CM$37:CM$48)</f>
        <v>0</v>
      </c>
      <c r="O133" s="103">
        <f>SUM(CO$37:CO$48)+SUM(CQ$37:CQ$48)+SUM(CS$37:CS$48)+SUM(CU$37:CU$48)</f>
        <v>0</v>
      </c>
    </row>
    <row r="134" spans="2:15" x14ac:dyDescent="0.15">
      <c r="C134" s="102" t="s">
        <v>129</v>
      </c>
      <c r="D134" s="103">
        <f>SUM(E$49:E$70)+SUM(G$49:G$70)+SUM(I$49:I$70)+SUM(K$49:K$70)</f>
        <v>73379.705234947774</v>
      </c>
      <c r="E134" s="103">
        <f>SUM(M$49:M$70)+SUM(O$49:O$70)+SUM(Q$49:Q$70)+SUM(S$49:S$70)</f>
        <v>469389.9451851286</v>
      </c>
      <c r="F134" s="103">
        <f>SUM(U$49:U$70)+SUM(W$49:W$70)+SUM(Y$49:Y$70)+SUM(AA$49:AA$70)</f>
        <v>310172.14777085197</v>
      </c>
      <c r="G134" s="103">
        <f>SUM(AC$49:AC$70)+SUM(AE$49:AE$70)+SUM(AG$49:AG$70)+SUM(AI$49:AI$70)</f>
        <v>281518.50342344464</v>
      </c>
      <c r="H134" s="103">
        <f>SUM(AK$49:AK$70)+SUM(AM$49:AM$70)+SUM(AO$49:AO$70)+SUM(AQ$49:AQ$70)</f>
        <v>196315.79671925551</v>
      </c>
      <c r="I134" s="103">
        <f>SUM(AS$49:AS$70)+SUM(AU$49:AU$70)+SUM(AW$49:AW$70)+SUM(AY$49:AY$70)</f>
        <v>167331.08908100595</v>
      </c>
      <c r="J134" s="103">
        <f>SUM(BA$49:BA$70)+SUM(BC$49:BC$70)+SUM(BE$49:BE$70)+SUM(BG$49:BG$70)</f>
        <v>110365.78933638221</v>
      </c>
      <c r="K134" s="103">
        <f>SUM(BI$49:BI$70)+SUM(BK$49:BK$70)+SUM(BM$49:BM$70)+SUM(BO$49:BO$70)</f>
        <v>94026.191517090963</v>
      </c>
      <c r="L134" s="103">
        <f>SUM(BQ$49:BQ$70)+SUM(BS$49:BS$70)+SUM(BU$49:BU$70)+SUM(BW$49:BW$70)</f>
        <v>78818.926167244077</v>
      </c>
      <c r="M134" s="103">
        <f>SUM(BY$49:BY$70)+SUM(CA$49:CA$70)+SUM(CC$49:CC$70)+SUM(CE$49:CE$70)</f>
        <v>68754.778132274922</v>
      </c>
      <c r="N134" s="103">
        <f>SUM(CG$49:CG$70)+SUM(CI$49:CI$70)+SUM(CK$49:CK$70)+SUM(CM$49:CM$70)</f>
        <v>53517.613233850039</v>
      </c>
      <c r="O134" s="103">
        <f>SUM(CO$49:CO$70)+SUM(CQ$49:CQ$70)+SUM(CS$49:CS$70)+SUM(CU$49:CU$70)</f>
        <v>44046.065564897261</v>
      </c>
    </row>
    <row r="135" spans="2:15" x14ac:dyDescent="0.15">
      <c r="C135" s="102" t="s">
        <v>130</v>
      </c>
      <c r="D135" s="103">
        <f>SUM(E$71:E$86)+SUM(G$71:G$86)+SUM(I$71:I$86)+SUM(K$71:K$86)</f>
        <v>299438.83392614796</v>
      </c>
      <c r="E135" s="103">
        <f>SUM(M$71:M$86)+SUM(O$71:O$86)+SUM(Q$71:Q$86)+SUM(S$71:S$86)</f>
        <v>957059.61448159325</v>
      </c>
      <c r="F135" s="103">
        <f>SUM(U$71:U$86)+SUM(W$71:W$86)+SUM(Y$71:Y$86)+SUM(AA$71:AA$86)</f>
        <v>861388.80278527795</v>
      </c>
      <c r="G135" s="103">
        <f>SUM(AC$71:AC$86)+SUM(AE$71:AE$86)+SUM(AG$71:AG$86)+SUM(AI$71:AI$86)</f>
        <v>777310.27260077943</v>
      </c>
      <c r="H135" s="103">
        <f>SUM(AK$71:AK$86)+SUM(AM$71:AM$86)+SUM(AO$71:AO$86)+SUM(AQ$71:AQ$86)</f>
        <v>465253.94786264037</v>
      </c>
      <c r="I135" s="103">
        <f>SUM(AS$71:AS$86)+SUM(AU$71:AU$86)+SUM(AW$71:AW$86)+SUM(AY$71:AY$86)</f>
        <v>438086.81703629572</v>
      </c>
      <c r="J135" s="103">
        <f>SUM(BA$71:BA$86)+SUM(BC$71:BC$86)+SUM(BE$71:BE$86)+SUM(BG$71:BG$86)</f>
        <v>274805.8779309009</v>
      </c>
      <c r="K135" s="103">
        <f>SUM(BI$71:BI$86)+SUM(BK$71:BK$86)+SUM(BM$71:BM$86)+SUM(BO$71:BO$86)</f>
        <v>188070.44191460294</v>
      </c>
      <c r="L135" s="103">
        <f>SUM(BQ$71:BQ$86)+SUM(BS$71:BS$86)+SUM(BU$71:BU$86)+SUM(BW$71:BW$86)</f>
        <v>202268.92505478451</v>
      </c>
      <c r="M135" s="103">
        <f>SUM(BY$71:BY$86)+SUM(CA$71:CA$86)+SUM(CC$71:CC$86)+SUM(CE$71:CE$86)</f>
        <v>171691.56753108965</v>
      </c>
      <c r="N135" s="103">
        <f>SUM(CG$71:CG$86)+SUM(CI$71:CI$86)+SUM(CK$71:CK$86)+SUM(CM$71:CM$86)</f>
        <v>104522.47920313952</v>
      </c>
      <c r="O135" s="103">
        <f>SUM(CO$71:CO$86)+SUM(CQ$71:CQ$86)+SUM(CS$71:CS$86)+SUM(CU$71:CU$86)</f>
        <v>109327.93002773334</v>
      </c>
    </row>
    <row r="136" spans="2:15" x14ac:dyDescent="0.15">
      <c r="C136" s="102" t="s">
        <v>131</v>
      </c>
      <c r="D136" s="103">
        <f>SUM(E$87:E$94)+SUM(G$87:G$94)+SUM(I$87:I$94)+SUM(K$87:K$94)</f>
        <v>369794.49570060056</v>
      </c>
      <c r="E136" s="103">
        <f>SUM(M$87:M$94)+SUM(O$87:O$94)+SUM(Q$87:Q$94)+SUM(S$87:S$94)</f>
        <v>1710445.4089523787</v>
      </c>
      <c r="F136" s="103">
        <f>SUM(U$87:U$94)+SUM(W$87:W$94)+SUM(Y$87:Y$94)+SUM(AA$87:AA$94)</f>
        <v>1326230.8323370852</v>
      </c>
      <c r="G136" s="103">
        <f>SUM(AC$87:AC$94)+SUM(AE$87:AE$94)+SUM(AG$87:AG$94)+SUM(AI$87:AI$94)</f>
        <v>889024.41653325176</v>
      </c>
      <c r="H136" s="103">
        <f>SUM(AK$87:AK$94)+SUM(AM$87:AM$94)+SUM(AO$87:AO$94)+SUM(AQ$87:AQ$94)</f>
        <v>990041.38770027552</v>
      </c>
      <c r="I136" s="103">
        <f>SUM(AS$87:AS$94)+SUM(AU$87:AU$94)+SUM(AW$87:AW$94)+SUM(AY$87:AY$94)</f>
        <v>705315.54909393121</v>
      </c>
      <c r="J136" s="103">
        <f>SUM(BA$87:BA$94)+SUM(BC$87:BC$94)+SUM(BE$87:BE$94)+SUM(BG$87:BG$94)</f>
        <v>491047.50725874555</v>
      </c>
      <c r="K136" s="103">
        <f>SUM(BI$87:BI$94)+SUM(BK$87:BK$94)+SUM(BM$87:BM$94)+SUM(BO$87:BO$94)</f>
        <v>437507.32448764</v>
      </c>
      <c r="L136" s="103">
        <f>SUM(BQ$87:BQ$94)+SUM(BS$87:BS$94)+SUM(BU$87:BU$94)+SUM(BW$87:BW$94)</f>
        <v>370408.76049640548</v>
      </c>
      <c r="M136" s="103">
        <f>SUM(BY$87:BY$94)+SUM(CA$87:CA$94)+SUM(CC$87:CC$94)+SUM(CE$87:CE$94)</f>
        <v>330564.08248697041</v>
      </c>
      <c r="N136" s="103">
        <f>SUM(CG$87:CG$94)+SUM(CI$87:CI$94)+SUM(CK$87:CK$94)+SUM(CM$87:CM$94)</f>
        <v>260817.53637968487</v>
      </c>
      <c r="O136" s="103">
        <f>SUM(CO$87:CO$94)+SUM(CQ$87:CQ$94)+SUM(CS$87:CS$94)+SUM(CU$87:CU$94)</f>
        <v>221466.56427354537</v>
      </c>
    </row>
    <row r="137" spans="2:15" x14ac:dyDescent="0.15">
      <c r="C137" s="102" t="s">
        <v>132</v>
      </c>
      <c r="D137" s="103">
        <f>SUM(E$95:E$105)+SUM(G$95:G$105)+SUM(I$95:I$105)+SUM(K$95:K$105)</f>
        <v>690267.63280557247</v>
      </c>
      <c r="E137" s="103">
        <f>SUM(M$95:M$105)+SUM(O$95:O$105)+SUM(Q$95:Q$105)+SUM(S$95:S$105)</f>
        <v>2593479.4721835782</v>
      </c>
      <c r="F137" s="103">
        <f>SUM(U$95:U$105)+SUM(W$95:W$105)+SUM(Y$95:Y$105)+SUM(AA$95:AA$105)</f>
        <v>1873205.8934171763</v>
      </c>
      <c r="G137" s="103">
        <f>SUM(AC$95:AC$105)+SUM(AE$95:AE$105)+SUM(AG$95:AG$105)+SUM(AI$95:AI$105)</f>
        <v>1934819.7794566723</v>
      </c>
      <c r="H137" s="103">
        <f>SUM(AK$95:AK$105)+SUM(AM$95:AM$105)+SUM(AO$95:AO$105)+SUM(AQ$95:AQ$105)</f>
        <v>1198008.0232228986</v>
      </c>
      <c r="I137" s="103">
        <f>SUM(AS$95:AS$105)+SUM(AU$95:AU$105)+SUM(AW$95:AW$105)+SUM(AY$95:AY$105)</f>
        <v>1175672.2452369523</v>
      </c>
      <c r="J137" s="103">
        <f>SUM(BA$95:BA$105)+SUM(BC$95:BC$105)+SUM(BE$95:BE$105)+SUM(BG$95:BG$105)</f>
        <v>845619.22542645677</v>
      </c>
      <c r="K137" s="103">
        <f>SUM(BI$95:BI$105)+SUM(BK$95:BK$105)+SUM(BM$95:BM$105)+SUM(BO$95:BO$105)</f>
        <v>818983.98293829872</v>
      </c>
      <c r="L137" s="103">
        <f>SUM(BQ$95:BQ$105)+SUM(BS$95:BS$105)+SUM(BU$95:BU$105)+SUM(BW$95:BW$105)</f>
        <v>520605.97863407858</v>
      </c>
      <c r="M137" s="103">
        <f>SUM(BY$95:BY$105)+SUM(CA$95:CA$105)+SUM(CC$95:CC$105)+SUM(CE$95:CE$105)</f>
        <v>427276.01822272653</v>
      </c>
      <c r="N137" s="103">
        <f>SUM(CG$95:CG$105)+SUM(CI$95:CI$105)+SUM(CK$95:CK$105)+SUM(CM$95:CM$105)</f>
        <v>411573.97350725194</v>
      </c>
      <c r="O137" s="103">
        <f>SUM(CO$95:CO$105)+SUM(CQ$95:CQ$105)+SUM(CS$95:CS$105)+SUM(CU$95:CU$105)</f>
        <v>348788.74673849827</v>
      </c>
    </row>
    <row r="138" spans="2:15" x14ac:dyDescent="0.15">
      <c r="C138" s="102" t="s">
        <v>277</v>
      </c>
      <c r="D138" s="97">
        <f t="shared" ref="D138:O138" si="2">SUM(D$131:D$137)</f>
        <v>1432880.6676672688</v>
      </c>
      <c r="E138" s="97">
        <f t="shared" si="2"/>
        <v>5730374.4408026785</v>
      </c>
      <c r="F138" s="97">
        <f t="shared" si="2"/>
        <v>4370997.6763103921</v>
      </c>
      <c r="G138" s="97">
        <f t="shared" si="2"/>
        <v>3882672.9720141478</v>
      </c>
      <c r="H138" s="97">
        <f t="shared" si="2"/>
        <v>2849619.15550507</v>
      </c>
      <c r="I138" s="97">
        <f t="shared" si="2"/>
        <v>2486405.7004481852</v>
      </c>
      <c r="J138" s="97">
        <f t="shared" si="2"/>
        <v>1721838.3999524852</v>
      </c>
      <c r="K138" s="97">
        <f t="shared" si="2"/>
        <v>1538587.9408576326</v>
      </c>
      <c r="L138" s="97">
        <f t="shared" si="2"/>
        <v>1172102.5903525127</v>
      </c>
      <c r="M138" s="97">
        <f t="shared" si="2"/>
        <v>998286.44637306151</v>
      </c>
      <c r="N138" s="97">
        <f t="shared" si="2"/>
        <v>830431.6023239264</v>
      </c>
      <c r="O138" s="97">
        <f t="shared" si="2"/>
        <v>723629.30660467432</v>
      </c>
    </row>
  </sheetData>
  <pageMargins left="0.75" right="0.75" top="1" bottom="1" header="0.5" footer="0.5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01"/>
  <sheetViews>
    <sheetView workbookViewId="0"/>
  </sheetViews>
  <sheetFormatPr baseColWidth="10" defaultColWidth="8.83203125" defaultRowHeight="13" x14ac:dyDescent="0.15"/>
  <cols>
    <col min="1" max="2" width="8.83203125" style="97"/>
    <col min="3" max="3" width="14.5" style="97" bestFit="1" customWidth="1"/>
    <col min="4" max="4" width="16.83203125" style="97" bestFit="1" customWidth="1"/>
    <col min="5" max="5" width="22.83203125" style="97" bestFit="1" customWidth="1"/>
    <col min="6" max="16384" width="8.83203125" style="97"/>
  </cols>
  <sheetData>
    <row r="1" spans="1:5" x14ac:dyDescent="0.15">
      <c r="A1" s="96" t="s">
        <v>166</v>
      </c>
      <c r="B1" s="96" t="s">
        <v>167</v>
      </c>
      <c r="C1" s="96" t="s">
        <v>168</v>
      </c>
      <c r="D1" s="96" t="s">
        <v>169</v>
      </c>
      <c r="E1" s="96" t="s">
        <v>170</v>
      </c>
    </row>
    <row r="2" spans="1:5" x14ac:dyDescent="0.15">
      <c r="A2" s="96" t="s">
        <v>126</v>
      </c>
      <c r="B2" s="96" t="s">
        <v>171</v>
      </c>
      <c r="C2" s="97" t="s">
        <v>59</v>
      </c>
      <c r="D2" s="97">
        <v>482</v>
      </c>
      <c r="E2" s="97">
        <v>578.4</v>
      </c>
    </row>
    <row r="3" spans="1:5" x14ac:dyDescent="0.15">
      <c r="B3" s="96" t="s">
        <v>172</v>
      </c>
      <c r="C3" s="97" t="s">
        <v>59</v>
      </c>
      <c r="D3" s="97">
        <v>657</v>
      </c>
      <c r="E3" s="97">
        <v>788.4</v>
      </c>
    </row>
    <row r="4" spans="1:5" x14ac:dyDescent="0.15">
      <c r="B4" s="96" t="s">
        <v>173</v>
      </c>
      <c r="C4" s="97" t="s">
        <v>59</v>
      </c>
      <c r="D4" s="97">
        <v>258</v>
      </c>
      <c r="E4" s="97">
        <v>309.59999999999997</v>
      </c>
    </row>
    <row r="5" spans="1:5" x14ac:dyDescent="0.15">
      <c r="B5" s="96" t="s">
        <v>174</v>
      </c>
      <c r="C5" s="97" t="s">
        <v>59</v>
      </c>
      <c r="D5" s="97">
        <v>585</v>
      </c>
      <c r="E5" s="97">
        <v>702</v>
      </c>
    </row>
    <row r="6" spans="1:5" x14ac:dyDescent="0.15">
      <c r="B6" s="96" t="s">
        <v>175</v>
      </c>
      <c r="C6" s="97" t="s">
        <v>59</v>
      </c>
      <c r="D6" s="97">
        <v>454</v>
      </c>
      <c r="E6" s="97">
        <v>544.79999999999995</v>
      </c>
    </row>
    <row r="7" spans="1:5" x14ac:dyDescent="0.15">
      <c r="B7" s="96" t="s">
        <v>176</v>
      </c>
      <c r="C7" s="97" t="s">
        <v>59</v>
      </c>
      <c r="D7" s="97">
        <v>444</v>
      </c>
      <c r="E7" s="97">
        <v>532.79999999999995</v>
      </c>
    </row>
    <row r="8" spans="1:5" x14ac:dyDescent="0.15">
      <c r="B8" s="96" t="s">
        <v>177</v>
      </c>
      <c r="C8" s="97" t="s">
        <v>59</v>
      </c>
      <c r="D8" s="97">
        <v>469</v>
      </c>
      <c r="E8" s="97">
        <v>562.79999999999995</v>
      </c>
    </row>
    <row r="9" spans="1:5" x14ac:dyDescent="0.15">
      <c r="B9" s="96" t="s">
        <v>178</v>
      </c>
      <c r="C9" s="97" t="s">
        <v>59</v>
      </c>
      <c r="D9" s="97">
        <v>71</v>
      </c>
      <c r="E9" s="97">
        <v>85.2</v>
      </c>
    </row>
    <row r="10" spans="1:5" x14ac:dyDescent="0.15">
      <c r="B10" s="96" t="s">
        <v>179</v>
      </c>
      <c r="C10" s="97" t="s">
        <v>59</v>
      </c>
      <c r="D10" s="97">
        <v>407</v>
      </c>
      <c r="E10" s="97">
        <v>488.4</v>
      </c>
    </row>
    <row r="11" spans="1:5" x14ac:dyDescent="0.15">
      <c r="B11" s="96" t="s">
        <v>180</v>
      </c>
      <c r="C11" s="97" t="s">
        <v>59</v>
      </c>
      <c r="D11" s="97">
        <v>636</v>
      </c>
      <c r="E11" s="97">
        <v>763.19999999999993</v>
      </c>
    </row>
    <row r="12" spans="1:5" x14ac:dyDescent="0.15">
      <c r="B12" s="96" t="s">
        <v>181</v>
      </c>
      <c r="C12" s="97" t="s">
        <v>59</v>
      </c>
      <c r="D12" s="97">
        <v>284</v>
      </c>
      <c r="E12" s="97">
        <v>340.8</v>
      </c>
    </row>
    <row r="13" spans="1:5" x14ac:dyDescent="0.15">
      <c r="B13" s="96" t="s">
        <v>182</v>
      </c>
      <c r="C13" s="97" t="s">
        <v>59</v>
      </c>
      <c r="D13" s="97">
        <v>352</v>
      </c>
      <c r="E13" s="97">
        <v>422.4</v>
      </c>
    </row>
    <row r="14" spans="1:5" x14ac:dyDescent="0.15">
      <c r="B14" s="96" t="s">
        <v>183</v>
      </c>
      <c r="C14" s="97" t="s">
        <v>59</v>
      </c>
      <c r="D14" s="97">
        <v>544</v>
      </c>
      <c r="E14" s="97">
        <v>652.79999999999995</v>
      </c>
    </row>
    <row r="15" spans="1:5" x14ac:dyDescent="0.15">
      <c r="B15" s="96" t="s">
        <v>184</v>
      </c>
      <c r="C15" s="97" t="s">
        <v>59</v>
      </c>
      <c r="D15" s="97">
        <v>275</v>
      </c>
      <c r="E15" s="97">
        <v>330</v>
      </c>
    </row>
    <row r="16" spans="1:5" x14ac:dyDescent="0.15">
      <c r="A16" s="96" t="s">
        <v>127</v>
      </c>
      <c r="B16" s="96" t="s">
        <v>185</v>
      </c>
      <c r="C16" s="97" t="s">
        <v>59</v>
      </c>
      <c r="D16" s="97">
        <v>239</v>
      </c>
      <c r="E16" s="97">
        <v>286.8</v>
      </c>
    </row>
    <row r="17" spans="2:5" x14ac:dyDescent="0.15">
      <c r="B17" s="96" t="s">
        <v>186</v>
      </c>
      <c r="C17" s="97" t="s">
        <v>59</v>
      </c>
      <c r="D17" s="97">
        <v>52</v>
      </c>
      <c r="E17" s="97">
        <v>62.4</v>
      </c>
    </row>
    <row r="18" spans="2:5" x14ac:dyDescent="0.15">
      <c r="B18" s="96" t="s">
        <v>187</v>
      </c>
      <c r="C18" s="97" t="s">
        <v>59</v>
      </c>
      <c r="D18" s="97">
        <v>156</v>
      </c>
      <c r="E18" s="97">
        <v>187.2</v>
      </c>
    </row>
    <row r="19" spans="2:5" x14ac:dyDescent="0.15">
      <c r="B19" s="96" t="s">
        <v>188</v>
      </c>
      <c r="C19" s="97" t="s">
        <v>59</v>
      </c>
      <c r="D19" s="97">
        <v>245</v>
      </c>
      <c r="E19" s="97">
        <v>294</v>
      </c>
    </row>
    <row r="20" spans="2:5" x14ac:dyDescent="0.15">
      <c r="B20" s="96" t="s">
        <v>189</v>
      </c>
      <c r="C20" s="97" t="s">
        <v>59</v>
      </c>
      <c r="D20" s="97">
        <v>306</v>
      </c>
      <c r="E20" s="97">
        <v>367.2</v>
      </c>
    </row>
    <row r="21" spans="2:5" x14ac:dyDescent="0.15">
      <c r="B21" s="96" t="s">
        <v>190</v>
      </c>
      <c r="C21" s="97" t="s">
        <v>59</v>
      </c>
      <c r="D21" s="97">
        <v>442</v>
      </c>
      <c r="E21" s="97">
        <v>530.4</v>
      </c>
    </row>
    <row r="22" spans="2:5" x14ac:dyDescent="0.15">
      <c r="B22" s="96" t="s">
        <v>191</v>
      </c>
      <c r="C22" s="97" t="s">
        <v>59</v>
      </c>
      <c r="D22" s="97">
        <v>405</v>
      </c>
      <c r="E22" s="97">
        <v>486</v>
      </c>
    </row>
    <row r="23" spans="2:5" x14ac:dyDescent="0.15">
      <c r="B23" s="96" t="s">
        <v>192</v>
      </c>
      <c r="C23" s="97" t="s">
        <v>59</v>
      </c>
      <c r="D23" s="97">
        <v>356</v>
      </c>
      <c r="E23" s="97">
        <v>427.2</v>
      </c>
    </row>
    <row r="24" spans="2:5" x14ac:dyDescent="0.15">
      <c r="B24" s="96" t="s">
        <v>193</v>
      </c>
      <c r="C24" s="97" t="s">
        <v>59</v>
      </c>
      <c r="D24" s="97">
        <v>615</v>
      </c>
      <c r="E24" s="97">
        <v>738</v>
      </c>
    </row>
    <row r="25" spans="2:5" x14ac:dyDescent="0.15">
      <c r="B25" s="96" t="s">
        <v>194</v>
      </c>
      <c r="C25" s="97" t="s">
        <v>59</v>
      </c>
      <c r="D25" s="97">
        <v>282</v>
      </c>
      <c r="E25" s="97">
        <v>338.4</v>
      </c>
    </row>
    <row r="26" spans="2:5" x14ac:dyDescent="0.15">
      <c r="B26" s="96" t="s">
        <v>195</v>
      </c>
      <c r="C26" s="97" t="s">
        <v>59</v>
      </c>
      <c r="D26" s="97">
        <v>116</v>
      </c>
      <c r="E26" s="97">
        <v>139.19999999999999</v>
      </c>
    </row>
    <row r="27" spans="2:5" x14ac:dyDescent="0.15">
      <c r="B27" s="96" t="s">
        <v>196</v>
      </c>
      <c r="C27" s="97" t="s">
        <v>59</v>
      </c>
      <c r="D27" s="97">
        <v>284</v>
      </c>
      <c r="E27" s="97">
        <v>340.8</v>
      </c>
    </row>
    <row r="28" spans="2:5" x14ac:dyDescent="0.15">
      <c r="B28" s="96" t="s">
        <v>197</v>
      </c>
      <c r="C28" s="97" t="s">
        <v>59</v>
      </c>
      <c r="D28" s="97">
        <v>700</v>
      </c>
      <c r="E28" s="97">
        <v>840</v>
      </c>
    </row>
    <row r="29" spans="2:5" x14ac:dyDescent="0.15">
      <c r="B29" s="96" t="s">
        <v>198</v>
      </c>
      <c r="C29" s="97" t="s">
        <v>59</v>
      </c>
      <c r="D29" s="97">
        <v>395</v>
      </c>
      <c r="E29" s="97">
        <v>474</v>
      </c>
    </row>
    <row r="30" spans="2:5" x14ac:dyDescent="0.15">
      <c r="B30" s="96" t="s">
        <v>199</v>
      </c>
      <c r="C30" s="97" t="s">
        <v>59</v>
      </c>
      <c r="D30" s="97">
        <v>457</v>
      </c>
      <c r="E30" s="97">
        <v>548.4</v>
      </c>
    </row>
    <row r="31" spans="2:5" x14ac:dyDescent="0.15">
      <c r="B31" s="96" t="s">
        <v>200</v>
      </c>
      <c r="C31" s="97" t="s">
        <v>59</v>
      </c>
      <c r="D31" s="97">
        <v>419</v>
      </c>
      <c r="E31" s="97">
        <v>502.7999999999999</v>
      </c>
    </row>
    <row r="32" spans="2:5" x14ac:dyDescent="0.15">
      <c r="B32" s="96" t="s">
        <v>201</v>
      </c>
      <c r="C32" s="97" t="s">
        <v>59</v>
      </c>
      <c r="D32" s="97">
        <v>634</v>
      </c>
      <c r="E32" s="97">
        <v>760.8</v>
      </c>
    </row>
    <row r="33" spans="1:5" x14ac:dyDescent="0.15">
      <c r="A33" s="96" t="s">
        <v>128</v>
      </c>
      <c r="B33" s="96" t="s">
        <v>202</v>
      </c>
      <c r="C33" s="97" t="s">
        <v>59</v>
      </c>
      <c r="D33" s="97">
        <v>717</v>
      </c>
      <c r="E33" s="97">
        <v>860.4</v>
      </c>
    </row>
    <row r="34" spans="1:5" x14ac:dyDescent="0.15">
      <c r="B34" s="96" t="s">
        <v>203</v>
      </c>
      <c r="C34" s="97" t="s">
        <v>59</v>
      </c>
      <c r="D34" s="97">
        <v>1035</v>
      </c>
      <c r="E34" s="97">
        <v>1242</v>
      </c>
    </row>
    <row r="35" spans="1:5" x14ac:dyDescent="0.15">
      <c r="B35" s="96" t="s">
        <v>204</v>
      </c>
      <c r="C35" s="97" t="s">
        <v>59</v>
      </c>
      <c r="D35" s="97">
        <v>1186</v>
      </c>
      <c r="E35" s="97">
        <v>1423.2</v>
      </c>
    </row>
    <row r="36" spans="1:5" x14ac:dyDescent="0.15">
      <c r="B36" s="96" t="s">
        <v>205</v>
      </c>
      <c r="C36" s="97" t="s">
        <v>59</v>
      </c>
      <c r="D36" s="97">
        <v>604</v>
      </c>
      <c r="E36" s="97">
        <v>724.8</v>
      </c>
    </row>
    <row r="37" spans="1:5" x14ac:dyDescent="0.15">
      <c r="B37" s="96" t="s">
        <v>206</v>
      </c>
      <c r="C37" s="97" t="s">
        <v>59</v>
      </c>
      <c r="D37" s="97">
        <v>550</v>
      </c>
      <c r="E37" s="97">
        <v>660</v>
      </c>
    </row>
    <row r="38" spans="1:5" x14ac:dyDescent="0.15">
      <c r="B38" s="96" t="s">
        <v>207</v>
      </c>
      <c r="C38" s="97" t="s">
        <v>59</v>
      </c>
      <c r="D38" s="97">
        <v>705</v>
      </c>
      <c r="E38" s="97">
        <v>846</v>
      </c>
    </row>
    <row r="39" spans="1:5" x14ac:dyDescent="0.15">
      <c r="B39" s="96" t="s">
        <v>208</v>
      </c>
      <c r="C39" s="97" t="s">
        <v>59</v>
      </c>
      <c r="D39" s="97">
        <v>852</v>
      </c>
      <c r="E39" s="97">
        <v>1022.4</v>
      </c>
    </row>
    <row r="40" spans="1:5" x14ac:dyDescent="0.15">
      <c r="B40" s="96" t="s">
        <v>209</v>
      </c>
      <c r="C40" s="97" t="s">
        <v>59</v>
      </c>
      <c r="D40" s="97">
        <v>852</v>
      </c>
      <c r="E40" s="97">
        <v>1022.4</v>
      </c>
    </row>
    <row r="41" spans="1:5" x14ac:dyDescent="0.15">
      <c r="B41" s="96" t="s">
        <v>210</v>
      </c>
      <c r="C41" s="97" t="s">
        <v>59</v>
      </c>
      <c r="D41" s="97">
        <v>1041</v>
      </c>
      <c r="E41" s="97">
        <v>1249.2</v>
      </c>
    </row>
    <row r="42" spans="1:5" x14ac:dyDescent="0.15">
      <c r="B42" s="96" t="s">
        <v>211</v>
      </c>
      <c r="C42" s="97" t="s">
        <v>59</v>
      </c>
      <c r="D42" s="97">
        <v>1010</v>
      </c>
      <c r="E42" s="97">
        <v>1212</v>
      </c>
    </row>
    <row r="43" spans="1:5" x14ac:dyDescent="0.15">
      <c r="B43" s="96" t="s">
        <v>212</v>
      </c>
      <c r="C43" s="97" t="s">
        <v>59</v>
      </c>
      <c r="D43" s="97">
        <v>1273</v>
      </c>
      <c r="E43" s="97">
        <v>1527.6</v>
      </c>
    </row>
    <row r="44" spans="1:5" x14ac:dyDescent="0.15">
      <c r="B44" s="96" t="s">
        <v>213</v>
      </c>
      <c r="C44" s="97" t="s">
        <v>59</v>
      </c>
      <c r="D44" s="97">
        <v>723</v>
      </c>
      <c r="E44" s="97">
        <v>867.6</v>
      </c>
    </row>
    <row r="45" spans="1:5" x14ac:dyDescent="0.15">
      <c r="A45" s="96" t="s">
        <v>129</v>
      </c>
      <c r="B45" s="96" t="s">
        <v>214</v>
      </c>
      <c r="C45" s="97" t="s">
        <v>22</v>
      </c>
      <c r="D45" s="97">
        <v>821</v>
      </c>
      <c r="E45" s="97">
        <v>985.19999999999993</v>
      </c>
    </row>
    <row r="46" spans="1:5" x14ac:dyDescent="0.15">
      <c r="B46" s="96" t="s">
        <v>215</v>
      </c>
      <c r="C46" s="97" t="s">
        <v>59</v>
      </c>
      <c r="D46" s="97">
        <v>235</v>
      </c>
      <c r="E46" s="97">
        <v>282</v>
      </c>
    </row>
    <row r="47" spans="1:5" x14ac:dyDescent="0.15">
      <c r="B47" s="96" t="s">
        <v>216</v>
      </c>
      <c r="C47" s="97" t="s">
        <v>59</v>
      </c>
      <c r="D47" s="97">
        <v>712</v>
      </c>
      <c r="E47" s="97">
        <v>854.4</v>
      </c>
    </row>
    <row r="48" spans="1:5" x14ac:dyDescent="0.15">
      <c r="B48" s="96" t="s">
        <v>217</v>
      </c>
      <c r="C48" s="97" t="s">
        <v>59</v>
      </c>
      <c r="D48" s="97">
        <v>450</v>
      </c>
      <c r="E48" s="97">
        <v>540</v>
      </c>
    </row>
    <row r="49" spans="2:5" x14ac:dyDescent="0.15">
      <c r="B49" s="96" t="s">
        <v>218</v>
      </c>
      <c r="C49" s="97" t="s">
        <v>59</v>
      </c>
      <c r="D49" s="97">
        <v>339</v>
      </c>
      <c r="E49" s="97">
        <v>406.8</v>
      </c>
    </row>
    <row r="50" spans="2:5" x14ac:dyDescent="0.15">
      <c r="B50" s="96" t="s">
        <v>219</v>
      </c>
      <c r="C50" s="97" t="s">
        <v>59</v>
      </c>
      <c r="D50" s="97">
        <v>279</v>
      </c>
      <c r="E50" s="97">
        <v>334.8</v>
      </c>
    </row>
    <row r="51" spans="2:5" x14ac:dyDescent="0.15">
      <c r="B51" s="96" t="s">
        <v>220</v>
      </c>
      <c r="C51" s="97" t="s">
        <v>59</v>
      </c>
      <c r="D51" s="97">
        <v>553</v>
      </c>
      <c r="E51" s="97">
        <v>663.6</v>
      </c>
    </row>
    <row r="52" spans="2:5" x14ac:dyDescent="0.15">
      <c r="B52" s="96" t="s">
        <v>221</v>
      </c>
      <c r="C52" s="97" t="s">
        <v>22</v>
      </c>
      <c r="D52" s="97">
        <v>959</v>
      </c>
      <c r="E52" s="97">
        <v>1150.8</v>
      </c>
    </row>
    <row r="53" spans="2:5" x14ac:dyDescent="0.15">
      <c r="B53" s="96" t="s">
        <v>222</v>
      </c>
      <c r="C53" s="97" t="s">
        <v>59</v>
      </c>
      <c r="D53" s="97">
        <v>1176</v>
      </c>
      <c r="E53" s="97">
        <v>1411.2</v>
      </c>
    </row>
    <row r="54" spans="2:5" x14ac:dyDescent="0.15">
      <c r="B54" s="96" t="s">
        <v>223</v>
      </c>
      <c r="C54" s="97" t="s">
        <v>22</v>
      </c>
      <c r="D54" s="97">
        <v>981</v>
      </c>
      <c r="E54" s="97">
        <v>1177.2</v>
      </c>
    </row>
    <row r="55" spans="2:5" x14ac:dyDescent="0.15">
      <c r="B55" s="96" t="s">
        <v>224</v>
      </c>
      <c r="C55" s="97" t="s">
        <v>59</v>
      </c>
      <c r="D55" s="97">
        <v>253</v>
      </c>
      <c r="E55" s="97">
        <v>303.59999999999997</v>
      </c>
    </row>
    <row r="56" spans="2:5" x14ac:dyDescent="0.15">
      <c r="B56" s="96" t="s">
        <v>225</v>
      </c>
      <c r="C56" s="97" t="s">
        <v>59</v>
      </c>
      <c r="D56" s="97">
        <v>543</v>
      </c>
      <c r="E56" s="97">
        <v>651.6</v>
      </c>
    </row>
    <row r="57" spans="2:5" x14ac:dyDescent="0.15">
      <c r="B57" s="96" t="s">
        <v>226</v>
      </c>
      <c r="C57" s="97" t="s">
        <v>59</v>
      </c>
      <c r="D57" s="97">
        <v>793</v>
      </c>
      <c r="E57" s="97">
        <v>951.59999999999991</v>
      </c>
    </row>
    <row r="58" spans="2:5" x14ac:dyDescent="0.15">
      <c r="B58" s="96" t="s">
        <v>227</v>
      </c>
      <c r="C58" s="97" t="s">
        <v>59</v>
      </c>
      <c r="D58" s="97">
        <v>1421</v>
      </c>
      <c r="E58" s="97">
        <v>1705.2</v>
      </c>
    </row>
    <row r="59" spans="2:5" x14ac:dyDescent="0.15">
      <c r="B59" s="96" t="s">
        <v>228</v>
      </c>
      <c r="C59" s="97" t="s">
        <v>59</v>
      </c>
      <c r="D59" s="97">
        <v>663</v>
      </c>
      <c r="E59" s="97">
        <v>795.6</v>
      </c>
    </row>
    <row r="60" spans="2:5" x14ac:dyDescent="0.15">
      <c r="B60" s="96" t="s">
        <v>229</v>
      </c>
      <c r="C60" s="97" t="s">
        <v>59</v>
      </c>
      <c r="D60" s="97">
        <v>841</v>
      </c>
      <c r="E60" s="97">
        <v>1009.1999999999998</v>
      </c>
    </row>
    <row r="61" spans="2:5" x14ac:dyDescent="0.15">
      <c r="B61" s="96" t="s">
        <v>230</v>
      </c>
      <c r="C61" s="97" t="s">
        <v>59</v>
      </c>
      <c r="D61" s="97">
        <v>855</v>
      </c>
      <c r="E61" s="97">
        <v>1026</v>
      </c>
    </row>
    <row r="62" spans="2:5" x14ac:dyDescent="0.15">
      <c r="B62" s="96" t="s">
        <v>231</v>
      </c>
      <c r="C62" s="97" t="s">
        <v>59</v>
      </c>
      <c r="D62" s="97">
        <v>992</v>
      </c>
      <c r="E62" s="97">
        <v>1190.3999999999999</v>
      </c>
    </row>
    <row r="63" spans="2:5" x14ac:dyDescent="0.15">
      <c r="B63" s="96" t="s">
        <v>232</v>
      </c>
      <c r="C63" s="97" t="s">
        <v>59</v>
      </c>
      <c r="D63" s="97">
        <v>936</v>
      </c>
      <c r="E63" s="97">
        <v>1123.2</v>
      </c>
    </row>
    <row r="64" spans="2:5" x14ac:dyDescent="0.15">
      <c r="B64" s="96" t="s">
        <v>233</v>
      </c>
      <c r="C64" s="97" t="s">
        <v>59</v>
      </c>
      <c r="D64" s="97">
        <v>861</v>
      </c>
      <c r="E64" s="97">
        <v>1033.2</v>
      </c>
    </row>
    <row r="65" spans="1:5" x14ac:dyDescent="0.15">
      <c r="B65" s="96" t="s">
        <v>234</v>
      </c>
      <c r="C65" s="97" t="s">
        <v>59</v>
      </c>
      <c r="D65" s="97">
        <v>632</v>
      </c>
      <c r="E65" s="97">
        <v>758.4</v>
      </c>
    </row>
    <row r="66" spans="1:5" x14ac:dyDescent="0.15">
      <c r="B66" s="96" t="s">
        <v>235</v>
      </c>
      <c r="C66" s="97" t="s">
        <v>59</v>
      </c>
      <c r="D66" s="97">
        <v>446</v>
      </c>
      <c r="E66" s="97">
        <v>535.19999999999993</v>
      </c>
    </row>
    <row r="67" spans="1:5" x14ac:dyDescent="0.15">
      <c r="A67" s="96" t="s">
        <v>130</v>
      </c>
      <c r="B67" s="96" t="s">
        <v>236</v>
      </c>
      <c r="C67" s="97" t="s">
        <v>22</v>
      </c>
      <c r="D67" s="97">
        <v>470</v>
      </c>
      <c r="E67" s="97">
        <v>564</v>
      </c>
    </row>
    <row r="68" spans="1:5" x14ac:dyDescent="0.15">
      <c r="B68" s="96" t="s">
        <v>237</v>
      </c>
      <c r="C68" s="97" t="s">
        <v>22</v>
      </c>
      <c r="D68" s="97">
        <v>62</v>
      </c>
      <c r="E68" s="97">
        <v>74.399999999999991</v>
      </c>
    </row>
    <row r="69" spans="1:5" x14ac:dyDescent="0.15">
      <c r="B69" s="96" t="s">
        <v>238</v>
      </c>
      <c r="C69" s="97" t="s">
        <v>22</v>
      </c>
      <c r="D69" s="97">
        <v>466</v>
      </c>
      <c r="E69" s="97">
        <v>559.19999999999993</v>
      </c>
    </row>
    <row r="70" spans="1:5" x14ac:dyDescent="0.15">
      <c r="B70" s="96" t="s">
        <v>239</v>
      </c>
      <c r="C70" s="97" t="s">
        <v>22</v>
      </c>
      <c r="D70" s="97">
        <v>336</v>
      </c>
      <c r="E70" s="97">
        <v>403.2</v>
      </c>
    </row>
    <row r="71" spans="1:5" x14ac:dyDescent="0.15">
      <c r="B71" s="96" t="s">
        <v>240</v>
      </c>
      <c r="C71" s="97" t="s">
        <v>22</v>
      </c>
      <c r="D71" s="97">
        <v>536</v>
      </c>
      <c r="E71" s="97">
        <v>643.19999999999993</v>
      </c>
    </row>
    <row r="72" spans="1:5" x14ac:dyDescent="0.15">
      <c r="B72" s="96" t="s">
        <v>241</v>
      </c>
      <c r="C72" s="97" t="s">
        <v>22</v>
      </c>
      <c r="D72" s="97">
        <v>649</v>
      </c>
      <c r="E72" s="97">
        <v>778.8</v>
      </c>
    </row>
    <row r="73" spans="1:5" x14ac:dyDescent="0.15">
      <c r="B73" s="96" t="s">
        <v>242</v>
      </c>
      <c r="C73" s="97" t="s">
        <v>22</v>
      </c>
      <c r="D73" s="97">
        <v>232</v>
      </c>
      <c r="E73" s="97">
        <v>278.39999999999998</v>
      </c>
    </row>
    <row r="74" spans="1:5" x14ac:dyDescent="0.15">
      <c r="B74" s="96" t="s">
        <v>243</v>
      </c>
      <c r="C74" s="97" t="s">
        <v>22</v>
      </c>
      <c r="D74" s="97">
        <v>460</v>
      </c>
      <c r="E74" s="97">
        <v>552</v>
      </c>
    </row>
    <row r="75" spans="1:5" x14ac:dyDescent="0.15">
      <c r="B75" s="96" t="s">
        <v>244</v>
      </c>
      <c r="C75" s="97" t="s">
        <v>22</v>
      </c>
      <c r="D75" s="97">
        <v>631</v>
      </c>
      <c r="E75" s="97">
        <v>757.19999999999993</v>
      </c>
    </row>
    <row r="76" spans="1:5" x14ac:dyDescent="0.15">
      <c r="B76" s="96" t="s">
        <v>245</v>
      </c>
      <c r="C76" s="97" t="s">
        <v>22</v>
      </c>
      <c r="D76" s="97">
        <v>671</v>
      </c>
      <c r="E76" s="97">
        <v>805.19999999999993</v>
      </c>
    </row>
    <row r="77" spans="1:5" x14ac:dyDescent="0.15">
      <c r="B77" s="96" t="s">
        <v>246</v>
      </c>
      <c r="C77" s="97" t="s">
        <v>22</v>
      </c>
      <c r="D77" s="97">
        <v>628</v>
      </c>
      <c r="E77" s="97">
        <v>753.6</v>
      </c>
    </row>
    <row r="78" spans="1:5" x14ac:dyDescent="0.15">
      <c r="B78" s="96" t="s">
        <v>247</v>
      </c>
      <c r="C78" s="97" t="s">
        <v>22</v>
      </c>
      <c r="D78" s="97">
        <v>424</v>
      </c>
      <c r="E78" s="97">
        <v>508.7999999999999</v>
      </c>
    </row>
    <row r="79" spans="1:5" x14ac:dyDescent="0.15">
      <c r="B79" s="96" t="s">
        <v>248</v>
      </c>
      <c r="C79" s="97" t="s">
        <v>22</v>
      </c>
      <c r="D79" s="97">
        <v>717</v>
      </c>
      <c r="E79" s="97">
        <v>860.4</v>
      </c>
    </row>
    <row r="80" spans="1:5" x14ac:dyDescent="0.15">
      <c r="B80" s="96" t="s">
        <v>249</v>
      </c>
      <c r="C80" s="97" t="s">
        <v>22</v>
      </c>
      <c r="D80" s="97">
        <v>651</v>
      </c>
      <c r="E80" s="97">
        <v>781.19999999999993</v>
      </c>
    </row>
    <row r="81" spans="1:5" x14ac:dyDescent="0.15">
      <c r="B81" s="96" t="s">
        <v>250</v>
      </c>
      <c r="C81" s="97" t="s">
        <v>22</v>
      </c>
      <c r="D81" s="97">
        <v>125</v>
      </c>
      <c r="E81" s="97">
        <v>150</v>
      </c>
    </row>
    <row r="82" spans="1:5" x14ac:dyDescent="0.15">
      <c r="B82" s="96" t="s">
        <v>251</v>
      </c>
      <c r="C82" s="97" t="s">
        <v>22</v>
      </c>
      <c r="D82" s="97">
        <v>450</v>
      </c>
      <c r="E82" s="97">
        <v>540</v>
      </c>
    </row>
    <row r="83" spans="1:5" x14ac:dyDescent="0.15">
      <c r="A83" s="96" t="s">
        <v>131</v>
      </c>
      <c r="B83" s="96" t="s">
        <v>252</v>
      </c>
      <c r="C83" s="97" t="s">
        <v>22</v>
      </c>
      <c r="D83" s="97">
        <v>1629</v>
      </c>
      <c r="E83" s="97">
        <v>1954.8</v>
      </c>
    </row>
    <row r="84" spans="1:5" x14ac:dyDescent="0.15">
      <c r="B84" s="96" t="s">
        <v>253</v>
      </c>
      <c r="C84" s="97" t="s">
        <v>22</v>
      </c>
      <c r="D84" s="97">
        <v>1577</v>
      </c>
      <c r="E84" s="97">
        <v>1892.3999999999999</v>
      </c>
    </row>
    <row r="85" spans="1:5" x14ac:dyDescent="0.15">
      <c r="B85" s="96" t="s">
        <v>254</v>
      </c>
      <c r="C85" s="97" t="s">
        <v>22</v>
      </c>
      <c r="D85" s="97">
        <v>1998</v>
      </c>
      <c r="E85" s="97">
        <v>2397.6</v>
      </c>
    </row>
    <row r="86" spans="1:5" x14ac:dyDescent="0.15">
      <c r="B86" s="96" t="s">
        <v>255</v>
      </c>
      <c r="C86" s="97" t="s">
        <v>22</v>
      </c>
      <c r="D86" s="97">
        <v>1831</v>
      </c>
      <c r="E86" s="97">
        <v>2197.1999999999998</v>
      </c>
    </row>
    <row r="87" spans="1:5" x14ac:dyDescent="0.15">
      <c r="B87" s="96" t="s">
        <v>256</v>
      </c>
      <c r="C87" s="97" t="s">
        <v>22</v>
      </c>
      <c r="D87" s="97">
        <v>1914</v>
      </c>
      <c r="E87" s="97">
        <v>2296.7999999999997</v>
      </c>
    </row>
    <row r="88" spans="1:5" x14ac:dyDescent="0.15">
      <c r="B88" s="96" t="s">
        <v>257</v>
      </c>
      <c r="C88" s="97" t="s">
        <v>22</v>
      </c>
      <c r="D88" s="97">
        <v>1184</v>
      </c>
      <c r="E88" s="97">
        <v>1420.8</v>
      </c>
    </row>
    <row r="89" spans="1:5" x14ac:dyDescent="0.15">
      <c r="B89" s="96" t="s">
        <v>258</v>
      </c>
      <c r="C89" s="97" t="s">
        <v>22</v>
      </c>
      <c r="D89" s="97">
        <v>1477</v>
      </c>
      <c r="E89" s="97">
        <v>1772.3999999999999</v>
      </c>
    </row>
    <row r="90" spans="1:5" x14ac:dyDescent="0.15">
      <c r="B90" s="96" t="s">
        <v>259</v>
      </c>
      <c r="C90" s="97" t="s">
        <v>22</v>
      </c>
      <c r="D90" s="97">
        <v>1996</v>
      </c>
      <c r="E90" s="97">
        <v>2395.1999999999998</v>
      </c>
    </row>
    <row r="91" spans="1:5" x14ac:dyDescent="0.15">
      <c r="A91" s="96" t="s">
        <v>132</v>
      </c>
      <c r="B91" s="96" t="s">
        <v>260</v>
      </c>
      <c r="C91" s="97" t="s">
        <v>22</v>
      </c>
      <c r="D91" s="97">
        <v>1444</v>
      </c>
      <c r="E91" s="97">
        <v>1732.8</v>
      </c>
    </row>
    <row r="92" spans="1:5" x14ac:dyDescent="0.15">
      <c r="B92" s="96" t="s">
        <v>261</v>
      </c>
      <c r="C92" s="97" t="s">
        <v>22</v>
      </c>
      <c r="D92" s="97">
        <v>686</v>
      </c>
      <c r="E92" s="97">
        <v>823.19999999999993</v>
      </c>
    </row>
    <row r="93" spans="1:5" x14ac:dyDescent="0.15">
      <c r="B93" s="96" t="s">
        <v>262</v>
      </c>
      <c r="C93" s="97" t="s">
        <v>22</v>
      </c>
      <c r="D93" s="97">
        <v>1524</v>
      </c>
      <c r="E93" s="97">
        <v>1828.8</v>
      </c>
    </row>
    <row r="94" spans="1:5" x14ac:dyDescent="0.15">
      <c r="B94" s="96" t="s">
        <v>263</v>
      </c>
      <c r="C94" s="97" t="s">
        <v>22</v>
      </c>
      <c r="D94" s="97">
        <v>1053</v>
      </c>
      <c r="E94" s="97">
        <v>1263.5999999999999</v>
      </c>
    </row>
    <row r="95" spans="1:5" x14ac:dyDescent="0.15">
      <c r="B95" s="96" t="s">
        <v>264</v>
      </c>
      <c r="C95" s="97" t="s">
        <v>22</v>
      </c>
      <c r="D95" s="97">
        <v>4568</v>
      </c>
      <c r="E95" s="97">
        <v>5481.5999999999995</v>
      </c>
    </row>
    <row r="96" spans="1:5" x14ac:dyDescent="0.15">
      <c r="B96" s="96" t="s">
        <v>265</v>
      </c>
      <c r="C96" s="97" t="s">
        <v>22</v>
      </c>
      <c r="D96" s="97">
        <v>1352</v>
      </c>
      <c r="E96" s="97">
        <v>1622.3999999999999</v>
      </c>
    </row>
    <row r="97" spans="2:5" x14ac:dyDescent="0.15">
      <c r="B97" s="96" t="s">
        <v>266</v>
      </c>
      <c r="C97" s="97" t="s">
        <v>22</v>
      </c>
      <c r="D97" s="97">
        <v>992</v>
      </c>
      <c r="E97" s="97">
        <v>1190.3999999999999</v>
      </c>
    </row>
    <row r="98" spans="2:5" x14ac:dyDescent="0.15">
      <c r="B98" s="96" t="s">
        <v>267</v>
      </c>
      <c r="C98" s="97" t="s">
        <v>22</v>
      </c>
      <c r="D98" s="97">
        <v>1616</v>
      </c>
      <c r="E98" s="97">
        <v>1939.1999999999998</v>
      </c>
    </row>
    <row r="99" spans="2:5" x14ac:dyDescent="0.15">
      <c r="B99" s="96" t="s">
        <v>268</v>
      </c>
      <c r="C99" s="97" t="s">
        <v>22</v>
      </c>
      <c r="D99" s="97">
        <v>1690</v>
      </c>
      <c r="E99" s="97">
        <v>2028</v>
      </c>
    </row>
    <row r="100" spans="2:5" x14ac:dyDescent="0.15">
      <c r="B100" s="96" t="s">
        <v>269</v>
      </c>
      <c r="C100" s="97" t="s">
        <v>22</v>
      </c>
      <c r="D100" s="97">
        <v>1727</v>
      </c>
      <c r="E100" s="97">
        <v>2072.4</v>
      </c>
    </row>
    <row r="101" spans="2:5" x14ac:dyDescent="0.15">
      <c r="B101" s="96" t="s">
        <v>270</v>
      </c>
      <c r="C101" s="97" t="s">
        <v>22</v>
      </c>
      <c r="D101" s="97">
        <v>1665</v>
      </c>
      <c r="E101" s="97">
        <v>1998</v>
      </c>
    </row>
  </sheetData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basic_info</vt:lpstr>
      <vt:lpstr>facilities</vt:lpstr>
      <vt:lpstr>raw_materials</vt:lpstr>
      <vt:lpstr>shipping_manufacturing</vt:lpstr>
      <vt:lpstr>pricing</vt:lpstr>
      <vt:lpstr>annual_report</vt:lpstr>
      <vt:lpstr>grove</vt:lpstr>
      <vt:lpstr>P01</vt:lpstr>
      <vt:lpstr>P05</vt:lpstr>
      <vt:lpstr>P07</vt:lpstr>
      <vt:lpstr>S15</vt:lpstr>
      <vt:lpstr>S61</vt:lpstr>
      <vt:lpstr>ORA</vt:lpstr>
      <vt:lpstr>POJ</vt:lpstr>
      <vt:lpstr>ROJ</vt:lpstr>
      <vt:lpstr>FCOJ</vt:lpstr>
      <vt:lpstr>market</vt:lpstr>
    </vt:vector>
  </TitlesOfParts>
  <Company>Princeton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Microsoft Office User</cp:lastModifiedBy>
  <dcterms:created xsi:type="dcterms:W3CDTF">2003-07-09T21:14:27Z</dcterms:created>
  <dcterms:modified xsi:type="dcterms:W3CDTF">2015-12-11T01:36:11Z</dcterms:modified>
</cp:coreProperties>
</file>